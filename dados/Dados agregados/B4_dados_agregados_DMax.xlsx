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Tab 1" sheetId="2" state="visible" r:id="rId2"/>
    <sheet name="Tab 2" sheetId="3" state="visible" r:id="rId3"/>
    <sheet name="Tab 3" sheetId="4" state="visible" r:id="rId4"/>
    <sheet name="Tab 4" sheetId="5" state="visible" r:id="rId5"/>
    <sheet name="Tab 5" sheetId="6" state="visible" r:id="rId6"/>
    <sheet name="Tab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00000"/>
      </top>
      <bottom style="thin">
        <color rgb="00000000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right" vertical="center"/>
    </xf>
    <xf numFmtId="10" fontId="2" fillId="2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left" vertical="center" wrapText="1"/>
    </xf>
    <xf numFmtId="3" fontId="2" fillId="2" borderId="3" applyAlignment="1" pivotButton="0" quotePrefix="0" xfId="0">
      <alignment horizontal="right" vertical="center"/>
    </xf>
    <xf numFmtId="10" fontId="2" fillId="2" borderId="3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/>
    </xf>
    <xf numFmtId="4" fontId="2" fillId="2" borderId="2" applyAlignment="1" pivotButton="0" quotePrefix="0" xfId="0">
      <alignment horizontal="right" vertical="center"/>
    </xf>
    <xf numFmtId="4" fontId="2" fillId="2" borderId="3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4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10" fontId="2" fillId="2" borderId="2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4" fontId="2" fillId="2" borderId="3" applyAlignment="1" pivotButton="0" quotePrefix="0" xfId="0">
      <alignment horizontal="right"/>
    </xf>
    <xf numFmtId="3" fontId="2" fillId="2" borderId="3" applyAlignment="1" pivotButton="0" quotePrefix="0" xfId="0">
      <alignment horizontal="right"/>
    </xf>
    <xf numFmtId="10" fontId="2" fillId="2" borderId="3" applyAlignment="1" pivotButton="0" quotePrefix="0" xfId="0">
      <alignment horizontal="right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905500" cy="333104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339527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439354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905500" cy="345744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337780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905500" cy="284780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 1'!A1" TargetMode="External" Id="rId1" /><Relationship Type="http://schemas.openxmlformats.org/officeDocument/2006/relationships/hyperlink" Target="#'Tab 2'!A1" TargetMode="External" Id="rId2" /><Relationship Type="http://schemas.openxmlformats.org/officeDocument/2006/relationships/hyperlink" Target="#'Tab 3'!A1" TargetMode="External" Id="rId3" /><Relationship Type="http://schemas.openxmlformats.org/officeDocument/2006/relationships/hyperlink" Target="#'Tab 4'!A1" TargetMode="External" Id="rId4" /><Relationship Type="http://schemas.openxmlformats.org/officeDocument/2006/relationships/hyperlink" Target="#'Tab 5'!A1" TargetMode="External" Id="rId5" /><Relationship Type="http://schemas.openxmlformats.org/officeDocument/2006/relationships/hyperlink" Target="#'Tab 6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22" t="inlineStr">
        <is>
          <t>Dados agregados do B4 (bases públicas) – TCC Luderia</t>
        </is>
      </c>
      <c r="B1" s="22" t="n"/>
      <c r="C1" s="22" t="n"/>
    </row>
    <row r="2">
      <c r="A2" s="23" t="inlineStr">
        <is>
          <t>Aba</t>
        </is>
      </c>
      <c r="B2" s="23" t="inlineStr">
        <is>
          <t>Tabela</t>
        </is>
      </c>
      <c r="C2" s="23" t="inlineStr">
        <is>
          <t>Fonte</t>
        </is>
      </c>
    </row>
    <row r="3">
      <c r="A3" s="3" t="inlineStr">
        <is>
          <t>Tab 1</t>
        </is>
      </c>
      <c r="B3" s="3" t="inlineStr">
        <is>
          <t>Tabela 1 – População e renda das capitais do B1</t>
        </is>
      </c>
      <c r="C3" s="3" t="inlineStr">
        <is>
          <t>B4, IBGE: Censo 2022, estimativas de população 2026 e PNAD Contínua (2º trimestre de 2026)</t>
        </is>
      </c>
    </row>
    <row r="4">
      <c r="A4" s="3" t="inlineStr">
        <is>
          <t>Tab 2</t>
        </is>
      </c>
      <c r="B4" s="3" t="inlineStr">
        <is>
          <t>Tabela 2 – Aluguel comercial por m²</t>
        </is>
      </c>
      <c r="C4" s="3" t="inlineStr">
        <is>
          <t>B4, FipeZap (índice de locação comercial e residencial, julho de 2026)</t>
        </is>
      </c>
    </row>
    <row r="5">
      <c r="A5" s="3" t="inlineStr">
        <is>
          <t>Tab 3</t>
        </is>
      </c>
      <c r="B5" s="3" t="inlineStr">
        <is>
          <t>Tabela 3 – Salário de admissão em alimentação</t>
        </is>
      </c>
      <c r="C5" s="3" t="inlineStr">
        <is>
          <t>B4, Novo CAGED (admissões de 08/2025 a 07/2026, CNAE 56 – alimentação)</t>
        </is>
      </c>
    </row>
    <row r="6">
      <c r="A6" s="3" t="inlineStr">
        <is>
          <t>Tab 4</t>
        </is>
      </c>
      <c r="B6" s="3" t="inlineStr">
        <is>
          <t>Tabela 4 – Simples Nacional, anexos I e III</t>
        </is>
      </c>
      <c r="C6" s="3" t="inlineStr">
        <is>
          <t>B4, Lei Complementar 123/2006, anexos I e III (Simples Nacional, 2026)</t>
        </is>
      </c>
    </row>
    <row r="7">
      <c r="A7" s="3" t="inlineStr">
        <is>
          <t>Tab 5</t>
        </is>
      </c>
      <c r="B7" s="3" t="inlineStr">
        <is>
          <t>Tabela 5 – Selic e IPCA</t>
        </is>
      </c>
      <c r="C7" s="3" t="inlineStr">
        <is>
          <t>B4, Banco Central do Brasil: SGS (séries 432 e 13522) e Relatório Focus de 11/09/2026</t>
        </is>
      </c>
    </row>
    <row r="8">
      <c r="A8" s="6" t="inlineStr">
        <is>
          <t>Tab 6</t>
        </is>
      </c>
      <c r="B8" s="6" t="inlineStr">
        <is>
          <t>Tabela 6 – IPCA em 12 meses</t>
        </is>
      </c>
      <c r="C8" s="6" t="inlineStr">
        <is>
          <t>B4, IBGE, IPCA (tabela 7060, variação acumulada em 12 meses)</t>
        </is>
      </c>
    </row>
    <row r="10">
      <c r="A10" s="21" t="inlineStr">
        <is>
          <t>Gráficos em PNG de 300 dpi em dados/Dados agregados/graficos/. Gerado por _src/extras/gerar_planilha_agregada.py.</t>
        </is>
      </c>
    </row>
  </sheetData>
  <mergeCells count="1">
    <mergeCell ref="A1:C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4" customWidth="1" min="5" max="5"/>
    <col width="11" customWidth="1" min="6" max="6"/>
    <col width="15" customWidth="1" min="7" max="7"/>
    <col width="15" customWidth="1" min="8" max="8"/>
    <col width="16" customWidth="1" min="9" max="9"/>
  </cols>
  <sheetData>
    <row r="1" ht="30" customHeight="1">
      <c r="A1" s="1" t="inlineStr">
        <is>
          <t>Tabela 1 – População e renda das capitais do B1</t>
        </is>
      </c>
    </row>
    <row r="2" ht="42" customHeight="1">
      <c r="A2" s="2" t="inlineStr">
        <is>
          <t>Capital</t>
        </is>
      </c>
      <c r="B2" s="2" t="inlineStr">
        <is>
          <t>UF</t>
        </is>
      </c>
      <c r="C2" s="2" t="inlineStr">
        <is>
          <t>População 2022</t>
        </is>
      </c>
      <c r="D2" s="2" t="inlineStr">
        <is>
          <t>População estimada 2026</t>
        </is>
      </c>
      <c r="E2" s="2" t="inlineStr">
        <is>
          <t>População de 20 a 39 anos (2022)</t>
        </is>
      </c>
      <c r="F2" s="2" t="inlineStr">
        <is>
          <t>% de 20 a 39 anos</t>
        </is>
      </c>
      <c r="G2" s="2" t="inlineStr">
        <is>
          <t>Renda média, 14 anos ou mais (2022, R$)</t>
        </is>
      </c>
      <c r="H2" s="2" t="inlineStr">
        <is>
          <t>Renda mediana, 14 anos ou mais (2022, R$)</t>
        </is>
      </c>
      <c r="I2" s="2" t="inlineStr">
        <is>
          <t>Renda habitual do trabalho (2º tri. 2026, R$)</t>
        </is>
      </c>
    </row>
    <row r="3">
      <c r="A3" s="3" t="inlineStr">
        <is>
          <t>Florianópolis</t>
        </is>
      </c>
      <c r="B3" s="3" t="inlineStr">
        <is>
          <t>SC</t>
        </is>
      </c>
      <c r="C3" s="4" t="n">
        <v>537211</v>
      </c>
      <c r="D3" s="4" t="n">
        <v>598370</v>
      </c>
      <c r="E3" s="4" t="n">
        <v>185946</v>
      </c>
      <c r="F3" s="5">
        <f>E3/C3</f>
        <v/>
      </c>
      <c r="G3" s="10" t="n">
        <v>4222.88</v>
      </c>
      <c r="H3" s="10" t="n">
        <v>2100</v>
      </c>
      <c r="I3" s="10" t="n">
        <v>6861</v>
      </c>
    </row>
    <row r="4">
      <c r="A4" s="3" t="inlineStr">
        <is>
          <t>Porto Alegre</t>
        </is>
      </c>
      <c r="B4" s="3" t="inlineStr">
        <is>
          <t>RS</t>
        </is>
      </c>
      <c r="C4" s="4" t="n">
        <v>1332845</v>
      </c>
      <c r="D4" s="4" t="n">
        <v>1388791</v>
      </c>
      <c r="E4" s="4" t="n">
        <v>391627</v>
      </c>
      <c r="F4" s="5">
        <f>E4/C4</f>
        <v/>
      </c>
      <c r="G4" s="10" t="n">
        <v>3749.45</v>
      </c>
      <c r="H4" s="10" t="n">
        <v>1900</v>
      </c>
      <c r="I4" s="10" t="n">
        <v>6402</v>
      </c>
    </row>
    <row r="5">
      <c r="A5" s="3" t="inlineStr">
        <is>
          <t>Curitiba</t>
        </is>
      </c>
      <c r="B5" s="3" t="inlineStr">
        <is>
          <t>PR</t>
        </is>
      </c>
      <c r="C5" s="4" t="n">
        <v>1773718</v>
      </c>
      <c r="D5" s="4" t="n">
        <v>1832183</v>
      </c>
      <c r="E5" s="4" t="n">
        <v>551000</v>
      </c>
      <c r="F5" s="5">
        <f>E5/C5</f>
        <v/>
      </c>
      <c r="G5" s="10" t="n">
        <v>3685.62</v>
      </c>
      <c r="H5" s="10" t="n">
        <v>2000</v>
      </c>
      <c r="I5" s="10" t="n">
        <v>6134</v>
      </c>
    </row>
    <row r="6">
      <c r="A6" s="3" t="inlineStr">
        <is>
          <t>Brasília</t>
        </is>
      </c>
      <c r="B6" s="3" t="inlineStr">
        <is>
          <t>DF</t>
        </is>
      </c>
      <c r="C6" s="4" t="n">
        <v>2817381</v>
      </c>
      <c r="D6" s="4" t="n">
        <v>3009996</v>
      </c>
      <c r="E6" s="4" t="n">
        <v>914611</v>
      </c>
      <c r="F6" s="5">
        <f>E6/C6</f>
        <v/>
      </c>
      <c r="G6" s="10" t="n">
        <v>3629.16</v>
      </c>
      <c r="H6" s="10" t="n">
        <v>1500</v>
      </c>
      <c r="I6" s="10" t="n">
        <v>6007</v>
      </c>
    </row>
    <row r="7">
      <c r="A7" s="3" t="inlineStr">
        <is>
          <t>Vitória</t>
        </is>
      </c>
      <c r="B7" s="3" t="inlineStr">
        <is>
          <t>ES</t>
        </is>
      </c>
      <c r="C7" s="4" t="n">
        <v>322869</v>
      </c>
      <c r="D7" s="4" t="n">
        <v>343935</v>
      </c>
      <c r="E7" s="4" t="n">
        <v>96495</v>
      </c>
      <c r="F7" s="5">
        <f>E7/C7</f>
        <v/>
      </c>
      <c r="G7" s="10" t="n">
        <v>3950.45</v>
      </c>
      <c r="H7" s="10" t="n">
        <v>1800</v>
      </c>
      <c r="I7" s="10" t="n">
        <v>5982</v>
      </c>
    </row>
    <row r="8">
      <c r="A8" s="3" t="inlineStr">
        <is>
          <t>Goiânia</t>
        </is>
      </c>
      <c r="B8" s="3" t="inlineStr">
        <is>
          <t>GO</t>
        </is>
      </c>
      <c r="C8" s="4" t="n">
        <v>1437366</v>
      </c>
      <c r="D8" s="4" t="n">
        <v>1511709</v>
      </c>
      <c r="E8" s="4" t="n">
        <v>474870</v>
      </c>
      <c r="F8" s="5">
        <f>E8/C8</f>
        <v/>
      </c>
      <c r="G8" s="10" t="n">
        <v>3202.02</v>
      </c>
      <c r="H8" s="10" t="n">
        <v>1500</v>
      </c>
      <c r="I8" s="10" t="n">
        <v>5496</v>
      </c>
    </row>
    <row r="9">
      <c r="A9" s="3" t="inlineStr">
        <is>
          <t>São Paulo</t>
        </is>
      </c>
      <c r="B9" s="3" t="inlineStr">
        <is>
          <t>SP</t>
        </is>
      </c>
      <c r="C9" s="4" t="n">
        <v>11451999</v>
      </c>
      <c r="D9" s="4" t="n">
        <v>11911337</v>
      </c>
      <c r="E9" s="4" t="n">
        <v>3559246</v>
      </c>
      <c r="F9" s="5">
        <f>E9/C9</f>
        <v/>
      </c>
      <c r="G9" s="10" t="n">
        <v>3216.65</v>
      </c>
      <c r="H9" s="10" t="n">
        <v>1500</v>
      </c>
      <c r="I9" s="10" t="n">
        <v>5431</v>
      </c>
    </row>
    <row r="10">
      <c r="A10" s="3" t="inlineStr">
        <is>
          <t>Belo Horizonte</t>
        </is>
      </c>
      <c r="B10" s="3" t="inlineStr">
        <is>
          <t>MG</t>
        </is>
      </c>
      <c r="C10" s="4" t="n">
        <v>2315560</v>
      </c>
      <c r="D10" s="4" t="n">
        <v>2415451</v>
      </c>
      <c r="E10" s="4" t="n">
        <v>702819</v>
      </c>
      <c r="F10" s="5">
        <f>E10/C10</f>
        <v/>
      </c>
      <c r="G10" s="10" t="n">
        <v>3206.74</v>
      </c>
      <c r="H10" s="10" t="n">
        <v>1500</v>
      </c>
      <c r="I10" s="10" t="n">
        <v>5130</v>
      </c>
    </row>
    <row r="11">
      <c r="A11" s="3" t="inlineStr">
        <is>
          <t>Rio de Janeiro</t>
        </is>
      </c>
      <c r="B11" s="3" t="inlineStr">
        <is>
          <t>RJ</t>
        </is>
      </c>
      <c r="C11" s="4" t="n">
        <v>6211223</v>
      </c>
      <c r="D11" s="4" t="n">
        <v>6731133</v>
      </c>
      <c r="E11" s="4" t="n">
        <v>1834349</v>
      </c>
      <c r="F11" s="5">
        <f>E11/C11</f>
        <v/>
      </c>
      <c r="G11" s="10" t="n">
        <v>2964.14</v>
      </c>
      <c r="H11" s="10" t="n">
        <v>1250</v>
      </c>
      <c r="I11" s="10" t="n">
        <v>5027</v>
      </c>
    </row>
    <row r="12">
      <c r="A12" s="3" t="inlineStr">
        <is>
          <t>Fortaleza</t>
        </is>
      </c>
      <c r="B12" s="3" t="inlineStr">
        <is>
          <t>CE</t>
        </is>
      </c>
      <c r="C12" s="4" t="n">
        <v>2428708</v>
      </c>
      <c r="D12" s="4" t="n">
        <v>2582360</v>
      </c>
      <c r="E12" s="4" t="n">
        <v>790398</v>
      </c>
      <c r="F12" s="5">
        <f>E12/C12</f>
        <v/>
      </c>
      <c r="G12" s="10" t="n">
        <v>2014.23</v>
      </c>
      <c r="H12" s="10" t="n">
        <v>1212</v>
      </c>
      <c r="I12" s="10" t="n">
        <v>3887</v>
      </c>
    </row>
    <row r="13">
      <c r="A13" s="3" t="inlineStr">
        <is>
          <t>Recife</t>
        </is>
      </c>
      <c r="B13" s="3" t="inlineStr">
        <is>
          <t>PE</t>
        </is>
      </c>
      <c r="C13" s="4" t="n">
        <v>1488920</v>
      </c>
      <c r="D13" s="4" t="n">
        <v>1588983</v>
      </c>
      <c r="E13" s="4" t="n">
        <v>447131</v>
      </c>
      <c r="F13" s="5">
        <f>E13/C13</f>
        <v/>
      </c>
      <c r="G13" s="10" t="n">
        <v>2728.51</v>
      </c>
      <c r="H13" s="10" t="n">
        <v>1212</v>
      </c>
      <c r="I13" s="10" t="n">
        <v>3758</v>
      </c>
    </row>
    <row r="14">
      <c r="A14" s="3" t="inlineStr">
        <is>
          <t>Salvador</t>
        </is>
      </c>
      <c r="B14" s="3" t="inlineStr">
        <is>
          <t>BA</t>
        </is>
      </c>
      <c r="C14" s="4" t="n">
        <v>2417678</v>
      </c>
      <c r="D14" s="4" t="n">
        <v>2559945</v>
      </c>
      <c r="E14" s="4" t="n">
        <v>736849</v>
      </c>
      <c r="F14" s="5">
        <f>E14/C14</f>
        <v/>
      </c>
      <c r="G14" s="10" t="n">
        <v>2089.3</v>
      </c>
      <c r="H14" s="10" t="n">
        <v>1212</v>
      </c>
      <c r="I14" s="10" t="n">
        <v>3417</v>
      </c>
    </row>
    <row r="15">
      <c r="A15" s="6" t="inlineStr">
        <is>
          <t>Belém</t>
        </is>
      </c>
      <c r="B15" s="6" t="inlineStr">
        <is>
          <t>PA</t>
        </is>
      </c>
      <c r="C15" s="7" t="n">
        <v>1303403</v>
      </c>
      <c r="D15" s="7" t="n">
        <v>1396157</v>
      </c>
      <c r="E15" s="7" t="n">
        <v>404656</v>
      </c>
      <c r="F15" s="8">
        <f>E15/C15</f>
        <v/>
      </c>
      <c r="G15" s="11" t="n">
        <v>1998.96</v>
      </c>
      <c r="H15" s="11" t="n">
        <v>1200</v>
      </c>
      <c r="I15" s="11" t="n">
        <v>3406</v>
      </c>
    </row>
    <row r="16">
      <c r="A16" s="9" t="inlineStr">
        <is>
          <t>Fonte: B4, IBGE: Censo 2022, estimativas de população 2026 e PNAD Contínua (2º trimestre de 2026)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4" customWidth="1" min="4" max="4"/>
    <col width="13" customWidth="1" min="5" max="5"/>
    <col width="12" customWidth="1" min="6" max="6"/>
    <col width="40" customWidth="1" min="7" max="7"/>
  </cols>
  <sheetData>
    <row r="1" ht="30" customHeight="1">
      <c r="A1" s="1" t="inlineStr">
        <is>
          <t>Tabela 2 – Aluguel comercial por m²</t>
        </is>
      </c>
    </row>
    <row r="2" ht="42" customHeight="1">
      <c r="A2" s="2" t="inlineStr">
        <is>
          <t>Capital</t>
        </is>
      </c>
      <c r="B2" s="2" t="inlineStr">
        <is>
          <t>UF</t>
        </is>
      </c>
      <c r="C2" s="2" t="inlineStr">
        <is>
          <t>Locação comercial (R$/m²)</t>
        </is>
      </c>
      <c r="D2" s="2" t="inlineStr">
        <is>
          <t>Estimativa, mediana (R$/m²)</t>
        </is>
      </c>
      <c r="E2" s="2" t="inlineStr">
        <is>
          <t>Valor usado (R$/m²)</t>
        </is>
      </c>
      <c r="F2" s="2" t="inlineStr">
        <is>
          <t>Variação em 12 meses</t>
        </is>
      </c>
      <c r="G2" s="2" t="inlineStr">
        <is>
          <t>Origem do valor</t>
        </is>
      </c>
    </row>
    <row r="3">
      <c r="A3" s="3" t="inlineStr">
        <is>
          <t>São Paulo</t>
        </is>
      </c>
      <c r="B3" s="3" t="inlineStr">
        <is>
          <t>SP</t>
        </is>
      </c>
      <c r="C3" s="10" t="n">
        <v>61.74298875373592</v>
      </c>
      <c r="D3" s="10" t="n"/>
      <c r="E3" s="10">
        <f>IF(C3&lt;&gt;"",C3,D3)</f>
        <v/>
      </c>
      <c r="F3" s="5" t="n">
        <v>0.07822186643305917</v>
      </c>
      <c r="G3" s="3" t="inlineStr">
        <is>
          <t>FipeZap comercial</t>
        </is>
      </c>
    </row>
    <row r="4">
      <c r="A4" s="3" t="inlineStr">
        <is>
          <t>Recife</t>
        </is>
      </c>
      <c r="B4" s="3" t="inlineStr">
        <is>
          <t>PE</t>
        </is>
      </c>
      <c r="C4" s="10" t="n"/>
      <c r="D4" s="10" t="n">
        <v>57.32</v>
      </c>
      <c r="E4" s="10">
        <f>IF(C4&lt;&gt;"",C4,D4)</f>
        <v/>
      </c>
      <c r="F4" s="5" t="n"/>
      <c r="G4" s="3" t="inlineStr">
        <is>
          <t>estimado (residencial × razão comercial/residencial)</t>
        </is>
      </c>
    </row>
    <row r="5">
      <c r="A5" s="3" t="inlineStr">
        <is>
          <t>Rio de Janeiro</t>
        </is>
      </c>
      <c r="B5" s="3" t="inlineStr">
        <is>
          <t>RJ</t>
        </is>
      </c>
      <c r="C5" s="10" t="n">
        <v>56.98074913668047</v>
      </c>
      <c r="D5" s="10" t="n"/>
      <c r="E5" s="10">
        <f>IF(C5&lt;&gt;"",C5,D5)</f>
        <v/>
      </c>
      <c r="F5" s="5" t="n">
        <v>0.213396271273421</v>
      </c>
      <c r="G5" s="3" t="inlineStr">
        <is>
          <t>FipeZap comercial</t>
        </is>
      </c>
    </row>
    <row r="6">
      <c r="A6" s="3" t="inlineStr">
        <is>
          <t>Belém</t>
        </is>
      </c>
      <c r="B6" s="3" t="inlineStr">
        <is>
          <t>PA</t>
        </is>
      </c>
      <c r="C6" s="10" t="n"/>
      <c r="D6" s="10" t="n">
        <v>56.02</v>
      </c>
      <c r="E6" s="10">
        <f>IF(C6&lt;&gt;"",C6,D6)</f>
        <v/>
      </c>
      <c r="F6" s="5" t="n"/>
      <c r="G6" s="3" t="inlineStr">
        <is>
          <t>estimado (residencial × razão comercial/residencial)</t>
        </is>
      </c>
    </row>
    <row r="7">
      <c r="A7" s="3" t="inlineStr">
        <is>
          <t>Salvador</t>
        </is>
      </c>
      <c r="B7" s="3" t="inlineStr">
        <is>
          <t>BA</t>
        </is>
      </c>
      <c r="C7" s="10" t="n">
        <v>54.14525453500875</v>
      </c>
      <c r="D7" s="10" t="n"/>
      <c r="E7" s="10">
        <f>IF(C7&lt;&gt;"",C7,D7)</f>
        <v/>
      </c>
      <c r="F7" s="5" t="n">
        <v>0.1885559657925793</v>
      </c>
      <c r="G7" s="3" t="inlineStr">
        <is>
          <t>FipeZap comercial</t>
        </is>
      </c>
    </row>
    <row r="8">
      <c r="A8" s="3" t="inlineStr">
        <is>
          <t>Florianópolis</t>
        </is>
      </c>
      <c r="B8" s="3" t="inlineStr">
        <is>
          <t>SC</t>
        </is>
      </c>
      <c r="C8" s="10" t="n">
        <v>51.77841985049288</v>
      </c>
      <c r="D8" s="10" t="n"/>
      <c r="E8" s="10">
        <f>IF(C8&lt;&gt;"",C8,D8)</f>
        <v/>
      </c>
      <c r="F8" s="5" t="n">
        <v>0.07439223182113541</v>
      </c>
      <c r="G8" s="3" t="inlineStr">
        <is>
          <t>FipeZap comercial</t>
        </is>
      </c>
    </row>
    <row r="9">
      <c r="A9" s="3" t="inlineStr">
        <is>
          <t>Vitória</t>
        </is>
      </c>
      <c r="B9" s="3" t="inlineStr">
        <is>
          <t>ES</t>
        </is>
      </c>
      <c r="C9" s="10" t="n"/>
      <c r="D9" s="10" t="n">
        <v>48.9</v>
      </c>
      <c r="E9" s="10">
        <f>IF(C9&lt;&gt;"",C9,D9)</f>
        <v/>
      </c>
      <c r="F9" s="5" t="n"/>
      <c r="G9" s="3" t="inlineStr">
        <is>
          <t>estimado (residencial × razão comercial/residencial)</t>
        </is>
      </c>
    </row>
    <row r="10">
      <c r="A10" s="3" t="inlineStr">
        <is>
          <t>Curitiba</t>
        </is>
      </c>
      <c r="B10" s="3" t="inlineStr">
        <is>
          <t>PR</t>
        </is>
      </c>
      <c r="C10" s="10" t="n">
        <v>46.23457525142509</v>
      </c>
      <c r="D10" s="10" t="n"/>
      <c r="E10" s="10">
        <f>IF(C10&lt;&gt;"",C10,D10)</f>
        <v/>
      </c>
      <c r="F10" s="5" t="n">
        <v>0.1284614141322726</v>
      </c>
      <c r="G10" s="3" t="inlineStr">
        <is>
          <t>FipeZap comercial</t>
        </is>
      </c>
    </row>
    <row r="11">
      <c r="A11" s="3" t="inlineStr">
        <is>
          <t>Brasília</t>
        </is>
      </c>
      <c r="B11" s="3" t="inlineStr">
        <is>
          <t>DF</t>
        </is>
      </c>
      <c r="C11" s="10" t="n">
        <v>44.19514972023748</v>
      </c>
      <c r="D11" s="10" t="n"/>
      <c r="E11" s="10">
        <f>IF(C11&lt;&gt;"",C11,D11)</f>
        <v/>
      </c>
      <c r="F11" s="5" t="n">
        <v>0.07656290019025724</v>
      </c>
      <c r="G11" s="3" t="inlineStr">
        <is>
          <t>FipeZap comercial</t>
        </is>
      </c>
    </row>
    <row r="12">
      <c r="A12" s="3" t="inlineStr">
        <is>
          <t>Goiânia</t>
        </is>
      </c>
      <c r="B12" s="3" t="inlineStr">
        <is>
          <t>GO</t>
        </is>
      </c>
      <c r="C12" s="10" t="n"/>
      <c r="D12" s="10" t="n">
        <v>38.63</v>
      </c>
      <c r="E12" s="10">
        <f>IF(C12&lt;&gt;"",C12,D12)</f>
        <v/>
      </c>
      <c r="F12" s="5" t="n"/>
      <c r="G12" s="3" t="inlineStr">
        <is>
          <t>estimado (residencial × razão comercial/residencial)</t>
        </is>
      </c>
    </row>
    <row r="13">
      <c r="A13" s="3" t="inlineStr">
        <is>
          <t>Belo Horizonte</t>
        </is>
      </c>
      <c r="B13" s="3" t="inlineStr">
        <is>
          <t>MG</t>
        </is>
      </c>
      <c r="C13" s="10" t="n">
        <v>37.85915191432747</v>
      </c>
      <c r="D13" s="10" t="n"/>
      <c r="E13" s="10">
        <f>IF(C13&lt;&gt;"",C13,D13)</f>
        <v/>
      </c>
      <c r="F13" s="5" t="n">
        <v>0.0879349722325431</v>
      </c>
      <c r="G13" s="3" t="inlineStr">
        <is>
          <t>FipeZap comercial</t>
        </is>
      </c>
    </row>
    <row r="14">
      <c r="A14" s="3" t="inlineStr">
        <is>
          <t>Fortaleza</t>
        </is>
      </c>
      <c r="B14" s="3" t="inlineStr">
        <is>
          <t>CE</t>
        </is>
      </c>
      <c r="C14" s="10" t="n"/>
      <c r="D14" s="10" t="n">
        <v>37.24</v>
      </c>
      <c r="E14" s="10">
        <f>IF(C14&lt;&gt;"",C14,D14)</f>
        <v/>
      </c>
      <c r="F14" s="5" t="n"/>
      <c r="G14" s="3" t="inlineStr">
        <is>
          <t>estimado (residencial × razão comercial/residencial)</t>
        </is>
      </c>
    </row>
    <row r="15">
      <c r="A15" s="6" t="inlineStr">
        <is>
          <t>Porto Alegre</t>
        </is>
      </c>
      <c r="B15" s="6" t="inlineStr">
        <is>
          <t>RS</t>
        </is>
      </c>
      <c r="C15" s="11" t="n">
        <v>34.72891912890201</v>
      </c>
      <c r="D15" s="11" t="n"/>
      <c r="E15" s="11">
        <f>IF(C15&lt;&gt;"",C15,D15)</f>
        <v/>
      </c>
      <c r="F15" s="8" t="n">
        <v>0.02846912258414602</v>
      </c>
      <c r="G15" s="6" t="inlineStr">
        <is>
          <t>FipeZap comercial</t>
        </is>
      </c>
    </row>
    <row r="16">
      <c r="A16" s="9" t="inlineStr">
        <is>
          <t>Fonte: B4, FipeZap (índice de locação comercial e residencial, julho de 2026)</t>
        </is>
      </c>
    </row>
    <row r="17">
      <c r="A17" s="9" t="inlineStr">
        <is>
          <t>Nota: onde o FipeZap não cobre o comercial, estimativa pelo residencial vezes a razão comercial/residencial das capitais cobertas.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Tabela 3 – Salário de admissão em alimentação</t>
        </is>
      </c>
    </row>
    <row r="2" ht="42" customHeight="1">
      <c r="A2" s="2" t="inlineStr">
        <is>
          <t>Ocupação</t>
        </is>
      </c>
      <c r="B2" s="2" t="inlineStr">
        <is>
          <t>Salvador: admissões</t>
        </is>
      </c>
      <c r="C2" s="2" t="inlineStr">
        <is>
          <t>Salvador: salário mediano (R$)</t>
        </is>
      </c>
      <c r="D2" s="2" t="inlineStr">
        <is>
          <t>27 capitais: admissões</t>
        </is>
      </c>
      <c r="E2" s="2" t="inlineStr">
        <is>
          <t>27 capitais: salário mediano (R$)</t>
        </is>
      </c>
      <c r="F2" s="2" t="inlineStr">
        <is>
          <t>Salvador ÷ 27 capitais</t>
        </is>
      </c>
      <c r="G2" s="2" t="inlineStr">
        <is>
          <t>Amostra pequena em Salvador</t>
        </is>
      </c>
    </row>
    <row r="3">
      <c r="A3" s="3" t="inlineStr">
        <is>
          <t>Gerente de restaurante</t>
        </is>
      </c>
      <c r="B3" s="4" t="n">
        <v>158</v>
      </c>
      <c r="C3" s="10" t="n">
        <v>2500</v>
      </c>
      <c r="D3" s="4" t="n">
        <v>7387</v>
      </c>
      <c r="E3" s="10" t="n">
        <v>2700</v>
      </c>
      <c r="F3" s="5">
        <f>C3/E3</f>
        <v/>
      </c>
      <c r="G3" s="3" t="inlineStr">
        <is>
          <t>não</t>
        </is>
      </c>
    </row>
    <row r="4">
      <c r="A4" s="3" t="inlineStr">
        <is>
          <t>Gerente de bar</t>
        </is>
      </c>
      <c r="B4" s="4" t="n">
        <v>14</v>
      </c>
      <c r="C4" s="10" t="n">
        <v>2500</v>
      </c>
      <c r="D4" s="4" t="n">
        <v>1404</v>
      </c>
      <c r="E4" s="10" t="n">
        <v>2500</v>
      </c>
      <c r="F4" s="5">
        <f>C4/E4</f>
        <v/>
      </c>
      <c r="G4" s="3" t="inlineStr">
        <is>
          <t>sim</t>
        </is>
      </c>
    </row>
    <row r="5">
      <c r="A5" s="3" t="inlineStr">
        <is>
          <t>Cozinheiro geral</t>
        </is>
      </c>
      <c r="B5" s="4" t="n">
        <v>1827</v>
      </c>
      <c r="C5" s="10" t="n">
        <v>1700</v>
      </c>
      <c r="D5" s="4" t="n">
        <v>54113</v>
      </c>
      <c r="E5" s="10" t="n">
        <v>1872.16</v>
      </c>
      <c r="F5" s="5">
        <f>C5/E5</f>
        <v/>
      </c>
      <c r="G5" s="3" t="inlineStr">
        <is>
          <t>não</t>
        </is>
      </c>
    </row>
    <row r="6">
      <c r="A6" s="3" t="inlineStr">
        <is>
          <t>Recreador</t>
        </is>
      </c>
      <c r="B6" s="4" t="n">
        <v>8</v>
      </c>
      <c r="C6" s="10" t="n">
        <v>1625.09</v>
      </c>
      <c r="D6" s="4" t="n">
        <v>1188</v>
      </c>
      <c r="E6" s="10" t="n">
        <v>1669.2</v>
      </c>
      <c r="F6" s="5">
        <f>C6/E6</f>
        <v/>
      </c>
      <c r="G6" s="3" t="inlineStr">
        <is>
          <t>sim</t>
        </is>
      </c>
    </row>
    <row r="7">
      <c r="A7" s="3" t="inlineStr">
        <is>
          <t>Operador de caixa</t>
        </is>
      </c>
      <c r="B7" s="4" t="n">
        <v>600</v>
      </c>
      <c r="C7" s="10" t="n">
        <v>1625.09</v>
      </c>
      <c r="D7" s="4" t="n">
        <v>14316</v>
      </c>
      <c r="E7" s="10" t="n">
        <v>1733.45</v>
      </c>
      <c r="F7" s="5">
        <f>C7/E7</f>
        <v/>
      </c>
      <c r="G7" s="3" t="inlineStr">
        <is>
          <t>não</t>
        </is>
      </c>
    </row>
    <row r="8">
      <c r="A8" s="3" t="inlineStr">
        <is>
          <t>Garçom</t>
        </is>
      </c>
      <c r="B8" s="4" t="n">
        <v>1595</v>
      </c>
      <c r="C8" s="10" t="n">
        <v>1625.09</v>
      </c>
      <c r="D8" s="4" t="n">
        <v>43378</v>
      </c>
      <c r="E8" s="10" t="n">
        <v>1750.68</v>
      </c>
      <c r="F8" s="5">
        <f>C8/E8</f>
        <v/>
      </c>
      <c r="G8" s="3" t="inlineStr">
        <is>
          <t>não</t>
        </is>
      </c>
    </row>
    <row r="9">
      <c r="A9" s="3" t="inlineStr">
        <is>
          <t>Cumim</t>
        </is>
      </c>
      <c r="B9" s="4" t="n">
        <v>601</v>
      </c>
      <c r="C9" s="10" t="n">
        <v>1625.09</v>
      </c>
      <c r="D9" s="4" t="n">
        <v>15978</v>
      </c>
      <c r="E9" s="10" t="n">
        <v>1700</v>
      </c>
      <c r="F9" s="5">
        <f>C9/E9</f>
        <v/>
      </c>
      <c r="G9" s="3" t="inlineStr">
        <is>
          <t>não</t>
        </is>
      </c>
    </row>
    <row r="10">
      <c r="A10" s="3" t="inlineStr">
        <is>
          <t>Barman</t>
        </is>
      </c>
      <c r="B10" s="4" t="n">
        <v>351</v>
      </c>
      <c r="C10" s="10" t="n">
        <v>1625.09</v>
      </c>
      <c r="D10" s="4" t="n">
        <v>9253</v>
      </c>
      <c r="E10" s="10" t="n">
        <v>1771</v>
      </c>
      <c r="F10" s="5">
        <f>C10/E10</f>
        <v/>
      </c>
      <c r="G10" s="3" t="inlineStr">
        <is>
          <t>não</t>
        </is>
      </c>
    </row>
    <row r="11">
      <c r="A11" s="3" t="inlineStr">
        <is>
          <t>Atendente de lanchonete</t>
        </is>
      </c>
      <c r="B11" s="4" t="n">
        <v>2943</v>
      </c>
      <c r="C11" s="10" t="n">
        <v>1625.09</v>
      </c>
      <c r="D11" s="4" t="n">
        <v>125235</v>
      </c>
      <c r="E11" s="10" t="n">
        <v>1688.53</v>
      </c>
      <c r="F11" s="5">
        <f>C11/E11</f>
        <v/>
      </c>
      <c r="G11" s="3" t="inlineStr">
        <is>
          <t>não</t>
        </is>
      </c>
    </row>
    <row r="12">
      <c r="A12" s="3" t="inlineStr">
        <is>
          <t>Auxiliar nos serviços de alimentação</t>
        </is>
      </c>
      <c r="B12" s="4" t="n">
        <v>2737</v>
      </c>
      <c r="C12" s="10" t="n">
        <v>1625.09</v>
      </c>
      <c r="D12" s="4" t="n">
        <v>113010</v>
      </c>
      <c r="E12" s="10" t="n">
        <v>1787</v>
      </c>
      <c r="F12" s="5">
        <f>C12/E12</f>
        <v/>
      </c>
      <c r="G12" s="3" t="inlineStr">
        <is>
          <t>não</t>
        </is>
      </c>
    </row>
    <row r="13">
      <c r="A13" s="3" t="inlineStr">
        <is>
          <t>Faxineiro</t>
        </is>
      </c>
      <c r="B13" s="4" t="n">
        <v>1470</v>
      </c>
      <c r="C13" s="10" t="n">
        <v>1625.09</v>
      </c>
      <c r="D13" s="4" t="n">
        <v>31783</v>
      </c>
      <c r="E13" s="10" t="n">
        <v>1703</v>
      </c>
      <c r="F13" s="5">
        <f>C13/E13</f>
        <v/>
      </c>
      <c r="G13" s="3" t="inlineStr">
        <is>
          <t>não</t>
        </is>
      </c>
    </row>
    <row r="14">
      <c r="A14" s="6" t="inlineStr">
        <is>
          <t>Atendente de lojas e mercados</t>
        </is>
      </c>
      <c r="B14" s="7" t="n">
        <v>854</v>
      </c>
      <c r="C14" s="11" t="n">
        <v>1625.09</v>
      </c>
      <c r="D14" s="7" t="n">
        <v>19178</v>
      </c>
      <c r="E14" s="11" t="n">
        <v>1712</v>
      </c>
      <c r="F14" s="8">
        <f>C14/E14</f>
        <v/>
      </c>
      <c r="G14" s="6" t="inlineStr">
        <is>
          <t>não</t>
        </is>
      </c>
    </row>
    <row r="15">
      <c r="A15" s="9" t="inlineStr">
        <is>
          <t>Fonte: B4, Novo CAGED (admissões de 08/2025 a 07/2026, CNAE 56 – alimentação)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16" customWidth="1" min="4" max="4"/>
    <col width="12" customWidth="1" min="5" max="5"/>
    <col width="16" customWidth="1" min="6" max="6"/>
    <col width="16" customWidth="1" min="7" max="7"/>
  </cols>
  <sheetData>
    <row r="1" ht="30" customHeight="1">
      <c r="A1" s="1" t="inlineStr">
        <is>
          <t>Tabela 4 – Simples Nacional, anexos I e III</t>
        </is>
      </c>
    </row>
    <row r="2" ht="42" customHeight="1">
      <c r="A2" s="2" t="inlineStr">
        <is>
          <t>Anexo</t>
        </is>
      </c>
      <c r="B2" s="2" t="inlineStr">
        <is>
          <t>Faixa</t>
        </is>
      </c>
      <c r="C2" s="2" t="inlineStr">
        <is>
          <t>Receita bruta em 12 meses, de (R$)</t>
        </is>
      </c>
      <c r="D2" s="2" t="inlineStr">
        <is>
          <t>Até (R$)</t>
        </is>
      </c>
      <c r="E2" s="2" t="inlineStr">
        <is>
          <t>Alíquota nominal</t>
        </is>
      </c>
      <c r="F2" s="2" t="inlineStr">
        <is>
          <t>Parcela a deduzir (R$)</t>
        </is>
      </c>
      <c r="G2" s="2" t="inlineStr">
        <is>
          <t>Alíquota efetiva no teto da faixa</t>
        </is>
      </c>
    </row>
    <row r="3">
      <c r="A3" s="3" t="inlineStr">
        <is>
          <t>I</t>
        </is>
      </c>
      <c r="B3" s="4" t="n">
        <v>1</v>
      </c>
      <c r="C3" s="10" t="n">
        <v>0</v>
      </c>
      <c r="D3" s="10" t="n">
        <v>180000</v>
      </c>
      <c r="E3" s="5" t="n">
        <v>0.04</v>
      </c>
      <c r="F3" s="10" t="n">
        <v>0</v>
      </c>
      <c r="G3" s="5">
        <f>IFERROR((D3*E3-F3)/D3,"")</f>
        <v/>
      </c>
    </row>
    <row r="4">
      <c r="A4" s="3" t="inlineStr">
        <is>
          <t>I</t>
        </is>
      </c>
      <c r="B4" s="4" t="n">
        <v>2</v>
      </c>
      <c r="C4" s="10" t="n">
        <v>180000.01</v>
      </c>
      <c r="D4" s="10" t="n">
        <v>360000</v>
      </c>
      <c r="E4" s="5" t="n">
        <v>0.073</v>
      </c>
      <c r="F4" s="10" t="n">
        <v>5940</v>
      </c>
      <c r="G4" s="5">
        <f>IFERROR((D4*E4-F4)/D4,"")</f>
        <v/>
      </c>
    </row>
    <row r="5">
      <c r="A5" s="3" t="inlineStr">
        <is>
          <t>I</t>
        </is>
      </c>
      <c r="B5" s="4" t="n">
        <v>3</v>
      </c>
      <c r="C5" s="10" t="n">
        <v>360000.01</v>
      </c>
      <c r="D5" s="10" t="n">
        <v>720000</v>
      </c>
      <c r="E5" s="5" t="n">
        <v>0.095</v>
      </c>
      <c r="F5" s="10" t="n">
        <v>13860</v>
      </c>
      <c r="G5" s="5">
        <f>IFERROR((D5*E5-F5)/D5,"")</f>
        <v/>
      </c>
    </row>
    <row r="6">
      <c r="A6" s="3" t="inlineStr">
        <is>
          <t>I</t>
        </is>
      </c>
      <c r="B6" s="4" t="n">
        <v>4</v>
      </c>
      <c r="C6" s="10" t="n">
        <v>720000.01</v>
      </c>
      <c r="D6" s="10" t="n">
        <v>1800000</v>
      </c>
      <c r="E6" s="5" t="n">
        <v>0.107</v>
      </c>
      <c r="F6" s="10" t="n">
        <v>22500</v>
      </c>
      <c r="G6" s="5">
        <f>IFERROR((D6*E6-F6)/D6,"")</f>
        <v/>
      </c>
    </row>
    <row r="7">
      <c r="A7" s="3" t="inlineStr">
        <is>
          <t>I</t>
        </is>
      </c>
      <c r="B7" s="4" t="n">
        <v>5</v>
      </c>
      <c r="C7" s="10" t="n">
        <v>1800000.01</v>
      </c>
      <c r="D7" s="10" t="n">
        <v>3600000</v>
      </c>
      <c r="E7" s="5" t="n">
        <v>0.143</v>
      </c>
      <c r="F7" s="10" t="n">
        <v>87300</v>
      </c>
      <c r="G7" s="5">
        <f>IFERROR((D7*E7-F7)/D7,"")</f>
        <v/>
      </c>
    </row>
    <row r="8">
      <c r="A8" s="3" t="inlineStr">
        <is>
          <t>I</t>
        </is>
      </c>
      <c r="B8" s="4" t="n">
        <v>6</v>
      </c>
      <c r="C8" s="10" t="n">
        <v>3600000.01</v>
      </c>
      <c r="D8" s="10" t="n">
        <v>4800000</v>
      </c>
      <c r="E8" s="5" t="n">
        <v>0.19</v>
      </c>
      <c r="F8" s="10" t="n">
        <v>378000</v>
      </c>
      <c r="G8" s="5">
        <f>IFERROR((D8*E8-F8)/D8,"")</f>
        <v/>
      </c>
    </row>
    <row r="9">
      <c r="A9" s="3" t="inlineStr">
        <is>
          <t>III</t>
        </is>
      </c>
      <c r="B9" s="4" t="n">
        <v>1</v>
      </c>
      <c r="C9" s="10" t="n">
        <v>0</v>
      </c>
      <c r="D9" s="10" t="n">
        <v>180000</v>
      </c>
      <c r="E9" s="5" t="n">
        <v>0.06</v>
      </c>
      <c r="F9" s="10" t="n">
        <v>0</v>
      </c>
      <c r="G9" s="5">
        <f>IFERROR((D9*E9-F9)/D9,"")</f>
        <v/>
      </c>
    </row>
    <row r="10">
      <c r="A10" s="3" t="inlineStr">
        <is>
          <t>III</t>
        </is>
      </c>
      <c r="B10" s="4" t="n">
        <v>2</v>
      </c>
      <c r="C10" s="10" t="n">
        <v>180000.01</v>
      </c>
      <c r="D10" s="10" t="n">
        <v>360000</v>
      </c>
      <c r="E10" s="5" t="n">
        <v>0.112</v>
      </c>
      <c r="F10" s="10" t="n">
        <v>9360</v>
      </c>
      <c r="G10" s="5">
        <f>IFERROR((D10*E10-F10)/D10,"")</f>
        <v/>
      </c>
    </row>
    <row r="11">
      <c r="A11" s="3" t="inlineStr">
        <is>
          <t>III</t>
        </is>
      </c>
      <c r="B11" s="4" t="n">
        <v>3</v>
      </c>
      <c r="C11" s="10" t="n">
        <v>360000.01</v>
      </c>
      <c r="D11" s="10" t="n">
        <v>720000</v>
      </c>
      <c r="E11" s="5" t="n">
        <v>0.135</v>
      </c>
      <c r="F11" s="10" t="n">
        <v>17640</v>
      </c>
      <c r="G11" s="5">
        <f>IFERROR((D11*E11-F11)/D11,"")</f>
        <v/>
      </c>
    </row>
    <row r="12">
      <c r="A12" s="3" t="inlineStr">
        <is>
          <t>III</t>
        </is>
      </c>
      <c r="B12" s="4" t="n">
        <v>4</v>
      </c>
      <c r="C12" s="10" t="n">
        <v>720000.01</v>
      </c>
      <c r="D12" s="10" t="n">
        <v>1800000</v>
      </c>
      <c r="E12" s="5" t="n">
        <v>0.16</v>
      </c>
      <c r="F12" s="10" t="n">
        <v>35640</v>
      </c>
      <c r="G12" s="5">
        <f>IFERROR((D12*E12-F12)/D12,"")</f>
        <v/>
      </c>
    </row>
    <row r="13">
      <c r="A13" s="3" t="inlineStr">
        <is>
          <t>III</t>
        </is>
      </c>
      <c r="B13" s="4" t="n">
        <v>5</v>
      </c>
      <c r="C13" s="10" t="n">
        <v>1800000.01</v>
      </c>
      <c r="D13" s="10" t="n">
        <v>3600000</v>
      </c>
      <c r="E13" s="5" t="n">
        <v>0.21</v>
      </c>
      <c r="F13" s="10" t="n">
        <v>125640</v>
      </c>
      <c r="G13" s="5">
        <f>IFERROR((D13*E13-F13)/D13,"")</f>
        <v/>
      </c>
    </row>
    <row r="14">
      <c r="A14" s="6" t="inlineStr">
        <is>
          <t>III</t>
        </is>
      </c>
      <c r="B14" s="7" t="n">
        <v>6</v>
      </c>
      <c r="C14" s="11" t="n">
        <v>3600000.01</v>
      </c>
      <c r="D14" s="11" t="n">
        <v>4800000</v>
      </c>
      <c r="E14" s="8" t="n">
        <v>0.33</v>
      </c>
      <c r="F14" s="11" t="n">
        <v>648000</v>
      </c>
      <c r="G14" s="8">
        <f>IFERROR((D14*E14-F14)/D14,"")</f>
        <v/>
      </c>
    </row>
    <row r="15">
      <c r="A15" s="9" t="inlineStr">
        <is>
          <t>Fonte: B4, Lei Complementar 123/2006, anexos I e III (Simples Nacional, 2026)</t>
        </is>
      </c>
    </row>
    <row r="16">
      <c r="A16" s="9" t="inlineStr">
        <is>
          <t>Nota: alíquota efetiva = (receita × alíquota nominal − parcela a deduzir) ÷ receita.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4" customWidth="1" min="4" max="4"/>
    <col width="30" customWidth="1" min="5" max="5"/>
  </cols>
  <sheetData>
    <row r="1" ht="30" customHeight="1">
      <c r="A1" s="1" t="inlineStr">
        <is>
          <t>Tabela 5 – Selic e IPCA</t>
        </is>
      </c>
    </row>
    <row r="2" ht="42" customHeight="1">
      <c r="A2" s="2" t="inlineStr">
        <is>
          <t>Ano</t>
        </is>
      </c>
      <c r="B2" s="2" t="inlineStr">
        <is>
          <t>Tipo</t>
        </is>
      </c>
      <c r="C2" s="2" t="inlineStr">
        <is>
          <t>Selic meta</t>
        </is>
      </c>
      <c r="D2" s="2" t="inlineStr">
        <is>
          <t>IPCA em 12 meses</t>
        </is>
      </c>
      <c r="E2" s="2" t="inlineStr">
        <is>
          <t>Referência</t>
        </is>
      </c>
    </row>
    <row r="3">
      <c r="A3" s="3" t="inlineStr">
        <is>
          <t>2017</t>
        </is>
      </c>
      <c r="B3" s="3" t="inlineStr">
        <is>
          <t>realizado</t>
        </is>
      </c>
      <c r="C3" s="5" t="n">
        <v>0.07000000000000001</v>
      </c>
      <c r="D3" s="5" t="n">
        <v>0.0295</v>
      </c>
      <c r="E3" s="3" t="inlineStr">
        <is>
          <t>Selic 12/2017; IPCA 12/2017</t>
        </is>
      </c>
    </row>
    <row r="4">
      <c r="A4" s="3" t="inlineStr">
        <is>
          <t>2018</t>
        </is>
      </c>
      <c r="B4" s="3" t="inlineStr">
        <is>
          <t>realizado</t>
        </is>
      </c>
      <c r="C4" s="5" t="n">
        <v>0.065</v>
      </c>
      <c r="D4" s="5" t="n">
        <v>0.0375</v>
      </c>
      <c r="E4" s="3" t="inlineStr">
        <is>
          <t>Selic 12/2018; IPCA 12/2018</t>
        </is>
      </c>
    </row>
    <row r="5">
      <c r="A5" s="3" t="inlineStr">
        <is>
          <t>2019</t>
        </is>
      </c>
      <c r="B5" s="3" t="inlineStr">
        <is>
          <t>realizado</t>
        </is>
      </c>
      <c r="C5" s="5" t="n">
        <v>0.045</v>
      </c>
      <c r="D5" s="5" t="n">
        <v>0.0431</v>
      </c>
      <c r="E5" s="3" t="inlineStr">
        <is>
          <t>Selic 12/2019; IPCA 12/2019</t>
        </is>
      </c>
    </row>
    <row r="6">
      <c r="A6" s="3" t="inlineStr">
        <is>
          <t>2020</t>
        </is>
      </c>
      <c r="B6" s="3" t="inlineStr">
        <is>
          <t>realizado</t>
        </is>
      </c>
      <c r="C6" s="5" t="n">
        <v>0.02</v>
      </c>
      <c r="D6" s="5" t="n">
        <v>0.0452</v>
      </c>
      <c r="E6" s="3" t="inlineStr">
        <is>
          <t>Selic 12/2020; IPCA 12/2020</t>
        </is>
      </c>
    </row>
    <row r="7">
      <c r="A7" s="3" t="inlineStr">
        <is>
          <t>2021</t>
        </is>
      </c>
      <c r="B7" s="3" t="inlineStr">
        <is>
          <t>realizado</t>
        </is>
      </c>
      <c r="C7" s="5" t="n">
        <v>0.0925</v>
      </c>
      <c r="D7" s="5" t="n">
        <v>0.1006</v>
      </c>
      <c r="E7" s="3" t="inlineStr">
        <is>
          <t>Selic 12/2021; IPCA 12/2021</t>
        </is>
      </c>
    </row>
    <row r="8">
      <c r="A8" s="3" t="inlineStr">
        <is>
          <t>2022</t>
        </is>
      </c>
      <c r="B8" s="3" t="inlineStr">
        <is>
          <t>realizado</t>
        </is>
      </c>
      <c r="C8" s="5" t="n">
        <v>0.1375</v>
      </c>
      <c r="D8" s="5" t="n">
        <v>0.0579</v>
      </c>
      <c r="E8" s="3" t="inlineStr">
        <is>
          <t>Selic 12/2022; IPCA 12/2022</t>
        </is>
      </c>
    </row>
    <row r="9">
      <c r="A9" s="3" t="inlineStr">
        <is>
          <t>2023</t>
        </is>
      </c>
      <c r="B9" s="3" t="inlineStr">
        <is>
          <t>realizado</t>
        </is>
      </c>
      <c r="C9" s="5" t="n">
        <v>0.1175</v>
      </c>
      <c r="D9" s="5" t="n">
        <v>0.0462</v>
      </c>
      <c r="E9" s="3" t="inlineStr">
        <is>
          <t>Selic 12/2023; IPCA 12/2023</t>
        </is>
      </c>
    </row>
    <row r="10">
      <c r="A10" s="3" t="inlineStr">
        <is>
          <t>2024</t>
        </is>
      </c>
      <c r="B10" s="3" t="inlineStr">
        <is>
          <t>realizado</t>
        </is>
      </c>
      <c r="C10" s="5" t="n">
        <v>0.1225</v>
      </c>
      <c r="D10" s="5" t="n">
        <v>0.0483</v>
      </c>
      <c r="E10" s="3" t="inlineStr">
        <is>
          <t>Selic 12/2024; IPCA 12/2024</t>
        </is>
      </c>
    </row>
    <row r="11">
      <c r="A11" s="3" t="inlineStr">
        <is>
          <t>2025</t>
        </is>
      </c>
      <c r="B11" s="3" t="inlineStr">
        <is>
          <t>realizado</t>
        </is>
      </c>
      <c r="C11" s="5" t="n">
        <v>0.15</v>
      </c>
      <c r="D11" s="5" t="n">
        <v>0.0426</v>
      </c>
      <c r="E11" s="3" t="inlineStr">
        <is>
          <t>Selic 12/2025; IPCA 12/2025</t>
        </is>
      </c>
    </row>
    <row r="12">
      <c r="A12" s="3" t="inlineStr">
        <is>
          <t>2026</t>
        </is>
      </c>
      <c r="B12" s="3" t="inlineStr">
        <is>
          <t>realizado</t>
        </is>
      </c>
      <c r="C12" s="5" t="n">
        <v>0.14</v>
      </c>
      <c r="D12" s="5" t="n">
        <v>0.04219999999999999</v>
      </c>
      <c r="E12" s="3" t="inlineStr">
        <is>
          <t>Selic 09/2026; IPCA 08/2026</t>
        </is>
      </c>
    </row>
    <row r="13">
      <c r="A13" s="3" t="inlineStr">
        <is>
          <t>2026</t>
        </is>
      </c>
      <c r="B13" s="3" t="inlineStr">
        <is>
          <t>Focus (mediana)</t>
        </is>
      </c>
      <c r="C13" s="5" t="n">
        <v>0.1375</v>
      </c>
      <c r="D13" s="5" t="n">
        <v>0.049</v>
      </c>
      <c r="E13" s="3" t="inlineStr">
        <is>
          <t>11/09/2026</t>
        </is>
      </c>
    </row>
    <row r="14">
      <c r="A14" s="3" t="inlineStr">
        <is>
          <t>2027</t>
        </is>
      </c>
      <c r="B14" s="3" t="inlineStr">
        <is>
          <t>Focus (mediana)</t>
        </is>
      </c>
      <c r="C14" s="5" t="n">
        <v>0.12</v>
      </c>
      <c r="D14" s="5" t="n">
        <v>0.043</v>
      </c>
      <c r="E14" s="3" t="inlineStr">
        <is>
          <t>11/09/2026</t>
        </is>
      </c>
    </row>
    <row r="15">
      <c r="A15" s="3" t="inlineStr">
        <is>
          <t>2028</t>
        </is>
      </c>
      <c r="B15" s="3" t="inlineStr">
        <is>
          <t>Focus (mediana)</t>
        </is>
      </c>
      <c r="C15" s="5" t="n">
        <v>0.105</v>
      </c>
      <c r="D15" s="5" t="n">
        <v>0.038</v>
      </c>
      <c r="E15" s="3" t="inlineStr">
        <is>
          <t>11/09/2026</t>
        </is>
      </c>
    </row>
    <row r="16">
      <c r="A16" s="3" t="inlineStr">
        <is>
          <t>2029</t>
        </is>
      </c>
      <c r="B16" s="3" t="inlineStr">
        <is>
          <t>Focus (mediana)</t>
        </is>
      </c>
      <c r="C16" s="5" t="n">
        <v>0.1</v>
      </c>
      <c r="D16" s="5" t="n">
        <v>0.035003</v>
      </c>
      <c r="E16" s="3" t="inlineStr">
        <is>
          <t>11/09/2026</t>
        </is>
      </c>
    </row>
    <row r="17">
      <c r="A17" s="6" t="inlineStr">
        <is>
          <t>2030</t>
        </is>
      </c>
      <c r="B17" s="6" t="inlineStr">
        <is>
          <t>Focus (mediana)</t>
        </is>
      </c>
      <c r="C17" s="8" t="n">
        <v>0.1</v>
      </c>
      <c r="D17" s="8" t="n">
        <v>0.035</v>
      </c>
      <c r="E17" s="6" t="inlineStr">
        <is>
          <t>11/09/2026</t>
        </is>
      </c>
    </row>
    <row r="18">
      <c r="A18" s="9" t="inlineStr">
        <is>
          <t>Fonte: B4, Banco Central do Brasil: SGS (séries 432 e 13522) e Relatório Focus de 11/09/2026</t>
        </is>
      </c>
    </row>
    <row r="19">
      <c r="A19" s="9" t="inlineStr">
        <is>
          <t>Nota: realizado = último valor do ano (2026 até a data indicada); Focus = mediana das expectativas para o fim do ano.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30" customHeight="1">
      <c r="A1" s="1" t="inlineStr">
        <is>
          <t>Tabela 6 – IPCA em 12 meses</t>
        </is>
      </c>
    </row>
    <row r="2" ht="42" customHeight="1">
      <c r="A2" s="2" t="inlineStr">
        <is>
          <t>Mês</t>
        </is>
      </c>
      <c r="B2" s="2" t="inlineStr">
        <is>
          <t>Brasil: índice geral</t>
        </is>
      </c>
      <c r="C2" s="2" t="inlineStr">
        <is>
          <t>Brasil: alimentação fora do domicílio</t>
        </is>
      </c>
      <c r="D2" s="2" t="inlineStr">
        <is>
          <t>Salvador: índice geral</t>
        </is>
      </c>
      <c r="E2" s="2" t="inlineStr">
        <is>
          <t>Salvador: alimentação fora do domicílio</t>
        </is>
      </c>
    </row>
    <row r="3">
      <c r="A3" s="3" t="inlineStr">
        <is>
          <t>08/2024</t>
        </is>
      </c>
      <c r="B3" s="5" t="n">
        <v>0.0424</v>
      </c>
      <c r="C3" s="5" t="n">
        <v>0.0455</v>
      </c>
      <c r="D3" s="5" t="n">
        <v>0.0371</v>
      </c>
      <c r="E3" s="5" t="n">
        <v>0.0338</v>
      </c>
    </row>
    <row r="4">
      <c r="A4" s="3" t="inlineStr">
        <is>
          <t>08/2025</t>
        </is>
      </c>
      <c r="B4" s="5" t="n">
        <v>0.0513</v>
      </c>
      <c r="C4" s="5" t="n">
        <v>0.08500000000000001</v>
      </c>
      <c r="D4" s="5" t="n">
        <v>0.04940000000000001</v>
      </c>
      <c r="E4" s="5" t="n">
        <v>0.077</v>
      </c>
    </row>
    <row r="5">
      <c r="A5" s="6" t="inlineStr">
        <is>
          <t>08/2026</t>
        </is>
      </c>
      <c r="B5" s="8" t="n">
        <v>0.04219999999999999</v>
      </c>
      <c r="C5" s="8" t="n">
        <v>0.05400000000000001</v>
      </c>
      <c r="D5" s="8" t="n">
        <v>0.0364</v>
      </c>
      <c r="E5" s="8" t="n">
        <v>0.0655</v>
      </c>
    </row>
    <row r="6">
      <c r="A6" s="9" t="inlineStr">
        <is>
          <t>Fonte: B4, IBGE, IPCA (tabela 7060, variação acumulada em 12 meses)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2026-10-31T14:24:35Z</dcterms:created>
  <dcterms:modified xsi:type="dcterms:W3CDTF">2026-10-31T14:24:37Z</dcterms:modified>
</cp:coreProperties>
</file>