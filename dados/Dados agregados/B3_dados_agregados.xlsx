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Tab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000000"/>
      </top>
      <bottom style="thin">
        <color rgb="00000000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left" vertical="center" wrapText="1"/>
    </xf>
    <xf numFmtId="3" fontId="2" fillId="2" borderId="2" applyAlignment="1" pivotButton="0" quotePrefix="0" xfId="0">
      <alignment horizontal="right" vertical="center"/>
    </xf>
    <xf numFmtId="10" fontId="2" fillId="2" borderId="2" applyAlignment="1" pivotButton="0" quotePrefix="0" xfId="0">
      <alignment horizontal="right" vertical="center"/>
    </xf>
    <xf numFmtId="0" fontId="2" fillId="2" borderId="3" applyAlignment="1" pivotButton="0" quotePrefix="0" xfId="0">
      <alignment horizontal="left" vertical="center" wrapText="1"/>
    </xf>
    <xf numFmtId="3" fontId="2" fillId="2" borderId="3" applyAlignment="1" pivotButton="0" quotePrefix="0" xfId="0">
      <alignment horizontal="right" vertical="center"/>
    </xf>
    <xf numFmtId="10" fontId="2" fillId="2" borderId="3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top"/>
    </xf>
    <xf numFmtId="4" fontId="2" fillId="2" borderId="2" applyAlignment="1" pivotButton="0" quotePrefix="0" xfId="0">
      <alignment horizontal="right" vertical="center"/>
    </xf>
    <xf numFmtId="4" fontId="2" fillId="2" borderId="3" applyAlignment="1" pivotButton="0" quotePrefix="0" xfId="0">
      <alignment horizontal="right" vertical="center"/>
    </xf>
    <xf numFmtId="0" fontId="1" fillId="2" borderId="0" applyAlignment="1" pivotButton="0" quotePrefix="0" xfId="0">
      <alignment horizontal="left"/>
    </xf>
    <xf numFmtId="0" fontId="2" fillId="2" borderId="2" applyAlignment="1" pivotButton="0" quotePrefix="0" xfId="0">
      <alignment horizontal="left"/>
    </xf>
    <xf numFmtId="4" fontId="2" fillId="2" borderId="2" applyAlignment="1" pivotButton="0" quotePrefix="0" xfId="0">
      <alignment horizontal="right"/>
    </xf>
    <xf numFmtId="3" fontId="2" fillId="2" borderId="2" applyAlignment="1" pivotButton="0" quotePrefix="0" xfId="0">
      <alignment horizontal="right"/>
    </xf>
    <xf numFmtId="10" fontId="2" fillId="2" borderId="2" applyAlignment="1" pivotButton="0" quotePrefix="0" xfId="0">
      <alignment horizontal="right"/>
    </xf>
    <xf numFmtId="0" fontId="2" fillId="2" borderId="3" applyAlignment="1" pivotButton="0" quotePrefix="0" xfId="0">
      <alignment horizontal="left"/>
    </xf>
    <xf numFmtId="4" fontId="2" fillId="2" borderId="3" applyAlignment="1" pivotButton="0" quotePrefix="0" xfId="0">
      <alignment horizontal="right"/>
    </xf>
    <xf numFmtId="3" fontId="2" fillId="2" borderId="3" applyAlignment="1" pivotButton="0" quotePrefix="0" xfId="0">
      <alignment horizontal="right"/>
    </xf>
    <xf numFmtId="10" fontId="2" fillId="2" borderId="3" applyAlignment="1" pivotButton="0" quotePrefix="0" xfId="0">
      <alignment horizontal="right"/>
    </xf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905500" cy="363844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 1'!A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70" customWidth="1" min="3" max="3"/>
  </cols>
  <sheetData>
    <row r="1">
      <c r="A1" s="22" t="inlineStr">
        <is>
          <t>Dados agregados do B3 (contagem direta) – TCC Luderia</t>
        </is>
      </c>
      <c r="B1" s="22" t="n"/>
      <c r="C1" s="22" t="n"/>
    </row>
    <row r="2">
      <c r="A2" s="23" t="inlineStr">
        <is>
          <t>Aba</t>
        </is>
      </c>
      <c r="B2" s="23" t="inlineStr">
        <is>
          <t>Tabela</t>
        </is>
      </c>
      <c r="C2" s="23" t="inlineStr">
        <is>
          <t>Fonte</t>
        </is>
      </c>
    </row>
    <row r="3">
      <c r="A3" s="6" t="inlineStr">
        <is>
          <t>Tab 1</t>
        </is>
      </c>
      <c r="B3" s="6" t="inlineStr">
        <is>
          <t>Tabela 1 – Contagem direta na São Jogue</t>
        </is>
      </c>
      <c r="C3" s="6" t="inlineStr">
        <is>
          <t>B3, contagem direta nas unidades da São Jogue (app de observação, 10/10, 16/10 e 17/10/2026)</t>
        </is>
      </c>
    </row>
    <row r="5">
      <c r="A5" s="21" t="inlineStr">
        <is>
          <t>Gráficos em PNG de 300 dpi em dados/Dados agregados/graficos/. Gerado por _src/extras/gerar_planilha_agregada.py.</t>
        </is>
      </c>
    </row>
  </sheetData>
  <mergeCells count="1">
    <mergeCell ref="A1:C1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1" t="inlineStr">
        <is>
          <t>Tabela 1 – Contagem direta na São Jogue</t>
        </is>
      </c>
    </row>
    <row r="2" ht="42" customHeight="1">
      <c r="A2" s="2" t="inlineStr">
        <is>
          <t>Medida</t>
        </is>
      </c>
      <c r="B2" s="2" t="inlineStr">
        <is>
          <t>10/10 Bela Vista</t>
        </is>
      </c>
      <c r="C2" s="2" t="inlineStr">
        <is>
          <t>16/10 Bela Vista</t>
        </is>
      </c>
      <c r="D2" s="2" t="inlineStr">
        <is>
          <t>17/10 Paralela</t>
        </is>
      </c>
    </row>
    <row r="3">
      <c r="A3" s="3" t="inlineStr">
        <is>
          <t>Horas observadas</t>
        </is>
      </c>
      <c r="B3" s="10" t="n">
        <v>3.32</v>
      </c>
      <c r="C3" s="10" t="n">
        <v>2.48</v>
      </c>
      <c r="D3" s="10" t="n">
        <v>2.47</v>
      </c>
    </row>
    <row r="4">
      <c r="A4" s="3" t="inlineStr">
        <is>
          <t>Grupos que entraram (porta)</t>
        </is>
      </c>
      <c r="B4" s="4" t="n">
        <v>14</v>
      </c>
      <c r="C4" s="4" t="n">
        <v>4</v>
      </c>
      <c r="D4" s="4" t="n">
        <v>3</v>
      </c>
    </row>
    <row r="5">
      <c r="A5" s="3" t="inlineStr">
        <is>
          <t>Pessoas que entraram</t>
        </is>
      </c>
      <c r="B5" s="4" t="n">
        <v>38</v>
      </c>
      <c r="C5" s="4" t="n">
        <v>10</v>
      </c>
      <c r="D5" s="4" t="n">
        <v>13</v>
      </c>
    </row>
    <row r="6">
      <c r="A6" s="3" t="inlineStr">
        <is>
          <t>Pessoas por hora</t>
        </is>
      </c>
      <c r="B6" s="10">
        <f>IFERROR(B5/B3,"")</f>
        <v/>
      </c>
      <c r="C6" s="10">
        <f>IFERROR(C5/C3,"")</f>
        <v/>
      </c>
      <c r="D6" s="10">
        <f>IFERROR(D5/D3,"")</f>
        <v/>
      </c>
    </row>
    <row r="7">
      <c r="A7" s="3" t="inlineStr">
        <is>
          <t>Pessoas por grupo (porta)</t>
        </is>
      </c>
      <c r="B7" s="10">
        <f>IFERROR(B5/B4,"")</f>
        <v/>
      </c>
      <c r="C7" s="10">
        <f>IFERROR(C5/C4,"")</f>
        <v/>
      </c>
      <c r="D7" s="10">
        <f>IFERROR(D5/D4,"")</f>
        <v/>
      </c>
    </row>
    <row r="8">
      <c r="A8" s="3" t="inlineStr">
        <is>
          <t>Permanência média pela porta (min)</t>
        </is>
      </c>
      <c r="B8" s="10" t="n">
        <v>99.40000000000001</v>
      </c>
      <c r="C8" s="10" t="n">
        <v>61.8</v>
      </c>
      <c r="D8" s="10" t="n">
        <v>53.3</v>
      </c>
    </row>
    <row r="9">
      <c r="A9" s="3" t="inlineStr">
        <is>
          <t>Grupos acompanhados na mesa</t>
        </is>
      </c>
      <c r="B9" s="4" t="n">
        <v>9</v>
      </c>
      <c r="C9" s="4" t="n">
        <v>7</v>
      </c>
      <c r="D9" s="4" t="n">
        <v>4</v>
      </c>
    </row>
    <row r="10">
      <c r="A10" s="3" t="inlineStr">
        <is>
          <t>Pessoas nas mesas</t>
        </is>
      </c>
      <c r="B10" s="4" t="n">
        <v>41</v>
      </c>
      <c r="C10" s="4" t="n">
        <v>17</v>
      </c>
      <c r="D10" s="4" t="n">
        <v>12</v>
      </c>
    </row>
    <row r="11">
      <c r="A11" s="3" t="inlineStr">
        <is>
          <t>Pessoas por grupo (mesa)</t>
        </is>
      </c>
      <c r="B11" s="10">
        <f>IFERROR(B10/B9,"")</f>
        <v/>
      </c>
      <c r="C11" s="10">
        <f>IFERROR(C10/C9,"")</f>
        <v/>
      </c>
      <c r="D11" s="10">
        <f>IFERROR(D10/D9,"")</f>
        <v/>
      </c>
    </row>
    <row r="12">
      <c r="A12" s="3" t="inlineStr">
        <is>
          <t>Permanência média na mesa (min)</t>
        </is>
      </c>
      <c r="B12" s="10" t="n">
        <v>116.2</v>
      </c>
      <c r="C12" s="10" t="n">
        <v>82.90000000000001</v>
      </c>
      <c r="D12" s="10" t="n">
        <v>99.5</v>
      </c>
    </row>
    <row r="13">
      <c r="A13" s="6" t="inlineStr">
        <is>
          <t>Permanência mediana na mesa (min)</t>
        </is>
      </c>
      <c r="B13" s="11" t="n">
        <v>121</v>
      </c>
      <c r="C13" s="11" t="n">
        <v>95</v>
      </c>
      <c r="D13" s="11" t="n">
        <v>91.5</v>
      </c>
    </row>
    <row r="14">
      <c r="A14" s="9" t="inlineStr">
        <is>
          <t>Fonte: B3, contagem direta nas unidades da São Jogue (app de observação, 10/10, 16/10 e 17/10/2026)</t>
        </is>
      </c>
    </row>
    <row r="15">
      <c r="A15" s="9" t="inlineStr">
        <is>
          <t>Nota: visitas de cerca de 3 h, do lado de fora; 10/10 só com o POV1.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2026-10-30T21:31:32Z</dcterms:created>
  <dcterms:modified xmlns:dcterms="http://purl.org/dc/terms/" xmlns:xsi="http://www.w3.org/2001/XMLSchema-instance" xsi:type="dcterms:W3CDTF">2026-10-30T21:31:36Z</dcterms:modified>
</cp:coreProperties>
</file>