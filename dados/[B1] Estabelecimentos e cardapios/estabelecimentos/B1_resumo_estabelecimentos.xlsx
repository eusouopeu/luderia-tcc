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elecimentos" sheetId="1" state="visible" r:id="rId1"/>
    <sheet name="por_capital" sheetId="2" state="visible" r:id="rId2"/>
    <sheet name="cesta" sheetId="3" state="visible" r:id="rId3"/>
    <sheet name="dicionario" sheetId="4" state="visible" r:id="rId4"/>
  </sheets>
  <definedNames>
    <definedName name="_xlnm._FilterDatabase" localSheetId="0" hidden="1">'estabelecimentos'!$A$1:$AP$55</definedName>
    <definedName name="_xlnm._FilterDatabase" localSheetId="1" hidden="1">'por_capital'!$A$1:$I$16</definedName>
    <definedName name="_xlnm._FilterDatabase" localSheetId="2" hidden="1">'cesta'!$A$1:$W$43</definedName>
    <definedName name="_xlnm._FilterDatabase" localSheetId="3" hidden="1">'dicionario'!$A$1:$E$59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0.0"/>
    <numFmt numFmtId="166" formatCode="#,##0.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DE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6" fontId="1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2" customWidth="1" min="4" max="4"/>
    <col width="40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4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place_id</t>
        </is>
      </c>
      <c r="B1" s="1" t="inlineStr">
        <is>
          <t>nome</t>
        </is>
      </c>
      <c r="C1" s="1" t="inlineStr">
        <is>
          <t>capital_endereco</t>
        </is>
      </c>
      <c r="D1" s="1" t="inlineStr">
        <is>
          <t>origem</t>
        </is>
      </c>
      <c r="E1" s="2" t="inlineStr">
        <is>
          <t>endereco</t>
        </is>
      </c>
      <c r="F1" s="2" t="inlineStr">
        <is>
          <t>avaliacao_media</t>
        </is>
      </c>
      <c r="G1" s="2" t="inlineStr">
        <is>
          <t>volume_avaliacoes</t>
        </is>
      </c>
      <c r="H1" s="2" t="inlineStr">
        <is>
          <t>link_google_maps</t>
        </is>
      </c>
      <c r="I1" s="3" t="inlineStr">
        <is>
          <t>dias_abertos</t>
        </is>
      </c>
      <c r="J1" s="3" t="inlineStr">
        <is>
          <t>horas_semana</t>
        </is>
      </c>
      <c r="K1" s="3" t="inlineStr">
        <is>
          <t>abre_cedo</t>
        </is>
      </c>
      <c r="L1" s="3" t="inlineStr">
        <is>
          <t>fecha_tarde</t>
        </is>
      </c>
      <c r="M1" s="3" t="inlineStr">
        <is>
          <t>segunda</t>
        </is>
      </c>
      <c r="N1" s="3" t="inlineStr">
        <is>
          <t>terca</t>
        </is>
      </c>
      <c r="O1" s="3" t="inlineStr">
        <is>
          <t>quarta</t>
        </is>
      </c>
      <c r="P1" s="3" t="inlineStr">
        <is>
          <t>quinta</t>
        </is>
      </c>
      <c r="Q1" s="3" t="inlineStr">
        <is>
          <t>sexta</t>
        </is>
      </c>
      <c r="R1" s="3" t="inlineStr">
        <is>
          <t>sabado</t>
        </is>
      </c>
      <c r="S1" s="3" t="inlineStr">
        <is>
          <t>domingo</t>
        </is>
      </c>
      <c r="T1" s="4" t="inlineStr">
        <is>
          <t>metro_500m</t>
        </is>
      </c>
      <c r="U1" s="4" t="inlineStr">
        <is>
          <t>metro_1000m</t>
        </is>
      </c>
      <c r="V1" s="4" t="inlineStr">
        <is>
          <t>dist_metro_m</t>
        </is>
      </c>
      <c r="W1" s="4" t="inlineStr">
        <is>
          <t>shopping_porte_500m</t>
        </is>
      </c>
      <c r="X1" s="4" t="inlineStr">
        <is>
          <t>shopping_porte_1000m</t>
        </is>
      </c>
      <c r="Y1" s="4" t="inlineStr">
        <is>
          <t>dist_shopping_m</t>
        </is>
      </c>
      <c r="Z1" s="5" t="inlineStr">
        <is>
          <t>perfil_instagram</t>
        </is>
      </c>
      <c r="AA1" s="5" t="inlineStr">
        <is>
          <t>seguidores</t>
        </is>
      </c>
      <c r="AB1" s="5" t="inlineStr">
        <is>
          <t>n_posts_total</t>
        </is>
      </c>
      <c r="AC1" s="5" t="inlineStr">
        <is>
          <t>primeiro_post</t>
        </is>
      </c>
      <c r="AD1" s="5" t="inlineStr">
        <is>
          <t>n_posts_periodo</t>
        </is>
      </c>
      <c r="AE1" s="5" t="inlineStr">
        <is>
          <t>curtidas_periodo</t>
        </is>
      </c>
      <c r="AF1" s="5" t="inlineStr">
        <is>
          <t>comentarios_periodo</t>
        </is>
      </c>
      <c r="AG1" s="5" t="inlineStr">
        <is>
          <t>obs_instagram</t>
        </is>
      </c>
      <c r="AH1" s="6" t="inlineStr">
        <is>
          <t>itens_com_preco</t>
        </is>
      </c>
      <c r="AI1" s="6" t="inlineStr">
        <is>
          <t>couvert_no_cardapio</t>
        </is>
      </c>
      <c r="AJ1" s="6" t="inlineStr">
        <is>
          <t>cesta_baixa</t>
        </is>
      </c>
      <c r="AK1" s="6" t="inlineStr">
        <is>
          <t>cesta_mediana</t>
        </is>
      </c>
      <c r="AL1" s="6" t="inlineStr">
        <is>
          <t>cesta_alta</t>
        </is>
      </c>
      <c r="AM1" s="7" t="inlineStr">
        <is>
          <t>titulos_acervo</t>
        </is>
      </c>
      <c r="AN1" s="7" t="inlineStr">
        <is>
          <t>fonte_acervo</t>
        </is>
      </c>
      <c r="AO1" s="8" t="inlineStr">
        <is>
          <t>avaliacoes_b2</t>
        </is>
      </c>
      <c r="AP1" s="8" t="inlineStr">
        <is>
          <t>avaliacoes_b2_com_texto</t>
        </is>
      </c>
    </row>
    <row r="2">
      <c r="A2" s="9" t="inlineStr">
        <is>
          <t>ChIJRcWOaPabpgARDvX2Bad0qb0</t>
        </is>
      </c>
      <c r="B2" s="9" t="inlineStr">
        <is>
          <t>Bardo Mago</t>
        </is>
      </c>
      <c r="C2" s="9" t="inlineStr">
        <is>
          <t>Belo Horizonte</t>
        </is>
      </c>
      <c r="D2" s="9" t="inlineStr">
        <is>
          <t>acervodejogos</t>
        </is>
      </c>
      <c r="E2" s="9" t="inlineStr">
        <is>
          <t>Av. Petrolina, 883 - Horto Florestal, Belo Horizonte - MG, 31030-370</t>
        </is>
      </c>
      <c r="F2" s="10" t="n">
        <v>4.8</v>
      </c>
      <c r="G2" s="11" t="n">
        <v>823</v>
      </c>
      <c r="H2" s="9" t="inlineStr">
        <is>
          <t>https://maps.google.com/?cid=13666582804940911886</t>
        </is>
      </c>
      <c r="I2" s="9" t="n">
        <v>5</v>
      </c>
      <c r="J2" s="9" t="n">
        <v>37</v>
      </c>
      <c r="K2" s="9" t="inlineStr">
        <is>
          <t>13:00</t>
        </is>
      </c>
      <c r="L2" s="9" t="inlineStr">
        <is>
          <t>24:00</t>
        </is>
      </c>
      <c r="M2" s="9" t="n"/>
      <c r="N2" s="9" t="n"/>
      <c r="O2" s="9" t="inlineStr">
        <is>
          <t>18:00-00:00</t>
        </is>
      </c>
      <c r="P2" s="9" t="inlineStr">
        <is>
          <t>18:00-00:00</t>
        </is>
      </c>
      <c r="Q2" s="9" t="inlineStr">
        <is>
          <t>18:00-00:00</t>
        </is>
      </c>
      <c r="R2" s="9" t="inlineStr">
        <is>
          <t>14:00-00:00</t>
        </is>
      </c>
      <c r="S2" s="9" t="inlineStr">
        <is>
          <t>13:00-22:00</t>
        </is>
      </c>
      <c r="T2" s="9" t="n">
        <v>1</v>
      </c>
      <c r="U2" s="9" t="n">
        <v>1</v>
      </c>
      <c r="V2" s="9" t="n">
        <v>307</v>
      </c>
      <c r="W2" s="9" t="n"/>
      <c r="X2" s="9" t="n"/>
      <c r="Y2" s="9" t="n">
        <v>723</v>
      </c>
      <c r="Z2" s="9" t="inlineStr">
        <is>
          <t>bardo.mago</t>
        </is>
      </c>
      <c r="AA2" s="11" t="n"/>
      <c r="AB2" s="11" t="n">
        <v>616</v>
      </c>
      <c r="AC2" s="9" t="inlineStr">
        <is>
          <t>2024-05-15</t>
        </is>
      </c>
      <c r="AD2" s="9" t="n">
        <v>31</v>
      </c>
      <c r="AE2" s="11" t="n">
        <v>8610</v>
      </c>
      <c r="AF2" s="11" t="n">
        <v>288</v>
      </c>
      <c r="AG2" s="9" t="inlineStr">
        <is>
          <t>1 de 616 posts não carregou; o primeiro post pode ser anterior</t>
        </is>
      </c>
      <c r="AH2" s="9" t="n">
        <v>110</v>
      </c>
      <c r="AI2" s="9" t="inlineStr">
        <is>
          <t>não encontrado</t>
        </is>
      </c>
      <c r="AJ2" s="12">
        <f>IFERROR(INDEX(cesta!$O$2:$O$43,MATCH($A2,cesta!$A$2:$A$43,0)),"")</f>
        <v/>
      </c>
      <c r="AK2" s="12">
        <f>IFERROR(INDEX(cesta!$P$2:$P$43,MATCH($A2,cesta!$A$2:$A$43,0)),"")</f>
        <v/>
      </c>
      <c r="AL2" s="12">
        <f>IFERROR(INDEX(cesta!$Q$2:$Q$43,MATCH($A2,cesta!$A$2:$A$43,0)),"")</f>
        <v/>
      </c>
      <c r="AM2" s="9" t="n">
        <v>588</v>
      </c>
      <c r="AN2" s="9" t="inlineStr">
        <is>
          <t>acervodejogos</t>
        </is>
      </c>
      <c r="AO2" s="9" t="n"/>
      <c r="AP2" s="9" t="n"/>
    </row>
    <row r="3">
      <c r="A3" s="9" t="inlineStr">
        <is>
          <t>ChIJpzB8zc2XpgARoJTUu90J6Pw</t>
        </is>
      </c>
      <c r="B3" s="9" t="inlineStr">
        <is>
          <t>Comdado Bar e Jogos</t>
        </is>
      </c>
      <c r="C3" s="9" t="inlineStr">
        <is>
          <t>Belo Horizonte</t>
        </is>
      </c>
      <c r="D3" s="9" t="inlineStr">
        <is>
          <t>triagem manual</t>
        </is>
      </c>
      <c r="E3" s="9" t="inlineStr">
        <is>
          <t>Av. Amazonas, 2310 - Santo Agostinho, Belo Horizonte - MG, 30180-012, Brazil</t>
        </is>
      </c>
      <c r="F3" s="10" t="n">
        <v>4.4</v>
      </c>
      <c r="G3" s="11" t="n">
        <v>158</v>
      </c>
      <c r="H3" s="9" t="inlineStr">
        <is>
          <t>https://maps.google.com/?cid=18223826740098405536&amp;g_mp=CiVnb29nbGUubWFwcy5wbGFjZXMudjEuUGxhY2VzLkdldFBsYWNlEAIYBCAA</t>
        </is>
      </c>
      <c r="I3" s="9" t="n">
        <v>5</v>
      </c>
      <c r="J3" s="9" t="n">
        <v>45</v>
      </c>
      <c r="K3" s="9" t="inlineStr">
        <is>
          <t>12:00</t>
        </is>
      </c>
      <c r="L3" s="9" t="inlineStr">
        <is>
          <t>25:00</t>
        </is>
      </c>
      <c r="M3" s="9" t="n"/>
      <c r="N3" s="9" t="n"/>
      <c r="O3" s="9" t="inlineStr">
        <is>
          <t>17:00-00:00</t>
        </is>
      </c>
      <c r="P3" s="9" t="inlineStr">
        <is>
          <t>17:00-00:00</t>
        </is>
      </c>
      <c r="Q3" s="9" t="inlineStr">
        <is>
          <t>17:00-01:00</t>
        </is>
      </c>
      <c r="R3" s="9" t="inlineStr">
        <is>
          <t>12:00-01:00</t>
        </is>
      </c>
      <c r="S3" s="9" t="inlineStr">
        <is>
          <t>12:00-22:00</t>
        </is>
      </c>
      <c r="T3" s="9" t="n">
        <v>0</v>
      </c>
      <c r="U3" s="9" t="n">
        <v>0</v>
      </c>
      <c r="V3" s="9" t="n"/>
      <c r="W3" s="9" t="n"/>
      <c r="X3" s="9" t="n"/>
      <c r="Y3" s="9" t="n">
        <v>105</v>
      </c>
      <c r="Z3" s="9" t="inlineStr">
        <is>
          <t>comdadobar</t>
        </is>
      </c>
      <c r="AA3" s="11" t="n">
        <v>10671</v>
      </c>
      <c r="AB3" s="11" t="n">
        <v>190</v>
      </c>
      <c r="AC3" s="9" t="inlineStr">
        <is>
          <t>2022-10-22</t>
        </is>
      </c>
      <c r="AD3" s="9" t="n">
        <v>2</v>
      </c>
      <c r="AE3" s="11" t="n">
        <v>100</v>
      </c>
      <c r="AF3" s="11" t="n">
        <v>4</v>
      </c>
      <c r="AG3" s="9" t="n"/>
      <c r="AH3" s="9" t="n">
        <v>55</v>
      </c>
      <c r="AI3" s="9" t="inlineStr">
        <is>
          <t>sim</t>
        </is>
      </c>
      <c r="AJ3" s="12">
        <f>IFERROR(INDEX(cesta!$O$2:$O$43,MATCH($A3,cesta!$A$2:$A$43,0)),"")</f>
        <v/>
      </c>
      <c r="AK3" s="12">
        <f>IFERROR(INDEX(cesta!$P$2:$P$43,MATCH($A3,cesta!$A$2:$A$43,0)),"")</f>
        <v/>
      </c>
      <c r="AL3" s="12">
        <f>IFERROR(INDEX(cesta!$Q$2:$Q$43,MATCH($A3,cesta!$A$2:$A$43,0)),"")</f>
        <v/>
      </c>
      <c r="AM3" s="9" t="n">
        <v>190</v>
      </c>
      <c r="AN3" s="9" t="inlineStr">
        <is>
          <t>acervodejogos</t>
        </is>
      </c>
      <c r="AO3" s="9" t="n">
        <v>12</v>
      </c>
      <c r="AP3" s="9" t="n">
        <v>6</v>
      </c>
    </row>
    <row r="4">
      <c r="A4" s="9" t="inlineStr">
        <is>
          <t>ChIJsUAT-dObpgARCT2C5QpnVKU</t>
        </is>
      </c>
      <c r="B4" s="9" t="inlineStr">
        <is>
          <t>Garagem do Nerd</t>
        </is>
      </c>
      <c r="C4" s="9" t="inlineStr">
        <is>
          <t>Belo Horizonte</t>
        </is>
      </c>
      <c r="D4" s="9" t="inlineStr">
        <is>
          <t>triagem manual</t>
        </is>
      </c>
      <c r="E4" s="9" t="inlineStr">
        <is>
          <t>R. Padre Júlio Maria, 93 - Vera Cruz, Belo Horizonte - MG, 30285-360, Brazil</t>
        </is>
      </c>
      <c r="F4" s="10" t="n">
        <v>4.9</v>
      </c>
      <c r="G4" s="11" t="n">
        <v>244</v>
      </c>
      <c r="H4" s="9" t="inlineStr">
        <is>
          <t>https://maps.google.com/?cid=11913260210799656201&amp;g_mp=CiVnb29nbGUubWFwcy5wbGFjZXMudjEuUGxhY2VzLkdldFBsYWNlEAIYBCAA</t>
        </is>
      </c>
      <c r="I4" s="9" t="n">
        <v>5</v>
      </c>
      <c r="J4" s="9" t="n">
        <v>34</v>
      </c>
      <c r="K4" s="9" t="inlineStr">
        <is>
          <t>13:00</t>
        </is>
      </c>
      <c r="L4" s="9" t="inlineStr">
        <is>
          <t>25:00</t>
        </is>
      </c>
      <c r="M4" s="9" t="n"/>
      <c r="N4" s="9" t="inlineStr">
        <is>
          <t>18:00-01:00</t>
        </is>
      </c>
      <c r="O4" s="9" t="inlineStr">
        <is>
          <t>18:00-01:00</t>
        </is>
      </c>
      <c r="P4" s="9" t="inlineStr">
        <is>
          <t>18:00-01:00</t>
        </is>
      </c>
      <c r="Q4" s="9" t="inlineStr">
        <is>
          <t>18:00-01:00</t>
        </is>
      </c>
      <c r="R4" s="9" t="inlineStr">
        <is>
          <t>13:00-19:00</t>
        </is>
      </c>
      <c r="S4" s="9" t="n"/>
      <c r="T4" s="9" t="n">
        <v>0</v>
      </c>
      <c r="U4" s="9" t="n">
        <v>0</v>
      </c>
      <c r="V4" s="9" t="n"/>
      <c r="W4" s="9" t="n"/>
      <c r="X4" s="9" t="n"/>
      <c r="Y4" s="9" t="n">
        <v>754</v>
      </c>
      <c r="Z4" s="9" t="inlineStr">
        <is>
          <t>garagemdonerd</t>
        </is>
      </c>
      <c r="AA4" s="11" t="n">
        <v>13420</v>
      </c>
      <c r="AB4" s="11" t="n">
        <v>3023</v>
      </c>
      <c r="AC4" s="9" t="inlineStr">
        <is>
          <t>2018-01-22</t>
        </is>
      </c>
      <c r="AD4" s="9" t="n">
        <v>30</v>
      </c>
      <c r="AE4" s="11" t="n">
        <v>529</v>
      </c>
      <c r="AF4" s="11" t="n">
        <v>10</v>
      </c>
      <c r="AG4" s="9" t="n"/>
      <c r="AH4" s="9" t="n">
        <v>1</v>
      </c>
      <c r="AI4" s="9" t="inlineStr">
        <is>
          <t>sim</t>
        </is>
      </c>
      <c r="AJ4" s="12">
        <f>IFERROR(INDEX(cesta!$O$2:$O$43,MATCH($A4,cesta!$A$2:$A$43,0)),"")</f>
        <v/>
      </c>
      <c r="AK4" s="12">
        <f>IFERROR(INDEX(cesta!$P$2:$P$43,MATCH($A4,cesta!$A$2:$A$43,0)),"")</f>
        <v/>
      </c>
      <c r="AL4" s="12">
        <f>IFERROR(INDEX(cesta!$Q$2:$Q$43,MATCH($A4,cesta!$A$2:$A$43,0)),"")</f>
        <v/>
      </c>
      <c r="AM4" s="9" t="n"/>
      <c r="AN4" s="9" t="n"/>
      <c r="AO4" s="9" t="n">
        <v>4</v>
      </c>
      <c r="AP4" s="9" t="n">
        <v>1</v>
      </c>
    </row>
    <row r="5">
      <c r="A5" s="9" t="inlineStr">
        <is>
          <t>ChIJ-17ZQDG9pgARc-AxpXmaNRU</t>
        </is>
      </c>
      <c r="B5" s="9" t="inlineStr">
        <is>
          <t>La Tabuleria</t>
        </is>
      </c>
      <c r="C5" s="9" t="inlineStr">
        <is>
          <t>Belo Horizonte</t>
        </is>
      </c>
      <c r="D5" s="9" t="inlineStr">
        <is>
          <t>acervodejogos</t>
        </is>
      </c>
      <c r="E5" s="9" t="inlineStr">
        <is>
          <t>Av. Aggeo Pio Sobrinho, 414 - Buritis, Belo Horizonte - MG, 30575-834</t>
        </is>
      </c>
      <c r="F5" s="10" t="n">
        <v>4.7</v>
      </c>
      <c r="G5" s="11" t="n">
        <v>138</v>
      </c>
      <c r="H5" s="9" t="inlineStr">
        <is>
          <t>https://maps.google.com/?cid=1528297495815381107</t>
        </is>
      </c>
      <c r="I5" s="9" t="n">
        <v>5</v>
      </c>
      <c r="J5" s="9" t="n">
        <v>42</v>
      </c>
      <c r="K5" s="9" t="inlineStr">
        <is>
          <t>15:00</t>
        </is>
      </c>
      <c r="L5" s="9" t="inlineStr">
        <is>
          <t>25:00</t>
        </is>
      </c>
      <c r="M5" s="9" t="n"/>
      <c r="N5" s="9" t="n"/>
      <c r="O5" s="9" t="inlineStr">
        <is>
          <t>16:00-00:00</t>
        </is>
      </c>
      <c r="P5" s="9" t="inlineStr">
        <is>
          <t>16:00-00:00</t>
        </is>
      </c>
      <c r="Q5" s="9" t="inlineStr">
        <is>
          <t>16:00-01:00</t>
        </is>
      </c>
      <c r="R5" s="9" t="inlineStr">
        <is>
          <t>16:00-01:00</t>
        </is>
      </c>
      <c r="S5" s="9" t="inlineStr">
        <is>
          <t>15:00-23:00</t>
        </is>
      </c>
      <c r="T5" s="9" t="n">
        <v>0</v>
      </c>
      <c r="U5" s="9" t="n">
        <v>0</v>
      </c>
      <c r="V5" s="9" t="n"/>
      <c r="W5" s="9" t="n"/>
      <c r="X5" s="9" t="n"/>
      <c r="Y5" s="9" t="n">
        <v>137</v>
      </c>
      <c r="Z5" s="9" t="inlineStr">
        <is>
          <t>latabuleria</t>
        </is>
      </c>
      <c r="AA5" s="11" t="n"/>
      <c r="AB5" s="11" t="n"/>
      <c r="AC5" s="9" t="inlineStr">
        <is>
          <t>2024-02-23</t>
        </is>
      </c>
      <c r="AD5" s="9" t="n">
        <v>8</v>
      </c>
      <c r="AE5" s="11" t="n">
        <v>140</v>
      </c>
      <c r="AF5" s="11" t="n">
        <v>1</v>
      </c>
      <c r="AG5" s="9" t="n"/>
      <c r="AH5" s="9" t="n">
        <v>90</v>
      </c>
      <c r="AI5" s="9" t="inlineStr">
        <is>
          <t>sim</t>
        </is>
      </c>
      <c r="AJ5" s="12">
        <f>IFERROR(INDEX(cesta!$O$2:$O$43,MATCH($A5,cesta!$A$2:$A$43,0)),"")</f>
        <v/>
      </c>
      <c r="AK5" s="12">
        <f>IFERROR(INDEX(cesta!$P$2:$P$43,MATCH($A5,cesta!$A$2:$A$43,0)),"")</f>
        <v/>
      </c>
      <c r="AL5" s="12">
        <f>IFERROR(INDEX(cesta!$Q$2:$Q$43,MATCH($A5,cesta!$A$2:$A$43,0)),"")</f>
        <v/>
      </c>
      <c r="AM5" s="9" t="n">
        <v>192</v>
      </c>
      <c r="AN5" s="9" t="inlineStr">
        <is>
          <t>acervodejogos</t>
        </is>
      </c>
      <c r="AO5" s="9" t="n"/>
      <c r="AP5" s="9" t="n"/>
    </row>
    <row r="6">
      <c r="A6" s="9" t="inlineStr">
        <is>
          <t>ChIJx5jr3zGXpgARQGx9eX7TDmY</t>
        </is>
      </c>
      <c r="B6" s="9" t="inlineStr">
        <is>
          <t>LudoCafé</t>
        </is>
      </c>
      <c r="C6" s="9" t="inlineStr">
        <is>
          <t>Belo Horizonte</t>
        </is>
      </c>
      <c r="D6" s="9" t="inlineStr">
        <is>
          <t>triagem manual</t>
        </is>
      </c>
      <c r="E6" s="9" t="inlineStr">
        <is>
          <t>R. Antônio Dias, 201 - Santo Antônio, Belo Horizonte - MG, 30350-150, Brazil</t>
        </is>
      </c>
      <c r="F6" s="10" t="n">
        <v>4.6</v>
      </c>
      <c r="G6" s="11" t="n">
        <v>585</v>
      </c>
      <c r="H6" s="9" t="inlineStr">
        <is>
          <t>https://maps.google.com/?cid=7354047781700201536&amp;g_mp=CiVnb29nbGUubWFwcy5wbGFjZXMudjEuUGxhY2VzLkdldFBsYWNlEAIYBCAA</t>
        </is>
      </c>
      <c r="I6" s="9" t="n">
        <v>6</v>
      </c>
      <c r="J6" s="9" t="n">
        <v>41</v>
      </c>
      <c r="K6" s="9" t="inlineStr">
        <is>
          <t>13:00</t>
        </is>
      </c>
      <c r="L6" s="9" t="inlineStr">
        <is>
          <t>24:00</t>
        </is>
      </c>
      <c r="M6" s="9" t="n"/>
      <c r="N6" s="9" t="inlineStr">
        <is>
          <t>17:00-23:00</t>
        </is>
      </c>
      <c r="O6" s="9" t="inlineStr">
        <is>
          <t>17:00-23:00</t>
        </is>
      </c>
      <c r="P6" s="9" t="inlineStr">
        <is>
          <t>17:00-23:00</t>
        </is>
      </c>
      <c r="Q6" s="9" t="inlineStr">
        <is>
          <t>17:00-00:00</t>
        </is>
      </c>
      <c r="R6" s="9" t="inlineStr">
        <is>
          <t>16:00-00:00</t>
        </is>
      </c>
      <c r="S6" s="9" t="inlineStr">
        <is>
          <t>13:00-21:00</t>
        </is>
      </c>
      <c r="T6" s="9" t="n">
        <v>0</v>
      </c>
      <c r="U6" s="9" t="n">
        <v>0</v>
      </c>
      <c r="V6" s="9" t="n"/>
      <c r="W6" s="9" t="n"/>
      <c r="X6" s="9" t="n"/>
      <c r="Y6" s="9" t="n">
        <v>391</v>
      </c>
      <c r="Z6" s="9" t="inlineStr">
        <is>
          <t>ludocafe_editora</t>
        </is>
      </c>
      <c r="AA6" s="11" t="n">
        <v>1208</v>
      </c>
      <c r="AB6" s="11" t="n">
        <v>60</v>
      </c>
      <c r="AC6" s="9" t="inlineStr">
        <is>
          <t>2022-09-01</t>
        </is>
      </c>
      <c r="AD6" s="9" t="n">
        <v>1</v>
      </c>
      <c r="AE6" s="11" t="n">
        <v>12</v>
      </c>
      <c r="AF6" s="11" t="n">
        <v>0</v>
      </c>
      <c r="AG6" s="9" t="inlineStr">
        <is>
          <t>perfil da editora; a triagem aponta @ludocafebh</t>
        </is>
      </c>
      <c r="AH6" s="9" t="n">
        <v>11</v>
      </c>
      <c r="AI6" s="9" t="inlineStr">
        <is>
          <t>sim</t>
        </is>
      </c>
      <c r="AJ6" s="12">
        <f>IFERROR(INDEX(cesta!$O$2:$O$43,MATCH($A6,cesta!$A$2:$A$43,0)),"")</f>
        <v/>
      </c>
      <c r="AK6" s="12">
        <f>IFERROR(INDEX(cesta!$P$2:$P$43,MATCH($A6,cesta!$A$2:$A$43,0)),"")</f>
        <v/>
      </c>
      <c r="AL6" s="12">
        <f>IFERROR(INDEX(cesta!$Q$2:$Q$43,MATCH($A6,cesta!$A$2:$A$43,0)),"")</f>
        <v/>
      </c>
      <c r="AM6" s="9" t="n">
        <v>362</v>
      </c>
      <c r="AN6" s="9" t="inlineStr">
        <is>
          <t>acervodejogos</t>
        </is>
      </c>
      <c r="AO6" s="9" t="n">
        <v>10</v>
      </c>
      <c r="AP6" s="9" t="n">
        <v>6</v>
      </c>
    </row>
    <row r="7">
      <c r="A7" s="9" t="inlineStr">
        <is>
          <t>ChIJ6ZLMZw-XpgAR_OR6SwY5xKo</t>
        </is>
      </c>
      <c r="B7" s="9" t="inlineStr">
        <is>
          <t>Shelf Bar e Jogos</t>
        </is>
      </c>
      <c r="C7" s="9" t="inlineStr">
        <is>
          <t>Belo Horizonte</t>
        </is>
      </c>
      <c r="D7" s="9" t="inlineStr">
        <is>
          <t>triagem manual</t>
        </is>
      </c>
      <c r="E7" s="9" t="inlineStr">
        <is>
          <t>Av. do Contorno, 7287 - Lourdes, Belo Horizonte - MG, 30110-047, Brazil</t>
        </is>
      </c>
      <c r="F7" s="10" t="n">
        <v>4.6</v>
      </c>
      <c r="G7" s="11" t="n">
        <v>1505</v>
      </c>
      <c r="H7" s="9" t="inlineStr">
        <is>
          <t>https://maps.google.com/?cid=12305022781081969916&amp;g_mp=CiVnb29nbGUubWFwcy5wbGFjZXMudjEuUGxhY2VzLkdldFBsYWNlEAIYBCAA</t>
        </is>
      </c>
      <c r="I7" s="9" t="n">
        <v>6</v>
      </c>
      <c r="J7" s="9" t="n">
        <v>56</v>
      </c>
      <c r="K7" s="9" t="inlineStr">
        <is>
          <t>15:00</t>
        </is>
      </c>
      <c r="L7" s="9" t="inlineStr">
        <is>
          <t>25:00</t>
        </is>
      </c>
      <c r="M7" s="9" t="n"/>
      <c r="N7" s="9" t="inlineStr">
        <is>
          <t>15:00-00:00</t>
        </is>
      </c>
      <c r="O7" s="9" t="inlineStr">
        <is>
          <t>15:00-00:00</t>
        </is>
      </c>
      <c r="P7" s="9" t="inlineStr">
        <is>
          <t>15:00-00:00</t>
        </is>
      </c>
      <c r="Q7" s="9" t="inlineStr">
        <is>
          <t>15:00-01:00</t>
        </is>
      </c>
      <c r="R7" s="9" t="inlineStr">
        <is>
          <t>15:00-01:00</t>
        </is>
      </c>
      <c r="S7" s="9" t="inlineStr">
        <is>
          <t>15:00-00:00</t>
        </is>
      </c>
      <c r="T7" s="9" t="n">
        <v>0</v>
      </c>
      <c r="U7" s="9" t="n">
        <v>0</v>
      </c>
      <c r="V7" s="9" t="n"/>
      <c r="W7" s="9" t="n"/>
      <c r="X7" s="9" t="n"/>
      <c r="Y7" s="9" t="n">
        <v>221</v>
      </c>
      <c r="Z7" s="9" t="inlineStr">
        <is>
          <t>shelfbar</t>
        </is>
      </c>
      <c r="AA7" s="11" t="n">
        <v>31800</v>
      </c>
      <c r="AB7" s="11" t="n">
        <v>630</v>
      </c>
      <c r="AC7" s="9" t="inlineStr">
        <is>
          <t>2024-08-22</t>
        </is>
      </c>
      <c r="AD7" s="9" t="n">
        <v>32</v>
      </c>
      <c r="AE7" s="11" t="n">
        <v>1557</v>
      </c>
      <c r="AF7" s="11" t="n">
        <v>121</v>
      </c>
      <c r="AG7" s="9" t="n"/>
      <c r="AH7" s="9" t="n">
        <v>138</v>
      </c>
      <c r="AI7" s="9" t="inlineStr">
        <is>
          <t>sim</t>
        </is>
      </c>
      <c r="AJ7" s="12">
        <f>IFERROR(INDEX(cesta!$O$2:$O$43,MATCH($A7,cesta!$A$2:$A$43,0)),"")</f>
        <v/>
      </c>
      <c r="AK7" s="12">
        <f>IFERROR(INDEX(cesta!$P$2:$P$43,MATCH($A7,cesta!$A$2:$A$43,0)),"")</f>
        <v/>
      </c>
      <c r="AL7" s="12">
        <f>IFERROR(INDEX(cesta!$Q$2:$Q$43,MATCH($A7,cesta!$A$2:$A$43,0)),"")</f>
        <v/>
      </c>
      <c r="AM7" s="9" t="n">
        <v>836</v>
      </c>
      <c r="AN7" s="9" t="inlineStr">
        <is>
          <t>acervodejogos</t>
        </is>
      </c>
      <c r="AO7" s="9" t="n">
        <v>272</v>
      </c>
      <c r="AP7" s="9" t="n">
        <v>243</v>
      </c>
    </row>
    <row r="8">
      <c r="A8" s="9" t="inlineStr">
        <is>
          <t>ChIJ-97tiEeNpJIRb_eV7a-sxBs</t>
        </is>
      </c>
      <c r="B8" s="9" t="inlineStr">
        <is>
          <t>Ludoteca Sidequest</t>
        </is>
      </c>
      <c r="C8" s="9" t="inlineStr">
        <is>
          <t>Belém</t>
        </is>
      </c>
      <c r="D8" s="9" t="inlineStr">
        <is>
          <t>triagem manual</t>
        </is>
      </c>
      <c r="E8" s="9" t="inlineStr">
        <is>
          <t>Av. Visc. de Souza Franco, 1313 - Umarizal, Belém - PA, 66053-000, Brazil</t>
        </is>
      </c>
      <c r="F8" s="10" t="n">
        <v>4.8</v>
      </c>
      <c r="G8" s="11" t="n">
        <v>327</v>
      </c>
      <c r="H8" s="9" t="inlineStr">
        <is>
          <t>https://maps.google.com/?cid=2000914006064625519&amp;g_mp=CiVnb29nbGUubWFwcy5wbGFjZXMudjEuUGxhY2VzLkdldFBsYWNlEAIYBCAA</t>
        </is>
      </c>
      <c r="I8" s="9" t="n">
        <v>5</v>
      </c>
      <c r="J8" s="9" t="n">
        <v>42</v>
      </c>
      <c r="K8" s="9" t="inlineStr">
        <is>
          <t>14:00</t>
        </is>
      </c>
      <c r="L8" s="9" t="inlineStr">
        <is>
          <t>24:00</t>
        </is>
      </c>
      <c r="M8" s="9" t="n"/>
      <c r="N8" s="9" t="n"/>
      <c r="O8" s="9" t="inlineStr">
        <is>
          <t>16:00-00:00</t>
        </is>
      </c>
      <c r="P8" s="9" t="inlineStr">
        <is>
          <t>16:00-00:00</t>
        </is>
      </c>
      <c r="Q8" s="9" t="inlineStr">
        <is>
          <t>16:00-00:00</t>
        </is>
      </c>
      <c r="R8" s="9" t="inlineStr">
        <is>
          <t>14:00-00:00</t>
        </is>
      </c>
      <c r="S8" s="9" t="inlineStr">
        <is>
          <t>14:00-22:00</t>
        </is>
      </c>
      <c r="T8" s="9" t="n">
        <v>0</v>
      </c>
      <c r="U8" s="9" t="n">
        <v>0</v>
      </c>
      <c r="V8" s="9" t="n"/>
      <c r="W8" s="9" t="n"/>
      <c r="X8" s="9" t="n"/>
      <c r="Y8" s="9" t="n">
        <v>52</v>
      </c>
      <c r="Z8" s="9" t="inlineStr">
        <is>
          <t>ludotecasidequest</t>
        </is>
      </c>
      <c r="AA8" s="11" t="n">
        <v>21601</v>
      </c>
      <c r="AB8" s="11" t="n">
        <v>235</v>
      </c>
      <c r="AC8" s="9" t="inlineStr">
        <is>
          <t>2023-10-24</t>
        </is>
      </c>
      <c r="AD8" s="9" t="n">
        <v>10</v>
      </c>
      <c r="AE8" s="11" t="n">
        <v>3394</v>
      </c>
      <c r="AF8" s="11" t="n">
        <v>92</v>
      </c>
      <c r="AG8" s="9" t="n"/>
      <c r="AH8" s="9" t="n">
        <v>58</v>
      </c>
      <c r="AI8" s="9" t="inlineStr">
        <is>
          <t>sim</t>
        </is>
      </c>
      <c r="AJ8" s="12">
        <f>IFERROR(INDEX(cesta!$O$2:$O$43,MATCH($A8,cesta!$A$2:$A$43,0)),"")</f>
        <v/>
      </c>
      <c r="AK8" s="12">
        <f>IFERROR(INDEX(cesta!$P$2:$P$43,MATCH($A8,cesta!$A$2:$A$43,0)),"")</f>
        <v/>
      </c>
      <c r="AL8" s="12">
        <f>IFERROR(INDEX(cesta!$Q$2:$Q$43,MATCH($A8,cesta!$A$2:$A$43,0)),"")</f>
        <v/>
      </c>
      <c r="AM8" s="9" t="n">
        <v>468</v>
      </c>
      <c r="AN8" s="9" t="inlineStr">
        <is>
          <t>rejoy</t>
        </is>
      </c>
      <c r="AO8" s="9" t="n">
        <v>40</v>
      </c>
      <c r="AP8" s="9" t="n">
        <v>26</v>
      </c>
    </row>
    <row r="9">
      <c r="A9" s="9" t="inlineStr">
        <is>
          <t>ChIJyXjE650xWpMRJL-J6QbGkt4</t>
        </is>
      </c>
      <c r="B9" s="9" t="inlineStr">
        <is>
          <t>FORTALÚDICA - BURGERS &amp; JOGOS</t>
        </is>
      </c>
      <c r="C9" s="9" t="inlineStr">
        <is>
          <t>Brasília</t>
        </is>
      </c>
      <c r="D9" s="9" t="inlineStr">
        <is>
          <t>triagem manual</t>
        </is>
      </c>
      <c r="E9" s="9" t="inlineStr">
        <is>
          <t>Guará II QE 26 BLOCO B Lj 31 - Guará, Brasília - DF, 71060-621, Brazil</t>
        </is>
      </c>
      <c r="F9" s="10" t="n">
        <v>4.8</v>
      </c>
      <c r="G9" s="11" t="n">
        <v>105</v>
      </c>
      <c r="H9" s="9" t="inlineStr">
        <is>
          <t>https://maps.google.com/?cid=16038098956009979684&amp;g_mp=CiVnb29nbGUubWFwcy5wbGFjZXMudjEuUGxhY2VzLkdldFBsYWNlEAIYBCAA</t>
        </is>
      </c>
      <c r="I9" s="9" t="n">
        <v>7</v>
      </c>
      <c r="J9" s="9" t="n">
        <v>46</v>
      </c>
      <c r="K9" s="9" t="inlineStr">
        <is>
          <t>14:00</t>
        </is>
      </c>
      <c r="L9" s="9" t="inlineStr">
        <is>
          <t>24:00</t>
        </is>
      </c>
      <c r="M9" s="9" t="inlineStr">
        <is>
          <t>18:00-00:00</t>
        </is>
      </c>
      <c r="N9" s="9" t="inlineStr">
        <is>
          <t>18:00-00:00</t>
        </is>
      </c>
      <c r="O9" s="9" t="inlineStr">
        <is>
          <t>18:00-00:00</t>
        </is>
      </c>
      <c r="P9" s="9" t="inlineStr">
        <is>
          <t>18:00-00:00</t>
        </is>
      </c>
      <c r="Q9" s="9" t="inlineStr">
        <is>
          <t>18:00-00:00</t>
        </is>
      </c>
      <c r="R9" s="9" t="inlineStr">
        <is>
          <t>14:00-22:00</t>
        </is>
      </c>
      <c r="S9" s="9" t="inlineStr">
        <is>
          <t>14:00-22:00</t>
        </is>
      </c>
      <c r="T9" s="9" t="n">
        <v>0</v>
      </c>
      <c r="U9" s="9" t="n">
        <v>1</v>
      </c>
      <c r="V9" s="9" t="n">
        <v>768</v>
      </c>
      <c r="W9" s="9" t="n"/>
      <c r="X9" s="9" t="n"/>
      <c r="Y9" s="9" t="n">
        <v>305</v>
      </c>
      <c r="Z9" s="9" t="inlineStr">
        <is>
          <t>fortaludica</t>
        </is>
      </c>
      <c r="AA9" s="11" t="n">
        <v>2711</v>
      </c>
      <c r="AB9" s="11" t="n">
        <v>185</v>
      </c>
      <c r="AC9" s="9" t="inlineStr">
        <is>
          <t>2025-07-10</t>
        </is>
      </c>
      <c r="AD9" s="9" t="n">
        <v>9</v>
      </c>
      <c r="AE9" s="11" t="n">
        <v>86</v>
      </c>
      <c r="AF9" s="11" t="n">
        <v>11</v>
      </c>
      <c r="AG9" s="9" t="n"/>
      <c r="AH9" s="9" t="n">
        <v>51</v>
      </c>
      <c r="AI9" s="9" t="inlineStr">
        <is>
          <t>não encontrado</t>
        </is>
      </c>
      <c r="AJ9" s="12">
        <f>IFERROR(INDEX(cesta!$O$2:$O$43,MATCH($A9,cesta!$A$2:$A$43,0)),"")</f>
        <v/>
      </c>
      <c r="AK9" s="12">
        <f>IFERROR(INDEX(cesta!$P$2:$P$43,MATCH($A9,cesta!$A$2:$A$43,0)),"")</f>
        <v/>
      </c>
      <c r="AL9" s="12">
        <f>IFERROR(INDEX(cesta!$Q$2:$Q$43,MATCH($A9,cesta!$A$2:$A$43,0)),"")</f>
        <v/>
      </c>
      <c r="AM9" s="9" t="n"/>
      <c r="AN9" s="9" t="n"/>
      <c r="AO9" s="9" t="n">
        <v>23</v>
      </c>
      <c r="AP9" s="9" t="n">
        <v>15</v>
      </c>
    </row>
    <row r="10">
      <c r="A10" s="9" t="inlineStr">
        <is>
          <t>ChIJ172cu2U7WpMR-GxnGmUHCkc</t>
        </is>
      </c>
      <c r="B10" s="9" t="inlineStr">
        <is>
          <t>Gruta BSB</t>
        </is>
      </c>
      <c r="C10" s="9" t="inlineStr">
        <is>
          <t>Brasília</t>
        </is>
      </c>
      <c r="D10" s="9" t="inlineStr">
        <is>
          <t>triagem manual</t>
        </is>
      </c>
      <c r="E10" s="9" t="inlineStr">
        <is>
          <t>SHCN CLN 406 Bloco E Lj 16/22 subsolo - Asa Norte, Brasília - DF, 70847-550, Brazil</t>
        </is>
      </c>
      <c r="F10" s="10" t="n">
        <v>4.9</v>
      </c>
      <c r="G10" s="11" t="n">
        <v>112</v>
      </c>
      <c r="H10" s="9" t="inlineStr">
        <is>
          <t>https://maps.google.com/?cid=5118912057276067064&amp;g_mp=CiVnb29nbGUubWFwcy5wbGFjZXMudjEuUGxhY2VzLkdldFBsYWNlEAIYBCAA</t>
        </is>
      </c>
      <c r="I10" s="9" t="n">
        <v>5</v>
      </c>
      <c r="J10" s="9" t="n">
        <v>30</v>
      </c>
      <c r="K10" s="9" t="inlineStr">
        <is>
          <t>14:00</t>
        </is>
      </c>
      <c r="L10" s="9" t="inlineStr">
        <is>
          <t>23:00</t>
        </is>
      </c>
      <c r="M10" s="9" t="n"/>
      <c r="N10" s="9" t="inlineStr">
        <is>
          <t>17:00-23:00</t>
        </is>
      </c>
      <c r="O10" s="9" t="inlineStr">
        <is>
          <t>17:00-23:00</t>
        </is>
      </c>
      <c r="P10" s="9" t="inlineStr">
        <is>
          <t>17:00-23:00</t>
        </is>
      </c>
      <c r="Q10" s="9" t="inlineStr">
        <is>
          <t>17:00-23:00</t>
        </is>
      </c>
      <c r="R10" s="9" t="inlineStr">
        <is>
          <t>14:00-20:00</t>
        </is>
      </c>
      <c r="S10" s="9" t="n"/>
      <c r="T10" s="9" t="n">
        <v>0</v>
      </c>
      <c r="U10" s="9" t="n">
        <v>0</v>
      </c>
      <c r="V10" s="9" t="n"/>
      <c r="W10" s="9" t="n"/>
      <c r="X10" s="9" t="n"/>
      <c r="Y10" s="9" t="n">
        <v>76</v>
      </c>
      <c r="Z10" s="9" t="inlineStr">
        <is>
          <t>grutabsb</t>
        </is>
      </c>
      <c r="AA10" s="11" t="n">
        <v>7631</v>
      </c>
      <c r="AB10" s="11" t="n">
        <v>897</v>
      </c>
      <c r="AC10" s="9" t="inlineStr">
        <is>
          <t>2021-02-26</t>
        </is>
      </c>
      <c r="AD10" s="9" t="n">
        <v>17</v>
      </c>
      <c r="AE10" s="11" t="n">
        <v>450</v>
      </c>
      <c r="AF10" s="11" t="n">
        <v>9</v>
      </c>
      <c r="AG10" s="9" t="n"/>
      <c r="AH10" s="9" t="n"/>
      <c r="AI10" s="9" t="n"/>
      <c r="AJ10" s="12">
        <f>IFERROR(INDEX(cesta!$O$2:$O$43,MATCH($A10,cesta!$A$2:$A$43,0)),"")</f>
        <v/>
      </c>
      <c r="AK10" s="12">
        <f>IFERROR(INDEX(cesta!$P$2:$P$43,MATCH($A10,cesta!$A$2:$A$43,0)),"")</f>
        <v/>
      </c>
      <c r="AL10" s="12">
        <f>IFERROR(INDEX(cesta!$Q$2:$Q$43,MATCH($A10,cesta!$A$2:$A$43,0)),"")</f>
        <v/>
      </c>
      <c r="AM10" s="9" t="n"/>
      <c r="AN10" s="9" t="n"/>
      <c r="AO10" s="9" t="n">
        <v>12</v>
      </c>
      <c r="AP10" s="9" t="n">
        <v>8</v>
      </c>
    </row>
    <row r="11">
      <c r="A11" s="9" t="inlineStr">
        <is>
          <t>ChIJdUv4La46WpMRnBvNknmOqWo</t>
        </is>
      </c>
      <c r="B11" s="9" t="inlineStr">
        <is>
          <t>Inside Games</t>
        </is>
      </c>
      <c r="C11" s="9" t="inlineStr">
        <is>
          <t>Brasília</t>
        </is>
      </c>
      <c r="D11" s="9" t="inlineStr">
        <is>
          <t>triagem manual</t>
        </is>
      </c>
      <c r="E11" s="9" t="inlineStr">
        <is>
          <t>SHCS CRS 513 BL B Loja 07 - Asa Sul, Brasília - DF, 70380-520, Brazil</t>
        </is>
      </c>
      <c r="F11" s="10" t="n">
        <v>4.6</v>
      </c>
      <c r="G11" s="11" t="n">
        <v>640</v>
      </c>
      <c r="H11" s="9" t="inlineStr">
        <is>
          <t>https://maps.google.com/?cid=7685830891889564572&amp;g_mp=CiVnb29nbGUubWFwcy5wbGFjZXMudjEuUGxhY2VzLkdldFBsYWNlEAIYBCAA</t>
        </is>
      </c>
      <c r="I11" s="9" t="n">
        <v>6</v>
      </c>
      <c r="J11" s="9" t="n">
        <v>64</v>
      </c>
      <c r="K11" s="9" t="inlineStr">
        <is>
          <t>12:00</t>
        </is>
      </c>
      <c r="L11" s="9" t="inlineStr">
        <is>
          <t>24:00</t>
        </is>
      </c>
      <c r="M11" s="9" t="n"/>
      <c r="N11" s="9" t="inlineStr">
        <is>
          <t>12:00-00:00</t>
        </is>
      </c>
      <c r="O11" s="9" t="inlineStr">
        <is>
          <t>12:00-00:00</t>
        </is>
      </c>
      <c r="P11" s="9" t="inlineStr">
        <is>
          <t>12:00-00:00</t>
        </is>
      </c>
      <c r="Q11" s="9" t="inlineStr">
        <is>
          <t>12:00-00:00</t>
        </is>
      </c>
      <c r="R11" s="9" t="inlineStr">
        <is>
          <t>12:00-20:00</t>
        </is>
      </c>
      <c r="S11" s="9" t="inlineStr">
        <is>
          <t>12:00-20:00</t>
        </is>
      </c>
      <c r="T11" s="9" t="n">
        <v>0</v>
      </c>
      <c r="U11" s="9" t="n">
        <v>2</v>
      </c>
      <c r="V11" s="9" t="n">
        <v>702</v>
      </c>
      <c r="W11" s="9" t="n"/>
      <c r="X11" s="9" t="n"/>
      <c r="Y11" s="9" t="n"/>
      <c r="Z11" s="9" t="inlineStr">
        <is>
          <t>insidegamestore</t>
        </is>
      </c>
      <c r="AA11" s="11" t="n">
        <v>6058</v>
      </c>
      <c r="AB11" s="11" t="n">
        <v>2542</v>
      </c>
      <c r="AC11" s="9" t="inlineStr">
        <is>
          <t>2017-06-15</t>
        </is>
      </c>
      <c r="AD11" s="9" t="n">
        <v>39</v>
      </c>
      <c r="AE11" s="11" t="n">
        <v>193</v>
      </c>
      <c r="AF11" s="11" t="n">
        <v>2</v>
      </c>
      <c r="AG11" s="9" t="n"/>
      <c r="AH11" s="9" t="n">
        <v>24</v>
      </c>
      <c r="AI11" s="9" t="inlineStr">
        <is>
          <t>não encontrado</t>
        </is>
      </c>
      <c r="AJ11" s="12">
        <f>IFERROR(INDEX(cesta!$O$2:$O$43,MATCH($A11,cesta!$A$2:$A$43,0)),"")</f>
        <v/>
      </c>
      <c r="AK11" s="12">
        <f>IFERROR(INDEX(cesta!$P$2:$P$43,MATCH($A11,cesta!$A$2:$A$43,0)),"")</f>
        <v/>
      </c>
      <c r="AL11" s="12">
        <f>IFERROR(INDEX(cesta!$Q$2:$Q$43,MATCH($A11,cesta!$A$2:$A$43,0)),"")</f>
        <v/>
      </c>
      <c r="AM11" s="9" t="n"/>
      <c r="AN11" s="9" t="n"/>
      <c r="AO11" s="9" t="n">
        <v>12</v>
      </c>
      <c r="AP11" s="9" t="n">
        <v>6</v>
      </c>
    </row>
    <row r="12">
      <c r="A12" s="9" t="inlineStr">
        <is>
          <t>ChIJzdFNP3AyWpMRH2P6HEuhE-I</t>
        </is>
      </c>
      <c r="B12" s="9" t="inlineStr">
        <is>
          <t>Loja de Jogos - Asgard</t>
        </is>
      </c>
      <c r="C12" s="9" t="inlineStr">
        <is>
          <t>Brasília</t>
        </is>
      </c>
      <c r="D12" s="9" t="inlineStr">
        <is>
          <t>triagem manual</t>
        </is>
      </c>
      <c r="E12" s="9" t="inlineStr">
        <is>
          <t>Rua 25 Sul, Lote 30 Bloco A loja 1 - Águas Claras, Brasília - DF, 71928-720, Brazil</t>
        </is>
      </c>
      <c r="F12" s="10" t="n">
        <v>4.7</v>
      </c>
      <c r="G12" s="11" t="n">
        <v>754</v>
      </c>
      <c r="H12" s="9" t="inlineStr">
        <is>
          <t>https://maps.google.com/?cid=16290541621110006559&amp;g_mp=CiVnb29nbGUubWFwcy5wbGFjZXMudjEuUGxhY2VzLkdldFBsYWNlEAIYBCAA</t>
        </is>
      </c>
      <c r="I12" s="9" t="n">
        <v>7</v>
      </c>
      <c r="J12" s="9" t="n">
        <v>63</v>
      </c>
      <c r="K12" s="9" t="inlineStr">
        <is>
          <t>14:00</t>
        </is>
      </c>
      <c r="L12" s="9" t="inlineStr">
        <is>
          <t>23:00</t>
        </is>
      </c>
      <c r="M12" s="9" t="inlineStr">
        <is>
          <t>14:00-23:00</t>
        </is>
      </c>
      <c r="N12" s="9" t="inlineStr">
        <is>
          <t>14:00-23:00</t>
        </is>
      </c>
      <c r="O12" s="9" t="inlineStr">
        <is>
          <t>14:00-23:00</t>
        </is>
      </c>
      <c r="P12" s="9" t="inlineStr">
        <is>
          <t>14:00-23:00</t>
        </is>
      </c>
      <c r="Q12" s="9" t="inlineStr">
        <is>
          <t>14:00-23:00</t>
        </is>
      </c>
      <c r="R12" s="9" t="inlineStr">
        <is>
          <t>14:00-23:00</t>
        </is>
      </c>
      <c r="S12" s="9" t="inlineStr">
        <is>
          <t>14:00-23:00</t>
        </is>
      </c>
      <c r="T12" s="9" t="n">
        <v>1</v>
      </c>
      <c r="U12" s="9" t="n">
        <v>1</v>
      </c>
      <c r="V12" s="9" t="n">
        <v>430</v>
      </c>
      <c r="W12" s="9" t="n"/>
      <c r="X12" s="9" t="n"/>
      <c r="Y12" s="9" t="n">
        <v>169</v>
      </c>
      <c r="Z12" s="9" t="inlineStr">
        <is>
          <t>asgardbrasilia</t>
        </is>
      </c>
      <c r="AA12" s="11" t="n">
        <v>7305</v>
      </c>
      <c r="AB12" s="11" t="n">
        <v>608</v>
      </c>
      <c r="AC12" s="9" t="inlineStr">
        <is>
          <t>2017-10-06</t>
        </is>
      </c>
      <c r="AD12" s="9" t="n">
        <v>1</v>
      </c>
      <c r="AE12" s="11" t="n">
        <v>15</v>
      </c>
      <c r="AF12" s="11" t="n">
        <v>0</v>
      </c>
      <c r="AG12" s="9" t="n"/>
      <c r="AH12" s="9" t="n">
        <v>39</v>
      </c>
      <c r="AI12" s="9" t="inlineStr">
        <is>
          <t>sim</t>
        </is>
      </c>
      <c r="AJ12" s="12">
        <f>IFERROR(INDEX(cesta!$O$2:$O$43,MATCH($A12,cesta!$A$2:$A$43,0)),"")</f>
        <v/>
      </c>
      <c r="AK12" s="12">
        <f>IFERROR(INDEX(cesta!$P$2:$P$43,MATCH($A12,cesta!$A$2:$A$43,0)),"")</f>
        <v/>
      </c>
      <c r="AL12" s="12">
        <f>IFERROR(INDEX(cesta!$Q$2:$Q$43,MATCH($A12,cesta!$A$2:$A$43,0)),"")</f>
        <v/>
      </c>
      <c r="AM12" s="9" t="n">
        <v>150</v>
      </c>
      <c r="AN12" s="9" t="inlineStr">
        <is>
          <t>asgard</t>
        </is>
      </c>
      <c r="AO12" s="9" t="n">
        <v>11</v>
      </c>
      <c r="AP12" s="9" t="n">
        <v>4</v>
      </c>
    </row>
    <row r="13">
      <c r="A13" s="9" t="inlineStr">
        <is>
          <t>ChIJ15nLgwAwWpMRY1whwD29ZSo</t>
        </is>
      </c>
      <c r="B13" s="9" t="inlineStr">
        <is>
          <t>Ludoteca BGC</t>
        </is>
      </c>
      <c r="C13" s="9" t="inlineStr">
        <is>
          <t>Brasília</t>
        </is>
      </c>
      <c r="D13" s="9" t="inlineStr">
        <is>
          <t>triagem manual</t>
        </is>
      </c>
      <c r="E13" s="9" t="inlineStr">
        <is>
          <t>BLOCO C - LOJA 02 - Asa Sul, Brasília - DF, 70254-530, Brazil</t>
        </is>
      </c>
      <c r="F13" s="10" t="n">
        <v>4.7</v>
      </c>
      <c r="G13" s="11" t="n">
        <v>1379</v>
      </c>
      <c r="H13" s="9" t="inlineStr">
        <is>
          <t>https://maps.google.com/?cid=3055055995154816099&amp;g_mp=CiVnb29nbGUubWFwcy5wbGFjZXMudjEuUGxhY2VzLkdldFBsYWNlEAIYBCAA</t>
        </is>
      </c>
      <c r="I13" s="9" t="n">
        <v>6</v>
      </c>
      <c r="J13" s="9" t="n">
        <v>63</v>
      </c>
      <c r="K13" s="9" t="inlineStr">
        <is>
          <t>12:00</t>
        </is>
      </c>
      <c r="L13" s="9" t="inlineStr">
        <is>
          <t>23:30</t>
        </is>
      </c>
      <c r="M13" s="9" t="n"/>
      <c r="N13" s="9" t="inlineStr">
        <is>
          <t>12:00-22:00</t>
        </is>
      </c>
      <c r="O13" s="9" t="inlineStr">
        <is>
          <t>12:00-22:00</t>
        </is>
      </c>
      <c r="P13" s="9" t="inlineStr">
        <is>
          <t>12:00-22:00</t>
        </is>
      </c>
      <c r="Q13" s="9" t="inlineStr">
        <is>
          <t>12:00-23:30</t>
        </is>
      </c>
      <c r="R13" s="9" t="inlineStr">
        <is>
          <t>12:00-23:30</t>
        </is>
      </c>
      <c r="S13" s="9" t="inlineStr">
        <is>
          <t>12:00-22:00</t>
        </is>
      </c>
      <c r="T13" s="9" t="n">
        <v>2</v>
      </c>
      <c r="U13" s="9" t="n">
        <v>2</v>
      </c>
      <c r="V13" s="9" t="n">
        <v>465</v>
      </c>
      <c r="W13" s="9" t="n"/>
      <c r="X13" s="9" t="n"/>
      <c r="Y13" s="9" t="n">
        <v>747</v>
      </c>
      <c r="Z13" s="9" t="inlineStr">
        <is>
          <t>ludotecabgc</t>
        </is>
      </c>
      <c r="AA13" s="11" t="n">
        <v>15000</v>
      </c>
      <c r="AB13" s="11" t="n">
        <v>820</v>
      </c>
      <c r="AC13" s="9" t="inlineStr">
        <is>
          <t>2016-06-01</t>
        </is>
      </c>
      <c r="AD13" s="9" t="n">
        <v>13</v>
      </c>
      <c r="AE13" s="11" t="n">
        <v>144</v>
      </c>
      <c r="AF13" s="11" t="n">
        <v>10</v>
      </c>
      <c r="AG13" s="9" t="n"/>
      <c r="AH13" s="9" t="n">
        <v>60</v>
      </c>
      <c r="AI13" s="9" t="inlineStr">
        <is>
          <t>sim</t>
        </is>
      </c>
      <c r="AJ13" s="12">
        <f>IFERROR(INDEX(cesta!$O$2:$O$43,MATCH($A13,cesta!$A$2:$A$43,0)),"")</f>
        <v/>
      </c>
      <c r="AK13" s="12">
        <f>IFERROR(INDEX(cesta!$P$2:$P$43,MATCH($A13,cesta!$A$2:$A$43,0)),"")</f>
        <v/>
      </c>
      <c r="AL13" s="12">
        <f>IFERROR(INDEX(cesta!$Q$2:$Q$43,MATCH($A13,cesta!$A$2:$A$43,0)),"")</f>
        <v/>
      </c>
      <c r="AM13" s="9" t="n">
        <v>952</v>
      </c>
      <c r="AN13" s="9" t="inlineStr">
        <is>
          <t>acervodejogos</t>
        </is>
      </c>
      <c r="AO13" s="9" t="n">
        <v>24</v>
      </c>
      <c r="AP13" s="9" t="n">
        <v>13</v>
      </c>
    </row>
    <row r="14">
      <c r="A14" s="9" t="inlineStr">
        <is>
          <t>ChIJN8BZeb85WpMRgVKT05caxB4</t>
        </is>
      </c>
      <c r="B14" s="9" t="inlineStr">
        <is>
          <t>Utopia Games &amp; Food</t>
        </is>
      </c>
      <c r="C14" s="9" t="inlineStr">
        <is>
          <t>Brasília</t>
        </is>
      </c>
      <c r="D14" s="9" t="inlineStr">
        <is>
          <t>triagem manual</t>
        </is>
      </c>
      <c r="E14" s="9" t="inlineStr">
        <is>
          <t>SHCN CL QD 116 CLN 116 BLOCO I Lojas 31 e 35 subsolo - Asa Norte, Brasília - DF, 70773-590, Brazil</t>
        </is>
      </c>
      <c r="F14" s="10" t="n">
        <v>4.8</v>
      </c>
      <c r="G14" s="11" t="n">
        <v>159</v>
      </c>
      <c r="H14" s="9" t="inlineStr">
        <is>
          <t>https://maps.google.com/?cid=2216926155965158017&amp;g_mp=CiVnb29nbGUubWFwcy5wbGFjZXMudjEuUGxhY2VzLkdldFBsYWNlEAIYBCAA</t>
        </is>
      </c>
      <c r="I14" s="9" t="n">
        <v>6</v>
      </c>
      <c r="J14" s="9" t="n">
        <v>44</v>
      </c>
      <c r="K14" s="9" t="inlineStr">
        <is>
          <t>14:00</t>
        </is>
      </c>
      <c r="L14" s="9" t="inlineStr">
        <is>
          <t>24:00</t>
        </is>
      </c>
      <c r="M14" s="9" t="n"/>
      <c r="N14" s="9" t="inlineStr">
        <is>
          <t>17:00-00:00</t>
        </is>
      </c>
      <c r="O14" s="9" t="inlineStr">
        <is>
          <t>17:00-00:00</t>
        </is>
      </c>
      <c r="P14" s="9" t="inlineStr">
        <is>
          <t>17:00-00:00</t>
        </is>
      </c>
      <c r="Q14" s="9" t="inlineStr">
        <is>
          <t>17:00-00:00</t>
        </is>
      </c>
      <c r="R14" s="9" t="inlineStr">
        <is>
          <t>14:00-22:00</t>
        </is>
      </c>
      <c r="S14" s="9" t="inlineStr">
        <is>
          <t>14:00-22:00</t>
        </is>
      </c>
      <c r="T14" s="9" t="n">
        <v>0</v>
      </c>
      <c r="U14" s="9" t="n">
        <v>0</v>
      </c>
      <c r="V14" s="9" t="n"/>
      <c r="W14" s="9" t="n"/>
      <c r="X14" s="9" t="n"/>
      <c r="Y14" s="9" t="n">
        <v>162</v>
      </c>
      <c r="Z14" s="9" t="inlineStr">
        <is>
          <t>utopiagamesbr</t>
        </is>
      </c>
      <c r="AA14" s="11" t="n">
        <v>2824</v>
      </c>
      <c r="AB14" s="11" t="n">
        <v>208</v>
      </c>
      <c r="AC14" s="9" t="inlineStr">
        <is>
          <t>2024-02-12</t>
        </is>
      </c>
      <c r="AD14" s="9" t="n">
        <v>27</v>
      </c>
      <c r="AE14" s="11" t="n">
        <v>997</v>
      </c>
      <c r="AF14" s="11" t="n">
        <v>64</v>
      </c>
      <c r="AG14" s="9" t="n"/>
      <c r="AH14" s="9" t="n">
        <v>32</v>
      </c>
      <c r="AI14" s="9" t="inlineStr">
        <is>
          <t>não encontrado</t>
        </is>
      </c>
      <c r="AJ14" s="12">
        <f>IFERROR(INDEX(cesta!$O$2:$O$43,MATCH($A14,cesta!$A$2:$A$43,0)),"")</f>
        <v/>
      </c>
      <c r="AK14" s="12">
        <f>IFERROR(INDEX(cesta!$P$2:$P$43,MATCH($A14,cesta!$A$2:$A$43,0)),"")</f>
        <v/>
      </c>
      <c r="AL14" s="12">
        <f>IFERROR(INDEX(cesta!$Q$2:$Q$43,MATCH($A14,cesta!$A$2:$A$43,0)),"")</f>
        <v/>
      </c>
      <c r="AM14" s="9" t="n"/>
      <c r="AN14" s="9" t="n"/>
      <c r="AO14" s="9" t="n">
        <v>31</v>
      </c>
      <c r="AP14" s="9" t="n">
        <v>22</v>
      </c>
    </row>
    <row r="15">
      <c r="A15" s="9" t="inlineStr">
        <is>
          <t>ChIJ3ekLtDjl3JQRHwtNgmINgLo</t>
        </is>
      </c>
      <c r="B15" s="9" t="inlineStr">
        <is>
          <t>Alçapão Jogos</t>
        </is>
      </c>
      <c r="C15" s="9" t="inlineStr">
        <is>
          <t>Curitiba</t>
        </is>
      </c>
      <c r="D15" s="9" t="inlineStr">
        <is>
          <t>triagem manual</t>
        </is>
      </c>
      <c r="E15" s="9" t="inlineStr">
        <is>
          <t>R. Mal. Hermes, 104 - Centro Cívico, Curitiba - PR, 80530-230, Brazil</t>
        </is>
      </c>
      <c r="F15" s="10" t="n">
        <v>5</v>
      </c>
      <c r="G15" s="11" t="n">
        <v>219</v>
      </c>
      <c r="H15" s="9" t="inlineStr">
        <is>
          <t>https://maps.google.com/?cid=13438756004817603359&amp;g_mp=CiVnb29nbGUubWFwcy5wbGFjZXMudjEuUGxhY2VzLkdldFBsYWNlEAIYBCAA</t>
        </is>
      </c>
      <c r="I15" s="9" t="n">
        <v>5</v>
      </c>
      <c r="J15" s="9" t="n">
        <v>36</v>
      </c>
      <c r="K15" s="9" t="inlineStr">
        <is>
          <t>15:00</t>
        </is>
      </c>
      <c r="L15" s="9" t="inlineStr">
        <is>
          <t>24:00</t>
        </is>
      </c>
      <c r="M15" s="9" t="n"/>
      <c r="N15" s="9" t="n"/>
      <c r="O15" s="9" t="inlineStr">
        <is>
          <t>16:00-23:00</t>
        </is>
      </c>
      <c r="P15" s="9" t="inlineStr">
        <is>
          <t>16:00-23:00</t>
        </is>
      </c>
      <c r="Q15" s="9" t="inlineStr">
        <is>
          <t>16:00-00:00</t>
        </is>
      </c>
      <c r="R15" s="9" t="inlineStr">
        <is>
          <t>15:00-23:00</t>
        </is>
      </c>
      <c r="S15" s="9" t="inlineStr">
        <is>
          <t>15:00-21:00</t>
        </is>
      </c>
      <c r="T15" s="9" t="n">
        <v>0</v>
      </c>
      <c r="U15" s="9" t="n">
        <v>0</v>
      </c>
      <c r="V15" s="9" t="n"/>
      <c r="W15" s="9" t="n"/>
      <c r="X15" s="9" t="n"/>
      <c r="Y15" s="9" t="n">
        <v>770</v>
      </c>
      <c r="Z15" s="9" t="inlineStr">
        <is>
          <t>alcapaojogos</t>
        </is>
      </c>
      <c r="AA15" s="11" t="n">
        <v>13883</v>
      </c>
      <c r="AB15" s="11" t="n">
        <v>303</v>
      </c>
      <c r="AC15" s="9" t="inlineStr">
        <is>
          <t>2018-12-17</t>
        </is>
      </c>
      <c r="AD15" s="9" t="n">
        <v>3</v>
      </c>
      <c r="AE15" s="11" t="n">
        <v>67</v>
      </c>
      <c r="AF15" s="11" t="n">
        <v>5</v>
      </c>
      <c r="AG15" s="9" t="n"/>
      <c r="AH15" s="9" t="n">
        <v>26</v>
      </c>
      <c r="AI15" s="9" t="inlineStr">
        <is>
          <t>não encontrado</t>
        </is>
      </c>
      <c r="AJ15" s="12">
        <f>IFERROR(INDEX(cesta!$O$2:$O$43,MATCH($A15,cesta!$A$2:$A$43,0)),"")</f>
        <v/>
      </c>
      <c r="AK15" s="12">
        <f>IFERROR(INDEX(cesta!$P$2:$P$43,MATCH($A15,cesta!$A$2:$A$43,0)),"")</f>
        <v/>
      </c>
      <c r="AL15" s="12">
        <f>IFERROR(INDEX(cesta!$Q$2:$Q$43,MATCH($A15,cesta!$A$2:$A$43,0)),"")</f>
        <v/>
      </c>
      <c r="AM15" s="9" t="n">
        <v>270</v>
      </c>
      <c r="AN15" s="9" t="inlineStr">
        <is>
          <t>acervodejogos</t>
        </is>
      </c>
      <c r="AO15" s="9" t="n">
        <v>20</v>
      </c>
      <c r="AP15" s="9" t="n">
        <v>8</v>
      </c>
    </row>
    <row r="16">
      <c r="A16" s="9" t="inlineStr">
        <is>
          <t>ChIJY_lqHVLl3JQRvDHacOMDKuc</t>
        </is>
      </c>
      <c r="B16" s="9" t="inlineStr">
        <is>
          <t>BoardZ Game Pub</t>
        </is>
      </c>
      <c r="C16" s="9" t="inlineStr">
        <is>
          <t>Curitiba</t>
        </is>
      </c>
      <c r="D16" s="9" t="inlineStr">
        <is>
          <t>triagem manual</t>
        </is>
      </c>
      <c r="E16" s="9" t="inlineStr">
        <is>
          <t>R. Chile, 2077 - Rebouças, Curitiba - PR, 80220-181, Brazil</t>
        </is>
      </c>
      <c r="F16" s="10" t="n">
        <v>4.8</v>
      </c>
      <c r="G16" s="11" t="n">
        <v>776</v>
      </c>
      <c r="H16" s="9" t="inlineStr">
        <is>
          <t>https://maps.google.com/?cid=16657130447169008060&amp;g_mp=CiVnb29nbGUubWFwcy5wbGFjZXMudjEuUGxhY2VzLkdldFBsYWNlEAIYBCAA</t>
        </is>
      </c>
      <c r="I16" s="9" t="n">
        <v>6</v>
      </c>
      <c r="J16" s="9" t="n">
        <v>35</v>
      </c>
      <c r="K16" s="9" t="inlineStr">
        <is>
          <t>16:00</t>
        </is>
      </c>
      <c r="L16" s="9" t="inlineStr">
        <is>
          <t>24:30</t>
        </is>
      </c>
      <c r="M16" s="9" t="n"/>
      <c r="N16" s="9" t="inlineStr">
        <is>
          <t>18:00-23:00</t>
        </is>
      </c>
      <c r="O16" s="9" t="inlineStr">
        <is>
          <t>18:00-23:00</t>
        </is>
      </c>
      <c r="P16" s="9" t="inlineStr">
        <is>
          <t>18:00-23:00</t>
        </is>
      </c>
      <c r="Q16" s="9" t="inlineStr">
        <is>
          <t>18:00-00:30</t>
        </is>
      </c>
      <c r="R16" s="9" t="inlineStr">
        <is>
          <t>16:00-00:30</t>
        </is>
      </c>
      <c r="S16" s="9" t="inlineStr">
        <is>
          <t>17:00-22:00</t>
        </is>
      </c>
      <c r="T16" s="9" t="n">
        <v>0</v>
      </c>
      <c r="U16" s="9" t="n">
        <v>0</v>
      </c>
      <c r="V16" s="9" t="n"/>
      <c r="W16" s="9" t="n"/>
      <c r="X16" s="9" t="n"/>
      <c r="Y16" s="9" t="n"/>
      <c r="Z16" s="9" t="inlineStr">
        <is>
          <t>boardzgamepub</t>
        </is>
      </c>
      <c r="AA16" s="11" t="n">
        <v>18698</v>
      </c>
      <c r="AB16" s="11" t="n">
        <v>491</v>
      </c>
      <c r="AC16" s="9" t="inlineStr">
        <is>
          <t>2020-02-17</t>
        </is>
      </c>
      <c r="AD16" s="9" t="n">
        <v>2</v>
      </c>
      <c r="AE16" s="11" t="n">
        <v>237</v>
      </c>
      <c r="AF16" s="11" t="n">
        <v>22</v>
      </c>
      <c r="AG16" s="9" t="n"/>
      <c r="AH16" s="9" t="n">
        <v>91</v>
      </c>
      <c r="AI16" s="9" t="inlineStr">
        <is>
          <t>não encontrado</t>
        </is>
      </c>
      <c r="AJ16" s="12">
        <f>IFERROR(INDEX(cesta!$O$2:$O$43,MATCH($A16,cesta!$A$2:$A$43,0)),"")</f>
        <v/>
      </c>
      <c r="AK16" s="12">
        <f>IFERROR(INDEX(cesta!$P$2:$P$43,MATCH($A16,cesta!$A$2:$A$43,0)),"")</f>
        <v/>
      </c>
      <c r="AL16" s="12">
        <f>IFERROR(INDEX(cesta!$Q$2:$Q$43,MATCH($A16,cesta!$A$2:$A$43,0)),"")</f>
        <v/>
      </c>
      <c r="AM16" s="9" t="n"/>
      <c r="AN16" s="9" t="n"/>
      <c r="AO16" s="9" t="n">
        <v>37</v>
      </c>
      <c r="AP16" s="9" t="n">
        <v>24</v>
      </c>
    </row>
    <row r="17">
      <c r="A17" s="9" t="inlineStr">
        <is>
          <t>ChIJOczn8z7l3JQRNBEL_ZJ3iQo</t>
        </is>
      </c>
      <c r="B17" s="9" t="inlineStr">
        <is>
          <t>Joyjoy Café</t>
        </is>
      </c>
      <c r="C17" s="9" t="inlineStr">
        <is>
          <t>Curitiba</t>
        </is>
      </c>
      <c r="D17" s="9" t="inlineStr">
        <is>
          <t>triagem manual</t>
        </is>
      </c>
      <c r="E17" s="9" t="inlineStr">
        <is>
          <t>Av. Presidente Affonso Camargo, 1939 - Lj 02 - Cristo Rei, Curitiba - PR, 80050-370, Brazil</t>
        </is>
      </c>
      <c r="F17" s="10" t="n">
        <v>4.8</v>
      </c>
      <c r="G17" s="11" t="n">
        <v>690</v>
      </c>
      <c r="H17" s="9" t="inlineStr">
        <is>
          <t>https://maps.google.com/?cid=759269485382930740&amp;g_mp=CiVnb29nbGUubWFwcy5wbGFjZXMudjEuUGxhY2VzLkdldFBsYWNlEAIYBCAA</t>
        </is>
      </c>
      <c r="I17" s="9" t="n">
        <v>6</v>
      </c>
      <c r="J17" s="9" t="n">
        <v>37</v>
      </c>
      <c r="K17" s="9" t="inlineStr">
        <is>
          <t>14:00</t>
        </is>
      </c>
      <c r="L17" s="9" t="inlineStr">
        <is>
          <t>23:00</t>
        </is>
      </c>
      <c r="M17" s="9" t="n"/>
      <c r="N17" s="9" t="inlineStr">
        <is>
          <t>18:00-23:00</t>
        </is>
      </c>
      <c r="O17" s="9" t="inlineStr">
        <is>
          <t>18:00-23:00</t>
        </is>
      </c>
      <c r="P17" s="9" t="inlineStr">
        <is>
          <t>18:00-23:00</t>
        </is>
      </c>
      <c r="Q17" s="9" t="inlineStr">
        <is>
          <t>18:00-23:00</t>
        </is>
      </c>
      <c r="R17" s="9" t="inlineStr">
        <is>
          <t>14:00-23:00</t>
        </is>
      </c>
      <c r="S17" s="9" t="inlineStr">
        <is>
          <t>14:00-22:00</t>
        </is>
      </c>
      <c r="T17" s="9" t="n">
        <v>0</v>
      </c>
      <c r="U17" s="9" t="n">
        <v>0</v>
      </c>
      <c r="V17" s="9" t="n"/>
      <c r="W17" s="9" t="n"/>
      <c r="X17" s="9" t="n"/>
      <c r="Y17" s="9" t="n"/>
      <c r="Z17" s="9" t="inlineStr">
        <is>
          <t>joyjoycafe</t>
        </is>
      </c>
      <c r="AA17" s="11" t="n">
        <v>25555</v>
      </c>
      <c r="AB17" s="11" t="n">
        <v>627</v>
      </c>
      <c r="AC17" s="9" t="inlineStr">
        <is>
          <t>2020-02-16</t>
        </is>
      </c>
      <c r="AD17" s="9" t="n">
        <v>6</v>
      </c>
      <c r="AE17" s="11" t="n">
        <v>1721</v>
      </c>
      <c r="AF17" s="11" t="n">
        <v>114</v>
      </c>
      <c r="AG17" s="9" t="n"/>
      <c r="AH17" s="9" t="n">
        <v>2</v>
      </c>
      <c r="AI17" s="9" t="inlineStr">
        <is>
          <t>sim</t>
        </is>
      </c>
      <c r="AJ17" s="12">
        <f>IFERROR(INDEX(cesta!$O$2:$O$43,MATCH($A17,cesta!$A$2:$A$43,0)),"")</f>
        <v/>
      </c>
      <c r="AK17" s="12">
        <f>IFERROR(INDEX(cesta!$P$2:$P$43,MATCH($A17,cesta!$A$2:$A$43,0)),"")</f>
        <v/>
      </c>
      <c r="AL17" s="12">
        <f>IFERROR(INDEX(cesta!$Q$2:$Q$43,MATCH($A17,cesta!$A$2:$A$43,0)),"")</f>
        <v/>
      </c>
      <c r="AM17" s="9" t="n">
        <v>1010</v>
      </c>
      <c r="AN17" s="9" t="inlineStr">
        <is>
          <t>acervodejogos</t>
        </is>
      </c>
      <c r="AO17" s="9" t="n">
        <v>50</v>
      </c>
      <c r="AP17" s="9" t="n">
        <v>17</v>
      </c>
    </row>
    <row r="18">
      <c r="A18" s="9" t="inlineStr">
        <is>
          <t>ChIJK5Dhtunj3JQRniPWHB3haDU</t>
        </is>
      </c>
      <c r="B18" s="9" t="inlineStr">
        <is>
          <t>Paladino Hobbies</t>
        </is>
      </c>
      <c r="C18" s="9" t="inlineStr">
        <is>
          <t>Curitiba</t>
        </is>
      </c>
      <c r="D18" s="9" t="inlineStr">
        <is>
          <t>triagem manual</t>
        </is>
      </c>
      <c r="E18" s="9" t="inlineStr">
        <is>
          <t>R. Padre Anchieta, 2454 - Lj 24 - Bigorrilho, Curitiba - PR, 80730-000, Brazil</t>
        </is>
      </c>
      <c r="F18" s="10" t="n">
        <v>4.8</v>
      </c>
      <c r="G18" s="11" t="n">
        <v>188</v>
      </c>
      <c r="H18" s="9" t="inlineStr">
        <is>
          <t>https://maps.google.com/?cid=3848573396742185886&amp;g_mp=CiVnb29nbGUubWFwcy5wbGFjZXMudjEuUGxhY2VzLkdldFBsYWNlEAIYBCAA</t>
        </is>
      </c>
      <c r="I18" s="9" t="n">
        <v>4</v>
      </c>
      <c r="J18" s="9" t="n">
        <v>22</v>
      </c>
      <c r="K18" s="9" t="inlineStr">
        <is>
          <t>12:00</t>
        </is>
      </c>
      <c r="L18" s="9" t="inlineStr">
        <is>
          <t>19:00</t>
        </is>
      </c>
      <c r="M18" s="9" t="n"/>
      <c r="N18" s="9" t="n"/>
      <c r="O18" s="9" t="inlineStr">
        <is>
          <t>13:00-19:00</t>
        </is>
      </c>
      <c r="P18" s="9" t="inlineStr">
        <is>
          <t>13:00-19:00</t>
        </is>
      </c>
      <c r="Q18" s="9" t="inlineStr">
        <is>
          <t>13:00-19:00</t>
        </is>
      </c>
      <c r="R18" s="9" t="inlineStr">
        <is>
          <t>12:00-16:00</t>
        </is>
      </c>
      <c r="S18" s="9" t="n"/>
      <c r="T18" s="9" t="n">
        <v>0</v>
      </c>
      <c r="U18" s="9" t="n">
        <v>0</v>
      </c>
      <c r="V18" s="9" t="n"/>
      <c r="W18" s="9" t="n"/>
      <c r="X18" s="9" t="n"/>
      <c r="Y18" s="9" t="n">
        <v>293</v>
      </c>
      <c r="Z18" s="9" t="inlineStr">
        <is>
          <t>paladinohobbies</t>
        </is>
      </c>
      <c r="AA18" s="11" t="n">
        <v>1432</v>
      </c>
      <c r="AB18" s="11" t="n">
        <v>140</v>
      </c>
      <c r="AC18" s="9" t="inlineStr">
        <is>
          <t>2020-03-26</t>
        </is>
      </c>
      <c r="AD18" s="9" t="n">
        <v>1</v>
      </c>
      <c r="AE18" s="11" t="n">
        <v>1</v>
      </c>
      <c r="AF18" s="11" t="n">
        <v>0</v>
      </c>
      <c r="AG18" s="9" t="n"/>
      <c r="AH18" s="9" t="n"/>
      <c r="AI18" s="9" t="n"/>
      <c r="AJ18" s="12">
        <f>IFERROR(INDEX(cesta!$O$2:$O$43,MATCH($A18,cesta!$A$2:$A$43,0)),"")</f>
        <v/>
      </c>
      <c r="AK18" s="12">
        <f>IFERROR(INDEX(cesta!$P$2:$P$43,MATCH($A18,cesta!$A$2:$A$43,0)),"")</f>
        <v/>
      </c>
      <c r="AL18" s="12">
        <f>IFERROR(INDEX(cesta!$Q$2:$Q$43,MATCH($A18,cesta!$A$2:$A$43,0)),"")</f>
        <v/>
      </c>
      <c r="AM18" s="9" t="n"/>
      <c r="AN18" s="9" t="n"/>
      <c r="AO18" s="9" t="n">
        <v>2</v>
      </c>
      <c r="AP18" s="9" t="n">
        <v>0</v>
      </c>
    </row>
    <row r="19">
      <c r="A19" s="9" t="inlineStr">
        <is>
          <t>ChIJc66HomXk3JQRNl28jz_VsPc</t>
        </is>
      </c>
      <c r="B19" s="9" t="inlineStr">
        <is>
          <t>Taverna Game House</t>
        </is>
      </c>
      <c r="C19" s="9" t="inlineStr">
        <is>
          <t>Curitiba</t>
        </is>
      </c>
      <c r="D19" s="9" t="inlineStr">
        <is>
          <t>triagem manual</t>
        </is>
      </c>
      <c r="E19" s="9" t="inlineStr">
        <is>
          <t>R. Alferes Poli, 589 - Centro, Curitiba - PR, 80220-050, Brazil</t>
        </is>
      </c>
      <c r="F19" s="10" t="n">
        <v>4.8</v>
      </c>
      <c r="G19" s="11" t="n">
        <v>625</v>
      </c>
      <c r="H19" s="9" t="inlineStr">
        <is>
          <t>https://maps.google.com/?cid=17847999792240418102&amp;g_mp=CiVnb29nbGUubWFwcy5wbGFjZXMudjEuUGxhY2VzLkdldFBsYWNlEAIYBCAA</t>
        </is>
      </c>
      <c r="I19" s="9" t="n">
        <v>6</v>
      </c>
      <c r="J19" s="9" t="n">
        <v>48</v>
      </c>
      <c r="K19" s="9" t="inlineStr">
        <is>
          <t>14:00</t>
        </is>
      </c>
      <c r="L19" s="9" t="inlineStr">
        <is>
          <t>22:00</t>
        </is>
      </c>
      <c r="M19" s="9" t="inlineStr">
        <is>
          <t>14:00-22:00</t>
        </is>
      </c>
      <c r="N19" s="9" t="inlineStr">
        <is>
          <t>14:00-22:00</t>
        </is>
      </c>
      <c r="O19" s="9" t="inlineStr">
        <is>
          <t>14:00-22:00</t>
        </is>
      </c>
      <c r="P19" s="9" t="inlineStr">
        <is>
          <t>14:00-22:00</t>
        </is>
      </c>
      <c r="Q19" s="9" t="inlineStr">
        <is>
          <t>14:00-22:00</t>
        </is>
      </c>
      <c r="R19" s="9" t="inlineStr">
        <is>
          <t>14:00-22:00</t>
        </is>
      </c>
      <c r="S19" s="9" t="n"/>
      <c r="T19" s="9" t="n">
        <v>0</v>
      </c>
      <c r="U19" s="9" t="n">
        <v>0</v>
      </c>
      <c r="V19" s="9" t="n"/>
      <c r="W19" s="9" t="n"/>
      <c r="X19" s="9" t="n"/>
      <c r="Y19" s="9" t="n">
        <v>358</v>
      </c>
      <c r="Z19" s="9" t="inlineStr">
        <is>
          <t>tavernagamehouse</t>
        </is>
      </c>
      <c r="AA19" s="11" t="n">
        <v>3168</v>
      </c>
      <c r="AB19" s="11" t="n">
        <v>1832</v>
      </c>
      <c r="AC19" s="9" t="inlineStr">
        <is>
          <t>2017-09-26</t>
        </is>
      </c>
      <c r="AD19" s="9" t="n">
        <v>26</v>
      </c>
      <c r="AE19" s="11" t="n">
        <v>611</v>
      </c>
      <c r="AF19" s="11" t="n">
        <v>9</v>
      </c>
      <c r="AG19" s="9" t="n"/>
      <c r="AH19" s="9" t="n"/>
      <c r="AI19" s="9" t="n"/>
      <c r="AJ19" s="12">
        <f>IFERROR(INDEX(cesta!$O$2:$O$43,MATCH($A19,cesta!$A$2:$A$43,0)),"")</f>
        <v/>
      </c>
      <c r="AK19" s="12">
        <f>IFERROR(INDEX(cesta!$P$2:$P$43,MATCH($A19,cesta!$A$2:$A$43,0)),"")</f>
        <v/>
      </c>
      <c r="AL19" s="12">
        <f>IFERROR(INDEX(cesta!$Q$2:$Q$43,MATCH($A19,cesta!$A$2:$A$43,0)),"")</f>
        <v/>
      </c>
      <c r="AM19" s="9" t="n"/>
      <c r="AN19" s="9" t="n"/>
      <c r="AO19" s="9" t="n">
        <v>13</v>
      </c>
      <c r="AP19" s="9" t="n">
        <v>5</v>
      </c>
    </row>
    <row r="20">
      <c r="A20" s="9" t="inlineStr">
        <is>
          <t>ChIJ1wjBJD7k3JQRQi7trfp_0aQ</t>
        </is>
      </c>
      <c r="B20" s="9" t="inlineStr">
        <is>
          <t>Vila Celta Hobby Store - Jogos e Café</t>
        </is>
      </c>
      <c r="C20" s="9" t="inlineStr">
        <is>
          <t>Curitiba</t>
        </is>
      </c>
      <c r="D20" s="9" t="inlineStr">
        <is>
          <t>triagem manual</t>
        </is>
      </c>
      <c r="E20" s="9" t="inlineStr">
        <is>
          <t>Av. Pres. Getúlio Vargas, 659 - Rebouças, Curitiba - PR, 80240-040, Brazil</t>
        </is>
      </c>
      <c r="F20" s="10" t="n">
        <v>4.8</v>
      </c>
      <c r="G20" s="11" t="n">
        <v>751</v>
      </c>
      <c r="H20" s="9" t="inlineStr">
        <is>
          <t>https://maps.google.com/?cid=11876414406989262402&amp;g_mp=CiVnb29nbGUubWFwcy5wbGFjZXMudjEuUGxhY2VzLkdldFBsYWNlEAIYBCAA</t>
        </is>
      </c>
      <c r="I20" s="9" t="n">
        <v>7</v>
      </c>
      <c r="J20" s="9" t="n">
        <v>73.5</v>
      </c>
      <c r="K20" s="9" t="inlineStr">
        <is>
          <t>10:00</t>
        </is>
      </c>
      <c r="L20" s="9" t="inlineStr">
        <is>
          <t>24:00</t>
        </is>
      </c>
      <c r="M20" s="9" t="inlineStr">
        <is>
          <t>10:30-19:00</t>
        </is>
      </c>
      <c r="N20" s="9" t="inlineStr">
        <is>
          <t>10:30-21:00</t>
        </is>
      </c>
      <c r="O20" s="9" t="inlineStr">
        <is>
          <t>10:30-21:00</t>
        </is>
      </c>
      <c r="P20" s="9" t="inlineStr">
        <is>
          <t>10:30-21:00</t>
        </is>
      </c>
      <c r="Q20" s="9" t="inlineStr">
        <is>
          <t>10:30-00:00</t>
        </is>
      </c>
      <c r="R20" s="9" t="inlineStr">
        <is>
          <t>10:00-00:00</t>
        </is>
      </c>
      <c r="S20" s="9" t="inlineStr">
        <is>
          <t>13:00-19:00</t>
        </is>
      </c>
      <c r="T20" s="9" t="n">
        <v>0</v>
      </c>
      <c r="U20" s="9" t="n">
        <v>0</v>
      </c>
      <c r="V20" s="9" t="n"/>
      <c r="W20" s="9" t="n"/>
      <c r="X20" s="9" t="n"/>
      <c r="Y20" s="9" t="n">
        <v>590</v>
      </c>
      <c r="Z20" s="9" t="inlineStr">
        <is>
          <t>vilacelta</t>
        </is>
      </c>
      <c r="AA20" s="11" t="n">
        <v>11711</v>
      </c>
      <c r="AB20" s="11" t="n">
        <v>566</v>
      </c>
      <c r="AC20" s="9" t="inlineStr">
        <is>
          <t>2016-11-22</t>
        </is>
      </c>
      <c r="AD20" s="9" t="n">
        <v>2</v>
      </c>
      <c r="AE20" s="11" t="n">
        <v>69</v>
      </c>
      <c r="AF20" s="11" t="n">
        <v>7</v>
      </c>
      <c r="AG20" s="9" t="n"/>
      <c r="AH20" s="9" t="n"/>
      <c r="AI20" s="9" t="n"/>
      <c r="AJ20" s="12">
        <f>IFERROR(INDEX(cesta!$O$2:$O$43,MATCH($A20,cesta!$A$2:$A$43,0)),"")</f>
        <v/>
      </c>
      <c r="AK20" s="12">
        <f>IFERROR(INDEX(cesta!$P$2:$P$43,MATCH($A20,cesta!$A$2:$A$43,0)),"")</f>
        <v/>
      </c>
      <c r="AL20" s="12">
        <f>IFERROR(INDEX(cesta!$Q$2:$Q$43,MATCH($A20,cesta!$A$2:$A$43,0)),"")</f>
        <v/>
      </c>
      <c r="AM20" s="9" t="n"/>
      <c r="AN20" s="9" t="n"/>
      <c r="AO20" s="9" t="n">
        <v>13</v>
      </c>
      <c r="AP20" s="9" t="n">
        <v>8</v>
      </c>
    </row>
    <row r="21">
      <c r="A21" s="9" t="inlineStr">
        <is>
          <t>ChIJawIVeV0JM0oR5BtnD_poQeA</t>
        </is>
      </c>
      <c r="B21" s="9" t="inlineStr">
        <is>
          <t>CCG Floripa</t>
        </is>
      </c>
      <c r="C21" s="9" t="inlineStr">
        <is>
          <t>Florianópolis</t>
        </is>
      </c>
      <c r="D21" s="9" t="inlineStr">
        <is>
          <t>triagem manual</t>
        </is>
      </c>
      <c r="E21" s="9" t="inlineStr">
        <is>
          <t>R. Lauro Linhares, 245 - Trindade, Florianópolis - SC, 88036-000, Brazil</t>
        </is>
      </c>
      <c r="F21" s="10" t="n">
        <v>4.8</v>
      </c>
      <c r="G21" s="11" t="n">
        <v>194</v>
      </c>
      <c r="H21" s="9" t="inlineStr">
        <is>
          <t>https://maps.google.com/?cid=16159312361191578596&amp;g_mp=CiVnb29nbGUubWFwcy5wbGFjZXMudjEuUGxhY2VzLkdldFBsYWNlEAIYBCAA</t>
        </is>
      </c>
      <c r="I21" s="9" t="n">
        <v>5</v>
      </c>
      <c r="J21" s="9" t="n">
        <v>42</v>
      </c>
      <c r="K21" s="9" t="inlineStr">
        <is>
          <t>13:00</t>
        </is>
      </c>
      <c r="L21" s="9" t="inlineStr">
        <is>
          <t>23:00</t>
        </is>
      </c>
      <c r="M21" s="9" t="n"/>
      <c r="N21" s="9" t="inlineStr">
        <is>
          <t>14:00-23:00</t>
        </is>
      </c>
      <c r="O21" s="9" t="inlineStr">
        <is>
          <t>14:00-23:00</t>
        </is>
      </c>
      <c r="P21" s="9" t="inlineStr">
        <is>
          <t>14:00-23:00</t>
        </is>
      </c>
      <c r="Q21" s="9" t="inlineStr">
        <is>
          <t>14:00-23:00</t>
        </is>
      </c>
      <c r="R21" s="9" t="inlineStr">
        <is>
          <t>13:00-19:00</t>
        </is>
      </c>
      <c r="S21" s="9" t="n"/>
      <c r="T21" s="9" t="n">
        <v>0</v>
      </c>
      <c r="U21" s="9" t="n">
        <v>0</v>
      </c>
      <c r="V21" s="9" t="n"/>
      <c r="W21" s="9" t="n"/>
      <c r="X21" s="9" t="n"/>
      <c r="Y21" s="9" t="n">
        <v>294</v>
      </c>
      <c r="Z21" s="9" t="inlineStr">
        <is>
          <t>ccg_floripa</t>
        </is>
      </c>
      <c r="AA21" s="11" t="n">
        <v>11321</v>
      </c>
      <c r="AB21" s="11" t="n">
        <v>446</v>
      </c>
      <c r="AC21" s="9" t="inlineStr">
        <is>
          <t>2021-08-27</t>
        </is>
      </c>
      <c r="AD21" s="9" t="n">
        <v>2</v>
      </c>
      <c r="AE21" s="11" t="n">
        <v>668</v>
      </c>
      <c r="AF21" s="11" t="n">
        <v>21</v>
      </c>
      <c r="AG21" s="9" t="n"/>
      <c r="AH21" s="9" t="n">
        <v>7</v>
      </c>
      <c r="AI21" s="9" t="inlineStr">
        <is>
          <t>não encontrado</t>
        </is>
      </c>
      <c r="AJ21" s="12">
        <f>IFERROR(INDEX(cesta!$O$2:$O$43,MATCH($A21,cesta!$A$2:$A$43,0)),"")</f>
        <v/>
      </c>
      <c r="AK21" s="12">
        <f>IFERROR(INDEX(cesta!$P$2:$P$43,MATCH($A21,cesta!$A$2:$A$43,0)),"")</f>
        <v/>
      </c>
      <c r="AL21" s="12">
        <f>IFERROR(INDEX(cesta!$Q$2:$Q$43,MATCH($A21,cesta!$A$2:$A$43,0)),"")</f>
        <v/>
      </c>
      <c r="AM21" s="9" t="n"/>
      <c r="AN21" s="9" t="n"/>
      <c r="AO21" s="9" t="n">
        <v>11</v>
      </c>
      <c r="AP21" s="9" t="n">
        <v>5</v>
      </c>
    </row>
    <row r="22">
      <c r="A22" s="9" t="inlineStr">
        <is>
          <t>ChIJc3F7ka83J5URQZ1XTl-_iak</t>
        </is>
      </c>
      <c r="B22" s="9" t="inlineStr">
        <is>
          <t>Chef on Play</t>
        </is>
      </c>
      <c r="C22" s="9" t="inlineStr">
        <is>
          <t>Florianópolis</t>
        </is>
      </c>
      <c r="D22" s="9" t="inlineStr">
        <is>
          <t>triagem manual</t>
        </is>
      </c>
      <c r="E22" s="9" t="inlineStr">
        <is>
          <t>Rua kk - atrás do bem bolado bar - Praça Atílio ferreira, 07 - Trindade, Florianópolis - SC, 88080-701, Brazil</t>
        </is>
      </c>
      <c r="F22" s="10" t="n">
        <v>4.6</v>
      </c>
      <c r="G22" s="11" t="n">
        <v>1204</v>
      </c>
      <c r="H22" s="9" t="inlineStr">
        <is>
          <t>https://maps.google.com/?cid=12216505880276344129&amp;g_mp=CiVnb29nbGUubWFwcy5wbGFjZXMudjEuUGxhY2VzLkdldFBsYWNlEAIYBCAA</t>
        </is>
      </c>
      <c r="I22" s="9" t="n">
        <v>7</v>
      </c>
      <c r="J22" s="9" t="n">
        <v>35.5</v>
      </c>
      <c r="K22" s="9" t="inlineStr">
        <is>
          <t>18:30</t>
        </is>
      </c>
      <c r="L22" s="9" t="inlineStr">
        <is>
          <t>24:00</t>
        </is>
      </c>
      <c r="M22" s="9" t="inlineStr">
        <is>
          <t>18:30-23:30</t>
        </is>
      </c>
      <c r="N22" s="9" t="inlineStr">
        <is>
          <t>18:30-23:30</t>
        </is>
      </c>
      <c r="O22" s="9" t="inlineStr">
        <is>
          <t>18:30-23:30</t>
        </is>
      </c>
      <c r="P22" s="9" t="inlineStr">
        <is>
          <t>18:30-23:30</t>
        </is>
      </c>
      <c r="Q22" s="9" t="inlineStr">
        <is>
          <t>18:30-00:00</t>
        </is>
      </c>
      <c r="R22" s="9" t="inlineStr">
        <is>
          <t>18:30-00:00</t>
        </is>
      </c>
      <c r="S22" s="9" t="inlineStr">
        <is>
          <t>18:30-23:00</t>
        </is>
      </c>
      <c r="T22" s="9" t="n">
        <v>0</v>
      </c>
      <c r="U22" s="9" t="n">
        <v>0</v>
      </c>
      <c r="V22" s="9" t="n"/>
      <c r="W22" s="9" t="n"/>
      <c r="X22" s="9" t="n"/>
      <c r="Y22" s="9" t="n">
        <v>834</v>
      </c>
      <c r="Z22" s="9" t="inlineStr">
        <is>
          <t>chefonplay</t>
        </is>
      </c>
      <c r="AA22" s="11" t="n">
        <v>10739</v>
      </c>
      <c r="AB22" s="11" t="n">
        <v>517</v>
      </c>
      <c r="AC22" s="9" t="inlineStr">
        <is>
          <t>2015-11-22</t>
        </is>
      </c>
      <c r="AD22" s="9" t="n">
        <v>0</v>
      </c>
      <c r="AE22" s="11" t="n">
        <v>0</v>
      </c>
      <c r="AF22" s="11" t="n">
        <v>0</v>
      </c>
      <c r="AG22" s="9" t="n"/>
      <c r="AH22" s="9" t="n">
        <v>72</v>
      </c>
      <c r="AI22" s="9" t="inlineStr">
        <is>
          <t>não encontrado</t>
        </is>
      </c>
      <c r="AJ22" s="12">
        <f>IFERROR(INDEX(cesta!$O$2:$O$43,MATCH($A22,cesta!$A$2:$A$43,0)),"")</f>
        <v/>
      </c>
      <c r="AK22" s="12">
        <f>IFERROR(INDEX(cesta!$P$2:$P$43,MATCH($A22,cesta!$A$2:$A$43,0)),"")</f>
        <v/>
      </c>
      <c r="AL22" s="12">
        <f>IFERROR(INDEX(cesta!$Q$2:$Q$43,MATCH($A22,cesta!$A$2:$A$43,0)),"")</f>
        <v/>
      </c>
      <c r="AM22" s="9" t="n">
        <v>245</v>
      </c>
      <c r="AN22" s="9" t="inlineStr">
        <is>
          <t>ludopedia</t>
        </is>
      </c>
      <c r="AO22" s="9" t="n">
        <v>15</v>
      </c>
      <c r="AP22" s="9" t="n">
        <v>12</v>
      </c>
    </row>
    <row r="23">
      <c r="A23" s="9" t="inlineStr">
        <is>
          <t>ChIJJz8-gcY3J5URYdZrEXdHaAk</t>
        </is>
      </c>
      <c r="B23" s="9" t="inlineStr">
        <is>
          <t>Cineplay- Restaurante e Jogos</t>
        </is>
      </c>
      <c r="C23" s="9" t="inlineStr">
        <is>
          <t>Florianópolis</t>
        </is>
      </c>
      <c r="D23" s="9" t="inlineStr">
        <is>
          <t>triagem manual</t>
        </is>
      </c>
      <c r="E23" s="9" t="inlineStr">
        <is>
          <t>R. Getúlio Vargas, 362 - Centro, São José - SC, 88103-400, Brazil</t>
        </is>
      </c>
      <c r="F23" s="10" t="n">
        <v>4.5</v>
      </c>
      <c r="G23" s="11" t="n">
        <v>1154</v>
      </c>
      <c r="H23" s="9" t="inlineStr">
        <is>
          <t>https://maps.google.com/?cid=677870320638219873&amp;g_mp=CiVnb29nbGUubWFwcy5wbGFjZXMudjEuUGxhY2VzLkdldFBsYWNlEAIYBCAA</t>
        </is>
      </c>
      <c r="I23" s="9" t="n">
        <v>7</v>
      </c>
      <c r="J23" s="9" t="n">
        <v>43</v>
      </c>
      <c r="K23" s="9" t="inlineStr">
        <is>
          <t>11:00</t>
        </is>
      </c>
      <c r="L23" s="9" t="inlineStr">
        <is>
          <t>24:00</t>
        </is>
      </c>
      <c r="M23" s="9" t="inlineStr">
        <is>
          <t>11:00-14:00</t>
        </is>
      </c>
      <c r="N23" s="9" t="inlineStr">
        <is>
          <t>11:00-13:30 | 19:00-00:00</t>
        </is>
      </c>
      <c r="O23" s="9" t="inlineStr">
        <is>
          <t>11:00-13:30 | 19:00-00:00</t>
        </is>
      </c>
      <c r="P23" s="9" t="inlineStr">
        <is>
          <t>11:00-13:30 | 19:00-00:00</t>
        </is>
      </c>
      <c r="Q23" s="9" t="inlineStr">
        <is>
          <t>11:00-13:30 | 19:00-00:00</t>
        </is>
      </c>
      <c r="R23" s="9" t="inlineStr">
        <is>
          <t>19:00-00:00</t>
        </is>
      </c>
      <c r="S23" s="9" t="inlineStr">
        <is>
          <t>19:00-00:00</t>
        </is>
      </c>
      <c r="T23" s="9" t="n">
        <v>0</v>
      </c>
      <c r="U23" s="9" t="n">
        <v>0</v>
      </c>
      <c r="V23" s="9" t="n"/>
      <c r="W23" s="9" t="n"/>
      <c r="X23" s="9" t="n"/>
      <c r="Y23" s="9" t="n"/>
      <c r="Z23" s="9" t="inlineStr">
        <is>
          <t>cineplay_sc</t>
        </is>
      </c>
      <c r="AA23" s="11" t="n">
        <v>87929</v>
      </c>
      <c r="AB23" s="11" t="n">
        <v>1689</v>
      </c>
      <c r="AC23" s="9" t="inlineStr">
        <is>
          <t>2018-06-04</t>
        </is>
      </c>
      <c r="AD23" s="9" t="n">
        <v>25</v>
      </c>
      <c r="AE23" s="11" t="n">
        <v>4695</v>
      </c>
      <c r="AF23" s="11" t="n">
        <v>362</v>
      </c>
      <c r="AG23" s="9" t="n"/>
      <c r="AH23" s="9" t="n">
        <v>112</v>
      </c>
      <c r="AI23" s="9" t="inlineStr">
        <is>
          <t>não encontrado</t>
        </is>
      </c>
      <c r="AJ23" s="12">
        <f>IFERROR(INDEX(cesta!$O$2:$O$43,MATCH($A23,cesta!$A$2:$A$43,0)),"")</f>
        <v/>
      </c>
      <c r="AK23" s="12">
        <f>IFERROR(INDEX(cesta!$P$2:$P$43,MATCH($A23,cesta!$A$2:$A$43,0)),"")</f>
        <v/>
      </c>
      <c r="AL23" s="12">
        <f>IFERROR(INDEX(cesta!$Q$2:$Q$43,MATCH($A23,cesta!$A$2:$A$43,0)),"")</f>
        <v/>
      </c>
      <c r="AM23" s="9" t="n"/>
      <c r="AN23" s="9" t="n"/>
      <c r="AO23" s="9" t="n">
        <v>48</v>
      </c>
      <c r="AP23" s="9" t="n">
        <v>23</v>
      </c>
    </row>
    <row r="24">
      <c r="A24" s="9" t="inlineStr">
        <is>
          <t>ChIJ0yXbI35IxwcR0_jLi-uINUU</t>
        </is>
      </c>
      <c r="B24" s="9" t="inlineStr">
        <is>
          <t>Balboa's Hobby Games</t>
        </is>
      </c>
      <c r="C24" s="9" t="inlineStr">
        <is>
          <t>Fortaleza</t>
        </is>
      </c>
      <c r="D24" s="9" t="inlineStr">
        <is>
          <t>triagem manual</t>
        </is>
      </c>
      <c r="E24" s="9" t="inlineStr">
        <is>
          <t>R. Maria Tomásia, 208 - Aldeota, Fortaleza - CE, 60150-170, Brazil</t>
        </is>
      </c>
      <c r="F24" s="10" t="n">
        <v>4.8</v>
      </c>
      <c r="G24" s="11" t="n">
        <v>881</v>
      </c>
      <c r="H24" s="9" t="inlineStr">
        <is>
          <t>https://maps.google.com/?cid=4987042707626784979&amp;g_mp=CiVnb29nbGUubWFwcy5wbGFjZXMudjEuUGxhY2VzLkdldFBsYWNlEAIYBCAA</t>
        </is>
      </c>
      <c r="I24" s="9" t="n">
        <v>5</v>
      </c>
      <c r="J24" s="9" t="n">
        <v>27</v>
      </c>
      <c r="K24" s="9" t="inlineStr">
        <is>
          <t>15:00</t>
        </is>
      </c>
      <c r="L24" s="9" t="inlineStr">
        <is>
          <t>22:00</t>
        </is>
      </c>
      <c r="M24" s="9" t="n"/>
      <c r="N24" s="9" t="n"/>
      <c r="O24" s="9" t="inlineStr">
        <is>
          <t>17:00-22:00</t>
        </is>
      </c>
      <c r="P24" s="9" t="inlineStr">
        <is>
          <t>17:00-22:00</t>
        </is>
      </c>
      <c r="Q24" s="9" t="inlineStr">
        <is>
          <t>17:00-22:00</t>
        </is>
      </c>
      <c r="R24" s="9" t="inlineStr">
        <is>
          <t>15:00-22:00</t>
        </is>
      </c>
      <c r="S24" s="9" t="inlineStr">
        <is>
          <t>15:00-20:00</t>
        </is>
      </c>
      <c r="T24" s="9" t="n">
        <v>0</v>
      </c>
      <c r="U24" s="9" t="n">
        <v>0</v>
      </c>
      <c r="V24" s="9" t="n"/>
      <c r="W24" s="9" t="n"/>
      <c r="X24" s="9" t="n"/>
      <c r="Y24" s="9" t="n">
        <v>228</v>
      </c>
      <c r="Z24" s="9" t="inlineStr">
        <is>
          <t>balboashobbygames</t>
        </is>
      </c>
      <c r="AA24" s="11" t="n">
        <v>21318</v>
      </c>
      <c r="AB24" s="11" t="n">
        <v>1724</v>
      </c>
      <c r="AC24" s="9" t="inlineStr">
        <is>
          <t>2014-06-02</t>
        </is>
      </c>
      <c r="AD24" s="9" t="n">
        <v>22</v>
      </c>
      <c r="AE24" s="11" t="n">
        <v>2323</v>
      </c>
      <c r="AF24" s="11" t="n">
        <v>108</v>
      </c>
      <c r="AG24" s="9" t="n"/>
      <c r="AH24" s="9" t="n">
        <v>36</v>
      </c>
      <c r="AI24" s="9" t="inlineStr">
        <is>
          <t>não encontrado</t>
        </is>
      </c>
      <c r="AJ24" s="12">
        <f>IFERROR(INDEX(cesta!$O$2:$O$43,MATCH($A24,cesta!$A$2:$A$43,0)),"")</f>
        <v/>
      </c>
      <c r="AK24" s="12">
        <f>IFERROR(INDEX(cesta!$P$2:$P$43,MATCH($A24,cesta!$A$2:$A$43,0)),"")</f>
        <v/>
      </c>
      <c r="AL24" s="12">
        <f>IFERROR(INDEX(cesta!$Q$2:$Q$43,MATCH($A24,cesta!$A$2:$A$43,0)),"")</f>
        <v/>
      </c>
      <c r="AM24" s="9" t="n">
        <v>1833</v>
      </c>
      <c r="AN24" s="9" t="inlineStr">
        <is>
          <t>acervodejogos</t>
        </is>
      </c>
      <c r="AO24" s="9" t="n">
        <v>15</v>
      </c>
      <c r="AP24" s="9" t="n">
        <v>9</v>
      </c>
    </row>
    <row r="25">
      <c r="A25" s="9" t="inlineStr">
        <is>
          <t>ChIJQURqeMZJxwcR95O-XLbS2mk</t>
        </is>
      </c>
      <c r="B25" s="9" t="inlineStr">
        <is>
          <t>Dominaria Cards &amp; Games</t>
        </is>
      </c>
      <c r="C25" s="9" t="inlineStr">
        <is>
          <t>Fortaleza</t>
        </is>
      </c>
      <c r="D25" s="9" t="inlineStr">
        <is>
          <t>triagem manual</t>
        </is>
      </c>
      <c r="E25" s="9" t="inlineStr">
        <is>
          <t>R. Juvenal Galeno, 512 - Benfica, Fortaleza - CE, 60015-340, Brazil</t>
        </is>
      </c>
      <c r="F25" s="10" t="n">
        <v>4.7</v>
      </c>
      <c r="G25" s="11" t="n">
        <v>305</v>
      </c>
      <c r="H25" s="9" t="inlineStr">
        <is>
          <t>https://maps.google.com/?cid=7627640599587230711&amp;g_mp=CiVnb29nbGUubWFwcy5wbGFjZXMudjEuUGxhY2VzLkdldFBsYWNlEAIYBCAA</t>
        </is>
      </c>
      <c r="I25" s="9" t="n">
        <v>7</v>
      </c>
      <c r="J25" s="9" t="n">
        <v>77</v>
      </c>
      <c r="K25" s="9" t="inlineStr">
        <is>
          <t>08:00</t>
        </is>
      </c>
      <c r="L25" s="9" t="inlineStr">
        <is>
          <t>21:00</t>
        </is>
      </c>
      <c r="M25" s="9" t="inlineStr">
        <is>
          <t>10:00-21:00</t>
        </is>
      </c>
      <c r="N25" s="9" t="inlineStr">
        <is>
          <t>10:00-21:00</t>
        </is>
      </c>
      <c r="O25" s="9" t="inlineStr">
        <is>
          <t>10:00-21:00</t>
        </is>
      </c>
      <c r="P25" s="9" t="inlineStr">
        <is>
          <t>10:00-21:00</t>
        </is>
      </c>
      <c r="Q25" s="9" t="inlineStr">
        <is>
          <t>10:00-21:00</t>
        </is>
      </c>
      <c r="R25" s="9" t="inlineStr">
        <is>
          <t>08:00-19:00</t>
        </is>
      </c>
      <c r="S25" s="9" t="inlineStr">
        <is>
          <t>08:00-19:00</t>
        </is>
      </c>
      <c r="T25" s="9" t="n">
        <v>1</v>
      </c>
      <c r="U25" s="9" t="n">
        <v>2</v>
      </c>
      <c r="V25" s="9" t="n">
        <v>95</v>
      </c>
      <c r="W25" s="9" t="n"/>
      <c r="X25" s="9" t="n"/>
      <c r="Y25" s="9" t="n">
        <v>96</v>
      </c>
      <c r="Z25" s="9" t="inlineStr">
        <is>
          <t>dominariacg.sp</t>
        </is>
      </c>
      <c r="AA25" s="11" t="n">
        <v>1971</v>
      </c>
      <c r="AB25" s="11" t="n">
        <v>33</v>
      </c>
      <c r="AC25" s="9" t="inlineStr">
        <is>
          <t>2024-09-27</t>
        </is>
      </c>
      <c r="AD25" s="9" t="n">
        <v>0</v>
      </c>
      <c r="AE25" s="11" t="n">
        <v>0</v>
      </c>
      <c r="AF25" s="11" t="n">
        <v>0</v>
      </c>
      <c r="AG25" s="9" t="inlineStr">
        <is>
          <t>perfil da unidade de São Paulo; a casa aprovada fica em Fortaleza (@dominariacg)</t>
        </is>
      </c>
      <c r="AH25" s="9" t="n"/>
      <c r="AI25" s="9" t="n"/>
      <c r="AJ25" s="12">
        <f>IFERROR(INDEX(cesta!$O$2:$O$43,MATCH($A25,cesta!$A$2:$A$43,0)),"")</f>
        <v/>
      </c>
      <c r="AK25" s="12">
        <f>IFERROR(INDEX(cesta!$P$2:$P$43,MATCH($A25,cesta!$A$2:$A$43,0)),"")</f>
        <v/>
      </c>
      <c r="AL25" s="12">
        <f>IFERROR(INDEX(cesta!$Q$2:$Q$43,MATCH($A25,cesta!$A$2:$A$43,0)),"")</f>
        <v/>
      </c>
      <c r="AM25" s="9" t="n"/>
      <c r="AN25" s="9" t="n"/>
      <c r="AO25" s="9" t="n">
        <v>19</v>
      </c>
      <c r="AP25" s="9" t="n">
        <v>14</v>
      </c>
    </row>
    <row r="26">
      <c r="A26" s="9" t="inlineStr">
        <is>
          <t>ChIJ89uEICDxXpMRdaEvN0XiWK0</t>
        </is>
      </c>
      <c r="B26" s="9" t="inlineStr">
        <is>
          <t>Paladins Game Store</t>
        </is>
      </c>
      <c r="C26" s="9" t="inlineStr">
        <is>
          <t>Goiânia</t>
        </is>
      </c>
      <c r="D26" s="9" t="inlineStr">
        <is>
          <t>triagem manual</t>
        </is>
      </c>
      <c r="E26" s="9" t="inlineStr">
        <is>
          <t>Galeria Free Shop - R. S-1, 54 - St. Bueno, Goiânia - GO, 74230-020, Brazil</t>
        </is>
      </c>
      <c r="F26" s="10" t="n">
        <v>4.7</v>
      </c>
      <c r="G26" s="11" t="n">
        <v>906</v>
      </c>
      <c r="H26" s="9" t="inlineStr">
        <is>
          <t>https://maps.google.com/?cid=12490982353418559861&amp;g_mp=CiVnb29nbGUubWFwcy5wbGFjZXMudjEuUGxhY2VzLkdldFBsYWNlEAIYBCAA</t>
        </is>
      </c>
      <c r="I26" s="9" t="n">
        <v>7</v>
      </c>
      <c r="J26" s="9" t="n">
        <v>70</v>
      </c>
      <c r="K26" s="9" t="inlineStr">
        <is>
          <t>10:00</t>
        </is>
      </c>
      <c r="L26" s="9" t="inlineStr">
        <is>
          <t>22:00</t>
        </is>
      </c>
      <c r="M26" s="9" t="inlineStr">
        <is>
          <t>10:00-20:00</t>
        </is>
      </c>
      <c r="N26" s="9" t="inlineStr">
        <is>
          <t>10:00-20:00</t>
        </is>
      </c>
      <c r="O26" s="9" t="inlineStr">
        <is>
          <t>10:00-20:00</t>
        </is>
      </c>
      <c r="P26" s="9" t="inlineStr">
        <is>
          <t>10:00-22:00</t>
        </is>
      </c>
      <c r="Q26" s="9" t="inlineStr">
        <is>
          <t>10:00-22:00</t>
        </is>
      </c>
      <c r="R26" s="9" t="inlineStr">
        <is>
          <t>10:00-18:00</t>
        </is>
      </c>
      <c r="S26" s="9" t="inlineStr">
        <is>
          <t>10:00-18:00</t>
        </is>
      </c>
      <c r="T26" s="9" t="n">
        <v>0</v>
      </c>
      <c r="U26" s="9" t="n">
        <v>0</v>
      </c>
      <c r="V26" s="9" t="n"/>
      <c r="W26" s="9" t="n"/>
      <c r="X26" s="9" t="n"/>
      <c r="Y26" s="9" t="n">
        <v>5</v>
      </c>
      <c r="Z26" s="9" t="inlineStr">
        <is>
          <t>paladinsgames</t>
        </is>
      </c>
      <c r="AA26" s="11" t="n">
        <v>9690</v>
      </c>
      <c r="AB26" s="11" t="n">
        <v>1376</v>
      </c>
      <c r="AC26" s="9" t="inlineStr">
        <is>
          <t>2015-01-29</t>
        </is>
      </c>
      <c r="AD26" s="9" t="n">
        <v>1</v>
      </c>
      <c r="AE26" s="11" t="n">
        <v>154</v>
      </c>
      <c r="AF26" s="11" t="n">
        <v>3</v>
      </c>
      <c r="AG26" s="9" t="n"/>
      <c r="AH26" s="9" t="n"/>
      <c r="AI26" s="9" t="n"/>
      <c r="AJ26" s="12">
        <f>IFERROR(INDEX(cesta!$O$2:$O$43,MATCH($A26,cesta!$A$2:$A$43,0)),"")</f>
        <v/>
      </c>
      <c r="AK26" s="12">
        <f>IFERROR(INDEX(cesta!$P$2:$P$43,MATCH($A26,cesta!$A$2:$A$43,0)),"")</f>
        <v/>
      </c>
      <c r="AL26" s="12">
        <f>IFERROR(INDEX(cesta!$Q$2:$Q$43,MATCH($A26,cesta!$A$2:$A$43,0)),"")</f>
        <v/>
      </c>
      <c r="AM26" s="9" t="n">
        <v>214</v>
      </c>
      <c r="AN26" s="9" t="inlineStr">
        <is>
          <t>acervodejogos</t>
        </is>
      </c>
      <c r="AO26" s="9" t="n">
        <v>14</v>
      </c>
      <c r="AP26" s="9" t="n">
        <v>7</v>
      </c>
    </row>
    <row r="27">
      <c r="A27" s="9" t="inlineStr">
        <is>
          <t>ChIJHSDPTgF5GZURKmSqKITyoGM</t>
        </is>
      </c>
      <c r="B27" s="9" t="inlineStr">
        <is>
          <t>Arcadea Gaming Pub</t>
        </is>
      </c>
      <c r="C27" s="9" t="inlineStr">
        <is>
          <t>Porto Alegre</t>
        </is>
      </c>
      <c r="D27" s="9" t="inlineStr">
        <is>
          <t>triagem manual</t>
        </is>
      </c>
      <c r="E27" s="9" t="inlineStr">
        <is>
          <t>R. Gen. Neto, 440 - Moinhos de Vento, Porto Alegre - RS, 90560-020, Brazil</t>
        </is>
      </c>
      <c r="F27" s="10" t="n">
        <v>4.2</v>
      </c>
      <c r="G27" s="11" t="n">
        <v>1087</v>
      </c>
      <c r="H27" s="9" t="inlineStr">
        <is>
          <t>https://maps.google.com/?cid=7179004455460430890&amp;g_mp=CiVnb29nbGUubWFwcy5wbGFjZXMudjEuUGxhY2VzLkdldFBsYWNlEAIYBCAA</t>
        </is>
      </c>
      <c r="I27" s="9" t="n">
        <v>7</v>
      </c>
      <c r="J27" s="9" t="n">
        <v>42</v>
      </c>
      <c r="K27" s="9" t="inlineStr">
        <is>
          <t>17:00</t>
        </is>
      </c>
      <c r="L27" s="9" t="inlineStr">
        <is>
          <t>24:00</t>
        </is>
      </c>
      <c r="M27" s="9" t="inlineStr">
        <is>
          <t>18:00-00:00</t>
        </is>
      </c>
      <c r="N27" s="9" t="inlineStr">
        <is>
          <t>18:00-00:00</t>
        </is>
      </c>
      <c r="O27" s="9" t="inlineStr">
        <is>
          <t>18:00-00:00</t>
        </is>
      </c>
      <c r="P27" s="9" t="inlineStr">
        <is>
          <t>18:00-00:00</t>
        </is>
      </c>
      <c r="Q27" s="9" t="inlineStr">
        <is>
          <t>18:00-00:00</t>
        </is>
      </c>
      <c r="R27" s="9" t="inlineStr">
        <is>
          <t>18:00-00:00</t>
        </is>
      </c>
      <c r="S27" s="9" t="inlineStr">
        <is>
          <t>17:00-23:00</t>
        </is>
      </c>
      <c r="T27" s="9" t="n">
        <v>0</v>
      </c>
      <c r="U27" s="9" t="n">
        <v>0</v>
      </c>
      <c r="V27" s="9" t="n"/>
      <c r="W27" s="9" t="n"/>
      <c r="X27" s="9" t="n"/>
      <c r="Y27" s="9" t="n">
        <v>591</v>
      </c>
      <c r="Z27" s="9" t="inlineStr">
        <is>
          <t>arcadeapub</t>
        </is>
      </c>
      <c r="AA27" s="11" t="n">
        <v>45836</v>
      </c>
      <c r="AB27" s="11" t="n">
        <v>2009</v>
      </c>
      <c r="AC27" s="9" t="inlineStr">
        <is>
          <t>2019-09-09</t>
        </is>
      </c>
      <c r="AD27" s="9" t="n">
        <v>29</v>
      </c>
      <c r="AE27" s="11" t="n">
        <v>1106</v>
      </c>
      <c r="AF27" s="11" t="n">
        <v>12</v>
      </c>
      <c r="AG27" s="9" t="n"/>
      <c r="AH27" s="9" t="n">
        <v>94</v>
      </c>
      <c r="AI27" s="9" t="inlineStr">
        <is>
          <t>não encontrado</t>
        </is>
      </c>
      <c r="AJ27" s="12">
        <f>IFERROR(INDEX(cesta!$O$2:$O$43,MATCH($A27,cesta!$A$2:$A$43,0)),"")</f>
        <v/>
      </c>
      <c r="AK27" s="12">
        <f>IFERROR(INDEX(cesta!$P$2:$P$43,MATCH($A27,cesta!$A$2:$A$43,0)),"")</f>
        <v/>
      </c>
      <c r="AL27" s="12">
        <f>IFERROR(INDEX(cesta!$Q$2:$Q$43,MATCH($A27,cesta!$A$2:$A$43,0)),"")</f>
        <v/>
      </c>
      <c r="AM27" s="9" t="n"/>
      <c r="AN27" s="9" t="n"/>
      <c r="AO27" s="9" t="n">
        <v>19</v>
      </c>
      <c r="AP27" s="9" t="n">
        <v>11</v>
      </c>
    </row>
    <row r="28">
      <c r="A28" s="9" t="inlineStr">
        <is>
          <t>ChIJ41pgHNFDGZURC7yTegyn7nU</t>
        </is>
      </c>
      <c r="B28" s="9" t="inlineStr">
        <is>
          <t>Toca do Rato - Pizzaria e Jogos de Tabuleiro</t>
        </is>
      </c>
      <c r="C28" s="9" t="inlineStr">
        <is>
          <t>Porto Alegre</t>
        </is>
      </c>
      <c r="D28" s="9" t="inlineStr">
        <is>
          <t>acervodejogos</t>
        </is>
      </c>
      <c r="E28" s="9" t="inlineStr">
        <is>
          <t>Av. Capivara, 241 - Bom Jardim, Ivoti - RS, 93900-000</t>
        </is>
      </c>
      <c r="F28" s="10" t="n">
        <v>4.8</v>
      </c>
      <c r="G28" s="11" t="n">
        <v>138</v>
      </c>
      <c r="H28" s="9" t="inlineStr">
        <is>
          <t>https://maps.google.com/?cid=8497913218932653067</t>
        </is>
      </c>
      <c r="I28" s="9" t="n">
        <v>6</v>
      </c>
      <c r="J28" s="9" t="n">
        <v>26.5</v>
      </c>
      <c r="K28" s="9" t="inlineStr">
        <is>
          <t>18:00</t>
        </is>
      </c>
      <c r="L28" s="9" t="inlineStr">
        <is>
          <t>23:00</t>
        </is>
      </c>
      <c r="M28" s="9" t="inlineStr">
        <is>
          <t>18:30-22:00</t>
        </is>
      </c>
      <c r="N28" s="9" t="inlineStr">
        <is>
          <t>18:30-23:00</t>
        </is>
      </c>
      <c r="O28" s="9" t="inlineStr">
        <is>
          <t>18:30-23:00</t>
        </is>
      </c>
      <c r="P28" s="9" t="inlineStr">
        <is>
          <t>18:30-23:00</t>
        </is>
      </c>
      <c r="Q28" s="9" t="inlineStr">
        <is>
          <t>18:30-23:00</t>
        </is>
      </c>
      <c r="R28" s="9" t="inlineStr">
        <is>
          <t>18:00-23:00</t>
        </is>
      </c>
      <c r="S28" s="9" t="n"/>
      <c r="T28" s="9" t="n">
        <v>0</v>
      </c>
      <c r="U28" s="9" t="n">
        <v>0</v>
      </c>
      <c r="V28" s="9" t="n"/>
      <c r="W28" s="9" t="n"/>
      <c r="X28" s="9" t="n"/>
      <c r="Y28" s="9" t="n">
        <v>583</v>
      </c>
      <c r="Z28" s="9" t="inlineStr">
        <is>
          <t>tocadorato_oficial</t>
        </is>
      </c>
      <c r="AA28" s="11" t="n"/>
      <c r="AB28" s="11" t="n"/>
      <c r="AC28" s="9" t="inlineStr">
        <is>
          <t>2023-07-15</t>
        </is>
      </c>
      <c r="AD28" s="9" t="n">
        <v>9</v>
      </c>
      <c r="AE28" s="11" t="n">
        <v>309</v>
      </c>
      <c r="AF28" s="11" t="n">
        <v>17</v>
      </c>
      <c r="AG28" s="9" t="n"/>
      <c r="AH28" s="9" t="n">
        <v>25</v>
      </c>
      <c r="AI28" s="9" t="inlineStr">
        <is>
          <t>não encontrado</t>
        </is>
      </c>
      <c r="AJ28" s="12">
        <f>IFERROR(INDEX(cesta!$O$2:$O$43,MATCH($A28,cesta!$A$2:$A$43,0)),"")</f>
        <v/>
      </c>
      <c r="AK28" s="12">
        <f>IFERROR(INDEX(cesta!$P$2:$P$43,MATCH($A28,cesta!$A$2:$A$43,0)),"")</f>
        <v/>
      </c>
      <c r="AL28" s="12">
        <f>IFERROR(INDEX(cesta!$Q$2:$Q$43,MATCH($A28,cesta!$A$2:$A$43,0)),"")</f>
        <v/>
      </c>
      <c r="AM28" s="9" t="n">
        <v>287</v>
      </c>
      <c r="AN28" s="9" t="inlineStr">
        <is>
          <t>acervodejogos</t>
        </is>
      </c>
      <c r="AO28" s="9" t="n"/>
      <c r="AP28" s="9" t="n"/>
    </row>
    <row r="29">
      <c r="A29" s="9" t="inlineStr">
        <is>
          <t>ChIJRUjwU66WoGgRzc9yJU7jkwM</t>
        </is>
      </c>
      <c r="B29" s="9" t="inlineStr">
        <is>
          <t>Nala Land - Bar de Jogos de Tabuleiro em Recife</t>
        </is>
      </c>
      <c r="C29" s="9" t="inlineStr">
        <is>
          <t>Recife</t>
        </is>
      </c>
      <c r="D29" s="9" t="inlineStr">
        <is>
          <t>triagem manual</t>
        </is>
      </c>
      <c r="E29" s="9" t="inlineStr">
        <is>
          <t>R. Raul Pompéia, 271 - Arruda, Recife - PE, 52120-150, Brazil</t>
        </is>
      </c>
      <c r="F29" s="10" t="n">
        <v>4.9</v>
      </c>
      <c r="G29" s="11" t="n">
        <v>206</v>
      </c>
      <c r="H29" s="9" t="inlineStr">
        <is>
          <t>https://maps.google.com/?cid=257799528465485773&amp;g_mp=CiVnb29nbGUubWFwcy5wbGFjZXMudjEuUGxhY2VzLkdldFBsYWNlEAIYBCAA</t>
        </is>
      </c>
      <c r="I29" s="9" t="n">
        <v>4</v>
      </c>
      <c r="J29" s="9" t="n">
        <v>28</v>
      </c>
      <c r="K29" s="9" t="inlineStr">
        <is>
          <t>14:00</t>
        </is>
      </c>
      <c r="L29" s="9" t="inlineStr">
        <is>
          <t>24:00</t>
        </is>
      </c>
      <c r="M29" s="9" t="n"/>
      <c r="N29" s="9" t="n"/>
      <c r="O29" s="9" t="n"/>
      <c r="P29" s="9" t="inlineStr">
        <is>
          <t>18:00-00:00</t>
        </is>
      </c>
      <c r="Q29" s="9" t="inlineStr">
        <is>
          <t>18:00-00:00</t>
        </is>
      </c>
      <c r="R29" s="9" t="inlineStr">
        <is>
          <t>16:00-00:00</t>
        </is>
      </c>
      <c r="S29" s="9" t="inlineStr">
        <is>
          <t>14:00-22:00</t>
        </is>
      </c>
      <c r="T29" s="9" t="n">
        <v>0</v>
      </c>
      <c r="U29" s="9" t="n">
        <v>0</v>
      </c>
      <c r="V29" s="9" t="n"/>
      <c r="W29" s="9" t="n"/>
      <c r="X29" s="9" t="n"/>
      <c r="Y29" s="9" t="n"/>
      <c r="Z29" s="9" t="inlineStr">
        <is>
          <t>nalaland.jogos</t>
        </is>
      </c>
      <c r="AA29" s="11" t="n">
        <v>27673</v>
      </c>
      <c r="AB29" s="11" t="n">
        <v>655</v>
      </c>
      <c r="AC29" s="9" t="inlineStr">
        <is>
          <t>2021-05-22</t>
        </is>
      </c>
      <c r="AD29" s="9" t="n">
        <v>17</v>
      </c>
      <c r="AE29" s="11" t="n">
        <v>1058</v>
      </c>
      <c r="AF29" s="11" t="n">
        <v>114</v>
      </c>
      <c r="AG29" s="9" t="n"/>
      <c r="AH29" s="9" t="n">
        <v>25</v>
      </c>
      <c r="AI29" s="9" t="inlineStr">
        <is>
          <t>não encontrado</t>
        </is>
      </c>
      <c r="AJ29" s="12">
        <f>IFERROR(INDEX(cesta!$O$2:$O$43,MATCH($A29,cesta!$A$2:$A$43,0)),"")</f>
        <v/>
      </c>
      <c r="AK29" s="12">
        <f>IFERROR(INDEX(cesta!$P$2:$P$43,MATCH($A29,cesta!$A$2:$A$43,0)),"")</f>
        <v/>
      </c>
      <c r="AL29" s="12">
        <f>IFERROR(INDEX(cesta!$Q$2:$Q$43,MATCH($A29,cesta!$A$2:$A$43,0)),"")</f>
        <v/>
      </c>
      <c r="AM29" s="9" t="n">
        <v>312</v>
      </c>
      <c r="AN29" s="9" t="inlineStr">
        <is>
          <t>rejoy</t>
        </is>
      </c>
      <c r="AO29" s="9" t="n">
        <v>10</v>
      </c>
      <c r="AP29" s="9" t="n">
        <v>7</v>
      </c>
    </row>
    <row r="30">
      <c r="A30" s="9" t="inlineStr">
        <is>
          <t>ChIJu1yUroF_mQAR7qxqAfxKSw4</t>
        </is>
      </c>
      <c r="B30" s="9" t="inlineStr">
        <is>
          <t>Game Of Boards</t>
        </is>
      </c>
      <c r="C30" s="9" t="inlineStr">
        <is>
          <t>Rio de Janeiro</t>
        </is>
      </c>
      <c r="D30" s="9" t="inlineStr">
        <is>
          <t>triagem manual</t>
        </is>
      </c>
      <c r="E30" s="9" t="inlineStr">
        <is>
          <t>Rua da Passagem, 142 - Botafogo, Rio de Janeiro - RJ, 22290-031, Brazil</t>
        </is>
      </c>
      <c r="F30" s="10" t="n">
        <v>4.7</v>
      </c>
      <c r="G30" s="11" t="n">
        <v>1077</v>
      </c>
      <c r="H30" s="9" t="inlineStr">
        <is>
          <t>https://maps.google.com/?cid=1029999386000272622&amp;g_mp=CiVnb29nbGUubWFwcy5wbGFjZXMudjEuUGxhY2VzLkdldFBsYWNlEAIYBCAA</t>
        </is>
      </c>
      <c r="I30" s="9" t="n">
        <v>5</v>
      </c>
      <c r="J30" s="9" t="n">
        <v>41</v>
      </c>
      <c r="K30" s="9" t="inlineStr">
        <is>
          <t>14:00</t>
        </is>
      </c>
      <c r="L30" s="9" t="inlineStr">
        <is>
          <t>24:00</t>
        </is>
      </c>
      <c r="M30" s="9" t="n"/>
      <c r="N30" s="9" t="n"/>
      <c r="O30" s="9" t="inlineStr">
        <is>
          <t>15:00-23:00</t>
        </is>
      </c>
      <c r="P30" s="9" t="inlineStr">
        <is>
          <t>15:00-23:00</t>
        </is>
      </c>
      <c r="Q30" s="9" t="inlineStr">
        <is>
          <t>15:00-23:00</t>
        </is>
      </c>
      <c r="R30" s="9" t="inlineStr">
        <is>
          <t>15:00-00:00</t>
        </is>
      </c>
      <c r="S30" s="9" t="inlineStr">
        <is>
          <t>14:00-22:00</t>
        </is>
      </c>
      <c r="T30" s="9" t="n">
        <v>0</v>
      </c>
      <c r="U30" s="9" t="n">
        <v>1</v>
      </c>
      <c r="V30" s="9" t="n">
        <v>555</v>
      </c>
      <c r="W30" s="9" t="n"/>
      <c r="X30" s="9" t="n"/>
      <c r="Y30" s="9" t="n">
        <v>291</v>
      </c>
      <c r="Z30" s="9" t="inlineStr">
        <is>
          <t>gob.ludobar</t>
        </is>
      </c>
      <c r="AA30" s="11" t="n">
        <v>18453</v>
      </c>
      <c r="AB30" s="11" t="n">
        <v>3266</v>
      </c>
      <c r="AC30" s="9" t="inlineStr">
        <is>
          <t>2016-03-28</t>
        </is>
      </c>
      <c r="AD30" s="9" t="n">
        <v>21</v>
      </c>
      <c r="AE30" s="11" t="n">
        <v>789</v>
      </c>
      <c r="AF30" s="11" t="n">
        <v>76</v>
      </c>
      <c r="AG30" s="9" t="n"/>
      <c r="AH30" s="9" t="n">
        <v>2</v>
      </c>
      <c r="AI30" s="9" t="inlineStr">
        <is>
          <t>sim</t>
        </is>
      </c>
      <c r="AJ30" s="12">
        <f>IFERROR(INDEX(cesta!$O$2:$O$43,MATCH($A30,cesta!$A$2:$A$43,0)),"")</f>
        <v/>
      </c>
      <c r="AK30" s="12">
        <f>IFERROR(INDEX(cesta!$P$2:$P$43,MATCH($A30,cesta!$A$2:$A$43,0)),"")</f>
        <v/>
      </c>
      <c r="AL30" s="12">
        <f>IFERROR(INDEX(cesta!$Q$2:$Q$43,MATCH($A30,cesta!$A$2:$A$43,0)),"")</f>
        <v/>
      </c>
      <c r="AM30" s="9" t="n"/>
      <c r="AN30" s="9" t="n"/>
      <c r="AO30" s="9" t="n">
        <v>8</v>
      </c>
      <c r="AP30" s="9" t="n">
        <v>6</v>
      </c>
    </row>
    <row r="31">
      <c r="A31" s="9" t="inlineStr">
        <is>
          <t>ChIJ90Gs_9rVmwAReA7MnIyPLTE</t>
        </is>
      </c>
      <c r="B31" s="9" t="inlineStr">
        <is>
          <t>Luderia Carioca</t>
        </is>
      </c>
      <c r="C31" s="9" t="inlineStr">
        <is>
          <t>Rio de Janeiro</t>
        </is>
      </c>
      <c r="D31" s="9" t="inlineStr">
        <is>
          <t>triagem manual</t>
        </is>
      </c>
      <c r="E31" s="9" t="inlineStr">
        <is>
          <t>R. do Catete, 62 - Catete, Rio de Janeiro - RJ, 22220-000, Brazil</t>
        </is>
      </c>
      <c r="F31" s="10" t="n">
        <v>4.7</v>
      </c>
      <c r="G31" s="11" t="n">
        <v>212</v>
      </c>
      <c r="H31" s="9" t="inlineStr">
        <is>
          <t>https://maps.google.com/?cid=3543646315899260536&amp;g_mp=CiVnb29nbGUubWFwcy5wbGFjZXMudjEuUGxhY2VzLkdldFBsYWNlEAIYBCAA</t>
        </is>
      </c>
      <c r="I31" s="9" t="n">
        <v>5</v>
      </c>
      <c r="J31" s="9" t="n">
        <v>38</v>
      </c>
      <c r="K31" s="9" t="inlineStr">
        <is>
          <t>14:00</t>
        </is>
      </c>
      <c r="L31" s="9" t="inlineStr">
        <is>
          <t>24:00</t>
        </is>
      </c>
      <c r="M31" s="9" t="n"/>
      <c r="N31" s="9" t="n"/>
      <c r="O31" s="9" t="inlineStr">
        <is>
          <t>17:00-23:00</t>
        </is>
      </c>
      <c r="P31" s="9" t="inlineStr">
        <is>
          <t>17:00-23:00</t>
        </is>
      </c>
      <c r="Q31" s="9" t="inlineStr">
        <is>
          <t>16:00-00:00</t>
        </is>
      </c>
      <c r="R31" s="9" t="inlineStr">
        <is>
          <t>14:00-00:00</t>
        </is>
      </c>
      <c r="S31" s="9" t="inlineStr">
        <is>
          <t>14:00-22:00</t>
        </is>
      </c>
      <c r="T31" s="9" t="n">
        <v>2</v>
      </c>
      <c r="U31" s="9" t="n">
        <v>3</v>
      </c>
      <c r="V31" s="9" t="n">
        <v>302</v>
      </c>
      <c r="W31" s="9" t="n"/>
      <c r="X31" s="9" t="n"/>
      <c r="Y31" s="9" t="n">
        <v>576</v>
      </c>
      <c r="Z31" s="9" t="inlineStr">
        <is>
          <t>luderiacariocajogos</t>
        </is>
      </c>
      <c r="AA31" s="11" t="n">
        <v>16137</v>
      </c>
      <c r="AB31" s="11" t="n">
        <v>84</v>
      </c>
      <c r="AC31" s="9" t="inlineStr">
        <is>
          <t>2025-03-12</t>
        </is>
      </c>
      <c r="AD31" s="9" t="n">
        <v>5</v>
      </c>
      <c r="AE31" s="11" t="n">
        <v>809</v>
      </c>
      <c r="AF31" s="11" t="n">
        <v>20</v>
      </c>
      <c r="AG31" s="9" t="n"/>
      <c r="AH31" s="9" t="n">
        <v>36</v>
      </c>
      <c r="AI31" s="9" t="inlineStr">
        <is>
          <t>não encontrado</t>
        </is>
      </c>
      <c r="AJ31" s="12">
        <f>IFERROR(INDEX(cesta!$O$2:$O$43,MATCH($A31,cesta!$A$2:$A$43,0)),"")</f>
        <v/>
      </c>
      <c r="AK31" s="12">
        <f>IFERROR(INDEX(cesta!$P$2:$P$43,MATCH($A31,cesta!$A$2:$A$43,0)),"")</f>
        <v/>
      </c>
      <c r="AL31" s="12">
        <f>IFERROR(INDEX(cesta!$Q$2:$Q$43,MATCH($A31,cesta!$A$2:$A$43,0)),"")</f>
        <v/>
      </c>
      <c r="AM31" s="9" t="n">
        <v>780</v>
      </c>
      <c r="AN31" s="9" t="inlineStr">
        <is>
          <t>acervodejogos</t>
        </is>
      </c>
      <c r="AO31" s="9" t="n">
        <v>99</v>
      </c>
      <c r="AP31" s="9" t="n">
        <v>69</v>
      </c>
    </row>
    <row r="32">
      <c r="A32" s="9" t="inlineStr">
        <is>
          <t>ChIJYzHxUhR-mQARpqVtYD9th0c</t>
        </is>
      </c>
      <c r="B32" s="9" t="inlineStr">
        <is>
          <t>Magic Store Brazil</t>
        </is>
      </c>
      <c r="C32" s="9" t="inlineStr">
        <is>
          <t>Rio de Janeiro</t>
        </is>
      </c>
      <c r="D32" s="9" t="inlineStr">
        <is>
          <t>triagem manual</t>
        </is>
      </c>
      <c r="E32" s="9" t="inlineStr">
        <is>
          <t>R. Teodoro da Silva, 240 - Vila Isabel, Rio de Janeiro - RJ, 20520-051, Brazil</t>
        </is>
      </c>
      <c r="F32" s="10" t="n">
        <v>4.7</v>
      </c>
      <c r="G32" s="11" t="n">
        <v>465</v>
      </c>
      <c r="H32" s="9" t="inlineStr">
        <is>
          <t>https://maps.google.com/?cid=5154208417516987814&amp;g_mp=CiVnb29nbGUubWFwcy5wbGFjZXMudjEuUGxhY2VzLkdldFBsYWNlEAIYBCAA</t>
        </is>
      </c>
      <c r="I32" s="9" t="n">
        <v>6</v>
      </c>
      <c r="J32" s="9" t="n">
        <v>32</v>
      </c>
      <c r="K32" s="9" t="inlineStr">
        <is>
          <t>13:00</t>
        </is>
      </c>
      <c r="L32" s="9" t="inlineStr">
        <is>
          <t>21:00</t>
        </is>
      </c>
      <c r="M32" s="9" t="n"/>
      <c r="N32" s="9" t="inlineStr">
        <is>
          <t>15:30-17:00</t>
        </is>
      </c>
      <c r="O32" s="9" t="inlineStr">
        <is>
          <t>15:30-21:00</t>
        </is>
      </c>
      <c r="P32" s="9" t="inlineStr">
        <is>
          <t>15:30-21:00</t>
        </is>
      </c>
      <c r="Q32" s="9" t="inlineStr">
        <is>
          <t>15:30-21:00</t>
        </is>
      </c>
      <c r="R32" s="9" t="inlineStr">
        <is>
          <t>13:00-20:00</t>
        </is>
      </c>
      <c r="S32" s="9" t="inlineStr">
        <is>
          <t>13:00-20:00</t>
        </is>
      </c>
      <c r="T32" s="9" t="n">
        <v>0</v>
      </c>
      <c r="U32" s="9" t="n">
        <v>0</v>
      </c>
      <c r="V32" s="9" t="n"/>
      <c r="W32" s="9" t="n"/>
      <c r="X32" s="9" t="n"/>
      <c r="Y32" s="9" t="n">
        <v>312</v>
      </c>
      <c r="Z32" s="9" t="inlineStr">
        <is>
          <t>magicstorebrasil</t>
        </is>
      </c>
      <c r="AA32" s="11" t="n">
        <v>23364</v>
      </c>
      <c r="AB32" s="11" t="n">
        <v>308</v>
      </c>
      <c r="AC32" s="9" t="inlineStr">
        <is>
          <t>2018-11-23</t>
        </is>
      </c>
      <c r="AD32" s="9" t="n">
        <v>4</v>
      </c>
      <c r="AE32" s="11" t="n">
        <v>132</v>
      </c>
      <c r="AF32" s="11" t="n">
        <v>3</v>
      </c>
      <c r="AG32" s="9" t="n"/>
      <c r="AH32" s="9" t="n"/>
      <c r="AI32" s="9" t="n"/>
      <c r="AJ32" s="12">
        <f>IFERROR(INDEX(cesta!$O$2:$O$43,MATCH($A32,cesta!$A$2:$A$43,0)),"")</f>
        <v/>
      </c>
      <c r="AK32" s="12">
        <f>IFERROR(INDEX(cesta!$P$2:$P$43,MATCH($A32,cesta!$A$2:$A$43,0)),"")</f>
        <v/>
      </c>
      <c r="AL32" s="12">
        <f>IFERROR(INDEX(cesta!$Q$2:$Q$43,MATCH($A32,cesta!$A$2:$A$43,0)),"")</f>
        <v/>
      </c>
      <c r="AM32" s="9" t="n"/>
      <c r="AN32" s="9" t="n"/>
      <c r="AO32" s="9" t="n">
        <v>15</v>
      </c>
      <c r="AP32" s="9" t="n">
        <v>7</v>
      </c>
    </row>
    <row r="33">
      <c r="A33" s="9" t="inlineStr">
        <is>
          <t>ChIJ1SAzAGF_mQARQgP-yrPBxbQ</t>
        </is>
      </c>
      <c r="B33" s="9" t="inlineStr">
        <is>
          <t>RED jogos</t>
        </is>
      </c>
      <c r="C33" s="9" t="inlineStr">
        <is>
          <t>Rio de Janeiro</t>
        </is>
      </c>
      <c r="D33" s="9" t="inlineStr">
        <is>
          <t>triagem manual</t>
        </is>
      </c>
      <c r="E33" s="9" t="inlineStr">
        <is>
          <t>Av. Treze de Maio, 23 - sala 533 - Centro, Rio de Janeiro - RJ, 20031-902, Brazil</t>
        </is>
      </c>
      <c r="F33" s="10" t="n">
        <v>4.7</v>
      </c>
      <c r="G33" s="11" t="n">
        <v>800</v>
      </c>
      <c r="H33" s="9" t="inlineStr">
        <is>
          <t>https://maps.google.com/?cid=13026030475187979074&amp;g_mp=CiVnb29nbGUubWFwcy5wbGFjZXMudjEuUGxhY2VzLkdldFBsYWNlEAIYBCAA</t>
        </is>
      </c>
      <c r="I33" s="9" t="n">
        <v>6</v>
      </c>
      <c r="J33" s="9" t="n">
        <v>47</v>
      </c>
      <c r="K33" s="9" t="inlineStr">
        <is>
          <t>11:00</t>
        </is>
      </c>
      <c r="L33" s="9" t="inlineStr">
        <is>
          <t>20:00</t>
        </is>
      </c>
      <c r="M33" s="9" t="inlineStr">
        <is>
          <t>12:00-20:00</t>
        </is>
      </c>
      <c r="N33" s="9" t="inlineStr">
        <is>
          <t>12:00-20:00</t>
        </is>
      </c>
      <c r="O33" s="9" t="inlineStr">
        <is>
          <t>12:00-20:00</t>
        </is>
      </c>
      <c r="P33" s="9" t="inlineStr">
        <is>
          <t>12:00-20:00</t>
        </is>
      </c>
      <c r="Q33" s="9" t="inlineStr">
        <is>
          <t>12:00-20:00</t>
        </is>
      </c>
      <c r="R33" s="9" t="inlineStr">
        <is>
          <t>11:00-18:00</t>
        </is>
      </c>
      <c r="S33" s="9" t="n"/>
      <c r="T33" s="9" t="n">
        <v>2</v>
      </c>
      <c r="U33" s="9" t="n">
        <v>3</v>
      </c>
      <c r="V33" s="9" t="n">
        <v>161</v>
      </c>
      <c r="W33" s="9" t="n"/>
      <c r="X33" s="9" t="n"/>
      <c r="Y33" s="9" t="n">
        <v>496</v>
      </c>
      <c r="Z33" s="9" t="inlineStr">
        <is>
          <t>lojaredjogos</t>
        </is>
      </c>
      <c r="AA33" s="11" t="n">
        <v>21522</v>
      </c>
      <c r="AB33" s="11" t="n">
        <v>1164</v>
      </c>
      <c r="AC33" s="9" t="inlineStr">
        <is>
          <t>2015-10-09</t>
        </is>
      </c>
      <c r="AD33" s="9" t="n">
        <v>12</v>
      </c>
      <c r="AE33" s="11" t="n">
        <v>968</v>
      </c>
      <c r="AF33" s="11" t="n">
        <v>103</v>
      </c>
      <c r="AG33" s="9" t="n"/>
      <c r="AH33" s="9" t="n"/>
      <c r="AI33" s="9" t="n"/>
      <c r="AJ33" s="12">
        <f>IFERROR(INDEX(cesta!$O$2:$O$43,MATCH($A33,cesta!$A$2:$A$43,0)),"")</f>
        <v/>
      </c>
      <c r="AK33" s="12">
        <f>IFERROR(INDEX(cesta!$P$2:$P$43,MATCH($A33,cesta!$A$2:$A$43,0)),"")</f>
        <v/>
      </c>
      <c r="AL33" s="12">
        <f>IFERROR(INDEX(cesta!$Q$2:$Q$43,MATCH($A33,cesta!$A$2:$A$43,0)),"")</f>
        <v/>
      </c>
      <c r="AM33" s="9" t="n"/>
      <c r="AN33" s="9" t="n"/>
      <c r="AO33" s="9" t="n">
        <v>10</v>
      </c>
      <c r="AP33" s="9" t="n">
        <v>6</v>
      </c>
    </row>
    <row r="34">
      <c r="A34" s="9" t="inlineStr">
        <is>
          <t>ChIJOcVssmeDmQARZZrnWu2mnwA</t>
        </is>
      </c>
      <c r="B34" s="9" t="inlineStr">
        <is>
          <t>TabuClub</t>
        </is>
      </c>
      <c r="C34" s="9" t="inlineStr">
        <is>
          <t>Rio de Janeiro</t>
        </is>
      </c>
      <c r="D34" s="9" t="inlineStr">
        <is>
          <t>acervodejogos</t>
        </is>
      </c>
      <c r="E34" s="9" t="inlineStr">
        <is>
          <t>R. Newton Prado, 29 - Santa Rosa, Niterói - RJ, 24240-004</t>
        </is>
      </c>
      <c r="F34" s="10" t="n">
        <v>4.7</v>
      </c>
      <c r="G34" s="11" t="n">
        <v>105</v>
      </c>
      <c r="H34" s="9" t="inlineStr">
        <is>
          <t>https://maps.google.com/?cid=44938059659582053</t>
        </is>
      </c>
      <c r="I34" s="9" t="n">
        <v>6</v>
      </c>
      <c r="J34" s="9" t="n">
        <v>43</v>
      </c>
      <c r="K34" s="9" t="inlineStr">
        <is>
          <t>14:00</t>
        </is>
      </c>
      <c r="L34" s="9" t="inlineStr">
        <is>
          <t>24:00</t>
        </is>
      </c>
      <c r="M34" s="9" t="n"/>
      <c r="N34" s="9" t="inlineStr">
        <is>
          <t>17:00-23:00</t>
        </is>
      </c>
      <c r="O34" s="9" t="inlineStr">
        <is>
          <t>17:00-23:00</t>
        </is>
      </c>
      <c r="P34" s="9" t="inlineStr">
        <is>
          <t>17:00-23:00</t>
        </is>
      </c>
      <c r="Q34" s="9" t="inlineStr">
        <is>
          <t>17:00-00:00</t>
        </is>
      </c>
      <c r="R34" s="9" t="inlineStr">
        <is>
          <t>14:00-00:00</t>
        </is>
      </c>
      <c r="S34" s="9" t="inlineStr">
        <is>
          <t>14:00-22:00</t>
        </is>
      </c>
      <c r="T34" s="9" t="n">
        <v>0</v>
      </c>
      <c r="U34" s="9" t="n">
        <v>0</v>
      </c>
      <c r="V34" s="9" t="n"/>
      <c r="W34" s="9" t="n"/>
      <c r="X34" s="9" t="n"/>
      <c r="Y34" s="9" t="n">
        <v>153</v>
      </c>
      <c r="Z34" s="9" t="inlineStr">
        <is>
          <t>tabuclubnit</t>
        </is>
      </c>
      <c r="AA34" s="11" t="n"/>
      <c r="AB34" s="11" t="n"/>
      <c r="AC34" s="9" t="inlineStr">
        <is>
          <t>2023-07-22</t>
        </is>
      </c>
      <c r="AD34" s="9" t="n">
        <v>8</v>
      </c>
      <c r="AE34" s="11" t="n">
        <v>1576</v>
      </c>
      <c r="AF34" s="11" t="n">
        <v>85</v>
      </c>
      <c r="AG34" s="9" t="n"/>
      <c r="AH34" s="9" t="n">
        <v>75</v>
      </c>
      <c r="AI34" s="9" t="inlineStr">
        <is>
          <t>não encontrado</t>
        </is>
      </c>
      <c r="AJ34" s="12">
        <f>IFERROR(INDEX(cesta!$O$2:$O$43,MATCH($A34,cesta!$A$2:$A$43,0)),"")</f>
        <v/>
      </c>
      <c r="AK34" s="12">
        <f>IFERROR(INDEX(cesta!$P$2:$P$43,MATCH($A34,cesta!$A$2:$A$43,0)),"")</f>
        <v/>
      </c>
      <c r="AL34" s="12">
        <f>IFERROR(INDEX(cesta!$Q$2:$Q$43,MATCH($A34,cesta!$A$2:$A$43,0)),"")</f>
        <v/>
      </c>
      <c r="AM34" s="9" t="n">
        <v>1357</v>
      </c>
      <c r="AN34" s="9" t="inlineStr">
        <is>
          <t>acervodejogos</t>
        </is>
      </c>
      <c r="AO34" s="9" t="n"/>
      <c r="AP34" s="9" t="n"/>
    </row>
    <row r="35">
      <c r="A35" s="9" t="inlineStr">
        <is>
          <t>ChIJoTlvBfMbFgcRHvuCKHBQrXQ</t>
        </is>
      </c>
      <c r="B35" s="9" t="inlineStr">
        <is>
          <t>São Jogue - Bela Vista</t>
        </is>
      </c>
      <c r="C35" s="9" t="inlineStr">
        <is>
          <t>Salvador</t>
        </is>
      </c>
      <c r="D35" s="9" t="inlineStr">
        <is>
          <t>triagem manual</t>
        </is>
      </c>
      <c r="E35" s="9" t="inlineStr">
        <is>
          <t>Alameda Euvaldo Luz, 92 - Pernambués, Salvador - BA, 41098-020, Brazil</t>
        </is>
      </c>
      <c r="F35" s="10" t="n">
        <v>4.8</v>
      </c>
      <c r="G35" s="11" t="n">
        <v>787</v>
      </c>
      <c r="H35" s="9" t="inlineStr">
        <is>
          <t>https://maps.google.com/?cid=8407464522016815902&amp;g_mp=CiVnb29nbGUubWFwcy5wbGFjZXMudjEuUGxhY2VzLkdldFBsYWNlEAIYBCAA</t>
        </is>
      </c>
      <c r="I35" s="9" t="n">
        <v>7</v>
      </c>
      <c r="J35" s="9" t="n">
        <v>68</v>
      </c>
      <c r="K35" s="9" t="inlineStr">
        <is>
          <t>12:00</t>
        </is>
      </c>
      <c r="L35" s="9" t="inlineStr">
        <is>
          <t>22:00</t>
        </is>
      </c>
      <c r="M35" s="9" t="inlineStr">
        <is>
          <t>12:00-22:00</t>
        </is>
      </c>
      <c r="N35" s="9" t="inlineStr">
        <is>
          <t>12:00-22:00</t>
        </is>
      </c>
      <c r="O35" s="9" t="inlineStr">
        <is>
          <t>12:00-22:00</t>
        </is>
      </c>
      <c r="P35" s="9" t="inlineStr">
        <is>
          <t>12:00-22:00</t>
        </is>
      </c>
      <c r="Q35" s="9" t="inlineStr">
        <is>
          <t>12:00-22:00</t>
        </is>
      </c>
      <c r="R35" s="9" t="inlineStr">
        <is>
          <t>12:00-22:00</t>
        </is>
      </c>
      <c r="S35" s="9" t="inlineStr">
        <is>
          <t>13:00-21:00</t>
        </is>
      </c>
      <c r="T35" s="9" t="n">
        <v>1</v>
      </c>
      <c r="U35" s="9" t="n">
        <v>2</v>
      </c>
      <c r="V35" s="9" t="n">
        <v>387</v>
      </c>
      <c r="W35" s="9" t="n"/>
      <c r="X35" s="9" t="n"/>
      <c r="Y35" s="9" t="n">
        <v>118</v>
      </c>
      <c r="Z35" s="9" t="inlineStr">
        <is>
          <t>saojogue</t>
        </is>
      </c>
      <c r="AA35" s="11" t="n">
        <v>38492</v>
      </c>
      <c r="AB35" s="11" t="n">
        <v>2036</v>
      </c>
      <c r="AC35" s="9" t="inlineStr">
        <is>
          <t>2017-11-15</t>
        </is>
      </c>
      <c r="AD35" s="9" t="n">
        <v>26</v>
      </c>
      <c r="AE35" s="11" t="n">
        <v>8448</v>
      </c>
      <c r="AF35" s="11" t="n">
        <v>251</v>
      </c>
      <c r="AG35" s="9" t="n"/>
      <c r="AH35" s="9" t="n">
        <v>56</v>
      </c>
      <c r="AI35" s="9" t="inlineStr">
        <is>
          <t>não encontrado</t>
        </is>
      </c>
      <c r="AJ35" s="12">
        <f>IFERROR(INDEX(cesta!$O$2:$O$43,MATCH($A35,cesta!$A$2:$A$43,0)),"")</f>
        <v/>
      </c>
      <c r="AK35" s="12">
        <f>IFERROR(INDEX(cesta!$P$2:$P$43,MATCH($A35,cesta!$A$2:$A$43,0)),"")</f>
        <v/>
      </c>
      <c r="AL35" s="12">
        <f>IFERROR(INDEX(cesta!$Q$2:$Q$43,MATCH($A35,cesta!$A$2:$A$43,0)),"")</f>
        <v/>
      </c>
      <c r="AM35" s="9" t="n">
        <v>370</v>
      </c>
      <c r="AN35" s="9" t="inlineStr">
        <is>
          <t>acervodejogos</t>
        </is>
      </c>
      <c r="AO35" s="9" t="n">
        <v>5</v>
      </c>
      <c r="AP35" s="9" t="n">
        <v>4</v>
      </c>
    </row>
    <row r="36">
      <c r="A36" s="9" t="inlineStr">
        <is>
          <t>ChIJYTHwWgBbzpQRFenbJdM5cxU</t>
        </is>
      </c>
      <c r="B36" s="9" t="inlineStr">
        <is>
          <t>Arena BG | Jogos de Tabuleiro | Hamburgueria</t>
        </is>
      </c>
      <c r="C36" s="9" t="inlineStr">
        <is>
          <t>São Paulo</t>
        </is>
      </c>
      <c r="D36" s="9" t="inlineStr">
        <is>
          <t>triagem manual</t>
        </is>
      </c>
      <c r="E36" s="9" t="inlineStr">
        <is>
          <t>R. Lino Coutinho, 1791 - Ipiranga, São Paulo - SP, 04207-002, Brazil</t>
        </is>
      </c>
      <c r="F36" s="10" t="n">
        <v>4.8</v>
      </c>
      <c r="G36" s="11" t="n">
        <v>145</v>
      </c>
      <c r="H36" s="9" t="inlineStr">
        <is>
          <t>https://maps.google.com/?cid=1545642676154263829&amp;g_mp=CiVnb29nbGUubWFwcy5wbGFjZXMudjEuUGxhY2VzLkdldFBsYWNlEAIYBCAA</t>
        </is>
      </c>
      <c r="I36" s="9" t="n">
        <v>5</v>
      </c>
      <c r="J36" s="9" t="n">
        <v>33</v>
      </c>
      <c r="K36" s="9" t="inlineStr">
        <is>
          <t>14:00</t>
        </is>
      </c>
      <c r="L36" s="9" t="inlineStr">
        <is>
          <t>25:00</t>
        </is>
      </c>
      <c r="M36" s="9" t="n"/>
      <c r="N36" s="9" t="n"/>
      <c r="O36" s="9" t="inlineStr">
        <is>
          <t>17:00-22:00</t>
        </is>
      </c>
      <c r="P36" s="9" t="inlineStr">
        <is>
          <t>17:00-22:00</t>
        </is>
      </c>
      <c r="Q36" s="9" t="inlineStr">
        <is>
          <t>17:00-00:00</t>
        </is>
      </c>
      <c r="R36" s="9" t="inlineStr">
        <is>
          <t>17:00-01:00</t>
        </is>
      </c>
      <c r="S36" s="9" t="inlineStr">
        <is>
          <t>14:00-22:00</t>
        </is>
      </c>
      <c r="T36" s="9" t="n">
        <v>1</v>
      </c>
      <c r="U36" s="9" t="n">
        <v>1</v>
      </c>
      <c r="V36" s="9" t="n">
        <v>351</v>
      </c>
      <c r="W36" s="9" t="n"/>
      <c r="X36" s="9" t="n"/>
      <c r="Y36" s="9" t="n"/>
      <c r="Z36" s="9" t="inlineStr">
        <is>
          <t>aarenabg</t>
        </is>
      </c>
      <c r="AA36" s="11" t="n">
        <v>6682</v>
      </c>
      <c r="AB36" s="11" t="n">
        <v>520</v>
      </c>
      <c r="AC36" s="9" t="inlineStr">
        <is>
          <t>2024-05-08</t>
        </is>
      </c>
      <c r="AD36" s="9" t="n">
        <v>32</v>
      </c>
      <c r="AE36" s="11" t="n">
        <v>688</v>
      </c>
      <c r="AF36" s="11" t="n">
        <v>67</v>
      </c>
      <c r="AG36" s="9" t="n"/>
      <c r="AH36" s="9" t="n">
        <v>65</v>
      </c>
      <c r="AI36" s="9" t="inlineStr">
        <is>
          <t>sim</t>
        </is>
      </c>
      <c r="AJ36" s="12">
        <f>IFERROR(INDEX(cesta!$O$2:$O$43,MATCH($A36,cesta!$A$2:$A$43,0)),"")</f>
        <v/>
      </c>
      <c r="AK36" s="12">
        <f>IFERROR(INDEX(cesta!$P$2:$P$43,MATCH($A36,cesta!$A$2:$A$43,0)),"")</f>
        <v/>
      </c>
      <c r="AL36" s="12">
        <f>IFERROR(INDEX(cesta!$Q$2:$Q$43,MATCH($A36,cesta!$A$2:$A$43,0)),"")</f>
        <v/>
      </c>
      <c r="AM36" s="9" t="n">
        <v>540</v>
      </c>
      <c r="AN36" s="9" t="inlineStr">
        <is>
          <t>ludopedia</t>
        </is>
      </c>
      <c r="AO36" s="9" t="n">
        <v>17</v>
      </c>
      <c r="AP36" s="9" t="n">
        <v>13</v>
      </c>
    </row>
    <row r="37">
      <c r="A37" s="9" t="inlineStr">
        <is>
          <t>ChIJKeHwNv5ZzpQRlmzx9rCTWdM</t>
        </is>
      </c>
      <c r="B37" s="9" t="inlineStr">
        <is>
          <t>Bodogami Restaurante e Cafeteria</t>
        </is>
      </c>
      <c r="C37" s="9" t="inlineStr">
        <is>
          <t>São Paulo</t>
        </is>
      </c>
      <c r="D37" s="9" t="inlineStr">
        <is>
          <t>triagem manual</t>
        </is>
      </c>
      <c r="E37" s="9" t="inlineStr">
        <is>
          <t>Av. da Liberdade, 456 - Liberdade, São Paulo - SP, 01502-001, Brazil</t>
        </is>
      </c>
      <c r="F37" s="10" t="n">
        <v>4.6</v>
      </c>
      <c r="G37" s="11" t="n">
        <v>3386</v>
      </c>
      <c r="H37" s="9" t="inlineStr">
        <is>
          <t>https://maps.google.com/?cid=15229366003196587158&amp;g_mp=CiVnb29nbGUubWFwcy5wbGFjZXMudjEuUGxhY2VzLkdldFBsYWNlEAIYBCAA</t>
        </is>
      </c>
      <c r="I37" s="9" t="n">
        <v>7</v>
      </c>
      <c r="J37" s="9" t="n">
        <v>77</v>
      </c>
      <c r="K37" s="9" t="inlineStr">
        <is>
          <t>11:00</t>
        </is>
      </c>
      <c r="L37" s="9" t="inlineStr">
        <is>
          <t>22:30</t>
        </is>
      </c>
      <c r="M37" s="9" t="inlineStr">
        <is>
          <t>11:00-22:00</t>
        </is>
      </c>
      <c r="N37" s="9" t="inlineStr">
        <is>
          <t>11:00-22:00</t>
        </is>
      </c>
      <c r="O37" s="9" t="inlineStr">
        <is>
          <t>11:00-22:00</t>
        </is>
      </c>
      <c r="P37" s="9" t="inlineStr">
        <is>
          <t>11:00-22:00</t>
        </is>
      </c>
      <c r="Q37" s="9" t="inlineStr">
        <is>
          <t>11:00-22:30</t>
        </is>
      </c>
      <c r="R37" s="9" t="inlineStr">
        <is>
          <t>11:00-22:30</t>
        </is>
      </c>
      <c r="S37" s="9" t="inlineStr">
        <is>
          <t>11:00-21:00</t>
        </is>
      </c>
      <c r="T37" s="9" t="n">
        <v>1</v>
      </c>
      <c r="U37" s="9" t="n">
        <v>2</v>
      </c>
      <c r="V37" s="9" t="n">
        <v>204</v>
      </c>
      <c r="W37" s="9" t="n"/>
      <c r="X37" s="9" t="n"/>
      <c r="Y37" s="9" t="n">
        <v>163</v>
      </c>
      <c r="Z37" s="9" t="inlineStr">
        <is>
          <t>bodogami</t>
        </is>
      </c>
      <c r="AA37" s="11" t="n">
        <v>74000</v>
      </c>
      <c r="AB37" s="11" t="n">
        <v>2374</v>
      </c>
      <c r="AC37" s="9" t="inlineStr">
        <is>
          <t>2017-01-12</t>
        </is>
      </c>
      <c r="AD37" s="9" t="n">
        <v>4</v>
      </c>
      <c r="AE37" s="11" t="n">
        <v>444</v>
      </c>
      <c r="AF37" s="11" t="n">
        <v>8</v>
      </c>
      <c r="AG37" s="9" t="n"/>
      <c r="AH37" s="9" t="n">
        <v>89</v>
      </c>
      <c r="AI37" s="9" t="inlineStr">
        <is>
          <t>não encontrado</t>
        </is>
      </c>
      <c r="AJ37" s="12">
        <f>IFERROR(INDEX(cesta!$O$2:$O$43,MATCH($A37,cesta!$A$2:$A$43,0)),"")</f>
        <v/>
      </c>
      <c r="AK37" s="12">
        <f>IFERROR(INDEX(cesta!$P$2:$P$43,MATCH($A37,cesta!$A$2:$A$43,0)),"")</f>
        <v/>
      </c>
      <c r="AL37" s="12">
        <f>IFERROR(INDEX(cesta!$Q$2:$Q$43,MATCH($A37,cesta!$A$2:$A$43,0)),"")</f>
        <v/>
      </c>
      <c r="AM37" s="9" t="n">
        <v>934</v>
      </c>
      <c r="AN37" s="9" t="inlineStr">
        <is>
          <t>acervodejogos</t>
        </is>
      </c>
      <c r="AO37" s="9" t="n">
        <v>712</v>
      </c>
      <c r="AP37" s="9" t="n">
        <v>453</v>
      </c>
    </row>
    <row r="38">
      <c r="A38" s="9" t="inlineStr">
        <is>
          <t>ChIJ__9TTnxCzpQRwVSzrOijkRY</t>
        </is>
      </c>
      <c r="B38" s="9" t="inlineStr">
        <is>
          <t>Bravo Jogos</t>
        </is>
      </c>
      <c r="C38" s="9" t="inlineStr">
        <is>
          <t>São Paulo</t>
        </is>
      </c>
      <c r="D38" s="9" t="inlineStr">
        <is>
          <t>triagem manual</t>
        </is>
      </c>
      <c r="E38" s="9" t="inlineStr">
        <is>
          <t>Rua Coronel Alfredo Flaquer, 411 - Centro, Santo André - SP, 09020-030, Brazil</t>
        </is>
      </c>
      <c r="F38" s="10" t="n">
        <v>4.9</v>
      </c>
      <c r="G38" s="11" t="n">
        <v>1719</v>
      </c>
      <c r="H38" s="9" t="inlineStr">
        <is>
          <t>https://maps.google.com/?cid=1626261160182633665&amp;g_mp=CiVnb29nbGUubWFwcy5wbGFjZXMudjEuUGxhY2VzLkdldFBsYWNlEAIYBCAA</t>
        </is>
      </c>
      <c r="I38" s="9" t="n">
        <v>5</v>
      </c>
      <c r="J38" s="9" t="n">
        <v>55</v>
      </c>
      <c r="K38" s="9" t="inlineStr">
        <is>
          <t>10:00</t>
        </is>
      </c>
      <c r="L38" s="9" t="inlineStr">
        <is>
          <t>21:00</t>
        </is>
      </c>
      <c r="M38" s="9" t="n"/>
      <c r="N38" s="9" t="inlineStr">
        <is>
          <t>10:00-21:00</t>
        </is>
      </c>
      <c r="O38" s="9" t="inlineStr">
        <is>
          <t>10:00-21:00</t>
        </is>
      </c>
      <c r="P38" s="9" t="inlineStr">
        <is>
          <t>10:00-21:00</t>
        </is>
      </c>
      <c r="Q38" s="9" t="inlineStr">
        <is>
          <t>10:00-21:00</t>
        </is>
      </c>
      <c r="R38" s="9" t="inlineStr">
        <is>
          <t>10:00-21:00</t>
        </is>
      </c>
      <c r="S38" s="9" t="n"/>
      <c r="T38" s="9" t="n">
        <v>0</v>
      </c>
      <c r="U38" s="9" t="n">
        <v>0</v>
      </c>
      <c r="V38" s="9" t="n"/>
      <c r="W38" s="9" t="n"/>
      <c r="X38" s="9" t="n"/>
      <c r="Y38" s="9" t="n">
        <v>684</v>
      </c>
      <c r="Z38" s="9" t="inlineStr">
        <is>
          <t>bravojogos</t>
        </is>
      </c>
      <c r="AA38" s="11" t="n">
        <v>65145</v>
      </c>
      <c r="AB38" s="11" t="n">
        <v>1782</v>
      </c>
      <c r="AC38" s="9" t="n"/>
      <c r="AD38" s="9" t="n">
        <v>14</v>
      </c>
      <c r="AE38" s="11" t="n">
        <v>7178</v>
      </c>
      <c r="AF38" s="11" t="n">
        <v>222</v>
      </c>
      <c r="AG38" s="9" t="n"/>
      <c r="AH38" s="9" t="n"/>
      <c r="AI38" s="9" t="n"/>
      <c r="AJ38" s="12">
        <f>IFERROR(INDEX(cesta!$O$2:$O$43,MATCH($A38,cesta!$A$2:$A$43,0)),"")</f>
        <v/>
      </c>
      <c r="AK38" s="12">
        <f>IFERROR(INDEX(cesta!$P$2:$P$43,MATCH($A38,cesta!$A$2:$A$43,0)),"")</f>
        <v/>
      </c>
      <c r="AL38" s="12">
        <f>IFERROR(INDEX(cesta!$Q$2:$Q$43,MATCH($A38,cesta!$A$2:$A$43,0)),"")</f>
        <v/>
      </c>
      <c r="AM38" s="9" t="n"/>
      <c r="AN38" s="9" t="n"/>
      <c r="AO38" s="9" t="n">
        <v>32</v>
      </c>
      <c r="AP38" s="9" t="n">
        <v>24</v>
      </c>
    </row>
    <row r="39">
      <c r="A39" s="9" t="inlineStr">
        <is>
          <t>ChIJrT_EWwBZzpQRGAZzptZbtsY</t>
        </is>
      </c>
      <c r="B39" s="9" t="inlineStr">
        <is>
          <t>Cartola Luderia Bar</t>
        </is>
      </c>
      <c r="C39" s="9" t="inlineStr">
        <is>
          <t>São Paulo</t>
        </is>
      </c>
      <c r="D39" s="9" t="inlineStr">
        <is>
          <t>triagem manual</t>
        </is>
      </c>
      <c r="E39" s="9" t="inlineStr">
        <is>
          <t>R. Dr. Siqueira Campos, 42 - Liberdade, São Paulo - SP, 01153-000, Brazil</t>
        </is>
      </c>
      <c r="F39" s="10" t="n">
        <v>4.7</v>
      </c>
      <c r="G39" s="11" t="n">
        <v>242</v>
      </c>
      <c r="H39" s="9" t="inlineStr">
        <is>
          <t>https://maps.google.com/?cid=14318733042744755736&amp;g_mp=CiVnb29nbGUubWFwcy5wbGFjZXMudjEuUGxhY2VzLkdldFBsYWNlEAIYBCAA</t>
        </is>
      </c>
      <c r="I39" s="9" t="n">
        <v>3</v>
      </c>
      <c r="J39" s="9" t="n">
        <v>19.5</v>
      </c>
      <c r="K39" s="9" t="inlineStr">
        <is>
          <t>17:00</t>
        </is>
      </c>
      <c r="L39" s="9" t="inlineStr">
        <is>
          <t>23:30</t>
        </is>
      </c>
      <c r="M39" s="9" t="n"/>
      <c r="N39" s="9" t="n"/>
      <c r="O39" s="9" t="n"/>
      <c r="P39" s="9" t="inlineStr">
        <is>
          <t>17:00-23:30</t>
        </is>
      </c>
      <c r="Q39" s="9" t="inlineStr">
        <is>
          <t>17:00-23:30</t>
        </is>
      </c>
      <c r="R39" s="9" t="inlineStr">
        <is>
          <t>17:00-23:30</t>
        </is>
      </c>
      <c r="S39" s="9" t="n"/>
      <c r="T39" s="9" t="n">
        <v>0</v>
      </c>
      <c r="U39" s="9" t="n">
        <v>2</v>
      </c>
      <c r="V39" s="9" t="n">
        <v>607</v>
      </c>
      <c r="W39" s="9" t="n"/>
      <c r="X39" s="9" t="n"/>
      <c r="Y39" s="9" t="n">
        <v>907</v>
      </c>
      <c r="Z39" s="9" t="inlineStr">
        <is>
          <t>cartolaluderia</t>
        </is>
      </c>
      <c r="AA39" s="11" t="n">
        <v>11500</v>
      </c>
      <c r="AB39" s="11" t="n">
        <v>670</v>
      </c>
      <c r="AC39" s="9" t="inlineStr">
        <is>
          <t>2024-03-23</t>
        </is>
      </c>
      <c r="AD39" s="9" t="n">
        <v>21</v>
      </c>
      <c r="AE39" s="11" t="n">
        <v>1061</v>
      </c>
      <c r="AF39" s="11" t="n">
        <v>24</v>
      </c>
      <c r="AG39" s="9" t="n"/>
      <c r="AH39" s="9" t="n">
        <v>50</v>
      </c>
      <c r="AI39" s="9" t="inlineStr">
        <is>
          <t>não encontrado</t>
        </is>
      </c>
      <c r="AJ39" s="12">
        <f>IFERROR(INDEX(cesta!$O$2:$O$43,MATCH($A39,cesta!$A$2:$A$43,0)),"")</f>
        <v/>
      </c>
      <c r="AK39" s="12">
        <f>IFERROR(INDEX(cesta!$P$2:$P$43,MATCH($A39,cesta!$A$2:$A$43,0)),"")</f>
        <v/>
      </c>
      <c r="AL39" s="12">
        <f>IFERROR(INDEX(cesta!$Q$2:$Q$43,MATCH($A39,cesta!$A$2:$A$43,0)),"")</f>
        <v/>
      </c>
      <c r="AM39" s="9" t="n"/>
      <c r="AN39" s="9" t="n"/>
      <c r="AO39" s="9" t="n">
        <v>51</v>
      </c>
      <c r="AP39" s="9" t="n">
        <v>38</v>
      </c>
    </row>
    <row r="40">
      <c r="A40" s="9" t="inlineStr">
        <is>
          <t>ChIJbZRHQPRfzpQRz97-ZOg0yXA</t>
        </is>
      </c>
      <c r="B40" s="9" t="inlineStr">
        <is>
          <t>Castelos Bar &amp; Boardgames</t>
        </is>
      </c>
      <c r="C40" s="9" t="inlineStr">
        <is>
          <t>São Paulo</t>
        </is>
      </c>
      <c r="D40" s="9" t="inlineStr">
        <is>
          <t>triagem manual</t>
        </is>
      </c>
      <c r="E40" s="9" t="inlineStr">
        <is>
          <t>R. Serra de Botucatu, 995 - Vila Gomes Cardim, São Paulo - SP, 03317-000, Brazil</t>
        </is>
      </c>
      <c r="F40" s="10" t="n">
        <v>4.6</v>
      </c>
      <c r="G40" s="11" t="n">
        <v>617</v>
      </c>
      <c r="H40" s="9" t="inlineStr">
        <is>
          <t>https://maps.google.com/?cid=8127085175298252495&amp;g_mp=CiVnb29nbGUubWFwcy5wbGFjZXMudjEuUGxhY2VzLkdldFBsYWNlEAIYBCAA</t>
        </is>
      </c>
      <c r="I40" s="9" t="n">
        <v>5</v>
      </c>
      <c r="J40" s="9" t="n">
        <v>29</v>
      </c>
      <c r="K40" s="9" t="inlineStr">
        <is>
          <t>14:00</t>
        </is>
      </c>
      <c r="L40" s="9" t="inlineStr">
        <is>
          <t>23:00</t>
        </is>
      </c>
      <c r="M40" s="9" t="n"/>
      <c r="N40" s="9" t="n"/>
      <c r="O40" s="9" t="inlineStr">
        <is>
          <t>18:00-23:00</t>
        </is>
      </c>
      <c r="P40" s="9" t="inlineStr">
        <is>
          <t>18:00-23:00</t>
        </is>
      </c>
      <c r="Q40" s="9" t="inlineStr">
        <is>
          <t>18:00-23:00</t>
        </is>
      </c>
      <c r="R40" s="9" t="inlineStr">
        <is>
          <t>16:00-23:00</t>
        </is>
      </c>
      <c r="S40" s="9" t="inlineStr">
        <is>
          <t>14:00-21:00</t>
        </is>
      </c>
      <c r="T40" s="9" t="n">
        <v>0</v>
      </c>
      <c r="U40" s="9" t="n">
        <v>1</v>
      </c>
      <c r="V40" s="9" t="n">
        <v>577</v>
      </c>
      <c r="W40" s="9" t="n"/>
      <c r="X40" s="9" t="n"/>
      <c r="Y40" s="9" t="n"/>
      <c r="Z40" s="9" t="inlineStr">
        <is>
          <t>castelosbareboardgames</t>
        </is>
      </c>
      <c r="AA40" s="11" t="n">
        <v>41545</v>
      </c>
      <c r="AB40" s="11" t="n">
        <v>1358</v>
      </c>
      <c r="AC40" s="9" t="inlineStr">
        <is>
          <t>2019-11-17</t>
        </is>
      </c>
      <c r="AD40" s="9" t="n">
        <v>1</v>
      </c>
      <c r="AE40" s="11" t="n">
        <v>20</v>
      </c>
      <c r="AF40" s="11" t="n">
        <v>0</v>
      </c>
      <c r="AG40" s="9" t="n"/>
      <c r="AH40" s="9" t="n">
        <v>66</v>
      </c>
      <c r="AI40" s="9" t="inlineStr">
        <is>
          <t>não encontrado</t>
        </is>
      </c>
      <c r="AJ40" s="12">
        <f>IFERROR(INDEX(cesta!$O$2:$O$43,MATCH($A40,cesta!$A$2:$A$43,0)),"")</f>
        <v/>
      </c>
      <c r="AK40" s="12">
        <f>IFERROR(INDEX(cesta!$P$2:$P$43,MATCH($A40,cesta!$A$2:$A$43,0)),"")</f>
        <v/>
      </c>
      <c r="AL40" s="12">
        <f>IFERROR(INDEX(cesta!$Q$2:$Q$43,MATCH($A40,cesta!$A$2:$A$43,0)),"")</f>
        <v/>
      </c>
      <c r="AM40" s="9" t="n">
        <v>225</v>
      </c>
      <c r="AN40" s="9" t="inlineStr">
        <is>
          <t>ludopedia</t>
        </is>
      </c>
      <c r="AO40" s="9" t="n">
        <v>80</v>
      </c>
      <c r="AP40" s="9" t="n">
        <v>48</v>
      </c>
    </row>
    <row r="41">
      <c r="A41" s="9" t="inlineStr">
        <is>
          <t>ChIJF9j3OCRbzpQRkk74_QtOk_0</t>
        </is>
      </c>
      <c r="B41" s="9" t="inlineStr">
        <is>
          <t>Coletivo Geek</t>
        </is>
      </c>
      <c r="C41" s="9" t="inlineStr">
        <is>
          <t>São Paulo</t>
        </is>
      </c>
      <c r="D41" s="9" t="inlineStr">
        <is>
          <t>triagem manual</t>
        </is>
      </c>
      <c r="E41" s="9" t="inlineStr">
        <is>
          <t>Alameda dos Nhambiquaras, 2013 - Moema, São Paulo - SP, 04090-013, Brazil</t>
        </is>
      </c>
      <c r="F41" s="10" t="n">
        <v>4.7</v>
      </c>
      <c r="G41" s="11" t="n">
        <v>477</v>
      </c>
      <c r="H41" s="9" t="inlineStr">
        <is>
          <t>https://maps.google.com/?cid=18272033926584749714&amp;g_mp=CiVnb29nbGUubWFwcy5wbGFjZXMudjEuUGxhY2VzLkdldFBsYWNlEAIYBCAA</t>
        </is>
      </c>
      <c r="I41" s="9" t="n">
        <v>6</v>
      </c>
      <c r="J41" s="9" t="n">
        <v>47</v>
      </c>
      <c r="K41" s="9" t="inlineStr">
        <is>
          <t>13:00</t>
        </is>
      </c>
      <c r="L41" s="9" t="inlineStr">
        <is>
          <t>23:00</t>
        </is>
      </c>
      <c r="M41" s="9" t="n"/>
      <c r="N41" s="9" t="inlineStr">
        <is>
          <t>16:00-23:00</t>
        </is>
      </c>
      <c r="O41" s="9" t="inlineStr">
        <is>
          <t>16:00-23:00</t>
        </is>
      </c>
      <c r="P41" s="9" t="inlineStr">
        <is>
          <t>16:00-23:00</t>
        </is>
      </c>
      <c r="Q41" s="9" t="inlineStr">
        <is>
          <t>16:00-23:00</t>
        </is>
      </c>
      <c r="R41" s="9" t="inlineStr">
        <is>
          <t>13:00-23:00</t>
        </is>
      </c>
      <c r="S41" s="9" t="inlineStr">
        <is>
          <t>13:00-22:00</t>
        </is>
      </c>
      <c r="T41" s="9" t="n">
        <v>0</v>
      </c>
      <c r="U41" s="9" t="n">
        <v>1</v>
      </c>
      <c r="V41" s="9" t="n">
        <v>555</v>
      </c>
      <c r="W41" s="9" t="n"/>
      <c r="X41" s="9" t="n"/>
      <c r="Y41" s="9" t="n">
        <v>494</v>
      </c>
      <c r="Z41" s="9" t="inlineStr">
        <is>
          <t>coletivogeekbr</t>
        </is>
      </c>
      <c r="AA41" s="11" t="n">
        <v>13059</v>
      </c>
      <c r="AB41" s="11" t="n">
        <v>501</v>
      </c>
      <c r="AC41" s="9" t="inlineStr">
        <is>
          <t>2019-04-03</t>
        </is>
      </c>
      <c r="AD41" s="9" t="n">
        <v>3</v>
      </c>
      <c r="AE41" s="11" t="n">
        <v>159</v>
      </c>
      <c r="AF41" s="11" t="n">
        <v>5</v>
      </c>
      <c r="AG41" s="9" t="n"/>
      <c r="AH41" s="9" t="n">
        <v>71</v>
      </c>
      <c r="AI41" s="9" t="inlineStr">
        <is>
          <t>não encontrado</t>
        </is>
      </c>
      <c r="AJ41" s="12">
        <f>IFERROR(INDEX(cesta!$O$2:$O$43,MATCH($A41,cesta!$A$2:$A$43,0)),"")</f>
        <v/>
      </c>
      <c r="AK41" s="12">
        <f>IFERROR(INDEX(cesta!$P$2:$P$43,MATCH($A41,cesta!$A$2:$A$43,0)),"")</f>
        <v/>
      </c>
      <c r="AL41" s="12">
        <f>IFERROR(INDEX(cesta!$Q$2:$Q$43,MATCH($A41,cesta!$A$2:$A$43,0)),"")</f>
        <v/>
      </c>
      <c r="AM41" s="9" t="n"/>
      <c r="AN41" s="9" t="n"/>
      <c r="AO41" s="9" t="n">
        <v>12</v>
      </c>
      <c r="AP41" s="9" t="n">
        <v>3</v>
      </c>
    </row>
    <row r="42">
      <c r="A42" s="9" t="inlineStr">
        <is>
          <t>ChIJ7_DDAlH1zpQRJVJ0UHnItH8</t>
        </is>
      </c>
      <c r="B42" s="9" t="inlineStr">
        <is>
          <t>Covil Game Bar</t>
        </is>
      </c>
      <c r="C42" s="9" t="inlineStr">
        <is>
          <t>São Paulo</t>
        </is>
      </c>
      <c r="D42" s="9" t="inlineStr">
        <is>
          <t>triagem manual</t>
        </is>
      </c>
      <c r="E42" s="9" t="inlineStr">
        <is>
          <t>Rua do Saboó, 12 - Jardim Barbosa, Guarulhos - SP, 07111-030, Brazil</t>
        </is>
      </c>
      <c r="F42" s="10" t="n">
        <v>4.6</v>
      </c>
      <c r="G42" s="11" t="n">
        <v>1714</v>
      </c>
      <c r="H42" s="9" t="inlineStr">
        <is>
          <t>https://maps.google.com/?cid=9202200361991164453&amp;g_mp=CiVnb29nbGUubWFwcy5wbGFjZXMudjEuUGxhY2VzLkdldFBsYWNlEAIYBCAA</t>
        </is>
      </c>
      <c r="I42" s="9" t="n">
        <v>5</v>
      </c>
      <c r="J42" s="9" t="n">
        <v>32</v>
      </c>
      <c r="K42" s="9" t="inlineStr">
        <is>
          <t>18:00</t>
        </is>
      </c>
      <c r="L42" s="9" t="inlineStr">
        <is>
          <t>25:00</t>
        </is>
      </c>
      <c r="M42" s="9" t="n"/>
      <c r="N42" s="9" t="n"/>
      <c r="O42" s="9" t="inlineStr">
        <is>
          <t>18:00-00:00</t>
        </is>
      </c>
      <c r="P42" s="9" t="inlineStr">
        <is>
          <t>18:00-00:00</t>
        </is>
      </c>
      <c r="Q42" s="9" t="inlineStr">
        <is>
          <t>18:00-01:00</t>
        </is>
      </c>
      <c r="R42" s="9" t="inlineStr">
        <is>
          <t>18:00-01:00</t>
        </is>
      </c>
      <c r="S42" s="9" t="inlineStr">
        <is>
          <t>18:00-00:00</t>
        </is>
      </c>
      <c r="T42" s="9" t="n">
        <v>0</v>
      </c>
      <c r="U42" s="9" t="n">
        <v>0</v>
      </c>
      <c r="V42" s="9" t="n"/>
      <c r="W42" s="9" t="n"/>
      <c r="X42" s="9" t="n"/>
      <c r="Y42" s="9" t="n">
        <v>424</v>
      </c>
      <c r="Z42" s="9" t="inlineStr">
        <is>
          <t>covilgb</t>
        </is>
      </c>
      <c r="AA42" s="11" t="n">
        <v>206000</v>
      </c>
      <c r="AB42" s="11" t="n">
        <v>790</v>
      </c>
      <c r="AC42" s="9" t="inlineStr">
        <is>
          <t>2016-11-30</t>
        </is>
      </c>
      <c r="AD42" s="9" t="n">
        <v>13</v>
      </c>
      <c r="AE42" s="11" t="n">
        <v>90413</v>
      </c>
      <c r="AF42" s="11" t="n">
        <v>949</v>
      </c>
      <c r="AG42" s="9" t="n"/>
      <c r="AH42" s="9" t="n">
        <v>71</v>
      </c>
      <c r="AI42" s="9" t="inlineStr">
        <is>
          <t>não encontrado</t>
        </is>
      </c>
      <c r="AJ42" s="12">
        <f>IFERROR(INDEX(cesta!$O$2:$O$43,MATCH($A42,cesta!$A$2:$A$43,0)),"")</f>
        <v/>
      </c>
      <c r="AK42" s="12">
        <f>IFERROR(INDEX(cesta!$P$2:$P$43,MATCH($A42,cesta!$A$2:$A$43,0)),"")</f>
        <v/>
      </c>
      <c r="AL42" s="12">
        <f>IFERROR(INDEX(cesta!$Q$2:$Q$43,MATCH($A42,cesta!$A$2:$A$43,0)),"")</f>
        <v/>
      </c>
      <c r="AM42" s="9" t="n">
        <v>239</v>
      </c>
      <c r="AN42" s="9" t="inlineStr">
        <is>
          <t>covil</t>
        </is>
      </c>
      <c r="AO42" s="9" t="n">
        <v>17</v>
      </c>
      <c r="AP42" s="9" t="n">
        <v>6</v>
      </c>
    </row>
    <row r="43">
      <c r="A43" s="9" t="inlineStr">
        <is>
          <t>ChIJiZJ_DnIDz5QRaVafFCXGkUE</t>
        </is>
      </c>
      <c r="B43" s="9" t="inlineStr">
        <is>
          <t>Dungeon Games Store</t>
        </is>
      </c>
      <c r="C43" s="9" t="inlineStr">
        <is>
          <t>São Paulo</t>
        </is>
      </c>
      <c r="D43" s="9" t="inlineStr">
        <is>
          <t>triagem manual</t>
        </is>
      </c>
      <c r="E43" s="9" t="inlineStr">
        <is>
          <t>R. Duque de Caxias, 317 - Loja 4, 2º Subsolo - Centro, Barueri - SP, 06401-010, Brazil</t>
        </is>
      </c>
      <c r="F43" s="10" t="n">
        <v>4.9</v>
      </c>
      <c r="G43" s="11" t="n">
        <v>217</v>
      </c>
      <c r="H43" s="9" t="inlineStr">
        <is>
          <t>https://maps.google.com/?cid=4724775346650437225&amp;g_mp=CiVnb29nbGUubWFwcy5wbGFjZXMudjEuUGxhY2VzLkdldFBsYWNlEAIYBCAA</t>
        </is>
      </c>
      <c r="I43" s="9" t="n">
        <v>5</v>
      </c>
      <c r="J43" s="9" t="n">
        <v>33</v>
      </c>
      <c r="K43" s="9" t="inlineStr">
        <is>
          <t>13:00</t>
        </is>
      </c>
      <c r="L43" s="9" t="inlineStr">
        <is>
          <t>22:00</t>
        </is>
      </c>
      <c r="M43" s="9" t="n"/>
      <c r="N43" s="9" t="n"/>
      <c r="O43" s="9" t="inlineStr">
        <is>
          <t>16:00-22:00</t>
        </is>
      </c>
      <c r="P43" s="9" t="inlineStr">
        <is>
          <t>16:00-22:00</t>
        </is>
      </c>
      <c r="Q43" s="9" t="inlineStr">
        <is>
          <t>16:00-22:00</t>
        </is>
      </c>
      <c r="R43" s="9" t="inlineStr">
        <is>
          <t>13:00-22:00</t>
        </is>
      </c>
      <c r="S43" s="9" t="inlineStr">
        <is>
          <t>13:00-19:00</t>
        </is>
      </c>
      <c r="T43" s="9" t="n">
        <v>0</v>
      </c>
      <c r="U43" s="9" t="n">
        <v>0</v>
      </c>
      <c r="V43" s="9" t="n"/>
      <c r="W43" s="9" t="n"/>
      <c r="X43" s="9" t="n"/>
      <c r="Y43" s="9" t="n"/>
      <c r="Z43" s="9" t="inlineStr">
        <is>
          <t>dungeongames.oficial</t>
        </is>
      </c>
      <c r="AA43" s="11" t="n">
        <v>2732</v>
      </c>
      <c r="AB43" s="11" t="n">
        <v>270</v>
      </c>
      <c r="AC43" s="9" t="inlineStr">
        <is>
          <t>2021-11-10</t>
        </is>
      </c>
      <c r="AD43" s="9" t="n">
        <v>5</v>
      </c>
      <c r="AE43" s="11" t="n">
        <v>107</v>
      </c>
      <c r="AF43" s="11" t="n">
        <v>46</v>
      </c>
      <c r="AG43" s="9" t="n"/>
      <c r="AH43" s="9" t="n">
        <v>42</v>
      </c>
      <c r="AI43" s="9" t="inlineStr">
        <is>
          <t>não encontrado</t>
        </is>
      </c>
      <c r="AJ43" s="12">
        <f>IFERROR(INDEX(cesta!$O$2:$O$43,MATCH($A43,cesta!$A$2:$A$43,0)),"")</f>
        <v/>
      </c>
      <c r="AK43" s="12">
        <f>IFERROR(INDEX(cesta!$P$2:$P$43,MATCH($A43,cesta!$A$2:$A$43,0)),"")</f>
        <v/>
      </c>
      <c r="AL43" s="12">
        <f>IFERROR(INDEX(cesta!$Q$2:$Q$43,MATCH($A43,cesta!$A$2:$A$43,0)),"")</f>
        <v/>
      </c>
      <c r="AM43" s="9" t="n">
        <v>90</v>
      </c>
      <c r="AN43" s="9" t="inlineStr">
        <is>
          <t>acervodejogos</t>
        </is>
      </c>
      <c r="AO43" s="9" t="n">
        <v>7</v>
      </c>
      <c r="AP43" s="9" t="n">
        <v>4</v>
      </c>
    </row>
    <row r="44">
      <c r="A44" s="9" t="inlineStr">
        <is>
          <t>ChIJZz29dnVXzpQRvRh7_YKyUN4</t>
        </is>
      </c>
      <c r="B44" s="9" t="inlineStr">
        <is>
          <t>Encounter | Jogos de Tabuleiro | Board Games</t>
        </is>
      </c>
      <c r="C44" s="9" t="inlineStr">
        <is>
          <t>São Paulo</t>
        </is>
      </c>
      <c r="D44" s="9" t="inlineStr">
        <is>
          <t>triagem manual</t>
        </is>
      </c>
      <c r="E44" s="9" t="inlineStr">
        <is>
          <t>Av. dos Eucaliptos, 204 - Moema, São Paulo - SP, 04517-050, Brazil</t>
        </is>
      </c>
      <c r="F44" s="10" t="n">
        <v>4.8</v>
      </c>
      <c r="G44" s="11" t="n">
        <v>1123</v>
      </c>
      <c r="H44" s="9" t="inlineStr">
        <is>
          <t>https://maps.google.com/?cid=16019500150225049789&amp;g_mp=CiVnb29nbGUubWFwcy5wbGFjZXMudjEuUGxhY2VzLkdldFBsYWNlEAIYBCAA</t>
        </is>
      </c>
      <c r="I44" s="9" t="n">
        <v>6</v>
      </c>
      <c r="J44" s="9" t="n">
        <v>45</v>
      </c>
      <c r="K44" s="9" t="inlineStr">
        <is>
          <t>13:00</t>
        </is>
      </c>
      <c r="L44" s="9" t="inlineStr">
        <is>
          <t>25:00</t>
        </is>
      </c>
      <c r="M44" s="9" t="n"/>
      <c r="N44" s="9" t="inlineStr">
        <is>
          <t>17:00-23:00</t>
        </is>
      </c>
      <c r="O44" s="9" t="inlineStr">
        <is>
          <t>17:00-23:00</t>
        </is>
      </c>
      <c r="P44" s="9" t="inlineStr">
        <is>
          <t>17:00-23:00</t>
        </is>
      </c>
      <c r="Q44" s="9" t="inlineStr">
        <is>
          <t>17:00-01:00</t>
        </is>
      </c>
      <c r="R44" s="9" t="inlineStr">
        <is>
          <t>13:00-01:00</t>
        </is>
      </c>
      <c r="S44" s="9" t="inlineStr">
        <is>
          <t>15:00-22:00</t>
        </is>
      </c>
      <c r="T44" s="9" t="n">
        <v>0</v>
      </c>
      <c r="U44" s="9" t="n">
        <v>1</v>
      </c>
      <c r="V44" s="9" t="n">
        <v>687</v>
      </c>
      <c r="W44" s="9" t="n"/>
      <c r="X44" s="9" t="n"/>
      <c r="Y44" s="9" t="n">
        <v>835</v>
      </c>
      <c r="Z44" s="9" t="inlineStr">
        <is>
          <t>encounter.bg</t>
        </is>
      </c>
      <c r="AA44" s="11" t="n">
        <v>22391</v>
      </c>
      <c r="AB44" s="11" t="n">
        <v>1163</v>
      </c>
      <c r="AC44" s="9" t="inlineStr">
        <is>
          <t>2017-01-28</t>
        </is>
      </c>
      <c r="AD44" s="9" t="n">
        <v>15</v>
      </c>
      <c r="AE44" s="11" t="n">
        <v>1020</v>
      </c>
      <c r="AF44" s="11" t="n">
        <v>60</v>
      </c>
      <c r="AG44" s="9" t="n"/>
      <c r="AH44" s="9" t="n">
        <v>22</v>
      </c>
      <c r="AI44" s="9" t="inlineStr">
        <is>
          <t>não encontrado</t>
        </is>
      </c>
      <c r="AJ44" s="12">
        <f>IFERROR(INDEX(cesta!$O$2:$O$43,MATCH($A44,cesta!$A$2:$A$43,0)),"")</f>
        <v/>
      </c>
      <c r="AK44" s="12">
        <f>IFERROR(INDEX(cesta!$P$2:$P$43,MATCH($A44,cesta!$A$2:$A$43,0)),"")</f>
        <v/>
      </c>
      <c r="AL44" s="12">
        <f>IFERROR(INDEX(cesta!$Q$2:$Q$43,MATCH($A44,cesta!$A$2:$A$43,0)),"")</f>
        <v/>
      </c>
      <c r="AM44" s="9" t="n"/>
      <c r="AN44" s="9" t="n"/>
      <c r="AO44" s="9" t="n">
        <v>81</v>
      </c>
      <c r="AP44" s="9" t="n">
        <v>62</v>
      </c>
    </row>
    <row r="45">
      <c r="A45" s="9" t="inlineStr">
        <is>
          <t>ChIJ_aN4OAxXzpQR0UH63sAeVCA</t>
        </is>
      </c>
      <c r="B45" s="9" t="inlineStr">
        <is>
          <t>Fan Hour Games and Burgers</t>
        </is>
      </c>
      <c r="C45" s="9" t="inlineStr">
        <is>
          <t>São Paulo</t>
        </is>
      </c>
      <c r="D45" s="9" t="inlineStr">
        <is>
          <t>triagem manual</t>
        </is>
      </c>
      <c r="E45" s="9" t="inlineStr">
        <is>
          <t>R. Artur de Azevedo, 898 - Pinheiros, São Paulo - SP, 05404-002, Brazil</t>
        </is>
      </c>
      <c r="F45" s="10" t="n">
        <v>4.5</v>
      </c>
      <c r="G45" s="11" t="n">
        <v>2363</v>
      </c>
      <c r="H45" s="9" t="inlineStr">
        <is>
          <t>https://maps.google.com/?cid=2329520720980885969&amp;g_mp=CiVnb29nbGUubWFwcy5wbGFjZXMudjEuUGxhY2VzLkdldFBsYWNlEAIYBCAA</t>
        </is>
      </c>
      <c r="I45" s="9" t="n">
        <v>6</v>
      </c>
      <c r="J45" s="9" t="n">
        <v>36.5</v>
      </c>
      <c r="K45" s="9" t="inlineStr">
        <is>
          <t>13:00</t>
        </is>
      </c>
      <c r="L45" s="9" t="inlineStr">
        <is>
          <t>23:00</t>
        </is>
      </c>
      <c r="M45" s="9" t="n"/>
      <c r="N45" s="9" t="inlineStr">
        <is>
          <t>18:30-23:00</t>
        </is>
      </c>
      <c r="O45" s="9" t="inlineStr">
        <is>
          <t>18:30-23:00</t>
        </is>
      </c>
      <c r="P45" s="9" t="inlineStr">
        <is>
          <t>18:30-23:00</t>
        </is>
      </c>
      <c r="Q45" s="9" t="inlineStr">
        <is>
          <t>18:30-23:00</t>
        </is>
      </c>
      <c r="R45" s="9" t="inlineStr">
        <is>
          <t>13:00-22:30</t>
        </is>
      </c>
      <c r="S45" s="9" t="inlineStr">
        <is>
          <t>13:00-22:00</t>
        </is>
      </c>
      <c r="T45" s="9" t="n">
        <v>0</v>
      </c>
      <c r="U45" s="9" t="n">
        <v>2</v>
      </c>
      <c r="V45" s="9" t="n">
        <v>628</v>
      </c>
      <c r="W45" s="9" t="n"/>
      <c r="X45" s="9" t="n"/>
      <c r="Y45" s="9" t="n"/>
      <c r="Z45" s="9" t="inlineStr">
        <is>
          <t>fanhourbr</t>
        </is>
      </c>
      <c r="AA45" s="11" t="n">
        <v>110000</v>
      </c>
      <c r="AB45" s="11" t="n">
        <v>1403</v>
      </c>
      <c r="AC45" s="9" t="inlineStr">
        <is>
          <t>2019-11-25</t>
        </is>
      </c>
      <c r="AD45" s="9" t="n">
        <v>25</v>
      </c>
      <c r="AE45" s="11" t="n">
        <v>3092</v>
      </c>
      <c r="AF45" s="11" t="n">
        <v>119</v>
      </c>
      <c r="AG45" s="9" t="n"/>
      <c r="AH45" s="9" t="n">
        <v>27</v>
      </c>
      <c r="AI45" s="9" t="inlineStr">
        <is>
          <t>sim</t>
        </is>
      </c>
      <c r="AJ45" s="12">
        <f>IFERROR(INDEX(cesta!$O$2:$O$43,MATCH($A45,cesta!$A$2:$A$43,0)),"")</f>
        <v/>
      </c>
      <c r="AK45" s="12">
        <f>IFERROR(INDEX(cesta!$P$2:$P$43,MATCH($A45,cesta!$A$2:$A$43,0)),"")</f>
        <v/>
      </c>
      <c r="AL45" s="12">
        <f>IFERROR(INDEX(cesta!$Q$2:$Q$43,MATCH($A45,cesta!$A$2:$A$43,0)),"")</f>
        <v/>
      </c>
      <c r="AM45" s="9" t="n"/>
      <c r="AN45" s="9" t="n"/>
      <c r="AO45" s="9" t="n">
        <v>120</v>
      </c>
      <c r="AP45" s="9" t="n">
        <v>79</v>
      </c>
    </row>
    <row r="46">
      <c r="A46" s="9" t="inlineStr">
        <is>
          <t>ChIJa3UsDhRczpQRPPSuDl6acO8</t>
        </is>
      </c>
      <c r="B46" s="9" t="inlineStr">
        <is>
          <t>Flow Games - Burgers, Cards &amp; Comunidade</t>
        </is>
      </c>
      <c r="C46" s="9" t="inlineStr">
        <is>
          <t>São Paulo</t>
        </is>
      </c>
      <c r="D46" s="9" t="inlineStr">
        <is>
          <t>triagem manual</t>
        </is>
      </c>
      <c r="E46" s="9" t="inlineStr">
        <is>
          <t>Rua Dona Genoveva D'Ascoli, 17 - Vila Prudente, São Paulo - SP, 03132-070, Brazil</t>
        </is>
      </c>
      <c r="F46" s="10" t="n">
        <v>4.6</v>
      </c>
      <c r="G46" s="11" t="n">
        <v>503</v>
      </c>
      <c r="H46" s="9" t="inlineStr">
        <is>
          <t>https://maps.google.com/?cid=17253459901220320316&amp;g_mp=CiVnb29nbGUubWFwcy5wbGFjZXMudjEuUGxhY2VzLkdldFBsYWNlEAIYBCAA</t>
        </is>
      </c>
      <c r="I46" s="9" t="n">
        <v>5</v>
      </c>
      <c r="J46" s="9" t="n">
        <v>37</v>
      </c>
      <c r="K46" s="9" t="inlineStr">
        <is>
          <t>11:00</t>
        </is>
      </c>
      <c r="L46" s="9" t="inlineStr">
        <is>
          <t>22:00</t>
        </is>
      </c>
      <c r="M46" s="9" t="n"/>
      <c r="N46" s="9" t="inlineStr">
        <is>
          <t>15:00-22:00</t>
        </is>
      </c>
      <c r="O46" s="9" t="inlineStr">
        <is>
          <t>15:00-22:00</t>
        </is>
      </c>
      <c r="P46" s="9" t="inlineStr">
        <is>
          <t>15:00-22:00</t>
        </is>
      </c>
      <c r="Q46" s="9" t="inlineStr">
        <is>
          <t>15:00-22:00</t>
        </is>
      </c>
      <c r="R46" s="9" t="inlineStr">
        <is>
          <t>11:00-20:00</t>
        </is>
      </c>
      <c r="S46" s="9" t="n"/>
      <c r="T46" s="9" t="n">
        <v>1</v>
      </c>
      <c r="U46" s="9" t="n">
        <v>1</v>
      </c>
      <c r="V46" s="9" t="n">
        <v>435</v>
      </c>
      <c r="W46" s="9" t="n"/>
      <c r="X46" s="9" t="n"/>
      <c r="Y46" s="9" t="n">
        <v>818</v>
      </c>
      <c r="Z46" s="9" t="inlineStr">
        <is>
          <t>flowg4mes</t>
        </is>
      </c>
      <c r="AA46" s="11" t="n">
        <v>8944</v>
      </c>
      <c r="AB46" s="11" t="n">
        <v>1666</v>
      </c>
      <c r="AC46" s="9" t="inlineStr">
        <is>
          <t>2016-01-10</t>
        </is>
      </c>
      <c r="AD46" s="9" t="n">
        <v>17</v>
      </c>
      <c r="AE46" s="11" t="n">
        <v>393</v>
      </c>
      <c r="AF46" s="11" t="n">
        <v>19</v>
      </c>
      <c r="AG46" s="9" t="n"/>
      <c r="AH46" s="9" t="n">
        <v>16</v>
      </c>
      <c r="AI46" s="9" t="inlineStr">
        <is>
          <t>não encontrado</t>
        </is>
      </c>
      <c r="AJ46" s="12">
        <f>IFERROR(INDEX(cesta!$O$2:$O$43,MATCH($A46,cesta!$A$2:$A$43,0)),"")</f>
        <v/>
      </c>
      <c r="AK46" s="12">
        <f>IFERROR(INDEX(cesta!$P$2:$P$43,MATCH($A46,cesta!$A$2:$A$43,0)),"")</f>
        <v/>
      </c>
      <c r="AL46" s="12">
        <f>IFERROR(INDEX(cesta!$Q$2:$Q$43,MATCH($A46,cesta!$A$2:$A$43,0)),"")</f>
        <v/>
      </c>
      <c r="AM46" s="9" t="n"/>
      <c r="AN46" s="9" t="n"/>
      <c r="AO46" s="9" t="n">
        <v>29</v>
      </c>
      <c r="AP46" s="9" t="n">
        <v>16</v>
      </c>
    </row>
    <row r="47">
      <c r="A47" s="9" t="inlineStr">
        <is>
          <t>ChIJn7uU0RNbzpQRI4GI9KHOo_s</t>
        </is>
      </c>
      <c r="B47" s="9" t="inlineStr">
        <is>
          <t>Jogasampa</t>
        </is>
      </c>
      <c r="C47" s="9" t="inlineStr">
        <is>
          <t>São Paulo</t>
        </is>
      </c>
      <c r="D47" s="9" t="inlineStr">
        <is>
          <t>triagem manual</t>
        </is>
      </c>
      <c r="E47" s="9" t="inlineStr">
        <is>
          <t>Alameda dos Anapurus, 1664 - Moema, São Paulo - SP, 04087-006, Brazil</t>
        </is>
      </c>
      <c r="F47" s="10" t="n">
        <v>4.7</v>
      </c>
      <c r="G47" s="11" t="n">
        <v>402</v>
      </c>
      <c r="H47" s="9" t="inlineStr">
        <is>
          <t>https://maps.google.com/?cid=18132563719711392035&amp;g_mp=CiVnb29nbGUubWFwcy5wbGFjZXMudjEuUGxhY2VzLkdldFBsYWNlEAIYBCAA</t>
        </is>
      </c>
      <c r="I47" s="9" t="n">
        <v>6</v>
      </c>
      <c r="J47" s="9" t="n">
        <v>48</v>
      </c>
      <c r="K47" s="9" t="inlineStr">
        <is>
          <t>13:00</t>
        </is>
      </c>
      <c r="L47" s="9" t="inlineStr">
        <is>
          <t>21:00</t>
        </is>
      </c>
      <c r="M47" s="9" t="n"/>
      <c r="N47" s="9" t="inlineStr">
        <is>
          <t>13:00-21:00</t>
        </is>
      </c>
      <c r="O47" s="9" t="inlineStr">
        <is>
          <t>13:00-21:00</t>
        </is>
      </c>
      <c r="P47" s="9" t="inlineStr">
        <is>
          <t>13:00-21:00</t>
        </is>
      </c>
      <c r="Q47" s="9" t="inlineStr">
        <is>
          <t>13:00-21:00</t>
        </is>
      </c>
      <c r="R47" s="9" t="inlineStr">
        <is>
          <t>13:00-21:00</t>
        </is>
      </c>
      <c r="S47" s="9" t="inlineStr">
        <is>
          <t>13:00-21:00</t>
        </is>
      </c>
      <c r="T47" s="9" t="n">
        <v>0</v>
      </c>
      <c r="U47" s="9" t="n">
        <v>1</v>
      </c>
      <c r="V47" s="9" t="n">
        <v>587</v>
      </c>
      <c r="W47" s="9" t="n"/>
      <c r="X47" s="9" t="n"/>
      <c r="Y47" s="9" t="n">
        <v>438</v>
      </c>
      <c r="Z47" s="9" t="inlineStr">
        <is>
          <t>jogasampa</t>
        </is>
      </c>
      <c r="AA47" s="11" t="n">
        <v>5966</v>
      </c>
      <c r="AB47" s="11" t="n">
        <v>756</v>
      </c>
      <c r="AC47" s="9" t="inlineStr">
        <is>
          <t>2016-12-03</t>
        </is>
      </c>
      <c r="AD47" s="9" t="n">
        <v>8</v>
      </c>
      <c r="AE47" s="11" t="n">
        <v>111</v>
      </c>
      <c r="AF47" s="11" t="n">
        <v>0</v>
      </c>
      <c r="AG47" s="9" t="n"/>
      <c r="AH47" s="9" t="n">
        <v>7</v>
      </c>
      <c r="AI47" s="9" t="inlineStr">
        <is>
          <t>não encontrado</t>
        </is>
      </c>
      <c r="AJ47" s="12">
        <f>IFERROR(INDEX(cesta!$O$2:$O$43,MATCH($A47,cesta!$A$2:$A$43,0)),"")</f>
        <v/>
      </c>
      <c r="AK47" s="12">
        <f>IFERROR(INDEX(cesta!$P$2:$P$43,MATCH($A47,cesta!$A$2:$A$43,0)),"")</f>
        <v/>
      </c>
      <c r="AL47" s="12">
        <f>IFERROR(INDEX(cesta!$Q$2:$Q$43,MATCH($A47,cesta!$A$2:$A$43,0)),"")</f>
        <v/>
      </c>
      <c r="AM47" s="9" t="n">
        <v>331</v>
      </c>
      <c r="AN47" s="9" t="inlineStr">
        <is>
          <t>ludopedia</t>
        </is>
      </c>
      <c r="AO47" s="9" t="n">
        <v>5</v>
      </c>
      <c r="AP47" s="9" t="n">
        <v>3</v>
      </c>
    </row>
    <row r="48">
      <c r="A48" s="9" t="inlineStr">
        <is>
          <t>ChIJTaG5ALpZzpQRUDErQ-RkfTs</t>
        </is>
      </c>
      <c r="B48" s="9" t="inlineStr">
        <is>
          <t>Ludus Luderia</t>
        </is>
      </c>
      <c r="C48" s="9" t="inlineStr">
        <is>
          <t>São Paulo</t>
        </is>
      </c>
      <c r="D48" s="9" t="inlineStr">
        <is>
          <t>triagem manual</t>
        </is>
      </c>
      <c r="E48" s="9" t="inlineStr">
        <is>
          <t>R. Treze de Maio, 972 - Bela Vista, São Paulo - SP, 01327-000, Brazil</t>
        </is>
      </c>
      <c r="F48" s="10" t="n">
        <v>4.6</v>
      </c>
      <c r="G48" s="11" t="n">
        <v>5137</v>
      </c>
      <c r="H48" s="9" t="inlineStr">
        <is>
          <t>https://maps.google.com/?cid=4286693351868805456&amp;g_mp=CiVnb29nbGUubWFwcy5wbGFjZXMudjEuUGxhY2VzLkdldFBsYWNlEAIYBCAA</t>
        </is>
      </c>
      <c r="I48" s="9" t="n">
        <v>4</v>
      </c>
      <c r="J48" s="9" t="n">
        <v>31</v>
      </c>
      <c r="K48" s="9" t="inlineStr">
        <is>
          <t>13:00</t>
        </is>
      </c>
      <c r="L48" s="9" t="inlineStr">
        <is>
          <t>25:00</t>
        </is>
      </c>
      <c r="M48" s="9" t="n"/>
      <c r="N48" s="9" t="n"/>
      <c r="O48" s="9" t="n"/>
      <c r="P48" s="9" t="inlineStr">
        <is>
          <t>18:00-00:00</t>
        </is>
      </c>
      <c r="Q48" s="9" t="inlineStr">
        <is>
          <t>18:00-01:00</t>
        </is>
      </c>
      <c r="R48" s="9" t="inlineStr">
        <is>
          <t>13:00-18:00 | 19:00-01:00</t>
        </is>
      </c>
      <c r="S48" s="9" t="inlineStr">
        <is>
          <t>16:00-23:00</t>
        </is>
      </c>
      <c r="T48" s="9" t="n">
        <v>0</v>
      </c>
      <c r="U48" s="9" t="n">
        <v>3</v>
      </c>
      <c r="V48" s="9" t="n">
        <v>768</v>
      </c>
      <c r="W48" s="9" t="n"/>
      <c r="X48" s="9" t="n"/>
      <c r="Y48" s="9" t="n">
        <v>119</v>
      </c>
      <c r="Z48" s="9" t="inlineStr">
        <is>
          <t>ludusluderia</t>
        </is>
      </c>
      <c r="AA48" s="11" t="n">
        <v>90400</v>
      </c>
      <c r="AB48" s="11" t="n"/>
      <c r="AC48" s="9" t="inlineStr">
        <is>
          <t>2021-10-27</t>
        </is>
      </c>
      <c r="AD48" s="9" t="n">
        <v>12</v>
      </c>
      <c r="AE48" s="11" t="n">
        <v>1505</v>
      </c>
      <c r="AF48" s="11" t="n">
        <v>92</v>
      </c>
      <c r="AG48" s="9" t="n"/>
      <c r="AH48" s="9" t="n">
        <v>161</v>
      </c>
      <c r="AI48" s="9" t="inlineStr">
        <is>
          <t>sim</t>
        </is>
      </c>
      <c r="AJ48" s="12">
        <f>IFERROR(INDEX(cesta!$O$2:$O$43,MATCH($A48,cesta!$A$2:$A$43,0)),"")</f>
        <v/>
      </c>
      <c r="AK48" s="12">
        <f>IFERROR(INDEX(cesta!$P$2:$P$43,MATCH($A48,cesta!$A$2:$A$43,0)),"")</f>
        <v/>
      </c>
      <c r="AL48" s="12">
        <f>IFERROR(INDEX(cesta!$Q$2:$Q$43,MATCH($A48,cesta!$A$2:$A$43,0)),"")</f>
        <v/>
      </c>
      <c r="AM48" s="9" t="n">
        <v>199</v>
      </c>
      <c r="AN48" s="9" t="inlineStr">
        <is>
          <t>pdf_ludus</t>
        </is>
      </c>
      <c r="AO48" s="9" t="n">
        <v>51</v>
      </c>
      <c r="AP48" s="9" t="n">
        <v>28</v>
      </c>
    </row>
    <row r="49">
      <c r="A49" s="9" t="inlineStr">
        <is>
          <t>ChIJE43rt29ZzpQRnvADt6pXfto</t>
        </is>
      </c>
      <c r="B49" s="9" t="inlineStr">
        <is>
          <t>OMNIVERSE</t>
        </is>
      </c>
      <c r="C49" s="9" t="inlineStr">
        <is>
          <t>São Paulo</t>
        </is>
      </c>
      <c r="D49" s="9" t="inlineStr">
        <is>
          <t>triagem manual</t>
        </is>
      </c>
      <c r="E49" s="9" t="inlineStr">
        <is>
          <t>Rua Comendador Eduardo Saccab, 180 - Brooklin, São Paulo - SP, 04601-070, Brazil</t>
        </is>
      </c>
      <c r="F49" s="10" t="n">
        <v>4.8</v>
      </c>
      <c r="G49" s="11" t="n">
        <v>1145</v>
      </c>
      <c r="H49" s="9" t="inlineStr">
        <is>
          <t>https://maps.google.com/?cid=15744117738060378270&amp;g_mp=CiVnb29nbGUubWFwcy5wbGFjZXMudjEuUGxhY2VzLkdldFBsYWNlEAIYBCAA</t>
        </is>
      </c>
      <c r="I49" s="9" t="n">
        <v>5</v>
      </c>
      <c r="J49" s="9" t="n">
        <v>46</v>
      </c>
      <c r="K49" s="9" t="inlineStr">
        <is>
          <t>12:00</t>
        </is>
      </c>
      <c r="L49" s="9" t="inlineStr">
        <is>
          <t>24:00</t>
        </is>
      </c>
      <c r="M49" s="9" t="n"/>
      <c r="N49" s="9" t="n"/>
      <c r="O49" s="9" t="inlineStr">
        <is>
          <t>15:00-23:00</t>
        </is>
      </c>
      <c r="P49" s="9" t="inlineStr">
        <is>
          <t>15:00-23:00</t>
        </is>
      </c>
      <c r="Q49" s="9" t="inlineStr">
        <is>
          <t>15:00-00:00</t>
        </is>
      </c>
      <c r="R49" s="9" t="inlineStr">
        <is>
          <t>12:00-00:00</t>
        </is>
      </c>
      <c r="S49" s="9" t="inlineStr">
        <is>
          <t>12:00-21:00</t>
        </is>
      </c>
      <c r="T49" s="9" t="n">
        <v>0</v>
      </c>
      <c r="U49" s="9" t="n">
        <v>2</v>
      </c>
      <c r="V49" s="9" t="n">
        <v>820</v>
      </c>
      <c r="W49" s="9" t="n"/>
      <c r="X49" s="9" t="n"/>
      <c r="Y49" s="9" t="n"/>
      <c r="Z49" s="9" t="inlineStr">
        <is>
          <t>omniverselivraria</t>
        </is>
      </c>
      <c r="AA49" s="11" t="n">
        <v>8510</v>
      </c>
      <c r="AB49" s="11" t="n">
        <v>918</v>
      </c>
      <c r="AC49" s="9" t="inlineStr">
        <is>
          <t>2013-02-08</t>
        </is>
      </c>
      <c r="AD49" s="9" t="n">
        <v>8</v>
      </c>
      <c r="AE49" s="11" t="n">
        <v>510</v>
      </c>
      <c r="AF49" s="11" t="n">
        <v>27</v>
      </c>
      <c r="AG49" s="9" t="n"/>
      <c r="AH49" s="9" t="n"/>
      <c r="AI49" s="9" t="n"/>
      <c r="AJ49" s="12">
        <f>IFERROR(INDEX(cesta!$O$2:$O$43,MATCH($A49,cesta!$A$2:$A$43,0)),"")</f>
        <v/>
      </c>
      <c r="AK49" s="12">
        <f>IFERROR(INDEX(cesta!$P$2:$P$43,MATCH($A49,cesta!$A$2:$A$43,0)),"")</f>
        <v/>
      </c>
      <c r="AL49" s="12">
        <f>IFERROR(INDEX(cesta!$Q$2:$Q$43,MATCH($A49,cesta!$A$2:$A$43,0)),"")</f>
        <v/>
      </c>
      <c r="AM49" s="9" t="n">
        <v>59</v>
      </c>
      <c r="AN49" s="9" t="inlineStr">
        <is>
          <t>squarespace</t>
        </is>
      </c>
      <c r="AO49" s="9" t="n">
        <v>31</v>
      </c>
      <c r="AP49" s="9" t="n">
        <v>18</v>
      </c>
    </row>
    <row r="50">
      <c r="A50" s="9" t="inlineStr">
        <is>
          <t>ChIJo-6lZMlezpQRmgUpUPfmRIs</t>
        </is>
      </c>
      <c r="B50" s="9" t="inlineStr">
        <is>
          <t>Pitta's Board Games</t>
        </is>
      </c>
      <c r="C50" s="9" t="inlineStr">
        <is>
          <t>São Paulo</t>
        </is>
      </c>
      <c r="D50" s="9" t="inlineStr">
        <is>
          <t>triagem manual</t>
        </is>
      </c>
      <c r="E50" s="9" t="inlineStr">
        <is>
          <t>R. Paraupava, 80 - Belenzinho, São Paulo - SP, 03171-060, Brazil</t>
        </is>
      </c>
      <c r="F50" s="10" t="n">
        <v>4.9</v>
      </c>
      <c r="G50" s="11" t="n">
        <v>663</v>
      </c>
      <c r="H50" s="9" t="inlineStr">
        <is>
          <t>https://maps.google.com/?cid=10035399819564483994&amp;g_mp=CiVnb29nbGUubWFwcy5wbGFjZXMudjEuUGxhY2VzLkdldFBsYWNlEAIYBCAA</t>
        </is>
      </c>
      <c r="I50" s="9" t="n">
        <v>6</v>
      </c>
      <c r="J50" s="9" t="n">
        <v>58</v>
      </c>
      <c r="K50" s="9" t="inlineStr">
        <is>
          <t>11:00</t>
        </is>
      </c>
      <c r="L50" s="9" t="inlineStr">
        <is>
          <t>22:00</t>
        </is>
      </c>
      <c r="M50" s="9" t="n"/>
      <c r="N50" s="9" t="inlineStr">
        <is>
          <t>11:00-22:00</t>
        </is>
      </c>
      <c r="O50" s="9" t="inlineStr">
        <is>
          <t>11:00-20:00</t>
        </is>
      </c>
      <c r="P50" s="9" t="inlineStr">
        <is>
          <t>11:00-20:00</t>
        </is>
      </c>
      <c r="Q50" s="9" t="inlineStr">
        <is>
          <t>11:00-22:00</t>
        </is>
      </c>
      <c r="R50" s="9" t="inlineStr">
        <is>
          <t>11:00-22:00</t>
        </is>
      </c>
      <c r="S50" s="9" t="inlineStr">
        <is>
          <t>11:00-18:00</t>
        </is>
      </c>
      <c r="T50" s="9" t="n">
        <v>0</v>
      </c>
      <c r="U50" s="9" t="n">
        <v>1</v>
      </c>
      <c r="V50" s="9" t="n">
        <v>566</v>
      </c>
      <c r="W50" s="9" t="n"/>
      <c r="X50" s="9" t="n"/>
      <c r="Y50" s="9" t="n"/>
      <c r="Z50" s="9" t="inlineStr">
        <is>
          <t>pittasboardgames</t>
        </is>
      </c>
      <c r="AA50" s="11" t="n">
        <v>23415</v>
      </c>
      <c r="AB50" s="11" t="n">
        <v>2269</v>
      </c>
      <c r="AC50" s="9" t="inlineStr">
        <is>
          <t>2015-08-01</t>
        </is>
      </c>
      <c r="AD50" s="9" t="n">
        <v>21</v>
      </c>
      <c r="AE50" s="11" t="n">
        <v>1389</v>
      </c>
      <c r="AF50" s="11" t="n">
        <v>63</v>
      </c>
      <c r="AG50" s="9" t="n"/>
      <c r="AH50" s="9" t="n"/>
      <c r="AI50" s="9" t="n"/>
      <c r="AJ50" s="12">
        <f>IFERROR(INDEX(cesta!$O$2:$O$43,MATCH($A50,cesta!$A$2:$A$43,0)),"")</f>
        <v/>
      </c>
      <c r="AK50" s="12">
        <f>IFERROR(INDEX(cesta!$P$2:$P$43,MATCH($A50,cesta!$A$2:$A$43,0)),"")</f>
        <v/>
      </c>
      <c r="AL50" s="12">
        <f>IFERROR(INDEX(cesta!$Q$2:$Q$43,MATCH($A50,cesta!$A$2:$A$43,0)),"")</f>
        <v/>
      </c>
      <c r="AM50" s="9" t="n">
        <v>227</v>
      </c>
      <c r="AN50" s="9" t="inlineStr">
        <is>
          <t>acervodejogos</t>
        </is>
      </c>
      <c r="AO50" s="9" t="n">
        <v>14</v>
      </c>
      <c r="AP50" s="9" t="n">
        <v>7</v>
      </c>
    </row>
    <row r="51">
      <c r="A51" s="9" t="inlineStr">
        <is>
          <t>ChIJkWsGmd1czpQRGLydxc29vbw</t>
        </is>
      </c>
      <c r="B51" s="9" t="inlineStr">
        <is>
          <t>Place Games</t>
        </is>
      </c>
      <c r="C51" s="9" t="inlineStr">
        <is>
          <t>São Paulo</t>
        </is>
      </c>
      <c r="D51" s="9" t="inlineStr">
        <is>
          <t>triagem manual</t>
        </is>
      </c>
      <c r="E51" s="9" t="inlineStr">
        <is>
          <t>R. Martim Francisco, 554 - Santa Paula, São Caetano do Sul - SP, 09541-330, Brazil</t>
        </is>
      </c>
      <c r="F51" s="10" t="n">
        <v>4.8</v>
      </c>
      <c r="G51" s="11" t="n">
        <v>572</v>
      </c>
      <c r="H51" s="9" t="inlineStr">
        <is>
          <t>https://maps.google.com/?cid=13600235141210160152&amp;g_mp=CiVnb29nbGUubWFwcy5wbGFjZXMudjEuUGxhY2VzLkdldFBsYWNlEAIYBCAA</t>
        </is>
      </c>
      <c r="I51" s="9" t="n">
        <v>5</v>
      </c>
      <c r="J51" s="9" t="n">
        <v>46</v>
      </c>
      <c r="K51" s="9" t="inlineStr">
        <is>
          <t>10:00</t>
        </is>
      </c>
      <c r="L51" s="9" t="inlineStr">
        <is>
          <t>22:00</t>
        </is>
      </c>
      <c r="M51" s="9" t="n"/>
      <c r="N51" s="9" t="n"/>
      <c r="O51" s="9" t="inlineStr">
        <is>
          <t>12:00-20:00</t>
        </is>
      </c>
      <c r="P51" s="9" t="inlineStr">
        <is>
          <t>12:00-22:00</t>
        </is>
      </c>
      <c r="Q51" s="9" t="inlineStr">
        <is>
          <t>12:00-22:00</t>
        </is>
      </c>
      <c r="R51" s="9" t="inlineStr">
        <is>
          <t>12:00-22:00</t>
        </is>
      </c>
      <c r="S51" s="9" t="inlineStr">
        <is>
          <t>10:00-18:00</t>
        </is>
      </c>
      <c r="T51" s="9" t="n">
        <v>0</v>
      </c>
      <c r="U51" s="9" t="n">
        <v>0</v>
      </c>
      <c r="V51" s="9" t="n"/>
      <c r="W51" s="9" t="n"/>
      <c r="X51" s="9" t="n"/>
      <c r="Y51" s="9" t="n">
        <v>251</v>
      </c>
      <c r="Z51" s="9" t="inlineStr">
        <is>
          <t>lojaplacegames</t>
        </is>
      </c>
      <c r="AA51" s="11" t="n">
        <v>14021</v>
      </c>
      <c r="AB51" s="11" t="n">
        <v>2362</v>
      </c>
      <c r="AC51" s="9" t="inlineStr">
        <is>
          <t>2016-03-28</t>
        </is>
      </c>
      <c r="AD51" s="9" t="n">
        <v>23</v>
      </c>
      <c r="AE51" s="11" t="n">
        <v>1917</v>
      </c>
      <c r="AF51" s="11" t="n">
        <v>148</v>
      </c>
      <c r="AG51" s="9" t="n"/>
      <c r="AH51" s="9" t="n">
        <v>54</v>
      </c>
      <c r="AI51" s="9" t="inlineStr">
        <is>
          <t>não encontrado</t>
        </is>
      </c>
      <c r="AJ51" s="12">
        <f>IFERROR(INDEX(cesta!$O$2:$O$43,MATCH($A51,cesta!$A$2:$A$43,0)),"")</f>
        <v/>
      </c>
      <c r="AK51" s="12">
        <f>IFERROR(INDEX(cesta!$P$2:$P$43,MATCH($A51,cesta!$A$2:$A$43,0)),"")</f>
        <v/>
      </c>
      <c r="AL51" s="12">
        <f>IFERROR(INDEX(cesta!$Q$2:$Q$43,MATCH($A51,cesta!$A$2:$A$43,0)),"")</f>
        <v/>
      </c>
      <c r="AM51" s="9" t="n">
        <v>633</v>
      </c>
      <c r="AN51" s="9" t="inlineStr">
        <is>
          <t>acervodejogos</t>
        </is>
      </c>
      <c r="AO51" s="9" t="n">
        <v>18</v>
      </c>
      <c r="AP51" s="9" t="n">
        <v>11</v>
      </c>
    </row>
    <row r="52">
      <c r="A52" s="9" t="inlineStr">
        <is>
          <t>ChIJNcHw7jNYzpQRKRHPOrb4jEw</t>
        </is>
      </c>
      <c r="B52" s="9" t="inlineStr">
        <is>
          <t>Play Easy</t>
        </is>
      </c>
      <c r="C52" s="9" t="inlineStr">
        <is>
          <t>São Paulo</t>
        </is>
      </c>
      <c r="D52" s="9" t="inlineStr">
        <is>
          <t>triagem manual</t>
        </is>
      </c>
      <c r="E52" s="9" t="inlineStr">
        <is>
          <t>R. Pedro Taques, 47 - Cerqueira César, São Paulo - SP, 01415-010, Brazil</t>
        </is>
      </c>
      <c r="F52" s="10" t="n">
        <v>4.7</v>
      </c>
      <c r="G52" s="11" t="n">
        <v>1002</v>
      </c>
      <c r="H52" s="9" t="inlineStr">
        <is>
          <t>https://maps.google.com/?cid=5516057105176400169&amp;g_mp=CiVnb29nbGUubWFwcy5wbGFjZXMudjEuUGxhY2VzLkdldFBsYWNlEAIYBCAA</t>
        </is>
      </c>
      <c r="I52" s="9" t="n">
        <v>6</v>
      </c>
      <c r="J52" s="9" t="n">
        <v>50</v>
      </c>
      <c r="K52" s="9" t="inlineStr">
        <is>
          <t>12:00</t>
        </is>
      </c>
      <c r="L52" s="9" t="inlineStr">
        <is>
          <t>22:00</t>
        </is>
      </c>
      <c r="M52" s="9" t="inlineStr">
        <is>
          <t>12:00-20:00</t>
        </is>
      </c>
      <c r="N52" s="9" t="inlineStr">
        <is>
          <t>12:00-20:00</t>
        </is>
      </c>
      <c r="O52" s="9" t="inlineStr">
        <is>
          <t>12:00-20:00</t>
        </is>
      </c>
      <c r="P52" s="9" t="inlineStr">
        <is>
          <t>12:00-20:00</t>
        </is>
      </c>
      <c r="Q52" s="9" t="inlineStr">
        <is>
          <t>12:00-22:00</t>
        </is>
      </c>
      <c r="R52" s="9" t="inlineStr">
        <is>
          <t>12:00-20:00</t>
        </is>
      </c>
      <c r="S52" s="9" t="n"/>
      <c r="T52" s="9" t="n">
        <v>0</v>
      </c>
      <c r="U52" s="9" t="n">
        <v>3</v>
      </c>
      <c r="V52" s="9" t="n">
        <v>563</v>
      </c>
      <c r="W52" s="9" t="n"/>
      <c r="X52" s="9" t="n"/>
      <c r="Y52" s="9" t="n">
        <v>484</v>
      </c>
      <c r="Z52" s="9" t="inlineStr">
        <is>
          <t>playeasyjogos</t>
        </is>
      </c>
      <c r="AA52" s="11" t="n">
        <v>21346</v>
      </c>
      <c r="AB52" s="11" t="n">
        <v>2996</v>
      </c>
      <c r="AC52" s="9" t="inlineStr">
        <is>
          <t>2017-06-18</t>
        </is>
      </c>
      <c r="AD52" s="9" t="n">
        <v>16</v>
      </c>
      <c r="AE52" s="11" t="n">
        <v>1381</v>
      </c>
      <c r="AF52" s="11" t="n">
        <v>42</v>
      </c>
      <c r="AG52" s="9" t="n"/>
      <c r="AH52" s="9" t="n">
        <v>16</v>
      </c>
      <c r="AI52" s="9" t="inlineStr">
        <is>
          <t>não encontrado</t>
        </is>
      </c>
      <c r="AJ52" s="12">
        <f>IFERROR(INDEX(cesta!$O$2:$O$43,MATCH($A52,cesta!$A$2:$A$43,0)),"")</f>
        <v/>
      </c>
      <c r="AK52" s="12">
        <f>IFERROR(INDEX(cesta!$P$2:$P$43,MATCH($A52,cesta!$A$2:$A$43,0)),"")</f>
        <v/>
      </c>
      <c r="AL52" s="12">
        <f>IFERROR(INDEX(cesta!$Q$2:$Q$43,MATCH($A52,cesta!$A$2:$A$43,0)),"")</f>
        <v/>
      </c>
      <c r="AM52" s="9" t="n">
        <v>438</v>
      </c>
      <c r="AN52" s="9" t="inlineStr">
        <is>
          <t>lista</t>
        </is>
      </c>
      <c r="AO52" s="9" t="n">
        <v>40</v>
      </c>
      <c r="AP52" s="9" t="n">
        <v>22</v>
      </c>
    </row>
    <row r="53">
      <c r="A53" s="9" t="inlineStr">
        <is>
          <t>ChIJsU5BAwBRzpQRAgLVvqg68os</t>
        </is>
      </c>
      <c r="B53" s="9" t="inlineStr">
        <is>
          <t>Tubaleria</t>
        </is>
      </c>
      <c r="C53" s="9" t="inlineStr">
        <is>
          <t>São Paulo</t>
        </is>
      </c>
      <c r="D53" s="9" t="inlineStr">
        <is>
          <t>acervodejogos</t>
        </is>
      </c>
      <c r="E53" s="9" t="inlineStr">
        <is>
          <t>R. Paul Valery, 76 - Chácara Santo Antônio (Zona Sul), São Paulo - SP, 04719-050</t>
        </is>
      </c>
      <c r="F53" s="10" t="n">
        <v>5</v>
      </c>
      <c r="G53" s="11" t="n">
        <v>116</v>
      </c>
      <c r="H53" s="9" t="inlineStr">
        <is>
          <t>https://maps.google.com/?cid=10084187012066509314</t>
        </is>
      </c>
      <c r="I53" s="9" t="n">
        <v>5</v>
      </c>
      <c r="J53" s="9" t="n">
        <v>55</v>
      </c>
      <c r="K53" s="9" t="inlineStr">
        <is>
          <t>11:00</t>
        </is>
      </c>
      <c r="L53" s="9" t="inlineStr">
        <is>
          <t>23:00</t>
        </is>
      </c>
      <c r="M53" s="9" t="n"/>
      <c r="N53" s="9" t="n"/>
      <c r="O53" s="9" t="inlineStr">
        <is>
          <t>11:00-23:00</t>
        </is>
      </c>
      <c r="P53" s="9" t="inlineStr">
        <is>
          <t>11:00-23:00</t>
        </is>
      </c>
      <c r="Q53" s="9" t="inlineStr">
        <is>
          <t>11:00-23:00</t>
        </is>
      </c>
      <c r="R53" s="9" t="inlineStr">
        <is>
          <t>12:00-23:00</t>
        </is>
      </c>
      <c r="S53" s="9" t="inlineStr">
        <is>
          <t>12:00-20:00</t>
        </is>
      </c>
      <c r="T53" s="9" t="n">
        <v>0</v>
      </c>
      <c r="U53" s="9" t="n">
        <v>0</v>
      </c>
      <c r="V53" s="9" t="n"/>
      <c r="W53" s="9" t="n"/>
      <c r="X53" s="9" t="n"/>
      <c r="Y53" s="9" t="n">
        <v>305</v>
      </c>
      <c r="Z53" s="9" t="inlineStr">
        <is>
          <t>tubaleria</t>
        </is>
      </c>
      <c r="AA53" s="11" t="n"/>
      <c r="AB53" s="11" t="n">
        <v>340</v>
      </c>
      <c r="AC53" s="9" t="inlineStr">
        <is>
          <t>2024-11-01</t>
        </is>
      </c>
      <c r="AD53" s="9" t="n">
        <v>20</v>
      </c>
      <c r="AE53" s="11" t="n">
        <v>794</v>
      </c>
      <c r="AF53" s="11" t="n">
        <v>38</v>
      </c>
      <c r="AG53" s="9" t="inlineStr">
        <is>
          <t>1 de 340 posts não carregou; o primeiro post pode ser anterior</t>
        </is>
      </c>
      <c r="AH53" s="9" t="n">
        <v>16</v>
      </c>
      <c r="AI53" s="9" t="inlineStr">
        <is>
          <t>não encontrado</t>
        </is>
      </c>
      <c r="AJ53" s="12">
        <f>IFERROR(INDEX(cesta!$O$2:$O$43,MATCH($A53,cesta!$A$2:$A$43,0)),"")</f>
        <v/>
      </c>
      <c r="AK53" s="12">
        <f>IFERROR(INDEX(cesta!$P$2:$P$43,MATCH($A53,cesta!$A$2:$A$43,0)),"")</f>
        <v/>
      </c>
      <c r="AL53" s="12">
        <f>IFERROR(INDEX(cesta!$Q$2:$Q$43,MATCH($A53,cesta!$A$2:$A$43,0)),"")</f>
        <v/>
      </c>
      <c r="AM53" s="9" t="n">
        <v>221</v>
      </c>
      <c r="AN53" s="9" t="inlineStr">
        <is>
          <t>acervodejogos</t>
        </is>
      </c>
      <c r="AO53" s="9" t="n"/>
      <c r="AP53" s="9" t="n"/>
    </row>
    <row r="54">
      <c r="A54" s="9" t="inlineStr">
        <is>
          <t>ChIJi5zbZadgzpQRIYeuK_eqQio</t>
        </is>
      </c>
      <c r="B54" s="9" t="inlineStr">
        <is>
          <t>XPlace</t>
        </is>
      </c>
      <c r="C54" s="9" t="inlineStr">
        <is>
          <t>São Paulo</t>
        </is>
      </c>
      <c r="D54" s="9" t="inlineStr">
        <is>
          <t>triagem manual</t>
        </is>
      </c>
      <c r="E54" s="9" t="inlineStr">
        <is>
          <t>R. Jordânia, 32 - Vila Guilhermina, São Paulo - SP, 03543-000, Brazil</t>
        </is>
      </c>
      <c r="F54" s="10" t="n">
        <v>4.7</v>
      </c>
      <c r="G54" s="11" t="n">
        <v>795</v>
      </c>
      <c r="H54" s="9" t="inlineStr">
        <is>
          <t>https://maps.google.com/?cid=3045184276622378785&amp;g_mp=CiVnb29nbGUubWFwcy5wbGFjZXMudjEuUGxhY2VzLkdldFBsYWNlEAIYBCAA</t>
        </is>
      </c>
      <c r="I54" s="9" t="n">
        <v>6</v>
      </c>
      <c r="J54" s="9" t="n">
        <v>49</v>
      </c>
      <c r="K54" s="9" t="inlineStr">
        <is>
          <t>11:00</t>
        </is>
      </c>
      <c r="L54" s="9" t="inlineStr">
        <is>
          <t>20:00</t>
        </is>
      </c>
      <c r="M54" s="9" t="inlineStr">
        <is>
          <t>12:00-20:00</t>
        </is>
      </c>
      <c r="N54" s="9" t="inlineStr">
        <is>
          <t>12:00-20:00</t>
        </is>
      </c>
      <c r="O54" s="9" t="inlineStr">
        <is>
          <t>12:00-20:00</t>
        </is>
      </c>
      <c r="P54" s="9" t="inlineStr">
        <is>
          <t>12:00-20:00</t>
        </is>
      </c>
      <c r="Q54" s="9" t="inlineStr">
        <is>
          <t>12:00-20:00</t>
        </is>
      </c>
      <c r="R54" s="9" t="inlineStr">
        <is>
          <t>11:00-20:00</t>
        </is>
      </c>
      <c r="S54" s="9" t="n"/>
      <c r="T54" s="9" t="n">
        <v>1</v>
      </c>
      <c r="U54" s="9" t="n">
        <v>1</v>
      </c>
      <c r="V54" s="9" t="n">
        <v>364</v>
      </c>
      <c r="W54" s="9" t="n"/>
      <c r="X54" s="9" t="n"/>
      <c r="Y54" s="9" t="n"/>
      <c r="Z54" s="9" t="inlineStr">
        <is>
          <t>xplaceoficial</t>
        </is>
      </c>
      <c r="AA54" s="11" t="n">
        <v>34668</v>
      </c>
      <c r="AB54" s="11" t="n">
        <v>5277</v>
      </c>
      <c r="AC54" s="9" t="inlineStr">
        <is>
          <t>2015-09-23</t>
        </is>
      </c>
      <c r="AD54" s="9" t="n">
        <v>31</v>
      </c>
      <c r="AE54" s="11" t="n">
        <v>4134</v>
      </c>
      <c r="AF54" s="11" t="n">
        <v>233</v>
      </c>
      <c r="AG54" s="9" t="n"/>
      <c r="AH54" s="9" t="n"/>
      <c r="AI54" s="9" t="n"/>
      <c r="AJ54" s="12">
        <f>IFERROR(INDEX(cesta!$O$2:$O$43,MATCH($A54,cesta!$A$2:$A$43,0)),"")</f>
        <v/>
      </c>
      <c r="AK54" s="12">
        <f>IFERROR(INDEX(cesta!$P$2:$P$43,MATCH($A54,cesta!$A$2:$A$43,0)),"")</f>
        <v/>
      </c>
      <c r="AL54" s="12">
        <f>IFERROR(INDEX(cesta!$Q$2:$Q$43,MATCH($A54,cesta!$A$2:$A$43,0)),"")</f>
        <v/>
      </c>
      <c r="AM54" s="9" t="n"/>
      <c r="AN54" s="9" t="n"/>
      <c r="AO54" s="9" t="n">
        <v>18</v>
      </c>
      <c r="AP54" s="9" t="n">
        <v>8</v>
      </c>
    </row>
    <row r="55">
      <c r="A55" s="9" t="inlineStr">
        <is>
          <t>ChIJfyav9YI9uAARjwbBqcRm2_k</t>
        </is>
      </c>
      <c r="B55" s="9" t="inlineStr">
        <is>
          <t>Café Geek Cafeteria e Ludoteca</t>
        </is>
      </c>
      <c r="C55" s="9" t="inlineStr">
        <is>
          <t>Vitória</t>
        </is>
      </c>
      <c r="D55" s="9" t="inlineStr">
        <is>
          <t>triagem manual</t>
        </is>
      </c>
      <c r="E55" s="9" t="inlineStr">
        <is>
          <t>R. São Marcos, 127 - Santa Inês, Vila Velha - ES, 29108-050, Brazil</t>
        </is>
      </c>
      <c r="F55" s="10" t="n">
        <v>5</v>
      </c>
      <c r="G55" s="11" t="n">
        <v>148</v>
      </c>
      <c r="H55" s="9" t="inlineStr">
        <is>
          <t>https://maps.google.com/?cid=18004096930191312527&amp;g_mp=CiVnb29nbGUubWFwcy5wbGFjZXMudjEuUGxhY2VzLkdldFBsYWNlEAIYBCAA</t>
        </is>
      </c>
      <c r="I55" s="9" t="n">
        <v>4</v>
      </c>
      <c r="J55" s="9" t="n">
        <v>26</v>
      </c>
      <c r="K55" s="9" t="inlineStr">
        <is>
          <t>14:00</t>
        </is>
      </c>
      <c r="L55" s="9" t="inlineStr">
        <is>
          <t>23:00</t>
        </is>
      </c>
      <c r="M55" s="9" t="n"/>
      <c r="N55" s="9" t="n"/>
      <c r="O55" s="9" t="n"/>
      <c r="P55" s="9" t="inlineStr">
        <is>
          <t>17:00-22:00</t>
        </is>
      </c>
      <c r="Q55" s="9" t="inlineStr">
        <is>
          <t>17:00-23:00</t>
        </is>
      </c>
      <c r="R55" s="9" t="inlineStr">
        <is>
          <t>14:00-22:00</t>
        </is>
      </c>
      <c r="S55" s="9" t="inlineStr">
        <is>
          <t>15:00-22:00</t>
        </is>
      </c>
      <c r="T55" s="9" t="n">
        <v>0</v>
      </c>
      <c r="U55" s="9" t="n">
        <v>0</v>
      </c>
      <c r="V55" s="9" t="n"/>
      <c r="W55" s="9" t="n"/>
      <c r="X55" s="9" t="n"/>
      <c r="Y55" s="9" t="n">
        <v>926</v>
      </c>
      <c r="Z55" s="9" t="inlineStr">
        <is>
          <t>cafegeekvv</t>
        </is>
      </c>
      <c r="AA55" s="11" t="n">
        <v>12159</v>
      </c>
      <c r="AB55" s="11" t="n">
        <v>230</v>
      </c>
      <c r="AC55" s="9" t="inlineStr">
        <is>
          <t>2021-07-30</t>
        </is>
      </c>
      <c r="AD55" s="9" t="n">
        <v>3</v>
      </c>
      <c r="AE55" s="11" t="n">
        <v>114</v>
      </c>
      <c r="AF55" s="11" t="n">
        <v>11</v>
      </c>
      <c r="AG55" s="9" t="n"/>
      <c r="AH55" s="9" t="n">
        <v>65</v>
      </c>
      <c r="AI55" s="9" t="inlineStr">
        <is>
          <t>não encontrado</t>
        </is>
      </c>
      <c r="AJ55" s="12">
        <f>IFERROR(INDEX(cesta!$O$2:$O$43,MATCH($A55,cesta!$A$2:$A$43,0)),"")</f>
        <v/>
      </c>
      <c r="AK55" s="12">
        <f>IFERROR(INDEX(cesta!$P$2:$P$43,MATCH($A55,cesta!$A$2:$A$43,0)),"")</f>
        <v/>
      </c>
      <c r="AL55" s="12">
        <f>IFERROR(INDEX(cesta!$Q$2:$Q$43,MATCH($A55,cesta!$A$2:$A$43,0)),"")</f>
        <v/>
      </c>
      <c r="AM55" s="9" t="n"/>
      <c r="AN55" s="9" t="n"/>
      <c r="AO55" s="9" t="n">
        <v>9</v>
      </c>
      <c r="AP55" s="9" t="n">
        <v>5</v>
      </c>
    </row>
  </sheetData>
  <autoFilter ref="A1:AP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capital</t>
        </is>
      </c>
      <c r="B1" s="2" t="inlineStr">
        <is>
          <t>casas</t>
        </is>
      </c>
      <c r="C1" s="2" t="inlineStr">
        <is>
          <t>com cardápio</t>
        </is>
      </c>
      <c r="D1" s="2" t="inlineStr">
        <is>
          <t>cesta mediana (média, R$)</t>
        </is>
      </c>
      <c r="E1" s="2" t="inlineStr">
        <is>
          <t>seguidores (média)</t>
        </is>
      </c>
      <c r="F1" s="2" t="inlineStr">
        <is>
          <t>posts no período (média)</t>
        </is>
      </c>
      <c r="G1" s="2" t="inlineStr">
        <is>
          <t>horas por semana (média)</t>
        </is>
      </c>
      <c r="H1" s="2" t="inlineStr">
        <is>
          <t>nota média (média)</t>
        </is>
      </c>
      <c r="I1" s="2" t="inlineStr">
        <is>
          <t>avaliações B2 (soma)</t>
        </is>
      </c>
    </row>
    <row r="2">
      <c r="A2" s="9" t="inlineStr">
        <is>
          <t>Belo Horizonte</t>
        </is>
      </c>
      <c r="B2" s="9">
        <f>COUNTIF(estabelecimentos!$C$2:$C$55,A2)</f>
        <v/>
      </c>
      <c r="C2" s="9">
        <f>COUNTIFS(estabelecimentos!$C$2:$C$55,A2,estabelecimentos!$AK$2:$AK$55,"&gt;0")</f>
        <v/>
      </c>
      <c r="D2" s="12">
        <f>IFERROR(AVERAGEIFS(estabelecimentos!$AK$2:$AK$55,estabelecimentos!$C$2:$C$55,A2,estabelecimentos!$AK$2:$AK$55,"&gt;0"),"")</f>
        <v/>
      </c>
      <c r="E2" s="13">
        <f>IFERROR(AVERAGEIFS(estabelecimentos!$AA$2:$AA$55,estabelecimentos!$C$2:$C$55,A2),"")</f>
        <v/>
      </c>
      <c r="F2" s="13">
        <f>IFERROR(AVERAGEIFS(estabelecimentos!$AD$2:$AD$55,estabelecimentos!$C$2:$C$55,A2),"")</f>
        <v/>
      </c>
      <c r="G2" s="13">
        <f>IFERROR(AVERAGEIFS(estabelecimentos!$J$2:$J$55,estabelecimentos!$C$2:$C$55,A2),"")</f>
        <v/>
      </c>
      <c r="H2" s="13">
        <f>IFERROR(AVERAGEIFS(estabelecimentos!$F$2:$F$55,estabelecimentos!$C$2:$C$55,A2),"")</f>
        <v/>
      </c>
      <c r="I2" s="9">
        <f>SUMIF(estabelecimentos!$C$2:$C$55,A2,estabelecimentos!$AO$2:$AO$55)</f>
        <v/>
      </c>
    </row>
    <row r="3">
      <c r="A3" s="9" t="inlineStr">
        <is>
          <t>Belém</t>
        </is>
      </c>
      <c r="B3" s="9">
        <f>COUNTIF(estabelecimentos!$C$2:$C$55,A3)</f>
        <v/>
      </c>
      <c r="C3" s="9">
        <f>COUNTIFS(estabelecimentos!$C$2:$C$55,A3,estabelecimentos!$AK$2:$AK$55,"&gt;0")</f>
        <v/>
      </c>
      <c r="D3" s="12">
        <f>IFERROR(AVERAGEIFS(estabelecimentos!$AK$2:$AK$55,estabelecimentos!$C$2:$C$55,A3,estabelecimentos!$AK$2:$AK$55,"&gt;0"),"")</f>
        <v/>
      </c>
      <c r="E3" s="13">
        <f>IFERROR(AVERAGEIFS(estabelecimentos!$AA$2:$AA$55,estabelecimentos!$C$2:$C$55,A3),"")</f>
        <v/>
      </c>
      <c r="F3" s="13">
        <f>IFERROR(AVERAGEIFS(estabelecimentos!$AD$2:$AD$55,estabelecimentos!$C$2:$C$55,A3),"")</f>
        <v/>
      </c>
      <c r="G3" s="13">
        <f>IFERROR(AVERAGEIFS(estabelecimentos!$J$2:$J$55,estabelecimentos!$C$2:$C$55,A3),"")</f>
        <v/>
      </c>
      <c r="H3" s="13">
        <f>IFERROR(AVERAGEIFS(estabelecimentos!$F$2:$F$55,estabelecimentos!$C$2:$C$55,A3),"")</f>
        <v/>
      </c>
      <c r="I3" s="9">
        <f>SUMIF(estabelecimentos!$C$2:$C$55,A3,estabelecimentos!$AO$2:$AO$55)</f>
        <v/>
      </c>
    </row>
    <row r="4">
      <c r="A4" s="9" t="inlineStr">
        <is>
          <t>Brasília</t>
        </is>
      </c>
      <c r="B4" s="9">
        <f>COUNTIF(estabelecimentos!$C$2:$C$55,A4)</f>
        <v/>
      </c>
      <c r="C4" s="9">
        <f>COUNTIFS(estabelecimentos!$C$2:$C$55,A4,estabelecimentos!$AK$2:$AK$55,"&gt;0")</f>
        <v/>
      </c>
      <c r="D4" s="12">
        <f>IFERROR(AVERAGEIFS(estabelecimentos!$AK$2:$AK$55,estabelecimentos!$C$2:$C$55,A4,estabelecimentos!$AK$2:$AK$55,"&gt;0"),"")</f>
        <v/>
      </c>
      <c r="E4" s="13">
        <f>IFERROR(AVERAGEIFS(estabelecimentos!$AA$2:$AA$55,estabelecimentos!$C$2:$C$55,A4),"")</f>
        <v/>
      </c>
      <c r="F4" s="13">
        <f>IFERROR(AVERAGEIFS(estabelecimentos!$AD$2:$AD$55,estabelecimentos!$C$2:$C$55,A4),"")</f>
        <v/>
      </c>
      <c r="G4" s="13">
        <f>IFERROR(AVERAGEIFS(estabelecimentos!$J$2:$J$55,estabelecimentos!$C$2:$C$55,A4),"")</f>
        <v/>
      </c>
      <c r="H4" s="13">
        <f>IFERROR(AVERAGEIFS(estabelecimentos!$F$2:$F$55,estabelecimentos!$C$2:$C$55,A4),"")</f>
        <v/>
      </c>
      <c r="I4" s="9">
        <f>SUMIF(estabelecimentos!$C$2:$C$55,A4,estabelecimentos!$AO$2:$AO$55)</f>
        <v/>
      </c>
    </row>
    <row r="5">
      <c r="A5" s="9" t="inlineStr">
        <is>
          <t>Curitiba</t>
        </is>
      </c>
      <c r="B5" s="9">
        <f>COUNTIF(estabelecimentos!$C$2:$C$55,A5)</f>
        <v/>
      </c>
      <c r="C5" s="9">
        <f>COUNTIFS(estabelecimentos!$C$2:$C$55,A5,estabelecimentos!$AK$2:$AK$55,"&gt;0")</f>
        <v/>
      </c>
      <c r="D5" s="12">
        <f>IFERROR(AVERAGEIFS(estabelecimentos!$AK$2:$AK$55,estabelecimentos!$C$2:$C$55,A5,estabelecimentos!$AK$2:$AK$55,"&gt;0"),"")</f>
        <v/>
      </c>
      <c r="E5" s="13">
        <f>IFERROR(AVERAGEIFS(estabelecimentos!$AA$2:$AA$55,estabelecimentos!$C$2:$C$55,A5),"")</f>
        <v/>
      </c>
      <c r="F5" s="13">
        <f>IFERROR(AVERAGEIFS(estabelecimentos!$AD$2:$AD$55,estabelecimentos!$C$2:$C$55,A5),"")</f>
        <v/>
      </c>
      <c r="G5" s="13">
        <f>IFERROR(AVERAGEIFS(estabelecimentos!$J$2:$J$55,estabelecimentos!$C$2:$C$55,A5),"")</f>
        <v/>
      </c>
      <c r="H5" s="13">
        <f>IFERROR(AVERAGEIFS(estabelecimentos!$F$2:$F$55,estabelecimentos!$C$2:$C$55,A5),"")</f>
        <v/>
      </c>
      <c r="I5" s="9">
        <f>SUMIF(estabelecimentos!$C$2:$C$55,A5,estabelecimentos!$AO$2:$AO$55)</f>
        <v/>
      </c>
    </row>
    <row r="6">
      <c r="A6" s="9" t="inlineStr">
        <is>
          <t>Florianópolis</t>
        </is>
      </c>
      <c r="B6" s="9">
        <f>COUNTIF(estabelecimentos!$C$2:$C$55,A6)</f>
        <v/>
      </c>
      <c r="C6" s="9">
        <f>COUNTIFS(estabelecimentos!$C$2:$C$55,A6,estabelecimentos!$AK$2:$AK$55,"&gt;0")</f>
        <v/>
      </c>
      <c r="D6" s="12">
        <f>IFERROR(AVERAGEIFS(estabelecimentos!$AK$2:$AK$55,estabelecimentos!$C$2:$C$55,A6,estabelecimentos!$AK$2:$AK$55,"&gt;0"),"")</f>
        <v/>
      </c>
      <c r="E6" s="13">
        <f>IFERROR(AVERAGEIFS(estabelecimentos!$AA$2:$AA$55,estabelecimentos!$C$2:$C$55,A6),"")</f>
        <v/>
      </c>
      <c r="F6" s="13">
        <f>IFERROR(AVERAGEIFS(estabelecimentos!$AD$2:$AD$55,estabelecimentos!$C$2:$C$55,A6),"")</f>
        <v/>
      </c>
      <c r="G6" s="13">
        <f>IFERROR(AVERAGEIFS(estabelecimentos!$J$2:$J$55,estabelecimentos!$C$2:$C$55,A6),"")</f>
        <v/>
      </c>
      <c r="H6" s="13">
        <f>IFERROR(AVERAGEIFS(estabelecimentos!$F$2:$F$55,estabelecimentos!$C$2:$C$55,A6),"")</f>
        <v/>
      </c>
      <c r="I6" s="9">
        <f>SUMIF(estabelecimentos!$C$2:$C$55,A6,estabelecimentos!$AO$2:$AO$55)</f>
        <v/>
      </c>
    </row>
    <row r="7">
      <c r="A7" s="9" t="inlineStr">
        <is>
          <t>Fortaleza</t>
        </is>
      </c>
      <c r="B7" s="9">
        <f>COUNTIF(estabelecimentos!$C$2:$C$55,A7)</f>
        <v/>
      </c>
      <c r="C7" s="9">
        <f>COUNTIFS(estabelecimentos!$C$2:$C$55,A7,estabelecimentos!$AK$2:$AK$55,"&gt;0")</f>
        <v/>
      </c>
      <c r="D7" s="12">
        <f>IFERROR(AVERAGEIFS(estabelecimentos!$AK$2:$AK$55,estabelecimentos!$C$2:$C$55,A7,estabelecimentos!$AK$2:$AK$55,"&gt;0"),"")</f>
        <v/>
      </c>
      <c r="E7" s="13">
        <f>IFERROR(AVERAGEIFS(estabelecimentos!$AA$2:$AA$55,estabelecimentos!$C$2:$C$55,A7),"")</f>
        <v/>
      </c>
      <c r="F7" s="13">
        <f>IFERROR(AVERAGEIFS(estabelecimentos!$AD$2:$AD$55,estabelecimentos!$C$2:$C$55,A7),"")</f>
        <v/>
      </c>
      <c r="G7" s="13">
        <f>IFERROR(AVERAGEIFS(estabelecimentos!$J$2:$J$55,estabelecimentos!$C$2:$C$55,A7),"")</f>
        <v/>
      </c>
      <c r="H7" s="13">
        <f>IFERROR(AVERAGEIFS(estabelecimentos!$F$2:$F$55,estabelecimentos!$C$2:$C$55,A7),"")</f>
        <v/>
      </c>
      <c r="I7" s="9">
        <f>SUMIF(estabelecimentos!$C$2:$C$55,A7,estabelecimentos!$AO$2:$AO$55)</f>
        <v/>
      </c>
    </row>
    <row r="8">
      <c r="A8" s="9" t="inlineStr">
        <is>
          <t>Goiânia</t>
        </is>
      </c>
      <c r="B8" s="9">
        <f>COUNTIF(estabelecimentos!$C$2:$C$55,A8)</f>
        <v/>
      </c>
      <c r="C8" s="9">
        <f>COUNTIFS(estabelecimentos!$C$2:$C$55,A8,estabelecimentos!$AK$2:$AK$55,"&gt;0")</f>
        <v/>
      </c>
      <c r="D8" s="12">
        <f>IFERROR(AVERAGEIFS(estabelecimentos!$AK$2:$AK$55,estabelecimentos!$C$2:$C$55,A8,estabelecimentos!$AK$2:$AK$55,"&gt;0"),"")</f>
        <v/>
      </c>
      <c r="E8" s="13">
        <f>IFERROR(AVERAGEIFS(estabelecimentos!$AA$2:$AA$55,estabelecimentos!$C$2:$C$55,A8),"")</f>
        <v/>
      </c>
      <c r="F8" s="13">
        <f>IFERROR(AVERAGEIFS(estabelecimentos!$AD$2:$AD$55,estabelecimentos!$C$2:$C$55,A8),"")</f>
        <v/>
      </c>
      <c r="G8" s="13">
        <f>IFERROR(AVERAGEIFS(estabelecimentos!$J$2:$J$55,estabelecimentos!$C$2:$C$55,A8),"")</f>
        <v/>
      </c>
      <c r="H8" s="13">
        <f>IFERROR(AVERAGEIFS(estabelecimentos!$F$2:$F$55,estabelecimentos!$C$2:$C$55,A8),"")</f>
        <v/>
      </c>
      <c r="I8" s="9">
        <f>SUMIF(estabelecimentos!$C$2:$C$55,A8,estabelecimentos!$AO$2:$AO$55)</f>
        <v/>
      </c>
    </row>
    <row r="9">
      <c r="A9" s="9" t="inlineStr">
        <is>
          <t>Porto Alegre</t>
        </is>
      </c>
      <c r="B9" s="9">
        <f>COUNTIF(estabelecimentos!$C$2:$C$55,A9)</f>
        <v/>
      </c>
      <c r="C9" s="9">
        <f>COUNTIFS(estabelecimentos!$C$2:$C$55,A9,estabelecimentos!$AK$2:$AK$55,"&gt;0")</f>
        <v/>
      </c>
      <c r="D9" s="12">
        <f>IFERROR(AVERAGEIFS(estabelecimentos!$AK$2:$AK$55,estabelecimentos!$C$2:$C$55,A9,estabelecimentos!$AK$2:$AK$55,"&gt;0"),"")</f>
        <v/>
      </c>
      <c r="E9" s="13">
        <f>IFERROR(AVERAGEIFS(estabelecimentos!$AA$2:$AA$55,estabelecimentos!$C$2:$C$55,A9),"")</f>
        <v/>
      </c>
      <c r="F9" s="13">
        <f>IFERROR(AVERAGEIFS(estabelecimentos!$AD$2:$AD$55,estabelecimentos!$C$2:$C$55,A9),"")</f>
        <v/>
      </c>
      <c r="G9" s="13">
        <f>IFERROR(AVERAGEIFS(estabelecimentos!$J$2:$J$55,estabelecimentos!$C$2:$C$55,A9),"")</f>
        <v/>
      </c>
      <c r="H9" s="13">
        <f>IFERROR(AVERAGEIFS(estabelecimentos!$F$2:$F$55,estabelecimentos!$C$2:$C$55,A9),"")</f>
        <v/>
      </c>
      <c r="I9" s="9">
        <f>SUMIF(estabelecimentos!$C$2:$C$55,A9,estabelecimentos!$AO$2:$AO$55)</f>
        <v/>
      </c>
    </row>
    <row r="10">
      <c r="A10" s="9" t="inlineStr">
        <is>
          <t>Recife</t>
        </is>
      </c>
      <c r="B10" s="9">
        <f>COUNTIF(estabelecimentos!$C$2:$C$55,A10)</f>
        <v/>
      </c>
      <c r="C10" s="9">
        <f>COUNTIFS(estabelecimentos!$C$2:$C$55,A10,estabelecimentos!$AK$2:$AK$55,"&gt;0")</f>
        <v/>
      </c>
      <c r="D10" s="12">
        <f>IFERROR(AVERAGEIFS(estabelecimentos!$AK$2:$AK$55,estabelecimentos!$C$2:$C$55,A10,estabelecimentos!$AK$2:$AK$55,"&gt;0"),"")</f>
        <v/>
      </c>
      <c r="E10" s="13">
        <f>IFERROR(AVERAGEIFS(estabelecimentos!$AA$2:$AA$55,estabelecimentos!$C$2:$C$55,A10),"")</f>
        <v/>
      </c>
      <c r="F10" s="13">
        <f>IFERROR(AVERAGEIFS(estabelecimentos!$AD$2:$AD$55,estabelecimentos!$C$2:$C$55,A10),"")</f>
        <v/>
      </c>
      <c r="G10" s="13">
        <f>IFERROR(AVERAGEIFS(estabelecimentos!$J$2:$J$55,estabelecimentos!$C$2:$C$55,A10),"")</f>
        <v/>
      </c>
      <c r="H10" s="13">
        <f>IFERROR(AVERAGEIFS(estabelecimentos!$F$2:$F$55,estabelecimentos!$C$2:$C$55,A10),"")</f>
        <v/>
      </c>
      <c r="I10" s="9">
        <f>SUMIF(estabelecimentos!$C$2:$C$55,A10,estabelecimentos!$AO$2:$AO$55)</f>
        <v/>
      </c>
    </row>
    <row r="11">
      <c r="A11" s="9" t="inlineStr">
        <is>
          <t>Rio de Janeiro</t>
        </is>
      </c>
      <c r="B11" s="9">
        <f>COUNTIF(estabelecimentos!$C$2:$C$55,A11)</f>
        <v/>
      </c>
      <c r="C11" s="9">
        <f>COUNTIFS(estabelecimentos!$C$2:$C$55,A11,estabelecimentos!$AK$2:$AK$55,"&gt;0")</f>
        <v/>
      </c>
      <c r="D11" s="12">
        <f>IFERROR(AVERAGEIFS(estabelecimentos!$AK$2:$AK$55,estabelecimentos!$C$2:$C$55,A11,estabelecimentos!$AK$2:$AK$55,"&gt;0"),"")</f>
        <v/>
      </c>
      <c r="E11" s="13">
        <f>IFERROR(AVERAGEIFS(estabelecimentos!$AA$2:$AA$55,estabelecimentos!$C$2:$C$55,A11),"")</f>
        <v/>
      </c>
      <c r="F11" s="13">
        <f>IFERROR(AVERAGEIFS(estabelecimentos!$AD$2:$AD$55,estabelecimentos!$C$2:$C$55,A11),"")</f>
        <v/>
      </c>
      <c r="G11" s="13">
        <f>IFERROR(AVERAGEIFS(estabelecimentos!$J$2:$J$55,estabelecimentos!$C$2:$C$55,A11),"")</f>
        <v/>
      </c>
      <c r="H11" s="13">
        <f>IFERROR(AVERAGEIFS(estabelecimentos!$F$2:$F$55,estabelecimentos!$C$2:$C$55,A11),"")</f>
        <v/>
      </c>
      <c r="I11" s="9">
        <f>SUMIF(estabelecimentos!$C$2:$C$55,A11,estabelecimentos!$AO$2:$AO$55)</f>
        <v/>
      </c>
    </row>
    <row r="12">
      <c r="A12" s="9" t="inlineStr">
        <is>
          <t>Salvador</t>
        </is>
      </c>
      <c r="B12" s="9">
        <f>COUNTIF(estabelecimentos!$C$2:$C$55,A12)</f>
        <v/>
      </c>
      <c r="C12" s="9">
        <f>COUNTIFS(estabelecimentos!$C$2:$C$55,A12,estabelecimentos!$AK$2:$AK$55,"&gt;0")</f>
        <v/>
      </c>
      <c r="D12" s="12">
        <f>IFERROR(AVERAGEIFS(estabelecimentos!$AK$2:$AK$55,estabelecimentos!$C$2:$C$55,A12,estabelecimentos!$AK$2:$AK$55,"&gt;0"),"")</f>
        <v/>
      </c>
      <c r="E12" s="13">
        <f>IFERROR(AVERAGEIFS(estabelecimentos!$AA$2:$AA$55,estabelecimentos!$C$2:$C$55,A12),"")</f>
        <v/>
      </c>
      <c r="F12" s="13">
        <f>IFERROR(AVERAGEIFS(estabelecimentos!$AD$2:$AD$55,estabelecimentos!$C$2:$C$55,A12),"")</f>
        <v/>
      </c>
      <c r="G12" s="13">
        <f>IFERROR(AVERAGEIFS(estabelecimentos!$J$2:$J$55,estabelecimentos!$C$2:$C$55,A12),"")</f>
        <v/>
      </c>
      <c r="H12" s="13">
        <f>IFERROR(AVERAGEIFS(estabelecimentos!$F$2:$F$55,estabelecimentos!$C$2:$C$55,A12),"")</f>
        <v/>
      </c>
      <c r="I12" s="9">
        <f>SUMIF(estabelecimentos!$C$2:$C$55,A12,estabelecimentos!$AO$2:$AO$55)</f>
        <v/>
      </c>
    </row>
    <row r="13">
      <c r="A13" s="9" t="inlineStr">
        <is>
          <t>São Paulo</t>
        </is>
      </c>
      <c r="B13" s="9">
        <f>COUNTIF(estabelecimentos!$C$2:$C$55,A13)</f>
        <v/>
      </c>
      <c r="C13" s="9">
        <f>COUNTIFS(estabelecimentos!$C$2:$C$55,A13,estabelecimentos!$AK$2:$AK$55,"&gt;0")</f>
        <v/>
      </c>
      <c r="D13" s="12">
        <f>IFERROR(AVERAGEIFS(estabelecimentos!$AK$2:$AK$55,estabelecimentos!$C$2:$C$55,A13,estabelecimentos!$AK$2:$AK$55,"&gt;0"),"")</f>
        <v/>
      </c>
      <c r="E13" s="13">
        <f>IFERROR(AVERAGEIFS(estabelecimentos!$AA$2:$AA$55,estabelecimentos!$C$2:$C$55,A13),"")</f>
        <v/>
      </c>
      <c r="F13" s="13">
        <f>IFERROR(AVERAGEIFS(estabelecimentos!$AD$2:$AD$55,estabelecimentos!$C$2:$C$55,A13),"")</f>
        <v/>
      </c>
      <c r="G13" s="13">
        <f>IFERROR(AVERAGEIFS(estabelecimentos!$J$2:$J$55,estabelecimentos!$C$2:$C$55,A13),"")</f>
        <v/>
      </c>
      <c r="H13" s="13">
        <f>IFERROR(AVERAGEIFS(estabelecimentos!$F$2:$F$55,estabelecimentos!$C$2:$C$55,A13),"")</f>
        <v/>
      </c>
      <c r="I13" s="9">
        <f>SUMIF(estabelecimentos!$C$2:$C$55,A13,estabelecimentos!$AO$2:$AO$55)</f>
        <v/>
      </c>
    </row>
    <row r="14">
      <c r="A14" s="9" t="inlineStr">
        <is>
          <t>Vitória</t>
        </is>
      </c>
      <c r="B14" s="9">
        <f>COUNTIF(estabelecimentos!$C$2:$C$55,A14)</f>
        <v/>
      </c>
      <c r="C14" s="9">
        <f>COUNTIFS(estabelecimentos!$C$2:$C$55,A14,estabelecimentos!$AK$2:$AK$55,"&gt;0")</f>
        <v/>
      </c>
      <c r="D14" s="12">
        <f>IFERROR(AVERAGEIFS(estabelecimentos!$AK$2:$AK$55,estabelecimentos!$C$2:$C$55,A14,estabelecimentos!$AK$2:$AK$55,"&gt;0"),"")</f>
        <v/>
      </c>
      <c r="E14" s="13">
        <f>IFERROR(AVERAGEIFS(estabelecimentos!$AA$2:$AA$55,estabelecimentos!$C$2:$C$55,A14),"")</f>
        <v/>
      </c>
      <c r="F14" s="13">
        <f>IFERROR(AVERAGEIFS(estabelecimentos!$AD$2:$AD$55,estabelecimentos!$C$2:$C$55,A14),"")</f>
        <v/>
      </c>
      <c r="G14" s="13">
        <f>IFERROR(AVERAGEIFS(estabelecimentos!$J$2:$J$55,estabelecimentos!$C$2:$C$55,A14),"")</f>
        <v/>
      </c>
      <c r="H14" s="13">
        <f>IFERROR(AVERAGEIFS(estabelecimentos!$F$2:$F$55,estabelecimentos!$C$2:$C$55,A14),"")</f>
        <v/>
      </c>
      <c r="I14" s="9">
        <f>SUMIF(estabelecimentos!$C$2:$C$55,A14,estabelecimentos!$AO$2:$AO$55)</f>
        <v/>
      </c>
    </row>
    <row r="15">
      <c r="A15" s="14" t="inlineStr">
        <is>
          <t>Total</t>
        </is>
      </c>
      <c r="B15" s="14">
        <f>SUM(B2:B14)</f>
        <v/>
      </c>
      <c r="C15" s="14">
        <f>SUM(C2:C14)</f>
        <v/>
      </c>
      <c r="D15" s="15">
        <f>IFERROR(AVERAGEIF(estabelecimentos!$AK$2:$AK$55,"&gt;0"),"")</f>
        <v/>
      </c>
      <c r="E15" s="16">
        <f>AVERAGE(estabelecimentos!$AA$2:$AA$55)</f>
        <v/>
      </c>
      <c r="F15" s="16">
        <f>AVERAGE(estabelecimentos!$AD$2:$AD$55)</f>
        <v/>
      </c>
      <c r="G15" s="16">
        <f>AVERAGE(estabelecimentos!$J$2:$J$55)</f>
        <v/>
      </c>
      <c r="H15" s="16">
        <f>AVERAGE(estabelecimentos!$F$2:$F$55)</f>
        <v/>
      </c>
      <c r="I15" s="14">
        <f>SUM(I2:I14)</f>
        <v/>
      </c>
    </row>
    <row r="16">
      <c r="A16" s="17" t="inlineStr">
        <is>
          <t>Conferência (total − linhas da aba estabelecimentos; deve ser 0)</t>
        </is>
      </c>
      <c r="B16" s="9">
        <f>B15-COUNTA(estabelecimentos!$A$2:$A$55)</f>
        <v/>
      </c>
      <c r="C16" s="9" t="n"/>
      <c r="D16" s="9" t="n"/>
      <c r="E16" s="9" t="n"/>
      <c r="F16" s="9" t="n"/>
      <c r="G16" s="9" t="n"/>
      <c r="H16" s="9" t="n"/>
      <c r="I16" s="9" t="n"/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</cols>
  <sheetData>
    <row r="1">
      <c r="A1" s="2" t="inlineStr">
        <is>
          <t>place_id</t>
        </is>
      </c>
      <c r="B1" s="2" t="inlineStr">
        <is>
          <t>nome</t>
        </is>
      </c>
      <c r="C1" s="2" t="inlineStr">
        <is>
          <t>capital_endereco</t>
        </is>
      </c>
      <c r="D1" s="2" t="inlineStr">
        <is>
          <t>itens_com_preco</t>
        </is>
      </c>
      <c r="E1" s="2" t="inlineStr">
        <is>
          <t>couvert_no_cardapio</t>
        </is>
      </c>
      <c r="F1" s="2" t="inlineStr">
        <is>
          <t>couvert_p25</t>
        </is>
      </c>
      <c r="G1" s="2" t="inlineStr">
        <is>
          <t>couvert_mediana</t>
        </is>
      </c>
      <c r="H1" s="2" t="inlineStr">
        <is>
          <t>couvert_p75</t>
        </is>
      </c>
      <c r="I1" s="2" t="inlineStr">
        <is>
          <t>bebida_p25</t>
        </is>
      </c>
      <c r="J1" s="2" t="inlineStr">
        <is>
          <t>bebida_mediana</t>
        </is>
      </c>
      <c r="K1" s="2" t="inlineStr">
        <is>
          <t>bebida_p75</t>
        </is>
      </c>
      <c r="L1" s="2" t="inlineStr">
        <is>
          <t>entrada_ou_prato_p25</t>
        </is>
      </c>
      <c r="M1" s="2" t="inlineStr">
        <is>
          <t>entrada_ou_prato_mediana</t>
        </is>
      </c>
      <c r="N1" s="2" t="inlineStr">
        <is>
          <t>entrada_ou_prato_p75</t>
        </is>
      </c>
      <c r="O1" s="2" t="inlineStr">
        <is>
          <t>cesta_baixa</t>
        </is>
      </c>
      <c r="P1" s="2" t="inlineStr">
        <is>
          <t>cesta_mediana</t>
        </is>
      </c>
      <c r="Q1" s="2" t="inlineStr">
        <is>
          <t>cesta_alta</t>
        </is>
      </c>
      <c r="R1" s="2" t="inlineStr">
        <is>
          <t>hamburguer_mediana</t>
        </is>
      </c>
      <c r="S1" s="2" t="inlineStr">
        <is>
          <t>batata_mediana</t>
        </is>
      </c>
      <c r="T1" s="2" t="inlineStr">
        <is>
          <t>cerveja_mediana</t>
        </is>
      </c>
      <c r="U1" s="2" t="inlineStr">
        <is>
          <t>refrigerante_mediana</t>
        </is>
      </c>
      <c r="V1" s="2" t="inlineStr">
        <is>
          <t>drinks_mediana</t>
        </is>
      </c>
      <c r="W1" s="2" t="inlineStr">
        <is>
          <t>data_cardapio</t>
        </is>
      </c>
    </row>
    <row r="2">
      <c r="A2" s="9" t="inlineStr">
        <is>
          <t>ChIJRcWOaPabpgARDvX2Bad0qb0</t>
        </is>
      </c>
      <c r="B2" s="9" t="inlineStr">
        <is>
          <t>Bardo Mago</t>
        </is>
      </c>
      <c r="C2" s="9" t="inlineStr">
        <is>
          <t>Belo Horizonte</t>
        </is>
      </c>
      <c r="D2" s="9" t="n">
        <v>110</v>
      </c>
      <c r="E2" s="9" t="inlineStr">
        <is>
          <t>não encontrado</t>
        </is>
      </c>
      <c r="F2" s="12" t="n"/>
      <c r="G2" s="12" t="n"/>
      <c r="H2" s="12" t="n"/>
      <c r="I2" s="12" t="n">
        <v>12</v>
      </c>
      <c r="J2" s="12" t="n">
        <v>20</v>
      </c>
      <c r="K2" s="12" t="n">
        <v>28</v>
      </c>
      <c r="L2" s="12" t="n">
        <v>28.5</v>
      </c>
      <c r="M2" s="12" t="n">
        <v>34</v>
      </c>
      <c r="N2" s="12" t="n">
        <v>43.5</v>
      </c>
      <c r="O2" s="12">
        <f>IF(OR(F2="",I2="",L2=""),"",F2+I2+L2)</f>
        <v/>
      </c>
      <c r="P2" s="12">
        <f>IF(OR(G2="",J2="",M2=""),"",G2+J2+M2)</f>
        <v/>
      </c>
      <c r="Q2" s="12">
        <f>IF(OR(H2="",K2="",N2=""),"",H2+K2+N2)</f>
        <v/>
      </c>
      <c r="R2" s="12" t="n">
        <v>42</v>
      </c>
      <c r="S2" s="12" t="n"/>
      <c r="T2" s="12" t="n">
        <v>12.5</v>
      </c>
      <c r="U2" s="12" t="n">
        <v>8</v>
      </c>
      <c r="V2" s="12" t="n">
        <v>26</v>
      </c>
      <c r="W2" s="9" t="inlineStr">
        <is>
          <t>sem data</t>
        </is>
      </c>
    </row>
    <row r="3">
      <c r="A3" s="9" t="inlineStr">
        <is>
          <t>ChIJpzB8zc2XpgARoJTUu90J6Pw</t>
        </is>
      </c>
      <c r="B3" s="9" t="inlineStr">
        <is>
          <t>Comdado Bar e Jogos</t>
        </is>
      </c>
      <c r="C3" s="9" t="inlineStr">
        <is>
          <t>Belo Horizonte</t>
        </is>
      </c>
      <c r="D3" s="9" t="n">
        <v>55</v>
      </c>
      <c r="E3" s="9" t="inlineStr">
        <is>
          <t>sim</t>
        </is>
      </c>
      <c r="F3" s="12" t="n">
        <v>16.25</v>
      </c>
      <c r="G3" s="12" t="n">
        <v>17.5</v>
      </c>
      <c r="H3" s="12" t="n">
        <v>18.75</v>
      </c>
      <c r="I3" s="12" t="n">
        <v>11</v>
      </c>
      <c r="J3" s="12" t="n">
        <v>18</v>
      </c>
      <c r="K3" s="12" t="n">
        <v>25</v>
      </c>
      <c r="L3" s="12" t="n">
        <v>43.75</v>
      </c>
      <c r="M3" s="12" t="n">
        <v>50</v>
      </c>
      <c r="N3" s="12" t="n">
        <v>55</v>
      </c>
      <c r="O3" s="12">
        <f>IF(OR(F3="",I3="",L3=""),"",F3+I3+L3)</f>
        <v/>
      </c>
      <c r="P3" s="12">
        <f>IF(OR(G3="",J3="",M3=""),"",G3+J3+M3)</f>
        <v/>
      </c>
      <c r="Q3" s="12">
        <f>IF(OR(H3="",K3="",N3=""),"",H3+K3+N3)</f>
        <v/>
      </c>
      <c r="R3" s="12" t="n">
        <v>50</v>
      </c>
      <c r="S3" s="12" t="n"/>
      <c r="T3" s="12" t="n">
        <v>12</v>
      </c>
      <c r="U3" s="12" t="n"/>
      <c r="V3" s="12" t="n">
        <v>25</v>
      </c>
      <c r="W3" s="9" t="inlineStr">
        <is>
          <t>2023-06, 2025-12</t>
        </is>
      </c>
    </row>
    <row r="4">
      <c r="A4" s="9" t="inlineStr">
        <is>
          <t>ChIJsUAT-dObpgARCT2C5QpnVKU</t>
        </is>
      </c>
      <c r="B4" s="9" t="inlineStr">
        <is>
          <t>Garagem do Nerd</t>
        </is>
      </c>
      <c r="C4" s="9" t="inlineStr">
        <is>
          <t>Belo Horizonte</t>
        </is>
      </c>
      <c r="D4" s="9" t="n">
        <v>1</v>
      </c>
      <c r="E4" s="9" t="inlineStr">
        <is>
          <t>sim</t>
        </is>
      </c>
      <c r="F4" s="12" t="n">
        <v>10</v>
      </c>
      <c r="G4" s="12" t="n">
        <v>10</v>
      </c>
      <c r="H4" s="12" t="n">
        <v>10</v>
      </c>
      <c r="I4" s="12" t="n"/>
      <c r="J4" s="12" t="n"/>
      <c r="K4" s="12" t="n"/>
      <c r="L4" s="12" t="n"/>
      <c r="M4" s="12" t="n"/>
      <c r="N4" s="12" t="n"/>
      <c r="O4" s="12">
        <f>IF(OR(F4="",I4="",L4=""),"",F4+I4+L4)</f>
        <v/>
      </c>
      <c r="P4" s="12">
        <f>IF(OR(G4="",J4="",M4=""),"",G4+J4+M4)</f>
        <v/>
      </c>
      <c r="Q4" s="12">
        <f>IF(OR(H4="",K4="",N4=""),"",H4+K4+N4)</f>
        <v/>
      </c>
      <c r="R4" s="12" t="n"/>
      <c r="S4" s="12" t="n"/>
      <c r="T4" s="12" t="n"/>
      <c r="U4" s="12" t="n"/>
      <c r="V4" s="12" t="n"/>
      <c r="W4" s="9" t="inlineStr">
        <is>
          <t>2024-06-23</t>
        </is>
      </c>
    </row>
    <row r="5">
      <c r="A5" s="9" t="inlineStr">
        <is>
          <t>ChIJ-17ZQDG9pgARc-AxpXmaNRU</t>
        </is>
      </c>
      <c r="B5" s="9" t="inlineStr">
        <is>
          <t>La Tabuleria</t>
        </is>
      </c>
      <c r="C5" s="9" t="inlineStr">
        <is>
          <t>Belo Horizonte</t>
        </is>
      </c>
      <c r="D5" s="9" t="n">
        <v>90</v>
      </c>
      <c r="E5" s="9" t="inlineStr">
        <is>
          <t>sim</t>
        </is>
      </c>
      <c r="F5" s="12" t="n">
        <v>20</v>
      </c>
      <c r="G5" s="12" t="n">
        <v>20</v>
      </c>
      <c r="H5" s="12" t="n">
        <v>20</v>
      </c>
      <c r="I5" s="12" t="n">
        <v>10</v>
      </c>
      <c r="J5" s="12" t="n">
        <v>20</v>
      </c>
      <c r="K5" s="12" t="n">
        <v>26</v>
      </c>
      <c r="L5" s="12" t="n">
        <v>28.5</v>
      </c>
      <c r="M5" s="12" t="n">
        <v>35</v>
      </c>
      <c r="N5" s="12" t="n">
        <v>41.5</v>
      </c>
      <c r="O5" s="12">
        <f>IF(OR(F5="",I5="",L5=""),"",F5+I5+L5)</f>
        <v/>
      </c>
      <c r="P5" s="12">
        <f>IF(OR(G5="",J5="",M5=""),"",G5+J5+M5)</f>
        <v/>
      </c>
      <c r="Q5" s="12">
        <f>IF(OR(H5="",K5="",N5=""),"",H5+K5+N5)</f>
        <v/>
      </c>
      <c r="R5" s="12" t="n">
        <v>42</v>
      </c>
      <c r="S5" s="12" t="n">
        <v>37.5</v>
      </c>
      <c r="T5" s="12" t="n">
        <v>12</v>
      </c>
      <c r="U5" s="12" t="n">
        <v>8</v>
      </c>
      <c r="V5" s="12" t="n">
        <v>25</v>
      </c>
      <c r="W5" s="9" t="inlineStr">
        <is>
          <t>sem data</t>
        </is>
      </c>
    </row>
    <row r="6">
      <c r="A6" s="9" t="inlineStr">
        <is>
          <t>ChIJx5jr3zGXpgARQGx9eX7TDmY</t>
        </is>
      </c>
      <c r="B6" s="9" t="inlineStr">
        <is>
          <t>LudoCafé</t>
        </is>
      </c>
      <c r="C6" s="9" t="inlineStr">
        <is>
          <t>Belo Horizonte</t>
        </is>
      </c>
      <c r="D6" s="9" t="n">
        <v>11</v>
      </c>
      <c r="E6" s="9" t="inlineStr">
        <is>
          <t>sim</t>
        </is>
      </c>
      <c r="F6" s="12" t="n">
        <v>18.75</v>
      </c>
      <c r="G6" s="12" t="n">
        <v>22.5</v>
      </c>
      <c r="H6" s="12" t="n">
        <v>26.25</v>
      </c>
      <c r="I6" s="12" t="n">
        <v>31.4</v>
      </c>
      <c r="J6" s="12" t="n">
        <v>34.4</v>
      </c>
      <c r="K6" s="12" t="n">
        <v>35.9</v>
      </c>
      <c r="L6" s="12" t="n">
        <v>37.9</v>
      </c>
      <c r="M6" s="12" t="n">
        <v>38.9</v>
      </c>
      <c r="N6" s="12" t="n">
        <v>39.9</v>
      </c>
      <c r="O6" s="12">
        <f>IF(OR(F6="",I6="",L6=""),"",F6+I6+L6)</f>
        <v/>
      </c>
      <c r="P6" s="12">
        <f>IF(OR(G6="",J6="",M6=""),"",G6+J6+M6)</f>
        <v/>
      </c>
      <c r="Q6" s="12">
        <f>IF(OR(H6="",K6="",N6=""),"",H6+K6+N6)</f>
        <v/>
      </c>
      <c r="R6" s="12" t="n"/>
      <c r="S6" s="12" t="n"/>
      <c r="T6" s="12" t="n"/>
      <c r="U6" s="12" t="n"/>
      <c r="V6" s="12" t="n">
        <v>38.9</v>
      </c>
      <c r="W6" s="9" t="inlineStr">
        <is>
          <t>2024-06-23, 2024-11-16</t>
        </is>
      </c>
    </row>
    <row r="7">
      <c r="A7" s="9" t="inlineStr">
        <is>
          <t>ChIJ6ZLMZw-XpgAR_OR6SwY5xKo</t>
        </is>
      </c>
      <c r="B7" s="9" t="inlineStr">
        <is>
          <t>Shelf Bar e Jogos</t>
        </is>
      </c>
      <c r="C7" s="9" t="inlineStr">
        <is>
          <t>Belo Horizonte</t>
        </is>
      </c>
      <c r="D7" s="9" t="n">
        <v>138</v>
      </c>
      <c r="E7" s="9" t="inlineStr">
        <is>
          <t>sim</t>
        </is>
      </c>
      <c r="F7" s="12" t="n">
        <v>17.5</v>
      </c>
      <c r="G7" s="12" t="n">
        <v>20</v>
      </c>
      <c r="H7" s="12" t="n">
        <v>25</v>
      </c>
      <c r="I7" s="12" t="n">
        <v>14.5</v>
      </c>
      <c r="J7" s="12" t="n">
        <v>25</v>
      </c>
      <c r="K7" s="12" t="n">
        <v>30</v>
      </c>
      <c r="L7" s="12" t="n">
        <v>42</v>
      </c>
      <c r="M7" s="12" t="n">
        <v>52</v>
      </c>
      <c r="N7" s="12" t="n">
        <v>66</v>
      </c>
      <c r="O7" s="12">
        <f>IF(OR(F7="",I7="",L7=""),"",F7+I7+L7)</f>
        <v/>
      </c>
      <c r="P7" s="12">
        <f>IF(OR(G7="",J7="",M7=""),"",G7+J7+M7)</f>
        <v/>
      </c>
      <c r="Q7" s="12">
        <f>IF(OR(H7="",K7="",N7=""),"",H7+K7+N7)</f>
        <v/>
      </c>
      <c r="R7" s="12" t="n">
        <v>54</v>
      </c>
      <c r="S7" s="12" t="n">
        <v>40</v>
      </c>
      <c r="T7" s="12" t="n">
        <v>13</v>
      </c>
      <c r="U7" s="12" t="n">
        <v>12</v>
      </c>
      <c r="V7" s="12" t="n">
        <v>28</v>
      </c>
      <c r="W7" s="9" t="inlineStr">
        <is>
          <t>sem data</t>
        </is>
      </c>
    </row>
    <row r="8">
      <c r="A8" s="9" t="inlineStr">
        <is>
          <t>ChIJ-97tiEeNpJIRb_eV7a-sxBs</t>
        </is>
      </c>
      <c r="B8" s="9" t="inlineStr">
        <is>
          <t>Ludoteca Sidequest</t>
        </is>
      </c>
      <c r="C8" s="9" t="inlineStr">
        <is>
          <t>Belém</t>
        </is>
      </c>
      <c r="D8" s="9" t="n">
        <v>58</v>
      </c>
      <c r="E8" s="9" t="inlineStr">
        <is>
          <t>sim</t>
        </is>
      </c>
      <c r="F8" s="12" t="n">
        <v>24.25</v>
      </c>
      <c r="G8" s="12" t="n">
        <v>25.5</v>
      </c>
      <c r="H8" s="12" t="n">
        <v>26.75</v>
      </c>
      <c r="I8" s="12" t="n">
        <v>10</v>
      </c>
      <c r="J8" s="12" t="n">
        <v>13</v>
      </c>
      <c r="K8" s="12" t="n">
        <v>14.5</v>
      </c>
      <c r="L8" s="12" t="n">
        <v>20</v>
      </c>
      <c r="M8" s="12" t="n">
        <v>35</v>
      </c>
      <c r="N8" s="12" t="n">
        <v>40</v>
      </c>
      <c r="O8" s="12">
        <f>IF(OR(F8="",I8="",L8=""),"",F8+I8+L8)</f>
        <v/>
      </c>
      <c r="P8" s="12">
        <f>IF(OR(G8="",J8="",M8=""),"",G8+J8+M8)</f>
        <v/>
      </c>
      <c r="Q8" s="12">
        <f>IF(OR(H8="",K8="",N8=""),"",H8+K8+N8)</f>
        <v/>
      </c>
      <c r="R8" s="12" t="n">
        <v>40</v>
      </c>
      <c r="S8" s="12" t="n">
        <v>30.5</v>
      </c>
      <c r="T8" s="12" t="n">
        <v>13</v>
      </c>
      <c r="U8" s="12" t="n">
        <v>7</v>
      </c>
      <c r="V8" s="12" t="n">
        <v>13</v>
      </c>
      <c r="W8" s="9" t="inlineStr">
        <is>
          <t>sem data</t>
        </is>
      </c>
    </row>
    <row r="9">
      <c r="A9" s="9" t="inlineStr">
        <is>
          <t>ChIJyXjE650xWpMRJL-J6QbGkt4</t>
        </is>
      </c>
      <c r="B9" s="9" t="inlineStr">
        <is>
          <t>FORTALÚDICA - BURGERS &amp; JOGOS</t>
        </is>
      </c>
      <c r="C9" s="9" t="inlineStr">
        <is>
          <t>Brasília</t>
        </is>
      </c>
      <c r="D9" s="9" t="n">
        <v>51</v>
      </c>
      <c r="E9" s="9" t="inlineStr">
        <is>
          <t>não encontrado</t>
        </is>
      </c>
      <c r="F9" s="12" t="n"/>
      <c r="G9" s="12" t="n"/>
      <c r="H9" s="12" t="n"/>
      <c r="I9" s="12" t="n">
        <v>7</v>
      </c>
      <c r="J9" s="12" t="n">
        <v>8.5</v>
      </c>
      <c r="K9" s="12" t="n">
        <v>12</v>
      </c>
      <c r="L9" s="12" t="n">
        <v>25</v>
      </c>
      <c r="M9" s="12" t="n">
        <v>30</v>
      </c>
      <c r="N9" s="12" t="n">
        <v>33</v>
      </c>
      <c r="O9" s="12">
        <f>IF(OR(F9="",I9="",L9=""),"",F9+I9+L9)</f>
        <v/>
      </c>
      <c r="P9" s="12">
        <f>IF(OR(G9="",J9="",M9=""),"",G9+J9+M9)</f>
        <v/>
      </c>
      <c r="Q9" s="12">
        <f>IF(OR(H9="",K9="",N9=""),"",H9+K9+N9)</f>
        <v/>
      </c>
      <c r="R9" s="12" t="n">
        <v>32</v>
      </c>
      <c r="S9" s="12" t="n">
        <v>15</v>
      </c>
      <c r="T9" s="12" t="n">
        <v>8</v>
      </c>
      <c r="U9" s="12" t="n">
        <v>7</v>
      </c>
      <c r="V9" s="12" t="n"/>
      <c r="W9" s="9" t="inlineStr">
        <is>
          <t>2025-12</t>
        </is>
      </c>
    </row>
    <row r="10">
      <c r="A10" s="9" t="inlineStr">
        <is>
          <t>ChIJdUv4La46WpMRnBvNknmOqWo</t>
        </is>
      </c>
      <c r="B10" s="9" t="inlineStr">
        <is>
          <t>Inside Games</t>
        </is>
      </c>
      <c r="C10" s="9" t="inlineStr">
        <is>
          <t>Brasília</t>
        </is>
      </c>
      <c r="D10" s="9" t="n">
        <v>24</v>
      </c>
      <c r="E10" s="9" t="inlineStr">
        <is>
          <t>não encontrado</t>
        </is>
      </c>
      <c r="F10" s="12" t="n"/>
      <c r="G10" s="12" t="n"/>
      <c r="H10" s="12" t="n"/>
      <c r="I10" s="12" t="n">
        <v>5</v>
      </c>
      <c r="J10" s="12" t="n">
        <v>6</v>
      </c>
      <c r="K10" s="12" t="n">
        <v>9.5</v>
      </c>
      <c r="L10" s="12" t="n">
        <v>6</v>
      </c>
      <c r="M10" s="12" t="n">
        <v>6</v>
      </c>
      <c r="N10" s="12" t="n">
        <v>6</v>
      </c>
      <c r="O10" s="12">
        <f>IF(OR(F10="",I10="",L10=""),"",F10+I10+L10)</f>
        <v/>
      </c>
      <c r="P10" s="12">
        <f>IF(OR(G10="",J10="",M10=""),"",G10+J10+M10)</f>
        <v/>
      </c>
      <c r="Q10" s="12">
        <f>IF(OR(H10="",K10="",N10=""),"",H10+K10+N10)</f>
        <v/>
      </c>
      <c r="R10" s="12" t="n"/>
      <c r="S10" s="12" t="n"/>
      <c r="T10" s="12" t="n">
        <v>8</v>
      </c>
      <c r="U10" s="12" t="n">
        <v>5</v>
      </c>
      <c r="V10" s="12" t="n"/>
      <c r="W10" s="9" t="inlineStr">
        <is>
          <t>2026-09</t>
        </is>
      </c>
    </row>
    <row r="11">
      <c r="A11" s="9" t="inlineStr">
        <is>
          <t>ChIJzdFNP3AyWpMRH2P6HEuhE-I</t>
        </is>
      </c>
      <c r="B11" s="9" t="inlineStr">
        <is>
          <t>Loja de Jogos - Asgard</t>
        </is>
      </c>
      <c r="C11" s="9" t="inlineStr">
        <is>
          <t>Brasília</t>
        </is>
      </c>
      <c r="D11" s="9" t="n">
        <v>39</v>
      </c>
      <c r="E11" s="9" t="inlineStr">
        <is>
          <t>sim</t>
        </is>
      </c>
      <c r="F11" s="12" t="n">
        <v>13.75</v>
      </c>
      <c r="G11" s="12" t="n">
        <v>17.5</v>
      </c>
      <c r="H11" s="12" t="n">
        <v>21.25</v>
      </c>
      <c r="I11" s="12" t="n">
        <v>11.25</v>
      </c>
      <c r="J11" s="12" t="n">
        <v>17</v>
      </c>
      <c r="K11" s="12" t="n">
        <v>21.25</v>
      </c>
      <c r="L11" s="12" t="n">
        <v>29.5</v>
      </c>
      <c r="M11" s="12" t="n">
        <v>33</v>
      </c>
      <c r="N11" s="12" t="n">
        <v>39</v>
      </c>
      <c r="O11" s="12">
        <f>IF(OR(F11="",I11="",L11=""),"",F11+I11+L11)</f>
        <v/>
      </c>
      <c r="P11" s="12">
        <f>IF(OR(G11="",J11="",M11=""),"",G11+J11+M11)</f>
        <v/>
      </c>
      <c r="Q11" s="12">
        <f>IF(OR(H11="",K11="",N11=""),"",H11+K11+N11)</f>
        <v/>
      </c>
      <c r="R11" s="12" t="n">
        <v>45</v>
      </c>
      <c r="S11" s="12" t="n">
        <v>30.5</v>
      </c>
      <c r="T11" s="12" t="n">
        <v>12</v>
      </c>
      <c r="U11" s="12" t="n">
        <v>6</v>
      </c>
      <c r="V11" s="12" t="n">
        <v>22</v>
      </c>
      <c r="W11" s="9" t="inlineStr">
        <is>
          <t>sem data</t>
        </is>
      </c>
    </row>
    <row r="12">
      <c r="A12" s="9" t="inlineStr">
        <is>
          <t>ChIJ15nLgwAwWpMRY1whwD29ZSo</t>
        </is>
      </c>
      <c r="B12" s="9" t="inlineStr">
        <is>
          <t>Ludoteca BGC</t>
        </is>
      </c>
      <c r="C12" s="9" t="inlineStr">
        <is>
          <t>Brasília</t>
        </is>
      </c>
      <c r="D12" s="9" t="n">
        <v>60</v>
      </c>
      <c r="E12" s="9" t="inlineStr">
        <is>
          <t>sim</t>
        </is>
      </c>
      <c r="F12" s="12" t="n">
        <v>30</v>
      </c>
      <c r="G12" s="12" t="n">
        <v>30</v>
      </c>
      <c r="H12" s="12" t="n">
        <v>30</v>
      </c>
      <c r="I12" s="12" t="n">
        <v>5.25</v>
      </c>
      <c r="J12" s="12" t="n">
        <v>9</v>
      </c>
      <c r="K12" s="12" t="n">
        <v>13.75</v>
      </c>
      <c r="L12" s="12" t="n">
        <v>29.25</v>
      </c>
      <c r="M12" s="12" t="n">
        <v>31</v>
      </c>
      <c r="N12" s="12" t="n">
        <v>33</v>
      </c>
      <c r="O12" s="12">
        <f>IF(OR(F12="",I12="",L12=""),"",F12+I12+L12)</f>
        <v/>
      </c>
      <c r="P12" s="12">
        <f>IF(OR(G12="",J12="",M12=""),"",G12+J12+M12)</f>
        <v/>
      </c>
      <c r="Q12" s="12">
        <f>IF(OR(H12="",K12="",N12=""),"",H12+K12+N12)</f>
        <v/>
      </c>
      <c r="R12" s="12" t="n"/>
      <c r="S12" s="12" t="n"/>
      <c r="T12" s="12" t="n">
        <v>8.5</v>
      </c>
      <c r="U12" s="12" t="n">
        <v>6</v>
      </c>
      <c r="V12" s="12" t="n">
        <v>14</v>
      </c>
      <c r="W12" s="9" t="inlineStr">
        <is>
          <t>2019-03, 2025-03, 2026-08</t>
        </is>
      </c>
    </row>
    <row r="13">
      <c r="A13" s="9" t="inlineStr">
        <is>
          <t>ChIJN8BZeb85WpMRgVKT05caxB4</t>
        </is>
      </c>
      <c r="B13" s="9" t="inlineStr">
        <is>
          <t>Utopia Games &amp; Food</t>
        </is>
      </c>
      <c r="C13" s="9" t="inlineStr">
        <is>
          <t>Brasília</t>
        </is>
      </c>
      <c r="D13" s="9" t="n">
        <v>32</v>
      </c>
      <c r="E13" s="9" t="inlineStr">
        <is>
          <t>não encontrado</t>
        </is>
      </c>
      <c r="F13" s="12" t="n"/>
      <c r="G13" s="12" t="n"/>
      <c r="H13" s="12" t="n"/>
      <c r="I13" s="12" t="n">
        <v>5</v>
      </c>
      <c r="J13" s="12" t="n">
        <v>7</v>
      </c>
      <c r="K13" s="12" t="n">
        <v>9.5</v>
      </c>
      <c r="L13" s="12" t="n">
        <v>50</v>
      </c>
      <c r="M13" s="12" t="n">
        <v>50</v>
      </c>
      <c r="N13" s="12" t="n">
        <v>75</v>
      </c>
      <c r="O13" s="12">
        <f>IF(OR(F13="",I13="",L13=""),"",F13+I13+L13)</f>
        <v/>
      </c>
      <c r="P13" s="12">
        <f>IF(OR(G13="",J13="",M13=""),"",G13+J13+M13)</f>
        <v/>
      </c>
      <c r="Q13" s="12">
        <f>IF(OR(H13="",K13="",N13=""),"",H13+K13+N13)</f>
        <v/>
      </c>
      <c r="R13" s="12" t="n"/>
      <c r="S13" s="12" t="n">
        <v>25.5</v>
      </c>
      <c r="T13" s="12" t="n">
        <v>11</v>
      </c>
      <c r="U13" s="12" t="n">
        <v>6</v>
      </c>
      <c r="V13" s="12" t="n"/>
      <c r="W13" s="9" t="inlineStr">
        <is>
          <t>sem data</t>
        </is>
      </c>
    </row>
    <row r="14">
      <c r="A14" s="9" t="inlineStr">
        <is>
          <t>ChIJ3ekLtDjl3JQRHwtNgmINgLo</t>
        </is>
      </c>
      <c r="B14" s="9" t="inlineStr">
        <is>
          <t>Alçapão Jogos</t>
        </is>
      </c>
      <c r="C14" s="9" t="inlineStr">
        <is>
          <t>Curitiba</t>
        </is>
      </c>
      <c r="D14" s="9" t="n">
        <v>26</v>
      </c>
      <c r="E14" s="9" t="inlineStr">
        <is>
          <t>não encontrado</t>
        </is>
      </c>
      <c r="F14" s="12" t="n"/>
      <c r="G14" s="12" t="n"/>
      <c r="H14" s="12" t="n"/>
      <c r="I14" s="12" t="n">
        <v>10</v>
      </c>
      <c r="J14" s="12" t="n">
        <v>12</v>
      </c>
      <c r="K14" s="12" t="n">
        <v>14</v>
      </c>
      <c r="L14" s="12" t="n">
        <v>11.75</v>
      </c>
      <c r="M14" s="12" t="n">
        <v>12</v>
      </c>
      <c r="N14" s="12" t="n">
        <v>14.5</v>
      </c>
      <c r="O14" s="12">
        <f>IF(OR(F14="",I14="",L14=""),"",F14+I14+L14)</f>
        <v/>
      </c>
      <c r="P14" s="12">
        <f>IF(OR(G14="",J14="",M14=""),"",G14+J14+M14)</f>
        <v/>
      </c>
      <c r="Q14" s="12">
        <f>IF(OR(H14="",K14="",N14=""),"",H14+K14+N14)</f>
        <v/>
      </c>
      <c r="R14" s="12" t="n"/>
      <c r="S14" s="12" t="n"/>
      <c r="T14" s="12" t="n"/>
      <c r="U14" s="12" t="n">
        <v>9</v>
      </c>
      <c r="V14" s="12" t="n"/>
      <c r="W14" s="9" t="inlineStr">
        <is>
          <t>sem data</t>
        </is>
      </c>
    </row>
    <row r="15">
      <c r="A15" s="9" t="inlineStr">
        <is>
          <t>ChIJY_lqHVLl3JQRvDHacOMDKuc</t>
        </is>
      </c>
      <c r="B15" s="9" t="inlineStr">
        <is>
          <t>BoardZ Game Pub</t>
        </is>
      </c>
      <c r="C15" s="9" t="inlineStr">
        <is>
          <t>Curitiba</t>
        </is>
      </c>
      <c r="D15" s="9" t="n">
        <v>91</v>
      </c>
      <c r="E15" s="9" t="inlineStr">
        <is>
          <t>não encontrado</t>
        </is>
      </c>
      <c r="F15" s="12" t="n"/>
      <c r="G15" s="12" t="n"/>
      <c r="H15" s="12" t="n"/>
      <c r="I15" s="12" t="n">
        <v>15</v>
      </c>
      <c r="J15" s="12" t="n">
        <v>16</v>
      </c>
      <c r="K15" s="12" t="n">
        <v>25</v>
      </c>
      <c r="L15" s="12" t="n">
        <v>26.75</v>
      </c>
      <c r="M15" s="12" t="n">
        <v>28</v>
      </c>
      <c r="N15" s="12" t="n">
        <v>32</v>
      </c>
      <c r="O15" s="12">
        <f>IF(OR(F15="",I15="",L15=""),"",F15+I15+L15)</f>
        <v/>
      </c>
      <c r="P15" s="12">
        <f>IF(OR(G15="",J15="",M15=""),"",G15+J15+M15)</f>
        <v/>
      </c>
      <c r="Q15" s="12">
        <f>IF(OR(H15="",K15="",N15=""),"",H15+K15+N15)</f>
        <v/>
      </c>
      <c r="R15" s="12" t="n">
        <v>28</v>
      </c>
      <c r="S15" s="12" t="n">
        <v>35</v>
      </c>
      <c r="T15" s="12" t="n">
        <v>15</v>
      </c>
      <c r="U15" s="12" t="n">
        <v>8</v>
      </c>
      <c r="V15" s="12" t="n">
        <v>24</v>
      </c>
      <c r="W15" s="9" t="inlineStr">
        <is>
          <t>sem data</t>
        </is>
      </c>
    </row>
    <row r="16">
      <c r="A16" s="9" t="inlineStr">
        <is>
          <t>ChIJOczn8z7l3JQRNBEL_ZJ3iQo</t>
        </is>
      </c>
      <c r="B16" s="9" t="inlineStr">
        <is>
          <t>Joyjoy Café</t>
        </is>
      </c>
      <c r="C16" s="9" t="inlineStr">
        <is>
          <t>Curitiba</t>
        </is>
      </c>
      <c r="D16" s="9" t="n">
        <v>2</v>
      </c>
      <c r="E16" s="9" t="inlineStr">
        <is>
          <t>sim</t>
        </is>
      </c>
      <c r="F16" s="12" t="n">
        <v>11.25</v>
      </c>
      <c r="G16" s="12" t="n">
        <v>12.5</v>
      </c>
      <c r="H16" s="12" t="n">
        <v>13.75</v>
      </c>
      <c r="I16" s="12" t="n"/>
      <c r="J16" s="12" t="n"/>
      <c r="K16" s="12" t="n"/>
      <c r="L16" s="12" t="n"/>
      <c r="M16" s="12" t="n"/>
      <c r="N16" s="12" t="n"/>
      <c r="O16" s="12">
        <f>IF(OR(F16="",I16="",L16=""),"",F16+I16+L16)</f>
        <v/>
      </c>
      <c r="P16" s="12">
        <f>IF(OR(G16="",J16="",M16=""),"",G16+J16+M16)</f>
        <v/>
      </c>
      <c r="Q16" s="12">
        <f>IF(OR(H16="",K16="",N16=""),"",H16+K16+N16)</f>
        <v/>
      </c>
      <c r="R16" s="12" t="n"/>
      <c r="S16" s="12" t="n"/>
      <c r="T16" s="12" t="n"/>
      <c r="U16" s="12" t="n"/>
      <c r="V16" s="12" t="n"/>
      <c r="W16" s="9" t="inlineStr">
        <is>
          <t>2024-08-01</t>
        </is>
      </c>
    </row>
    <row r="17">
      <c r="A17" s="9" t="inlineStr">
        <is>
          <t>ChIJawIVeV0JM0oR5BtnD_poQeA</t>
        </is>
      </c>
      <c r="B17" s="9" t="inlineStr">
        <is>
          <t>CCG Floripa</t>
        </is>
      </c>
      <c r="C17" s="9" t="inlineStr">
        <is>
          <t>Florianópolis</t>
        </is>
      </c>
      <c r="D17" s="9" t="n">
        <v>7</v>
      </c>
      <c r="E17" s="9" t="inlineStr">
        <is>
          <t>não encontrado</t>
        </is>
      </c>
      <c r="F17" s="12" t="n"/>
      <c r="G17" s="12" t="n"/>
      <c r="H17" s="12" t="n"/>
      <c r="I17" s="12" t="n"/>
      <c r="J17" s="12" t="n"/>
      <c r="K17" s="12" t="n"/>
      <c r="L17" s="12" t="n">
        <v>36</v>
      </c>
      <c r="M17" s="12" t="n">
        <v>36</v>
      </c>
      <c r="N17" s="12" t="n">
        <v>37</v>
      </c>
      <c r="O17" s="12">
        <f>IF(OR(F17="",I17="",L17=""),"",F17+I17+L17)</f>
        <v/>
      </c>
      <c r="P17" s="12">
        <f>IF(OR(G17="",J17="",M17=""),"",G17+J17+M17)</f>
        <v/>
      </c>
      <c r="Q17" s="12">
        <f>IF(OR(H17="",K17="",N17=""),"",H17+K17+N17)</f>
        <v/>
      </c>
      <c r="R17" s="12" t="n">
        <v>36</v>
      </c>
      <c r="S17" s="12" t="n">
        <v>44.5</v>
      </c>
      <c r="T17" s="12" t="n"/>
      <c r="U17" s="12" t="n"/>
      <c r="V17" s="12" t="n"/>
      <c r="W17" s="9" t="inlineStr">
        <is>
          <t>2023-07</t>
        </is>
      </c>
    </row>
    <row r="18">
      <c r="A18" s="9" t="inlineStr">
        <is>
          <t>ChIJc3F7ka83J5URQZ1XTl-_iak</t>
        </is>
      </c>
      <c r="B18" s="9" t="inlineStr">
        <is>
          <t>Chef on Play</t>
        </is>
      </c>
      <c r="C18" s="9" t="inlineStr">
        <is>
          <t>Florianópolis</t>
        </is>
      </c>
      <c r="D18" s="9" t="n">
        <v>72</v>
      </c>
      <c r="E18" s="9" t="inlineStr">
        <is>
          <t>não encontrado</t>
        </is>
      </c>
      <c r="F18" s="12" t="n"/>
      <c r="G18" s="12" t="n"/>
      <c r="H18" s="12" t="n"/>
      <c r="I18" s="12" t="n">
        <v>6.5</v>
      </c>
      <c r="J18" s="12" t="n">
        <v>6.8</v>
      </c>
      <c r="K18" s="12" t="n">
        <v>8.699999999999999</v>
      </c>
      <c r="L18" s="12" t="n">
        <v>23.9</v>
      </c>
      <c r="M18" s="12" t="n">
        <v>25.9</v>
      </c>
      <c r="N18" s="12" t="n">
        <v>34.9</v>
      </c>
      <c r="O18" s="12">
        <f>IF(OR(F18="",I18="",L18=""),"",F18+I18+L18)</f>
        <v/>
      </c>
      <c r="P18" s="12">
        <f>IF(OR(G18="",J18="",M18=""),"",G18+J18+M18)</f>
        <v/>
      </c>
      <c r="Q18" s="12">
        <f>IF(OR(H18="",K18="",N18=""),"",H18+K18+N18)</f>
        <v/>
      </c>
      <c r="R18" s="12" t="n">
        <v>25.9</v>
      </c>
      <c r="S18" s="12" t="n"/>
      <c r="T18" s="12" t="n"/>
      <c r="U18" s="12" t="n">
        <v>6.5</v>
      </c>
      <c r="V18" s="12" t="n"/>
      <c r="W18" s="9" t="inlineStr">
        <is>
          <t>2022-12, 2024-01, 2025-04</t>
        </is>
      </c>
    </row>
    <row r="19">
      <c r="A19" s="9" t="inlineStr">
        <is>
          <t>ChIJJz8-gcY3J5URYdZrEXdHaAk</t>
        </is>
      </c>
      <c r="B19" s="9" t="inlineStr">
        <is>
          <t>Cineplay- Restaurante e Jogos</t>
        </is>
      </c>
      <c r="C19" s="9" t="inlineStr">
        <is>
          <t>Florianópolis</t>
        </is>
      </c>
      <c r="D19" s="9" t="n">
        <v>112</v>
      </c>
      <c r="E19" s="9" t="inlineStr">
        <is>
          <t>não encontrado</t>
        </is>
      </c>
      <c r="F19" s="12" t="n"/>
      <c r="G19" s="12" t="n"/>
      <c r="H19" s="12" t="n"/>
      <c r="I19" s="12" t="n">
        <v>9</v>
      </c>
      <c r="J19" s="12" t="n">
        <v>17.9</v>
      </c>
      <c r="K19" s="12" t="n">
        <v>20.9</v>
      </c>
      <c r="L19" s="12" t="n">
        <v>26.55</v>
      </c>
      <c r="M19" s="12" t="n">
        <v>31.9</v>
      </c>
      <c r="N19" s="12" t="n">
        <v>50.52</v>
      </c>
      <c r="O19" s="12">
        <f>IF(OR(F19="",I19="",L19=""),"",F19+I19+L19)</f>
        <v/>
      </c>
      <c r="P19" s="12">
        <f>IF(OR(G19="",J19="",M19=""),"",G19+J19+M19)</f>
        <v/>
      </c>
      <c r="Q19" s="12">
        <f>IF(OR(H19="",K19="",N19=""),"",H19+K19+N19)</f>
        <v/>
      </c>
      <c r="R19" s="12" t="n">
        <v>29.9</v>
      </c>
      <c r="S19" s="12" t="n">
        <v>29.2</v>
      </c>
      <c r="T19" s="12" t="n">
        <v>17</v>
      </c>
      <c r="U19" s="12" t="n">
        <v>6.75</v>
      </c>
      <c r="V19" s="12" t="n">
        <v>21.4</v>
      </c>
      <c r="W19" s="9" t="inlineStr">
        <is>
          <t>2022-10, 2023-05, 2023-09, 2024-06</t>
        </is>
      </c>
    </row>
    <row r="20">
      <c r="A20" s="9" t="inlineStr">
        <is>
          <t>ChIJ0yXbI35IxwcR0_jLi-uINUU</t>
        </is>
      </c>
      <c r="B20" s="9" t="inlineStr">
        <is>
          <t>Balboa's Hobby Games</t>
        </is>
      </c>
      <c r="C20" s="9" t="inlineStr">
        <is>
          <t>Fortaleza</t>
        </is>
      </c>
      <c r="D20" s="9" t="n">
        <v>36</v>
      </c>
      <c r="E20" s="9" t="inlineStr">
        <is>
          <t>não encontrado</t>
        </is>
      </c>
      <c r="F20" s="12" t="n"/>
      <c r="G20" s="12" t="n"/>
      <c r="H20" s="12" t="n"/>
      <c r="I20" s="12" t="n">
        <v>7</v>
      </c>
      <c r="J20" s="12" t="n">
        <v>8</v>
      </c>
      <c r="K20" s="12" t="n">
        <v>15</v>
      </c>
      <c r="L20" s="12" t="n">
        <v>28</v>
      </c>
      <c r="M20" s="12" t="n">
        <v>30</v>
      </c>
      <c r="N20" s="12" t="n">
        <v>30</v>
      </c>
      <c r="O20" s="12">
        <f>IF(OR(F20="",I20="",L20=""),"",F20+I20+L20)</f>
        <v/>
      </c>
      <c r="P20" s="12">
        <f>IF(OR(G20="",J20="",M20=""),"",G20+J20+M20)</f>
        <v/>
      </c>
      <c r="Q20" s="12">
        <f>IF(OR(H20="",K20="",N20=""),"",H20+K20+N20)</f>
        <v/>
      </c>
      <c r="R20" s="12" t="n">
        <v>29.5</v>
      </c>
      <c r="S20" s="12" t="n">
        <v>26.5</v>
      </c>
      <c r="T20" s="12" t="n">
        <v>15</v>
      </c>
      <c r="U20" s="12" t="n">
        <v>7.5</v>
      </c>
      <c r="V20" s="12" t="n">
        <v>15</v>
      </c>
      <c r="W20" s="9" t="inlineStr">
        <is>
          <t>2026-01</t>
        </is>
      </c>
    </row>
    <row r="21">
      <c r="A21" s="9" t="inlineStr">
        <is>
          <t>ChIJHSDPTgF5GZURKmSqKITyoGM</t>
        </is>
      </c>
      <c r="B21" s="9" t="inlineStr">
        <is>
          <t>Arcadea Gaming Pub</t>
        </is>
      </c>
      <c r="C21" s="9" t="inlineStr">
        <is>
          <t>Porto Alegre</t>
        </is>
      </c>
      <c r="D21" s="9" t="n">
        <v>94</v>
      </c>
      <c r="E21" s="9" t="inlineStr">
        <is>
          <t>não encontrado</t>
        </is>
      </c>
      <c r="F21" s="12" t="n"/>
      <c r="G21" s="12" t="n"/>
      <c r="H21" s="12" t="n"/>
      <c r="I21" s="12" t="n">
        <v>20</v>
      </c>
      <c r="J21" s="12" t="n">
        <v>25</v>
      </c>
      <c r="K21" s="12" t="n">
        <v>40</v>
      </c>
      <c r="L21" s="12" t="n">
        <v>35</v>
      </c>
      <c r="M21" s="12" t="n">
        <v>40</v>
      </c>
      <c r="N21" s="12" t="n">
        <v>45</v>
      </c>
      <c r="O21" s="12">
        <f>IF(OR(F21="",I21="",L21=""),"",F21+I21+L21)</f>
        <v/>
      </c>
      <c r="P21" s="12">
        <f>IF(OR(G21="",J21="",M21=""),"",G21+J21+M21)</f>
        <v/>
      </c>
      <c r="Q21" s="12">
        <f>IF(OR(H21="",K21="",N21=""),"",H21+K21+N21)</f>
        <v/>
      </c>
      <c r="R21" s="12" t="n">
        <v>45</v>
      </c>
      <c r="S21" s="12" t="n">
        <v>28</v>
      </c>
      <c r="T21" s="12" t="n">
        <v>21</v>
      </c>
      <c r="U21" s="12" t="n">
        <v>8</v>
      </c>
      <c r="V21" s="12" t="n">
        <v>29</v>
      </c>
      <c r="W21" s="9" t="inlineStr">
        <is>
          <t>2025-03</t>
        </is>
      </c>
    </row>
    <row r="22">
      <c r="A22" s="9" t="inlineStr">
        <is>
          <t>ChIJ41pgHNFDGZURC7yTegyn7nU</t>
        </is>
      </c>
      <c r="B22" s="9" t="inlineStr">
        <is>
          <t>Toca do Rato - Pizzaria e Jogos de Tabuleiro</t>
        </is>
      </c>
      <c r="C22" s="9" t="inlineStr">
        <is>
          <t>Porto Alegre</t>
        </is>
      </c>
      <c r="D22" s="9" t="n">
        <v>25</v>
      </c>
      <c r="E22" s="9" t="inlineStr">
        <is>
          <t>não encontrado</t>
        </is>
      </c>
      <c r="F22" s="12" t="n"/>
      <c r="G22" s="12" t="n"/>
      <c r="H22" s="12" t="n"/>
      <c r="I22" s="12" t="n">
        <v>7.5</v>
      </c>
      <c r="J22" s="12" t="n">
        <v>7.5</v>
      </c>
      <c r="K22" s="12" t="n">
        <v>10</v>
      </c>
      <c r="L22" s="12" t="n">
        <v>57.17</v>
      </c>
      <c r="M22" s="12" t="n">
        <v>64.45</v>
      </c>
      <c r="N22" s="12" t="n">
        <v>71.5</v>
      </c>
      <c r="O22" s="12">
        <f>IF(OR(F22="",I22="",L22=""),"",F22+I22+L22)</f>
        <v/>
      </c>
      <c r="P22" s="12">
        <f>IF(OR(G22="",J22="",M22=""),"",G22+J22+M22)</f>
        <v/>
      </c>
      <c r="Q22" s="12">
        <f>IF(OR(H22="",K22="",N22=""),"",H22+K22+N22)</f>
        <v/>
      </c>
      <c r="R22" s="12" t="n"/>
      <c r="S22" s="12" t="n"/>
      <c r="T22" s="12" t="n"/>
      <c r="U22" s="12" t="n">
        <v>7.5</v>
      </c>
      <c r="V22" s="12" t="n"/>
      <c r="W22" s="9" t="inlineStr">
        <is>
          <t>sem data</t>
        </is>
      </c>
    </row>
    <row r="23">
      <c r="A23" s="9" t="inlineStr">
        <is>
          <t>ChIJRUjwU66WoGgRzc9yJU7jkwM</t>
        </is>
      </c>
      <c r="B23" s="9" t="inlineStr">
        <is>
          <t>Nala Land - Bar de Jogos de Tabuleiro em Recife</t>
        </is>
      </c>
      <c r="C23" s="9" t="inlineStr">
        <is>
          <t>Recife</t>
        </is>
      </c>
      <c r="D23" s="9" t="n">
        <v>25</v>
      </c>
      <c r="E23" s="9" t="inlineStr">
        <is>
          <t>não encontrado</t>
        </is>
      </c>
      <c r="F23" s="12" t="n"/>
      <c r="G23" s="12" t="n"/>
      <c r="H23" s="12" t="n"/>
      <c r="I23" s="12" t="n">
        <v>11.5</v>
      </c>
      <c r="J23" s="12" t="n">
        <v>12</v>
      </c>
      <c r="K23" s="12" t="n">
        <v>12.5</v>
      </c>
      <c r="L23" s="12" t="n">
        <v>18</v>
      </c>
      <c r="M23" s="12" t="n">
        <v>22</v>
      </c>
      <c r="N23" s="12" t="n">
        <v>25</v>
      </c>
      <c r="O23" s="12">
        <f>IF(OR(F23="",I23="",L23=""),"",F23+I23+L23)</f>
        <v/>
      </c>
      <c r="P23" s="12">
        <f>IF(OR(G23="",J23="",M23=""),"",G23+J23+M23)</f>
        <v/>
      </c>
      <c r="Q23" s="12">
        <f>IF(OR(H23="",K23="",N23=""),"",H23+K23+N23)</f>
        <v/>
      </c>
      <c r="R23" s="12" t="n">
        <v>34</v>
      </c>
      <c r="S23" s="12" t="n">
        <v>19</v>
      </c>
      <c r="T23" s="12" t="n">
        <v>12</v>
      </c>
      <c r="U23" s="12" t="n"/>
      <c r="V23" s="12" t="n"/>
      <c r="W23" s="9" t="inlineStr">
        <is>
          <t>sem data</t>
        </is>
      </c>
    </row>
    <row r="24">
      <c r="A24" s="9" t="inlineStr">
        <is>
          <t>ChIJu1yUroF_mQAR7qxqAfxKSw4</t>
        </is>
      </c>
      <c r="B24" s="9" t="inlineStr">
        <is>
          <t>Game Of Boards</t>
        </is>
      </c>
      <c r="C24" s="9" t="inlineStr">
        <is>
          <t>Rio de Janeiro</t>
        </is>
      </c>
      <c r="D24" s="9" t="n">
        <v>2</v>
      </c>
      <c r="E24" s="9" t="inlineStr">
        <is>
          <t>sim</t>
        </is>
      </c>
      <c r="F24" s="12" t="n">
        <v>17.5</v>
      </c>
      <c r="G24" s="12" t="n">
        <v>20</v>
      </c>
      <c r="H24" s="12" t="n">
        <v>22.5</v>
      </c>
      <c r="I24" s="12" t="n"/>
      <c r="J24" s="12" t="n"/>
      <c r="K24" s="12" t="n"/>
      <c r="L24" s="12" t="n"/>
      <c r="M24" s="12" t="n"/>
      <c r="N24" s="12" t="n"/>
      <c r="O24" s="12">
        <f>IF(OR(F24="",I24="",L24=""),"",F24+I24+L24)</f>
        <v/>
      </c>
      <c r="P24" s="12">
        <f>IF(OR(G24="",J24="",M24=""),"",G24+J24+M24)</f>
        <v/>
      </c>
      <c r="Q24" s="12">
        <f>IF(OR(H24="",K24="",N24=""),"",H24+K24+N24)</f>
        <v/>
      </c>
      <c r="R24" s="12" t="n"/>
      <c r="S24" s="12" t="n"/>
      <c r="T24" s="12" t="n"/>
      <c r="U24" s="12" t="n"/>
      <c r="V24" s="12" t="n"/>
      <c r="W24" s="9" t="inlineStr">
        <is>
          <t>2026-10-16</t>
        </is>
      </c>
    </row>
    <row r="25">
      <c r="A25" s="9" t="inlineStr">
        <is>
          <t>ChIJ90Gs_9rVmwAReA7MnIyPLTE</t>
        </is>
      </c>
      <c r="B25" s="9" t="inlineStr">
        <is>
          <t>Luderia Carioca</t>
        </is>
      </c>
      <c r="C25" s="9" t="inlineStr">
        <is>
          <t>Rio de Janeiro</t>
        </is>
      </c>
      <c r="D25" s="9" t="n">
        <v>36</v>
      </c>
      <c r="E25" s="9" t="inlineStr">
        <is>
          <t>não encontrado</t>
        </is>
      </c>
      <c r="F25" s="12" t="n"/>
      <c r="G25" s="12" t="n"/>
      <c r="H25" s="12" t="n"/>
      <c r="I25" s="12" t="n">
        <v>9</v>
      </c>
      <c r="J25" s="12" t="n">
        <v>12</v>
      </c>
      <c r="K25" s="12" t="n">
        <v>17</v>
      </c>
      <c r="L25" s="12" t="n">
        <v>26</v>
      </c>
      <c r="M25" s="12" t="n">
        <v>32</v>
      </c>
      <c r="N25" s="12" t="n">
        <v>37.5</v>
      </c>
      <c r="O25" s="12">
        <f>IF(OR(F25="",I25="",L25=""),"",F25+I25+L25)</f>
        <v/>
      </c>
      <c r="P25" s="12">
        <f>IF(OR(G25="",J25="",M25=""),"",G25+J25+M25)</f>
        <v/>
      </c>
      <c r="Q25" s="12">
        <f>IF(OR(H25="",K25="",N25=""),"",H25+K25+N25)</f>
        <v/>
      </c>
      <c r="R25" s="12" t="n">
        <v>38</v>
      </c>
      <c r="S25" s="12" t="n">
        <v>24</v>
      </c>
      <c r="T25" s="12" t="n">
        <v>16.5</v>
      </c>
      <c r="U25" s="12" t="n">
        <v>9</v>
      </c>
      <c r="V25" s="12" t="n"/>
      <c r="W25" s="9" t="inlineStr">
        <is>
          <t>sem data</t>
        </is>
      </c>
    </row>
    <row r="26">
      <c r="A26" s="9" t="inlineStr">
        <is>
          <t>ChIJOcVssmeDmQARZZrnWu2mnwA</t>
        </is>
      </c>
      <c r="B26" s="9" t="inlineStr">
        <is>
          <t>TabuClub</t>
        </is>
      </c>
      <c r="C26" s="9" t="inlineStr">
        <is>
          <t>Rio de Janeiro</t>
        </is>
      </c>
      <c r="D26" s="9" t="n">
        <v>75</v>
      </c>
      <c r="E26" s="9" t="inlineStr">
        <is>
          <t>não encontrado</t>
        </is>
      </c>
      <c r="F26" s="12" t="n"/>
      <c r="G26" s="12" t="n"/>
      <c r="H26" s="12" t="n"/>
      <c r="I26" s="12" t="n">
        <v>18</v>
      </c>
      <c r="J26" s="12" t="n">
        <v>25</v>
      </c>
      <c r="K26" s="12" t="n">
        <v>29.75</v>
      </c>
      <c r="L26" s="12" t="n">
        <v>23</v>
      </c>
      <c r="M26" s="12" t="n">
        <v>36</v>
      </c>
      <c r="N26" s="12" t="n">
        <v>46</v>
      </c>
      <c r="O26" s="12">
        <f>IF(OR(F26="",I26="",L26=""),"",F26+I26+L26)</f>
        <v/>
      </c>
      <c r="P26" s="12">
        <f>IF(OR(G26="",J26="",M26=""),"",G26+J26+M26)</f>
        <v/>
      </c>
      <c r="Q26" s="12">
        <f>IF(OR(H26="",K26="",N26=""),"",H26+K26+N26)</f>
        <v/>
      </c>
      <c r="R26" s="12" t="n">
        <v>49</v>
      </c>
      <c r="S26" s="12" t="n">
        <v>22</v>
      </c>
      <c r="T26" s="12" t="n">
        <v>23</v>
      </c>
      <c r="U26" s="12" t="n">
        <v>9</v>
      </c>
      <c r="V26" s="12" t="n">
        <v>32</v>
      </c>
      <c r="W26" s="9" t="inlineStr">
        <is>
          <t>sem data</t>
        </is>
      </c>
    </row>
    <row r="27">
      <c r="A27" s="9" t="inlineStr">
        <is>
          <t>ChIJoTlvBfMbFgcRHvuCKHBQrXQ</t>
        </is>
      </c>
      <c r="B27" s="9" t="inlineStr">
        <is>
          <t>São Jogue - Bela Vista</t>
        </is>
      </c>
      <c r="C27" s="9" t="inlineStr">
        <is>
          <t>Salvador</t>
        </is>
      </c>
      <c r="D27" s="9" t="n">
        <v>56</v>
      </c>
      <c r="E27" s="9" t="inlineStr">
        <is>
          <t>não encontrado</t>
        </is>
      </c>
      <c r="F27" s="12" t="n"/>
      <c r="G27" s="12" t="n"/>
      <c r="H27" s="12" t="n"/>
      <c r="I27" s="12" t="n">
        <v>12</v>
      </c>
      <c r="J27" s="12" t="n">
        <v>16</v>
      </c>
      <c r="K27" s="12" t="n">
        <v>23</v>
      </c>
      <c r="L27" s="12" t="n">
        <v>24.25</v>
      </c>
      <c r="M27" s="12" t="n">
        <v>32.5</v>
      </c>
      <c r="N27" s="12" t="n">
        <v>37.5</v>
      </c>
      <c r="O27" s="12">
        <f>IF(OR(F27="",I27="",L27=""),"",F27+I27+L27)</f>
        <v/>
      </c>
      <c r="P27" s="12">
        <f>IF(OR(G27="",J27="",M27=""),"",G27+J27+M27)</f>
        <v/>
      </c>
      <c r="Q27" s="12">
        <f>IF(OR(H27="",K27="",N27=""),"",H27+K27+N27)</f>
        <v/>
      </c>
      <c r="R27" s="12" t="n">
        <v>45</v>
      </c>
      <c r="S27" s="12" t="n">
        <v>35</v>
      </c>
      <c r="T27" s="12" t="n">
        <v>12</v>
      </c>
      <c r="U27" s="12" t="n">
        <v>8.9</v>
      </c>
      <c r="V27" s="12" t="n">
        <v>28</v>
      </c>
      <c r="W27" s="9" t="inlineStr">
        <is>
          <t>2026-10</t>
        </is>
      </c>
    </row>
    <row r="28">
      <c r="A28" s="9" t="inlineStr">
        <is>
          <t>ChIJYTHwWgBbzpQRFenbJdM5cxU</t>
        </is>
      </c>
      <c r="B28" s="9" t="inlineStr">
        <is>
          <t>Arena BG | Jogos de Tabuleiro | Hamburgueria</t>
        </is>
      </c>
      <c r="C28" s="9" t="inlineStr">
        <is>
          <t>São Paulo</t>
        </is>
      </c>
      <c r="D28" s="9" t="n">
        <v>65</v>
      </c>
      <c r="E28" s="9" t="inlineStr">
        <is>
          <t>sim</t>
        </is>
      </c>
      <c r="F28" s="12" t="n">
        <v>6.25</v>
      </c>
      <c r="G28" s="12" t="n">
        <v>12.5</v>
      </c>
      <c r="H28" s="12" t="n">
        <v>18.75</v>
      </c>
      <c r="I28" s="12" t="n">
        <v>8</v>
      </c>
      <c r="J28" s="12" t="n">
        <v>11</v>
      </c>
      <c r="K28" s="12" t="n">
        <v>20</v>
      </c>
      <c r="L28" s="12" t="n">
        <v>35.25</v>
      </c>
      <c r="M28" s="12" t="n">
        <v>39.5</v>
      </c>
      <c r="N28" s="12" t="n">
        <v>45</v>
      </c>
      <c r="O28" s="12">
        <f>IF(OR(F28="",I28="",L28=""),"",F28+I28+L28)</f>
        <v/>
      </c>
      <c r="P28" s="12">
        <f>IF(OR(G28="",J28="",M28=""),"",G28+J28+M28)</f>
        <v/>
      </c>
      <c r="Q28" s="12">
        <f>IF(OR(H28="",K28="",N28=""),"",H28+K28+N28)</f>
        <v/>
      </c>
      <c r="R28" s="12" t="n">
        <v>42</v>
      </c>
      <c r="S28" s="12" t="n">
        <v>28.5</v>
      </c>
      <c r="T28" s="12" t="n">
        <v>11</v>
      </c>
      <c r="U28" s="12" t="n">
        <v>8</v>
      </c>
      <c r="V28" s="12" t="n">
        <v>25</v>
      </c>
      <c r="W28" s="9" t="inlineStr">
        <is>
          <t>sem data</t>
        </is>
      </c>
    </row>
    <row r="29">
      <c r="A29" s="9" t="inlineStr">
        <is>
          <t>ChIJKeHwNv5ZzpQRlmzx9rCTWdM</t>
        </is>
      </c>
      <c r="B29" s="9" t="inlineStr">
        <is>
          <t>Bodogami Restaurante e Cafeteria</t>
        </is>
      </c>
      <c r="C29" s="9" t="inlineStr">
        <is>
          <t>São Paulo</t>
        </is>
      </c>
      <c r="D29" s="9" t="n">
        <v>89</v>
      </c>
      <c r="E29" s="9" t="inlineStr">
        <is>
          <t>não encontrado</t>
        </is>
      </c>
      <c r="F29" s="12" t="n"/>
      <c r="G29" s="12" t="n"/>
      <c r="H29" s="12" t="n"/>
      <c r="I29" s="12" t="n">
        <v>15</v>
      </c>
      <c r="J29" s="12" t="n">
        <v>17</v>
      </c>
      <c r="K29" s="12" t="n">
        <v>29</v>
      </c>
      <c r="L29" s="12" t="n">
        <v>25</v>
      </c>
      <c r="M29" s="12" t="n">
        <v>43</v>
      </c>
      <c r="N29" s="12" t="n">
        <v>48.5</v>
      </c>
      <c r="O29" s="12">
        <f>IF(OR(F29="",I29="",L29=""),"",F29+I29+L29)</f>
        <v/>
      </c>
      <c r="P29" s="12">
        <f>IF(OR(G29="",J29="",M29=""),"",G29+J29+M29)</f>
        <v/>
      </c>
      <c r="Q29" s="12">
        <f>IF(OR(H29="",K29="",N29=""),"",H29+K29+N29)</f>
        <v/>
      </c>
      <c r="R29" s="12" t="n">
        <v>49.5</v>
      </c>
      <c r="S29" s="12" t="n">
        <v>39</v>
      </c>
      <c r="T29" s="12" t="n">
        <v>15</v>
      </c>
      <c r="U29" s="12" t="n">
        <v>8</v>
      </c>
      <c r="V29" s="12" t="n">
        <v>36.5</v>
      </c>
      <c r="W29" s="9" t="inlineStr">
        <is>
          <t>2025-03-19</t>
        </is>
      </c>
    </row>
    <row r="30">
      <c r="A30" s="9" t="inlineStr">
        <is>
          <t>ChIJrT_EWwBZzpQRGAZzptZbtsY</t>
        </is>
      </c>
      <c r="B30" s="9" t="inlineStr">
        <is>
          <t>Cartola Luderia Bar</t>
        </is>
      </c>
      <c r="C30" s="9" t="inlineStr">
        <is>
          <t>São Paulo</t>
        </is>
      </c>
      <c r="D30" s="9" t="n">
        <v>50</v>
      </c>
      <c r="E30" s="9" t="inlineStr">
        <is>
          <t>não encontrado</t>
        </is>
      </c>
      <c r="F30" s="12" t="n"/>
      <c r="G30" s="12" t="n"/>
      <c r="H30" s="12" t="n"/>
      <c r="I30" s="12" t="n">
        <v>29</v>
      </c>
      <c r="J30" s="12" t="n">
        <v>36</v>
      </c>
      <c r="K30" s="12" t="n">
        <v>38</v>
      </c>
      <c r="L30" s="12" t="n">
        <v>29.75</v>
      </c>
      <c r="M30" s="12" t="n">
        <v>39</v>
      </c>
      <c r="N30" s="12" t="n">
        <v>40</v>
      </c>
      <c r="O30" s="12">
        <f>IF(OR(F30="",I30="",L30=""),"",F30+I30+L30)</f>
        <v/>
      </c>
      <c r="P30" s="12">
        <f>IF(OR(G30="",J30="",M30=""),"",G30+J30+M30)</f>
        <v/>
      </c>
      <c r="Q30" s="12">
        <f>IF(OR(H30="",K30="",N30=""),"",H30+K30+N30)</f>
        <v/>
      </c>
      <c r="R30" s="12" t="n"/>
      <c r="S30" s="12" t="n">
        <v>68</v>
      </c>
      <c r="T30" s="12" t="n"/>
      <c r="U30" s="12" t="n"/>
      <c r="V30" s="12" t="n">
        <v>36</v>
      </c>
      <c r="W30" s="9" t="inlineStr">
        <is>
          <t>sem data</t>
        </is>
      </c>
    </row>
    <row r="31">
      <c r="A31" s="9" t="inlineStr">
        <is>
          <t>ChIJbZRHQPRfzpQRz97-ZOg0yXA</t>
        </is>
      </c>
      <c r="B31" s="9" t="inlineStr">
        <is>
          <t>Castelos Bar &amp; Boardgames</t>
        </is>
      </c>
      <c r="C31" s="9" t="inlineStr">
        <is>
          <t>São Paulo</t>
        </is>
      </c>
      <c r="D31" s="9" t="n">
        <v>66</v>
      </c>
      <c r="E31" s="9" t="inlineStr">
        <is>
          <t>não encontrado</t>
        </is>
      </c>
      <c r="F31" s="12" t="n"/>
      <c r="G31" s="12" t="n"/>
      <c r="H31" s="12" t="n"/>
      <c r="I31" s="12" t="n">
        <v>15</v>
      </c>
      <c r="J31" s="12" t="n">
        <v>26.9</v>
      </c>
      <c r="K31" s="12" t="n">
        <v>37.9</v>
      </c>
      <c r="L31" s="12" t="n">
        <v>39.15</v>
      </c>
      <c r="M31" s="12" t="n">
        <v>43.4</v>
      </c>
      <c r="N31" s="12" t="n">
        <v>45.65</v>
      </c>
      <c r="O31" s="12">
        <f>IF(OR(F31="",I31="",L31=""),"",F31+I31+L31)</f>
        <v/>
      </c>
      <c r="P31" s="12">
        <f>IF(OR(G31="",J31="",M31=""),"",G31+J31+M31)</f>
        <v/>
      </c>
      <c r="Q31" s="12">
        <f>IF(OR(H31="",K31="",N31=""),"",H31+K31+N31)</f>
        <v/>
      </c>
      <c r="R31" s="12" t="n">
        <v>43.9</v>
      </c>
      <c r="S31" s="12" t="n">
        <v>39.9</v>
      </c>
      <c r="T31" s="12" t="n">
        <v>15</v>
      </c>
      <c r="U31" s="12" t="n">
        <v>9</v>
      </c>
      <c r="V31" s="12" t="n">
        <v>37.4</v>
      </c>
      <c r="W31" s="9" t="inlineStr">
        <is>
          <t>sem data</t>
        </is>
      </c>
    </row>
    <row r="32">
      <c r="A32" s="9" t="inlineStr">
        <is>
          <t>ChIJF9j3OCRbzpQRkk74_QtOk_0</t>
        </is>
      </c>
      <c r="B32" s="9" t="inlineStr">
        <is>
          <t>Coletivo Geek</t>
        </is>
      </c>
      <c r="C32" s="9" t="inlineStr">
        <is>
          <t>São Paulo</t>
        </is>
      </c>
      <c r="D32" s="9" t="n">
        <v>71</v>
      </c>
      <c r="E32" s="9" t="inlineStr">
        <is>
          <t>não encontrado</t>
        </is>
      </c>
      <c r="F32" s="12" t="n"/>
      <c r="G32" s="12" t="n"/>
      <c r="H32" s="12" t="n"/>
      <c r="I32" s="12" t="n">
        <v>20.25</v>
      </c>
      <c r="J32" s="12" t="n">
        <v>28</v>
      </c>
      <c r="K32" s="12" t="n">
        <v>30</v>
      </c>
      <c r="L32" s="12" t="n">
        <v>27.25</v>
      </c>
      <c r="M32" s="12" t="n">
        <v>32</v>
      </c>
      <c r="N32" s="12" t="n">
        <v>39</v>
      </c>
      <c r="O32" s="12">
        <f>IF(OR(F32="",I32="",L32=""),"",F32+I32+L32)</f>
        <v/>
      </c>
      <c r="P32" s="12">
        <f>IF(OR(G32="",J32="",M32=""),"",G32+J32+M32)</f>
        <v/>
      </c>
      <c r="Q32" s="12">
        <f>IF(OR(H32="",K32="",N32=""),"",H32+K32+N32)</f>
        <v/>
      </c>
      <c r="R32" s="12" t="n">
        <v>28</v>
      </c>
      <c r="S32" s="12" t="n">
        <v>28</v>
      </c>
      <c r="T32" s="12" t="n">
        <v>22</v>
      </c>
      <c r="U32" s="12" t="n">
        <v>8</v>
      </c>
      <c r="V32" s="12" t="n">
        <v>30</v>
      </c>
      <c r="W32" s="9" t="inlineStr">
        <is>
          <t>2026-05</t>
        </is>
      </c>
    </row>
    <row r="33">
      <c r="A33" s="9" t="inlineStr">
        <is>
          <t>ChIJ7_DDAlH1zpQRJVJ0UHnItH8</t>
        </is>
      </c>
      <c r="B33" s="9" t="inlineStr">
        <is>
          <t>Covil Game Bar</t>
        </is>
      </c>
      <c r="C33" s="9" t="inlineStr">
        <is>
          <t>São Paulo</t>
        </is>
      </c>
      <c r="D33" s="9" t="n">
        <v>71</v>
      </c>
      <c r="E33" s="9" t="inlineStr">
        <is>
          <t>não encontrado</t>
        </is>
      </c>
      <c r="F33" s="12" t="n"/>
      <c r="G33" s="12" t="n"/>
      <c r="H33" s="12" t="n"/>
      <c r="I33" s="12" t="n">
        <v>14</v>
      </c>
      <c r="J33" s="12" t="n">
        <v>18</v>
      </c>
      <c r="K33" s="12" t="n">
        <v>22</v>
      </c>
      <c r="L33" s="12" t="n">
        <v>29</v>
      </c>
      <c r="M33" s="12" t="n">
        <v>34</v>
      </c>
      <c r="N33" s="12" t="n">
        <v>38</v>
      </c>
      <c r="O33" s="12">
        <f>IF(OR(F33="",I33="",L33=""),"",F33+I33+L33)</f>
        <v/>
      </c>
      <c r="P33" s="12">
        <f>IF(OR(G33="",J33="",M33=""),"",G33+J33+M33)</f>
        <v/>
      </c>
      <c r="Q33" s="12">
        <f>IF(OR(H33="",K33="",N33=""),"",H33+K33+N33)</f>
        <v/>
      </c>
      <c r="R33" s="12" t="n">
        <v>29</v>
      </c>
      <c r="S33" s="12" t="n">
        <v>50</v>
      </c>
      <c r="T33" s="12" t="n">
        <v>17</v>
      </c>
      <c r="U33" s="12" t="n">
        <v>8</v>
      </c>
      <c r="V33" s="12" t="n">
        <v>21.5</v>
      </c>
      <c r="W33" s="9" t="inlineStr">
        <is>
          <t>2025-07</t>
        </is>
      </c>
    </row>
    <row r="34">
      <c r="A34" s="9" t="inlineStr">
        <is>
          <t>ChIJiZJ_DnIDz5QRaVafFCXGkUE</t>
        </is>
      </c>
      <c r="B34" s="9" t="inlineStr">
        <is>
          <t>Dungeon Games Store</t>
        </is>
      </c>
      <c r="C34" s="9" t="inlineStr">
        <is>
          <t>São Paulo</t>
        </is>
      </c>
      <c r="D34" s="9" t="n">
        <v>42</v>
      </c>
      <c r="E34" s="9" t="inlineStr">
        <is>
          <t>não encontrado</t>
        </is>
      </c>
      <c r="F34" s="12" t="n"/>
      <c r="G34" s="12" t="n"/>
      <c r="H34" s="12" t="n"/>
      <c r="I34" s="12" t="n">
        <v>10</v>
      </c>
      <c r="J34" s="12" t="n">
        <v>14</v>
      </c>
      <c r="K34" s="12" t="n">
        <v>20</v>
      </c>
      <c r="L34" s="12" t="n">
        <v>25.75</v>
      </c>
      <c r="M34" s="12" t="n">
        <v>30</v>
      </c>
      <c r="N34" s="12" t="n">
        <v>32.5</v>
      </c>
      <c r="O34" s="12">
        <f>IF(OR(F34="",I34="",L34=""),"",F34+I34+L34)</f>
        <v/>
      </c>
      <c r="P34" s="12">
        <f>IF(OR(G34="",J34="",M34=""),"",G34+J34+M34)</f>
        <v/>
      </c>
      <c r="Q34" s="12">
        <f>IF(OR(H34="",K34="",N34=""),"",H34+K34+N34)</f>
        <v/>
      </c>
      <c r="R34" s="12" t="n">
        <v>31</v>
      </c>
      <c r="S34" s="12" t="n">
        <v>30</v>
      </c>
      <c r="T34" s="12" t="n">
        <v>12</v>
      </c>
      <c r="U34" s="12" t="n">
        <v>8</v>
      </c>
      <c r="V34" s="12" t="n">
        <v>28</v>
      </c>
      <c r="W34" s="9" t="inlineStr">
        <is>
          <t>sem data</t>
        </is>
      </c>
    </row>
    <row r="35">
      <c r="A35" s="9" t="inlineStr">
        <is>
          <t>ChIJZz29dnVXzpQRvRh7_YKyUN4</t>
        </is>
      </c>
      <c r="B35" s="9" t="inlineStr">
        <is>
          <t>Encounter | Jogos de Tabuleiro | Board Games</t>
        </is>
      </c>
      <c r="C35" s="9" t="inlineStr">
        <is>
          <t>São Paulo</t>
        </is>
      </c>
      <c r="D35" s="9" t="n">
        <v>22</v>
      </c>
      <c r="E35" s="9" t="inlineStr">
        <is>
          <t>não encontrado</t>
        </is>
      </c>
      <c r="F35" s="12" t="n"/>
      <c r="G35" s="12" t="n"/>
      <c r="H35" s="12" t="n"/>
      <c r="I35" s="12" t="n">
        <v>27.9</v>
      </c>
      <c r="J35" s="12" t="n">
        <v>27.9</v>
      </c>
      <c r="K35" s="12" t="n">
        <v>27.9</v>
      </c>
      <c r="L35" s="12" t="n">
        <v>34.9</v>
      </c>
      <c r="M35" s="12" t="n">
        <v>39.9</v>
      </c>
      <c r="N35" s="12" t="n">
        <v>48.9</v>
      </c>
      <c r="O35" s="12">
        <f>IF(OR(F35="",I35="",L35=""),"",F35+I35+L35)</f>
        <v/>
      </c>
      <c r="P35" s="12">
        <f>IF(OR(G35="",J35="",M35=""),"",G35+J35+M35)</f>
        <v/>
      </c>
      <c r="Q35" s="12">
        <f>IF(OR(H35="",K35="",N35=""),"",H35+K35+N35)</f>
        <v/>
      </c>
      <c r="R35" s="12" t="n">
        <v>38</v>
      </c>
      <c r="S35" s="12" t="n">
        <v>24.9</v>
      </c>
      <c r="T35" s="12" t="n"/>
      <c r="U35" s="12" t="n"/>
      <c r="V35" s="12" t="n"/>
      <c r="W35" s="9" t="inlineStr">
        <is>
          <t>2025-06</t>
        </is>
      </c>
    </row>
    <row r="36">
      <c r="A36" s="9" t="inlineStr">
        <is>
          <t>ChIJ_aN4OAxXzpQR0UH63sAeVCA</t>
        </is>
      </c>
      <c r="B36" s="9" t="inlineStr">
        <is>
          <t>Fan Hour Games and Burgers</t>
        </is>
      </c>
      <c r="C36" s="9" t="inlineStr">
        <is>
          <t>São Paulo</t>
        </is>
      </c>
      <c r="D36" s="9" t="n">
        <v>27</v>
      </c>
      <c r="E36" s="9" t="inlineStr">
        <is>
          <t>sim</t>
        </is>
      </c>
      <c r="F36" s="12" t="n">
        <v>20</v>
      </c>
      <c r="G36" s="12" t="n">
        <v>20</v>
      </c>
      <c r="H36" s="12" t="n">
        <v>20</v>
      </c>
      <c r="I36" s="12" t="n">
        <v>26.15</v>
      </c>
      <c r="J36" s="12" t="n">
        <v>32.4</v>
      </c>
      <c r="K36" s="12" t="n">
        <v>36.9</v>
      </c>
      <c r="L36" s="12" t="n">
        <v>32.2</v>
      </c>
      <c r="M36" s="12" t="n">
        <v>37.3</v>
      </c>
      <c r="N36" s="12" t="n">
        <v>50.9</v>
      </c>
      <c r="O36" s="12">
        <f>IF(OR(F36="",I36="",L36=""),"",F36+I36+L36)</f>
        <v/>
      </c>
      <c r="P36" s="12">
        <f>IF(OR(G36="",J36="",M36=""),"",G36+J36+M36)</f>
        <v/>
      </c>
      <c r="Q36" s="12">
        <f>IF(OR(H36="",K36="",N36=""),"",H36+K36+N36)</f>
        <v/>
      </c>
      <c r="R36" s="12" t="n">
        <v>50.3</v>
      </c>
      <c r="S36" s="12" t="n">
        <v>26.7</v>
      </c>
      <c r="T36" s="12" t="n"/>
      <c r="U36" s="12" t="n"/>
      <c r="V36" s="12" t="n"/>
      <c r="W36" s="9" t="inlineStr">
        <is>
          <t>2026-10-05</t>
        </is>
      </c>
    </row>
    <row r="37">
      <c r="A37" s="9" t="inlineStr">
        <is>
          <t>ChIJa3UsDhRczpQRPPSuDl6acO8</t>
        </is>
      </c>
      <c r="B37" s="9" t="inlineStr">
        <is>
          <t>Flow Games - Burgers, Cards &amp; Comunidade</t>
        </is>
      </c>
      <c r="C37" s="9" t="inlineStr">
        <is>
          <t>São Paulo</t>
        </is>
      </c>
      <c r="D37" s="9" t="n">
        <v>16</v>
      </c>
      <c r="E37" s="9" t="inlineStr">
        <is>
          <t>não encontrado</t>
        </is>
      </c>
      <c r="F37" s="12" t="n"/>
      <c r="G37" s="12" t="n"/>
      <c r="H37" s="12" t="n"/>
      <c r="I37" s="12" t="n">
        <v>6</v>
      </c>
      <c r="J37" s="12" t="n">
        <v>6</v>
      </c>
      <c r="K37" s="12" t="n">
        <v>7</v>
      </c>
      <c r="L37" s="12" t="n">
        <v>11</v>
      </c>
      <c r="M37" s="12" t="n">
        <v>14</v>
      </c>
      <c r="N37" s="12" t="n">
        <v>34.9</v>
      </c>
      <c r="O37" s="12">
        <f>IF(OR(F37="",I37="",L37=""),"",F37+I37+L37)</f>
        <v/>
      </c>
      <c r="P37" s="12">
        <f>IF(OR(G37="",J37="",M37=""),"",G37+J37+M37)</f>
        <v/>
      </c>
      <c r="Q37" s="12">
        <f>IF(OR(H37="",K37="",N37=""),"",H37+K37+N37)</f>
        <v/>
      </c>
      <c r="R37" s="12" t="n">
        <v>12</v>
      </c>
      <c r="S37" s="12" t="n">
        <v>10</v>
      </c>
      <c r="T37" s="12" t="n">
        <v>6.5</v>
      </c>
      <c r="U37" s="12" t="n">
        <v>6</v>
      </c>
      <c r="V37" s="12" t="n"/>
      <c r="W37" s="9" t="inlineStr">
        <is>
          <t>2022-09, 2025-08</t>
        </is>
      </c>
    </row>
    <row r="38">
      <c r="A38" s="9" t="inlineStr">
        <is>
          <t>ChIJn7uU0RNbzpQRI4GI9KHOo_s</t>
        </is>
      </c>
      <c r="B38" s="9" t="inlineStr">
        <is>
          <t>Jogasampa</t>
        </is>
      </c>
      <c r="C38" s="9" t="inlineStr">
        <is>
          <t>São Paulo</t>
        </is>
      </c>
      <c r="D38" s="9" t="n">
        <v>7</v>
      </c>
      <c r="E38" s="9" t="inlineStr">
        <is>
          <t>não encontrado</t>
        </is>
      </c>
      <c r="F38" s="12" t="n"/>
      <c r="G38" s="12" t="n"/>
      <c r="H38" s="12" t="n"/>
      <c r="I38" s="12" t="n">
        <v>6</v>
      </c>
      <c r="J38" s="12" t="n">
        <v>6</v>
      </c>
      <c r="K38" s="12" t="n">
        <v>6</v>
      </c>
      <c r="L38" s="12" t="n"/>
      <c r="M38" s="12" t="n"/>
      <c r="N38" s="12" t="n"/>
      <c r="O38" s="12">
        <f>IF(OR(F38="",I38="",L38=""),"",F38+I38+L38)</f>
        <v/>
      </c>
      <c r="P38" s="12">
        <f>IF(OR(G38="",J38="",M38=""),"",G38+J38+M38)</f>
        <v/>
      </c>
      <c r="Q38" s="12">
        <f>IF(OR(H38="",K38="",N38=""),"",H38+K38+N38)</f>
        <v/>
      </c>
      <c r="R38" s="12" t="n"/>
      <c r="S38" s="12" t="n"/>
      <c r="T38" s="12" t="n"/>
      <c r="U38" s="12" t="n">
        <v>6</v>
      </c>
      <c r="V38" s="12" t="n"/>
      <c r="W38" s="9" t="inlineStr">
        <is>
          <t>2023-10</t>
        </is>
      </c>
    </row>
    <row r="39">
      <c r="A39" s="9" t="inlineStr">
        <is>
          <t>ChIJTaG5ALpZzpQRUDErQ-RkfTs</t>
        </is>
      </c>
      <c r="B39" s="9" t="inlineStr">
        <is>
          <t>Ludus Luderia</t>
        </is>
      </c>
      <c r="C39" s="9" t="inlineStr">
        <is>
          <t>São Paulo</t>
        </is>
      </c>
      <c r="D39" s="9" t="n">
        <v>161</v>
      </c>
      <c r="E39" s="9" t="inlineStr">
        <is>
          <t>sim</t>
        </is>
      </c>
      <c r="F39" s="12" t="n">
        <v>0</v>
      </c>
      <c r="G39" s="12" t="n">
        <v>0</v>
      </c>
      <c r="H39" s="12" t="n">
        <v>0</v>
      </c>
      <c r="I39" s="12" t="n">
        <v>21</v>
      </c>
      <c r="J39" s="12" t="n">
        <v>34</v>
      </c>
      <c r="K39" s="12" t="n">
        <v>36</v>
      </c>
      <c r="L39" s="12" t="n">
        <v>42</v>
      </c>
      <c r="M39" s="12" t="n">
        <v>48</v>
      </c>
      <c r="N39" s="12" t="n">
        <v>56.5</v>
      </c>
      <c r="O39" s="12">
        <f>IF(OR(F39="",I39="",L39=""),"",F39+I39+L39)</f>
        <v/>
      </c>
      <c r="P39" s="12">
        <f>IF(OR(G39="",J39="",M39=""),"",G39+J39+M39)</f>
        <v/>
      </c>
      <c r="Q39" s="12">
        <f>IF(OR(H39="",K39="",N39=""),"",H39+K39+N39)</f>
        <v/>
      </c>
      <c r="R39" s="12" t="n">
        <v>42</v>
      </c>
      <c r="S39" s="12" t="n">
        <v>48</v>
      </c>
      <c r="T39" s="12" t="n">
        <v>18.5</v>
      </c>
      <c r="U39" s="12" t="n">
        <v>9</v>
      </c>
      <c r="V39" s="12" t="n">
        <v>36</v>
      </c>
      <c r="W39" s="9" t="inlineStr">
        <is>
          <t>2023-06-07</t>
        </is>
      </c>
    </row>
    <row r="40">
      <c r="A40" s="9" t="inlineStr">
        <is>
          <t>ChIJkWsGmd1czpQRGLydxc29vbw</t>
        </is>
      </c>
      <c r="B40" s="9" t="inlineStr">
        <is>
          <t>Place Games</t>
        </is>
      </c>
      <c r="C40" s="9" t="inlineStr">
        <is>
          <t>São Paulo</t>
        </is>
      </c>
      <c r="D40" s="9" t="n">
        <v>54</v>
      </c>
      <c r="E40" s="9" t="inlineStr">
        <is>
          <t>não encontrado</t>
        </is>
      </c>
      <c r="F40" s="12" t="n"/>
      <c r="G40" s="12" t="n"/>
      <c r="H40" s="12" t="n"/>
      <c r="I40" s="12" t="n">
        <v>6.9</v>
      </c>
      <c r="J40" s="12" t="n">
        <v>9</v>
      </c>
      <c r="K40" s="12" t="n">
        <v>13.72</v>
      </c>
      <c r="L40" s="12" t="n">
        <v>11</v>
      </c>
      <c r="M40" s="12" t="n">
        <v>29</v>
      </c>
      <c r="N40" s="12" t="n">
        <v>39</v>
      </c>
      <c r="O40" s="12">
        <f>IF(OR(F40="",I40="",L40=""),"",F40+I40+L40)</f>
        <v/>
      </c>
      <c r="P40" s="12">
        <f>IF(OR(G40="",J40="",M40=""),"",G40+J40+M40)</f>
        <v/>
      </c>
      <c r="Q40" s="12">
        <f>IF(OR(H40="",K40="",N40=""),"",H40+K40+N40)</f>
        <v/>
      </c>
      <c r="R40" s="12" t="n">
        <v>38.9</v>
      </c>
      <c r="S40" s="12" t="n">
        <v>33</v>
      </c>
      <c r="T40" s="12" t="n">
        <v>13</v>
      </c>
      <c r="U40" s="12" t="n">
        <v>6.9</v>
      </c>
      <c r="V40" s="12" t="n"/>
      <c r="W40" s="9" t="inlineStr">
        <is>
          <t>sem data</t>
        </is>
      </c>
    </row>
    <row r="41">
      <c r="A41" s="9" t="inlineStr">
        <is>
          <t>ChIJNcHw7jNYzpQRKRHPOrb4jEw</t>
        </is>
      </c>
      <c r="B41" s="9" t="inlineStr">
        <is>
          <t>Play Easy</t>
        </is>
      </c>
      <c r="C41" s="9" t="inlineStr">
        <is>
          <t>São Paulo</t>
        </is>
      </c>
      <c r="D41" s="9" t="n">
        <v>16</v>
      </c>
      <c r="E41" s="9" t="inlineStr">
        <is>
          <t>não encontrado</t>
        </is>
      </c>
      <c r="F41" s="12" t="n"/>
      <c r="G41" s="12" t="n"/>
      <c r="H41" s="12" t="n"/>
      <c r="I41" s="12" t="n">
        <v>6</v>
      </c>
      <c r="J41" s="12" t="n">
        <v>7</v>
      </c>
      <c r="K41" s="12" t="n">
        <v>9.5</v>
      </c>
      <c r="L41" s="12" t="n">
        <v>11</v>
      </c>
      <c r="M41" s="12" t="n">
        <v>25</v>
      </c>
      <c r="N41" s="12" t="n">
        <v>25</v>
      </c>
      <c r="O41" s="12">
        <f>IF(OR(F41="",I41="",L41=""),"",F41+I41+L41)</f>
        <v/>
      </c>
      <c r="P41" s="12">
        <f>IF(OR(G41="",J41="",M41=""),"",G41+J41+M41)</f>
        <v/>
      </c>
      <c r="Q41" s="12">
        <f>IF(OR(H41="",K41="",N41=""),"",H41+K41+N41)</f>
        <v/>
      </c>
      <c r="R41" s="12" t="n"/>
      <c r="S41" s="12" t="n">
        <v>16</v>
      </c>
      <c r="T41" s="12" t="n">
        <v>10</v>
      </c>
      <c r="U41" s="12" t="n">
        <v>6</v>
      </c>
      <c r="V41" s="12" t="n"/>
      <c r="W41" s="9" t="inlineStr">
        <is>
          <t>sem data</t>
        </is>
      </c>
    </row>
    <row r="42">
      <c r="A42" s="9" t="inlineStr">
        <is>
          <t>ChIJsU5BAwBRzpQRAgLVvqg68os</t>
        </is>
      </c>
      <c r="B42" s="9" t="inlineStr">
        <is>
          <t>Tubaleria</t>
        </is>
      </c>
      <c r="C42" s="9" t="inlineStr">
        <is>
          <t>São Paulo</t>
        </is>
      </c>
      <c r="D42" s="9" t="n">
        <v>16</v>
      </c>
      <c r="E42" s="9" t="inlineStr">
        <is>
          <t>não encontrado</t>
        </is>
      </c>
      <c r="F42" s="12" t="n"/>
      <c r="G42" s="12" t="n"/>
      <c r="H42" s="12" t="n"/>
      <c r="I42" s="12" t="n"/>
      <c r="J42" s="12" t="n"/>
      <c r="K42" s="12" t="n"/>
      <c r="L42" s="12" t="n">
        <v>30</v>
      </c>
      <c r="M42" s="12" t="n">
        <v>38</v>
      </c>
      <c r="N42" s="12" t="n">
        <v>38</v>
      </c>
      <c r="O42" s="12">
        <f>IF(OR(F42="",I42="",L42=""),"",F42+I42+L42)</f>
        <v/>
      </c>
      <c r="P42" s="12">
        <f>IF(OR(G42="",J42="",M42=""),"",G42+J42+M42)</f>
        <v/>
      </c>
      <c r="Q42" s="12">
        <f>IF(OR(H42="",K42="",N42=""),"",H42+K42+N42)</f>
        <v/>
      </c>
      <c r="R42" s="12" t="n">
        <v>38</v>
      </c>
      <c r="S42" s="12" t="n">
        <v>35</v>
      </c>
      <c r="T42" s="12" t="n"/>
      <c r="U42" s="12" t="n"/>
      <c r="V42" s="12" t="n"/>
      <c r="W42" s="9" t="inlineStr">
        <is>
          <t>2025-12, 2026-01, 2026-03, 2026-05</t>
        </is>
      </c>
    </row>
    <row r="43">
      <c r="A43" s="9" t="inlineStr">
        <is>
          <t>ChIJfyav9YI9uAARjwbBqcRm2_k</t>
        </is>
      </c>
      <c r="B43" s="9" t="inlineStr">
        <is>
          <t>Café Geek Cafeteria e Ludoteca</t>
        </is>
      </c>
      <c r="C43" s="9" t="inlineStr">
        <is>
          <t>Vitória</t>
        </is>
      </c>
      <c r="D43" s="9" t="n">
        <v>65</v>
      </c>
      <c r="E43" s="9" t="inlineStr">
        <is>
          <t>não encontrado</t>
        </is>
      </c>
      <c r="F43" s="12" t="n"/>
      <c r="G43" s="12" t="n"/>
      <c r="H43" s="12" t="n"/>
      <c r="I43" s="12" t="n">
        <v>7.75</v>
      </c>
      <c r="J43" s="12" t="n">
        <v>12.5</v>
      </c>
      <c r="K43" s="12" t="n">
        <v>15</v>
      </c>
      <c r="L43" s="12" t="n">
        <v>8</v>
      </c>
      <c r="M43" s="12" t="n">
        <v>10</v>
      </c>
      <c r="N43" s="12" t="n">
        <v>15.25</v>
      </c>
      <c r="O43" s="12">
        <f>IF(OR(F43="",I43="",L43=""),"",F43+I43+L43)</f>
        <v/>
      </c>
      <c r="P43" s="12">
        <f>IF(OR(G43="",J43="",M43=""),"",G43+J43+M43)</f>
        <v/>
      </c>
      <c r="Q43" s="12">
        <f>IF(OR(H43="",K43="",N43=""),"",H43+K43+N43)</f>
        <v/>
      </c>
      <c r="R43" s="12" t="n"/>
      <c r="S43" s="12" t="n">
        <v>18</v>
      </c>
      <c r="T43" s="12" t="n">
        <v>12</v>
      </c>
      <c r="U43" s="12" t="n">
        <v>7</v>
      </c>
      <c r="V43" s="12" t="n"/>
      <c r="W43" s="9" t="inlineStr">
        <is>
          <t>sem data</t>
        </is>
      </c>
    </row>
  </sheetData>
  <autoFilter ref="A1:W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80" customWidth="1" min="4" max="4"/>
    <col width="45" customWidth="1" min="5" max="5"/>
  </cols>
  <sheetData>
    <row r="1">
      <c r="A1" s="2" t="inlineStr">
        <is>
          <t>aba</t>
        </is>
      </c>
      <c r="B1" s="2" t="inlineStr">
        <is>
          <t>coluna</t>
        </is>
      </c>
      <c r="C1" s="2" t="inlineStr">
        <is>
          <t>grupo</t>
        </is>
      </c>
      <c r="D1" s="2" t="inlineStr">
        <is>
          <t>descrição</t>
        </is>
      </c>
      <c r="E1" s="2" t="inlineStr">
        <is>
          <t>fonte</t>
        </is>
      </c>
    </row>
    <row r="2">
      <c r="A2" s="18" t="inlineStr">
        <is>
          <t>estabelecimentos</t>
        </is>
      </c>
      <c r="B2" s="18" t="inlineStr">
        <is>
          <t>place_id</t>
        </is>
      </c>
      <c r="C2" s="18" t="inlineStr">
        <is>
          <t>Identificação</t>
        </is>
      </c>
      <c r="D2" s="18" t="inlineStr">
        <is>
          <t>Identificador do lugar no Google</t>
        </is>
      </c>
      <c r="E2" s="18" t="inlineStr">
        <is>
          <t>Google Places API</t>
        </is>
      </c>
    </row>
    <row r="3">
      <c r="A3" s="18" t="inlineStr">
        <is>
          <t>estabelecimentos</t>
        </is>
      </c>
      <c r="B3" s="18" t="inlineStr">
        <is>
          <t>nome</t>
        </is>
      </c>
      <c r="C3" s="18" t="inlineStr">
        <is>
          <t>Identificação</t>
        </is>
      </c>
      <c r="D3" s="18" t="inlineStr">
        <is>
          <t>Nome no Google Maps</t>
        </is>
      </c>
      <c r="E3" s="18" t="inlineStr">
        <is>
          <t>Google Places API</t>
        </is>
      </c>
    </row>
    <row r="4">
      <c r="A4" s="18" t="inlineStr">
        <is>
          <t>estabelecimentos</t>
        </is>
      </c>
      <c r="B4" s="18" t="inlineStr">
        <is>
          <t>capital_endereco</t>
        </is>
      </c>
      <c r="C4" s="18" t="inlineStr">
        <is>
          <t>Identificação</t>
        </is>
      </c>
      <c r="D4" s="18" t="inlineStr">
        <is>
          <t>Capital da região metropolitana do endereço</t>
        </is>
      </c>
      <c r="E4" s="18" t="inlineStr">
        <is>
          <t>triagem do B1</t>
        </is>
      </c>
    </row>
    <row r="5">
      <c r="A5" s="18" t="inlineStr">
        <is>
          <t>estabelecimentos</t>
        </is>
      </c>
      <c r="B5" s="18" t="inlineStr">
        <is>
          <t>origem</t>
        </is>
      </c>
      <c r="C5" s="18" t="inlineStr">
        <is>
          <t>Identificação</t>
        </is>
      </c>
      <c r="D5" s="18" t="inlineStr">
        <is>
          <t>Como a casa entrou no B1: triagem manual das metrópoles ou acervodejogos</t>
        </is>
      </c>
      <c r="E5" s="18" t="inlineStr">
        <is>
          <t>B1</t>
        </is>
      </c>
    </row>
    <row r="6">
      <c r="A6" s="18" t="inlineStr">
        <is>
          <t>estabelecimentos</t>
        </is>
      </c>
      <c r="B6" s="18" t="inlineStr">
        <is>
          <t>endereco</t>
        </is>
      </c>
      <c r="C6" s="18" t="inlineStr">
        <is>
          <t>Google Maps</t>
        </is>
      </c>
      <c r="D6" s="18" t="inlineStr">
        <is>
          <t>Endereço no Google</t>
        </is>
      </c>
      <c r="E6" s="18" t="inlineStr">
        <is>
          <t>Google Places API</t>
        </is>
      </c>
    </row>
    <row r="7">
      <c r="A7" s="18" t="inlineStr">
        <is>
          <t>estabelecimentos</t>
        </is>
      </c>
      <c r="B7" s="18" t="inlineStr">
        <is>
          <t>avaliacao_media</t>
        </is>
      </c>
      <c r="C7" s="18" t="inlineStr">
        <is>
          <t>Google Maps</t>
        </is>
      </c>
      <c r="D7" s="18" t="inlineStr">
        <is>
          <t>Nota média (1 a 5)</t>
        </is>
      </c>
      <c r="E7" s="18" t="inlineStr">
        <is>
          <t>Google Places API, 09/2026; novas em 12/10/2026</t>
        </is>
      </c>
    </row>
    <row r="8">
      <c r="A8" s="18" t="inlineStr">
        <is>
          <t>estabelecimentos</t>
        </is>
      </c>
      <c r="B8" s="18" t="inlineStr">
        <is>
          <t>volume_avaliacoes</t>
        </is>
      </c>
      <c r="C8" s="18" t="inlineStr">
        <is>
          <t>Google Maps</t>
        </is>
      </c>
      <c r="D8" s="18" t="inlineStr">
        <is>
          <t>Nº de avaliações no Google</t>
        </is>
      </c>
      <c r="E8" s="18" t="inlineStr">
        <is>
          <t>Google Places API, 09/2026; novas em 12/10/2026</t>
        </is>
      </c>
    </row>
    <row r="9">
      <c r="A9" s="18" t="inlineStr">
        <is>
          <t>estabelecimentos</t>
        </is>
      </c>
      <c r="B9" s="18" t="inlineStr">
        <is>
          <t>link_google_maps</t>
        </is>
      </c>
      <c r="C9" s="18" t="inlineStr">
        <is>
          <t>Google Maps</t>
        </is>
      </c>
      <c r="D9" s="18" t="inlineStr">
        <is>
          <t>Link do lugar no Maps</t>
        </is>
      </c>
      <c r="E9" s="18" t="inlineStr">
        <is>
          <t>Google Places API</t>
        </is>
      </c>
    </row>
    <row r="10">
      <c r="A10" s="18" t="inlineStr">
        <is>
          <t>estabelecimentos</t>
        </is>
      </c>
      <c r="B10" s="18" t="inlineStr">
        <is>
          <t>dias_abertos</t>
        </is>
      </c>
      <c r="C10" s="18" t="inlineStr">
        <is>
          <t>Horários</t>
        </is>
      </c>
      <c r="D10" s="18" t="inlineStr">
        <is>
          <t>Dias da semana com funcionamento (0 a 7)</t>
        </is>
      </c>
      <c r="E10" s="18" t="inlineStr">
        <is>
          <t>Places API regularOpeningHours, 15/10/2026</t>
        </is>
      </c>
    </row>
    <row r="11">
      <c r="A11" s="18" t="inlineStr">
        <is>
          <t>estabelecimentos</t>
        </is>
      </c>
      <c r="B11" s="18" t="inlineStr">
        <is>
          <t>horas_semana</t>
        </is>
      </c>
      <c r="C11" s="18" t="inlineStr">
        <is>
          <t>Horários</t>
        </is>
      </c>
      <c r="D11" s="18" t="inlineStr">
        <is>
          <t>Horas abertas por semana (turno que passa da meia-noite conta no dia em que abre)</t>
        </is>
      </c>
      <c r="E11" s="18" t="inlineStr">
        <is>
          <t>idem</t>
        </is>
      </c>
    </row>
    <row r="12">
      <c r="A12" s="18" t="inlineStr">
        <is>
          <t>estabelecimentos</t>
        </is>
      </c>
      <c r="B12" s="18" t="inlineStr">
        <is>
          <t>abre_cedo</t>
        </is>
      </c>
      <c r="C12" s="18" t="inlineStr">
        <is>
          <t>Horários</t>
        </is>
      </c>
      <c r="D12" s="18" t="inlineStr">
        <is>
          <t>Horário de abertura mais cedo da semana</t>
        </is>
      </c>
      <c r="E12" s="18" t="inlineStr">
        <is>
          <t>idem</t>
        </is>
      </c>
    </row>
    <row r="13">
      <c r="A13" s="18" t="inlineStr">
        <is>
          <t>estabelecimentos</t>
        </is>
      </c>
      <c r="B13" s="18" t="inlineStr">
        <is>
          <t>fecha_tarde</t>
        </is>
      </c>
      <c r="C13" s="18" t="inlineStr">
        <is>
          <t>Horários</t>
        </is>
      </c>
      <c r="D13" s="18" t="inlineStr">
        <is>
          <t>Fechamento mais tarde da semana (depois da meia-noite: 24 + h, ex. 25:00)</t>
        </is>
      </c>
      <c r="E13" s="18" t="inlineStr">
        <is>
          <t>idem</t>
        </is>
      </c>
    </row>
    <row r="14">
      <c r="A14" s="18" t="inlineStr">
        <is>
          <t>estabelecimentos</t>
        </is>
      </c>
      <c r="B14" s="18" t="inlineStr">
        <is>
          <t>segunda</t>
        </is>
      </c>
      <c r="C14" s="18" t="inlineStr">
        <is>
          <t>Horários</t>
        </is>
      </c>
      <c r="D14" s="18" t="inlineStr">
        <is>
          <t>Turnos de segunda (vazio = fechado)</t>
        </is>
      </c>
      <c r="E14" s="18" t="inlineStr">
        <is>
          <t>idem</t>
        </is>
      </c>
    </row>
    <row r="15">
      <c r="A15" s="18" t="inlineStr">
        <is>
          <t>estabelecimentos</t>
        </is>
      </c>
      <c r="B15" s="18" t="inlineStr">
        <is>
          <t>terca</t>
        </is>
      </c>
      <c r="C15" s="18" t="inlineStr">
        <is>
          <t>Horários</t>
        </is>
      </c>
      <c r="D15" s="18" t="inlineStr">
        <is>
          <t>Turnos de terca (vazio = fechado)</t>
        </is>
      </c>
      <c r="E15" s="18" t="inlineStr">
        <is>
          <t>idem</t>
        </is>
      </c>
    </row>
    <row r="16">
      <c r="A16" s="18" t="inlineStr">
        <is>
          <t>estabelecimentos</t>
        </is>
      </c>
      <c r="B16" s="18" t="inlineStr">
        <is>
          <t>quarta</t>
        </is>
      </c>
      <c r="C16" s="18" t="inlineStr">
        <is>
          <t>Horários</t>
        </is>
      </c>
      <c r="D16" s="18" t="inlineStr">
        <is>
          <t>Turnos de quarta (vazio = fechado)</t>
        </is>
      </c>
      <c r="E16" s="18" t="inlineStr">
        <is>
          <t>idem</t>
        </is>
      </c>
    </row>
    <row r="17">
      <c r="A17" s="18" t="inlineStr">
        <is>
          <t>estabelecimentos</t>
        </is>
      </c>
      <c r="B17" s="18" t="inlineStr">
        <is>
          <t>quinta</t>
        </is>
      </c>
      <c r="C17" s="18" t="inlineStr">
        <is>
          <t>Horários</t>
        </is>
      </c>
      <c r="D17" s="18" t="inlineStr">
        <is>
          <t>Turnos de quinta (vazio = fechado)</t>
        </is>
      </c>
      <c r="E17" s="18" t="inlineStr">
        <is>
          <t>idem</t>
        </is>
      </c>
    </row>
    <row r="18">
      <c r="A18" s="18" t="inlineStr">
        <is>
          <t>estabelecimentos</t>
        </is>
      </c>
      <c r="B18" s="18" t="inlineStr">
        <is>
          <t>sexta</t>
        </is>
      </c>
      <c r="C18" s="18" t="inlineStr">
        <is>
          <t>Horários</t>
        </is>
      </c>
      <c r="D18" s="18" t="inlineStr">
        <is>
          <t>Turnos de sexta (vazio = fechado)</t>
        </is>
      </c>
      <c r="E18" s="18" t="inlineStr">
        <is>
          <t>idem</t>
        </is>
      </c>
    </row>
    <row r="19">
      <c r="A19" s="18" t="inlineStr">
        <is>
          <t>estabelecimentos</t>
        </is>
      </c>
      <c r="B19" s="18" t="inlineStr">
        <is>
          <t>sabado</t>
        </is>
      </c>
      <c r="C19" s="18" t="inlineStr">
        <is>
          <t>Horários</t>
        </is>
      </c>
      <c r="D19" s="18" t="inlineStr">
        <is>
          <t>Turnos de sabado (vazio = fechado)</t>
        </is>
      </c>
      <c r="E19" s="18" t="inlineStr">
        <is>
          <t>idem</t>
        </is>
      </c>
    </row>
    <row r="20">
      <c r="A20" s="18" t="inlineStr">
        <is>
          <t>estabelecimentos</t>
        </is>
      </c>
      <c r="B20" s="18" t="inlineStr">
        <is>
          <t>domingo</t>
        </is>
      </c>
      <c r="C20" s="18" t="inlineStr">
        <is>
          <t>Horários</t>
        </is>
      </c>
      <c r="D20" s="18" t="inlineStr">
        <is>
          <t>Turnos de domingo (vazio = fechado)</t>
        </is>
      </c>
      <c r="E20" s="18" t="inlineStr">
        <is>
          <t>idem</t>
        </is>
      </c>
    </row>
    <row r="21">
      <c r="A21" s="18" t="inlineStr">
        <is>
          <t>estabelecimentos</t>
        </is>
      </c>
      <c r="B21" s="18" t="inlineStr">
        <is>
          <t>metro_500m</t>
        </is>
      </c>
      <c r="C21" s="18" t="inlineStr">
        <is>
          <t>Entorno</t>
        </is>
      </c>
      <c r="D21" s="18" t="inlineStr">
        <is>
          <t>Estações de metrô até 500 m</t>
        </is>
      </c>
      <c r="E21" s="18" t="inlineStr">
        <is>
          <t>coletor de entorno do Maps, 15/10/2026</t>
        </is>
      </c>
    </row>
    <row r="22">
      <c r="A22" s="18" t="inlineStr">
        <is>
          <t>estabelecimentos</t>
        </is>
      </c>
      <c r="B22" s="18" t="inlineStr">
        <is>
          <t>metro_1000m</t>
        </is>
      </c>
      <c r="C22" s="18" t="inlineStr">
        <is>
          <t>Entorno</t>
        </is>
      </c>
      <c r="D22" s="18" t="inlineStr">
        <is>
          <t>Estações de metrô até 1000 m</t>
        </is>
      </c>
      <c r="E22" s="18" t="inlineStr">
        <is>
          <t>idem</t>
        </is>
      </c>
    </row>
    <row r="23">
      <c r="A23" s="18" t="inlineStr">
        <is>
          <t>estabelecimentos</t>
        </is>
      </c>
      <c r="B23" s="18" t="inlineStr">
        <is>
          <t>dist_metro_m</t>
        </is>
      </c>
      <c r="C23" s="18" t="inlineStr">
        <is>
          <t>Entorno</t>
        </is>
      </c>
      <c r="D23" s="18" t="inlineStr">
        <is>
          <t>Distância (m) à estação de metrô mais próxima, só até 1000 m; vazio com metro_1000m = 0: nenhuma até 1000 m</t>
        </is>
      </c>
      <c r="E23" s="18" t="inlineStr">
        <is>
          <t>idem</t>
        </is>
      </c>
    </row>
    <row r="24">
      <c r="A24" s="18" t="inlineStr">
        <is>
          <t>estabelecimentos</t>
        </is>
      </c>
      <c r="B24" s="18" t="inlineStr">
        <is>
          <t>shopping_porte_500m</t>
        </is>
      </c>
      <c r="C24" s="18" t="inlineStr">
        <is>
          <t>Entorno</t>
        </is>
      </c>
      <c r="D24" s="18" t="inlineStr">
        <is>
          <t>Shoppings de porte (1.000 avaliações ou mais no Maps) até 500 m; vazio = coleta anterior a 30/10/2026 ou avaliações não lidas</t>
        </is>
      </c>
      <c r="E24" s="18" t="inlineStr">
        <is>
          <t>idem</t>
        </is>
      </c>
    </row>
    <row r="25">
      <c r="A25" s="18" t="inlineStr">
        <is>
          <t>estabelecimentos</t>
        </is>
      </c>
      <c r="B25" s="18" t="inlineStr">
        <is>
          <t>shopping_porte_1000m</t>
        </is>
      </c>
      <c r="C25" s="18" t="inlineStr">
        <is>
          <t>Entorno</t>
        </is>
      </c>
      <c r="D25" s="18" t="inlineStr">
        <is>
          <t>Shoppings de porte até 1000 m; vazio = coleta anterior a 30/10/2026 ou avaliações não lidas</t>
        </is>
      </c>
      <c r="E25" s="18" t="inlineStr">
        <is>
          <t>idem</t>
        </is>
      </c>
    </row>
    <row r="26">
      <c r="A26" s="18" t="inlineStr">
        <is>
          <t>estabelecimentos</t>
        </is>
      </c>
      <c r="B26" s="18" t="inlineStr">
        <is>
          <t>dist_shopping_m</t>
        </is>
      </c>
      <c r="C26" s="18" t="inlineStr">
        <is>
          <t>Entorno</t>
        </is>
      </c>
      <c r="D26" s="18" t="inlineStr">
        <is>
          <t>Distância (m) ao shopping mais próximo (qualquer porte), só até 1000 m</t>
        </is>
      </c>
      <c r="E26" s="18" t="inlineStr">
        <is>
          <t>idem</t>
        </is>
      </c>
    </row>
    <row r="27">
      <c r="A27" s="18" t="inlineStr">
        <is>
          <t>estabelecimentos</t>
        </is>
      </c>
      <c r="B27" s="18" t="inlineStr">
        <is>
          <t>perfil_instagram</t>
        </is>
      </c>
      <c r="C27" s="18" t="inlineStr">
        <is>
          <t>Instagram</t>
        </is>
      </c>
      <c r="D27" s="18" t="inlineStr">
        <is>
          <t>@ do perfil</t>
        </is>
      </c>
      <c r="E27" s="18" t="inlineStr">
        <is>
          <t>Notion A - Estabelecimentos, 15/10/2026</t>
        </is>
      </c>
    </row>
    <row r="28">
      <c r="A28" s="18" t="inlineStr">
        <is>
          <t>estabelecimentos</t>
        </is>
      </c>
      <c r="B28" s="18" t="inlineStr">
        <is>
          <t>seguidores</t>
        </is>
      </c>
      <c r="C28" s="18" t="inlineStr">
        <is>
          <t>Instagram</t>
        </is>
      </c>
      <c r="D28" s="18" t="inlineStr">
        <is>
          <t>Seguidores</t>
        </is>
      </c>
      <c r="E28" s="18" t="inlineStr">
        <is>
          <t>idem (cabeçalho do perfil ou coletor)</t>
        </is>
      </c>
    </row>
    <row r="29">
      <c r="A29" s="18" t="inlineStr">
        <is>
          <t>estabelecimentos</t>
        </is>
      </c>
      <c r="B29" s="18" t="inlineStr">
        <is>
          <t>n_posts_total</t>
        </is>
      </c>
      <c r="C29" s="18" t="inlineStr">
        <is>
          <t>Instagram</t>
        </is>
      </c>
      <c r="D29" s="18" t="inlineStr">
        <is>
          <t>Nº de posts declarado pelo perfil</t>
        </is>
      </c>
      <c r="E29" s="18" t="inlineStr">
        <is>
          <t>idem</t>
        </is>
      </c>
    </row>
    <row r="30">
      <c r="A30" s="18" t="inlineStr">
        <is>
          <t>estabelecimentos</t>
        </is>
      </c>
      <c r="B30" s="18" t="inlineStr">
        <is>
          <t>primeiro_post</t>
        </is>
      </c>
      <c r="C30" s="18" t="inlineStr">
        <is>
          <t>Instagram</t>
        </is>
      </c>
      <c r="D30" s="18" t="inlineStr">
        <is>
          <t>Data do primeiro post</t>
        </is>
      </c>
      <c r="E30" s="18" t="inlineStr">
        <is>
          <t>idem</t>
        </is>
      </c>
    </row>
    <row r="31">
      <c r="A31" s="18" t="inlineStr">
        <is>
          <t>estabelecimentos</t>
        </is>
      </c>
      <c r="B31" s="18" t="inlineStr">
        <is>
          <t>n_posts_periodo</t>
        </is>
      </c>
      <c r="C31" s="18" t="inlineStr">
        <is>
          <t>Instagram</t>
        </is>
      </c>
      <c r="D31" s="18" t="inlineStr">
        <is>
          <t>Posts de 01/09 a 01/10/2026, próprios e colaborações da grade</t>
        </is>
      </c>
      <c r="E31" s="18" t="inlineStr">
        <is>
          <t>CSVs de posts do coletor</t>
        </is>
      </c>
    </row>
    <row r="32">
      <c r="A32" s="18" t="inlineStr">
        <is>
          <t>estabelecimentos</t>
        </is>
      </c>
      <c r="B32" s="18" t="inlineStr">
        <is>
          <t>curtidas_periodo</t>
        </is>
      </c>
      <c r="C32" s="18" t="inlineStr">
        <is>
          <t>Instagram</t>
        </is>
      </c>
      <c r="D32" s="18" t="inlineStr">
        <is>
          <t>Curtidas desses posts</t>
        </is>
      </c>
      <c r="E32" s="18" t="inlineStr">
        <is>
          <t>idem</t>
        </is>
      </c>
    </row>
    <row r="33">
      <c r="A33" s="18" t="inlineStr">
        <is>
          <t>estabelecimentos</t>
        </is>
      </c>
      <c r="B33" s="18" t="inlineStr">
        <is>
          <t>comentarios_periodo</t>
        </is>
      </c>
      <c r="C33" s="18" t="inlineStr">
        <is>
          <t>Instagram</t>
        </is>
      </c>
      <c r="D33" s="18" t="inlineStr">
        <is>
          <t>Comentários desses posts</t>
        </is>
      </c>
      <c r="E33" s="18" t="inlineStr">
        <is>
          <t>idem</t>
        </is>
      </c>
    </row>
    <row r="34">
      <c r="A34" s="18" t="inlineStr">
        <is>
          <t>estabelecimentos</t>
        </is>
      </c>
      <c r="B34" s="18" t="inlineStr">
        <is>
          <t>obs_instagram</t>
        </is>
      </c>
      <c r="C34" s="18" t="inlineStr">
        <is>
          <t>Instagram</t>
        </is>
      </c>
      <c r="D34" s="18" t="inlineStr">
        <is>
          <t>Ressalva da coleta</t>
        </is>
      </c>
      <c r="E34" s="18" t="inlineStr">
        <is>
          <t>B1</t>
        </is>
      </c>
    </row>
    <row r="35">
      <c r="A35" s="18" t="inlineStr">
        <is>
          <t>estabelecimentos</t>
        </is>
      </c>
      <c r="B35" s="18" t="inlineStr">
        <is>
          <t>itens_com_preco</t>
        </is>
      </c>
      <c r="C35" s="18" t="inlineStr">
        <is>
          <t>Cardápio</t>
        </is>
      </c>
      <c r="D35" s="18" t="inlineStr">
        <is>
          <t>Linhas de referência com preço no cardápio (uma por item, tamanho e combo à parte)</t>
        </is>
      </c>
      <c r="E35" s="18" t="inlineStr">
        <is>
          <t>B1_cardapios_itens_precos.xlsx</t>
        </is>
      </c>
    </row>
    <row r="36">
      <c r="A36" s="18" t="inlineStr">
        <is>
          <t>estabelecimentos</t>
        </is>
      </c>
      <c r="B36" s="18" t="inlineStr">
        <is>
          <t>couvert_no_cardapio</t>
        </is>
      </c>
      <c r="C36" s="18" t="inlineStr">
        <is>
          <t>Cardápio</t>
        </is>
      </c>
      <c r="D36" s="18" t="inlineStr">
        <is>
          <t>Couvert ou taxa de jogo por pessoa encontrado no cardápio: sim ou não encontrado (não quer dizer que não cobra)</t>
        </is>
      </c>
      <c r="E36" s="18" t="inlineStr">
        <is>
          <t>idem</t>
        </is>
      </c>
    </row>
    <row r="37">
      <c r="A37" s="18" t="inlineStr">
        <is>
          <t>estabelecimentos</t>
        </is>
      </c>
      <c r="B37" s="18" t="inlineStr">
        <is>
          <t>cesta_baixa</t>
        </is>
      </c>
      <c r="C37" s="18" t="inlineStr">
        <is>
          <t>Cardápio</t>
        </is>
      </c>
      <c r="D37" s="18" t="inlineStr">
        <is>
          <t>Couvert + bebida + entrada ou prato, percentil 25 de cada categoria (R$)</t>
        </is>
      </c>
      <c r="E37" s="18" t="inlineStr">
        <is>
          <t>fórmula na aba cesta</t>
        </is>
      </c>
    </row>
    <row r="38">
      <c r="A38" s="18" t="inlineStr">
        <is>
          <t>estabelecimentos</t>
        </is>
      </c>
      <c r="B38" s="18" t="inlineStr">
        <is>
          <t>cesta_mediana</t>
        </is>
      </c>
      <c r="C38" s="18" t="inlineStr">
        <is>
          <t>Cardápio</t>
        </is>
      </c>
      <c r="D38" s="18" t="inlineStr">
        <is>
          <t>Idem, medianas (R$)</t>
        </is>
      </c>
      <c r="E38" s="18" t="inlineStr">
        <is>
          <t>fórmula na aba cesta</t>
        </is>
      </c>
    </row>
    <row r="39">
      <c r="A39" s="18" t="inlineStr">
        <is>
          <t>estabelecimentos</t>
        </is>
      </c>
      <c r="B39" s="18" t="inlineStr">
        <is>
          <t>cesta_alta</t>
        </is>
      </c>
      <c r="C39" s="18" t="inlineStr">
        <is>
          <t>Cardápio</t>
        </is>
      </c>
      <c r="D39" s="18" t="inlineStr">
        <is>
          <t>Idem, percentil 75 (R$)</t>
        </is>
      </c>
      <c r="E39" s="18" t="inlineStr">
        <is>
          <t>fórmula na aba cesta</t>
        </is>
      </c>
    </row>
    <row r="40">
      <c r="A40" s="18" t="inlineStr">
        <is>
          <t>estabelecimentos</t>
        </is>
      </c>
      <c r="B40" s="18" t="inlineStr">
        <is>
          <t>titulos_acervo</t>
        </is>
      </c>
      <c r="C40" s="18" t="inlineStr">
        <is>
          <t>Acervo</t>
        </is>
      </c>
      <c r="D40" s="18" t="inlineStr">
        <is>
          <t>Títulos distintos no acervo publicado</t>
        </is>
      </c>
      <c r="E40" s="18" t="inlineStr">
        <is>
          <t>acervodejogos, Ludopedia, Rejoy ou lista da casa</t>
        </is>
      </c>
    </row>
    <row r="41">
      <c r="A41" s="18" t="inlineStr">
        <is>
          <t>estabelecimentos</t>
        </is>
      </c>
      <c r="B41" s="18" t="inlineStr">
        <is>
          <t>fonte_acervo</t>
        </is>
      </c>
      <c r="C41" s="18" t="inlineStr">
        <is>
          <t>Acervo</t>
        </is>
      </c>
      <c r="D41" s="18" t="inlineStr">
        <is>
          <t>De onde veio a lista</t>
        </is>
      </c>
      <c r="E41" s="18" t="inlineStr">
        <is>
          <t>B1</t>
        </is>
      </c>
    </row>
    <row r="42">
      <c r="A42" s="18" t="inlineStr">
        <is>
          <t>estabelecimentos</t>
        </is>
      </c>
      <c r="B42" s="18" t="inlineStr">
        <is>
          <t>avaliacoes_b2</t>
        </is>
      </c>
      <c r="C42" s="18" t="inlineStr">
        <is>
          <t>B2</t>
        </is>
      </c>
      <c r="D42" s="18" t="inlineStr">
        <is>
          <t>Avaliações no recorte do B2 (até '3 meses atrás')</t>
        </is>
      </c>
      <c r="E42" s="18" t="inlineStr">
        <is>
          <t>B2_cobertura_coleta.csv</t>
        </is>
      </c>
    </row>
    <row r="43">
      <c r="A43" s="18" t="inlineStr">
        <is>
          <t>estabelecimentos</t>
        </is>
      </c>
      <c r="B43" s="18" t="inlineStr">
        <is>
          <t>avaliacoes_b2_com_texto</t>
        </is>
      </c>
      <c r="C43" s="18" t="inlineStr">
        <is>
          <t>B2</t>
        </is>
      </c>
      <c r="D43" s="18" t="inlineStr">
        <is>
          <t>Dessas, com texto</t>
        </is>
      </c>
      <c r="E43" s="18" t="inlineStr">
        <is>
          <t>idem</t>
        </is>
      </c>
    </row>
    <row r="44">
      <c r="A44" s="18" t="inlineStr">
        <is>
          <t>cesta</t>
        </is>
      </c>
      <c r="B44" s="18" t="inlineStr">
        <is>
          <t>couvert_p25</t>
        </is>
      </c>
      <c r="C44" s="18" t="inlineStr">
        <is>
          <t>Cardápio</t>
        </is>
      </c>
      <c r="D44" s="18" t="inlineStr">
        <is>
          <t>Preço da categoria no cardápio da casa (percentil indicado no nome; vazio = sem preço no cardápio coletado; no couvert, não encontrado, o que não quer dizer que a casa não cobra)</t>
        </is>
      </c>
      <c r="E44" s="18" t="inlineStr">
        <is>
          <t>B1_cardapios_itens_precos.xlsx (aba itens)</t>
        </is>
      </c>
    </row>
    <row r="45">
      <c r="A45" s="18" t="inlineStr">
        <is>
          <t>cesta</t>
        </is>
      </c>
      <c r="B45" s="18" t="inlineStr">
        <is>
          <t>couvert_mediana</t>
        </is>
      </c>
      <c r="C45" s="18" t="inlineStr">
        <is>
          <t>Cardápio</t>
        </is>
      </c>
      <c r="D45" s="18" t="inlineStr">
        <is>
          <t>Preço da categoria no cardápio da casa (percentil indicado no nome; vazio = sem preço no cardápio coletado; no couvert, não encontrado, o que não quer dizer que a casa não cobra)</t>
        </is>
      </c>
      <c r="E45" s="18" t="inlineStr">
        <is>
          <t>B1_cardapios_itens_precos.xlsx (aba itens)</t>
        </is>
      </c>
    </row>
    <row r="46">
      <c r="A46" s="18" t="inlineStr">
        <is>
          <t>cesta</t>
        </is>
      </c>
      <c r="B46" s="18" t="inlineStr">
        <is>
          <t>couvert_p75</t>
        </is>
      </c>
      <c r="C46" s="18" t="inlineStr">
        <is>
          <t>Cardápio</t>
        </is>
      </c>
      <c r="D46" s="18" t="inlineStr">
        <is>
          <t>Preço da categoria no cardápio da casa (percentil indicado no nome; vazio = sem preço no cardápio coletado; no couvert, não encontrado, o que não quer dizer que a casa não cobra)</t>
        </is>
      </c>
      <c r="E46" s="18" t="inlineStr">
        <is>
          <t>B1_cardapios_itens_precos.xlsx (aba itens)</t>
        </is>
      </c>
    </row>
    <row r="47">
      <c r="A47" s="18" t="inlineStr">
        <is>
          <t>cesta</t>
        </is>
      </c>
      <c r="B47" s="18" t="inlineStr">
        <is>
          <t>bebida_p25</t>
        </is>
      </c>
      <c r="C47" s="18" t="inlineStr">
        <is>
          <t>Cardápio</t>
        </is>
      </c>
      <c r="D47" s="18" t="inlineStr">
        <is>
          <t>Preço da categoria no cardápio da casa (percentil indicado no nome; vazio = sem preço no cardápio coletado; no couvert, não encontrado, o que não quer dizer que a casa não cobra)</t>
        </is>
      </c>
      <c r="E47" s="18" t="inlineStr">
        <is>
          <t>B1_cardapios_itens_precos.xlsx (aba itens)</t>
        </is>
      </c>
    </row>
    <row r="48">
      <c r="A48" s="18" t="inlineStr">
        <is>
          <t>cesta</t>
        </is>
      </c>
      <c r="B48" s="18" t="inlineStr">
        <is>
          <t>bebida_mediana</t>
        </is>
      </c>
      <c r="C48" s="18" t="inlineStr">
        <is>
          <t>Cardápio</t>
        </is>
      </c>
      <c r="D48" s="18" t="inlineStr">
        <is>
          <t>Preço da categoria no cardápio da casa (percentil indicado no nome; vazio = sem preço no cardápio coletado; no couvert, não encontrado, o que não quer dizer que a casa não cobra)</t>
        </is>
      </c>
      <c r="E48" s="18" t="inlineStr">
        <is>
          <t>B1_cardapios_itens_precos.xlsx (aba itens)</t>
        </is>
      </c>
    </row>
    <row r="49">
      <c r="A49" s="18" t="inlineStr">
        <is>
          <t>cesta</t>
        </is>
      </c>
      <c r="B49" s="18" t="inlineStr">
        <is>
          <t>bebida_p75</t>
        </is>
      </c>
      <c r="C49" s="18" t="inlineStr">
        <is>
          <t>Cardápio</t>
        </is>
      </c>
      <c r="D49" s="18" t="inlineStr">
        <is>
          <t>Preço da categoria no cardápio da casa (percentil indicado no nome; vazio = sem preço no cardápio coletado; no couvert, não encontrado, o que não quer dizer que a casa não cobra)</t>
        </is>
      </c>
      <c r="E49" s="18" t="inlineStr">
        <is>
          <t>B1_cardapios_itens_precos.xlsx (aba itens)</t>
        </is>
      </c>
    </row>
    <row r="50">
      <c r="A50" s="18" t="inlineStr">
        <is>
          <t>cesta</t>
        </is>
      </c>
      <c r="B50" s="18" t="inlineStr">
        <is>
          <t>entrada_ou_prato_p25</t>
        </is>
      </c>
      <c r="C50" s="18" t="inlineStr">
        <is>
          <t>Cardápio</t>
        </is>
      </c>
      <c r="D50" s="18" t="inlineStr">
        <is>
          <t>Preço da categoria no cardápio da casa (percentil indicado no nome; vazio = sem preço no cardápio coletado; no couvert, não encontrado, o que não quer dizer que a casa não cobra)</t>
        </is>
      </c>
      <c r="E50" s="18" t="inlineStr">
        <is>
          <t>B1_cardapios_itens_precos.xlsx (aba itens)</t>
        </is>
      </c>
    </row>
    <row r="51">
      <c r="A51" s="18" t="inlineStr">
        <is>
          <t>cesta</t>
        </is>
      </c>
      <c r="B51" s="18" t="inlineStr">
        <is>
          <t>entrada_ou_prato_mediana</t>
        </is>
      </c>
      <c r="C51" s="18" t="inlineStr">
        <is>
          <t>Cardápio</t>
        </is>
      </c>
      <c r="D51" s="18" t="inlineStr">
        <is>
          <t>Preço da categoria no cardápio da casa (percentil indicado no nome; vazio = sem preço no cardápio coletado; no couvert, não encontrado, o que não quer dizer que a casa não cobra)</t>
        </is>
      </c>
      <c r="E51" s="18" t="inlineStr">
        <is>
          <t>B1_cardapios_itens_precos.xlsx (aba itens)</t>
        </is>
      </c>
    </row>
    <row r="52">
      <c r="A52" s="18" t="inlineStr">
        <is>
          <t>cesta</t>
        </is>
      </c>
      <c r="B52" s="18" t="inlineStr">
        <is>
          <t>entrada_ou_prato_p75</t>
        </is>
      </c>
      <c r="C52" s="18" t="inlineStr">
        <is>
          <t>Cardápio</t>
        </is>
      </c>
      <c r="D52" s="18" t="inlineStr">
        <is>
          <t>Preço da categoria no cardápio da casa (percentil indicado no nome; vazio = sem preço no cardápio coletado; no couvert, não encontrado, o que não quer dizer que a casa não cobra)</t>
        </is>
      </c>
      <c r="E52" s="18" t="inlineStr">
        <is>
          <t>B1_cardapios_itens_precos.xlsx (aba itens)</t>
        </is>
      </c>
    </row>
    <row r="53">
      <c r="A53" s="18" t="inlineStr">
        <is>
          <t>cesta</t>
        </is>
      </c>
      <c r="B53" s="18" t="inlineStr">
        <is>
          <t>hamburguer_mediana</t>
        </is>
      </c>
      <c r="C53" s="18" t="inlineStr">
        <is>
          <t>Cardápio</t>
        </is>
      </c>
      <c r="D53" s="18" t="inlineStr">
        <is>
          <t>Preço da categoria no cardápio da casa (percentil indicado no nome; vazio = sem preço no cardápio coletado; no couvert, não encontrado, o que não quer dizer que a casa não cobra)</t>
        </is>
      </c>
      <c r="E53" s="18" t="inlineStr">
        <is>
          <t>B1_cardapios_itens_precos.xlsx (aba itens)</t>
        </is>
      </c>
    </row>
    <row r="54">
      <c r="A54" s="18" t="inlineStr">
        <is>
          <t>cesta</t>
        </is>
      </c>
      <c r="B54" s="18" t="inlineStr">
        <is>
          <t>batata_mediana</t>
        </is>
      </c>
      <c r="C54" s="18" t="inlineStr">
        <is>
          <t>Cardápio</t>
        </is>
      </c>
      <c r="D54" s="18" t="inlineStr">
        <is>
          <t>Preço da categoria no cardápio da casa (percentil indicado no nome; vazio = sem preço no cardápio coletado; no couvert, não encontrado, o que não quer dizer que a casa não cobra)</t>
        </is>
      </c>
      <c r="E54" s="18" t="inlineStr">
        <is>
          <t>B1_cardapios_itens_precos.xlsx (aba itens)</t>
        </is>
      </c>
    </row>
    <row r="55">
      <c r="A55" s="18" t="inlineStr">
        <is>
          <t>cesta</t>
        </is>
      </c>
      <c r="B55" s="18" t="inlineStr">
        <is>
          <t>cerveja_mediana</t>
        </is>
      </c>
      <c r="C55" s="18" t="inlineStr">
        <is>
          <t>Cardápio</t>
        </is>
      </c>
      <c r="D55" s="18" t="inlineStr">
        <is>
          <t>Preço da categoria no cardápio da casa (percentil indicado no nome; vazio = sem preço no cardápio coletado; no couvert, não encontrado, o que não quer dizer que a casa não cobra)</t>
        </is>
      </c>
      <c r="E55" s="18" t="inlineStr">
        <is>
          <t>B1_cardapios_itens_precos.xlsx (aba itens)</t>
        </is>
      </c>
    </row>
    <row r="56">
      <c r="A56" s="18" t="inlineStr">
        <is>
          <t>cesta</t>
        </is>
      </c>
      <c r="B56" s="18" t="inlineStr">
        <is>
          <t>refrigerante_mediana</t>
        </is>
      </c>
      <c r="C56" s="18" t="inlineStr">
        <is>
          <t>Cardápio</t>
        </is>
      </c>
      <c r="D56" s="18" t="inlineStr">
        <is>
          <t>Preço da categoria no cardápio da casa (percentil indicado no nome; vazio = sem preço no cardápio coletado; no couvert, não encontrado, o que não quer dizer que a casa não cobra)</t>
        </is>
      </c>
      <c r="E56" s="18" t="inlineStr">
        <is>
          <t>B1_cardapios_itens_precos.xlsx (aba itens)</t>
        </is>
      </c>
    </row>
    <row r="57">
      <c r="A57" s="18" t="inlineStr">
        <is>
          <t>cesta</t>
        </is>
      </c>
      <c r="B57" s="18" t="inlineStr">
        <is>
          <t>drinks_mediana</t>
        </is>
      </c>
      <c r="C57" s="18" t="inlineStr">
        <is>
          <t>Cardápio</t>
        </is>
      </c>
      <c r="D57" s="18" t="inlineStr">
        <is>
          <t>Preço da categoria no cardápio da casa (percentil indicado no nome; vazio = sem preço no cardápio coletado; no couvert, não encontrado, o que não quer dizer que a casa não cobra)</t>
        </is>
      </c>
      <c r="E57" s="18" t="inlineStr">
        <is>
          <t>B1_cardapios_itens_precos.xlsx (aba itens)</t>
        </is>
      </c>
    </row>
    <row r="58">
      <c r="A58" s="18" t="inlineStr">
        <is>
          <t>cesta</t>
        </is>
      </c>
      <c r="B58" s="18" t="inlineStr">
        <is>
          <t>data_cardapio</t>
        </is>
      </c>
      <c r="C58" s="18" t="inlineStr">
        <is>
          <t>Cardápio</t>
        </is>
      </c>
      <c r="D58" s="18" t="inlineStr">
        <is>
          <t>Data do cardápio, quando a fonte informa</t>
        </is>
      </c>
      <c r="E58" s="18" t="inlineStr">
        <is>
          <t>B1_cardapios_itens_precos.xlsx (aba itens)</t>
        </is>
      </c>
    </row>
    <row r="59">
      <c r="A59" s="18" t="inlineStr">
        <is>
          <t>por_capital</t>
        </is>
      </c>
      <c r="B59" s="18" t="inlineStr">
        <is>
          <t>—</t>
        </is>
      </c>
      <c r="C59" s="18" t="inlineStr">
        <is>
          <t>Resumo</t>
        </is>
      </c>
      <c r="D59" s="18" t="inlineStr">
        <is>
          <t>Contagens e médias por capital, com fórmulas sobre a aba estabelecimentos; média das cestas só entre casas com cardápio</t>
        </is>
      </c>
      <c r="E59" s="18" t="inlineStr">
        <is>
          <t>—</t>
        </is>
      </c>
    </row>
  </sheetData>
  <autoFilter ref="A1: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2026-10-31T05:58:17Z</dcterms:created>
  <dcterms:modified xsi:type="dcterms:W3CDTF">2026-10-31T05:58:17Z</dcterms:modified>
</cp:coreProperties>
</file>