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ao_painel" sheetId="1" state="visible" r:id="rId1"/>
    <sheet name="metropole_painel" sheetId="2" state="visible" r:id="rId2"/>
    <sheet name="regiao_detalhe" sheetId="3" state="visible" r:id="rId3"/>
    <sheet name="metropole_detalhe" sheetId="4" state="visible" r:id="rId4"/>
    <sheet name="dados" sheetId="5" state="visible" r:id="rId5"/>
  </sheets>
  <definedNames>
    <definedName name="_xlnm._FilterDatabase" localSheetId="0" hidden="1">'regiao_painel'!$A$1:$R$8</definedName>
    <definedName name="_xlnm._FilterDatabase" localSheetId="1" hidden="1">'metropole_painel'!$A$1:$S$16</definedName>
    <definedName name="_xlnm._FilterDatabase" localSheetId="2" hidden="1">'regiao_detalhe'!$A$1:$K$176</definedName>
    <definedName name="_xlnm._FilterDatabase" localSheetId="3" hidden="1">'metropole_detalhe'!$A$1:$K$456</definedName>
    <definedName name="_xlnm._FilterDatabase" localSheetId="4" hidden="1">'dados'!$A$1:$AW$55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R$&quot; #,##0.00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6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166" fontId="1" fillId="0" borderId="0" pivotButton="0" quotePrefix="0" xfId="0"/>
    <xf numFmtId="0" fontId="3" fillId="0" borderId="0" applyAlignment="1" pivotButton="0" quotePrefix="0" xfId="0">
      <alignment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10" fontId="2" fillId="0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48" customHeight="1">
      <c r="A1" s="1" t="inlineStr">
        <is>
          <t>região</t>
        </is>
      </c>
      <c r="B1" s="1" t="inlineStr">
        <is>
          <t>casas</t>
        </is>
      </c>
      <c r="C1" s="1" t="inlineStr">
        <is>
          <t>% das casas</t>
        </is>
      </c>
      <c r="D1" s="1" t="inlineStr">
        <is>
          <t>nota média (mediana)</t>
        </is>
      </c>
      <c r="E1" s="1" t="inlineStr">
        <is>
          <t>avaliações no Google (mediana)</t>
        </is>
      </c>
      <c r="F1" s="1" t="inlineStr">
        <is>
          <t>horas abertas por semana (média)</t>
        </is>
      </c>
      <c r="G1" s="1" t="inlineStr">
        <is>
          <t>fechamento mais tarde (mediana, h)</t>
        </is>
      </c>
      <c r="H1" s="1" t="inlineStr">
        <is>
          <t>abre domingo (%)</t>
        </is>
      </c>
      <c r="I1" s="1" t="inlineStr">
        <is>
          <t>abre segunda (%)</t>
        </is>
      </c>
      <c r="J1" s="1" t="inlineStr">
        <is>
          <t>metrô até 1000 m (%)</t>
        </is>
      </c>
      <c r="K1" s="1" t="inlineStr">
        <is>
          <t>seguidores (mediana)</t>
        </is>
      </c>
      <c r="L1" s="1" t="inlineStr">
        <is>
          <t>posts no período (média)</t>
        </is>
      </c>
      <c r="M1" s="1" t="inlineStr">
        <is>
          <t>interações por post (mediana)</t>
        </is>
      </c>
      <c r="N1" s="1" t="inlineStr">
        <is>
          <t>com cardápio (casas)</t>
        </is>
      </c>
      <c r="O1" s="1" t="inlineStr">
        <is>
          <t>cesta mediana (mediana, R$)</t>
        </is>
      </c>
      <c r="P1" s="1" t="inlineStr">
        <is>
          <t>cesta mediana (mín., R$)</t>
        </is>
      </c>
      <c r="Q1" s="1" t="inlineStr">
        <is>
          <t>cesta mediana (máx., R$)</t>
        </is>
      </c>
      <c r="R1" s="1" t="inlineStr">
        <is>
          <t>avaliações no B2 (soma)</t>
        </is>
      </c>
    </row>
    <row r="2">
      <c r="A2" s="2" t="inlineStr">
        <is>
          <t>Norte</t>
        </is>
      </c>
      <c r="B2" s="2">
        <f>COUNTIF(dados!$D$2:$D$55,A2)</f>
        <v/>
      </c>
      <c r="C2" s="3">
        <f>B2/COUNTA(dados!$A$2:$A$55)</f>
        <v/>
      </c>
      <c r="D2" s="4">
        <f t="array" ref="D2">IFERROR(MEDIAN(IF((dados!$D$2:$D$55=$A2)*(dados!$E$2:$E$55&lt;&gt;""),dados!$E$2:$E$55)),"")</f>
        <v/>
      </c>
      <c r="E2" s="5">
        <f t="array" ref="E2">IFERROR(MEDIAN(IF((dados!$D$2:$D$55=$A2)*(dados!$F$2:$F$55&lt;&gt;""),dados!$F$2:$F$55)),"")</f>
        <v/>
      </c>
      <c r="F2" s="6">
        <f>IFERROR(AVERAGEIFS(dados!$H$2:$H$55,dados!$D$2:$D$55,$A2),"")</f>
        <v/>
      </c>
      <c r="G2" s="6">
        <f t="array" ref="G2">IFERROR(MEDIAN(IF((dados!$D$2:$D$55=$A2)*(dados!$J$2:$J$55&lt;&gt;""),dados!$J$2:$J$55)),"")</f>
        <v/>
      </c>
      <c r="H2" s="3">
        <f>IFERROR(AVERAGEIFS(dados!$AW$2:$AW$55,dados!$D$2:$D$55,$A2),"")</f>
        <v/>
      </c>
      <c r="I2" s="3">
        <f>IFERROR(AVERAGEIFS(dados!$AQ$2:$AQ$55,dados!$D$2:$D$55,$A2),"")</f>
        <v/>
      </c>
      <c r="J2" s="3">
        <f>IFERROR(AVERAGEIFS(dados!$AN$2:$AN$55,dados!$D$2:$D$55,$A2),"")</f>
        <v/>
      </c>
      <c r="K2" s="5">
        <f t="array" ref="K2">IFERROR(MEDIAN(IF((dados!$D$2:$D$55=$A2)*(dados!$Q$2:$Q$55&lt;&gt;""),dados!$Q$2:$Q$55)),"")</f>
        <v/>
      </c>
      <c r="L2" s="6">
        <f>IFERROR(AVERAGEIFS(dados!$T$2:$T$55,dados!$D$2:$D$55,$A2),"")</f>
        <v/>
      </c>
      <c r="M2" s="6">
        <f t="array" ref="M2">IFERROR(MEDIAN(IF((dados!$D$2:$D$55=$A2)*(dados!$W$2:$W$55&lt;&gt;""),dados!$W$2:$W$55)),"")</f>
        <v/>
      </c>
      <c r="N2" s="5">
        <f>SUMIF(dados!$D$2:$D$55,$A2,dados!$AO$2:$AO$55)</f>
        <v/>
      </c>
      <c r="O2" s="7">
        <f t="array" ref="O2">IFERROR(MEDIAN(IF((dados!$D$2:$D$55=$A2)*(dados!$AD$2:$AD$55&lt;&gt;""),dados!$AD$2:$AD$55)),"")</f>
        <v/>
      </c>
      <c r="P2" s="7">
        <f>IF(COUNTIFS(dados!$D$2:$D$55,$A2,dados!$AD$2:$AD$55,"&lt;&gt;")=0,"",_xlfn.MINIFS(dados!$AD$2:$AD$55,dados!$D$2:$D$55,$A2))</f>
        <v/>
      </c>
      <c r="Q2" s="7">
        <f>IF(COUNTIFS(dados!$D$2:$D$55,$A2,dados!$AD$2:$AD$55,"&lt;&gt;")=0,"",_xlfn.MAXIFS(dados!$AD$2:$AD$55,dados!$D$2:$D$55,$A2))</f>
        <v/>
      </c>
      <c r="R2" s="5">
        <f>SUMIF(dados!$D$2:$D$55,$A2,dados!$AL$2:$AL$55)</f>
        <v/>
      </c>
    </row>
    <row r="3">
      <c r="A3" s="2" t="inlineStr">
        <is>
          <t>Nordeste</t>
        </is>
      </c>
      <c r="B3" s="2">
        <f>COUNTIF(dados!$D$2:$D$55,A3)</f>
        <v/>
      </c>
      <c r="C3" s="3">
        <f>B3/COUNTA(dados!$A$2:$A$55)</f>
        <v/>
      </c>
      <c r="D3" s="4">
        <f t="array" ref="D3">IFERROR(MEDIAN(IF((dados!$D$2:$D$55=$A3)*(dados!$E$2:$E$55&lt;&gt;""),dados!$E$2:$E$55)),"")</f>
        <v/>
      </c>
      <c r="E3" s="5">
        <f t="array" ref="E3">IFERROR(MEDIAN(IF((dados!$D$2:$D$55=$A3)*(dados!$F$2:$F$55&lt;&gt;""),dados!$F$2:$F$55)),"")</f>
        <v/>
      </c>
      <c r="F3" s="6">
        <f>IFERROR(AVERAGEIFS(dados!$H$2:$H$55,dados!$D$2:$D$55,$A3),"")</f>
        <v/>
      </c>
      <c r="G3" s="6">
        <f t="array" ref="G3">IFERROR(MEDIAN(IF((dados!$D$2:$D$55=$A3)*(dados!$J$2:$J$55&lt;&gt;""),dados!$J$2:$J$55)),"")</f>
        <v/>
      </c>
      <c r="H3" s="3">
        <f>IFERROR(AVERAGEIFS(dados!$AW$2:$AW$55,dados!$D$2:$D$55,$A3),"")</f>
        <v/>
      </c>
      <c r="I3" s="3">
        <f>IFERROR(AVERAGEIFS(dados!$AQ$2:$AQ$55,dados!$D$2:$D$55,$A3),"")</f>
        <v/>
      </c>
      <c r="J3" s="3">
        <f>IFERROR(AVERAGEIFS(dados!$AN$2:$AN$55,dados!$D$2:$D$55,$A3),"")</f>
        <v/>
      </c>
      <c r="K3" s="5">
        <f t="array" ref="K3">IFERROR(MEDIAN(IF((dados!$D$2:$D$55=$A3)*(dados!$Q$2:$Q$55&lt;&gt;""),dados!$Q$2:$Q$55)),"")</f>
        <v/>
      </c>
      <c r="L3" s="6">
        <f>IFERROR(AVERAGEIFS(dados!$T$2:$T$55,dados!$D$2:$D$55,$A3),"")</f>
        <v/>
      </c>
      <c r="M3" s="6">
        <f t="array" ref="M3">IFERROR(MEDIAN(IF((dados!$D$2:$D$55=$A3)*(dados!$W$2:$W$55&lt;&gt;""),dados!$W$2:$W$55)),"")</f>
        <v/>
      </c>
      <c r="N3" s="5">
        <f>SUMIF(dados!$D$2:$D$55,$A3,dados!$AO$2:$AO$55)</f>
        <v/>
      </c>
      <c r="O3" s="7">
        <f t="array" ref="O3">IFERROR(MEDIAN(IF((dados!$D$2:$D$55=$A3)*(dados!$AD$2:$AD$55&lt;&gt;""),dados!$AD$2:$AD$55)),"")</f>
        <v/>
      </c>
      <c r="P3" s="7">
        <f>IF(COUNTIFS(dados!$D$2:$D$55,$A3,dados!$AD$2:$AD$55,"&lt;&gt;")=0,"",_xlfn.MINIFS(dados!$AD$2:$AD$55,dados!$D$2:$D$55,$A3))</f>
        <v/>
      </c>
      <c r="Q3" s="7">
        <f>IF(COUNTIFS(dados!$D$2:$D$55,$A3,dados!$AD$2:$AD$55,"&lt;&gt;")=0,"",_xlfn.MAXIFS(dados!$AD$2:$AD$55,dados!$D$2:$D$55,$A3))</f>
        <v/>
      </c>
      <c r="R3" s="5">
        <f>SUMIF(dados!$D$2:$D$55,$A3,dados!$AL$2:$AL$55)</f>
        <v/>
      </c>
    </row>
    <row r="4">
      <c r="A4" s="2" t="inlineStr">
        <is>
          <t>Centro-Oeste</t>
        </is>
      </c>
      <c r="B4" s="2">
        <f>COUNTIF(dados!$D$2:$D$55,A4)</f>
        <v/>
      </c>
      <c r="C4" s="3">
        <f>B4/COUNTA(dados!$A$2:$A$55)</f>
        <v/>
      </c>
      <c r="D4" s="4">
        <f t="array" ref="D4">IFERROR(MEDIAN(IF((dados!$D$2:$D$55=$A4)*(dados!$E$2:$E$55&lt;&gt;""),dados!$E$2:$E$55)),"")</f>
        <v/>
      </c>
      <c r="E4" s="5">
        <f t="array" ref="E4">IFERROR(MEDIAN(IF((dados!$D$2:$D$55=$A4)*(dados!$F$2:$F$55&lt;&gt;""),dados!$F$2:$F$55)),"")</f>
        <v/>
      </c>
      <c r="F4" s="6">
        <f>IFERROR(AVERAGEIFS(dados!$H$2:$H$55,dados!$D$2:$D$55,$A4),"")</f>
        <v/>
      </c>
      <c r="G4" s="6">
        <f t="array" ref="G4">IFERROR(MEDIAN(IF((dados!$D$2:$D$55=$A4)*(dados!$J$2:$J$55&lt;&gt;""),dados!$J$2:$J$55)),"")</f>
        <v/>
      </c>
      <c r="H4" s="3">
        <f>IFERROR(AVERAGEIFS(dados!$AW$2:$AW$55,dados!$D$2:$D$55,$A4),"")</f>
        <v/>
      </c>
      <c r="I4" s="3">
        <f>IFERROR(AVERAGEIFS(dados!$AQ$2:$AQ$55,dados!$D$2:$D$55,$A4),"")</f>
        <v/>
      </c>
      <c r="J4" s="3">
        <f>IFERROR(AVERAGEIFS(dados!$AN$2:$AN$55,dados!$D$2:$D$55,$A4),"")</f>
        <v/>
      </c>
      <c r="K4" s="5">
        <f t="array" ref="K4">IFERROR(MEDIAN(IF((dados!$D$2:$D$55=$A4)*(dados!$Q$2:$Q$55&lt;&gt;""),dados!$Q$2:$Q$55)),"")</f>
        <v/>
      </c>
      <c r="L4" s="6">
        <f>IFERROR(AVERAGEIFS(dados!$T$2:$T$55,dados!$D$2:$D$55,$A4),"")</f>
        <v/>
      </c>
      <c r="M4" s="6">
        <f t="array" ref="M4">IFERROR(MEDIAN(IF((dados!$D$2:$D$55=$A4)*(dados!$W$2:$W$55&lt;&gt;""),dados!$W$2:$W$55)),"")</f>
        <v/>
      </c>
      <c r="N4" s="5">
        <f>SUMIF(dados!$D$2:$D$55,$A4,dados!$AO$2:$AO$55)</f>
        <v/>
      </c>
      <c r="O4" s="7">
        <f t="array" ref="O4">IFERROR(MEDIAN(IF((dados!$D$2:$D$55=$A4)*(dados!$AD$2:$AD$55&lt;&gt;""),dados!$AD$2:$AD$55)),"")</f>
        <v/>
      </c>
      <c r="P4" s="7">
        <f>IF(COUNTIFS(dados!$D$2:$D$55,$A4,dados!$AD$2:$AD$55,"&lt;&gt;")=0,"",_xlfn.MINIFS(dados!$AD$2:$AD$55,dados!$D$2:$D$55,$A4))</f>
        <v/>
      </c>
      <c r="Q4" s="7">
        <f>IF(COUNTIFS(dados!$D$2:$D$55,$A4,dados!$AD$2:$AD$55,"&lt;&gt;")=0,"",_xlfn.MAXIFS(dados!$AD$2:$AD$55,dados!$D$2:$D$55,$A4))</f>
        <v/>
      </c>
      <c r="R4" s="5">
        <f>SUMIF(dados!$D$2:$D$55,$A4,dados!$AL$2:$AL$55)</f>
        <v/>
      </c>
    </row>
    <row r="5">
      <c r="A5" s="2" t="inlineStr">
        <is>
          <t>Sudeste</t>
        </is>
      </c>
      <c r="B5" s="2">
        <f>COUNTIF(dados!$D$2:$D$55,A5)</f>
        <v/>
      </c>
      <c r="C5" s="3">
        <f>B5/COUNTA(dados!$A$2:$A$55)</f>
        <v/>
      </c>
      <c r="D5" s="4">
        <f t="array" ref="D5">IFERROR(MEDIAN(IF((dados!$D$2:$D$55=$A5)*(dados!$E$2:$E$55&lt;&gt;""),dados!$E$2:$E$55)),"")</f>
        <v/>
      </c>
      <c r="E5" s="5">
        <f t="array" ref="E5">IFERROR(MEDIAN(IF((dados!$D$2:$D$55=$A5)*(dados!$F$2:$F$55&lt;&gt;""),dados!$F$2:$F$55)),"")</f>
        <v/>
      </c>
      <c r="F5" s="6">
        <f>IFERROR(AVERAGEIFS(dados!$H$2:$H$55,dados!$D$2:$D$55,$A5),"")</f>
        <v/>
      </c>
      <c r="G5" s="6">
        <f t="array" ref="G5">IFERROR(MEDIAN(IF((dados!$D$2:$D$55=$A5)*(dados!$J$2:$J$55&lt;&gt;""),dados!$J$2:$J$55)),"")</f>
        <v/>
      </c>
      <c r="H5" s="3">
        <f>IFERROR(AVERAGEIFS(dados!$AW$2:$AW$55,dados!$D$2:$D$55,$A5),"")</f>
        <v/>
      </c>
      <c r="I5" s="3">
        <f>IFERROR(AVERAGEIFS(dados!$AQ$2:$AQ$55,dados!$D$2:$D$55,$A5),"")</f>
        <v/>
      </c>
      <c r="J5" s="3">
        <f>IFERROR(AVERAGEIFS(dados!$AN$2:$AN$55,dados!$D$2:$D$55,$A5),"")</f>
        <v/>
      </c>
      <c r="K5" s="5">
        <f t="array" ref="K5">IFERROR(MEDIAN(IF((dados!$D$2:$D$55=$A5)*(dados!$Q$2:$Q$55&lt;&gt;""),dados!$Q$2:$Q$55)),"")</f>
        <v/>
      </c>
      <c r="L5" s="6">
        <f>IFERROR(AVERAGEIFS(dados!$T$2:$T$55,dados!$D$2:$D$55,$A5),"")</f>
        <v/>
      </c>
      <c r="M5" s="6">
        <f t="array" ref="M5">IFERROR(MEDIAN(IF((dados!$D$2:$D$55=$A5)*(dados!$W$2:$W$55&lt;&gt;""),dados!$W$2:$W$55)),"")</f>
        <v/>
      </c>
      <c r="N5" s="5">
        <f>SUMIF(dados!$D$2:$D$55,$A5,dados!$AO$2:$AO$55)</f>
        <v/>
      </c>
      <c r="O5" s="7">
        <f t="array" ref="O5">IFERROR(MEDIAN(IF((dados!$D$2:$D$55=$A5)*(dados!$AD$2:$AD$55&lt;&gt;""),dados!$AD$2:$AD$55)),"")</f>
        <v/>
      </c>
      <c r="P5" s="7">
        <f>IF(COUNTIFS(dados!$D$2:$D$55,$A5,dados!$AD$2:$AD$55,"&lt;&gt;")=0,"",_xlfn.MINIFS(dados!$AD$2:$AD$55,dados!$D$2:$D$55,$A5))</f>
        <v/>
      </c>
      <c r="Q5" s="7">
        <f>IF(COUNTIFS(dados!$D$2:$D$55,$A5,dados!$AD$2:$AD$55,"&lt;&gt;")=0,"",_xlfn.MAXIFS(dados!$AD$2:$AD$55,dados!$D$2:$D$55,$A5))</f>
        <v/>
      </c>
      <c r="R5" s="5">
        <f>SUMIF(dados!$D$2:$D$55,$A5,dados!$AL$2:$AL$55)</f>
        <v/>
      </c>
    </row>
    <row r="6">
      <c r="A6" s="2" t="inlineStr">
        <is>
          <t>Sul</t>
        </is>
      </c>
      <c r="B6" s="2">
        <f>COUNTIF(dados!$D$2:$D$55,A6)</f>
        <v/>
      </c>
      <c r="C6" s="3">
        <f>B6/COUNTA(dados!$A$2:$A$55)</f>
        <v/>
      </c>
      <c r="D6" s="4">
        <f t="array" ref="D6">IFERROR(MEDIAN(IF((dados!$D$2:$D$55=$A6)*(dados!$E$2:$E$55&lt;&gt;""),dados!$E$2:$E$55)),"")</f>
        <v/>
      </c>
      <c r="E6" s="5">
        <f t="array" ref="E6">IFERROR(MEDIAN(IF((dados!$D$2:$D$55=$A6)*(dados!$F$2:$F$55&lt;&gt;""),dados!$F$2:$F$55)),"")</f>
        <v/>
      </c>
      <c r="F6" s="6">
        <f>IFERROR(AVERAGEIFS(dados!$H$2:$H$55,dados!$D$2:$D$55,$A6),"")</f>
        <v/>
      </c>
      <c r="G6" s="6">
        <f t="array" ref="G6">IFERROR(MEDIAN(IF((dados!$D$2:$D$55=$A6)*(dados!$J$2:$J$55&lt;&gt;""),dados!$J$2:$J$55)),"")</f>
        <v/>
      </c>
      <c r="H6" s="3">
        <f>IFERROR(AVERAGEIFS(dados!$AW$2:$AW$55,dados!$D$2:$D$55,$A6),"")</f>
        <v/>
      </c>
      <c r="I6" s="3">
        <f>IFERROR(AVERAGEIFS(dados!$AQ$2:$AQ$55,dados!$D$2:$D$55,$A6),"")</f>
        <v/>
      </c>
      <c r="J6" s="3">
        <f>IFERROR(AVERAGEIFS(dados!$AN$2:$AN$55,dados!$D$2:$D$55,$A6),"")</f>
        <v/>
      </c>
      <c r="K6" s="5">
        <f t="array" ref="K6">IFERROR(MEDIAN(IF((dados!$D$2:$D$55=$A6)*(dados!$Q$2:$Q$55&lt;&gt;""),dados!$Q$2:$Q$55)),"")</f>
        <v/>
      </c>
      <c r="L6" s="6">
        <f>IFERROR(AVERAGEIFS(dados!$T$2:$T$55,dados!$D$2:$D$55,$A6),"")</f>
        <v/>
      </c>
      <c r="M6" s="6">
        <f t="array" ref="M6">IFERROR(MEDIAN(IF((dados!$D$2:$D$55=$A6)*(dados!$W$2:$W$55&lt;&gt;""),dados!$W$2:$W$55)),"")</f>
        <v/>
      </c>
      <c r="N6" s="5">
        <f>SUMIF(dados!$D$2:$D$55,$A6,dados!$AO$2:$AO$55)</f>
        <v/>
      </c>
      <c r="O6" s="7">
        <f t="array" ref="O6">IFERROR(MEDIAN(IF((dados!$D$2:$D$55=$A6)*(dados!$AD$2:$AD$55&lt;&gt;""),dados!$AD$2:$AD$55)),"")</f>
        <v/>
      </c>
      <c r="P6" s="7">
        <f>IF(COUNTIFS(dados!$D$2:$D$55,$A6,dados!$AD$2:$AD$55,"&lt;&gt;")=0,"",_xlfn.MINIFS(dados!$AD$2:$AD$55,dados!$D$2:$D$55,$A6))</f>
        <v/>
      </c>
      <c r="Q6" s="7">
        <f>IF(COUNTIFS(dados!$D$2:$D$55,$A6,dados!$AD$2:$AD$55,"&lt;&gt;")=0,"",_xlfn.MAXIFS(dados!$AD$2:$AD$55,dados!$D$2:$D$55,$A6))</f>
        <v/>
      </c>
      <c r="R6" s="5">
        <f>SUMIF(dados!$D$2:$D$55,$A6,dados!$AL$2:$AL$55)</f>
        <v/>
      </c>
    </row>
    <row r="7">
      <c r="A7" s="8" t="inlineStr">
        <is>
          <t>Total</t>
        </is>
      </c>
      <c r="B7" s="8">
        <f>SUM(B2:B6)</f>
        <v/>
      </c>
      <c r="C7" s="9">
        <f>SUM(C2:C6)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10" t="inlineStr">
        <is>
          <t>Conferência (total − casas da aba dados; deve ser 0)</t>
        </is>
      </c>
      <c r="B8" s="2">
        <f>B7-COUNTA(dados!$A$2:$A$55)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48" customHeight="1">
      <c r="A1" s="1" t="inlineStr">
        <is>
          <t>metrópole</t>
        </is>
      </c>
      <c r="B1" s="1" t="inlineStr">
        <is>
          <t>região</t>
        </is>
      </c>
      <c r="C1" s="1" t="inlineStr">
        <is>
          <t>casas</t>
        </is>
      </c>
      <c r="D1" s="1" t="inlineStr">
        <is>
          <t>% das casas</t>
        </is>
      </c>
      <c r="E1" s="1" t="inlineStr">
        <is>
          <t>nota média (mediana)</t>
        </is>
      </c>
      <c r="F1" s="1" t="inlineStr">
        <is>
          <t>avaliações no Google (mediana)</t>
        </is>
      </c>
      <c r="G1" s="1" t="inlineStr">
        <is>
          <t>horas abertas por semana (média)</t>
        </is>
      </c>
      <c r="H1" s="1" t="inlineStr">
        <is>
          <t>fechamento mais tarde (mediana, h)</t>
        </is>
      </c>
      <c r="I1" s="1" t="inlineStr">
        <is>
          <t>abre domingo (%)</t>
        </is>
      </c>
      <c r="J1" s="1" t="inlineStr">
        <is>
          <t>abre segunda (%)</t>
        </is>
      </c>
      <c r="K1" s="1" t="inlineStr">
        <is>
          <t>metrô até 1000 m (%)</t>
        </is>
      </c>
      <c r="L1" s="1" t="inlineStr">
        <is>
          <t>seguidores (mediana)</t>
        </is>
      </c>
      <c r="M1" s="1" t="inlineStr">
        <is>
          <t>posts no período (média)</t>
        </is>
      </c>
      <c r="N1" s="1" t="inlineStr">
        <is>
          <t>interações por post (mediana)</t>
        </is>
      </c>
      <c r="O1" s="1" t="inlineStr">
        <is>
          <t>com cardápio (casas)</t>
        </is>
      </c>
      <c r="P1" s="1" t="inlineStr">
        <is>
          <t>cesta mediana (mediana, R$)</t>
        </is>
      </c>
      <c r="Q1" s="1" t="inlineStr">
        <is>
          <t>cesta mediana (mín., R$)</t>
        </is>
      </c>
      <c r="R1" s="1" t="inlineStr">
        <is>
          <t>cesta mediana (máx., R$)</t>
        </is>
      </c>
      <c r="S1" s="1" t="inlineStr">
        <is>
          <t>avaliações no B2 (soma)</t>
        </is>
      </c>
    </row>
    <row r="2">
      <c r="A2" s="2" t="inlineStr">
        <is>
          <t>Belo Horizonte</t>
        </is>
      </c>
      <c r="B2" s="2" t="inlineStr">
        <is>
          <t>Sudeste</t>
        </is>
      </c>
      <c r="C2" s="2">
        <f>COUNTIF(dados!$C$2:$C$55,A2)</f>
        <v/>
      </c>
      <c r="D2" s="3">
        <f>C2/COUNTA(dados!$A$2:$A$55)</f>
        <v/>
      </c>
      <c r="E2" s="4">
        <f t="array" ref="E2">IFERROR(MEDIAN(IF((dados!$C$2:$C$55=$A2)*(dados!$E$2:$E$55&lt;&gt;""),dados!$E$2:$E$55)),"")</f>
        <v/>
      </c>
      <c r="F2" s="5">
        <f t="array" ref="F2">IFERROR(MEDIAN(IF((dados!$C$2:$C$55=$A2)*(dados!$F$2:$F$55&lt;&gt;""),dados!$F$2:$F$55)),"")</f>
        <v/>
      </c>
      <c r="G2" s="6">
        <f>IFERROR(AVERAGEIFS(dados!$H$2:$H$55,dados!$C$2:$C$55,$A2),"")</f>
        <v/>
      </c>
      <c r="H2" s="6">
        <f t="array" ref="H2">IFERROR(MEDIAN(IF((dados!$C$2:$C$55=$A2)*(dados!$J$2:$J$55&lt;&gt;""),dados!$J$2:$J$55)),"")</f>
        <v/>
      </c>
      <c r="I2" s="3">
        <f>IFERROR(AVERAGEIFS(dados!$AW$2:$AW$55,dados!$C$2:$C$55,$A2),"")</f>
        <v/>
      </c>
      <c r="J2" s="3">
        <f>IFERROR(AVERAGEIFS(dados!$AQ$2:$AQ$55,dados!$C$2:$C$55,$A2),"")</f>
        <v/>
      </c>
      <c r="K2" s="3">
        <f>IFERROR(AVERAGEIFS(dados!$AN$2:$AN$55,dados!$C$2:$C$55,$A2),"")</f>
        <v/>
      </c>
      <c r="L2" s="5">
        <f t="array" ref="L2">IFERROR(MEDIAN(IF((dados!$C$2:$C$55=$A2)*(dados!$Q$2:$Q$55&lt;&gt;""),dados!$Q$2:$Q$55)),"")</f>
        <v/>
      </c>
      <c r="M2" s="6">
        <f>IFERROR(AVERAGEIFS(dados!$T$2:$T$55,dados!$C$2:$C$55,$A2),"")</f>
        <v/>
      </c>
      <c r="N2" s="6">
        <f t="array" ref="N2">IFERROR(MEDIAN(IF((dados!$C$2:$C$55=$A2)*(dados!$W$2:$W$55&lt;&gt;""),dados!$W$2:$W$55)),"")</f>
        <v/>
      </c>
      <c r="O2" s="5">
        <f>SUMIF(dados!$C$2:$C$55,$A2,dados!$AO$2:$AO$55)</f>
        <v/>
      </c>
      <c r="P2" s="7">
        <f t="array" ref="P2">IFERROR(MEDIAN(IF((dados!$C$2:$C$55=$A2)*(dados!$AD$2:$AD$55&lt;&gt;""),dados!$AD$2:$AD$55)),"")</f>
        <v/>
      </c>
      <c r="Q2" s="7">
        <f>IF(COUNTIFS(dados!$C$2:$C$55,$A2,dados!$AD$2:$AD$55,"&lt;&gt;")=0,"",_xlfn.MINIFS(dados!$AD$2:$AD$55,dados!$C$2:$C$55,$A2))</f>
        <v/>
      </c>
      <c r="R2" s="7">
        <f>IF(COUNTIFS(dados!$C$2:$C$55,$A2,dados!$AD$2:$AD$55,"&lt;&gt;")=0,"",_xlfn.MAXIFS(dados!$AD$2:$AD$55,dados!$C$2:$C$55,$A2))</f>
        <v/>
      </c>
      <c r="S2" s="5">
        <f>SUMIF(dados!$C$2:$C$55,$A2,dados!$AL$2:$AL$55)</f>
        <v/>
      </c>
    </row>
    <row r="3">
      <c r="A3" s="2" t="inlineStr">
        <is>
          <t>Belém</t>
        </is>
      </c>
      <c r="B3" s="2" t="inlineStr">
        <is>
          <t>Norte</t>
        </is>
      </c>
      <c r="C3" s="2">
        <f>COUNTIF(dados!$C$2:$C$55,A3)</f>
        <v/>
      </c>
      <c r="D3" s="3">
        <f>C3/COUNTA(dados!$A$2:$A$55)</f>
        <v/>
      </c>
      <c r="E3" s="4">
        <f t="array" ref="E3">IFERROR(MEDIAN(IF((dados!$C$2:$C$55=$A3)*(dados!$E$2:$E$55&lt;&gt;""),dados!$E$2:$E$55)),"")</f>
        <v/>
      </c>
      <c r="F3" s="5">
        <f t="array" ref="F3">IFERROR(MEDIAN(IF((dados!$C$2:$C$55=$A3)*(dados!$F$2:$F$55&lt;&gt;""),dados!$F$2:$F$55)),"")</f>
        <v/>
      </c>
      <c r="G3" s="6">
        <f>IFERROR(AVERAGEIFS(dados!$H$2:$H$55,dados!$C$2:$C$55,$A3),"")</f>
        <v/>
      </c>
      <c r="H3" s="6">
        <f t="array" ref="H3">IFERROR(MEDIAN(IF((dados!$C$2:$C$55=$A3)*(dados!$J$2:$J$55&lt;&gt;""),dados!$J$2:$J$55)),"")</f>
        <v/>
      </c>
      <c r="I3" s="3">
        <f>IFERROR(AVERAGEIFS(dados!$AW$2:$AW$55,dados!$C$2:$C$55,$A3),"")</f>
        <v/>
      </c>
      <c r="J3" s="3">
        <f>IFERROR(AVERAGEIFS(dados!$AQ$2:$AQ$55,dados!$C$2:$C$55,$A3),"")</f>
        <v/>
      </c>
      <c r="K3" s="3">
        <f>IFERROR(AVERAGEIFS(dados!$AN$2:$AN$55,dados!$C$2:$C$55,$A3),"")</f>
        <v/>
      </c>
      <c r="L3" s="5">
        <f t="array" ref="L3">IFERROR(MEDIAN(IF((dados!$C$2:$C$55=$A3)*(dados!$Q$2:$Q$55&lt;&gt;""),dados!$Q$2:$Q$55)),"")</f>
        <v/>
      </c>
      <c r="M3" s="6">
        <f>IFERROR(AVERAGEIFS(dados!$T$2:$T$55,dados!$C$2:$C$55,$A3),"")</f>
        <v/>
      </c>
      <c r="N3" s="6">
        <f t="array" ref="N3">IFERROR(MEDIAN(IF((dados!$C$2:$C$55=$A3)*(dados!$W$2:$W$55&lt;&gt;""),dados!$W$2:$W$55)),"")</f>
        <v/>
      </c>
      <c r="O3" s="5">
        <f>SUMIF(dados!$C$2:$C$55,$A3,dados!$AO$2:$AO$55)</f>
        <v/>
      </c>
      <c r="P3" s="7">
        <f t="array" ref="P3">IFERROR(MEDIAN(IF((dados!$C$2:$C$55=$A3)*(dados!$AD$2:$AD$55&lt;&gt;""),dados!$AD$2:$AD$55)),"")</f>
        <v/>
      </c>
      <c r="Q3" s="7">
        <f>IF(COUNTIFS(dados!$C$2:$C$55,$A3,dados!$AD$2:$AD$55,"&lt;&gt;")=0,"",_xlfn.MINIFS(dados!$AD$2:$AD$55,dados!$C$2:$C$55,$A3))</f>
        <v/>
      </c>
      <c r="R3" s="7">
        <f>IF(COUNTIFS(dados!$C$2:$C$55,$A3,dados!$AD$2:$AD$55,"&lt;&gt;")=0,"",_xlfn.MAXIFS(dados!$AD$2:$AD$55,dados!$C$2:$C$55,$A3))</f>
        <v/>
      </c>
      <c r="S3" s="5">
        <f>SUMIF(dados!$C$2:$C$55,$A3,dados!$AL$2:$AL$55)</f>
        <v/>
      </c>
    </row>
    <row r="4">
      <c r="A4" s="2" t="inlineStr">
        <is>
          <t>Brasília</t>
        </is>
      </c>
      <c r="B4" s="2" t="inlineStr">
        <is>
          <t>Centro-Oeste</t>
        </is>
      </c>
      <c r="C4" s="2">
        <f>COUNTIF(dados!$C$2:$C$55,A4)</f>
        <v/>
      </c>
      <c r="D4" s="3">
        <f>C4/COUNTA(dados!$A$2:$A$55)</f>
        <v/>
      </c>
      <c r="E4" s="4">
        <f t="array" ref="E4">IFERROR(MEDIAN(IF((dados!$C$2:$C$55=$A4)*(dados!$E$2:$E$55&lt;&gt;""),dados!$E$2:$E$55)),"")</f>
        <v/>
      </c>
      <c r="F4" s="5">
        <f t="array" ref="F4">IFERROR(MEDIAN(IF((dados!$C$2:$C$55=$A4)*(dados!$F$2:$F$55&lt;&gt;""),dados!$F$2:$F$55)),"")</f>
        <v/>
      </c>
      <c r="G4" s="6">
        <f>IFERROR(AVERAGEIFS(dados!$H$2:$H$55,dados!$C$2:$C$55,$A4),"")</f>
        <v/>
      </c>
      <c r="H4" s="6">
        <f t="array" ref="H4">IFERROR(MEDIAN(IF((dados!$C$2:$C$55=$A4)*(dados!$J$2:$J$55&lt;&gt;""),dados!$J$2:$J$55)),"")</f>
        <v/>
      </c>
      <c r="I4" s="3">
        <f>IFERROR(AVERAGEIFS(dados!$AW$2:$AW$55,dados!$C$2:$C$55,$A4),"")</f>
        <v/>
      </c>
      <c r="J4" s="3">
        <f>IFERROR(AVERAGEIFS(dados!$AQ$2:$AQ$55,dados!$C$2:$C$55,$A4),"")</f>
        <v/>
      </c>
      <c r="K4" s="3">
        <f>IFERROR(AVERAGEIFS(dados!$AN$2:$AN$55,dados!$C$2:$C$55,$A4),"")</f>
        <v/>
      </c>
      <c r="L4" s="5">
        <f t="array" ref="L4">IFERROR(MEDIAN(IF((dados!$C$2:$C$55=$A4)*(dados!$Q$2:$Q$55&lt;&gt;""),dados!$Q$2:$Q$55)),"")</f>
        <v/>
      </c>
      <c r="M4" s="6">
        <f>IFERROR(AVERAGEIFS(dados!$T$2:$T$55,dados!$C$2:$C$55,$A4),"")</f>
        <v/>
      </c>
      <c r="N4" s="6">
        <f t="array" ref="N4">IFERROR(MEDIAN(IF((dados!$C$2:$C$55=$A4)*(dados!$W$2:$W$55&lt;&gt;""),dados!$W$2:$W$55)),"")</f>
        <v/>
      </c>
      <c r="O4" s="5">
        <f>SUMIF(dados!$C$2:$C$55,$A4,dados!$AO$2:$AO$55)</f>
        <v/>
      </c>
      <c r="P4" s="7">
        <f t="array" ref="P4">IFERROR(MEDIAN(IF((dados!$C$2:$C$55=$A4)*(dados!$AD$2:$AD$55&lt;&gt;""),dados!$AD$2:$AD$55)),"")</f>
        <v/>
      </c>
      <c r="Q4" s="7">
        <f>IF(COUNTIFS(dados!$C$2:$C$55,$A4,dados!$AD$2:$AD$55,"&lt;&gt;")=0,"",_xlfn.MINIFS(dados!$AD$2:$AD$55,dados!$C$2:$C$55,$A4))</f>
        <v/>
      </c>
      <c r="R4" s="7">
        <f>IF(COUNTIFS(dados!$C$2:$C$55,$A4,dados!$AD$2:$AD$55,"&lt;&gt;")=0,"",_xlfn.MAXIFS(dados!$AD$2:$AD$55,dados!$C$2:$C$55,$A4))</f>
        <v/>
      </c>
      <c r="S4" s="5">
        <f>SUMIF(dados!$C$2:$C$55,$A4,dados!$AL$2:$AL$55)</f>
        <v/>
      </c>
    </row>
    <row r="5">
      <c r="A5" s="2" t="inlineStr">
        <is>
          <t>Curitiba</t>
        </is>
      </c>
      <c r="B5" s="2" t="inlineStr">
        <is>
          <t>Sul</t>
        </is>
      </c>
      <c r="C5" s="2">
        <f>COUNTIF(dados!$C$2:$C$55,A5)</f>
        <v/>
      </c>
      <c r="D5" s="3">
        <f>C5/COUNTA(dados!$A$2:$A$55)</f>
        <v/>
      </c>
      <c r="E5" s="4">
        <f t="array" ref="E5">IFERROR(MEDIAN(IF((dados!$C$2:$C$55=$A5)*(dados!$E$2:$E$55&lt;&gt;""),dados!$E$2:$E$55)),"")</f>
        <v/>
      </c>
      <c r="F5" s="5">
        <f t="array" ref="F5">IFERROR(MEDIAN(IF((dados!$C$2:$C$55=$A5)*(dados!$F$2:$F$55&lt;&gt;""),dados!$F$2:$F$55)),"")</f>
        <v/>
      </c>
      <c r="G5" s="6">
        <f>IFERROR(AVERAGEIFS(dados!$H$2:$H$55,dados!$C$2:$C$55,$A5),"")</f>
        <v/>
      </c>
      <c r="H5" s="6">
        <f t="array" ref="H5">IFERROR(MEDIAN(IF((dados!$C$2:$C$55=$A5)*(dados!$J$2:$J$55&lt;&gt;""),dados!$J$2:$J$55)),"")</f>
        <v/>
      </c>
      <c r="I5" s="3">
        <f>IFERROR(AVERAGEIFS(dados!$AW$2:$AW$55,dados!$C$2:$C$55,$A5),"")</f>
        <v/>
      </c>
      <c r="J5" s="3">
        <f>IFERROR(AVERAGEIFS(dados!$AQ$2:$AQ$55,dados!$C$2:$C$55,$A5),"")</f>
        <v/>
      </c>
      <c r="K5" s="3">
        <f>IFERROR(AVERAGEIFS(dados!$AN$2:$AN$55,dados!$C$2:$C$55,$A5),"")</f>
        <v/>
      </c>
      <c r="L5" s="5">
        <f t="array" ref="L5">IFERROR(MEDIAN(IF((dados!$C$2:$C$55=$A5)*(dados!$Q$2:$Q$55&lt;&gt;""),dados!$Q$2:$Q$55)),"")</f>
        <v/>
      </c>
      <c r="M5" s="6">
        <f>IFERROR(AVERAGEIFS(dados!$T$2:$T$55,dados!$C$2:$C$55,$A5),"")</f>
        <v/>
      </c>
      <c r="N5" s="6">
        <f t="array" ref="N5">IFERROR(MEDIAN(IF((dados!$C$2:$C$55=$A5)*(dados!$W$2:$W$55&lt;&gt;""),dados!$W$2:$W$55)),"")</f>
        <v/>
      </c>
      <c r="O5" s="5">
        <f>SUMIF(dados!$C$2:$C$55,$A5,dados!$AO$2:$AO$55)</f>
        <v/>
      </c>
      <c r="P5" s="7">
        <f t="array" ref="P5">IFERROR(MEDIAN(IF((dados!$C$2:$C$55=$A5)*(dados!$AD$2:$AD$55&lt;&gt;""),dados!$AD$2:$AD$55)),"")</f>
        <v/>
      </c>
      <c r="Q5" s="7">
        <f>IF(COUNTIFS(dados!$C$2:$C$55,$A5,dados!$AD$2:$AD$55,"&lt;&gt;")=0,"",_xlfn.MINIFS(dados!$AD$2:$AD$55,dados!$C$2:$C$55,$A5))</f>
        <v/>
      </c>
      <c r="R5" s="7">
        <f>IF(COUNTIFS(dados!$C$2:$C$55,$A5,dados!$AD$2:$AD$55,"&lt;&gt;")=0,"",_xlfn.MAXIFS(dados!$AD$2:$AD$55,dados!$C$2:$C$55,$A5))</f>
        <v/>
      </c>
      <c r="S5" s="5">
        <f>SUMIF(dados!$C$2:$C$55,$A5,dados!$AL$2:$AL$55)</f>
        <v/>
      </c>
    </row>
    <row r="6">
      <c r="A6" s="2" t="inlineStr">
        <is>
          <t>Florianópolis</t>
        </is>
      </c>
      <c r="B6" s="2" t="inlineStr">
        <is>
          <t>Sul</t>
        </is>
      </c>
      <c r="C6" s="2">
        <f>COUNTIF(dados!$C$2:$C$55,A6)</f>
        <v/>
      </c>
      <c r="D6" s="3">
        <f>C6/COUNTA(dados!$A$2:$A$55)</f>
        <v/>
      </c>
      <c r="E6" s="4">
        <f t="array" ref="E6">IFERROR(MEDIAN(IF((dados!$C$2:$C$55=$A6)*(dados!$E$2:$E$55&lt;&gt;""),dados!$E$2:$E$55)),"")</f>
        <v/>
      </c>
      <c r="F6" s="5">
        <f t="array" ref="F6">IFERROR(MEDIAN(IF((dados!$C$2:$C$55=$A6)*(dados!$F$2:$F$55&lt;&gt;""),dados!$F$2:$F$55)),"")</f>
        <v/>
      </c>
      <c r="G6" s="6">
        <f>IFERROR(AVERAGEIFS(dados!$H$2:$H$55,dados!$C$2:$C$55,$A6),"")</f>
        <v/>
      </c>
      <c r="H6" s="6">
        <f t="array" ref="H6">IFERROR(MEDIAN(IF((dados!$C$2:$C$55=$A6)*(dados!$J$2:$J$55&lt;&gt;""),dados!$J$2:$J$55)),"")</f>
        <v/>
      </c>
      <c r="I6" s="3">
        <f>IFERROR(AVERAGEIFS(dados!$AW$2:$AW$55,dados!$C$2:$C$55,$A6),"")</f>
        <v/>
      </c>
      <c r="J6" s="3">
        <f>IFERROR(AVERAGEIFS(dados!$AQ$2:$AQ$55,dados!$C$2:$C$55,$A6),"")</f>
        <v/>
      </c>
      <c r="K6" s="3">
        <f>IFERROR(AVERAGEIFS(dados!$AN$2:$AN$55,dados!$C$2:$C$55,$A6),"")</f>
        <v/>
      </c>
      <c r="L6" s="5">
        <f t="array" ref="L6">IFERROR(MEDIAN(IF((dados!$C$2:$C$55=$A6)*(dados!$Q$2:$Q$55&lt;&gt;""),dados!$Q$2:$Q$55)),"")</f>
        <v/>
      </c>
      <c r="M6" s="6">
        <f>IFERROR(AVERAGEIFS(dados!$T$2:$T$55,dados!$C$2:$C$55,$A6),"")</f>
        <v/>
      </c>
      <c r="N6" s="6">
        <f t="array" ref="N6">IFERROR(MEDIAN(IF((dados!$C$2:$C$55=$A6)*(dados!$W$2:$W$55&lt;&gt;""),dados!$W$2:$W$55)),"")</f>
        <v/>
      </c>
      <c r="O6" s="5">
        <f>SUMIF(dados!$C$2:$C$55,$A6,dados!$AO$2:$AO$55)</f>
        <v/>
      </c>
      <c r="P6" s="7">
        <f t="array" ref="P6">IFERROR(MEDIAN(IF((dados!$C$2:$C$55=$A6)*(dados!$AD$2:$AD$55&lt;&gt;""),dados!$AD$2:$AD$55)),"")</f>
        <v/>
      </c>
      <c r="Q6" s="7">
        <f>IF(COUNTIFS(dados!$C$2:$C$55,$A6,dados!$AD$2:$AD$55,"&lt;&gt;")=0,"",_xlfn.MINIFS(dados!$AD$2:$AD$55,dados!$C$2:$C$55,$A6))</f>
        <v/>
      </c>
      <c r="R6" s="7">
        <f>IF(COUNTIFS(dados!$C$2:$C$55,$A6,dados!$AD$2:$AD$55,"&lt;&gt;")=0,"",_xlfn.MAXIFS(dados!$AD$2:$AD$55,dados!$C$2:$C$55,$A6))</f>
        <v/>
      </c>
      <c r="S6" s="5">
        <f>SUMIF(dados!$C$2:$C$55,$A6,dados!$AL$2:$AL$55)</f>
        <v/>
      </c>
    </row>
    <row r="7">
      <c r="A7" s="2" t="inlineStr">
        <is>
          <t>Fortaleza</t>
        </is>
      </c>
      <c r="B7" s="2" t="inlineStr">
        <is>
          <t>Nordeste</t>
        </is>
      </c>
      <c r="C7" s="2">
        <f>COUNTIF(dados!$C$2:$C$55,A7)</f>
        <v/>
      </c>
      <c r="D7" s="3">
        <f>C7/COUNTA(dados!$A$2:$A$55)</f>
        <v/>
      </c>
      <c r="E7" s="4">
        <f t="array" ref="E7">IFERROR(MEDIAN(IF((dados!$C$2:$C$55=$A7)*(dados!$E$2:$E$55&lt;&gt;""),dados!$E$2:$E$55)),"")</f>
        <v/>
      </c>
      <c r="F7" s="5">
        <f t="array" ref="F7">IFERROR(MEDIAN(IF((dados!$C$2:$C$55=$A7)*(dados!$F$2:$F$55&lt;&gt;""),dados!$F$2:$F$55)),"")</f>
        <v/>
      </c>
      <c r="G7" s="6">
        <f>IFERROR(AVERAGEIFS(dados!$H$2:$H$55,dados!$C$2:$C$55,$A7),"")</f>
        <v/>
      </c>
      <c r="H7" s="6">
        <f t="array" ref="H7">IFERROR(MEDIAN(IF((dados!$C$2:$C$55=$A7)*(dados!$J$2:$J$55&lt;&gt;""),dados!$J$2:$J$55)),"")</f>
        <v/>
      </c>
      <c r="I7" s="3">
        <f>IFERROR(AVERAGEIFS(dados!$AW$2:$AW$55,dados!$C$2:$C$55,$A7),"")</f>
        <v/>
      </c>
      <c r="J7" s="3">
        <f>IFERROR(AVERAGEIFS(dados!$AQ$2:$AQ$55,dados!$C$2:$C$55,$A7),"")</f>
        <v/>
      </c>
      <c r="K7" s="3">
        <f>IFERROR(AVERAGEIFS(dados!$AN$2:$AN$55,dados!$C$2:$C$55,$A7),"")</f>
        <v/>
      </c>
      <c r="L7" s="5">
        <f t="array" ref="L7">IFERROR(MEDIAN(IF((dados!$C$2:$C$55=$A7)*(dados!$Q$2:$Q$55&lt;&gt;""),dados!$Q$2:$Q$55)),"")</f>
        <v/>
      </c>
      <c r="M7" s="6">
        <f>IFERROR(AVERAGEIFS(dados!$T$2:$T$55,dados!$C$2:$C$55,$A7),"")</f>
        <v/>
      </c>
      <c r="N7" s="6">
        <f t="array" ref="N7">IFERROR(MEDIAN(IF((dados!$C$2:$C$55=$A7)*(dados!$W$2:$W$55&lt;&gt;""),dados!$W$2:$W$55)),"")</f>
        <v/>
      </c>
      <c r="O7" s="5">
        <f>SUMIF(dados!$C$2:$C$55,$A7,dados!$AO$2:$AO$55)</f>
        <v/>
      </c>
      <c r="P7" s="7">
        <f t="array" ref="P7">IFERROR(MEDIAN(IF((dados!$C$2:$C$55=$A7)*(dados!$AD$2:$AD$55&lt;&gt;""),dados!$AD$2:$AD$55)),"")</f>
        <v/>
      </c>
      <c r="Q7" s="7">
        <f>IF(COUNTIFS(dados!$C$2:$C$55,$A7,dados!$AD$2:$AD$55,"&lt;&gt;")=0,"",_xlfn.MINIFS(dados!$AD$2:$AD$55,dados!$C$2:$C$55,$A7))</f>
        <v/>
      </c>
      <c r="R7" s="7">
        <f>IF(COUNTIFS(dados!$C$2:$C$55,$A7,dados!$AD$2:$AD$55,"&lt;&gt;")=0,"",_xlfn.MAXIFS(dados!$AD$2:$AD$55,dados!$C$2:$C$55,$A7))</f>
        <v/>
      </c>
      <c r="S7" s="5">
        <f>SUMIF(dados!$C$2:$C$55,$A7,dados!$AL$2:$AL$55)</f>
        <v/>
      </c>
    </row>
    <row r="8">
      <c r="A8" s="2" t="inlineStr">
        <is>
          <t>Goiânia</t>
        </is>
      </c>
      <c r="B8" s="2" t="inlineStr">
        <is>
          <t>Centro-Oeste</t>
        </is>
      </c>
      <c r="C8" s="2">
        <f>COUNTIF(dados!$C$2:$C$55,A8)</f>
        <v/>
      </c>
      <c r="D8" s="3">
        <f>C8/COUNTA(dados!$A$2:$A$55)</f>
        <v/>
      </c>
      <c r="E8" s="4">
        <f t="array" ref="E8">IFERROR(MEDIAN(IF((dados!$C$2:$C$55=$A8)*(dados!$E$2:$E$55&lt;&gt;""),dados!$E$2:$E$55)),"")</f>
        <v/>
      </c>
      <c r="F8" s="5">
        <f t="array" ref="F8">IFERROR(MEDIAN(IF((dados!$C$2:$C$55=$A8)*(dados!$F$2:$F$55&lt;&gt;""),dados!$F$2:$F$55)),"")</f>
        <v/>
      </c>
      <c r="G8" s="6">
        <f>IFERROR(AVERAGEIFS(dados!$H$2:$H$55,dados!$C$2:$C$55,$A8),"")</f>
        <v/>
      </c>
      <c r="H8" s="6">
        <f t="array" ref="H8">IFERROR(MEDIAN(IF((dados!$C$2:$C$55=$A8)*(dados!$J$2:$J$55&lt;&gt;""),dados!$J$2:$J$55)),"")</f>
        <v/>
      </c>
      <c r="I8" s="3">
        <f>IFERROR(AVERAGEIFS(dados!$AW$2:$AW$55,dados!$C$2:$C$55,$A8),"")</f>
        <v/>
      </c>
      <c r="J8" s="3">
        <f>IFERROR(AVERAGEIFS(dados!$AQ$2:$AQ$55,dados!$C$2:$C$55,$A8),"")</f>
        <v/>
      </c>
      <c r="K8" s="3">
        <f>IFERROR(AVERAGEIFS(dados!$AN$2:$AN$55,dados!$C$2:$C$55,$A8),"")</f>
        <v/>
      </c>
      <c r="L8" s="5">
        <f t="array" ref="L8">IFERROR(MEDIAN(IF((dados!$C$2:$C$55=$A8)*(dados!$Q$2:$Q$55&lt;&gt;""),dados!$Q$2:$Q$55)),"")</f>
        <v/>
      </c>
      <c r="M8" s="6">
        <f>IFERROR(AVERAGEIFS(dados!$T$2:$T$55,dados!$C$2:$C$55,$A8),"")</f>
        <v/>
      </c>
      <c r="N8" s="6">
        <f t="array" ref="N8">IFERROR(MEDIAN(IF((dados!$C$2:$C$55=$A8)*(dados!$W$2:$W$55&lt;&gt;""),dados!$W$2:$W$55)),"")</f>
        <v/>
      </c>
      <c r="O8" s="5">
        <f>SUMIF(dados!$C$2:$C$55,$A8,dados!$AO$2:$AO$55)</f>
        <v/>
      </c>
      <c r="P8" s="7">
        <f t="array" ref="P8">IFERROR(MEDIAN(IF((dados!$C$2:$C$55=$A8)*(dados!$AD$2:$AD$55&lt;&gt;""),dados!$AD$2:$AD$55)),"")</f>
        <v/>
      </c>
      <c r="Q8" s="7">
        <f>IF(COUNTIFS(dados!$C$2:$C$55,$A8,dados!$AD$2:$AD$55,"&lt;&gt;")=0,"",_xlfn.MINIFS(dados!$AD$2:$AD$55,dados!$C$2:$C$55,$A8))</f>
        <v/>
      </c>
      <c r="R8" s="7">
        <f>IF(COUNTIFS(dados!$C$2:$C$55,$A8,dados!$AD$2:$AD$55,"&lt;&gt;")=0,"",_xlfn.MAXIFS(dados!$AD$2:$AD$55,dados!$C$2:$C$55,$A8))</f>
        <v/>
      </c>
      <c r="S8" s="5">
        <f>SUMIF(dados!$C$2:$C$55,$A8,dados!$AL$2:$AL$55)</f>
        <v/>
      </c>
    </row>
    <row r="9">
      <c r="A9" s="2" t="inlineStr">
        <is>
          <t>Porto Alegre</t>
        </is>
      </c>
      <c r="B9" s="2" t="inlineStr">
        <is>
          <t>Sul</t>
        </is>
      </c>
      <c r="C9" s="2">
        <f>COUNTIF(dados!$C$2:$C$55,A9)</f>
        <v/>
      </c>
      <c r="D9" s="3">
        <f>C9/COUNTA(dados!$A$2:$A$55)</f>
        <v/>
      </c>
      <c r="E9" s="4">
        <f t="array" ref="E9">IFERROR(MEDIAN(IF((dados!$C$2:$C$55=$A9)*(dados!$E$2:$E$55&lt;&gt;""),dados!$E$2:$E$55)),"")</f>
        <v/>
      </c>
      <c r="F9" s="5">
        <f t="array" ref="F9">IFERROR(MEDIAN(IF((dados!$C$2:$C$55=$A9)*(dados!$F$2:$F$55&lt;&gt;""),dados!$F$2:$F$55)),"")</f>
        <v/>
      </c>
      <c r="G9" s="6">
        <f>IFERROR(AVERAGEIFS(dados!$H$2:$H$55,dados!$C$2:$C$55,$A9),"")</f>
        <v/>
      </c>
      <c r="H9" s="6">
        <f t="array" ref="H9">IFERROR(MEDIAN(IF((dados!$C$2:$C$55=$A9)*(dados!$J$2:$J$55&lt;&gt;""),dados!$J$2:$J$55)),"")</f>
        <v/>
      </c>
      <c r="I9" s="3">
        <f>IFERROR(AVERAGEIFS(dados!$AW$2:$AW$55,dados!$C$2:$C$55,$A9),"")</f>
        <v/>
      </c>
      <c r="J9" s="3">
        <f>IFERROR(AVERAGEIFS(dados!$AQ$2:$AQ$55,dados!$C$2:$C$55,$A9),"")</f>
        <v/>
      </c>
      <c r="K9" s="3">
        <f>IFERROR(AVERAGEIFS(dados!$AN$2:$AN$55,dados!$C$2:$C$55,$A9),"")</f>
        <v/>
      </c>
      <c r="L9" s="5">
        <f t="array" ref="L9">IFERROR(MEDIAN(IF((dados!$C$2:$C$55=$A9)*(dados!$Q$2:$Q$55&lt;&gt;""),dados!$Q$2:$Q$55)),"")</f>
        <v/>
      </c>
      <c r="M9" s="6">
        <f>IFERROR(AVERAGEIFS(dados!$T$2:$T$55,dados!$C$2:$C$55,$A9),"")</f>
        <v/>
      </c>
      <c r="N9" s="6">
        <f t="array" ref="N9">IFERROR(MEDIAN(IF((dados!$C$2:$C$55=$A9)*(dados!$W$2:$W$55&lt;&gt;""),dados!$W$2:$W$55)),"")</f>
        <v/>
      </c>
      <c r="O9" s="5">
        <f>SUMIF(dados!$C$2:$C$55,$A9,dados!$AO$2:$AO$55)</f>
        <v/>
      </c>
      <c r="P9" s="7">
        <f t="array" ref="P9">IFERROR(MEDIAN(IF((dados!$C$2:$C$55=$A9)*(dados!$AD$2:$AD$55&lt;&gt;""),dados!$AD$2:$AD$55)),"")</f>
        <v/>
      </c>
      <c r="Q9" s="7">
        <f>IF(COUNTIFS(dados!$C$2:$C$55,$A9,dados!$AD$2:$AD$55,"&lt;&gt;")=0,"",_xlfn.MINIFS(dados!$AD$2:$AD$55,dados!$C$2:$C$55,$A9))</f>
        <v/>
      </c>
      <c r="R9" s="7">
        <f>IF(COUNTIFS(dados!$C$2:$C$55,$A9,dados!$AD$2:$AD$55,"&lt;&gt;")=0,"",_xlfn.MAXIFS(dados!$AD$2:$AD$55,dados!$C$2:$C$55,$A9))</f>
        <v/>
      </c>
      <c r="S9" s="5">
        <f>SUMIF(dados!$C$2:$C$55,$A9,dados!$AL$2:$AL$55)</f>
        <v/>
      </c>
    </row>
    <row r="10">
      <c r="A10" s="2" t="inlineStr">
        <is>
          <t>Recife</t>
        </is>
      </c>
      <c r="B10" s="2" t="inlineStr">
        <is>
          <t>Nordeste</t>
        </is>
      </c>
      <c r="C10" s="2">
        <f>COUNTIF(dados!$C$2:$C$55,A10)</f>
        <v/>
      </c>
      <c r="D10" s="3">
        <f>C10/COUNTA(dados!$A$2:$A$55)</f>
        <v/>
      </c>
      <c r="E10" s="4">
        <f t="array" ref="E10">IFERROR(MEDIAN(IF((dados!$C$2:$C$55=$A10)*(dados!$E$2:$E$55&lt;&gt;""),dados!$E$2:$E$55)),"")</f>
        <v/>
      </c>
      <c r="F10" s="5">
        <f t="array" ref="F10">IFERROR(MEDIAN(IF((dados!$C$2:$C$55=$A10)*(dados!$F$2:$F$55&lt;&gt;""),dados!$F$2:$F$55)),"")</f>
        <v/>
      </c>
      <c r="G10" s="6">
        <f>IFERROR(AVERAGEIFS(dados!$H$2:$H$55,dados!$C$2:$C$55,$A10),"")</f>
        <v/>
      </c>
      <c r="H10" s="6">
        <f t="array" ref="H10">IFERROR(MEDIAN(IF((dados!$C$2:$C$55=$A10)*(dados!$J$2:$J$55&lt;&gt;""),dados!$J$2:$J$55)),"")</f>
        <v/>
      </c>
      <c r="I10" s="3">
        <f>IFERROR(AVERAGEIFS(dados!$AW$2:$AW$55,dados!$C$2:$C$55,$A10),"")</f>
        <v/>
      </c>
      <c r="J10" s="3">
        <f>IFERROR(AVERAGEIFS(dados!$AQ$2:$AQ$55,dados!$C$2:$C$55,$A10),"")</f>
        <v/>
      </c>
      <c r="K10" s="3">
        <f>IFERROR(AVERAGEIFS(dados!$AN$2:$AN$55,dados!$C$2:$C$55,$A10),"")</f>
        <v/>
      </c>
      <c r="L10" s="5">
        <f t="array" ref="L10">IFERROR(MEDIAN(IF((dados!$C$2:$C$55=$A10)*(dados!$Q$2:$Q$55&lt;&gt;""),dados!$Q$2:$Q$55)),"")</f>
        <v/>
      </c>
      <c r="M10" s="6">
        <f>IFERROR(AVERAGEIFS(dados!$T$2:$T$55,dados!$C$2:$C$55,$A10),"")</f>
        <v/>
      </c>
      <c r="N10" s="6">
        <f t="array" ref="N10">IFERROR(MEDIAN(IF((dados!$C$2:$C$55=$A10)*(dados!$W$2:$W$55&lt;&gt;""),dados!$W$2:$W$55)),"")</f>
        <v/>
      </c>
      <c r="O10" s="5">
        <f>SUMIF(dados!$C$2:$C$55,$A10,dados!$AO$2:$AO$55)</f>
        <v/>
      </c>
      <c r="P10" s="7">
        <f t="array" ref="P10">IFERROR(MEDIAN(IF((dados!$C$2:$C$55=$A10)*(dados!$AD$2:$AD$55&lt;&gt;""),dados!$AD$2:$AD$55)),"")</f>
        <v/>
      </c>
      <c r="Q10" s="7">
        <f>IF(COUNTIFS(dados!$C$2:$C$55,$A10,dados!$AD$2:$AD$55,"&lt;&gt;")=0,"",_xlfn.MINIFS(dados!$AD$2:$AD$55,dados!$C$2:$C$55,$A10))</f>
        <v/>
      </c>
      <c r="R10" s="7">
        <f>IF(COUNTIFS(dados!$C$2:$C$55,$A10,dados!$AD$2:$AD$55,"&lt;&gt;")=0,"",_xlfn.MAXIFS(dados!$AD$2:$AD$55,dados!$C$2:$C$55,$A10))</f>
        <v/>
      </c>
      <c r="S10" s="5">
        <f>SUMIF(dados!$C$2:$C$55,$A10,dados!$AL$2:$AL$55)</f>
        <v/>
      </c>
    </row>
    <row r="11">
      <c r="A11" s="2" t="inlineStr">
        <is>
          <t>Rio de Janeiro</t>
        </is>
      </c>
      <c r="B11" s="2" t="inlineStr">
        <is>
          <t>Sudeste</t>
        </is>
      </c>
      <c r="C11" s="2">
        <f>COUNTIF(dados!$C$2:$C$55,A11)</f>
        <v/>
      </c>
      <c r="D11" s="3">
        <f>C11/COUNTA(dados!$A$2:$A$55)</f>
        <v/>
      </c>
      <c r="E11" s="4">
        <f t="array" ref="E11">IFERROR(MEDIAN(IF((dados!$C$2:$C$55=$A11)*(dados!$E$2:$E$55&lt;&gt;""),dados!$E$2:$E$55)),"")</f>
        <v/>
      </c>
      <c r="F11" s="5">
        <f t="array" ref="F11">IFERROR(MEDIAN(IF((dados!$C$2:$C$55=$A11)*(dados!$F$2:$F$55&lt;&gt;""),dados!$F$2:$F$55)),"")</f>
        <v/>
      </c>
      <c r="G11" s="6">
        <f>IFERROR(AVERAGEIFS(dados!$H$2:$H$55,dados!$C$2:$C$55,$A11),"")</f>
        <v/>
      </c>
      <c r="H11" s="6">
        <f t="array" ref="H11">IFERROR(MEDIAN(IF((dados!$C$2:$C$55=$A11)*(dados!$J$2:$J$55&lt;&gt;""),dados!$J$2:$J$55)),"")</f>
        <v/>
      </c>
      <c r="I11" s="3">
        <f>IFERROR(AVERAGEIFS(dados!$AW$2:$AW$55,dados!$C$2:$C$55,$A11),"")</f>
        <v/>
      </c>
      <c r="J11" s="3">
        <f>IFERROR(AVERAGEIFS(dados!$AQ$2:$AQ$55,dados!$C$2:$C$55,$A11),"")</f>
        <v/>
      </c>
      <c r="K11" s="3">
        <f>IFERROR(AVERAGEIFS(dados!$AN$2:$AN$55,dados!$C$2:$C$55,$A11),"")</f>
        <v/>
      </c>
      <c r="L11" s="5">
        <f t="array" ref="L11">IFERROR(MEDIAN(IF((dados!$C$2:$C$55=$A11)*(dados!$Q$2:$Q$55&lt;&gt;""),dados!$Q$2:$Q$55)),"")</f>
        <v/>
      </c>
      <c r="M11" s="6">
        <f>IFERROR(AVERAGEIFS(dados!$T$2:$T$55,dados!$C$2:$C$55,$A11),"")</f>
        <v/>
      </c>
      <c r="N11" s="6">
        <f t="array" ref="N11">IFERROR(MEDIAN(IF((dados!$C$2:$C$55=$A11)*(dados!$W$2:$W$55&lt;&gt;""),dados!$W$2:$W$55)),"")</f>
        <v/>
      </c>
      <c r="O11" s="5">
        <f>SUMIF(dados!$C$2:$C$55,$A11,dados!$AO$2:$AO$55)</f>
        <v/>
      </c>
      <c r="P11" s="7">
        <f t="array" ref="P11">IFERROR(MEDIAN(IF((dados!$C$2:$C$55=$A11)*(dados!$AD$2:$AD$55&lt;&gt;""),dados!$AD$2:$AD$55)),"")</f>
        <v/>
      </c>
      <c r="Q11" s="7">
        <f>IF(COUNTIFS(dados!$C$2:$C$55,$A11,dados!$AD$2:$AD$55,"&lt;&gt;")=0,"",_xlfn.MINIFS(dados!$AD$2:$AD$55,dados!$C$2:$C$55,$A11))</f>
        <v/>
      </c>
      <c r="R11" s="7">
        <f>IF(COUNTIFS(dados!$C$2:$C$55,$A11,dados!$AD$2:$AD$55,"&lt;&gt;")=0,"",_xlfn.MAXIFS(dados!$AD$2:$AD$55,dados!$C$2:$C$55,$A11))</f>
        <v/>
      </c>
      <c r="S11" s="5">
        <f>SUMIF(dados!$C$2:$C$55,$A11,dados!$AL$2:$AL$55)</f>
        <v/>
      </c>
    </row>
    <row r="12">
      <c r="A12" s="2" t="inlineStr">
        <is>
          <t>Salvador</t>
        </is>
      </c>
      <c r="B12" s="2" t="inlineStr">
        <is>
          <t>Nordeste</t>
        </is>
      </c>
      <c r="C12" s="2">
        <f>COUNTIF(dados!$C$2:$C$55,A12)</f>
        <v/>
      </c>
      <c r="D12" s="3">
        <f>C12/COUNTA(dados!$A$2:$A$55)</f>
        <v/>
      </c>
      <c r="E12" s="4">
        <f t="array" ref="E12">IFERROR(MEDIAN(IF((dados!$C$2:$C$55=$A12)*(dados!$E$2:$E$55&lt;&gt;""),dados!$E$2:$E$55)),"")</f>
        <v/>
      </c>
      <c r="F12" s="5">
        <f t="array" ref="F12">IFERROR(MEDIAN(IF((dados!$C$2:$C$55=$A12)*(dados!$F$2:$F$55&lt;&gt;""),dados!$F$2:$F$55)),"")</f>
        <v/>
      </c>
      <c r="G12" s="6">
        <f>IFERROR(AVERAGEIFS(dados!$H$2:$H$55,dados!$C$2:$C$55,$A12),"")</f>
        <v/>
      </c>
      <c r="H12" s="6">
        <f t="array" ref="H12">IFERROR(MEDIAN(IF((dados!$C$2:$C$55=$A12)*(dados!$J$2:$J$55&lt;&gt;""),dados!$J$2:$J$55)),"")</f>
        <v/>
      </c>
      <c r="I12" s="3">
        <f>IFERROR(AVERAGEIFS(dados!$AW$2:$AW$55,dados!$C$2:$C$55,$A12),"")</f>
        <v/>
      </c>
      <c r="J12" s="3">
        <f>IFERROR(AVERAGEIFS(dados!$AQ$2:$AQ$55,dados!$C$2:$C$55,$A12),"")</f>
        <v/>
      </c>
      <c r="K12" s="3">
        <f>IFERROR(AVERAGEIFS(dados!$AN$2:$AN$55,dados!$C$2:$C$55,$A12),"")</f>
        <v/>
      </c>
      <c r="L12" s="5">
        <f t="array" ref="L12">IFERROR(MEDIAN(IF((dados!$C$2:$C$55=$A12)*(dados!$Q$2:$Q$55&lt;&gt;""),dados!$Q$2:$Q$55)),"")</f>
        <v/>
      </c>
      <c r="M12" s="6">
        <f>IFERROR(AVERAGEIFS(dados!$T$2:$T$55,dados!$C$2:$C$55,$A12),"")</f>
        <v/>
      </c>
      <c r="N12" s="6">
        <f t="array" ref="N12">IFERROR(MEDIAN(IF((dados!$C$2:$C$55=$A12)*(dados!$W$2:$W$55&lt;&gt;""),dados!$W$2:$W$55)),"")</f>
        <v/>
      </c>
      <c r="O12" s="5">
        <f>SUMIF(dados!$C$2:$C$55,$A12,dados!$AO$2:$AO$55)</f>
        <v/>
      </c>
      <c r="P12" s="7">
        <f t="array" ref="P12">IFERROR(MEDIAN(IF((dados!$C$2:$C$55=$A12)*(dados!$AD$2:$AD$55&lt;&gt;""),dados!$AD$2:$AD$55)),"")</f>
        <v/>
      </c>
      <c r="Q12" s="7">
        <f>IF(COUNTIFS(dados!$C$2:$C$55,$A12,dados!$AD$2:$AD$55,"&lt;&gt;")=0,"",_xlfn.MINIFS(dados!$AD$2:$AD$55,dados!$C$2:$C$55,$A12))</f>
        <v/>
      </c>
      <c r="R12" s="7">
        <f>IF(COUNTIFS(dados!$C$2:$C$55,$A12,dados!$AD$2:$AD$55,"&lt;&gt;")=0,"",_xlfn.MAXIFS(dados!$AD$2:$AD$55,dados!$C$2:$C$55,$A12))</f>
        <v/>
      </c>
      <c r="S12" s="5">
        <f>SUMIF(dados!$C$2:$C$55,$A12,dados!$AL$2:$AL$55)</f>
        <v/>
      </c>
    </row>
    <row r="13">
      <c r="A13" s="2" t="inlineStr">
        <is>
          <t>São Paulo</t>
        </is>
      </c>
      <c r="B13" s="2" t="inlineStr">
        <is>
          <t>Sudeste</t>
        </is>
      </c>
      <c r="C13" s="2">
        <f>COUNTIF(dados!$C$2:$C$55,A13)</f>
        <v/>
      </c>
      <c r="D13" s="3">
        <f>C13/COUNTA(dados!$A$2:$A$55)</f>
        <v/>
      </c>
      <c r="E13" s="4">
        <f t="array" ref="E13">IFERROR(MEDIAN(IF((dados!$C$2:$C$55=$A13)*(dados!$E$2:$E$55&lt;&gt;""),dados!$E$2:$E$55)),"")</f>
        <v/>
      </c>
      <c r="F13" s="5">
        <f t="array" ref="F13">IFERROR(MEDIAN(IF((dados!$C$2:$C$55=$A13)*(dados!$F$2:$F$55&lt;&gt;""),dados!$F$2:$F$55)),"")</f>
        <v/>
      </c>
      <c r="G13" s="6">
        <f>IFERROR(AVERAGEIFS(dados!$H$2:$H$55,dados!$C$2:$C$55,$A13),"")</f>
        <v/>
      </c>
      <c r="H13" s="6">
        <f t="array" ref="H13">IFERROR(MEDIAN(IF((dados!$C$2:$C$55=$A13)*(dados!$J$2:$J$55&lt;&gt;""),dados!$J$2:$J$55)),"")</f>
        <v/>
      </c>
      <c r="I13" s="3">
        <f>IFERROR(AVERAGEIFS(dados!$AW$2:$AW$55,dados!$C$2:$C$55,$A13),"")</f>
        <v/>
      </c>
      <c r="J13" s="3">
        <f>IFERROR(AVERAGEIFS(dados!$AQ$2:$AQ$55,dados!$C$2:$C$55,$A13),"")</f>
        <v/>
      </c>
      <c r="K13" s="3">
        <f>IFERROR(AVERAGEIFS(dados!$AN$2:$AN$55,dados!$C$2:$C$55,$A13),"")</f>
        <v/>
      </c>
      <c r="L13" s="5">
        <f t="array" ref="L13">IFERROR(MEDIAN(IF((dados!$C$2:$C$55=$A13)*(dados!$Q$2:$Q$55&lt;&gt;""),dados!$Q$2:$Q$55)),"")</f>
        <v/>
      </c>
      <c r="M13" s="6">
        <f>IFERROR(AVERAGEIFS(dados!$T$2:$T$55,dados!$C$2:$C$55,$A13),"")</f>
        <v/>
      </c>
      <c r="N13" s="6">
        <f t="array" ref="N13">IFERROR(MEDIAN(IF((dados!$C$2:$C$55=$A13)*(dados!$W$2:$W$55&lt;&gt;""),dados!$W$2:$W$55)),"")</f>
        <v/>
      </c>
      <c r="O13" s="5">
        <f>SUMIF(dados!$C$2:$C$55,$A13,dados!$AO$2:$AO$55)</f>
        <v/>
      </c>
      <c r="P13" s="7">
        <f t="array" ref="P13">IFERROR(MEDIAN(IF((dados!$C$2:$C$55=$A13)*(dados!$AD$2:$AD$55&lt;&gt;""),dados!$AD$2:$AD$55)),"")</f>
        <v/>
      </c>
      <c r="Q13" s="7">
        <f>IF(COUNTIFS(dados!$C$2:$C$55,$A13,dados!$AD$2:$AD$55,"&lt;&gt;")=0,"",_xlfn.MINIFS(dados!$AD$2:$AD$55,dados!$C$2:$C$55,$A13))</f>
        <v/>
      </c>
      <c r="R13" s="7">
        <f>IF(COUNTIFS(dados!$C$2:$C$55,$A13,dados!$AD$2:$AD$55,"&lt;&gt;")=0,"",_xlfn.MAXIFS(dados!$AD$2:$AD$55,dados!$C$2:$C$55,$A13))</f>
        <v/>
      </c>
      <c r="S13" s="5">
        <f>SUMIF(dados!$C$2:$C$55,$A13,dados!$AL$2:$AL$55)</f>
        <v/>
      </c>
    </row>
    <row r="14">
      <c r="A14" s="2" t="inlineStr">
        <is>
          <t>Vitória</t>
        </is>
      </c>
      <c r="B14" s="2" t="inlineStr">
        <is>
          <t>Sudeste</t>
        </is>
      </c>
      <c r="C14" s="2">
        <f>COUNTIF(dados!$C$2:$C$55,A14)</f>
        <v/>
      </c>
      <c r="D14" s="3">
        <f>C14/COUNTA(dados!$A$2:$A$55)</f>
        <v/>
      </c>
      <c r="E14" s="4">
        <f t="array" ref="E14">IFERROR(MEDIAN(IF((dados!$C$2:$C$55=$A14)*(dados!$E$2:$E$55&lt;&gt;""),dados!$E$2:$E$55)),"")</f>
        <v/>
      </c>
      <c r="F14" s="5">
        <f t="array" ref="F14">IFERROR(MEDIAN(IF((dados!$C$2:$C$55=$A14)*(dados!$F$2:$F$55&lt;&gt;""),dados!$F$2:$F$55)),"")</f>
        <v/>
      </c>
      <c r="G14" s="6">
        <f>IFERROR(AVERAGEIFS(dados!$H$2:$H$55,dados!$C$2:$C$55,$A14),"")</f>
        <v/>
      </c>
      <c r="H14" s="6">
        <f t="array" ref="H14">IFERROR(MEDIAN(IF((dados!$C$2:$C$55=$A14)*(dados!$J$2:$J$55&lt;&gt;""),dados!$J$2:$J$55)),"")</f>
        <v/>
      </c>
      <c r="I14" s="3">
        <f>IFERROR(AVERAGEIFS(dados!$AW$2:$AW$55,dados!$C$2:$C$55,$A14),"")</f>
        <v/>
      </c>
      <c r="J14" s="3">
        <f>IFERROR(AVERAGEIFS(dados!$AQ$2:$AQ$55,dados!$C$2:$C$55,$A14),"")</f>
        <v/>
      </c>
      <c r="K14" s="3">
        <f>IFERROR(AVERAGEIFS(dados!$AN$2:$AN$55,dados!$C$2:$C$55,$A14),"")</f>
        <v/>
      </c>
      <c r="L14" s="5">
        <f t="array" ref="L14">IFERROR(MEDIAN(IF((dados!$C$2:$C$55=$A14)*(dados!$Q$2:$Q$55&lt;&gt;""),dados!$Q$2:$Q$55)),"")</f>
        <v/>
      </c>
      <c r="M14" s="6">
        <f>IFERROR(AVERAGEIFS(dados!$T$2:$T$55,dados!$C$2:$C$55,$A14),"")</f>
        <v/>
      </c>
      <c r="N14" s="6">
        <f t="array" ref="N14">IFERROR(MEDIAN(IF((dados!$C$2:$C$55=$A14)*(dados!$W$2:$W$55&lt;&gt;""),dados!$W$2:$W$55)),"")</f>
        <v/>
      </c>
      <c r="O14" s="5">
        <f>SUMIF(dados!$C$2:$C$55,$A14,dados!$AO$2:$AO$55)</f>
        <v/>
      </c>
      <c r="P14" s="7">
        <f t="array" ref="P14">IFERROR(MEDIAN(IF((dados!$C$2:$C$55=$A14)*(dados!$AD$2:$AD$55&lt;&gt;""),dados!$AD$2:$AD$55)),"")</f>
        <v/>
      </c>
      <c r="Q14" s="7">
        <f>IF(COUNTIFS(dados!$C$2:$C$55,$A14,dados!$AD$2:$AD$55,"&lt;&gt;")=0,"",_xlfn.MINIFS(dados!$AD$2:$AD$55,dados!$C$2:$C$55,$A14))</f>
        <v/>
      </c>
      <c r="R14" s="7">
        <f>IF(COUNTIFS(dados!$C$2:$C$55,$A14,dados!$AD$2:$AD$55,"&lt;&gt;")=0,"",_xlfn.MAXIFS(dados!$AD$2:$AD$55,dados!$C$2:$C$55,$A14))</f>
        <v/>
      </c>
      <c r="S14" s="5">
        <f>SUMIF(dados!$C$2:$C$55,$A14,dados!$AL$2:$AL$55)</f>
        <v/>
      </c>
    </row>
    <row r="15">
      <c r="A15" s="8" t="inlineStr">
        <is>
          <t>Total</t>
        </is>
      </c>
      <c r="B15" s="8" t="n"/>
      <c r="C15" s="8">
        <f>SUM(C2:C14)</f>
        <v/>
      </c>
      <c r="D15" s="9">
        <f>SUM(D2:D14)</f>
        <v/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10" t="inlineStr">
        <is>
          <t>Conferência (total − casas da aba dados; deve ser 0)</t>
        </is>
      </c>
      <c r="B16" s="2" t="n"/>
      <c r="C16" s="2">
        <f>C15-COUNTA(dados!$A$2:$A$55)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</sheetData>
  <autoFilter ref="A1:S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4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região</t>
        </is>
      </c>
      <c r="B1" s="1" t="inlineStr">
        <is>
          <t>grupo</t>
        </is>
      </c>
      <c r="C1" s="1" t="inlineStr">
        <is>
          <t>variável</t>
        </is>
      </c>
      <c r="D1" s="1" t="inlineStr">
        <is>
          <t>descrição</t>
        </is>
      </c>
      <c r="E1" s="1" t="inlineStr">
        <is>
          <t>n</t>
        </is>
      </c>
      <c r="F1" s="1" t="inlineStr">
        <is>
          <t>média</t>
        </is>
      </c>
      <c r="G1" s="1" t="inlineStr">
        <is>
          <t>mediana</t>
        </is>
      </c>
      <c r="H1" s="1" t="inlineStr">
        <is>
          <t>desvio padrão</t>
        </is>
      </c>
      <c r="I1" s="1" t="inlineStr">
        <is>
          <t>mínimo</t>
        </is>
      </c>
      <c r="J1" s="1" t="inlineStr">
        <is>
          <t>máximo</t>
        </is>
      </c>
      <c r="K1" s="1" t="inlineStr">
        <is>
          <t>amplitude</t>
        </is>
      </c>
    </row>
    <row r="2">
      <c r="A2" s="2" t="inlineStr">
        <is>
          <t>Norte</t>
        </is>
      </c>
      <c r="B2" s="11" t="inlineStr">
        <is>
          <t>Google Maps</t>
        </is>
      </c>
      <c r="C2" s="2" t="inlineStr">
        <is>
          <t>avaliacao_media</t>
        </is>
      </c>
      <c r="D2" s="2" t="inlineStr">
        <is>
          <t>Nota média no Google</t>
        </is>
      </c>
      <c r="E2" s="5">
        <f>COUNTIFS(dados!$D$2:$D$55,$A2,dados!$E$2:$E$55,"&lt;&gt;")</f>
        <v/>
      </c>
      <c r="F2" s="4">
        <f>IFERROR(AVERAGEIFS(dados!$E$2:$E$55,dados!$D$2:$D$55,$A2),"")</f>
        <v/>
      </c>
      <c r="G2" s="4">
        <f t="array" ref="G2">IFERROR(MEDIAN(IF((dados!$D$2:$D$55=$A2)*(dados!$E$2:$E$55&lt;&gt;""),dados!$E$2:$E$55)),"")</f>
        <v/>
      </c>
      <c r="H2" s="4">
        <f t="array" ref="H2">IFERROR(STDEV(IF((dados!$D$2:$D$55=$A2)*(dados!$E$2:$E$55&lt;&gt;""),dados!$E$2:$E$55)),"")</f>
        <v/>
      </c>
      <c r="I2" s="4">
        <f>IF(COUNTIFS(dados!$D$2:$D$55,$A2,dados!$E$2:$E$55,"&lt;&gt;")=0,"",_xlfn.MINIFS(dados!$E$2:$E$55,dados!$D$2:$D$55,$A2))</f>
        <v/>
      </c>
      <c r="J2" s="4">
        <f>IF(COUNTIFS(dados!$D$2:$D$55,$A2,dados!$E$2:$E$55,"&lt;&gt;")=0,"",_xlfn.MAXIFS(dados!$E$2:$E$55,dados!$D$2:$D$55,$A2))</f>
        <v/>
      </c>
      <c r="K2" s="4">
        <f>IFERROR(J2-I2,"")</f>
        <v/>
      </c>
    </row>
    <row r="3">
      <c r="A3" s="2" t="inlineStr">
        <is>
          <t>Norte</t>
        </is>
      </c>
      <c r="B3" s="11" t="inlineStr">
        <is>
          <t>Google Maps</t>
        </is>
      </c>
      <c r="C3" s="2" t="inlineStr">
        <is>
          <t>volume_avaliacoes</t>
        </is>
      </c>
      <c r="D3" s="2" t="inlineStr">
        <is>
          <t>Nº de avaliações no Google</t>
        </is>
      </c>
      <c r="E3" s="5">
        <f>COUNTIFS(dados!$D$2:$D$55,$A3,dados!$F$2:$F$55,"&lt;&gt;")</f>
        <v/>
      </c>
      <c r="F3" s="5">
        <f>IFERROR(AVERAGEIFS(dados!$F$2:$F$55,dados!$D$2:$D$55,$A3),"")</f>
        <v/>
      </c>
      <c r="G3" s="5">
        <f t="array" ref="G3">IFERROR(MEDIAN(IF((dados!$D$2:$D$55=$A3)*(dados!$F$2:$F$55&lt;&gt;""),dados!$F$2:$F$55)),"")</f>
        <v/>
      </c>
      <c r="H3" s="5">
        <f t="array" ref="H3">IFERROR(STDEV(IF((dados!$D$2:$D$55=$A3)*(dados!$F$2:$F$55&lt;&gt;""),dados!$F$2:$F$55)),"")</f>
        <v/>
      </c>
      <c r="I3" s="5">
        <f>IF(COUNTIFS(dados!$D$2:$D$55,$A3,dados!$F$2:$F$55,"&lt;&gt;")=0,"",_xlfn.MINIFS(dados!$F$2:$F$55,dados!$D$2:$D$55,$A3))</f>
        <v/>
      </c>
      <c r="J3" s="5">
        <f>IF(COUNTIFS(dados!$D$2:$D$55,$A3,dados!$F$2:$F$55,"&lt;&gt;")=0,"",_xlfn.MAXIFS(dados!$F$2:$F$55,dados!$D$2:$D$55,$A3))</f>
        <v/>
      </c>
      <c r="K3" s="5">
        <f>IFERROR(J3-I3,"")</f>
        <v/>
      </c>
    </row>
    <row r="4">
      <c r="A4" s="2" t="inlineStr">
        <is>
          <t>Norte</t>
        </is>
      </c>
      <c r="B4" s="12" t="inlineStr">
        <is>
          <t>Horários</t>
        </is>
      </c>
      <c r="C4" s="2" t="inlineStr">
        <is>
          <t>dias_abertos</t>
        </is>
      </c>
      <c r="D4" s="2" t="inlineStr">
        <is>
          <t>Dias abertos por semana</t>
        </is>
      </c>
      <c r="E4" s="5">
        <f>COUNTIFS(dados!$D$2:$D$55,$A4,dados!$G$2:$G$55,"&lt;&gt;")</f>
        <v/>
      </c>
      <c r="F4" s="6">
        <f>IFERROR(AVERAGEIFS(dados!$G$2:$G$55,dados!$D$2:$D$55,$A4),"")</f>
        <v/>
      </c>
      <c r="G4" s="6">
        <f t="array" ref="G4">IFERROR(MEDIAN(IF((dados!$D$2:$D$55=$A4)*(dados!$G$2:$G$55&lt;&gt;""),dados!$G$2:$G$55)),"")</f>
        <v/>
      </c>
      <c r="H4" s="6">
        <f t="array" ref="H4">IFERROR(STDEV(IF((dados!$D$2:$D$55=$A4)*(dados!$G$2:$G$55&lt;&gt;""),dados!$G$2:$G$55)),"")</f>
        <v/>
      </c>
      <c r="I4" s="6">
        <f>IF(COUNTIFS(dados!$D$2:$D$55,$A4,dados!$G$2:$G$55,"&lt;&gt;")=0,"",_xlfn.MINIFS(dados!$G$2:$G$55,dados!$D$2:$D$55,$A4))</f>
        <v/>
      </c>
      <c r="J4" s="6">
        <f>IF(COUNTIFS(dados!$D$2:$D$55,$A4,dados!$G$2:$G$55,"&lt;&gt;")=0,"",_xlfn.MAXIFS(dados!$G$2:$G$55,dados!$D$2:$D$55,$A4))</f>
        <v/>
      </c>
      <c r="K4" s="6">
        <f>IFERROR(J4-I4,"")</f>
        <v/>
      </c>
    </row>
    <row r="5">
      <c r="A5" s="2" t="inlineStr">
        <is>
          <t>Norte</t>
        </is>
      </c>
      <c r="B5" s="12" t="inlineStr">
        <is>
          <t>Horários</t>
        </is>
      </c>
      <c r="C5" s="2" t="inlineStr">
        <is>
          <t>horas_semana</t>
        </is>
      </c>
      <c r="D5" s="2" t="inlineStr">
        <is>
          <t>Horas abertas por semana</t>
        </is>
      </c>
      <c r="E5" s="5">
        <f>COUNTIFS(dados!$D$2:$D$55,$A5,dados!$H$2:$H$55,"&lt;&gt;")</f>
        <v/>
      </c>
      <c r="F5" s="6">
        <f>IFERROR(AVERAGEIFS(dados!$H$2:$H$55,dados!$D$2:$D$55,$A5),"")</f>
        <v/>
      </c>
      <c r="G5" s="6">
        <f t="array" ref="G5">IFERROR(MEDIAN(IF((dados!$D$2:$D$55=$A5)*(dados!$H$2:$H$55&lt;&gt;""),dados!$H$2:$H$55)),"")</f>
        <v/>
      </c>
      <c r="H5" s="6">
        <f t="array" ref="H5">IFERROR(STDEV(IF((dados!$D$2:$D$55=$A5)*(dados!$H$2:$H$55&lt;&gt;""),dados!$H$2:$H$55)),"")</f>
        <v/>
      </c>
      <c r="I5" s="6">
        <f>IF(COUNTIFS(dados!$D$2:$D$55,$A5,dados!$H$2:$H$55,"&lt;&gt;")=0,"",_xlfn.MINIFS(dados!$H$2:$H$55,dados!$D$2:$D$55,$A5))</f>
        <v/>
      </c>
      <c r="J5" s="6">
        <f>IF(COUNTIFS(dados!$D$2:$D$55,$A5,dados!$H$2:$H$55,"&lt;&gt;")=0,"",_xlfn.MAXIFS(dados!$H$2:$H$55,dados!$D$2:$D$55,$A5))</f>
        <v/>
      </c>
      <c r="K5" s="6">
        <f>IFERROR(J5-I5,"")</f>
        <v/>
      </c>
    </row>
    <row r="6">
      <c r="A6" s="2" t="inlineStr">
        <is>
          <t>Norte</t>
        </is>
      </c>
      <c r="B6" s="12" t="inlineStr">
        <is>
          <t>Horários</t>
        </is>
      </c>
      <c r="C6" s="2" t="inlineStr">
        <is>
          <t>abre_cedo_h</t>
        </is>
      </c>
      <c r="D6" s="2" t="inlineStr">
        <is>
          <t>Abertura mais cedo da semana</t>
        </is>
      </c>
      <c r="E6" s="5">
        <f>COUNTIFS(dados!$D$2:$D$55,$A6,dados!$I$2:$I$55,"&lt;&gt;")</f>
        <v/>
      </c>
      <c r="F6" s="6">
        <f>IFERROR(AVERAGEIFS(dados!$I$2:$I$55,dados!$D$2:$D$55,$A6),"")</f>
        <v/>
      </c>
      <c r="G6" s="6">
        <f t="array" ref="G6">IFERROR(MEDIAN(IF((dados!$D$2:$D$55=$A6)*(dados!$I$2:$I$55&lt;&gt;""),dados!$I$2:$I$55)),"")</f>
        <v/>
      </c>
      <c r="H6" s="6">
        <f t="array" ref="H6">IFERROR(STDEV(IF((dados!$D$2:$D$55=$A6)*(dados!$I$2:$I$55&lt;&gt;""),dados!$I$2:$I$55)),"")</f>
        <v/>
      </c>
      <c r="I6" s="6">
        <f>IF(COUNTIFS(dados!$D$2:$D$55,$A6,dados!$I$2:$I$55,"&lt;&gt;")=0,"",_xlfn.MINIFS(dados!$I$2:$I$55,dados!$D$2:$D$55,$A6))</f>
        <v/>
      </c>
      <c r="J6" s="6">
        <f>IF(COUNTIFS(dados!$D$2:$D$55,$A6,dados!$I$2:$I$55,"&lt;&gt;")=0,"",_xlfn.MAXIFS(dados!$I$2:$I$55,dados!$D$2:$D$55,$A6))</f>
        <v/>
      </c>
      <c r="K6" s="6">
        <f>IFERROR(J6-I6,"")</f>
        <v/>
      </c>
    </row>
    <row r="7">
      <c r="A7" s="2" t="inlineStr">
        <is>
          <t>Norte</t>
        </is>
      </c>
      <c r="B7" s="12" t="inlineStr">
        <is>
          <t>Horários</t>
        </is>
      </c>
      <c r="C7" s="2" t="inlineStr">
        <is>
          <t>fecha_tarde_h</t>
        </is>
      </c>
      <c r="D7" s="2" t="inlineStr">
        <is>
          <t>Fechamento mais tarde da semana (25 = 1h da manhã)</t>
        </is>
      </c>
      <c r="E7" s="5">
        <f>COUNTIFS(dados!$D$2:$D$55,$A7,dados!$J$2:$J$55,"&lt;&gt;")</f>
        <v/>
      </c>
      <c r="F7" s="6">
        <f>IFERROR(AVERAGEIFS(dados!$J$2:$J$55,dados!$D$2:$D$55,$A7),"")</f>
        <v/>
      </c>
      <c r="G7" s="6">
        <f t="array" ref="G7">IFERROR(MEDIAN(IF((dados!$D$2:$D$55=$A7)*(dados!$J$2:$J$55&lt;&gt;""),dados!$J$2:$J$55)),"")</f>
        <v/>
      </c>
      <c r="H7" s="6">
        <f t="array" ref="H7">IFERROR(STDEV(IF((dados!$D$2:$D$55=$A7)*(dados!$J$2:$J$55&lt;&gt;""),dados!$J$2:$J$55)),"")</f>
        <v/>
      </c>
      <c r="I7" s="6">
        <f>IF(COUNTIFS(dados!$D$2:$D$55,$A7,dados!$J$2:$J$55,"&lt;&gt;")=0,"",_xlfn.MINIFS(dados!$J$2:$J$55,dados!$D$2:$D$55,$A7))</f>
        <v/>
      </c>
      <c r="J7" s="6">
        <f>IF(COUNTIFS(dados!$D$2:$D$55,$A7,dados!$J$2:$J$55,"&lt;&gt;")=0,"",_xlfn.MAXIFS(dados!$J$2:$J$55,dados!$D$2:$D$55,$A7))</f>
        <v/>
      </c>
      <c r="K7" s="6">
        <f>IFERROR(J7-I7,"")</f>
        <v/>
      </c>
    </row>
    <row r="8">
      <c r="A8" s="2" t="inlineStr">
        <is>
          <t>Norte</t>
        </is>
      </c>
      <c r="B8" s="13" t="inlineStr">
        <is>
          <t>Entorno</t>
        </is>
      </c>
      <c r="C8" s="2" t="inlineStr">
        <is>
          <t>metro_500m</t>
        </is>
      </c>
      <c r="D8" s="2" t="inlineStr">
        <is>
          <t>Estações de metrô até 500 m</t>
        </is>
      </c>
      <c r="E8" s="5">
        <f>COUNTIFS(dados!$D$2:$D$55,$A8,dados!$K$2:$K$55,"&lt;&gt;")</f>
        <v/>
      </c>
      <c r="F8" s="4">
        <f>IFERROR(AVERAGEIFS(dados!$K$2:$K$55,dados!$D$2:$D$55,$A8),"")</f>
        <v/>
      </c>
      <c r="G8" s="4">
        <f t="array" ref="G8">IFERROR(MEDIAN(IF((dados!$D$2:$D$55=$A8)*(dados!$K$2:$K$55&lt;&gt;""),dados!$K$2:$K$55)),"")</f>
        <v/>
      </c>
      <c r="H8" s="4">
        <f t="array" ref="H8">IFERROR(STDEV(IF((dados!$D$2:$D$55=$A8)*(dados!$K$2:$K$55&lt;&gt;""),dados!$K$2:$K$55)),"")</f>
        <v/>
      </c>
      <c r="I8" s="4">
        <f>IF(COUNTIFS(dados!$D$2:$D$55,$A8,dados!$K$2:$K$55,"&lt;&gt;")=0,"",_xlfn.MINIFS(dados!$K$2:$K$55,dados!$D$2:$D$55,$A8))</f>
        <v/>
      </c>
      <c r="J8" s="4">
        <f>IF(COUNTIFS(dados!$D$2:$D$55,$A8,dados!$K$2:$K$55,"&lt;&gt;")=0,"",_xlfn.MAXIFS(dados!$K$2:$K$55,dados!$D$2:$D$55,$A8))</f>
        <v/>
      </c>
      <c r="K8" s="4">
        <f>IFERROR(J8-I8,"")</f>
        <v/>
      </c>
    </row>
    <row r="9">
      <c r="A9" s="2" t="inlineStr">
        <is>
          <t>Norte</t>
        </is>
      </c>
      <c r="B9" s="13" t="inlineStr">
        <is>
          <t>Entorno</t>
        </is>
      </c>
      <c r="C9" s="2" t="inlineStr">
        <is>
          <t>metro_1000m</t>
        </is>
      </c>
      <c r="D9" s="2" t="inlineStr">
        <is>
          <t>Estações de metrô até 1000 m</t>
        </is>
      </c>
      <c r="E9" s="5">
        <f>COUNTIFS(dados!$D$2:$D$55,$A9,dados!$L$2:$L$55,"&lt;&gt;")</f>
        <v/>
      </c>
      <c r="F9" s="4">
        <f>IFERROR(AVERAGEIFS(dados!$L$2:$L$55,dados!$D$2:$D$55,$A9),"")</f>
        <v/>
      </c>
      <c r="G9" s="4">
        <f t="array" ref="G9">IFERROR(MEDIAN(IF((dados!$D$2:$D$55=$A9)*(dados!$L$2:$L$55&lt;&gt;""),dados!$L$2:$L$55)),"")</f>
        <v/>
      </c>
      <c r="H9" s="4">
        <f t="array" ref="H9">IFERROR(STDEV(IF((dados!$D$2:$D$55=$A9)*(dados!$L$2:$L$55&lt;&gt;""),dados!$L$2:$L$55)),"")</f>
        <v/>
      </c>
      <c r="I9" s="4">
        <f>IF(COUNTIFS(dados!$D$2:$D$55,$A9,dados!$L$2:$L$55,"&lt;&gt;")=0,"",_xlfn.MINIFS(dados!$L$2:$L$55,dados!$D$2:$D$55,$A9))</f>
        <v/>
      </c>
      <c r="J9" s="4">
        <f>IF(COUNTIFS(dados!$D$2:$D$55,$A9,dados!$L$2:$L$55,"&lt;&gt;")=0,"",_xlfn.MAXIFS(dados!$L$2:$L$55,dados!$D$2:$D$55,$A9))</f>
        <v/>
      </c>
      <c r="K9" s="4">
        <f>IFERROR(J9-I9,"")</f>
        <v/>
      </c>
    </row>
    <row r="10">
      <c r="A10" s="2" t="inlineStr">
        <is>
          <t>Norte</t>
        </is>
      </c>
      <c r="B10" s="13" t="inlineStr">
        <is>
          <t>Entorno</t>
        </is>
      </c>
      <c r="C10" s="2" t="inlineStr">
        <is>
          <t>dist_metro_m</t>
        </is>
      </c>
      <c r="D10" s="2" t="inlineStr">
        <is>
          <t>Distância à estação de metrô mais próxima</t>
        </is>
      </c>
      <c r="E10" s="5">
        <f>COUNTIFS(dados!$D$2:$D$55,$A10,dados!$M$2:$M$55,"&lt;&gt;")</f>
        <v/>
      </c>
      <c r="F10" s="5">
        <f>IFERROR(AVERAGEIFS(dados!$M$2:$M$55,dados!$D$2:$D$55,$A10),"")</f>
        <v/>
      </c>
      <c r="G10" s="5">
        <f t="array" ref="G10">IFERROR(MEDIAN(IF((dados!$D$2:$D$55=$A10)*(dados!$M$2:$M$55&lt;&gt;""),dados!$M$2:$M$55)),"")</f>
        <v/>
      </c>
      <c r="H10" s="5">
        <f t="array" ref="H10">IFERROR(STDEV(IF((dados!$D$2:$D$55=$A10)*(dados!$M$2:$M$55&lt;&gt;""),dados!$M$2:$M$55)),"")</f>
        <v/>
      </c>
      <c r="I10" s="5">
        <f>IF(COUNTIFS(dados!$D$2:$D$55,$A10,dados!$M$2:$M$55,"&lt;&gt;")=0,"",_xlfn.MINIFS(dados!$M$2:$M$55,dados!$D$2:$D$55,$A10))</f>
        <v/>
      </c>
      <c r="J10" s="5">
        <f>IF(COUNTIFS(dados!$D$2:$D$55,$A10,dados!$M$2:$M$55,"&lt;&gt;")=0,"",_xlfn.MAXIFS(dados!$M$2:$M$55,dados!$D$2:$D$55,$A10))</f>
        <v/>
      </c>
      <c r="K10" s="5">
        <f>IFERROR(J10-I10,"")</f>
        <v/>
      </c>
    </row>
    <row r="11">
      <c r="A11" s="2" t="inlineStr">
        <is>
          <t>Norte</t>
        </is>
      </c>
      <c r="B11" s="13" t="inlineStr">
        <is>
          <t>Entorno</t>
        </is>
      </c>
      <c r="C11" s="2" t="inlineStr">
        <is>
          <t>shopping_porte_500m</t>
        </is>
      </c>
      <c r="D11" s="2" t="inlineStr">
        <is>
          <t>Shoppings de porte até 500 m (onde o porte foi buscado)</t>
        </is>
      </c>
      <c r="E11" s="5">
        <f>COUNTIFS(dados!$D$2:$D$55,$A11,dados!$N$2:$N$55,"&lt;&gt;")</f>
        <v/>
      </c>
      <c r="F11" s="4">
        <f>IFERROR(AVERAGEIFS(dados!$N$2:$N$55,dados!$D$2:$D$55,$A11),"")</f>
        <v/>
      </c>
      <c r="G11" s="4">
        <f t="array" ref="G11">IFERROR(MEDIAN(IF((dados!$D$2:$D$55=$A11)*(dados!$N$2:$N$55&lt;&gt;""),dados!$N$2:$N$55)),"")</f>
        <v/>
      </c>
      <c r="H11" s="4">
        <f t="array" ref="H11">IFERROR(STDEV(IF((dados!$D$2:$D$55=$A11)*(dados!$N$2:$N$55&lt;&gt;""),dados!$N$2:$N$55)),"")</f>
        <v/>
      </c>
      <c r="I11" s="4">
        <f>IF(COUNTIFS(dados!$D$2:$D$55,$A11,dados!$N$2:$N$55,"&lt;&gt;")=0,"",_xlfn.MINIFS(dados!$N$2:$N$55,dados!$D$2:$D$55,$A11))</f>
        <v/>
      </c>
      <c r="J11" s="4">
        <f>IF(COUNTIFS(dados!$D$2:$D$55,$A11,dados!$N$2:$N$55,"&lt;&gt;")=0,"",_xlfn.MAXIFS(dados!$N$2:$N$55,dados!$D$2:$D$55,$A11))</f>
        <v/>
      </c>
      <c r="K11" s="4">
        <f>IFERROR(J11-I11,"")</f>
        <v/>
      </c>
    </row>
    <row r="12">
      <c r="A12" s="2" t="inlineStr">
        <is>
          <t>Norte</t>
        </is>
      </c>
      <c r="B12" s="13" t="inlineStr">
        <is>
          <t>Entorno</t>
        </is>
      </c>
      <c r="C12" s="2" t="inlineStr">
        <is>
          <t>shopping_porte_1000m</t>
        </is>
      </c>
      <c r="D12" s="2" t="inlineStr">
        <is>
          <t>Shoppings de porte até 1000 m (onde o porte foi buscado)</t>
        </is>
      </c>
      <c r="E12" s="5">
        <f>COUNTIFS(dados!$D$2:$D$55,$A12,dados!$O$2:$O$55,"&lt;&gt;")</f>
        <v/>
      </c>
      <c r="F12" s="4">
        <f>IFERROR(AVERAGEIFS(dados!$O$2:$O$55,dados!$D$2:$D$55,$A12),"")</f>
        <v/>
      </c>
      <c r="G12" s="4">
        <f t="array" ref="G12">IFERROR(MEDIAN(IF((dados!$D$2:$D$55=$A12)*(dados!$O$2:$O$55&lt;&gt;""),dados!$O$2:$O$55)),"")</f>
        <v/>
      </c>
      <c r="H12" s="4">
        <f t="array" ref="H12">IFERROR(STDEV(IF((dados!$D$2:$D$55=$A12)*(dados!$O$2:$O$55&lt;&gt;""),dados!$O$2:$O$55)),"")</f>
        <v/>
      </c>
      <c r="I12" s="4">
        <f>IF(COUNTIFS(dados!$D$2:$D$55,$A12,dados!$O$2:$O$55,"&lt;&gt;")=0,"",_xlfn.MINIFS(dados!$O$2:$O$55,dados!$D$2:$D$55,$A12))</f>
        <v/>
      </c>
      <c r="J12" s="4">
        <f>IF(COUNTIFS(dados!$D$2:$D$55,$A12,dados!$O$2:$O$55,"&lt;&gt;")=0,"",_xlfn.MAXIFS(dados!$O$2:$O$55,dados!$D$2:$D$55,$A12))</f>
        <v/>
      </c>
      <c r="K12" s="4">
        <f>IFERROR(J12-I12,"")</f>
        <v/>
      </c>
    </row>
    <row r="13">
      <c r="A13" s="2" t="inlineStr">
        <is>
          <t>Norte</t>
        </is>
      </c>
      <c r="B13" s="13" t="inlineStr">
        <is>
          <t>Entorno</t>
        </is>
      </c>
      <c r="C13" s="2" t="inlineStr">
        <is>
          <t>dist_shopping_m</t>
        </is>
      </c>
      <c r="D13" s="2" t="inlineStr">
        <is>
          <t>Distância ao shopping mais próximo (qualquer porte)</t>
        </is>
      </c>
      <c r="E13" s="5">
        <f>COUNTIFS(dados!$D$2:$D$55,$A13,dados!$P$2:$P$55,"&lt;&gt;")</f>
        <v/>
      </c>
      <c r="F13" s="5">
        <f>IFERROR(AVERAGEIFS(dados!$P$2:$P$55,dados!$D$2:$D$55,$A13),"")</f>
        <v/>
      </c>
      <c r="G13" s="5">
        <f t="array" ref="G13">IFERROR(MEDIAN(IF((dados!$D$2:$D$55=$A13)*(dados!$P$2:$P$55&lt;&gt;""),dados!$P$2:$P$55)),"")</f>
        <v/>
      </c>
      <c r="H13" s="5">
        <f t="array" ref="H13">IFERROR(STDEV(IF((dados!$D$2:$D$55=$A13)*(dados!$P$2:$P$55&lt;&gt;""),dados!$P$2:$P$55)),"")</f>
        <v/>
      </c>
      <c r="I13" s="5">
        <f>IF(COUNTIFS(dados!$D$2:$D$55,$A13,dados!$P$2:$P$55,"&lt;&gt;")=0,"",_xlfn.MINIFS(dados!$P$2:$P$55,dados!$D$2:$D$55,$A13))</f>
        <v/>
      </c>
      <c r="J13" s="5">
        <f>IF(COUNTIFS(dados!$D$2:$D$55,$A13,dados!$P$2:$P$55,"&lt;&gt;")=0,"",_xlfn.MAXIFS(dados!$P$2:$P$55,dados!$D$2:$D$55,$A13))</f>
        <v/>
      </c>
      <c r="K13" s="5">
        <f>IFERROR(J13-I13,"")</f>
        <v/>
      </c>
    </row>
    <row r="14">
      <c r="A14" s="2" t="inlineStr">
        <is>
          <t>Norte</t>
        </is>
      </c>
      <c r="B14" s="14" t="inlineStr">
        <is>
          <t>Instagram</t>
        </is>
      </c>
      <c r="C14" s="2" t="inlineStr">
        <is>
          <t>seguidores</t>
        </is>
      </c>
      <c r="D14" s="2" t="inlineStr">
        <is>
          <t>Seguidores</t>
        </is>
      </c>
      <c r="E14" s="5">
        <f>COUNTIFS(dados!$D$2:$D$55,$A14,dados!$Q$2:$Q$55,"&lt;&gt;")</f>
        <v/>
      </c>
      <c r="F14" s="5">
        <f>IFERROR(AVERAGEIFS(dados!$Q$2:$Q$55,dados!$D$2:$D$55,$A14),"")</f>
        <v/>
      </c>
      <c r="G14" s="5">
        <f t="array" ref="G14">IFERROR(MEDIAN(IF((dados!$D$2:$D$55=$A14)*(dados!$Q$2:$Q$55&lt;&gt;""),dados!$Q$2:$Q$55)),"")</f>
        <v/>
      </c>
      <c r="H14" s="5">
        <f t="array" ref="H14">IFERROR(STDEV(IF((dados!$D$2:$D$55=$A14)*(dados!$Q$2:$Q$55&lt;&gt;""),dados!$Q$2:$Q$55)),"")</f>
        <v/>
      </c>
      <c r="I14" s="5">
        <f>IF(COUNTIFS(dados!$D$2:$D$55,$A14,dados!$Q$2:$Q$55,"&lt;&gt;")=0,"",_xlfn.MINIFS(dados!$Q$2:$Q$55,dados!$D$2:$D$55,$A14))</f>
        <v/>
      </c>
      <c r="J14" s="5">
        <f>IF(COUNTIFS(dados!$D$2:$D$55,$A14,dados!$Q$2:$Q$55,"&lt;&gt;")=0,"",_xlfn.MAXIFS(dados!$Q$2:$Q$55,dados!$D$2:$D$55,$A14))</f>
        <v/>
      </c>
      <c r="K14" s="5">
        <f>IFERROR(J14-I14,"")</f>
        <v/>
      </c>
    </row>
    <row r="15">
      <c r="A15" s="2" t="inlineStr">
        <is>
          <t>Norte</t>
        </is>
      </c>
      <c r="B15" s="14" t="inlineStr">
        <is>
          <t>Instagram</t>
        </is>
      </c>
      <c r="C15" s="2" t="inlineStr">
        <is>
          <t>n_posts_total</t>
        </is>
      </c>
      <c r="D15" s="2" t="inlineStr">
        <is>
          <t>Posts desde a criação do perfil</t>
        </is>
      </c>
      <c r="E15" s="5">
        <f>COUNTIFS(dados!$D$2:$D$55,$A15,dados!$R$2:$R$55,"&lt;&gt;")</f>
        <v/>
      </c>
      <c r="F15" s="5">
        <f>IFERROR(AVERAGEIFS(dados!$R$2:$R$55,dados!$D$2:$D$55,$A15),"")</f>
        <v/>
      </c>
      <c r="G15" s="5">
        <f t="array" ref="G15">IFERROR(MEDIAN(IF((dados!$D$2:$D$55=$A15)*(dados!$R$2:$R$55&lt;&gt;""),dados!$R$2:$R$55)),"")</f>
        <v/>
      </c>
      <c r="H15" s="5">
        <f t="array" ref="H15">IFERROR(STDEV(IF((dados!$D$2:$D$55=$A15)*(dados!$R$2:$R$55&lt;&gt;""),dados!$R$2:$R$55)),"")</f>
        <v/>
      </c>
      <c r="I15" s="5">
        <f>IF(COUNTIFS(dados!$D$2:$D$55,$A15,dados!$R$2:$R$55,"&lt;&gt;")=0,"",_xlfn.MINIFS(dados!$R$2:$R$55,dados!$D$2:$D$55,$A15))</f>
        <v/>
      </c>
      <c r="J15" s="5">
        <f>IF(COUNTIFS(dados!$D$2:$D$55,$A15,dados!$R$2:$R$55,"&lt;&gt;")=0,"",_xlfn.MAXIFS(dados!$R$2:$R$55,dados!$D$2:$D$55,$A15))</f>
        <v/>
      </c>
      <c r="K15" s="5">
        <f>IFERROR(J15-I15,"")</f>
        <v/>
      </c>
    </row>
    <row r="16">
      <c r="A16" s="2" t="inlineStr">
        <is>
          <t>Norte</t>
        </is>
      </c>
      <c r="B16" s="14" t="inlineStr">
        <is>
          <t>Instagram</t>
        </is>
      </c>
      <c r="C16" s="2" t="inlineStr">
        <is>
          <t>idade_perfil_anos</t>
        </is>
      </c>
      <c r="D16" s="2" t="inlineStr">
        <is>
          <t>Idade do perfil (desde o primeiro post até 15/10/2026)</t>
        </is>
      </c>
      <c r="E16" s="5">
        <f>COUNTIFS(dados!$D$2:$D$55,$A16,dados!$S$2:$S$55,"&lt;&gt;")</f>
        <v/>
      </c>
      <c r="F16" s="6">
        <f>IFERROR(AVERAGEIFS(dados!$S$2:$S$55,dados!$D$2:$D$55,$A16),"")</f>
        <v/>
      </c>
      <c r="G16" s="6">
        <f t="array" ref="G16">IFERROR(MEDIAN(IF((dados!$D$2:$D$55=$A16)*(dados!$S$2:$S$55&lt;&gt;""),dados!$S$2:$S$55)),"")</f>
        <v/>
      </c>
      <c r="H16" s="6">
        <f t="array" ref="H16">IFERROR(STDEV(IF((dados!$D$2:$D$55=$A16)*(dados!$S$2:$S$55&lt;&gt;""),dados!$S$2:$S$55)),"")</f>
        <v/>
      </c>
      <c r="I16" s="6">
        <f>IF(COUNTIFS(dados!$D$2:$D$55,$A16,dados!$S$2:$S$55,"&lt;&gt;")=0,"",_xlfn.MINIFS(dados!$S$2:$S$55,dados!$D$2:$D$55,$A16))</f>
        <v/>
      </c>
      <c r="J16" s="6">
        <f>IF(COUNTIFS(dados!$D$2:$D$55,$A16,dados!$S$2:$S$55,"&lt;&gt;")=0,"",_xlfn.MAXIFS(dados!$S$2:$S$55,dados!$D$2:$D$55,$A16))</f>
        <v/>
      </c>
      <c r="K16" s="6">
        <f>IFERROR(J16-I16,"")</f>
        <v/>
      </c>
    </row>
    <row r="17">
      <c r="A17" s="2" t="inlineStr">
        <is>
          <t>Norte</t>
        </is>
      </c>
      <c r="B17" s="14" t="inlineStr">
        <is>
          <t>Instagram</t>
        </is>
      </c>
      <c r="C17" s="2" t="inlineStr">
        <is>
          <t>n_posts_periodo</t>
        </is>
      </c>
      <c r="D17" s="2" t="inlineStr">
        <is>
          <t>Posts de 01/09 a 01/10/2026</t>
        </is>
      </c>
      <c r="E17" s="5">
        <f>COUNTIFS(dados!$D$2:$D$55,$A17,dados!$T$2:$T$55,"&lt;&gt;")</f>
        <v/>
      </c>
      <c r="F17" s="6">
        <f>IFERROR(AVERAGEIFS(dados!$T$2:$T$55,dados!$D$2:$D$55,$A17),"")</f>
        <v/>
      </c>
      <c r="G17" s="6">
        <f t="array" ref="G17">IFERROR(MEDIAN(IF((dados!$D$2:$D$55=$A17)*(dados!$T$2:$T$55&lt;&gt;""),dados!$T$2:$T$55)),"")</f>
        <v/>
      </c>
      <c r="H17" s="6">
        <f t="array" ref="H17">IFERROR(STDEV(IF((dados!$D$2:$D$55=$A17)*(dados!$T$2:$T$55&lt;&gt;""),dados!$T$2:$T$55)),"")</f>
        <v/>
      </c>
      <c r="I17" s="6">
        <f>IF(COUNTIFS(dados!$D$2:$D$55,$A17,dados!$T$2:$T$55,"&lt;&gt;")=0,"",_xlfn.MINIFS(dados!$T$2:$T$55,dados!$D$2:$D$55,$A17))</f>
        <v/>
      </c>
      <c r="J17" s="6">
        <f>IF(COUNTIFS(dados!$D$2:$D$55,$A17,dados!$T$2:$T$55,"&lt;&gt;")=0,"",_xlfn.MAXIFS(dados!$T$2:$T$55,dados!$D$2:$D$55,$A17))</f>
        <v/>
      </c>
      <c r="K17" s="6">
        <f>IFERROR(J17-I17,"")</f>
        <v/>
      </c>
    </row>
    <row r="18">
      <c r="A18" s="2" t="inlineStr">
        <is>
          <t>Norte</t>
        </is>
      </c>
      <c r="B18" s="14" t="inlineStr">
        <is>
          <t>Instagram</t>
        </is>
      </c>
      <c r="C18" s="2" t="inlineStr">
        <is>
          <t>curtidas_periodo</t>
        </is>
      </c>
      <c r="D18" s="2" t="inlineStr">
        <is>
          <t>Curtidas no período</t>
        </is>
      </c>
      <c r="E18" s="5">
        <f>COUNTIFS(dados!$D$2:$D$55,$A18,dados!$U$2:$U$55,"&lt;&gt;")</f>
        <v/>
      </c>
      <c r="F18" s="5">
        <f>IFERROR(AVERAGEIFS(dados!$U$2:$U$55,dados!$D$2:$D$55,$A18),"")</f>
        <v/>
      </c>
      <c r="G18" s="5">
        <f t="array" ref="G18">IFERROR(MEDIAN(IF((dados!$D$2:$D$55=$A18)*(dados!$U$2:$U$55&lt;&gt;""),dados!$U$2:$U$55)),"")</f>
        <v/>
      </c>
      <c r="H18" s="5">
        <f t="array" ref="H18">IFERROR(STDEV(IF((dados!$D$2:$D$55=$A18)*(dados!$U$2:$U$55&lt;&gt;""),dados!$U$2:$U$55)),"")</f>
        <v/>
      </c>
      <c r="I18" s="5">
        <f>IF(COUNTIFS(dados!$D$2:$D$55,$A18,dados!$U$2:$U$55,"&lt;&gt;")=0,"",_xlfn.MINIFS(dados!$U$2:$U$55,dados!$D$2:$D$55,$A18))</f>
        <v/>
      </c>
      <c r="J18" s="5">
        <f>IF(COUNTIFS(dados!$D$2:$D$55,$A18,dados!$U$2:$U$55,"&lt;&gt;")=0,"",_xlfn.MAXIFS(dados!$U$2:$U$55,dados!$D$2:$D$55,$A18))</f>
        <v/>
      </c>
      <c r="K18" s="5">
        <f>IFERROR(J18-I18,"")</f>
        <v/>
      </c>
    </row>
    <row r="19">
      <c r="A19" s="2" t="inlineStr">
        <is>
          <t>Norte</t>
        </is>
      </c>
      <c r="B19" s="14" t="inlineStr">
        <is>
          <t>Instagram</t>
        </is>
      </c>
      <c r="C19" s="2" t="inlineStr">
        <is>
          <t>comentarios_periodo</t>
        </is>
      </c>
      <c r="D19" s="2" t="inlineStr">
        <is>
          <t>Comentários no período</t>
        </is>
      </c>
      <c r="E19" s="5">
        <f>COUNTIFS(dados!$D$2:$D$55,$A19,dados!$V$2:$V$55,"&lt;&gt;")</f>
        <v/>
      </c>
      <c r="F19" s="5">
        <f>IFERROR(AVERAGEIFS(dados!$V$2:$V$55,dados!$D$2:$D$55,$A19),"")</f>
        <v/>
      </c>
      <c r="G19" s="5">
        <f t="array" ref="G19">IFERROR(MEDIAN(IF((dados!$D$2:$D$55=$A19)*(dados!$V$2:$V$55&lt;&gt;""),dados!$V$2:$V$55)),"")</f>
        <v/>
      </c>
      <c r="H19" s="5">
        <f t="array" ref="H19">IFERROR(STDEV(IF((dados!$D$2:$D$55=$A19)*(dados!$V$2:$V$55&lt;&gt;""),dados!$V$2:$V$55)),"")</f>
        <v/>
      </c>
      <c r="I19" s="5">
        <f>IF(COUNTIFS(dados!$D$2:$D$55,$A19,dados!$V$2:$V$55,"&lt;&gt;")=0,"",_xlfn.MINIFS(dados!$V$2:$V$55,dados!$D$2:$D$55,$A19))</f>
        <v/>
      </c>
      <c r="J19" s="5">
        <f>IF(COUNTIFS(dados!$D$2:$D$55,$A19,dados!$V$2:$V$55,"&lt;&gt;")=0,"",_xlfn.MAXIFS(dados!$V$2:$V$55,dados!$D$2:$D$55,$A19))</f>
        <v/>
      </c>
      <c r="K19" s="5">
        <f>IFERROR(J19-I19,"")</f>
        <v/>
      </c>
    </row>
    <row r="20">
      <c r="A20" s="2" t="inlineStr">
        <is>
          <t>Norte</t>
        </is>
      </c>
      <c r="B20" s="14" t="inlineStr">
        <is>
          <t>Instagram</t>
        </is>
      </c>
      <c r="C20" s="2" t="inlineStr">
        <is>
          <t>interacoes_por_post</t>
        </is>
      </c>
      <c r="D20" s="2" t="inlineStr">
        <is>
          <t>Interações por post no período (curtidas + comentários)</t>
        </is>
      </c>
      <c r="E20" s="5">
        <f>COUNTIFS(dados!$D$2:$D$55,$A20,dados!$W$2:$W$55,"&lt;&gt;")</f>
        <v/>
      </c>
      <c r="F20" s="6">
        <f>IFERROR(AVERAGEIFS(dados!$W$2:$W$55,dados!$D$2:$D$55,$A20),"")</f>
        <v/>
      </c>
      <c r="G20" s="6">
        <f t="array" ref="G20">IFERROR(MEDIAN(IF((dados!$D$2:$D$55=$A20)*(dados!$W$2:$W$55&lt;&gt;""),dados!$W$2:$W$55)),"")</f>
        <v/>
      </c>
      <c r="H20" s="6">
        <f t="array" ref="H20">IFERROR(STDEV(IF((dados!$D$2:$D$55=$A20)*(dados!$W$2:$W$55&lt;&gt;""),dados!$W$2:$W$55)),"")</f>
        <v/>
      </c>
      <c r="I20" s="6">
        <f>IF(COUNTIFS(dados!$D$2:$D$55,$A20,dados!$W$2:$W$55,"&lt;&gt;")=0,"",_xlfn.MINIFS(dados!$W$2:$W$55,dados!$D$2:$D$55,$A20))</f>
        <v/>
      </c>
      <c r="J20" s="6">
        <f>IF(COUNTIFS(dados!$D$2:$D$55,$A20,dados!$W$2:$W$55,"&lt;&gt;")=0,"",_xlfn.MAXIFS(dados!$W$2:$W$55,dados!$D$2:$D$55,$A20))</f>
        <v/>
      </c>
      <c r="K20" s="6">
        <f>IFERROR(J20-I20,"")</f>
        <v/>
      </c>
    </row>
    <row r="21">
      <c r="A21" s="2" t="inlineStr">
        <is>
          <t>Norte</t>
        </is>
      </c>
      <c r="B21" s="14" t="inlineStr">
        <is>
          <t>Instagram</t>
        </is>
      </c>
      <c r="C21" s="2" t="inlineStr">
        <is>
          <t>engajamento_pct</t>
        </is>
      </c>
      <c r="D21" s="2" t="inlineStr">
        <is>
          <t>Taxa de engajamento (interações por post ÷ seguidores)</t>
        </is>
      </c>
      <c r="E21" s="5">
        <f>COUNTIFS(dados!$D$2:$D$55,$A21,dados!$X$2:$X$55,"&lt;&gt;")</f>
        <v/>
      </c>
      <c r="F21" s="15">
        <f>IFERROR(AVERAGEIFS(dados!$X$2:$X$55,dados!$D$2:$D$55,$A21),"")</f>
        <v/>
      </c>
      <c r="G21" s="15">
        <f t="array" ref="G21">IFERROR(MEDIAN(IF((dados!$D$2:$D$55=$A21)*(dados!$X$2:$X$55&lt;&gt;""),dados!$X$2:$X$55)),"")</f>
        <v/>
      </c>
      <c r="H21" s="15">
        <f t="array" ref="H21">IFERROR(STDEV(IF((dados!$D$2:$D$55=$A21)*(dados!$X$2:$X$55&lt;&gt;""),dados!$X$2:$X$55)),"")</f>
        <v/>
      </c>
      <c r="I21" s="15">
        <f>IF(COUNTIFS(dados!$D$2:$D$55,$A21,dados!$X$2:$X$55,"&lt;&gt;")=0,"",_xlfn.MINIFS(dados!$X$2:$X$55,dados!$D$2:$D$55,$A21))</f>
        <v/>
      </c>
      <c r="J21" s="15">
        <f>IF(COUNTIFS(dados!$D$2:$D$55,$A21,dados!$X$2:$X$55,"&lt;&gt;")=0,"",_xlfn.MAXIFS(dados!$X$2:$X$55,dados!$D$2:$D$55,$A21))</f>
        <v/>
      </c>
      <c r="K21" s="15">
        <f>IFERROR(J21-I21,"")</f>
        <v/>
      </c>
    </row>
    <row r="22">
      <c r="A22" s="2" t="inlineStr">
        <is>
          <t>Norte</t>
        </is>
      </c>
      <c r="B22" s="16" t="inlineStr">
        <is>
          <t>Cardápio</t>
        </is>
      </c>
      <c r="C22" s="2" t="inlineStr">
        <is>
          <t>itens_com_preco</t>
        </is>
      </c>
      <c r="D22" s="2" t="inlineStr">
        <is>
          <t>Itens com preço no cardápio</t>
        </is>
      </c>
      <c r="E22" s="5">
        <f>COUNTIFS(dados!$D$2:$D$55,$A22,dados!$Y$2:$Y$55,"&lt;&gt;")</f>
        <v/>
      </c>
      <c r="F22" s="5">
        <f>IFERROR(AVERAGEIFS(dados!$Y$2:$Y$55,dados!$D$2:$D$55,$A22),"")</f>
        <v/>
      </c>
      <c r="G22" s="5">
        <f t="array" ref="G22">IFERROR(MEDIAN(IF((dados!$D$2:$D$55=$A22)*(dados!$Y$2:$Y$55&lt;&gt;""),dados!$Y$2:$Y$55)),"")</f>
        <v/>
      </c>
      <c r="H22" s="5">
        <f t="array" ref="H22">IFERROR(STDEV(IF((dados!$D$2:$D$55=$A22)*(dados!$Y$2:$Y$55&lt;&gt;""),dados!$Y$2:$Y$55)),"")</f>
        <v/>
      </c>
      <c r="I22" s="5">
        <f>IF(COUNTIFS(dados!$D$2:$D$55,$A22,dados!$Y$2:$Y$55,"&lt;&gt;")=0,"",_xlfn.MINIFS(dados!$Y$2:$Y$55,dados!$D$2:$D$55,$A22))</f>
        <v/>
      </c>
      <c r="J22" s="5">
        <f>IF(COUNTIFS(dados!$D$2:$D$55,$A22,dados!$Y$2:$Y$55,"&lt;&gt;")=0,"",_xlfn.MAXIFS(dados!$Y$2:$Y$55,dados!$D$2:$D$55,$A22))</f>
        <v/>
      </c>
      <c r="K22" s="5">
        <f>IFERROR(J22-I22,"")</f>
        <v/>
      </c>
    </row>
    <row r="23">
      <c r="A23" s="2" t="inlineStr">
        <is>
          <t>Norte</t>
        </is>
      </c>
      <c r="B23" s="16" t="inlineStr">
        <is>
          <t>Cardápio</t>
        </is>
      </c>
      <c r="C23" s="2" t="inlineStr">
        <is>
          <t>couvert_mediana</t>
        </is>
      </c>
      <c r="D23" s="2" t="inlineStr">
        <is>
          <t>Couvert ou taxa de jogo (só casas que cobram)</t>
        </is>
      </c>
      <c r="E23" s="5">
        <f>COUNTIFS(dados!$D$2:$D$55,$A23,dados!$Z$2:$Z$55,"&lt;&gt;")</f>
        <v/>
      </c>
      <c r="F23" s="7">
        <f>IFERROR(AVERAGEIFS(dados!$Z$2:$Z$55,dados!$D$2:$D$55,$A23),"")</f>
        <v/>
      </c>
      <c r="G23" s="7">
        <f t="array" ref="G23">IFERROR(MEDIAN(IF((dados!$D$2:$D$55=$A23)*(dados!$Z$2:$Z$55&lt;&gt;""),dados!$Z$2:$Z$55)),"")</f>
        <v/>
      </c>
      <c r="H23" s="7">
        <f t="array" ref="H23">IFERROR(STDEV(IF((dados!$D$2:$D$55=$A23)*(dados!$Z$2:$Z$55&lt;&gt;""),dados!$Z$2:$Z$55)),"")</f>
        <v/>
      </c>
      <c r="I23" s="7">
        <f>IF(COUNTIFS(dados!$D$2:$D$55,$A23,dados!$Z$2:$Z$55,"&lt;&gt;")=0,"",_xlfn.MINIFS(dados!$Z$2:$Z$55,dados!$D$2:$D$55,$A23))</f>
        <v/>
      </c>
      <c r="J23" s="7">
        <f>IF(COUNTIFS(dados!$D$2:$D$55,$A23,dados!$Z$2:$Z$55,"&lt;&gt;")=0,"",_xlfn.MAXIFS(dados!$Z$2:$Z$55,dados!$D$2:$D$55,$A23))</f>
        <v/>
      </c>
      <c r="K23" s="7">
        <f>IFERROR(J23-I23,"")</f>
        <v/>
      </c>
    </row>
    <row r="24">
      <c r="A24" s="2" t="inlineStr">
        <is>
          <t>Norte</t>
        </is>
      </c>
      <c r="B24" s="16" t="inlineStr">
        <is>
          <t>Cardápio</t>
        </is>
      </c>
      <c r="C24" s="2" t="inlineStr">
        <is>
          <t>bebida_mediana</t>
        </is>
      </c>
      <c r="D24" s="2" t="inlineStr">
        <is>
          <t>Bebida, mediana do cardápio</t>
        </is>
      </c>
      <c r="E24" s="5">
        <f>COUNTIFS(dados!$D$2:$D$55,$A24,dados!$AA$2:$AA$55,"&lt;&gt;")</f>
        <v/>
      </c>
      <c r="F24" s="7">
        <f>IFERROR(AVERAGEIFS(dados!$AA$2:$AA$55,dados!$D$2:$D$55,$A24),"")</f>
        <v/>
      </c>
      <c r="G24" s="7">
        <f t="array" ref="G24">IFERROR(MEDIAN(IF((dados!$D$2:$D$55=$A24)*(dados!$AA$2:$AA$55&lt;&gt;""),dados!$AA$2:$AA$55)),"")</f>
        <v/>
      </c>
      <c r="H24" s="7">
        <f t="array" ref="H24">IFERROR(STDEV(IF((dados!$D$2:$D$55=$A24)*(dados!$AA$2:$AA$55&lt;&gt;""),dados!$AA$2:$AA$55)),"")</f>
        <v/>
      </c>
      <c r="I24" s="7">
        <f>IF(COUNTIFS(dados!$D$2:$D$55,$A24,dados!$AA$2:$AA$55,"&lt;&gt;")=0,"",_xlfn.MINIFS(dados!$AA$2:$AA$55,dados!$D$2:$D$55,$A24))</f>
        <v/>
      </c>
      <c r="J24" s="7">
        <f>IF(COUNTIFS(dados!$D$2:$D$55,$A24,dados!$AA$2:$AA$55,"&lt;&gt;")=0,"",_xlfn.MAXIFS(dados!$AA$2:$AA$55,dados!$D$2:$D$55,$A24))</f>
        <v/>
      </c>
      <c r="K24" s="7">
        <f>IFERROR(J24-I24,"")</f>
        <v/>
      </c>
    </row>
    <row r="25">
      <c r="A25" s="2" t="inlineStr">
        <is>
          <t>Norte</t>
        </is>
      </c>
      <c r="B25" s="16" t="inlineStr">
        <is>
          <t>Cardápio</t>
        </is>
      </c>
      <c r="C25" s="2" t="inlineStr">
        <is>
          <t>entrada_ou_prato_mediana</t>
        </is>
      </c>
      <c r="D25" s="2" t="inlineStr">
        <is>
          <t>Entrada ou prato, mediana do cardápio</t>
        </is>
      </c>
      <c r="E25" s="5">
        <f>COUNTIFS(dados!$D$2:$D$55,$A25,dados!$AB$2:$AB$55,"&lt;&gt;")</f>
        <v/>
      </c>
      <c r="F25" s="7">
        <f>IFERROR(AVERAGEIFS(dados!$AB$2:$AB$55,dados!$D$2:$D$55,$A25),"")</f>
        <v/>
      </c>
      <c r="G25" s="7">
        <f t="array" ref="G25">IFERROR(MEDIAN(IF((dados!$D$2:$D$55=$A25)*(dados!$AB$2:$AB$55&lt;&gt;""),dados!$AB$2:$AB$55)),"")</f>
        <v/>
      </c>
      <c r="H25" s="7">
        <f t="array" ref="H25">IFERROR(STDEV(IF((dados!$D$2:$D$55=$A25)*(dados!$AB$2:$AB$55&lt;&gt;""),dados!$AB$2:$AB$55)),"")</f>
        <v/>
      </c>
      <c r="I25" s="7">
        <f>IF(COUNTIFS(dados!$D$2:$D$55,$A25,dados!$AB$2:$AB$55,"&lt;&gt;")=0,"",_xlfn.MINIFS(dados!$AB$2:$AB$55,dados!$D$2:$D$55,$A25))</f>
        <v/>
      </c>
      <c r="J25" s="7">
        <f>IF(COUNTIFS(dados!$D$2:$D$55,$A25,dados!$AB$2:$AB$55,"&lt;&gt;")=0,"",_xlfn.MAXIFS(dados!$AB$2:$AB$55,dados!$D$2:$D$55,$A25))</f>
        <v/>
      </c>
      <c r="K25" s="7">
        <f>IFERROR(J25-I25,"")</f>
        <v/>
      </c>
    </row>
    <row r="26">
      <c r="A26" s="2" t="inlineStr">
        <is>
          <t>Norte</t>
        </is>
      </c>
      <c r="B26" s="16" t="inlineStr">
        <is>
          <t>Cardápio</t>
        </is>
      </c>
      <c r="C26" s="2" t="inlineStr">
        <is>
          <t>cesta_baixa</t>
        </is>
      </c>
      <c r="D26" s="2" t="inlineStr">
        <is>
          <t>Cesta por pessoa, nível baixo (P25)</t>
        </is>
      </c>
      <c r="E26" s="5">
        <f>COUNTIFS(dados!$D$2:$D$55,$A26,dados!$AC$2:$AC$55,"&lt;&gt;")</f>
        <v/>
      </c>
      <c r="F26" s="7">
        <f>IFERROR(AVERAGEIFS(dados!$AC$2:$AC$55,dados!$D$2:$D$55,$A26),"")</f>
        <v/>
      </c>
      <c r="G26" s="7">
        <f t="array" ref="G26">IFERROR(MEDIAN(IF((dados!$D$2:$D$55=$A26)*(dados!$AC$2:$AC$55&lt;&gt;""),dados!$AC$2:$AC$55)),"")</f>
        <v/>
      </c>
      <c r="H26" s="7">
        <f t="array" ref="H26">IFERROR(STDEV(IF((dados!$D$2:$D$55=$A26)*(dados!$AC$2:$AC$55&lt;&gt;""),dados!$AC$2:$AC$55)),"")</f>
        <v/>
      </c>
      <c r="I26" s="7">
        <f>IF(COUNTIFS(dados!$D$2:$D$55,$A26,dados!$AC$2:$AC$55,"&lt;&gt;")=0,"",_xlfn.MINIFS(dados!$AC$2:$AC$55,dados!$D$2:$D$55,$A26))</f>
        <v/>
      </c>
      <c r="J26" s="7">
        <f>IF(COUNTIFS(dados!$D$2:$D$55,$A26,dados!$AC$2:$AC$55,"&lt;&gt;")=0,"",_xlfn.MAXIFS(dados!$AC$2:$AC$55,dados!$D$2:$D$55,$A26))</f>
        <v/>
      </c>
      <c r="K26" s="7">
        <f>IFERROR(J26-I26,"")</f>
        <v/>
      </c>
    </row>
    <row r="27">
      <c r="A27" s="2" t="inlineStr">
        <is>
          <t>Norte</t>
        </is>
      </c>
      <c r="B27" s="16" t="inlineStr">
        <is>
          <t>Cardápio</t>
        </is>
      </c>
      <c r="C27" s="2" t="inlineStr">
        <is>
          <t>cesta_mediana</t>
        </is>
      </c>
      <c r="D27" s="2" t="inlineStr">
        <is>
          <t>Cesta por pessoa, nível mediano</t>
        </is>
      </c>
      <c r="E27" s="5">
        <f>COUNTIFS(dados!$D$2:$D$55,$A27,dados!$AD$2:$AD$55,"&lt;&gt;")</f>
        <v/>
      </c>
      <c r="F27" s="7">
        <f>IFERROR(AVERAGEIFS(dados!$AD$2:$AD$55,dados!$D$2:$D$55,$A27),"")</f>
        <v/>
      </c>
      <c r="G27" s="7">
        <f t="array" ref="G27">IFERROR(MEDIAN(IF((dados!$D$2:$D$55=$A27)*(dados!$AD$2:$AD$55&lt;&gt;""),dados!$AD$2:$AD$55)),"")</f>
        <v/>
      </c>
      <c r="H27" s="7">
        <f t="array" ref="H27">IFERROR(STDEV(IF((dados!$D$2:$D$55=$A27)*(dados!$AD$2:$AD$55&lt;&gt;""),dados!$AD$2:$AD$55)),"")</f>
        <v/>
      </c>
      <c r="I27" s="7">
        <f>IF(COUNTIFS(dados!$D$2:$D$55,$A27,dados!$AD$2:$AD$55,"&lt;&gt;")=0,"",_xlfn.MINIFS(dados!$AD$2:$AD$55,dados!$D$2:$D$55,$A27))</f>
        <v/>
      </c>
      <c r="J27" s="7">
        <f>IF(COUNTIFS(dados!$D$2:$D$55,$A27,dados!$AD$2:$AD$55,"&lt;&gt;")=0,"",_xlfn.MAXIFS(dados!$AD$2:$AD$55,dados!$D$2:$D$55,$A27))</f>
        <v/>
      </c>
      <c r="K27" s="7">
        <f>IFERROR(J27-I27,"")</f>
        <v/>
      </c>
    </row>
    <row r="28">
      <c r="A28" s="2" t="inlineStr">
        <is>
          <t>Norte</t>
        </is>
      </c>
      <c r="B28" s="16" t="inlineStr">
        <is>
          <t>Cardápio</t>
        </is>
      </c>
      <c r="C28" s="2" t="inlineStr">
        <is>
          <t>cesta_alta</t>
        </is>
      </c>
      <c r="D28" s="2" t="inlineStr">
        <is>
          <t>Cesta por pessoa, nível alto (P75)</t>
        </is>
      </c>
      <c r="E28" s="5">
        <f>COUNTIFS(dados!$D$2:$D$55,$A28,dados!$AE$2:$AE$55,"&lt;&gt;")</f>
        <v/>
      </c>
      <c r="F28" s="7">
        <f>IFERROR(AVERAGEIFS(dados!$AE$2:$AE$55,dados!$D$2:$D$55,$A28),"")</f>
        <v/>
      </c>
      <c r="G28" s="7">
        <f t="array" ref="G28">IFERROR(MEDIAN(IF((dados!$D$2:$D$55=$A28)*(dados!$AE$2:$AE$55&lt;&gt;""),dados!$AE$2:$AE$55)),"")</f>
        <v/>
      </c>
      <c r="H28" s="7">
        <f t="array" ref="H28">IFERROR(STDEV(IF((dados!$D$2:$D$55=$A28)*(dados!$AE$2:$AE$55&lt;&gt;""),dados!$AE$2:$AE$55)),"")</f>
        <v/>
      </c>
      <c r="I28" s="7">
        <f>IF(COUNTIFS(dados!$D$2:$D$55,$A28,dados!$AE$2:$AE$55,"&lt;&gt;")=0,"",_xlfn.MINIFS(dados!$AE$2:$AE$55,dados!$D$2:$D$55,$A28))</f>
        <v/>
      </c>
      <c r="J28" s="7">
        <f>IF(COUNTIFS(dados!$D$2:$D$55,$A28,dados!$AE$2:$AE$55,"&lt;&gt;")=0,"",_xlfn.MAXIFS(dados!$AE$2:$AE$55,dados!$D$2:$D$55,$A28))</f>
        <v/>
      </c>
      <c r="K28" s="7">
        <f>IFERROR(J28-I28,"")</f>
        <v/>
      </c>
    </row>
    <row r="29">
      <c r="A29" s="2" t="inlineStr">
        <is>
          <t>Norte</t>
        </is>
      </c>
      <c r="B29" s="16" t="inlineStr">
        <is>
          <t>Cardápio</t>
        </is>
      </c>
      <c r="C29" s="2" t="inlineStr">
        <is>
          <t>hamburguer_mediana</t>
        </is>
      </c>
      <c r="D29" s="2" t="inlineStr">
        <is>
          <t>Hambúrguer, mediana</t>
        </is>
      </c>
      <c r="E29" s="5">
        <f>COUNTIFS(dados!$D$2:$D$55,$A29,dados!$AF$2:$AF$55,"&lt;&gt;")</f>
        <v/>
      </c>
      <c r="F29" s="7">
        <f>IFERROR(AVERAGEIFS(dados!$AF$2:$AF$55,dados!$D$2:$D$55,$A29),"")</f>
        <v/>
      </c>
      <c r="G29" s="7">
        <f t="array" ref="G29">IFERROR(MEDIAN(IF((dados!$D$2:$D$55=$A29)*(dados!$AF$2:$AF$55&lt;&gt;""),dados!$AF$2:$AF$55)),"")</f>
        <v/>
      </c>
      <c r="H29" s="7">
        <f t="array" ref="H29">IFERROR(STDEV(IF((dados!$D$2:$D$55=$A29)*(dados!$AF$2:$AF$55&lt;&gt;""),dados!$AF$2:$AF$55)),"")</f>
        <v/>
      </c>
      <c r="I29" s="7">
        <f>IF(COUNTIFS(dados!$D$2:$D$55,$A29,dados!$AF$2:$AF$55,"&lt;&gt;")=0,"",_xlfn.MINIFS(dados!$AF$2:$AF$55,dados!$D$2:$D$55,$A29))</f>
        <v/>
      </c>
      <c r="J29" s="7">
        <f>IF(COUNTIFS(dados!$D$2:$D$55,$A29,dados!$AF$2:$AF$55,"&lt;&gt;")=0,"",_xlfn.MAXIFS(dados!$AF$2:$AF$55,dados!$D$2:$D$55,$A29))</f>
        <v/>
      </c>
      <c r="K29" s="7">
        <f>IFERROR(J29-I29,"")</f>
        <v/>
      </c>
    </row>
    <row r="30">
      <c r="A30" s="2" t="inlineStr">
        <is>
          <t>Norte</t>
        </is>
      </c>
      <c r="B30" s="16" t="inlineStr">
        <is>
          <t>Cardápio</t>
        </is>
      </c>
      <c r="C30" s="2" t="inlineStr">
        <is>
          <t>batata_mediana</t>
        </is>
      </c>
      <c r="D30" s="2" t="inlineStr">
        <is>
          <t>Batata, mediana</t>
        </is>
      </c>
      <c r="E30" s="5">
        <f>COUNTIFS(dados!$D$2:$D$55,$A30,dados!$AG$2:$AG$55,"&lt;&gt;")</f>
        <v/>
      </c>
      <c r="F30" s="7">
        <f>IFERROR(AVERAGEIFS(dados!$AG$2:$AG$55,dados!$D$2:$D$55,$A30),"")</f>
        <v/>
      </c>
      <c r="G30" s="7">
        <f t="array" ref="G30">IFERROR(MEDIAN(IF((dados!$D$2:$D$55=$A30)*(dados!$AG$2:$AG$55&lt;&gt;""),dados!$AG$2:$AG$55)),"")</f>
        <v/>
      </c>
      <c r="H30" s="7">
        <f t="array" ref="H30">IFERROR(STDEV(IF((dados!$D$2:$D$55=$A30)*(dados!$AG$2:$AG$55&lt;&gt;""),dados!$AG$2:$AG$55)),"")</f>
        <v/>
      </c>
      <c r="I30" s="7">
        <f>IF(COUNTIFS(dados!$D$2:$D$55,$A30,dados!$AG$2:$AG$55,"&lt;&gt;")=0,"",_xlfn.MINIFS(dados!$AG$2:$AG$55,dados!$D$2:$D$55,$A30))</f>
        <v/>
      </c>
      <c r="J30" s="7">
        <f>IF(COUNTIFS(dados!$D$2:$D$55,$A30,dados!$AG$2:$AG$55,"&lt;&gt;")=0,"",_xlfn.MAXIFS(dados!$AG$2:$AG$55,dados!$D$2:$D$55,$A30))</f>
        <v/>
      </c>
      <c r="K30" s="7">
        <f>IFERROR(J30-I30,"")</f>
        <v/>
      </c>
    </row>
    <row r="31">
      <c r="A31" s="2" t="inlineStr">
        <is>
          <t>Norte</t>
        </is>
      </c>
      <c r="B31" s="16" t="inlineStr">
        <is>
          <t>Cardápio</t>
        </is>
      </c>
      <c r="C31" s="2" t="inlineStr">
        <is>
          <t>cerveja_mediana</t>
        </is>
      </c>
      <c r="D31" s="2" t="inlineStr">
        <is>
          <t>Cerveja, mediana</t>
        </is>
      </c>
      <c r="E31" s="5">
        <f>COUNTIFS(dados!$D$2:$D$55,$A31,dados!$AH$2:$AH$55,"&lt;&gt;")</f>
        <v/>
      </c>
      <c r="F31" s="7">
        <f>IFERROR(AVERAGEIFS(dados!$AH$2:$AH$55,dados!$D$2:$D$55,$A31),"")</f>
        <v/>
      </c>
      <c r="G31" s="7">
        <f t="array" ref="G31">IFERROR(MEDIAN(IF((dados!$D$2:$D$55=$A31)*(dados!$AH$2:$AH$55&lt;&gt;""),dados!$AH$2:$AH$55)),"")</f>
        <v/>
      </c>
      <c r="H31" s="7">
        <f t="array" ref="H31">IFERROR(STDEV(IF((dados!$D$2:$D$55=$A31)*(dados!$AH$2:$AH$55&lt;&gt;""),dados!$AH$2:$AH$55)),"")</f>
        <v/>
      </c>
      <c r="I31" s="7">
        <f>IF(COUNTIFS(dados!$D$2:$D$55,$A31,dados!$AH$2:$AH$55,"&lt;&gt;")=0,"",_xlfn.MINIFS(dados!$AH$2:$AH$55,dados!$D$2:$D$55,$A31))</f>
        <v/>
      </c>
      <c r="J31" s="7">
        <f>IF(COUNTIFS(dados!$D$2:$D$55,$A31,dados!$AH$2:$AH$55,"&lt;&gt;")=0,"",_xlfn.MAXIFS(dados!$AH$2:$AH$55,dados!$D$2:$D$55,$A31))</f>
        <v/>
      </c>
      <c r="K31" s="7">
        <f>IFERROR(J31-I31,"")</f>
        <v/>
      </c>
    </row>
    <row r="32">
      <c r="A32" s="2" t="inlineStr">
        <is>
          <t>Norte</t>
        </is>
      </c>
      <c r="B32" s="16" t="inlineStr">
        <is>
          <t>Cardápio</t>
        </is>
      </c>
      <c r="C32" s="2" t="inlineStr">
        <is>
          <t>refrigerante_mediana</t>
        </is>
      </c>
      <c r="D32" s="2" t="inlineStr">
        <is>
          <t>Refrigerante, mediana</t>
        </is>
      </c>
      <c r="E32" s="5">
        <f>COUNTIFS(dados!$D$2:$D$55,$A32,dados!$AI$2:$AI$55,"&lt;&gt;")</f>
        <v/>
      </c>
      <c r="F32" s="7">
        <f>IFERROR(AVERAGEIFS(dados!$AI$2:$AI$55,dados!$D$2:$D$55,$A32),"")</f>
        <v/>
      </c>
      <c r="G32" s="7">
        <f t="array" ref="G32">IFERROR(MEDIAN(IF((dados!$D$2:$D$55=$A32)*(dados!$AI$2:$AI$55&lt;&gt;""),dados!$AI$2:$AI$55)),"")</f>
        <v/>
      </c>
      <c r="H32" s="7">
        <f t="array" ref="H32">IFERROR(STDEV(IF((dados!$D$2:$D$55=$A32)*(dados!$AI$2:$AI$55&lt;&gt;""),dados!$AI$2:$AI$55)),"")</f>
        <v/>
      </c>
      <c r="I32" s="7">
        <f>IF(COUNTIFS(dados!$D$2:$D$55,$A32,dados!$AI$2:$AI$55,"&lt;&gt;")=0,"",_xlfn.MINIFS(dados!$AI$2:$AI$55,dados!$D$2:$D$55,$A32))</f>
        <v/>
      </c>
      <c r="J32" s="7">
        <f>IF(COUNTIFS(dados!$D$2:$D$55,$A32,dados!$AI$2:$AI$55,"&lt;&gt;")=0,"",_xlfn.MAXIFS(dados!$AI$2:$AI$55,dados!$D$2:$D$55,$A32))</f>
        <v/>
      </c>
      <c r="K32" s="7">
        <f>IFERROR(J32-I32,"")</f>
        <v/>
      </c>
    </row>
    <row r="33">
      <c r="A33" s="2" t="inlineStr">
        <is>
          <t>Norte</t>
        </is>
      </c>
      <c r="B33" s="16" t="inlineStr">
        <is>
          <t>Cardápio</t>
        </is>
      </c>
      <c r="C33" s="2" t="inlineStr">
        <is>
          <t>drinks_mediana</t>
        </is>
      </c>
      <c r="D33" s="2" t="inlineStr">
        <is>
          <t>Drinks, mediana</t>
        </is>
      </c>
      <c r="E33" s="5">
        <f>COUNTIFS(dados!$D$2:$D$55,$A33,dados!$AJ$2:$AJ$55,"&lt;&gt;")</f>
        <v/>
      </c>
      <c r="F33" s="7">
        <f>IFERROR(AVERAGEIFS(dados!$AJ$2:$AJ$55,dados!$D$2:$D$55,$A33),"")</f>
        <v/>
      </c>
      <c r="G33" s="7">
        <f t="array" ref="G33">IFERROR(MEDIAN(IF((dados!$D$2:$D$55=$A33)*(dados!$AJ$2:$AJ$55&lt;&gt;""),dados!$AJ$2:$AJ$55)),"")</f>
        <v/>
      </c>
      <c r="H33" s="7">
        <f t="array" ref="H33">IFERROR(STDEV(IF((dados!$D$2:$D$55=$A33)*(dados!$AJ$2:$AJ$55&lt;&gt;""),dados!$AJ$2:$AJ$55)),"")</f>
        <v/>
      </c>
      <c r="I33" s="7">
        <f>IF(COUNTIFS(dados!$D$2:$D$55,$A33,dados!$AJ$2:$AJ$55,"&lt;&gt;")=0,"",_xlfn.MINIFS(dados!$AJ$2:$AJ$55,dados!$D$2:$D$55,$A33))</f>
        <v/>
      </c>
      <c r="J33" s="7">
        <f>IF(COUNTIFS(dados!$D$2:$D$55,$A33,dados!$AJ$2:$AJ$55,"&lt;&gt;")=0,"",_xlfn.MAXIFS(dados!$AJ$2:$AJ$55,dados!$D$2:$D$55,$A33))</f>
        <v/>
      </c>
      <c r="K33" s="7">
        <f>IFERROR(J33-I33,"")</f>
        <v/>
      </c>
    </row>
    <row r="34">
      <c r="A34" s="2" t="inlineStr">
        <is>
          <t>Norte</t>
        </is>
      </c>
      <c r="B34" s="17" t="inlineStr">
        <is>
          <t>Acervo</t>
        </is>
      </c>
      <c r="C34" s="2" t="inlineStr">
        <is>
          <t>titulos_acervo</t>
        </is>
      </c>
      <c r="D34" s="2" t="inlineStr">
        <is>
          <t>Títulos no acervo publicado</t>
        </is>
      </c>
      <c r="E34" s="5">
        <f>COUNTIFS(dados!$D$2:$D$55,$A34,dados!$AK$2:$AK$55,"&lt;&gt;")</f>
        <v/>
      </c>
      <c r="F34" s="5">
        <f>IFERROR(AVERAGEIFS(dados!$AK$2:$AK$55,dados!$D$2:$D$55,$A34),"")</f>
        <v/>
      </c>
      <c r="G34" s="5">
        <f t="array" ref="G34">IFERROR(MEDIAN(IF((dados!$D$2:$D$55=$A34)*(dados!$AK$2:$AK$55&lt;&gt;""),dados!$AK$2:$AK$55)),"")</f>
        <v/>
      </c>
      <c r="H34" s="5">
        <f t="array" ref="H34">IFERROR(STDEV(IF((dados!$D$2:$D$55=$A34)*(dados!$AK$2:$AK$55&lt;&gt;""),dados!$AK$2:$AK$55)),"")</f>
        <v/>
      </c>
      <c r="I34" s="5">
        <f>IF(COUNTIFS(dados!$D$2:$D$55,$A34,dados!$AK$2:$AK$55,"&lt;&gt;")=0,"",_xlfn.MINIFS(dados!$AK$2:$AK$55,dados!$D$2:$D$55,$A34))</f>
        <v/>
      </c>
      <c r="J34" s="5">
        <f>IF(COUNTIFS(dados!$D$2:$D$55,$A34,dados!$AK$2:$AK$55,"&lt;&gt;")=0,"",_xlfn.MAXIFS(dados!$AK$2:$AK$55,dados!$D$2:$D$55,$A34))</f>
        <v/>
      </c>
      <c r="K34" s="5">
        <f>IFERROR(J34-I34,"")</f>
        <v/>
      </c>
    </row>
    <row r="35">
      <c r="A35" s="2" t="inlineStr">
        <is>
          <t>Norte</t>
        </is>
      </c>
      <c r="B35" s="18" t="inlineStr">
        <is>
          <t>B2</t>
        </is>
      </c>
      <c r="C35" s="2" t="inlineStr">
        <is>
          <t>avaliacoes_b2</t>
        </is>
      </c>
      <c r="D35" s="2" t="inlineStr">
        <is>
          <t>Avaliações no recorte do B2 (até '3 meses atrás')</t>
        </is>
      </c>
      <c r="E35" s="5">
        <f>COUNTIFS(dados!$D$2:$D$55,$A35,dados!$AL$2:$AL$55,"&lt;&gt;")</f>
        <v/>
      </c>
      <c r="F35" s="5">
        <f>IFERROR(AVERAGEIFS(dados!$AL$2:$AL$55,dados!$D$2:$D$55,$A35),"")</f>
        <v/>
      </c>
      <c r="G35" s="5">
        <f t="array" ref="G35">IFERROR(MEDIAN(IF((dados!$D$2:$D$55=$A35)*(dados!$AL$2:$AL$55&lt;&gt;""),dados!$AL$2:$AL$55)),"")</f>
        <v/>
      </c>
      <c r="H35" s="5">
        <f t="array" ref="H35">IFERROR(STDEV(IF((dados!$D$2:$D$55=$A35)*(dados!$AL$2:$AL$55&lt;&gt;""),dados!$AL$2:$AL$55)),"")</f>
        <v/>
      </c>
      <c r="I35" s="5">
        <f>IF(COUNTIFS(dados!$D$2:$D$55,$A35,dados!$AL$2:$AL$55,"&lt;&gt;")=0,"",_xlfn.MINIFS(dados!$AL$2:$AL$55,dados!$D$2:$D$55,$A35))</f>
        <v/>
      </c>
      <c r="J35" s="5">
        <f>IF(COUNTIFS(dados!$D$2:$D$55,$A35,dados!$AL$2:$AL$55,"&lt;&gt;")=0,"",_xlfn.MAXIFS(dados!$AL$2:$AL$55,dados!$D$2:$D$55,$A35))</f>
        <v/>
      </c>
      <c r="K35" s="5">
        <f>IFERROR(J35-I35,"")</f>
        <v/>
      </c>
    </row>
    <row r="36">
      <c r="A36" s="2" t="inlineStr">
        <is>
          <t>Norte</t>
        </is>
      </c>
      <c r="B36" s="18" t="inlineStr">
        <is>
          <t>B2</t>
        </is>
      </c>
      <c r="C36" s="2" t="inlineStr">
        <is>
          <t>avaliacoes_b2_com_texto</t>
        </is>
      </c>
      <c r="D36" s="2" t="inlineStr">
        <is>
          <t>Dessas, com texto</t>
        </is>
      </c>
      <c r="E36" s="5">
        <f>COUNTIFS(dados!$D$2:$D$55,$A36,dados!$AM$2:$AM$55,"&lt;&gt;")</f>
        <v/>
      </c>
      <c r="F36" s="5">
        <f>IFERROR(AVERAGEIFS(dados!$AM$2:$AM$55,dados!$D$2:$D$55,$A36),"")</f>
        <v/>
      </c>
      <c r="G36" s="5">
        <f t="array" ref="G36">IFERROR(MEDIAN(IF((dados!$D$2:$D$55=$A36)*(dados!$AM$2:$AM$55&lt;&gt;""),dados!$AM$2:$AM$55)),"")</f>
        <v/>
      </c>
      <c r="H36" s="5">
        <f t="array" ref="H36">IFERROR(STDEV(IF((dados!$D$2:$D$55=$A36)*(dados!$AM$2:$AM$55&lt;&gt;""),dados!$AM$2:$AM$55)),"")</f>
        <v/>
      </c>
      <c r="I36" s="5">
        <f>IF(COUNTIFS(dados!$D$2:$D$55,$A36,dados!$AM$2:$AM$55,"&lt;&gt;")=0,"",_xlfn.MINIFS(dados!$AM$2:$AM$55,dados!$D$2:$D$55,$A36))</f>
        <v/>
      </c>
      <c r="J36" s="5">
        <f>IF(COUNTIFS(dados!$D$2:$D$55,$A36,dados!$AM$2:$AM$55,"&lt;&gt;")=0,"",_xlfn.MAXIFS(dados!$AM$2:$AM$55,dados!$D$2:$D$55,$A36))</f>
        <v/>
      </c>
      <c r="K36" s="5">
        <f>IFERROR(J36-I36,"")</f>
        <v/>
      </c>
    </row>
    <row r="37">
      <c r="A37" s="2" t="inlineStr">
        <is>
          <t>Nordeste</t>
        </is>
      </c>
      <c r="B37" s="11" t="inlineStr">
        <is>
          <t>Google Maps</t>
        </is>
      </c>
      <c r="C37" s="2" t="inlineStr">
        <is>
          <t>avaliacao_media</t>
        </is>
      </c>
      <c r="D37" s="2" t="inlineStr">
        <is>
          <t>Nota média no Google</t>
        </is>
      </c>
      <c r="E37" s="5">
        <f>COUNTIFS(dados!$D$2:$D$55,$A37,dados!$E$2:$E$55,"&lt;&gt;")</f>
        <v/>
      </c>
      <c r="F37" s="4">
        <f>IFERROR(AVERAGEIFS(dados!$E$2:$E$55,dados!$D$2:$D$55,$A37),"")</f>
        <v/>
      </c>
      <c r="G37" s="4">
        <f t="array" ref="G37">IFERROR(MEDIAN(IF((dados!$D$2:$D$55=$A37)*(dados!$E$2:$E$55&lt;&gt;""),dados!$E$2:$E$55)),"")</f>
        <v/>
      </c>
      <c r="H37" s="4">
        <f t="array" ref="H37">IFERROR(STDEV(IF((dados!$D$2:$D$55=$A37)*(dados!$E$2:$E$55&lt;&gt;""),dados!$E$2:$E$55)),"")</f>
        <v/>
      </c>
      <c r="I37" s="4">
        <f>IF(COUNTIFS(dados!$D$2:$D$55,$A37,dados!$E$2:$E$55,"&lt;&gt;")=0,"",_xlfn.MINIFS(dados!$E$2:$E$55,dados!$D$2:$D$55,$A37))</f>
        <v/>
      </c>
      <c r="J37" s="4">
        <f>IF(COUNTIFS(dados!$D$2:$D$55,$A37,dados!$E$2:$E$55,"&lt;&gt;")=0,"",_xlfn.MAXIFS(dados!$E$2:$E$55,dados!$D$2:$D$55,$A37))</f>
        <v/>
      </c>
      <c r="K37" s="4">
        <f>IFERROR(J37-I37,"")</f>
        <v/>
      </c>
    </row>
    <row r="38">
      <c r="A38" s="2" t="inlineStr">
        <is>
          <t>Nordeste</t>
        </is>
      </c>
      <c r="B38" s="11" t="inlineStr">
        <is>
          <t>Google Maps</t>
        </is>
      </c>
      <c r="C38" s="2" t="inlineStr">
        <is>
          <t>volume_avaliacoes</t>
        </is>
      </c>
      <c r="D38" s="2" t="inlineStr">
        <is>
          <t>Nº de avaliações no Google</t>
        </is>
      </c>
      <c r="E38" s="5">
        <f>COUNTIFS(dados!$D$2:$D$55,$A38,dados!$F$2:$F$55,"&lt;&gt;")</f>
        <v/>
      </c>
      <c r="F38" s="5">
        <f>IFERROR(AVERAGEIFS(dados!$F$2:$F$55,dados!$D$2:$D$55,$A38),"")</f>
        <v/>
      </c>
      <c r="G38" s="5">
        <f t="array" ref="G38">IFERROR(MEDIAN(IF((dados!$D$2:$D$55=$A38)*(dados!$F$2:$F$55&lt;&gt;""),dados!$F$2:$F$55)),"")</f>
        <v/>
      </c>
      <c r="H38" s="5">
        <f t="array" ref="H38">IFERROR(STDEV(IF((dados!$D$2:$D$55=$A38)*(dados!$F$2:$F$55&lt;&gt;""),dados!$F$2:$F$55)),"")</f>
        <v/>
      </c>
      <c r="I38" s="5">
        <f>IF(COUNTIFS(dados!$D$2:$D$55,$A38,dados!$F$2:$F$55,"&lt;&gt;")=0,"",_xlfn.MINIFS(dados!$F$2:$F$55,dados!$D$2:$D$55,$A38))</f>
        <v/>
      </c>
      <c r="J38" s="5">
        <f>IF(COUNTIFS(dados!$D$2:$D$55,$A38,dados!$F$2:$F$55,"&lt;&gt;")=0,"",_xlfn.MAXIFS(dados!$F$2:$F$55,dados!$D$2:$D$55,$A38))</f>
        <v/>
      </c>
      <c r="K38" s="5">
        <f>IFERROR(J38-I38,"")</f>
        <v/>
      </c>
    </row>
    <row r="39">
      <c r="A39" s="2" t="inlineStr">
        <is>
          <t>Nordeste</t>
        </is>
      </c>
      <c r="B39" s="12" t="inlineStr">
        <is>
          <t>Horários</t>
        </is>
      </c>
      <c r="C39" s="2" t="inlineStr">
        <is>
          <t>dias_abertos</t>
        </is>
      </c>
      <c r="D39" s="2" t="inlineStr">
        <is>
          <t>Dias abertos por semana</t>
        </is>
      </c>
      <c r="E39" s="5">
        <f>COUNTIFS(dados!$D$2:$D$55,$A39,dados!$G$2:$G$55,"&lt;&gt;")</f>
        <v/>
      </c>
      <c r="F39" s="6">
        <f>IFERROR(AVERAGEIFS(dados!$G$2:$G$55,dados!$D$2:$D$55,$A39),"")</f>
        <v/>
      </c>
      <c r="G39" s="6">
        <f t="array" ref="G39">IFERROR(MEDIAN(IF((dados!$D$2:$D$55=$A39)*(dados!$G$2:$G$55&lt;&gt;""),dados!$G$2:$G$55)),"")</f>
        <v/>
      </c>
      <c r="H39" s="6">
        <f t="array" ref="H39">IFERROR(STDEV(IF((dados!$D$2:$D$55=$A39)*(dados!$G$2:$G$55&lt;&gt;""),dados!$G$2:$G$55)),"")</f>
        <v/>
      </c>
      <c r="I39" s="6">
        <f>IF(COUNTIFS(dados!$D$2:$D$55,$A39,dados!$G$2:$G$55,"&lt;&gt;")=0,"",_xlfn.MINIFS(dados!$G$2:$G$55,dados!$D$2:$D$55,$A39))</f>
        <v/>
      </c>
      <c r="J39" s="6">
        <f>IF(COUNTIFS(dados!$D$2:$D$55,$A39,dados!$G$2:$G$55,"&lt;&gt;")=0,"",_xlfn.MAXIFS(dados!$G$2:$G$55,dados!$D$2:$D$55,$A39))</f>
        <v/>
      </c>
      <c r="K39" s="6">
        <f>IFERROR(J39-I39,"")</f>
        <v/>
      </c>
    </row>
    <row r="40">
      <c r="A40" s="2" t="inlineStr">
        <is>
          <t>Nordeste</t>
        </is>
      </c>
      <c r="B40" s="12" t="inlineStr">
        <is>
          <t>Horários</t>
        </is>
      </c>
      <c r="C40" s="2" t="inlineStr">
        <is>
          <t>horas_semana</t>
        </is>
      </c>
      <c r="D40" s="2" t="inlineStr">
        <is>
          <t>Horas abertas por semana</t>
        </is>
      </c>
      <c r="E40" s="5">
        <f>COUNTIFS(dados!$D$2:$D$55,$A40,dados!$H$2:$H$55,"&lt;&gt;")</f>
        <v/>
      </c>
      <c r="F40" s="6">
        <f>IFERROR(AVERAGEIFS(dados!$H$2:$H$55,dados!$D$2:$D$55,$A40),"")</f>
        <v/>
      </c>
      <c r="G40" s="6">
        <f t="array" ref="G40">IFERROR(MEDIAN(IF((dados!$D$2:$D$55=$A40)*(dados!$H$2:$H$55&lt;&gt;""),dados!$H$2:$H$55)),"")</f>
        <v/>
      </c>
      <c r="H40" s="6">
        <f t="array" ref="H40">IFERROR(STDEV(IF((dados!$D$2:$D$55=$A40)*(dados!$H$2:$H$55&lt;&gt;""),dados!$H$2:$H$55)),"")</f>
        <v/>
      </c>
      <c r="I40" s="6">
        <f>IF(COUNTIFS(dados!$D$2:$D$55,$A40,dados!$H$2:$H$55,"&lt;&gt;")=0,"",_xlfn.MINIFS(dados!$H$2:$H$55,dados!$D$2:$D$55,$A40))</f>
        <v/>
      </c>
      <c r="J40" s="6">
        <f>IF(COUNTIFS(dados!$D$2:$D$55,$A40,dados!$H$2:$H$55,"&lt;&gt;")=0,"",_xlfn.MAXIFS(dados!$H$2:$H$55,dados!$D$2:$D$55,$A40))</f>
        <v/>
      </c>
      <c r="K40" s="6">
        <f>IFERROR(J40-I40,"")</f>
        <v/>
      </c>
    </row>
    <row r="41">
      <c r="A41" s="2" t="inlineStr">
        <is>
          <t>Nordeste</t>
        </is>
      </c>
      <c r="B41" s="12" t="inlineStr">
        <is>
          <t>Horários</t>
        </is>
      </c>
      <c r="C41" s="2" t="inlineStr">
        <is>
          <t>abre_cedo_h</t>
        </is>
      </c>
      <c r="D41" s="2" t="inlineStr">
        <is>
          <t>Abertura mais cedo da semana</t>
        </is>
      </c>
      <c r="E41" s="5">
        <f>COUNTIFS(dados!$D$2:$D$55,$A41,dados!$I$2:$I$55,"&lt;&gt;")</f>
        <v/>
      </c>
      <c r="F41" s="6">
        <f>IFERROR(AVERAGEIFS(dados!$I$2:$I$55,dados!$D$2:$D$55,$A41),"")</f>
        <v/>
      </c>
      <c r="G41" s="6">
        <f t="array" ref="G41">IFERROR(MEDIAN(IF((dados!$D$2:$D$55=$A41)*(dados!$I$2:$I$55&lt;&gt;""),dados!$I$2:$I$55)),"")</f>
        <v/>
      </c>
      <c r="H41" s="6">
        <f t="array" ref="H41">IFERROR(STDEV(IF((dados!$D$2:$D$55=$A41)*(dados!$I$2:$I$55&lt;&gt;""),dados!$I$2:$I$55)),"")</f>
        <v/>
      </c>
      <c r="I41" s="6">
        <f>IF(COUNTIFS(dados!$D$2:$D$55,$A41,dados!$I$2:$I$55,"&lt;&gt;")=0,"",_xlfn.MINIFS(dados!$I$2:$I$55,dados!$D$2:$D$55,$A41))</f>
        <v/>
      </c>
      <c r="J41" s="6">
        <f>IF(COUNTIFS(dados!$D$2:$D$55,$A41,dados!$I$2:$I$55,"&lt;&gt;")=0,"",_xlfn.MAXIFS(dados!$I$2:$I$55,dados!$D$2:$D$55,$A41))</f>
        <v/>
      </c>
      <c r="K41" s="6">
        <f>IFERROR(J41-I41,"")</f>
        <v/>
      </c>
    </row>
    <row r="42">
      <c r="A42" s="2" t="inlineStr">
        <is>
          <t>Nordeste</t>
        </is>
      </c>
      <c r="B42" s="12" t="inlineStr">
        <is>
          <t>Horários</t>
        </is>
      </c>
      <c r="C42" s="2" t="inlineStr">
        <is>
          <t>fecha_tarde_h</t>
        </is>
      </c>
      <c r="D42" s="2" t="inlineStr">
        <is>
          <t>Fechamento mais tarde da semana (25 = 1h da manhã)</t>
        </is>
      </c>
      <c r="E42" s="5">
        <f>COUNTIFS(dados!$D$2:$D$55,$A42,dados!$J$2:$J$55,"&lt;&gt;")</f>
        <v/>
      </c>
      <c r="F42" s="6">
        <f>IFERROR(AVERAGEIFS(dados!$J$2:$J$55,dados!$D$2:$D$55,$A42),"")</f>
        <v/>
      </c>
      <c r="G42" s="6">
        <f t="array" ref="G42">IFERROR(MEDIAN(IF((dados!$D$2:$D$55=$A42)*(dados!$J$2:$J$55&lt;&gt;""),dados!$J$2:$J$55)),"")</f>
        <v/>
      </c>
      <c r="H42" s="6">
        <f t="array" ref="H42">IFERROR(STDEV(IF((dados!$D$2:$D$55=$A42)*(dados!$J$2:$J$55&lt;&gt;""),dados!$J$2:$J$55)),"")</f>
        <v/>
      </c>
      <c r="I42" s="6">
        <f>IF(COUNTIFS(dados!$D$2:$D$55,$A42,dados!$J$2:$J$55,"&lt;&gt;")=0,"",_xlfn.MINIFS(dados!$J$2:$J$55,dados!$D$2:$D$55,$A42))</f>
        <v/>
      </c>
      <c r="J42" s="6">
        <f>IF(COUNTIFS(dados!$D$2:$D$55,$A42,dados!$J$2:$J$55,"&lt;&gt;")=0,"",_xlfn.MAXIFS(dados!$J$2:$J$55,dados!$D$2:$D$55,$A42))</f>
        <v/>
      </c>
      <c r="K42" s="6">
        <f>IFERROR(J42-I42,"")</f>
        <v/>
      </c>
    </row>
    <row r="43">
      <c r="A43" s="2" t="inlineStr">
        <is>
          <t>Nordeste</t>
        </is>
      </c>
      <c r="B43" s="13" t="inlineStr">
        <is>
          <t>Entorno</t>
        </is>
      </c>
      <c r="C43" s="2" t="inlineStr">
        <is>
          <t>metro_500m</t>
        </is>
      </c>
      <c r="D43" s="2" t="inlineStr">
        <is>
          <t>Estações de metrô até 500 m</t>
        </is>
      </c>
      <c r="E43" s="5">
        <f>COUNTIFS(dados!$D$2:$D$55,$A43,dados!$K$2:$K$55,"&lt;&gt;")</f>
        <v/>
      </c>
      <c r="F43" s="4">
        <f>IFERROR(AVERAGEIFS(dados!$K$2:$K$55,dados!$D$2:$D$55,$A43),"")</f>
        <v/>
      </c>
      <c r="G43" s="4">
        <f t="array" ref="G43">IFERROR(MEDIAN(IF((dados!$D$2:$D$55=$A43)*(dados!$K$2:$K$55&lt;&gt;""),dados!$K$2:$K$55)),"")</f>
        <v/>
      </c>
      <c r="H43" s="4">
        <f t="array" ref="H43">IFERROR(STDEV(IF((dados!$D$2:$D$55=$A43)*(dados!$K$2:$K$55&lt;&gt;""),dados!$K$2:$K$55)),"")</f>
        <v/>
      </c>
      <c r="I43" s="4">
        <f>IF(COUNTIFS(dados!$D$2:$D$55,$A43,dados!$K$2:$K$55,"&lt;&gt;")=0,"",_xlfn.MINIFS(dados!$K$2:$K$55,dados!$D$2:$D$55,$A43))</f>
        <v/>
      </c>
      <c r="J43" s="4">
        <f>IF(COUNTIFS(dados!$D$2:$D$55,$A43,dados!$K$2:$K$55,"&lt;&gt;")=0,"",_xlfn.MAXIFS(dados!$K$2:$K$55,dados!$D$2:$D$55,$A43))</f>
        <v/>
      </c>
      <c r="K43" s="4">
        <f>IFERROR(J43-I43,"")</f>
        <v/>
      </c>
    </row>
    <row r="44">
      <c r="A44" s="2" t="inlineStr">
        <is>
          <t>Nordeste</t>
        </is>
      </c>
      <c r="B44" s="13" t="inlineStr">
        <is>
          <t>Entorno</t>
        </is>
      </c>
      <c r="C44" s="2" t="inlineStr">
        <is>
          <t>metro_1000m</t>
        </is>
      </c>
      <c r="D44" s="2" t="inlineStr">
        <is>
          <t>Estações de metrô até 1000 m</t>
        </is>
      </c>
      <c r="E44" s="5">
        <f>COUNTIFS(dados!$D$2:$D$55,$A44,dados!$L$2:$L$55,"&lt;&gt;")</f>
        <v/>
      </c>
      <c r="F44" s="4">
        <f>IFERROR(AVERAGEIFS(dados!$L$2:$L$55,dados!$D$2:$D$55,$A44),"")</f>
        <v/>
      </c>
      <c r="G44" s="4">
        <f t="array" ref="G44">IFERROR(MEDIAN(IF((dados!$D$2:$D$55=$A44)*(dados!$L$2:$L$55&lt;&gt;""),dados!$L$2:$L$55)),"")</f>
        <v/>
      </c>
      <c r="H44" s="4">
        <f t="array" ref="H44">IFERROR(STDEV(IF((dados!$D$2:$D$55=$A44)*(dados!$L$2:$L$55&lt;&gt;""),dados!$L$2:$L$55)),"")</f>
        <v/>
      </c>
      <c r="I44" s="4">
        <f>IF(COUNTIFS(dados!$D$2:$D$55,$A44,dados!$L$2:$L$55,"&lt;&gt;")=0,"",_xlfn.MINIFS(dados!$L$2:$L$55,dados!$D$2:$D$55,$A44))</f>
        <v/>
      </c>
      <c r="J44" s="4">
        <f>IF(COUNTIFS(dados!$D$2:$D$55,$A44,dados!$L$2:$L$55,"&lt;&gt;")=0,"",_xlfn.MAXIFS(dados!$L$2:$L$55,dados!$D$2:$D$55,$A44))</f>
        <v/>
      </c>
      <c r="K44" s="4">
        <f>IFERROR(J44-I44,"")</f>
        <v/>
      </c>
    </row>
    <row r="45">
      <c r="A45" s="2" t="inlineStr">
        <is>
          <t>Nordeste</t>
        </is>
      </c>
      <c r="B45" s="13" t="inlineStr">
        <is>
          <t>Entorno</t>
        </is>
      </c>
      <c r="C45" s="2" t="inlineStr">
        <is>
          <t>dist_metro_m</t>
        </is>
      </c>
      <c r="D45" s="2" t="inlineStr">
        <is>
          <t>Distância à estação de metrô mais próxima</t>
        </is>
      </c>
      <c r="E45" s="5">
        <f>COUNTIFS(dados!$D$2:$D$55,$A45,dados!$M$2:$M$55,"&lt;&gt;")</f>
        <v/>
      </c>
      <c r="F45" s="5">
        <f>IFERROR(AVERAGEIFS(dados!$M$2:$M$55,dados!$D$2:$D$55,$A45),"")</f>
        <v/>
      </c>
      <c r="G45" s="5">
        <f t="array" ref="G45">IFERROR(MEDIAN(IF((dados!$D$2:$D$55=$A45)*(dados!$M$2:$M$55&lt;&gt;""),dados!$M$2:$M$55)),"")</f>
        <v/>
      </c>
      <c r="H45" s="5">
        <f t="array" ref="H45">IFERROR(STDEV(IF((dados!$D$2:$D$55=$A45)*(dados!$M$2:$M$55&lt;&gt;""),dados!$M$2:$M$55)),"")</f>
        <v/>
      </c>
      <c r="I45" s="5">
        <f>IF(COUNTIFS(dados!$D$2:$D$55,$A45,dados!$M$2:$M$55,"&lt;&gt;")=0,"",_xlfn.MINIFS(dados!$M$2:$M$55,dados!$D$2:$D$55,$A45))</f>
        <v/>
      </c>
      <c r="J45" s="5">
        <f>IF(COUNTIFS(dados!$D$2:$D$55,$A45,dados!$M$2:$M$55,"&lt;&gt;")=0,"",_xlfn.MAXIFS(dados!$M$2:$M$55,dados!$D$2:$D$55,$A45))</f>
        <v/>
      </c>
      <c r="K45" s="5">
        <f>IFERROR(J45-I45,"")</f>
        <v/>
      </c>
    </row>
    <row r="46">
      <c r="A46" s="2" t="inlineStr">
        <is>
          <t>Nordeste</t>
        </is>
      </c>
      <c r="B46" s="13" t="inlineStr">
        <is>
          <t>Entorno</t>
        </is>
      </c>
      <c r="C46" s="2" t="inlineStr">
        <is>
          <t>shopping_porte_500m</t>
        </is>
      </c>
      <c r="D46" s="2" t="inlineStr">
        <is>
          <t>Shoppings de porte até 500 m (onde o porte foi buscado)</t>
        </is>
      </c>
      <c r="E46" s="5">
        <f>COUNTIFS(dados!$D$2:$D$55,$A46,dados!$N$2:$N$55,"&lt;&gt;")</f>
        <v/>
      </c>
      <c r="F46" s="4">
        <f>IFERROR(AVERAGEIFS(dados!$N$2:$N$55,dados!$D$2:$D$55,$A46),"")</f>
        <v/>
      </c>
      <c r="G46" s="4">
        <f t="array" ref="G46">IFERROR(MEDIAN(IF((dados!$D$2:$D$55=$A46)*(dados!$N$2:$N$55&lt;&gt;""),dados!$N$2:$N$55)),"")</f>
        <v/>
      </c>
      <c r="H46" s="4">
        <f t="array" ref="H46">IFERROR(STDEV(IF((dados!$D$2:$D$55=$A46)*(dados!$N$2:$N$55&lt;&gt;""),dados!$N$2:$N$55)),"")</f>
        <v/>
      </c>
      <c r="I46" s="4">
        <f>IF(COUNTIFS(dados!$D$2:$D$55,$A46,dados!$N$2:$N$55,"&lt;&gt;")=0,"",_xlfn.MINIFS(dados!$N$2:$N$55,dados!$D$2:$D$55,$A46))</f>
        <v/>
      </c>
      <c r="J46" s="4">
        <f>IF(COUNTIFS(dados!$D$2:$D$55,$A46,dados!$N$2:$N$55,"&lt;&gt;")=0,"",_xlfn.MAXIFS(dados!$N$2:$N$55,dados!$D$2:$D$55,$A46))</f>
        <v/>
      </c>
      <c r="K46" s="4">
        <f>IFERROR(J46-I46,"")</f>
        <v/>
      </c>
    </row>
    <row r="47">
      <c r="A47" s="2" t="inlineStr">
        <is>
          <t>Nordeste</t>
        </is>
      </c>
      <c r="B47" s="13" t="inlineStr">
        <is>
          <t>Entorno</t>
        </is>
      </c>
      <c r="C47" s="2" t="inlineStr">
        <is>
          <t>shopping_porte_1000m</t>
        </is>
      </c>
      <c r="D47" s="2" t="inlineStr">
        <is>
          <t>Shoppings de porte até 1000 m (onde o porte foi buscado)</t>
        </is>
      </c>
      <c r="E47" s="5">
        <f>COUNTIFS(dados!$D$2:$D$55,$A47,dados!$O$2:$O$55,"&lt;&gt;")</f>
        <v/>
      </c>
      <c r="F47" s="4">
        <f>IFERROR(AVERAGEIFS(dados!$O$2:$O$55,dados!$D$2:$D$55,$A47),"")</f>
        <v/>
      </c>
      <c r="G47" s="4">
        <f t="array" ref="G47">IFERROR(MEDIAN(IF((dados!$D$2:$D$55=$A47)*(dados!$O$2:$O$55&lt;&gt;""),dados!$O$2:$O$55)),"")</f>
        <v/>
      </c>
      <c r="H47" s="4">
        <f t="array" ref="H47">IFERROR(STDEV(IF((dados!$D$2:$D$55=$A47)*(dados!$O$2:$O$55&lt;&gt;""),dados!$O$2:$O$55)),"")</f>
        <v/>
      </c>
      <c r="I47" s="4">
        <f>IF(COUNTIFS(dados!$D$2:$D$55,$A47,dados!$O$2:$O$55,"&lt;&gt;")=0,"",_xlfn.MINIFS(dados!$O$2:$O$55,dados!$D$2:$D$55,$A47))</f>
        <v/>
      </c>
      <c r="J47" s="4">
        <f>IF(COUNTIFS(dados!$D$2:$D$55,$A47,dados!$O$2:$O$55,"&lt;&gt;")=0,"",_xlfn.MAXIFS(dados!$O$2:$O$55,dados!$D$2:$D$55,$A47))</f>
        <v/>
      </c>
      <c r="K47" s="4">
        <f>IFERROR(J47-I47,"")</f>
        <v/>
      </c>
    </row>
    <row r="48">
      <c r="A48" s="2" t="inlineStr">
        <is>
          <t>Nordeste</t>
        </is>
      </c>
      <c r="B48" s="13" t="inlineStr">
        <is>
          <t>Entorno</t>
        </is>
      </c>
      <c r="C48" s="2" t="inlineStr">
        <is>
          <t>dist_shopping_m</t>
        </is>
      </c>
      <c r="D48" s="2" t="inlineStr">
        <is>
          <t>Distância ao shopping mais próximo (qualquer porte)</t>
        </is>
      </c>
      <c r="E48" s="5">
        <f>COUNTIFS(dados!$D$2:$D$55,$A48,dados!$P$2:$P$55,"&lt;&gt;")</f>
        <v/>
      </c>
      <c r="F48" s="5">
        <f>IFERROR(AVERAGEIFS(dados!$P$2:$P$55,dados!$D$2:$D$55,$A48),"")</f>
        <v/>
      </c>
      <c r="G48" s="5">
        <f t="array" ref="G48">IFERROR(MEDIAN(IF((dados!$D$2:$D$55=$A48)*(dados!$P$2:$P$55&lt;&gt;""),dados!$P$2:$P$55)),"")</f>
        <v/>
      </c>
      <c r="H48" s="5">
        <f t="array" ref="H48">IFERROR(STDEV(IF((dados!$D$2:$D$55=$A48)*(dados!$P$2:$P$55&lt;&gt;""),dados!$P$2:$P$55)),"")</f>
        <v/>
      </c>
      <c r="I48" s="5">
        <f>IF(COUNTIFS(dados!$D$2:$D$55,$A48,dados!$P$2:$P$55,"&lt;&gt;")=0,"",_xlfn.MINIFS(dados!$P$2:$P$55,dados!$D$2:$D$55,$A48))</f>
        <v/>
      </c>
      <c r="J48" s="5">
        <f>IF(COUNTIFS(dados!$D$2:$D$55,$A48,dados!$P$2:$P$55,"&lt;&gt;")=0,"",_xlfn.MAXIFS(dados!$P$2:$P$55,dados!$D$2:$D$55,$A48))</f>
        <v/>
      </c>
      <c r="K48" s="5">
        <f>IFERROR(J48-I48,"")</f>
        <v/>
      </c>
    </row>
    <row r="49">
      <c r="A49" s="2" t="inlineStr">
        <is>
          <t>Nordeste</t>
        </is>
      </c>
      <c r="B49" s="14" t="inlineStr">
        <is>
          <t>Instagram</t>
        </is>
      </c>
      <c r="C49" s="2" t="inlineStr">
        <is>
          <t>seguidores</t>
        </is>
      </c>
      <c r="D49" s="2" t="inlineStr">
        <is>
          <t>Seguidores</t>
        </is>
      </c>
      <c r="E49" s="5">
        <f>COUNTIFS(dados!$D$2:$D$55,$A49,dados!$Q$2:$Q$55,"&lt;&gt;")</f>
        <v/>
      </c>
      <c r="F49" s="5">
        <f>IFERROR(AVERAGEIFS(dados!$Q$2:$Q$55,dados!$D$2:$D$55,$A49),"")</f>
        <v/>
      </c>
      <c r="G49" s="5">
        <f t="array" ref="G49">IFERROR(MEDIAN(IF((dados!$D$2:$D$55=$A49)*(dados!$Q$2:$Q$55&lt;&gt;""),dados!$Q$2:$Q$55)),"")</f>
        <v/>
      </c>
      <c r="H49" s="5">
        <f t="array" ref="H49">IFERROR(STDEV(IF((dados!$D$2:$D$55=$A49)*(dados!$Q$2:$Q$55&lt;&gt;""),dados!$Q$2:$Q$55)),"")</f>
        <v/>
      </c>
      <c r="I49" s="5">
        <f>IF(COUNTIFS(dados!$D$2:$D$55,$A49,dados!$Q$2:$Q$55,"&lt;&gt;")=0,"",_xlfn.MINIFS(dados!$Q$2:$Q$55,dados!$D$2:$D$55,$A49))</f>
        <v/>
      </c>
      <c r="J49" s="5">
        <f>IF(COUNTIFS(dados!$D$2:$D$55,$A49,dados!$Q$2:$Q$55,"&lt;&gt;")=0,"",_xlfn.MAXIFS(dados!$Q$2:$Q$55,dados!$D$2:$D$55,$A49))</f>
        <v/>
      </c>
      <c r="K49" s="5">
        <f>IFERROR(J49-I49,"")</f>
        <v/>
      </c>
    </row>
    <row r="50">
      <c r="A50" s="2" t="inlineStr">
        <is>
          <t>Nordeste</t>
        </is>
      </c>
      <c r="B50" s="14" t="inlineStr">
        <is>
          <t>Instagram</t>
        </is>
      </c>
      <c r="C50" s="2" t="inlineStr">
        <is>
          <t>n_posts_total</t>
        </is>
      </c>
      <c r="D50" s="2" t="inlineStr">
        <is>
          <t>Posts desde a criação do perfil</t>
        </is>
      </c>
      <c r="E50" s="5">
        <f>COUNTIFS(dados!$D$2:$D$55,$A50,dados!$R$2:$R$55,"&lt;&gt;")</f>
        <v/>
      </c>
      <c r="F50" s="5">
        <f>IFERROR(AVERAGEIFS(dados!$R$2:$R$55,dados!$D$2:$D$55,$A50),"")</f>
        <v/>
      </c>
      <c r="G50" s="5">
        <f t="array" ref="G50">IFERROR(MEDIAN(IF((dados!$D$2:$D$55=$A50)*(dados!$R$2:$R$55&lt;&gt;""),dados!$R$2:$R$55)),"")</f>
        <v/>
      </c>
      <c r="H50" s="5">
        <f t="array" ref="H50">IFERROR(STDEV(IF((dados!$D$2:$D$55=$A50)*(dados!$R$2:$R$55&lt;&gt;""),dados!$R$2:$R$55)),"")</f>
        <v/>
      </c>
      <c r="I50" s="5">
        <f>IF(COUNTIFS(dados!$D$2:$D$55,$A50,dados!$R$2:$R$55,"&lt;&gt;")=0,"",_xlfn.MINIFS(dados!$R$2:$R$55,dados!$D$2:$D$55,$A50))</f>
        <v/>
      </c>
      <c r="J50" s="5">
        <f>IF(COUNTIFS(dados!$D$2:$D$55,$A50,dados!$R$2:$R$55,"&lt;&gt;")=0,"",_xlfn.MAXIFS(dados!$R$2:$R$55,dados!$D$2:$D$55,$A50))</f>
        <v/>
      </c>
      <c r="K50" s="5">
        <f>IFERROR(J50-I50,"")</f>
        <v/>
      </c>
    </row>
    <row r="51">
      <c r="A51" s="2" t="inlineStr">
        <is>
          <t>Nordeste</t>
        </is>
      </c>
      <c r="B51" s="14" t="inlineStr">
        <is>
          <t>Instagram</t>
        </is>
      </c>
      <c r="C51" s="2" t="inlineStr">
        <is>
          <t>idade_perfil_anos</t>
        </is>
      </c>
      <c r="D51" s="2" t="inlineStr">
        <is>
          <t>Idade do perfil (desde o primeiro post até 15/10/2026)</t>
        </is>
      </c>
      <c r="E51" s="5">
        <f>COUNTIFS(dados!$D$2:$D$55,$A51,dados!$S$2:$S$55,"&lt;&gt;")</f>
        <v/>
      </c>
      <c r="F51" s="6">
        <f>IFERROR(AVERAGEIFS(dados!$S$2:$S$55,dados!$D$2:$D$55,$A51),"")</f>
        <v/>
      </c>
      <c r="G51" s="6">
        <f t="array" ref="G51">IFERROR(MEDIAN(IF((dados!$D$2:$D$55=$A51)*(dados!$S$2:$S$55&lt;&gt;""),dados!$S$2:$S$55)),"")</f>
        <v/>
      </c>
      <c r="H51" s="6">
        <f t="array" ref="H51">IFERROR(STDEV(IF((dados!$D$2:$D$55=$A51)*(dados!$S$2:$S$55&lt;&gt;""),dados!$S$2:$S$55)),"")</f>
        <v/>
      </c>
      <c r="I51" s="6">
        <f>IF(COUNTIFS(dados!$D$2:$D$55,$A51,dados!$S$2:$S$55,"&lt;&gt;")=0,"",_xlfn.MINIFS(dados!$S$2:$S$55,dados!$D$2:$D$55,$A51))</f>
        <v/>
      </c>
      <c r="J51" s="6">
        <f>IF(COUNTIFS(dados!$D$2:$D$55,$A51,dados!$S$2:$S$55,"&lt;&gt;")=0,"",_xlfn.MAXIFS(dados!$S$2:$S$55,dados!$D$2:$D$55,$A51))</f>
        <v/>
      </c>
      <c r="K51" s="6">
        <f>IFERROR(J51-I51,"")</f>
        <v/>
      </c>
    </row>
    <row r="52">
      <c r="A52" s="2" t="inlineStr">
        <is>
          <t>Nordeste</t>
        </is>
      </c>
      <c r="B52" s="14" t="inlineStr">
        <is>
          <t>Instagram</t>
        </is>
      </c>
      <c r="C52" s="2" t="inlineStr">
        <is>
          <t>n_posts_periodo</t>
        </is>
      </c>
      <c r="D52" s="2" t="inlineStr">
        <is>
          <t>Posts de 01/09 a 01/10/2026</t>
        </is>
      </c>
      <c r="E52" s="5">
        <f>COUNTIFS(dados!$D$2:$D$55,$A52,dados!$T$2:$T$55,"&lt;&gt;")</f>
        <v/>
      </c>
      <c r="F52" s="6">
        <f>IFERROR(AVERAGEIFS(dados!$T$2:$T$55,dados!$D$2:$D$55,$A52),"")</f>
        <v/>
      </c>
      <c r="G52" s="6">
        <f t="array" ref="G52">IFERROR(MEDIAN(IF((dados!$D$2:$D$55=$A52)*(dados!$T$2:$T$55&lt;&gt;""),dados!$T$2:$T$55)),"")</f>
        <v/>
      </c>
      <c r="H52" s="6">
        <f t="array" ref="H52">IFERROR(STDEV(IF((dados!$D$2:$D$55=$A52)*(dados!$T$2:$T$55&lt;&gt;""),dados!$T$2:$T$55)),"")</f>
        <v/>
      </c>
      <c r="I52" s="6">
        <f>IF(COUNTIFS(dados!$D$2:$D$55,$A52,dados!$T$2:$T$55,"&lt;&gt;")=0,"",_xlfn.MINIFS(dados!$T$2:$T$55,dados!$D$2:$D$55,$A52))</f>
        <v/>
      </c>
      <c r="J52" s="6">
        <f>IF(COUNTIFS(dados!$D$2:$D$55,$A52,dados!$T$2:$T$55,"&lt;&gt;")=0,"",_xlfn.MAXIFS(dados!$T$2:$T$55,dados!$D$2:$D$55,$A52))</f>
        <v/>
      </c>
      <c r="K52" s="6">
        <f>IFERROR(J52-I52,"")</f>
        <v/>
      </c>
    </row>
    <row r="53">
      <c r="A53" s="2" t="inlineStr">
        <is>
          <t>Nordeste</t>
        </is>
      </c>
      <c r="B53" s="14" t="inlineStr">
        <is>
          <t>Instagram</t>
        </is>
      </c>
      <c r="C53" s="2" t="inlineStr">
        <is>
          <t>curtidas_periodo</t>
        </is>
      </c>
      <c r="D53" s="2" t="inlineStr">
        <is>
          <t>Curtidas no período</t>
        </is>
      </c>
      <c r="E53" s="5">
        <f>COUNTIFS(dados!$D$2:$D$55,$A53,dados!$U$2:$U$55,"&lt;&gt;")</f>
        <v/>
      </c>
      <c r="F53" s="5">
        <f>IFERROR(AVERAGEIFS(dados!$U$2:$U$55,dados!$D$2:$D$55,$A53),"")</f>
        <v/>
      </c>
      <c r="G53" s="5">
        <f t="array" ref="G53">IFERROR(MEDIAN(IF((dados!$D$2:$D$55=$A53)*(dados!$U$2:$U$55&lt;&gt;""),dados!$U$2:$U$55)),"")</f>
        <v/>
      </c>
      <c r="H53" s="5">
        <f t="array" ref="H53">IFERROR(STDEV(IF((dados!$D$2:$D$55=$A53)*(dados!$U$2:$U$55&lt;&gt;""),dados!$U$2:$U$55)),"")</f>
        <v/>
      </c>
      <c r="I53" s="5">
        <f>IF(COUNTIFS(dados!$D$2:$D$55,$A53,dados!$U$2:$U$55,"&lt;&gt;")=0,"",_xlfn.MINIFS(dados!$U$2:$U$55,dados!$D$2:$D$55,$A53))</f>
        <v/>
      </c>
      <c r="J53" s="5">
        <f>IF(COUNTIFS(dados!$D$2:$D$55,$A53,dados!$U$2:$U$55,"&lt;&gt;")=0,"",_xlfn.MAXIFS(dados!$U$2:$U$55,dados!$D$2:$D$55,$A53))</f>
        <v/>
      </c>
      <c r="K53" s="5">
        <f>IFERROR(J53-I53,"")</f>
        <v/>
      </c>
    </row>
    <row r="54">
      <c r="A54" s="2" t="inlineStr">
        <is>
          <t>Nordeste</t>
        </is>
      </c>
      <c r="B54" s="14" t="inlineStr">
        <is>
          <t>Instagram</t>
        </is>
      </c>
      <c r="C54" s="2" t="inlineStr">
        <is>
          <t>comentarios_periodo</t>
        </is>
      </c>
      <c r="D54" s="2" t="inlineStr">
        <is>
          <t>Comentários no período</t>
        </is>
      </c>
      <c r="E54" s="5">
        <f>COUNTIFS(dados!$D$2:$D$55,$A54,dados!$V$2:$V$55,"&lt;&gt;")</f>
        <v/>
      </c>
      <c r="F54" s="5">
        <f>IFERROR(AVERAGEIFS(dados!$V$2:$V$55,dados!$D$2:$D$55,$A54),"")</f>
        <v/>
      </c>
      <c r="G54" s="5">
        <f t="array" ref="G54">IFERROR(MEDIAN(IF((dados!$D$2:$D$55=$A54)*(dados!$V$2:$V$55&lt;&gt;""),dados!$V$2:$V$55)),"")</f>
        <v/>
      </c>
      <c r="H54" s="5">
        <f t="array" ref="H54">IFERROR(STDEV(IF((dados!$D$2:$D$55=$A54)*(dados!$V$2:$V$55&lt;&gt;""),dados!$V$2:$V$55)),"")</f>
        <v/>
      </c>
      <c r="I54" s="5">
        <f>IF(COUNTIFS(dados!$D$2:$D$55,$A54,dados!$V$2:$V$55,"&lt;&gt;")=0,"",_xlfn.MINIFS(dados!$V$2:$V$55,dados!$D$2:$D$55,$A54))</f>
        <v/>
      </c>
      <c r="J54" s="5">
        <f>IF(COUNTIFS(dados!$D$2:$D$55,$A54,dados!$V$2:$V$55,"&lt;&gt;")=0,"",_xlfn.MAXIFS(dados!$V$2:$V$55,dados!$D$2:$D$55,$A54))</f>
        <v/>
      </c>
      <c r="K54" s="5">
        <f>IFERROR(J54-I54,"")</f>
        <v/>
      </c>
    </row>
    <row r="55">
      <c r="A55" s="2" t="inlineStr">
        <is>
          <t>Nordeste</t>
        </is>
      </c>
      <c r="B55" s="14" t="inlineStr">
        <is>
          <t>Instagram</t>
        </is>
      </c>
      <c r="C55" s="2" t="inlineStr">
        <is>
          <t>interacoes_por_post</t>
        </is>
      </c>
      <c r="D55" s="2" t="inlineStr">
        <is>
          <t>Interações por post no período (curtidas + comentários)</t>
        </is>
      </c>
      <c r="E55" s="5">
        <f>COUNTIFS(dados!$D$2:$D$55,$A55,dados!$W$2:$W$55,"&lt;&gt;")</f>
        <v/>
      </c>
      <c r="F55" s="6">
        <f>IFERROR(AVERAGEIFS(dados!$W$2:$W$55,dados!$D$2:$D$55,$A55),"")</f>
        <v/>
      </c>
      <c r="G55" s="6">
        <f t="array" ref="G55">IFERROR(MEDIAN(IF((dados!$D$2:$D$55=$A55)*(dados!$W$2:$W$55&lt;&gt;""),dados!$W$2:$W$55)),"")</f>
        <v/>
      </c>
      <c r="H55" s="6">
        <f t="array" ref="H55">IFERROR(STDEV(IF((dados!$D$2:$D$55=$A55)*(dados!$W$2:$W$55&lt;&gt;""),dados!$W$2:$W$55)),"")</f>
        <v/>
      </c>
      <c r="I55" s="6">
        <f>IF(COUNTIFS(dados!$D$2:$D$55,$A55,dados!$W$2:$W$55,"&lt;&gt;")=0,"",_xlfn.MINIFS(dados!$W$2:$W$55,dados!$D$2:$D$55,$A55))</f>
        <v/>
      </c>
      <c r="J55" s="6">
        <f>IF(COUNTIFS(dados!$D$2:$D$55,$A55,dados!$W$2:$W$55,"&lt;&gt;")=0,"",_xlfn.MAXIFS(dados!$W$2:$W$55,dados!$D$2:$D$55,$A55))</f>
        <v/>
      </c>
      <c r="K55" s="6">
        <f>IFERROR(J55-I55,"")</f>
        <v/>
      </c>
    </row>
    <row r="56">
      <c r="A56" s="2" t="inlineStr">
        <is>
          <t>Nordeste</t>
        </is>
      </c>
      <c r="B56" s="14" t="inlineStr">
        <is>
          <t>Instagram</t>
        </is>
      </c>
      <c r="C56" s="2" t="inlineStr">
        <is>
          <t>engajamento_pct</t>
        </is>
      </c>
      <c r="D56" s="2" t="inlineStr">
        <is>
          <t>Taxa de engajamento (interações por post ÷ seguidores)</t>
        </is>
      </c>
      <c r="E56" s="5">
        <f>COUNTIFS(dados!$D$2:$D$55,$A56,dados!$X$2:$X$55,"&lt;&gt;")</f>
        <v/>
      </c>
      <c r="F56" s="15">
        <f>IFERROR(AVERAGEIFS(dados!$X$2:$X$55,dados!$D$2:$D$55,$A56),"")</f>
        <v/>
      </c>
      <c r="G56" s="15">
        <f t="array" ref="G56">IFERROR(MEDIAN(IF((dados!$D$2:$D$55=$A56)*(dados!$X$2:$X$55&lt;&gt;""),dados!$X$2:$X$55)),"")</f>
        <v/>
      </c>
      <c r="H56" s="15">
        <f t="array" ref="H56">IFERROR(STDEV(IF((dados!$D$2:$D$55=$A56)*(dados!$X$2:$X$55&lt;&gt;""),dados!$X$2:$X$55)),"")</f>
        <v/>
      </c>
      <c r="I56" s="15">
        <f>IF(COUNTIFS(dados!$D$2:$D$55,$A56,dados!$X$2:$X$55,"&lt;&gt;")=0,"",_xlfn.MINIFS(dados!$X$2:$X$55,dados!$D$2:$D$55,$A56))</f>
        <v/>
      </c>
      <c r="J56" s="15">
        <f>IF(COUNTIFS(dados!$D$2:$D$55,$A56,dados!$X$2:$X$55,"&lt;&gt;")=0,"",_xlfn.MAXIFS(dados!$X$2:$X$55,dados!$D$2:$D$55,$A56))</f>
        <v/>
      </c>
      <c r="K56" s="15">
        <f>IFERROR(J56-I56,"")</f>
        <v/>
      </c>
    </row>
    <row r="57">
      <c r="A57" s="2" t="inlineStr">
        <is>
          <t>Nordeste</t>
        </is>
      </c>
      <c r="B57" s="16" t="inlineStr">
        <is>
          <t>Cardápio</t>
        </is>
      </c>
      <c r="C57" s="2" t="inlineStr">
        <is>
          <t>itens_com_preco</t>
        </is>
      </c>
      <c r="D57" s="2" t="inlineStr">
        <is>
          <t>Itens com preço no cardápio</t>
        </is>
      </c>
      <c r="E57" s="5">
        <f>COUNTIFS(dados!$D$2:$D$55,$A57,dados!$Y$2:$Y$55,"&lt;&gt;")</f>
        <v/>
      </c>
      <c r="F57" s="5">
        <f>IFERROR(AVERAGEIFS(dados!$Y$2:$Y$55,dados!$D$2:$D$55,$A57),"")</f>
        <v/>
      </c>
      <c r="G57" s="5">
        <f t="array" ref="G57">IFERROR(MEDIAN(IF((dados!$D$2:$D$55=$A57)*(dados!$Y$2:$Y$55&lt;&gt;""),dados!$Y$2:$Y$55)),"")</f>
        <v/>
      </c>
      <c r="H57" s="5">
        <f t="array" ref="H57">IFERROR(STDEV(IF((dados!$D$2:$D$55=$A57)*(dados!$Y$2:$Y$55&lt;&gt;""),dados!$Y$2:$Y$55)),"")</f>
        <v/>
      </c>
      <c r="I57" s="5">
        <f>IF(COUNTIFS(dados!$D$2:$D$55,$A57,dados!$Y$2:$Y$55,"&lt;&gt;")=0,"",_xlfn.MINIFS(dados!$Y$2:$Y$55,dados!$D$2:$D$55,$A57))</f>
        <v/>
      </c>
      <c r="J57" s="5">
        <f>IF(COUNTIFS(dados!$D$2:$D$55,$A57,dados!$Y$2:$Y$55,"&lt;&gt;")=0,"",_xlfn.MAXIFS(dados!$Y$2:$Y$55,dados!$D$2:$D$55,$A57))</f>
        <v/>
      </c>
      <c r="K57" s="5">
        <f>IFERROR(J57-I57,"")</f>
        <v/>
      </c>
    </row>
    <row r="58">
      <c r="A58" s="2" t="inlineStr">
        <is>
          <t>Nordeste</t>
        </is>
      </c>
      <c r="B58" s="16" t="inlineStr">
        <is>
          <t>Cardápio</t>
        </is>
      </c>
      <c r="C58" s="2" t="inlineStr">
        <is>
          <t>couvert_mediana</t>
        </is>
      </c>
      <c r="D58" s="2" t="inlineStr">
        <is>
          <t>Couvert ou taxa de jogo (só casas que cobram)</t>
        </is>
      </c>
      <c r="E58" s="5">
        <f>COUNTIFS(dados!$D$2:$D$55,$A58,dados!$Z$2:$Z$55,"&lt;&gt;")</f>
        <v/>
      </c>
      <c r="F58" s="7">
        <f>IFERROR(AVERAGEIFS(dados!$Z$2:$Z$55,dados!$D$2:$D$55,$A58),"")</f>
        <v/>
      </c>
      <c r="G58" s="7">
        <f t="array" ref="G58">IFERROR(MEDIAN(IF((dados!$D$2:$D$55=$A58)*(dados!$Z$2:$Z$55&lt;&gt;""),dados!$Z$2:$Z$55)),"")</f>
        <v/>
      </c>
      <c r="H58" s="7">
        <f t="array" ref="H58">IFERROR(STDEV(IF((dados!$D$2:$D$55=$A58)*(dados!$Z$2:$Z$55&lt;&gt;""),dados!$Z$2:$Z$55)),"")</f>
        <v/>
      </c>
      <c r="I58" s="7">
        <f>IF(COUNTIFS(dados!$D$2:$D$55,$A58,dados!$Z$2:$Z$55,"&lt;&gt;")=0,"",_xlfn.MINIFS(dados!$Z$2:$Z$55,dados!$D$2:$D$55,$A58))</f>
        <v/>
      </c>
      <c r="J58" s="7">
        <f>IF(COUNTIFS(dados!$D$2:$D$55,$A58,dados!$Z$2:$Z$55,"&lt;&gt;")=0,"",_xlfn.MAXIFS(dados!$Z$2:$Z$55,dados!$D$2:$D$55,$A58))</f>
        <v/>
      </c>
      <c r="K58" s="7">
        <f>IFERROR(J58-I58,"")</f>
        <v/>
      </c>
    </row>
    <row r="59">
      <c r="A59" s="2" t="inlineStr">
        <is>
          <t>Nordeste</t>
        </is>
      </c>
      <c r="B59" s="16" t="inlineStr">
        <is>
          <t>Cardápio</t>
        </is>
      </c>
      <c r="C59" s="2" t="inlineStr">
        <is>
          <t>bebida_mediana</t>
        </is>
      </c>
      <c r="D59" s="2" t="inlineStr">
        <is>
          <t>Bebida, mediana do cardápio</t>
        </is>
      </c>
      <c r="E59" s="5">
        <f>COUNTIFS(dados!$D$2:$D$55,$A59,dados!$AA$2:$AA$55,"&lt;&gt;")</f>
        <v/>
      </c>
      <c r="F59" s="7">
        <f>IFERROR(AVERAGEIFS(dados!$AA$2:$AA$55,dados!$D$2:$D$55,$A59),"")</f>
        <v/>
      </c>
      <c r="G59" s="7">
        <f t="array" ref="G59">IFERROR(MEDIAN(IF((dados!$D$2:$D$55=$A59)*(dados!$AA$2:$AA$55&lt;&gt;""),dados!$AA$2:$AA$55)),"")</f>
        <v/>
      </c>
      <c r="H59" s="7">
        <f t="array" ref="H59">IFERROR(STDEV(IF((dados!$D$2:$D$55=$A59)*(dados!$AA$2:$AA$55&lt;&gt;""),dados!$AA$2:$AA$55)),"")</f>
        <v/>
      </c>
      <c r="I59" s="7">
        <f>IF(COUNTIFS(dados!$D$2:$D$55,$A59,dados!$AA$2:$AA$55,"&lt;&gt;")=0,"",_xlfn.MINIFS(dados!$AA$2:$AA$55,dados!$D$2:$D$55,$A59))</f>
        <v/>
      </c>
      <c r="J59" s="7">
        <f>IF(COUNTIFS(dados!$D$2:$D$55,$A59,dados!$AA$2:$AA$55,"&lt;&gt;")=0,"",_xlfn.MAXIFS(dados!$AA$2:$AA$55,dados!$D$2:$D$55,$A59))</f>
        <v/>
      </c>
      <c r="K59" s="7">
        <f>IFERROR(J59-I59,"")</f>
        <v/>
      </c>
    </row>
    <row r="60">
      <c r="A60" s="2" t="inlineStr">
        <is>
          <t>Nordeste</t>
        </is>
      </c>
      <c r="B60" s="16" t="inlineStr">
        <is>
          <t>Cardápio</t>
        </is>
      </c>
      <c r="C60" s="2" t="inlineStr">
        <is>
          <t>entrada_ou_prato_mediana</t>
        </is>
      </c>
      <c r="D60" s="2" t="inlineStr">
        <is>
          <t>Entrada ou prato, mediana do cardápio</t>
        </is>
      </c>
      <c r="E60" s="5">
        <f>COUNTIFS(dados!$D$2:$D$55,$A60,dados!$AB$2:$AB$55,"&lt;&gt;")</f>
        <v/>
      </c>
      <c r="F60" s="7">
        <f>IFERROR(AVERAGEIFS(dados!$AB$2:$AB$55,dados!$D$2:$D$55,$A60),"")</f>
        <v/>
      </c>
      <c r="G60" s="7">
        <f t="array" ref="G60">IFERROR(MEDIAN(IF((dados!$D$2:$D$55=$A60)*(dados!$AB$2:$AB$55&lt;&gt;""),dados!$AB$2:$AB$55)),"")</f>
        <v/>
      </c>
      <c r="H60" s="7">
        <f t="array" ref="H60">IFERROR(STDEV(IF((dados!$D$2:$D$55=$A60)*(dados!$AB$2:$AB$55&lt;&gt;""),dados!$AB$2:$AB$55)),"")</f>
        <v/>
      </c>
      <c r="I60" s="7">
        <f>IF(COUNTIFS(dados!$D$2:$D$55,$A60,dados!$AB$2:$AB$55,"&lt;&gt;")=0,"",_xlfn.MINIFS(dados!$AB$2:$AB$55,dados!$D$2:$D$55,$A60))</f>
        <v/>
      </c>
      <c r="J60" s="7">
        <f>IF(COUNTIFS(dados!$D$2:$D$55,$A60,dados!$AB$2:$AB$55,"&lt;&gt;")=0,"",_xlfn.MAXIFS(dados!$AB$2:$AB$55,dados!$D$2:$D$55,$A60))</f>
        <v/>
      </c>
      <c r="K60" s="7">
        <f>IFERROR(J60-I60,"")</f>
        <v/>
      </c>
    </row>
    <row r="61">
      <c r="A61" s="2" t="inlineStr">
        <is>
          <t>Nordeste</t>
        </is>
      </c>
      <c r="B61" s="16" t="inlineStr">
        <is>
          <t>Cardápio</t>
        </is>
      </c>
      <c r="C61" s="2" t="inlineStr">
        <is>
          <t>cesta_baixa</t>
        </is>
      </c>
      <c r="D61" s="2" t="inlineStr">
        <is>
          <t>Cesta por pessoa, nível baixo (P25)</t>
        </is>
      </c>
      <c r="E61" s="5">
        <f>COUNTIFS(dados!$D$2:$D$55,$A61,dados!$AC$2:$AC$55,"&lt;&gt;")</f>
        <v/>
      </c>
      <c r="F61" s="7">
        <f>IFERROR(AVERAGEIFS(dados!$AC$2:$AC$55,dados!$D$2:$D$55,$A61),"")</f>
        <v/>
      </c>
      <c r="G61" s="7">
        <f t="array" ref="G61">IFERROR(MEDIAN(IF((dados!$D$2:$D$55=$A61)*(dados!$AC$2:$AC$55&lt;&gt;""),dados!$AC$2:$AC$55)),"")</f>
        <v/>
      </c>
      <c r="H61" s="7">
        <f t="array" ref="H61">IFERROR(STDEV(IF((dados!$D$2:$D$55=$A61)*(dados!$AC$2:$AC$55&lt;&gt;""),dados!$AC$2:$AC$55)),"")</f>
        <v/>
      </c>
      <c r="I61" s="7">
        <f>IF(COUNTIFS(dados!$D$2:$D$55,$A61,dados!$AC$2:$AC$55,"&lt;&gt;")=0,"",_xlfn.MINIFS(dados!$AC$2:$AC$55,dados!$D$2:$D$55,$A61))</f>
        <v/>
      </c>
      <c r="J61" s="7">
        <f>IF(COUNTIFS(dados!$D$2:$D$55,$A61,dados!$AC$2:$AC$55,"&lt;&gt;")=0,"",_xlfn.MAXIFS(dados!$AC$2:$AC$55,dados!$D$2:$D$55,$A61))</f>
        <v/>
      </c>
      <c r="K61" s="7">
        <f>IFERROR(J61-I61,"")</f>
        <v/>
      </c>
    </row>
    <row r="62">
      <c r="A62" s="2" t="inlineStr">
        <is>
          <t>Nordeste</t>
        </is>
      </c>
      <c r="B62" s="16" t="inlineStr">
        <is>
          <t>Cardápio</t>
        </is>
      </c>
      <c r="C62" s="2" t="inlineStr">
        <is>
          <t>cesta_mediana</t>
        </is>
      </c>
      <c r="D62" s="2" t="inlineStr">
        <is>
          <t>Cesta por pessoa, nível mediano</t>
        </is>
      </c>
      <c r="E62" s="5">
        <f>COUNTIFS(dados!$D$2:$D$55,$A62,dados!$AD$2:$AD$55,"&lt;&gt;")</f>
        <v/>
      </c>
      <c r="F62" s="7">
        <f>IFERROR(AVERAGEIFS(dados!$AD$2:$AD$55,dados!$D$2:$D$55,$A62),"")</f>
        <v/>
      </c>
      <c r="G62" s="7">
        <f t="array" ref="G62">IFERROR(MEDIAN(IF((dados!$D$2:$D$55=$A62)*(dados!$AD$2:$AD$55&lt;&gt;""),dados!$AD$2:$AD$55)),"")</f>
        <v/>
      </c>
      <c r="H62" s="7">
        <f t="array" ref="H62">IFERROR(STDEV(IF((dados!$D$2:$D$55=$A62)*(dados!$AD$2:$AD$55&lt;&gt;""),dados!$AD$2:$AD$55)),"")</f>
        <v/>
      </c>
      <c r="I62" s="7">
        <f>IF(COUNTIFS(dados!$D$2:$D$55,$A62,dados!$AD$2:$AD$55,"&lt;&gt;")=0,"",_xlfn.MINIFS(dados!$AD$2:$AD$55,dados!$D$2:$D$55,$A62))</f>
        <v/>
      </c>
      <c r="J62" s="7">
        <f>IF(COUNTIFS(dados!$D$2:$D$55,$A62,dados!$AD$2:$AD$55,"&lt;&gt;")=0,"",_xlfn.MAXIFS(dados!$AD$2:$AD$55,dados!$D$2:$D$55,$A62))</f>
        <v/>
      </c>
      <c r="K62" s="7">
        <f>IFERROR(J62-I62,"")</f>
        <v/>
      </c>
    </row>
    <row r="63">
      <c r="A63" s="2" t="inlineStr">
        <is>
          <t>Nordeste</t>
        </is>
      </c>
      <c r="B63" s="16" t="inlineStr">
        <is>
          <t>Cardápio</t>
        </is>
      </c>
      <c r="C63" s="2" t="inlineStr">
        <is>
          <t>cesta_alta</t>
        </is>
      </c>
      <c r="D63" s="2" t="inlineStr">
        <is>
          <t>Cesta por pessoa, nível alto (P75)</t>
        </is>
      </c>
      <c r="E63" s="5">
        <f>COUNTIFS(dados!$D$2:$D$55,$A63,dados!$AE$2:$AE$55,"&lt;&gt;")</f>
        <v/>
      </c>
      <c r="F63" s="7">
        <f>IFERROR(AVERAGEIFS(dados!$AE$2:$AE$55,dados!$D$2:$D$55,$A63),"")</f>
        <v/>
      </c>
      <c r="G63" s="7">
        <f t="array" ref="G63">IFERROR(MEDIAN(IF((dados!$D$2:$D$55=$A63)*(dados!$AE$2:$AE$55&lt;&gt;""),dados!$AE$2:$AE$55)),"")</f>
        <v/>
      </c>
      <c r="H63" s="7">
        <f t="array" ref="H63">IFERROR(STDEV(IF((dados!$D$2:$D$55=$A63)*(dados!$AE$2:$AE$55&lt;&gt;""),dados!$AE$2:$AE$55)),"")</f>
        <v/>
      </c>
      <c r="I63" s="7">
        <f>IF(COUNTIFS(dados!$D$2:$D$55,$A63,dados!$AE$2:$AE$55,"&lt;&gt;")=0,"",_xlfn.MINIFS(dados!$AE$2:$AE$55,dados!$D$2:$D$55,$A63))</f>
        <v/>
      </c>
      <c r="J63" s="7">
        <f>IF(COUNTIFS(dados!$D$2:$D$55,$A63,dados!$AE$2:$AE$55,"&lt;&gt;")=0,"",_xlfn.MAXIFS(dados!$AE$2:$AE$55,dados!$D$2:$D$55,$A63))</f>
        <v/>
      </c>
      <c r="K63" s="7">
        <f>IFERROR(J63-I63,"")</f>
        <v/>
      </c>
    </row>
    <row r="64">
      <c r="A64" s="2" t="inlineStr">
        <is>
          <t>Nordeste</t>
        </is>
      </c>
      <c r="B64" s="16" t="inlineStr">
        <is>
          <t>Cardápio</t>
        </is>
      </c>
      <c r="C64" s="2" t="inlineStr">
        <is>
          <t>hamburguer_mediana</t>
        </is>
      </c>
      <c r="D64" s="2" t="inlineStr">
        <is>
          <t>Hambúrguer, mediana</t>
        </is>
      </c>
      <c r="E64" s="5">
        <f>COUNTIFS(dados!$D$2:$D$55,$A64,dados!$AF$2:$AF$55,"&lt;&gt;")</f>
        <v/>
      </c>
      <c r="F64" s="7">
        <f>IFERROR(AVERAGEIFS(dados!$AF$2:$AF$55,dados!$D$2:$D$55,$A64),"")</f>
        <v/>
      </c>
      <c r="G64" s="7">
        <f t="array" ref="G64">IFERROR(MEDIAN(IF((dados!$D$2:$D$55=$A64)*(dados!$AF$2:$AF$55&lt;&gt;""),dados!$AF$2:$AF$55)),"")</f>
        <v/>
      </c>
      <c r="H64" s="7">
        <f t="array" ref="H64">IFERROR(STDEV(IF((dados!$D$2:$D$55=$A64)*(dados!$AF$2:$AF$55&lt;&gt;""),dados!$AF$2:$AF$55)),"")</f>
        <v/>
      </c>
      <c r="I64" s="7">
        <f>IF(COUNTIFS(dados!$D$2:$D$55,$A64,dados!$AF$2:$AF$55,"&lt;&gt;")=0,"",_xlfn.MINIFS(dados!$AF$2:$AF$55,dados!$D$2:$D$55,$A64))</f>
        <v/>
      </c>
      <c r="J64" s="7">
        <f>IF(COUNTIFS(dados!$D$2:$D$55,$A64,dados!$AF$2:$AF$55,"&lt;&gt;")=0,"",_xlfn.MAXIFS(dados!$AF$2:$AF$55,dados!$D$2:$D$55,$A64))</f>
        <v/>
      </c>
      <c r="K64" s="7">
        <f>IFERROR(J64-I64,"")</f>
        <v/>
      </c>
    </row>
    <row r="65">
      <c r="A65" s="2" t="inlineStr">
        <is>
          <t>Nordeste</t>
        </is>
      </c>
      <c r="B65" s="16" t="inlineStr">
        <is>
          <t>Cardápio</t>
        </is>
      </c>
      <c r="C65" s="2" t="inlineStr">
        <is>
          <t>batata_mediana</t>
        </is>
      </c>
      <c r="D65" s="2" t="inlineStr">
        <is>
          <t>Batata, mediana</t>
        </is>
      </c>
      <c r="E65" s="5">
        <f>COUNTIFS(dados!$D$2:$D$55,$A65,dados!$AG$2:$AG$55,"&lt;&gt;")</f>
        <v/>
      </c>
      <c r="F65" s="7">
        <f>IFERROR(AVERAGEIFS(dados!$AG$2:$AG$55,dados!$D$2:$D$55,$A65),"")</f>
        <v/>
      </c>
      <c r="G65" s="7">
        <f t="array" ref="G65">IFERROR(MEDIAN(IF((dados!$D$2:$D$55=$A65)*(dados!$AG$2:$AG$55&lt;&gt;""),dados!$AG$2:$AG$55)),"")</f>
        <v/>
      </c>
      <c r="H65" s="7">
        <f t="array" ref="H65">IFERROR(STDEV(IF((dados!$D$2:$D$55=$A65)*(dados!$AG$2:$AG$55&lt;&gt;""),dados!$AG$2:$AG$55)),"")</f>
        <v/>
      </c>
      <c r="I65" s="7">
        <f>IF(COUNTIFS(dados!$D$2:$D$55,$A65,dados!$AG$2:$AG$55,"&lt;&gt;")=0,"",_xlfn.MINIFS(dados!$AG$2:$AG$55,dados!$D$2:$D$55,$A65))</f>
        <v/>
      </c>
      <c r="J65" s="7">
        <f>IF(COUNTIFS(dados!$D$2:$D$55,$A65,dados!$AG$2:$AG$55,"&lt;&gt;")=0,"",_xlfn.MAXIFS(dados!$AG$2:$AG$55,dados!$D$2:$D$55,$A65))</f>
        <v/>
      </c>
      <c r="K65" s="7">
        <f>IFERROR(J65-I65,"")</f>
        <v/>
      </c>
    </row>
    <row r="66">
      <c r="A66" s="2" t="inlineStr">
        <is>
          <t>Nordeste</t>
        </is>
      </c>
      <c r="B66" s="16" t="inlineStr">
        <is>
          <t>Cardápio</t>
        </is>
      </c>
      <c r="C66" s="2" t="inlineStr">
        <is>
          <t>cerveja_mediana</t>
        </is>
      </c>
      <c r="D66" s="2" t="inlineStr">
        <is>
          <t>Cerveja, mediana</t>
        </is>
      </c>
      <c r="E66" s="5">
        <f>COUNTIFS(dados!$D$2:$D$55,$A66,dados!$AH$2:$AH$55,"&lt;&gt;")</f>
        <v/>
      </c>
      <c r="F66" s="7">
        <f>IFERROR(AVERAGEIFS(dados!$AH$2:$AH$55,dados!$D$2:$D$55,$A66),"")</f>
        <v/>
      </c>
      <c r="G66" s="7">
        <f t="array" ref="G66">IFERROR(MEDIAN(IF((dados!$D$2:$D$55=$A66)*(dados!$AH$2:$AH$55&lt;&gt;""),dados!$AH$2:$AH$55)),"")</f>
        <v/>
      </c>
      <c r="H66" s="7">
        <f t="array" ref="H66">IFERROR(STDEV(IF((dados!$D$2:$D$55=$A66)*(dados!$AH$2:$AH$55&lt;&gt;""),dados!$AH$2:$AH$55)),"")</f>
        <v/>
      </c>
      <c r="I66" s="7">
        <f>IF(COUNTIFS(dados!$D$2:$D$55,$A66,dados!$AH$2:$AH$55,"&lt;&gt;")=0,"",_xlfn.MINIFS(dados!$AH$2:$AH$55,dados!$D$2:$D$55,$A66))</f>
        <v/>
      </c>
      <c r="J66" s="7">
        <f>IF(COUNTIFS(dados!$D$2:$D$55,$A66,dados!$AH$2:$AH$55,"&lt;&gt;")=0,"",_xlfn.MAXIFS(dados!$AH$2:$AH$55,dados!$D$2:$D$55,$A66))</f>
        <v/>
      </c>
      <c r="K66" s="7">
        <f>IFERROR(J66-I66,"")</f>
        <v/>
      </c>
    </row>
    <row r="67">
      <c r="A67" s="2" t="inlineStr">
        <is>
          <t>Nordeste</t>
        </is>
      </c>
      <c r="B67" s="16" t="inlineStr">
        <is>
          <t>Cardápio</t>
        </is>
      </c>
      <c r="C67" s="2" t="inlineStr">
        <is>
          <t>refrigerante_mediana</t>
        </is>
      </c>
      <c r="D67" s="2" t="inlineStr">
        <is>
          <t>Refrigerante, mediana</t>
        </is>
      </c>
      <c r="E67" s="5">
        <f>COUNTIFS(dados!$D$2:$D$55,$A67,dados!$AI$2:$AI$55,"&lt;&gt;")</f>
        <v/>
      </c>
      <c r="F67" s="7">
        <f>IFERROR(AVERAGEIFS(dados!$AI$2:$AI$55,dados!$D$2:$D$55,$A67),"")</f>
        <v/>
      </c>
      <c r="G67" s="7">
        <f t="array" ref="G67">IFERROR(MEDIAN(IF((dados!$D$2:$D$55=$A67)*(dados!$AI$2:$AI$55&lt;&gt;""),dados!$AI$2:$AI$55)),"")</f>
        <v/>
      </c>
      <c r="H67" s="7">
        <f t="array" ref="H67">IFERROR(STDEV(IF((dados!$D$2:$D$55=$A67)*(dados!$AI$2:$AI$55&lt;&gt;""),dados!$AI$2:$AI$55)),"")</f>
        <v/>
      </c>
      <c r="I67" s="7">
        <f>IF(COUNTIFS(dados!$D$2:$D$55,$A67,dados!$AI$2:$AI$55,"&lt;&gt;")=0,"",_xlfn.MINIFS(dados!$AI$2:$AI$55,dados!$D$2:$D$55,$A67))</f>
        <v/>
      </c>
      <c r="J67" s="7">
        <f>IF(COUNTIFS(dados!$D$2:$D$55,$A67,dados!$AI$2:$AI$55,"&lt;&gt;")=0,"",_xlfn.MAXIFS(dados!$AI$2:$AI$55,dados!$D$2:$D$55,$A67))</f>
        <v/>
      </c>
      <c r="K67" s="7">
        <f>IFERROR(J67-I67,"")</f>
        <v/>
      </c>
    </row>
    <row r="68">
      <c r="A68" s="2" t="inlineStr">
        <is>
          <t>Nordeste</t>
        </is>
      </c>
      <c r="B68" s="16" t="inlineStr">
        <is>
          <t>Cardápio</t>
        </is>
      </c>
      <c r="C68" s="2" t="inlineStr">
        <is>
          <t>drinks_mediana</t>
        </is>
      </c>
      <c r="D68" s="2" t="inlineStr">
        <is>
          <t>Drinks, mediana</t>
        </is>
      </c>
      <c r="E68" s="5">
        <f>COUNTIFS(dados!$D$2:$D$55,$A68,dados!$AJ$2:$AJ$55,"&lt;&gt;")</f>
        <v/>
      </c>
      <c r="F68" s="7">
        <f>IFERROR(AVERAGEIFS(dados!$AJ$2:$AJ$55,dados!$D$2:$D$55,$A68),"")</f>
        <v/>
      </c>
      <c r="G68" s="7">
        <f t="array" ref="G68">IFERROR(MEDIAN(IF((dados!$D$2:$D$55=$A68)*(dados!$AJ$2:$AJ$55&lt;&gt;""),dados!$AJ$2:$AJ$55)),"")</f>
        <v/>
      </c>
      <c r="H68" s="7">
        <f t="array" ref="H68">IFERROR(STDEV(IF((dados!$D$2:$D$55=$A68)*(dados!$AJ$2:$AJ$55&lt;&gt;""),dados!$AJ$2:$AJ$55)),"")</f>
        <v/>
      </c>
      <c r="I68" s="7">
        <f>IF(COUNTIFS(dados!$D$2:$D$55,$A68,dados!$AJ$2:$AJ$55,"&lt;&gt;")=0,"",_xlfn.MINIFS(dados!$AJ$2:$AJ$55,dados!$D$2:$D$55,$A68))</f>
        <v/>
      </c>
      <c r="J68" s="7">
        <f>IF(COUNTIFS(dados!$D$2:$D$55,$A68,dados!$AJ$2:$AJ$55,"&lt;&gt;")=0,"",_xlfn.MAXIFS(dados!$AJ$2:$AJ$55,dados!$D$2:$D$55,$A68))</f>
        <v/>
      </c>
      <c r="K68" s="7">
        <f>IFERROR(J68-I68,"")</f>
        <v/>
      </c>
    </row>
    <row r="69">
      <c r="A69" s="2" t="inlineStr">
        <is>
          <t>Nordeste</t>
        </is>
      </c>
      <c r="B69" s="17" t="inlineStr">
        <is>
          <t>Acervo</t>
        </is>
      </c>
      <c r="C69" s="2" t="inlineStr">
        <is>
          <t>titulos_acervo</t>
        </is>
      </c>
      <c r="D69" s="2" t="inlineStr">
        <is>
          <t>Títulos no acervo publicado</t>
        </is>
      </c>
      <c r="E69" s="5">
        <f>COUNTIFS(dados!$D$2:$D$55,$A69,dados!$AK$2:$AK$55,"&lt;&gt;")</f>
        <v/>
      </c>
      <c r="F69" s="5">
        <f>IFERROR(AVERAGEIFS(dados!$AK$2:$AK$55,dados!$D$2:$D$55,$A69),"")</f>
        <v/>
      </c>
      <c r="G69" s="5">
        <f t="array" ref="G69">IFERROR(MEDIAN(IF((dados!$D$2:$D$55=$A69)*(dados!$AK$2:$AK$55&lt;&gt;""),dados!$AK$2:$AK$55)),"")</f>
        <v/>
      </c>
      <c r="H69" s="5">
        <f t="array" ref="H69">IFERROR(STDEV(IF((dados!$D$2:$D$55=$A69)*(dados!$AK$2:$AK$55&lt;&gt;""),dados!$AK$2:$AK$55)),"")</f>
        <v/>
      </c>
      <c r="I69" s="5">
        <f>IF(COUNTIFS(dados!$D$2:$D$55,$A69,dados!$AK$2:$AK$55,"&lt;&gt;")=0,"",_xlfn.MINIFS(dados!$AK$2:$AK$55,dados!$D$2:$D$55,$A69))</f>
        <v/>
      </c>
      <c r="J69" s="5">
        <f>IF(COUNTIFS(dados!$D$2:$D$55,$A69,dados!$AK$2:$AK$55,"&lt;&gt;")=0,"",_xlfn.MAXIFS(dados!$AK$2:$AK$55,dados!$D$2:$D$55,$A69))</f>
        <v/>
      </c>
      <c r="K69" s="5">
        <f>IFERROR(J69-I69,"")</f>
        <v/>
      </c>
    </row>
    <row r="70">
      <c r="A70" s="2" t="inlineStr">
        <is>
          <t>Nordeste</t>
        </is>
      </c>
      <c r="B70" s="18" t="inlineStr">
        <is>
          <t>B2</t>
        </is>
      </c>
      <c r="C70" s="2" t="inlineStr">
        <is>
          <t>avaliacoes_b2</t>
        </is>
      </c>
      <c r="D70" s="2" t="inlineStr">
        <is>
          <t>Avaliações no recorte do B2 (até '3 meses atrás')</t>
        </is>
      </c>
      <c r="E70" s="5">
        <f>COUNTIFS(dados!$D$2:$D$55,$A70,dados!$AL$2:$AL$55,"&lt;&gt;")</f>
        <v/>
      </c>
      <c r="F70" s="5">
        <f>IFERROR(AVERAGEIFS(dados!$AL$2:$AL$55,dados!$D$2:$D$55,$A70),"")</f>
        <v/>
      </c>
      <c r="G70" s="5">
        <f t="array" ref="G70">IFERROR(MEDIAN(IF((dados!$D$2:$D$55=$A70)*(dados!$AL$2:$AL$55&lt;&gt;""),dados!$AL$2:$AL$55)),"")</f>
        <v/>
      </c>
      <c r="H70" s="5">
        <f t="array" ref="H70">IFERROR(STDEV(IF((dados!$D$2:$D$55=$A70)*(dados!$AL$2:$AL$55&lt;&gt;""),dados!$AL$2:$AL$55)),"")</f>
        <v/>
      </c>
      <c r="I70" s="5">
        <f>IF(COUNTIFS(dados!$D$2:$D$55,$A70,dados!$AL$2:$AL$55,"&lt;&gt;")=0,"",_xlfn.MINIFS(dados!$AL$2:$AL$55,dados!$D$2:$D$55,$A70))</f>
        <v/>
      </c>
      <c r="J70" s="5">
        <f>IF(COUNTIFS(dados!$D$2:$D$55,$A70,dados!$AL$2:$AL$55,"&lt;&gt;")=0,"",_xlfn.MAXIFS(dados!$AL$2:$AL$55,dados!$D$2:$D$55,$A70))</f>
        <v/>
      </c>
      <c r="K70" s="5">
        <f>IFERROR(J70-I70,"")</f>
        <v/>
      </c>
    </row>
    <row r="71">
      <c r="A71" s="2" t="inlineStr">
        <is>
          <t>Nordeste</t>
        </is>
      </c>
      <c r="B71" s="18" t="inlineStr">
        <is>
          <t>B2</t>
        </is>
      </c>
      <c r="C71" s="2" t="inlineStr">
        <is>
          <t>avaliacoes_b2_com_texto</t>
        </is>
      </c>
      <c r="D71" s="2" t="inlineStr">
        <is>
          <t>Dessas, com texto</t>
        </is>
      </c>
      <c r="E71" s="5">
        <f>COUNTIFS(dados!$D$2:$D$55,$A71,dados!$AM$2:$AM$55,"&lt;&gt;")</f>
        <v/>
      </c>
      <c r="F71" s="5">
        <f>IFERROR(AVERAGEIFS(dados!$AM$2:$AM$55,dados!$D$2:$D$55,$A71),"")</f>
        <v/>
      </c>
      <c r="G71" s="5">
        <f t="array" ref="G71">IFERROR(MEDIAN(IF((dados!$D$2:$D$55=$A71)*(dados!$AM$2:$AM$55&lt;&gt;""),dados!$AM$2:$AM$55)),"")</f>
        <v/>
      </c>
      <c r="H71" s="5">
        <f t="array" ref="H71">IFERROR(STDEV(IF((dados!$D$2:$D$55=$A71)*(dados!$AM$2:$AM$55&lt;&gt;""),dados!$AM$2:$AM$55)),"")</f>
        <v/>
      </c>
      <c r="I71" s="5">
        <f>IF(COUNTIFS(dados!$D$2:$D$55,$A71,dados!$AM$2:$AM$55,"&lt;&gt;")=0,"",_xlfn.MINIFS(dados!$AM$2:$AM$55,dados!$D$2:$D$55,$A71))</f>
        <v/>
      </c>
      <c r="J71" s="5">
        <f>IF(COUNTIFS(dados!$D$2:$D$55,$A71,dados!$AM$2:$AM$55,"&lt;&gt;")=0,"",_xlfn.MAXIFS(dados!$AM$2:$AM$55,dados!$D$2:$D$55,$A71))</f>
        <v/>
      </c>
      <c r="K71" s="5">
        <f>IFERROR(J71-I71,"")</f>
        <v/>
      </c>
    </row>
    <row r="72">
      <c r="A72" s="2" t="inlineStr">
        <is>
          <t>Centro-Oeste</t>
        </is>
      </c>
      <c r="B72" s="11" t="inlineStr">
        <is>
          <t>Google Maps</t>
        </is>
      </c>
      <c r="C72" s="2" t="inlineStr">
        <is>
          <t>avaliacao_media</t>
        </is>
      </c>
      <c r="D72" s="2" t="inlineStr">
        <is>
          <t>Nota média no Google</t>
        </is>
      </c>
      <c r="E72" s="5">
        <f>COUNTIFS(dados!$D$2:$D$55,$A72,dados!$E$2:$E$55,"&lt;&gt;")</f>
        <v/>
      </c>
      <c r="F72" s="4">
        <f>IFERROR(AVERAGEIFS(dados!$E$2:$E$55,dados!$D$2:$D$55,$A72),"")</f>
        <v/>
      </c>
      <c r="G72" s="4">
        <f t="array" ref="G72">IFERROR(MEDIAN(IF((dados!$D$2:$D$55=$A72)*(dados!$E$2:$E$55&lt;&gt;""),dados!$E$2:$E$55)),"")</f>
        <v/>
      </c>
      <c r="H72" s="4">
        <f t="array" ref="H72">IFERROR(STDEV(IF((dados!$D$2:$D$55=$A72)*(dados!$E$2:$E$55&lt;&gt;""),dados!$E$2:$E$55)),"")</f>
        <v/>
      </c>
      <c r="I72" s="4">
        <f>IF(COUNTIFS(dados!$D$2:$D$55,$A72,dados!$E$2:$E$55,"&lt;&gt;")=0,"",_xlfn.MINIFS(dados!$E$2:$E$55,dados!$D$2:$D$55,$A72))</f>
        <v/>
      </c>
      <c r="J72" s="4">
        <f>IF(COUNTIFS(dados!$D$2:$D$55,$A72,dados!$E$2:$E$55,"&lt;&gt;")=0,"",_xlfn.MAXIFS(dados!$E$2:$E$55,dados!$D$2:$D$55,$A72))</f>
        <v/>
      </c>
      <c r="K72" s="4">
        <f>IFERROR(J72-I72,"")</f>
        <v/>
      </c>
    </row>
    <row r="73">
      <c r="A73" s="2" t="inlineStr">
        <is>
          <t>Centro-Oeste</t>
        </is>
      </c>
      <c r="B73" s="11" t="inlineStr">
        <is>
          <t>Google Maps</t>
        </is>
      </c>
      <c r="C73" s="2" t="inlineStr">
        <is>
          <t>volume_avaliacoes</t>
        </is>
      </c>
      <c r="D73" s="2" t="inlineStr">
        <is>
          <t>Nº de avaliações no Google</t>
        </is>
      </c>
      <c r="E73" s="5">
        <f>COUNTIFS(dados!$D$2:$D$55,$A73,dados!$F$2:$F$55,"&lt;&gt;")</f>
        <v/>
      </c>
      <c r="F73" s="5">
        <f>IFERROR(AVERAGEIFS(dados!$F$2:$F$55,dados!$D$2:$D$55,$A73),"")</f>
        <v/>
      </c>
      <c r="G73" s="5">
        <f t="array" ref="G73">IFERROR(MEDIAN(IF((dados!$D$2:$D$55=$A73)*(dados!$F$2:$F$55&lt;&gt;""),dados!$F$2:$F$55)),"")</f>
        <v/>
      </c>
      <c r="H73" s="5">
        <f t="array" ref="H73">IFERROR(STDEV(IF((dados!$D$2:$D$55=$A73)*(dados!$F$2:$F$55&lt;&gt;""),dados!$F$2:$F$55)),"")</f>
        <v/>
      </c>
      <c r="I73" s="5">
        <f>IF(COUNTIFS(dados!$D$2:$D$55,$A73,dados!$F$2:$F$55,"&lt;&gt;")=0,"",_xlfn.MINIFS(dados!$F$2:$F$55,dados!$D$2:$D$55,$A73))</f>
        <v/>
      </c>
      <c r="J73" s="5">
        <f>IF(COUNTIFS(dados!$D$2:$D$55,$A73,dados!$F$2:$F$55,"&lt;&gt;")=0,"",_xlfn.MAXIFS(dados!$F$2:$F$55,dados!$D$2:$D$55,$A73))</f>
        <v/>
      </c>
      <c r="K73" s="5">
        <f>IFERROR(J73-I73,"")</f>
        <v/>
      </c>
    </row>
    <row r="74">
      <c r="A74" s="2" t="inlineStr">
        <is>
          <t>Centro-Oeste</t>
        </is>
      </c>
      <c r="B74" s="12" t="inlineStr">
        <is>
          <t>Horários</t>
        </is>
      </c>
      <c r="C74" s="2" t="inlineStr">
        <is>
          <t>dias_abertos</t>
        </is>
      </c>
      <c r="D74" s="2" t="inlineStr">
        <is>
          <t>Dias abertos por semana</t>
        </is>
      </c>
      <c r="E74" s="5">
        <f>COUNTIFS(dados!$D$2:$D$55,$A74,dados!$G$2:$G$55,"&lt;&gt;")</f>
        <v/>
      </c>
      <c r="F74" s="6">
        <f>IFERROR(AVERAGEIFS(dados!$G$2:$G$55,dados!$D$2:$D$55,$A74),"")</f>
        <v/>
      </c>
      <c r="G74" s="6">
        <f t="array" ref="G74">IFERROR(MEDIAN(IF((dados!$D$2:$D$55=$A74)*(dados!$G$2:$G$55&lt;&gt;""),dados!$G$2:$G$55)),"")</f>
        <v/>
      </c>
      <c r="H74" s="6">
        <f t="array" ref="H74">IFERROR(STDEV(IF((dados!$D$2:$D$55=$A74)*(dados!$G$2:$G$55&lt;&gt;""),dados!$G$2:$G$55)),"")</f>
        <v/>
      </c>
      <c r="I74" s="6">
        <f>IF(COUNTIFS(dados!$D$2:$D$55,$A74,dados!$G$2:$G$55,"&lt;&gt;")=0,"",_xlfn.MINIFS(dados!$G$2:$G$55,dados!$D$2:$D$55,$A74))</f>
        <v/>
      </c>
      <c r="J74" s="6">
        <f>IF(COUNTIFS(dados!$D$2:$D$55,$A74,dados!$G$2:$G$55,"&lt;&gt;")=0,"",_xlfn.MAXIFS(dados!$G$2:$G$55,dados!$D$2:$D$55,$A74))</f>
        <v/>
      </c>
      <c r="K74" s="6">
        <f>IFERROR(J74-I74,"")</f>
        <v/>
      </c>
    </row>
    <row r="75">
      <c r="A75" s="2" t="inlineStr">
        <is>
          <t>Centro-Oeste</t>
        </is>
      </c>
      <c r="B75" s="12" t="inlineStr">
        <is>
          <t>Horários</t>
        </is>
      </c>
      <c r="C75" s="2" t="inlineStr">
        <is>
          <t>horas_semana</t>
        </is>
      </c>
      <c r="D75" s="2" t="inlineStr">
        <is>
          <t>Horas abertas por semana</t>
        </is>
      </c>
      <c r="E75" s="5">
        <f>COUNTIFS(dados!$D$2:$D$55,$A75,dados!$H$2:$H$55,"&lt;&gt;")</f>
        <v/>
      </c>
      <c r="F75" s="6">
        <f>IFERROR(AVERAGEIFS(dados!$H$2:$H$55,dados!$D$2:$D$55,$A75),"")</f>
        <v/>
      </c>
      <c r="G75" s="6">
        <f t="array" ref="G75">IFERROR(MEDIAN(IF((dados!$D$2:$D$55=$A75)*(dados!$H$2:$H$55&lt;&gt;""),dados!$H$2:$H$55)),"")</f>
        <v/>
      </c>
      <c r="H75" s="6">
        <f t="array" ref="H75">IFERROR(STDEV(IF((dados!$D$2:$D$55=$A75)*(dados!$H$2:$H$55&lt;&gt;""),dados!$H$2:$H$55)),"")</f>
        <v/>
      </c>
      <c r="I75" s="6">
        <f>IF(COUNTIFS(dados!$D$2:$D$55,$A75,dados!$H$2:$H$55,"&lt;&gt;")=0,"",_xlfn.MINIFS(dados!$H$2:$H$55,dados!$D$2:$D$55,$A75))</f>
        <v/>
      </c>
      <c r="J75" s="6">
        <f>IF(COUNTIFS(dados!$D$2:$D$55,$A75,dados!$H$2:$H$55,"&lt;&gt;")=0,"",_xlfn.MAXIFS(dados!$H$2:$H$55,dados!$D$2:$D$55,$A75))</f>
        <v/>
      </c>
      <c r="K75" s="6">
        <f>IFERROR(J75-I75,"")</f>
        <v/>
      </c>
    </row>
    <row r="76">
      <c r="A76" s="2" t="inlineStr">
        <is>
          <t>Centro-Oeste</t>
        </is>
      </c>
      <c r="B76" s="12" t="inlineStr">
        <is>
          <t>Horários</t>
        </is>
      </c>
      <c r="C76" s="2" t="inlineStr">
        <is>
          <t>abre_cedo_h</t>
        </is>
      </c>
      <c r="D76" s="2" t="inlineStr">
        <is>
          <t>Abertura mais cedo da semana</t>
        </is>
      </c>
      <c r="E76" s="5">
        <f>COUNTIFS(dados!$D$2:$D$55,$A76,dados!$I$2:$I$55,"&lt;&gt;")</f>
        <v/>
      </c>
      <c r="F76" s="6">
        <f>IFERROR(AVERAGEIFS(dados!$I$2:$I$55,dados!$D$2:$D$55,$A76),"")</f>
        <v/>
      </c>
      <c r="G76" s="6">
        <f t="array" ref="G76">IFERROR(MEDIAN(IF((dados!$D$2:$D$55=$A76)*(dados!$I$2:$I$55&lt;&gt;""),dados!$I$2:$I$55)),"")</f>
        <v/>
      </c>
      <c r="H76" s="6">
        <f t="array" ref="H76">IFERROR(STDEV(IF((dados!$D$2:$D$55=$A76)*(dados!$I$2:$I$55&lt;&gt;""),dados!$I$2:$I$55)),"")</f>
        <v/>
      </c>
      <c r="I76" s="6">
        <f>IF(COUNTIFS(dados!$D$2:$D$55,$A76,dados!$I$2:$I$55,"&lt;&gt;")=0,"",_xlfn.MINIFS(dados!$I$2:$I$55,dados!$D$2:$D$55,$A76))</f>
        <v/>
      </c>
      <c r="J76" s="6">
        <f>IF(COUNTIFS(dados!$D$2:$D$55,$A76,dados!$I$2:$I$55,"&lt;&gt;")=0,"",_xlfn.MAXIFS(dados!$I$2:$I$55,dados!$D$2:$D$55,$A76))</f>
        <v/>
      </c>
      <c r="K76" s="6">
        <f>IFERROR(J76-I76,"")</f>
        <v/>
      </c>
    </row>
    <row r="77">
      <c r="A77" s="2" t="inlineStr">
        <is>
          <t>Centro-Oeste</t>
        </is>
      </c>
      <c r="B77" s="12" t="inlineStr">
        <is>
          <t>Horários</t>
        </is>
      </c>
      <c r="C77" s="2" t="inlineStr">
        <is>
          <t>fecha_tarde_h</t>
        </is>
      </c>
      <c r="D77" s="2" t="inlineStr">
        <is>
          <t>Fechamento mais tarde da semana (25 = 1h da manhã)</t>
        </is>
      </c>
      <c r="E77" s="5">
        <f>COUNTIFS(dados!$D$2:$D$55,$A77,dados!$J$2:$J$55,"&lt;&gt;")</f>
        <v/>
      </c>
      <c r="F77" s="6">
        <f>IFERROR(AVERAGEIFS(dados!$J$2:$J$55,dados!$D$2:$D$55,$A77),"")</f>
        <v/>
      </c>
      <c r="G77" s="6">
        <f t="array" ref="G77">IFERROR(MEDIAN(IF((dados!$D$2:$D$55=$A77)*(dados!$J$2:$J$55&lt;&gt;""),dados!$J$2:$J$55)),"")</f>
        <v/>
      </c>
      <c r="H77" s="6">
        <f t="array" ref="H77">IFERROR(STDEV(IF((dados!$D$2:$D$55=$A77)*(dados!$J$2:$J$55&lt;&gt;""),dados!$J$2:$J$55)),"")</f>
        <v/>
      </c>
      <c r="I77" s="6">
        <f>IF(COUNTIFS(dados!$D$2:$D$55,$A77,dados!$J$2:$J$55,"&lt;&gt;")=0,"",_xlfn.MINIFS(dados!$J$2:$J$55,dados!$D$2:$D$55,$A77))</f>
        <v/>
      </c>
      <c r="J77" s="6">
        <f>IF(COUNTIFS(dados!$D$2:$D$55,$A77,dados!$J$2:$J$55,"&lt;&gt;")=0,"",_xlfn.MAXIFS(dados!$J$2:$J$55,dados!$D$2:$D$55,$A77))</f>
        <v/>
      </c>
      <c r="K77" s="6">
        <f>IFERROR(J77-I77,"")</f>
        <v/>
      </c>
    </row>
    <row r="78">
      <c r="A78" s="2" t="inlineStr">
        <is>
          <t>Centro-Oeste</t>
        </is>
      </c>
      <c r="B78" s="13" t="inlineStr">
        <is>
          <t>Entorno</t>
        </is>
      </c>
      <c r="C78" s="2" t="inlineStr">
        <is>
          <t>metro_500m</t>
        </is>
      </c>
      <c r="D78" s="2" t="inlineStr">
        <is>
          <t>Estações de metrô até 500 m</t>
        </is>
      </c>
      <c r="E78" s="5">
        <f>COUNTIFS(dados!$D$2:$D$55,$A78,dados!$K$2:$K$55,"&lt;&gt;")</f>
        <v/>
      </c>
      <c r="F78" s="4">
        <f>IFERROR(AVERAGEIFS(dados!$K$2:$K$55,dados!$D$2:$D$55,$A78),"")</f>
        <v/>
      </c>
      <c r="G78" s="4">
        <f t="array" ref="G78">IFERROR(MEDIAN(IF((dados!$D$2:$D$55=$A78)*(dados!$K$2:$K$55&lt;&gt;""),dados!$K$2:$K$55)),"")</f>
        <v/>
      </c>
      <c r="H78" s="4">
        <f t="array" ref="H78">IFERROR(STDEV(IF((dados!$D$2:$D$55=$A78)*(dados!$K$2:$K$55&lt;&gt;""),dados!$K$2:$K$55)),"")</f>
        <v/>
      </c>
      <c r="I78" s="4">
        <f>IF(COUNTIFS(dados!$D$2:$D$55,$A78,dados!$K$2:$K$55,"&lt;&gt;")=0,"",_xlfn.MINIFS(dados!$K$2:$K$55,dados!$D$2:$D$55,$A78))</f>
        <v/>
      </c>
      <c r="J78" s="4">
        <f>IF(COUNTIFS(dados!$D$2:$D$55,$A78,dados!$K$2:$K$55,"&lt;&gt;")=0,"",_xlfn.MAXIFS(dados!$K$2:$K$55,dados!$D$2:$D$55,$A78))</f>
        <v/>
      </c>
      <c r="K78" s="4">
        <f>IFERROR(J78-I78,"")</f>
        <v/>
      </c>
    </row>
    <row r="79">
      <c r="A79" s="2" t="inlineStr">
        <is>
          <t>Centro-Oeste</t>
        </is>
      </c>
      <c r="B79" s="13" t="inlineStr">
        <is>
          <t>Entorno</t>
        </is>
      </c>
      <c r="C79" s="2" t="inlineStr">
        <is>
          <t>metro_1000m</t>
        </is>
      </c>
      <c r="D79" s="2" t="inlineStr">
        <is>
          <t>Estações de metrô até 1000 m</t>
        </is>
      </c>
      <c r="E79" s="5">
        <f>COUNTIFS(dados!$D$2:$D$55,$A79,dados!$L$2:$L$55,"&lt;&gt;")</f>
        <v/>
      </c>
      <c r="F79" s="4">
        <f>IFERROR(AVERAGEIFS(dados!$L$2:$L$55,dados!$D$2:$D$55,$A79),"")</f>
        <v/>
      </c>
      <c r="G79" s="4">
        <f t="array" ref="G79">IFERROR(MEDIAN(IF((dados!$D$2:$D$55=$A79)*(dados!$L$2:$L$55&lt;&gt;""),dados!$L$2:$L$55)),"")</f>
        <v/>
      </c>
      <c r="H79" s="4">
        <f t="array" ref="H79">IFERROR(STDEV(IF((dados!$D$2:$D$55=$A79)*(dados!$L$2:$L$55&lt;&gt;""),dados!$L$2:$L$55)),"")</f>
        <v/>
      </c>
      <c r="I79" s="4">
        <f>IF(COUNTIFS(dados!$D$2:$D$55,$A79,dados!$L$2:$L$55,"&lt;&gt;")=0,"",_xlfn.MINIFS(dados!$L$2:$L$55,dados!$D$2:$D$55,$A79))</f>
        <v/>
      </c>
      <c r="J79" s="4">
        <f>IF(COUNTIFS(dados!$D$2:$D$55,$A79,dados!$L$2:$L$55,"&lt;&gt;")=0,"",_xlfn.MAXIFS(dados!$L$2:$L$55,dados!$D$2:$D$55,$A79))</f>
        <v/>
      </c>
      <c r="K79" s="4">
        <f>IFERROR(J79-I79,"")</f>
        <v/>
      </c>
    </row>
    <row r="80">
      <c r="A80" s="2" t="inlineStr">
        <is>
          <t>Centro-Oeste</t>
        </is>
      </c>
      <c r="B80" s="13" t="inlineStr">
        <is>
          <t>Entorno</t>
        </is>
      </c>
      <c r="C80" s="2" t="inlineStr">
        <is>
          <t>dist_metro_m</t>
        </is>
      </c>
      <c r="D80" s="2" t="inlineStr">
        <is>
          <t>Distância à estação de metrô mais próxima</t>
        </is>
      </c>
      <c r="E80" s="5">
        <f>COUNTIFS(dados!$D$2:$D$55,$A80,dados!$M$2:$M$55,"&lt;&gt;")</f>
        <v/>
      </c>
      <c r="F80" s="5">
        <f>IFERROR(AVERAGEIFS(dados!$M$2:$M$55,dados!$D$2:$D$55,$A80),"")</f>
        <v/>
      </c>
      <c r="G80" s="5">
        <f t="array" ref="G80">IFERROR(MEDIAN(IF((dados!$D$2:$D$55=$A80)*(dados!$M$2:$M$55&lt;&gt;""),dados!$M$2:$M$55)),"")</f>
        <v/>
      </c>
      <c r="H80" s="5">
        <f t="array" ref="H80">IFERROR(STDEV(IF((dados!$D$2:$D$55=$A80)*(dados!$M$2:$M$55&lt;&gt;""),dados!$M$2:$M$55)),"")</f>
        <v/>
      </c>
      <c r="I80" s="5">
        <f>IF(COUNTIFS(dados!$D$2:$D$55,$A80,dados!$M$2:$M$55,"&lt;&gt;")=0,"",_xlfn.MINIFS(dados!$M$2:$M$55,dados!$D$2:$D$55,$A80))</f>
        <v/>
      </c>
      <c r="J80" s="5">
        <f>IF(COUNTIFS(dados!$D$2:$D$55,$A80,dados!$M$2:$M$55,"&lt;&gt;")=0,"",_xlfn.MAXIFS(dados!$M$2:$M$55,dados!$D$2:$D$55,$A80))</f>
        <v/>
      </c>
      <c r="K80" s="5">
        <f>IFERROR(J80-I80,"")</f>
        <v/>
      </c>
    </row>
    <row r="81">
      <c r="A81" s="2" t="inlineStr">
        <is>
          <t>Centro-Oeste</t>
        </is>
      </c>
      <c r="B81" s="13" t="inlineStr">
        <is>
          <t>Entorno</t>
        </is>
      </c>
      <c r="C81" s="2" t="inlineStr">
        <is>
          <t>shopping_porte_500m</t>
        </is>
      </c>
      <c r="D81" s="2" t="inlineStr">
        <is>
          <t>Shoppings de porte até 500 m (onde o porte foi buscado)</t>
        </is>
      </c>
      <c r="E81" s="5">
        <f>COUNTIFS(dados!$D$2:$D$55,$A81,dados!$N$2:$N$55,"&lt;&gt;")</f>
        <v/>
      </c>
      <c r="F81" s="4">
        <f>IFERROR(AVERAGEIFS(dados!$N$2:$N$55,dados!$D$2:$D$55,$A81),"")</f>
        <v/>
      </c>
      <c r="G81" s="4">
        <f t="array" ref="G81">IFERROR(MEDIAN(IF((dados!$D$2:$D$55=$A81)*(dados!$N$2:$N$55&lt;&gt;""),dados!$N$2:$N$55)),"")</f>
        <v/>
      </c>
      <c r="H81" s="4">
        <f t="array" ref="H81">IFERROR(STDEV(IF((dados!$D$2:$D$55=$A81)*(dados!$N$2:$N$55&lt;&gt;""),dados!$N$2:$N$55)),"")</f>
        <v/>
      </c>
      <c r="I81" s="4">
        <f>IF(COUNTIFS(dados!$D$2:$D$55,$A81,dados!$N$2:$N$55,"&lt;&gt;")=0,"",_xlfn.MINIFS(dados!$N$2:$N$55,dados!$D$2:$D$55,$A81))</f>
        <v/>
      </c>
      <c r="J81" s="4">
        <f>IF(COUNTIFS(dados!$D$2:$D$55,$A81,dados!$N$2:$N$55,"&lt;&gt;")=0,"",_xlfn.MAXIFS(dados!$N$2:$N$55,dados!$D$2:$D$55,$A81))</f>
        <v/>
      </c>
      <c r="K81" s="4">
        <f>IFERROR(J81-I81,"")</f>
        <v/>
      </c>
    </row>
    <row r="82">
      <c r="A82" s="2" t="inlineStr">
        <is>
          <t>Centro-Oeste</t>
        </is>
      </c>
      <c r="B82" s="13" t="inlineStr">
        <is>
          <t>Entorno</t>
        </is>
      </c>
      <c r="C82" s="2" t="inlineStr">
        <is>
          <t>shopping_porte_1000m</t>
        </is>
      </c>
      <c r="D82" s="2" t="inlineStr">
        <is>
          <t>Shoppings de porte até 1000 m (onde o porte foi buscado)</t>
        </is>
      </c>
      <c r="E82" s="5">
        <f>COUNTIFS(dados!$D$2:$D$55,$A82,dados!$O$2:$O$55,"&lt;&gt;")</f>
        <v/>
      </c>
      <c r="F82" s="4">
        <f>IFERROR(AVERAGEIFS(dados!$O$2:$O$55,dados!$D$2:$D$55,$A82),"")</f>
        <v/>
      </c>
      <c r="G82" s="4">
        <f t="array" ref="G82">IFERROR(MEDIAN(IF((dados!$D$2:$D$55=$A82)*(dados!$O$2:$O$55&lt;&gt;""),dados!$O$2:$O$55)),"")</f>
        <v/>
      </c>
      <c r="H82" s="4">
        <f t="array" ref="H82">IFERROR(STDEV(IF((dados!$D$2:$D$55=$A82)*(dados!$O$2:$O$55&lt;&gt;""),dados!$O$2:$O$55)),"")</f>
        <v/>
      </c>
      <c r="I82" s="4">
        <f>IF(COUNTIFS(dados!$D$2:$D$55,$A82,dados!$O$2:$O$55,"&lt;&gt;")=0,"",_xlfn.MINIFS(dados!$O$2:$O$55,dados!$D$2:$D$55,$A82))</f>
        <v/>
      </c>
      <c r="J82" s="4">
        <f>IF(COUNTIFS(dados!$D$2:$D$55,$A82,dados!$O$2:$O$55,"&lt;&gt;")=0,"",_xlfn.MAXIFS(dados!$O$2:$O$55,dados!$D$2:$D$55,$A82))</f>
        <v/>
      </c>
      <c r="K82" s="4">
        <f>IFERROR(J82-I82,"")</f>
        <v/>
      </c>
    </row>
    <row r="83">
      <c r="A83" s="2" t="inlineStr">
        <is>
          <t>Centro-Oeste</t>
        </is>
      </c>
      <c r="B83" s="13" t="inlineStr">
        <is>
          <t>Entorno</t>
        </is>
      </c>
      <c r="C83" s="2" t="inlineStr">
        <is>
          <t>dist_shopping_m</t>
        </is>
      </c>
      <c r="D83" s="2" t="inlineStr">
        <is>
          <t>Distância ao shopping mais próximo (qualquer porte)</t>
        </is>
      </c>
      <c r="E83" s="5">
        <f>COUNTIFS(dados!$D$2:$D$55,$A83,dados!$P$2:$P$55,"&lt;&gt;")</f>
        <v/>
      </c>
      <c r="F83" s="5">
        <f>IFERROR(AVERAGEIFS(dados!$P$2:$P$55,dados!$D$2:$D$55,$A83),"")</f>
        <v/>
      </c>
      <c r="G83" s="5">
        <f t="array" ref="G83">IFERROR(MEDIAN(IF((dados!$D$2:$D$55=$A83)*(dados!$P$2:$P$55&lt;&gt;""),dados!$P$2:$P$55)),"")</f>
        <v/>
      </c>
      <c r="H83" s="5">
        <f t="array" ref="H83">IFERROR(STDEV(IF((dados!$D$2:$D$55=$A83)*(dados!$P$2:$P$55&lt;&gt;""),dados!$P$2:$P$55)),"")</f>
        <v/>
      </c>
      <c r="I83" s="5">
        <f>IF(COUNTIFS(dados!$D$2:$D$55,$A83,dados!$P$2:$P$55,"&lt;&gt;")=0,"",_xlfn.MINIFS(dados!$P$2:$P$55,dados!$D$2:$D$55,$A83))</f>
        <v/>
      </c>
      <c r="J83" s="5">
        <f>IF(COUNTIFS(dados!$D$2:$D$55,$A83,dados!$P$2:$P$55,"&lt;&gt;")=0,"",_xlfn.MAXIFS(dados!$P$2:$P$55,dados!$D$2:$D$55,$A83))</f>
        <v/>
      </c>
      <c r="K83" s="5">
        <f>IFERROR(J83-I83,"")</f>
        <v/>
      </c>
    </row>
    <row r="84">
      <c r="A84" s="2" t="inlineStr">
        <is>
          <t>Centro-Oeste</t>
        </is>
      </c>
      <c r="B84" s="14" t="inlineStr">
        <is>
          <t>Instagram</t>
        </is>
      </c>
      <c r="C84" s="2" t="inlineStr">
        <is>
          <t>seguidores</t>
        </is>
      </c>
      <c r="D84" s="2" t="inlineStr">
        <is>
          <t>Seguidores</t>
        </is>
      </c>
      <c r="E84" s="5">
        <f>COUNTIFS(dados!$D$2:$D$55,$A84,dados!$Q$2:$Q$55,"&lt;&gt;")</f>
        <v/>
      </c>
      <c r="F84" s="5">
        <f>IFERROR(AVERAGEIFS(dados!$Q$2:$Q$55,dados!$D$2:$D$55,$A84),"")</f>
        <v/>
      </c>
      <c r="G84" s="5">
        <f t="array" ref="G84">IFERROR(MEDIAN(IF((dados!$D$2:$D$55=$A84)*(dados!$Q$2:$Q$55&lt;&gt;""),dados!$Q$2:$Q$55)),"")</f>
        <v/>
      </c>
      <c r="H84" s="5">
        <f t="array" ref="H84">IFERROR(STDEV(IF((dados!$D$2:$D$55=$A84)*(dados!$Q$2:$Q$55&lt;&gt;""),dados!$Q$2:$Q$55)),"")</f>
        <v/>
      </c>
      <c r="I84" s="5">
        <f>IF(COUNTIFS(dados!$D$2:$D$55,$A84,dados!$Q$2:$Q$55,"&lt;&gt;")=0,"",_xlfn.MINIFS(dados!$Q$2:$Q$55,dados!$D$2:$D$55,$A84))</f>
        <v/>
      </c>
      <c r="J84" s="5">
        <f>IF(COUNTIFS(dados!$D$2:$D$55,$A84,dados!$Q$2:$Q$55,"&lt;&gt;")=0,"",_xlfn.MAXIFS(dados!$Q$2:$Q$55,dados!$D$2:$D$55,$A84))</f>
        <v/>
      </c>
      <c r="K84" s="5">
        <f>IFERROR(J84-I84,"")</f>
        <v/>
      </c>
    </row>
    <row r="85">
      <c r="A85" s="2" t="inlineStr">
        <is>
          <t>Centro-Oeste</t>
        </is>
      </c>
      <c r="B85" s="14" t="inlineStr">
        <is>
          <t>Instagram</t>
        </is>
      </c>
      <c r="C85" s="2" t="inlineStr">
        <is>
          <t>n_posts_total</t>
        </is>
      </c>
      <c r="D85" s="2" t="inlineStr">
        <is>
          <t>Posts desde a criação do perfil</t>
        </is>
      </c>
      <c r="E85" s="5">
        <f>COUNTIFS(dados!$D$2:$D$55,$A85,dados!$R$2:$R$55,"&lt;&gt;")</f>
        <v/>
      </c>
      <c r="F85" s="5">
        <f>IFERROR(AVERAGEIFS(dados!$R$2:$R$55,dados!$D$2:$D$55,$A85),"")</f>
        <v/>
      </c>
      <c r="G85" s="5">
        <f t="array" ref="G85">IFERROR(MEDIAN(IF((dados!$D$2:$D$55=$A85)*(dados!$R$2:$R$55&lt;&gt;""),dados!$R$2:$R$55)),"")</f>
        <v/>
      </c>
      <c r="H85" s="5">
        <f t="array" ref="H85">IFERROR(STDEV(IF((dados!$D$2:$D$55=$A85)*(dados!$R$2:$R$55&lt;&gt;""),dados!$R$2:$R$55)),"")</f>
        <v/>
      </c>
      <c r="I85" s="5">
        <f>IF(COUNTIFS(dados!$D$2:$D$55,$A85,dados!$R$2:$R$55,"&lt;&gt;")=0,"",_xlfn.MINIFS(dados!$R$2:$R$55,dados!$D$2:$D$55,$A85))</f>
        <v/>
      </c>
      <c r="J85" s="5">
        <f>IF(COUNTIFS(dados!$D$2:$D$55,$A85,dados!$R$2:$R$55,"&lt;&gt;")=0,"",_xlfn.MAXIFS(dados!$R$2:$R$55,dados!$D$2:$D$55,$A85))</f>
        <v/>
      </c>
      <c r="K85" s="5">
        <f>IFERROR(J85-I85,"")</f>
        <v/>
      </c>
    </row>
    <row r="86">
      <c r="A86" s="2" t="inlineStr">
        <is>
          <t>Centro-Oeste</t>
        </is>
      </c>
      <c r="B86" s="14" t="inlineStr">
        <is>
          <t>Instagram</t>
        </is>
      </c>
      <c r="C86" s="2" t="inlineStr">
        <is>
          <t>idade_perfil_anos</t>
        </is>
      </c>
      <c r="D86" s="2" t="inlineStr">
        <is>
          <t>Idade do perfil (desde o primeiro post até 15/10/2026)</t>
        </is>
      </c>
      <c r="E86" s="5">
        <f>COUNTIFS(dados!$D$2:$D$55,$A86,dados!$S$2:$S$55,"&lt;&gt;")</f>
        <v/>
      </c>
      <c r="F86" s="6">
        <f>IFERROR(AVERAGEIFS(dados!$S$2:$S$55,dados!$D$2:$D$55,$A86),"")</f>
        <v/>
      </c>
      <c r="G86" s="6">
        <f t="array" ref="G86">IFERROR(MEDIAN(IF((dados!$D$2:$D$55=$A86)*(dados!$S$2:$S$55&lt;&gt;""),dados!$S$2:$S$55)),"")</f>
        <v/>
      </c>
      <c r="H86" s="6">
        <f t="array" ref="H86">IFERROR(STDEV(IF((dados!$D$2:$D$55=$A86)*(dados!$S$2:$S$55&lt;&gt;""),dados!$S$2:$S$55)),"")</f>
        <v/>
      </c>
      <c r="I86" s="6">
        <f>IF(COUNTIFS(dados!$D$2:$D$55,$A86,dados!$S$2:$S$55,"&lt;&gt;")=0,"",_xlfn.MINIFS(dados!$S$2:$S$55,dados!$D$2:$D$55,$A86))</f>
        <v/>
      </c>
      <c r="J86" s="6">
        <f>IF(COUNTIFS(dados!$D$2:$D$55,$A86,dados!$S$2:$S$55,"&lt;&gt;")=0,"",_xlfn.MAXIFS(dados!$S$2:$S$55,dados!$D$2:$D$55,$A86))</f>
        <v/>
      </c>
      <c r="K86" s="6">
        <f>IFERROR(J86-I86,"")</f>
        <v/>
      </c>
    </row>
    <row r="87">
      <c r="A87" s="2" t="inlineStr">
        <is>
          <t>Centro-Oeste</t>
        </is>
      </c>
      <c r="B87" s="14" t="inlineStr">
        <is>
          <t>Instagram</t>
        </is>
      </c>
      <c r="C87" s="2" t="inlineStr">
        <is>
          <t>n_posts_periodo</t>
        </is>
      </c>
      <c r="D87" s="2" t="inlineStr">
        <is>
          <t>Posts de 01/09 a 01/10/2026</t>
        </is>
      </c>
      <c r="E87" s="5">
        <f>COUNTIFS(dados!$D$2:$D$55,$A87,dados!$T$2:$T$55,"&lt;&gt;")</f>
        <v/>
      </c>
      <c r="F87" s="6">
        <f>IFERROR(AVERAGEIFS(dados!$T$2:$T$55,dados!$D$2:$D$55,$A87),"")</f>
        <v/>
      </c>
      <c r="G87" s="6">
        <f t="array" ref="G87">IFERROR(MEDIAN(IF((dados!$D$2:$D$55=$A87)*(dados!$T$2:$T$55&lt;&gt;""),dados!$T$2:$T$55)),"")</f>
        <v/>
      </c>
      <c r="H87" s="6">
        <f t="array" ref="H87">IFERROR(STDEV(IF((dados!$D$2:$D$55=$A87)*(dados!$T$2:$T$55&lt;&gt;""),dados!$T$2:$T$55)),"")</f>
        <v/>
      </c>
      <c r="I87" s="6">
        <f>IF(COUNTIFS(dados!$D$2:$D$55,$A87,dados!$T$2:$T$55,"&lt;&gt;")=0,"",_xlfn.MINIFS(dados!$T$2:$T$55,dados!$D$2:$D$55,$A87))</f>
        <v/>
      </c>
      <c r="J87" s="6">
        <f>IF(COUNTIFS(dados!$D$2:$D$55,$A87,dados!$T$2:$T$55,"&lt;&gt;")=0,"",_xlfn.MAXIFS(dados!$T$2:$T$55,dados!$D$2:$D$55,$A87))</f>
        <v/>
      </c>
      <c r="K87" s="6">
        <f>IFERROR(J87-I87,"")</f>
        <v/>
      </c>
    </row>
    <row r="88">
      <c r="A88" s="2" t="inlineStr">
        <is>
          <t>Centro-Oeste</t>
        </is>
      </c>
      <c r="B88" s="14" t="inlineStr">
        <is>
          <t>Instagram</t>
        </is>
      </c>
      <c r="C88" s="2" t="inlineStr">
        <is>
          <t>curtidas_periodo</t>
        </is>
      </c>
      <c r="D88" s="2" t="inlineStr">
        <is>
          <t>Curtidas no período</t>
        </is>
      </c>
      <c r="E88" s="5">
        <f>COUNTIFS(dados!$D$2:$D$55,$A88,dados!$U$2:$U$55,"&lt;&gt;")</f>
        <v/>
      </c>
      <c r="F88" s="5">
        <f>IFERROR(AVERAGEIFS(dados!$U$2:$U$55,dados!$D$2:$D$55,$A88),"")</f>
        <v/>
      </c>
      <c r="G88" s="5">
        <f t="array" ref="G88">IFERROR(MEDIAN(IF((dados!$D$2:$D$55=$A88)*(dados!$U$2:$U$55&lt;&gt;""),dados!$U$2:$U$55)),"")</f>
        <v/>
      </c>
      <c r="H88" s="5">
        <f t="array" ref="H88">IFERROR(STDEV(IF((dados!$D$2:$D$55=$A88)*(dados!$U$2:$U$55&lt;&gt;""),dados!$U$2:$U$55)),"")</f>
        <v/>
      </c>
      <c r="I88" s="5">
        <f>IF(COUNTIFS(dados!$D$2:$D$55,$A88,dados!$U$2:$U$55,"&lt;&gt;")=0,"",_xlfn.MINIFS(dados!$U$2:$U$55,dados!$D$2:$D$55,$A88))</f>
        <v/>
      </c>
      <c r="J88" s="5">
        <f>IF(COUNTIFS(dados!$D$2:$D$55,$A88,dados!$U$2:$U$55,"&lt;&gt;")=0,"",_xlfn.MAXIFS(dados!$U$2:$U$55,dados!$D$2:$D$55,$A88))</f>
        <v/>
      </c>
      <c r="K88" s="5">
        <f>IFERROR(J88-I88,"")</f>
        <v/>
      </c>
    </row>
    <row r="89">
      <c r="A89" s="2" t="inlineStr">
        <is>
          <t>Centro-Oeste</t>
        </is>
      </c>
      <c r="B89" s="14" t="inlineStr">
        <is>
          <t>Instagram</t>
        </is>
      </c>
      <c r="C89" s="2" t="inlineStr">
        <is>
          <t>comentarios_periodo</t>
        </is>
      </c>
      <c r="D89" s="2" t="inlineStr">
        <is>
          <t>Comentários no período</t>
        </is>
      </c>
      <c r="E89" s="5">
        <f>COUNTIFS(dados!$D$2:$D$55,$A89,dados!$V$2:$V$55,"&lt;&gt;")</f>
        <v/>
      </c>
      <c r="F89" s="5">
        <f>IFERROR(AVERAGEIFS(dados!$V$2:$V$55,dados!$D$2:$D$55,$A89),"")</f>
        <v/>
      </c>
      <c r="G89" s="5">
        <f t="array" ref="G89">IFERROR(MEDIAN(IF((dados!$D$2:$D$55=$A89)*(dados!$V$2:$V$55&lt;&gt;""),dados!$V$2:$V$55)),"")</f>
        <v/>
      </c>
      <c r="H89" s="5">
        <f t="array" ref="H89">IFERROR(STDEV(IF((dados!$D$2:$D$55=$A89)*(dados!$V$2:$V$55&lt;&gt;""),dados!$V$2:$V$55)),"")</f>
        <v/>
      </c>
      <c r="I89" s="5">
        <f>IF(COUNTIFS(dados!$D$2:$D$55,$A89,dados!$V$2:$V$55,"&lt;&gt;")=0,"",_xlfn.MINIFS(dados!$V$2:$V$55,dados!$D$2:$D$55,$A89))</f>
        <v/>
      </c>
      <c r="J89" s="5">
        <f>IF(COUNTIFS(dados!$D$2:$D$55,$A89,dados!$V$2:$V$55,"&lt;&gt;")=0,"",_xlfn.MAXIFS(dados!$V$2:$V$55,dados!$D$2:$D$55,$A89))</f>
        <v/>
      </c>
      <c r="K89" s="5">
        <f>IFERROR(J89-I89,"")</f>
        <v/>
      </c>
    </row>
    <row r="90">
      <c r="A90" s="2" t="inlineStr">
        <is>
          <t>Centro-Oeste</t>
        </is>
      </c>
      <c r="B90" s="14" t="inlineStr">
        <is>
          <t>Instagram</t>
        </is>
      </c>
      <c r="C90" s="2" t="inlineStr">
        <is>
          <t>interacoes_por_post</t>
        </is>
      </c>
      <c r="D90" s="2" t="inlineStr">
        <is>
          <t>Interações por post no período (curtidas + comentários)</t>
        </is>
      </c>
      <c r="E90" s="5">
        <f>COUNTIFS(dados!$D$2:$D$55,$A90,dados!$W$2:$W$55,"&lt;&gt;")</f>
        <v/>
      </c>
      <c r="F90" s="6">
        <f>IFERROR(AVERAGEIFS(dados!$W$2:$W$55,dados!$D$2:$D$55,$A90),"")</f>
        <v/>
      </c>
      <c r="G90" s="6">
        <f t="array" ref="G90">IFERROR(MEDIAN(IF((dados!$D$2:$D$55=$A90)*(dados!$W$2:$W$55&lt;&gt;""),dados!$W$2:$W$55)),"")</f>
        <v/>
      </c>
      <c r="H90" s="6">
        <f t="array" ref="H90">IFERROR(STDEV(IF((dados!$D$2:$D$55=$A90)*(dados!$W$2:$W$55&lt;&gt;""),dados!$W$2:$W$55)),"")</f>
        <v/>
      </c>
      <c r="I90" s="6">
        <f>IF(COUNTIFS(dados!$D$2:$D$55,$A90,dados!$W$2:$W$55,"&lt;&gt;")=0,"",_xlfn.MINIFS(dados!$W$2:$W$55,dados!$D$2:$D$55,$A90))</f>
        <v/>
      </c>
      <c r="J90" s="6">
        <f>IF(COUNTIFS(dados!$D$2:$D$55,$A90,dados!$W$2:$W$55,"&lt;&gt;")=0,"",_xlfn.MAXIFS(dados!$W$2:$W$55,dados!$D$2:$D$55,$A90))</f>
        <v/>
      </c>
      <c r="K90" s="6">
        <f>IFERROR(J90-I90,"")</f>
        <v/>
      </c>
    </row>
    <row r="91">
      <c r="A91" s="2" t="inlineStr">
        <is>
          <t>Centro-Oeste</t>
        </is>
      </c>
      <c r="B91" s="14" t="inlineStr">
        <is>
          <t>Instagram</t>
        </is>
      </c>
      <c r="C91" s="2" t="inlineStr">
        <is>
          <t>engajamento_pct</t>
        </is>
      </c>
      <c r="D91" s="2" t="inlineStr">
        <is>
          <t>Taxa de engajamento (interações por post ÷ seguidores)</t>
        </is>
      </c>
      <c r="E91" s="5">
        <f>COUNTIFS(dados!$D$2:$D$55,$A91,dados!$X$2:$X$55,"&lt;&gt;")</f>
        <v/>
      </c>
      <c r="F91" s="15">
        <f>IFERROR(AVERAGEIFS(dados!$X$2:$X$55,dados!$D$2:$D$55,$A91),"")</f>
        <v/>
      </c>
      <c r="G91" s="15">
        <f t="array" ref="G91">IFERROR(MEDIAN(IF((dados!$D$2:$D$55=$A91)*(dados!$X$2:$X$55&lt;&gt;""),dados!$X$2:$X$55)),"")</f>
        <v/>
      </c>
      <c r="H91" s="15">
        <f t="array" ref="H91">IFERROR(STDEV(IF((dados!$D$2:$D$55=$A91)*(dados!$X$2:$X$55&lt;&gt;""),dados!$X$2:$X$55)),"")</f>
        <v/>
      </c>
      <c r="I91" s="15">
        <f>IF(COUNTIFS(dados!$D$2:$D$55,$A91,dados!$X$2:$X$55,"&lt;&gt;")=0,"",_xlfn.MINIFS(dados!$X$2:$X$55,dados!$D$2:$D$55,$A91))</f>
        <v/>
      </c>
      <c r="J91" s="15">
        <f>IF(COUNTIFS(dados!$D$2:$D$55,$A91,dados!$X$2:$X$55,"&lt;&gt;")=0,"",_xlfn.MAXIFS(dados!$X$2:$X$55,dados!$D$2:$D$55,$A91))</f>
        <v/>
      </c>
      <c r="K91" s="15">
        <f>IFERROR(J91-I91,"")</f>
        <v/>
      </c>
    </row>
    <row r="92">
      <c r="A92" s="2" t="inlineStr">
        <is>
          <t>Centro-Oeste</t>
        </is>
      </c>
      <c r="B92" s="16" t="inlineStr">
        <is>
          <t>Cardápio</t>
        </is>
      </c>
      <c r="C92" s="2" t="inlineStr">
        <is>
          <t>itens_com_preco</t>
        </is>
      </c>
      <c r="D92" s="2" t="inlineStr">
        <is>
          <t>Itens com preço no cardápio</t>
        </is>
      </c>
      <c r="E92" s="5">
        <f>COUNTIFS(dados!$D$2:$D$55,$A92,dados!$Y$2:$Y$55,"&lt;&gt;")</f>
        <v/>
      </c>
      <c r="F92" s="5">
        <f>IFERROR(AVERAGEIFS(dados!$Y$2:$Y$55,dados!$D$2:$D$55,$A92),"")</f>
        <v/>
      </c>
      <c r="G92" s="5">
        <f t="array" ref="G92">IFERROR(MEDIAN(IF((dados!$D$2:$D$55=$A92)*(dados!$Y$2:$Y$55&lt;&gt;""),dados!$Y$2:$Y$55)),"")</f>
        <v/>
      </c>
      <c r="H92" s="5">
        <f t="array" ref="H92">IFERROR(STDEV(IF((dados!$D$2:$D$55=$A92)*(dados!$Y$2:$Y$55&lt;&gt;""),dados!$Y$2:$Y$55)),"")</f>
        <v/>
      </c>
      <c r="I92" s="5">
        <f>IF(COUNTIFS(dados!$D$2:$D$55,$A92,dados!$Y$2:$Y$55,"&lt;&gt;")=0,"",_xlfn.MINIFS(dados!$Y$2:$Y$55,dados!$D$2:$D$55,$A92))</f>
        <v/>
      </c>
      <c r="J92" s="5">
        <f>IF(COUNTIFS(dados!$D$2:$D$55,$A92,dados!$Y$2:$Y$55,"&lt;&gt;")=0,"",_xlfn.MAXIFS(dados!$Y$2:$Y$55,dados!$D$2:$D$55,$A92))</f>
        <v/>
      </c>
      <c r="K92" s="5">
        <f>IFERROR(J92-I92,"")</f>
        <v/>
      </c>
    </row>
    <row r="93">
      <c r="A93" s="2" t="inlineStr">
        <is>
          <t>Centro-Oeste</t>
        </is>
      </c>
      <c r="B93" s="16" t="inlineStr">
        <is>
          <t>Cardápio</t>
        </is>
      </c>
      <c r="C93" s="2" t="inlineStr">
        <is>
          <t>couvert_mediana</t>
        </is>
      </c>
      <c r="D93" s="2" t="inlineStr">
        <is>
          <t>Couvert ou taxa de jogo (só casas que cobram)</t>
        </is>
      </c>
      <c r="E93" s="5">
        <f>COUNTIFS(dados!$D$2:$D$55,$A93,dados!$Z$2:$Z$55,"&lt;&gt;")</f>
        <v/>
      </c>
      <c r="F93" s="7">
        <f>IFERROR(AVERAGEIFS(dados!$Z$2:$Z$55,dados!$D$2:$D$55,$A93),"")</f>
        <v/>
      </c>
      <c r="G93" s="7">
        <f t="array" ref="G93">IFERROR(MEDIAN(IF((dados!$D$2:$D$55=$A93)*(dados!$Z$2:$Z$55&lt;&gt;""),dados!$Z$2:$Z$55)),"")</f>
        <v/>
      </c>
      <c r="H93" s="7">
        <f t="array" ref="H93">IFERROR(STDEV(IF((dados!$D$2:$D$55=$A93)*(dados!$Z$2:$Z$55&lt;&gt;""),dados!$Z$2:$Z$55)),"")</f>
        <v/>
      </c>
      <c r="I93" s="7">
        <f>IF(COUNTIFS(dados!$D$2:$D$55,$A93,dados!$Z$2:$Z$55,"&lt;&gt;")=0,"",_xlfn.MINIFS(dados!$Z$2:$Z$55,dados!$D$2:$D$55,$A93))</f>
        <v/>
      </c>
      <c r="J93" s="7">
        <f>IF(COUNTIFS(dados!$D$2:$D$55,$A93,dados!$Z$2:$Z$55,"&lt;&gt;")=0,"",_xlfn.MAXIFS(dados!$Z$2:$Z$55,dados!$D$2:$D$55,$A93))</f>
        <v/>
      </c>
      <c r="K93" s="7">
        <f>IFERROR(J93-I93,"")</f>
        <v/>
      </c>
    </row>
    <row r="94">
      <c r="A94" s="2" t="inlineStr">
        <is>
          <t>Centro-Oeste</t>
        </is>
      </c>
      <c r="B94" s="16" t="inlineStr">
        <is>
          <t>Cardápio</t>
        </is>
      </c>
      <c r="C94" s="2" t="inlineStr">
        <is>
          <t>bebida_mediana</t>
        </is>
      </c>
      <c r="D94" s="2" t="inlineStr">
        <is>
          <t>Bebida, mediana do cardápio</t>
        </is>
      </c>
      <c r="E94" s="5">
        <f>COUNTIFS(dados!$D$2:$D$55,$A94,dados!$AA$2:$AA$55,"&lt;&gt;")</f>
        <v/>
      </c>
      <c r="F94" s="7">
        <f>IFERROR(AVERAGEIFS(dados!$AA$2:$AA$55,dados!$D$2:$D$55,$A94),"")</f>
        <v/>
      </c>
      <c r="G94" s="7">
        <f t="array" ref="G94">IFERROR(MEDIAN(IF((dados!$D$2:$D$55=$A94)*(dados!$AA$2:$AA$55&lt;&gt;""),dados!$AA$2:$AA$55)),"")</f>
        <v/>
      </c>
      <c r="H94" s="7">
        <f t="array" ref="H94">IFERROR(STDEV(IF((dados!$D$2:$D$55=$A94)*(dados!$AA$2:$AA$55&lt;&gt;""),dados!$AA$2:$AA$55)),"")</f>
        <v/>
      </c>
      <c r="I94" s="7">
        <f>IF(COUNTIFS(dados!$D$2:$D$55,$A94,dados!$AA$2:$AA$55,"&lt;&gt;")=0,"",_xlfn.MINIFS(dados!$AA$2:$AA$55,dados!$D$2:$D$55,$A94))</f>
        <v/>
      </c>
      <c r="J94" s="7">
        <f>IF(COUNTIFS(dados!$D$2:$D$55,$A94,dados!$AA$2:$AA$55,"&lt;&gt;")=0,"",_xlfn.MAXIFS(dados!$AA$2:$AA$55,dados!$D$2:$D$55,$A94))</f>
        <v/>
      </c>
      <c r="K94" s="7">
        <f>IFERROR(J94-I94,"")</f>
        <v/>
      </c>
    </row>
    <row r="95">
      <c r="A95" s="2" t="inlineStr">
        <is>
          <t>Centro-Oeste</t>
        </is>
      </c>
      <c r="B95" s="16" t="inlineStr">
        <is>
          <t>Cardápio</t>
        </is>
      </c>
      <c r="C95" s="2" t="inlineStr">
        <is>
          <t>entrada_ou_prato_mediana</t>
        </is>
      </c>
      <c r="D95" s="2" t="inlineStr">
        <is>
          <t>Entrada ou prato, mediana do cardápio</t>
        </is>
      </c>
      <c r="E95" s="5">
        <f>COUNTIFS(dados!$D$2:$D$55,$A95,dados!$AB$2:$AB$55,"&lt;&gt;")</f>
        <v/>
      </c>
      <c r="F95" s="7">
        <f>IFERROR(AVERAGEIFS(dados!$AB$2:$AB$55,dados!$D$2:$D$55,$A95),"")</f>
        <v/>
      </c>
      <c r="G95" s="7">
        <f t="array" ref="G95">IFERROR(MEDIAN(IF((dados!$D$2:$D$55=$A95)*(dados!$AB$2:$AB$55&lt;&gt;""),dados!$AB$2:$AB$55)),"")</f>
        <v/>
      </c>
      <c r="H95" s="7">
        <f t="array" ref="H95">IFERROR(STDEV(IF((dados!$D$2:$D$55=$A95)*(dados!$AB$2:$AB$55&lt;&gt;""),dados!$AB$2:$AB$55)),"")</f>
        <v/>
      </c>
      <c r="I95" s="7">
        <f>IF(COUNTIFS(dados!$D$2:$D$55,$A95,dados!$AB$2:$AB$55,"&lt;&gt;")=0,"",_xlfn.MINIFS(dados!$AB$2:$AB$55,dados!$D$2:$D$55,$A95))</f>
        <v/>
      </c>
      <c r="J95" s="7">
        <f>IF(COUNTIFS(dados!$D$2:$D$55,$A95,dados!$AB$2:$AB$55,"&lt;&gt;")=0,"",_xlfn.MAXIFS(dados!$AB$2:$AB$55,dados!$D$2:$D$55,$A95))</f>
        <v/>
      </c>
      <c r="K95" s="7">
        <f>IFERROR(J95-I95,"")</f>
        <v/>
      </c>
    </row>
    <row r="96">
      <c r="A96" s="2" t="inlineStr">
        <is>
          <t>Centro-Oeste</t>
        </is>
      </c>
      <c r="B96" s="16" t="inlineStr">
        <is>
          <t>Cardápio</t>
        </is>
      </c>
      <c r="C96" s="2" t="inlineStr">
        <is>
          <t>cesta_baixa</t>
        </is>
      </c>
      <c r="D96" s="2" t="inlineStr">
        <is>
          <t>Cesta por pessoa, nível baixo (P25)</t>
        </is>
      </c>
      <c r="E96" s="5">
        <f>COUNTIFS(dados!$D$2:$D$55,$A96,dados!$AC$2:$AC$55,"&lt;&gt;")</f>
        <v/>
      </c>
      <c r="F96" s="7">
        <f>IFERROR(AVERAGEIFS(dados!$AC$2:$AC$55,dados!$D$2:$D$55,$A96),"")</f>
        <v/>
      </c>
      <c r="G96" s="7">
        <f t="array" ref="G96">IFERROR(MEDIAN(IF((dados!$D$2:$D$55=$A96)*(dados!$AC$2:$AC$55&lt;&gt;""),dados!$AC$2:$AC$55)),"")</f>
        <v/>
      </c>
      <c r="H96" s="7">
        <f t="array" ref="H96">IFERROR(STDEV(IF((dados!$D$2:$D$55=$A96)*(dados!$AC$2:$AC$55&lt;&gt;""),dados!$AC$2:$AC$55)),"")</f>
        <v/>
      </c>
      <c r="I96" s="7">
        <f>IF(COUNTIFS(dados!$D$2:$D$55,$A96,dados!$AC$2:$AC$55,"&lt;&gt;")=0,"",_xlfn.MINIFS(dados!$AC$2:$AC$55,dados!$D$2:$D$55,$A96))</f>
        <v/>
      </c>
      <c r="J96" s="7">
        <f>IF(COUNTIFS(dados!$D$2:$D$55,$A96,dados!$AC$2:$AC$55,"&lt;&gt;")=0,"",_xlfn.MAXIFS(dados!$AC$2:$AC$55,dados!$D$2:$D$55,$A96))</f>
        <v/>
      </c>
      <c r="K96" s="7">
        <f>IFERROR(J96-I96,"")</f>
        <v/>
      </c>
    </row>
    <row r="97">
      <c r="A97" s="2" t="inlineStr">
        <is>
          <t>Centro-Oeste</t>
        </is>
      </c>
      <c r="B97" s="16" t="inlineStr">
        <is>
          <t>Cardápio</t>
        </is>
      </c>
      <c r="C97" s="2" t="inlineStr">
        <is>
          <t>cesta_mediana</t>
        </is>
      </c>
      <c r="D97" s="2" t="inlineStr">
        <is>
          <t>Cesta por pessoa, nível mediano</t>
        </is>
      </c>
      <c r="E97" s="5">
        <f>COUNTIFS(dados!$D$2:$D$55,$A97,dados!$AD$2:$AD$55,"&lt;&gt;")</f>
        <v/>
      </c>
      <c r="F97" s="7">
        <f>IFERROR(AVERAGEIFS(dados!$AD$2:$AD$55,dados!$D$2:$D$55,$A97),"")</f>
        <v/>
      </c>
      <c r="G97" s="7">
        <f t="array" ref="G97">IFERROR(MEDIAN(IF((dados!$D$2:$D$55=$A97)*(dados!$AD$2:$AD$55&lt;&gt;""),dados!$AD$2:$AD$55)),"")</f>
        <v/>
      </c>
      <c r="H97" s="7">
        <f t="array" ref="H97">IFERROR(STDEV(IF((dados!$D$2:$D$55=$A97)*(dados!$AD$2:$AD$55&lt;&gt;""),dados!$AD$2:$AD$55)),"")</f>
        <v/>
      </c>
      <c r="I97" s="7">
        <f>IF(COUNTIFS(dados!$D$2:$D$55,$A97,dados!$AD$2:$AD$55,"&lt;&gt;")=0,"",_xlfn.MINIFS(dados!$AD$2:$AD$55,dados!$D$2:$D$55,$A97))</f>
        <v/>
      </c>
      <c r="J97" s="7">
        <f>IF(COUNTIFS(dados!$D$2:$D$55,$A97,dados!$AD$2:$AD$55,"&lt;&gt;")=0,"",_xlfn.MAXIFS(dados!$AD$2:$AD$55,dados!$D$2:$D$55,$A97))</f>
        <v/>
      </c>
      <c r="K97" s="7">
        <f>IFERROR(J97-I97,"")</f>
        <v/>
      </c>
    </row>
    <row r="98">
      <c r="A98" s="2" t="inlineStr">
        <is>
          <t>Centro-Oeste</t>
        </is>
      </c>
      <c r="B98" s="16" t="inlineStr">
        <is>
          <t>Cardápio</t>
        </is>
      </c>
      <c r="C98" s="2" t="inlineStr">
        <is>
          <t>cesta_alta</t>
        </is>
      </c>
      <c r="D98" s="2" t="inlineStr">
        <is>
          <t>Cesta por pessoa, nível alto (P75)</t>
        </is>
      </c>
      <c r="E98" s="5">
        <f>COUNTIFS(dados!$D$2:$D$55,$A98,dados!$AE$2:$AE$55,"&lt;&gt;")</f>
        <v/>
      </c>
      <c r="F98" s="7">
        <f>IFERROR(AVERAGEIFS(dados!$AE$2:$AE$55,dados!$D$2:$D$55,$A98),"")</f>
        <v/>
      </c>
      <c r="G98" s="7">
        <f t="array" ref="G98">IFERROR(MEDIAN(IF((dados!$D$2:$D$55=$A98)*(dados!$AE$2:$AE$55&lt;&gt;""),dados!$AE$2:$AE$55)),"")</f>
        <v/>
      </c>
      <c r="H98" s="7">
        <f t="array" ref="H98">IFERROR(STDEV(IF((dados!$D$2:$D$55=$A98)*(dados!$AE$2:$AE$55&lt;&gt;""),dados!$AE$2:$AE$55)),"")</f>
        <v/>
      </c>
      <c r="I98" s="7">
        <f>IF(COUNTIFS(dados!$D$2:$D$55,$A98,dados!$AE$2:$AE$55,"&lt;&gt;")=0,"",_xlfn.MINIFS(dados!$AE$2:$AE$55,dados!$D$2:$D$55,$A98))</f>
        <v/>
      </c>
      <c r="J98" s="7">
        <f>IF(COUNTIFS(dados!$D$2:$D$55,$A98,dados!$AE$2:$AE$55,"&lt;&gt;")=0,"",_xlfn.MAXIFS(dados!$AE$2:$AE$55,dados!$D$2:$D$55,$A98))</f>
        <v/>
      </c>
      <c r="K98" s="7">
        <f>IFERROR(J98-I98,"")</f>
        <v/>
      </c>
    </row>
    <row r="99">
      <c r="A99" s="2" t="inlineStr">
        <is>
          <t>Centro-Oeste</t>
        </is>
      </c>
      <c r="B99" s="16" t="inlineStr">
        <is>
          <t>Cardápio</t>
        </is>
      </c>
      <c r="C99" s="2" t="inlineStr">
        <is>
          <t>hamburguer_mediana</t>
        </is>
      </c>
      <c r="D99" s="2" t="inlineStr">
        <is>
          <t>Hambúrguer, mediana</t>
        </is>
      </c>
      <c r="E99" s="5">
        <f>COUNTIFS(dados!$D$2:$D$55,$A99,dados!$AF$2:$AF$55,"&lt;&gt;")</f>
        <v/>
      </c>
      <c r="F99" s="7">
        <f>IFERROR(AVERAGEIFS(dados!$AF$2:$AF$55,dados!$D$2:$D$55,$A99),"")</f>
        <v/>
      </c>
      <c r="G99" s="7">
        <f t="array" ref="G99">IFERROR(MEDIAN(IF((dados!$D$2:$D$55=$A99)*(dados!$AF$2:$AF$55&lt;&gt;""),dados!$AF$2:$AF$55)),"")</f>
        <v/>
      </c>
      <c r="H99" s="7">
        <f t="array" ref="H99">IFERROR(STDEV(IF((dados!$D$2:$D$55=$A99)*(dados!$AF$2:$AF$55&lt;&gt;""),dados!$AF$2:$AF$55)),"")</f>
        <v/>
      </c>
      <c r="I99" s="7">
        <f>IF(COUNTIFS(dados!$D$2:$D$55,$A99,dados!$AF$2:$AF$55,"&lt;&gt;")=0,"",_xlfn.MINIFS(dados!$AF$2:$AF$55,dados!$D$2:$D$55,$A99))</f>
        <v/>
      </c>
      <c r="J99" s="7">
        <f>IF(COUNTIFS(dados!$D$2:$D$55,$A99,dados!$AF$2:$AF$55,"&lt;&gt;")=0,"",_xlfn.MAXIFS(dados!$AF$2:$AF$55,dados!$D$2:$D$55,$A99))</f>
        <v/>
      </c>
      <c r="K99" s="7">
        <f>IFERROR(J99-I99,"")</f>
        <v/>
      </c>
    </row>
    <row r="100">
      <c r="A100" s="2" t="inlineStr">
        <is>
          <t>Centro-Oeste</t>
        </is>
      </c>
      <c r="B100" s="16" t="inlineStr">
        <is>
          <t>Cardápio</t>
        </is>
      </c>
      <c r="C100" s="2" t="inlineStr">
        <is>
          <t>batata_mediana</t>
        </is>
      </c>
      <c r="D100" s="2" t="inlineStr">
        <is>
          <t>Batata, mediana</t>
        </is>
      </c>
      <c r="E100" s="5">
        <f>COUNTIFS(dados!$D$2:$D$55,$A100,dados!$AG$2:$AG$55,"&lt;&gt;")</f>
        <v/>
      </c>
      <c r="F100" s="7">
        <f>IFERROR(AVERAGEIFS(dados!$AG$2:$AG$55,dados!$D$2:$D$55,$A100),"")</f>
        <v/>
      </c>
      <c r="G100" s="7">
        <f t="array" ref="G100">IFERROR(MEDIAN(IF((dados!$D$2:$D$55=$A100)*(dados!$AG$2:$AG$55&lt;&gt;""),dados!$AG$2:$AG$55)),"")</f>
        <v/>
      </c>
      <c r="H100" s="7">
        <f t="array" ref="H100">IFERROR(STDEV(IF((dados!$D$2:$D$55=$A100)*(dados!$AG$2:$AG$55&lt;&gt;""),dados!$AG$2:$AG$55)),"")</f>
        <v/>
      </c>
      <c r="I100" s="7">
        <f>IF(COUNTIFS(dados!$D$2:$D$55,$A100,dados!$AG$2:$AG$55,"&lt;&gt;")=0,"",_xlfn.MINIFS(dados!$AG$2:$AG$55,dados!$D$2:$D$55,$A100))</f>
        <v/>
      </c>
      <c r="J100" s="7">
        <f>IF(COUNTIFS(dados!$D$2:$D$55,$A100,dados!$AG$2:$AG$55,"&lt;&gt;")=0,"",_xlfn.MAXIFS(dados!$AG$2:$AG$55,dados!$D$2:$D$55,$A100))</f>
        <v/>
      </c>
      <c r="K100" s="7">
        <f>IFERROR(J100-I100,"")</f>
        <v/>
      </c>
    </row>
    <row r="101">
      <c r="A101" s="2" t="inlineStr">
        <is>
          <t>Centro-Oeste</t>
        </is>
      </c>
      <c r="B101" s="16" t="inlineStr">
        <is>
          <t>Cardápio</t>
        </is>
      </c>
      <c r="C101" s="2" t="inlineStr">
        <is>
          <t>cerveja_mediana</t>
        </is>
      </c>
      <c r="D101" s="2" t="inlineStr">
        <is>
          <t>Cerveja, mediana</t>
        </is>
      </c>
      <c r="E101" s="5">
        <f>COUNTIFS(dados!$D$2:$D$55,$A101,dados!$AH$2:$AH$55,"&lt;&gt;")</f>
        <v/>
      </c>
      <c r="F101" s="7">
        <f>IFERROR(AVERAGEIFS(dados!$AH$2:$AH$55,dados!$D$2:$D$55,$A101),"")</f>
        <v/>
      </c>
      <c r="G101" s="7">
        <f t="array" ref="G101">IFERROR(MEDIAN(IF((dados!$D$2:$D$55=$A101)*(dados!$AH$2:$AH$55&lt;&gt;""),dados!$AH$2:$AH$55)),"")</f>
        <v/>
      </c>
      <c r="H101" s="7">
        <f t="array" ref="H101">IFERROR(STDEV(IF((dados!$D$2:$D$55=$A101)*(dados!$AH$2:$AH$55&lt;&gt;""),dados!$AH$2:$AH$55)),"")</f>
        <v/>
      </c>
      <c r="I101" s="7">
        <f>IF(COUNTIFS(dados!$D$2:$D$55,$A101,dados!$AH$2:$AH$55,"&lt;&gt;")=0,"",_xlfn.MINIFS(dados!$AH$2:$AH$55,dados!$D$2:$D$55,$A101))</f>
        <v/>
      </c>
      <c r="J101" s="7">
        <f>IF(COUNTIFS(dados!$D$2:$D$55,$A101,dados!$AH$2:$AH$55,"&lt;&gt;")=0,"",_xlfn.MAXIFS(dados!$AH$2:$AH$55,dados!$D$2:$D$55,$A101))</f>
        <v/>
      </c>
      <c r="K101" s="7">
        <f>IFERROR(J101-I101,"")</f>
        <v/>
      </c>
    </row>
    <row r="102">
      <c r="A102" s="2" t="inlineStr">
        <is>
          <t>Centro-Oeste</t>
        </is>
      </c>
      <c r="B102" s="16" t="inlineStr">
        <is>
          <t>Cardápio</t>
        </is>
      </c>
      <c r="C102" s="2" t="inlineStr">
        <is>
          <t>refrigerante_mediana</t>
        </is>
      </c>
      <c r="D102" s="2" t="inlineStr">
        <is>
          <t>Refrigerante, mediana</t>
        </is>
      </c>
      <c r="E102" s="5">
        <f>COUNTIFS(dados!$D$2:$D$55,$A102,dados!$AI$2:$AI$55,"&lt;&gt;")</f>
        <v/>
      </c>
      <c r="F102" s="7">
        <f>IFERROR(AVERAGEIFS(dados!$AI$2:$AI$55,dados!$D$2:$D$55,$A102),"")</f>
        <v/>
      </c>
      <c r="G102" s="7">
        <f t="array" ref="G102">IFERROR(MEDIAN(IF((dados!$D$2:$D$55=$A102)*(dados!$AI$2:$AI$55&lt;&gt;""),dados!$AI$2:$AI$55)),"")</f>
        <v/>
      </c>
      <c r="H102" s="7">
        <f t="array" ref="H102">IFERROR(STDEV(IF((dados!$D$2:$D$55=$A102)*(dados!$AI$2:$AI$55&lt;&gt;""),dados!$AI$2:$AI$55)),"")</f>
        <v/>
      </c>
      <c r="I102" s="7">
        <f>IF(COUNTIFS(dados!$D$2:$D$55,$A102,dados!$AI$2:$AI$55,"&lt;&gt;")=0,"",_xlfn.MINIFS(dados!$AI$2:$AI$55,dados!$D$2:$D$55,$A102))</f>
        <v/>
      </c>
      <c r="J102" s="7">
        <f>IF(COUNTIFS(dados!$D$2:$D$55,$A102,dados!$AI$2:$AI$55,"&lt;&gt;")=0,"",_xlfn.MAXIFS(dados!$AI$2:$AI$55,dados!$D$2:$D$55,$A102))</f>
        <v/>
      </c>
      <c r="K102" s="7">
        <f>IFERROR(J102-I102,"")</f>
        <v/>
      </c>
    </row>
    <row r="103">
      <c r="A103" s="2" t="inlineStr">
        <is>
          <t>Centro-Oeste</t>
        </is>
      </c>
      <c r="B103" s="16" t="inlineStr">
        <is>
          <t>Cardápio</t>
        </is>
      </c>
      <c r="C103" s="2" t="inlineStr">
        <is>
          <t>drinks_mediana</t>
        </is>
      </c>
      <c r="D103" s="2" t="inlineStr">
        <is>
          <t>Drinks, mediana</t>
        </is>
      </c>
      <c r="E103" s="5">
        <f>COUNTIFS(dados!$D$2:$D$55,$A103,dados!$AJ$2:$AJ$55,"&lt;&gt;")</f>
        <v/>
      </c>
      <c r="F103" s="7">
        <f>IFERROR(AVERAGEIFS(dados!$AJ$2:$AJ$55,dados!$D$2:$D$55,$A103),"")</f>
        <v/>
      </c>
      <c r="G103" s="7">
        <f t="array" ref="G103">IFERROR(MEDIAN(IF((dados!$D$2:$D$55=$A103)*(dados!$AJ$2:$AJ$55&lt;&gt;""),dados!$AJ$2:$AJ$55)),"")</f>
        <v/>
      </c>
      <c r="H103" s="7">
        <f t="array" ref="H103">IFERROR(STDEV(IF((dados!$D$2:$D$55=$A103)*(dados!$AJ$2:$AJ$55&lt;&gt;""),dados!$AJ$2:$AJ$55)),"")</f>
        <v/>
      </c>
      <c r="I103" s="7">
        <f>IF(COUNTIFS(dados!$D$2:$D$55,$A103,dados!$AJ$2:$AJ$55,"&lt;&gt;")=0,"",_xlfn.MINIFS(dados!$AJ$2:$AJ$55,dados!$D$2:$D$55,$A103))</f>
        <v/>
      </c>
      <c r="J103" s="7">
        <f>IF(COUNTIFS(dados!$D$2:$D$55,$A103,dados!$AJ$2:$AJ$55,"&lt;&gt;")=0,"",_xlfn.MAXIFS(dados!$AJ$2:$AJ$55,dados!$D$2:$D$55,$A103))</f>
        <v/>
      </c>
      <c r="K103" s="7">
        <f>IFERROR(J103-I103,"")</f>
        <v/>
      </c>
    </row>
    <row r="104">
      <c r="A104" s="2" t="inlineStr">
        <is>
          <t>Centro-Oeste</t>
        </is>
      </c>
      <c r="B104" s="17" t="inlineStr">
        <is>
          <t>Acervo</t>
        </is>
      </c>
      <c r="C104" s="2" t="inlineStr">
        <is>
          <t>titulos_acervo</t>
        </is>
      </c>
      <c r="D104" s="2" t="inlineStr">
        <is>
          <t>Títulos no acervo publicado</t>
        </is>
      </c>
      <c r="E104" s="5">
        <f>COUNTIFS(dados!$D$2:$D$55,$A104,dados!$AK$2:$AK$55,"&lt;&gt;")</f>
        <v/>
      </c>
      <c r="F104" s="5">
        <f>IFERROR(AVERAGEIFS(dados!$AK$2:$AK$55,dados!$D$2:$D$55,$A104),"")</f>
        <v/>
      </c>
      <c r="G104" s="5">
        <f t="array" ref="G104">IFERROR(MEDIAN(IF((dados!$D$2:$D$55=$A104)*(dados!$AK$2:$AK$55&lt;&gt;""),dados!$AK$2:$AK$55)),"")</f>
        <v/>
      </c>
      <c r="H104" s="5">
        <f t="array" ref="H104">IFERROR(STDEV(IF((dados!$D$2:$D$55=$A104)*(dados!$AK$2:$AK$55&lt;&gt;""),dados!$AK$2:$AK$55)),"")</f>
        <v/>
      </c>
      <c r="I104" s="5">
        <f>IF(COUNTIFS(dados!$D$2:$D$55,$A104,dados!$AK$2:$AK$55,"&lt;&gt;")=0,"",_xlfn.MINIFS(dados!$AK$2:$AK$55,dados!$D$2:$D$55,$A104))</f>
        <v/>
      </c>
      <c r="J104" s="5">
        <f>IF(COUNTIFS(dados!$D$2:$D$55,$A104,dados!$AK$2:$AK$55,"&lt;&gt;")=0,"",_xlfn.MAXIFS(dados!$AK$2:$AK$55,dados!$D$2:$D$55,$A104))</f>
        <v/>
      </c>
      <c r="K104" s="5">
        <f>IFERROR(J104-I104,"")</f>
        <v/>
      </c>
    </row>
    <row r="105">
      <c r="A105" s="2" t="inlineStr">
        <is>
          <t>Centro-Oeste</t>
        </is>
      </c>
      <c r="B105" s="18" t="inlineStr">
        <is>
          <t>B2</t>
        </is>
      </c>
      <c r="C105" s="2" t="inlineStr">
        <is>
          <t>avaliacoes_b2</t>
        </is>
      </c>
      <c r="D105" s="2" t="inlineStr">
        <is>
          <t>Avaliações no recorte do B2 (até '3 meses atrás')</t>
        </is>
      </c>
      <c r="E105" s="5">
        <f>COUNTIFS(dados!$D$2:$D$55,$A105,dados!$AL$2:$AL$55,"&lt;&gt;")</f>
        <v/>
      </c>
      <c r="F105" s="5">
        <f>IFERROR(AVERAGEIFS(dados!$AL$2:$AL$55,dados!$D$2:$D$55,$A105),"")</f>
        <v/>
      </c>
      <c r="G105" s="5">
        <f t="array" ref="G105">IFERROR(MEDIAN(IF((dados!$D$2:$D$55=$A105)*(dados!$AL$2:$AL$55&lt;&gt;""),dados!$AL$2:$AL$55)),"")</f>
        <v/>
      </c>
      <c r="H105" s="5">
        <f t="array" ref="H105">IFERROR(STDEV(IF((dados!$D$2:$D$55=$A105)*(dados!$AL$2:$AL$55&lt;&gt;""),dados!$AL$2:$AL$55)),"")</f>
        <v/>
      </c>
      <c r="I105" s="5">
        <f>IF(COUNTIFS(dados!$D$2:$D$55,$A105,dados!$AL$2:$AL$55,"&lt;&gt;")=0,"",_xlfn.MINIFS(dados!$AL$2:$AL$55,dados!$D$2:$D$55,$A105))</f>
        <v/>
      </c>
      <c r="J105" s="5">
        <f>IF(COUNTIFS(dados!$D$2:$D$55,$A105,dados!$AL$2:$AL$55,"&lt;&gt;")=0,"",_xlfn.MAXIFS(dados!$AL$2:$AL$55,dados!$D$2:$D$55,$A105))</f>
        <v/>
      </c>
      <c r="K105" s="5">
        <f>IFERROR(J105-I105,"")</f>
        <v/>
      </c>
    </row>
    <row r="106">
      <c r="A106" s="2" t="inlineStr">
        <is>
          <t>Centro-Oeste</t>
        </is>
      </c>
      <c r="B106" s="18" t="inlineStr">
        <is>
          <t>B2</t>
        </is>
      </c>
      <c r="C106" s="2" t="inlineStr">
        <is>
          <t>avaliacoes_b2_com_texto</t>
        </is>
      </c>
      <c r="D106" s="2" t="inlineStr">
        <is>
          <t>Dessas, com texto</t>
        </is>
      </c>
      <c r="E106" s="5">
        <f>COUNTIFS(dados!$D$2:$D$55,$A106,dados!$AM$2:$AM$55,"&lt;&gt;")</f>
        <v/>
      </c>
      <c r="F106" s="5">
        <f>IFERROR(AVERAGEIFS(dados!$AM$2:$AM$55,dados!$D$2:$D$55,$A106),"")</f>
        <v/>
      </c>
      <c r="G106" s="5">
        <f t="array" ref="G106">IFERROR(MEDIAN(IF((dados!$D$2:$D$55=$A106)*(dados!$AM$2:$AM$55&lt;&gt;""),dados!$AM$2:$AM$55)),"")</f>
        <v/>
      </c>
      <c r="H106" s="5">
        <f t="array" ref="H106">IFERROR(STDEV(IF((dados!$D$2:$D$55=$A106)*(dados!$AM$2:$AM$55&lt;&gt;""),dados!$AM$2:$AM$55)),"")</f>
        <v/>
      </c>
      <c r="I106" s="5">
        <f>IF(COUNTIFS(dados!$D$2:$D$55,$A106,dados!$AM$2:$AM$55,"&lt;&gt;")=0,"",_xlfn.MINIFS(dados!$AM$2:$AM$55,dados!$D$2:$D$55,$A106))</f>
        <v/>
      </c>
      <c r="J106" s="5">
        <f>IF(COUNTIFS(dados!$D$2:$D$55,$A106,dados!$AM$2:$AM$55,"&lt;&gt;")=0,"",_xlfn.MAXIFS(dados!$AM$2:$AM$55,dados!$D$2:$D$55,$A106))</f>
        <v/>
      </c>
      <c r="K106" s="5">
        <f>IFERROR(J106-I106,"")</f>
        <v/>
      </c>
    </row>
    <row r="107">
      <c r="A107" s="2" t="inlineStr">
        <is>
          <t>Sudeste</t>
        </is>
      </c>
      <c r="B107" s="11" t="inlineStr">
        <is>
          <t>Google Maps</t>
        </is>
      </c>
      <c r="C107" s="2" t="inlineStr">
        <is>
          <t>avaliacao_media</t>
        </is>
      </c>
      <c r="D107" s="2" t="inlineStr">
        <is>
          <t>Nota média no Google</t>
        </is>
      </c>
      <c r="E107" s="5">
        <f>COUNTIFS(dados!$D$2:$D$55,$A107,dados!$E$2:$E$55,"&lt;&gt;")</f>
        <v/>
      </c>
      <c r="F107" s="4">
        <f>IFERROR(AVERAGEIFS(dados!$E$2:$E$55,dados!$D$2:$D$55,$A107),"")</f>
        <v/>
      </c>
      <c r="G107" s="4">
        <f t="array" ref="G107">IFERROR(MEDIAN(IF((dados!$D$2:$D$55=$A107)*(dados!$E$2:$E$55&lt;&gt;""),dados!$E$2:$E$55)),"")</f>
        <v/>
      </c>
      <c r="H107" s="4">
        <f t="array" ref="H107">IFERROR(STDEV(IF((dados!$D$2:$D$55=$A107)*(dados!$E$2:$E$55&lt;&gt;""),dados!$E$2:$E$55)),"")</f>
        <v/>
      </c>
      <c r="I107" s="4">
        <f>IF(COUNTIFS(dados!$D$2:$D$55,$A107,dados!$E$2:$E$55,"&lt;&gt;")=0,"",_xlfn.MINIFS(dados!$E$2:$E$55,dados!$D$2:$D$55,$A107))</f>
        <v/>
      </c>
      <c r="J107" s="4">
        <f>IF(COUNTIFS(dados!$D$2:$D$55,$A107,dados!$E$2:$E$55,"&lt;&gt;")=0,"",_xlfn.MAXIFS(dados!$E$2:$E$55,dados!$D$2:$D$55,$A107))</f>
        <v/>
      </c>
      <c r="K107" s="4">
        <f>IFERROR(J107-I107,"")</f>
        <v/>
      </c>
    </row>
    <row r="108">
      <c r="A108" s="2" t="inlineStr">
        <is>
          <t>Sudeste</t>
        </is>
      </c>
      <c r="B108" s="11" t="inlineStr">
        <is>
          <t>Google Maps</t>
        </is>
      </c>
      <c r="C108" s="2" t="inlineStr">
        <is>
          <t>volume_avaliacoes</t>
        </is>
      </c>
      <c r="D108" s="2" t="inlineStr">
        <is>
          <t>Nº de avaliações no Google</t>
        </is>
      </c>
      <c r="E108" s="5">
        <f>COUNTIFS(dados!$D$2:$D$55,$A108,dados!$F$2:$F$55,"&lt;&gt;")</f>
        <v/>
      </c>
      <c r="F108" s="5">
        <f>IFERROR(AVERAGEIFS(dados!$F$2:$F$55,dados!$D$2:$D$55,$A108),"")</f>
        <v/>
      </c>
      <c r="G108" s="5">
        <f t="array" ref="G108">IFERROR(MEDIAN(IF((dados!$D$2:$D$55=$A108)*(dados!$F$2:$F$55&lt;&gt;""),dados!$F$2:$F$55)),"")</f>
        <v/>
      </c>
      <c r="H108" s="5">
        <f t="array" ref="H108">IFERROR(STDEV(IF((dados!$D$2:$D$55=$A108)*(dados!$F$2:$F$55&lt;&gt;""),dados!$F$2:$F$55)),"")</f>
        <v/>
      </c>
      <c r="I108" s="5">
        <f>IF(COUNTIFS(dados!$D$2:$D$55,$A108,dados!$F$2:$F$55,"&lt;&gt;")=0,"",_xlfn.MINIFS(dados!$F$2:$F$55,dados!$D$2:$D$55,$A108))</f>
        <v/>
      </c>
      <c r="J108" s="5">
        <f>IF(COUNTIFS(dados!$D$2:$D$55,$A108,dados!$F$2:$F$55,"&lt;&gt;")=0,"",_xlfn.MAXIFS(dados!$F$2:$F$55,dados!$D$2:$D$55,$A108))</f>
        <v/>
      </c>
      <c r="K108" s="5">
        <f>IFERROR(J108-I108,"")</f>
        <v/>
      </c>
    </row>
    <row r="109">
      <c r="A109" s="2" t="inlineStr">
        <is>
          <t>Sudeste</t>
        </is>
      </c>
      <c r="B109" s="12" t="inlineStr">
        <is>
          <t>Horários</t>
        </is>
      </c>
      <c r="C109" s="2" t="inlineStr">
        <is>
          <t>dias_abertos</t>
        </is>
      </c>
      <c r="D109" s="2" t="inlineStr">
        <is>
          <t>Dias abertos por semana</t>
        </is>
      </c>
      <c r="E109" s="5">
        <f>COUNTIFS(dados!$D$2:$D$55,$A109,dados!$G$2:$G$55,"&lt;&gt;")</f>
        <v/>
      </c>
      <c r="F109" s="6">
        <f>IFERROR(AVERAGEIFS(dados!$G$2:$G$55,dados!$D$2:$D$55,$A109),"")</f>
        <v/>
      </c>
      <c r="G109" s="6">
        <f t="array" ref="G109">IFERROR(MEDIAN(IF((dados!$D$2:$D$55=$A109)*(dados!$G$2:$G$55&lt;&gt;""),dados!$G$2:$G$55)),"")</f>
        <v/>
      </c>
      <c r="H109" s="6">
        <f t="array" ref="H109">IFERROR(STDEV(IF((dados!$D$2:$D$55=$A109)*(dados!$G$2:$G$55&lt;&gt;""),dados!$G$2:$G$55)),"")</f>
        <v/>
      </c>
      <c r="I109" s="6">
        <f>IF(COUNTIFS(dados!$D$2:$D$55,$A109,dados!$G$2:$G$55,"&lt;&gt;")=0,"",_xlfn.MINIFS(dados!$G$2:$G$55,dados!$D$2:$D$55,$A109))</f>
        <v/>
      </c>
      <c r="J109" s="6">
        <f>IF(COUNTIFS(dados!$D$2:$D$55,$A109,dados!$G$2:$G$55,"&lt;&gt;")=0,"",_xlfn.MAXIFS(dados!$G$2:$G$55,dados!$D$2:$D$55,$A109))</f>
        <v/>
      </c>
      <c r="K109" s="6">
        <f>IFERROR(J109-I109,"")</f>
        <v/>
      </c>
    </row>
    <row r="110">
      <c r="A110" s="2" t="inlineStr">
        <is>
          <t>Sudeste</t>
        </is>
      </c>
      <c r="B110" s="12" t="inlineStr">
        <is>
          <t>Horários</t>
        </is>
      </c>
      <c r="C110" s="2" t="inlineStr">
        <is>
          <t>horas_semana</t>
        </is>
      </c>
      <c r="D110" s="2" t="inlineStr">
        <is>
          <t>Horas abertas por semana</t>
        </is>
      </c>
      <c r="E110" s="5">
        <f>COUNTIFS(dados!$D$2:$D$55,$A110,dados!$H$2:$H$55,"&lt;&gt;")</f>
        <v/>
      </c>
      <c r="F110" s="6">
        <f>IFERROR(AVERAGEIFS(dados!$H$2:$H$55,dados!$D$2:$D$55,$A110),"")</f>
        <v/>
      </c>
      <c r="G110" s="6">
        <f t="array" ref="G110">IFERROR(MEDIAN(IF((dados!$D$2:$D$55=$A110)*(dados!$H$2:$H$55&lt;&gt;""),dados!$H$2:$H$55)),"")</f>
        <v/>
      </c>
      <c r="H110" s="6">
        <f t="array" ref="H110">IFERROR(STDEV(IF((dados!$D$2:$D$55=$A110)*(dados!$H$2:$H$55&lt;&gt;""),dados!$H$2:$H$55)),"")</f>
        <v/>
      </c>
      <c r="I110" s="6">
        <f>IF(COUNTIFS(dados!$D$2:$D$55,$A110,dados!$H$2:$H$55,"&lt;&gt;")=0,"",_xlfn.MINIFS(dados!$H$2:$H$55,dados!$D$2:$D$55,$A110))</f>
        <v/>
      </c>
      <c r="J110" s="6">
        <f>IF(COUNTIFS(dados!$D$2:$D$55,$A110,dados!$H$2:$H$55,"&lt;&gt;")=0,"",_xlfn.MAXIFS(dados!$H$2:$H$55,dados!$D$2:$D$55,$A110))</f>
        <v/>
      </c>
      <c r="K110" s="6">
        <f>IFERROR(J110-I110,"")</f>
        <v/>
      </c>
    </row>
    <row r="111">
      <c r="A111" s="2" t="inlineStr">
        <is>
          <t>Sudeste</t>
        </is>
      </c>
      <c r="B111" s="12" t="inlineStr">
        <is>
          <t>Horários</t>
        </is>
      </c>
      <c r="C111" s="2" t="inlineStr">
        <is>
          <t>abre_cedo_h</t>
        </is>
      </c>
      <c r="D111" s="2" t="inlineStr">
        <is>
          <t>Abertura mais cedo da semana</t>
        </is>
      </c>
      <c r="E111" s="5">
        <f>COUNTIFS(dados!$D$2:$D$55,$A111,dados!$I$2:$I$55,"&lt;&gt;")</f>
        <v/>
      </c>
      <c r="F111" s="6">
        <f>IFERROR(AVERAGEIFS(dados!$I$2:$I$55,dados!$D$2:$D$55,$A111),"")</f>
        <v/>
      </c>
      <c r="G111" s="6">
        <f t="array" ref="G111">IFERROR(MEDIAN(IF((dados!$D$2:$D$55=$A111)*(dados!$I$2:$I$55&lt;&gt;""),dados!$I$2:$I$55)),"")</f>
        <v/>
      </c>
      <c r="H111" s="6">
        <f t="array" ref="H111">IFERROR(STDEV(IF((dados!$D$2:$D$55=$A111)*(dados!$I$2:$I$55&lt;&gt;""),dados!$I$2:$I$55)),"")</f>
        <v/>
      </c>
      <c r="I111" s="6">
        <f>IF(COUNTIFS(dados!$D$2:$D$55,$A111,dados!$I$2:$I$55,"&lt;&gt;")=0,"",_xlfn.MINIFS(dados!$I$2:$I$55,dados!$D$2:$D$55,$A111))</f>
        <v/>
      </c>
      <c r="J111" s="6">
        <f>IF(COUNTIFS(dados!$D$2:$D$55,$A111,dados!$I$2:$I$55,"&lt;&gt;")=0,"",_xlfn.MAXIFS(dados!$I$2:$I$55,dados!$D$2:$D$55,$A111))</f>
        <v/>
      </c>
      <c r="K111" s="6">
        <f>IFERROR(J111-I111,"")</f>
        <v/>
      </c>
    </row>
    <row r="112">
      <c r="A112" s="2" t="inlineStr">
        <is>
          <t>Sudeste</t>
        </is>
      </c>
      <c r="B112" s="12" t="inlineStr">
        <is>
          <t>Horários</t>
        </is>
      </c>
      <c r="C112" s="2" t="inlineStr">
        <is>
          <t>fecha_tarde_h</t>
        </is>
      </c>
      <c r="D112" s="2" t="inlineStr">
        <is>
          <t>Fechamento mais tarde da semana (25 = 1h da manhã)</t>
        </is>
      </c>
      <c r="E112" s="5">
        <f>COUNTIFS(dados!$D$2:$D$55,$A112,dados!$J$2:$J$55,"&lt;&gt;")</f>
        <v/>
      </c>
      <c r="F112" s="6">
        <f>IFERROR(AVERAGEIFS(dados!$J$2:$J$55,dados!$D$2:$D$55,$A112),"")</f>
        <v/>
      </c>
      <c r="G112" s="6">
        <f t="array" ref="G112">IFERROR(MEDIAN(IF((dados!$D$2:$D$55=$A112)*(dados!$J$2:$J$55&lt;&gt;""),dados!$J$2:$J$55)),"")</f>
        <v/>
      </c>
      <c r="H112" s="6">
        <f t="array" ref="H112">IFERROR(STDEV(IF((dados!$D$2:$D$55=$A112)*(dados!$J$2:$J$55&lt;&gt;""),dados!$J$2:$J$55)),"")</f>
        <v/>
      </c>
      <c r="I112" s="6">
        <f>IF(COUNTIFS(dados!$D$2:$D$55,$A112,dados!$J$2:$J$55,"&lt;&gt;")=0,"",_xlfn.MINIFS(dados!$J$2:$J$55,dados!$D$2:$D$55,$A112))</f>
        <v/>
      </c>
      <c r="J112" s="6">
        <f>IF(COUNTIFS(dados!$D$2:$D$55,$A112,dados!$J$2:$J$55,"&lt;&gt;")=0,"",_xlfn.MAXIFS(dados!$J$2:$J$55,dados!$D$2:$D$55,$A112))</f>
        <v/>
      </c>
      <c r="K112" s="6">
        <f>IFERROR(J112-I112,"")</f>
        <v/>
      </c>
    </row>
    <row r="113">
      <c r="A113" s="2" t="inlineStr">
        <is>
          <t>Sudeste</t>
        </is>
      </c>
      <c r="B113" s="13" t="inlineStr">
        <is>
          <t>Entorno</t>
        </is>
      </c>
      <c r="C113" s="2" t="inlineStr">
        <is>
          <t>metro_500m</t>
        </is>
      </c>
      <c r="D113" s="2" t="inlineStr">
        <is>
          <t>Estações de metrô até 500 m</t>
        </is>
      </c>
      <c r="E113" s="5">
        <f>COUNTIFS(dados!$D$2:$D$55,$A113,dados!$K$2:$K$55,"&lt;&gt;")</f>
        <v/>
      </c>
      <c r="F113" s="4">
        <f>IFERROR(AVERAGEIFS(dados!$K$2:$K$55,dados!$D$2:$D$55,$A113),"")</f>
        <v/>
      </c>
      <c r="G113" s="4">
        <f t="array" ref="G113">IFERROR(MEDIAN(IF((dados!$D$2:$D$55=$A113)*(dados!$K$2:$K$55&lt;&gt;""),dados!$K$2:$K$55)),"")</f>
        <v/>
      </c>
      <c r="H113" s="4">
        <f t="array" ref="H113">IFERROR(STDEV(IF((dados!$D$2:$D$55=$A113)*(dados!$K$2:$K$55&lt;&gt;""),dados!$K$2:$K$55)),"")</f>
        <v/>
      </c>
      <c r="I113" s="4">
        <f>IF(COUNTIFS(dados!$D$2:$D$55,$A113,dados!$K$2:$K$55,"&lt;&gt;")=0,"",_xlfn.MINIFS(dados!$K$2:$K$55,dados!$D$2:$D$55,$A113))</f>
        <v/>
      </c>
      <c r="J113" s="4">
        <f>IF(COUNTIFS(dados!$D$2:$D$55,$A113,dados!$K$2:$K$55,"&lt;&gt;")=0,"",_xlfn.MAXIFS(dados!$K$2:$K$55,dados!$D$2:$D$55,$A113))</f>
        <v/>
      </c>
      <c r="K113" s="4">
        <f>IFERROR(J113-I113,"")</f>
        <v/>
      </c>
    </row>
    <row r="114">
      <c r="A114" s="2" t="inlineStr">
        <is>
          <t>Sudeste</t>
        </is>
      </c>
      <c r="B114" s="13" t="inlineStr">
        <is>
          <t>Entorno</t>
        </is>
      </c>
      <c r="C114" s="2" t="inlineStr">
        <is>
          <t>metro_1000m</t>
        </is>
      </c>
      <c r="D114" s="2" t="inlineStr">
        <is>
          <t>Estações de metrô até 1000 m</t>
        </is>
      </c>
      <c r="E114" s="5">
        <f>COUNTIFS(dados!$D$2:$D$55,$A114,dados!$L$2:$L$55,"&lt;&gt;")</f>
        <v/>
      </c>
      <c r="F114" s="4">
        <f>IFERROR(AVERAGEIFS(dados!$L$2:$L$55,dados!$D$2:$D$55,$A114),"")</f>
        <v/>
      </c>
      <c r="G114" s="4">
        <f t="array" ref="G114">IFERROR(MEDIAN(IF((dados!$D$2:$D$55=$A114)*(dados!$L$2:$L$55&lt;&gt;""),dados!$L$2:$L$55)),"")</f>
        <v/>
      </c>
      <c r="H114" s="4">
        <f t="array" ref="H114">IFERROR(STDEV(IF((dados!$D$2:$D$55=$A114)*(dados!$L$2:$L$55&lt;&gt;""),dados!$L$2:$L$55)),"")</f>
        <v/>
      </c>
      <c r="I114" s="4">
        <f>IF(COUNTIFS(dados!$D$2:$D$55,$A114,dados!$L$2:$L$55,"&lt;&gt;")=0,"",_xlfn.MINIFS(dados!$L$2:$L$55,dados!$D$2:$D$55,$A114))</f>
        <v/>
      </c>
      <c r="J114" s="4">
        <f>IF(COUNTIFS(dados!$D$2:$D$55,$A114,dados!$L$2:$L$55,"&lt;&gt;")=0,"",_xlfn.MAXIFS(dados!$L$2:$L$55,dados!$D$2:$D$55,$A114))</f>
        <v/>
      </c>
      <c r="K114" s="4">
        <f>IFERROR(J114-I114,"")</f>
        <v/>
      </c>
    </row>
    <row r="115">
      <c r="A115" s="2" t="inlineStr">
        <is>
          <t>Sudeste</t>
        </is>
      </c>
      <c r="B115" s="13" t="inlineStr">
        <is>
          <t>Entorno</t>
        </is>
      </c>
      <c r="C115" s="2" t="inlineStr">
        <is>
          <t>dist_metro_m</t>
        </is>
      </c>
      <c r="D115" s="2" t="inlineStr">
        <is>
          <t>Distância à estação de metrô mais próxima</t>
        </is>
      </c>
      <c r="E115" s="5">
        <f>COUNTIFS(dados!$D$2:$D$55,$A115,dados!$M$2:$M$55,"&lt;&gt;")</f>
        <v/>
      </c>
      <c r="F115" s="5">
        <f>IFERROR(AVERAGEIFS(dados!$M$2:$M$55,dados!$D$2:$D$55,$A115),"")</f>
        <v/>
      </c>
      <c r="G115" s="5">
        <f t="array" ref="G115">IFERROR(MEDIAN(IF((dados!$D$2:$D$55=$A115)*(dados!$M$2:$M$55&lt;&gt;""),dados!$M$2:$M$55)),"")</f>
        <v/>
      </c>
      <c r="H115" s="5">
        <f t="array" ref="H115">IFERROR(STDEV(IF((dados!$D$2:$D$55=$A115)*(dados!$M$2:$M$55&lt;&gt;""),dados!$M$2:$M$55)),"")</f>
        <v/>
      </c>
      <c r="I115" s="5">
        <f>IF(COUNTIFS(dados!$D$2:$D$55,$A115,dados!$M$2:$M$55,"&lt;&gt;")=0,"",_xlfn.MINIFS(dados!$M$2:$M$55,dados!$D$2:$D$55,$A115))</f>
        <v/>
      </c>
      <c r="J115" s="5">
        <f>IF(COUNTIFS(dados!$D$2:$D$55,$A115,dados!$M$2:$M$55,"&lt;&gt;")=0,"",_xlfn.MAXIFS(dados!$M$2:$M$55,dados!$D$2:$D$55,$A115))</f>
        <v/>
      </c>
      <c r="K115" s="5">
        <f>IFERROR(J115-I115,"")</f>
        <v/>
      </c>
    </row>
    <row r="116">
      <c r="A116" s="2" t="inlineStr">
        <is>
          <t>Sudeste</t>
        </is>
      </c>
      <c r="B116" s="13" t="inlineStr">
        <is>
          <t>Entorno</t>
        </is>
      </c>
      <c r="C116" s="2" t="inlineStr">
        <is>
          <t>shopping_porte_500m</t>
        </is>
      </c>
      <c r="D116" s="2" t="inlineStr">
        <is>
          <t>Shoppings de porte até 500 m (onde o porte foi buscado)</t>
        </is>
      </c>
      <c r="E116" s="5">
        <f>COUNTIFS(dados!$D$2:$D$55,$A116,dados!$N$2:$N$55,"&lt;&gt;")</f>
        <v/>
      </c>
      <c r="F116" s="4">
        <f>IFERROR(AVERAGEIFS(dados!$N$2:$N$55,dados!$D$2:$D$55,$A116),"")</f>
        <v/>
      </c>
      <c r="G116" s="4">
        <f t="array" ref="G116">IFERROR(MEDIAN(IF((dados!$D$2:$D$55=$A116)*(dados!$N$2:$N$55&lt;&gt;""),dados!$N$2:$N$55)),"")</f>
        <v/>
      </c>
      <c r="H116" s="4">
        <f t="array" ref="H116">IFERROR(STDEV(IF((dados!$D$2:$D$55=$A116)*(dados!$N$2:$N$55&lt;&gt;""),dados!$N$2:$N$55)),"")</f>
        <v/>
      </c>
      <c r="I116" s="4">
        <f>IF(COUNTIFS(dados!$D$2:$D$55,$A116,dados!$N$2:$N$55,"&lt;&gt;")=0,"",_xlfn.MINIFS(dados!$N$2:$N$55,dados!$D$2:$D$55,$A116))</f>
        <v/>
      </c>
      <c r="J116" s="4">
        <f>IF(COUNTIFS(dados!$D$2:$D$55,$A116,dados!$N$2:$N$55,"&lt;&gt;")=0,"",_xlfn.MAXIFS(dados!$N$2:$N$55,dados!$D$2:$D$55,$A116))</f>
        <v/>
      </c>
      <c r="K116" s="4">
        <f>IFERROR(J116-I116,"")</f>
        <v/>
      </c>
    </row>
    <row r="117">
      <c r="A117" s="2" t="inlineStr">
        <is>
          <t>Sudeste</t>
        </is>
      </c>
      <c r="B117" s="13" t="inlineStr">
        <is>
          <t>Entorno</t>
        </is>
      </c>
      <c r="C117" s="2" t="inlineStr">
        <is>
          <t>shopping_porte_1000m</t>
        </is>
      </c>
      <c r="D117" s="2" t="inlineStr">
        <is>
          <t>Shoppings de porte até 1000 m (onde o porte foi buscado)</t>
        </is>
      </c>
      <c r="E117" s="5">
        <f>COUNTIFS(dados!$D$2:$D$55,$A117,dados!$O$2:$O$55,"&lt;&gt;")</f>
        <v/>
      </c>
      <c r="F117" s="4">
        <f>IFERROR(AVERAGEIFS(dados!$O$2:$O$55,dados!$D$2:$D$55,$A117),"")</f>
        <v/>
      </c>
      <c r="G117" s="4">
        <f t="array" ref="G117">IFERROR(MEDIAN(IF((dados!$D$2:$D$55=$A117)*(dados!$O$2:$O$55&lt;&gt;""),dados!$O$2:$O$55)),"")</f>
        <v/>
      </c>
      <c r="H117" s="4">
        <f t="array" ref="H117">IFERROR(STDEV(IF((dados!$D$2:$D$55=$A117)*(dados!$O$2:$O$55&lt;&gt;""),dados!$O$2:$O$55)),"")</f>
        <v/>
      </c>
      <c r="I117" s="4">
        <f>IF(COUNTIFS(dados!$D$2:$D$55,$A117,dados!$O$2:$O$55,"&lt;&gt;")=0,"",_xlfn.MINIFS(dados!$O$2:$O$55,dados!$D$2:$D$55,$A117))</f>
        <v/>
      </c>
      <c r="J117" s="4">
        <f>IF(COUNTIFS(dados!$D$2:$D$55,$A117,dados!$O$2:$O$55,"&lt;&gt;")=0,"",_xlfn.MAXIFS(dados!$O$2:$O$55,dados!$D$2:$D$55,$A117))</f>
        <v/>
      </c>
      <c r="K117" s="4">
        <f>IFERROR(J117-I117,"")</f>
        <v/>
      </c>
    </row>
    <row r="118">
      <c r="A118" s="2" t="inlineStr">
        <is>
          <t>Sudeste</t>
        </is>
      </c>
      <c r="B118" s="13" t="inlineStr">
        <is>
          <t>Entorno</t>
        </is>
      </c>
      <c r="C118" s="2" t="inlineStr">
        <is>
          <t>dist_shopping_m</t>
        </is>
      </c>
      <c r="D118" s="2" t="inlineStr">
        <is>
          <t>Distância ao shopping mais próximo (qualquer porte)</t>
        </is>
      </c>
      <c r="E118" s="5">
        <f>COUNTIFS(dados!$D$2:$D$55,$A118,dados!$P$2:$P$55,"&lt;&gt;")</f>
        <v/>
      </c>
      <c r="F118" s="5">
        <f>IFERROR(AVERAGEIFS(dados!$P$2:$P$55,dados!$D$2:$D$55,$A118),"")</f>
        <v/>
      </c>
      <c r="G118" s="5">
        <f t="array" ref="G118">IFERROR(MEDIAN(IF((dados!$D$2:$D$55=$A118)*(dados!$P$2:$P$55&lt;&gt;""),dados!$P$2:$P$55)),"")</f>
        <v/>
      </c>
      <c r="H118" s="5">
        <f t="array" ref="H118">IFERROR(STDEV(IF((dados!$D$2:$D$55=$A118)*(dados!$P$2:$P$55&lt;&gt;""),dados!$P$2:$P$55)),"")</f>
        <v/>
      </c>
      <c r="I118" s="5">
        <f>IF(COUNTIFS(dados!$D$2:$D$55,$A118,dados!$P$2:$P$55,"&lt;&gt;")=0,"",_xlfn.MINIFS(dados!$P$2:$P$55,dados!$D$2:$D$55,$A118))</f>
        <v/>
      </c>
      <c r="J118" s="5">
        <f>IF(COUNTIFS(dados!$D$2:$D$55,$A118,dados!$P$2:$P$55,"&lt;&gt;")=0,"",_xlfn.MAXIFS(dados!$P$2:$P$55,dados!$D$2:$D$55,$A118))</f>
        <v/>
      </c>
      <c r="K118" s="5">
        <f>IFERROR(J118-I118,"")</f>
        <v/>
      </c>
    </row>
    <row r="119">
      <c r="A119" s="2" t="inlineStr">
        <is>
          <t>Sudeste</t>
        </is>
      </c>
      <c r="B119" s="14" t="inlineStr">
        <is>
          <t>Instagram</t>
        </is>
      </c>
      <c r="C119" s="2" t="inlineStr">
        <is>
          <t>seguidores</t>
        </is>
      </c>
      <c r="D119" s="2" t="inlineStr">
        <is>
          <t>Seguidores</t>
        </is>
      </c>
      <c r="E119" s="5">
        <f>COUNTIFS(dados!$D$2:$D$55,$A119,dados!$Q$2:$Q$55,"&lt;&gt;")</f>
        <v/>
      </c>
      <c r="F119" s="5">
        <f>IFERROR(AVERAGEIFS(dados!$Q$2:$Q$55,dados!$D$2:$D$55,$A119),"")</f>
        <v/>
      </c>
      <c r="G119" s="5">
        <f t="array" ref="G119">IFERROR(MEDIAN(IF((dados!$D$2:$D$55=$A119)*(dados!$Q$2:$Q$55&lt;&gt;""),dados!$Q$2:$Q$55)),"")</f>
        <v/>
      </c>
      <c r="H119" s="5">
        <f t="array" ref="H119">IFERROR(STDEV(IF((dados!$D$2:$D$55=$A119)*(dados!$Q$2:$Q$55&lt;&gt;""),dados!$Q$2:$Q$55)),"")</f>
        <v/>
      </c>
      <c r="I119" s="5">
        <f>IF(COUNTIFS(dados!$D$2:$D$55,$A119,dados!$Q$2:$Q$55,"&lt;&gt;")=0,"",_xlfn.MINIFS(dados!$Q$2:$Q$55,dados!$D$2:$D$55,$A119))</f>
        <v/>
      </c>
      <c r="J119" s="5">
        <f>IF(COUNTIFS(dados!$D$2:$D$55,$A119,dados!$Q$2:$Q$55,"&lt;&gt;")=0,"",_xlfn.MAXIFS(dados!$Q$2:$Q$55,dados!$D$2:$D$55,$A119))</f>
        <v/>
      </c>
      <c r="K119" s="5">
        <f>IFERROR(J119-I119,"")</f>
        <v/>
      </c>
    </row>
    <row r="120">
      <c r="A120" s="2" t="inlineStr">
        <is>
          <t>Sudeste</t>
        </is>
      </c>
      <c r="B120" s="14" t="inlineStr">
        <is>
          <t>Instagram</t>
        </is>
      </c>
      <c r="C120" s="2" t="inlineStr">
        <is>
          <t>n_posts_total</t>
        </is>
      </c>
      <c r="D120" s="2" t="inlineStr">
        <is>
          <t>Posts desde a criação do perfil</t>
        </is>
      </c>
      <c r="E120" s="5">
        <f>COUNTIFS(dados!$D$2:$D$55,$A120,dados!$R$2:$R$55,"&lt;&gt;")</f>
        <v/>
      </c>
      <c r="F120" s="5">
        <f>IFERROR(AVERAGEIFS(dados!$R$2:$R$55,dados!$D$2:$D$55,$A120),"")</f>
        <v/>
      </c>
      <c r="G120" s="5">
        <f t="array" ref="G120">IFERROR(MEDIAN(IF((dados!$D$2:$D$55=$A120)*(dados!$R$2:$R$55&lt;&gt;""),dados!$R$2:$R$55)),"")</f>
        <v/>
      </c>
      <c r="H120" s="5">
        <f t="array" ref="H120">IFERROR(STDEV(IF((dados!$D$2:$D$55=$A120)*(dados!$R$2:$R$55&lt;&gt;""),dados!$R$2:$R$55)),"")</f>
        <v/>
      </c>
      <c r="I120" s="5">
        <f>IF(COUNTIFS(dados!$D$2:$D$55,$A120,dados!$R$2:$R$55,"&lt;&gt;")=0,"",_xlfn.MINIFS(dados!$R$2:$R$55,dados!$D$2:$D$55,$A120))</f>
        <v/>
      </c>
      <c r="J120" s="5">
        <f>IF(COUNTIFS(dados!$D$2:$D$55,$A120,dados!$R$2:$R$55,"&lt;&gt;")=0,"",_xlfn.MAXIFS(dados!$R$2:$R$55,dados!$D$2:$D$55,$A120))</f>
        <v/>
      </c>
      <c r="K120" s="5">
        <f>IFERROR(J120-I120,"")</f>
        <v/>
      </c>
    </row>
    <row r="121">
      <c r="A121" s="2" t="inlineStr">
        <is>
          <t>Sudeste</t>
        </is>
      </c>
      <c r="B121" s="14" t="inlineStr">
        <is>
          <t>Instagram</t>
        </is>
      </c>
      <c r="C121" s="2" t="inlineStr">
        <is>
          <t>idade_perfil_anos</t>
        </is>
      </c>
      <c r="D121" s="2" t="inlineStr">
        <is>
          <t>Idade do perfil (desde o primeiro post até 15/10/2026)</t>
        </is>
      </c>
      <c r="E121" s="5">
        <f>COUNTIFS(dados!$D$2:$D$55,$A121,dados!$S$2:$S$55,"&lt;&gt;")</f>
        <v/>
      </c>
      <c r="F121" s="6">
        <f>IFERROR(AVERAGEIFS(dados!$S$2:$S$55,dados!$D$2:$D$55,$A121),"")</f>
        <v/>
      </c>
      <c r="G121" s="6">
        <f t="array" ref="G121">IFERROR(MEDIAN(IF((dados!$D$2:$D$55=$A121)*(dados!$S$2:$S$55&lt;&gt;""),dados!$S$2:$S$55)),"")</f>
        <v/>
      </c>
      <c r="H121" s="6">
        <f t="array" ref="H121">IFERROR(STDEV(IF((dados!$D$2:$D$55=$A121)*(dados!$S$2:$S$55&lt;&gt;""),dados!$S$2:$S$55)),"")</f>
        <v/>
      </c>
      <c r="I121" s="6">
        <f>IF(COUNTIFS(dados!$D$2:$D$55,$A121,dados!$S$2:$S$55,"&lt;&gt;")=0,"",_xlfn.MINIFS(dados!$S$2:$S$55,dados!$D$2:$D$55,$A121))</f>
        <v/>
      </c>
      <c r="J121" s="6">
        <f>IF(COUNTIFS(dados!$D$2:$D$55,$A121,dados!$S$2:$S$55,"&lt;&gt;")=0,"",_xlfn.MAXIFS(dados!$S$2:$S$55,dados!$D$2:$D$55,$A121))</f>
        <v/>
      </c>
      <c r="K121" s="6">
        <f>IFERROR(J121-I121,"")</f>
        <v/>
      </c>
    </row>
    <row r="122">
      <c r="A122" s="2" t="inlineStr">
        <is>
          <t>Sudeste</t>
        </is>
      </c>
      <c r="B122" s="14" t="inlineStr">
        <is>
          <t>Instagram</t>
        </is>
      </c>
      <c r="C122" s="2" t="inlineStr">
        <is>
          <t>n_posts_periodo</t>
        </is>
      </c>
      <c r="D122" s="2" t="inlineStr">
        <is>
          <t>Posts de 01/09 a 01/10/2026</t>
        </is>
      </c>
      <c r="E122" s="5">
        <f>COUNTIFS(dados!$D$2:$D$55,$A122,dados!$T$2:$T$55,"&lt;&gt;")</f>
        <v/>
      </c>
      <c r="F122" s="6">
        <f>IFERROR(AVERAGEIFS(dados!$T$2:$T$55,dados!$D$2:$D$55,$A122),"")</f>
        <v/>
      </c>
      <c r="G122" s="6">
        <f t="array" ref="G122">IFERROR(MEDIAN(IF((dados!$D$2:$D$55=$A122)*(dados!$T$2:$T$55&lt;&gt;""),dados!$T$2:$T$55)),"")</f>
        <v/>
      </c>
      <c r="H122" s="6">
        <f t="array" ref="H122">IFERROR(STDEV(IF((dados!$D$2:$D$55=$A122)*(dados!$T$2:$T$55&lt;&gt;""),dados!$T$2:$T$55)),"")</f>
        <v/>
      </c>
      <c r="I122" s="6">
        <f>IF(COUNTIFS(dados!$D$2:$D$55,$A122,dados!$T$2:$T$55,"&lt;&gt;")=0,"",_xlfn.MINIFS(dados!$T$2:$T$55,dados!$D$2:$D$55,$A122))</f>
        <v/>
      </c>
      <c r="J122" s="6">
        <f>IF(COUNTIFS(dados!$D$2:$D$55,$A122,dados!$T$2:$T$55,"&lt;&gt;")=0,"",_xlfn.MAXIFS(dados!$T$2:$T$55,dados!$D$2:$D$55,$A122))</f>
        <v/>
      </c>
      <c r="K122" s="6">
        <f>IFERROR(J122-I122,"")</f>
        <v/>
      </c>
    </row>
    <row r="123">
      <c r="A123" s="2" t="inlineStr">
        <is>
          <t>Sudeste</t>
        </is>
      </c>
      <c r="B123" s="14" t="inlineStr">
        <is>
          <t>Instagram</t>
        </is>
      </c>
      <c r="C123" s="2" t="inlineStr">
        <is>
          <t>curtidas_periodo</t>
        </is>
      </c>
      <c r="D123" s="2" t="inlineStr">
        <is>
          <t>Curtidas no período</t>
        </is>
      </c>
      <c r="E123" s="5">
        <f>COUNTIFS(dados!$D$2:$D$55,$A123,dados!$U$2:$U$55,"&lt;&gt;")</f>
        <v/>
      </c>
      <c r="F123" s="5">
        <f>IFERROR(AVERAGEIFS(dados!$U$2:$U$55,dados!$D$2:$D$55,$A123),"")</f>
        <v/>
      </c>
      <c r="G123" s="5">
        <f t="array" ref="G123">IFERROR(MEDIAN(IF((dados!$D$2:$D$55=$A123)*(dados!$U$2:$U$55&lt;&gt;""),dados!$U$2:$U$55)),"")</f>
        <v/>
      </c>
      <c r="H123" s="5">
        <f t="array" ref="H123">IFERROR(STDEV(IF((dados!$D$2:$D$55=$A123)*(dados!$U$2:$U$55&lt;&gt;""),dados!$U$2:$U$55)),"")</f>
        <v/>
      </c>
      <c r="I123" s="5">
        <f>IF(COUNTIFS(dados!$D$2:$D$55,$A123,dados!$U$2:$U$55,"&lt;&gt;")=0,"",_xlfn.MINIFS(dados!$U$2:$U$55,dados!$D$2:$D$55,$A123))</f>
        <v/>
      </c>
      <c r="J123" s="5">
        <f>IF(COUNTIFS(dados!$D$2:$D$55,$A123,dados!$U$2:$U$55,"&lt;&gt;")=0,"",_xlfn.MAXIFS(dados!$U$2:$U$55,dados!$D$2:$D$55,$A123))</f>
        <v/>
      </c>
      <c r="K123" s="5">
        <f>IFERROR(J123-I123,"")</f>
        <v/>
      </c>
    </row>
    <row r="124">
      <c r="A124" s="2" t="inlineStr">
        <is>
          <t>Sudeste</t>
        </is>
      </c>
      <c r="B124" s="14" t="inlineStr">
        <is>
          <t>Instagram</t>
        </is>
      </c>
      <c r="C124" s="2" t="inlineStr">
        <is>
          <t>comentarios_periodo</t>
        </is>
      </c>
      <c r="D124" s="2" t="inlineStr">
        <is>
          <t>Comentários no período</t>
        </is>
      </c>
      <c r="E124" s="5">
        <f>COUNTIFS(dados!$D$2:$D$55,$A124,dados!$V$2:$V$55,"&lt;&gt;")</f>
        <v/>
      </c>
      <c r="F124" s="5">
        <f>IFERROR(AVERAGEIFS(dados!$V$2:$V$55,dados!$D$2:$D$55,$A124),"")</f>
        <v/>
      </c>
      <c r="G124" s="5">
        <f t="array" ref="G124">IFERROR(MEDIAN(IF((dados!$D$2:$D$55=$A124)*(dados!$V$2:$V$55&lt;&gt;""),dados!$V$2:$V$55)),"")</f>
        <v/>
      </c>
      <c r="H124" s="5">
        <f t="array" ref="H124">IFERROR(STDEV(IF((dados!$D$2:$D$55=$A124)*(dados!$V$2:$V$55&lt;&gt;""),dados!$V$2:$V$55)),"")</f>
        <v/>
      </c>
      <c r="I124" s="5">
        <f>IF(COUNTIFS(dados!$D$2:$D$55,$A124,dados!$V$2:$V$55,"&lt;&gt;")=0,"",_xlfn.MINIFS(dados!$V$2:$V$55,dados!$D$2:$D$55,$A124))</f>
        <v/>
      </c>
      <c r="J124" s="5">
        <f>IF(COUNTIFS(dados!$D$2:$D$55,$A124,dados!$V$2:$V$55,"&lt;&gt;")=0,"",_xlfn.MAXIFS(dados!$V$2:$V$55,dados!$D$2:$D$55,$A124))</f>
        <v/>
      </c>
      <c r="K124" s="5">
        <f>IFERROR(J124-I124,"")</f>
        <v/>
      </c>
    </row>
    <row r="125">
      <c r="A125" s="2" t="inlineStr">
        <is>
          <t>Sudeste</t>
        </is>
      </c>
      <c r="B125" s="14" t="inlineStr">
        <is>
          <t>Instagram</t>
        </is>
      </c>
      <c r="C125" s="2" t="inlineStr">
        <is>
          <t>interacoes_por_post</t>
        </is>
      </c>
      <c r="D125" s="2" t="inlineStr">
        <is>
          <t>Interações por post no período (curtidas + comentários)</t>
        </is>
      </c>
      <c r="E125" s="5">
        <f>COUNTIFS(dados!$D$2:$D$55,$A125,dados!$W$2:$W$55,"&lt;&gt;")</f>
        <v/>
      </c>
      <c r="F125" s="6">
        <f>IFERROR(AVERAGEIFS(dados!$W$2:$W$55,dados!$D$2:$D$55,$A125),"")</f>
        <v/>
      </c>
      <c r="G125" s="6">
        <f t="array" ref="G125">IFERROR(MEDIAN(IF((dados!$D$2:$D$55=$A125)*(dados!$W$2:$W$55&lt;&gt;""),dados!$W$2:$W$55)),"")</f>
        <v/>
      </c>
      <c r="H125" s="6">
        <f t="array" ref="H125">IFERROR(STDEV(IF((dados!$D$2:$D$55=$A125)*(dados!$W$2:$W$55&lt;&gt;""),dados!$W$2:$W$55)),"")</f>
        <v/>
      </c>
      <c r="I125" s="6">
        <f>IF(COUNTIFS(dados!$D$2:$D$55,$A125,dados!$W$2:$W$55,"&lt;&gt;")=0,"",_xlfn.MINIFS(dados!$W$2:$W$55,dados!$D$2:$D$55,$A125))</f>
        <v/>
      </c>
      <c r="J125" s="6">
        <f>IF(COUNTIFS(dados!$D$2:$D$55,$A125,dados!$W$2:$W$55,"&lt;&gt;")=0,"",_xlfn.MAXIFS(dados!$W$2:$W$55,dados!$D$2:$D$55,$A125))</f>
        <v/>
      </c>
      <c r="K125" s="6">
        <f>IFERROR(J125-I125,"")</f>
        <v/>
      </c>
    </row>
    <row r="126">
      <c r="A126" s="2" t="inlineStr">
        <is>
          <t>Sudeste</t>
        </is>
      </c>
      <c r="B126" s="14" t="inlineStr">
        <is>
          <t>Instagram</t>
        </is>
      </c>
      <c r="C126" s="2" t="inlineStr">
        <is>
          <t>engajamento_pct</t>
        </is>
      </c>
      <c r="D126" s="2" t="inlineStr">
        <is>
          <t>Taxa de engajamento (interações por post ÷ seguidores)</t>
        </is>
      </c>
      <c r="E126" s="5">
        <f>COUNTIFS(dados!$D$2:$D$55,$A126,dados!$X$2:$X$55,"&lt;&gt;")</f>
        <v/>
      </c>
      <c r="F126" s="15">
        <f>IFERROR(AVERAGEIFS(dados!$X$2:$X$55,dados!$D$2:$D$55,$A126),"")</f>
        <v/>
      </c>
      <c r="G126" s="15">
        <f t="array" ref="G126">IFERROR(MEDIAN(IF((dados!$D$2:$D$55=$A126)*(dados!$X$2:$X$55&lt;&gt;""),dados!$X$2:$X$55)),"")</f>
        <v/>
      </c>
      <c r="H126" s="15">
        <f t="array" ref="H126">IFERROR(STDEV(IF((dados!$D$2:$D$55=$A126)*(dados!$X$2:$X$55&lt;&gt;""),dados!$X$2:$X$55)),"")</f>
        <v/>
      </c>
      <c r="I126" s="15">
        <f>IF(COUNTIFS(dados!$D$2:$D$55,$A126,dados!$X$2:$X$55,"&lt;&gt;")=0,"",_xlfn.MINIFS(dados!$X$2:$X$55,dados!$D$2:$D$55,$A126))</f>
        <v/>
      </c>
      <c r="J126" s="15">
        <f>IF(COUNTIFS(dados!$D$2:$D$55,$A126,dados!$X$2:$X$55,"&lt;&gt;")=0,"",_xlfn.MAXIFS(dados!$X$2:$X$55,dados!$D$2:$D$55,$A126))</f>
        <v/>
      </c>
      <c r="K126" s="15">
        <f>IFERROR(J126-I126,"")</f>
        <v/>
      </c>
    </row>
    <row r="127">
      <c r="A127" s="2" t="inlineStr">
        <is>
          <t>Sudeste</t>
        </is>
      </c>
      <c r="B127" s="16" t="inlineStr">
        <is>
          <t>Cardápio</t>
        </is>
      </c>
      <c r="C127" s="2" t="inlineStr">
        <is>
          <t>itens_com_preco</t>
        </is>
      </c>
      <c r="D127" s="2" t="inlineStr">
        <is>
          <t>Itens com preço no cardápio</t>
        </is>
      </c>
      <c r="E127" s="5">
        <f>COUNTIFS(dados!$D$2:$D$55,$A127,dados!$Y$2:$Y$55,"&lt;&gt;")</f>
        <v/>
      </c>
      <c r="F127" s="5">
        <f>IFERROR(AVERAGEIFS(dados!$Y$2:$Y$55,dados!$D$2:$D$55,$A127),"")</f>
        <v/>
      </c>
      <c r="G127" s="5">
        <f t="array" ref="G127">IFERROR(MEDIAN(IF((dados!$D$2:$D$55=$A127)*(dados!$Y$2:$Y$55&lt;&gt;""),dados!$Y$2:$Y$55)),"")</f>
        <v/>
      </c>
      <c r="H127" s="5">
        <f t="array" ref="H127">IFERROR(STDEV(IF((dados!$D$2:$D$55=$A127)*(dados!$Y$2:$Y$55&lt;&gt;""),dados!$Y$2:$Y$55)),"")</f>
        <v/>
      </c>
      <c r="I127" s="5">
        <f>IF(COUNTIFS(dados!$D$2:$D$55,$A127,dados!$Y$2:$Y$55,"&lt;&gt;")=0,"",_xlfn.MINIFS(dados!$Y$2:$Y$55,dados!$D$2:$D$55,$A127))</f>
        <v/>
      </c>
      <c r="J127" s="5">
        <f>IF(COUNTIFS(dados!$D$2:$D$55,$A127,dados!$Y$2:$Y$55,"&lt;&gt;")=0,"",_xlfn.MAXIFS(dados!$Y$2:$Y$55,dados!$D$2:$D$55,$A127))</f>
        <v/>
      </c>
      <c r="K127" s="5">
        <f>IFERROR(J127-I127,"")</f>
        <v/>
      </c>
    </row>
    <row r="128">
      <c r="A128" s="2" t="inlineStr">
        <is>
          <t>Sudeste</t>
        </is>
      </c>
      <c r="B128" s="16" t="inlineStr">
        <is>
          <t>Cardápio</t>
        </is>
      </c>
      <c r="C128" s="2" t="inlineStr">
        <is>
          <t>couvert_mediana</t>
        </is>
      </c>
      <c r="D128" s="2" t="inlineStr">
        <is>
          <t>Couvert ou taxa de jogo (só casas que cobram)</t>
        </is>
      </c>
      <c r="E128" s="5">
        <f>COUNTIFS(dados!$D$2:$D$55,$A128,dados!$Z$2:$Z$55,"&lt;&gt;")</f>
        <v/>
      </c>
      <c r="F128" s="7">
        <f>IFERROR(AVERAGEIFS(dados!$Z$2:$Z$55,dados!$D$2:$D$55,$A128),"")</f>
        <v/>
      </c>
      <c r="G128" s="7">
        <f t="array" ref="G128">IFERROR(MEDIAN(IF((dados!$D$2:$D$55=$A128)*(dados!$Z$2:$Z$55&lt;&gt;""),dados!$Z$2:$Z$55)),"")</f>
        <v/>
      </c>
      <c r="H128" s="7">
        <f t="array" ref="H128">IFERROR(STDEV(IF((dados!$D$2:$D$55=$A128)*(dados!$Z$2:$Z$55&lt;&gt;""),dados!$Z$2:$Z$55)),"")</f>
        <v/>
      </c>
      <c r="I128" s="7">
        <f>IF(COUNTIFS(dados!$D$2:$D$55,$A128,dados!$Z$2:$Z$55,"&lt;&gt;")=0,"",_xlfn.MINIFS(dados!$Z$2:$Z$55,dados!$D$2:$D$55,$A128))</f>
        <v/>
      </c>
      <c r="J128" s="7">
        <f>IF(COUNTIFS(dados!$D$2:$D$55,$A128,dados!$Z$2:$Z$55,"&lt;&gt;")=0,"",_xlfn.MAXIFS(dados!$Z$2:$Z$55,dados!$D$2:$D$55,$A128))</f>
        <v/>
      </c>
      <c r="K128" s="7">
        <f>IFERROR(J128-I128,"")</f>
        <v/>
      </c>
    </row>
    <row r="129">
      <c r="A129" s="2" t="inlineStr">
        <is>
          <t>Sudeste</t>
        </is>
      </c>
      <c r="B129" s="16" t="inlineStr">
        <is>
          <t>Cardápio</t>
        </is>
      </c>
      <c r="C129" s="2" t="inlineStr">
        <is>
          <t>bebida_mediana</t>
        </is>
      </c>
      <c r="D129" s="2" t="inlineStr">
        <is>
          <t>Bebida, mediana do cardápio</t>
        </is>
      </c>
      <c r="E129" s="5">
        <f>COUNTIFS(dados!$D$2:$D$55,$A129,dados!$AA$2:$AA$55,"&lt;&gt;")</f>
        <v/>
      </c>
      <c r="F129" s="7">
        <f>IFERROR(AVERAGEIFS(dados!$AA$2:$AA$55,dados!$D$2:$D$55,$A129),"")</f>
        <v/>
      </c>
      <c r="G129" s="7">
        <f t="array" ref="G129">IFERROR(MEDIAN(IF((dados!$D$2:$D$55=$A129)*(dados!$AA$2:$AA$55&lt;&gt;""),dados!$AA$2:$AA$55)),"")</f>
        <v/>
      </c>
      <c r="H129" s="7">
        <f t="array" ref="H129">IFERROR(STDEV(IF((dados!$D$2:$D$55=$A129)*(dados!$AA$2:$AA$55&lt;&gt;""),dados!$AA$2:$AA$55)),"")</f>
        <v/>
      </c>
      <c r="I129" s="7">
        <f>IF(COUNTIFS(dados!$D$2:$D$55,$A129,dados!$AA$2:$AA$55,"&lt;&gt;")=0,"",_xlfn.MINIFS(dados!$AA$2:$AA$55,dados!$D$2:$D$55,$A129))</f>
        <v/>
      </c>
      <c r="J129" s="7">
        <f>IF(COUNTIFS(dados!$D$2:$D$55,$A129,dados!$AA$2:$AA$55,"&lt;&gt;")=0,"",_xlfn.MAXIFS(dados!$AA$2:$AA$55,dados!$D$2:$D$55,$A129))</f>
        <v/>
      </c>
      <c r="K129" s="7">
        <f>IFERROR(J129-I129,"")</f>
        <v/>
      </c>
    </row>
    <row r="130">
      <c r="A130" s="2" t="inlineStr">
        <is>
          <t>Sudeste</t>
        </is>
      </c>
      <c r="B130" s="16" t="inlineStr">
        <is>
          <t>Cardápio</t>
        </is>
      </c>
      <c r="C130" s="2" t="inlineStr">
        <is>
          <t>entrada_ou_prato_mediana</t>
        </is>
      </c>
      <c r="D130" s="2" t="inlineStr">
        <is>
          <t>Entrada ou prato, mediana do cardápio</t>
        </is>
      </c>
      <c r="E130" s="5">
        <f>COUNTIFS(dados!$D$2:$D$55,$A130,dados!$AB$2:$AB$55,"&lt;&gt;")</f>
        <v/>
      </c>
      <c r="F130" s="7">
        <f>IFERROR(AVERAGEIFS(dados!$AB$2:$AB$55,dados!$D$2:$D$55,$A130),"")</f>
        <v/>
      </c>
      <c r="G130" s="7">
        <f t="array" ref="G130">IFERROR(MEDIAN(IF((dados!$D$2:$D$55=$A130)*(dados!$AB$2:$AB$55&lt;&gt;""),dados!$AB$2:$AB$55)),"")</f>
        <v/>
      </c>
      <c r="H130" s="7">
        <f t="array" ref="H130">IFERROR(STDEV(IF((dados!$D$2:$D$55=$A130)*(dados!$AB$2:$AB$55&lt;&gt;""),dados!$AB$2:$AB$55)),"")</f>
        <v/>
      </c>
      <c r="I130" s="7">
        <f>IF(COUNTIFS(dados!$D$2:$D$55,$A130,dados!$AB$2:$AB$55,"&lt;&gt;")=0,"",_xlfn.MINIFS(dados!$AB$2:$AB$55,dados!$D$2:$D$55,$A130))</f>
        <v/>
      </c>
      <c r="J130" s="7">
        <f>IF(COUNTIFS(dados!$D$2:$D$55,$A130,dados!$AB$2:$AB$55,"&lt;&gt;")=0,"",_xlfn.MAXIFS(dados!$AB$2:$AB$55,dados!$D$2:$D$55,$A130))</f>
        <v/>
      </c>
      <c r="K130" s="7">
        <f>IFERROR(J130-I130,"")</f>
        <v/>
      </c>
    </row>
    <row r="131">
      <c r="A131" s="2" t="inlineStr">
        <is>
          <t>Sudeste</t>
        </is>
      </c>
      <c r="B131" s="16" t="inlineStr">
        <is>
          <t>Cardápio</t>
        </is>
      </c>
      <c r="C131" s="2" t="inlineStr">
        <is>
          <t>cesta_baixa</t>
        </is>
      </c>
      <c r="D131" s="2" t="inlineStr">
        <is>
          <t>Cesta por pessoa, nível baixo (P25)</t>
        </is>
      </c>
      <c r="E131" s="5">
        <f>COUNTIFS(dados!$D$2:$D$55,$A131,dados!$AC$2:$AC$55,"&lt;&gt;")</f>
        <v/>
      </c>
      <c r="F131" s="7">
        <f>IFERROR(AVERAGEIFS(dados!$AC$2:$AC$55,dados!$D$2:$D$55,$A131),"")</f>
        <v/>
      </c>
      <c r="G131" s="7">
        <f t="array" ref="G131">IFERROR(MEDIAN(IF((dados!$D$2:$D$55=$A131)*(dados!$AC$2:$AC$55&lt;&gt;""),dados!$AC$2:$AC$55)),"")</f>
        <v/>
      </c>
      <c r="H131" s="7">
        <f t="array" ref="H131">IFERROR(STDEV(IF((dados!$D$2:$D$55=$A131)*(dados!$AC$2:$AC$55&lt;&gt;""),dados!$AC$2:$AC$55)),"")</f>
        <v/>
      </c>
      <c r="I131" s="7">
        <f>IF(COUNTIFS(dados!$D$2:$D$55,$A131,dados!$AC$2:$AC$55,"&lt;&gt;")=0,"",_xlfn.MINIFS(dados!$AC$2:$AC$55,dados!$D$2:$D$55,$A131))</f>
        <v/>
      </c>
      <c r="J131" s="7">
        <f>IF(COUNTIFS(dados!$D$2:$D$55,$A131,dados!$AC$2:$AC$55,"&lt;&gt;")=0,"",_xlfn.MAXIFS(dados!$AC$2:$AC$55,dados!$D$2:$D$55,$A131))</f>
        <v/>
      </c>
      <c r="K131" s="7">
        <f>IFERROR(J131-I131,"")</f>
        <v/>
      </c>
    </row>
    <row r="132">
      <c r="A132" s="2" t="inlineStr">
        <is>
          <t>Sudeste</t>
        </is>
      </c>
      <c r="B132" s="16" t="inlineStr">
        <is>
          <t>Cardápio</t>
        </is>
      </c>
      <c r="C132" s="2" t="inlineStr">
        <is>
          <t>cesta_mediana</t>
        </is>
      </c>
      <c r="D132" s="2" t="inlineStr">
        <is>
          <t>Cesta por pessoa, nível mediano</t>
        </is>
      </c>
      <c r="E132" s="5">
        <f>COUNTIFS(dados!$D$2:$D$55,$A132,dados!$AD$2:$AD$55,"&lt;&gt;")</f>
        <v/>
      </c>
      <c r="F132" s="7">
        <f>IFERROR(AVERAGEIFS(dados!$AD$2:$AD$55,dados!$D$2:$D$55,$A132),"")</f>
        <v/>
      </c>
      <c r="G132" s="7">
        <f t="array" ref="G132">IFERROR(MEDIAN(IF((dados!$D$2:$D$55=$A132)*(dados!$AD$2:$AD$55&lt;&gt;""),dados!$AD$2:$AD$55)),"")</f>
        <v/>
      </c>
      <c r="H132" s="7">
        <f t="array" ref="H132">IFERROR(STDEV(IF((dados!$D$2:$D$55=$A132)*(dados!$AD$2:$AD$55&lt;&gt;""),dados!$AD$2:$AD$55)),"")</f>
        <v/>
      </c>
      <c r="I132" s="7">
        <f>IF(COUNTIFS(dados!$D$2:$D$55,$A132,dados!$AD$2:$AD$55,"&lt;&gt;")=0,"",_xlfn.MINIFS(dados!$AD$2:$AD$55,dados!$D$2:$D$55,$A132))</f>
        <v/>
      </c>
      <c r="J132" s="7">
        <f>IF(COUNTIFS(dados!$D$2:$D$55,$A132,dados!$AD$2:$AD$55,"&lt;&gt;")=0,"",_xlfn.MAXIFS(dados!$AD$2:$AD$55,dados!$D$2:$D$55,$A132))</f>
        <v/>
      </c>
      <c r="K132" s="7">
        <f>IFERROR(J132-I132,"")</f>
        <v/>
      </c>
    </row>
    <row r="133">
      <c r="A133" s="2" t="inlineStr">
        <is>
          <t>Sudeste</t>
        </is>
      </c>
      <c r="B133" s="16" t="inlineStr">
        <is>
          <t>Cardápio</t>
        </is>
      </c>
      <c r="C133" s="2" t="inlineStr">
        <is>
          <t>cesta_alta</t>
        </is>
      </c>
      <c r="D133" s="2" t="inlineStr">
        <is>
          <t>Cesta por pessoa, nível alto (P75)</t>
        </is>
      </c>
      <c r="E133" s="5">
        <f>COUNTIFS(dados!$D$2:$D$55,$A133,dados!$AE$2:$AE$55,"&lt;&gt;")</f>
        <v/>
      </c>
      <c r="F133" s="7">
        <f>IFERROR(AVERAGEIFS(dados!$AE$2:$AE$55,dados!$D$2:$D$55,$A133),"")</f>
        <v/>
      </c>
      <c r="G133" s="7">
        <f t="array" ref="G133">IFERROR(MEDIAN(IF((dados!$D$2:$D$55=$A133)*(dados!$AE$2:$AE$55&lt;&gt;""),dados!$AE$2:$AE$55)),"")</f>
        <v/>
      </c>
      <c r="H133" s="7">
        <f t="array" ref="H133">IFERROR(STDEV(IF((dados!$D$2:$D$55=$A133)*(dados!$AE$2:$AE$55&lt;&gt;""),dados!$AE$2:$AE$55)),"")</f>
        <v/>
      </c>
      <c r="I133" s="7">
        <f>IF(COUNTIFS(dados!$D$2:$D$55,$A133,dados!$AE$2:$AE$55,"&lt;&gt;")=0,"",_xlfn.MINIFS(dados!$AE$2:$AE$55,dados!$D$2:$D$55,$A133))</f>
        <v/>
      </c>
      <c r="J133" s="7">
        <f>IF(COUNTIFS(dados!$D$2:$D$55,$A133,dados!$AE$2:$AE$55,"&lt;&gt;")=0,"",_xlfn.MAXIFS(dados!$AE$2:$AE$55,dados!$D$2:$D$55,$A133))</f>
        <v/>
      </c>
      <c r="K133" s="7">
        <f>IFERROR(J133-I133,"")</f>
        <v/>
      </c>
    </row>
    <row r="134">
      <c r="A134" s="2" t="inlineStr">
        <is>
          <t>Sudeste</t>
        </is>
      </c>
      <c r="B134" s="16" t="inlineStr">
        <is>
          <t>Cardápio</t>
        </is>
      </c>
      <c r="C134" s="2" t="inlineStr">
        <is>
          <t>hamburguer_mediana</t>
        </is>
      </c>
      <c r="D134" s="2" t="inlineStr">
        <is>
          <t>Hambúrguer, mediana</t>
        </is>
      </c>
      <c r="E134" s="5">
        <f>COUNTIFS(dados!$D$2:$D$55,$A134,dados!$AF$2:$AF$55,"&lt;&gt;")</f>
        <v/>
      </c>
      <c r="F134" s="7">
        <f>IFERROR(AVERAGEIFS(dados!$AF$2:$AF$55,dados!$D$2:$D$55,$A134),"")</f>
        <v/>
      </c>
      <c r="G134" s="7">
        <f t="array" ref="G134">IFERROR(MEDIAN(IF((dados!$D$2:$D$55=$A134)*(dados!$AF$2:$AF$55&lt;&gt;""),dados!$AF$2:$AF$55)),"")</f>
        <v/>
      </c>
      <c r="H134" s="7">
        <f t="array" ref="H134">IFERROR(STDEV(IF((dados!$D$2:$D$55=$A134)*(dados!$AF$2:$AF$55&lt;&gt;""),dados!$AF$2:$AF$55)),"")</f>
        <v/>
      </c>
      <c r="I134" s="7">
        <f>IF(COUNTIFS(dados!$D$2:$D$55,$A134,dados!$AF$2:$AF$55,"&lt;&gt;")=0,"",_xlfn.MINIFS(dados!$AF$2:$AF$55,dados!$D$2:$D$55,$A134))</f>
        <v/>
      </c>
      <c r="J134" s="7">
        <f>IF(COUNTIFS(dados!$D$2:$D$55,$A134,dados!$AF$2:$AF$55,"&lt;&gt;")=0,"",_xlfn.MAXIFS(dados!$AF$2:$AF$55,dados!$D$2:$D$55,$A134))</f>
        <v/>
      </c>
      <c r="K134" s="7">
        <f>IFERROR(J134-I134,"")</f>
        <v/>
      </c>
    </row>
    <row r="135">
      <c r="A135" s="2" t="inlineStr">
        <is>
          <t>Sudeste</t>
        </is>
      </c>
      <c r="B135" s="16" t="inlineStr">
        <is>
          <t>Cardápio</t>
        </is>
      </c>
      <c r="C135" s="2" t="inlineStr">
        <is>
          <t>batata_mediana</t>
        </is>
      </c>
      <c r="D135" s="2" t="inlineStr">
        <is>
          <t>Batata, mediana</t>
        </is>
      </c>
      <c r="E135" s="5">
        <f>COUNTIFS(dados!$D$2:$D$55,$A135,dados!$AG$2:$AG$55,"&lt;&gt;")</f>
        <v/>
      </c>
      <c r="F135" s="7">
        <f>IFERROR(AVERAGEIFS(dados!$AG$2:$AG$55,dados!$D$2:$D$55,$A135),"")</f>
        <v/>
      </c>
      <c r="G135" s="7">
        <f t="array" ref="G135">IFERROR(MEDIAN(IF((dados!$D$2:$D$55=$A135)*(dados!$AG$2:$AG$55&lt;&gt;""),dados!$AG$2:$AG$55)),"")</f>
        <v/>
      </c>
      <c r="H135" s="7">
        <f t="array" ref="H135">IFERROR(STDEV(IF((dados!$D$2:$D$55=$A135)*(dados!$AG$2:$AG$55&lt;&gt;""),dados!$AG$2:$AG$55)),"")</f>
        <v/>
      </c>
      <c r="I135" s="7">
        <f>IF(COUNTIFS(dados!$D$2:$D$55,$A135,dados!$AG$2:$AG$55,"&lt;&gt;")=0,"",_xlfn.MINIFS(dados!$AG$2:$AG$55,dados!$D$2:$D$55,$A135))</f>
        <v/>
      </c>
      <c r="J135" s="7">
        <f>IF(COUNTIFS(dados!$D$2:$D$55,$A135,dados!$AG$2:$AG$55,"&lt;&gt;")=0,"",_xlfn.MAXIFS(dados!$AG$2:$AG$55,dados!$D$2:$D$55,$A135))</f>
        <v/>
      </c>
      <c r="K135" s="7">
        <f>IFERROR(J135-I135,"")</f>
        <v/>
      </c>
    </row>
    <row r="136">
      <c r="A136" s="2" t="inlineStr">
        <is>
          <t>Sudeste</t>
        </is>
      </c>
      <c r="B136" s="16" t="inlineStr">
        <is>
          <t>Cardápio</t>
        </is>
      </c>
      <c r="C136" s="2" t="inlineStr">
        <is>
          <t>cerveja_mediana</t>
        </is>
      </c>
      <c r="D136" s="2" t="inlineStr">
        <is>
          <t>Cerveja, mediana</t>
        </is>
      </c>
      <c r="E136" s="5">
        <f>COUNTIFS(dados!$D$2:$D$55,$A136,dados!$AH$2:$AH$55,"&lt;&gt;")</f>
        <v/>
      </c>
      <c r="F136" s="7">
        <f>IFERROR(AVERAGEIFS(dados!$AH$2:$AH$55,dados!$D$2:$D$55,$A136),"")</f>
        <v/>
      </c>
      <c r="G136" s="7">
        <f t="array" ref="G136">IFERROR(MEDIAN(IF((dados!$D$2:$D$55=$A136)*(dados!$AH$2:$AH$55&lt;&gt;""),dados!$AH$2:$AH$55)),"")</f>
        <v/>
      </c>
      <c r="H136" s="7">
        <f t="array" ref="H136">IFERROR(STDEV(IF((dados!$D$2:$D$55=$A136)*(dados!$AH$2:$AH$55&lt;&gt;""),dados!$AH$2:$AH$55)),"")</f>
        <v/>
      </c>
      <c r="I136" s="7">
        <f>IF(COUNTIFS(dados!$D$2:$D$55,$A136,dados!$AH$2:$AH$55,"&lt;&gt;")=0,"",_xlfn.MINIFS(dados!$AH$2:$AH$55,dados!$D$2:$D$55,$A136))</f>
        <v/>
      </c>
      <c r="J136" s="7">
        <f>IF(COUNTIFS(dados!$D$2:$D$55,$A136,dados!$AH$2:$AH$55,"&lt;&gt;")=0,"",_xlfn.MAXIFS(dados!$AH$2:$AH$55,dados!$D$2:$D$55,$A136))</f>
        <v/>
      </c>
      <c r="K136" s="7">
        <f>IFERROR(J136-I136,"")</f>
        <v/>
      </c>
    </row>
    <row r="137">
      <c r="A137" s="2" t="inlineStr">
        <is>
          <t>Sudeste</t>
        </is>
      </c>
      <c r="B137" s="16" t="inlineStr">
        <is>
          <t>Cardápio</t>
        </is>
      </c>
      <c r="C137" s="2" t="inlineStr">
        <is>
          <t>refrigerante_mediana</t>
        </is>
      </c>
      <c r="D137" s="2" t="inlineStr">
        <is>
          <t>Refrigerante, mediana</t>
        </is>
      </c>
      <c r="E137" s="5">
        <f>COUNTIFS(dados!$D$2:$D$55,$A137,dados!$AI$2:$AI$55,"&lt;&gt;")</f>
        <v/>
      </c>
      <c r="F137" s="7">
        <f>IFERROR(AVERAGEIFS(dados!$AI$2:$AI$55,dados!$D$2:$D$55,$A137),"")</f>
        <v/>
      </c>
      <c r="G137" s="7">
        <f t="array" ref="G137">IFERROR(MEDIAN(IF((dados!$D$2:$D$55=$A137)*(dados!$AI$2:$AI$55&lt;&gt;""),dados!$AI$2:$AI$55)),"")</f>
        <v/>
      </c>
      <c r="H137" s="7">
        <f t="array" ref="H137">IFERROR(STDEV(IF((dados!$D$2:$D$55=$A137)*(dados!$AI$2:$AI$55&lt;&gt;""),dados!$AI$2:$AI$55)),"")</f>
        <v/>
      </c>
      <c r="I137" s="7">
        <f>IF(COUNTIFS(dados!$D$2:$D$55,$A137,dados!$AI$2:$AI$55,"&lt;&gt;")=0,"",_xlfn.MINIFS(dados!$AI$2:$AI$55,dados!$D$2:$D$55,$A137))</f>
        <v/>
      </c>
      <c r="J137" s="7">
        <f>IF(COUNTIFS(dados!$D$2:$D$55,$A137,dados!$AI$2:$AI$55,"&lt;&gt;")=0,"",_xlfn.MAXIFS(dados!$AI$2:$AI$55,dados!$D$2:$D$55,$A137))</f>
        <v/>
      </c>
      <c r="K137" s="7">
        <f>IFERROR(J137-I137,"")</f>
        <v/>
      </c>
    </row>
    <row r="138">
      <c r="A138" s="2" t="inlineStr">
        <is>
          <t>Sudeste</t>
        </is>
      </c>
      <c r="B138" s="16" t="inlineStr">
        <is>
          <t>Cardápio</t>
        </is>
      </c>
      <c r="C138" s="2" t="inlineStr">
        <is>
          <t>drinks_mediana</t>
        </is>
      </c>
      <c r="D138" s="2" t="inlineStr">
        <is>
          <t>Drinks, mediana</t>
        </is>
      </c>
      <c r="E138" s="5">
        <f>COUNTIFS(dados!$D$2:$D$55,$A138,dados!$AJ$2:$AJ$55,"&lt;&gt;")</f>
        <v/>
      </c>
      <c r="F138" s="7">
        <f>IFERROR(AVERAGEIFS(dados!$AJ$2:$AJ$55,dados!$D$2:$D$55,$A138),"")</f>
        <v/>
      </c>
      <c r="G138" s="7">
        <f t="array" ref="G138">IFERROR(MEDIAN(IF((dados!$D$2:$D$55=$A138)*(dados!$AJ$2:$AJ$55&lt;&gt;""),dados!$AJ$2:$AJ$55)),"")</f>
        <v/>
      </c>
      <c r="H138" s="7">
        <f t="array" ref="H138">IFERROR(STDEV(IF((dados!$D$2:$D$55=$A138)*(dados!$AJ$2:$AJ$55&lt;&gt;""),dados!$AJ$2:$AJ$55)),"")</f>
        <v/>
      </c>
      <c r="I138" s="7">
        <f>IF(COUNTIFS(dados!$D$2:$D$55,$A138,dados!$AJ$2:$AJ$55,"&lt;&gt;")=0,"",_xlfn.MINIFS(dados!$AJ$2:$AJ$55,dados!$D$2:$D$55,$A138))</f>
        <v/>
      </c>
      <c r="J138" s="7">
        <f>IF(COUNTIFS(dados!$D$2:$D$55,$A138,dados!$AJ$2:$AJ$55,"&lt;&gt;")=0,"",_xlfn.MAXIFS(dados!$AJ$2:$AJ$55,dados!$D$2:$D$55,$A138))</f>
        <v/>
      </c>
      <c r="K138" s="7">
        <f>IFERROR(J138-I138,"")</f>
        <v/>
      </c>
    </row>
    <row r="139">
      <c r="A139" s="2" t="inlineStr">
        <is>
          <t>Sudeste</t>
        </is>
      </c>
      <c r="B139" s="17" t="inlineStr">
        <is>
          <t>Acervo</t>
        </is>
      </c>
      <c r="C139" s="2" t="inlineStr">
        <is>
          <t>titulos_acervo</t>
        </is>
      </c>
      <c r="D139" s="2" t="inlineStr">
        <is>
          <t>Títulos no acervo publicado</t>
        </is>
      </c>
      <c r="E139" s="5">
        <f>COUNTIFS(dados!$D$2:$D$55,$A139,dados!$AK$2:$AK$55,"&lt;&gt;")</f>
        <v/>
      </c>
      <c r="F139" s="5">
        <f>IFERROR(AVERAGEIFS(dados!$AK$2:$AK$55,dados!$D$2:$D$55,$A139),"")</f>
        <v/>
      </c>
      <c r="G139" s="5">
        <f t="array" ref="G139">IFERROR(MEDIAN(IF((dados!$D$2:$D$55=$A139)*(dados!$AK$2:$AK$55&lt;&gt;""),dados!$AK$2:$AK$55)),"")</f>
        <v/>
      </c>
      <c r="H139" s="5">
        <f t="array" ref="H139">IFERROR(STDEV(IF((dados!$D$2:$D$55=$A139)*(dados!$AK$2:$AK$55&lt;&gt;""),dados!$AK$2:$AK$55)),"")</f>
        <v/>
      </c>
      <c r="I139" s="5">
        <f>IF(COUNTIFS(dados!$D$2:$D$55,$A139,dados!$AK$2:$AK$55,"&lt;&gt;")=0,"",_xlfn.MINIFS(dados!$AK$2:$AK$55,dados!$D$2:$D$55,$A139))</f>
        <v/>
      </c>
      <c r="J139" s="5">
        <f>IF(COUNTIFS(dados!$D$2:$D$55,$A139,dados!$AK$2:$AK$55,"&lt;&gt;")=0,"",_xlfn.MAXIFS(dados!$AK$2:$AK$55,dados!$D$2:$D$55,$A139))</f>
        <v/>
      </c>
      <c r="K139" s="5">
        <f>IFERROR(J139-I139,"")</f>
        <v/>
      </c>
    </row>
    <row r="140">
      <c r="A140" s="2" t="inlineStr">
        <is>
          <t>Sudeste</t>
        </is>
      </c>
      <c r="B140" s="18" t="inlineStr">
        <is>
          <t>B2</t>
        </is>
      </c>
      <c r="C140" s="2" t="inlineStr">
        <is>
          <t>avaliacoes_b2</t>
        </is>
      </c>
      <c r="D140" s="2" t="inlineStr">
        <is>
          <t>Avaliações no recorte do B2 (até '3 meses atrás')</t>
        </is>
      </c>
      <c r="E140" s="5">
        <f>COUNTIFS(dados!$D$2:$D$55,$A140,dados!$AL$2:$AL$55,"&lt;&gt;")</f>
        <v/>
      </c>
      <c r="F140" s="5">
        <f>IFERROR(AVERAGEIFS(dados!$AL$2:$AL$55,dados!$D$2:$D$55,$A140),"")</f>
        <v/>
      </c>
      <c r="G140" s="5">
        <f t="array" ref="G140">IFERROR(MEDIAN(IF((dados!$D$2:$D$55=$A140)*(dados!$AL$2:$AL$55&lt;&gt;""),dados!$AL$2:$AL$55)),"")</f>
        <v/>
      </c>
      <c r="H140" s="5">
        <f t="array" ref="H140">IFERROR(STDEV(IF((dados!$D$2:$D$55=$A140)*(dados!$AL$2:$AL$55&lt;&gt;""),dados!$AL$2:$AL$55)),"")</f>
        <v/>
      </c>
      <c r="I140" s="5">
        <f>IF(COUNTIFS(dados!$D$2:$D$55,$A140,dados!$AL$2:$AL$55,"&lt;&gt;")=0,"",_xlfn.MINIFS(dados!$AL$2:$AL$55,dados!$D$2:$D$55,$A140))</f>
        <v/>
      </c>
      <c r="J140" s="5">
        <f>IF(COUNTIFS(dados!$D$2:$D$55,$A140,dados!$AL$2:$AL$55,"&lt;&gt;")=0,"",_xlfn.MAXIFS(dados!$AL$2:$AL$55,dados!$D$2:$D$55,$A140))</f>
        <v/>
      </c>
      <c r="K140" s="5">
        <f>IFERROR(J140-I140,"")</f>
        <v/>
      </c>
    </row>
    <row r="141">
      <c r="A141" s="2" t="inlineStr">
        <is>
          <t>Sudeste</t>
        </is>
      </c>
      <c r="B141" s="18" t="inlineStr">
        <is>
          <t>B2</t>
        </is>
      </c>
      <c r="C141" s="2" t="inlineStr">
        <is>
          <t>avaliacoes_b2_com_texto</t>
        </is>
      </c>
      <c r="D141" s="2" t="inlineStr">
        <is>
          <t>Dessas, com texto</t>
        </is>
      </c>
      <c r="E141" s="5">
        <f>COUNTIFS(dados!$D$2:$D$55,$A141,dados!$AM$2:$AM$55,"&lt;&gt;")</f>
        <v/>
      </c>
      <c r="F141" s="5">
        <f>IFERROR(AVERAGEIFS(dados!$AM$2:$AM$55,dados!$D$2:$D$55,$A141),"")</f>
        <v/>
      </c>
      <c r="G141" s="5">
        <f t="array" ref="G141">IFERROR(MEDIAN(IF((dados!$D$2:$D$55=$A141)*(dados!$AM$2:$AM$55&lt;&gt;""),dados!$AM$2:$AM$55)),"")</f>
        <v/>
      </c>
      <c r="H141" s="5">
        <f t="array" ref="H141">IFERROR(STDEV(IF((dados!$D$2:$D$55=$A141)*(dados!$AM$2:$AM$55&lt;&gt;""),dados!$AM$2:$AM$55)),"")</f>
        <v/>
      </c>
      <c r="I141" s="5">
        <f>IF(COUNTIFS(dados!$D$2:$D$55,$A141,dados!$AM$2:$AM$55,"&lt;&gt;")=0,"",_xlfn.MINIFS(dados!$AM$2:$AM$55,dados!$D$2:$D$55,$A141))</f>
        <v/>
      </c>
      <c r="J141" s="5">
        <f>IF(COUNTIFS(dados!$D$2:$D$55,$A141,dados!$AM$2:$AM$55,"&lt;&gt;")=0,"",_xlfn.MAXIFS(dados!$AM$2:$AM$55,dados!$D$2:$D$55,$A141))</f>
        <v/>
      </c>
      <c r="K141" s="5">
        <f>IFERROR(J141-I141,"")</f>
        <v/>
      </c>
    </row>
    <row r="142">
      <c r="A142" s="2" t="inlineStr">
        <is>
          <t>Sul</t>
        </is>
      </c>
      <c r="B142" s="11" t="inlineStr">
        <is>
          <t>Google Maps</t>
        </is>
      </c>
      <c r="C142" s="2" t="inlineStr">
        <is>
          <t>avaliacao_media</t>
        </is>
      </c>
      <c r="D142" s="2" t="inlineStr">
        <is>
          <t>Nota média no Google</t>
        </is>
      </c>
      <c r="E142" s="5">
        <f>COUNTIFS(dados!$D$2:$D$55,$A142,dados!$E$2:$E$55,"&lt;&gt;")</f>
        <v/>
      </c>
      <c r="F142" s="4">
        <f>IFERROR(AVERAGEIFS(dados!$E$2:$E$55,dados!$D$2:$D$55,$A142),"")</f>
        <v/>
      </c>
      <c r="G142" s="4">
        <f t="array" ref="G142">IFERROR(MEDIAN(IF((dados!$D$2:$D$55=$A142)*(dados!$E$2:$E$55&lt;&gt;""),dados!$E$2:$E$55)),"")</f>
        <v/>
      </c>
      <c r="H142" s="4">
        <f t="array" ref="H142">IFERROR(STDEV(IF((dados!$D$2:$D$55=$A142)*(dados!$E$2:$E$55&lt;&gt;""),dados!$E$2:$E$55)),"")</f>
        <v/>
      </c>
      <c r="I142" s="4">
        <f>IF(COUNTIFS(dados!$D$2:$D$55,$A142,dados!$E$2:$E$55,"&lt;&gt;")=0,"",_xlfn.MINIFS(dados!$E$2:$E$55,dados!$D$2:$D$55,$A142))</f>
        <v/>
      </c>
      <c r="J142" s="4">
        <f>IF(COUNTIFS(dados!$D$2:$D$55,$A142,dados!$E$2:$E$55,"&lt;&gt;")=0,"",_xlfn.MAXIFS(dados!$E$2:$E$55,dados!$D$2:$D$55,$A142))</f>
        <v/>
      </c>
      <c r="K142" s="4">
        <f>IFERROR(J142-I142,"")</f>
        <v/>
      </c>
    </row>
    <row r="143">
      <c r="A143" s="2" t="inlineStr">
        <is>
          <t>Sul</t>
        </is>
      </c>
      <c r="B143" s="11" t="inlineStr">
        <is>
          <t>Google Maps</t>
        </is>
      </c>
      <c r="C143" s="2" t="inlineStr">
        <is>
          <t>volume_avaliacoes</t>
        </is>
      </c>
      <c r="D143" s="2" t="inlineStr">
        <is>
          <t>Nº de avaliações no Google</t>
        </is>
      </c>
      <c r="E143" s="5">
        <f>COUNTIFS(dados!$D$2:$D$55,$A143,dados!$F$2:$F$55,"&lt;&gt;")</f>
        <v/>
      </c>
      <c r="F143" s="5">
        <f>IFERROR(AVERAGEIFS(dados!$F$2:$F$55,dados!$D$2:$D$55,$A143),"")</f>
        <v/>
      </c>
      <c r="G143" s="5">
        <f t="array" ref="G143">IFERROR(MEDIAN(IF((dados!$D$2:$D$55=$A143)*(dados!$F$2:$F$55&lt;&gt;""),dados!$F$2:$F$55)),"")</f>
        <v/>
      </c>
      <c r="H143" s="5">
        <f t="array" ref="H143">IFERROR(STDEV(IF((dados!$D$2:$D$55=$A143)*(dados!$F$2:$F$55&lt;&gt;""),dados!$F$2:$F$55)),"")</f>
        <v/>
      </c>
      <c r="I143" s="5">
        <f>IF(COUNTIFS(dados!$D$2:$D$55,$A143,dados!$F$2:$F$55,"&lt;&gt;")=0,"",_xlfn.MINIFS(dados!$F$2:$F$55,dados!$D$2:$D$55,$A143))</f>
        <v/>
      </c>
      <c r="J143" s="5">
        <f>IF(COUNTIFS(dados!$D$2:$D$55,$A143,dados!$F$2:$F$55,"&lt;&gt;")=0,"",_xlfn.MAXIFS(dados!$F$2:$F$55,dados!$D$2:$D$55,$A143))</f>
        <v/>
      </c>
      <c r="K143" s="5">
        <f>IFERROR(J143-I143,"")</f>
        <v/>
      </c>
    </row>
    <row r="144">
      <c r="A144" s="2" t="inlineStr">
        <is>
          <t>Sul</t>
        </is>
      </c>
      <c r="B144" s="12" t="inlineStr">
        <is>
          <t>Horários</t>
        </is>
      </c>
      <c r="C144" s="2" t="inlineStr">
        <is>
          <t>dias_abertos</t>
        </is>
      </c>
      <c r="D144" s="2" t="inlineStr">
        <is>
          <t>Dias abertos por semana</t>
        </is>
      </c>
      <c r="E144" s="5">
        <f>COUNTIFS(dados!$D$2:$D$55,$A144,dados!$G$2:$G$55,"&lt;&gt;")</f>
        <v/>
      </c>
      <c r="F144" s="6">
        <f>IFERROR(AVERAGEIFS(dados!$G$2:$G$55,dados!$D$2:$D$55,$A144),"")</f>
        <v/>
      </c>
      <c r="G144" s="6">
        <f t="array" ref="G144">IFERROR(MEDIAN(IF((dados!$D$2:$D$55=$A144)*(dados!$G$2:$G$55&lt;&gt;""),dados!$G$2:$G$55)),"")</f>
        <v/>
      </c>
      <c r="H144" s="6">
        <f t="array" ref="H144">IFERROR(STDEV(IF((dados!$D$2:$D$55=$A144)*(dados!$G$2:$G$55&lt;&gt;""),dados!$G$2:$G$55)),"")</f>
        <v/>
      </c>
      <c r="I144" s="6">
        <f>IF(COUNTIFS(dados!$D$2:$D$55,$A144,dados!$G$2:$G$55,"&lt;&gt;")=0,"",_xlfn.MINIFS(dados!$G$2:$G$55,dados!$D$2:$D$55,$A144))</f>
        <v/>
      </c>
      <c r="J144" s="6">
        <f>IF(COUNTIFS(dados!$D$2:$D$55,$A144,dados!$G$2:$G$55,"&lt;&gt;")=0,"",_xlfn.MAXIFS(dados!$G$2:$G$55,dados!$D$2:$D$55,$A144))</f>
        <v/>
      </c>
      <c r="K144" s="6">
        <f>IFERROR(J144-I144,"")</f>
        <v/>
      </c>
    </row>
    <row r="145">
      <c r="A145" s="2" t="inlineStr">
        <is>
          <t>Sul</t>
        </is>
      </c>
      <c r="B145" s="12" t="inlineStr">
        <is>
          <t>Horários</t>
        </is>
      </c>
      <c r="C145" s="2" t="inlineStr">
        <is>
          <t>horas_semana</t>
        </is>
      </c>
      <c r="D145" s="2" t="inlineStr">
        <is>
          <t>Horas abertas por semana</t>
        </is>
      </c>
      <c r="E145" s="5">
        <f>COUNTIFS(dados!$D$2:$D$55,$A145,dados!$H$2:$H$55,"&lt;&gt;")</f>
        <v/>
      </c>
      <c r="F145" s="6">
        <f>IFERROR(AVERAGEIFS(dados!$H$2:$H$55,dados!$D$2:$D$55,$A145),"")</f>
        <v/>
      </c>
      <c r="G145" s="6">
        <f t="array" ref="G145">IFERROR(MEDIAN(IF((dados!$D$2:$D$55=$A145)*(dados!$H$2:$H$55&lt;&gt;""),dados!$H$2:$H$55)),"")</f>
        <v/>
      </c>
      <c r="H145" s="6">
        <f t="array" ref="H145">IFERROR(STDEV(IF((dados!$D$2:$D$55=$A145)*(dados!$H$2:$H$55&lt;&gt;""),dados!$H$2:$H$55)),"")</f>
        <v/>
      </c>
      <c r="I145" s="6">
        <f>IF(COUNTIFS(dados!$D$2:$D$55,$A145,dados!$H$2:$H$55,"&lt;&gt;")=0,"",_xlfn.MINIFS(dados!$H$2:$H$55,dados!$D$2:$D$55,$A145))</f>
        <v/>
      </c>
      <c r="J145" s="6">
        <f>IF(COUNTIFS(dados!$D$2:$D$55,$A145,dados!$H$2:$H$55,"&lt;&gt;")=0,"",_xlfn.MAXIFS(dados!$H$2:$H$55,dados!$D$2:$D$55,$A145))</f>
        <v/>
      </c>
      <c r="K145" s="6">
        <f>IFERROR(J145-I145,"")</f>
        <v/>
      </c>
    </row>
    <row r="146">
      <c r="A146" s="2" t="inlineStr">
        <is>
          <t>Sul</t>
        </is>
      </c>
      <c r="B146" s="12" t="inlineStr">
        <is>
          <t>Horários</t>
        </is>
      </c>
      <c r="C146" s="2" t="inlineStr">
        <is>
          <t>abre_cedo_h</t>
        </is>
      </c>
      <c r="D146" s="2" t="inlineStr">
        <is>
          <t>Abertura mais cedo da semana</t>
        </is>
      </c>
      <c r="E146" s="5">
        <f>COUNTIFS(dados!$D$2:$D$55,$A146,dados!$I$2:$I$55,"&lt;&gt;")</f>
        <v/>
      </c>
      <c r="F146" s="6">
        <f>IFERROR(AVERAGEIFS(dados!$I$2:$I$55,dados!$D$2:$D$55,$A146),"")</f>
        <v/>
      </c>
      <c r="G146" s="6">
        <f t="array" ref="G146">IFERROR(MEDIAN(IF((dados!$D$2:$D$55=$A146)*(dados!$I$2:$I$55&lt;&gt;""),dados!$I$2:$I$55)),"")</f>
        <v/>
      </c>
      <c r="H146" s="6">
        <f t="array" ref="H146">IFERROR(STDEV(IF((dados!$D$2:$D$55=$A146)*(dados!$I$2:$I$55&lt;&gt;""),dados!$I$2:$I$55)),"")</f>
        <v/>
      </c>
      <c r="I146" s="6">
        <f>IF(COUNTIFS(dados!$D$2:$D$55,$A146,dados!$I$2:$I$55,"&lt;&gt;")=0,"",_xlfn.MINIFS(dados!$I$2:$I$55,dados!$D$2:$D$55,$A146))</f>
        <v/>
      </c>
      <c r="J146" s="6">
        <f>IF(COUNTIFS(dados!$D$2:$D$55,$A146,dados!$I$2:$I$55,"&lt;&gt;")=0,"",_xlfn.MAXIFS(dados!$I$2:$I$55,dados!$D$2:$D$55,$A146))</f>
        <v/>
      </c>
      <c r="K146" s="6">
        <f>IFERROR(J146-I146,"")</f>
        <v/>
      </c>
    </row>
    <row r="147">
      <c r="A147" s="2" t="inlineStr">
        <is>
          <t>Sul</t>
        </is>
      </c>
      <c r="B147" s="12" t="inlineStr">
        <is>
          <t>Horários</t>
        </is>
      </c>
      <c r="C147" s="2" t="inlineStr">
        <is>
          <t>fecha_tarde_h</t>
        </is>
      </c>
      <c r="D147" s="2" t="inlineStr">
        <is>
          <t>Fechamento mais tarde da semana (25 = 1h da manhã)</t>
        </is>
      </c>
      <c r="E147" s="5">
        <f>COUNTIFS(dados!$D$2:$D$55,$A147,dados!$J$2:$J$55,"&lt;&gt;")</f>
        <v/>
      </c>
      <c r="F147" s="6">
        <f>IFERROR(AVERAGEIFS(dados!$J$2:$J$55,dados!$D$2:$D$55,$A147),"")</f>
        <v/>
      </c>
      <c r="G147" s="6">
        <f t="array" ref="G147">IFERROR(MEDIAN(IF((dados!$D$2:$D$55=$A147)*(dados!$J$2:$J$55&lt;&gt;""),dados!$J$2:$J$55)),"")</f>
        <v/>
      </c>
      <c r="H147" s="6">
        <f t="array" ref="H147">IFERROR(STDEV(IF((dados!$D$2:$D$55=$A147)*(dados!$J$2:$J$55&lt;&gt;""),dados!$J$2:$J$55)),"")</f>
        <v/>
      </c>
      <c r="I147" s="6">
        <f>IF(COUNTIFS(dados!$D$2:$D$55,$A147,dados!$J$2:$J$55,"&lt;&gt;")=0,"",_xlfn.MINIFS(dados!$J$2:$J$55,dados!$D$2:$D$55,$A147))</f>
        <v/>
      </c>
      <c r="J147" s="6">
        <f>IF(COUNTIFS(dados!$D$2:$D$55,$A147,dados!$J$2:$J$55,"&lt;&gt;")=0,"",_xlfn.MAXIFS(dados!$J$2:$J$55,dados!$D$2:$D$55,$A147))</f>
        <v/>
      </c>
      <c r="K147" s="6">
        <f>IFERROR(J147-I147,"")</f>
        <v/>
      </c>
    </row>
    <row r="148">
      <c r="A148" s="2" t="inlineStr">
        <is>
          <t>Sul</t>
        </is>
      </c>
      <c r="B148" s="13" t="inlineStr">
        <is>
          <t>Entorno</t>
        </is>
      </c>
      <c r="C148" s="2" t="inlineStr">
        <is>
          <t>metro_500m</t>
        </is>
      </c>
      <c r="D148" s="2" t="inlineStr">
        <is>
          <t>Estações de metrô até 500 m</t>
        </is>
      </c>
      <c r="E148" s="5">
        <f>COUNTIFS(dados!$D$2:$D$55,$A148,dados!$K$2:$K$55,"&lt;&gt;")</f>
        <v/>
      </c>
      <c r="F148" s="4">
        <f>IFERROR(AVERAGEIFS(dados!$K$2:$K$55,dados!$D$2:$D$55,$A148),"")</f>
        <v/>
      </c>
      <c r="G148" s="4">
        <f t="array" ref="G148">IFERROR(MEDIAN(IF((dados!$D$2:$D$55=$A148)*(dados!$K$2:$K$55&lt;&gt;""),dados!$K$2:$K$55)),"")</f>
        <v/>
      </c>
      <c r="H148" s="4">
        <f t="array" ref="H148">IFERROR(STDEV(IF((dados!$D$2:$D$55=$A148)*(dados!$K$2:$K$55&lt;&gt;""),dados!$K$2:$K$55)),"")</f>
        <v/>
      </c>
      <c r="I148" s="4">
        <f>IF(COUNTIFS(dados!$D$2:$D$55,$A148,dados!$K$2:$K$55,"&lt;&gt;")=0,"",_xlfn.MINIFS(dados!$K$2:$K$55,dados!$D$2:$D$55,$A148))</f>
        <v/>
      </c>
      <c r="J148" s="4">
        <f>IF(COUNTIFS(dados!$D$2:$D$55,$A148,dados!$K$2:$K$55,"&lt;&gt;")=0,"",_xlfn.MAXIFS(dados!$K$2:$K$55,dados!$D$2:$D$55,$A148))</f>
        <v/>
      </c>
      <c r="K148" s="4">
        <f>IFERROR(J148-I148,"")</f>
        <v/>
      </c>
    </row>
    <row r="149">
      <c r="A149" s="2" t="inlineStr">
        <is>
          <t>Sul</t>
        </is>
      </c>
      <c r="B149" s="13" t="inlineStr">
        <is>
          <t>Entorno</t>
        </is>
      </c>
      <c r="C149" s="2" t="inlineStr">
        <is>
          <t>metro_1000m</t>
        </is>
      </c>
      <c r="D149" s="2" t="inlineStr">
        <is>
          <t>Estações de metrô até 1000 m</t>
        </is>
      </c>
      <c r="E149" s="5">
        <f>COUNTIFS(dados!$D$2:$D$55,$A149,dados!$L$2:$L$55,"&lt;&gt;")</f>
        <v/>
      </c>
      <c r="F149" s="4">
        <f>IFERROR(AVERAGEIFS(dados!$L$2:$L$55,dados!$D$2:$D$55,$A149),"")</f>
        <v/>
      </c>
      <c r="G149" s="4">
        <f t="array" ref="G149">IFERROR(MEDIAN(IF((dados!$D$2:$D$55=$A149)*(dados!$L$2:$L$55&lt;&gt;""),dados!$L$2:$L$55)),"")</f>
        <v/>
      </c>
      <c r="H149" s="4">
        <f t="array" ref="H149">IFERROR(STDEV(IF((dados!$D$2:$D$55=$A149)*(dados!$L$2:$L$55&lt;&gt;""),dados!$L$2:$L$55)),"")</f>
        <v/>
      </c>
      <c r="I149" s="4">
        <f>IF(COUNTIFS(dados!$D$2:$D$55,$A149,dados!$L$2:$L$55,"&lt;&gt;")=0,"",_xlfn.MINIFS(dados!$L$2:$L$55,dados!$D$2:$D$55,$A149))</f>
        <v/>
      </c>
      <c r="J149" s="4">
        <f>IF(COUNTIFS(dados!$D$2:$D$55,$A149,dados!$L$2:$L$55,"&lt;&gt;")=0,"",_xlfn.MAXIFS(dados!$L$2:$L$55,dados!$D$2:$D$55,$A149))</f>
        <v/>
      </c>
      <c r="K149" s="4">
        <f>IFERROR(J149-I149,"")</f>
        <v/>
      </c>
    </row>
    <row r="150">
      <c r="A150" s="2" t="inlineStr">
        <is>
          <t>Sul</t>
        </is>
      </c>
      <c r="B150" s="13" t="inlineStr">
        <is>
          <t>Entorno</t>
        </is>
      </c>
      <c r="C150" s="2" t="inlineStr">
        <is>
          <t>dist_metro_m</t>
        </is>
      </c>
      <c r="D150" s="2" t="inlineStr">
        <is>
          <t>Distância à estação de metrô mais próxima</t>
        </is>
      </c>
      <c r="E150" s="5">
        <f>COUNTIFS(dados!$D$2:$D$55,$A150,dados!$M$2:$M$55,"&lt;&gt;")</f>
        <v/>
      </c>
      <c r="F150" s="5">
        <f>IFERROR(AVERAGEIFS(dados!$M$2:$M$55,dados!$D$2:$D$55,$A150),"")</f>
        <v/>
      </c>
      <c r="G150" s="5">
        <f t="array" ref="G150">IFERROR(MEDIAN(IF((dados!$D$2:$D$55=$A150)*(dados!$M$2:$M$55&lt;&gt;""),dados!$M$2:$M$55)),"")</f>
        <v/>
      </c>
      <c r="H150" s="5">
        <f t="array" ref="H150">IFERROR(STDEV(IF((dados!$D$2:$D$55=$A150)*(dados!$M$2:$M$55&lt;&gt;""),dados!$M$2:$M$55)),"")</f>
        <v/>
      </c>
      <c r="I150" s="5">
        <f>IF(COUNTIFS(dados!$D$2:$D$55,$A150,dados!$M$2:$M$55,"&lt;&gt;")=0,"",_xlfn.MINIFS(dados!$M$2:$M$55,dados!$D$2:$D$55,$A150))</f>
        <v/>
      </c>
      <c r="J150" s="5">
        <f>IF(COUNTIFS(dados!$D$2:$D$55,$A150,dados!$M$2:$M$55,"&lt;&gt;")=0,"",_xlfn.MAXIFS(dados!$M$2:$M$55,dados!$D$2:$D$55,$A150))</f>
        <v/>
      </c>
      <c r="K150" s="5">
        <f>IFERROR(J150-I150,"")</f>
        <v/>
      </c>
    </row>
    <row r="151">
      <c r="A151" s="2" t="inlineStr">
        <is>
          <t>Sul</t>
        </is>
      </c>
      <c r="B151" s="13" t="inlineStr">
        <is>
          <t>Entorno</t>
        </is>
      </c>
      <c r="C151" s="2" t="inlineStr">
        <is>
          <t>shopping_porte_500m</t>
        </is>
      </c>
      <c r="D151" s="2" t="inlineStr">
        <is>
          <t>Shoppings de porte até 500 m (onde o porte foi buscado)</t>
        </is>
      </c>
      <c r="E151" s="5">
        <f>COUNTIFS(dados!$D$2:$D$55,$A151,dados!$N$2:$N$55,"&lt;&gt;")</f>
        <v/>
      </c>
      <c r="F151" s="4">
        <f>IFERROR(AVERAGEIFS(dados!$N$2:$N$55,dados!$D$2:$D$55,$A151),"")</f>
        <v/>
      </c>
      <c r="G151" s="4">
        <f t="array" ref="G151">IFERROR(MEDIAN(IF((dados!$D$2:$D$55=$A151)*(dados!$N$2:$N$55&lt;&gt;""),dados!$N$2:$N$55)),"")</f>
        <v/>
      </c>
      <c r="H151" s="4">
        <f t="array" ref="H151">IFERROR(STDEV(IF((dados!$D$2:$D$55=$A151)*(dados!$N$2:$N$55&lt;&gt;""),dados!$N$2:$N$55)),"")</f>
        <v/>
      </c>
      <c r="I151" s="4">
        <f>IF(COUNTIFS(dados!$D$2:$D$55,$A151,dados!$N$2:$N$55,"&lt;&gt;")=0,"",_xlfn.MINIFS(dados!$N$2:$N$55,dados!$D$2:$D$55,$A151))</f>
        <v/>
      </c>
      <c r="J151" s="4">
        <f>IF(COUNTIFS(dados!$D$2:$D$55,$A151,dados!$N$2:$N$55,"&lt;&gt;")=0,"",_xlfn.MAXIFS(dados!$N$2:$N$55,dados!$D$2:$D$55,$A151))</f>
        <v/>
      </c>
      <c r="K151" s="4">
        <f>IFERROR(J151-I151,"")</f>
        <v/>
      </c>
    </row>
    <row r="152">
      <c r="A152" s="2" t="inlineStr">
        <is>
          <t>Sul</t>
        </is>
      </c>
      <c r="B152" s="13" t="inlineStr">
        <is>
          <t>Entorno</t>
        </is>
      </c>
      <c r="C152" s="2" t="inlineStr">
        <is>
          <t>shopping_porte_1000m</t>
        </is>
      </c>
      <c r="D152" s="2" t="inlineStr">
        <is>
          <t>Shoppings de porte até 1000 m (onde o porte foi buscado)</t>
        </is>
      </c>
      <c r="E152" s="5">
        <f>COUNTIFS(dados!$D$2:$D$55,$A152,dados!$O$2:$O$55,"&lt;&gt;")</f>
        <v/>
      </c>
      <c r="F152" s="4">
        <f>IFERROR(AVERAGEIFS(dados!$O$2:$O$55,dados!$D$2:$D$55,$A152),"")</f>
        <v/>
      </c>
      <c r="G152" s="4">
        <f t="array" ref="G152">IFERROR(MEDIAN(IF((dados!$D$2:$D$55=$A152)*(dados!$O$2:$O$55&lt;&gt;""),dados!$O$2:$O$55)),"")</f>
        <v/>
      </c>
      <c r="H152" s="4">
        <f t="array" ref="H152">IFERROR(STDEV(IF((dados!$D$2:$D$55=$A152)*(dados!$O$2:$O$55&lt;&gt;""),dados!$O$2:$O$55)),"")</f>
        <v/>
      </c>
      <c r="I152" s="4">
        <f>IF(COUNTIFS(dados!$D$2:$D$55,$A152,dados!$O$2:$O$55,"&lt;&gt;")=0,"",_xlfn.MINIFS(dados!$O$2:$O$55,dados!$D$2:$D$55,$A152))</f>
        <v/>
      </c>
      <c r="J152" s="4">
        <f>IF(COUNTIFS(dados!$D$2:$D$55,$A152,dados!$O$2:$O$55,"&lt;&gt;")=0,"",_xlfn.MAXIFS(dados!$O$2:$O$55,dados!$D$2:$D$55,$A152))</f>
        <v/>
      </c>
      <c r="K152" s="4">
        <f>IFERROR(J152-I152,"")</f>
        <v/>
      </c>
    </row>
    <row r="153">
      <c r="A153" s="2" t="inlineStr">
        <is>
          <t>Sul</t>
        </is>
      </c>
      <c r="B153" s="13" t="inlineStr">
        <is>
          <t>Entorno</t>
        </is>
      </c>
      <c r="C153" s="2" t="inlineStr">
        <is>
          <t>dist_shopping_m</t>
        </is>
      </c>
      <c r="D153" s="2" t="inlineStr">
        <is>
          <t>Distância ao shopping mais próximo (qualquer porte)</t>
        </is>
      </c>
      <c r="E153" s="5">
        <f>COUNTIFS(dados!$D$2:$D$55,$A153,dados!$P$2:$P$55,"&lt;&gt;")</f>
        <v/>
      </c>
      <c r="F153" s="5">
        <f>IFERROR(AVERAGEIFS(dados!$P$2:$P$55,dados!$D$2:$D$55,$A153),"")</f>
        <v/>
      </c>
      <c r="G153" s="5">
        <f t="array" ref="G153">IFERROR(MEDIAN(IF((dados!$D$2:$D$55=$A153)*(dados!$P$2:$P$55&lt;&gt;""),dados!$P$2:$P$55)),"")</f>
        <v/>
      </c>
      <c r="H153" s="5">
        <f t="array" ref="H153">IFERROR(STDEV(IF((dados!$D$2:$D$55=$A153)*(dados!$P$2:$P$55&lt;&gt;""),dados!$P$2:$P$55)),"")</f>
        <v/>
      </c>
      <c r="I153" s="5">
        <f>IF(COUNTIFS(dados!$D$2:$D$55,$A153,dados!$P$2:$P$55,"&lt;&gt;")=0,"",_xlfn.MINIFS(dados!$P$2:$P$55,dados!$D$2:$D$55,$A153))</f>
        <v/>
      </c>
      <c r="J153" s="5">
        <f>IF(COUNTIFS(dados!$D$2:$D$55,$A153,dados!$P$2:$P$55,"&lt;&gt;")=0,"",_xlfn.MAXIFS(dados!$P$2:$P$55,dados!$D$2:$D$55,$A153))</f>
        <v/>
      </c>
      <c r="K153" s="5">
        <f>IFERROR(J153-I153,"")</f>
        <v/>
      </c>
    </row>
    <row r="154">
      <c r="A154" s="2" t="inlineStr">
        <is>
          <t>Sul</t>
        </is>
      </c>
      <c r="B154" s="14" t="inlineStr">
        <is>
          <t>Instagram</t>
        </is>
      </c>
      <c r="C154" s="2" t="inlineStr">
        <is>
          <t>seguidores</t>
        </is>
      </c>
      <c r="D154" s="2" t="inlineStr">
        <is>
          <t>Seguidores</t>
        </is>
      </c>
      <c r="E154" s="5">
        <f>COUNTIFS(dados!$D$2:$D$55,$A154,dados!$Q$2:$Q$55,"&lt;&gt;")</f>
        <v/>
      </c>
      <c r="F154" s="5">
        <f>IFERROR(AVERAGEIFS(dados!$Q$2:$Q$55,dados!$D$2:$D$55,$A154),"")</f>
        <v/>
      </c>
      <c r="G154" s="5">
        <f t="array" ref="G154">IFERROR(MEDIAN(IF((dados!$D$2:$D$55=$A154)*(dados!$Q$2:$Q$55&lt;&gt;""),dados!$Q$2:$Q$55)),"")</f>
        <v/>
      </c>
      <c r="H154" s="5">
        <f t="array" ref="H154">IFERROR(STDEV(IF((dados!$D$2:$D$55=$A154)*(dados!$Q$2:$Q$55&lt;&gt;""),dados!$Q$2:$Q$55)),"")</f>
        <v/>
      </c>
      <c r="I154" s="5">
        <f>IF(COUNTIFS(dados!$D$2:$D$55,$A154,dados!$Q$2:$Q$55,"&lt;&gt;")=0,"",_xlfn.MINIFS(dados!$Q$2:$Q$55,dados!$D$2:$D$55,$A154))</f>
        <v/>
      </c>
      <c r="J154" s="5">
        <f>IF(COUNTIFS(dados!$D$2:$D$55,$A154,dados!$Q$2:$Q$55,"&lt;&gt;")=0,"",_xlfn.MAXIFS(dados!$Q$2:$Q$55,dados!$D$2:$D$55,$A154))</f>
        <v/>
      </c>
      <c r="K154" s="5">
        <f>IFERROR(J154-I154,"")</f>
        <v/>
      </c>
    </row>
    <row r="155">
      <c r="A155" s="2" t="inlineStr">
        <is>
          <t>Sul</t>
        </is>
      </c>
      <c r="B155" s="14" t="inlineStr">
        <is>
          <t>Instagram</t>
        </is>
      </c>
      <c r="C155" s="2" t="inlineStr">
        <is>
          <t>n_posts_total</t>
        </is>
      </c>
      <c r="D155" s="2" t="inlineStr">
        <is>
          <t>Posts desde a criação do perfil</t>
        </is>
      </c>
      <c r="E155" s="5">
        <f>COUNTIFS(dados!$D$2:$D$55,$A155,dados!$R$2:$R$55,"&lt;&gt;")</f>
        <v/>
      </c>
      <c r="F155" s="5">
        <f>IFERROR(AVERAGEIFS(dados!$R$2:$R$55,dados!$D$2:$D$55,$A155),"")</f>
        <v/>
      </c>
      <c r="G155" s="5">
        <f t="array" ref="G155">IFERROR(MEDIAN(IF((dados!$D$2:$D$55=$A155)*(dados!$R$2:$R$55&lt;&gt;""),dados!$R$2:$R$55)),"")</f>
        <v/>
      </c>
      <c r="H155" s="5">
        <f t="array" ref="H155">IFERROR(STDEV(IF((dados!$D$2:$D$55=$A155)*(dados!$R$2:$R$55&lt;&gt;""),dados!$R$2:$R$55)),"")</f>
        <v/>
      </c>
      <c r="I155" s="5">
        <f>IF(COUNTIFS(dados!$D$2:$D$55,$A155,dados!$R$2:$R$55,"&lt;&gt;")=0,"",_xlfn.MINIFS(dados!$R$2:$R$55,dados!$D$2:$D$55,$A155))</f>
        <v/>
      </c>
      <c r="J155" s="5">
        <f>IF(COUNTIFS(dados!$D$2:$D$55,$A155,dados!$R$2:$R$55,"&lt;&gt;")=0,"",_xlfn.MAXIFS(dados!$R$2:$R$55,dados!$D$2:$D$55,$A155))</f>
        <v/>
      </c>
      <c r="K155" s="5">
        <f>IFERROR(J155-I155,"")</f>
        <v/>
      </c>
    </row>
    <row r="156">
      <c r="A156" s="2" t="inlineStr">
        <is>
          <t>Sul</t>
        </is>
      </c>
      <c r="B156" s="14" t="inlineStr">
        <is>
          <t>Instagram</t>
        </is>
      </c>
      <c r="C156" s="2" t="inlineStr">
        <is>
          <t>idade_perfil_anos</t>
        </is>
      </c>
      <c r="D156" s="2" t="inlineStr">
        <is>
          <t>Idade do perfil (desde o primeiro post até 15/10/2026)</t>
        </is>
      </c>
      <c r="E156" s="5">
        <f>COUNTIFS(dados!$D$2:$D$55,$A156,dados!$S$2:$S$55,"&lt;&gt;")</f>
        <v/>
      </c>
      <c r="F156" s="6">
        <f>IFERROR(AVERAGEIFS(dados!$S$2:$S$55,dados!$D$2:$D$55,$A156),"")</f>
        <v/>
      </c>
      <c r="G156" s="6">
        <f t="array" ref="G156">IFERROR(MEDIAN(IF((dados!$D$2:$D$55=$A156)*(dados!$S$2:$S$55&lt;&gt;""),dados!$S$2:$S$55)),"")</f>
        <v/>
      </c>
      <c r="H156" s="6">
        <f t="array" ref="H156">IFERROR(STDEV(IF((dados!$D$2:$D$55=$A156)*(dados!$S$2:$S$55&lt;&gt;""),dados!$S$2:$S$55)),"")</f>
        <v/>
      </c>
      <c r="I156" s="6">
        <f>IF(COUNTIFS(dados!$D$2:$D$55,$A156,dados!$S$2:$S$55,"&lt;&gt;")=0,"",_xlfn.MINIFS(dados!$S$2:$S$55,dados!$D$2:$D$55,$A156))</f>
        <v/>
      </c>
      <c r="J156" s="6">
        <f>IF(COUNTIFS(dados!$D$2:$D$55,$A156,dados!$S$2:$S$55,"&lt;&gt;")=0,"",_xlfn.MAXIFS(dados!$S$2:$S$55,dados!$D$2:$D$55,$A156))</f>
        <v/>
      </c>
      <c r="K156" s="6">
        <f>IFERROR(J156-I156,"")</f>
        <v/>
      </c>
    </row>
    <row r="157">
      <c r="A157" s="2" t="inlineStr">
        <is>
          <t>Sul</t>
        </is>
      </c>
      <c r="B157" s="14" t="inlineStr">
        <is>
          <t>Instagram</t>
        </is>
      </c>
      <c r="C157" s="2" t="inlineStr">
        <is>
          <t>n_posts_periodo</t>
        </is>
      </c>
      <c r="D157" s="2" t="inlineStr">
        <is>
          <t>Posts de 01/09 a 01/10/2026</t>
        </is>
      </c>
      <c r="E157" s="5">
        <f>COUNTIFS(dados!$D$2:$D$55,$A157,dados!$T$2:$T$55,"&lt;&gt;")</f>
        <v/>
      </c>
      <c r="F157" s="6">
        <f>IFERROR(AVERAGEIFS(dados!$T$2:$T$55,dados!$D$2:$D$55,$A157),"")</f>
        <v/>
      </c>
      <c r="G157" s="6">
        <f t="array" ref="G157">IFERROR(MEDIAN(IF((dados!$D$2:$D$55=$A157)*(dados!$T$2:$T$55&lt;&gt;""),dados!$T$2:$T$55)),"")</f>
        <v/>
      </c>
      <c r="H157" s="6">
        <f t="array" ref="H157">IFERROR(STDEV(IF((dados!$D$2:$D$55=$A157)*(dados!$T$2:$T$55&lt;&gt;""),dados!$T$2:$T$55)),"")</f>
        <v/>
      </c>
      <c r="I157" s="6">
        <f>IF(COUNTIFS(dados!$D$2:$D$55,$A157,dados!$T$2:$T$55,"&lt;&gt;")=0,"",_xlfn.MINIFS(dados!$T$2:$T$55,dados!$D$2:$D$55,$A157))</f>
        <v/>
      </c>
      <c r="J157" s="6">
        <f>IF(COUNTIFS(dados!$D$2:$D$55,$A157,dados!$T$2:$T$55,"&lt;&gt;")=0,"",_xlfn.MAXIFS(dados!$T$2:$T$55,dados!$D$2:$D$55,$A157))</f>
        <v/>
      </c>
      <c r="K157" s="6">
        <f>IFERROR(J157-I157,"")</f>
        <v/>
      </c>
    </row>
    <row r="158">
      <c r="A158" s="2" t="inlineStr">
        <is>
          <t>Sul</t>
        </is>
      </c>
      <c r="B158" s="14" t="inlineStr">
        <is>
          <t>Instagram</t>
        </is>
      </c>
      <c r="C158" s="2" t="inlineStr">
        <is>
          <t>curtidas_periodo</t>
        </is>
      </c>
      <c r="D158" s="2" t="inlineStr">
        <is>
          <t>Curtidas no período</t>
        </is>
      </c>
      <c r="E158" s="5">
        <f>COUNTIFS(dados!$D$2:$D$55,$A158,dados!$U$2:$U$55,"&lt;&gt;")</f>
        <v/>
      </c>
      <c r="F158" s="5">
        <f>IFERROR(AVERAGEIFS(dados!$U$2:$U$55,dados!$D$2:$D$55,$A158),"")</f>
        <v/>
      </c>
      <c r="G158" s="5">
        <f t="array" ref="G158">IFERROR(MEDIAN(IF((dados!$D$2:$D$55=$A158)*(dados!$U$2:$U$55&lt;&gt;""),dados!$U$2:$U$55)),"")</f>
        <v/>
      </c>
      <c r="H158" s="5">
        <f t="array" ref="H158">IFERROR(STDEV(IF((dados!$D$2:$D$55=$A158)*(dados!$U$2:$U$55&lt;&gt;""),dados!$U$2:$U$55)),"")</f>
        <v/>
      </c>
      <c r="I158" s="5">
        <f>IF(COUNTIFS(dados!$D$2:$D$55,$A158,dados!$U$2:$U$55,"&lt;&gt;")=0,"",_xlfn.MINIFS(dados!$U$2:$U$55,dados!$D$2:$D$55,$A158))</f>
        <v/>
      </c>
      <c r="J158" s="5">
        <f>IF(COUNTIFS(dados!$D$2:$D$55,$A158,dados!$U$2:$U$55,"&lt;&gt;")=0,"",_xlfn.MAXIFS(dados!$U$2:$U$55,dados!$D$2:$D$55,$A158))</f>
        <v/>
      </c>
      <c r="K158" s="5">
        <f>IFERROR(J158-I158,"")</f>
        <v/>
      </c>
    </row>
    <row r="159">
      <c r="A159" s="2" t="inlineStr">
        <is>
          <t>Sul</t>
        </is>
      </c>
      <c r="B159" s="14" t="inlineStr">
        <is>
          <t>Instagram</t>
        </is>
      </c>
      <c r="C159" s="2" t="inlineStr">
        <is>
          <t>comentarios_periodo</t>
        </is>
      </c>
      <c r="D159" s="2" t="inlineStr">
        <is>
          <t>Comentários no período</t>
        </is>
      </c>
      <c r="E159" s="5">
        <f>COUNTIFS(dados!$D$2:$D$55,$A159,dados!$V$2:$V$55,"&lt;&gt;")</f>
        <v/>
      </c>
      <c r="F159" s="5">
        <f>IFERROR(AVERAGEIFS(dados!$V$2:$V$55,dados!$D$2:$D$55,$A159),"")</f>
        <v/>
      </c>
      <c r="G159" s="5">
        <f t="array" ref="G159">IFERROR(MEDIAN(IF((dados!$D$2:$D$55=$A159)*(dados!$V$2:$V$55&lt;&gt;""),dados!$V$2:$V$55)),"")</f>
        <v/>
      </c>
      <c r="H159" s="5">
        <f t="array" ref="H159">IFERROR(STDEV(IF((dados!$D$2:$D$55=$A159)*(dados!$V$2:$V$55&lt;&gt;""),dados!$V$2:$V$55)),"")</f>
        <v/>
      </c>
      <c r="I159" s="5">
        <f>IF(COUNTIFS(dados!$D$2:$D$55,$A159,dados!$V$2:$V$55,"&lt;&gt;")=0,"",_xlfn.MINIFS(dados!$V$2:$V$55,dados!$D$2:$D$55,$A159))</f>
        <v/>
      </c>
      <c r="J159" s="5">
        <f>IF(COUNTIFS(dados!$D$2:$D$55,$A159,dados!$V$2:$V$55,"&lt;&gt;")=0,"",_xlfn.MAXIFS(dados!$V$2:$V$55,dados!$D$2:$D$55,$A159))</f>
        <v/>
      </c>
      <c r="K159" s="5">
        <f>IFERROR(J159-I159,"")</f>
        <v/>
      </c>
    </row>
    <row r="160">
      <c r="A160" s="2" t="inlineStr">
        <is>
          <t>Sul</t>
        </is>
      </c>
      <c r="B160" s="14" t="inlineStr">
        <is>
          <t>Instagram</t>
        </is>
      </c>
      <c r="C160" s="2" t="inlineStr">
        <is>
          <t>interacoes_por_post</t>
        </is>
      </c>
      <c r="D160" s="2" t="inlineStr">
        <is>
          <t>Interações por post no período (curtidas + comentários)</t>
        </is>
      </c>
      <c r="E160" s="5">
        <f>COUNTIFS(dados!$D$2:$D$55,$A160,dados!$W$2:$W$55,"&lt;&gt;")</f>
        <v/>
      </c>
      <c r="F160" s="6">
        <f>IFERROR(AVERAGEIFS(dados!$W$2:$W$55,dados!$D$2:$D$55,$A160),"")</f>
        <v/>
      </c>
      <c r="G160" s="6">
        <f t="array" ref="G160">IFERROR(MEDIAN(IF((dados!$D$2:$D$55=$A160)*(dados!$W$2:$W$55&lt;&gt;""),dados!$W$2:$W$55)),"")</f>
        <v/>
      </c>
      <c r="H160" s="6">
        <f t="array" ref="H160">IFERROR(STDEV(IF((dados!$D$2:$D$55=$A160)*(dados!$W$2:$W$55&lt;&gt;""),dados!$W$2:$W$55)),"")</f>
        <v/>
      </c>
      <c r="I160" s="6">
        <f>IF(COUNTIFS(dados!$D$2:$D$55,$A160,dados!$W$2:$W$55,"&lt;&gt;")=0,"",_xlfn.MINIFS(dados!$W$2:$W$55,dados!$D$2:$D$55,$A160))</f>
        <v/>
      </c>
      <c r="J160" s="6">
        <f>IF(COUNTIFS(dados!$D$2:$D$55,$A160,dados!$W$2:$W$55,"&lt;&gt;")=0,"",_xlfn.MAXIFS(dados!$W$2:$W$55,dados!$D$2:$D$55,$A160))</f>
        <v/>
      </c>
      <c r="K160" s="6">
        <f>IFERROR(J160-I160,"")</f>
        <v/>
      </c>
    </row>
    <row r="161">
      <c r="A161" s="2" t="inlineStr">
        <is>
          <t>Sul</t>
        </is>
      </c>
      <c r="B161" s="14" t="inlineStr">
        <is>
          <t>Instagram</t>
        </is>
      </c>
      <c r="C161" s="2" t="inlineStr">
        <is>
          <t>engajamento_pct</t>
        </is>
      </c>
      <c r="D161" s="2" t="inlineStr">
        <is>
          <t>Taxa de engajamento (interações por post ÷ seguidores)</t>
        </is>
      </c>
      <c r="E161" s="5">
        <f>COUNTIFS(dados!$D$2:$D$55,$A161,dados!$X$2:$X$55,"&lt;&gt;")</f>
        <v/>
      </c>
      <c r="F161" s="15">
        <f>IFERROR(AVERAGEIFS(dados!$X$2:$X$55,dados!$D$2:$D$55,$A161),"")</f>
        <v/>
      </c>
      <c r="G161" s="15">
        <f t="array" ref="G161">IFERROR(MEDIAN(IF((dados!$D$2:$D$55=$A161)*(dados!$X$2:$X$55&lt;&gt;""),dados!$X$2:$X$55)),"")</f>
        <v/>
      </c>
      <c r="H161" s="15">
        <f t="array" ref="H161">IFERROR(STDEV(IF((dados!$D$2:$D$55=$A161)*(dados!$X$2:$X$55&lt;&gt;""),dados!$X$2:$X$55)),"")</f>
        <v/>
      </c>
      <c r="I161" s="15">
        <f>IF(COUNTIFS(dados!$D$2:$D$55,$A161,dados!$X$2:$X$55,"&lt;&gt;")=0,"",_xlfn.MINIFS(dados!$X$2:$X$55,dados!$D$2:$D$55,$A161))</f>
        <v/>
      </c>
      <c r="J161" s="15">
        <f>IF(COUNTIFS(dados!$D$2:$D$55,$A161,dados!$X$2:$X$55,"&lt;&gt;")=0,"",_xlfn.MAXIFS(dados!$X$2:$X$55,dados!$D$2:$D$55,$A161))</f>
        <v/>
      </c>
      <c r="K161" s="15">
        <f>IFERROR(J161-I161,"")</f>
        <v/>
      </c>
    </row>
    <row r="162">
      <c r="A162" s="2" t="inlineStr">
        <is>
          <t>Sul</t>
        </is>
      </c>
      <c r="B162" s="16" t="inlineStr">
        <is>
          <t>Cardápio</t>
        </is>
      </c>
      <c r="C162" s="2" t="inlineStr">
        <is>
          <t>itens_com_preco</t>
        </is>
      </c>
      <c r="D162" s="2" t="inlineStr">
        <is>
          <t>Itens com preço no cardápio</t>
        </is>
      </c>
      <c r="E162" s="5">
        <f>COUNTIFS(dados!$D$2:$D$55,$A162,dados!$Y$2:$Y$55,"&lt;&gt;")</f>
        <v/>
      </c>
      <c r="F162" s="5">
        <f>IFERROR(AVERAGEIFS(dados!$Y$2:$Y$55,dados!$D$2:$D$55,$A162),"")</f>
        <v/>
      </c>
      <c r="G162" s="5">
        <f t="array" ref="G162">IFERROR(MEDIAN(IF((dados!$D$2:$D$55=$A162)*(dados!$Y$2:$Y$55&lt;&gt;""),dados!$Y$2:$Y$55)),"")</f>
        <v/>
      </c>
      <c r="H162" s="5">
        <f t="array" ref="H162">IFERROR(STDEV(IF((dados!$D$2:$D$55=$A162)*(dados!$Y$2:$Y$55&lt;&gt;""),dados!$Y$2:$Y$55)),"")</f>
        <v/>
      </c>
      <c r="I162" s="5">
        <f>IF(COUNTIFS(dados!$D$2:$D$55,$A162,dados!$Y$2:$Y$55,"&lt;&gt;")=0,"",_xlfn.MINIFS(dados!$Y$2:$Y$55,dados!$D$2:$D$55,$A162))</f>
        <v/>
      </c>
      <c r="J162" s="5">
        <f>IF(COUNTIFS(dados!$D$2:$D$55,$A162,dados!$Y$2:$Y$55,"&lt;&gt;")=0,"",_xlfn.MAXIFS(dados!$Y$2:$Y$55,dados!$D$2:$D$55,$A162))</f>
        <v/>
      </c>
      <c r="K162" s="5">
        <f>IFERROR(J162-I162,"")</f>
        <v/>
      </c>
    </row>
    <row r="163">
      <c r="A163" s="2" t="inlineStr">
        <is>
          <t>Sul</t>
        </is>
      </c>
      <c r="B163" s="16" t="inlineStr">
        <is>
          <t>Cardápio</t>
        </is>
      </c>
      <c r="C163" s="2" t="inlineStr">
        <is>
          <t>couvert_mediana</t>
        </is>
      </c>
      <c r="D163" s="2" t="inlineStr">
        <is>
          <t>Couvert ou taxa de jogo (só casas que cobram)</t>
        </is>
      </c>
      <c r="E163" s="5">
        <f>COUNTIFS(dados!$D$2:$D$55,$A163,dados!$Z$2:$Z$55,"&lt;&gt;")</f>
        <v/>
      </c>
      <c r="F163" s="7">
        <f>IFERROR(AVERAGEIFS(dados!$Z$2:$Z$55,dados!$D$2:$D$55,$A163),"")</f>
        <v/>
      </c>
      <c r="G163" s="7">
        <f t="array" ref="G163">IFERROR(MEDIAN(IF((dados!$D$2:$D$55=$A163)*(dados!$Z$2:$Z$55&lt;&gt;""),dados!$Z$2:$Z$55)),"")</f>
        <v/>
      </c>
      <c r="H163" s="7">
        <f t="array" ref="H163">IFERROR(STDEV(IF((dados!$D$2:$D$55=$A163)*(dados!$Z$2:$Z$55&lt;&gt;""),dados!$Z$2:$Z$55)),"")</f>
        <v/>
      </c>
      <c r="I163" s="7">
        <f>IF(COUNTIFS(dados!$D$2:$D$55,$A163,dados!$Z$2:$Z$55,"&lt;&gt;")=0,"",_xlfn.MINIFS(dados!$Z$2:$Z$55,dados!$D$2:$D$55,$A163))</f>
        <v/>
      </c>
      <c r="J163" s="7">
        <f>IF(COUNTIFS(dados!$D$2:$D$55,$A163,dados!$Z$2:$Z$55,"&lt;&gt;")=0,"",_xlfn.MAXIFS(dados!$Z$2:$Z$55,dados!$D$2:$D$55,$A163))</f>
        <v/>
      </c>
      <c r="K163" s="7">
        <f>IFERROR(J163-I163,"")</f>
        <v/>
      </c>
    </row>
    <row r="164">
      <c r="A164" s="2" t="inlineStr">
        <is>
          <t>Sul</t>
        </is>
      </c>
      <c r="B164" s="16" t="inlineStr">
        <is>
          <t>Cardápio</t>
        </is>
      </c>
      <c r="C164" s="2" t="inlineStr">
        <is>
          <t>bebida_mediana</t>
        </is>
      </c>
      <c r="D164" s="2" t="inlineStr">
        <is>
          <t>Bebida, mediana do cardápio</t>
        </is>
      </c>
      <c r="E164" s="5">
        <f>COUNTIFS(dados!$D$2:$D$55,$A164,dados!$AA$2:$AA$55,"&lt;&gt;")</f>
        <v/>
      </c>
      <c r="F164" s="7">
        <f>IFERROR(AVERAGEIFS(dados!$AA$2:$AA$55,dados!$D$2:$D$55,$A164),"")</f>
        <v/>
      </c>
      <c r="G164" s="7">
        <f t="array" ref="G164">IFERROR(MEDIAN(IF((dados!$D$2:$D$55=$A164)*(dados!$AA$2:$AA$55&lt;&gt;""),dados!$AA$2:$AA$55)),"")</f>
        <v/>
      </c>
      <c r="H164" s="7">
        <f t="array" ref="H164">IFERROR(STDEV(IF((dados!$D$2:$D$55=$A164)*(dados!$AA$2:$AA$55&lt;&gt;""),dados!$AA$2:$AA$55)),"")</f>
        <v/>
      </c>
      <c r="I164" s="7">
        <f>IF(COUNTIFS(dados!$D$2:$D$55,$A164,dados!$AA$2:$AA$55,"&lt;&gt;")=0,"",_xlfn.MINIFS(dados!$AA$2:$AA$55,dados!$D$2:$D$55,$A164))</f>
        <v/>
      </c>
      <c r="J164" s="7">
        <f>IF(COUNTIFS(dados!$D$2:$D$55,$A164,dados!$AA$2:$AA$55,"&lt;&gt;")=0,"",_xlfn.MAXIFS(dados!$AA$2:$AA$55,dados!$D$2:$D$55,$A164))</f>
        <v/>
      </c>
      <c r="K164" s="7">
        <f>IFERROR(J164-I164,"")</f>
        <v/>
      </c>
    </row>
    <row r="165">
      <c r="A165" s="2" t="inlineStr">
        <is>
          <t>Sul</t>
        </is>
      </c>
      <c r="B165" s="16" t="inlineStr">
        <is>
          <t>Cardápio</t>
        </is>
      </c>
      <c r="C165" s="2" t="inlineStr">
        <is>
          <t>entrada_ou_prato_mediana</t>
        </is>
      </c>
      <c r="D165" s="2" t="inlineStr">
        <is>
          <t>Entrada ou prato, mediana do cardápio</t>
        </is>
      </c>
      <c r="E165" s="5">
        <f>COUNTIFS(dados!$D$2:$D$55,$A165,dados!$AB$2:$AB$55,"&lt;&gt;")</f>
        <v/>
      </c>
      <c r="F165" s="7">
        <f>IFERROR(AVERAGEIFS(dados!$AB$2:$AB$55,dados!$D$2:$D$55,$A165),"")</f>
        <v/>
      </c>
      <c r="G165" s="7">
        <f t="array" ref="G165">IFERROR(MEDIAN(IF((dados!$D$2:$D$55=$A165)*(dados!$AB$2:$AB$55&lt;&gt;""),dados!$AB$2:$AB$55)),"")</f>
        <v/>
      </c>
      <c r="H165" s="7">
        <f t="array" ref="H165">IFERROR(STDEV(IF((dados!$D$2:$D$55=$A165)*(dados!$AB$2:$AB$55&lt;&gt;""),dados!$AB$2:$AB$55)),"")</f>
        <v/>
      </c>
      <c r="I165" s="7">
        <f>IF(COUNTIFS(dados!$D$2:$D$55,$A165,dados!$AB$2:$AB$55,"&lt;&gt;")=0,"",_xlfn.MINIFS(dados!$AB$2:$AB$55,dados!$D$2:$D$55,$A165))</f>
        <v/>
      </c>
      <c r="J165" s="7">
        <f>IF(COUNTIFS(dados!$D$2:$D$55,$A165,dados!$AB$2:$AB$55,"&lt;&gt;")=0,"",_xlfn.MAXIFS(dados!$AB$2:$AB$55,dados!$D$2:$D$55,$A165))</f>
        <v/>
      </c>
      <c r="K165" s="7">
        <f>IFERROR(J165-I165,"")</f>
        <v/>
      </c>
    </row>
    <row r="166">
      <c r="A166" s="2" t="inlineStr">
        <is>
          <t>Sul</t>
        </is>
      </c>
      <c r="B166" s="16" t="inlineStr">
        <is>
          <t>Cardápio</t>
        </is>
      </c>
      <c r="C166" s="2" t="inlineStr">
        <is>
          <t>cesta_baixa</t>
        </is>
      </c>
      <c r="D166" s="2" t="inlineStr">
        <is>
          <t>Cesta por pessoa, nível baixo (P25)</t>
        </is>
      </c>
      <c r="E166" s="5">
        <f>COUNTIFS(dados!$D$2:$D$55,$A166,dados!$AC$2:$AC$55,"&lt;&gt;")</f>
        <v/>
      </c>
      <c r="F166" s="7">
        <f>IFERROR(AVERAGEIFS(dados!$AC$2:$AC$55,dados!$D$2:$D$55,$A166),"")</f>
        <v/>
      </c>
      <c r="G166" s="7">
        <f t="array" ref="G166">IFERROR(MEDIAN(IF((dados!$D$2:$D$55=$A166)*(dados!$AC$2:$AC$55&lt;&gt;""),dados!$AC$2:$AC$55)),"")</f>
        <v/>
      </c>
      <c r="H166" s="7">
        <f t="array" ref="H166">IFERROR(STDEV(IF((dados!$D$2:$D$55=$A166)*(dados!$AC$2:$AC$55&lt;&gt;""),dados!$AC$2:$AC$55)),"")</f>
        <v/>
      </c>
      <c r="I166" s="7">
        <f>IF(COUNTIFS(dados!$D$2:$D$55,$A166,dados!$AC$2:$AC$55,"&lt;&gt;")=0,"",_xlfn.MINIFS(dados!$AC$2:$AC$55,dados!$D$2:$D$55,$A166))</f>
        <v/>
      </c>
      <c r="J166" s="7">
        <f>IF(COUNTIFS(dados!$D$2:$D$55,$A166,dados!$AC$2:$AC$55,"&lt;&gt;")=0,"",_xlfn.MAXIFS(dados!$AC$2:$AC$55,dados!$D$2:$D$55,$A166))</f>
        <v/>
      </c>
      <c r="K166" s="7">
        <f>IFERROR(J166-I166,"")</f>
        <v/>
      </c>
    </row>
    <row r="167">
      <c r="A167" s="2" t="inlineStr">
        <is>
          <t>Sul</t>
        </is>
      </c>
      <c r="B167" s="16" t="inlineStr">
        <is>
          <t>Cardápio</t>
        </is>
      </c>
      <c r="C167" s="2" t="inlineStr">
        <is>
          <t>cesta_mediana</t>
        </is>
      </c>
      <c r="D167" s="2" t="inlineStr">
        <is>
          <t>Cesta por pessoa, nível mediano</t>
        </is>
      </c>
      <c r="E167" s="5">
        <f>COUNTIFS(dados!$D$2:$D$55,$A167,dados!$AD$2:$AD$55,"&lt;&gt;")</f>
        <v/>
      </c>
      <c r="F167" s="7">
        <f>IFERROR(AVERAGEIFS(dados!$AD$2:$AD$55,dados!$D$2:$D$55,$A167),"")</f>
        <v/>
      </c>
      <c r="G167" s="7">
        <f t="array" ref="G167">IFERROR(MEDIAN(IF((dados!$D$2:$D$55=$A167)*(dados!$AD$2:$AD$55&lt;&gt;""),dados!$AD$2:$AD$55)),"")</f>
        <v/>
      </c>
      <c r="H167" s="7">
        <f t="array" ref="H167">IFERROR(STDEV(IF((dados!$D$2:$D$55=$A167)*(dados!$AD$2:$AD$55&lt;&gt;""),dados!$AD$2:$AD$55)),"")</f>
        <v/>
      </c>
      <c r="I167" s="7">
        <f>IF(COUNTIFS(dados!$D$2:$D$55,$A167,dados!$AD$2:$AD$55,"&lt;&gt;")=0,"",_xlfn.MINIFS(dados!$AD$2:$AD$55,dados!$D$2:$D$55,$A167))</f>
        <v/>
      </c>
      <c r="J167" s="7">
        <f>IF(COUNTIFS(dados!$D$2:$D$55,$A167,dados!$AD$2:$AD$55,"&lt;&gt;")=0,"",_xlfn.MAXIFS(dados!$AD$2:$AD$55,dados!$D$2:$D$55,$A167))</f>
        <v/>
      </c>
      <c r="K167" s="7">
        <f>IFERROR(J167-I167,"")</f>
        <v/>
      </c>
    </row>
    <row r="168">
      <c r="A168" s="2" t="inlineStr">
        <is>
          <t>Sul</t>
        </is>
      </c>
      <c r="B168" s="16" t="inlineStr">
        <is>
          <t>Cardápio</t>
        </is>
      </c>
      <c r="C168" s="2" t="inlineStr">
        <is>
          <t>cesta_alta</t>
        </is>
      </c>
      <c r="D168" s="2" t="inlineStr">
        <is>
          <t>Cesta por pessoa, nível alto (P75)</t>
        </is>
      </c>
      <c r="E168" s="5">
        <f>COUNTIFS(dados!$D$2:$D$55,$A168,dados!$AE$2:$AE$55,"&lt;&gt;")</f>
        <v/>
      </c>
      <c r="F168" s="7">
        <f>IFERROR(AVERAGEIFS(dados!$AE$2:$AE$55,dados!$D$2:$D$55,$A168),"")</f>
        <v/>
      </c>
      <c r="G168" s="7">
        <f t="array" ref="G168">IFERROR(MEDIAN(IF((dados!$D$2:$D$55=$A168)*(dados!$AE$2:$AE$55&lt;&gt;""),dados!$AE$2:$AE$55)),"")</f>
        <v/>
      </c>
      <c r="H168" s="7">
        <f t="array" ref="H168">IFERROR(STDEV(IF((dados!$D$2:$D$55=$A168)*(dados!$AE$2:$AE$55&lt;&gt;""),dados!$AE$2:$AE$55)),"")</f>
        <v/>
      </c>
      <c r="I168" s="7">
        <f>IF(COUNTIFS(dados!$D$2:$D$55,$A168,dados!$AE$2:$AE$55,"&lt;&gt;")=0,"",_xlfn.MINIFS(dados!$AE$2:$AE$55,dados!$D$2:$D$55,$A168))</f>
        <v/>
      </c>
      <c r="J168" s="7">
        <f>IF(COUNTIFS(dados!$D$2:$D$55,$A168,dados!$AE$2:$AE$55,"&lt;&gt;")=0,"",_xlfn.MAXIFS(dados!$AE$2:$AE$55,dados!$D$2:$D$55,$A168))</f>
        <v/>
      </c>
      <c r="K168" s="7">
        <f>IFERROR(J168-I168,"")</f>
        <v/>
      </c>
    </row>
    <row r="169">
      <c r="A169" s="2" t="inlineStr">
        <is>
          <t>Sul</t>
        </is>
      </c>
      <c r="B169" s="16" t="inlineStr">
        <is>
          <t>Cardápio</t>
        </is>
      </c>
      <c r="C169" s="2" t="inlineStr">
        <is>
          <t>hamburguer_mediana</t>
        </is>
      </c>
      <c r="D169" s="2" t="inlineStr">
        <is>
          <t>Hambúrguer, mediana</t>
        </is>
      </c>
      <c r="E169" s="5">
        <f>COUNTIFS(dados!$D$2:$D$55,$A169,dados!$AF$2:$AF$55,"&lt;&gt;")</f>
        <v/>
      </c>
      <c r="F169" s="7">
        <f>IFERROR(AVERAGEIFS(dados!$AF$2:$AF$55,dados!$D$2:$D$55,$A169),"")</f>
        <v/>
      </c>
      <c r="G169" s="7">
        <f t="array" ref="G169">IFERROR(MEDIAN(IF((dados!$D$2:$D$55=$A169)*(dados!$AF$2:$AF$55&lt;&gt;""),dados!$AF$2:$AF$55)),"")</f>
        <v/>
      </c>
      <c r="H169" s="7">
        <f t="array" ref="H169">IFERROR(STDEV(IF((dados!$D$2:$D$55=$A169)*(dados!$AF$2:$AF$55&lt;&gt;""),dados!$AF$2:$AF$55)),"")</f>
        <v/>
      </c>
      <c r="I169" s="7">
        <f>IF(COUNTIFS(dados!$D$2:$D$55,$A169,dados!$AF$2:$AF$55,"&lt;&gt;")=0,"",_xlfn.MINIFS(dados!$AF$2:$AF$55,dados!$D$2:$D$55,$A169))</f>
        <v/>
      </c>
      <c r="J169" s="7">
        <f>IF(COUNTIFS(dados!$D$2:$D$55,$A169,dados!$AF$2:$AF$55,"&lt;&gt;")=0,"",_xlfn.MAXIFS(dados!$AF$2:$AF$55,dados!$D$2:$D$55,$A169))</f>
        <v/>
      </c>
      <c r="K169" s="7">
        <f>IFERROR(J169-I169,"")</f>
        <v/>
      </c>
    </row>
    <row r="170">
      <c r="A170" s="2" t="inlineStr">
        <is>
          <t>Sul</t>
        </is>
      </c>
      <c r="B170" s="16" t="inlineStr">
        <is>
          <t>Cardápio</t>
        </is>
      </c>
      <c r="C170" s="2" t="inlineStr">
        <is>
          <t>batata_mediana</t>
        </is>
      </c>
      <c r="D170" s="2" t="inlineStr">
        <is>
          <t>Batata, mediana</t>
        </is>
      </c>
      <c r="E170" s="5">
        <f>COUNTIFS(dados!$D$2:$D$55,$A170,dados!$AG$2:$AG$55,"&lt;&gt;")</f>
        <v/>
      </c>
      <c r="F170" s="7">
        <f>IFERROR(AVERAGEIFS(dados!$AG$2:$AG$55,dados!$D$2:$D$55,$A170),"")</f>
        <v/>
      </c>
      <c r="G170" s="7">
        <f t="array" ref="G170">IFERROR(MEDIAN(IF((dados!$D$2:$D$55=$A170)*(dados!$AG$2:$AG$55&lt;&gt;""),dados!$AG$2:$AG$55)),"")</f>
        <v/>
      </c>
      <c r="H170" s="7">
        <f t="array" ref="H170">IFERROR(STDEV(IF((dados!$D$2:$D$55=$A170)*(dados!$AG$2:$AG$55&lt;&gt;""),dados!$AG$2:$AG$55)),"")</f>
        <v/>
      </c>
      <c r="I170" s="7">
        <f>IF(COUNTIFS(dados!$D$2:$D$55,$A170,dados!$AG$2:$AG$55,"&lt;&gt;")=0,"",_xlfn.MINIFS(dados!$AG$2:$AG$55,dados!$D$2:$D$55,$A170))</f>
        <v/>
      </c>
      <c r="J170" s="7">
        <f>IF(COUNTIFS(dados!$D$2:$D$55,$A170,dados!$AG$2:$AG$55,"&lt;&gt;")=0,"",_xlfn.MAXIFS(dados!$AG$2:$AG$55,dados!$D$2:$D$55,$A170))</f>
        <v/>
      </c>
      <c r="K170" s="7">
        <f>IFERROR(J170-I170,"")</f>
        <v/>
      </c>
    </row>
    <row r="171">
      <c r="A171" s="2" t="inlineStr">
        <is>
          <t>Sul</t>
        </is>
      </c>
      <c r="B171" s="16" t="inlineStr">
        <is>
          <t>Cardápio</t>
        </is>
      </c>
      <c r="C171" s="2" t="inlineStr">
        <is>
          <t>cerveja_mediana</t>
        </is>
      </c>
      <c r="D171" s="2" t="inlineStr">
        <is>
          <t>Cerveja, mediana</t>
        </is>
      </c>
      <c r="E171" s="5">
        <f>COUNTIFS(dados!$D$2:$D$55,$A171,dados!$AH$2:$AH$55,"&lt;&gt;")</f>
        <v/>
      </c>
      <c r="F171" s="7">
        <f>IFERROR(AVERAGEIFS(dados!$AH$2:$AH$55,dados!$D$2:$D$55,$A171),"")</f>
        <v/>
      </c>
      <c r="G171" s="7">
        <f t="array" ref="G171">IFERROR(MEDIAN(IF((dados!$D$2:$D$55=$A171)*(dados!$AH$2:$AH$55&lt;&gt;""),dados!$AH$2:$AH$55)),"")</f>
        <v/>
      </c>
      <c r="H171" s="7">
        <f t="array" ref="H171">IFERROR(STDEV(IF((dados!$D$2:$D$55=$A171)*(dados!$AH$2:$AH$55&lt;&gt;""),dados!$AH$2:$AH$55)),"")</f>
        <v/>
      </c>
      <c r="I171" s="7">
        <f>IF(COUNTIFS(dados!$D$2:$D$55,$A171,dados!$AH$2:$AH$55,"&lt;&gt;")=0,"",_xlfn.MINIFS(dados!$AH$2:$AH$55,dados!$D$2:$D$55,$A171))</f>
        <v/>
      </c>
      <c r="J171" s="7">
        <f>IF(COUNTIFS(dados!$D$2:$D$55,$A171,dados!$AH$2:$AH$55,"&lt;&gt;")=0,"",_xlfn.MAXIFS(dados!$AH$2:$AH$55,dados!$D$2:$D$55,$A171))</f>
        <v/>
      </c>
      <c r="K171" s="7">
        <f>IFERROR(J171-I171,"")</f>
        <v/>
      </c>
    </row>
    <row r="172">
      <c r="A172" s="2" t="inlineStr">
        <is>
          <t>Sul</t>
        </is>
      </c>
      <c r="B172" s="16" t="inlineStr">
        <is>
          <t>Cardápio</t>
        </is>
      </c>
      <c r="C172" s="2" t="inlineStr">
        <is>
          <t>refrigerante_mediana</t>
        </is>
      </c>
      <c r="D172" s="2" t="inlineStr">
        <is>
          <t>Refrigerante, mediana</t>
        </is>
      </c>
      <c r="E172" s="5">
        <f>COUNTIFS(dados!$D$2:$D$55,$A172,dados!$AI$2:$AI$55,"&lt;&gt;")</f>
        <v/>
      </c>
      <c r="F172" s="7">
        <f>IFERROR(AVERAGEIFS(dados!$AI$2:$AI$55,dados!$D$2:$D$55,$A172),"")</f>
        <v/>
      </c>
      <c r="G172" s="7">
        <f t="array" ref="G172">IFERROR(MEDIAN(IF((dados!$D$2:$D$55=$A172)*(dados!$AI$2:$AI$55&lt;&gt;""),dados!$AI$2:$AI$55)),"")</f>
        <v/>
      </c>
      <c r="H172" s="7">
        <f t="array" ref="H172">IFERROR(STDEV(IF((dados!$D$2:$D$55=$A172)*(dados!$AI$2:$AI$55&lt;&gt;""),dados!$AI$2:$AI$55)),"")</f>
        <v/>
      </c>
      <c r="I172" s="7">
        <f>IF(COUNTIFS(dados!$D$2:$D$55,$A172,dados!$AI$2:$AI$55,"&lt;&gt;")=0,"",_xlfn.MINIFS(dados!$AI$2:$AI$55,dados!$D$2:$D$55,$A172))</f>
        <v/>
      </c>
      <c r="J172" s="7">
        <f>IF(COUNTIFS(dados!$D$2:$D$55,$A172,dados!$AI$2:$AI$55,"&lt;&gt;")=0,"",_xlfn.MAXIFS(dados!$AI$2:$AI$55,dados!$D$2:$D$55,$A172))</f>
        <v/>
      </c>
      <c r="K172" s="7">
        <f>IFERROR(J172-I172,"")</f>
        <v/>
      </c>
    </row>
    <row r="173">
      <c r="A173" s="2" t="inlineStr">
        <is>
          <t>Sul</t>
        </is>
      </c>
      <c r="B173" s="16" t="inlineStr">
        <is>
          <t>Cardápio</t>
        </is>
      </c>
      <c r="C173" s="2" t="inlineStr">
        <is>
          <t>drinks_mediana</t>
        </is>
      </c>
      <c r="D173" s="2" t="inlineStr">
        <is>
          <t>Drinks, mediana</t>
        </is>
      </c>
      <c r="E173" s="5">
        <f>COUNTIFS(dados!$D$2:$D$55,$A173,dados!$AJ$2:$AJ$55,"&lt;&gt;")</f>
        <v/>
      </c>
      <c r="F173" s="7">
        <f>IFERROR(AVERAGEIFS(dados!$AJ$2:$AJ$55,dados!$D$2:$D$55,$A173),"")</f>
        <v/>
      </c>
      <c r="G173" s="7">
        <f t="array" ref="G173">IFERROR(MEDIAN(IF((dados!$D$2:$D$55=$A173)*(dados!$AJ$2:$AJ$55&lt;&gt;""),dados!$AJ$2:$AJ$55)),"")</f>
        <v/>
      </c>
      <c r="H173" s="7">
        <f t="array" ref="H173">IFERROR(STDEV(IF((dados!$D$2:$D$55=$A173)*(dados!$AJ$2:$AJ$55&lt;&gt;""),dados!$AJ$2:$AJ$55)),"")</f>
        <v/>
      </c>
      <c r="I173" s="7">
        <f>IF(COUNTIFS(dados!$D$2:$D$55,$A173,dados!$AJ$2:$AJ$55,"&lt;&gt;")=0,"",_xlfn.MINIFS(dados!$AJ$2:$AJ$55,dados!$D$2:$D$55,$A173))</f>
        <v/>
      </c>
      <c r="J173" s="7">
        <f>IF(COUNTIFS(dados!$D$2:$D$55,$A173,dados!$AJ$2:$AJ$55,"&lt;&gt;")=0,"",_xlfn.MAXIFS(dados!$AJ$2:$AJ$55,dados!$D$2:$D$55,$A173))</f>
        <v/>
      </c>
      <c r="K173" s="7">
        <f>IFERROR(J173-I173,"")</f>
        <v/>
      </c>
    </row>
    <row r="174">
      <c r="A174" s="2" t="inlineStr">
        <is>
          <t>Sul</t>
        </is>
      </c>
      <c r="B174" s="17" t="inlineStr">
        <is>
          <t>Acervo</t>
        </is>
      </c>
      <c r="C174" s="2" t="inlineStr">
        <is>
          <t>titulos_acervo</t>
        </is>
      </c>
      <c r="D174" s="2" t="inlineStr">
        <is>
          <t>Títulos no acervo publicado</t>
        </is>
      </c>
      <c r="E174" s="5">
        <f>COUNTIFS(dados!$D$2:$D$55,$A174,dados!$AK$2:$AK$55,"&lt;&gt;")</f>
        <v/>
      </c>
      <c r="F174" s="5">
        <f>IFERROR(AVERAGEIFS(dados!$AK$2:$AK$55,dados!$D$2:$D$55,$A174),"")</f>
        <v/>
      </c>
      <c r="G174" s="5">
        <f t="array" ref="G174">IFERROR(MEDIAN(IF((dados!$D$2:$D$55=$A174)*(dados!$AK$2:$AK$55&lt;&gt;""),dados!$AK$2:$AK$55)),"")</f>
        <v/>
      </c>
      <c r="H174" s="5">
        <f t="array" ref="H174">IFERROR(STDEV(IF((dados!$D$2:$D$55=$A174)*(dados!$AK$2:$AK$55&lt;&gt;""),dados!$AK$2:$AK$55)),"")</f>
        <v/>
      </c>
      <c r="I174" s="5">
        <f>IF(COUNTIFS(dados!$D$2:$D$55,$A174,dados!$AK$2:$AK$55,"&lt;&gt;")=0,"",_xlfn.MINIFS(dados!$AK$2:$AK$55,dados!$D$2:$D$55,$A174))</f>
        <v/>
      </c>
      <c r="J174" s="5">
        <f>IF(COUNTIFS(dados!$D$2:$D$55,$A174,dados!$AK$2:$AK$55,"&lt;&gt;")=0,"",_xlfn.MAXIFS(dados!$AK$2:$AK$55,dados!$D$2:$D$55,$A174))</f>
        <v/>
      </c>
      <c r="K174" s="5">
        <f>IFERROR(J174-I174,"")</f>
        <v/>
      </c>
    </row>
    <row r="175">
      <c r="A175" s="2" t="inlineStr">
        <is>
          <t>Sul</t>
        </is>
      </c>
      <c r="B175" s="18" t="inlineStr">
        <is>
          <t>B2</t>
        </is>
      </c>
      <c r="C175" s="2" t="inlineStr">
        <is>
          <t>avaliacoes_b2</t>
        </is>
      </c>
      <c r="D175" s="2" t="inlineStr">
        <is>
          <t>Avaliações no recorte do B2 (até '3 meses atrás')</t>
        </is>
      </c>
      <c r="E175" s="5">
        <f>COUNTIFS(dados!$D$2:$D$55,$A175,dados!$AL$2:$AL$55,"&lt;&gt;")</f>
        <v/>
      </c>
      <c r="F175" s="5">
        <f>IFERROR(AVERAGEIFS(dados!$AL$2:$AL$55,dados!$D$2:$D$55,$A175),"")</f>
        <v/>
      </c>
      <c r="G175" s="5">
        <f t="array" ref="G175">IFERROR(MEDIAN(IF((dados!$D$2:$D$55=$A175)*(dados!$AL$2:$AL$55&lt;&gt;""),dados!$AL$2:$AL$55)),"")</f>
        <v/>
      </c>
      <c r="H175" s="5">
        <f t="array" ref="H175">IFERROR(STDEV(IF((dados!$D$2:$D$55=$A175)*(dados!$AL$2:$AL$55&lt;&gt;""),dados!$AL$2:$AL$55)),"")</f>
        <v/>
      </c>
      <c r="I175" s="5">
        <f>IF(COUNTIFS(dados!$D$2:$D$55,$A175,dados!$AL$2:$AL$55,"&lt;&gt;")=0,"",_xlfn.MINIFS(dados!$AL$2:$AL$55,dados!$D$2:$D$55,$A175))</f>
        <v/>
      </c>
      <c r="J175" s="5">
        <f>IF(COUNTIFS(dados!$D$2:$D$55,$A175,dados!$AL$2:$AL$55,"&lt;&gt;")=0,"",_xlfn.MAXIFS(dados!$AL$2:$AL$55,dados!$D$2:$D$55,$A175))</f>
        <v/>
      </c>
      <c r="K175" s="5">
        <f>IFERROR(J175-I175,"")</f>
        <v/>
      </c>
    </row>
    <row r="176">
      <c r="A176" s="2" t="inlineStr">
        <is>
          <t>Sul</t>
        </is>
      </c>
      <c r="B176" s="18" t="inlineStr">
        <is>
          <t>B2</t>
        </is>
      </c>
      <c r="C176" s="2" t="inlineStr">
        <is>
          <t>avaliacoes_b2_com_texto</t>
        </is>
      </c>
      <c r="D176" s="2" t="inlineStr">
        <is>
          <t>Dessas, com texto</t>
        </is>
      </c>
      <c r="E176" s="5">
        <f>COUNTIFS(dados!$D$2:$D$55,$A176,dados!$AM$2:$AM$55,"&lt;&gt;")</f>
        <v/>
      </c>
      <c r="F176" s="5">
        <f>IFERROR(AVERAGEIFS(dados!$AM$2:$AM$55,dados!$D$2:$D$55,$A176),"")</f>
        <v/>
      </c>
      <c r="G176" s="5">
        <f t="array" ref="G176">IFERROR(MEDIAN(IF((dados!$D$2:$D$55=$A176)*(dados!$AM$2:$AM$55&lt;&gt;""),dados!$AM$2:$AM$55)),"")</f>
        <v/>
      </c>
      <c r="H176" s="5">
        <f t="array" ref="H176">IFERROR(STDEV(IF((dados!$D$2:$D$55=$A176)*(dados!$AM$2:$AM$55&lt;&gt;""),dados!$AM$2:$AM$55)),"")</f>
        <v/>
      </c>
      <c r="I176" s="5">
        <f>IF(COUNTIFS(dados!$D$2:$D$55,$A176,dados!$AM$2:$AM$55,"&lt;&gt;")=0,"",_xlfn.MINIFS(dados!$AM$2:$AM$55,dados!$D$2:$D$55,$A176))</f>
        <v/>
      </c>
      <c r="J176" s="5">
        <f>IF(COUNTIFS(dados!$D$2:$D$55,$A176,dados!$AM$2:$AM$55,"&lt;&gt;")=0,"",_xlfn.MAXIFS(dados!$AM$2:$AM$55,dados!$D$2:$D$55,$A176))</f>
        <v/>
      </c>
      <c r="K176" s="5">
        <f>IFERROR(J176-I176,"")</f>
        <v/>
      </c>
    </row>
  </sheetData>
  <autoFilter ref="A1:K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4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metrópole</t>
        </is>
      </c>
      <c r="B1" s="1" t="inlineStr">
        <is>
          <t>grupo</t>
        </is>
      </c>
      <c r="C1" s="1" t="inlineStr">
        <is>
          <t>variável</t>
        </is>
      </c>
      <c r="D1" s="1" t="inlineStr">
        <is>
          <t>descrição</t>
        </is>
      </c>
      <c r="E1" s="1" t="inlineStr">
        <is>
          <t>n</t>
        </is>
      </c>
      <c r="F1" s="1" t="inlineStr">
        <is>
          <t>média</t>
        </is>
      </c>
      <c r="G1" s="1" t="inlineStr">
        <is>
          <t>mediana</t>
        </is>
      </c>
      <c r="H1" s="1" t="inlineStr">
        <is>
          <t>desvio padrão</t>
        </is>
      </c>
      <c r="I1" s="1" t="inlineStr">
        <is>
          <t>mínimo</t>
        </is>
      </c>
      <c r="J1" s="1" t="inlineStr">
        <is>
          <t>máximo</t>
        </is>
      </c>
      <c r="K1" s="1" t="inlineStr">
        <is>
          <t>amplitude</t>
        </is>
      </c>
    </row>
    <row r="2">
      <c r="A2" s="2" t="inlineStr">
        <is>
          <t>Belo Horizonte</t>
        </is>
      </c>
      <c r="B2" s="11" t="inlineStr">
        <is>
          <t>Google Maps</t>
        </is>
      </c>
      <c r="C2" s="2" t="inlineStr">
        <is>
          <t>avaliacao_media</t>
        </is>
      </c>
      <c r="D2" s="2" t="inlineStr">
        <is>
          <t>Nota média no Google</t>
        </is>
      </c>
      <c r="E2" s="5">
        <f>COUNTIFS(dados!$C$2:$C$55,$A2,dados!$E$2:$E$55,"&lt;&gt;")</f>
        <v/>
      </c>
      <c r="F2" s="4">
        <f>IFERROR(AVERAGEIFS(dados!$E$2:$E$55,dados!$C$2:$C$55,$A2),"")</f>
        <v/>
      </c>
      <c r="G2" s="4">
        <f t="array" ref="G2">IFERROR(MEDIAN(IF((dados!$C$2:$C$55=$A2)*(dados!$E$2:$E$55&lt;&gt;""),dados!$E$2:$E$55)),"")</f>
        <v/>
      </c>
      <c r="H2" s="4">
        <f t="array" ref="H2">IFERROR(STDEV(IF((dados!$C$2:$C$55=$A2)*(dados!$E$2:$E$55&lt;&gt;""),dados!$E$2:$E$55)),"")</f>
        <v/>
      </c>
      <c r="I2" s="4">
        <f>IF(COUNTIFS(dados!$C$2:$C$55,$A2,dados!$E$2:$E$55,"&lt;&gt;")=0,"",_xlfn.MINIFS(dados!$E$2:$E$55,dados!$C$2:$C$55,$A2))</f>
        <v/>
      </c>
      <c r="J2" s="4">
        <f>IF(COUNTIFS(dados!$C$2:$C$55,$A2,dados!$E$2:$E$55,"&lt;&gt;")=0,"",_xlfn.MAXIFS(dados!$E$2:$E$55,dados!$C$2:$C$55,$A2))</f>
        <v/>
      </c>
      <c r="K2" s="4">
        <f>IFERROR(J2-I2,"")</f>
        <v/>
      </c>
    </row>
    <row r="3">
      <c r="A3" s="2" t="inlineStr">
        <is>
          <t>Belo Horizonte</t>
        </is>
      </c>
      <c r="B3" s="11" t="inlineStr">
        <is>
          <t>Google Maps</t>
        </is>
      </c>
      <c r="C3" s="2" t="inlineStr">
        <is>
          <t>volume_avaliacoes</t>
        </is>
      </c>
      <c r="D3" s="2" t="inlineStr">
        <is>
          <t>Nº de avaliações no Google</t>
        </is>
      </c>
      <c r="E3" s="5">
        <f>COUNTIFS(dados!$C$2:$C$55,$A3,dados!$F$2:$F$55,"&lt;&gt;")</f>
        <v/>
      </c>
      <c r="F3" s="5">
        <f>IFERROR(AVERAGEIFS(dados!$F$2:$F$55,dados!$C$2:$C$55,$A3),"")</f>
        <v/>
      </c>
      <c r="G3" s="5">
        <f t="array" ref="G3">IFERROR(MEDIAN(IF((dados!$C$2:$C$55=$A3)*(dados!$F$2:$F$55&lt;&gt;""),dados!$F$2:$F$55)),"")</f>
        <v/>
      </c>
      <c r="H3" s="5">
        <f t="array" ref="H3">IFERROR(STDEV(IF((dados!$C$2:$C$55=$A3)*(dados!$F$2:$F$55&lt;&gt;""),dados!$F$2:$F$55)),"")</f>
        <v/>
      </c>
      <c r="I3" s="5">
        <f>IF(COUNTIFS(dados!$C$2:$C$55,$A3,dados!$F$2:$F$55,"&lt;&gt;")=0,"",_xlfn.MINIFS(dados!$F$2:$F$55,dados!$C$2:$C$55,$A3))</f>
        <v/>
      </c>
      <c r="J3" s="5">
        <f>IF(COUNTIFS(dados!$C$2:$C$55,$A3,dados!$F$2:$F$55,"&lt;&gt;")=0,"",_xlfn.MAXIFS(dados!$F$2:$F$55,dados!$C$2:$C$55,$A3))</f>
        <v/>
      </c>
      <c r="K3" s="5">
        <f>IFERROR(J3-I3,"")</f>
        <v/>
      </c>
    </row>
    <row r="4">
      <c r="A4" s="2" t="inlineStr">
        <is>
          <t>Belo Horizonte</t>
        </is>
      </c>
      <c r="B4" s="12" t="inlineStr">
        <is>
          <t>Horários</t>
        </is>
      </c>
      <c r="C4" s="2" t="inlineStr">
        <is>
          <t>dias_abertos</t>
        </is>
      </c>
      <c r="D4" s="2" t="inlineStr">
        <is>
          <t>Dias abertos por semana</t>
        </is>
      </c>
      <c r="E4" s="5">
        <f>COUNTIFS(dados!$C$2:$C$55,$A4,dados!$G$2:$G$55,"&lt;&gt;")</f>
        <v/>
      </c>
      <c r="F4" s="6">
        <f>IFERROR(AVERAGEIFS(dados!$G$2:$G$55,dados!$C$2:$C$55,$A4),"")</f>
        <v/>
      </c>
      <c r="G4" s="6">
        <f t="array" ref="G4">IFERROR(MEDIAN(IF((dados!$C$2:$C$55=$A4)*(dados!$G$2:$G$55&lt;&gt;""),dados!$G$2:$G$55)),"")</f>
        <v/>
      </c>
      <c r="H4" s="6">
        <f t="array" ref="H4">IFERROR(STDEV(IF((dados!$C$2:$C$55=$A4)*(dados!$G$2:$G$55&lt;&gt;""),dados!$G$2:$G$55)),"")</f>
        <v/>
      </c>
      <c r="I4" s="6">
        <f>IF(COUNTIFS(dados!$C$2:$C$55,$A4,dados!$G$2:$G$55,"&lt;&gt;")=0,"",_xlfn.MINIFS(dados!$G$2:$G$55,dados!$C$2:$C$55,$A4))</f>
        <v/>
      </c>
      <c r="J4" s="6">
        <f>IF(COUNTIFS(dados!$C$2:$C$55,$A4,dados!$G$2:$G$55,"&lt;&gt;")=0,"",_xlfn.MAXIFS(dados!$G$2:$G$55,dados!$C$2:$C$55,$A4))</f>
        <v/>
      </c>
      <c r="K4" s="6">
        <f>IFERROR(J4-I4,"")</f>
        <v/>
      </c>
    </row>
    <row r="5">
      <c r="A5" s="2" t="inlineStr">
        <is>
          <t>Belo Horizonte</t>
        </is>
      </c>
      <c r="B5" s="12" t="inlineStr">
        <is>
          <t>Horários</t>
        </is>
      </c>
      <c r="C5" s="2" t="inlineStr">
        <is>
          <t>horas_semana</t>
        </is>
      </c>
      <c r="D5" s="2" t="inlineStr">
        <is>
          <t>Horas abertas por semana</t>
        </is>
      </c>
      <c r="E5" s="5">
        <f>COUNTIFS(dados!$C$2:$C$55,$A5,dados!$H$2:$H$55,"&lt;&gt;")</f>
        <v/>
      </c>
      <c r="F5" s="6">
        <f>IFERROR(AVERAGEIFS(dados!$H$2:$H$55,dados!$C$2:$C$55,$A5),"")</f>
        <v/>
      </c>
      <c r="G5" s="6">
        <f t="array" ref="G5">IFERROR(MEDIAN(IF((dados!$C$2:$C$55=$A5)*(dados!$H$2:$H$55&lt;&gt;""),dados!$H$2:$H$55)),"")</f>
        <v/>
      </c>
      <c r="H5" s="6">
        <f t="array" ref="H5">IFERROR(STDEV(IF((dados!$C$2:$C$55=$A5)*(dados!$H$2:$H$55&lt;&gt;""),dados!$H$2:$H$55)),"")</f>
        <v/>
      </c>
      <c r="I5" s="6">
        <f>IF(COUNTIFS(dados!$C$2:$C$55,$A5,dados!$H$2:$H$55,"&lt;&gt;")=0,"",_xlfn.MINIFS(dados!$H$2:$H$55,dados!$C$2:$C$55,$A5))</f>
        <v/>
      </c>
      <c r="J5" s="6">
        <f>IF(COUNTIFS(dados!$C$2:$C$55,$A5,dados!$H$2:$H$55,"&lt;&gt;")=0,"",_xlfn.MAXIFS(dados!$H$2:$H$55,dados!$C$2:$C$55,$A5))</f>
        <v/>
      </c>
      <c r="K5" s="6">
        <f>IFERROR(J5-I5,"")</f>
        <v/>
      </c>
    </row>
    <row r="6">
      <c r="A6" s="2" t="inlineStr">
        <is>
          <t>Belo Horizonte</t>
        </is>
      </c>
      <c r="B6" s="12" t="inlineStr">
        <is>
          <t>Horários</t>
        </is>
      </c>
      <c r="C6" s="2" t="inlineStr">
        <is>
          <t>abre_cedo_h</t>
        </is>
      </c>
      <c r="D6" s="2" t="inlineStr">
        <is>
          <t>Abertura mais cedo da semana</t>
        </is>
      </c>
      <c r="E6" s="5">
        <f>COUNTIFS(dados!$C$2:$C$55,$A6,dados!$I$2:$I$55,"&lt;&gt;")</f>
        <v/>
      </c>
      <c r="F6" s="6">
        <f>IFERROR(AVERAGEIFS(dados!$I$2:$I$55,dados!$C$2:$C$55,$A6),"")</f>
        <v/>
      </c>
      <c r="G6" s="6">
        <f t="array" ref="G6">IFERROR(MEDIAN(IF((dados!$C$2:$C$55=$A6)*(dados!$I$2:$I$55&lt;&gt;""),dados!$I$2:$I$55)),"")</f>
        <v/>
      </c>
      <c r="H6" s="6">
        <f t="array" ref="H6">IFERROR(STDEV(IF((dados!$C$2:$C$55=$A6)*(dados!$I$2:$I$55&lt;&gt;""),dados!$I$2:$I$55)),"")</f>
        <v/>
      </c>
      <c r="I6" s="6">
        <f>IF(COUNTIFS(dados!$C$2:$C$55,$A6,dados!$I$2:$I$55,"&lt;&gt;")=0,"",_xlfn.MINIFS(dados!$I$2:$I$55,dados!$C$2:$C$55,$A6))</f>
        <v/>
      </c>
      <c r="J6" s="6">
        <f>IF(COUNTIFS(dados!$C$2:$C$55,$A6,dados!$I$2:$I$55,"&lt;&gt;")=0,"",_xlfn.MAXIFS(dados!$I$2:$I$55,dados!$C$2:$C$55,$A6))</f>
        <v/>
      </c>
      <c r="K6" s="6">
        <f>IFERROR(J6-I6,"")</f>
        <v/>
      </c>
    </row>
    <row r="7">
      <c r="A7" s="2" t="inlineStr">
        <is>
          <t>Belo Horizonte</t>
        </is>
      </c>
      <c r="B7" s="12" t="inlineStr">
        <is>
          <t>Horários</t>
        </is>
      </c>
      <c r="C7" s="2" t="inlineStr">
        <is>
          <t>fecha_tarde_h</t>
        </is>
      </c>
      <c r="D7" s="2" t="inlineStr">
        <is>
          <t>Fechamento mais tarde da semana (25 = 1h da manhã)</t>
        </is>
      </c>
      <c r="E7" s="5">
        <f>COUNTIFS(dados!$C$2:$C$55,$A7,dados!$J$2:$J$55,"&lt;&gt;")</f>
        <v/>
      </c>
      <c r="F7" s="6">
        <f>IFERROR(AVERAGEIFS(dados!$J$2:$J$55,dados!$C$2:$C$55,$A7),"")</f>
        <v/>
      </c>
      <c r="G7" s="6">
        <f t="array" ref="G7">IFERROR(MEDIAN(IF((dados!$C$2:$C$55=$A7)*(dados!$J$2:$J$55&lt;&gt;""),dados!$J$2:$J$55)),"")</f>
        <v/>
      </c>
      <c r="H7" s="6">
        <f t="array" ref="H7">IFERROR(STDEV(IF((dados!$C$2:$C$55=$A7)*(dados!$J$2:$J$55&lt;&gt;""),dados!$J$2:$J$55)),"")</f>
        <v/>
      </c>
      <c r="I7" s="6">
        <f>IF(COUNTIFS(dados!$C$2:$C$55,$A7,dados!$J$2:$J$55,"&lt;&gt;")=0,"",_xlfn.MINIFS(dados!$J$2:$J$55,dados!$C$2:$C$55,$A7))</f>
        <v/>
      </c>
      <c r="J7" s="6">
        <f>IF(COUNTIFS(dados!$C$2:$C$55,$A7,dados!$J$2:$J$55,"&lt;&gt;")=0,"",_xlfn.MAXIFS(dados!$J$2:$J$55,dados!$C$2:$C$55,$A7))</f>
        <v/>
      </c>
      <c r="K7" s="6">
        <f>IFERROR(J7-I7,"")</f>
        <v/>
      </c>
    </row>
    <row r="8">
      <c r="A8" s="2" t="inlineStr">
        <is>
          <t>Belo Horizonte</t>
        </is>
      </c>
      <c r="B8" s="13" t="inlineStr">
        <is>
          <t>Entorno</t>
        </is>
      </c>
      <c r="C8" s="2" t="inlineStr">
        <is>
          <t>metro_500m</t>
        </is>
      </c>
      <c r="D8" s="2" t="inlineStr">
        <is>
          <t>Estações de metrô até 500 m</t>
        </is>
      </c>
      <c r="E8" s="5">
        <f>COUNTIFS(dados!$C$2:$C$55,$A8,dados!$K$2:$K$55,"&lt;&gt;")</f>
        <v/>
      </c>
      <c r="F8" s="4">
        <f>IFERROR(AVERAGEIFS(dados!$K$2:$K$55,dados!$C$2:$C$55,$A8),"")</f>
        <v/>
      </c>
      <c r="G8" s="4">
        <f t="array" ref="G8">IFERROR(MEDIAN(IF((dados!$C$2:$C$55=$A8)*(dados!$K$2:$K$55&lt;&gt;""),dados!$K$2:$K$55)),"")</f>
        <v/>
      </c>
      <c r="H8" s="4">
        <f t="array" ref="H8">IFERROR(STDEV(IF((dados!$C$2:$C$55=$A8)*(dados!$K$2:$K$55&lt;&gt;""),dados!$K$2:$K$55)),"")</f>
        <v/>
      </c>
      <c r="I8" s="4">
        <f>IF(COUNTIFS(dados!$C$2:$C$55,$A8,dados!$K$2:$K$55,"&lt;&gt;")=0,"",_xlfn.MINIFS(dados!$K$2:$K$55,dados!$C$2:$C$55,$A8))</f>
        <v/>
      </c>
      <c r="J8" s="4">
        <f>IF(COUNTIFS(dados!$C$2:$C$55,$A8,dados!$K$2:$K$55,"&lt;&gt;")=0,"",_xlfn.MAXIFS(dados!$K$2:$K$55,dados!$C$2:$C$55,$A8))</f>
        <v/>
      </c>
      <c r="K8" s="4">
        <f>IFERROR(J8-I8,"")</f>
        <v/>
      </c>
    </row>
    <row r="9">
      <c r="A9" s="2" t="inlineStr">
        <is>
          <t>Belo Horizonte</t>
        </is>
      </c>
      <c r="B9" s="13" t="inlineStr">
        <is>
          <t>Entorno</t>
        </is>
      </c>
      <c r="C9" s="2" t="inlineStr">
        <is>
          <t>metro_1000m</t>
        </is>
      </c>
      <c r="D9" s="2" t="inlineStr">
        <is>
          <t>Estações de metrô até 1000 m</t>
        </is>
      </c>
      <c r="E9" s="5">
        <f>COUNTIFS(dados!$C$2:$C$55,$A9,dados!$L$2:$L$55,"&lt;&gt;")</f>
        <v/>
      </c>
      <c r="F9" s="4">
        <f>IFERROR(AVERAGEIFS(dados!$L$2:$L$55,dados!$C$2:$C$55,$A9),"")</f>
        <v/>
      </c>
      <c r="G9" s="4">
        <f t="array" ref="G9">IFERROR(MEDIAN(IF((dados!$C$2:$C$55=$A9)*(dados!$L$2:$L$55&lt;&gt;""),dados!$L$2:$L$55)),"")</f>
        <v/>
      </c>
      <c r="H9" s="4">
        <f t="array" ref="H9">IFERROR(STDEV(IF((dados!$C$2:$C$55=$A9)*(dados!$L$2:$L$55&lt;&gt;""),dados!$L$2:$L$55)),"")</f>
        <v/>
      </c>
      <c r="I9" s="4">
        <f>IF(COUNTIFS(dados!$C$2:$C$55,$A9,dados!$L$2:$L$55,"&lt;&gt;")=0,"",_xlfn.MINIFS(dados!$L$2:$L$55,dados!$C$2:$C$55,$A9))</f>
        <v/>
      </c>
      <c r="J9" s="4">
        <f>IF(COUNTIFS(dados!$C$2:$C$55,$A9,dados!$L$2:$L$55,"&lt;&gt;")=0,"",_xlfn.MAXIFS(dados!$L$2:$L$55,dados!$C$2:$C$55,$A9))</f>
        <v/>
      </c>
      <c r="K9" s="4">
        <f>IFERROR(J9-I9,"")</f>
        <v/>
      </c>
    </row>
    <row r="10">
      <c r="A10" s="2" t="inlineStr">
        <is>
          <t>Belo Horizonte</t>
        </is>
      </c>
      <c r="B10" s="13" t="inlineStr">
        <is>
          <t>Entorno</t>
        </is>
      </c>
      <c r="C10" s="2" t="inlineStr">
        <is>
          <t>dist_metro_m</t>
        </is>
      </c>
      <c r="D10" s="2" t="inlineStr">
        <is>
          <t>Distância à estação de metrô mais próxima</t>
        </is>
      </c>
      <c r="E10" s="5">
        <f>COUNTIFS(dados!$C$2:$C$55,$A10,dados!$M$2:$M$55,"&lt;&gt;")</f>
        <v/>
      </c>
      <c r="F10" s="5">
        <f>IFERROR(AVERAGEIFS(dados!$M$2:$M$55,dados!$C$2:$C$55,$A10),"")</f>
        <v/>
      </c>
      <c r="G10" s="5">
        <f t="array" ref="G10">IFERROR(MEDIAN(IF((dados!$C$2:$C$55=$A10)*(dados!$M$2:$M$55&lt;&gt;""),dados!$M$2:$M$55)),"")</f>
        <v/>
      </c>
      <c r="H10" s="5">
        <f t="array" ref="H10">IFERROR(STDEV(IF((dados!$C$2:$C$55=$A10)*(dados!$M$2:$M$55&lt;&gt;""),dados!$M$2:$M$55)),"")</f>
        <v/>
      </c>
      <c r="I10" s="5">
        <f>IF(COUNTIFS(dados!$C$2:$C$55,$A10,dados!$M$2:$M$55,"&lt;&gt;")=0,"",_xlfn.MINIFS(dados!$M$2:$M$55,dados!$C$2:$C$55,$A10))</f>
        <v/>
      </c>
      <c r="J10" s="5">
        <f>IF(COUNTIFS(dados!$C$2:$C$55,$A10,dados!$M$2:$M$55,"&lt;&gt;")=0,"",_xlfn.MAXIFS(dados!$M$2:$M$55,dados!$C$2:$C$55,$A10))</f>
        <v/>
      </c>
      <c r="K10" s="5">
        <f>IFERROR(J10-I10,"")</f>
        <v/>
      </c>
    </row>
    <row r="11">
      <c r="A11" s="2" t="inlineStr">
        <is>
          <t>Belo Horizonte</t>
        </is>
      </c>
      <c r="B11" s="13" t="inlineStr">
        <is>
          <t>Entorno</t>
        </is>
      </c>
      <c r="C11" s="2" t="inlineStr">
        <is>
          <t>shopping_porte_500m</t>
        </is>
      </c>
      <c r="D11" s="2" t="inlineStr">
        <is>
          <t>Shoppings de porte até 500 m (onde o porte foi buscado)</t>
        </is>
      </c>
      <c r="E11" s="5">
        <f>COUNTIFS(dados!$C$2:$C$55,$A11,dados!$N$2:$N$55,"&lt;&gt;")</f>
        <v/>
      </c>
      <c r="F11" s="4">
        <f>IFERROR(AVERAGEIFS(dados!$N$2:$N$55,dados!$C$2:$C$55,$A11),"")</f>
        <v/>
      </c>
      <c r="G11" s="4">
        <f t="array" ref="G11">IFERROR(MEDIAN(IF((dados!$C$2:$C$55=$A11)*(dados!$N$2:$N$55&lt;&gt;""),dados!$N$2:$N$55)),"")</f>
        <v/>
      </c>
      <c r="H11" s="4">
        <f t="array" ref="H11">IFERROR(STDEV(IF((dados!$C$2:$C$55=$A11)*(dados!$N$2:$N$55&lt;&gt;""),dados!$N$2:$N$55)),"")</f>
        <v/>
      </c>
      <c r="I11" s="4">
        <f>IF(COUNTIFS(dados!$C$2:$C$55,$A11,dados!$N$2:$N$55,"&lt;&gt;")=0,"",_xlfn.MINIFS(dados!$N$2:$N$55,dados!$C$2:$C$55,$A11))</f>
        <v/>
      </c>
      <c r="J11" s="4">
        <f>IF(COUNTIFS(dados!$C$2:$C$55,$A11,dados!$N$2:$N$55,"&lt;&gt;")=0,"",_xlfn.MAXIFS(dados!$N$2:$N$55,dados!$C$2:$C$55,$A11))</f>
        <v/>
      </c>
      <c r="K11" s="4">
        <f>IFERROR(J11-I11,"")</f>
        <v/>
      </c>
    </row>
    <row r="12">
      <c r="A12" s="2" t="inlineStr">
        <is>
          <t>Belo Horizonte</t>
        </is>
      </c>
      <c r="B12" s="13" t="inlineStr">
        <is>
          <t>Entorno</t>
        </is>
      </c>
      <c r="C12" s="2" t="inlineStr">
        <is>
          <t>shopping_porte_1000m</t>
        </is>
      </c>
      <c r="D12" s="2" t="inlineStr">
        <is>
          <t>Shoppings de porte até 1000 m (onde o porte foi buscado)</t>
        </is>
      </c>
      <c r="E12" s="5">
        <f>COUNTIFS(dados!$C$2:$C$55,$A12,dados!$O$2:$O$55,"&lt;&gt;")</f>
        <v/>
      </c>
      <c r="F12" s="4">
        <f>IFERROR(AVERAGEIFS(dados!$O$2:$O$55,dados!$C$2:$C$55,$A12),"")</f>
        <v/>
      </c>
      <c r="G12" s="4">
        <f t="array" ref="G12">IFERROR(MEDIAN(IF((dados!$C$2:$C$55=$A12)*(dados!$O$2:$O$55&lt;&gt;""),dados!$O$2:$O$55)),"")</f>
        <v/>
      </c>
      <c r="H12" s="4">
        <f t="array" ref="H12">IFERROR(STDEV(IF((dados!$C$2:$C$55=$A12)*(dados!$O$2:$O$55&lt;&gt;""),dados!$O$2:$O$55)),"")</f>
        <v/>
      </c>
      <c r="I12" s="4">
        <f>IF(COUNTIFS(dados!$C$2:$C$55,$A12,dados!$O$2:$O$55,"&lt;&gt;")=0,"",_xlfn.MINIFS(dados!$O$2:$O$55,dados!$C$2:$C$55,$A12))</f>
        <v/>
      </c>
      <c r="J12" s="4">
        <f>IF(COUNTIFS(dados!$C$2:$C$55,$A12,dados!$O$2:$O$55,"&lt;&gt;")=0,"",_xlfn.MAXIFS(dados!$O$2:$O$55,dados!$C$2:$C$55,$A12))</f>
        <v/>
      </c>
      <c r="K12" s="4">
        <f>IFERROR(J12-I12,"")</f>
        <v/>
      </c>
    </row>
    <row r="13">
      <c r="A13" s="2" t="inlineStr">
        <is>
          <t>Belo Horizonte</t>
        </is>
      </c>
      <c r="B13" s="13" t="inlineStr">
        <is>
          <t>Entorno</t>
        </is>
      </c>
      <c r="C13" s="2" t="inlineStr">
        <is>
          <t>dist_shopping_m</t>
        </is>
      </c>
      <c r="D13" s="2" t="inlineStr">
        <is>
          <t>Distância ao shopping mais próximo (qualquer porte)</t>
        </is>
      </c>
      <c r="E13" s="5">
        <f>COUNTIFS(dados!$C$2:$C$55,$A13,dados!$P$2:$P$55,"&lt;&gt;")</f>
        <v/>
      </c>
      <c r="F13" s="5">
        <f>IFERROR(AVERAGEIFS(dados!$P$2:$P$55,dados!$C$2:$C$55,$A13),"")</f>
        <v/>
      </c>
      <c r="G13" s="5">
        <f t="array" ref="G13">IFERROR(MEDIAN(IF((dados!$C$2:$C$55=$A13)*(dados!$P$2:$P$55&lt;&gt;""),dados!$P$2:$P$55)),"")</f>
        <v/>
      </c>
      <c r="H13" s="5">
        <f t="array" ref="H13">IFERROR(STDEV(IF((dados!$C$2:$C$55=$A13)*(dados!$P$2:$P$55&lt;&gt;""),dados!$P$2:$P$55)),"")</f>
        <v/>
      </c>
      <c r="I13" s="5">
        <f>IF(COUNTIFS(dados!$C$2:$C$55,$A13,dados!$P$2:$P$55,"&lt;&gt;")=0,"",_xlfn.MINIFS(dados!$P$2:$P$55,dados!$C$2:$C$55,$A13))</f>
        <v/>
      </c>
      <c r="J13" s="5">
        <f>IF(COUNTIFS(dados!$C$2:$C$55,$A13,dados!$P$2:$P$55,"&lt;&gt;")=0,"",_xlfn.MAXIFS(dados!$P$2:$P$55,dados!$C$2:$C$55,$A13))</f>
        <v/>
      </c>
      <c r="K13" s="5">
        <f>IFERROR(J13-I13,"")</f>
        <v/>
      </c>
    </row>
    <row r="14">
      <c r="A14" s="2" t="inlineStr">
        <is>
          <t>Belo Horizonte</t>
        </is>
      </c>
      <c r="B14" s="14" t="inlineStr">
        <is>
          <t>Instagram</t>
        </is>
      </c>
      <c r="C14" s="2" t="inlineStr">
        <is>
          <t>seguidores</t>
        </is>
      </c>
      <c r="D14" s="2" t="inlineStr">
        <is>
          <t>Seguidores</t>
        </is>
      </c>
      <c r="E14" s="5">
        <f>COUNTIFS(dados!$C$2:$C$55,$A14,dados!$Q$2:$Q$55,"&lt;&gt;")</f>
        <v/>
      </c>
      <c r="F14" s="5">
        <f>IFERROR(AVERAGEIFS(dados!$Q$2:$Q$55,dados!$C$2:$C$55,$A14),"")</f>
        <v/>
      </c>
      <c r="G14" s="5">
        <f t="array" ref="G14">IFERROR(MEDIAN(IF((dados!$C$2:$C$55=$A14)*(dados!$Q$2:$Q$55&lt;&gt;""),dados!$Q$2:$Q$55)),"")</f>
        <v/>
      </c>
      <c r="H14" s="5">
        <f t="array" ref="H14">IFERROR(STDEV(IF((dados!$C$2:$C$55=$A14)*(dados!$Q$2:$Q$55&lt;&gt;""),dados!$Q$2:$Q$55)),"")</f>
        <v/>
      </c>
      <c r="I14" s="5">
        <f>IF(COUNTIFS(dados!$C$2:$C$55,$A14,dados!$Q$2:$Q$55,"&lt;&gt;")=0,"",_xlfn.MINIFS(dados!$Q$2:$Q$55,dados!$C$2:$C$55,$A14))</f>
        <v/>
      </c>
      <c r="J14" s="5">
        <f>IF(COUNTIFS(dados!$C$2:$C$55,$A14,dados!$Q$2:$Q$55,"&lt;&gt;")=0,"",_xlfn.MAXIFS(dados!$Q$2:$Q$55,dados!$C$2:$C$55,$A14))</f>
        <v/>
      </c>
      <c r="K14" s="5">
        <f>IFERROR(J14-I14,"")</f>
        <v/>
      </c>
    </row>
    <row r="15">
      <c r="A15" s="2" t="inlineStr">
        <is>
          <t>Belo Horizonte</t>
        </is>
      </c>
      <c r="B15" s="14" t="inlineStr">
        <is>
          <t>Instagram</t>
        </is>
      </c>
      <c r="C15" s="2" t="inlineStr">
        <is>
          <t>n_posts_total</t>
        </is>
      </c>
      <c r="D15" s="2" t="inlineStr">
        <is>
          <t>Posts desde a criação do perfil</t>
        </is>
      </c>
      <c r="E15" s="5">
        <f>COUNTIFS(dados!$C$2:$C$55,$A15,dados!$R$2:$R$55,"&lt;&gt;")</f>
        <v/>
      </c>
      <c r="F15" s="5">
        <f>IFERROR(AVERAGEIFS(dados!$R$2:$R$55,dados!$C$2:$C$55,$A15),"")</f>
        <v/>
      </c>
      <c r="G15" s="5">
        <f t="array" ref="G15">IFERROR(MEDIAN(IF((dados!$C$2:$C$55=$A15)*(dados!$R$2:$R$55&lt;&gt;""),dados!$R$2:$R$55)),"")</f>
        <v/>
      </c>
      <c r="H15" s="5">
        <f t="array" ref="H15">IFERROR(STDEV(IF((dados!$C$2:$C$55=$A15)*(dados!$R$2:$R$55&lt;&gt;""),dados!$R$2:$R$55)),"")</f>
        <v/>
      </c>
      <c r="I15" s="5">
        <f>IF(COUNTIFS(dados!$C$2:$C$55,$A15,dados!$R$2:$R$55,"&lt;&gt;")=0,"",_xlfn.MINIFS(dados!$R$2:$R$55,dados!$C$2:$C$55,$A15))</f>
        <v/>
      </c>
      <c r="J15" s="5">
        <f>IF(COUNTIFS(dados!$C$2:$C$55,$A15,dados!$R$2:$R$55,"&lt;&gt;")=0,"",_xlfn.MAXIFS(dados!$R$2:$R$55,dados!$C$2:$C$55,$A15))</f>
        <v/>
      </c>
      <c r="K15" s="5">
        <f>IFERROR(J15-I15,"")</f>
        <v/>
      </c>
    </row>
    <row r="16">
      <c r="A16" s="2" t="inlineStr">
        <is>
          <t>Belo Horizonte</t>
        </is>
      </c>
      <c r="B16" s="14" t="inlineStr">
        <is>
          <t>Instagram</t>
        </is>
      </c>
      <c r="C16" s="2" t="inlineStr">
        <is>
          <t>idade_perfil_anos</t>
        </is>
      </c>
      <c r="D16" s="2" t="inlineStr">
        <is>
          <t>Idade do perfil (desde o primeiro post até 15/10/2026)</t>
        </is>
      </c>
      <c r="E16" s="5">
        <f>COUNTIFS(dados!$C$2:$C$55,$A16,dados!$S$2:$S$55,"&lt;&gt;")</f>
        <v/>
      </c>
      <c r="F16" s="6">
        <f>IFERROR(AVERAGEIFS(dados!$S$2:$S$55,dados!$C$2:$C$55,$A16),"")</f>
        <v/>
      </c>
      <c r="G16" s="6">
        <f t="array" ref="G16">IFERROR(MEDIAN(IF((dados!$C$2:$C$55=$A16)*(dados!$S$2:$S$55&lt;&gt;""),dados!$S$2:$S$55)),"")</f>
        <v/>
      </c>
      <c r="H16" s="6">
        <f t="array" ref="H16">IFERROR(STDEV(IF((dados!$C$2:$C$55=$A16)*(dados!$S$2:$S$55&lt;&gt;""),dados!$S$2:$S$55)),"")</f>
        <v/>
      </c>
      <c r="I16" s="6">
        <f>IF(COUNTIFS(dados!$C$2:$C$55,$A16,dados!$S$2:$S$55,"&lt;&gt;")=0,"",_xlfn.MINIFS(dados!$S$2:$S$55,dados!$C$2:$C$55,$A16))</f>
        <v/>
      </c>
      <c r="J16" s="6">
        <f>IF(COUNTIFS(dados!$C$2:$C$55,$A16,dados!$S$2:$S$55,"&lt;&gt;")=0,"",_xlfn.MAXIFS(dados!$S$2:$S$55,dados!$C$2:$C$55,$A16))</f>
        <v/>
      </c>
      <c r="K16" s="6">
        <f>IFERROR(J16-I16,"")</f>
        <v/>
      </c>
    </row>
    <row r="17">
      <c r="A17" s="2" t="inlineStr">
        <is>
          <t>Belo Horizonte</t>
        </is>
      </c>
      <c r="B17" s="14" t="inlineStr">
        <is>
          <t>Instagram</t>
        </is>
      </c>
      <c r="C17" s="2" t="inlineStr">
        <is>
          <t>n_posts_periodo</t>
        </is>
      </c>
      <c r="D17" s="2" t="inlineStr">
        <is>
          <t>Posts de 01/09 a 01/10/2026</t>
        </is>
      </c>
      <c r="E17" s="5">
        <f>COUNTIFS(dados!$C$2:$C$55,$A17,dados!$T$2:$T$55,"&lt;&gt;")</f>
        <v/>
      </c>
      <c r="F17" s="6">
        <f>IFERROR(AVERAGEIFS(dados!$T$2:$T$55,dados!$C$2:$C$55,$A17),"")</f>
        <v/>
      </c>
      <c r="G17" s="6">
        <f t="array" ref="G17">IFERROR(MEDIAN(IF((dados!$C$2:$C$55=$A17)*(dados!$T$2:$T$55&lt;&gt;""),dados!$T$2:$T$55)),"")</f>
        <v/>
      </c>
      <c r="H17" s="6">
        <f t="array" ref="H17">IFERROR(STDEV(IF((dados!$C$2:$C$55=$A17)*(dados!$T$2:$T$55&lt;&gt;""),dados!$T$2:$T$55)),"")</f>
        <v/>
      </c>
      <c r="I17" s="6">
        <f>IF(COUNTIFS(dados!$C$2:$C$55,$A17,dados!$T$2:$T$55,"&lt;&gt;")=0,"",_xlfn.MINIFS(dados!$T$2:$T$55,dados!$C$2:$C$55,$A17))</f>
        <v/>
      </c>
      <c r="J17" s="6">
        <f>IF(COUNTIFS(dados!$C$2:$C$55,$A17,dados!$T$2:$T$55,"&lt;&gt;")=0,"",_xlfn.MAXIFS(dados!$T$2:$T$55,dados!$C$2:$C$55,$A17))</f>
        <v/>
      </c>
      <c r="K17" s="6">
        <f>IFERROR(J17-I17,"")</f>
        <v/>
      </c>
    </row>
    <row r="18">
      <c r="A18" s="2" t="inlineStr">
        <is>
          <t>Belo Horizonte</t>
        </is>
      </c>
      <c r="B18" s="14" t="inlineStr">
        <is>
          <t>Instagram</t>
        </is>
      </c>
      <c r="C18" s="2" t="inlineStr">
        <is>
          <t>curtidas_periodo</t>
        </is>
      </c>
      <c r="D18" s="2" t="inlineStr">
        <is>
          <t>Curtidas no período</t>
        </is>
      </c>
      <c r="E18" s="5">
        <f>COUNTIFS(dados!$C$2:$C$55,$A18,dados!$U$2:$U$55,"&lt;&gt;")</f>
        <v/>
      </c>
      <c r="F18" s="5">
        <f>IFERROR(AVERAGEIFS(dados!$U$2:$U$55,dados!$C$2:$C$55,$A18),"")</f>
        <v/>
      </c>
      <c r="G18" s="5">
        <f t="array" ref="G18">IFERROR(MEDIAN(IF((dados!$C$2:$C$55=$A18)*(dados!$U$2:$U$55&lt;&gt;""),dados!$U$2:$U$55)),"")</f>
        <v/>
      </c>
      <c r="H18" s="5">
        <f t="array" ref="H18">IFERROR(STDEV(IF((dados!$C$2:$C$55=$A18)*(dados!$U$2:$U$55&lt;&gt;""),dados!$U$2:$U$55)),"")</f>
        <v/>
      </c>
      <c r="I18" s="5">
        <f>IF(COUNTIFS(dados!$C$2:$C$55,$A18,dados!$U$2:$U$55,"&lt;&gt;")=0,"",_xlfn.MINIFS(dados!$U$2:$U$55,dados!$C$2:$C$55,$A18))</f>
        <v/>
      </c>
      <c r="J18" s="5">
        <f>IF(COUNTIFS(dados!$C$2:$C$55,$A18,dados!$U$2:$U$55,"&lt;&gt;")=0,"",_xlfn.MAXIFS(dados!$U$2:$U$55,dados!$C$2:$C$55,$A18))</f>
        <v/>
      </c>
      <c r="K18" s="5">
        <f>IFERROR(J18-I18,"")</f>
        <v/>
      </c>
    </row>
    <row r="19">
      <c r="A19" s="2" t="inlineStr">
        <is>
          <t>Belo Horizonte</t>
        </is>
      </c>
      <c r="B19" s="14" t="inlineStr">
        <is>
          <t>Instagram</t>
        </is>
      </c>
      <c r="C19" s="2" t="inlineStr">
        <is>
          <t>comentarios_periodo</t>
        </is>
      </c>
      <c r="D19" s="2" t="inlineStr">
        <is>
          <t>Comentários no período</t>
        </is>
      </c>
      <c r="E19" s="5">
        <f>COUNTIFS(dados!$C$2:$C$55,$A19,dados!$V$2:$V$55,"&lt;&gt;")</f>
        <v/>
      </c>
      <c r="F19" s="5">
        <f>IFERROR(AVERAGEIFS(dados!$V$2:$V$55,dados!$C$2:$C$55,$A19),"")</f>
        <v/>
      </c>
      <c r="G19" s="5">
        <f t="array" ref="G19">IFERROR(MEDIAN(IF((dados!$C$2:$C$55=$A19)*(dados!$V$2:$V$55&lt;&gt;""),dados!$V$2:$V$55)),"")</f>
        <v/>
      </c>
      <c r="H19" s="5">
        <f t="array" ref="H19">IFERROR(STDEV(IF((dados!$C$2:$C$55=$A19)*(dados!$V$2:$V$55&lt;&gt;""),dados!$V$2:$V$55)),"")</f>
        <v/>
      </c>
      <c r="I19" s="5">
        <f>IF(COUNTIFS(dados!$C$2:$C$55,$A19,dados!$V$2:$V$55,"&lt;&gt;")=0,"",_xlfn.MINIFS(dados!$V$2:$V$55,dados!$C$2:$C$55,$A19))</f>
        <v/>
      </c>
      <c r="J19" s="5">
        <f>IF(COUNTIFS(dados!$C$2:$C$55,$A19,dados!$V$2:$V$55,"&lt;&gt;")=0,"",_xlfn.MAXIFS(dados!$V$2:$V$55,dados!$C$2:$C$55,$A19))</f>
        <v/>
      </c>
      <c r="K19" s="5">
        <f>IFERROR(J19-I19,"")</f>
        <v/>
      </c>
    </row>
    <row r="20">
      <c r="A20" s="2" t="inlineStr">
        <is>
          <t>Belo Horizonte</t>
        </is>
      </c>
      <c r="B20" s="14" t="inlineStr">
        <is>
          <t>Instagram</t>
        </is>
      </c>
      <c r="C20" s="2" t="inlineStr">
        <is>
          <t>interacoes_por_post</t>
        </is>
      </c>
      <c r="D20" s="2" t="inlineStr">
        <is>
          <t>Interações por post no período (curtidas + comentários)</t>
        </is>
      </c>
      <c r="E20" s="5">
        <f>COUNTIFS(dados!$C$2:$C$55,$A20,dados!$W$2:$W$55,"&lt;&gt;")</f>
        <v/>
      </c>
      <c r="F20" s="6">
        <f>IFERROR(AVERAGEIFS(dados!$W$2:$W$55,dados!$C$2:$C$55,$A20),"")</f>
        <v/>
      </c>
      <c r="G20" s="6">
        <f t="array" ref="G20">IFERROR(MEDIAN(IF((dados!$C$2:$C$55=$A20)*(dados!$W$2:$W$55&lt;&gt;""),dados!$W$2:$W$55)),"")</f>
        <v/>
      </c>
      <c r="H20" s="6">
        <f t="array" ref="H20">IFERROR(STDEV(IF((dados!$C$2:$C$55=$A20)*(dados!$W$2:$W$55&lt;&gt;""),dados!$W$2:$W$55)),"")</f>
        <v/>
      </c>
      <c r="I20" s="6">
        <f>IF(COUNTIFS(dados!$C$2:$C$55,$A20,dados!$W$2:$W$55,"&lt;&gt;")=0,"",_xlfn.MINIFS(dados!$W$2:$W$55,dados!$C$2:$C$55,$A20))</f>
        <v/>
      </c>
      <c r="J20" s="6">
        <f>IF(COUNTIFS(dados!$C$2:$C$55,$A20,dados!$W$2:$W$55,"&lt;&gt;")=0,"",_xlfn.MAXIFS(dados!$W$2:$W$55,dados!$C$2:$C$55,$A20))</f>
        <v/>
      </c>
      <c r="K20" s="6">
        <f>IFERROR(J20-I20,"")</f>
        <v/>
      </c>
    </row>
    <row r="21">
      <c r="A21" s="2" t="inlineStr">
        <is>
          <t>Belo Horizonte</t>
        </is>
      </c>
      <c r="B21" s="14" t="inlineStr">
        <is>
          <t>Instagram</t>
        </is>
      </c>
      <c r="C21" s="2" t="inlineStr">
        <is>
          <t>engajamento_pct</t>
        </is>
      </c>
      <c r="D21" s="2" t="inlineStr">
        <is>
          <t>Taxa de engajamento (interações por post ÷ seguidores)</t>
        </is>
      </c>
      <c r="E21" s="5">
        <f>COUNTIFS(dados!$C$2:$C$55,$A21,dados!$X$2:$X$55,"&lt;&gt;")</f>
        <v/>
      </c>
      <c r="F21" s="15">
        <f>IFERROR(AVERAGEIFS(dados!$X$2:$X$55,dados!$C$2:$C$55,$A21),"")</f>
        <v/>
      </c>
      <c r="G21" s="15">
        <f t="array" ref="G21">IFERROR(MEDIAN(IF((dados!$C$2:$C$55=$A21)*(dados!$X$2:$X$55&lt;&gt;""),dados!$X$2:$X$55)),"")</f>
        <v/>
      </c>
      <c r="H21" s="15">
        <f t="array" ref="H21">IFERROR(STDEV(IF((dados!$C$2:$C$55=$A21)*(dados!$X$2:$X$55&lt;&gt;""),dados!$X$2:$X$55)),"")</f>
        <v/>
      </c>
      <c r="I21" s="15">
        <f>IF(COUNTIFS(dados!$C$2:$C$55,$A21,dados!$X$2:$X$55,"&lt;&gt;")=0,"",_xlfn.MINIFS(dados!$X$2:$X$55,dados!$C$2:$C$55,$A21))</f>
        <v/>
      </c>
      <c r="J21" s="15">
        <f>IF(COUNTIFS(dados!$C$2:$C$55,$A21,dados!$X$2:$X$55,"&lt;&gt;")=0,"",_xlfn.MAXIFS(dados!$X$2:$X$55,dados!$C$2:$C$55,$A21))</f>
        <v/>
      </c>
      <c r="K21" s="15">
        <f>IFERROR(J21-I21,"")</f>
        <v/>
      </c>
    </row>
    <row r="22">
      <c r="A22" s="2" t="inlineStr">
        <is>
          <t>Belo Horizonte</t>
        </is>
      </c>
      <c r="B22" s="16" t="inlineStr">
        <is>
          <t>Cardápio</t>
        </is>
      </c>
      <c r="C22" s="2" t="inlineStr">
        <is>
          <t>itens_com_preco</t>
        </is>
      </c>
      <c r="D22" s="2" t="inlineStr">
        <is>
          <t>Itens com preço no cardápio</t>
        </is>
      </c>
      <c r="E22" s="5">
        <f>COUNTIFS(dados!$C$2:$C$55,$A22,dados!$Y$2:$Y$55,"&lt;&gt;")</f>
        <v/>
      </c>
      <c r="F22" s="5">
        <f>IFERROR(AVERAGEIFS(dados!$Y$2:$Y$55,dados!$C$2:$C$55,$A22),"")</f>
        <v/>
      </c>
      <c r="G22" s="5">
        <f t="array" ref="G22">IFERROR(MEDIAN(IF((dados!$C$2:$C$55=$A22)*(dados!$Y$2:$Y$55&lt;&gt;""),dados!$Y$2:$Y$55)),"")</f>
        <v/>
      </c>
      <c r="H22" s="5">
        <f t="array" ref="H22">IFERROR(STDEV(IF((dados!$C$2:$C$55=$A22)*(dados!$Y$2:$Y$55&lt;&gt;""),dados!$Y$2:$Y$55)),"")</f>
        <v/>
      </c>
      <c r="I22" s="5">
        <f>IF(COUNTIFS(dados!$C$2:$C$55,$A22,dados!$Y$2:$Y$55,"&lt;&gt;")=0,"",_xlfn.MINIFS(dados!$Y$2:$Y$55,dados!$C$2:$C$55,$A22))</f>
        <v/>
      </c>
      <c r="J22" s="5">
        <f>IF(COUNTIFS(dados!$C$2:$C$55,$A22,dados!$Y$2:$Y$55,"&lt;&gt;")=0,"",_xlfn.MAXIFS(dados!$Y$2:$Y$55,dados!$C$2:$C$55,$A22))</f>
        <v/>
      </c>
      <c r="K22" s="5">
        <f>IFERROR(J22-I22,"")</f>
        <v/>
      </c>
    </row>
    <row r="23">
      <c r="A23" s="2" t="inlineStr">
        <is>
          <t>Belo Horizonte</t>
        </is>
      </c>
      <c r="B23" s="16" t="inlineStr">
        <is>
          <t>Cardápio</t>
        </is>
      </c>
      <c r="C23" s="2" t="inlineStr">
        <is>
          <t>couvert_mediana</t>
        </is>
      </c>
      <c r="D23" s="2" t="inlineStr">
        <is>
          <t>Couvert ou taxa de jogo (só casas que cobram)</t>
        </is>
      </c>
      <c r="E23" s="5">
        <f>COUNTIFS(dados!$C$2:$C$55,$A23,dados!$Z$2:$Z$55,"&lt;&gt;")</f>
        <v/>
      </c>
      <c r="F23" s="7">
        <f>IFERROR(AVERAGEIFS(dados!$Z$2:$Z$55,dados!$C$2:$C$55,$A23),"")</f>
        <v/>
      </c>
      <c r="G23" s="7">
        <f t="array" ref="G23">IFERROR(MEDIAN(IF((dados!$C$2:$C$55=$A23)*(dados!$Z$2:$Z$55&lt;&gt;""),dados!$Z$2:$Z$55)),"")</f>
        <v/>
      </c>
      <c r="H23" s="7">
        <f t="array" ref="H23">IFERROR(STDEV(IF((dados!$C$2:$C$55=$A23)*(dados!$Z$2:$Z$55&lt;&gt;""),dados!$Z$2:$Z$55)),"")</f>
        <v/>
      </c>
      <c r="I23" s="7">
        <f>IF(COUNTIFS(dados!$C$2:$C$55,$A23,dados!$Z$2:$Z$55,"&lt;&gt;")=0,"",_xlfn.MINIFS(dados!$Z$2:$Z$55,dados!$C$2:$C$55,$A23))</f>
        <v/>
      </c>
      <c r="J23" s="7">
        <f>IF(COUNTIFS(dados!$C$2:$C$55,$A23,dados!$Z$2:$Z$55,"&lt;&gt;")=0,"",_xlfn.MAXIFS(dados!$Z$2:$Z$55,dados!$C$2:$C$55,$A23))</f>
        <v/>
      </c>
      <c r="K23" s="7">
        <f>IFERROR(J23-I23,"")</f>
        <v/>
      </c>
    </row>
    <row r="24">
      <c r="A24" s="2" t="inlineStr">
        <is>
          <t>Belo Horizonte</t>
        </is>
      </c>
      <c r="B24" s="16" t="inlineStr">
        <is>
          <t>Cardápio</t>
        </is>
      </c>
      <c r="C24" s="2" t="inlineStr">
        <is>
          <t>bebida_mediana</t>
        </is>
      </c>
      <c r="D24" s="2" t="inlineStr">
        <is>
          <t>Bebida, mediana do cardápio</t>
        </is>
      </c>
      <c r="E24" s="5">
        <f>COUNTIFS(dados!$C$2:$C$55,$A24,dados!$AA$2:$AA$55,"&lt;&gt;")</f>
        <v/>
      </c>
      <c r="F24" s="7">
        <f>IFERROR(AVERAGEIFS(dados!$AA$2:$AA$55,dados!$C$2:$C$55,$A24),"")</f>
        <v/>
      </c>
      <c r="G24" s="7">
        <f t="array" ref="G24">IFERROR(MEDIAN(IF((dados!$C$2:$C$55=$A24)*(dados!$AA$2:$AA$55&lt;&gt;""),dados!$AA$2:$AA$55)),"")</f>
        <v/>
      </c>
      <c r="H24" s="7">
        <f t="array" ref="H24">IFERROR(STDEV(IF((dados!$C$2:$C$55=$A24)*(dados!$AA$2:$AA$55&lt;&gt;""),dados!$AA$2:$AA$55)),"")</f>
        <v/>
      </c>
      <c r="I24" s="7">
        <f>IF(COUNTIFS(dados!$C$2:$C$55,$A24,dados!$AA$2:$AA$55,"&lt;&gt;")=0,"",_xlfn.MINIFS(dados!$AA$2:$AA$55,dados!$C$2:$C$55,$A24))</f>
        <v/>
      </c>
      <c r="J24" s="7">
        <f>IF(COUNTIFS(dados!$C$2:$C$55,$A24,dados!$AA$2:$AA$55,"&lt;&gt;")=0,"",_xlfn.MAXIFS(dados!$AA$2:$AA$55,dados!$C$2:$C$55,$A24))</f>
        <v/>
      </c>
      <c r="K24" s="7">
        <f>IFERROR(J24-I24,"")</f>
        <v/>
      </c>
    </row>
    <row r="25">
      <c r="A25" s="2" t="inlineStr">
        <is>
          <t>Belo Horizonte</t>
        </is>
      </c>
      <c r="B25" s="16" t="inlineStr">
        <is>
          <t>Cardápio</t>
        </is>
      </c>
      <c r="C25" s="2" t="inlineStr">
        <is>
          <t>entrada_ou_prato_mediana</t>
        </is>
      </c>
      <c r="D25" s="2" t="inlineStr">
        <is>
          <t>Entrada ou prato, mediana do cardápio</t>
        </is>
      </c>
      <c r="E25" s="5">
        <f>COUNTIFS(dados!$C$2:$C$55,$A25,dados!$AB$2:$AB$55,"&lt;&gt;")</f>
        <v/>
      </c>
      <c r="F25" s="7">
        <f>IFERROR(AVERAGEIFS(dados!$AB$2:$AB$55,dados!$C$2:$C$55,$A25),"")</f>
        <v/>
      </c>
      <c r="G25" s="7">
        <f t="array" ref="G25">IFERROR(MEDIAN(IF((dados!$C$2:$C$55=$A25)*(dados!$AB$2:$AB$55&lt;&gt;""),dados!$AB$2:$AB$55)),"")</f>
        <v/>
      </c>
      <c r="H25" s="7">
        <f t="array" ref="H25">IFERROR(STDEV(IF((dados!$C$2:$C$55=$A25)*(dados!$AB$2:$AB$55&lt;&gt;""),dados!$AB$2:$AB$55)),"")</f>
        <v/>
      </c>
      <c r="I25" s="7">
        <f>IF(COUNTIFS(dados!$C$2:$C$55,$A25,dados!$AB$2:$AB$55,"&lt;&gt;")=0,"",_xlfn.MINIFS(dados!$AB$2:$AB$55,dados!$C$2:$C$55,$A25))</f>
        <v/>
      </c>
      <c r="J25" s="7">
        <f>IF(COUNTIFS(dados!$C$2:$C$55,$A25,dados!$AB$2:$AB$55,"&lt;&gt;")=0,"",_xlfn.MAXIFS(dados!$AB$2:$AB$55,dados!$C$2:$C$55,$A25))</f>
        <v/>
      </c>
      <c r="K25" s="7">
        <f>IFERROR(J25-I25,"")</f>
        <v/>
      </c>
    </row>
    <row r="26">
      <c r="A26" s="2" t="inlineStr">
        <is>
          <t>Belo Horizonte</t>
        </is>
      </c>
      <c r="B26" s="16" t="inlineStr">
        <is>
          <t>Cardápio</t>
        </is>
      </c>
      <c r="C26" s="2" t="inlineStr">
        <is>
          <t>cesta_baixa</t>
        </is>
      </c>
      <c r="D26" s="2" t="inlineStr">
        <is>
          <t>Cesta por pessoa, nível baixo (P25)</t>
        </is>
      </c>
      <c r="E26" s="5">
        <f>COUNTIFS(dados!$C$2:$C$55,$A26,dados!$AC$2:$AC$55,"&lt;&gt;")</f>
        <v/>
      </c>
      <c r="F26" s="7">
        <f>IFERROR(AVERAGEIFS(dados!$AC$2:$AC$55,dados!$C$2:$C$55,$A26),"")</f>
        <v/>
      </c>
      <c r="G26" s="7">
        <f t="array" ref="G26">IFERROR(MEDIAN(IF((dados!$C$2:$C$55=$A26)*(dados!$AC$2:$AC$55&lt;&gt;""),dados!$AC$2:$AC$55)),"")</f>
        <v/>
      </c>
      <c r="H26" s="7">
        <f t="array" ref="H26">IFERROR(STDEV(IF((dados!$C$2:$C$55=$A26)*(dados!$AC$2:$AC$55&lt;&gt;""),dados!$AC$2:$AC$55)),"")</f>
        <v/>
      </c>
      <c r="I26" s="7">
        <f>IF(COUNTIFS(dados!$C$2:$C$55,$A26,dados!$AC$2:$AC$55,"&lt;&gt;")=0,"",_xlfn.MINIFS(dados!$AC$2:$AC$55,dados!$C$2:$C$55,$A26))</f>
        <v/>
      </c>
      <c r="J26" s="7">
        <f>IF(COUNTIFS(dados!$C$2:$C$55,$A26,dados!$AC$2:$AC$55,"&lt;&gt;")=0,"",_xlfn.MAXIFS(dados!$AC$2:$AC$55,dados!$C$2:$C$55,$A26))</f>
        <v/>
      </c>
      <c r="K26" s="7">
        <f>IFERROR(J26-I26,"")</f>
        <v/>
      </c>
    </row>
    <row r="27">
      <c r="A27" s="2" t="inlineStr">
        <is>
          <t>Belo Horizonte</t>
        </is>
      </c>
      <c r="B27" s="16" t="inlineStr">
        <is>
          <t>Cardápio</t>
        </is>
      </c>
      <c r="C27" s="2" t="inlineStr">
        <is>
          <t>cesta_mediana</t>
        </is>
      </c>
      <c r="D27" s="2" t="inlineStr">
        <is>
          <t>Cesta por pessoa, nível mediano</t>
        </is>
      </c>
      <c r="E27" s="5">
        <f>COUNTIFS(dados!$C$2:$C$55,$A27,dados!$AD$2:$AD$55,"&lt;&gt;")</f>
        <v/>
      </c>
      <c r="F27" s="7">
        <f>IFERROR(AVERAGEIFS(dados!$AD$2:$AD$55,dados!$C$2:$C$55,$A27),"")</f>
        <v/>
      </c>
      <c r="G27" s="7">
        <f t="array" ref="G27">IFERROR(MEDIAN(IF((dados!$C$2:$C$55=$A27)*(dados!$AD$2:$AD$55&lt;&gt;""),dados!$AD$2:$AD$55)),"")</f>
        <v/>
      </c>
      <c r="H27" s="7">
        <f t="array" ref="H27">IFERROR(STDEV(IF((dados!$C$2:$C$55=$A27)*(dados!$AD$2:$AD$55&lt;&gt;""),dados!$AD$2:$AD$55)),"")</f>
        <v/>
      </c>
      <c r="I27" s="7">
        <f>IF(COUNTIFS(dados!$C$2:$C$55,$A27,dados!$AD$2:$AD$55,"&lt;&gt;")=0,"",_xlfn.MINIFS(dados!$AD$2:$AD$55,dados!$C$2:$C$55,$A27))</f>
        <v/>
      </c>
      <c r="J27" s="7">
        <f>IF(COUNTIFS(dados!$C$2:$C$55,$A27,dados!$AD$2:$AD$55,"&lt;&gt;")=0,"",_xlfn.MAXIFS(dados!$AD$2:$AD$55,dados!$C$2:$C$55,$A27))</f>
        <v/>
      </c>
      <c r="K27" s="7">
        <f>IFERROR(J27-I27,"")</f>
        <v/>
      </c>
    </row>
    <row r="28">
      <c r="A28" s="2" t="inlineStr">
        <is>
          <t>Belo Horizonte</t>
        </is>
      </c>
      <c r="B28" s="16" t="inlineStr">
        <is>
          <t>Cardápio</t>
        </is>
      </c>
      <c r="C28" s="2" t="inlineStr">
        <is>
          <t>cesta_alta</t>
        </is>
      </c>
      <c r="D28" s="2" t="inlineStr">
        <is>
          <t>Cesta por pessoa, nível alto (P75)</t>
        </is>
      </c>
      <c r="E28" s="5">
        <f>COUNTIFS(dados!$C$2:$C$55,$A28,dados!$AE$2:$AE$55,"&lt;&gt;")</f>
        <v/>
      </c>
      <c r="F28" s="7">
        <f>IFERROR(AVERAGEIFS(dados!$AE$2:$AE$55,dados!$C$2:$C$55,$A28),"")</f>
        <v/>
      </c>
      <c r="G28" s="7">
        <f t="array" ref="G28">IFERROR(MEDIAN(IF((dados!$C$2:$C$55=$A28)*(dados!$AE$2:$AE$55&lt;&gt;""),dados!$AE$2:$AE$55)),"")</f>
        <v/>
      </c>
      <c r="H28" s="7">
        <f t="array" ref="H28">IFERROR(STDEV(IF((dados!$C$2:$C$55=$A28)*(dados!$AE$2:$AE$55&lt;&gt;""),dados!$AE$2:$AE$55)),"")</f>
        <v/>
      </c>
      <c r="I28" s="7">
        <f>IF(COUNTIFS(dados!$C$2:$C$55,$A28,dados!$AE$2:$AE$55,"&lt;&gt;")=0,"",_xlfn.MINIFS(dados!$AE$2:$AE$55,dados!$C$2:$C$55,$A28))</f>
        <v/>
      </c>
      <c r="J28" s="7">
        <f>IF(COUNTIFS(dados!$C$2:$C$55,$A28,dados!$AE$2:$AE$55,"&lt;&gt;")=0,"",_xlfn.MAXIFS(dados!$AE$2:$AE$55,dados!$C$2:$C$55,$A28))</f>
        <v/>
      </c>
      <c r="K28" s="7">
        <f>IFERROR(J28-I28,"")</f>
        <v/>
      </c>
    </row>
    <row r="29">
      <c r="A29" s="2" t="inlineStr">
        <is>
          <t>Belo Horizonte</t>
        </is>
      </c>
      <c r="B29" s="16" t="inlineStr">
        <is>
          <t>Cardápio</t>
        </is>
      </c>
      <c r="C29" s="2" t="inlineStr">
        <is>
          <t>hamburguer_mediana</t>
        </is>
      </c>
      <c r="D29" s="2" t="inlineStr">
        <is>
          <t>Hambúrguer, mediana</t>
        </is>
      </c>
      <c r="E29" s="5">
        <f>COUNTIFS(dados!$C$2:$C$55,$A29,dados!$AF$2:$AF$55,"&lt;&gt;")</f>
        <v/>
      </c>
      <c r="F29" s="7">
        <f>IFERROR(AVERAGEIFS(dados!$AF$2:$AF$55,dados!$C$2:$C$55,$A29),"")</f>
        <v/>
      </c>
      <c r="G29" s="7">
        <f t="array" ref="G29">IFERROR(MEDIAN(IF((dados!$C$2:$C$55=$A29)*(dados!$AF$2:$AF$55&lt;&gt;""),dados!$AF$2:$AF$55)),"")</f>
        <v/>
      </c>
      <c r="H29" s="7">
        <f t="array" ref="H29">IFERROR(STDEV(IF((dados!$C$2:$C$55=$A29)*(dados!$AF$2:$AF$55&lt;&gt;""),dados!$AF$2:$AF$55)),"")</f>
        <v/>
      </c>
      <c r="I29" s="7">
        <f>IF(COUNTIFS(dados!$C$2:$C$55,$A29,dados!$AF$2:$AF$55,"&lt;&gt;")=0,"",_xlfn.MINIFS(dados!$AF$2:$AF$55,dados!$C$2:$C$55,$A29))</f>
        <v/>
      </c>
      <c r="J29" s="7">
        <f>IF(COUNTIFS(dados!$C$2:$C$55,$A29,dados!$AF$2:$AF$55,"&lt;&gt;")=0,"",_xlfn.MAXIFS(dados!$AF$2:$AF$55,dados!$C$2:$C$55,$A29))</f>
        <v/>
      </c>
      <c r="K29" s="7">
        <f>IFERROR(J29-I29,"")</f>
        <v/>
      </c>
    </row>
    <row r="30">
      <c r="A30" s="2" t="inlineStr">
        <is>
          <t>Belo Horizonte</t>
        </is>
      </c>
      <c r="B30" s="16" t="inlineStr">
        <is>
          <t>Cardápio</t>
        </is>
      </c>
      <c r="C30" s="2" t="inlineStr">
        <is>
          <t>batata_mediana</t>
        </is>
      </c>
      <c r="D30" s="2" t="inlineStr">
        <is>
          <t>Batata, mediana</t>
        </is>
      </c>
      <c r="E30" s="5">
        <f>COUNTIFS(dados!$C$2:$C$55,$A30,dados!$AG$2:$AG$55,"&lt;&gt;")</f>
        <v/>
      </c>
      <c r="F30" s="7">
        <f>IFERROR(AVERAGEIFS(dados!$AG$2:$AG$55,dados!$C$2:$C$55,$A30),"")</f>
        <v/>
      </c>
      <c r="G30" s="7">
        <f t="array" ref="G30">IFERROR(MEDIAN(IF((dados!$C$2:$C$55=$A30)*(dados!$AG$2:$AG$55&lt;&gt;""),dados!$AG$2:$AG$55)),"")</f>
        <v/>
      </c>
      <c r="H30" s="7">
        <f t="array" ref="H30">IFERROR(STDEV(IF((dados!$C$2:$C$55=$A30)*(dados!$AG$2:$AG$55&lt;&gt;""),dados!$AG$2:$AG$55)),"")</f>
        <v/>
      </c>
      <c r="I30" s="7">
        <f>IF(COUNTIFS(dados!$C$2:$C$55,$A30,dados!$AG$2:$AG$55,"&lt;&gt;")=0,"",_xlfn.MINIFS(dados!$AG$2:$AG$55,dados!$C$2:$C$55,$A30))</f>
        <v/>
      </c>
      <c r="J30" s="7">
        <f>IF(COUNTIFS(dados!$C$2:$C$55,$A30,dados!$AG$2:$AG$55,"&lt;&gt;")=0,"",_xlfn.MAXIFS(dados!$AG$2:$AG$55,dados!$C$2:$C$55,$A30))</f>
        <v/>
      </c>
      <c r="K30" s="7">
        <f>IFERROR(J30-I30,"")</f>
        <v/>
      </c>
    </row>
    <row r="31">
      <c r="A31" s="2" t="inlineStr">
        <is>
          <t>Belo Horizonte</t>
        </is>
      </c>
      <c r="B31" s="16" t="inlineStr">
        <is>
          <t>Cardápio</t>
        </is>
      </c>
      <c r="C31" s="2" t="inlineStr">
        <is>
          <t>cerveja_mediana</t>
        </is>
      </c>
      <c r="D31" s="2" t="inlineStr">
        <is>
          <t>Cerveja, mediana</t>
        </is>
      </c>
      <c r="E31" s="5">
        <f>COUNTIFS(dados!$C$2:$C$55,$A31,dados!$AH$2:$AH$55,"&lt;&gt;")</f>
        <v/>
      </c>
      <c r="F31" s="7">
        <f>IFERROR(AVERAGEIFS(dados!$AH$2:$AH$55,dados!$C$2:$C$55,$A31),"")</f>
        <v/>
      </c>
      <c r="G31" s="7">
        <f t="array" ref="G31">IFERROR(MEDIAN(IF((dados!$C$2:$C$55=$A31)*(dados!$AH$2:$AH$55&lt;&gt;""),dados!$AH$2:$AH$55)),"")</f>
        <v/>
      </c>
      <c r="H31" s="7">
        <f t="array" ref="H31">IFERROR(STDEV(IF((dados!$C$2:$C$55=$A31)*(dados!$AH$2:$AH$55&lt;&gt;""),dados!$AH$2:$AH$55)),"")</f>
        <v/>
      </c>
      <c r="I31" s="7">
        <f>IF(COUNTIFS(dados!$C$2:$C$55,$A31,dados!$AH$2:$AH$55,"&lt;&gt;")=0,"",_xlfn.MINIFS(dados!$AH$2:$AH$55,dados!$C$2:$C$55,$A31))</f>
        <v/>
      </c>
      <c r="J31" s="7">
        <f>IF(COUNTIFS(dados!$C$2:$C$55,$A31,dados!$AH$2:$AH$55,"&lt;&gt;")=0,"",_xlfn.MAXIFS(dados!$AH$2:$AH$55,dados!$C$2:$C$55,$A31))</f>
        <v/>
      </c>
      <c r="K31" s="7">
        <f>IFERROR(J31-I31,"")</f>
        <v/>
      </c>
    </row>
    <row r="32">
      <c r="A32" s="2" t="inlineStr">
        <is>
          <t>Belo Horizonte</t>
        </is>
      </c>
      <c r="B32" s="16" t="inlineStr">
        <is>
          <t>Cardápio</t>
        </is>
      </c>
      <c r="C32" s="2" t="inlineStr">
        <is>
          <t>refrigerante_mediana</t>
        </is>
      </c>
      <c r="D32" s="2" t="inlineStr">
        <is>
          <t>Refrigerante, mediana</t>
        </is>
      </c>
      <c r="E32" s="5">
        <f>COUNTIFS(dados!$C$2:$C$55,$A32,dados!$AI$2:$AI$55,"&lt;&gt;")</f>
        <v/>
      </c>
      <c r="F32" s="7">
        <f>IFERROR(AVERAGEIFS(dados!$AI$2:$AI$55,dados!$C$2:$C$55,$A32),"")</f>
        <v/>
      </c>
      <c r="G32" s="7">
        <f t="array" ref="G32">IFERROR(MEDIAN(IF((dados!$C$2:$C$55=$A32)*(dados!$AI$2:$AI$55&lt;&gt;""),dados!$AI$2:$AI$55)),"")</f>
        <v/>
      </c>
      <c r="H32" s="7">
        <f t="array" ref="H32">IFERROR(STDEV(IF((dados!$C$2:$C$55=$A32)*(dados!$AI$2:$AI$55&lt;&gt;""),dados!$AI$2:$AI$55)),"")</f>
        <v/>
      </c>
      <c r="I32" s="7">
        <f>IF(COUNTIFS(dados!$C$2:$C$55,$A32,dados!$AI$2:$AI$55,"&lt;&gt;")=0,"",_xlfn.MINIFS(dados!$AI$2:$AI$55,dados!$C$2:$C$55,$A32))</f>
        <v/>
      </c>
      <c r="J32" s="7">
        <f>IF(COUNTIFS(dados!$C$2:$C$55,$A32,dados!$AI$2:$AI$55,"&lt;&gt;")=0,"",_xlfn.MAXIFS(dados!$AI$2:$AI$55,dados!$C$2:$C$55,$A32))</f>
        <v/>
      </c>
      <c r="K32" s="7">
        <f>IFERROR(J32-I32,"")</f>
        <v/>
      </c>
    </row>
    <row r="33">
      <c r="A33" s="2" t="inlineStr">
        <is>
          <t>Belo Horizonte</t>
        </is>
      </c>
      <c r="B33" s="16" t="inlineStr">
        <is>
          <t>Cardápio</t>
        </is>
      </c>
      <c r="C33" s="2" t="inlineStr">
        <is>
          <t>drinks_mediana</t>
        </is>
      </c>
      <c r="D33" s="2" t="inlineStr">
        <is>
          <t>Drinks, mediana</t>
        </is>
      </c>
      <c r="E33" s="5">
        <f>COUNTIFS(dados!$C$2:$C$55,$A33,dados!$AJ$2:$AJ$55,"&lt;&gt;")</f>
        <v/>
      </c>
      <c r="F33" s="7">
        <f>IFERROR(AVERAGEIFS(dados!$AJ$2:$AJ$55,dados!$C$2:$C$55,$A33),"")</f>
        <v/>
      </c>
      <c r="G33" s="7">
        <f t="array" ref="G33">IFERROR(MEDIAN(IF((dados!$C$2:$C$55=$A33)*(dados!$AJ$2:$AJ$55&lt;&gt;""),dados!$AJ$2:$AJ$55)),"")</f>
        <v/>
      </c>
      <c r="H33" s="7">
        <f t="array" ref="H33">IFERROR(STDEV(IF((dados!$C$2:$C$55=$A33)*(dados!$AJ$2:$AJ$55&lt;&gt;""),dados!$AJ$2:$AJ$55)),"")</f>
        <v/>
      </c>
      <c r="I33" s="7">
        <f>IF(COUNTIFS(dados!$C$2:$C$55,$A33,dados!$AJ$2:$AJ$55,"&lt;&gt;")=0,"",_xlfn.MINIFS(dados!$AJ$2:$AJ$55,dados!$C$2:$C$55,$A33))</f>
        <v/>
      </c>
      <c r="J33" s="7">
        <f>IF(COUNTIFS(dados!$C$2:$C$55,$A33,dados!$AJ$2:$AJ$55,"&lt;&gt;")=0,"",_xlfn.MAXIFS(dados!$AJ$2:$AJ$55,dados!$C$2:$C$55,$A33))</f>
        <v/>
      </c>
      <c r="K33" s="7">
        <f>IFERROR(J33-I33,"")</f>
        <v/>
      </c>
    </row>
    <row r="34">
      <c r="A34" s="2" t="inlineStr">
        <is>
          <t>Belo Horizonte</t>
        </is>
      </c>
      <c r="B34" s="17" t="inlineStr">
        <is>
          <t>Acervo</t>
        </is>
      </c>
      <c r="C34" s="2" t="inlineStr">
        <is>
          <t>titulos_acervo</t>
        </is>
      </c>
      <c r="D34" s="2" t="inlineStr">
        <is>
          <t>Títulos no acervo publicado</t>
        </is>
      </c>
      <c r="E34" s="5">
        <f>COUNTIFS(dados!$C$2:$C$55,$A34,dados!$AK$2:$AK$55,"&lt;&gt;")</f>
        <v/>
      </c>
      <c r="F34" s="5">
        <f>IFERROR(AVERAGEIFS(dados!$AK$2:$AK$55,dados!$C$2:$C$55,$A34),"")</f>
        <v/>
      </c>
      <c r="G34" s="5">
        <f t="array" ref="G34">IFERROR(MEDIAN(IF((dados!$C$2:$C$55=$A34)*(dados!$AK$2:$AK$55&lt;&gt;""),dados!$AK$2:$AK$55)),"")</f>
        <v/>
      </c>
      <c r="H34" s="5">
        <f t="array" ref="H34">IFERROR(STDEV(IF((dados!$C$2:$C$55=$A34)*(dados!$AK$2:$AK$55&lt;&gt;""),dados!$AK$2:$AK$55)),"")</f>
        <v/>
      </c>
      <c r="I34" s="5">
        <f>IF(COUNTIFS(dados!$C$2:$C$55,$A34,dados!$AK$2:$AK$55,"&lt;&gt;")=0,"",_xlfn.MINIFS(dados!$AK$2:$AK$55,dados!$C$2:$C$55,$A34))</f>
        <v/>
      </c>
      <c r="J34" s="5">
        <f>IF(COUNTIFS(dados!$C$2:$C$55,$A34,dados!$AK$2:$AK$55,"&lt;&gt;")=0,"",_xlfn.MAXIFS(dados!$AK$2:$AK$55,dados!$C$2:$C$55,$A34))</f>
        <v/>
      </c>
      <c r="K34" s="5">
        <f>IFERROR(J34-I34,"")</f>
        <v/>
      </c>
    </row>
    <row r="35">
      <c r="A35" s="2" t="inlineStr">
        <is>
          <t>Belo Horizonte</t>
        </is>
      </c>
      <c r="B35" s="18" t="inlineStr">
        <is>
          <t>B2</t>
        </is>
      </c>
      <c r="C35" s="2" t="inlineStr">
        <is>
          <t>avaliacoes_b2</t>
        </is>
      </c>
      <c r="D35" s="2" t="inlineStr">
        <is>
          <t>Avaliações no recorte do B2 (até '3 meses atrás')</t>
        </is>
      </c>
      <c r="E35" s="5">
        <f>COUNTIFS(dados!$C$2:$C$55,$A35,dados!$AL$2:$AL$55,"&lt;&gt;")</f>
        <v/>
      </c>
      <c r="F35" s="5">
        <f>IFERROR(AVERAGEIFS(dados!$AL$2:$AL$55,dados!$C$2:$C$55,$A35),"")</f>
        <v/>
      </c>
      <c r="G35" s="5">
        <f t="array" ref="G35">IFERROR(MEDIAN(IF((dados!$C$2:$C$55=$A35)*(dados!$AL$2:$AL$55&lt;&gt;""),dados!$AL$2:$AL$55)),"")</f>
        <v/>
      </c>
      <c r="H35" s="5">
        <f t="array" ref="H35">IFERROR(STDEV(IF((dados!$C$2:$C$55=$A35)*(dados!$AL$2:$AL$55&lt;&gt;""),dados!$AL$2:$AL$55)),"")</f>
        <v/>
      </c>
      <c r="I35" s="5">
        <f>IF(COUNTIFS(dados!$C$2:$C$55,$A35,dados!$AL$2:$AL$55,"&lt;&gt;")=0,"",_xlfn.MINIFS(dados!$AL$2:$AL$55,dados!$C$2:$C$55,$A35))</f>
        <v/>
      </c>
      <c r="J35" s="5">
        <f>IF(COUNTIFS(dados!$C$2:$C$55,$A35,dados!$AL$2:$AL$55,"&lt;&gt;")=0,"",_xlfn.MAXIFS(dados!$AL$2:$AL$55,dados!$C$2:$C$55,$A35))</f>
        <v/>
      </c>
      <c r="K35" s="5">
        <f>IFERROR(J35-I35,"")</f>
        <v/>
      </c>
    </row>
    <row r="36">
      <c r="A36" s="2" t="inlineStr">
        <is>
          <t>Belo Horizonte</t>
        </is>
      </c>
      <c r="B36" s="18" t="inlineStr">
        <is>
          <t>B2</t>
        </is>
      </c>
      <c r="C36" s="2" t="inlineStr">
        <is>
          <t>avaliacoes_b2_com_texto</t>
        </is>
      </c>
      <c r="D36" s="2" t="inlineStr">
        <is>
          <t>Dessas, com texto</t>
        </is>
      </c>
      <c r="E36" s="5">
        <f>COUNTIFS(dados!$C$2:$C$55,$A36,dados!$AM$2:$AM$55,"&lt;&gt;")</f>
        <v/>
      </c>
      <c r="F36" s="5">
        <f>IFERROR(AVERAGEIFS(dados!$AM$2:$AM$55,dados!$C$2:$C$55,$A36),"")</f>
        <v/>
      </c>
      <c r="G36" s="5">
        <f t="array" ref="G36">IFERROR(MEDIAN(IF((dados!$C$2:$C$55=$A36)*(dados!$AM$2:$AM$55&lt;&gt;""),dados!$AM$2:$AM$55)),"")</f>
        <v/>
      </c>
      <c r="H36" s="5">
        <f t="array" ref="H36">IFERROR(STDEV(IF((dados!$C$2:$C$55=$A36)*(dados!$AM$2:$AM$55&lt;&gt;""),dados!$AM$2:$AM$55)),"")</f>
        <v/>
      </c>
      <c r="I36" s="5">
        <f>IF(COUNTIFS(dados!$C$2:$C$55,$A36,dados!$AM$2:$AM$55,"&lt;&gt;")=0,"",_xlfn.MINIFS(dados!$AM$2:$AM$55,dados!$C$2:$C$55,$A36))</f>
        <v/>
      </c>
      <c r="J36" s="5">
        <f>IF(COUNTIFS(dados!$C$2:$C$55,$A36,dados!$AM$2:$AM$55,"&lt;&gt;")=0,"",_xlfn.MAXIFS(dados!$AM$2:$AM$55,dados!$C$2:$C$55,$A36))</f>
        <v/>
      </c>
      <c r="K36" s="5">
        <f>IFERROR(J36-I36,"")</f>
        <v/>
      </c>
    </row>
    <row r="37">
      <c r="A37" s="2" t="inlineStr">
        <is>
          <t>Belém</t>
        </is>
      </c>
      <c r="B37" s="11" t="inlineStr">
        <is>
          <t>Google Maps</t>
        </is>
      </c>
      <c r="C37" s="2" t="inlineStr">
        <is>
          <t>avaliacao_media</t>
        </is>
      </c>
      <c r="D37" s="2" t="inlineStr">
        <is>
          <t>Nota média no Google</t>
        </is>
      </c>
      <c r="E37" s="5">
        <f>COUNTIFS(dados!$C$2:$C$55,$A37,dados!$E$2:$E$55,"&lt;&gt;")</f>
        <v/>
      </c>
      <c r="F37" s="4">
        <f>IFERROR(AVERAGEIFS(dados!$E$2:$E$55,dados!$C$2:$C$55,$A37),"")</f>
        <v/>
      </c>
      <c r="G37" s="4">
        <f t="array" ref="G37">IFERROR(MEDIAN(IF((dados!$C$2:$C$55=$A37)*(dados!$E$2:$E$55&lt;&gt;""),dados!$E$2:$E$55)),"")</f>
        <v/>
      </c>
      <c r="H37" s="4">
        <f t="array" ref="H37">IFERROR(STDEV(IF((dados!$C$2:$C$55=$A37)*(dados!$E$2:$E$55&lt;&gt;""),dados!$E$2:$E$55)),"")</f>
        <v/>
      </c>
      <c r="I37" s="4">
        <f>IF(COUNTIFS(dados!$C$2:$C$55,$A37,dados!$E$2:$E$55,"&lt;&gt;")=0,"",_xlfn.MINIFS(dados!$E$2:$E$55,dados!$C$2:$C$55,$A37))</f>
        <v/>
      </c>
      <c r="J37" s="4">
        <f>IF(COUNTIFS(dados!$C$2:$C$55,$A37,dados!$E$2:$E$55,"&lt;&gt;")=0,"",_xlfn.MAXIFS(dados!$E$2:$E$55,dados!$C$2:$C$55,$A37))</f>
        <v/>
      </c>
      <c r="K37" s="4">
        <f>IFERROR(J37-I37,"")</f>
        <v/>
      </c>
    </row>
    <row r="38">
      <c r="A38" s="2" t="inlineStr">
        <is>
          <t>Belém</t>
        </is>
      </c>
      <c r="B38" s="11" t="inlineStr">
        <is>
          <t>Google Maps</t>
        </is>
      </c>
      <c r="C38" s="2" t="inlineStr">
        <is>
          <t>volume_avaliacoes</t>
        </is>
      </c>
      <c r="D38" s="2" t="inlineStr">
        <is>
          <t>Nº de avaliações no Google</t>
        </is>
      </c>
      <c r="E38" s="5">
        <f>COUNTIFS(dados!$C$2:$C$55,$A38,dados!$F$2:$F$55,"&lt;&gt;")</f>
        <v/>
      </c>
      <c r="F38" s="5">
        <f>IFERROR(AVERAGEIFS(dados!$F$2:$F$55,dados!$C$2:$C$55,$A38),"")</f>
        <v/>
      </c>
      <c r="G38" s="5">
        <f t="array" ref="G38">IFERROR(MEDIAN(IF((dados!$C$2:$C$55=$A38)*(dados!$F$2:$F$55&lt;&gt;""),dados!$F$2:$F$55)),"")</f>
        <v/>
      </c>
      <c r="H38" s="5">
        <f t="array" ref="H38">IFERROR(STDEV(IF((dados!$C$2:$C$55=$A38)*(dados!$F$2:$F$55&lt;&gt;""),dados!$F$2:$F$55)),"")</f>
        <v/>
      </c>
      <c r="I38" s="5">
        <f>IF(COUNTIFS(dados!$C$2:$C$55,$A38,dados!$F$2:$F$55,"&lt;&gt;")=0,"",_xlfn.MINIFS(dados!$F$2:$F$55,dados!$C$2:$C$55,$A38))</f>
        <v/>
      </c>
      <c r="J38" s="5">
        <f>IF(COUNTIFS(dados!$C$2:$C$55,$A38,dados!$F$2:$F$55,"&lt;&gt;")=0,"",_xlfn.MAXIFS(dados!$F$2:$F$55,dados!$C$2:$C$55,$A38))</f>
        <v/>
      </c>
      <c r="K38" s="5">
        <f>IFERROR(J38-I38,"")</f>
        <v/>
      </c>
    </row>
    <row r="39">
      <c r="A39" s="2" t="inlineStr">
        <is>
          <t>Belém</t>
        </is>
      </c>
      <c r="B39" s="12" t="inlineStr">
        <is>
          <t>Horários</t>
        </is>
      </c>
      <c r="C39" s="2" t="inlineStr">
        <is>
          <t>dias_abertos</t>
        </is>
      </c>
      <c r="D39" s="2" t="inlineStr">
        <is>
          <t>Dias abertos por semana</t>
        </is>
      </c>
      <c r="E39" s="5">
        <f>COUNTIFS(dados!$C$2:$C$55,$A39,dados!$G$2:$G$55,"&lt;&gt;")</f>
        <v/>
      </c>
      <c r="F39" s="6">
        <f>IFERROR(AVERAGEIFS(dados!$G$2:$G$55,dados!$C$2:$C$55,$A39),"")</f>
        <v/>
      </c>
      <c r="G39" s="6">
        <f t="array" ref="G39">IFERROR(MEDIAN(IF((dados!$C$2:$C$55=$A39)*(dados!$G$2:$G$55&lt;&gt;""),dados!$G$2:$G$55)),"")</f>
        <v/>
      </c>
      <c r="H39" s="6">
        <f t="array" ref="H39">IFERROR(STDEV(IF((dados!$C$2:$C$55=$A39)*(dados!$G$2:$G$55&lt;&gt;""),dados!$G$2:$G$55)),"")</f>
        <v/>
      </c>
      <c r="I39" s="6">
        <f>IF(COUNTIFS(dados!$C$2:$C$55,$A39,dados!$G$2:$G$55,"&lt;&gt;")=0,"",_xlfn.MINIFS(dados!$G$2:$G$55,dados!$C$2:$C$55,$A39))</f>
        <v/>
      </c>
      <c r="J39" s="6">
        <f>IF(COUNTIFS(dados!$C$2:$C$55,$A39,dados!$G$2:$G$55,"&lt;&gt;")=0,"",_xlfn.MAXIFS(dados!$G$2:$G$55,dados!$C$2:$C$55,$A39))</f>
        <v/>
      </c>
      <c r="K39" s="6">
        <f>IFERROR(J39-I39,"")</f>
        <v/>
      </c>
    </row>
    <row r="40">
      <c r="A40" s="2" t="inlineStr">
        <is>
          <t>Belém</t>
        </is>
      </c>
      <c r="B40" s="12" t="inlineStr">
        <is>
          <t>Horários</t>
        </is>
      </c>
      <c r="C40" s="2" t="inlineStr">
        <is>
          <t>horas_semana</t>
        </is>
      </c>
      <c r="D40" s="2" t="inlineStr">
        <is>
          <t>Horas abertas por semana</t>
        </is>
      </c>
      <c r="E40" s="5">
        <f>COUNTIFS(dados!$C$2:$C$55,$A40,dados!$H$2:$H$55,"&lt;&gt;")</f>
        <v/>
      </c>
      <c r="F40" s="6">
        <f>IFERROR(AVERAGEIFS(dados!$H$2:$H$55,dados!$C$2:$C$55,$A40),"")</f>
        <v/>
      </c>
      <c r="G40" s="6">
        <f t="array" ref="G40">IFERROR(MEDIAN(IF((dados!$C$2:$C$55=$A40)*(dados!$H$2:$H$55&lt;&gt;""),dados!$H$2:$H$55)),"")</f>
        <v/>
      </c>
      <c r="H40" s="6">
        <f t="array" ref="H40">IFERROR(STDEV(IF((dados!$C$2:$C$55=$A40)*(dados!$H$2:$H$55&lt;&gt;""),dados!$H$2:$H$55)),"")</f>
        <v/>
      </c>
      <c r="I40" s="6">
        <f>IF(COUNTIFS(dados!$C$2:$C$55,$A40,dados!$H$2:$H$55,"&lt;&gt;")=0,"",_xlfn.MINIFS(dados!$H$2:$H$55,dados!$C$2:$C$55,$A40))</f>
        <v/>
      </c>
      <c r="J40" s="6">
        <f>IF(COUNTIFS(dados!$C$2:$C$55,$A40,dados!$H$2:$H$55,"&lt;&gt;")=0,"",_xlfn.MAXIFS(dados!$H$2:$H$55,dados!$C$2:$C$55,$A40))</f>
        <v/>
      </c>
      <c r="K40" s="6">
        <f>IFERROR(J40-I40,"")</f>
        <v/>
      </c>
    </row>
    <row r="41">
      <c r="A41" s="2" t="inlineStr">
        <is>
          <t>Belém</t>
        </is>
      </c>
      <c r="B41" s="12" t="inlineStr">
        <is>
          <t>Horários</t>
        </is>
      </c>
      <c r="C41" s="2" t="inlineStr">
        <is>
          <t>abre_cedo_h</t>
        </is>
      </c>
      <c r="D41" s="2" t="inlineStr">
        <is>
          <t>Abertura mais cedo da semana</t>
        </is>
      </c>
      <c r="E41" s="5">
        <f>COUNTIFS(dados!$C$2:$C$55,$A41,dados!$I$2:$I$55,"&lt;&gt;")</f>
        <v/>
      </c>
      <c r="F41" s="6">
        <f>IFERROR(AVERAGEIFS(dados!$I$2:$I$55,dados!$C$2:$C$55,$A41),"")</f>
        <v/>
      </c>
      <c r="G41" s="6">
        <f t="array" ref="G41">IFERROR(MEDIAN(IF((dados!$C$2:$C$55=$A41)*(dados!$I$2:$I$55&lt;&gt;""),dados!$I$2:$I$55)),"")</f>
        <v/>
      </c>
      <c r="H41" s="6">
        <f t="array" ref="H41">IFERROR(STDEV(IF((dados!$C$2:$C$55=$A41)*(dados!$I$2:$I$55&lt;&gt;""),dados!$I$2:$I$55)),"")</f>
        <v/>
      </c>
      <c r="I41" s="6">
        <f>IF(COUNTIFS(dados!$C$2:$C$55,$A41,dados!$I$2:$I$55,"&lt;&gt;")=0,"",_xlfn.MINIFS(dados!$I$2:$I$55,dados!$C$2:$C$55,$A41))</f>
        <v/>
      </c>
      <c r="J41" s="6">
        <f>IF(COUNTIFS(dados!$C$2:$C$55,$A41,dados!$I$2:$I$55,"&lt;&gt;")=0,"",_xlfn.MAXIFS(dados!$I$2:$I$55,dados!$C$2:$C$55,$A41))</f>
        <v/>
      </c>
      <c r="K41" s="6">
        <f>IFERROR(J41-I41,"")</f>
        <v/>
      </c>
    </row>
    <row r="42">
      <c r="A42" s="2" t="inlineStr">
        <is>
          <t>Belém</t>
        </is>
      </c>
      <c r="B42" s="12" t="inlineStr">
        <is>
          <t>Horários</t>
        </is>
      </c>
      <c r="C42" s="2" t="inlineStr">
        <is>
          <t>fecha_tarde_h</t>
        </is>
      </c>
      <c r="D42" s="2" t="inlineStr">
        <is>
          <t>Fechamento mais tarde da semana (25 = 1h da manhã)</t>
        </is>
      </c>
      <c r="E42" s="5">
        <f>COUNTIFS(dados!$C$2:$C$55,$A42,dados!$J$2:$J$55,"&lt;&gt;")</f>
        <v/>
      </c>
      <c r="F42" s="6">
        <f>IFERROR(AVERAGEIFS(dados!$J$2:$J$55,dados!$C$2:$C$55,$A42),"")</f>
        <v/>
      </c>
      <c r="G42" s="6">
        <f t="array" ref="G42">IFERROR(MEDIAN(IF((dados!$C$2:$C$55=$A42)*(dados!$J$2:$J$55&lt;&gt;""),dados!$J$2:$J$55)),"")</f>
        <v/>
      </c>
      <c r="H42" s="6">
        <f t="array" ref="H42">IFERROR(STDEV(IF((dados!$C$2:$C$55=$A42)*(dados!$J$2:$J$55&lt;&gt;""),dados!$J$2:$J$55)),"")</f>
        <v/>
      </c>
      <c r="I42" s="6">
        <f>IF(COUNTIFS(dados!$C$2:$C$55,$A42,dados!$J$2:$J$55,"&lt;&gt;")=0,"",_xlfn.MINIFS(dados!$J$2:$J$55,dados!$C$2:$C$55,$A42))</f>
        <v/>
      </c>
      <c r="J42" s="6">
        <f>IF(COUNTIFS(dados!$C$2:$C$55,$A42,dados!$J$2:$J$55,"&lt;&gt;")=0,"",_xlfn.MAXIFS(dados!$J$2:$J$55,dados!$C$2:$C$55,$A42))</f>
        <v/>
      </c>
      <c r="K42" s="6">
        <f>IFERROR(J42-I42,"")</f>
        <v/>
      </c>
    </row>
    <row r="43">
      <c r="A43" s="2" t="inlineStr">
        <is>
          <t>Belém</t>
        </is>
      </c>
      <c r="B43" s="13" t="inlineStr">
        <is>
          <t>Entorno</t>
        </is>
      </c>
      <c r="C43" s="2" t="inlineStr">
        <is>
          <t>metro_500m</t>
        </is>
      </c>
      <c r="D43" s="2" t="inlineStr">
        <is>
          <t>Estações de metrô até 500 m</t>
        </is>
      </c>
      <c r="E43" s="5">
        <f>COUNTIFS(dados!$C$2:$C$55,$A43,dados!$K$2:$K$55,"&lt;&gt;")</f>
        <v/>
      </c>
      <c r="F43" s="4">
        <f>IFERROR(AVERAGEIFS(dados!$K$2:$K$55,dados!$C$2:$C$55,$A43),"")</f>
        <v/>
      </c>
      <c r="G43" s="4">
        <f t="array" ref="G43">IFERROR(MEDIAN(IF((dados!$C$2:$C$55=$A43)*(dados!$K$2:$K$55&lt;&gt;""),dados!$K$2:$K$55)),"")</f>
        <v/>
      </c>
      <c r="H43" s="4">
        <f t="array" ref="H43">IFERROR(STDEV(IF((dados!$C$2:$C$55=$A43)*(dados!$K$2:$K$55&lt;&gt;""),dados!$K$2:$K$55)),"")</f>
        <v/>
      </c>
      <c r="I43" s="4">
        <f>IF(COUNTIFS(dados!$C$2:$C$55,$A43,dados!$K$2:$K$55,"&lt;&gt;")=0,"",_xlfn.MINIFS(dados!$K$2:$K$55,dados!$C$2:$C$55,$A43))</f>
        <v/>
      </c>
      <c r="J43" s="4">
        <f>IF(COUNTIFS(dados!$C$2:$C$55,$A43,dados!$K$2:$K$55,"&lt;&gt;")=0,"",_xlfn.MAXIFS(dados!$K$2:$K$55,dados!$C$2:$C$55,$A43))</f>
        <v/>
      </c>
      <c r="K43" s="4">
        <f>IFERROR(J43-I43,"")</f>
        <v/>
      </c>
    </row>
    <row r="44">
      <c r="A44" s="2" t="inlineStr">
        <is>
          <t>Belém</t>
        </is>
      </c>
      <c r="B44" s="13" t="inlineStr">
        <is>
          <t>Entorno</t>
        </is>
      </c>
      <c r="C44" s="2" t="inlineStr">
        <is>
          <t>metro_1000m</t>
        </is>
      </c>
      <c r="D44" s="2" t="inlineStr">
        <is>
          <t>Estações de metrô até 1000 m</t>
        </is>
      </c>
      <c r="E44" s="5">
        <f>COUNTIFS(dados!$C$2:$C$55,$A44,dados!$L$2:$L$55,"&lt;&gt;")</f>
        <v/>
      </c>
      <c r="F44" s="4">
        <f>IFERROR(AVERAGEIFS(dados!$L$2:$L$55,dados!$C$2:$C$55,$A44),"")</f>
        <v/>
      </c>
      <c r="G44" s="4">
        <f t="array" ref="G44">IFERROR(MEDIAN(IF((dados!$C$2:$C$55=$A44)*(dados!$L$2:$L$55&lt;&gt;""),dados!$L$2:$L$55)),"")</f>
        <v/>
      </c>
      <c r="H44" s="4">
        <f t="array" ref="H44">IFERROR(STDEV(IF((dados!$C$2:$C$55=$A44)*(dados!$L$2:$L$55&lt;&gt;""),dados!$L$2:$L$55)),"")</f>
        <v/>
      </c>
      <c r="I44" s="4">
        <f>IF(COUNTIFS(dados!$C$2:$C$55,$A44,dados!$L$2:$L$55,"&lt;&gt;")=0,"",_xlfn.MINIFS(dados!$L$2:$L$55,dados!$C$2:$C$55,$A44))</f>
        <v/>
      </c>
      <c r="J44" s="4">
        <f>IF(COUNTIFS(dados!$C$2:$C$55,$A44,dados!$L$2:$L$55,"&lt;&gt;")=0,"",_xlfn.MAXIFS(dados!$L$2:$L$55,dados!$C$2:$C$55,$A44))</f>
        <v/>
      </c>
      <c r="K44" s="4">
        <f>IFERROR(J44-I44,"")</f>
        <v/>
      </c>
    </row>
    <row r="45">
      <c r="A45" s="2" t="inlineStr">
        <is>
          <t>Belém</t>
        </is>
      </c>
      <c r="B45" s="13" t="inlineStr">
        <is>
          <t>Entorno</t>
        </is>
      </c>
      <c r="C45" s="2" t="inlineStr">
        <is>
          <t>dist_metro_m</t>
        </is>
      </c>
      <c r="D45" s="2" t="inlineStr">
        <is>
          <t>Distância à estação de metrô mais próxima</t>
        </is>
      </c>
      <c r="E45" s="5">
        <f>COUNTIFS(dados!$C$2:$C$55,$A45,dados!$M$2:$M$55,"&lt;&gt;")</f>
        <v/>
      </c>
      <c r="F45" s="5">
        <f>IFERROR(AVERAGEIFS(dados!$M$2:$M$55,dados!$C$2:$C$55,$A45),"")</f>
        <v/>
      </c>
      <c r="G45" s="5">
        <f t="array" ref="G45">IFERROR(MEDIAN(IF((dados!$C$2:$C$55=$A45)*(dados!$M$2:$M$55&lt;&gt;""),dados!$M$2:$M$55)),"")</f>
        <v/>
      </c>
      <c r="H45" s="5">
        <f t="array" ref="H45">IFERROR(STDEV(IF((dados!$C$2:$C$55=$A45)*(dados!$M$2:$M$55&lt;&gt;""),dados!$M$2:$M$55)),"")</f>
        <v/>
      </c>
      <c r="I45" s="5">
        <f>IF(COUNTIFS(dados!$C$2:$C$55,$A45,dados!$M$2:$M$55,"&lt;&gt;")=0,"",_xlfn.MINIFS(dados!$M$2:$M$55,dados!$C$2:$C$55,$A45))</f>
        <v/>
      </c>
      <c r="J45" s="5">
        <f>IF(COUNTIFS(dados!$C$2:$C$55,$A45,dados!$M$2:$M$55,"&lt;&gt;")=0,"",_xlfn.MAXIFS(dados!$M$2:$M$55,dados!$C$2:$C$55,$A45))</f>
        <v/>
      </c>
      <c r="K45" s="5">
        <f>IFERROR(J45-I45,"")</f>
        <v/>
      </c>
    </row>
    <row r="46">
      <c r="A46" s="2" t="inlineStr">
        <is>
          <t>Belém</t>
        </is>
      </c>
      <c r="B46" s="13" t="inlineStr">
        <is>
          <t>Entorno</t>
        </is>
      </c>
      <c r="C46" s="2" t="inlineStr">
        <is>
          <t>shopping_porte_500m</t>
        </is>
      </c>
      <c r="D46" s="2" t="inlineStr">
        <is>
          <t>Shoppings de porte até 500 m (onde o porte foi buscado)</t>
        </is>
      </c>
      <c r="E46" s="5">
        <f>COUNTIFS(dados!$C$2:$C$55,$A46,dados!$N$2:$N$55,"&lt;&gt;")</f>
        <v/>
      </c>
      <c r="F46" s="4">
        <f>IFERROR(AVERAGEIFS(dados!$N$2:$N$55,dados!$C$2:$C$55,$A46),"")</f>
        <v/>
      </c>
      <c r="G46" s="4">
        <f t="array" ref="G46">IFERROR(MEDIAN(IF((dados!$C$2:$C$55=$A46)*(dados!$N$2:$N$55&lt;&gt;""),dados!$N$2:$N$55)),"")</f>
        <v/>
      </c>
      <c r="H46" s="4">
        <f t="array" ref="H46">IFERROR(STDEV(IF((dados!$C$2:$C$55=$A46)*(dados!$N$2:$N$55&lt;&gt;""),dados!$N$2:$N$55)),"")</f>
        <v/>
      </c>
      <c r="I46" s="4">
        <f>IF(COUNTIFS(dados!$C$2:$C$55,$A46,dados!$N$2:$N$55,"&lt;&gt;")=0,"",_xlfn.MINIFS(dados!$N$2:$N$55,dados!$C$2:$C$55,$A46))</f>
        <v/>
      </c>
      <c r="J46" s="4">
        <f>IF(COUNTIFS(dados!$C$2:$C$55,$A46,dados!$N$2:$N$55,"&lt;&gt;")=0,"",_xlfn.MAXIFS(dados!$N$2:$N$55,dados!$C$2:$C$55,$A46))</f>
        <v/>
      </c>
      <c r="K46" s="4">
        <f>IFERROR(J46-I46,"")</f>
        <v/>
      </c>
    </row>
    <row r="47">
      <c r="A47" s="2" t="inlineStr">
        <is>
          <t>Belém</t>
        </is>
      </c>
      <c r="B47" s="13" t="inlineStr">
        <is>
          <t>Entorno</t>
        </is>
      </c>
      <c r="C47" s="2" t="inlineStr">
        <is>
          <t>shopping_porte_1000m</t>
        </is>
      </c>
      <c r="D47" s="2" t="inlineStr">
        <is>
          <t>Shoppings de porte até 1000 m (onde o porte foi buscado)</t>
        </is>
      </c>
      <c r="E47" s="5">
        <f>COUNTIFS(dados!$C$2:$C$55,$A47,dados!$O$2:$O$55,"&lt;&gt;")</f>
        <v/>
      </c>
      <c r="F47" s="4">
        <f>IFERROR(AVERAGEIFS(dados!$O$2:$O$55,dados!$C$2:$C$55,$A47),"")</f>
        <v/>
      </c>
      <c r="G47" s="4">
        <f t="array" ref="G47">IFERROR(MEDIAN(IF((dados!$C$2:$C$55=$A47)*(dados!$O$2:$O$55&lt;&gt;""),dados!$O$2:$O$55)),"")</f>
        <v/>
      </c>
      <c r="H47" s="4">
        <f t="array" ref="H47">IFERROR(STDEV(IF((dados!$C$2:$C$55=$A47)*(dados!$O$2:$O$55&lt;&gt;""),dados!$O$2:$O$55)),"")</f>
        <v/>
      </c>
      <c r="I47" s="4">
        <f>IF(COUNTIFS(dados!$C$2:$C$55,$A47,dados!$O$2:$O$55,"&lt;&gt;")=0,"",_xlfn.MINIFS(dados!$O$2:$O$55,dados!$C$2:$C$55,$A47))</f>
        <v/>
      </c>
      <c r="J47" s="4">
        <f>IF(COUNTIFS(dados!$C$2:$C$55,$A47,dados!$O$2:$O$55,"&lt;&gt;")=0,"",_xlfn.MAXIFS(dados!$O$2:$O$55,dados!$C$2:$C$55,$A47))</f>
        <v/>
      </c>
      <c r="K47" s="4">
        <f>IFERROR(J47-I47,"")</f>
        <v/>
      </c>
    </row>
    <row r="48">
      <c r="A48" s="2" t="inlineStr">
        <is>
          <t>Belém</t>
        </is>
      </c>
      <c r="B48" s="13" t="inlineStr">
        <is>
          <t>Entorno</t>
        </is>
      </c>
      <c r="C48" s="2" t="inlineStr">
        <is>
          <t>dist_shopping_m</t>
        </is>
      </c>
      <c r="D48" s="2" t="inlineStr">
        <is>
          <t>Distância ao shopping mais próximo (qualquer porte)</t>
        </is>
      </c>
      <c r="E48" s="5">
        <f>COUNTIFS(dados!$C$2:$C$55,$A48,dados!$P$2:$P$55,"&lt;&gt;")</f>
        <v/>
      </c>
      <c r="F48" s="5">
        <f>IFERROR(AVERAGEIFS(dados!$P$2:$P$55,dados!$C$2:$C$55,$A48),"")</f>
        <v/>
      </c>
      <c r="G48" s="5">
        <f t="array" ref="G48">IFERROR(MEDIAN(IF((dados!$C$2:$C$55=$A48)*(dados!$P$2:$P$55&lt;&gt;""),dados!$P$2:$P$55)),"")</f>
        <v/>
      </c>
      <c r="H48" s="5">
        <f t="array" ref="H48">IFERROR(STDEV(IF((dados!$C$2:$C$55=$A48)*(dados!$P$2:$P$55&lt;&gt;""),dados!$P$2:$P$55)),"")</f>
        <v/>
      </c>
      <c r="I48" s="5">
        <f>IF(COUNTIFS(dados!$C$2:$C$55,$A48,dados!$P$2:$P$55,"&lt;&gt;")=0,"",_xlfn.MINIFS(dados!$P$2:$P$55,dados!$C$2:$C$55,$A48))</f>
        <v/>
      </c>
      <c r="J48" s="5">
        <f>IF(COUNTIFS(dados!$C$2:$C$55,$A48,dados!$P$2:$P$55,"&lt;&gt;")=0,"",_xlfn.MAXIFS(dados!$P$2:$P$55,dados!$C$2:$C$55,$A48))</f>
        <v/>
      </c>
      <c r="K48" s="5">
        <f>IFERROR(J48-I48,"")</f>
        <v/>
      </c>
    </row>
    <row r="49">
      <c r="A49" s="2" t="inlineStr">
        <is>
          <t>Belém</t>
        </is>
      </c>
      <c r="B49" s="14" t="inlineStr">
        <is>
          <t>Instagram</t>
        </is>
      </c>
      <c r="C49" s="2" t="inlineStr">
        <is>
          <t>seguidores</t>
        </is>
      </c>
      <c r="D49" s="2" t="inlineStr">
        <is>
          <t>Seguidores</t>
        </is>
      </c>
      <c r="E49" s="5">
        <f>COUNTIFS(dados!$C$2:$C$55,$A49,dados!$Q$2:$Q$55,"&lt;&gt;")</f>
        <v/>
      </c>
      <c r="F49" s="5">
        <f>IFERROR(AVERAGEIFS(dados!$Q$2:$Q$55,dados!$C$2:$C$55,$A49),"")</f>
        <v/>
      </c>
      <c r="G49" s="5">
        <f t="array" ref="G49">IFERROR(MEDIAN(IF((dados!$C$2:$C$55=$A49)*(dados!$Q$2:$Q$55&lt;&gt;""),dados!$Q$2:$Q$55)),"")</f>
        <v/>
      </c>
      <c r="H49" s="5">
        <f t="array" ref="H49">IFERROR(STDEV(IF((dados!$C$2:$C$55=$A49)*(dados!$Q$2:$Q$55&lt;&gt;""),dados!$Q$2:$Q$55)),"")</f>
        <v/>
      </c>
      <c r="I49" s="5">
        <f>IF(COUNTIFS(dados!$C$2:$C$55,$A49,dados!$Q$2:$Q$55,"&lt;&gt;")=0,"",_xlfn.MINIFS(dados!$Q$2:$Q$55,dados!$C$2:$C$55,$A49))</f>
        <v/>
      </c>
      <c r="J49" s="5">
        <f>IF(COUNTIFS(dados!$C$2:$C$55,$A49,dados!$Q$2:$Q$55,"&lt;&gt;")=0,"",_xlfn.MAXIFS(dados!$Q$2:$Q$55,dados!$C$2:$C$55,$A49))</f>
        <v/>
      </c>
      <c r="K49" s="5">
        <f>IFERROR(J49-I49,"")</f>
        <v/>
      </c>
    </row>
    <row r="50">
      <c r="A50" s="2" t="inlineStr">
        <is>
          <t>Belém</t>
        </is>
      </c>
      <c r="B50" s="14" t="inlineStr">
        <is>
          <t>Instagram</t>
        </is>
      </c>
      <c r="C50" s="2" t="inlineStr">
        <is>
          <t>n_posts_total</t>
        </is>
      </c>
      <c r="D50" s="2" t="inlineStr">
        <is>
          <t>Posts desde a criação do perfil</t>
        </is>
      </c>
      <c r="E50" s="5">
        <f>COUNTIFS(dados!$C$2:$C$55,$A50,dados!$R$2:$R$55,"&lt;&gt;")</f>
        <v/>
      </c>
      <c r="F50" s="5">
        <f>IFERROR(AVERAGEIFS(dados!$R$2:$R$55,dados!$C$2:$C$55,$A50),"")</f>
        <v/>
      </c>
      <c r="G50" s="5">
        <f t="array" ref="G50">IFERROR(MEDIAN(IF((dados!$C$2:$C$55=$A50)*(dados!$R$2:$R$55&lt;&gt;""),dados!$R$2:$R$55)),"")</f>
        <v/>
      </c>
      <c r="H50" s="5">
        <f t="array" ref="H50">IFERROR(STDEV(IF((dados!$C$2:$C$55=$A50)*(dados!$R$2:$R$55&lt;&gt;""),dados!$R$2:$R$55)),"")</f>
        <v/>
      </c>
      <c r="I50" s="5">
        <f>IF(COUNTIFS(dados!$C$2:$C$55,$A50,dados!$R$2:$R$55,"&lt;&gt;")=0,"",_xlfn.MINIFS(dados!$R$2:$R$55,dados!$C$2:$C$55,$A50))</f>
        <v/>
      </c>
      <c r="J50" s="5">
        <f>IF(COUNTIFS(dados!$C$2:$C$55,$A50,dados!$R$2:$R$55,"&lt;&gt;")=0,"",_xlfn.MAXIFS(dados!$R$2:$R$55,dados!$C$2:$C$55,$A50))</f>
        <v/>
      </c>
      <c r="K50" s="5">
        <f>IFERROR(J50-I50,"")</f>
        <v/>
      </c>
    </row>
    <row r="51">
      <c r="A51" s="2" t="inlineStr">
        <is>
          <t>Belém</t>
        </is>
      </c>
      <c r="B51" s="14" t="inlineStr">
        <is>
          <t>Instagram</t>
        </is>
      </c>
      <c r="C51" s="2" t="inlineStr">
        <is>
          <t>idade_perfil_anos</t>
        </is>
      </c>
      <c r="D51" s="2" t="inlineStr">
        <is>
          <t>Idade do perfil (desde o primeiro post até 15/10/2026)</t>
        </is>
      </c>
      <c r="E51" s="5">
        <f>COUNTIFS(dados!$C$2:$C$55,$A51,dados!$S$2:$S$55,"&lt;&gt;")</f>
        <v/>
      </c>
      <c r="F51" s="6">
        <f>IFERROR(AVERAGEIFS(dados!$S$2:$S$55,dados!$C$2:$C$55,$A51),"")</f>
        <v/>
      </c>
      <c r="G51" s="6">
        <f t="array" ref="G51">IFERROR(MEDIAN(IF((dados!$C$2:$C$55=$A51)*(dados!$S$2:$S$55&lt;&gt;""),dados!$S$2:$S$55)),"")</f>
        <v/>
      </c>
      <c r="H51" s="6">
        <f t="array" ref="H51">IFERROR(STDEV(IF((dados!$C$2:$C$55=$A51)*(dados!$S$2:$S$55&lt;&gt;""),dados!$S$2:$S$55)),"")</f>
        <v/>
      </c>
      <c r="I51" s="6">
        <f>IF(COUNTIFS(dados!$C$2:$C$55,$A51,dados!$S$2:$S$55,"&lt;&gt;")=0,"",_xlfn.MINIFS(dados!$S$2:$S$55,dados!$C$2:$C$55,$A51))</f>
        <v/>
      </c>
      <c r="J51" s="6">
        <f>IF(COUNTIFS(dados!$C$2:$C$55,$A51,dados!$S$2:$S$55,"&lt;&gt;")=0,"",_xlfn.MAXIFS(dados!$S$2:$S$55,dados!$C$2:$C$55,$A51))</f>
        <v/>
      </c>
      <c r="K51" s="6">
        <f>IFERROR(J51-I51,"")</f>
        <v/>
      </c>
    </row>
    <row r="52">
      <c r="A52" s="2" t="inlineStr">
        <is>
          <t>Belém</t>
        </is>
      </c>
      <c r="B52" s="14" t="inlineStr">
        <is>
          <t>Instagram</t>
        </is>
      </c>
      <c r="C52" s="2" t="inlineStr">
        <is>
          <t>n_posts_periodo</t>
        </is>
      </c>
      <c r="D52" s="2" t="inlineStr">
        <is>
          <t>Posts de 01/09 a 01/10/2026</t>
        </is>
      </c>
      <c r="E52" s="5">
        <f>COUNTIFS(dados!$C$2:$C$55,$A52,dados!$T$2:$T$55,"&lt;&gt;")</f>
        <v/>
      </c>
      <c r="F52" s="6">
        <f>IFERROR(AVERAGEIFS(dados!$T$2:$T$55,dados!$C$2:$C$55,$A52),"")</f>
        <v/>
      </c>
      <c r="G52" s="6">
        <f t="array" ref="G52">IFERROR(MEDIAN(IF((dados!$C$2:$C$55=$A52)*(dados!$T$2:$T$55&lt;&gt;""),dados!$T$2:$T$55)),"")</f>
        <v/>
      </c>
      <c r="H52" s="6">
        <f t="array" ref="H52">IFERROR(STDEV(IF((dados!$C$2:$C$55=$A52)*(dados!$T$2:$T$55&lt;&gt;""),dados!$T$2:$T$55)),"")</f>
        <v/>
      </c>
      <c r="I52" s="6">
        <f>IF(COUNTIFS(dados!$C$2:$C$55,$A52,dados!$T$2:$T$55,"&lt;&gt;")=0,"",_xlfn.MINIFS(dados!$T$2:$T$55,dados!$C$2:$C$55,$A52))</f>
        <v/>
      </c>
      <c r="J52" s="6">
        <f>IF(COUNTIFS(dados!$C$2:$C$55,$A52,dados!$T$2:$T$55,"&lt;&gt;")=0,"",_xlfn.MAXIFS(dados!$T$2:$T$55,dados!$C$2:$C$55,$A52))</f>
        <v/>
      </c>
      <c r="K52" s="6">
        <f>IFERROR(J52-I52,"")</f>
        <v/>
      </c>
    </row>
    <row r="53">
      <c r="A53" s="2" t="inlineStr">
        <is>
          <t>Belém</t>
        </is>
      </c>
      <c r="B53" s="14" t="inlineStr">
        <is>
          <t>Instagram</t>
        </is>
      </c>
      <c r="C53" s="2" t="inlineStr">
        <is>
          <t>curtidas_periodo</t>
        </is>
      </c>
      <c r="D53" s="2" t="inlineStr">
        <is>
          <t>Curtidas no período</t>
        </is>
      </c>
      <c r="E53" s="5">
        <f>COUNTIFS(dados!$C$2:$C$55,$A53,dados!$U$2:$U$55,"&lt;&gt;")</f>
        <v/>
      </c>
      <c r="F53" s="5">
        <f>IFERROR(AVERAGEIFS(dados!$U$2:$U$55,dados!$C$2:$C$55,$A53),"")</f>
        <v/>
      </c>
      <c r="G53" s="5">
        <f t="array" ref="G53">IFERROR(MEDIAN(IF((dados!$C$2:$C$55=$A53)*(dados!$U$2:$U$55&lt;&gt;""),dados!$U$2:$U$55)),"")</f>
        <v/>
      </c>
      <c r="H53" s="5">
        <f t="array" ref="H53">IFERROR(STDEV(IF((dados!$C$2:$C$55=$A53)*(dados!$U$2:$U$55&lt;&gt;""),dados!$U$2:$U$55)),"")</f>
        <v/>
      </c>
      <c r="I53" s="5">
        <f>IF(COUNTIFS(dados!$C$2:$C$55,$A53,dados!$U$2:$U$55,"&lt;&gt;")=0,"",_xlfn.MINIFS(dados!$U$2:$U$55,dados!$C$2:$C$55,$A53))</f>
        <v/>
      </c>
      <c r="J53" s="5">
        <f>IF(COUNTIFS(dados!$C$2:$C$55,$A53,dados!$U$2:$U$55,"&lt;&gt;")=0,"",_xlfn.MAXIFS(dados!$U$2:$U$55,dados!$C$2:$C$55,$A53))</f>
        <v/>
      </c>
      <c r="K53" s="5">
        <f>IFERROR(J53-I53,"")</f>
        <v/>
      </c>
    </row>
    <row r="54">
      <c r="A54" s="2" t="inlineStr">
        <is>
          <t>Belém</t>
        </is>
      </c>
      <c r="B54" s="14" t="inlineStr">
        <is>
          <t>Instagram</t>
        </is>
      </c>
      <c r="C54" s="2" t="inlineStr">
        <is>
          <t>comentarios_periodo</t>
        </is>
      </c>
      <c r="D54" s="2" t="inlineStr">
        <is>
          <t>Comentários no período</t>
        </is>
      </c>
      <c r="E54" s="5">
        <f>COUNTIFS(dados!$C$2:$C$55,$A54,dados!$V$2:$V$55,"&lt;&gt;")</f>
        <v/>
      </c>
      <c r="F54" s="5">
        <f>IFERROR(AVERAGEIFS(dados!$V$2:$V$55,dados!$C$2:$C$55,$A54),"")</f>
        <v/>
      </c>
      <c r="G54" s="5">
        <f t="array" ref="G54">IFERROR(MEDIAN(IF((dados!$C$2:$C$55=$A54)*(dados!$V$2:$V$55&lt;&gt;""),dados!$V$2:$V$55)),"")</f>
        <v/>
      </c>
      <c r="H54" s="5">
        <f t="array" ref="H54">IFERROR(STDEV(IF((dados!$C$2:$C$55=$A54)*(dados!$V$2:$V$55&lt;&gt;""),dados!$V$2:$V$55)),"")</f>
        <v/>
      </c>
      <c r="I54" s="5">
        <f>IF(COUNTIFS(dados!$C$2:$C$55,$A54,dados!$V$2:$V$55,"&lt;&gt;")=0,"",_xlfn.MINIFS(dados!$V$2:$V$55,dados!$C$2:$C$55,$A54))</f>
        <v/>
      </c>
      <c r="J54" s="5">
        <f>IF(COUNTIFS(dados!$C$2:$C$55,$A54,dados!$V$2:$V$55,"&lt;&gt;")=0,"",_xlfn.MAXIFS(dados!$V$2:$V$55,dados!$C$2:$C$55,$A54))</f>
        <v/>
      </c>
      <c r="K54" s="5">
        <f>IFERROR(J54-I54,"")</f>
        <v/>
      </c>
    </row>
    <row r="55">
      <c r="A55" s="2" t="inlineStr">
        <is>
          <t>Belém</t>
        </is>
      </c>
      <c r="B55" s="14" t="inlineStr">
        <is>
          <t>Instagram</t>
        </is>
      </c>
      <c r="C55" s="2" t="inlineStr">
        <is>
          <t>interacoes_por_post</t>
        </is>
      </c>
      <c r="D55" s="2" t="inlineStr">
        <is>
          <t>Interações por post no período (curtidas + comentários)</t>
        </is>
      </c>
      <c r="E55" s="5">
        <f>COUNTIFS(dados!$C$2:$C$55,$A55,dados!$W$2:$W$55,"&lt;&gt;")</f>
        <v/>
      </c>
      <c r="F55" s="6">
        <f>IFERROR(AVERAGEIFS(dados!$W$2:$W$55,dados!$C$2:$C$55,$A55),"")</f>
        <v/>
      </c>
      <c r="G55" s="6">
        <f t="array" ref="G55">IFERROR(MEDIAN(IF((dados!$C$2:$C$55=$A55)*(dados!$W$2:$W$55&lt;&gt;""),dados!$W$2:$W$55)),"")</f>
        <v/>
      </c>
      <c r="H55" s="6">
        <f t="array" ref="H55">IFERROR(STDEV(IF((dados!$C$2:$C$55=$A55)*(dados!$W$2:$W$55&lt;&gt;""),dados!$W$2:$W$55)),"")</f>
        <v/>
      </c>
      <c r="I55" s="6">
        <f>IF(COUNTIFS(dados!$C$2:$C$55,$A55,dados!$W$2:$W$55,"&lt;&gt;")=0,"",_xlfn.MINIFS(dados!$W$2:$W$55,dados!$C$2:$C$55,$A55))</f>
        <v/>
      </c>
      <c r="J55" s="6">
        <f>IF(COUNTIFS(dados!$C$2:$C$55,$A55,dados!$W$2:$W$55,"&lt;&gt;")=0,"",_xlfn.MAXIFS(dados!$W$2:$W$55,dados!$C$2:$C$55,$A55))</f>
        <v/>
      </c>
      <c r="K55" s="6">
        <f>IFERROR(J55-I55,"")</f>
        <v/>
      </c>
    </row>
    <row r="56">
      <c r="A56" s="2" t="inlineStr">
        <is>
          <t>Belém</t>
        </is>
      </c>
      <c r="B56" s="14" t="inlineStr">
        <is>
          <t>Instagram</t>
        </is>
      </c>
      <c r="C56" s="2" t="inlineStr">
        <is>
          <t>engajamento_pct</t>
        </is>
      </c>
      <c r="D56" s="2" t="inlineStr">
        <is>
          <t>Taxa de engajamento (interações por post ÷ seguidores)</t>
        </is>
      </c>
      <c r="E56" s="5">
        <f>COUNTIFS(dados!$C$2:$C$55,$A56,dados!$X$2:$X$55,"&lt;&gt;")</f>
        <v/>
      </c>
      <c r="F56" s="15">
        <f>IFERROR(AVERAGEIFS(dados!$X$2:$X$55,dados!$C$2:$C$55,$A56),"")</f>
        <v/>
      </c>
      <c r="G56" s="15">
        <f t="array" ref="G56">IFERROR(MEDIAN(IF((dados!$C$2:$C$55=$A56)*(dados!$X$2:$X$55&lt;&gt;""),dados!$X$2:$X$55)),"")</f>
        <v/>
      </c>
      <c r="H56" s="15">
        <f t="array" ref="H56">IFERROR(STDEV(IF((dados!$C$2:$C$55=$A56)*(dados!$X$2:$X$55&lt;&gt;""),dados!$X$2:$X$55)),"")</f>
        <v/>
      </c>
      <c r="I56" s="15">
        <f>IF(COUNTIFS(dados!$C$2:$C$55,$A56,dados!$X$2:$X$55,"&lt;&gt;")=0,"",_xlfn.MINIFS(dados!$X$2:$X$55,dados!$C$2:$C$55,$A56))</f>
        <v/>
      </c>
      <c r="J56" s="15">
        <f>IF(COUNTIFS(dados!$C$2:$C$55,$A56,dados!$X$2:$X$55,"&lt;&gt;")=0,"",_xlfn.MAXIFS(dados!$X$2:$X$55,dados!$C$2:$C$55,$A56))</f>
        <v/>
      </c>
      <c r="K56" s="15">
        <f>IFERROR(J56-I56,"")</f>
        <v/>
      </c>
    </row>
    <row r="57">
      <c r="A57" s="2" t="inlineStr">
        <is>
          <t>Belém</t>
        </is>
      </c>
      <c r="B57" s="16" t="inlineStr">
        <is>
          <t>Cardápio</t>
        </is>
      </c>
      <c r="C57" s="2" t="inlineStr">
        <is>
          <t>itens_com_preco</t>
        </is>
      </c>
      <c r="D57" s="2" t="inlineStr">
        <is>
          <t>Itens com preço no cardápio</t>
        </is>
      </c>
      <c r="E57" s="5">
        <f>COUNTIFS(dados!$C$2:$C$55,$A57,dados!$Y$2:$Y$55,"&lt;&gt;")</f>
        <v/>
      </c>
      <c r="F57" s="5">
        <f>IFERROR(AVERAGEIFS(dados!$Y$2:$Y$55,dados!$C$2:$C$55,$A57),"")</f>
        <v/>
      </c>
      <c r="G57" s="5">
        <f t="array" ref="G57">IFERROR(MEDIAN(IF((dados!$C$2:$C$55=$A57)*(dados!$Y$2:$Y$55&lt;&gt;""),dados!$Y$2:$Y$55)),"")</f>
        <v/>
      </c>
      <c r="H57" s="5">
        <f t="array" ref="H57">IFERROR(STDEV(IF((dados!$C$2:$C$55=$A57)*(dados!$Y$2:$Y$55&lt;&gt;""),dados!$Y$2:$Y$55)),"")</f>
        <v/>
      </c>
      <c r="I57" s="5">
        <f>IF(COUNTIFS(dados!$C$2:$C$55,$A57,dados!$Y$2:$Y$55,"&lt;&gt;")=0,"",_xlfn.MINIFS(dados!$Y$2:$Y$55,dados!$C$2:$C$55,$A57))</f>
        <v/>
      </c>
      <c r="J57" s="5">
        <f>IF(COUNTIFS(dados!$C$2:$C$55,$A57,dados!$Y$2:$Y$55,"&lt;&gt;")=0,"",_xlfn.MAXIFS(dados!$Y$2:$Y$55,dados!$C$2:$C$55,$A57))</f>
        <v/>
      </c>
      <c r="K57" s="5">
        <f>IFERROR(J57-I57,"")</f>
        <v/>
      </c>
    </row>
    <row r="58">
      <c r="A58" s="2" t="inlineStr">
        <is>
          <t>Belém</t>
        </is>
      </c>
      <c r="B58" s="16" t="inlineStr">
        <is>
          <t>Cardápio</t>
        </is>
      </c>
      <c r="C58" s="2" t="inlineStr">
        <is>
          <t>couvert_mediana</t>
        </is>
      </c>
      <c r="D58" s="2" t="inlineStr">
        <is>
          <t>Couvert ou taxa de jogo (só casas que cobram)</t>
        </is>
      </c>
      <c r="E58" s="5">
        <f>COUNTIFS(dados!$C$2:$C$55,$A58,dados!$Z$2:$Z$55,"&lt;&gt;")</f>
        <v/>
      </c>
      <c r="F58" s="7">
        <f>IFERROR(AVERAGEIFS(dados!$Z$2:$Z$55,dados!$C$2:$C$55,$A58),"")</f>
        <v/>
      </c>
      <c r="G58" s="7">
        <f t="array" ref="G58">IFERROR(MEDIAN(IF((dados!$C$2:$C$55=$A58)*(dados!$Z$2:$Z$55&lt;&gt;""),dados!$Z$2:$Z$55)),"")</f>
        <v/>
      </c>
      <c r="H58" s="7">
        <f t="array" ref="H58">IFERROR(STDEV(IF((dados!$C$2:$C$55=$A58)*(dados!$Z$2:$Z$55&lt;&gt;""),dados!$Z$2:$Z$55)),"")</f>
        <v/>
      </c>
      <c r="I58" s="7">
        <f>IF(COUNTIFS(dados!$C$2:$C$55,$A58,dados!$Z$2:$Z$55,"&lt;&gt;")=0,"",_xlfn.MINIFS(dados!$Z$2:$Z$55,dados!$C$2:$C$55,$A58))</f>
        <v/>
      </c>
      <c r="J58" s="7">
        <f>IF(COUNTIFS(dados!$C$2:$C$55,$A58,dados!$Z$2:$Z$55,"&lt;&gt;")=0,"",_xlfn.MAXIFS(dados!$Z$2:$Z$55,dados!$C$2:$C$55,$A58))</f>
        <v/>
      </c>
      <c r="K58" s="7">
        <f>IFERROR(J58-I58,"")</f>
        <v/>
      </c>
    </row>
    <row r="59">
      <c r="A59" s="2" t="inlineStr">
        <is>
          <t>Belém</t>
        </is>
      </c>
      <c r="B59" s="16" t="inlineStr">
        <is>
          <t>Cardápio</t>
        </is>
      </c>
      <c r="C59" s="2" t="inlineStr">
        <is>
          <t>bebida_mediana</t>
        </is>
      </c>
      <c r="D59" s="2" t="inlineStr">
        <is>
          <t>Bebida, mediana do cardápio</t>
        </is>
      </c>
      <c r="E59" s="5">
        <f>COUNTIFS(dados!$C$2:$C$55,$A59,dados!$AA$2:$AA$55,"&lt;&gt;")</f>
        <v/>
      </c>
      <c r="F59" s="7">
        <f>IFERROR(AVERAGEIFS(dados!$AA$2:$AA$55,dados!$C$2:$C$55,$A59),"")</f>
        <v/>
      </c>
      <c r="G59" s="7">
        <f t="array" ref="G59">IFERROR(MEDIAN(IF((dados!$C$2:$C$55=$A59)*(dados!$AA$2:$AA$55&lt;&gt;""),dados!$AA$2:$AA$55)),"")</f>
        <v/>
      </c>
      <c r="H59" s="7">
        <f t="array" ref="H59">IFERROR(STDEV(IF((dados!$C$2:$C$55=$A59)*(dados!$AA$2:$AA$55&lt;&gt;""),dados!$AA$2:$AA$55)),"")</f>
        <v/>
      </c>
      <c r="I59" s="7">
        <f>IF(COUNTIFS(dados!$C$2:$C$55,$A59,dados!$AA$2:$AA$55,"&lt;&gt;")=0,"",_xlfn.MINIFS(dados!$AA$2:$AA$55,dados!$C$2:$C$55,$A59))</f>
        <v/>
      </c>
      <c r="J59" s="7">
        <f>IF(COUNTIFS(dados!$C$2:$C$55,$A59,dados!$AA$2:$AA$55,"&lt;&gt;")=0,"",_xlfn.MAXIFS(dados!$AA$2:$AA$55,dados!$C$2:$C$55,$A59))</f>
        <v/>
      </c>
      <c r="K59" s="7">
        <f>IFERROR(J59-I59,"")</f>
        <v/>
      </c>
    </row>
    <row r="60">
      <c r="A60" s="2" t="inlineStr">
        <is>
          <t>Belém</t>
        </is>
      </c>
      <c r="B60" s="16" t="inlineStr">
        <is>
          <t>Cardápio</t>
        </is>
      </c>
      <c r="C60" s="2" t="inlineStr">
        <is>
          <t>entrada_ou_prato_mediana</t>
        </is>
      </c>
      <c r="D60" s="2" t="inlineStr">
        <is>
          <t>Entrada ou prato, mediana do cardápio</t>
        </is>
      </c>
      <c r="E60" s="5">
        <f>COUNTIFS(dados!$C$2:$C$55,$A60,dados!$AB$2:$AB$55,"&lt;&gt;")</f>
        <v/>
      </c>
      <c r="F60" s="7">
        <f>IFERROR(AVERAGEIFS(dados!$AB$2:$AB$55,dados!$C$2:$C$55,$A60),"")</f>
        <v/>
      </c>
      <c r="G60" s="7">
        <f t="array" ref="G60">IFERROR(MEDIAN(IF((dados!$C$2:$C$55=$A60)*(dados!$AB$2:$AB$55&lt;&gt;""),dados!$AB$2:$AB$55)),"")</f>
        <v/>
      </c>
      <c r="H60" s="7">
        <f t="array" ref="H60">IFERROR(STDEV(IF((dados!$C$2:$C$55=$A60)*(dados!$AB$2:$AB$55&lt;&gt;""),dados!$AB$2:$AB$55)),"")</f>
        <v/>
      </c>
      <c r="I60" s="7">
        <f>IF(COUNTIFS(dados!$C$2:$C$55,$A60,dados!$AB$2:$AB$55,"&lt;&gt;")=0,"",_xlfn.MINIFS(dados!$AB$2:$AB$55,dados!$C$2:$C$55,$A60))</f>
        <v/>
      </c>
      <c r="J60" s="7">
        <f>IF(COUNTIFS(dados!$C$2:$C$55,$A60,dados!$AB$2:$AB$55,"&lt;&gt;")=0,"",_xlfn.MAXIFS(dados!$AB$2:$AB$55,dados!$C$2:$C$55,$A60))</f>
        <v/>
      </c>
      <c r="K60" s="7">
        <f>IFERROR(J60-I60,"")</f>
        <v/>
      </c>
    </row>
    <row r="61">
      <c r="A61" s="2" t="inlineStr">
        <is>
          <t>Belém</t>
        </is>
      </c>
      <c r="B61" s="16" t="inlineStr">
        <is>
          <t>Cardápio</t>
        </is>
      </c>
      <c r="C61" s="2" t="inlineStr">
        <is>
          <t>cesta_baixa</t>
        </is>
      </c>
      <c r="D61" s="2" t="inlineStr">
        <is>
          <t>Cesta por pessoa, nível baixo (P25)</t>
        </is>
      </c>
      <c r="E61" s="5">
        <f>COUNTIFS(dados!$C$2:$C$55,$A61,dados!$AC$2:$AC$55,"&lt;&gt;")</f>
        <v/>
      </c>
      <c r="F61" s="7">
        <f>IFERROR(AVERAGEIFS(dados!$AC$2:$AC$55,dados!$C$2:$C$55,$A61),"")</f>
        <v/>
      </c>
      <c r="G61" s="7">
        <f t="array" ref="G61">IFERROR(MEDIAN(IF((dados!$C$2:$C$55=$A61)*(dados!$AC$2:$AC$55&lt;&gt;""),dados!$AC$2:$AC$55)),"")</f>
        <v/>
      </c>
      <c r="H61" s="7">
        <f t="array" ref="H61">IFERROR(STDEV(IF((dados!$C$2:$C$55=$A61)*(dados!$AC$2:$AC$55&lt;&gt;""),dados!$AC$2:$AC$55)),"")</f>
        <v/>
      </c>
      <c r="I61" s="7">
        <f>IF(COUNTIFS(dados!$C$2:$C$55,$A61,dados!$AC$2:$AC$55,"&lt;&gt;")=0,"",_xlfn.MINIFS(dados!$AC$2:$AC$55,dados!$C$2:$C$55,$A61))</f>
        <v/>
      </c>
      <c r="J61" s="7">
        <f>IF(COUNTIFS(dados!$C$2:$C$55,$A61,dados!$AC$2:$AC$55,"&lt;&gt;")=0,"",_xlfn.MAXIFS(dados!$AC$2:$AC$55,dados!$C$2:$C$55,$A61))</f>
        <v/>
      </c>
      <c r="K61" s="7">
        <f>IFERROR(J61-I61,"")</f>
        <v/>
      </c>
    </row>
    <row r="62">
      <c r="A62" s="2" t="inlineStr">
        <is>
          <t>Belém</t>
        </is>
      </c>
      <c r="B62" s="16" t="inlineStr">
        <is>
          <t>Cardápio</t>
        </is>
      </c>
      <c r="C62" s="2" t="inlineStr">
        <is>
          <t>cesta_mediana</t>
        </is>
      </c>
      <c r="D62" s="2" t="inlineStr">
        <is>
          <t>Cesta por pessoa, nível mediano</t>
        </is>
      </c>
      <c r="E62" s="5">
        <f>COUNTIFS(dados!$C$2:$C$55,$A62,dados!$AD$2:$AD$55,"&lt;&gt;")</f>
        <v/>
      </c>
      <c r="F62" s="7">
        <f>IFERROR(AVERAGEIFS(dados!$AD$2:$AD$55,dados!$C$2:$C$55,$A62),"")</f>
        <v/>
      </c>
      <c r="G62" s="7">
        <f t="array" ref="G62">IFERROR(MEDIAN(IF((dados!$C$2:$C$55=$A62)*(dados!$AD$2:$AD$55&lt;&gt;""),dados!$AD$2:$AD$55)),"")</f>
        <v/>
      </c>
      <c r="H62" s="7">
        <f t="array" ref="H62">IFERROR(STDEV(IF((dados!$C$2:$C$55=$A62)*(dados!$AD$2:$AD$55&lt;&gt;""),dados!$AD$2:$AD$55)),"")</f>
        <v/>
      </c>
      <c r="I62" s="7">
        <f>IF(COUNTIFS(dados!$C$2:$C$55,$A62,dados!$AD$2:$AD$55,"&lt;&gt;")=0,"",_xlfn.MINIFS(dados!$AD$2:$AD$55,dados!$C$2:$C$55,$A62))</f>
        <v/>
      </c>
      <c r="J62" s="7">
        <f>IF(COUNTIFS(dados!$C$2:$C$55,$A62,dados!$AD$2:$AD$55,"&lt;&gt;")=0,"",_xlfn.MAXIFS(dados!$AD$2:$AD$55,dados!$C$2:$C$55,$A62))</f>
        <v/>
      </c>
      <c r="K62" s="7">
        <f>IFERROR(J62-I62,"")</f>
        <v/>
      </c>
    </row>
    <row r="63">
      <c r="A63" s="2" t="inlineStr">
        <is>
          <t>Belém</t>
        </is>
      </c>
      <c r="B63" s="16" t="inlineStr">
        <is>
          <t>Cardápio</t>
        </is>
      </c>
      <c r="C63" s="2" t="inlineStr">
        <is>
          <t>cesta_alta</t>
        </is>
      </c>
      <c r="D63" s="2" t="inlineStr">
        <is>
          <t>Cesta por pessoa, nível alto (P75)</t>
        </is>
      </c>
      <c r="E63" s="5">
        <f>COUNTIFS(dados!$C$2:$C$55,$A63,dados!$AE$2:$AE$55,"&lt;&gt;")</f>
        <v/>
      </c>
      <c r="F63" s="7">
        <f>IFERROR(AVERAGEIFS(dados!$AE$2:$AE$55,dados!$C$2:$C$55,$A63),"")</f>
        <v/>
      </c>
      <c r="G63" s="7">
        <f t="array" ref="G63">IFERROR(MEDIAN(IF((dados!$C$2:$C$55=$A63)*(dados!$AE$2:$AE$55&lt;&gt;""),dados!$AE$2:$AE$55)),"")</f>
        <v/>
      </c>
      <c r="H63" s="7">
        <f t="array" ref="H63">IFERROR(STDEV(IF((dados!$C$2:$C$55=$A63)*(dados!$AE$2:$AE$55&lt;&gt;""),dados!$AE$2:$AE$55)),"")</f>
        <v/>
      </c>
      <c r="I63" s="7">
        <f>IF(COUNTIFS(dados!$C$2:$C$55,$A63,dados!$AE$2:$AE$55,"&lt;&gt;")=0,"",_xlfn.MINIFS(dados!$AE$2:$AE$55,dados!$C$2:$C$55,$A63))</f>
        <v/>
      </c>
      <c r="J63" s="7">
        <f>IF(COUNTIFS(dados!$C$2:$C$55,$A63,dados!$AE$2:$AE$55,"&lt;&gt;")=0,"",_xlfn.MAXIFS(dados!$AE$2:$AE$55,dados!$C$2:$C$55,$A63))</f>
        <v/>
      </c>
      <c r="K63" s="7">
        <f>IFERROR(J63-I63,"")</f>
        <v/>
      </c>
    </row>
    <row r="64">
      <c r="A64" s="2" t="inlineStr">
        <is>
          <t>Belém</t>
        </is>
      </c>
      <c r="B64" s="16" t="inlineStr">
        <is>
          <t>Cardápio</t>
        </is>
      </c>
      <c r="C64" s="2" t="inlineStr">
        <is>
          <t>hamburguer_mediana</t>
        </is>
      </c>
      <c r="D64" s="2" t="inlineStr">
        <is>
          <t>Hambúrguer, mediana</t>
        </is>
      </c>
      <c r="E64" s="5">
        <f>COUNTIFS(dados!$C$2:$C$55,$A64,dados!$AF$2:$AF$55,"&lt;&gt;")</f>
        <v/>
      </c>
      <c r="F64" s="7">
        <f>IFERROR(AVERAGEIFS(dados!$AF$2:$AF$55,dados!$C$2:$C$55,$A64),"")</f>
        <v/>
      </c>
      <c r="G64" s="7">
        <f t="array" ref="G64">IFERROR(MEDIAN(IF((dados!$C$2:$C$55=$A64)*(dados!$AF$2:$AF$55&lt;&gt;""),dados!$AF$2:$AF$55)),"")</f>
        <v/>
      </c>
      <c r="H64" s="7">
        <f t="array" ref="H64">IFERROR(STDEV(IF((dados!$C$2:$C$55=$A64)*(dados!$AF$2:$AF$55&lt;&gt;""),dados!$AF$2:$AF$55)),"")</f>
        <v/>
      </c>
      <c r="I64" s="7">
        <f>IF(COUNTIFS(dados!$C$2:$C$55,$A64,dados!$AF$2:$AF$55,"&lt;&gt;")=0,"",_xlfn.MINIFS(dados!$AF$2:$AF$55,dados!$C$2:$C$55,$A64))</f>
        <v/>
      </c>
      <c r="J64" s="7">
        <f>IF(COUNTIFS(dados!$C$2:$C$55,$A64,dados!$AF$2:$AF$55,"&lt;&gt;")=0,"",_xlfn.MAXIFS(dados!$AF$2:$AF$55,dados!$C$2:$C$55,$A64))</f>
        <v/>
      </c>
      <c r="K64" s="7">
        <f>IFERROR(J64-I64,"")</f>
        <v/>
      </c>
    </row>
    <row r="65">
      <c r="A65" s="2" t="inlineStr">
        <is>
          <t>Belém</t>
        </is>
      </c>
      <c r="B65" s="16" t="inlineStr">
        <is>
          <t>Cardápio</t>
        </is>
      </c>
      <c r="C65" s="2" t="inlineStr">
        <is>
          <t>batata_mediana</t>
        </is>
      </c>
      <c r="D65" s="2" t="inlineStr">
        <is>
          <t>Batata, mediana</t>
        </is>
      </c>
      <c r="E65" s="5">
        <f>COUNTIFS(dados!$C$2:$C$55,$A65,dados!$AG$2:$AG$55,"&lt;&gt;")</f>
        <v/>
      </c>
      <c r="F65" s="7">
        <f>IFERROR(AVERAGEIFS(dados!$AG$2:$AG$55,dados!$C$2:$C$55,$A65),"")</f>
        <v/>
      </c>
      <c r="G65" s="7">
        <f t="array" ref="G65">IFERROR(MEDIAN(IF((dados!$C$2:$C$55=$A65)*(dados!$AG$2:$AG$55&lt;&gt;""),dados!$AG$2:$AG$55)),"")</f>
        <v/>
      </c>
      <c r="H65" s="7">
        <f t="array" ref="H65">IFERROR(STDEV(IF((dados!$C$2:$C$55=$A65)*(dados!$AG$2:$AG$55&lt;&gt;""),dados!$AG$2:$AG$55)),"")</f>
        <v/>
      </c>
      <c r="I65" s="7">
        <f>IF(COUNTIFS(dados!$C$2:$C$55,$A65,dados!$AG$2:$AG$55,"&lt;&gt;")=0,"",_xlfn.MINIFS(dados!$AG$2:$AG$55,dados!$C$2:$C$55,$A65))</f>
        <v/>
      </c>
      <c r="J65" s="7">
        <f>IF(COUNTIFS(dados!$C$2:$C$55,$A65,dados!$AG$2:$AG$55,"&lt;&gt;")=0,"",_xlfn.MAXIFS(dados!$AG$2:$AG$55,dados!$C$2:$C$55,$A65))</f>
        <v/>
      </c>
      <c r="K65" s="7">
        <f>IFERROR(J65-I65,"")</f>
        <v/>
      </c>
    </row>
    <row r="66">
      <c r="A66" s="2" t="inlineStr">
        <is>
          <t>Belém</t>
        </is>
      </c>
      <c r="B66" s="16" t="inlineStr">
        <is>
          <t>Cardápio</t>
        </is>
      </c>
      <c r="C66" s="2" t="inlineStr">
        <is>
          <t>cerveja_mediana</t>
        </is>
      </c>
      <c r="D66" s="2" t="inlineStr">
        <is>
          <t>Cerveja, mediana</t>
        </is>
      </c>
      <c r="E66" s="5">
        <f>COUNTIFS(dados!$C$2:$C$55,$A66,dados!$AH$2:$AH$55,"&lt;&gt;")</f>
        <v/>
      </c>
      <c r="F66" s="7">
        <f>IFERROR(AVERAGEIFS(dados!$AH$2:$AH$55,dados!$C$2:$C$55,$A66),"")</f>
        <v/>
      </c>
      <c r="G66" s="7">
        <f t="array" ref="G66">IFERROR(MEDIAN(IF((dados!$C$2:$C$55=$A66)*(dados!$AH$2:$AH$55&lt;&gt;""),dados!$AH$2:$AH$55)),"")</f>
        <v/>
      </c>
      <c r="H66" s="7">
        <f t="array" ref="H66">IFERROR(STDEV(IF((dados!$C$2:$C$55=$A66)*(dados!$AH$2:$AH$55&lt;&gt;""),dados!$AH$2:$AH$55)),"")</f>
        <v/>
      </c>
      <c r="I66" s="7">
        <f>IF(COUNTIFS(dados!$C$2:$C$55,$A66,dados!$AH$2:$AH$55,"&lt;&gt;")=0,"",_xlfn.MINIFS(dados!$AH$2:$AH$55,dados!$C$2:$C$55,$A66))</f>
        <v/>
      </c>
      <c r="J66" s="7">
        <f>IF(COUNTIFS(dados!$C$2:$C$55,$A66,dados!$AH$2:$AH$55,"&lt;&gt;")=0,"",_xlfn.MAXIFS(dados!$AH$2:$AH$55,dados!$C$2:$C$55,$A66))</f>
        <v/>
      </c>
      <c r="K66" s="7">
        <f>IFERROR(J66-I66,"")</f>
        <v/>
      </c>
    </row>
    <row r="67">
      <c r="A67" s="2" t="inlineStr">
        <is>
          <t>Belém</t>
        </is>
      </c>
      <c r="B67" s="16" t="inlineStr">
        <is>
          <t>Cardápio</t>
        </is>
      </c>
      <c r="C67" s="2" t="inlineStr">
        <is>
          <t>refrigerante_mediana</t>
        </is>
      </c>
      <c r="D67" s="2" t="inlineStr">
        <is>
          <t>Refrigerante, mediana</t>
        </is>
      </c>
      <c r="E67" s="5">
        <f>COUNTIFS(dados!$C$2:$C$55,$A67,dados!$AI$2:$AI$55,"&lt;&gt;")</f>
        <v/>
      </c>
      <c r="F67" s="7">
        <f>IFERROR(AVERAGEIFS(dados!$AI$2:$AI$55,dados!$C$2:$C$55,$A67),"")</f>
        <v/>
      </c>
      <c r="G67" s="7">
        <f t="array" ref="G67">IFERROR(MEDIAN(IF((dados!$C$2:$C$55=$A67)*(dados!$AI$2:$AI$55&lt;&gt;""),dados!$AI$2:$AI$55)),"")</f>
        <v/>
      </c>
      <c r="H67" s="7">
        <f t="array" ref="H67">IFERROR(STDEV(IF((dados!$C$2:$C$55=$A67)*(dados!$AI$2:$AI$55&lt;&gt;""),dados!$AI$2:$AI$55)),"")</f>
        <v/>
      </c>
      <c r="I67" s="7">
        <f>IF(COUNTIFS(dados!$C$2:$C$55,$A67,dados!$AI$2:$AI$55,"&lt;&gt;")=0,"",_xlfn.MINIFS(dados!$AI$2:$AI$55,dados!$C$2:$C$55,$A67))</f>
        <v/>
      </c>
      <c r="J67" s="7">
        <f>IF(COUNTIFS(dados!$C$2:$C$55,$A67,dados!$AI$2:$AI$55,"&lt;&gt;")=0,"",_xlfn.MAXIFS(dados!$AI$2:$AI$55,dados!$C$2:$C$55,$A67))</f>
        <v/>
      </c>
      <c r="K67" s="7">
        <f>IFERROR(J67-I67,"")</f>
        <v/>
      </c>
    </row>
    <row r="68">
      <c r="A68" s="2" t="inlineStr">
        <is>
          <t>Belém</t>
        </is>
      </c>
      <c r="B68" s="16" t="inlineStr">
        <is>
          <t>Cardápio</t>
        </is>
      </c>
      <c r="C68" s="2" t="inlineStr">
        <is>
          <t>drinks_mediana</t>
        </is>
      </c>
      <c r="D68" s="2" t="inlineStr">
        <is>
          <t>Drinks, mediana</t>
        </is>
      </c>
      <c r="E68" s="5">
        <f>COUNTIFS(dados!$C$2:$C$55,$A68,dados!$AJ$2:$AJ$55,"&lt;&gt;")</f>
        <v/>
      </c>
      <c r="F68" s="7">
        <f>IFERROR(AVERAGEIFS(dados!$AJ$2:$AJ$55,dados!$C$2:$C$55,$A68),"")</f>
        <v/>
      </c>
      <c r="G68" s="7">
        <f t="array" ref="G68">IFERROR(MEDIAN(IF((dados!$C$2:$C$55=$A68)*(dados!$AJ$2:$AJ$55&lt;&gt;""),dados!$AJ$2:$AJ$55)),"")</f>
        <v/>
      </c>
      <c r="H68" s="7">
        <f t="array" ref="H68">IFERROR(STDEV(IF((dados!$C$2:$C$55=$A68)*(dados!$AJ$2:$AJ$55&lt;&gt;""),dados!$AJ$2:$AJ$55)),"")</f>
        <v/>
      </c>
      <c r="I68" s="7">
        <f>IF(COUNTIFS(dados!$C$2:$C$55,$A68,dados!$AJ$2:$AJ$55,"&lt;&gt;")=0,"",_xlfn.MINIFS(dados!$AJ$2:$AJ$55,dados!$C$2:$C$55,$A68))</f>
        <v/>
      </c>
      <c r="J68" s="7">
        <f>IF(COUNTIFS(dados!$C$2:$C$55,$A68,dados!$AJ$2:$AJ$55,"&lt;&gt;")=0,"",_xlfn.MAXIFS(dados!$AJ$2:$AJ$55,dados!$C$2:$C$55,$A68))</f>
        <v/>
      </c>
      <c r="K68" s="7">
        <f>IFERROR(J68-I68,"")</f>
        <v/>
      </c>
    </row>
    <row r="69">
      <c r="A69" s="2" t="inlineStr">
        <is>
          <t>Belém</t>
        </is>
      </c>
      <c r="B69" s="17" t="inlineStr">
        <is>
          <t>Acervo</t>
        </is>
      </c>
      <c r="C69" s="2" t="inlineStr">
        <is>
          <t>titulos_acervo</t>
        </is>
      </c>
      <c r="D69" s="2" t="inlineStr">
        <is>
          <t>Títulos no acervo publicado</t>
        </is>
      </c>
      <c r="E69" s="5">
        <f>COUNTIFS(dados!$C$2:$C$55,$A69,dados!$AK$2:$AK$55,"&lt;&gt;")</f>
        <v/>
      </c>
      <c r="F69" s="5">
        <f>IFERROR(AVERAGEIFS(dados!$AK$2:$AK$55,dados!$C$2:$C$55,$A69),"")</f>
        <v/>
      </c>
      <c r="G69" s="5">
        <f t="array" ref="G69">IFERROR(MEDIAN(IF((dados!$C$2:$C$55=$A69)*(dados!$AK$2:$AK$55&lt;&gt;""),dados!$AK$2:$AK$55)),"")</f>
        <v/>
      </c>
      <c r="H69" s="5">
        <f t="array" ref="H69">IFERROR(STDEV(IF((dados!$C$2:$C$55=$A69)*(dados!$AK$2:$AK$55&lt;&gt;""),dados!$AK$2:$AK$55)),"")</f>
        <v/>
      </c>
      <c r="I69" s="5">
        <f>IF(COUNTIFS(dados!$C$2:$C$55,$A69,dados!$AK$2:$AK$55,"&lt;&gt;")=0,"",_xlfn.MINIFS(dados!$AK$2:$AK$55,dados!$C$2:$C$55,$A69))</f>
        <v/>
      </c>
      <c r="J69" s="5">
        <f>IF(COUNTIFS(dados!$C$2:$C$55,$A69,dados!$AK$2:$AK$55,"&lt;&gt;")=0,"",_xlfn.MAXIFS(dados!$AK$2:$AK$55,dados!$C$2:$C$55,$A69))</f>
        <v/>
      </c>
      <c r="K69" s="5">
        <f>IFERROR(J69-I69,"")</f>
        <v/>
      </c>
    </row>
    <row r="70">
      <c r="A70" s="2" t="inlineStr">
        <is>
          <t>Belém</t>
        </is>
      </c>
      <c r="B70" s="18" t="inlineStr">
        <is>
          <t>B2</t>
        </is>
      </c>
      <c r="C70" s="2" t="inlineStr">
        <is>
          <t>avaliacoes_b2</t>
        </is>
      </c>
      <c r="D70" s="2" t="inlineStr">
        <is>
          <t>Avaliações no recorte do B2 (até '3 meses atrás')</t>
        </is>
      </c>
      <c r="E70" s="5">
        <f>COUNTIFS(dados!$C$2:$C$55,$A70,dados!$AL$2:$AL$55,"&lt;&gt;")</f>
        <v/>
      </c>
      <c r="F70" s="5">
        <f>IFERROR(AVERAGEIFS(dados!$AL$2:$AL$55,dados!$C$2:$C$55,$A70),"")</f>
        <v/>
      </c>
      <c r="G70" s="5">
        <f t="array" ref="G70">IFERROR(MEDIAN(IF((dados!$C$2:$C$55=$A70)*(dados!$AL$2:$AL$55&lt;&gt;""),dados!$AL$2:$AL$55)),"")</f>
        <v/>
      </c>
      <c r="H70" s="5">
        <f t="array" ref="H70">IFERROR(STDEV(IF((dados!$C$2:$C$55=$A70)*(dados!$AL$2:$AL$55&lt;&gt;""),dados!$AL$2:$AL$55)),"")</f>
        <v/>
      </c>
      <c r="I70" s="5">
        <f>IF(COUNTIFS(dados!$C$2:$C$55,$A70,dados!$AL$2:$AL$55,"&lt;&gt;")=0,"",_xlfn.MINIFS(dados!$AL$2:$AL$55,dados!$C$2:$C$55,$A70))</f>
        <v/>
      </c>
      <c r="J70" s="5">
        <f>IF(COUNTIFS(dados!$C$2:$C$55,$A70,dados!$AL$2:$AL$55,"&lt;&gt;")=0,"",_xlfn.MAXIFS(dados!$AL$2:$AL$55,dados!$C$2:$C$55,$A70))</f>
        <v/>
      </c>
      <c r="K70" s="5">
        <f>IFERROR(J70-I70,"")</f>
        <v/>
      </c>
    </row>
    <row r="71">
      <c r="A71" s="2" t="inlineStr">
        <is>
          <t>Belém</t>
        </is>
      </c>
      <c r="B71" s="18" t="inlineStr">
        <is>
          <t>B2</t>
        </is>
      </c>
      <c r="C71" s="2" t="inlineStr">
        <is>
          <t>avaliacoes_b2_com_texto</t>
        </is>
      </c>
      <c r="D71" s="2" t="inlineStr">
        <is>
          <t>Dessas, com texto</t>
        </is>
      </c>
      <c r="E71" s="5">
        <f>COUNTIFS(dados!$C$2:$C$55,$A71,dados!$AM$2:$AM$55,"&lt;&gt;")</f>
        <v/>
      </c>
      <c r="F71" s="5">
        <f>IFERROR(AVERAGEIFS(dados!$AM$2:$AM$55,dados!$C$2:$C$55,$A71),"")</f>
        <v/>
      </c>
      <c r="G71" s="5">
        <f t="array" ref="G71">IFERROR(MEDIAN(IF((dados!$C$2:$C$55=$A71)*(dados!$AM$2:$AM$55&lt;&gt;""),dados!$AM$2:$AM$55)),"")</f>
        <v/>
      </c>
      <c r="H71" s="5">
        <f t="array" ref="H71">IFERROR(STDEV(IF((dados!$C$2:$C$55=$A71)*(dados!$AM$2:$AM$55&lt;&gt;""),dados!$AM$2:$AM$55)),"")</f>
        <v/>
      </c>
      <c r="I71" s="5">
        <f>IF(COUNTIFS(dados!$C$2:$C$55,$A71,dados!$AM$2:$AM$55,"&lt;&gt;")=0,"",_xlfn.MINIFS(dados!$AM$2:$AM$55,dados!$C$2:$C$55,$A71))</f>
        <v/>
      </c>
      <c r="J71" s="5">
        <f>IF(COUNTIFS(dados!$C$2:$C$55,$A71,dados!$AM$2:$AM$55,"&lt;&gt;")=0,"",_xlfn.MAXIFS(dados!$AM$2:$AM$55,dados!$C$2:$C$55,$A71))</f>
        <v/>
      </c>
      <c r="K71" s="5">
        <f>IFERROR(J71-I71,"")</f>
        <v/>
      </c>
    </row>
    <row r="72">
      <c r="A72" s="2" t="inlineStr">
        <is>
          <t>Brasília</t>
        </is>
      </c>
      <c r="B72" s="11" t="inlineStr">
        <is>
          <t>Google Maps</t>
        </is>
      </c>
      <c r="C72" s="2" t="inlineStr">
        <is>
          <t>avaliacao_media</t>
        </is>
      </c>
      <c r="D72" s="2" t="inlineStr">
        <is>
          <t>Nota média no Google</t>
        </is>
      </c>
      <c r="E72" s="5">
        <f>COUNTIFS(dados!$C$2:$C$55,$A72,dados!$E$2:$E$55,"&lt;&gt;")</f>
        <v/>
      </c>
      <c r="F72" s="4">
        <f>IFERROR(AVERAGEIFS(dados!$E$2:$E$55,dados!$C$2:$C$55,$A72),"")</f>
        <v/>
      </c>
      <c r="G72" s="4">
        <f t="array" ref="G72">IFERROR(MEDIAN(IF((dados!$C$2:$C$55=$A72)*(dados!$E$2:$E$55&lt;&gt;""),dados!$E$2:$E$55)),"")</f>
        <v/>
      </c>
      <c r="H72" s="4">
        <f t="array" ref="H72">IFERROR(STDEV(IF((dados!$C$2:$C$55=$A72)*(dados!$E$2:$E$55&lt;&gt;""),dados!$E$2:$E$55)),"")</f>
        <v/>
      </c>
      <c r="I72" s="4">
        <f>IF(COUNTIFS(dados!$C$2:$C$55,$A72,dados!$E$2:$E$55,"&lt;&gt;")=0,"",_xlfn.MINIFS(dados!$E$2:$E$55,dados!$C$2:$C$55,$A72))</f>
        <v/>
      </c>
      <c r="J72" s="4">
        <f>IF(COUNTIFS(dados!$C$2:$C$55,$A72,dados!$E$2:$E$55,"&lt;&gt;")=0,"",_xlfn.MAXIFS(dados!$E$2:$E$55,dados!$C$2:$C$55,$A72))</f>
        <v/>
      </c>
      <c r="K72" s="4">
        <f>IFERROR(J72-I72,"")</f>
        <v/>
      </c>
    </row>
    <row r="73">
      <c r="A73" s="2" t="inlineStr">
        <is>
          <t>Brasília</t>
        </is>
      </c>
      <c r="B73" s="11" t="inlineStr">
        <is>
          <t>Google Maps</t>
        </is>
      </c>
      <c r="C73" s="2" t="inlineStr">
        <is>
          <t>volume_avaliacoes</t>
        </is>
      </c>
      <c r="D73" s="2" t="inlineStr">
        <is>
          <t>Nº de avaliações no Google</t>
        </is>
      </c>
      <c r="E73" s="5">
        <f>COUNTIFS(dados!$C$2:$C$55,$A73,dados!$F$2:$F$55,"&lt;&gt;")</f>
        <v/>
      </c>
      <c r="F73" s="5">
        <f>IFERROR(AVERAGEIFS(dados!$F$2:$F$55,dados!$C$2:$C$55,$A73),"")</f>
        <v/>
      </c>
      <c r="G73" s="5">
        <f t="array" ref="G73">IFERROR(MEDIAN(IF((dados!$C$2:$C$55=$A73)*(dados!$F$2:$F$55&lt;&gt;""),dados!$F$2:$F$55)),"")</f>
        <v/>
      </c>
      <c r="H73" s="5">
        <f t="array" ref="H73">IFERROR(STDEV(IF((dados!$C$2:$C$55=$A73)*(dados!$F$2:$F$55&lt;&gt;""),dados!$F$2:$F$55)),"")</f>
        <v/>
      </c>
      <c r="I73" s="5">
        <f>IF(COUNTIFS(dados!$C$2:$C$55,$A73,dados!$F$2:$F$55,"&lt;&gt;")=0,"",_xlfn.MINIFS(dados!$F$2:$F$55,dados!$C$2:$C$55,$A73))</f>
        <v/>
      </c>
      <c r="J73" s="5">
        <f>IF(COUNTIFS(dados!$C$2:$C$55,$A73,dados!$F$2:$F$55,"&lt;&gt;")=0,"",_xlfn.MAXIFS(dados!$F$2:$F$55,dados!$C$2:$C$55,$A73))</f>
        <v/>
      </c>
      <c r="K73" s="5">
        <f>IFERROR(J73-I73,"")</f>
        <v/>
      </c>
    </row>
    <row r="74">
      <c r="A74" s="2" t="inlineStr">
        <is>
          <t>Brasília</t>
        </is>
      </c>
      <c r="B74" s="12" t="inlineStr">
        <is>
          <t>Horários</t>
        </is>
      </c>
      <c r="C74" s="2" t="inlineStr">
        <is>
          <t>dias_abertos</t>
        </is>
      </c>
      <c r="D74" s="2" t="inlineStr">
        <is>
          <t>Dias abertos por semana</t>
        </is>
      </c>
      <c r="E74" s="5">
        <f>COUNTIFS(dados!$C$2:$C$55,$A74,dados!$G$2:$G$55,"&lt;&gt;")</f>
        <v/>
      </c>
      <c r="F74" s="6">
        <f>IFERROR(AVERAGEIFS(dados!$G$2:$G$55,dados!$C$2:$C$55,$A74),"")</f>
        <v/>
      </c>
      <c r="G74" s="6">
        <f t="array" ref="G74">IFERROR(MEDIAN(IF((dados!$C$2:$C$55=$A74)*(dados!$G$2:$G$55&lt;&gt;""),dados!$G$2:$G$55)),"")</f>
        <v/>
      </c>
      <c r="H74" s="6">
        <f t="array" ref="H74">IFERROR(STDEV(IF((dados!$C$2:$C$55=$A74)*(dados!$G$2:$G$55&lt;&gt;""),dados!$G$2:$G$55)),"")</f>
        <v/>
      </c>
      <c r="I74" s="6">
        <f>IF(COUNTIFS(dados!$C$2:$C$55,$A74,dados!$G$2:$G$55,"&lt;&gt;")=0,"",_xlfn.MINIFS(dados!$G$2:$G$55,dados!$C$2:$C$55,$A74))</f>
        <v/>
      </c>
      <c r="J74" s="6">
        <f>IF(COUNTIFS(dados!$C$2:$C$55,$A74,dados!$G$2:$G$55,"&lt;&gt;")=0,"",_xlfn.MAXIFS(dados!$G$2:$G$55,dados!$C$2:$C$55,$A74))</f>
        <v/>
      </c>
      <c r="K74" s="6">
        <f>IFERROR(J74-I74,"")</f>
        <v/>
      </c>
    </row>
    <row r="75">
      <c r="A75" s="2" t="inlineStr">
        <is>
          <t>Brasília</t>
        </is>
      </c>
      <c r="B75" s="12" t="inlineStr">
        <is>
          <t>Horários</t>
        </is>
      </c>
      <c r="C75" s="2" t="inlineStr">
        <is>
          <t>horas_semana</t>
        </is>
      </c>
      <c r="D75" s="2" t="inlineStr">
        <is>
          <t>Horas abertas por semana</t>
        </is>
      </c>
      <c r="E75" s="5">
        <f>COUNTIFS(dados!$C$2:$C$55,$A75,dados!$H$2:$H$55,"&lt;&gt;")</f>
        <v/>
      </c>
      <c r="F75" s="6">
        <f>IFERROR(AVERAGEIFS(dados!$H$2:$H$55,dados!$C$2:$C$55,$A75),"")</f>
        <v/>
      </c>
      <c r="G75" s="6">
        <f t="array" ref="G75">IFERROR(MEDIAN(IF((dados!$C$2:$C$55=$A75)*(dados!$H$2:$H$55&lt;&gt;""),dados!$H$2:$H$55)),"")</f>
        <v/>
      </c>
      <c r="H75" s="6">
        <f t="array" ref="H75">IFERROR(STDEV(IF((dados!$C$2:$C$55=$A75)*(dados!$H$2:$H$55&lt;&gt;""),dados!$H$2:$H$55)),"")</f>
        <v/>
      </c>
      <c r="I75" s="6">
        <f>IF(COUNTIFS(dados!$C$2:$C$55,$A75,dados!$H$2:$H$55,"&lt;&gt;")=0,"",_xlfn.MINIFS(dados!$H$2:$H$55,dados!$C$2:$C$55,$A75))</f>
        <v/>
      </c>
      <c r="J75" s="6">
        <f>IF(COUNTIFS(dados!$C$2:$C$55,$A75,dados!$H$2:$H$55,"&lt;&gt;")=0,"",_xlfn.MAXIFS(dados!$H$2:$H$55,dados!$C$2:$C$55,$A75))</f>
        <v/>
      </c>
      <c r="K75" s="6">
        <f>IFERROR(J75-I75,"")</f>
        <v/>
      </c>
    </row>
    <row r="76">
      <c r="A76" s="2" t="inlineStr">
        <is>
          <t>Brasília</t>
        </is>
      </c>
      <c r="B76" s="12" t="inlineStr">
        <is>
          <t>Horários</t>
        </is>
      </c>
      <c r="C76" s="2" t="inlineStr">
        <is>
          <t>abre_cedo_h</t>
        </is>
      </c>
      <c r="D76" s="2" t="inlineStr">
        <is>
          <t>Abertura mais cedo da semana</t>
        </is>
      </c>
      <c r="E76" s="5">
        <f>COUNTIFS(dados!$C$2:$C$55,$A76,dados!$I$2:$I$55,"&lt;&gt;")</f>
        <v/>
      </c>
      <c r="F76" s="6">
        <f>IFERROR(AVERAGEIFS(dados!$I$2:$I$55,dados!$C$2:$C$55,$A76),"")</f>
        <v/>
      </c>
      <c r="G76" s="6">
        <f t="array" ref="G76">IFERROR(MEDIAN(IF((dados!$C$2:$C$55=$A76)*(dados!$I$2:$I$55&lt;&gt;""),dados!$I$2:$I$55)),"")</f>
        <v/>
      </c>
      <c r="H76" s="6">
        <f t="array" ref="H76">IFERROR(STDEV(IF((dados!$C$2:$C$55=$A76)*(dados!$I$2:$I$55&lt;&gt;""),dados!$I$2:$I$55)),"")</f>
        <v/>
      </c>
      <c r="I76" s="6">
        <f>IF(COUNTIFS(dados!$C$2:$C$55,$A76,dados!$I$2:$I$55,"&lt;&gt;")=0,"",_xlfn.MINIFS(dados!$I$2:$I$55,dados!$C$2:$C$55,$A76))</f>
        <v/>
      </c>
      <c r="J76" s="6">
        <f>IF(COUNTIFS(dados!$C$2:$C$55,$A76,dados!$I$2:$I$55,"&lt;&gt;")=0,"",_xlfn.MAXIFS(dados!$I$2:$I$55,dados!$C$2:$C$55,$A76))</f>
        <v/>
      </c>
      <c r="K76" s="6">
        <f>IFERROR(J76-I76,"")</f>
        <v/>
      </c>
    </row>
    <row r="77">
      <c r="A77" s="2" t="inlineStr">
        <is>
          <t>Brasília</t>
        </is>
      </c>
      <c r="B77" s="12" t="inlineStr">
        <is>
          <t>Horários</t>
        </is>
      </c>
      <c r="C77" s="2" t="inlineStr">
        <is>
          <t>fecha_tarde_h</t>
        </is>
      </c>
      <c r="D77" s="2" t="inlineStr">
        <is>
          <t>Fechamento mais tarde da semana (25 = 1h da manhã)</t>
        </is>
      </c>
      <c r="E77" s="5">
        <f>COUNTIFS(dados!$C$2:$C$55,$A77,dados!$J$2:$J$55,"&lt;&gt;")</f>
        <v/>
      </c>
      <c r="F77" s="6">
        <f>IFERROR(AVERAGEIFS(dados!$J$2:$J$55,dados!$C$2:$C$55,$A77),"")</f>
        <v/>
      </c>
      <c r="G77" s="6">
        <f t="array" ref="G77">IFERROR(MEDIAN(IF((dados!$C$2:$C$55=$A77)*(dados!$J$2:$J$55&lt;&gt;""),dados!$J$2:$J$55)),"")</f>
        <v/>
      </c>
      <c r="H77" s="6">
        <f t="array" ref="H77">IFERROR(STDEV(IF((dados!$C$2:$C$55=$A77)*(dados!$J$2:$J$55&lt;&gt;""),dados!$J$2:$J$55)),"")</f>
        <v/>
      </c>
      <c r="I77" s="6">
        <f>IF(COUNTIFS(dados!$C$2:$C$55,$A77,dados!$J$2:$J$55,"&lt;&gt;")=0,"",_xlfn.MINIFS(dados!$J$2:$J$55,dados!$C$2:$C$55,$A77))</f>
        <v/>
      </c>
      <c r="J77" s="6">
        <f>IF(COUNTIFS(dados!$C$2:$C$55,$A77,dados!$J$2:$J$55,"&lt;&gt;")=0,"",_xlfn.MAXIFS(dados!$J$2:$J$55,dados!$C$2:$C$55,$A77))</f>
        <v/>
      </c>
      <c r="K77" s="6">
        <f>IFERROR(J77-I77,"")</f>
        <v/>
      </c>
    </row>
    <row r="78">
      <c r="A78" s="2" t="inlineStr">
        <is>
          <t>Brasília</t>
        </is>
      </c>
      <c r="B78" s="13" t="inlineStr">
        <is>
          <t>Entorno</t>
        </is>
      </c>
      <c r="C78" s="2" t="inlineStr">
        <is>
          <t>metro_500m</t>
        </is>
      </c>
      <c r="D78" s="2" t="inlineStr">
        <is>
          <t>Estações de metrô até 500 m</t>
        </is>
      </c>
      <c r="E78" s="5">
        <f>COUNTIFS(dados!$C$2:$C$55,$A78,dados!$K$2:$K$55,"&lt;&gt;")</f>
        <v/>
      </c>
      <c r="F78" s="4">
        <f>IFERROR(AVERAGEIFS(dados!$K$2:$K$55,dados!$C$2:$C$55,$A78),"")</f>
        <v/>
      </c>
      <c r="G78" s="4">
        <f t="array" ref="G78">IFERROR(MEDIAN(IF((dados!$C$2:$C$55=$A78)*(dados!$K$2:$K$55&lt;&gt;""),dados!$K$2:$K$55)),"")</f>
        <v/>
      </c>
      <c r="H78" s="4">
        <f t="array" ref="H78">IFERROR(STDEV(IF((dados!$C$2:$C$55=$A78)*(dados!$K$2:$K$55&lt;&gt;""),dados!$K$2:$K$55)),"")</f>
        <v/>
      </c>
      <c r="I78" s="4">
        <f>IF(COUNTIFS(dados!$C$2:$C$55,$A78,dados!$K$2:$K$55,"&lt;&gt;")=0,"",_xlfn.MINIFS(dados!$K$2:$K$55,dados!$C$2:$C$55,$A78))</f>
        <v/>
      </c>
      <c r="J78" s="4">
        <f>IF(COUNTIFS(dados!$C$2:$C$55,$A78,dados!$K$2:$K$55,"&lt;&gt;")=0,"",_xlfn.MAXIFS(dados!$K$2:$K$55,dados!$C$2:$C$55,$A78))</f>
        <v/>
      </c>
      <c r="K78" s="4">
        <f>IFERROR(J78-I78,"")</f>
        <v/>
      </c>
    </row>
    <row r="79">
      <c r="A79" s="2" t="inlineStr">
        <is>
          <t>Brasília</t>
        </is>
      </c>
      <c r="B79" s="13" t="inlineStr">
        <is>
          <t>Entorno</t>
        </is>
      </c>
      <c r="C79" s="2" t="inlineStr">
        <is>
          <t>metro_1000m</t>
        </is>
      </c>
      <c r="D79" s="2" t="inlineStr">
        <is>
          <t>Estações de metrô até 1000 m</t>
        </is>
      </c>
      <c r="E79" s="5">
        <f>COUNTIFS(dados!$C$2:$C$55,$A79,dados!$L$2:$L$55,"&lt;&gt;")</f>
        <v/>
      </c>
      <c r="F79" s="4">
        <f>IFERROR(AVERAGEIFS(dados!$L$2:$L$55,dados!$C$2:$C$55,$A79),"")</f>
        <v/>
      </c>
      <c r="G79" s="4">
        <f t="array" ref="G79">IFERROR(MEDIAN(IF((dados!$C$2:$C$55=$A79)*(dados!$L$2:$L$55&lt;&gt;""),dados!$L$2:$L$55)),"")</f>
        <v/>
      </c>
      <c r="H79" s="4">
        <f t="array" ref="H79">IFERROR(STDEV(IF((dados!$C$2:$C$55=$A79)*(dados!$L$2:$L$55&lt;&gt;""),dados!$L$2:$L$55)),"")</f>
        <v/>
      </c>
      <c r="I79" s="4">
        <f>IF(COUNTIFS(dados!$C$2:$C$55,$A79,dados!$L$2:$L$55,"&lt;&gt;")=0,"",_xlfn.MINIFS(dados!$L$2:$L$55,dados!$C$2:$C$55,$A79))</f>
        <v/>
      </c>
      <c r="J79" s="4">
        <f>IF(COUNTIFS(dados!$C$2:$C$55,$A79,dados!$L$2:$L$55,"&lt;&gt;")=0,"",_xlfn.MAXIFS(dados!$L$2:$L$55,dados!$C$2:$C$55,$A79))</f>
        <v/>
      </c>
      <c r="K79" s="4">
        <f>IFERROR(J79-I79,"")</f>
        <v/>
      </c>
    </row>
    <row r="80">
      <c r="A80" s="2" t="inlineStr">
        <is>
          <t>Brasília</t>
        </is>
      </c>
      <c r="B80" s="13" t="inlineStr">
        <is>
          <t>Entorno</t>
        </is>
      </c>
      <c r="C80" s="2" t="inlineStr">
        <is>
          <t>dist_metro_m</t>
        </is>
      </c>
      <c r="D80" s="2" t="inlineStr">
        <is>
          <t>Distância à estação de metrô mais próxima</t>
        </is>
      </c>
      <c r="E80" s="5">
        <f>COUNTIFS(dados!$C$2:$C$55,$A80,dados!$M$2:$M$55,"&lt;&gt;")</f>
        <v/>
      </c>
      <c r="F80" s="5">
        <f>IFERROR(AVERAGEIFS(dados!$M$2:$M$55,dados!$C$2:$C$55,$A80),"")</f>
        <v/>
      </c>
      <c r="G80" s="5">
        <f t="array" ref="G80">IFERROR(MEDIAN(IF((dados!$C$2:$C$55=$A80)*(dados!$M$2:$M$55&lt;&gt;""),dados!$M$2:$M$55)),"")</f>
        <v/>
      </c>
      <c r="H80" s="5">
        <f t="array" ref="H80">IFERROR(STDEV(IF((dados!$C$2:$C$55=$A80)*(dados!$M$2:$M$55&lt;&gt;""),dados!$M$2:$M$55)),"")</f>
        <v/>
      </c>
      <c r="I80" s="5">
        <f>IF(COUNTIFS(dados!$C$2:$C$55,$A80,dados!$M$2:$M$55,"&lt;&gt;")=0,"",_xlfn.MINIFS(dados!$M$2:$M$55,dados!$C$2:$C$55,$A80))</f>
        <v/>
      </c>
      <c r="J80" s="5">
        <f>IF(COUNTIFS(dados!$C$2:$C$55,$A80,dados!$M$2:$M$55,"&lt;&gt;")=0,"",_xlfn.MAXIFS(dados!$M$2:$M$55,dados!$C$2:$C$55,$A80))</f>
        <v/>
      </c>
      <c r="K80" s="5">
        <f>IFERROR(J80-I80,"")</f>
        <v/>
      </c>
    </row>
    <row r="81">
      <c r="A81" s="2" t="inlineStr">
        <is>
          <t>Brasília</t>
        </is>
      </c>
      <c r="B81" s="13" t="inlineStr">
        <is>
          <t>Entorno</t>
        </is>
      </c>
      <c r="C81" s="2" t="inlineStr">
        <is>
          <t>shopping_porte_500m</t>
        </is>
      </c>
      <c r="D81" s="2" t="inlineStr">
        <is>
          <t>Shoppings de porte até 500 m (onde o porte foi buscado)</t>
        </is>
      </c>
      <c r="E81" s="5">
        <f>COUNTIFS(dados!$C$2:$C$55,$A81,dados!$N$2:$N$55,"&lt;&gt;")</f>
        <v/>
      </c>
      <c r="F81" s="4">
        <f>IFERROR(AVERAGEIFS(dados!$N$2:$N$55,dados!$C$2:$C$55,$A81),"")</f>
        <v/>
      </c>
      <c r="G81" s="4">
        <f t="array" ref="G81">IFERROR(MEDIAN(IF((dados!$C$2:$C$55=$A81)*(dados!$N$2:$N$55&lt;&gt;""),dados!$N$2:$N$55)),"")</f>
        <v/>
      </c>
      <c r="H81" s="4">
        <f t="array" ref="H81">IFERROR(STDEV(IF((dados!$C$2:$C$55=$A81)*(dados!$N$2:$N$55&lt;&gt;""),dados!$N$2:$N$55)),"")</f>
        <v/>
      </c>
      <c r="I81" s="4">
        <f>IF(COUNTIFS(dados!$C$2:$C$55,$A81,dados!$N$2:$N$55,"&lt;&gt;")=0,"",_xlfn.MINIFS(dados!$N$2:$N$55,dados!$C$2:$C$55,$A81))</f>
        <v/>
      </c>
      <c r="J81" s="4">
        <f>IF(COUNTIFS(dados!$C$2:$C$55,$A81,dados!$N$2:$N$55,"&lt;&gt;")=0,"",_xlfn.MAXIFS(dados!$N$2:$N$55,dados!$C$2:$C$55,$A81))</f>
        <v/>
      </c>
      <c r="K81" s="4">
        <f>IFERROR(J81-I81,"")</f>
        <v/>
      </c>
    </row>
    <row r="82">
      <c r="A82" s="2" t="inlineStr">
        <is>
          <t>Brasília</t>
        </is>
      </c>
      <c r="B82" s="13" t="inlineStr">
        <is>
          <t>Entorno</t>
        </is>
      </c>
      <c r="C82" s="2" t="inlineStr">
        <is>
          <t>shopping_porte_1000m</t>
        </is>
      </c>
      <c r="D82" s="2" t="inlineStr">
        <is>
          <t>Shoppings de porte até 1000 m (onde o porte foi buscado)</t>
        </is>
      </c>
      <c r="E82" s="5">
        <f>COUNTIFS(dados!$C$2:$C$55,$A82,dados!$O$2:$O$55,"&lt;&gt;")</f>
        <v/>
      </c>
      <c r="F82" s="4">
        <f>IFERROR(AVERAGEIFS(dados!$O$2:$O$55,dados!$C$2:$C$55,$A82),"")</f>
        <v/>
      </c>
      <c r="G82" s="4">
        <f t="array" ref="G82">IFERROR(MEDIAN(IF((dados!$C$2:$C$55=$A82)*(dados!$O$2:$O$55&lt;&gt;""),dados!$O$2:$O$55)),"")</f>
        <v/>
      </c>
      <c r="H82" s="4">
        <f t="array" ref="H82">IFERROR(STDEV(IF((dados!$C$2:$C$55=$A82)*(dados!$O$2:$O$55&lt;&gt;""),dados!$O$2:$O$55)),"")</f>
        <v/>
      </c>
      <c r="I82" s="4">
        <f>IF(COUNTIFS(dados!$C$2:$C$55,$A82,dados!$O$2:$O$55,"&lt;&gt;")=0,"",_xlfn.MINIFS(dados!$O$2:$O$55,dados!$C$2:$C$55,$A82))</f>
        <v/>
      </c>
      <c r="J82" s="4">
        <f>IF(COUNTIFS(dados!$C$2:$C$55,$A82,dados!$O$2:$O$55,"&lt;&gt;")=0,"",_xlfn.MAXIFS(dados!$O$2:$O$55,dados!$C$2:$C$55,$A82))</f>
        <v/>
      </c>
      <c r="K82" s="4">
        <f>IFERROR(J82-I82,"")</f>
        <v/>
      </c>
    </row>
    <row r="83">
      <c r="A83" s="2" t="inlineStr">
        <is>
          <t>Brasília</t>
        </is>
      </c>
      <c r="B83" s="13" t="inlineStr">
        <is>
          <t>Entorno</t>
        </is>
      </c>
      <c r="C83" s="2" t="inlineStr">
        <is>
          <t>dist_shopping_m</t>
        </is>
      </c>
      <c r="D83" s="2" t="inlineStr">
        <is>
          <t>Distância ao shopping mais próximo (qualquer porte)</t>
        </is>
      </c>
      <c r="E83" s="5">
        <f>COUNTIFS(dados!$C$2:$C$55,$A83,dados!$P$2:$P$55,"&lt;&gt;")</f>
        <v/>
      </c>
      <c r="F83" s="5">
        <f>IFERROR(AVERAGEIFS(dados!$P$2:$P$55,dados!$C$2:$C$55,$A83),"")</f>
        <v/>
      </c>
      <c r="G83" s="5">
        <f t="array" ref="G83">IFERROR(MEDIAN(IF((dados!$C$2:$C$55=$A83)*(dados!$P$2:$P$55&lt;&gt;""),dados!$P$2:$P$55)),"")</f>
        <v/>
      </c>
      <c r="H83" s="5">
        <f t="array" ref="H83">IFERROR(STDEV(IF((dados!$C$2:$C$55=$A83)*(dados!$P$2:$P$55&lt;&gt;""),dados!$P$2:$P$55)),"")</f>
        <v/>
      </c>
      <c r="I83" s="5">
        <f>IF(COUNTIFS(dados!$C$2:$C$55,$A83,dados!$P$2:$P$55,"&lt;&gt;")=0,"",_xlfn.MINIFS(dados!$P$2:$P$55,dados!$C$2:$C$55,$A83))</f>
        <v/>
      </c>
      <c r="J83" s="5">
        <f>IF(COUNTIFS(dados!$C$2:$C$55,$A83,dados!$P$2:$P$55,"&lt;&gt;")=0,"",_xlfn.MAXIFS(dados!$P$2:$P$55,dados!$C$2:$C$55,$A83))</f>
        <v/>
      </c>
      <c r="K83" s="5">
        <f>IFERROR(J83-I83,"")</f>
        <v/>
      </c>
    </row>
    <row r="84">
      <c r="A84" s="2" t="inlineStr">
        <is>
          <t>Brasília</t>
        </is>
      </c>
      <c r="B84" s="14" t="inlineStr">
        <is>
          <t>Instagram</t>
        </is>
      </c>
      <c r="C84" s="2" t="inlineStr">
        <is>
          <t>seguidores</t>
        </is>
      </c>
      <c r="D84" s="2" t="inlineStr">
        <is>
          <t>Seguidores</t>
        </is>
      </c>
      <c r="E84" s="5">
        <f>COUNTIFS(dados!$C$2:$C$55,$A84,dados!$Q$2:$Q$55,"&lt;&gt;")</f>
        <v/>
      </c>
      <c r="F84" s="5">
        <f>IFERROR(AVERAGEIFS(dados!$Q$2:$Q$55,dados!$C$2:$C$55,$A84),"")</f>
        <v/>
      </c>
      <c r="G84" s="5">
        <f t="array" ref="G84">IFERROR(MEDIAN(IF((dados!$C$2:$C$55=$A84)*(dados!$Q$2:$Q$55&lt;&gt;""),dados!$Q$2:$Q$55)),"")</f>
        <v/>
      </c>
      <c r="H84" s="5">
        <f t="array" ref="H84">IFERROR(STDEV(IF((dados!$C$2:$C$55=$A84)*(dados!$Q$2:$Q$55&lt;&gt;""),dados!$Q$2:$Q$55)),"")</f>
        <v/>
      </c>
      <c r="I84" s="5">
        <f>IF(COUNTIFS(dados!$C$2:$C$55,$A84,dados!$Q$2:$Q$55,"&lt;&gt;")=0,"",_xlfn.MINIFS(dados!$Q$2:$Q$55,dados!$C$2:$C$55,$A84))</f>
        <v/>
      </c>
      <c r="J84" s="5">
        <f>IF(COUNTIFS(dados!$C$2:$C$55,$A84,dados!$Q$2:$Q$55,"&lt;&gt;")=0,"",_xlfn.MAXIFS(dados!$Q$2:$Q$55,dados!$C$2:$C$55,$A84))</f>
        <v/>
      </c>
      <c r="K84" s="5">
        <f>IFERROR(J84-I84,"")</f>
        <v/>
      </c>
    </row>
    <row r="85">
      <c r="A85" s="2" t="inlineStr">
        <is>
          <t>Brasília</t>
        </is>
      </c>
      <c r="B85" s="14" t="inlineStr">
        <is>
          <t>Instagram</t>
        </is>
      </c>
      <c r="C85" s="2" t="inlineStr">
        <is>
          <t>n_posts_total</t>
        </is>
      </c>
      <c r="D85" s="2" t="inlineStr">
        <is>
          <t>Posts desde a criação do perfil</t>
        </is>
      </c>
      <c r="E85" s="5">
        <f>COUNTIFS(dados!$C$2:$C$55,$A85,dados!$R$2:$R$55,"&lt;&gt;")</f>
        <v/>
      </c>
      <c r="F85" s="5">
        <f>IFERROR(AVERAGEIFS(dados!$R$2:$R$55,dados!$C$2:$C$55,$A85),"")</f>
        <v/>
      </c>
      <c r="G85" s="5">
        <f t="array" ref="G85">IFERROR(MEDIAN(IF((dados!$C$2:$C$55=$A85)*(dados!$R$2:$R$55&lt;&gt;""),dados!$R$2:$R$55)),"")</f>
        <v/>
      </c>
      <c r="H85" s="5">
        <f t="array" ref="H85">IFERROR(STDEV(IF((dados!$C$2:$C$55=$A85)*(dados!$R$2:$R$55&lt;&gt;""),dados!$R$2:$R$55)),"")</f>
        <v/>
      </c>
      <c r="I85" s="5">
        <f>IF(COUNTIFS(dados!$C$2:$C$55,$A85,dados!$R$2:$R$55,"&lt;&gt;")=0,"",_xlfn.MINIFS(dados!$R$2:$R$55,dados!$C$2:$C$55,$A85))</f>
        <v/>
      </c>
      <c r="J85" s="5">
        <f>IF(COUNTIFS(dados!$C$2:$C$55,$A85,dados!$R$2:$R$55,"&lt;&gt;")=0,"",_xlfn.MAXIFS(dados!$R$2:$R$55,dados!$C$2:$C$55,$A85))</f>
        <v/>
      </c>
      <c r="K85" s="5">
        <f>IFERROR(J85-I85,"")</f>
        <v/>
      </c>
    </row>
    <row r="86">
      <c r="A86" s="2" t="inlineStr">
        <is>
          <t>Brasília</t>
        </is>
      </c>
      <c r="B86" s="14" t="inlineStr">
        <is>
          <t>Instagram</t>
        </is>
      </c>
      <c r="C86" s="2" t="inlineStr">
        <is>
          <t>idade_perfil_anos</t>
        </is>
      </c>
      <c r="D86" s="2" t="inlineStr">
        <is>
          <t>Idade do perfil (desde o primeiro post até 15/10/2026)</t>
        </is>
      </c>
      <c r="E86" s="5">
        <f>COUNTIFS(dados!$C$2:$C$55,$A86,dados!$S$2:$S$55,"&lt;&gt;")</f>
        <v/>
      </c>
      <c r="F86" s="6">
        <f>IFERROR(AVERAGEIFS(dados!$S$2:$S$55,dados!$C$2:$C$55,$A86),"")</f>
        <v/>
      </c>
      <c r="G86" s="6">
        <f t="array" ref="G86">IFERROR(MEDIAN(IF((dados!$C$2:$C$55=$A86)*(dados!$S$2:$S$55&lt;&gt;""),dados!$S$2:$S$55)),"")</f>
        <v/>
      </c>
      <c r="H86" s="6">
        <f t="array" ref="H86">IFERROR(STDEV(IF((dados!$C$2:$C$55=$A86)*(dados!$S$2:$S$55&lt;&gt;""),dados!$S$2:$S$55)),"")</f>
        <v/>
      </c>
      <c r="I86" s="6">
        <f>IF(COUNTIFS(dados!$C$2:$C$55,$A86,dados!$S$2:$S$55,"&lt;&gt;")=0,"",_xlfn.MINIFS(dados!$S$2:$S$55,dados!$C$2:$C$55,$A86))</f>
        <v/>
      </c>
      <c r="J86" s="6">
        <f>IF(COUNTIFS(dados!$C$2:$C$55,$A86,dados!$S$2:$S$55,"&lt;&gt;")=0,"",_xlfn.MAXIFS(dados!$S$2:$S$55,dados!$C$2:$C$55,$A86))</f>
        <v/>
      </c>
      <c r="K86" s="6">
        <f>IFERROR(J86-I86,"")</f>
        <v/>
      </c>
    </row>
    <row r="87">
      <c r="A87" s="2" t="inlineStr">
        <is>
          <t>Brasília</t>
        </is>
      </c>
      <c r="B87" s="14" t="inlineStr">
        <is>
          <t>Instagram</t>
        </is>
      </c>
      <c r="C87" s="2" t="inlineStr">
        <is>
          <t>n_posts_periodo</t>
        </is>
      </c>
      <c r="D87" s="2" t="inlineStr">
        <is>
          <t>Posts de 01/09 a 01/10/2026</t>
        </is>
      </c>
      <c r="E87" s="5">
        <f>COUNTIFS(dados!$C$2:$C$55,$A87,dados!$T$2:$T$55,"&lt;&gt;")</f>
        <v/>
      </c>
      <c r="F87" s="6">
        <f>IFERROR(AVERAGEIFS(dados!$T$2:$T$55,dados!$C$2:$C$55,$A87),"")</f>
        <v/>
      </c>
      <c r="G87" s="6">
        <f t="array" ref="G87">IFERROR(MEDIAN(IF((dados!$C$2:$C$55=$A87)*(dados!$T$2:$T$55&lt;&gt;""),dados!$T$2:$T$55)),"")</f>
        <v/>
      </c>
      <c r="H87" s="6">
        <f t="array" ref="H87">IFERROR(STDEV(IF((dados!$C$2:$C$55=$A87)*(dados!$T$2:$T$55&lt;&gt;""),dados!$T$2:$T$55)),"")</f>
        <v/>
      </c>
      <c r="I87" s="6">
        <f>IF(COUNTIFS(dados!$C$2:$C$55,$A87,dados!$T$2:$T$55,"&lt;&gt;")=0,"",_xlfn.MINIFS(dados!$T$2:$T$55,dados!$C$2:$C$55,$A87))</f>
        <v/>
      </c>
      <c r="J87" s="6">
        <f>IF(COUNTIFS(dados!$C$2:$C$55,$A87,dados!$T$2:$T$55,"&lt;&gt;")=0,"",_xlfn.MAXIFS(dados!$T$2:$T$55,dados!$C$2:$C$55,$A87))</f>
        <v/>
      </c>
      <c r="K87" s="6">
        <f>IFERROR(J87-I87,"")</f>
        <v/>
      </c>
    </row>
    <row r="88">
      <c r="A88" s="2" t="inlineStr">
        <is>
          <t>Brasília</t>
        </is>
      </c>
      <c r="B88" s="14" t="inlineStr">
        <is>
          <t>Instagram</t>
        </is>
      </c>
      <c r="C88" s="2" t="inlineStr">
        <is>
          <t>curtidas_periodo</t>
        </is>
      </c>
      <c r="D88" s="2" t="inlineStr">
        <is>
          <t>Curtidas no período</t>
        </is>
      </c>
      <c r="E88" s="5">
        <f>COUNTIFS(dados!$C$2:$C$55,$A88,dados!$U$2:$U$55,"&lt;&gt;")</f>
        <v/>
      </c>
      <c r="F88" s="5">
        <f>IFERROR(AVERAGEIFS(dados!$U$2:$U$55,dados!$C$2:$C$55,$A88),"")</f>
        <v/>
      </c>
      <c r="G88" s="5">
        <f t="array" ref="G88">IFERROR(MEDIAN(IF((dados!$C$2:$C$55=$A88)*(dados!$U$2:$U$55&lt;&gt;""),dados!$U$2:$U$55)),"")</f>
        <v/>
      </c>
      <c r="H88" s="5">
        <f t="array" ref="H88">IFERROR(STDEV(IF((dados!$C$2:$C$55=$A88)*(dados!$U$2:$U$55&lt;&gt;""),dados!$U$2:$U$55)),"")</f>
        <v/>
      </c>
      <c r="I88" s="5">
        <f>IF(COUNTIFS(dados!$C$2:$C$55,$A88,dados!$U$2:$U$55,"&lt;&gt;")=0,"",_xlfn.MINIFS(dados!$U$2:$U$55,dados!$C$2:$C$55,$A88))</f>
        <v/>
      </c>
      <c r="J88" s="5">
        <f>IF(COUNTIFS(dados!$C$2:$C$55,$A88,dados!$U$2:$U$55,"&lt;&gt;")=0,"",_xlfn.MAXIFS(dados!$U$2:$U$55,dados!$C$2:$C$55,$A88))</f>
        <v/>
      </c>
      <c r="K88" s="5">
        <f>IFERROR(J88-I88,"")</f>
        <v/>
      </c>
    </row>
    <row r="89">
      <c r="A89" s="2" t="inlineStr">
        <is>
          <t>Brasília</t>
        </is>
      </c>
      <c r="B89" s="14" t="inlineStr">
        <is>
          <t>Instagram</t>
        </is>
      </c>
      <c r="C89" s="2" t="inlineStr">
        <is>
          <t>comentarios_periodo</t>
        </is>
      </c>
      <c r="D89" s="2" t="inlineStr">
        <is>
          <t>Comentários no período</t>
        </is>
      </c>
      <c r="E89" s="5">
        <f>COUNTIFS(dados!$C$2:$C$55,$A89,dados!$V$2:$V$55,"&lt;&gt;")</f>
        <v/>
      </c>
      <c r="F89" s="5">
        <f>IFERROR(AVERAGEIFS(dados!$V$2:$V$55,dados!$C$2:$C$55,$A89),"")</f>
        <v/>
      </c>
      <c r="G89" s="5">
        <f t="array" ref="G89">IFERROR(MEDIAN(IF((dados!$C$2:$C$55=$A89)*(dados!$V$2:$V$55&lt;&gt;""),dados!$V$2:$V$55)),"")</f>
        <v/>
      </c>
      <c r="H89" s="5">
        <f t="array" ref="H89">IFERROR(STDEV(IF((dados!$C$2:$C$55=$A89)*(dados!$V$2:$V$55&lt;&gt;""),dados!$V$2:$V$55)),"")</f>
        <v/>
      </c>
      <c r="I89" s="5">
        <f>IF(COUNTIFS(dados!$C$2:$C$55,$A89,dados!$V$2:$V$55,"&lt;&gt;")=0,"",_xlfn.MINIFS(dados!$V$2:$V$55,dados!$C$2:$C$55,$A89))</f>
        <v/>
      </c>
      <c r="J89" s="5">
        <f>IF(COUNTIFS(dados!$C$2:$C$55,$A89,dados!$V$2:$V$55,"&lt;&gt;")=0,"",_xlfn.MAXIFS(dados!$V$2:$V$55,dados!$C$2:$C$55,$A89))</f>
        <v/>
      </c>
      <c r="K89" s="5">
        <f>IFERROR(J89-I89,"")</f>
        <v/>
      </c>
    </row>
    <row r="90">
      <c r="A90" s="2" t="inlineStr">
        <is>
          <t>Brasília</t>
        </is>
      </c>
      <c r="B90" s="14" t="inlineStr">
        <is>
          <t>Instagram</t>
        </is>
      </c>
      <c r="C90" s="2" t="inlineStr">
        <is>
          <t>interacoes_por_post</t>
        </is>
      </c>
      <c r="D90" s="2" t="inlineStr">
        <is>
          <t>Interações por post no período (curtidas + comentários)</t>
        </is>
      </c>
      <c r="E90" s="5">
        <f>COUNTIFS(dados!$C$2:$C$55,$A90,dados!$W$2:$W$55,"&lt;&gt;")</f>
        <v/>
      </c>
      <c r="F90" s="6">
        <f>IFERROR(AVERAGEIFS(dados!$W$2:$W$55,dados!$C$2:$C$55,$A90),"")</f>
        <v/>
      </c>
      <c r="G90" s="6">
        <f t="array" ref="G90">IFERROR(MEDIAN(IF((dados!$C$2:$C$55=$A90)*(dados!$W$2:$W$55&lt;&gt;""),dados!$W$2:$W$55)),"")</f>
        <v/>
      </c>
      <c r="H90" s="6">
        <f t="array" ref="H90">IFERROR(STDEV(IF((dados!$C$2:$C$55=$A90)*(dados!$W$2:$W$55&lt;&gt;""),dados!$W$2:$W$55)),"")</f>
        <v/>
      </c>
      <c r="I90" s="6">
        <f>IF(COUNTIFS(dados!$C$2:$C$55,$A90,dados!$W$2:$W$55,"&lt;&gt;")=0,"",_xlfn.MINIFS(dados!$W$2:$W$55,dados!$C$2:$C$55,$A90))</f>
        <v/>
      </c>
      <c r="J90" s="6">
        <f>IF(COUNTIFS(dados!$C$2:$C$55,$A90,dados!$W$2:$W$55,"&lt;&gt;")=0,"",_xlfn.MAXIFS(dados!$W$2:$W$55,dados!$C$2:$C$55,$A90))</f>
        <v/>
      </c>
      <c r="K90" s="6">
        <f>IFERROR(J90-I90,"")</f>
        <v/>
      </c>
    </row>
    <row r="91">
      <c r="A91" s="2" t="inlineStr">
        <is>
          <t>Brasília</t>
        </is>
      </c>
      <c r="B91" s="14" t="inlineStr">
        <is>
          <t>Instagram</t>
        </is>
      </c>
      <c r="C91" s="2" t="inlineStr">
        <is>
          <t>engajamento_pct</t>
        </is>
      </c>
      <c r="D91" s="2" t="inlineStr">
        <is>
          <t>Taxa de engajamento (interações por post ÷ seguidores)</t>
        </is>
      </c>
      <c r="E91" s="5">
        <f>COUNTIFS(dados!$C$2:$C$55,$A91,dados!$X$2:$X$55,"&lt;&gt;")</f>
        <v/>
      </c>
      <c r="F91" s="15">
        <f>IFERROR(AVERAGEIFS(dados!$X$2:$X$55,dados!$C$2:$C$55,$A91),"")</f>
        <v/>
      </c>
      <c r="G91" s="15">
        <f t="array" ref="G91">IFERROR(MEDIAN(IF((dados!$C$2:$C$55=$A91)*(dados!$X$2:$X$55&lt;&gt;""),dados!$X$2:$X$55)),"")</f>
        <v/>
      </c>
      <c r="H91" s="15">
        <f t="array" ref="H91">IFERROR(STDEV(IF((dados!$C$2:$C$55=$A91)*(dados!$X$2:$X$55&lt;&gt;""),dados!$X$2:$X$55)),"")</f>
        <v/>
      </c>
      <c r="I91" s="15">
        <f>IF(COUNTIFS(dados!$C$2:$C$55,$A91,dados!$X$2:$X$55,"&lt;&gt;")=0,"",_xlfn.MINIFS(dados!$X$2:$X$55,dados!$C$2:$C$55,$A91))</f>
        <v/>
      </c>
      <c r="J91" s="15">
        <f>IF(COUNTIFS(dados!$C$2:$C$55,$A91,dados!$X$2:$X$55,"&lt;&gt;")=0,"",_xlfn.MAXIFS(dados!$X$2:$X$55,dados!$C$2:$C$55,$A91))</f>
        <v/>
      </c>
      <c r="K91" s="15">
        <f>IFERROR(J91-I91,"")</f>
        <v/>
      </c>
    </row>
    <row r="92">
      <c r="A92" s="2" t="inlineStr">
        <is>
          <t>Brasília</t>
        </is>
      </c>
      <c r="B92" s="16" t="inlineStr">
        <is>
          <t>Cardápio</t>
        </is>
      </c>
      <c r="C92" s="2" t="inlineStr">
        <is>
          <t>itens_com_preco</t>
        </is>
      </c>
      <c r="D92" s="2" t="inlineStr">
        <is>
          <t>Itens com preço no cardápio</t>
        </is>
      </c>
      <c r="E92" s="5">
        <f>COUNTIFS(dados!$C$2:$C$55,$A92,dados!$Y$2:$Y$55,"&lt;&gt;")</f>
        <v/>
      </c>
      <c r="F92" s="5">
        <f>IFERROR(AVERAGEIFS(dados!$Y$2:$Y$55,dados!$C$2:$C$55,$A92),"")</f>
        <v/>
      </c>
      <c r="G92" s="5">
        <f t="array" ref="G92">IFERROR(MEDIAN(IF((dados!$C$2:$C$55=$A92)*(dados!$Y$2:$Y$55&lt;&gt;""),dados!$Y$2:$Y$55)),"")</f>
        <v/>
      </c>
      <c r="H92" s="5">
        <f t="array" ref="H92">IFERROR(STDEV(IF((dados!$C$2:$C$55=$A92)*(dados!$Y$2:$Y$55&lt;&gt;""),dados!$Y$2:$Y$55)),"")</f>
        <v/>
      </c>
      <c r="I92" s="5">
        <f>IF(COUNTIFS(dados!$C$2:$C$55,$A92,dados!$Y$2:$Y$55,"&lt;&gt;")=0,"",_xlfn.MINIFS(dados!$Y$2:$Y$55,dados!$C$2:$C$55,$A92))</f>
        <v/>
      </c>
      <c r="J92" s="5">
        <f>IF(COUNTIFS(dados!$C$2:$C$55,$A92,dados!$Y$2:$Y$55,"&lt;&gt;")=0,"",_xlfn.MAXIFS(dados!$Y$2:$Y$55,dados!$C$2:$C$55,$A92))</f>
        <v/>
      </c>
      <c r="K92" s="5">
        <f>IFERROR(J92-I92,"")</f>
        <v/>
      </c>
    </row>
    <row r="93">
      <c r="A93" s="2" t="inlineStr">
        <is>
          <t>Brasília</t>
        </is>
      </c>
      <c r="B93" s="16" t="inlineStr">
        <is>
          <t>Cardápio</t>
        </is>
      </c>
      <c r="C93" s="2" t="inlineStr">
        <is>
          <t>couvert_mediana</t>
        </is>
      </c>
      <c r="D93" s="2" t="inlineStr">
        <is>
          <t>Couvert ou taxa de jogo (só casas que cobram)</t>
        </is>
      </c>
      <c r="E93" s="5">
        <f>COUNTIFS(dados!$C$2:$C$55,$A93,dados!$Z$2:$Z$55,"&lt;&gt;")</f>
        <v/>
      </c>
      <c r="F93" s="7">
        <f>IFERROR(AVERAGEIFS(dados!$Z$2:$Z$55,dados!$C$2:$C$55,$A93),"")</f>
        <v/>
      </c>
      <c r="G93" s="7">
        <f t="array" ref="G93">IFERROR(MEDIAN(IF((dados!$C$2:$C$55=$A93)*(dados!$Z$2:$Z$55&lt;&gt;""),dados!$Z$2:$Z$55)),"")</f>
        <v/>
      </c>
      <c r="H93" s="7">
        <f t="array" ref="H93">IFERROR(STDEV(IF((dados!$C$2:$C$55=$A93)*(dados!$Z$2:$Z$55&lt;&gt;""),dados!$Z$2:$Z$55)),"")</f>
        <v/>
      </c>
      <c r="I93" s="7">
        <f>IF(COUNTIFS(dados!$C$2:$C$55,$A93,dados!$Z$2:$Z$55,"&lt;&gt;")=0,"",_xlfn.MINIFS(dados!$Z$2:$Z$55,dados!$C$2:$C$55,$A93))</f>
        <v/>
      </c>
      <c r="J93" s="7">
        <f>IF(COUNTIFS(dados!$C$2:$C$55,$A93,dados!$Z$2:$Z$55,"&lt;&gt;")=0,"",_xlfn.MAXIFS(dados!$Z$2:$Z$55,dados!$C$2:$C$55,$A93))</f>
        <v/>
      </c>
      <c r="K93" s="7">
        <f>IFERROR(J93-I93,"")</f>
        <v/>
      </c>
    </row>
    <row r="94">
      <c r="A94" s="2" t="inlineStr">
        <is>
          <t>Brasília</t>
        </is>
      </c>
      <c r="B94" s="16" t="inlineStr">
        <is>
          <t>Cardápio</t>
        </is>
      </c>
      <c r="C94" s="2" t="inlineStr">
        <is>
          <t>bebida_mediana</t>
        </is>
      </c>
      <c r="D94" s="2" t="inlineStr">
        <is>
          <t>Bebida, mediana do cardápio</t>
        </is>
      </c>
      <c r="E94" s="5">
        <f>COUNTIFS(dados!$C$2:$C$55,$A94,dados!$AA$2:$AA$55,"&lt;&gt;")</f>
        <v/>
      </c>
      <c r="F94" s="7">
        <f>IFERROR(AVERAGEIFS(dados!$AA$2:$AA$55,dados!$C$2:$C$55,$A94),"")</f>
        <v/>
      </c>
      <c r="G94" s="7">
        <f t="array" ref="G94">IFERROR(MEDIAN(IF((dados!$C$2:$C$55=$A94)*(dados!$AA$2:$AA$55&lt;&gt;""),dados!$AA$2:$AA$55)),"")</f>
        <v/>
      </c>
      <c r="H94" s="7">
        <f t="array" ref="H94">IFERROR(STDEV(IF((dados!$C$2:$C$55=$A94)*(dados!$AA$2:$AA$55&lt;&gt;""),dados!$AA$2:$AA$55)),"")</f>
        <v/>
      </c>
      <c r="I94" s="7">
        <f>IF(COUNTIFS(dados!$C$2:$C$55,$A94,dados!$AA$2:$AA$55,"&lt;&gt;")=0,"",_xlfn.MINIFS(dados!$AA$2:$AA$55,dados!$C$2:$C$55,$A94))</f>
        <v/>
      </c>
      <c r="J94" s="7">
        <f>IF(COUNTIFS(dados!$C$2:$C$55,$A94,dados!$AA$2:$AA$55,"&lt;&gt;")=0,"",_xlfn.MAXIFS(dados!$AA$2:$AA$55,dados!$C$2:$C$55,$A94))</f>
        <v/>
      </c>
      <c r="K94" s="7">
        <f>IFERROR(J94-I94,"")</f>
        <v/>
      </c>
    </row>
    <row r="95">
      <c r="A95" s="2" t="inlineStr">
        <is>
          <t>Brasília</t>
        </is>
      </c>
      <c r="B95" s="16" t="inlineStr">
        <is>
          <t>Cardápio</t>
        </is>
      </c>
      <c r="C95" s="2" t="inlineStr">
        <is>
          <t>entrada_ou_prato_mediana</t>
        </is>
      </c>
      <c r="D95" s="2" t="inlineStr">
        <is>
          <t>Entrada ou prato, mediana do cardápio</t>
        </is>
      </c>
      <c r="E95" s="5">
        <f>COUNTIFS(dados!$C$2:$C$55,$A95,dados!$AB$2:$AB$55,"&lt;&gt;")</f>
        <v/>
      </c>
      <c r="F95" s="7">
        <f>IFERROR(AVERAGEIFS(dados!$AB$2:$AB$55,dados!$C$2:$C$55,$A95),"")</f>
        <v/>
      </c>
      <c r="G95" s="7">
        <f t="array" ref="G95">IFERROR(MEDIAN(IF((dados!$C$2:$C$55=$A95)*(dados!$AB$2:$AB$55&lt;&gt;""),dados!$AB$2:$AB$55)),"")</f>
        <v/>
      </c>
      <c r="H95" s="7">
        <f t="array" ref="H95">IFERROR(STDEV(IF((dados!$C$2:$C$55=$A95)*(dados!$AB$2:$AB$55&lt;&gt;""),dados!$AB$2:$AB$55)),"")</f>
        <v/>
      </c>
      <c r="I95" s="7">
        <f>IF(COUNTIFS(dados!$C$2:$C$55,$A95,dados!$AB$2:$AB$55,"&lt;&gt;")=0,"",_xlfn.MINIFS(dados!$AB$2:$AB$55,dados!$C$2:$C$55,$A95))</f>
        <v/>
      </c>
      <c r="J95" s="7">
        <f>IF(COUNTIFS(dados!$C$2:$C$55,$A95,dados!$AB$2:$AB$55,"&lt;&gt;")=0,"",_xlfn.MAXIFS(dados!$AB$2:$AB$55,dados!$C$2:$C$55,$A95))</f>
        <v/>
      </c>
      <c r="K95" s="7">
        <f>IFERROR(J95-I95,"")</f>
        <v/>
      </c>
    </row>
    <row r="96">
      <c r="A96" s="2" t="inlineStr">
        <is>
          <t>Brasília</t>
        </is>
      </c>
      <c r="B96" s="16" t="inlineStr">
        <is>
          <t>Cardápio</t>
        </is>
      </c>
      <c r="C96" s="2" t="inlineStr">
        <is>
          <t>cesta_baixa</t>
        </is>
      </c>
      <c r="D96" s="2" t="inlineStr">
        <is>
          <t>Cesta por pessoa, nível baixo (P25)</t>
        </is>
      </c>
      <c r="E96" s="5">
        <f>COUNTIFS(dados!$C$2:$C$55,$A96,dados!$AC$2:$AC$55,"&lt;&gt;")</f>
        <v/>
      </c>
      <c r="F96" s="7">
        <f>IFERROR(AVERAGEIFS(dados!$AC$2:$AC$55,dados!$C$2:$C$55,$A96),"")</f>
        <v/>
      </c>
      <c r="G96" s="7">
        <f t="array" ref="G96">IFERROR(MEDIAN(IF((dados!$C$2:$C$55=$A96)*(dados!$AC$2:$AC$55&lt;&gt;""),dados!$AC$2:$AC$55)),"")</f>
        <v/>
      </c>
      <c r="H96" s="7">
        <f t="array" ref="H96">IFERROR(STDEV(IF((dados!$C$2:$C$55=$A96)*(dados!$AC$2:$AC$55&lt;&gt;""),dados!$AC$2:$AC$55)),"")</f>
        <v/>
      </c>
      <c r="I96" s="7">
        <f>IF(COUNTIFS(dados!$C$2:$C$55,$A96,dados!$AC$2:$AC$55,"&lt;&gt;")=0,"",_xlfn.MINIFS(dados!$AC$2:$AC$55,dados!$C$2:$C$55,$A96))</f>
        <v/>
      </c>
      <c r="J96" s="7">
        <f>IF(COUNTIFS(dados!$C$2:$C$55,$A96,dados!$AC$2:$AC$55,"&lt;&gt;")=0,"",_xlfn.MAXIFS(dados!$AC$2:$AC$55,dados!$C$2:$C$55,$A96))</f>
        <v/>
      </c>
      <c r="K96" s="7">
        <f>IFERROR(J96-I96,"")</f>
        <v/>
      </c>
    </row>
    <row r="97">
      <c r="A97" s="2" t="inlineStr">
        <is>
          <t>Brasília</t>
        </is>
      </c>
      <c r="B97" s="16" t="inlineStr">
        <is>
          <t>Cardápio</t>
        </is>
      </c>
      <c r="C97" s="2" t="inlineStr">
        <is>
          <t>cesta_mediana</t>
        </is>
      </c>
      <c r="D97" s="2" t="inlineStr">
        <is>
          <t>Cesta por pessoa, nível mediano</t>
        </is>
      </c>
      <c r="E97" s="5">
        <f>COUNTIFS(dados!$C$2:$C$55,$A97,dados!$AD$2:$AD$55,"&lt;&gt;")</f>
        <v/>
      </c>
      <c r="F97" s="7">
        <f>IFERROR(AVERAGEIFS(dados!$AD$2:$AD$55,dados!$C$2:$C$55,$A97),"")</f>
        <v/>
      </c>
      <c r="G97" s="7">
        <f t="array" ref="G97">IFERROR(MEDIAN(IF((dados!$C$2:$C$55=$A97)*(dados!$AD$2:$AD$55&lt;&gt;""),dados!$AD$2:$AD$55)),"")</f>
        <v/>
      </c>
      <c r="H97" s="7">
        <f t="array" ref="H97">IFERROR(STDEV(IF((dados!$C$2:$C$55=$A97)*(dados!$AD$2:$AD$55&lt;&gt;""),dados!$AD$2:$AD$55)),"")</f>
        <v/>
      </c>
      <c r="I97" s="7">
        <f>IF(COUNTIFS(dados!$C$2:$C$55,$A97,dados!$AD$2:$AD$55,"&lt;&gt;")=0,"",_xlfn.MINIFS(dados!$AD$2:$AD$55,dados!$C$2:$C$55,$A97))</f>
        <v/>
      </c>
      <c r="J97" s="7">
        <f>IF(COUNTIFS(dados!$C$2:$C$55,$A97,dados!$AD$2:$AD$55,"&lt;&gt;")=0,"",_xlfn.MAXIFS(dados!$AD$2:$AD$55,dados!$C$2:$C$55,$A97))</f>
        <v/>
      </c>
      <c r="K97" s="7">
        <f>IFERROR(J97-I97,"")</f>
        <v/>
      </c>
    </row>
    <row r="98">
      <c r="A98" s="2" t="inlineStr">
        <is>
          <t>Brasília</t>
        </is>
      </c>
      <c r="B98" s="16" t="inlineStr">
        <is>
          <t>Cardápio</t>
        </is>
      </c>
      <c r="C98" s="2" t="inlineStr">
        <is>
          <t>cesta_alta</t>
        </is>
      </c>
      <c r="D98" s="2" t="inlineStr">
        <is>
          <t>Cesta por pessoa, nível alto (P75)</t>
        </is>
      </c>
      <c r="E98" s="5">
        <f>COUNTIFS(dados!$C$2:$C$55,$A98,dados!$AE$2:$AE$55,"&lt;&gt;")</f>
        <v/>
      </c>
      <c r="F98" s="7">
        <f>IFERROR(AVERAGEIFS(dados!$AE$2:$AE$55,dados!$C$2:$C$55,$A98),"")</f>
        <v/>
      </c>
      <c r="G98" s="7">
        <f t="array" ref="G98">IFERROR(MEDIAN(IF((dados!$C$2:$C$55=$A98)*(dados!$AE$2:$AE$55&lt;&gt;""),dados!$AE$2:$AE$55)),"")</f>
        <v/>
      </c>
      <c r="H98" s="7">
        <f t="array" ref="H98">IFERROR(STDEV(IF((dados!$C$2:$C$55=$A98)*(dados!$AE$2:$AE$55&lt;&gt;""),dados!$AE$2:$AE$55)),"")</f>
        <v/>
      </c>
      <c r="I98" s="7">
        <f>IF(COUNTIFS(dados!$C$2:$C$55,$A98,dados!$AE$2:$AE$55,"&lt;&gt;")=0,"",_xlfn.MINIFS(dados!$AE$2:$AE$55,dados!$C$2:$C$55,$A98))</f>
        <v/>
      </c>
      <c r="J98" s="7">
        <f>IF(COUNTIFS(dados!$C$2:$C$55,$A98,dados!$AE$2:$AE$55,"&lt;&gt;")=0,"",_xlfn.MAXIFS(dados!$AE$2:$AE$55,dados!$C$2:$C$55,$A98))</f>
        <v/>
      </c>
      <c r="K98" s="7">
        <f>IFERROR(J98-I98,"")</f>
        <v/>
      </c>
    </row>
    <row r="99">
      <c r="A99" s="2" t="inlineStr">
        <is>
          <t>Brasília</t>
        </is>
      </c>
      <c r="B99" s="16" t="inlineStr">
        <is>
          <t>Cardápio</t>
        </is>
      </c>
      <c r="C99" s="2" t="inlineStr">
        <is>
          <t>hamburguer_mediana</t>
        </is>
      </c>
      <c r="D99" s="2" t="inlineStr">
        <is>
          <t>Hambúrguer, mediana</t>
        </is>
      </c>
      <c r="E99" s="5">
        <f>COUNTIFS(dados!$C$2:$C$55,$A99,dados!$AF$2:$AF$55,"&lt;&gt;")</f>
        <v/>
      </c>
      <c r="F99" s="7">
        <f>IFERROR(AVERAGEIFS(dados!$AF$2:$AF$55,dados!$C$2:$C$55,$A99),"")</f>
        <v/>
      </c>
      <c r="G99" s="7">
        <f t="array" ref="G99">IFERROR(MEDIAN(IF((dados!$C$2:$C$55=$A99)*(dados!$AF$2:$AF$55&lt;&gt;""),dados!$AF$2:$AF$55)),"")</f>
        <v/>
      </c>
      <c r="H99" s="7">
        <f t="array" ref="H99">IFERROR(STDEV(IF((dados!$C$2:$C$55=$A99)*(dados!$AF$2:$AF$55&lt;&gt;""),dados!$AF$2:$AF$55)),"")</f>
        <v/>
      </c>
      <c r="I99" s="7">
        <f>IF(COUNTIFS(dados!$C$2:$C$55,$A99,dados!$AF$2:$AF$55,"&lt;&gt;")=0,"",_xlfn.MINIFS(dados!$AF$2:$AF$55,dados!$C$2:$C$55,$A99))</f>
        <v/>
      </c>
      <c r="J99" s="7">
        <f>IF(COUNTIFS(dados!$C$2:$C$55,$A99,dados!$AF$2:$AF$55,"&lt;&gt;")=0,"",_xlfn.MAXIFS(dados!$AF$2:$AF$55,dados!$C$2:$C$55,$A99))</f>
        <v/>
      </c>
      <c r="K99" s="7">
        <f>IFERROR(J99-I99,"")</f>
        <v/>
      </c>
    </row>
    <row r="100">
      <c r="A100" s="2" t="inlineStr">
        <is>
          <t>Brasília</t>
        </is>
      </c>
      <c r="B100" s="16" t="inlineStr">
        <is>
          <t>Cardápio</t>
        </is>
      </c>
      <c r="C100" s="2" t="inlineStr">
        <is>
          <t>batata_mediana</t>
        </is>
      </c>
      <c r="D100" s="2" t="inlineStr">
        <is>
          <t>Batata, mediana</t>
        </is>
      </c>
      <c r="E100" s="5">
        <f>COUNTIFS(dados!$C$2:$C$55,$A100,dados!$AG$2:$AG$55,"&lt;&gt;")</f>
        <v/>
      </c>
      <c r="F100" s="7">
        <f>IFERROR(AVERAGEIFS(dados!$AG$2:$AG$55,dados!$C$2:$C$55,$A100),"")</f>
        <v/>
      </c>
      <c r="G100" s="7">
        <f t="array" ref="G100">IFERROR(MEDIAN(IF((dados!$C$2:$C$55=$A100)*(dados!$AG$2:$AG$55&lt;&gt;""),dados!$AG$2:$AG$55)),"")</f>
        <v/>
      </c>
      <c r="H100" s="7">
        <f t="array" ref="H100">IFERROR(STDEV(IF((dados!$C$2:$C$55=$A100)*(dados!$AG$2:$AG$55&lt;&gt;""),dados!$AG$2:$AG$55)),"")</f>
        <v/>
      </c>
      <c r="I100" s="7">
        <f>IF(COUNTIFS(dados!$C$2:$C$55,$A100,dados!$AG$2:$AG$55,"&lt;&gt;")=0,"",_xlfn.MINIFS(dados!$AG$2:$AG$55,dados!$C$2:$C$55,$A100))</f>
        <v/>
      </c>
      <c r="J100" s="7">
        <f>IF(COUNTIFS(dados!$C$2:$C$55,$A100,dados!$AG$2:$AG$55,"&lt;&gt;")=0,"",_xlfn.MAXIFS(dados!$AG$2:$AG$55,dados!$C$2:$C$55,$A100))</f>
        <v/>
      </c>
      <c r="K100" s="7">
        <f>IFERROR(J100-I100,"")</f>
        <v/>
      </c>
    </row>
    <row r="101">
      <c r="A101" s="2" t="inlineStr">
        <is>
          <t>Brasília</t>
        </is>
      </c>
      <c r="B101" s="16" t="inlineStr">
        <is>
          <t>Cardápio</t>
        </is>
      </c>
      <c r="C101" s="2" t="inlineStr">
        <is>
          <t>cerveja_mediana</t>
        </is>
      </c>
      <c r="D101" s="2" t="inlineStr">
        <is>
          <t>Cerveja, mediana</t>
        </is>
      </c>
      <c r="E101" s="5">
        <f>COUNTIFS(dados!$C$2:$C$55,$A101,dados!$AH$2:$AH$55,"&lt;&gt;")</f>
        <v/>
      </c>
      <c r="F101" s="7">
        <f>IFERROR(AVERAGEIFS(dados!$AH$2:$AH$55,dados!$C$2:$C$55,$A101),"")</f>
        <v/>
      </c>
      <c r="G101" s="7">
        <f t="array" ref="G101">IFERROR(MEDIAN(IF((dados!$C$2:$C$55=$A101)*(dados!$AH$2:$AH$55&lt;&gt;""),dados!$AH$2:$AH$55)),"")</f>
        <v/>
      </c>
      <c r="H101" s="7">
        <f t="array" ref="H101">IFERROR(STDEV(IF((dados!$C$2:$C$55=$A101)*(dados!$AH$2:$AH$55&lt;&gt;""),dados!$AH$2:$AH$55)),"")</f>
        <v/>
      </c>
      <c r="I101" s="7">
        <f>IF(COUNTIFS(dados!$C$2:$C$55,$A101,dados!$AH$2:$AH$55,"&lt;&gt;")=0,"",_xlfn.MINIFS(dados!$AH$2:$AH$55,dados!$C$2:$C$55,$A101))</f>
        <v/>
      </c>
      <c r="J101" s="7">
        <f>IF(COUNTIFS(dados!$C$2:$C$55,$A101,dados!$AH$2:$AH$55,"&lt;&gt;")=0,"",_xlfn.MAXIFS(dados!$AH$2:$AH$55,dados!$C$2:$C$55,$A101))</f>
        <v/>
      </c>
      <c r="K101" s="7">
        <f>IFERROR(J101-I101,"")</f>
        <v/>
      </c>
    </row>
    <row r="102">
      <c r="A102" s="2" t="inlineStr">
        <is>
          <t>Brasília</t>
        </is>
      </c>
      <c r="B102" s="16" t="inlineStr">
        <is>
          <t>Cardápio</t>
        </is>
      </c>
      <c r="C102" s="2" t="inlineStr">
        <is>
          <t>refrigerante_mediana</t>
        </is>
      </c>
      <c r="D102" s="2" t="inlineStr">
        <is>
          <t>Refrigerante, mediana</t>
        </is>
      </c>
      <c r="E102" s="5">
        <f>COUNTIFS(dados!$C$2:$C$55,$A102,dados!$AI$2:$AI$55,"&lt;&gt;")</f>
        <v/>
      </c>
      <c r="F102" s="7">
        <f>IFERROR(AVERAGEIFS(dados!$AI$2:$AI$55,dados!$C$2:$C$55,$A102),"")</f>
        <v/>
      </c>
      <c r="G102" s="7">
        <f t="array" ref="G102">IFERROR(MEDIAN(IF((dados!$C$2:$C$55=$A102)*(dados!$AI$2:$AI$55&lt;&gt;""),dados!$AI$2:$AI$55)),"")</f>
        <v/>
      </c>
      <c r="H102" s="7">
        <f t="array" ref="H102">IFERROR(STDEV(IF((dados!$C$2:$C$55=$A102)*(dados!$AI$2:$AI$55&lt;&gt;""),dados!$AI$2:$AI$55)),"")</f>
        <v/>
      </c>
      <c r="I102" s="7">
        <f>IF(COUNTIFS(dados!$C$2:$C$55,$A102,dados!$AI$2:$AI$55,"&lt;&gt;")=0,"",_xlfn.MINIFS(dados!$AI$2:$AI$55,dados!$C$2:$C$55,$A102))</f>
        <v/>
      </c>
      <c r="J102" s="7">
        <f>IF(COUNTIFS(dados!$C$2:$C$55,$A102,dados!$AI$2:$AI$55,"&lt;&gt;")=0,"",_xlfn.MAXIFS(dados!$AI$2:$AI$55,dados!$C$2:$C$55,$A102))</f>
        <v/>
      </c>
      <c r="K102" s="7">
        <f>IFERROR(J102-I102,"")</f>
        <v/>
      </c>
    </row>
    <row r="103">
      <c r="A103" s="2" t="inlineStr">
        <is>
          <t>Brasília</t>
        </is>
      </c>
      <c r="B103" s="16" t="inlineStr">
        <is>
          <t>Cardápio</t>
        </is>
      </c>
      <c r="C103" s="2" t="inlineStr">
        <is>
          <t>drinks_mediana</t>
        </is>
      </c>
      <c r="D103" s="2" t="inlineStr">
        <is>
          <t>Drinks, mediana</t>
        </is>
      </c>
      <c r="E103" s="5">
        <f>COUNTIFS(dados!$C$2:$C$55,$A103,dados!$AJ$2:$AJ$55,"&lt;&gt;")</f>
        <v/>
      </c>
      <c r="F103" s="7">
        <f>IFERROR(AVERAGEIFS(dados!$AJ$2:$AJ$55,dados!$C$2:$C$55,$A103),"")</f>
        <v/>
      </c>
      <c r="G103" s="7">
        <f t="array" ref="G103">IFERROR(MEDIAN(IF((dados!$C$2:$C$55=$A103)*(dados!$AJ$2:$AJ$55&lt;&gt;""),dados!$AJ$2:$AJ$55)),"")</f>
        <v/>
      </c>
      <c r="H103" s="7">
        <f t="array" ref="H103">IFERROR(STDEV(IF((dados!$C$2:$C$55=$A103)*(dados!$AJ$2:$AJ$55&lt;&gt;""),dados!$AJ$2:$AJ$55)),"")</f>
        <v/>
      </c>
      <c r="I103" s="7">
        <f>IF(COUNTIFS(dados!$C$2:$C$55,$A103,dados!$AJ$2:$AJ$55,"&lt;&gt;")=0,"",_xlfn.MINIFS(dados!$AJ$2:$AJ$55,dados!$C$2:$C$55,$A103))</f>
        <v/>
      </c>
      <c r="J103" s="7">
        <f>IF(COUNTIFS(dados!$C$2:$C$55,$A103,dados!$AJ$2:$AJ$55,"&lt;&gt;")=0,"",_xlfn.MAXIFS(dados!$AJ$2:$AJ$55,dados!$C$2:$C$55,$A103))</f>
        <v/>
      </c>
      <c r="K103" s="7">
        <f>IFERROR(J103-I103,"")</f>
        <v/>
      </c>
    </row>
    <row r="104">
      <c r="A104" s="2" t="inlineStr">
        <is>
          <t>Brasília</t>
        </is>
      </c>
      <c r="B104" s="17" t="inlineStr">
        <is>
          <t>Acervo</t>
        </is>
      </c>
      <c r="C104" s="2" t="inlineStr">
        <is>
          <t>titulos_acervo</t>
        </is>
      </c>
      <c r="D104" s="2" t="inlineStr">
        <is>
          <t>Títulos no acervo publicado</t>
        </is>
      </c>
      <c r="E104" s="5">
        <f>COUNTIFS(dados!$C$2:$C$55,$A104,dados!$AK$2:$AK$55,"&lt;&gt;")</f>
        <v/>
      </c>
      <c r="F104" s="5">
        <f>IFERROR(AVERAGEIFS(dados!$AK$2:$AK$55,dados!$C$2:$C$55,$A104),"")</f>
        <v/>
      </c>
      <c r="G104" s="5">
        <f t="array" ref="G104">IFERROR(MEDIAN(IF((dados!$C$2:$C$55=$A104)*(dados!$AK$2:$AK$55&lt;&gt;""),dados!$AK$2:$AK$55)),"")</f>
        <v/>
      </c>
      <c r="H104" s="5">
        <f t="array" ref="H104">IFERROR(STDEV(IF((dados!$C$2:$C$55=$A104)*(dados!$AK$2:$AK$55&lt;&gt;""),dados!$AK$2:$AK$55)),"")</f>
        <v/>
      </c>
      <c r="I104" s="5">
        <f>IF(COUNTIFS(dados!$C$2:$C$55,$A104,dados!$AK$2:$AK$55,"&lt;&gt;")=0,"",_xlfn.MINIFS(dados!$AK$2:$AK$55,dados!$C$2:$C$55,$A104))</f>
        <v/>
      </c>
      <c r="J104" s="5">
        <f>IF(COUNTIFS(dados!$C$2:$C$55,$A104,dados!$AK$2:$AK$55,"&lt;&gt;")=0,"",_xlfn.MAXIFS(dados!$AK$2:$AK$55,dados!$C$2:$C$55,$A104))</f>
        <v/>
      </c>
      <c r="K104" s="5">
        <f>IFERROR(J104-I104,"")</f>
        <v/>
      </c>
    </row>
    <row r="105">
      <c r="A105" s="2" t="inlineStr">
        <is>
          <t>Brasília</t>
        </is>
      </c>
      <c r="B105" s="18" t="inlineStr">
        <is>
          <t>B2</t>
        </is>
      </c>
      <c r="C105" s="2" t="inlineStr">
        <is>
          <t>avaliacoes_b2</t>
        </is>
      </c>
      <c r="D105" s="2" t="inlineStr">
        <is>
          <t>Avaliações no recorte do B2 (até '3 meses atrás')</t>
        </is>
      </c>
      <c r="E105" s="5">
        <f>COUNTIFS(dados!$C$2:$C$55,$A105,dados!$AL$2:$AL$55,"&lt;&gt;")</f>
        <v/>
      </c>
      <c r="F105" s="5">
        <f>IFERROR(AVERAGEIFS(dados!$AL$2:$AL$55,dados!$C$2:$C$55,$A105),"")</f>
        <v/>
      </c>
      <c r="G105" s="5">
        <f t="array" ref="G105">IFERROR(MEDIAN(IF((dados!$C$2:$C$55=$A105)*(dados!$AL$2:$AL$55&lt;&gt;""),dados!$AL$2:$AL$55)),"")</f>
        <v/>
      </c>
      <c r="H105" s="5">
        <f t="array" ref="H105">IFERROR(STDEV(IF((dados!$C$2:$C$55=$A105)*(dados!$AL$2:$AL$55&lt;&gt;""),dados!$AL$2:$AL$55)),"")</f>
        <v/>
      </c>
      <c r="I105" s="5">
        <f>IF(COUNTIFS(dados!$C$2:$C$55,$A105,dados!$AL$2:$AL$55,"&lt;&gt;")=0,"",_xlfn.MINIFS(dados!$AL$2:$AL$55,dados!$C$2:$C$55,$A105))</f>
        <v/>
      </c>
      <c r="J105" s="5">
        <f>IF(COUNTIFS(dados!$C$2:$C$55,$A105,dados!$AL$2:$AL$55,"&lt;&gt;")=0,"",_xlfn.MAXIFS(dados!$AL$2:$AL$55,dados!$C$2:$C$55,$A105))</f>
        <v/>
      </c>
      <c r="K105" s="5">
        <f>IFERROR(J105-I105,"")</f>
        <v/>
      </c>
    </row>
    <row r="106">
      <c r="A106" s="2" t="inlineStr">
        <is>
          <t>Brasília</t>
        </is>
      </c>
      <c r="B106" s="18" t="inlineStr">
        <is>
          <t>B2</t>
        </is>
      </c>
      <c r="C106" s="2" t="inlineStr">
        <is>
          <t>avaliacoes_b2_com_texto</t>
        </is>
      </c>
      <c r="D106" s="2" t="inlineStr">
        <is>
          <t>Dessas, com texto</t>
        </is>
      </c>
      <c r="E106" s="5">
        <f>COUNTIFS(dados!$C$2:$C$55,$A106,dados!$AM$2:$AM$55,"&lt;&gt;")</f>
        <v/>
      </c>
      <c r="F106" s="5">
        <f>IFERROR(AVERAGEIFS(dados!$AM$2:$AM$55,dados!$C$2:$C$55,$A106),"")</f>
        <v/>
      </c>
      <c r="G106" s="5">
        <f t="array" ref="G106">IFERROR(MEDIAN(IF((dados!$C$2:$C$55=$A106)*(dados!$AM$2:$AM$55&lt;&gt;""),dados!$AM$2:$AM$55)),"")</f>
        <v/>
      </c>
      <c r="H106" s="5">
        <f t="array" ref="H106">IFERROR(STDEV(IF((dados!$C$2:$C$55=$A106)*(dados!$AM$2:$AM$55&lt;&gt;""),dados!$AM$2:$AM$55)),"")</f>
        <v/>
      </c>
      <c r="I106" s="5">
        <f>IF(COUNTIFS(dados!$C$2:$C$55,$A106,dados!$AM$2:$AM$55,"&lt;&gt;")=0,"",_xlfn.MINIFS(dados!$AM$2:$AM$55,dados!$C$2:$C$55,$A106))</f>
        <v/>
      </c>
      <c r="J106" s="5">
        <f>IF(COUNTIFS(dados!$C$2:$C$55,$A106,dados!$AM$2:$AM$55,"&lt;&gt;")=0,"",_xlfn.MAXIFS(dados!$AM$2:$AM$55,dados!$C$2:$C$55,$A106))</f>
        <v/>
      </c>
      <c r="K106" s="5">
        <f>IFERROR(J106-I106,"")</f>
        <v/>
      </c>
    </row>
    <row r="107">
      <c r="A107" s="2" t="inlineStr">
        <is>
          <t>Curitiba</t>
        </is>
      </c>
      <c r="B107" s="11" t="inlineStr">
        <is>
          <t>Google Maps</t>
        </is>
      </c>
      <c r="C107" s="2" t="inlineStr">
        <is>
          <t>avaliacao_media</t>
        </is>
      </c>
      <c r="D107" s="2" t="inlineStr">
        <is>
          <t>Nota média no Google</t>
        </is>
      </c>
      <c r="E107" s="5">
        <f>COUNTIFS(dados!$C$2:$C$55,$A107,dados!$E$2:$E$55,"&lt;&gt;")</f>
        <v/>
      </c>
      <c r="F107" s="4">
        <f>IFERROR(AVERAGEIFS(dados!$E$2:$E$55,dados!$C$2:$C$55,$A107),"")</f>
        <v/>
      </c>
      <c r="G107" s="4">
        <f t="array" ref="G107">IFERROR(MEDIAN(IF((dados!$C$2:$C$55=$A107)*(dados!$E$2:$E$55&lt;&gt;""),dados!$E$2:$E$55)),"")</f>
        <v/>
      </c>
      <c r="H107" s="4">
        <f t="array" ref="H107">IFERROR(STDEV(IF((dados!$C$2:$C$55=$A107)*(dados!$E$2:$E$55&lt;&gt;""),dados!$E$2:$E$55)),"")</f>
        <v/>
      </c>
      <c r="I107" s="4">
        <f>IF(COUNTIFS(dados!$C$2:$C$55,$A107,dados!$E$2:$E$55,"&lt;&gt;")=0,"",_xlfn.MINIFS(dados!$E$2:$E$55,dados!$C$2:$C$55,$A107))</f>
        <v/>
      </c>
      <c r="J107" s="4">
        <f>IF(COUNTIFS(dados!$C$2:$C$55,$A107,dados!$E$2:$E$55,"&lt;&gt;")=0,"",_xlfn.MAXIFS(dados!$E$2:$E$55,dados!$C$2:$C$55,$A107))</f>
        <v/>
      </c>
      <c r="K107" s="4">
        <f>IFERROR(J107-I107,"")</f>
        <v/>
      </c>
    </row>
    <row r="108">
      <c r="A108" s="2" t="inlineStr">
        <is>
          <t>Curitiba</t>
        </is>
      </c>
      <c r="B108" s="11" t="inlineStr">
        <is>
          <t>Google Maps</t>
        </is>
      </c>
      <c r="C108" s="2" t="inlineStr">
        <is>
          <t>volume_avaliacoes</t>
        </is>
      </c>
      <c r="D108" s="2" t="inlineStr">
        <is>
          <t>Nº de avaliações no Google</t>
        </is>
      </c>
      <c r="E108" s="5">
        <f>COUNTIFS(dados!$C$2:$C$55,$A108,dados!$F$2:$F$55,"&lt;&gt;")</f>
        <v/>
      </c>
      <c r="F108" s="5">
        <f>IFERROR(AVERAGEIFS(dados!$F$2:$F$55,dados!$C$2:$C$55,$A108),"")</f>
        <v/>
      </c>
      <c r="G108" s="5">
        <f t="array" ref="G108">IFERROR(MEDIAN(IF((dados!$C$2:$C$55=$A108)*(dados!$F$2:$F$55&lt;&gt;""),dados!$F$2:$F$55)),"")</f>
        <v/>
      </c>
      <c r="H108" s="5">
        <f t="array" ref="H108">IFERROR(STDEV(IF((dados!$C$2:$C$55=$A108)*(dados!$F$2:$F$55&lt;&gt;""),dados!$F$2:$F$55)),"")</f>
        <v/>
      </c>
      <c r="I108" s="5">
        <f>IF(COUNTIFS(dados!$C$2:$C$55,$A108,dados!$F$2:$F$55,"&lt;&gt;")=0,"",_xlfn.MINIFS(dados!$F$2:$F$55,dados!$C$2:$C$55,$A108))</f>
        <v/>
      </c>
      <c r="J108" s="5">
        <f>IF(COUNTIFS(dados!$C$2:$C$55,$A108,dados!$F$2:$F$55,"&lt;&gt;")=0,"",_xlfn.MAXIFS(dados!$F$2:$F$55,dados!$C$2:$C$55,$A108))</f>
        <v/>
      </c>
      <c r="K108" s="5">
        <f>IFERROR(J108-I108,"")</f>
        <v/>
      </c>
    </row>
    <row r="109">
      <c r="A109" s="2" t="inlineStr">
        <is>
          <t>Curitiba</t>
        </is>
      </c>
      <c r="B109" s="12" t="inlineStr">
        <is>
          <t>Horários</t>
        </is>
      </c>
      <c r="C109" s="2" t="inlineStr">
        <is>
          <t>dias_abertos</t>
        </is>
      </c>
      <c r="D109" s="2" t="inlineStr">
        <is>
          <t>Dias abertos por semana</t>
        </is>
      </c>
      <c r="E109" s="5">
        <f>COUNTIFS(dados!$C$2:$C$55,$A109,dados!$G$2:$G$55,"&lt;&gt;")</f>
        <v/>
      </c>
      <c r="F109" s="6">
        <f>IFERROR(AVERAGEIFS(dados!$G$2:$G$55,dados!$C$2:$C$55,$A109),"")</f>
        <v/>
      </c>
      <c r="G109" s="6">
        <f t="array" ref="G109">IFERROR(MEDIAN(IF((dados!$C$2:$C$55=$A109)*(dados!$G$2:$G$55&lt;&gt;""),dados!$G$2:$G$55)),"")</f>
        <v/>
      </c>
      <c r="H109" s="6">
        <f t="array" ref="H109">IFERROR(STDEV(IF((dados!$C$2:$C$55=$A109)*(dados!$G$2:$G$55&lt;&gt;""),dados!$G$2:$G$55)),"")</f>
        <v/>
      </c>
      <c r="I109" s="6">
        <f>IF(COUNTIFS(dados!$C$2:$C$55,$A109,dados!$G$2:$G$55,"&lt;&gt;")=0,"",_xlfn.MINIFS(dados!$G$2:$G$55,dados!$C$2:$C$55,$A109))</f>
        <v/>
      </c>
      <c r="J109" s="6">
        <f>IF(COUNTIFS(dados!$C$2:$C$55,$A109,dados!$G$2:$G$55,"&lt;&gt;")=0,"",_xlfn.MAXIFS(dados!$G$2:$G$55,dados!$C$2:$C$55,$A109))</f>
        <v/>
      </c>
      <c r="K109" s="6">
        <f>IFERROR(J109-I109,"")</f>
        <v/>
      </c>
    </row>
    <row r="110">
      <c r="A110" s="2" t="inlineStr">
        <is>
          <t>Curitiba</t>
        </is>
      </c>
      <c r="B110" s="12" t="inlineStr">
        <is>
          <t>Horários</t>
        </is>
      </c>
      <c r="C110" s="2" t="inlineStr">
        <is>
          <t>horas_semana</t>
        </is>
      </c>
      <c r="D110" s="2" t="inlineStr">
        <is>
          <t>Horas abertas por semana</t>
        </is>
      </c>
      <c r="E110" s="5">
        <f>COUNTIFS(dados!$C$2:$C$55,$A110,dados!$H$2:$H$55,"&lt;&gt;")</f>
        <v/>
      </c>
      <c r="F110" s="6">
        <f>IFERROR(AVERAGEIFS(dados!$H$2:$H$55,dados!$C$2:$C$55,$A110),"")</f>
        <v/>
      </c>
      <c r="G110" s="6">
        <f t="array" ref="G110">IFERROR(MEDIAN(IF((dados!$C$2:$C$55=$A110)*(dados!$H$2:$H$55&lt;&gt;""),dados!$H$2:$H$55)),"")</f>
        <v/>
      </c>
      <c r="H110" s="6">
        <f t="array" ref="H110">IFERROR(STDEV(IF((dados!$C$2:$C$55=$A110)*(dados!$H$2:$H$55&lt;&gt;""),dados!$H$2:$H$55)),"")</f>
        <v/>
      </c>
      <c r="I110" s="6">
        <f>IF(COUNTIFS(dados!$C$2:$C$55,$A110,dados!$H$2:$H$55,"&lt;&gt;")=0,"",_xlfn.MINIFS(dados!$H$2:$H$55,dados!$C$2:$C$55,$A110))</f>
        <v/>
      </c>
      <c r="J110" s="6">
        <f>IF(COUNTIFS(dados!$C$2:$C$55,$A110,dados!$H$2:$H$55,"&lt;&gt;")=0,"",_xlfn.MAXIFS(dados!$H$2:$H$55,dados!$C$2:$C$55,$A110))</f>
        <v/>
      </c>
      <c r="K110" s="6">
        <f>IFERROR(J110-I110,"")</f>
        <v/>
      </c>
    </row>
    <row r="111">
      <c r="A111" s="2" t="inlineStr">
        <is>
          <t>Curitiba</t>
        </is>
      </c>
      <c r="B111" s="12" t="inlineStr">
        <is>
          <t>Horários</t>
        </is>
      </c>
      <c r="C111" s="2" t="inlineStr">
        <is>
          <t>abre_cedo_h</t>
        </is>
      </c>
      <c r="D111" s="2" t="inlineStr">
        <is>
          <t>Abertura mais cedo da semana</t>
        </is>
      </c>
      <c r="E111" s="5">
        <f>COUNTIFS(dados!$C$2:$C$55,$A111,dados!$I$2:$I$55,"&lt;&gt;")</f>
        <v/>
      </c>
      <c r="F111" s="6">
        <f>IFERROR(AVERAGEIFS(dados!$I$2:$I$55,dados!$C$2:$C$55,$A111),"")</f>
        <v/>
      </c>
      <c r="G111" s="6">
        <f t="array" ref="G111">IFERROR(MEDIAN(IF((dados!$C$2:$C$55=$A111)*(dados!$I$2:$I$55&lt;&gt;""),dados!$I$2:$I$55)),"")</f>
        <v/>
      </c>
      <c r="H111" s="6">
        <f t="array" ref="H111">IFERROR(STDEV(IF((dados!$C$2:$C$55=$A111)*(dados!$I$2:$I$55&lt;&gt;""),dados!$I$2:$I$55)),"")</f>
        <v/>
      </c>
      <c r="I111" s="6">
        <f>IF(COUNTIFS(dados!$C$2:$C$55,$A111,dados!$I$2:$I$55,"&lt;&gt;")=0,"",_xlfn.MINIFS(dados!$I$2:$I$55,dados!$C$2:$C$55,$A111))</f>
        <v/>
      </c>
      <c r="J111" s="6">
        <f>IF(COUNTIFS(dados!$C$2:$C$55,$A111,dados!$I$2:$I$55,"&lt;&gt;")=0,"",_xlfn.MAXIFS(dados!$I$2:$I$55,dados!$C$2:$C$55,$A111))</f>
        <v/>
      </c>
      <c r="K111" s="6">
        <f>IFERROR(J111-I111,"")</f>
        <v/>
      </c>
    </row>
    <row r="112">
      <c r="A112" s="2" t="inlineStr">
        <is>
          <t>Curitiba</t>
        </is>
      </c>
      <c r="B112" s="12" t="inlineStr">
        <is>
          <t>Horários</t>
        </is>
      </c>
      <c r="C112" s="2" t="inlineStr">
        <is>
          <t>fecha_tarde_h</t>
        </is>
      </c>
      <c r="D112" s="2" t="inlineStr">
        <is>
          <t>Fechamento mais tarde da semana (25 = 1h da manhã)</t>
        </is>
      </c>
      <c r="E112" s="5">
        <f>COUNTIFS(dados!$C$2:$C$55,$A112,dados!$J$2:$J$55,"&lt;&gt;")</f>
        <v/>
      </c>
      <c r="F112" s="6">
        <f>IFERROR(AVERAGEIFS(dados!$J$2:$J$55,dados!$C$2:$C$55,$A112),"")</f>
        <v/>
      </c>
      <c r="G112" s="6">
        <f t="array" ref="G112">IFERROR(MEDIAN(IF((dados!$C$2:$C$55=$A112)*(dados!$J$2:$J$55&lt;&gt;""),dados!$J$2:$J$55)),"")</f>
        <v/>
      </c>
      <c r="H112" s="6">
        <f t="array" ref="H112">IFERROR(STDEV(IF((dados!$C$2:$C$55=$A112)*(dados!$J$2:$J$55&lt;&gt;""),dados!$J$2:$J$55)),"")</f>
        <v/>
      </c>
      <c r="I112" s="6">
        <f>IF(COUNTIFS(dados!$C$2:$C$55,$A112,dados!$J$2:$J$55,"&lt;&gt;")=0,"",_xlfn.MINIFS(dados!$J$2:$J$55,dados!$C$2:$C$55,$A112))</f>
        <v/>
      </c>
      <c r="J112" s="6">
        <f>IF(COUNTIFS(dados!$C$2:$C$55,$A112,dados!$J$2:$J$55,"&lt;&gt;")=0,"",_xlfn.MAXIFS(dados!$J$2:$J$55,dados!$C$2:$C$55,$A112))</f>
        <v/>
      </c>
      <c r="K112" s="6">
        <f>IFERROR(J112-I112,"")</f>
        <v/>
      </c>
    </row>
    <row r="113">
      <c r="A113" s="2" t="inlineStr">
        <is>
          <t>Curitiba</t>
        </is>
      </c>
      <c r="B113" s="13" t="inlineStr">
        <is>
          <t>Entorno</t>
        </is>
      </c>
      <c r="C113" s="2" t="inlineStr">
        <is>
          <t>metro_500m</t>
        </is>
      </c>
      <c r="D113" s="2" t="inlineStr">
        <is>
          <t>Estações de metrô até 500 m</t>
        </is>
      </c>
      <c r="E113" s="5">
        <f>COUNTIFS(dados!$C$2:$C$55,$A113,dados!$K$2:$K$55,"&lt;&gt;")</f>
        <v/>
      </c>
      <c r="F113" s="4">
        <f>IFERROR(AVERAGEIFS(dados!$K$2:$K$55,dados!$C$2:$C$55,$A113),"")</f>
        <v/>
      </c>
      <c r="G113" s="4">
        <f t="array" ref="G113">IFERROR(MEDIAN(IF((dados!$C$2:$C$55=$A113)*(dados!$K$2:$K$55&lt;&gt;""),dados!$K$2:$K$55)),"")</f>
        <v/>
      </c>
      <c r="H113" s="4">
        <f t="array" ref="H113">IFERROR(STDEV(IF((dados!$C$2:$C$55=$A113)*(dados!$K$2:$K$55&lt;&gt;""),dados!$K$2:$K$55)),"")</f>
        <v/>
      </c>
      <c r="I113" s="4">
        <f>IF(COUNTIFS(dados!$C$2:$C$55,$A113,dados!$K$2:$K$55,"&lt;&gt;")=0,"",_xlfn.MINIFS(dados!$K$2:$K$55,dados!$C$2:$C$55,$A113))</f>
        <v/>
      </c>
      <c r="J113" s="4">
        <f>IF(COUNTIFS(dados!$C$2:$C$55,$A113,dados!$K$2:$K$55,"&lt;&gt;")=0,"",_xlfn.MAXIFS(dados!$K$2:$K$55,dados!$C$2:$C$55,$A113))</f>
        <v/>
      </c>
      <c r="K113" s="4">
        <f>IFERROR(J113-I113,"")</f>
        <v/>
      </c>
    </row>
    <row r="114">
      <c r="A114" s="2" t="inlineStr">
        <is>
          <t>Curitiba</t>
        </is>
      </c>
      <c r="B114" s="13" t="inlineStr">
        <is>
          <t>Entorno</t>
        </is>
      </c>
      <c r="C114" s="2" t="inlineStr">
        <is>
          <t>metro_1000m</t>
        </is>
      </c>
      <c r="D114" s="2" t="inlineStr">
        <is>
          <t>Estações de metrô até 1000 m</t>
        </is>
      </c>
      <c r="E114" s="5">
        <f>COUNTIFS(dados!$C$2:$C$55,$A114,dados!$L$2:$L$55,"&lt;&gt;")</f>
        <v/>
      </c>
      <c r="F114" s="4">
        <f>IFERROR(AVERAGEIFS(dados!$L$2:$L$55,dados!$C$2:$C$55,$A114),"")</f>
        <v/>
      </c>
      <c r="G114" s="4">
        <f t="array" ref="G114">IFERROR(MEDIAN(IF((dados!$C$2:$C$55=$A114)*(dados!$L$2:$L$55&lt;&gt;""),dados!$L$2:$L$55)),"")</f>
        <v/>
      </c>
      <c r="H114" s="4">
        <f t="array" ref="H114">IFERROR(STDEV(IF((dados!$C$2:$C$55=$A114)*(dados!$L$2:$L$55&lt;&gt;""),dados!$L$2:$L$55)),"")</f>
        <v/>
      </c>
      <c r="I114" s="4">
        <f>IF(COUNTIFS(dados!$C$2:$C$55,$A114,dados!$L$2:$L$55,"&lt;&gt;")=0,"",_xlfn.MINIFS(dados!$L$2:$L$55,dados!$C$2:$C$55,$A114))</f>
        <v/>
      </c>
      <c r="J114" s="4">
        <f>IF(COUNTIFS(dados!$C$2:$C$55,$A114,dados!$L$2:$L$55,"&lt;&gt;")=0,"",_xlfn.MAXIFS(dados!$L$2:$L$55,dados!$C$2:$C$55,$A114))</f>
        <v/>
      </c>
      <c r="K114" s="4">
        <f>IFERROR(J114-I114,"")</f>
        <v/>
      </c>
    </row>
    <row r="115">
      <c r="A115" s="2" t="inlineStr">
        <is>
          <t>Curitiba</t>
        </is>
      </c>
      <c r="B115" s="13" t="inlineStr">
        <is>
          <t>Entorno</t>
        </is>
      </c>
      <c r="C115" s="2" t="inlineStr">
        <is>
          <t>dist_metro_m</t>
        </is>
      </c>
      <c r="D115" s="2" t="inlineStr">
        <is>
          <t>Distância à estação de metrô mais próxima</t>
        </is>
      </c>
      <c r="E115" s="5">
        <f>COUNTIFS(dados!$C$2:$C$55,$A115,dados!$M$2:$M$55,"&lt;&gt;")</f>
        <v/>
      </c>
      <c r="F115" s="5">
        <f>IFERROR(AVERAGEIFS(dados!$M$2:$M$55,dados!$C$2:$C$55,$A115),"")</f>
        <v/>
      </c>
      <c r="G115" s="5">
        <f t="array" ref="G115">IFERROR(MEDIAN(IF((dados!$C$2:$C$55=$A115)*(dados!$M$2:$M$55&lt;&gt;""),dados!$M$2:$M$55)),"")</f>
        <v/>
      </c>
      <c r="H115" s="5">
        <f t="array" ref="H115">IFERROR(STDEV(IF((dados!$C$2:$C$55=$A115)*(dados!$M$2:$M$55&lt;&gt;""),dados!$M$2:$M$55)),"")</f>
        <v/>
      </c>
      <c r="I115" s="5">
        <f>IF(COUNTIFS(dados!$C$2:$C$55,$A115,dados!$M$2:$M$55,"&lt;&gt;")=0,"",_xlfn.MINIFS(dados!$M$2:$M$55,dados!$C$2:$C$55,$A115))</f>
        <v/>
      </c>
      <c r="J115" s="5">
        <f>IF(COUNTIFS(dados!$C$2:$C$55,$A115,dados!$M$2:$M$55,"&lt;&gt;")=0,"",_xlfn.MAXIFS(dados!$M$2:$M$55,dados!$C$2:$C$55,$A115))</f>
        <v/>
      </c>
      <c r="K115" s="5">
        <f>IFERROR(J115-I115,"")</f>
        <v/>
      </c>
    </row>
    <row r="116">
      <c r="A116" s="2" t="inlineStr">
        <is>
          <t>Curitiba</t>
        </is>
      </c>
      <c r="B116" s="13" t="inlineStr">
        <is>
          <t>Entorno</t>
        </is>
      </c>
      <c r="C116" s="2" t="inlineStr">
        <is>
          <t>shopping_porte_500m</t>
        </is>
      </c>
      <c r="D116" s="2" t="inlineStr">
        <is>
          <t>Shoppings de porte até 500 m (onde o porte foi buscado)</t>
        </is>
      </c>
      <c r="E116" s="5">
        <f>COUNTIFS(dados!$C$2:$C$55,$A116,dados!$N$2:$N$55,"&lt;&gt;")</f>
        <v/>
      </c>
      <c r="F116" s="4">
        <f>IFERROR(AVERAGEIFS(dados!$N$2:$N$55,dados!$C$2:$C$55,$A116),"")</f>
        <v/>
      </c>
      <c r="G116" s="4">
        <f t="array" ref="G116">IFERROR(MEDIAN(IF((dados!$C$2:$C$55=$A116)*(dados!$N$2:$N$55&lt;&gt;""),dados!$N$2:$N$55)),"")</f>
        <v/>
      </c>
      <c r="H116" s="4">
        <f t="array" ref="H116">IFERROR(STDEV(IF((dados!$C$2:$C$55=$A116)*(dados!$N$2:$N$55&lt;&gt;""),dados!$N$2:$N$55)),"")</f>
        <v/>
      </c>
      <c r="I116" s="4">
        <f>IF(COUNTIFS(dados!$C$2:$C$55,$A116,dados!$N$2:$N$55,"&lt;&gt;")=0,"",_xlfn.MINIFS(dados!$N$2:$N$55,dados!$C$2:$C$55,$A116))</f>
        <v/>
      </c>
      <c r="J116" s="4">
        <f>IF(COUNTIFS(dados!$C$2:$C$55,$A116,dados!$N$2:$N$55,"&lt;&gt;")=0,"",_xlfn.MAXIFS(dados!$N$2:$N$55,dados!$C$2:$C$55,$A116))</f>
        <v/>
      </c>
      <c r="K116" s="4">
        <f>IFERROR(J116-I116,"")</f>
        <v/>
      </c>
    </row>
    <row r="117">
      <c r="A117" s="2" t="inlineStr">
        <is>
          <t>Curitiba</t>
        </is>
      </c>
      <c r="B117" s="13" t="inlineStr">
        <is>
          <t>Entorno</t>
        </is>
      </c>
      <c r="C117" s="2" t="inlineStr">
        <is>
          <t>shopping_porte_1000m</t>
        </is>
      </c>
      <c r="D117" s="2" t="inlineStr">
        <is>
          <t>Shoppings de porte até 1000 m (onde o porte foi buscado)</t>
        </is>
      </c>
      <c r="E117" s="5">
        <f>COUNTIFS(dados!$C$2:$C$55,$A117,dados!$O$2:$O$55,"&lt;&gt;")</f>
        <v/>
      </c>
      <c r="F117" s="4">
        <f>IFERROR(AVERAGEIFS(dados!$O$2:$O$55,dados!$C$2:$C$55,$A117),"")</f>
        <v/>
      </c>
      <c r="G117" s="4">
        <f t="array" ref="G117">IFERROR(MEDIAN(IF((dados!$C$2:$C$55=$A117)*(dados!$O$2:$O$55&lt;&gt;""),dados!$O$2:$O$55)),"")</f>
        <v/>
      </c>
      <c r="H117" s="4">
        <f t="array" ref="H117">IFERROR(STDEV(IF((dados!$C$2:$C$55=$A117)*(dados!$O$2:$O$55&lt;&gt;""),dados!$O$2:$O$55)),"")</f>
        <v/>
      </c>
      <c r="I117" s="4">
        <f>IF(COUNTIFS(dados!$C$2:$C$55,$A117,dados!$O$2:$O$55,"&lt;&gt;")=0,"",_xlfn.MINIFS(dados!$O$2:$O$55,dados!$C$2:$C$55,$A117))</f>
        <v/>
      </c>
      <c r="J117" s="4">
        <f>IF(COUNTIFS(dados!$C$2:$C$55,$A117,dados!$O$2:$O$55,"&lt;&gt;")=0,"",_xlfn.MAXIFS(dados!$O$2:$O$55,dados!$C$2:$C$55,$A117))</f>
        <v/>
      </c>
      <c r="K117" s="4">
        <f>IFERROR(J117-I117,"")</f>
        <v/>
      </c>
    </row>
    <row r="118">
      <c r="A118" s="2" t="inlineStr">
        <is>
          <t>Curitiba</t>
        </is>
      </c>
      <c r="B118" s="13" t="inlineStr">
        <is>
          <t>Entorno</t>
        </is>
      </c>
      <c r="C118" s="2" t="inlineStr">
        <is>
          <t>dist_shopping_m</t>
        </is>
      </c>
      <c r="D118" s="2" t="inlineStr">
        <is>
          <t>Distância ao shopping mais próximo (qualquer porte)</t>
        </is>
      </c>
      <c r="E118" s="5">
        <f>COUNTIFS(dados!$C$2:$C$55,$A118,dados!$P$2:$P$55,"&lt;&gt;")</f>
        <v/>
      </c>
      <c r="F118" s="5">
        <f>IFERROR(AVERAGEIFS(dados!$P$2:$P$55,dados!$C$2:$C$55,$A118),"")</f>
        <v/>
      </c>
      <c r="G118" s="5">
        <f t="array" ref="G118">IFERROR(MEDIAN(IF((dados!$C$2:$C$55=$A118)*(dados!$P$2:$P$55&lt;&gt;""),dados!$P$2:$P$55)),"")</f>
        <v/>
      </c>
      <c r="H118" s="5">
        <f t="array" ref="H118">IFERROR(STDEV(IF((dados!$C$2:$C$55=$A118)*(dados!$P$2:$P$55&lt;&gt;""),dados!$P$2:$P$55)),"")</f>
        <v/>
      </c>
      <c r="I118" s="5">
        <f>IF(COUNTIFS(dados!$C$2:$C$55,$A118,dados!$P$2:$P$55,"&lt;&gt;")=0,"",_xlfn.MINIFS(dados!$P$2:$P$55,dados!$C$2:$C$55,$A118))</f>
        <v/>
      </c>
      <c r="J118" s="5">
        <f>IF(COUNTIFS(dados!$C$2:$C$55,$A118,dados!$P$2:$P$55,"&lt;&gt;")=0,"",_xlfn.MAXIFS(dados!$P$2:$P$55,dados!$C$2:$C$55,$A118))</f>
        <v/>
      </c>
      <c r="K118" s="5">
        <f>IFERROR(J118-I118,"")</f>
        <v/>
      </c>
    </row>
    <row r="119">
      <c r="A119" s="2" t="inlineStr">
        <is>
          <t>Curitiba</t>
        </is>
      </c>
      <c r="B119" s="14" t="inlineStr">
        <is>
          <t>Instagram</t>
        </is>
      </c>
      <c r="C119" s="2" t="inlineStr">
        <is>
          <t>seguidores</t>
        </is>
      </c>
      <c r="D119" s="2" t="inlineStr">
        <is>
          <t>Seguidores</t>
        </is>
      </c>
      <c r="E119" s="5">
        <f>COUNTIFS(dados!$C$2:$C$55,$A119,dados!$Q$2:$Q$55,"&lt;&gt;")</f>
        <v/>
      </c>
      <c r="F119" s="5">
        <f>IFERROR(AVERAGEIFS(dados!$Q$2:$Q$55,dados!$C$2:$C$55,$A119),"")</f>
        <v/>
      </c>
      <c r="G119" s="5">
        <f t="array" ref="G119">IFERROR(MEDIAN(IF((dados!$C$2:$C$55=$A119)*(dados!$Q$2:$Q$55&lt;&gt;""),dados!$Q$2:$Q$55)),"")</f>
        <v/>
      </c>
      <c r="H119" s="5">
        <f t="array" ref="H119">IFERROR(STDEV(IF((dados!$C$2:$C$55=$A119)*(dados!$Q$2:$Q$55&lt;&gt;""),dados!$Q$2:$Q$55)),"")</f>
        <v/>
      </c>
      <c r="I119" s="5">
        <f>IF(COUNTIFS(dados!$C$2:$C$55,$A119,dados!$Q$2:$Q$55,"&lt;&gt;")=0,"",_xlfn.MINIFS(dados!$Q$2:$Q$55,dados!$C$2:$C$55,$A119))</f>
        <v/>
      </c>
      <c r="J119" s="5">
        <f>IF(COUNTIFS(dados!$C$2:$C$55,$A119,dados!$Q$2:$Q$55,"&lt;&gt;")=0,"",_xlfn.MAXIFS(dados!$Q$2:$Q$55,dados!$C$2:$C$55,$A119))</f>
        <v/>
      </c>
      <c r="K119" s="5">
        <f>IFERROR(J119-I119,"")</f>
        <v/>
      </c>
    </row>
    <row r="120">
      <c r="A120" s="2" t="inlineStr">
        <is>
          <t>Curitiba</t>
        </is>
      </c>
      <c r="B120" s="14" t="inlineStr">
        <is>
          <t>Instagram</t>
        </is>
      </c>
      <c r="C120" s="2" t="inlineStr">
        <is>
          <t>n_posts_total</t>
        </is>
      </c>
      <c r="D120" s="2" t="inlineStr">
        <is>
          <t>Posts desde a criação do perfil</t>
        </is>
      </c>
      <c r="E120" s="5">
        <f>COUNTIFS(dados!$C$2:$C$55,$A120,dados!$R$2:$R$55,"&lt;&gt;")</f>
        <v/>
      </c>
      <c r="F120" s="5">
        <f>IFERROR(AVERAGEIFS(dados!$R$2:$R$55,dados!$C$2:$C$55,$A120),"")</f>
        <v/>
      </c>
      <c r="G120" s="5">
        <f t="array" ref="G120">IFERROR(MEDIAN(IF((dados!$C$2:$C$55=$A120)*(dados!$R$2:$R$55&lt;&gt;""),dados!$R$2:$R$55)),"")</f>
        <v/>
      </c>
      <c r="H120" s="5">
        <f t="array" ref="H120">IFERROR(STDEV(IF((dados!$C$2:$C$55=$A120)*(dados!$R$2:$R$55&lt;&gt;""),dados!$R$2:$R$55)),"")</f>
        <v/>
      </c>
      <c r="I120" s="5">
        <f>IF(COUNTIFS(dados!$C$2:$C$55,$A120,dados!$R$2:$R$55,"&lt;&gt;")=0,"",_xlfn.MINIFS(dados!$R$2:$R$55,dados!$C$2:$C$55,$A120))</f>
        <v/>
      </c>
      <c r="J120" s="5">
        <f>IF(COUNTIFS(dados!$C$2:$C$55,$A120,dados!$R$2:$R$55,"&lt;&gt;")=0,"",_xlfn.MAXIFS(dados!$R$2:$R$55,dados!$C$2:$C$55,$A120))</f>
        <v/>
      </c>
      <c r="K120" s="5">
        <f>IFERROR(J120-I120,"")</f>
        <v/>
      </c>
    </row>
    <row r="121">
      <c r="A121" s="2" t="inlineStr">
        <is>
          <t>Curitiba</t>
        </is>
      </c>
      <c r="B121" s="14" t="inlineStr">
        <is>
          <t>Instagram</t>
        </is>
      </c>
      <c r="C121" s="2" t="inlineStr">
        <is>
          <t>idade_perfil_anos</t>
        </is>
      </c>
      <c r="D121" s="2" t="inlineStr">
        <is>
          <t>Idade do perfil (desde o primeiro post até 15/10/2026)</t>
        </is>
      </c>
      <c r="E121" s="5">
        <f>COUNTIFS(dados!$C$2:$C$55,$A121,dados!$S$2:$S$55,"&lt;&gt;")</f>
        <v/>
      </c>
      <c r="F121" s="6">
        <f>IFERROR(AVERAGEIFS(dados!$S$2:$S$55,dados!$C$2:$C$55,$A121),"")</f>
        <v/>
      </c>
      <c r="G121" s="6">
        <f t="array" ref="G121">IFERROR(MEDIAN(IF((dados!$C$2:$C$55=$A121)*(dados!$S$2:$S$55&lt;&gt;""),dados!$S$2:$S$55)),"")</f>
        <v/>
      </c>
      <c r="H121" s="6">
        <f t="array" ref="H121">IFERROR(STDEV(IF((dados!$C$2:$C$55=$A121)*(dados!$S$2:$S$55&lt;&gt;""),dados!$S$2:$S$55)),"")</f>
        <v/>
      </c>
      <c r="I121" s="6">
        <f>IF(COUNTIFS(dados!$C$2:$C$55,$A121,dados!$S$2:$S$55,"&lt;&gt;")=0,"",_xlfn.MINIFS(dados!$S$2:$S$55,dados!$C$2:$C$55,$A121))</f>
        <v/>
      </c>
      <c r="J121" s="6">
        <f>IF(COUNTIFS(dados!$C$2:$C$55,$A121,dados!$S$2:$S$55,"&lt;&gt;")=0,"",_xlfn.MAXIFS(dados!$S$2:$S$55,dados!$C$2:$C$55,$A121))</f>
        <v/>
      </c>
      <c r="K121" s="6">
        <f>IFERROR(J121-I121,"")</f>
        <v/>
      </c>
    </row>
    <row r="122">
      <c r="A122" s="2" t="inlineStr">
        <is>
          <t>Curitiba</t>
        </is>
      </c>
      <c r="B122" s="14" t="inlineStr">
        <is>
          <t>Instagram</t>
        </is>
      </c>
      <c r="C122" s="2" t="inlineStr">
        <is>
          <t>n_posts_periodo</t>
        </is>
      </c>
      <c r="D122" s="2" t="inlineStr">
        <is>
          <t>Posts de 01/09 a 01/10/2026</t>
        </is>
      </c>
      <c r="E122" s="5">
        <f>COUNTIFS(dados!$C$2:$C$55,$A122,dados!$T$2:$T$55,"&lt;&gt;")</f>
        <v/>
      </c>
      <c r="F122" s="6">
        <f>IFERROR(AVERAGEIFS(dados!$T$2:$T$55,dados!$C$2:$C$55,$A122),"")</f>
        <v/>
      </c>
      <c r="G122" s="6">
        <f t="array" ref="G122">IFERROR(MEDIAN(IF((dados!$C$2:$C$55=$A122)*(dados!$T$2:$T$55&lt;&gt;""),dados!$T$2:$T$55)),"")</f>
        <v/>
      </c>
      <c r="H122" s="6">
        <f t="array" ref="H122">IFERROR(STDEV(IF((dados!$C$2:$C$55=$A122)*(dados!$T$2:$T$55&lt;&gt;""),dados!$T$2:$T$55)),"")</f>
        <v/>
      </c>
      <c r="I122" s="6">
        <f>IF(COUNTIFS(dados!$C$2:$C$55,$A122,dados!$T$2:$T$55,"&lt;&gt;")=0,"",_xlfn.MINIFS(dados!$T$2:$T$55,dados!$C$2:$C$55,$A122))</f>
        <v/>
      </c>
      <c r="J122" s="6">
        <f>IF(COUNTIFS(dados!$C$2:$C$55,$A122,dados!$T$2:$T$55,"&lt;&gt;")=0,"",_xlfn.MAXIFS(dados!$T$2:$T$55,dados!$C$2:$C$55,$A122))</f>
        <v/>
      </c>
      <c r="K122" s="6">
        <f>IFERROR(J122-I122,"")</f>
        <v/>
      </c>
    </row>
    <row r="123">
      <c r="A123" s="2" t="inlineStr">
        <is>
          <t>Curitiba</t>
        </is>
      </c>
      <c r="B123" s="14" t="inlineStr">
        <is>
          <t>Instagram</t>
        </is>
      </c>
      <c r="C123" s="2" t="inlineStr">
        <is>
          <t>curtidas_periodo</t>
        </is>
      </c>
      <c r="D123" s="2" t="inlineStr">
        <is>
          <t>Curtidas no período</t>
        </is>
      </c>
      <c r="E123" s="5">
        <f>COUNTIFS(dados!$C$2:$C$55,$A123,dados!$U$2:$U$55,"&lt;&gt;")</f>
        <v/>
      </c>
      <c r="F123" s="5">
        <f>IFERROR(AVERAGEIFS(dados!$U$2:$U$55,dados!$C$2:$C$55,$A123),"")</f>
        <v/>
      </c>
      <c r="G123" s="5">
        <f t="array" ref="G123">IFERROR(MEDIAN(IF((dados!$C$2:$C$55=$A123)*(dados!$U$2:$U$55&lt;&gt;""),dados!$U$2:$U$55)),"")</f>
        <v/>
      </c>
      <c r="H123" s="5">
        <f t="array" ref="H123">IFERROR(STDEV(IF((dados!$C$2:$C$55=$A123)*(dados!$U$2:$U$55&lt;&gt;""),dados!$U$2:$U$55)),"")</f>
        <v/>
      </c>
      <c r="I123" s="5">
        <f>IF(COUNTIFS(dados!$C$2:$C$55,$A123,dados!$U$2:$U$55,"&lt;&gt;")=0,"",_xlfn.MINIFS(dados!$U$2:$U$55,dados!$C$2:$C$55,$A123))</f>
        <v/>
      </c>
      <c r="J123" s="5">
        <f>IF(COUNTIFS(dados!$C$2:$C$55,$A123,dados!$U$2:$U$55,"&lt;&gt;")=0,"",_xlfn.MAXIFS(dados!$U$2:$U$55,dados!$C$2:$C$55,$A123))</f>
        <v/>
      </c>
      <c r="K123" s="5">
        <f>IFERROR(J123-I123,"")</f>
        <v/>
      </c>
    </row>
    <row r="124">
      <c r="A124" s="2" t="inlineStr">
        <is>
          <t>Curitiba</t>
        </is>
      </c>
      <c r="B124" s="14" t="inlineStr">
        <is>
          <t>Instagram</t>
        </is>
      </c>
      <c r="C124" s="2" t="inlineStr">
        <is>
          <t>comentarios_periodo</t>
        </is>
      </c>
      <c r="D124" s="2" t="inlineStr">
        <is>
          <t>Comentários no período</t>
        </is>
      </c>
      <c r="E124" s="5">
        <f>COUNTIFS(dados!$C$2:$C$55,$A124,dados!$V$2:$V$55,"&lt;&gt;")</f>
        <v/>
      </c>
      <c r="F124" s="5">
        <f>IFERROR(AVERAGEIFS(dados!$V$2:$V$55,dados!$C$2:$C$55,$A124),"")</f>
        <v/>
      </c>
      <c r="G124" s="5">
        <f t="array" ref="G124">IFERROR(MEDIAN(IF((dados!$C$2:$C$55=$A124)*(dados!$V$2:$V$55&lt;&gt;""),dados!$V$2:$V$55)),"")</f>
        <v/>
      </c>
      <c r="H124" s="5">
        <f t="array" ref="H124">IFERROR(STDEV(IF((dados!$C$2:$C$55=$A124)*(dados!$V$2:$V$55&lt;&gt;""),dados!$V$2:$V$55)),"")</f>
        <v/>
      </c>
      <c r="I124" s="5">
        <f>IF(COUNTIFS(dados!$C$2:$C$55,$A124,dados!$V$2:$V$55,"&lt;&gt;")=0,"",_xlfn.MINIFS(dados!$V$2:$V$55,dados!$C$2:$C$55,$A124))</f>
        <v/>
      </c>
      <c r="J124" s="5">
        <f>IF(COUNTIFS(dados!$C$2:$C$55,$A124,dados!$V$2:$V$55,"&lt;&gt;")=0,"",_xlfn.MAXIFS(dados!$V$2:$V$55,dados!$C$2:$C$55,$A124))</f>
        <v/>
      </c>
      <c r="K124" s="5">
        <f>IFERROR(J124-I124,"")</f>
        <v/>
      </c>
    </row>
    <row r="125">
      <c r="A125" s="2" t="inlineStr">
        <is>
          <t>Curitiba</t>
        </is>
      </c>
      <c r="B125" s="14" t="inlineStr">
        <is>
          <t>Instagram</t>
        </is>
      </c>
      <c r="C125" s="2" t="inlineStr">
        <is>
          <t>interacoes_por_post</t>
        </is>
      </c>
      <c r="D125" s="2" t="inlineStr">
        <is>
          <t>Interações por post no período (curtidas + comentários)</t>
        </is>
      </c>
      <c r="E125" s="5">
        <f>COUNTIFS(dados!$C$2:$C$55,$A125,dados!$W$2:$W$55,"&lt;&gt;")</f>
        <v/>
      </c>
      <c r="F125" s="6">
        <f>IFERROR(AVERAGEIFS(dados!$W$2:$W$55,dados!$C$2:$C$55,$A125),"")</f>
        <v/>
      </c>
      <c r="G125" s="6">
        <f t="array" ref="G125">IFERROR(MEDIAN(IF((dados!$C$2:$C$55=$A125)*(dados!$W$2:$W$55&lt;&gt;""),dados!$W$2:$W$55)),"")</f>
        <v/>
      </c>
      <c r="H125" s="6">
        <f t="array" ref="H125">IFERROR(STDEV(IF((dados!$C$2:$C$55=$A125)*(dados!$W$2:$W$55&lt;&gt;""),dados!$W$2:$W$55)),"")</f>
        <v/>
      </c>
      <c r="I125" s="6">
        <f>IF(COUNTIFS(dados!$C$2:$C$55,$A125,dados!$W$2:$W$55,"&lt;&gt;")=0,"",_xlfn.MINIFS(dados!$W$2:$W$55,dados!$C$2:$C$55,$A125))</f>
        <v/>
      </c>
      <c r="J125" s="6">
        <f>IF(COUNTIFS(dados!$C$2:$C$55,$A125,dados!$W$2:$W$55,"&lt;&gt;")=0,"",_xlfn.MAXIFS(dados!$W$2:$W$55,dados!$C$2:$C$55,$A125))</f>
        <v/>
      </c>
      <c r="K125" s="6">
        <f>IFERROR(J125-I125,"")</f>
        <v/>
      </c>
    </row>
    <row r="126">
      <c r="A126" s="2" t="inlineStr">
        <is>
          <t>Curitiba</t>
        </is>
      </c>
      <c r="B126" s="14" t="inlineStr">
        <is>
          <t>Instagram</t>
        </is>
      </c>
      <c r="C126" s="2" t="inlineStr">
        <is>
          <t>engajamento_pct</t>
        </is>
      </c>
      <c r="D126" s="2" t="inlineStr">
        <is>
          <t>Taxa de engajamento (interações por post ÷ seguidores)</t>
        </is>
      </c>
      <c r="E126" s="5">
        <f>COUNTIFS(dados!$C$2:$C$55,$A126,dados!$X$2:$X$55,"&lt;&gt;")</f>
        <v/>
      </c>
      <c r="F126" s="15">
        <f>IFERROR(AVERAGEIFS(dados!$X$2:$X$55,dados!$C$2:$C$55,$A126),"")</f>
        <v/>
      </c>
      <c r="G126" s="15">
        <f t="array" ref="G126">IFERROR(MEDIAN(IF((dados!$C$2:$C$55=$A126)*(dados!$X$2:$X$55&lt;&gt;""),dados!$X$2:$X$55)),"")</f>
        <v/>
      </c>
      <c r="H126" s="15">
        <f t="array" ref="H126">IFERROR(STDEV(IF((dados!$C$2:$C$55=$A126)*(dados!$X$2:$X$55&lt;&gt;""),dados!$X$2:$X$55)),"")</f>
        <v/>
      </c>
      <c r="I126" s="15">
        <f>IF(COUNTIFS(dados!$C$2:$C$55,$A126,dados!$X$2:$X$55,"&lt;&gt;")=0,"",_xlfn.MINIFS(dados!$X$2:$X$55,dados!$C$2:$C$55,$A126))</f>
        <v/>
      </c>
      <c r="J126" s="15">
        <f>IF(COUNTIFS(dados!$C$2:$C$55,$A126,dados!$X$2:$X$55,"&lt;&gt;")=0,"",_xlfn.MAXIFS(dados!$X$2:$X$55,dados!$C$2:$C$55,$A126))</f>
        <v/>
      </c>
      <c r="K126" s="15">
        <f>IFERROR(J126-I126,"")</f>
        <v/>
      </c>
    </row>
    <row r="127">
      <c r="A127" s="2" t="inlineStr">
        <is>
          <t>Curitiba</t>
        </is>
      </c>
      <c r="B127" s="16" t="inlineStr">
        <is>
          <t>Cardápio</t>
        </is>
      </c>
      <c r="C127" s="2" t="inlineStr">
        <is>
          <t>itens_com_preco</t>
        </is>
      </c>
      <c r="D127" s="2" t="inlineStr">
        <is>
          <t>Itens com preço no cardápio</t>
        </is>
      </c>
      <c r="E127" s="5">
        <f>COUNTIFS(dados!$C$2:$C$55,$A127,dados!$Y$2:$Y$55,"&lt;&gt;")</f>
        <v/>
      </c>
      <c r="F127" s="5">
        <f>IFERROR(AVERAGEIFS(dados!$Y$2:$Y$55,dados!$C$2:$C$55,$A127),"")</f>
        <v/>
      </c>
      <c r="G127" s="5">
        <f t="array" ref="G127">IFERROR(MEDIAN(IF((dados!$C$2:$C$55=$A127)*(dados!$Y$2:$Y$55&lt;&gt;""),dados!$Y$2:$Y$55)),"")</f>
        <v/>
      </c>
      <c r="H127" s="5">
        <f t="array" ref="H127">IFERROR(STDEV(IF((dados!$C$2:$C$55=$A127)*(dados!$Y$2:$Y$55&lt;&gt;""),dados!$Y$2:$Y$55)),"")</f>
        <v/>
      </c>
      <c r="I127" s="5">
        <f>IF(COUNTIFS(dados!$C$2:$C$55,$A127,dados!$Y$2:$Y$55,"&lt;&gt;")=0,"",_xlfn.MINIFS(dados!$Y$2:$Y$55,dados!$C$2:$C$55,$A127))</f>
        <v/>
      </c>
      <c r="J127" s="5">
        <f>IF(COUNTIFS(dados!$C$2:$C$55,$A127,dados!$Y$2:$Y$55,"&lt;&gt;")=0,"",_xlfn.MAXIFS(dados!$Y$2:$Y$55,dados!$C$2:$C$55,$A127))</f>
        <v/>
      </c>
      <c r="K127" s="5">
        <f>IFERROR(J127-I127,"")</f>
        <v/>
      </c>
    </row>
    <row r="128">
      <c r="A128" s="2" t="inlineStr">
        <is>
          <t>Curitiba</t>
        </is>
      </c>
      <c r="B128" s="16" t="inlineStr">
        <is>
          <t>Cardápio</t>
        </is>
      </c>
      <c r="C128" s="2" t="inlineStr">
        <is>
          <t>couvert_mediana</t>
        </is>
      </c>
      <c r="D128" s="2" t="inlineStr">
        <is>
          <t>Couvert ou taxa de jogo (só casas que cobram)</t>
        </is>
      </c>
      <c r="E128" s="5">
        <f>COUNTIFS(dados!$C$2:$C$55,$A128,dados!$Z$2:$Z$55,"&lt;&gt;")</f>
        <v/>
      </c>
      <c r="F128" s="7">
        <f>IFERROR(AVERAGEIFS(dados!$Z$2:$Z$55,dados!$C$2:$C$55,$A128),"")</f>
        <v/>
      </c>
      <c r="G128" s="7">
        <f t="array" ref="G128">IFERROR(MEDIAN(IF((dados!$C$2:$C$55=$A128)*(dados!$Z$2:$Z$55&lt;&gt;""),dados!$Z$2:$Z$55)),"")</f>
        <v/>
      </c>
      <c r="H128" s="7">
        <f t="array" ref="H128">IFERROR(STDEV(IF((dados!$C$2:$C$55=$A128)*(dados!$Z$2:$Z$55&lt;&gt;""),dados!$Z$2:$Z$55)),"")</f>
        <v/>
      </c>
      <c r="I128" s="7">
        <f>IF(COUNTIFS(dados!$C$2:$C$55,$A128,dados!$Z$2:$Z$55,"&lt;&gt;")=0,"",_xlfn.MINIFS(dados!$Z$2:$Z$55,dados!$C$2:$C$55,$A128))</f>
        <v/>
      </c>
      <c r="J128" s="7">
        <f>IF(COUNTIFS(dados!$C$2:$C$55,$A128,dados!$Z$2:$Z$55,"&lt;&gt;")=0,"",_xlfn.MAXIFS(dados!$Z$2:$Z$55,dados!$C$2:$C$55,$A128))</f>
        <v/>
      </c>
      <c r="K128" s="7">
        <f>IFERROR(J128-I128,"")</f>
        <v/>
      </c>
    </row>
    <row r="129">
      <c r="A129" s="2" t="inlineStr">
        <is>
          <t>Curitiba</t>
        </is>
      </c>
      <c r="B129" s="16" t="inlineStr">
        <is>
          <t>Cardápio</t>
        </is>
      </c>
      <c r="C129" s="2" t="inlineStr">
        <is>
          <t>bebida_mediana</t>
        </is>
      </c>
      <c r="D129" s="2" t="inlineStr">
        <is>
          <t>Bebida, mediana do cardápio</t>
        </is>
      </c>
      <c r="E129" s="5">
        <f>COUNTIFS(dados!$C$2:$C$55,$A129,dados!$AA$2:$AA$55,"&lt;&gt;")</f>
        <v/>
      </c>
      <c r="F129" s="7">
        <f>IFERROR(AVERAGEIFS(dados!$AA$2:$AA$55,dados!$C$2:$C$55,$A129),"")</f>
        <v/>
      </c>
      <c r="G129" s="7">
        <f t="array" ref="G129">IFERROR(MEDIAN(IF((dados!$C$2:$C$55=$A129)*(dados!$AA$2:$AA$55&lt;&gt;""),dados!$AA$2:$AA$55)),"")</f>
        <v/>
      </c>
      <c r="H129" s="7">
        <f t="array" ref="H129">IFERROR(STDEV(IF((dados!$C$2:$C$55=$A129)*(dados!$AA$2:$AA$55&lt;&gt;""),dados!$AA$2:$AA$55)),"")</f>
        <v/>
      </c>
      <c r="I129" s="7">
        <f>IF(COUNTIFS(dados!$C$2:$C$55,$A129,dados!$AA$2:$AA$55,"&lt;&gt;")=0,"",_xlfn.MINIFS(dados!$AA$2:$AA$55,dados!$C$2:$C$55,$A129))</f>
        <v/>
      </c>
      <c r="J129" s="7">
        <f>IF(COUNTIFS(dados!$C$2:$C$55,$A129,dados!$AA$2:$AA$55,"&lt;&gt;")=0,"",_xlfn.MAXIFS(dados!$AA$2:$AA$55,dados!$C$2:$C$55,$A129))</f>
        <v/>
      </c>
      <c r="K129" s="7">
        <f>IFERROR(J129-I129,"")</f>
        <v/>
      </c>
    </row>
    <row r="130">
      <c r="A130" s="2" t="inlineStr">
        <is>
          <t>Curitiba</t>
        </is>
      </c>
      <c r="B130" s="16" t="inlineStr">
        <is>
          <t>Cardápio</t>
        </is>
      </c>
      <c r="C130" s="2" t="inlineStr">
        <is>
          <t>entrada_ou_prato_mediana</t>
        </is>
      </c>
      <c r="D130" s="2" t="inlineStr">
        <is>
          <t>Entrada ou prato, mediana do cardápio</t>
        </is>
      </c>
      <c r="E130" s="5">
        <f>COUNTIFS(dados!$C$2:$C$55,$A130,dados!$AB$2:$AB$55,"&lt;&gt;")</f>
        <v/>
      </c>
      <c r="F130" s="7">
        <f>IFERROR(AVERAGEIFS(dados!$AB$2:$AB$55,dados!$C$2:$C$55,$A130),"")</f>
        <v/>
      </c>
      <c r="G130" s="7">
        <f t="array" ref="G130">IFERROR(MEDIAN(IF((dados!$C$2:$C$55=$A130)*(dados!$AB$2:$AB$55&lt;&gt;""),dados!$AB$2:$AB$55)),"")</f>
        <v/>
      </c>
      <c r="H130" s="7">
        <f t="array" ref="H130">IFERROR(STDEV(IF((dados!$C$2:$C$55=$A130)*(dados!$AB$2:$AB$55&lt;&gt;""),dados!$AB$2:$AB$55)),"")</f>
        <v/>
      </c>
      <c r="I130" s="7">
        <f>IF(COUNTIFS(dados!$C$2:$C$55,$A130,dados!$AB$2:$AB$55,"&lt;&gt;")=0,"",_xlfn.MINIFS(dados!$AB$2:$AB$55,dados!$C$2:$C$55,$A130))</f>
        <v/>
      </c>
      <c r="J130" s="7">
        <f>IF(COUNTIFS(dados!$C$2:$C$55,$A130,dados!$AB$2:$AB$55,"&lt;&gt;")=0,"",_xlfn.MAXIFS(dados!$AB$2:$AB$55,dados!$C$2:$C$55,$A130))</f>
        <v/>
      </c>
      <c r="K130" s="7">
        <f>IFERROR(J130-I130,"")</f>
        <v/>
      </c>
    </row>
    <row r="131">
      <c r="A131" s="2" t="inlineStr">
        <is>
          <t>Curitiba</t>
        </is>
      </c>
      <c r="B131" s="16" t="inlineStr">
        <is>
          <t>Cardápio</t>
        </is>
      </c>
      <c r="C131" s="2" t="inlineStr">
        <is>
          <t>cesta_baixa</t>
        </is>
      </c>
      <c r="D131" s="2" t="inlineStr">
        <is>
          <t>Cesta por pessoa, nível baixo (P25)</t>
        </is>
      </c>
      <c r="E131" s="5">
        <f>COUNTIFS(dados!$C$2:$C$55,$A131,dados!$AC$2:$AC$55,"&lt;&gt;")</f>
        <v/>
      </c>
      <c r="F131" s="7">
        <f>IFERROR(AVERAGEIFS(dados!$AC$2:$AC$55,dados!$C$2:$C$55,$A131),"")</f>
        <v/>
      </c>
      <c r="G131" s="7">
        <f t="array" ref="G131">IFERROR(MEDIAN(IF((dados!$C$2:$C$55=$A131)*(dados!$AC$2:$AC$55&lt;&gt;""),dados!$AC$2:$AC$55)),"")</f>
        <v/>
      </c>
      <c r="H131" s="7">
        <f t="array" ref="H131">IFERROR(STDEV(IF((dados!$C$2:$C$55=$A131)*(dados!$AC$2:$AC$55&lt;&gt;""),dados!$AC$2:$AC$55)),"")</f>
        <v/>
      </c>
      <c r="I131" s="7">
        <f>IF(COUNTIFS(dados!$C$2:$C$55,$A131,dados!$AC$2:$AC$55,"&lt;&gt;")=0,"",_xlfn.MINIFS(dados!$AC$2:$AC$55,dados!$C$2:$C$55,$A131))</f>
        <v/>
      </c>
      <c r="J131" s="7">
        <f>IF(COUNTIFS(dados!$C$2:$C$55,$A131,dados!$AC$2:$AC$55,"&lt;&gt;")=0,"",_xlfn.MAXIFS(dados!$AC$2:$AC$55,dados!$C$2:$C$55,$A131))</f>
        <v/>
      </c>
      <c r="K131" s="7">
        <f>IFERROR(J131-I131,"")</f>
        <v/>
      </c>
    </row>
    <row r="132">
      <c r="A132" s="2" t="inlineStr">
        <is>
          <t>Curitiba</t>
        </is>
      </c>
      <c r="B132" s="16" t="inlineStr">
        <is>
          <t>Cardápio</t>
        </is>
      </c>
      <c r="C132" s="2" t="inlineStr">
        <is>
          <t>cesta_mediana</t>
        </is>
      </c>
      <c r="D132" s="2" t="inlineStr">
        <is>
          <t>Cesta por pessoa, nível mediano</t>
        </is>
      </c>
      <c r="E132" s="5">
        <f>COUNTIFS(dados!$C$2:$C$55,$A132,dados!$AD$2:$AD$55,"&lt;&gt;")</f>
        <v/>
      </c>
      <c r="F132" s="7">
        <f>IFERROR(AVERAGEIFS(dados!$AD$2:$AD$55,dados!$C$2:$C$55,$A132),"")</f>
        <v/>
      </c>
      <c r="G132" s="7">
        <f t="array" ref="G132">IFERROR(MEDIAN(IF((dados!$C$2:$C$55=$A132)*(dados!$AD$2:$AD$55&lt;&gt;""),dados!$AD$2:$AD$55)),"")</f>
        <v/>
      </c>
      <c r="H132" s="7">
        <f t="array" ref="H132">IFERROR(STDEV(IF((dados!$C$2:$C$55=$A132)*(dados!$AD$2:$AD$55&lt;&gt;""),dados!$AD$2:$AD$55)),"")</f>
        <v/>
      </c>
      <c r="I132" s="7">
        <f>IF(COUNTIFS(dados!$C$2:$C$55,$A132,dados!$AD$2:$AD$55,"&lt;&gt;")=0,"",_xlfn.MINIFS(dados!$AD$2:$AD$55,dados!$C$2:$C$55,$A132))</f>
        <v/>
      </c>
      <c r="J132" s="7">
        <f>IF(COUNTIFS(dados!$C$2:$C$55,$A132,dados!$AD$2:$AD$55,"&lt;&gt;")=0,"",_xlfn.MAXIFS(dados!$AD$2:$AD$55,dados!$C$2:$C$55,$A132))</f>
        <v/>
      </c>
      <c r="K132" s="7">
        <f>IFERROR(J132-I132,"")</f>
        <v/>
      </c>
    </row>
    <row r="133">
      <c r="A133" s="2" t="inlineStr">
        <is>
          <t>Curitiba</t>
        </is>
      </c>
      <c r="B133" s="16" t="inlineStr">
        <is>
          <t>Cardápio</t>
        </is>
      </c>
      <c r="C133" s="2" t="inlineStr">
        <is>
          <t>cesta_alta</t>
        </is>
      </c>
      <c r="D133" s="2" t="inlineStr">
        <is>
          <t>Cesta por pessoa, nível alto (P75)</t>
        </is>
      </c>
      <c r="E133" s="5">
        <f>COUNTIFS(dados!$C$2:$C$55,$A133,dados!$AE$2:$AE$55,"&lt;&gt;")</f>
        <v/>
      </c>
      <c r="F133" s="7">
        <f>IFERROR(AVERAGEIFS(dados!$AE$2:$AE$55,dados!$C$2:$C$55,$A133),"")</f>
        <v/>
      </c>
      <c r="G133" s="7">
        <f t="array" ref="G133">IFERROR(MEDIAN(IF((dados!$C$2:$C$55=$A133)*(dados!$AE$2:$AE$55&lt;&gt;""),dados!$AE$2:$AE$55)),"")</f>
        <v/>
      </c>
      <c r="H133" s="7">
        <f t="array" ref="H133">IFERROR(STDEV(IF((dados!$C$2:$C$55=$A133)*(dados!$AE$2:$AE$55&lt;&gt;""),dados!$AE$2:$AE$55)),"")</f>
        <v/>
      </c>
      <c r="I133" s="7">
        <f>IF(COUNTIFS(dados!$C$2:$C$55,$A133,dados!$AE$2:$AE$55,"&lt;&gt;")=0,"",_xlfn.MINIFS(dados!$AE$2:$AE$55,dados!$C$2:$C$55,$A133))</f>
        <v/>
      </c>
      <c r="J133" s="7">
        <f>IF(COUNTIFS(dados!$C$2:$C$55,$A133,dados!$AE$2:$AE$55,"&lt;&gt;")=0,"",_xlfn.MAXIFS(dados!$AE$2:$AE$55,dados!$C$2:$C$55,$A133))</f>
        <v/>
      </c>
      <c r="K133" s="7">
        <f>IFERROR(J133-I133,"")</f>
        <v/>
      </c>
    </row>
    <row r="134">
      <c r="A134" s="2" t="inlineStr">
        <is>
          <t>Curitiba</t>
        </is>
      </c>
      <c r="B134" s="16" t="inlineStr">
        <is>
          <t>Cardápio</t>
        </is>
      </c>
      <c r="C134" s="2" t="inlineStr">
        <is>
          <t>hamburguer_mediana</t>
        </is>
      </c>
      <c r="D134" s="2" t="inlineStr">
        <is>
          <t>Hambúrguer, mediana</t>
        </is>
      </c>
      <c r="E134" s="5">
        <f>COUNTIFS(dados!$C$2:$C$55,$A134,dados!$AF$2:$AF$55,"&lt;&gt;")</f>
        <v/>
      </c>
      <c r="F134" s="7">
        <f>IFERROR(AVERAGEIFS(dados!$AF$2:$AF$55,dados!$C$2:$C$55,$A134),"")</f>
        <v/>
      </c>
      <c r="G134" s="7">
        <f t="array" ref="G134">IFERROR(MEDIAN(IF((dados!$C$2:$C$55=$A134)*(dados!$AF$2:$AF$55&lt;&gt;""),dados!$AF$2:$AF$55)),"")</f>
        <v/>
      </c>
      <c r="H134" s="7">
        <f t="array" ref="H134">IFERROR(STDEV(IF((dados!$C$2:$C$55=$A134)*(dados!$AF$2:$AF$55&lt;&gt;""),dados!$AF$2:$AF$55)),"")</f>
        <v/>
      </c>
      <c r="I134" s="7">
        <f>IF(COUNTIFS(dados!$C$2:$C$55,$A134,dados!$AF$2:$AF$55,"&lt;&gt;")=0,"",_xlfn.MINIFS(dados!$AF$2:$AF$55,dados!$C$2:$C$55,$A134))</f>
        <v/>
      </c>
      <c r="J134" s="7">
        <f>IF(COUNTIFS(dados!$C$2:$C$55,$A134,dados!$AF$2:$AF$55,"&lt;&gt;")=0,"",_xlfn.MAXIFS(dados!$AF$2:$AF$55,dados!$C$2:$C$55,$A134))</f>
        <v/>
      </c>
      <c r="K134" s="7">
        <f>IFERROR(J134-I134,"")</f>
        <v/>
      </c>
    </row>
    <row r="135">
      <c r="A135" s="2" t="inlineStr">
        <is>
          <t>Curitiba</t>
        </is>
      </c>
      <c r="B135" s="16" t="inlineStr">
        <is>
          <t>Cardápio</t>
        </is>
      </c>
      <c r="C135" s="2" t="inlineStr">
        <is>
          <t>batata_mediana</t>
        </is>
      </c>
      <c r="D135" s="2" t="inlineStr">
        <is>
          <t>Batata, mediana</t>
        </is>
      </c>
      <c r="E135" s="5">
        <f>COUNTIFS(dados!$C$2:$C$55,$A135,dados!$AG$2:$AG$55,"&lt;&gt;")</f>
        <v/>
      </c>
      <c r="F135" s="7">
        <f>IFERROR(AVERAGEIFS(dados!$AG$2:$AG$55,dados!$C$2:$C$55,$A135),"")</f>
        <v/>
      </c>
      <c r="G135" s="7">
        <f t="array" ref="G135">IFERROR(MEDIAN(IF((dados!$C$2:$C$55=$A135)*(dados!$AG$2:$AG$55&lt;&gt;""),dados!$AG$2:$AG$55)),"")</f>
        <v/>
      </c>
      <c r="H135" s="7">
        <f t="array" ref="H135">IFERROR(STDEV(IF((dados!$C$2:$C$55=$A135)*(dados!$AG$2:$AG$55&lt;&gt;""),dados!$AG$2:$AG$55)),"")</f>
        <v/>
      </c>
      <c r="I135" s="7">
        <f>IF(COUNTIFS(dados!$C$2:$C$55,$A135,dados!$AG$2:$AG$55,"&lt;&gt;")=0,"",_xlfn.MINIFS(dados!$AG$2:$AG$55,dados!$C$2:$C$55,$A135))</f>
        <v/>
      </c>
      <c r="J135" s="7">
        <f>IF(COUNTIFS(dados!$C$2:$C$55,$A135,dados!$AG$2:$AG$55,"&lt;&gt;")=0,"",_xlfn.MAXIFS(dados!$AG$2:$AG$55,dados!$C$2:$C$55,$A135))</f>
        <v/>
      </c>
      <c r="K135" s="7">
        <f>IFERROR(J135-I135,"")</f>
        <v/>
      </c>
    </row>
    <row r="136">
      <c r="A136" s="2" t="inlineStr">
        <is>
          <t>Curitiba</t>
        </is>
      </c>
      <c r="B136" s="16" t="inlineStr">
        <is>
          <t>Cardápio</t>
        </is>
      </c>
      <c r="C136" s="2" t="inlineStr">
        <is>
          <t>cerveja_mediana</t>
        </is>
      </c>
      <c r="D136" s="2" t="inlineStr">
        <is>
          <t>Cerveja, mediana</t>
        </is>
      </c>
      <c r="E136" s="5">
        <f>COUNTIFS(dados!$C$2:$C$55,$A136,dados!$AH$2:$AH$55,"&lt;&gt;")</f>
        <v/>
      </c>
      <c r="F136" s="7">
        <f>IFERROR(AVERAGEIFS(dados!$AH$2:$AH$55,dados!$C$2:$C$55,$A136),"")</f>
        <v/>
      </c>
      <c r="G136" s="7">
        <f t="array" ref="G136">IFERROR(MEDIAN(IF((dados!$C$2:$C$55=$A136)*(dados!$AH$2:$AH$55&lt;&gt;""),dados!$AH$2:$AH$55)),"")</f>
        <v/>
      </c>
      <c r="H136" s="7">
        <f t="array" ref="H136">IFERROR(STDEV(IF((dados!$C$2:$C$55=$A136)*(dados!$AH$2:$AH$55&lt;&gt;""),dados!$AH$2:$AH$55)),"")</f>
        <v/>
      </c>
      <c r="I136" s="7">
        <f>IF(COUNTIFS(dados!$C$2:$C$55,$A136,dados!$AH$2:$AH$55,"&lt;&gt;")=0,"",_xlfn.MINIFS(dados!$AH$2:$AH$55,dados!$C$2:$C$55,$A136))</f>
        <v/>
      </c>
      <c r="J136" s="7">
        <f>IF(COUNTIFS(dados!$C$2:$C$55,$A136,dados!$AH$2:$AH$55,"&lt;&gt;")=0,"",_xlfn.MAXIFS(dados!$AH$2:$AH$55,dados!$C$2:$C$55,$A136))</f>
        <v/>
      </c>
      <c r="K136" s="7">
        <f>IFERROR(J136-I136,"")</f>
        <v/>
      </c>
    </row>
    <row r="137">
      <c r="A137" s="2" t="inlineStr">
        <is>
          <t>Curitiba</t>
        </is>
      </c>
      <c r="B137" s="16" t="inlineStr">
        <is>
          <t>Cardápio</t>
        </is>
      </c>
      <c r="C137" s="2" t="inlineStr">
        <is>
          <t>refrigerante_mediana</t>
        </is>
      </c>
      <c r="D137" s="2" t="inlineStr">
        <is>
          <t>Refrigerante, mediana</t>
        </is>
      </c>
      <c r="E137" s="5">
        <f>COUNTIFS(dados!$C$2:$C$55,$A137,dados!$AI$2:$AI$55,"&lt;&gt;")</f>
        <v/>
      </c>
      <c r="F137" s="7">
        <f>IFERROR(AVERAGEIFS(dados!$AI$2:$AI$55,dados!$C$2:$C$55,$A137),"")</f>
        <v/>
      </c>
      <c r="G137" s="7">
        <f t="array" ref="G137">IFERROR(MEDIAN(IF((dados!$C$2:$C$55=$A137)*(dados!$AI$2:$AI$55&lt;&gt;""),dados!$AI$2:$AI$55)),"")</f>
        <v/>
      </c>
      <c r="H137" s="7">
        <f t="array" ref="H137">IFERROR(STDEV(IF((dados!$C$2:$C$55=$A137)*(dados!$AI$2:$AI$55&lt;&gt;""),dados!$AI$2:$AI$55)),"")</f>
        <v/>
      </c>
      <c r="I137" s="7">
        <f>IF(COUNTIFS(dados!$C$2:$C$55,$A137,dados!$AI$2:$AI$55,"&lt;&gt;")=0,"",_xlfn.MINIFS(dados!$AI$2:$AI$55,dados!$C$2:$C$55,$A137))</f>
        <v/>
      </c>
      <c r="J137" s="7">
        <f>IF(COUNTIFS(dados!$C$2:$C$55,$A137,dados!$AI$2:$AI$55,"&lt;&gt;")=0,"",_xlfn.MAXIFS(dados!$AI$2:$AI$55,dados!$C$2:$C$55,$A137))</f>
        <v/>
      </c>
      <c r="K137" s="7">
        <f>IFERROR(J137-I137,"")</f>
        <v/>
      </c>
    </row>
    <row r="138">
      <c r="A138" s="2" t="inlineStr">
        <is>
          <t>Curitiba</t>
        </is>
      </c>
      <c r="B138" s="16" t="inlineStr">
        <is>
          <t>Cardápio</t>
        </is>
      </c>
      <c r="C138" s="2" t="inlineStr">
        <is>
          <t>drinks_mediana</t>
        </is>
      </c>
      <c r="D138" s="2" t="inlineStr">
        <is>
          <t>Drinks, mediana</t>
        </is>
      </c>
      <c r="E138" s="5">
        <f>COUNTIFS(dados!$C$2:$C$55,$A138,dados!$AJ$2:$AJ$55,"&lt;&gt;")</f>
        <v/>
      </c>
      <c r="F138" s="7">
        <f>IFERROR(AVERAGEIFS(dados!$AJ$2:$AJ$55,dados!$C$2:$C$55,$A138),"")</f>
        <v/>
      </c>
      <c r="G138" s="7">
        <f t="array" ref="G138">IFERROR(MEDIAN(IF((dados!$C$2:$C$55=$A138)*(dados!$AJ$2:$AJ$55&lt;&gt;""),dados!$AJ$2:$AJ$55)),"")</f>
        <v/>
      </c>
      <c r="H138" s="7">
        <f t="array" ref="H138">IFERROR(STDEV(IF((dados!$C$2:$C$55=$A138)*(dados!$AJ$2:$AJ$55&lt;&gt;""),dados!$AJ$2:$AJ$55)),"")</f>
        <v/>
      </c>
      <c r="I138" s="7">
        <f>IF(COUNTIFS(dados!$C$2:$C$55,$A138,dados!$AJ$2:$AJ$55,"&lt;&gt;")=0,"",_xlfn.MINIFS(dados!$AJ$2:$AJ$55,dados!$C$2:$C$55,$A138))</f>
        <v/>
      </c>
      <c r="J138" s="7">
        <f>IF(COUNTIFS(dados!$C$2:$C$55,$A138,dados!$AJ$2:$AJ$55,"&lt;&gt;")=0,"",_xlfn.MAXIFS(dados!$AJ$2:$AJ$55,dados!$C$2:$C$55,$A138))</f>
        <v/>
      </c>
      <c r="K138" s="7">
        <f>IFERROR(J138-I138,"")</f>
        <v/>
      </c>
    </row>
    <row r="139">
      <c r="A139" s="2" t="inlineStr">
        <is>
          <t>Curitiba</t>
        </is>
      </c>
      <c r="B139" s="17" t="inlineStr">
        <is>
          <t>Acervo</t>
        </is>
      </c>
      <c r="C139" s="2" t="inlineStr">
        <is>
          <t>titulos_acervo</t>
        </is>
      </c>
      <c r="D139" s="2" t="inlineStr">
        <is>
          <t>Títulos no acervo publicado</t>
        </is>
      </c>
      <c r="E139" s="5">
        <f>COUNTIFS(dados!$C$2:$C$55,$A139,dados!$AK$2:$AK$55,"&lt;&gt;")</f>
        <v/>
      </c>
      <c r="F139" s="5">
        <f>IFERROR(AVERAGEIFS(dados!$AK$2:$AK$55,dados!$C$2:$C$55,$A139),"")</f>
        <v/>
      </c>
      <c r="G139" s="5">
        <f t="array" ref="G139">IFERROR(MEDIAN(IF((dados!$C$2:$C$55=$A139)*(dados!$AK$2:$AK$55&lt;&gt;""),dados!$AK$2:$AK$55)),"")</f>
        <v/>
      </c>
      <c r="H139" s="5">
        <f t="array" ref="H139">IFERROR(STDEV(IF((dados!$C$2:$C$55=$A139)*(dados!$AK$2:$AK$55&lt;&gt;""),dados!$AK$2:$AK$55)),"")</f>
        <v/>
      </c>
      <c r="I139" s="5">
        <f>IF(COUNTIFS(dados!$C$2:$C$55,$A139,dados!$AK$2:$AK$55,"&lt;&gt;")=0,"",_xlfn.MINIFS(dados!$AK$2:$AK$55,dados!$C$2:$C$55,$A139))</f>
        <v/>
      </c>
      <c r="J139" s="5">
        <f>IF(COUNTIFS(dados!$C$2:$C$55,$A139,dados!$AK$2:$AK$55,"&lt;&gt;")=0,"",_xlfn.MAXIFS(dados!$AK$2:$AK$55,dados!$C$2:$C$55,$A139))</f>
        <v/>
      </c>
      <c r="K139" s="5">
        <f>IFERROR(J139-I139,"")</f>
        <v/>
      </c>
    </row>
    <row r="140">
      <c r="A140" s="2" t="inlineStr">
        <is>
          <t>Curitiba</t>
        </is>
      </c>
      <c r="B140" s="18" t="inlineStr">
        <is>
          <t>B2</t>
        </is>
      </c>
      <c r="C140" s="2" t="inlineStr">
        <is>
          <t>avaliacoes_b2</t>
        </is>
      </c>
      <c r="D140" s="2" t="inlineStr">
        <is>
          <t>Avaliações no recorte do B2 (até '3 meses atrás')</t>
        </is>
      </c>
      <c r="E140" s="5">
        <f>COUNTIFS(dados!$C$2:$C$55,$A140,dados!$AL$2:$AL$55,"&lt;&gt;")</f>
        <v/>
      </c>
      <c r="F140" s="5">
        <f>IFERROR(AVERAGEIFS(dados!$AL$2:$AL$55,dados!$C$2:$C$55,$A140),"")</f>
        <v/>
      </c>
      <c r="G140" s="5">
        <f t="array" ref="G140">IFERROR(MEDIAN(IF((dados!$C$2:$C$55=$A140)*(dados!$AL$2:$AL$55&lt;&gt;""),dados!$AL$2:$AL$55)),"")</f>
        <v/>
      </c>
      <c r="H140" s="5">
        <f t="array" ref="H140">IFERROR(STDEV(IF((dados!$C$2:$C$55=$A140)*(dados!$AL$2:$AL$55&lt;&gt;""),dados!$AL$2:$AL$55)),"")</f>
        <v/>
      </c>
      <c r="I140" s="5">
        <f>IF(COUNTIFS(dados!$C$2:$C$55,$A140,dados!$AL$2:$AL$55,"&lt;&gt;")=0,"",_xlfn.MINIFS(dados!$AL$2:$AL$55,dados!$C$2:$C$55,$A140))</f>
        <v/>
      </c>
      <c r="J140" s="5">
        <f>IF(COUNTIFS(dados!$C$2:$C$55,$A140,dados!$AL$2:$AL$55,"&lt;&gt;")=0,"",_xlfn.MAXIFS(dados!$AL$2:$AL$55,dados!$C$2:$C$55,$A140))</f>
        <v/>
      </c>
      <c r="K140" s="5">
        <f>IFERROR(J140-I140,"")</f>
        <v/>
      </c>
    </row>
    <row r="141">
      <c r="A141" s="2" t="inlineStr">
        <is>
          <t>Curitiba</t>
        </is>
      </c>
      <c r="B141" s="18" t="inlineStr">
        <is>
          <t>B2</t>
        </is>
      </c>
      <c r="C141" s="2" t="inlineStr">
        <is>
          <t>avaliacoes_b2_com_texto</t>
        </is>
      </c>
      <c r="D141" s="2" t="inlineStr">
        <is>
          <t>Dessas, com texto</t>
        </is>
      </c>
      <c r="E141" s="5">
        <f>COUNTIFS(dados!$C$2:$C$55,$A141,dados!$AM$2:$AM$55,"&lt;&gt;")</f>
        <v/>
      </c>
      <c r="F141" s="5">
        <f>IFERROR(AVERAGEIFS(dados!$AM$2:$AM$55,dados!$C$2:$C$55,$A141),"")</f>
        <v/>
      </c>
      <c r="G141" s="5">
        <f t="array" ref="G141">IFERROR(MEDIAN(IF((dados!$C$2:$C$55=$A141)*(dados!$AM$2:$AM$55&lt;&gt;""),dados!$AM$2:$AM$55)),"")</f>
        <v/>
      </c>
      <c r="H141" s="5">
        <f t="array" ref="H141">IFERROR(STDEV(IF((dados!$C$2:$C$55=$A141)*(dados!$AM$2:$AM$55&lt;&gt;""),dados!$AM$2:$AM$55)),"")</f>
        <v/>
      </c>
      <c r="I141" s="5">
        <f>IF(COUNTIFS(dados!$C$2:$C$55,$A141,dados!$AM$2:$AM$55,"&lt;&gt;")=0,"",_xlfn.MINIFS(dados!$AM$2:$AM$55,dados!$C$2:$C$55,$A141))</f>
        <v/>
      </c>
      <c r="J141" s="5">
        <f>IF(COUNTIFS(dados!$C$2:$C$55,$A141,dados!$AM$2:$AM$55,"&lt;&gt;")=0,"",_xlfn.MAXIFS(dados!$AM$2:$AM$55,dados!$C$2:$C$55,$A141))</f>
        <v/>
      </c>
      <c r="K141" s="5">
        <f>IFERROR(J141-I141,"")</f>
        <v/>
      </c>
    </row>
    <row r="142">
      <c r="A142" s="2" t="inlineStr">
        <is>
          <t>Florianópolis</t>
        </is>
      </c>
      <c r="B142" s="11" t="inlineStr">
        <is>
          <t>Google Maps</t>
        </is>
      </c>
      <c r="C142" s="2" t="inlineStr">
        <is>
          <t>avaliacao_media</t>
        </is>
      </c>
      <c r="D142" s="2" t="inlineStr">
        <is>
          <t>Nota média no Google</t>
        </is>
      </c>
      <c r="E142" s="5">
        <f>COUNTIFS(dados!$C$2:$C$55,$A142,dados!$E$2:$E$55,"&lt;&gt;")</f>
        <v/>
      </c>
      <c r="F142" s="4">
        <f>IFERROR(AVERAGEIFS(dados!$E$2:$E$55,dados!$C$2:$C$55,$A142),"")</f>
        <v/>
      </c>
      <c r="G142" s="4">
        <f t="array" ref="G142">IFERROR(MEDIAN(IF((dados!$C$2:$C$55=$A142)*(dados!$E$2:$E$55&lt;&gt;""),dados!$E$2:$E$55)),"")</f>
        <v/>
      </c>
      <c r="H142" s="4">
        <f t="array" ref="H142">IFERROR(STDEV(IF((dados!$C$2:$C$55=$A142)*(dados!$E$2:$E$55&lt;&gt;""),dados!$E$2:$E$55)),"")</f>
        <v/>
      </c>
      <c r="I142" s="4">
        <f>IF(COUNTIFS(dados!$C$2:$C$55,$A142,dados!$E$2:$E$55,"&lt;&gt;")=0,"",_xlfn.MINIFS(dados!$E$2:$E$55,dados!$C$2:$C$55,$A142))</f>
        <v/>
      </c>
      <c r="J142" s="4">
        <f>IF(COUNTIFS(dados!$C$2:$C$55,$A142,dados!$E$2:$E$55,"&lt;&gt;")=0,"",_xlfn.MAXIFS(dados!$E$2:$E$55,dados!$C$2:$C$55,$A142))</f>
        <v/>
      </c>
      <c r="K142" s="4">
        <f>IFERROR(J142-I142,"")</f>
        <v/>
      </c>
    </row>
    <row r="143">
      <c r="A143" s="2" t="inlineStr">
        <is>
          <t>Florianópolis</t>
        </is>
      </c>
      <c r="B143" s="11" t="inlineStr">
        <is>
          <t>Google Maps</t>
        </is>
      </c>
      <c r="C143" s="2" t="inlineStr">
        <is>
          <t>volume_avaliacoes</t>
        </is>
      </c>
      <c r="D143" s="2" t="inlineStr">
        <is>
          <t>Nº de avaliações no Google</t>
        </is>
      </c>
      <c r="E143" s="5">
        <f>COUNTIFS(dados!$C$2:$C$55,$A143,dados!$F$2:$F$55,"&lt;&gt;")</f>
        <v/>
      </c>
      <c r="F143" s="5">
        <f>IFERROR(AVERAGEIFS(dados!$F$2:$F$55,dados!$C$2:$C$55,$A143),"")</f>
        <v/>
      </c>
      <c r="G143" s="5">
        <f t="array" ref="G143">IFERROR(MEDIAN(IF((dados!$C$2:$C$55=$A143)*(dados!$F$2:$F$55&lt;&gt;""),dados!$F$2:$F$55)),"")</f>
        <v/>
      </c>
      <c r="H143" s="5">
        <f t="array" ref="H143">IFERROR(STDEV(IF((dados!$C$2:$C$55=$A143)*(dados!$F$2:$F$55&lt;&gt;""),dados!$F$2:$F$55)),"")</f>
        <v/>
      </c>
      <c r="I143" s="5">
        <f>IF(COUNTIFS(dados!$C$2:$C$55,$A143,dados!$F$2:$F$55,"&lt;&gt;")=0,"",_xlfn.MINIFS(dados!$F$2:$F$55,dados!$C$2:$C$55,$A143))</f>
        <v/>
      </c>
      <c r="J143" s="5">
        <f>IF(COUNTIFS(dados!$C$2:$C$55,$A143,dados!$F$2:$F$55,"&lt;&gt;")=0,"",_xlfn.MAXIFS(dados!$F$2:$F$55,dados!$C$2:$C$55,$A143))</f>
        <v/>
      </c>
      <c r="K143" s="5">
        <f>IFERROR(J143-I143,"")</f>
        <v/>
      </c>
    </row>
    <row r="144">
      <c r="A144" s="2" t="inlineStr">
        <is>
          <t>Florianópolis</t>
        </is>
      </c>
      <c r="B144" s="12" t="inlineStr">
        <is>
          <t>Horários</t>
        </is>
      </c>
      <c r="C144" s="2" t="inlineStr">
        <is>
          <t>dias_abertos</t>
        </is>
      </c>
      <c r="D144" s="2" t="inlineStr">
        <is>
          <t>Dias abertos por semana</t>
        </is>
      </c>
      <c r="E144" s="5">
        <f>COUNTIFS(dados!$C$2:$C$55,$A144,dados!$G$2:$G$55,"&lt;&gt;")</f>
        <v/>
      </c>
      <c r="F144" s="6">
        <f>IFERROR(AVERAGEIFS(dados!$G$2:$G$55,dados!$C$2:$C$55,$A144),"")</f>
        <v/>
      </c>
      <c r="G144" s="6">
        <f t="array" ref="G144">IFERROR(MEDIAN(IF((dados!$C$2:$C$55=$A144)*(dados!$G$2:$G$55&lt;&gt;""),dados!$G$2:$G$55)),"")</f>
        <v/>
      </c>
      <c r="H144" s="6">
        <f t="array" ref="H144">IFERROR(STDEV(IF((dados!$C$2:$C$55=$A144)*(dados!$G$2:$G$55&lt;&gt;""),dados!$G$2:$G$55)),"")</f>
        <v/>
      </c>
      <c r="I144" s="6">
        <f>IF(COUNTIFS(dados!$C$2:$C$55,$A144,dados!$G$2:$G$55,"&lt;&gt;")=0,"",_xlfn.MINIFS(dados!$G$2:$G$55,dados!$C$2:$C$55,$A144))</f>
        <v/>
      </c>
      <c r="J144" s="6">
        <f>IF(COUNTIFS(dados!$C$2:$C$55,$A144,dados!$G$2:$G$55,"&lt;&gt;")=0,"",_xlfn.MAXIFS(dados!$G$2:$G$55,dados!$C$2:$C$55,$A144))</f>
        <v/>
      </c>
      <c r="K144" s="6">
        <f>IFERROR(J144-I144,"")</f>
        <v/>
      </c>
    </row>
    <row r="145">
      <c r="A145" s="2" t="inlineStr">
        <is>
          <t>Florianópolis</t>
        </is>
      </c>
      <c r="B145" s="12" t="inlineStr">
        <is>
          <t>Horários</t>
        </is>
      </c>
      <c r="C145" s="2" t="inlineStr">
        <is>
          <t>horas_semana</t>
        </is>
      </c>
      <c r="D145" s="2" t="inlineStr">
        <is>
          <t>Horas abertas por semana</t>
        </is>
      </c>
      <c r="E145" s="5">
        <f>COUNTIFS(dados!$C$2:$C$55,$A145,dados!$H$2:$H$55,"&lt;&gt;")</f>
        <v/>
      </c>
      <c r="F145" s="6">
        <f>IFERROR(AVERAGEIFS(dados!$H$2:$H$55,dados!$C$2:$C$55,$A145),"")</f>
        <v/>
      </c>
      <c r="G145" s="6">
        <f t="array" ref="G145">IFERROR(MEDIAN(IF((dados!$C$2:$C$55=$A145)*(dados!$H$2:$H$55&lt;&gt;""),dados!$H$2:$H$55)),"")</f>
        <v/>
      </c>
      <c r="H145" s="6">
        <f t="array" ref="H145">IFERROR(STDEV(IF((dados!$C$2:$C$55=$A145)*(dados!$H$2:$H$55&lt;&gt;""),dados!$H$2:$H$55)),"")</f>
        <v/>
      </c>
      <c r="I145" s="6">
        <f>IF(COUNTIFS(dados!$C$2:$C$55,$A145,dados!$H$2:$H$55,"&lt;&gt;")=0,"",_xlfn.MINIFS(dados!$H$2:$H$55,dados!$C$2:$C$55,$A145))</f>
        <v/>
      </c>
      <c r="J145" s="6">
        <f>IF(COUNTIFS(dados!$C$2:$C$55,$A145,dados!$H$2:$H$55,"&lt;&gt;")=0,"",_xlfn.MAXIFS(dados!$H$2:$H$55,dados!$C$2:$C$55,$A145))</f>
        <v/>
      </c>
      <c r="K145" s="6">
        <f>IFERROR(J145-I145,"")</f>
        <v/>
      </c>
    </row>
    <row r="146">
      <c r="A146" s="2" t="inlineStr">
        <is>
          <t>Florianópolis</t>
        </is>
      </c>
      <c r="B146" s="12" t="inlineStr">
        <is>
          <t>Horários</t>
        </is>
      </c>
      <c r="C146" s="2" t="inlineStr">
        <is>
          <t>abre_cedo_h</t>
        </is>
      </c>
      <c r="D146" s="2" t="inlineStr">
        <is>
          <t>Abertura mais cedo da semana</t>
        </is>
      </c>
      <c r="E146" s="5">
        <f>COUNTIFS(dados!$C$2:$C$55,$A146,dados!$I$2:$I$55,"&lt;&gt;")</f>
        <v/>
      </c>
      <c r="F146" s="6">
        <f>IFERROR(AVERAGEIFS(dados!$I$2:$I$55,dados!$C$2:$C$55,$A146),"")</f>
        <v/>
      </c>
      <c r="G146" s="6">
        <f t="array" ref="G146">IFERROR(MEDIAN(IF((dados!$C$2:$C$55=$A146)*(dados!$I$2:$I$55&lt;&gt;""),dados!$I$2:$I$55)),"")</f>
        <v/>
      </c>
      <c r="H146" s="6">
        <f t="array" ref="H146">IFERROR(STDEV(IF((dados!$C$2:$C$55=$A146)*(dados!$I$2:$I$55&lt;&gt;""),dados!$I$2:$I$55)),"")</f>
        <v/>
      </c>
      <c r="I146" s="6">
        <f>IF(COUNTIFS(dados!$C$2:$C$55,$A146,dados!$I$2:$I$55,"&lt;&gt;")=0,"",_xlfn.MINIFS(dados!$I$2:$I$55,dados!$C$2:$C$55,$A146))</f>
        <v/>
      </c>
      <c r="J146" s="6">
        <f>IF(COUNTIFS(dados!$C$2:$C$55,$A146,dados!$I$2:$I$55,"&lt;&gt;")=0,"",_xlfn.MAXIFS(dados!$I$2:$I$55,dados!$C$2:$C$55,$A146))</f>
        <v/>
      </c>
      <c r="K146" s="6">
        <f>IFERROR(J146-I146,"")</f>
        <v/>
      </c>
    </row>
    <row r="147">
      <c r="A147" s="2" t="inlineStr">
        <is>
          <t>Florianópolis</t>
        </is>
      </c>
      <c r="B147" s="12" t="inlineStr">
        <is>
          <t>Horários</t>
        </is>
      </c>
      <c r="C147" s="2" t="inlineStr">
        <is>
          <t>fecha_tarde_h</t>
        </is>
      </c>
      <c r="D147" s="2" t="inlineStr">
        <is>
          <t>Fechamento mais tarde da semana (25 = 1h da manhã)</t>
        </is>
      </c>
      <c r="E147" s="5">
        <f>COUNTIFS(dados!$C$2:$C$55,$A147,dados!$J$2:$J$55,"&lt;&gt;")</f>
        <v/>
      </c>
      <c r="F147" s="6">
        <f>IFERROR(AVERAGEIFS(dados!$J$2:$J$55,dados!$C$2:$C$55,$A147),"")</f>
        <v/>
      </c>
      <c r="G147" s="6">
        <f t="array" ref="G147">IFERROR(MEDIAN(IF((dados!$C$2:$C$55=$A147)*(dados!$J$2:$J$55&lt;&gt;""),dados!$J$2:$J$55)),"")</f>
        <v/>
      </c>
      <c r="H147" s="6">
        <f t="array" ref="H147">IFERROR(STDEV(IF((dados!$C$2:$C$55=$A147)*(dados!$J$2:$J$55&lt;&gt;""),dados!$J$2:$J$55)),"")</f>
        <v/>
      </c>
      <c r="I147" s="6">
        <f>IF(COUNTIFS(dados!$C$2:$C$55,$A147,dados!$J$2:$J$55,"&lt;&gt;")=0,"",_xlfn.MINIFS(dados!$J$2:$J$55,dados!$C$2:$C$55,$A147))</f>
        <v/>
      </c>
      <c r="J147" s="6">
        <f>IF(COUNTIFS(dados!$C$2:$C$55,$A147,dados!$J$2:$J$55,"&lt;&gt;")=0,"",_xlfn.MAXIFS(dados!$J$2:$J$55,dados!$C$2:$C$55,$A147))</f>
        <v/>
      </c>
      <c r="K147" s="6">
        <f>IFERROR(J147-I147,"")</f>
        <v/>
      </c>
    </row>
    <row r="148">
      <c r="A148" s="2" t="inlineStr">
        <is>
          <t>Florianópolis</t>
        </is>
      </c>
      <c r="B148" s="13" t="inlineStr">
        <is>
          <t>Entorno</t>
        </is>
      </c>
      <c r="C148" s="2" t="inlineStr">
        <is>
          <t>metro_500m</t>
        </is>
      </c>
      <c r="D148" s="2" t="inlineStr">
        <is>
          <t>Estações de metrô até 500 m</t>
        </is>
      </c>
      <c r="E148" s="5">
        <f>COUNTIFS(dados!$C$2:$C$55,$A148,dados!$K$2:$K$55,"&lt;&gt;")</f>
        <v/>
      </c>
      <c r="F148" s="4">
        <f>IFERROR(AVERAGEIFS(dados!$K$2:$K$55,dados!$C$2:$C$55,$A148),"")</f>
        <v/>
      </c>
      <c r="G148" s="4">
        <f t="array" ref="G148">IFERROR(MEDIAN(IF((dados!$C$2:$C$55=$A148)*(dados!$K$2:$K$55&lt;&gt;""),dados!$K$2:$K$55)),"")</f>
        <v/>
      </c>
      <c r="H148" s="4">
        <f t="array" ref="H148">IFERROR(STDEV(IF((dados!$C$2:$C$55=$A148)*(dados!$K$2:$K$55&lt;&gt;""),dados!$K$2:$K$55)),"")</f>
        <v/>
      </c>
      <c r="I148" s="4">
        <f>IF(COUNTIFS(dados!$C$2:$C$55,$A148,dados!$K$2:$K$55,"&lt;&gt;")=0,"",_xlfn.MINIFS(dados!$K$2:$K$55,dados!$C$2:$C$55,$A148))</f>
        <v/>
      </c>
      <c r="J148" s="4">
        <f>IF(COUNTIFS(dados!$C$2:$C$55,$A148,dados!$K$2:$K$55,"&lt;&gt;")=0,"",_xlfn.MAXIFS(dados!$K$2:$K$55,dados!$C$2:$C$55,$A148))</f>
        <v/>
      </c>
      <c r="K148" s="4">
        <f>IFERROR(J148-I148,"")</f>
        <v/>
      </c>
    </row>
    <row r="149">
      <c r="A149" s="2" t="inlineStr">
        <is>
          <t>Florianópolis</t>
        </is>
      </c>
      <c r="B149" s="13" t="inlineStr">
        <is>
          <t>Entorno</t>
        </is>
      </c>
      <c r="C149" s="2" t="inlineStr">
        <is>
          <t>metro_1000m</t>
        </is>
      </c>
      <c r="D149" s="2" t="inlineStr">
        <is>
          <t>Estações de metrô até 1000 m</t>
        </is>
      </c>
      <c r="E149" s="5">
        <f>COUNTIFS(dados!$C$2:$C$55,$A149,dados!$L$2:$L$55,"&lt;&gt;")</f>
        <v/>
      </c>
      <c r="F149" s="4">
        <f>IFERROR(AVERAGEIFS(dados!$L$2:$L$55,dados!$C$2:$C$55,$A149),"")</f>
        <v/>
      </c>
      <c r="G149" s="4">
        <f t="array" ref="G149">IFERROR(MEDIAN(IF((dados!$C$2:$C$55=$A149)*(dados!$L$2:$L$55&lt;&gt;""),dados!$L$2:$L$55)),"")</f>
        <v/>
      </c>
      <c r="H149" s="4">
        <f t="array" ref="H149">IFERROR(STDEV(IF((dados!$C$2:$C$55=$A149)*(dados!$L$2:$L$55&lt;&gt;""),dados!$L$2:$L$55)),"")</f>
        <v/>
      </c>
      <c r="I149" s="4">
        <f>IF(COUNTIFS(dados!$C$2:$C$55,$A149,dados!$L$2:$L$55,"&lt;&gt;")=0,"",_xlfn.MINIFS(dados!$L$2:$L$55,dados!$C$2:$C$55,$A149))</f>
        <v/>
      </c>
      <c r="J149" s="4">
        <f>IF(COUNTIFS(dados!$C$2:$C$55,$A149,dados!$L$2:$L$55,"&lt;&gt;")=0,"",_xlfn.MAXIFS(dados!$L$2:$L$55,dados!$C$2:$C$55,$A149))</f>
        <v/>
      </c>
      <c r="K149" s="4">
        <f>IFERROR(J149-I149,"")</f>
        <v/>
      </c>
    </row>
    <row r="150">
      <c r="A150" s="2" t="inlineStr">
        <is>
          <t>Florianópolis</t>
        </is>
      </c>
      <c r="B150" s="13" t="inlineStr">
        <is>
          <t>Entorno</t>
        </is>
      </c>
      <c r="C150" s="2" t="inlineStr">
        <is>
          <t>dist_metro_m</t>
        </is>
      </c>
      <c r="D150" s="2" t="inlineStr">
        <is>
          <t>Distância à estação de metrô mais próxima</t>
        </is>
      </c>
      <c r="E150" s="5">
        <f>COUNTIFS(dados!$C$2:$C$55,$A150,dados!$M$2:$M$55,"&lt;&gt;")</f>
        <v/>
      </c>
      <c r="F150" s="5">
        <f>IFERROR(AVERAGEIFS(dados!$M$2:$M$55,dados!$C$2:$C$55,$A150),"")</f>
        <v/>
      </c>
      <c r="G150" s="5">
        <f t="array" ref="G150">IFERROR(MEDIAN(IF((dados!$C$2:$C$55=$A150)*(dados!$M$2:$M$55&lt;&gt;""),dados!$M$2:$M$55)),"")</f>
        <v/>
      </c>
      <c r="H150" s="5">
        <f t="array" ref="H150">IFERROR(STDEV(IF((dados!$C$2:$C$55=$A150)*(dados!$M$2:$M$55&lt;&gt;""),dados!$M$2:$M$55)),"")</f>
        <v/>
      </c>
      <c r="I150" s="5">
        <f>IF(COUNTIFS(dados!$C$2:$C$55,$A150,dados!$M$2:$M$55,"&lt;&gt;")=0,"",_xlfn.MINIFS(dados!$M$2:$M$55,dados!$C$2:$C$55,$A150))</f>
        <v/>
      </c>
      <c r="J150" s="5">
        <f>IF(COUNTIFS(dados!$C$2:$C$55,$A150,dados!$M$2:$M$55,"&lt;&gt;")=0,"",_xlfn.MAXIFS(dados!$M$2:$M$55,dados!$C$2:$C$55,$A150))</f>
        <v/>
      </c>
      <c r="K150" s="5">
        <f>IFERROR(J150-I150,"")</f>
        <v/>
      </c>
    </row>
    <row r="151">
      <c r="A151" s="2" t="inlineStr">
        <is>
          <t>Florianópolis</t>
        </is>
      </c>
      <c r="B151" s="13" t="inlineStr">
        <is>
          <t>Entorno</t>
        </is>
      </c>
      <c r="C151" s="2" t="inlineStr">
        <is>
          <t>shopping_porte_500m</t>
        </is>
      </c>
      <c r="D151" s="2" t="inlineStr">
        <is>
          <t>Shoppings de porte até 500 m (onde o porte foi buscado)</t>
        </is>
      </c>
      <c r="E151" s="5">
        <f>COUNTIFS(dados!$C$2:$C$55,$A151,dados!$N$2:$N$55,"&lt;&gt;")</f>
        <v/>
      </c>
      <c r="F151" s="4">
        <f>IFERROR(AVERAGEIFS(dados!$N$2:$N$55,dados!$C$2:$C$55,$A151),"")</f>
        <v/>
      </c>
      <c r="G151" s="4">
        <f t="array" ref="G151">IFERROR(MEDIAN(IF((dados!$C$2:$C$55=$A151)*(dados!$N$2:$N$55&lt;&gt;""),dados!$N$2:$N$55)),"")</f>
        <v/>
      </c>
      <c r="H151" s="4">
        <f t="array" ref="H151">IFERROR(STDEV(IF((dados!$C$2:$C$55=$A151)*(dados!$N$2:$N$55&lt;&gt;""),dados!$N$2:$N$55)),"")</f>
        <v/>
      </c>
      <c r="I151" s="4">
        <f>IF(COUNTIFS(dados!$C$2:$C$55,$A151,dados!$N$2:$N$55,"&lt;&gt;")=0,"",_xlfn.MINIFS(dados!$N$2:$N$55,dados!$C$2:$C$55,$A151))</f>
        <v/>
      </c>
      <c r="J151" s="4">
        <f>IF(COUNTIFS(dados!$C$2:$C$55,$A151,dados!$N$2:$N$55,"&lt;&gt;")=0,"",_xlfn.MAXIFS(dados!$N$2:$N$55,dados!$C$2:$C$55,$A151))</f>
        <v/>
      </c>
      <c r="K151" s="4">
        <f>IFERROR(J151-I151,"")</f>
        <v/>
      </c>
    </row>
    <row r="152">
      <c r="A152" s="2" t="inlineStr">
        <is>
          <t>Florianópolis</t>
        </is>
      </c>
      <c r="B152" s="13" t="inlineStr">
        <is>
          <t>Entorno</t>
        </is>
      </c>
      <c r="C152" s="2" t="inlineStr">
        <is>
          <t>shopping_porte_1000m</t>
        </is>
      </c>
      <c r="D152" s="2" t="inlineStr">
        <is>
          <t>Shoppings de porte até 1000 m (onde o porte foi buscado)</t>
        </is>
      </c>
      <c r="E152" s="5">
        <f>COUNTIFS(dados!$C$2:$C$55,$A152,dados!$O$2:$O$55,"&lt;&gt;")</f>
        <v/>
      </c>
      <c r="F152" s="4">
        <f>IFERROR(AVERAGEIFS(dados!$O$2:$O$55,dados!$C$2:$C$55,$A152),"")</f>
        <v/>
      </c>
      <c r="G152" s="4">
        <f t="array" ref="G152">IFERROR(MEDIAN(IF((dados!$C$2:$C$55=$A152)*(dados!$O$2:$O$55&lt;&gt;""),dados!$O$2:$O$55)),"")</f>
        <v/>
      </c>
      <c r="H152" s="4">
        <f t="array" ref="H152">IFERROR(STDEV(IF((dados!$C$2:$C$55=$A152)*(dados!$O$2:$O$55&lt;&gt;""),dados!$O$2:$O$55)),"")</f>
        <v/>
      </c>
      <c r="I152" s="4">
        <f>IF(COUNTIFS(dados!$C$2:$C$55,$A152,dados!$O$2:$O$55,"&lt;&gt;")=0,"",_xlfn.MINIFS(dados!$O$2:$O$55,dados!$C$2:$C$55,$A152))</f>
        <v/>
      </c>
      <c r="J152" s="4">
        <f>IF(COUNTIFS(dados!$C$2:$C$55,$A152,dados!$O$2:$O$55,"&lt;&gt;")=0,"",_xlfn.MAXIFS(dados!$O$2:$O$55,dados!$C$2:$C$55,$A152))</f>
        <v/>
      </c>
      <c r="K152" s="4">
        <f>IFERROR(J152-I152,"")</f>
        <v/>
      </c>
    </row>
    <row r="153">
      <c r="A153" s="2" t="inlineStr">
        <is>
          <t>Florianópolis</t>
        </is>
      </c>
      <c r="B153" s="13" t="inlineStr">
        <is>
          <t>Entorno</t>
        </is>
      </c>
      <c r="C153" s="2" t="inlineStr">
        <is>
          <t>dist_shopping_m</t>
        </is>
      </c>
      <c r="D153" s="2" t="inlineStr">
        <is>
          <t>Distância ao shopping mais próximo (qualquer porte)</t>
        </is>
      </c>
      <c r="E153" s="5">
        <f>COUNTIFS(dados!$C$2:$C$55,$A153,dados!$P$2:$P$55,"&lt;&gt;")</f>
        <v/>
      </c>
      <c r="F153" s="5">
        <f>IFERROR(AVERAGEIFS(dados!$P$2:$P$55,dados!$C$2:$C$55,$A153),"")</f>
        <v/>
      </c>
      <c r="G153" s="5">
        <f t="array" ref="G153">IFERROR(MEDIAN(IF((dados!$C$2:$C$55=$A153)*(dados!$P$2:$P$55&lt;&gt;""),dados!$P$2:$P$55)),"")</f>
        <v/>
      </c>
      <c r="H153" s="5">
        <f t="array" ref="H153">IFERROR(STDEV(IF((dados!$C$2:$C$55=$A153)*(dados!$P$2:$P$55&lt;&gt;""),dados!$P$2:$P$55)),"")</f>
        <v/>
      </c>
      <c r="I153" s="5">
        <f>IF(COUNTIFS(dados!$C$2:$C$55,$A153,dados!$P$2:$P$55,"&lt;&gt;")=0,"",_xlfn.MINIFS(dados!$P$2:$P$55,dados!$C$2:$C$55,$A153))</f>
        <v/>
      </c>
      <c r="J153" s="5">
        <f>IF(COUNTIFS(dados!$C$2:$C$55,$A153,dados!$P$2:$P$55,"&lt;&gt;")=0,"",_xlfn.MAXIFS(dados!$P$2:$P$55,dados!$C$2:$C$55,$A153))</f>
        <v/>
      </c>
      <c r="K153" s="5">
        <f>IFERROR(J153-I153,"")</f>
        <v/>
      </c>
    </row>
    <row r="154">
      <c r="A154" s="2" t="inlineStr">
        <is>
          <t>Florianópolis</t>
        </is>
      </c>
      <c r="B154" s="14" t="inlineStr">
        <is>
          <t>Instagram</t>
        </is>
      </c>
      <c r="C154" s="2" t="inlineStr">
        <is>
          <t>seguidores</t>
        </is>
      </c>
      <c r="D154" s="2" t="inlineStr">
        <is>
          <t>Seguidores</t>
        </is>
      </c>
      <c r="E154" s="5">
        <f>COUNTIFS(dados!$C$2:$C$55,$A154,dados!$Q$2:$Q$55,"&lt;&gt;")</f>
        <v/>
      </c>
      <c r="F154" s="5">
        <f>IFERROR(AVERAGEIFS(dados!$Q$2:$Q$55,dados!$C$2:$C$55,$A154),"")</f>
        <v/>
      </c>
      <c r="G154" s="5">
        <f t="array" ref="G154">IFERROR(MEDIAN(IF((dados!$C$2:$C$55=$A154)*(dados!$Q$2:$Q$55&lt;&gt;""),dados!$Q$2:$Q$55)),"")</f>
        <v/>
      </c>
      <c r="H154" s="5">
        <f t="array" ref="H154">IFERROR(STDEV(IF((dados!$C$2:$C$55=$A154)*(dados!$Q$2:$Q$55&lt;&gt;""),dados!$Q$2:$Q$55)),"")</f>
        <v/>
      </c>
      <c r="I154" s="5">
        <f>IF(COUNTIFS(dados!$C$2:$C$55,$A154,dados!$Q$2:$Q$55,"&lt;&gt;")=0,"",_xlfn.MINIFS(dados!$Q$2:$Q$55,dados!$C$2:$C$55,$A154))</f>
        <v/>
      </c>
      <c r="J154" s="5">
        <f>IF(COUNTIFS(dados!$C$2:$C$55,$A154,dados!$Q$2:$Q$55,"&lt;&gt;")=0,"",_xlfn.MAXIFS(dados!$Q$2:$Q$55,dados!$C$2:$C$55,$A154))</f>
        <v/>
      </c>
      <c r="K154" s="5">
        <f>IFERROR(J154-I154,"")</f>
        <v/>
      </c>
    </row>
    <row r="155">
      <c r="A155" s="2" t="inlineStr">
        <is>
          <t>Florianópolis</t>
        </is>
      </c>
      <c r="B155" s="14" t="inlineStr">
        <is>
          <t>Instagram</t>
        </is>
      </c>
      <c r="C155" s="2" t="inlineStr">
        <is>
          <t>n_posts_total</t>
        </is>
      </c>
      <c r="D155" s="2" t="inlineStr">
        <is>
          <t>Posts desde a criação do perfil</t>
        </is>
      </c>
      <c r="E155" s="5">
        <f>COUNTIFS(dados!$C$2:$C$55,$A155,dados!$R$2:$R$55,"&lt;&gt;")</f>
        <v/>
      </c>
      <c r="F155" s="5">
        <f>IFERROR(AVERAGEIFS(dados!$R$2:$R$55,dados!$C$2:$C$55,$A155),"")</f>
        <v/>
      </c>
      <c r="G155" s="5">
        <f t="array" ref="G155">IFERROR(MEDIAN(IF((dados!$C$2:$C$55=$A155)*(dados!$R$2:$R$55&lt;&gt;""),dados!$R$2:$R$55)),"")</f>
        <v/>
      </c>
      <c r="H155" s="5">
        <f t="array" ref="H155">IFERROR(STDEV(IF((dados!$C$2:$C$55=$A155)*(dados!$R$2:$R$55&lt;&gt;""),dados!$R$2:$R$55)),"")</f>
        <v/>
      </c>
      <c r="I155" s="5">
        <f>IF(COUNTIFS(dados!$C$2:$C$55,$A155,dados!$R$2:$R$55,"&lt;&gt;")=0,"",_xlfn.MINIFS(dados!$R$2:$R$55,dados!$C$2:$C$55,$A155))</f>
        <v/>
      </c>
      <c r="J155" s="5">
        <f>IF(COUNTIFS(dados!$C$2:$C$55,$A155,dados!$R$2:$R$55,"&lt;&gt;")=0,"",_xlfn.MAXIFS(dados!$R$2:$R$55,dados!$C$2:$C$55,$A155))</f>
        <v/>
      </c>
      <c r="K155" s="5">
        <f>IFERROR(J155-I155,"")</f>
        <v/>
      </c>
    </row>
    <row r="156">
      <c r="A156" s="2" t="inlineStr">
        <is>
          <t>Florianópolis</t>
        </is>
      </c>
      <c r="B156" s="14" t="inlineStr">
        <is>
          <t>Instagram</t>
        </is>
      </c>
      <c r="C156" s="2" t="inlineStr">
        <is>
          <t>idade_perfil_anos</t>
        </is>
      </c>
      <c r="D156" s="2" t="inlineStr">
        <is>
          <t>Idade do perfil (desde o primeiro post até 15/10/2026)</t>
        </is>
      </c>
      <c r="E156" s="5">
        <f>COUNTIFS(dados!$C$2:$C$55,$A156,dados!$S$2:$S$55,"&lt;&gt;")</f>
        <v/>
      </c>
      <c r="F156" s="6">
        <f>IFERROR(AVERAGEIFS(dados!$S$2:$S$55,dados!$C$2:$C$55,$A156),"")</f>
        <v/>
      </c>
      <c r="G156" s="6">
        <f t="array" ref="G156">IFERROR(MEDIAN(IF((dados!$C$2:$C$55=$A156)*(dados!$S$2:$S$55&lt;&gt;""),dados!$S$2:$S$55)),"")</f>
        <v/>
      </c>
      <c r="H156" s="6">
        <f t="array" ref="H156">IFERROR(STDEV(IF((dados!$C$2:$C$55=$A156)*(dados!$S$2:$S$55&lt;&gt;""),dados!$S$2:$S$55)),"")</f>
        <v/>
      </c>
      <c r="I156" s="6">
        <f>IF(COUNTIFS(dados!$C$2:$C$55,$A156,dados!$S$2:$S$55,"&lt;&gt;")=0,"",_xlfn.MINIFS(dados!$S$2:$S$55,dados!$C$2:$C$55,$A156))</f>
        <v/>
      </c>
      <c r="J156" s="6">
        <f>IF(COUNTIFS(dados!$C$2:$C$55,$A156,dados!$S$2:$S$55,"&lt;&gt;")=0,"",_xlfn.MAXIFS(dados!$S$2:$S$55,dados!$C$2:$C$55,$A156))</f>
        <v/>
      </c>
      <c r="K156" s="6">
        <f>IFERROR(J156-I156,"")</f>
        <v/>
      </c>
    </row>
    <row r="157">
      <c r="A157" s="2" t="inlineStr">
        <is>
          <t>Florianópolis</t>
        </is>
      </c>
      <c r="B157" s="14" t="inlineStr">
        <is>
          <t>Instagram</t>
        </is>
      </c>
      <c r="C157" s="2" t="inlineStr">
        <is>
          <t>n_posts_periodo</t>
        </is>
      </c>
      <c r="D157" s="2" t="inlineStr">
        <is>
          <t>Posts de 01/09 a 01/10/2026</t>
        </is>
      </c>
      <c r="E157" s="5">
        <f>COUNTIFS(dados!$C$2:$C$55,$A157,dados!$T$2:$T$55,"&lt;&gt;")</f>
        <v/>
      </c>
      <c r="F157" s="6">
        <f>IFERROR(AVERAGEIFS(dados!$T$2:$T$55,dados!$C$2:$C$55,$A157),"")</f>
        <v/>
      </c>
      <c r="G157" s="6">
        <f t="array" ref="G157">IFERROR(MEDIAN(IF((dados!$C$2:$C$55=$A157)*(dados!$T$2:$T$55&lt;&gt;""),dados!$T$2:$T$55)),"")</f>
        <v/>
      </c>
      <c r="H157" s="6">
        <f t="array" ref="H157">IFERROR(STDEV(IF((dados!$C$2:$C$55=$A157)*(dados!$T$2:$T$55&lt;&gt;""),dados!$T$2:$T$55)),"")</f>
        <v/>
      </c>
      <c r="I157" s="6">
        <f>IF(COUNTIFS(dados!$C$2:$C$55,$A157,dados!$T$2:$T$55,"&lt;&gt;")=0,"",_xlfn.MINIFS(dados!$T$2:$T$55,dados!$C$2:$C$55,$A157))</f>
        <v/>
      </c>
      <c r="J157" s="6">
        <f>IF(COUNTIFS(dados!$C$2:$C$55,$A157,dados!$T$2:$T$55,"&lt;&gt;")=0,"",_xlfn.MAXIFS(dados!$T$2:$T$55,dados!$C$2:$C$55,$A157))</f>
        <v/>
      </c>
      <c r="K157" s="6">
        <f>IFERROR(J157-I157,"")</f>
        <v/>
      </c>
    </row>
    <row r="158">
      <c r="A158" s="2" t="inlineStr">
        <is>
          <t>Florianópolis</t>
        </is>
      </c>
      <c r="B158" s="14" t="inlineStr">
        <is>
          <t>Instagram</t>
        </is>
      </c>
      <c r="C158" s="2" t="inlineStr">
        <is>
          <t>curtidas_periodo</t>
        </is>
      </c>
      <c r="D158" s="2" t="inlineStr">
        <is>
          <t>Curtidas no período</t>
        </is>
      </c>
      <c r="E158" s="5">
        <f>COUNTIFS(dados!$C$2:$C$55,$A158,dados!$U$2:$U$55,"&lt;&gt;")</f>
        <v/>
      </c>
      <c r="F158" s="5">
        <f>IFERROR(AVERAGEIFS(dados!$U$2:$U$55,dados!$C$2:$C$55,$A158),"")</f>
        <v/>
      </c>
      <c r="G158" s="5">
        <f t="array" ref="G158">IFERROR(MEDIAN(IF((dados!$C$2:$C$55=$A158)*(dados!$U$2:$U$55&lt;&gt;""),dados!$U$2:$U$55)),"")</f>
        <v/>
      </c>
      <c r="H158" s="5">
        <f t="array" ref="H158">IFERROR(STDEV(IF((dados!$C$2:$C$55=$A158)*(dados!$U$2:$U$55&lt;&gt;""),dados!$U$2:$U$55)),"")</f>
        <v/>
      </c>
      <c r="I158" s="5">
        <f>IF(COUNTIFS(dados!$C$2:$C$55,$A158,dados!$U$2:$U$55,"&lt;&gt;")=0,"",_xlfn.MINIFS(dados!$U$2:$U$55,dados!$C$2:$C$55,$A158))</f>
        <v/>
      </c>
      <c r="J158" s="5">
        <f>IF(COUNTIFS(dados!$C$2:$C$55,$A158,dados!$U$2:$U$55,"&lt;&gt;")=0,"",_xlfn.MAXIFS(dados!$U$2:$U$55,dados!$C$2:$C$55,$A158))</f>
        <v/>
      </c>
      <c r="K158" s="5">
        <f>IFERROR(J158-I158,"")</f>
        <v/>
      </c>
    </row>
    <row r="159">
      <c r="A159" s="2" t="inlineStr">
        <is>
          <t>Florianópolis</t>
        </is>
      </c>
      <c r="B159" s="14" t="inlineStr">
        <is>
          <t>Instagram</t>
        </is>
      </c>
      <c r="C159" s="2" t="inlineStr">
        <is>
          <t>comentarios_periodo</t>
        </is>
      </c>
      <c r="D159" s="2" t="inlineStr">
        <is>
          <t>Comentários no período</t>
        </is>
      </c>
      <c r="E159" s="5">
        <f>COUNTIFS(dados!$C$2:$C$55,$A159,dados!$V$2:$V$55,"&lt;&gt;")</f>
        <v/>
      </c>
      <c r="F159" s="5">
        <f>IFERROR(AVERAGEIFS(dados!$V$2:$V$55,dados!$C$2:$C$55,$A159),"")</f>
        <v/>
      </c>
      <c r="G159" s="5">
        <f t="array" ref="G159">IFERROR(MEDIAN(IF((dados!$C$2:$C$55=$A159)*(dados!$V$2:$V$55&lt;&gt;""),dados!$V$2:$V$55)),"")</f>
        <v/>
      </c>
      <c r="H159" s="5">
        <f t="array" ref="H159">IFERROR(STDEV(IF((dados!$C$2:$C$55=$A159)*(dados!$V$2:$V$55&lt;&gt;""),dados!$V$2:$V$55)),"")</f>
        <v/>
      </c>
      <c r="I159" s="5">
        <f>IF(COUNTIFS(dados!$C$2:$C$55,$A159,dados!$V$2:$V$55,"&lt;&gt;")=0,"",_xlfn.MINIFS(dados!$V$2:$V$55,dados!$C$2:$C$55,$A159))</f>
        <v/>
      </c>
      <c r="J159" s="5">
        <f>IF(COUNTIFS(dados!$C$2:$C$55,$A159,dados!$V$2:$V$55,"&lt;&gt;")=0,"",_xlfn.MAXIFS(dados!$V$2:$V$55,dados!$C$2:$C$55,$A159))</f>
        <v/>
      </c>
      <c r="K159" s="5">
        <f>IFERROR(J159-I159,"")</f>
        <v/>
      </c>
    </row>
    <row r="160">
      <c r="A160" s="2" t="inlineStr">
        <is>
          <t>Florianópolis</t>
        </is>
      </c>
      <c r="B160" s="14" t="inlineStr">
        <is>
          <t>Instagram</t>
        </is>
      </c>
      <c r="C160" s="2" t="inlineStr">
        <is>
          <t>interacoes_por_post</t>
        </is>
      </c>
      <c r="D160" s="2" t="inlineStr">
        <is>
          <t>Interações por post no período (curtidas + comentários)</t>
        </is>
      </c>
      <c r="E160" s="5">
        <f>COUNTIFS(dados!$C$2:$C$55,$A160,dados!$W$2:$W$55,"&lt;&gt;")</f>
        <v/>
      </c>
      <c r="F160" s="6">
        <f>IFERROR(AVERAGEIFS(dados!$W$2:$W$55,dados!$C$2:$C$55,$A160),"")</f>
        <v/>
      </c>
      <c r="G160" s="6">
        <f t="array" ref="G160">IFERROR(MEDIAN(IF((dados!$C$2:$C$55=$A160)*(dados!$W$2:$W$55&lt;&gt;""),dados!$W$2:$W$55)),"")</f>
        <v/>
      </c>
      <c r="H160" s="6">
        <f t="array" ref="H160">IFERROR(STDEV(IF((dados!$C$2:$C$55=$A160)*(dados!$W$2:$W$55&lt;&gt;""),dados!$W$2:$W$55)),"")</f>
        <v/>
      </c>
      <c r="I160" s="6">
        <f>IF(COUNTIFS(dados!$C$2:$C$55,$A160,dados!$W$2:$W$55,"&lt;&gt;")=0,"",_xlfn.MINIFS(dados!$W$2:$W$55,dados!$C$2:$C$55,$A160))</f>
        <v/>
      </c>
      <c r="J160" s="6">
        <f>IF(COUNTIFS(dados!$C$2:$C$55,$A160,dados!$W$2:$W$55,"&lt;&gt;")=0,"",_xlfn.MAXIFS(dados!$W$2:$W$55,dados!$C$2:$C$55,$A160))</f>
        <v/>
      </c>
      <c r="K160" s="6">
        <f>IFERROR(J160-I160,"")</f>
        <v/>
      </c>
    </row>
    <row r="161">
      <c r="A161" s="2" t="inlineStr">
        <is>
          <t>Florianópolis</t>
        </is>
      </c>
      <c r="B161" s="14" t="inlineStr">
        <is>
          <t>Instagram</t>
        </is>
      </c>
      <c r="C161" s="2" t="inlineStr">
        <is>
          <t>engajamento_pct</t>
        </is>
      </c>
      <c r="D161" s="2" t="inlineStr">
        <is>
          <t>Taxa de engajamento (interações por post ÷ seguidores)</t>
        </is>
      </c>
      <c r="E161" s="5">
        <f>COUNTIFS(dados!$C$2:$C$55,$A161,dados!$X$2:$X$55,"&lt;&gt;")</f>
        <v/>
      </c>
      <c r="F161" s="15">
        <f>IFERROR(AVERAGEIFS(dados!$X$2:$X$55,dados!$C$2:$C$55,$A161),"")</f>
        <v/>
      </c>
      <c r="G161" s="15">
        <f t="array" ref="G161">IFERROR(MEDIAN(IF((dados!$C$2:$C$55=$A161)*(dados!$X$2:$X$55&lt;&gt;""),dados!$X$2:$X$55)),"")</f>
        <v/>
      </c>
      <c r="H161" s="15">
        <f t="array" ref="H161">IFERROR(STDEV(IF((dados!$C$2:$C$55=$A161)*(dados!$X$2:$X$55&lt;&gt;""),dados!$X$2:$X$55)),"")</f>
        <v/>
      </c>
      <c r="I161" s="15">
        <f>IF(COUNTIFS(dados!$C$2:$C$55,$A161,dados!$X$2:$X$55,"&lt;&gt;")=0,"",_xlfn.MINIFS(dados!$X$2:$X$55,dados!$C$2:$C$55,$A161))</f>
        <v/>
      </c>
      <c r="J161" s="15">
        <f>IF(COUNTIFS(dados!$C$2:$C$55,$A161,dados!$X$2:$X$55,"&lt;&gt;")=0,"",_xlfn.MAXIFS(dados!$X$2:$X$55,dados!$C$2:$C$55,$A161))</f>
        <v/>
      </c>
      <c r="K161" s="15">
        <f>IFERROR(J161-I161,"")</f>
        <v/>
      </c>
    </row>
    <row r="162">
      <c r="A162" s="2" t="inlineStr">
        <is>
          <t>Florianópolis</t>
        </is>
      </c>
      <c r="B162" s="16" t="inlineStr">
        <is>
          <t>Cardápio</t>
        </is>
      </c>
      <c r="C162" s="2" t="inlineStr">
        <is>
          <t>itens_com_preco</t>
        </is>
      </c>
      <c r="D162" s="2" t="inlineStr">
        <is>
          <t>Itens com preço no cardápio</t>
        </is>
      </c>
      <c r="E162" s="5">
        <f>COUNTIFS(dados!$C$2:$C$55,$A162,dados!$Y$2:$Y$55,"&lt;&gt;")</f>
        <v/>
      </c>
      <c r="F162" s="5">
        <f>IFERROR(AVERAGEIFS(dados!$Y$2:$Y$55,dados!$C$2:$C$55,$A162),"")</f>
        <v/>
      </c>
      <c r="G162" s="5">
        <f t="array" ref="G162">IFERROR(MEDIAN(IF((dados!$C$2:$C$55=$A162)*(dados!$Y$2:$Y$55&lt;&gt;""),dados!$Y$2:$Y$55)),"")</f>
        <v/>
      </c>
      <c r="H162" s="5">
        <f t="array" ref="H162">IFERROR(STDEV(IF((dados!$C$2:$C$55=$A162)*(dados!$Y$2:$Y$55&lt;&gt;""),dados!$Y$2:$Y$55)),"")</f>
        <v/>
      </c>
      <c r="I162" s="5">
        <f>IF(COUNTIFS(dados!$C$2:$C$55,$A162,dados!$Y$2:$Y$55,"&lt;&gt;")=0,"",_xlfn.MINIFS(dados!$Y$2:$Y$55,dados!$C$2:$C$55,$A162))</f>
        <v/>
      </c>
      <c r="J162" s="5">
        <f>IF(COUNTIFS(dados!$C$2:$C$55,$A162,dados!$Y$2:$Y$55,"&lt;&gt;")=0,"",_xlfn.MAXIFS(dados!$Y$2:$Y$55,dados!$C$2:$C$55,$A162))</f>
        <v/>
      </c>
      <c r="K162" s="5">
        <f>IFERROR(J162-I162,"")</f>
        <v/>
      </c>
    </row>
    <row r="163">
      <c r="A163" s="2" t="inlineStr">
        <is>
          <t>Florianópolis</t>
        </is>
      </c>
      <c r="B163" s="16" t="inlineStr">
        <is>
          <t>Cardápio</t>
        </is>
      </c>
      <c r="C163" s="2" t="inlineStr">
        <is>
          <t>couvert_mediana</t>
        </is>
      </c>
      <c r="D163" s="2" t="inlineStr">
        <is>
          <t>Couvert ou taxa de jogo (só casas que cobram)</t>
        </is>
      </c>
      <c r="E163" s="5">
        <f>COUNTIFS(dados!$C$2:$C$55,$A163,dados!$Z$2:$Z$55,"&lt;&gt;")</f>
        <v/>
      </c>
      <c r="F163" s="7">
        <f>IFERROR(AVERAGEIFS(dados!$Z$2:$Z$55,dados!$C$2:$C$55,$A163),"")</f>
        <v/>
      </c>
      <c r="G163" s="7">
        <f t="array" ref="G163">IFERROR(MEDIAN(IF((dados!$C$2:$C$55=$A163)*(dados!$Z$2:$Z$55&lt;&gt;""),dados!$Z$2:$Z$55)),"")</f>
        <v/>
      </c>
      <c r="H163" s="7">
        <f t="array" ref="H163">IFERROR(STDEV(IF((dados!$C$2:$C$55=$A163)*(dados!$Z$2:$Z$55&lt;&gt;""),dados!$Z$2:$Z$55)),"")</f>
        <v/>
      </c>
      <c r="I163" s="7">
        <f>IF(COUNTIFS(dados!$C$2:$C$55,$A163,dados!$Z$2:$Z$55,"&lt;&gt;")=0,"",_xlfn.MINIFS(dados!$Z$2:$Z$55,dados!$C$2:$C$55,$A163))</f>
        <v/>
      </c>
      <c r="J163" s="7">
        <f>IF(COUNTIFS(dados!$C$2:$C$55,$A163,dados!$Z$2:$Z$55,"&lt;&gt;")=0,"",_xlfn.MAXIFS(dados!$Z$2:$Z$55,dados!$C$2:$C$55,$A163))</f>
        <v/>
      </c>
      <c r="K163" s="7">
        <f>IFERROR(J163-I163,"")</f>
        <v/>
      </c>
    </row>
    <row r="164">
      <c r="A164" s="2" t="inlineStr">
        <is>
          <t>Florianópolis</t>
        </is>
      </c>
      <c r="B164" s="16" t="inlineStr">
        <is>
          <t>Cardápio</t>
        </is>
      </c>
      <c r="C164" s="2" t="inlineStr">
        <is>
          <t>bebida_mediana</t>
        </is>
      </c>
      <c r="D164" s="2" t="inlineStr">
        <is>
          <t>Bebida, mediana do cardápio</t>
        </is>
      </c>
      <c r="E164" s="5">
        <f>COUNTIFS(dados!$C$2:$C$55,$A164,dados!$AA$2:$AA$55,"&lt;&gt;")</f>
        <v/>
      </c>
      <c r="F164" s="7">
        <f>IFERROR(AVERAGEIFS(dados!$AA$2:$AA$55,dados!$C$2:$C$55,$A164),"")</f>
        <v/>
      </c>
      <c r="G164" s="7">
        <f t="array" ref="G164">IFERROR(MEDIAN(IF((dados!$C$2:$C$55=$A164)*(dados!$AA$2:$AA$55&lt;&gt;""),dados!$AA$2:$AA$55)),"")</f>
        <v/>
      </c>
      <c r="H164" s="7">
        <f t="array" ref="H164">IFERROR(STDEV(IF((dados!$C$2:$C$55=$A164)*(dados!$AA$2:$AA$55&lt;&gt;""),dados!$AA$2:$AA$55)),"")</f>
        <v/>
      </c>
      <c r="I164" s="7">
        <f>IF(COUNTIFS(dados!$C$2:$C$55,$A164,dados!$AA$2:$AA$55,"&lt;&gt;")=0,"",_xlfn.MINIFS(dados!$AA$2:$AA$55,dados!$C$2:$C$55,$A164))</f>
        <v/>
      </c>
      <c r="J164" s="7">
        <f>IF(COUNTIFS(dados!$C$2:$C$55,$A164,dados!$AA$2:$AA$55,"&lt;&gt;")=0,"",_xlfn.MAXIFS(dados!$AA$2:$AA$55,dados!$C$2:$C$55,$A164))</f>
        <v/>
      </c>
      <c r="K164" s="7">
        <f>IFERROR(J164-I164,"")</f>
        <v/>
      </c>
    </row>
    <row r="165">
      <c r="A165" s="2" t="inlineStr">
        <is>
          <t>Florianópolis</t>
        </is>
      </c>
      <c r="B165" s="16" t="inlineStr">
        <is>
          <t>Cardápio</t>
        </is>
      </c>
      <c r="C165" s="2" t="inlineStr">
        <is>
          <t>entrada_ou_prato_mediana</t>
        </is>
      </c>
      <c r="D165" s="2" t="inlineStr">
        <is>
          <t>Entrada ou prato, mediana do cardápio</t>
        </is>
      </c>
      <c r="E165" s="5">
        <f>COUNTIFS(dados!$C$2:$C$55,$A165,dados!$AB$2:$AB$55,"&lt;&gt;")</f>
        <v/>
      </c>
      <c r="F165" s="7">
        <f>IFERROR(AVERAGEIFS(dados!$AB$2:$AB$55,dados!$C$2:$C$55,$A165),"")</f>
        <v/>
      </c>
      <c r="G165" s="7">
        <f t="array" ref="G165">IFERROR(MEDIAN(IF((dados!$C$2:$C$55=$A165)*(dados!$AB$2:$AB$55&lt;&gt;""),dados!$AB$2:$AB$55)),"")</f>
        <v/>
      </c>
      <c r="H165" s="7">
        <f t="array" ref="H165">IFERROR(STDEV(IF((dados!$C$2:$C$55=$A165)*(dados!$AB$2:$AB$55&lt;&gt;""),dados!$AB$2:$AB$55)),"")</f>
        <v/>
      </c>
      <c r="I165" s="7">
        <f>IF(COUNTIFS(dados!$C$2:$C$55,$A165,dados!$AB$2:$AB$55,"&lt;&gt;")=0,"",_xlfn.MINIFS(dados!$AB$2:$AB$55,dados!$C$2:$C$55,$A165))</f>
        <v/>
      </c>
      <c r="J165" s="7">
        <f>IF(COUNTIFS(dados!$C$2:$C$55,$A165,dados!$AB$2:$AB$55,"&lt;&gt;")=0,"",_xlfn.MAXIFS(dados!$AB$2:$AB$55,dados!$C$2:$C$55,$A165))</f>
        <v/>
      </c>
      <c r="K165" s="7">
        <f>IFERROR(J165-I165,"")</f>
        <v/>
      </c>
    </row>
    <row r="166">
      <c r="A166" s="2" t="inlineStr">
        <is>
          <t>Florianópolis</t>
        </is>
      </c>
      <c r="B166" s="16" t="inlineStr">
        <is>
          <t>Cardápio</t>
        </is>
      </c>
      <c r="C166" s="2" t="inlineStr">
        <is>
          <t>cesta_baixa</t>
        </is>
      </c>
      <c r="D166" s="2" t="inlineStr">
        <is>
          <t>Cesta por pessoa, nível baixo (P25)</t>
        </is>
      </c>
      <c r="E166" s="5">
        <f>COUNTIFS(dados!$C$2:$C$55,$A166,dados!$AC$2:$AC$55,"&lt;&gt;")</f>
        <v/>
      </c>
      <c r="F166" s="7">
        <f>IFERROR(AVERAGEIFS(dados!$AC$2:$AC$55,dados!$C$2:$C$55,$A166),"")</f>
        <v/>
      </c>
      <c r="G166" s="7">
        <f t="array" ref="G166">IFERROR(MEDIAN(IF((dados!$C$2:$C$55=$A166)*(dados!$AC$2:$AC$55&lt;&gt;""),dados!$AC$2:$AC$55)),"")</f>
        <v/>
      </c>
      <c r="H166" s="7">
        <f t="array" ref="H166">IFERROR(STDEV(IF((dados!$C$2:$C$55=$A166)*(dados!$AC$2:$AC$55&lt;&gt;""),dados!$AC$2:$AC$55)),"")</f>
        <v/>
      </c>
      <c r="I166" s="7">
        <f>IF(COUNTIFS(dados!$C$2:$C$55,$A166,dados!$AC$2:$AC$55,"&lt;&gt;")=0,"",_xlfn.MINIFS(dados!$AC$2:$AC$55,dados!$C$2:$C$55,$A166))</f>
        <v/>
      </c>
      <c r="J166" s="7">
        <f>IF(COUNTIFS(dados!$C$2:$C$55,$A166,dados!$AC$2:$AC$55,"&lt;&gt;")=0,"",_xlfn.MAXIFS(dados!$AC$2:$AC$55,dados!$C$2:$C$55,$A166))</f>
        <v/>
      </c>
      <c r="K166" s="7">
        <f>IFERROR(J166-I166,"")</f>
        <v/>
      </c>
    </row>
    <row r="167">
      <c r="A167" s="2" t="inlineStr">
        <is>
          <t>Florianópolis</t>
        </is>
      </c>
      <c r="B167" s="16" t="inlineStr">
        <is>
          <t>Cardápio</t>
        </is>
      </c>
      <c r="C167" s="2" t="inlineStr">
        <is>
          <t>cesta_mediana</t>
        </is>
      </c>
      <c r="D167" s="2" t="inlineStr">
        <is>
          <t>Cesta por pessoa, nível mediano</t>
        </is>
      </c>
      <c r="E167" s="5">
        <f>COUNTIFS(dados!$C$2:$C$55,$A167,dados!$AD$2:$AD$55,"&lt;&gt;")</f>
        <v/>
      </c>
      <c r="F167" s="7">
        <f>IFERROR(AVERAGEIFS(dados!$AD$2:$AD$55,dados!$C$2:$C$55,$A167),"")</f>
        <v/>
      </c>
      <c r="G167" s="7">
        <f t="array" ref="G167">IFERROR(MEDIAN(IF((dados!$C$2:$C$55=$A167)*(dados!$AD$2:$AD$55&lt;&gt;""),dados!$AD$2:$AD$55)),"")</f>
        <v/>
      </c>
      <c r="H167" s="7">
        <f t="array" ref="H167">IFERROR(STDEV(IF((dados!$C$2:$C$55=$A167)*(dados!$AD$2:$AD$55&lt;&gt;""),dados!$AD$2:$AD$55)),"")</f>
        <v/>
      </c>
      <c r="I167" s="7">
        <f>IF(COUNTIFS(dados!$C$2:$C$55,$A167,dados!$AD$2:$AD$55,"&lt;&gt;")=0,"",_xlfn.MINIFS(dados!$AD$2:$AD$55,dados!$C$2:$C$55,$A167))</f>
        <v/>
      </c>
      <c r="J167" s="7">
        <f>IF(COUNTIFS(dados!$C$2:$C$55,$A167,dados!$AD$2:$AD$55,"&lt;&gt;")=0,"",_xlfn.MAXIFS(dados!$AD$2:$AD$55,dados!$C$2:$C$55,$A167))</f>
        <v/>
      </c>
      <c r="K167" s="7">
        <f>IFERROR(J167-I167,"")</f>
        <v/>
      </c>
    </row>
    <row r="168">
      <c r="A168" s="2" t="inlineStr">
        <is>
          <t>Florianópolis</t>
        </is>
      </c>
      <c r="B168" s="16" t="inlineStr">
        <is>
          <t>Cardápio</t>
        </is>
      </c>
      <c r="C168" s="2" t="inlineStr">
        <is>
          <t>cesta_alta</t>
        </is>
      </c>
      <c r="D168" s="2" t="inlineStr">
        <is>
          <t>Cesta por pessoa, nível alto (P75)</t>
        </is>
      </c>
      <c r="E168" s="5">
        <f>COUNTIFS(dados!$C$2:$C$55,$A168,dados!$AE$2:$AE$55,"&lt;&gt;")</f>
        <v/>
      </c>
      <c r="F168" s="7">
        <f>IFERROR(AVERAGEIFS(dados!$AE$2:$AE$55,dados!$C$2:$C$55,$A168),"")</f>
        <v/>
      </c>
      <c r="G168" s="7">
        <f t="array" ref="G168">IFERROR(MEDIAN(IF((dados!$C$2:$C$55=$A168)*(dados!$AE$2:$AE$55&lt;&gt;""),dados!$AE$2:$AE$55)),"")</f>
        <v/>
      </c>
      <c r="H168" s="7">
        <f t="array" ref="H168">IFERROR(STDEV(IF((dados!$C$2:$C$55=$A168)*(dados!$AE$2:$AE$55&lt;&gt;""),dados!$AE$2:$AE$55)),"")</f>
        <v/>
      </c>
      <c r="I168" s="7">
        <f>IF(COUNTIFS(dados!$C$2:$C$55,$A168,dados!$AE$2:$AE$55,"&lt;&gt;")=0,"",_xlfn.MINIFS(dados!$AE$2:$AE$55,dados!$C$2:$C$55,$A168))</f>
        <v/>
      </c>
      <c r="J168" s="7">
        <f>IF(COUNTIFS(dados!$C$2:$C$55,$A168,dados!$AE$2:$AE$55,"&lt;&gt;")=0,"",_xlfn.MAXIFS(dados!$AE$2:$AE$55,dados!$C$2:$C$55,$A168))</f>
        <v/>
      </c>
      <c r="K168" s="7">
        <f>IFERROR(J168-I168,"")</f>
        <v/>
      </c>
    </row>
    <row r="169">
      <c r="A169" s="2" t="inlineStr">
        <is>
          <t>Florianópolis</t>
        </is>
      </c>
      <c r="B169" s="16" t="inlineStr">
        <is>
          <t>Cardápio</t>
        </is>
      </c>
      <c r="C169" s="2" t="inlineStr">
        <is>
          <t>hamburguer_mediana</t>
        </is>
      </c>
      <c r="D169" s="2" t="inlineStr">
        <is>
          <t>Hambúrguer, mediana</t>
        </is>
      </c>
      <c r="E169" s="5">
        <f>COUNTIFS(dados!$C$2:$C$55,$A169,dados!$AF$2:$AF$55,"&lt;&gt;")</f>
        <v/>
      </c>
      <c r="F169" s="7">
        <f>IFERROR(AVERAGEIFS(dados!$AF$2:$AF$55,dados!$C$2:$C$55,$A169),"")</f>
        <v/>
      </c>
      <c r="G169" s="7">
        <f t="array" ref="G169">IFERROR(MEDIAN(IF((dados!$C$2:$C$55=$A169)*(dados!$AF$2:$AF$55&lt;&gt;""),dados!$AF$2:$AF$55)),"")</f>
        <v/>
      </c>
      <c r="H169" s="7">
        <f t="array" ref="H169">IFERROR(STDEV(IF((dados!$C$2:$C$55=$A169)*(dados!$AF$2:$AF$55&lt;&gt;""),dados!$AF$2:$AF$55)),"")</f>
        <v/>
      </c>
      <c r="I169" s="7">
        <f>IF(COUNTIFS(dados!$C$2:$C$55,$A169,dados!$AF$2:$AF$55,"&lt;&gt;")=0,"",_xlfn.MINIFS(dados!$AF$2:$AF$55,dados!$C$2:$C$55,$A169))</f>
        <v/>
      </c>
      <c r="J169" s="7">
        <f>IF(COUNTIFS(dados!$C$2:$C$55,$A169,dados!$AF$2:$AF$55,"&lt;&gt;")=0,"",_xlfn.MAXIFS(dados!$AF$2:$AF$55,dados!$C$2:$C$55,$A169))</f>
        <v/>
      </c>
      <c r="K169" s="7">
        <f>IFERROR(J169-I169,"")</f>
        <v/>
      </c>
    </row>
    <row r="170">
      <c r="A170" s="2" t="inlineStr">
        <is>
          <t>Florianópolis</t>
        </is>
      </c>
      <c r="B170" s="16" t="inlineStr">
        <is>
          <t>Cardápio</t>
        </is>
      </c>
      <c r="C170" s="2" t="inlineStr">
        <is>
          <t>batata_mediana</t>
        </is>
      </c>
      <c r="D170" s="2" t="inlineStr">
        <is>
          <t>Batata, mediana</t>
        </is>
      </c>
      <c r="E170" s="5">
        <f>COUNTIFS(dados!$C$2:$C$55,$A170,dados!$AG$2:$AG$55,"&lt;&gt;")</f>
        <v/>
      </c>
      <c r="F170" s="7">
        <f>IFERROR(AVERAGEIFS(dados!$AG$2:$AG$55,dados!$C$2:$C$55,$A170),"")</f>
        <v/>
      </c>
      <c r="G170" s="7">
        <f t="array" ref="G170">IFERROR(MEDIAN(IF((dados!$C$2:$C$55=$A170)*(dados!$AG$2:$AG$55&lt;&gt;""),dados!$AG$2:$AG$55)),"")</f>
        <v/>
      </c>
      <c r="H170" s="7">
        <f t="array" ref="H170">IFERROR(STDEV(IF((dados!$C$2:$C$55=$A170)*(dados!$AG$2:$AG$55&lt;&gt;""),dados!$AG$2:$AG$55)),"")</f>
        <v/>
      </c>
      <c r="I170" s="7">
        <f>IF(COUNTIFS(dados!$C$2:$C$55,$A170,dados!$AG$2:$AG$55,"&lt;&gt;")=0,"",_xlfn.MINIFS(dados!$AG$2:$AG$55,dados!$C$2:$C$55,$A170))</f>
        <v/>
      </c>
      <c r="J170" s="7">
        <f>IF(COUNTIFS(dados!$C$2:$C$55,$A170,dados!$AG$2:$AG$55,"&lt;&gt;")=0,"",_xlfn.MAXIFS(dados!$AG$2:$AG$55,dados!$C$2:$C$55,$A170))</f>
        <v/>
      </c>
      <c r="K170" s="7">
        <f>IFERROR(J170-I170,"")</f>
        <v/>
      </c>
    </row>
    <row r="171">
      <c r="A171" s="2" t="inlineStr">
        <is>
          <t>Florianópolis</t>
        </is>
      </c>
      <c r="B171" s="16" t="inlineStr">
        <is>
          <t>Cardápio</t>
        </is>
      </c>
      <c r="C171" s="2" t="inlineStr">
        <is>
          <t>cerveja_mediana</t>
        </is>
      </c>
      <c r="D171" s="2" t="inlineStr">
        <is>
          <t>Cerveja, mediana</t>
        </is>
      </c>
      <c r="E171" s="5">
        <f>COUNTIFS(dados!$C$2:$C$55,$A171,dados!$AH$2:$AH$55,"&lt;&gt;")</f>
        <v/>
      </c>
      <c r="F171" s="7">
        <f>IFERROR(AVERAGEIFS(dados!$AH$2:$AH$55,dados!$C$2:$C$55,$A171),"")</f>
        <v/>
      </c>
      <c r="G171" s="7">
        <f t="array" ref="G171">IFERROR(MEDIAN(IF((dados!$C$2:$C$55=$A171)*(dados!$AH$2:$AH$55&lt;&gt;""),dados!$AH$2:$AH$55)),"")</f>
        <v/>
      </c>
      <c r="H171" s="7">
        <f t="array" ref="H171">IFERROR(STDEV(IF((dados!$C$2:$C$55=$A171)*(dados!$AH$2:$AH$55&lt;&gt;""),dados!$AH$2:$AH$55)),"")</f>
        <v/>
      </c>
      <c r="I171" s="7">
        <f>IF(COUNTIFS(dados!$C$2:$C$55,$A171,dados!$AH$2:$AH$55,"&lt;&gt;")=0,"",_xlfn.MINIFS(dados!$AH$2:$AH$55,dados!$C$2:$C$55,$A171))</f>
        <v/>
      </c>
      <c r="J171" s="7">
        <f>IF(COUNTIFS(dados!$C$2:$C$55,$A171,dados!$AH$2:$AH$55,"&lt;&gt;")=0,"",_xlfn.MAXIFS(dados!$AH$2:$AH$55,dados!$C$2:$C$55,$A171))</f>
        <v/>
      </c>
      <c r="K171" s="7">
        <f>IFERROR(J171-I171,"")</f>
        <v/>
      </c>
    </row>
    <row r="172">
      <c r="A172" s="2" t="inlineStr">
        <is>
          <t>Florianópolis</t>
        </is>
      </c>
      <c r="B172" s="16" t="inlineStr">
        <is>
          <t>Cardápio</t>
        </is>
      </c>
      <c r="C172" s="2" t="inlineStr">
        <is>
          <t>refrigerante_mediana</t>
        </is>
      </c>
      <c r="D172" s="2" t="inlineStr">
        <is>
          <t>Refrigerante, mediana</t>
        </is>
      </c>
      <c r="E172" s="5">
        <f>COUNTIFS(dados!$C$2:$C$55,$A172,dados!$AI$2:$AI$55,"&lt;&gt;")</f>
        <v/>
      </c>
      <c r="F172" s="7">
        <f>IFERROR(AVERAGEIFS(dados!$AI$2:$AI$55,dados!$C$2:$C$55,$A172),"")</f>
        <v/>
      </c>
      <c r="G172" s="7">
        <f t="array" ref="G172">IFERROR(MEDIAN(IF((dados!$C$2:$C$55=$A172)*(dados!$AI$2:$AI$55&lt;&gt;""),dados!$AI$2:$AI$55)),"")</f>
        <v/>
      </c>
      <c r="H172" s="7">
        <f t="array" ref="H172">IFERROR(STDEV(IF((dados!$C$2:$C$55=$A172)*(dados!$AI$2:$AI$55&lt;&gt;""),dados!$AI$2:$AI$55)),"")</f>
        <v/>
      </c>
      <c r="I172" s="7">
        <f>IF(COUNTIFS(dados!$C$2:$C$55,$A172,dados!$AI$2:$AI$55,"&lt;&gt;")=0,"",_xlfn.MINIFS(dados!$AI$2:$AI$55,dados!$C$2:$C$55,$A172))</f>
        <v/>
      </c>
      <c r="J172" s="7">
        <f>IF(COUNTIFS(dados!$C$2:$C$55,$A172,dados!$AI$2:$AI$55,"&lt;&gt;")=0,"",_xlfn.MAXIFS(dados!$AI$2:$AI$55,dados!$C$2:$C$55,$A172))</f>
        <v/>
      </c>
      <c r="K172" s="7">
        <f>IFERROR(J172-I172,"")</f>
        <v/>
      </c>
    </row>
    <row r="173">
      <c r="A173" s="2" t="inlineStr">
        <is>
          <t>Florianópolis</t>
        </is>
      </c>
      <c r="B173" s="16" t="inlineStr">
        <is>
          <t>Cardápio</t>
        </is>
      </c>
      <c r="C173" s="2" t="inlineStr">
        <is>
          <t>drinks_mediana</t>
        </is>
      </c>
      <c r="D173" s="2" t="inlineStr">
        <is>
          <t>Drinks, mediana</t>
        </is>
      </c>
      <c r="E173" s="5">
        <f>COUNTIFS(dados!$C$2:$C$55,$A173,dados!$AJ$2:$AJ$55,"&lt;&gt;")</f>
        <v/>
      </c>
      <c r="F173" s="7">
        <f>IFERROR(AVERAGEIFS(dados!$AJ$2:$AJ$55,dados!$C$2:$C$55,$A173),"")</f>
        <v/>
      </c>
      <c r="G173" s="7">
        <f t="array" ref="G173">IFERROR(MEDIAN(IF((dados!$C$2:$C$55=$A173)*(dados!$AJ$2:$AJ$55&lt;&gt;""),dados!$AJ$2:$AJ$55)),"")</f>
        <v/>
      </c>
      <c r="H173" s="7">
        <f t="array" ref="H173">IFERROR(STDEV(IF((dados!$C$2:$C$55=$A173)*(dados!$AJ$2:$AJ$55&lt;&gt;""),dados!$AJ$2:$AJ$55)),"")</f>
        <v/>
      </c>
      <c r="I173" s="7">
        <f>IF(COUNTIFS(dados!$C$2:$C$55,$A173,dados!$AJ$2:$AJ$55,"&lt;&gt;")=0,"",_xlfn.MINIFS(dados!$AJ$2:$AJ$55,dados!$C$2:$C$55,$A173))</f>
        <v/>
      </c>
      <c r="J173" s="7">
        <f>IF(COUNTIFS(dados!$C$2:$C$55,$A173,dados!$AJ$2:$AJ$55,"&lt;&gt;")=0,"",_xlfn.MAXIFS(dados!$AJ$2:$AJ$55,dados!$C$2:$C$55,$A173))</f>
        <v/>
      </c>
      <c r="K173" s="7">
        <f>IFERROR(J173-I173,"")</f>
        <v/>
      </c>
    </row>
    <row r="174">
      <c r="A174" s="2" t="inlineStr">
        <is>
          <t>Florianópolis</t>
        </is>
      </c>
      <c r="B174" s="17" t="inlineStr">
        <is>
          <t>Acervo</t>
        </is>
      </c>
      <c r="C174" s="2" t="inlineStr">
        <is>
          <t>titulos_acervo</t>
        </is>
      </c>
      <c r="D174" s="2" t="inlineStr">
        <is>
          <t>Títulos no acervo publicado</t>
        </is>
      </c>
      <c r="E174" s="5">
        <f>COUNTIFS(dados!$C$2:$C$55,$A174,dados!$AK$2:$AK$55,"&lt;&gt;")</f>
        <v/>
      </c>
      <c r="F174" s="5">
        <f>IFERROR(AVERAGEIFS(dados!$AK$2:$AK$55,dados!$C$2:$C$55,$A174),"")</f>
        <v/>
      </c>
      <c r="G174" s="5">
        <f t="array" ref="G174">IFERROR(MEDIAN(IF((dados!$C$2:$C$55=$A174)*(dados!$AK$2:$AK$55&lt;&gt;""),dados!$AK$2:$AK$55)),"")</f>
        <v/>
      </c>
      <c r="H174" s="5">
        <f t="array" ref="H174">IFERROR(STDEV(IF((dados!$C$2:$C$55=$A174)*(dados!$AK$2:$AK$55&lt;&gt;""),dados!$AK$2:$AK$55)),"")</f>
        <v/>
      </c>
      <c r="I174" s="5">
        <f>IF(COUNTIFS(dados!$C$2:$C$55,$A174,dados!$AK$2:$AK$55,"&lt;&gt;")=0,"",_xlfn.MINIFS(dados!$AK$2:$AK$55,dados!$C$2:$C$55,$A174))</f>
        <v/>
      </c>
      <c r="J174" s="5">
        <f>IF(COUNTIFS(dados!$C$2:$C$55,$A174,dados!$AK$2:$AK$55,"&lt;&gt;")=0,"",_xlfn.MAXIFS(dados!$AK$2:$AK$55,dados!$C$2:$C$55,$A174))</f>
        <v/>
      </c>
      <c r="K174" s="5">
        <f>IFERROR(J174-I174,"")</f>
        <v/>
      </c>
    </row>
    <row r="175">
      <c r="A175" s="2" t="inlineStr">
        <is>
          <t>Florianópolis</t>
        </is>
      </c>
      <c r="B175" s="18" t="inlineStr">
        <is>
          <t>B2</t>
        </is>
      </c>
      <c r="C175" s="2" t="inlineStr">
        <is>
          <t>avaliacoes_b2</t>
        </is>
      </c>
      <c r="D175" s="2" t="inlineStr">
        <is>
          <t>Avaliações no recorte do B2 (até '3 meses atrás')</t>
        </is>
      </c>
      <c r="E175" s="5">
        <f>COUNTIFS(dados!$C$2:$C$55,$A175,dados!$AL$2:$AL$55,"&lt;&gt;")</f>
        <v/>
      </c>
      <c r="F175" s="5">
        <f>IFERROR(AVERAGEIFS(dados!$AL$2:$AL$55,dados!$C$2:$C$55,$A175),"")</f>
        <v/>
      </c>
      <c r="G175" s="5">
        <f t="array" ref="G175">IFERROR(MEDIAN(IF((dados!$C$2:$C$55=$A175)*(dados!$AL$2:$AL$55&lt;&gt;""),dados!$AL$2:$AL$55)),"")</f>
        <v/>
      </c>
      <c r="H175" s="5">
        <f t="array" ref="H175">IFERROR(STDEV(IF((dados!$C$2:$C$55=$A175)*(dados!$AL$2:$AL$55&lt;&gt;""),dados!$AL$2:$AL$55)),"")</f>
        <v/>
      </c>
      <c r="I175" s="5">
        <f>IF(COUNTIFS(dados!$C$2:$C$55,$A175,dados!$AL$2:$AL$55,"&lt;&gt;")=0,"",_xlfn.MINIFS(dados!$AL$2:$AL$55,dados!$C$2:$C$55,$A175))</f>
        <v/>
      </c>
      <c r="J175" s="5">
        <f>IF(COUNTIFS(dados!$C$2:$C$55,$A175,dados!$AL$2:$AL$55,"&lt;&gt;")=0,"",_xlfn.MAXIFS(dados!$AL$2:$AL$55,dados!$C$2:$C$55,$A175))</f>
        <v/>
      </c>
      <c r="K175" s="5">
        <f>IFERROR(J175-I175,"")</f>
        <v/>
      </c>
    </row>
    <row r="176">
      <c r="A176" s="2" t="inlineStr">
        <is>
          <t>Florianópolis</t>
        </is>
      </c>
      <c r="B176" s="18" t="inlineStr">
        <is>
          <t>B2</t>
        </is>
      </c>
      <c r="C176" s="2" t="inlineStr">
        <is>
          <t>avaliacoes_b2_com_texto</t>
        </is>
      </c>
      <c r="D176" s="2" t="inlineStr">
        <is>
          <t>Dessas, com texto</t>
        </is>
      </c>
      <c r="E176" s="5">
        <f>COUNTIFS(dados!$C$2:$C$55,$A176,dados!$AM$2:$AM$55,"&lt;&gt;")</f>
        <v/>
      </c>
      <c r="F176" s="5">
        <f>IFERROR(AVERAGEIFS(dados!$AM$2:$AM$55,dados!$C$2:$C$55,$A176),"")</f>
        <v/>
      </c>
      <c r="G176" s="5">
        <f t="array" ref="G176">IFERROR(MEDIAN(IF((dados!$C$2:$C$55=$A176)*(dados!$AM$2:$AM$55&lt;&gt;""),dados!$AM$2:$AM$55)),"")</f>
        <v/>
      </c>
      <c r="H176" s="5">
        <f t="array" ref="H176">IFERROR(STDEV(IF((dados!$C$2:$C$55=$A176)*(dados!$AM$2:$AM$55&lt;&gt;""),dados!$AM$2:$AM$55)),"")</f>
        <v/>
      </c>
      <c r="I176" s="5">
        <f>IF(COUNTIFS(dados!$C$2:$C$55,$A176,dados!$AM$2:$AM$55,"&lt;&gt;")=0,"",_xlfn.MINIFS(dados!$AM$2:$AM$55,dados!$C$2:$C$55,$A176))</f>
        <v/>
      </c>
      <c r="J176" s="5">
        <f>IF(COUNTIFS(dados!$C$2:$C$55,$A176,dados!$AM$2:$AM$55,"&lt;&gt;")=0,"",_xlfn.MAXIFS(dados!$AM$2:$AM$55,dados!$C$2:$C$55,$A176))</f>
        <v/>
      </c>
      <c r="K176" s="5">
        <f>IFERROR(J176-I176,"")</f>
        <v/>
      </c>
    </row>
    <row r="177">
      <c r="A177" s="2" t="inlineStr">
        <is>
          <t>Fortaleza</t>
        </is>
      </c>
      <c r="B177" s="11" t="inlineStr">
        <is>
          <t>Google Maps</t>
        </is>
      </c>
      <c r="C177" s="2" t="inlineStr">
        <is>
          <t>avaliacao_media</t>
        </is>
      </c>
      <c r="D177" s="2" t="inlineStr">
        <is>
          <t>Nota média no Google</t>
        </is>
      </c>
      <c r="E177" s="5">
        <f>COUNTIFS(dados!$C$2:$C$55,$A177,dados!$E$2:$E$55,"&lt;&gt;")</f>
        <v/>
      </c>
      <c r="F177" s="4">
        <f>IFERROR(AVERAGEIFS(dados!$E$2:$E$55,dados!$C$2:$C$55,$A177),"")</f>
        <v/>
      </c>
      <c r="G177" s="4">
        <f t="array" ref="G177">IFERROR(MEDIAN(IF((dados!$C$2:$C$55=$A177)*(dados!$E$2:$E$55&lt;&gt;""),dados!$E$2:$E$55)),"")</f>
        <v/>
      </c>
      <c r="H177" s="4">
        <f t="array" ref="H177">IFERROR(STDEV(IF((dados!$C$2:$C$55=$A177)*(dados!$E$2:$E$55&lt;&gt;""),dados!$E$2:$E$55)),"")</f>
        <v/>
      </c>
      <c r="I177" s="4">
        <f>IF(COUNTIFS(dados!$C$2:$C$55,$A177,dados!$E$2:$E$55,"&lt;&gt;")=0,"",_xlfn.MINIFS(dados!$E$2:$E$55,dados!$C$2:$C$55,$A177))</f>
        <v/>
      </c>
      <c r="J177" s="4">
        <f>IF(COUNTIFS(dados!$C$2:$C$55,$A177,dados!$E$2:$E$55,"&lt;&gt;")=0,"",_xlfn.MAXIFS(dados!$E$2:$E$55,dados!$C$2:$C$55,$A177))</f>
        <v/>
      </c>
      <c r="K177" s="4">
        <f>IFERROR(J177-I177,"")</f>
        <v/>
      </c>
    </row>
    <row r="178">
      <c r="A178" s="2" t="inlineStr">
        <is>
          <t>Fortaleza</t>
        </is>
      </c>
      <c r="B178" s="11" t="inlineStr">
        <is>
          <t>Google Maps</t>
        </is>
      </c>
      <c r="C178" s="2" t="inlineStr">
        <is>
          <t>volume_avaliacoes</t>
        </is>
      </c>
      <c r="D178" s="2" t="inlineStr">
        <is>
          <t>Nº de avaliações no Google</t>
        </is>
      </c>
      <c r="E178" s="5">
        <f>COUNTIFS(dados!$C$2:$C$55,$A178,dados!$F$2:$F$55,"&lt;&gt;")</f>
        <v/>
      </c>
      <c r="F178" s="5">
        <f>IFERROR(AVERAGEIFS(dados!$F$2:$F$55,dados!$C$2:$C$55,$A178),"")</f>
        <v/>
      </c>
      <c r="G178" s="5">
        <f t="array" ref="G178">IFERROR(MEDIAN(IF((dados!$C$2:$C$55=$A178)*(dados!$F$2:$F$55&lt;&gt;""),dados!$F$2:$F$55)),"")</f>
        <v/>
      </c>
      <c r="H178" s="5">
        <f t="array" ref="H178">IFERROR(STDEV(IF((dados!$C$2:$C$55=$A178)*(dados!$F$2:$F$55&lt;&gt;""),dados!$F$2:$F$55)),"")</f>
        <v/>
      </c>
      <c r="I178" s="5">
        <f>IF(COUNTIFS(dados!$C$2:$C$55,$A178,dados!$F$2:$F$55,"&lt;&gt;")=0,"",_xlfn.MINIFS(dados!$F$2:$F$55,dados!$C$2:$C$55,$A178))</f>
        <v/>
      </c>
      <c r="J178" s="5">
        <f>IF(COUNTIFS(dados!$C$2:$C$55,$A178,dados!$F$2:$F$55,"&lt;&gt;")=0,"",_xlfn.MAXIFS(dados!$F$2:$F$55,dados!$C$2:$C$55,$A178))</f>
        <v/>
      </c>
      <c r="K178" s="5">
        <f>IFERROR(J178-I178,"")</f>
        <v/>
      </c>
    </row>
    <row r="179">
      <c r="A179" s="2" t="inlineStr">
        <is>
          <t>Fortaleza</t>
        </is>
      </c>
      <c r="B179" s="12" t="inlineStr">
        <is>
          <t>Horários</t>
        </is>
      </c>
      <c r="C179" s="2" t="inlineStr">
        <is>
          <t>dias_abertos</t>
        </is>
      </c>
      <c r="D179" s="2" t="inlineStr">
        <is>
          <t>Dias abertos por semana</t>
        </is>
      </c>
      <c r="E179" s="5">
        <f>COUNTIFS(dados!$C$2:$C$55,$A179,dados!$G$2:$G$55,"&lt;&gt;")</f>
        <v/>
      </c>
      <c r="F179" s="6">
        <f>IFERROR(AVERAGEIFS(dados!$G$2:$G$55,dados!$C$2:$C$55,$A179),"")</f>
        <v/>
      </c>
      <c r="G179" s="6">
        <f t="array" ref="G179">IFERROR(MEDIAN(IF((dados!$C$2:$C$55=$A179)*(dados!$G$2:$G$55&lt;&gt;""),dados!$G$2:$G$55)),"")</f>
        <v/>
      </c>
      <c r="H179" s="6">
        <f t="array" ref="H179">IFERROR(STDEV(IF((dados!$C$2:$C$55=$A179)*(dados!$G$2:$G$55&lt;&gt;""),dados!$G$2:$G$55)),"")</f>
        <v/>
      </c>
      <c r="I179" s="6">
        <f>IF(COUNTIFS(dados!$C$2:$C$55,$A179,dados!$G$2:$G$55,"&lt;&gt;")=0,"",_xlfn.MINIFS(dados!$G$2:$G$55,dados!$C$2:$C$55,$A179))</f>
        <v/>
      </c>
      <c r="J179" s="6">
        <f>IF(COUNTIFS(dados!$C$2:$C$55,$A179,dados!$G$2:$G$55,"&lt;&gt;")=0,"",_xlfn.MAXIFS(dados!$G$2:$G$55,dados!$C$2:$C$55,$A179))</f>
        <v/>
      </c>
      <c r="K179" s="6">
        <f>IFERROR(J179-I179,"")</f>
        <v/>
      </c>
    </row>
    <row r="180">
      <c r="A180" s="2" t="inlineStr">
        <is>
          <t>Fortaleza</t>
        </is>
      </c>
      <c r="B180" s="12" t="inlineStr">
        <is>
          <t>Horários</t>
        </is>
      </c>
      <c r="C180" s="2" t="inlineStr">
        <is>
          <t>horas_semana</t>
        </is>
      </c>
      <c r="D180" s="2" t="inlineStr">
        <is>
          <t>Horas abertas por semana</t>
        </is>
      </c>
      <c r="E180" s="5">
        <f>COUNTIFS(dados!$C$2:$C$55,$A180,dados!$H$2:$H$55,"&lt;&gt;")</f>
        <v/>
      </c>
      <c r="F180" s="6">
        <f>IFERROR(AVERAGEIFS(dados!$H$2:$H$55,dados!$C$2:$C$55,$A180),"")</f>
        <v/>
      </c>
      <c r="G180" s="6">
        <f t="array" ref="G180">IFERROR(MEDIAN(IF((dados!$C$2:$C$55=$A180)*(dados!$H$2:$H$55&lt;&gt;""),dados!$H$2:$H$55)),"")</f>
        <v/>
      </c>
      <c r="H180" s="6">
        <f t="array" ref="H180">IFERROR(STDEV(IF((dados!$C$2:$C$55=$A180)*(dados!$H$2:$H$55&lt;&gt;""),dados!$H$2:$H$55)),"")</f>
        <v/>
      </c>
      <c r="I180" s="6">
        <f>IF(COUNTIFS(dados!$C$2:$C$55,$A180,dados!$H$2:$H$55,"&lt;&gt;")=0,"",_xlfn.MINIFS(dados!$H$2:$H$55,dados!$C$2:$C$55,$A180))</f>
        <v/>
      </c>
      <c r="J180" s="6">
        <f>IF(COUNTIFS(dados!$C$2:$C$55,$A180,dados!$H$2:$H$55,"&lt;&gt;")=0,"",_xlfn.MAXIFS(dados!$H$2:$H$55,dados!$C$2:$C$55,$A180))</f>
        <v/>
      </c>
      <c r="K180" s="6">
        <f>IFERROR(J180-I180,"")</f>
        <v/>
      </c>
    </row>
    <row r="181">
      <c r="A181" s="2" t="inlineStr">
        <is>
          <t>Fortaleza</t>
        </is>
      </c>
      <c r="B181" s="12" t="inlineStr">
        <is>
          <t>Horários</t>
        </is>
      </c>
      <c r="C181" s="2" t="inlineStr">
        <is>
          <t>abre_cedo_h</t>
        </is>
      </c>
      <c r="D181" s="2" t="inlineStr">
        <is>
          <t>Abertura mais cedo da semana</t>
        </is>
      </c>
      <c r="E181" s="5">
        <f>COUNTIFS(dados!$C$2:$C$55,$A181,dados!$I$2:$I$55,"&lt;&gt;")</f>
        <v/>
      </c>
      <c r="F181" s="6">
        <f>IFERROR(AVERAGEIFS(dados!$I$2:$I$55,dados!$C$2:$C$55,$A181),"")</f>
        <v/>
      </c>
      <c r="G181" s="6">
        <f t="array" ref="G181">IFERROR(MEDIAN(IF((dados!$C$2:$C$55=$A181)*(dados!$I$2:$I$55&lt;&gt;""),dados!$I$2:$I$55)),"")</f>
        <v/>
      </c>
      <c r="H181" s="6">
        <f t="array" ref="H181">IFERROR(STDEV(IF((dados!$C$2:$C$55=$A181)*(dados!$I$2:$I$55&lt;&gt;""),dados!$I$2:$I$55)),"")</f>
        <v/>
      </c>
      <c r="I181" s="6">
        <f>IF(COUNTIFS(dados!$C$2:$C$55,$A181,dados!$I$2:$I$55,"&lt;&gt;")=0,"",_xlfn.MINIFS(dados!$I$2:$I$55,dados!$C$2:$C$55,$A181))</f>
        <v/>
      </c>
      <c r="J181" s="6">
        <f>IF(COUNTIFS(dados!$C$2:$C$55,$A181,dados!$I$2:$I$55,"&lt;&gt;")=0,"",_xlfn.MAXIFS(dados!$I$2:$I$55,dados!$C$2:$C$55,$A181))</f>
        <v/>
      </c>
      <c r="K181" s="6">
        <f>IFERROR(J181-I181,"")</f>
        <v/>
      </c>
    </row>
    <row r="182">
      <c r="A182" s="2" t="inlineStr">
        <is>
          <t>Fortaleza</t>
        </is>
      </c>
      <c r="B182" s="12" t="inlineStr">
        <is>
          <t>Horários</t>
        </is>
      </c>
      <c r="C182" s="2" t="inlineStr">
        <is>
          <t>fecha_tarde_h</t>
        </is>
      </c>
      <c r="D182" s="2" t="inlineStr">
        <is>
          <t>Fechamento mais tarde da semana (25 = 1h da manhã)</t>
        </is>
      </c>
      <c r="E182" s="5">
        <f>COUNTIFS(dados!$C$2:$C$55,$A182,dados!$J$2:$J$55,"&lt;&gt;")</f>
        <v/>
      </c>
      <c r="F182" s="6">
        <f>IFERROR(AVERAGEIFS(dados!$J$2:$J$55,dados!$C$2:$C$55,$A182),"")</f>
        <v/>
      </c>
      <c r="G182" s="6">
        <f t="array" ref="G182">IFERROR(MEDIAN(IF((dados!$C$2:$C$55=$A182)*(dados!$J$2:$J$55&lt;&gt;""),dados!$J$2:$J$55)),"")</f>
        <v/>
      </c>
      <c r="H182" s="6">
        <f t="array" ref="H182">IFERROR(STDEV(IF((dados!$C$2:$C$55=$A182)*(dados!$J$2:$J$55&lt;&gt;""),dados!$J$2:$J$55)),"")</f>
        <v/>
      </c>
      <c r="I182" s="6">
        <f>IF(COUNTIFS(dados!$C$2:$C$55,$A182,dados!$J$2:$J$55,"&lt;&gt;")=0,"",_xlfn.MINIFS(dados!$J$2:$J$55,dados!$C$2:$C$55,$A182))</f>
        <v/>
      </c>
      <c r="J182" s="6">
        <f>IF(COUNTIFS(dados!$C$2:$C$55,$A182,dados!$J$2:$J$55,"&lt;&gt;")=0,"",_xlfn.MAXIFS(dados!$J$2:$J$55,dados!$C$2:$C$55,$A182))</f>
        <v/>
      </c>
      <c r="K182" s="6">
        <f>IFERROR(J182-I182,"")</f>
        <v/>
      </c>
    </row>
    <row r="183">
      <c r="A183" s="2" t="inlineStr">
        <is>
          <t>Fortaleza</t>
        </is>
      </c>
      <c r="B183" s="13" t="inlineStr">
        <is>
          <t>Entorno</t>
        </is>
      </c>
      <c r="C183" s="2" t="inlineStr">
        <is>
          <t>metro_500m</t>
        </is>
      </c>
      <c r="D183" s="2" t="inlineStr">
        <is>
          <t>Estações de metrô até 500 m</t>
        </is>
      </c>
      <c r="E183" s="5">
        <f>COUNTIFS(dados!$C$2:$C$55,$A183,dados!$K$2:$K$55,"&lt;&gt;")</f>
        <v/>
      </c>
      <c r="F183" s="4">
        <f>IFERROR(AVERAGEIFS(dados!$K$2:$K$55,dados!$C$2:$C$55,$A183),"")</f>
        <v/>
      </c>
      <c r="G183" s="4">
        <f t="array" ref="G183">IFERROR(MEDIAN(IF((dados!$C$2:$C$55=$A183)*(dados!$K$2:$K$55&lt;&gt;""),dados!$K$2:$K$55)),"")</f>
        <v/>
      </c>
      <c r="H183" s="4">
        <f t="array" ref="H183">IFERROR(STDEV(IF((dados!$C$2:$C$55=$A183)*(dados!$K$2:$K$55&lt;&gt;""),dados!$K$2:$K$55)),"")</f>
        <v/>
      </c>
      <c r="I183" s="4">
        <f>IF(COUNTIFS(dados!$C$2:$C$55,$A183,dados!$K$2:$K$55,"&lt;&gt;")=0,"",_xlfn.MINIFS(dados!$K$2:$K$55,dados!$C$2:$C$55,$A183))</f>
        <v/>
      </c>
      <c r="J183" s="4">
        <f>IF(COUNTIFS(dados!$C$2:$C$55,$A183,dados!$K$2:$K$55,"&lt;&gt;")=0,"",_xlfn.MAXIFS(dados!$K$2:$K$55,dados!$C$2:$C$55,$A183))</f>
        <v/>
      </c>
      <c r="K183" s="4">
        <f>IFERROR(J183-I183,"")</f>
        <v/>
      </c>
    </row>
    <row r="184">
      <c r="A184" s="2" t="inlineStr">
        <is>
          <t>Fortaleza</t>
        </is>
      </c>
      <c r="B184" s="13" t="inlineStr">
        <is>
          <t>Entorno</t>
        </is>
      </c>
      <c r="C184" s="2" t="inlineStr">
        <is>
          <t>metro_1000m</t>
        </is>
      </c>
      <c r="D184" s="2" t="inlineStr">
        <is>
          <t>Estações de metrô até 1000 m</t>
        </is>
      </c>
      <c r="E184" s="5">
        <f>COUNTIFS(dados!$C$2:$C$55,$A184,dados!$L$2:$L$55,"&lt;&gt;")</f>
        <v/>
      </c>
      <c r="F184" s="4">
        <f>IFERROR(AVERAGEIFS(dados!$L$2:$L$55,dados!$C$2:$C$55,$A184),"")</f>
        <v/>
      </c>
      <c r="G184" s="4">
        <f t="array" ref="G184">IFERROR(MEDIAN(IF((dados!$C$2:$C$55=$A184)*(dados!$L$2:$L$55&lt;&gt;""),dados!$L$2:$L$55)),"")</f>
        <v/>
      </c>
      <c r="H184" s="4">
        <f t="array" ref="H184">IFERROR(STDEV(IF((dados!$C$2:$C$55=$A184)*(dados!$L$2:$L$55&lt;&gt;""),dados!$L$2:$L$55)),"")</f>
        <v/>
      </c>
      <c r="I184" s="4">
        <f>IF(COUNTIFS(dados!$C$2:$C$55,$A184,dados!$L$2:$L$55,"&lt;&gt;")=0,"",_xlfn.MINIFS(dados!$L$2:$L$55,dados!$C$2:$C$55,$A184))</f>
        <v/>
      </c>
      <c r="J184" s="4">
        <f>IF(COUNTIFS(dados!$C$2:$C$55,$A184,dados!$L$2:$L$55,"&lt;&gt;")=0,"",_xlfn.MAXIFS(dados!$L$2:$L$55,dados!$C$2:$C$55,$A184))</f>
        <v/>
      </c>
      <c r="K184" s="4">
        <f>IFERROR(J184-I184,"")</f>
        <v/>
      </c>
    </row>
    <row r="185">
      <c r="A185" s="2" t="inlineStr">
        <is>
          <t>Fortaleza</t>
        </is>
      </c>
      <c r="B185" s="13" t="inlineStr">
        <is>
          <t>Entorno</t>
        </is>
      </c>
      <c r="C185" s="2" t="inlineStr">
        <is>
          <t>dist_metro_m</t>
        </is>
      </c>
      <c r="D185" s="2" t="inlineStr">
        <is>
          <t>Distância à estação de metrô mais próxima</t>
        </is>
      </c>
      <c r="E185" s="5">
        <f>COUNTIFS(dados!$C$2:$C$55,$A185,dados!$M$2:$M$55,"&lt;&gt;")</f>
        <v/>
      </c>
      <c r="F185" s="5">
        <f>IFERROR(AVERAGEIFS(dados!$M$2:$M$55,dados!$C$2:$C$55,$A185),"")</f>
        <v/>
      </c>
      <c r="G185" s="5">
        <f t="array" ref="G185">IFERROR(MEDIAN(IF((dados!$C$2:$C$55=$A185)*(dados!$M$2:$M$55&lt;&gt;""),dados!$M$2:$M$55)),"")</f>
        <v/>
      </c>
      <c r="H185" s="5">
        <f t="array" ref="H185">IFERROR(STDEV(IF((dados!$C$2:$C$55=$A185)*(dados!$M$2:$M$55&lt;&gt;""),dados!$M$2:$M$55)),"")</f>
        <v/>
      </c>
      <c r="I185" s="5">
        <f>IF(COUNTIFS(dados!$C$2:$C$55,$A185,dados!$M$2:$M$55,"&lt;&gt;")=0,"",_xlfn.MINIFS(dados!$M$2:$M$55,dados!$C$2:$C$55,$A185))</f>
        <v/>
      </c>
      <c r="J185" s="5">
        <f>IF(COUNTIFS(dados!$C$2:$C$55,$A185,dados!$M$2:$M$55,"&lt;&gt;")=0,"",_xlfn.MAXIFS(dados!$M$2:$M$55,dados!$C$2:$C$55,$A185))</f>
        <v/>
      </c>
      <c r="K185" s="5">
        <f>IFERROR(J185-I185,"")</f>
        <v/>
      </c>
    </row>
    <row r="186">
      <c r="A186" s="2" t="inlineStr">
        <is>
          <t>Fortaleza</t>
        </is>
      </c>
      <c r="B186" s="13" t="inlineStr">
        <is>
          <t>Entorno</t>
        </is>
      </c>
      <c r="C186" s="2" t="inlineStr">
        <is>
          <t>shopping_porte_500m</t>
        </is>
      </c>
      <c r="D186" s="2" t="inlineStr">
        <is>
          <t>Shoppings de porte até 500 m (onde o porte foi buscado)</t>
        </is>
      </c>
      <c r="E186" s="5">
        <f>COUNTIFS(dados!$C$2:$C$55,$A186,dados!$N$2:$N$55,"&lt;&gt;")</f>
        <v/>
      </c>
      <c r="F186" s="4">
        <f>IFERROR(AVERAGEIFS(dados!$N$2:$N$55,dados!$C$2:$C$55,$A186),"")</f>
        <v/>
      </c>
      <c r="G186" s="4">
        <f t="array" ref="G186">IFERROR(MEDIAN(IF((dados!$C$2:$C$55=$A186)*(dados!$N$2:$N$55&lt;&gt;""),dados!$N$2:$N$55)),"")</f>
        <v/>
      </c>
      <c r="H186" s="4">
        <f t="array" ref="H186">IFERROR(STDEV(IF((dados!$C$2:$C$55=$A186)*(dados!$N$2:$N$55&lt;&gt;""),dados!$N$2:$N$55)),"")</f>
        <v/>
      </c>
      <c r="I186" s="4">
        <f>IF(COUNTIFS(dados!$C$2:$C$55,$A186,dados!$N$2:$N$55,"&lt;&gt;")=0,"",_xlfn.MINIFS(dados!$N$2:$N$55,dados!$C$2:$C$55,$A186))</f>
        <v/>
      </c>
      <c r="J186" s="4">
        <f>IF(COUNTIFS(dados!$C$2:$C$55,$A186,dados!$N$2:$N$55,"&lt;&gt;")=0,"",_xlfn.MAXIFS(dados!$N$2:$N$55,dados!$C$2:$C$55,$A186))</f>
        <v/>
      </c>
      <c r="K186" s="4">
        <f>IFERROR(J186-I186,"")</f>
        <v/>
      </c>
    </row>
    <row r="187">
      <c r="A187" s="2" t="inlineStr">
        <is>
          <t>Fortaleza</t>
        </is>
      </c>
      <c r="B187" s="13" t="inlineStr">
        <is>
          <t>Entorno</t>
        </is>
      </c>
      <c r="C187" s="2" t="inlineStr">
        <is>
          <t>shopping_porte_1000m</t>
        </is>
      </c>
      <c r="D187" s="2" t="inlineStr">
        <is>
          <t>Shoppings de porte até 1000 m (onde o porte foi buscado)</t>
        </is>
      </c>
      <c r="E187" s="5">
        <f>COUNTIFS(dados!$C$2:$C$55,$A187,dados!$O$2:$O$55,"&lt;&gt;")</f>
        <v/>
      </c>
      <c r="F187" s="4">
        <f>IFERROR(AVERAGEIFS(dados!$O$2:$O$55,dados!$C$2:$C$55,$A187),"")</f>
        <v/>
      </c>
      <c r="G187" s="4">
        <f t="array" ref="G187">IFERROR(MEDIAN(IF((dados!$C$2:$C$55=$A187)*(dados!$O$2:$O$55&lt;&gt;""),dados!$O$2:$O$55)),"")</f>
        <v/>
      </c>
      <c r="H187" s="4">
        <f t="array" ref="H187">IFERROR(STDEV(IF((dados!$C$2:$C$55=$A187)*(dados!$O$2:$O$55&lt;&gt;""),dados!$O$2:$O$55)),"")</f>
        <v/>
      </c>
      <c r="I187" s="4">
        <f>IF(COUNTIFS(dados!$C$2:$C$55,$A187,dados!$O$2:$O$55,"&lt;&gt;")=0,"",_xlfn.MINIFS(dados!$O$2:$O$55,dados!$C$2:$C$55,$A187))</f>
        <v/>
      </c>
      <c r="J187" s="4">
        <f>IF(COUNTIFS(dados!$C$2:$C$55,$A187,dados!$O$2:$O$55,"&lt;&gt;")=0,"",_xlfn.MAXIFS(dados!$O$2:$O$55,dados!$C$2:$C$55,$A187))</f>
        <v/>
      </c>
      <c r="K187" s="4">
        <f>IFERROR(J187-I187,"")</f>
        <v/>
      </c>
    </row>
    <row r="188">
      <c r="A188" s="2" t="inlineStr">
        <is>
          <t>Fortaleza</t>
        </is>
      </c>
      <c r="B188" s="13" t="inlineStr">
        <is>
          <t>Entorno</t>
        </is>
      </c>
      <c r="C188" s="2" t="inlineStr">
        <is>
          <t>dist_shopping_m</t>
        </is>
      </c>
      <c r="D188" s="2" t="inlineStr">
        <is>
          <t>Distância ao shopping mais próximo (qualquer porte)</t>
        </is>
      </c>
      <c r="E188" s="5">
        <f>COUNTIFS(dados!$C$2:$C$55,$A188,dados!$P$2:$P$55,"&lt;&gt;")</f>
        <v/>
      </c>
      <c r="F188" s="5">
        <f>IFERROR(AVERAGEIFS(dados!$P$2:$P$55,dados!$C$2:$C$55,$A188),"")</f>
        <v/>
      </c>
      <c r="G188" s="5">
        <f t="array" ref="G188">IFERROR(MEDIAN(IF((dados!$C$2:$C$55=$A188)*(dados!$P$2:$P$55&lt;&gt;""),dados!$P$2:$P$55)),"")</f>
        <v/>
      </c>
      <c r="H188" s="5">
        <f t="array" ref="H188">IFERROR(STDEV(IF((dados!$C$2:$C$55=$A188)*(dados!$P$2:$P$55&lt;&gt;""),dados!$P$2:$P$55)),"")</f>
        <v/>
      </c>
      <c r="I188" s="5">
        <f>IF(COUNTIFS(dados!$C$2:$C$55,$A188,dados!$P$2:$P$55,"&lt;&gt;")=0,"",_xlfn.MINIFS(dados!$P$2:$P$55,dados!$C$2:$C$55,$A188))</f>
        <v/>
      </c>
      <c r="J188" s="5">
        <f>IF(COUNTIFS(dados!$C$2:$C$55,$A188,dados!$P$2:$P$55,"&lt;&gt;")=0,"",_xlfn.MAXIFS(dados!$P$2:$P$55,dados!$C$2:$C$55,$A188))</f>
        <v/>
      </c>
      <c r="K188" s="5">
        <f>IFERROR(J188-I188,"")</f>
        <v/>
      </c>
    </row>
    <row r="189">
      <c r="A189" s="2" t="inlineStr">
        <is>
          <t>Fortaleza</t>
        </is>
      </c>
      <c r="B189" s="14" t="inlineStr">
        <is>
          <t>Instagram</t>
        </is>
      </c>
      <c r="C189" s="2" t="inlineStr">
        <is>
          <t>seguidores</t>
        </is>
      </c>
      <c r="D189" s="2" t="inlineStr">
        <is>
          <t>Seguidores</t>
        </is>
      </c>
      <c r="E189" s="5">
        <f>COUNTIFS(dados!$C$2:$C$55,$A189,dados!$Q$2:$Q$55,"&lt;&gt;")</f>
        <v/>
      </c>
      <c r="F189" s="5">
        <f>IFERROR(AVERAGEIFS(dados!$Q$2:$Q$55,dados!$C$2:$C$55,$A189),"")</f>
        <v/>
      </c>
      <c r="G189" s="5">
        <f t="array" ref="G189">IFERROR(MEDIAN(IF((dados!$C$2:$C$55=$A189)*(dados!$Q$2:$Q$55&lt;&gt;""),dados!$Q$2:$Q$55)),"")</f>
        <v/>
      </c>
      <c r="H189" s="5">
        <f t="array" ref="H189">IFERROR(STDEV(IF((dados!$C$2:$C$55=$A189)*(dados!$Q$2:$Q$55&lt;&gt;""),dados!$Q$2:$Q$55)),"")</f>
        <v/>
      </c>
      <c r="I189" s="5">
        <f>IF(COUNTIFS(dados!$C$2:$C$55,$A189,dados!$Q$2:$Q$55,"&lt;&gt;")=0,"",_xlfn.MINIFS(dados!$Q$2:$Q$55,dados!$C$2:$C$55,$A189))</f>
        <v/>
      </c>
      <c r="J189" s="5">
        <f>IF(COUNTIFS(dados!$C$2:$C$55,$A189,dados!$Q$2:$Q$55,"&lt;&gt;")=0,"",_xlfn.MAXIFS(dados!$Q$2:$Q$55,dados!$C$2:$C$55,$A189))</f>
        <v/>
      </c>
      <c r="K189" s="5">
        <f>IFERROR(J189-I189,"")</f>
        <v/>
      </c>
    </row>
    <row r="190">
      <c r="A190" s="2" t="inlineStr">
        <is>
          <t>Fortaleza</t>
        </is>
      </c>
      <c r="B190" s="14" t="inlineStr">
        <is>
          <t>Instagram</t>
        </is>
      </c>
      <c r="C190" s="2" t="inlineStr">
        <is>
          <t>n_posts_total</t>
        </is>
      </c>
      <c r="D190" s="2" t="inlineStr">
        <is>
          <t>Posts desde a criação do perfil</t>
        </is>
      </c>
      <c r="E190" s="5">
        <f>COUNTIFS(dados!$C$2:$C$55,$A190,dados!$R$2:$R$55,"&lt;&gt;")</f>
        <v/>
      </c>
      <c r="F190" s="5">
        <f>IFERROR(AVERAGEIFS(dados!$R$2:$R$55,dados!$C$2:$C$55,$A190),"")</f>
        <v/>
      </c>
      <c r="G190" s="5">
        <f t="array" ref="G190">IFERROR(MEDIAN(IF((dados!$C$2:$C$55=$A190)*(dados!$R$2:$R$55&lt;&gt;""),dados!$R$2:$R$55)),"")</f>
        <v/>
      </c>
      <c r="H190" s="5">
        <f t="array" ref="H190">IFERROR(STDEV(IF((dados!$C$2:$C$55=$A190)*(dados!$R$2:$R$55&lt;&gt;""),dados!$R$2:$R$55)),"")</f>
        <v/>
      </c>
      <c r="I190" s="5">
        <f>IF(COUNTIFS(dados!$C$2:$C$55,$A190,dados!$R$2:$R$55,"&lt;&gt;")=0,"",_xlfn.MINIFS(dados!$R$2:$R$55,dados!$C$2:$C$55,$A190))</f>
        <v/>
      </c>
      <c r="J190" s="5">
        <f>IF(COUNTIFS(dados!$C$2:$C$55,$A190,dados!$R$2:$R$55,"&lt;&gt;")=0,"",_xlfn.MAXIFS(dados!$R$2:$R$55,dados!$C$2:$C$55,$A190))</f>
        <v/>
      </c>
      <c r="K190" s="5">
        <f>IFERROR(J190-I190,"")</f>
        <v/>
      </c>
    </row>
    <row r="191">
      <c r="A191" s="2" t="inlineStr">
        <is>
          <t>Fortaleza</t>
        </is>
      </c>
      <c r="B191" s="14" t="inlineStr">
        <is>
          <t>Instagram</t>
        </is>
      </c>
      <c r="C191" s="2" t="inlineStr">
        <is>
          <t>idade_perfil_anos</t>
        </is>
      </c>
      <c r="D191" s="2" t="inlineStr">
        <is>
          <t>Idade do perfil (desde o primeiro post até 15/10/2026)</t>
        </is>
      </c>
      <c r="E191" s="5">
        <f>COUNTIFS(dados!$C$2:$C$55,$A191,dados!$S$2:$S$55,"&lt;&gt;")</f>
        <v/>
      </c>
      <c r="F191" s="6">
        <f>IFERROR(AVERAGEIFS(dados!$S$2:$S$55,dados!$C$2:$C$55,$A191),"")</f>
        <v/>
      </c>
      <c r="G191" s="6">
        <f t="array" ref="G191">IFERROR(MEDIAN(IF((dados!$C$2:$C$55=$A191)*(dados!$S$2:$S$55&lt;&gt;""),dados!$S$2:$S$55)),"")</f>
        <v/>
      </c>
      <c r="H191" s="6">
        <f t="array" ref="H191">IFERROR(STDEV(IF((dados!$C$2:$C$55=$A191)*(dados!$S$2:$S$55&lt;&gt;""),dados!$S$2:$S$55)),"")</f>
        <v/>
      </c>
      <c r="I191" s="6">
        <f>IF(COUNTIFS(dados!$C$2:$C$55,$A191,dados!$S$2:$S$55,"&lt;&gt;")=0,"",_xlfn.MINIFS(dados!$S$2:$S$55,dados!$C$2:$C$55,$A191))</f>
        <v/>
      </c>
      <c r="J191" s="6">
        <f>IF(COUNTIFS(dados!$C$2:$C$55,$A191,dados!$S$2:$S$55,"&lt;&gt;")=0,"",_xlfn.MAXIFS(dados!$S$2:$S$55,dados!$C$2:$C$55,$A191))</f>
        <v/>
      </c>
      <c r="K191" s="6">
        <f>IFERROR(J191-I191,"")</f>
        <v/>
      </c>
    </row>
    <row r="192">
      <c r="A192" s="2" t="inlineStr">
        <is>
          <t>Fortaleza</t>
        </is>
      </c>
      <c r="B192" s="14" t="inlineStr">
        <is>
          <t>Instagram</t>
        </is>
      </c>
      <c r="C192" s="2" t="inlineStr">
        <is>
          <t>n_posts_periodo</t>
        </is>
      </c>
      <c r="D192" s="2" t="inlineStr">
        <is>
          <t>Posts de 01/09 a 01/10/2026</t>
        </is>
      </c>
      <c r="E192" s="5">
        <f>COUNTIFS(dados!$C$2:$C$55,$A192,dados!$T$2:$T$55,"&lt;&gt;")</f>
        <v/>
      </c>
      <c r="F192" s="6">
        <f>IFERROR(AVERAGEIFS(dados!$T$2:$T$55,dados!$C$2:$C$55,$A192),"")</f>
        <v/>
      </c>
      <c r="G192" s="6">
        <f t="array" ref="G192">IFERROR(MEDIAN(IF((dados!$C$2:$C$55=$A192)*(dados!$T$2:$T$55&lt;&gt;""),dados!$T$2:$T$55)),"")</f>
        <v/>
      </c>
      <c r="H192" s="6">
        <f t="array" ref="H192">IFERROR(STDEV(IF((dados!$C$2:$C$55=$A192)*(dados!$T$2:$T$55&lt;&gt;""),dados!$T$2:$T$55)),"")</f>
        <v/>
      </c>
      <c r="I192" s="6">
        <f>IF(COUNTIFS(dados!$C$2:$C$55,$A192,dados!$T$2:$T$55,"&lt;&gt;")=0,"",_xlfn.MINIFS(dados!$T$2:$T$55,dados!$C$2:$C$55,$A192))</f>
        <v/>
      </c>
      <c r="J192" s="6">
        <f>IF(COUNTIFS(dados!$C$2:$C$55,$A192,dados!$T$2:$T$55,"&lt;&gt;")=0,"",_xlfn.MAXIFS(dados!$T$2:$T$55,dados!$C$2:$C$55,$A192))</f>
        <v/>
      </c>
      <c r="K192" s="6">
        <f>IFERROR(J192-I192,"")</f>
        <v/>
      </c>
    </row>
    <row r="193">
      <c r="A193" s="2" t="inlineStr">
        <is>
          <t>Fortaleza</t>
        </is>
      </c>
      <c r="B193" s="14" t="inlineStr">
        <is>
          <t>Instagram</t>
        </is>
      </c>
      <c r="C193" s="2" t="inlineStr">
        <is>
          <t>curtidas_periodo</t>
        </is>
      </c>
      <c r="D193" s="2" t="inlineStr">
        <is>
          <t>Curtidas no período</t>
        </is>
      </c>
      <c r="E193" s="5">
        <f>COUNTIFS(dados!$C$2:$C$55,$A193,dados!$U$2:$U$55,"&lt;&gt;")</f>
        <v/>
      </c>
      <c r="F193" s="5">
        <f>IFERROR(AVERAGEIFS(dados!$U$2:$U$55,dados!$C$2:$C$55,$A193),"")</f>
        <v/>
      </c>
      <c r="G193" s="5">
        <f t="array" ref="G193">IFERROR(MEDIAN(IF((dados!$C$2:$C$55=$A193)*(dados!$U$2:$U$55&lt;&gt;""),dados!$U$2:$U$55)),"")</f>
        <v/>
      </c>
      <c r="H193" s="5">
        <f t="array" ref="H193">IFERROR(STDEV(IF((dados!$C$2:$C$55=$A193)*(dados!$U$2:$U$55&lt;&gt;""),dados!$U$2:$U$55)),"")</f>
        <v/>
      </c>
      <c r="I193" s="5">
        <f>IF(COUNTIFS(dados!$C$2:$C$55,$A193,dados!$U$2:$U$55,"&lt;&gt;")=0,"",_xlfn.MINIFS(dados!$U$2:$U$55,dados!$C$2:$C$55,$A193))</f>
        <v/>
      </c>
      <c r="J193" s="5">
        <f>IF(COUNTIFS(dados!$C$2:$C$55,$A193,dados!$U$2:$U$55,"&lt;&gt;")=0,"",_xlfn.MAXIFS(dados!$U$2:$U$55,dados!$C$2:$C$55,$A193))</f>
        <v/>
      </c>
      <c r="K193" s="5">
        <f>IFERROR(J193-I193,"")</f>
        <v/>
      </c>
    </row>
    <row r="194">
      <c r="A194" s="2" t="inlineStr">
        <is>
          <t>Fortaleza</t>
        </is>
      </c>
      <c r="B194" s="14" t="inlineStr">
        <is>
          <t>Instagram</t>
        </is>
      </c>
      <c r="C194" s="2" t="inlineStr">
        <is>
          <t>comentarios_periodo</t>
        </is>
      </c>
      <c r="D194" s="2" t="inlineStr">
        <is>
          <t>Comentários no período</t>
        </is>
      </c>
      <c r="E194" s="5">
        <f>COUNTIFS(dados!$C$2:$C$55,$A194,dados!$V$2:$V$55,"&lt;&gt;")</f>
        <v/>
      </c>
      <c r="F194" s="5">
        <f>IFERROR(AVERAGEIFS(dados!$V$2:$V$55,dados!$C$2:$C$55,$A194),"")</f>
        <v/>
      </c>
      <c r="G194" s="5">
        <f t="array" ref="G194">IFERROR(MEDIAN(IF((dados!$C$2:$C$55=$A194)*(dados!$V$2:$V$55&lt;&gt;""),dados!$V$2:$V$55)),"")</f>
        <v/>
      </c>
      <c r="H194" s="5">
        <f t="array" ref="H194">IFERROR(STDEV(IF((dados!$C$2:$C$55=$A194)*(dados!$V$2:$V$55&lt;&gt;""),dados!$V$2:$V$55)),"")</f>
        <v/>
      </c>
      <c r="I194" s="5">
        <f>IF(COUNTIFS(dados!$C$2:$C$55,$A194,dados!$V$2:$V$55,"&lt;&gt;")=0,"",_xlfn.MINIFS(dados!$V$2:$V$55,dados!$C$2:$C$55,$A194))</f>
        <v/>
      </c>
      <c r="J194" s="5">
        <f>IF(COUNTIFS(dados!$C$2:$C$55,$A194,dados!$V$2:$V$55,"&lt;&gt;")=0,"",_xlfn.MAXIFS(dados!$V$2:$V$55,dados!$C$2:$C$55,$A194))</f>
        <v/>
      </c>
      <c r="K194" s="5">
        <f>IFERROR(J194-I194,"")</f>
        <v/>
      </c>
    </row>
    <row r="195">
      <c r="A195" s="2" t="inlineStr">
        <is>
          <t>Fortaleza</t>
        </is>
      </c>
      <c r="B195" s="14" t="inlineStr">
        <is>
          <t>Instagram</t>
        </is>
      </c>
      <c r="C195" s="2" t="inlineStr">
        <is>
          <t>interacoes_por_post</t>
        </is>
      </c>
      <c r="D195" s="2" t="inlineStr">
        <is>
          <t>Interações por post no período (curtidas + comentários)</t>
        </is>
      </c>
      <c r="E195" s="5">
        <f>COUNTIFS(dados!$C$2:$C$55,$A195,dados!$W$2:$W$55,"&lt;&gt;")</f>
        <v/>
      </c>
      <c r="F195" s="6">
        <f>IFERROR(AVERAGEIFS(dados!$W$2:$W$55,dados!$C$2:$C$55,$A195),"")</f>
        <v/>
      </c>
      <c r="G195" s="6">
        <f t="array" ref="G195">IFERROR(MEDIAN(IF((dados!$C$2:$C$55=$A195)*(dados!$W$2:$W$55&lt;&gt;""),dados!$W$2:$W$55)),"")</f>
        <v/>
      </c>
      <c r="H195" s="6">
        <f t="array" ref="H195">IFERROR(STDEV(IF((dados!$C$2:$C$55=$A195)*(dados!$W$2:$W$55&lt;&gt;""),dados!$W$2:$W$55)),"")</f>
        <v/>
      </c>
      <c r="I195" s="6">
        <f>IF(COUNTIFS(dados!$C$2:$C$55,$A195,dados!$W$2:$W$55,"&lt;&gt;")=0,"",_xlfn.MINIFS(dados!$W$2:$W$55,dados!$C$2:$C$55,$A195))</f>
        <v/>
      </c>
      <c r="J195" s="6">
        <f>IF(COUNTIFS(dados!$C$2:$C$55,$A195,dados!$W$2:$W$55,"&lt;&gt;")=0,"",_xlfn.MAXIFS(dados!$W$2:$W$55,dados!$C$2:$C$55,$A195))</f>
        <v/>
      </c>
      <c r="K195" s="6">
        <f>IFERROR(J195-I195,"")</f>
        <v/>
      </c>
    </row>
    <row r="196">
      <c r="A196" s="2" t="inlineStr">
        <is>
          <t>Fortaleza</t>
        </is>
      </c>
      <c r="B196" s="14" t="inlineStr">
        <is>
          <t>Instagram</t>
        </is>
      </c>
      <c r="C196" s="2" t="inlineStr">
        <is>
          <t>engajamento_pct</t>
        </is>
      </c>
      <c r="D196" s="2" t="inlineStr">
        <is>
          <t>Taxa de engajamento (interações por post ÷ seguidores)</t>
        </is>
      </c>
      <c r="E196" s="5">
        <f>COUNTIFS(dados!$C$2:$C$55,$A196,dados!$X$2:$X$55,"&lt;&gt;")</f>
        <v/>
      </c>
      <c r="F196" s="15">
        <f>IFERROR(AVERAGEIFS(dados!$X$2:$X$55,dados!$C$2:$C$55,$A196),"")</f>
        <v/>
      </c>
      <c r="G196" s="15">
        <f t="array" ref="G196">IFERROR(MEDIAN(IF((dados!$C$2:$C$55=$A196)*(dados!$X$2:$X$55&lt;&gt;""),dados!$X$2:$X$55)),"")</f>
        <v/>
      </c>
      <c r="H196" s="15">
        <f t="array" ref="H196">IFERROR(STDEV(IF((dados!$C$2:$C$55=$A196)*(dados!$X$2:$X$55&lt;&gt;""),dados!$X$2:$X$55)),"")</f>
        <v/>
      </c>
      <c r="I196" s="15">
        <f>IF(COUNTIFS(dados!$C$2:$C$55,$A196,dados!$X$2:$X$55,"&lt;&gt;")=0,"",_xlfn.MINIFS(dados!$X$2:$X$55,dados!$C$2:$C$55,$A196))</f>
        <v/>
      </c>
      <c r="J196" s="15">
        <f>IF(COUNTIFS(dados!$C$2:$C$55,$A196,dados!$X$2:$X$55,"&lt;&gt;")=0,"",_xlfn.MAXIFS(dados!$X$2:$X$55,dados!$C$2:$C$55,$A196))</f>
        <v/>
      </c>
      <c r="K196" s="15">
        <f>IFERROR(J196-I196,"")</f>
        <v/>
      </c>
    </row>
    <row r="197">
      <c r="A197" s="2" t="inlineStr">
        <is>
          <t>Fortaleza</t>
        </is>
      </c>
      <c r="B197" s="16" t="inlineStr">
        <is>
          <t>Cardápio</t>
        </is>
      </c>
      <c r="C197" s="2" t="inlineStr">
        <is>
          <t>itens_com_preco</t>
        </is>
      </c>
      <c r="D197" s="2" t="inlineStr">
        <is>
          <t>Itens com preço no cardápio</t>
        </is>
      </c>
      <c r="E197" s="5">
        <f>COUNTIFS(dados!$C$2:$C$55,$A197,dados!$Y$2:$Y$55,"&lt;&gt;")</f>
        <v/>
      </c>
      <c r="F197" s="5">
        <f>IFERROR(AVERAGEIFS(dados!$Y$2:$Y$55,dados!$C$2:$C$55,$A197),"")</f>
        <v/>
      </c>
      <c r="G197" s="5">
        <f t="array" ref="G197">IFERROR(MEDIAN(IF((dados!$C$2:$C$55=$A197)*(dados!$Y$2:$Y$55&lt;&gt;""),dados!$Y$2:$Y$55)),"")</f>
        <v/>
      </c>
      <c r="H197" s="5">
        <f t="array" ref="H197">IFERROR(STDEV(IF((dados!$C$2:$C$55=$A197)*(dados!$Y$2:$Y$55&lt;&gt;""),dados!$Y$2:$Y$55)),"")</f>
        <v/>
      </c>
      <c r="I197" s="5">
        <f>IF(COUNTIFS(dados!$C$2:$C$55,$A197,dados!$Y$2:$Y$55,"&lt;&gt;")=0,"",_xlfn.MINIFS(dados!$Y$2:$Y$55,dados!$C$2:$C$55,$A197))</f>
        <v/>
      </c>
      <c r="J197" s="5">
        <f>IF(COUNTIFS(dados!$C$2:$C$55,$A197,dados!$Y$2:$Y$55,"&lt;&gt;")=0,"",_xlfn.MAXIFS(dados!$Y$2:$Y$55,dados!$C$2:$C$55,$A197))</f>
        <v/>
      </c>
      <c r="K197" s="5">
        <f>IFERROR(J197-I197,"")</f>
        <v/>
      </c>
    </row>
    <row r="198">
      <c r="A198" s="2" t="inlineStr">
        <is>
          <t>Fortaleza</t>
        </is>
      </c>
      <c r="B198" s="16" t="inlineStr">
        <is>
          <t>Cardápio</t>
        </is>
      </c>
      <c r="C198" s="2" t="inlineStr">
        <is>
          <t>couvert_mediana</t>
        </is>
      </c>
      <c r="D198" s="2" t="inlineStr">
        <is>
          <t>Couvert ou taxa de jogo (só casas que cobram)</t>
        </is>
      </c>
      <c r="E198" s="5">
        <f>COUNTIFS(dados!$C$2:$C$55,$A198,dados!$Z$2:$Z$55,"&lt;&gt;")</f>
        <v/>
      </c>
      <c r="F198" s="7">
        <f>IFERROR(AVERAGEIFS(dados!$Z$2:$Z$55,dados!$C$2:$C$55,$A198),"")</f>
        <v/>
      </c>
      <c r="G198" s="7">
        <f t="array" ref="G198">IFERROR(MEDIAN(IF((dados!$C$2:$C$55=$A198)*(dados!$Z$2:$Z$55&lt;&gt;""),dados!$Z$2:$Z$55)),"")</f>
        <v/>
      </c>
      <c r="H198" s="7">
        <f t="array" ref="H198">IFERROR(STDEV(IF((dados!$C$2:$C$55=$A198)*(dados!$Z$2:$Z$55&lt;&gt;""),dados!$Z$2:$Z$55)),"")</f>
        <v/>
      </c>
      <c r="I198" s="7">
        <f>IF(COUNTIFS(dados!$C$2:$C$55,$A198,dados!$Z$2:$Z$55,"&lt;&gt;")=0,"",_xlfn.MINIFS(dados!$Z$2:$Z$55,dados!$C$2:$C$55,$A198))</f>
        <v/>
      </c>
      <c r="J198" s="7">
        <f>IF(COUNTIFS(dados!$C$2:$C$55,$A198,dados!$Z$2:$Z$55,"&lt;&gt;")=0,"",_xlfn.MAXIFS(dados!$Z$2:$Z$55,dados!$C$2:$C$55,$A198))</f>
        <v/>
      </c>
      <c r="K198" s="7">
        <f>IFERROR(J198-I198,"")</f>
        <v/>
      </c>
    </row>
    <row r="199">
      <c r="A199" s="2" t="inlineStr">
        <is>
          <t>Fortaleza</t>
        </is>
      </c>
      <c r="B199" s="16" t="inlineStr">
        <is>
          <t>Cardápio</t>
        </is>
      </c>
      <c r="C199" s="2" t="inlineStr">
        <is>
          <t>bebida_mediana</t>
        </is>
      </c>
      <c r="D199" s="2" t="inlineStr">
        <is>
          <t>Bebida, mediana do cardápio</t>
        </is>
      </c>
      <c r="E199" s="5">
        <f>COUNTIFS(dados!$C$2:$C$55,$A199,dados!$AA$2:$AA$55,"&lt;&gt;")</f>
        <v/>
      </c>
      <c r="F199" s="7">
        <f>IFERROR(AVERAGEIFS(dados!$AA$2:$AA$55,dados!$C$2:$C$55,$A199),"")</f>
        <v/>
      </c>
      <c r="G199" s="7">
        <f t="array" ref="G199">IFERROR(MEDIAN(IF((dados!$C$2:$C$55=$A199)*(dados!$AA$2:$AA$55&lt;&gt;""),dados!$AA$2:$AA$55)),"")</f>
        <v/>
      </c>
      <c r="H199" s="7">
        <f t="array" ref="H199">IFERROR(STDEV(IF((dados!$C$2:$C$55=$A199)*(dados!$AA$2:$AA$55&lt;&gt;""),dados!$AA$2:$AA$55)),"")</f>
        <v/>
      </c>
      <c r="I199" s="7">
        <f>IF(COUNTIFS(dados!$C$2:$C$55,$A199,dados!$AA$2:$AA$55,"&lt;&gt;")=0,"",_xlfn.MINIFS(dados!$AA$2:$AA$55,dados!$C$2:$C$55,$A199))</f>
        <v/>
      </c>
      <c r="J199" s="7">
        <f>IF(COUNTIFS(dados!$C$2:$C$55,$A199,dados!$AA$2:$AA$55,"&lt;&gt;")=0,"",_xlfn.MAXIFS(dados!$AA$2:$AA$55,dados!$C$2:$C$55,$A199))</f>
        <v/>
      </c>
      <c r="K199" s="7">
        <f>IFERROR(J199-I199,"")</f>
        <v/>
      </c>
    </row>
    <row r="200">
      <c r="A200" s="2" t="inlineStr">
        <is>
          <t>Fortaleza</t>
        </is>
      </c>
      <c r="B200" s="16" t="inlineStr">
        <is>
          <t>Cardápio</t>
        </is>
      </c>
      <c r="C200" s="2" t="inlineStr">
        <is>
          <t>entrada_ou_prato_mediana</t>
        </is>
      </c>
      <c r="D200" s="2" t="inlineStr">
        <is>
          <t>Entrada ou prato, mediana do cardápio</t>
        </is>
      </c>
      <c r="E200" s="5">
        <f>COUNTIFS(dados!$C$2:$C$55,$A200,dados!$AB$2:$AB$55,"&lt;&gt;")</f>
        <v/>
      </c>
      <c r="F200" s="7">
        <f>IFERROR(AVERAGEIFS(dados!$AB$2:$AB$55,dados!$C$2:$C$55,$A200),"")</f>
        <v/>
      </c>
      <c r="G200" s="7">
        <f t="array" ref="G200">IFERROR(MEDIAN(IF((dados!$C$2:$C$55=$A200)*(dados!$AB$2:$AB$55&lt;&gt;""),dados!$AB$2:$AB$55)),"")</f>
        <v/>
      </c>
      <c r="H200" s="7">
        <f t="array" ref="H200">IFERROR(STDEV(IF((dados!$C$2:$C$55=$A200)*(dados!$AB$2:$AB$55&lt;&gt;""),dados!$AB$2:$AB$55)),"")</f>
        <v/>
      </c>
      <c r="I200" s="7">
        <f>IF(COUNTIFS(dados!$C$2:$C$55,$A200,dados!$AB$2:$AB$55,"&lt;&gt;")=0,"",_xlfn.MINIFS(dados!$AB$2:$AB$55,dados!$C$2:$C$55,$A200))</f>
        <v/>
      </c>
      <c r="J200" s="7">
        <f>IF(COUNTIFS(dados!$C$2:$C$55,$A200,dados!$AB$2:$AB$55,"&lt;&gt;")=0,"",_xlfn.MAXIFS(dados!$AB$2:$AB$55,dados!$C$2:$C$55,$A200))</f>
        <v/>
      </c>
      <c r="K200" s="7">
        <f>IFERROR(J200-I200,"")</f>
        <v/>
      </c>
    </row>
    <row r="201">
      <c r="A201" s="2" t="inlineStr">
        <is>
          <t>Fortaleza</t>
        </is>
      </c>
      <c r="B201" s="16" t="inlineStr">
        <is>
          <t>Cardápio</t>
        </is>
      </c>
      <c r="C201" s="2" t="inlineStr">
        <is>
          <t>cesta_baixa</t>
        </is>
      </c>
      <c r="D201" s="2" t="inlineStr">
        <is>
          <t>Cesta por pessoa, nível baixo (P25)</t>
        </is>
      </c>
      <c r="E201" s="5">
        <f>COUNTIFS(dados!$C$2:$C$55,$A201,dados!$AC$2:$AC$55,"&lt;&gt;")</f>
        <v/>
      </c>
      <c r="F201" s="7">
        <f>IFERROR(AVERAGEIFS(dados!$AC$2:$AC$55,dados!$C$2:$C$55,$A201),"")</f>
        <v/>
      </c>
      <c r="G201" s="7">
        <f t="array" ref="G201">IFERROR(MEDIAN(IF((dados!$C$2:$C$55=$A201)*(dados!$AC$2:$AC$55&lt;&gt;""),dados!$AC$2:$AC$55)),"")</f>
        <v/>
      </c>
      <c r="H201" s="7">
        <f t="array" ref="H201">IFERROR(STDEV(IF((dados!$C$2:$C$55=$A201)*(dados!$AC$2:$AC$55&lt;&gt;""),dados!$AC$2:$AC$55)),"")</f>
        <v/>
      </c>
      <c r="I201" s="7">
        <f>IF(COUNTIFS(dados!$C$2:$C$55,$A201,dados!$AC$2:$AC$55,"&lt;&gt;")=0,"",_xlfn.MINIFS(dados!$AC$2:$AC$55,dados!$C$2:$C$55,$A201))</f>
        <v/>
      </c>
      <c r="J201" s="7">
        <f>IF(COUNTIFS(dados!$C$2:$C$55,$A201,dados!$AC$2:$AC$55,"&lt;&gt;")=0,"",_xlfn.MAXIFS(dados!$AC$2:$AC$55,dados!$C$2:$C$55,$A201))</f>
        <v/>
      </c>
      <c r="K201" s="7">
        <f>IFERROR(J201-I201,"")</f>
        <v/>
      </c>
    </row>
    <row r="202">
      <c r="A202" s="2" t="inlineStr">
        <is>
          <t>Fortaleza</t>
        </is>
      </c>
      <c r="B202" s="16" t="inlineStr">
        <is>
          <t>Cardápio</t>
        </is>
      </c>
      <c r="C202" s="2" t="inlineStr">
        <is>
          <t>cesta_mediana</t>
        </is>
      </c>
      <c r="D202" s="2" t="inlineStr">
        <is>
          <t>Cesta por pessoa, nível mediano</t>
        </is>
      </c>
      <c r="E202" s="5">
        <f>COUNTIFS(dados!$C$2:$C$55,$A202,dados!$AD$2:$AD$55,"&lt;&gt;")</f>
        <v/>
      </c>
      <c r="F202" s="7">
        <f>IFERROR(AVERAGEIFS(dados!$AD$2:$AD$55,dados!$C$2:$C$55,$A202),"")</f>
        <v/>
      </c>
      <c r="G202" s="7">
        <f t="array" ref="G202">IFERROR(MEDIAN(IF((dados!$C$2:$C$55=$A202)*(dados!$AD$2:$AD$55&lt;&gt;""),dados!$AD$2:$AD$55)),"")</f>
        <v/>
      </c>
      <c r="H202" s="7">
        <f t="array" ref="H202">IFERROR(STDEV(IF((dados!$C$2:$C$55=$A202)*(dados!$AD$2:$AD$55&lt;&gt;""),dados!$AD$2:$AD$55)),"")</f>
        <v/>
      </c>
      <c r="I202" s="7">
        <f>IF(COUNTIFS(dados!$C$2:$C$55,$A202,dados!$AD$2:$AD$55,"&lt;&gt;")=0,"",_xlfn.MINIFS(dados!$AD$2:$AD$55,dados!$C$2:$C$55,$A202))</f>
        <v/>
      </c>
      <c r="J202" s="7">
        <f>IF(COUNTIFS(dados!$C$2:$C$55,$A202,dados!$AD$2:$AD$55,"&lt;&gt;")=0,"",_xlfn.MAXIFS(dados!$AD$2:$AD$55,dados!$C$2:$C$55,$A202))</f>
        <v/>
      </c>
      <c r="K202" s="7">
        <f>IFERROR(J202-I202,"")</f>
        <v/>
      </c>
    </row>
    <row r="203">
      <c r="A203" s="2" t="inlineStr">
        <is>
          <t>Fortaleza</t>
        </is>
      </c>
      <c r="B203" s="16" t="inlineStr">
        <is>
          <t>Cardápio</t>
        </is>
      </c>
      <c r="C203" s="2" t="inlineStr">
        <is>
          <t>cesta_alta</t>
        </is>
      </c>
      <c r="D203" s="2" t="inlineStr">
        <is>
          <t>Cesta por pessoa, nível alto (P75)</t>
        </is>
      </c>
      <c r="E203" s="5">
        <f>COUNTIFS(dados!$C$2:$C$55,$A203,dados!$AE$2:$AE$55,"&lt;&gt;")</f>
        <v/>
      </c>
      <c r="F203" s="7">
        <f>IFERROR(AVERAGEIFS(dados!$AE$2:$AE$55,dados!$C$2:$C$55,$A203),"")</f>
        <v/>
      </c>
      <c r="G203" s="7">
        <f t="array" ref="G203">IFERROR(MEDIAN(IF((dados!$C$2:$C$55=$A203)*(dados!$AE$2:$AE$55&lt;&gt;""),dados!$AE$2:$AE$55)),"")</f>
        <v/>
      </c>
      <c r="H203" s="7">
        <f t="array" ref="H203">IFERROR(STDEV(IF((dados!$C$2:$C$55=$A203)*(dados!$AE$2:$AE$55&lt;&gt;""),dados!$AE$2:$AE$55)),"")</f>
        <v/>
      </c>
      <c r="I203" s="7">
        <f>IF(COUNTIFS(dados!$C$2:$C$55,$A203,dados!$AE$2:$AE$55,"&lt;&gt;")=0,"",_xlfn.MINIFS(dados!$AE$2:$AE$55,dados!$C$2:$C$55,$A203))</f>
        <v/>
      </c>
      <c r="J203" s="7">
        <f>IF(COUNTIFS(dados!$C$2:$C$55,$A203,dados!$AE$2:$AE$55,"&lt;&gt;")=0,"",_xlfn.MAXIFS(dados!$AE$2:$AE$55,dados!$C$2:$C$55,$A203))</f>
        <v/>
      </c>
      <c r="K203" s="7">
        <f>IFERROR(J203-I203,"")</f>
        <v/>
      </c>
    </row>
    <row r="204">
      <c r="A204" s="2" t="inlineStr">
        <is>
          <t>Fortaleza</t>
        </is>
      </c>
      <c r="B204" s="16" t="inlineStr">
        <is>
          <t>Cardápio</t>
        </is>
      </c>
      <c r="C204" s="2" t="inlineStr">
        <is>
          <t>hamburguer_mediana</t>
        </is>
      </c>
      <c r="D204" s="2" t="inlineStr">
        <is>
          <t>Hambúrguer, mediana</t>
        </is>
      </c>
      <c r="E204" s="5">
        <f>COUNTIFS(dados!$C$2:$C$55,$A204,dados!$AF$2:$AF$55,"&lt;&gt;")</f>
        <v/>
      </c>
      <c r="F204" s="7">
        <f>IFERROR(AVERAGEIFS(dados!$AF$2:$AF$55,dados!$C$2:$C$55,$A204),"")</f>
        <v/>
      </c>
      <c r="G204" s="7">
        <f t="array" ref="G204">IFERROR(MEDIAN(IF((dados!$C$2:$C$55=$A204)*(dados!$AF$2:$AF$55&lt;&gt;""),dados!$AF$2:$AF$55)),"")</f>
        <v/>
      </c>
      <c r="H204" s="7">
        <f t="array" ref="H204">IFERROR(STDEV(IF((dados!$C$2:$C$55=$A204)*(dados!$AF$2:$AF$55&lt;&gt;""),dados!$AF$2:$AF$55)),"")</f>
        <v/>
      </c>
      <c r="I204" s="7">
        <f>IF(COUNTIFS(dados!$C$2:$C$55,$A204,dados!$AF$2:$AF$55,"&lt;&gt;")=0,"",_xlfn.MINIFS(dados!$AF$2:$AF$55,dados!$C$2:$C$55,$A204))</f>
        <v/>
      </c>
      <c r="J204" s="7">
        <f>IF(COUNTIFS(dados!$C$2:$C$55,$A204,dados!$AF$2:$AF$55,"&lt;&gt;")=0,"",_xlfn.MAXIFS(dados!$AF$2:$AF$55,dados!$C$2:$C$55,$A204))</f>
        <v/>
      </c>
      <c r="K204" s="7">
        <f>IFERROR(J204-I204,"")</f>
        <v/>
      </c>
    </row>
    <row r="205">
      <c r="A205" s="2" t="inlineStr">
        <is>
          <t>Fortaleza</t>
        </is>
      </c>
      <c r="B205" s="16" t="inlineStr">
        <is>
          <t>Cardápio</t>
        </is>
      </c>
      <c r="C205" s="2" t="inlineStr">
        <is>
          <t>batata_mediana</t>
        </is>
      </c>
      <c r="D205" s="2" t="inlineStr">
        <is>
          <t>Batata, mediana</t>
        </is>
      </c>
      <c r="E205" s="5">
        <f>COUNTIFS(dados!$C$2:$C$55,$A205,dados!$AG$2:$AG$55,"&lt;&gt;")</f>
        <v/>
      </c>
      <c r="F205" s="7">
        <f>IFERROR(AVERAGEIFS(dados!$AG$2:$AG$55,dados!$C$2:$C$55,$A205),"")</f>
        <v/>
      </c>
      <c r="G205" s="7">
        <f t="array" ref="G205">IFERROR(MEDIAN(IF((dados!$C$2:$C$55=$A205)*(dados!$AG$2:$AG$55&lt;&gt;""),dados!$AG$2:$AG$55)),"")</f>
        <v/>
      </c>
      <c r="H205" s="7">
        <f t="array" ref="H205">IFERROR(STDEV(IF((dados!$C$2:$C$55=$A205)*(dados!$AG$2:$AG$55&lt;&gt;""),dados!$AG$2:$AG$55)),"")</f>
        <v/>
      </c>
      <c r="I205" s="7">
        <f>IF(COUNTIFS(dados!$C$2:$C$55,$A205,dados!$AG$2:$AG$55,"&lt;&gt;")=0,"",_xlfn.MINIFS(dados!$AG$2:$AG$55,dados!$C$2:$C$55,$A205))</f>
        <v/>
      </c>
      <c r="J205" s="7">
        <f>IF(COUNTIFS(dados!$C$2:$C$55,$A205,dados!$AG$2:$AG$55,"&lt;&gt;")=0,"",_xlfn.MAXIFS(dados!$AG$2:$AG$55,dados!$C$2:$C$55,$A205))</f>
        <v/>
      </c>
      <c r="K205" s="7">
        <f>IFERROR(J205-I205,"")</f>
        <v/>
      </c>
    </row>
    <row r="206">
      <c r="A206" s="2" t="inlineStr">
        <is>
          <t>Fortaleza</t>
        </is>
      </c>
      <c r="B206" s="16" t="inlineStr">
        <is>
          <t>Cardápio</t>
        </is>
      </c>
      <c r="C206" s="2" t="inlineStr">
        <is>
          <t>cerveja_mediana</t>
        </is>
      </c>
      <c r="D206" s="2" t="inlineStr">
        <is>
          <t>Cerveja, mediana</t>
        </is>
      </c>
      <c r="E206" s="5">
        <f>COUNTIFS(dados!$C$2:$C$55,$A206,dados!$AH$2:$AH$55,"&lt;&gt;")</f>
        <v/>
      </c>
      <c r="F206" s="7">
        <f>IFERROR(AVERAGEIFS(dados!$AH$2:$AH$55,dados!$C$2:$C$55,$A206),"")</f>
        <v/>
      </c>
      <c r="G206" s="7">
        <f t="array" ref="G206">IFERROR(MEDIAN(IF((dados!$C$2:$C$55=$A206)*(dados!$AH$2:$AH$55&lt;&gt;""),dados!$AH$2:$AH$55)),"")</f>
        <v/>
      </c>
      <c r="H206" s="7">
        <f t="array" ref="H206">IFERROR(STDEV(IF((dados!$C$2:$C$55=$A206)*(dados!$AH$2:$AH$55&lt;&gt;""),dados!$AH$2:$AH$55)),"")</f>
        <v/>
      </c>
      <c r="I206" s="7">
        <f>IF(COUNTIFS(dados!$C$2:$C$55,$A206,dados!$AH$2:$AH$55,"&lt;&gt;")=0,"",_xlfn.MINIFS(dados!$AH$2:$AH$55,dados!$C$2:$C$55,$A206))</f>
        <v/>
      </c>
      <c r="J206" s="7">
        <f>IF(COUNTIFS(dados!$C$2:$C$55,$A206,dados!$AH$2:$AH$55,"&lt;&gt;")=0,"",_xlfn.MAXIFS(dados!$AH$2:$AH$55,dados!$C$2:$C$55,$A206))</f>
        <v/>
      </c>
      <c r="K206" s="7">
        <f>IFERROR(J206-I206,"")</f>
        <v/>
      </c>
    </row>
    <row r="207">
      <c r="A207" s="2" t="inlineStr">
        <is>
          <t>Fortaleza</t>
        </is>
      </c>
      <c r="B207" s="16" t="inlineStr">
        <is>
          <t>Cardápio</t>
        </is>
      </c>
      <c r="C207" s="2" t="inlineStr">
        <is>
          <t>refrigerante_mediana</t>
        </is>
      </c>
      <c r="D207" s="2" t="inlineStr">
        <is>
          <t>Refrigerante, mediana</t>
        </is>
      </c>
      <c r="E207" s="5">
        <f>COUNTIFS(dados!$C$2:$C$55,$A207,dados!$AI$2:$AI$55,"&lt;&gt;")</f>
        <v/>
      </c>
      <c r="F207" s="7">
        <f>IFERROR(AVERAGEIFS(dados!$AI$2:$AI$55,dados!$C$2:$C$55,$A207),"")</f>
        <v/>
      </c>
      <c r="G207" s="7">
        <f t="array" ref="G207">IFERROR(MEDIAN(IF((dados!$C$2:$C$55=$A207)*(dados!$AI$2:$AI$55&lt;&gt;""),dados!$AI$2:$AI$55)),"")</f>
        <v/>
      </c>
      <c r="H207" s="7">
        <f t="array" ref="H207">IFERROR(STDEV(IF((dados!$C$2:$C$55=$A207)*(dados!$AI$2:$AI$55&lt;&gt;""),dados!$AI$2:$AI$55)),"")</f>
        <v/>
      </c>
      <c r="I207" s="7">
        <f>IF(COUNTIFS(dados!$C$2:$C$55,$A207,dados!$AI$2:$AI$55,"&lt;&gt;")=0,"",_xlfn.MINIFS(dados!$AI$2:$AI$55,dados!$C$2:$C$55,$A207))</f>
        <v/>
      </c>
      <c r="J207" s="7">
        <f>IF(COUNTIFS(dados!$C$2:$C$55,$A207,dados!$AI$2:$AI$55,"&lt;&gt;")=0,"",_xlfn.MAXIFS(dados!$AI$2:$AI$55,dados!$C$2:$C$55,$A207))</f>
        <v/>
      </c>
      <c r="K207" s="7">
        <f>IFERROR(J207-I207,"")</f>
        <v/>
      </c>
    </row>
    <row r="208">
      <c r="A208" s="2" t="inlineStr">
        <is>
          <t>Fortaleza</t>
        </is>
      </c>
      <c r="B208" s="16" t="inlineStr">
        <is>
          <t>Cardápio</t>
        </is>
      </c>
      <c r="C208" s="2" t="inlineStr">
        <is>
          <t>drinks_mediana</t>
        </is>
      </c>
      <c r="D208" s="2" t="inlineStr">
        <is>
          <t>Drinks, mediana</t>
        </is>
      </c>
      <c r="E208" s="5">
        <f>COUNTIFS(dados!$C$2:$C$55,$A208,dados!$AJ$2:$AJ$55,"&lt;&gt;")</f>
        <v/>
      </c>
      <c r="F208" s="7">
        <f>IFERROR(AVERAGEIFS(dados!$AJ$2:$AJ$55,dados!$C$2:$C$55,$A208),"")</f>
        <v/>
      </c>
      <c r="G208" s="7">
        <f t="array" ref="G208">IFERROR(MEDIAN(IF((dados!$C$2:$C$55=$A208)*(dados!$AJ$2:$AJ$55&lt;&gt;""),dados!$AJ$2:$AJ$55)),"")</f>
        <v/>
      </c>
      <c r="H208" s="7">
        <f t="array" ref="H208">IFERROR(STDEV(IF((dados!$C$2:$C$55=$A208)*(dados!$AJ$2:$AJ$55&lt;&gt;""),dados!$AJ$2:$AJ$55)),"")</f>
        <v/>
      </c>
      <c r="I208" s="7">
        <f>IF(COUNTIFS(dados!$C$2:$C$55,$A208,dados!$AJ$2:$AJ$55,"&lt;&gt;")=0,"",_xlfn.MINIFS(dados!$AJ$2:$AJ$55,dados!$C$2:$C$55,$A208))</f>
        <v/>
      </c>
      <c r="J208" s="7">
        <f>IF(COUNTIFS(dados!$C$2:$C$55,$A208,dados!$AJ$2:$AJ$55,"&lt;&gt;")=0,"",_xlfn.MAXIFS(dados!$AJ$2:$AJ$55,dados!$C$2:$C$55,$A208))</f>
        <v/>
      </c>
      <c r="K208" s="7">
        <f>IFERROR(J208-I208,"")</f>
        <v/>
      </c>
    </row>
    <row r="209">
      <c r="A209" s="2" t="inlineStr">
        <is>
          <t>Fortaleza</t>
        </is>
      </c>
      <c r="B209" s="17" t="inlineStr">
        <is>
          <t>Acervo</t>
        </is>
      </c>
      <c r="C209" s="2" t="inlineStr">
        <is>
          <t>titulos_acervo</t>
        </is>
      </c>
      <c r="D209" s="2" t="inlineStr">
        <is>
          <t>Títulos no acervo publicado</t>
        </is>
      </c>
      <c r="E209" s="5">
        <f>COUNTIFS(dados!$C$2:$C$55,$A209,dados!$AK$2:$AK$55,"&lt;&gt;")</f>
        <v/>
      </c>
      <c r="F209" s="5">
        <f>IFERROR(AVERAGEIFS(dados!$AK$2:$AK$55,dados!$C$2:$C$55,$A209),"")</f>
        <v/>
      </c>
      <c r="G209" s="5">
        <f t="array" ref="G209">IFERROR(MEDIAN(IF((dados!$C$2:$C$55=$A209)*(dados!$AK$2:$AK$55&lt;&gt;""),dados!$AK$2:$AK$55)),"")</f>
        <v/>
      </c>
      <c r="H209" s="5">
        <f t="array" ref="H209">IFERROR(STDEV(IF((dados!$C$2:$C$55=$A209)*(dados!$AK$2:$AK$55&lt;&gt;""),dados!$AK$2:$AK$55)),"")</f>
        <v/>
      </c>
      <c r="I209" s="5">
        <f>IF(COUNTIFS(dados!$C$2:$C$55,$A209,dados!$AK$2:$AK$55,"&lt;&gt;")=0,"",_xlfn.MINIFS(dados!$AK$2:$AK$55,dados!$C$2:$C$55,$A209))</f>
        <v/>
      </c>
      <c r="J209" s="5">
        <f>IF(COUNTIFS(dados!$C$2:$C$55,$A209,dados!$AK$2:$AK$55,"&lt;&gt;")=0,"",_xlfn.MAXIFS(dados!$AK$2:$AK$55,dados!$C$2:$C$55,$A209))</f>
        <v/>
      </c>
      <c r="K209" s="5">
        <f>IFERROR(J209-I209,"")</f>
        <v/>
      </c>
    </row>
    <row r="210">
      <c r="A210" s="2" t="inlineStr">
        <is>
          <t>Fortaleza</t>
        </is>
      </c>
      <c r="B210" s="18" t="inlineStr">
        <is>
          <t>B2</t>
        </is>
      </c>
      <c r="C210" s="2" t="inlineStr">
        <is>
          <t>avaliacoes_b2</t>
        </is>
      </c>
      <c r="D210" s="2" t="inlineStr">
        <is>
          <t>Avaliações no recorte do B2 (até '3 meses atrás')</t>
        </is>
      </c>
      <c r="E210" s="5">
        <f>COUNTIFS(dados!$C$2:$C$55,$A210,dados!$AL$2:$AL$55,"&lt;&gt;")</f>
        <v/>
      </c>
      <c r="F210" s="5">
        <f>IFERROR(AVERAGEIFS(dados!$AL$2:$AL$55,dados!$C$2:$C$55,$A210),"")</f>
        <v/>
      </c>
      <c r="G210" s="5">
        <f t="array" ref="G210">IFERROR(MEDIAN(IF((dados!$C$2:$C$55=$A210)*(dados!$AL$2:$AL$55&lt;&gt;""),dados!$AL$2:$AL$55)),"")</f>
        <v/>
      </c>
      <c r="H210" s="5">
        <f t="array" ref="H210">IFERROR(STDEV(IF((dados!$C$2:$C$55=$A210)*(dados!$AL$2:$AL$55&lt;&gt;""),dados!$AL$2:$AL$55)),"")</f>
        <v/>
      </c>
      <c r="I210" s="5">
        <f>IF(COUNTIFS(dados!$C$2:$C$55,$A210,dados!$AL$2:$AL$55,"&lt;&gt;")=0,"",_xlfn.MINIFS(dados!$AL$2:$AL$55,dados!$C$2:$C$55,$A210))</f>
        <v/>
      </c>
      <c r="J210" s="5">
        <f>IF(COUNTIFS(dados!$C$2:$C$55,$A210,dados!$AL$2:$AL$55,"&lt;&gt;")=0,"",_xlfn.MAXIFS(dados!$AL$2:$AL$55,dados!$C$2:$C$55,$A210))</f>
        <v/>
      </c>
      <c r="K210" s="5">
        <f>IFERROR(J210-I210,"")</f>
        <v/>
      </c>
    </row>
    <row r="211">
      <c r="A211" s="2" t="inlineStr">
        <is>
          <t>Fortaleza</t>
        </is>
      </c>
      <c r="B211" s="18" t="inlineStr">
        <is>
          <t>B2</t>
        </is>
      </c>
      <c r="C211" s="2" t="inlineStr">
        <is>
          <t>avaliacoes_b2_com_texto</t>
        </is>
      </c>
      <c r="D211" s="2" t="inlineStr">
        <is>
          <t>Dessas, com texto</t>
        </is>
      </c>
      <c r="E211" s="5">
        <f>COUNTIFS(dados!$C$2:$C$55,$A211,dados!$AM$2:$AM$55,"&lt;&gt;")</f>
        <v/>
      </c>
      <c r="F211" s="5">
        <f>IFERROR(AVERAGEIFS(dados!$AM$2:$AM$55,dados!$C$2:$C$55,$A211),"")</f>
        <v/>
      </c>
      <c r="G211" s="5">
        <f t="array" ref="G211">IFERROR(MEDIAN(IF((dados!$C$2:$C$55=$A211)*(dados!$AM$2:$AM$55&lt;&gt;""),dados!$AM$2:$AM$55)),"")</f>
        <v/>
      </c>
      <c r="H211" s="5">
        <f t="array" ref="H211">IFERROR(STDEV(IF((dados!$C$2:$C$55=$A211)*(dados!$AM$2:$AM$55&lt;&gt;""),dados!$AM$2:$AM$55)),"")</f>
        <v/>
      </c>
      <c r="I211" s="5">
        <f>IF(COUNTIFS(dados!$C$2:$C$55,$A211,dados!$AM$2:$AM$55,"&lt;&gt;")=0,"",_xlfn.MINIFS(dados!$AM$2:$AM$55,dados!$C$2:$C$55,$A211))</f>
        <v/>
      </c>
      <c r="J211" s="5">
        <f>IF(COUNTIFS(dados!$C$2:$C$55,$A211,dados!$AM$2:$AM$55,"&lt;&gt;")=0,"",_xlfn.MAXIFS(dados!$AM$2:$AM$55,dados!$C$2:$C$55,$A211))</f>
        <v/>
      </c>
      <c r="K211" s="5">
        <f>IFERROR(J211-I211,"")</f>
        <v/>
      </c>
    </row>
    <row r="212">
      <c r="A212" s="2" t="inlineStr">
        <is>
          <t>Goiânia</t>
        </is>
      </c>
      <c r="B212" s="11" t="inlineStr">
        <is>
          <t>Google Maps</t>
        </is>
      </c>
      <c r="C212" s="2" t="inlineStr">
        <is>
          <t>avaliacao_media</t>
        </is>
      </c>
      <c r="D212" s="2" t="inlineStr">
        <is>
          <t>Nota média no Google</t>
        </is>
      </c>
      <c r="E212" s="5">
        <f>COUNTIFS(dados!$C$2:$C$55,$A212,dados!$E$2:$E$55,"&lt;&gt;")</f>
        <v/>
      </c>
      <c r="F212" s="4">
        <f>IFERROR(AVERAGEIFS(dados!$E$2:$E$55,dados!$C$2:$C$55,$A212),"")</f>
        <v/>
      </c>
      <c r="G212" s="4">
        <f t="array" ref="G212">IFERROR(MEDIAN(IF((dados!$C$2:$C$55=$A212)*(dados!$E$2:$E$55&lt;&gt;""),dados!$E$2:$E$55)),"")</f>
        <v/>
      </c>
      <c r="H212" s="4">
        <f t="array" ref="H212">IFERROR(STDEV(IF((dados!$C$2:$C$55=$A212)*(dados!$E$2:$E$55&lt;&gt;""),dados!$E$2:$E$55)),"")</f>
        <v/>
      </c>
      <c r="I212" s="4">
        <f>IF(COUNTIFS(dados!$C$2:$C$55,$A212,dados!$E$2:$E$55,"&lt;&gt;")=0,"",_xlfn.MINIFS(dados!$E$2:$E$55,dados!$C$2:$C$55,$A212))</f>
        <v/>
      </c>
      <c r="J212" s="4">
        <f>IF(COUNTIFS(dados!$C$2:$C$55,$A212,dados!$E$2:$E$55,"&lt;&gt;")=0,"",_xlfn.MAXIFS(dados!$E$2:$E$55,dados!$C$2:$C$55,$A212))</f>
        <v/>
      </c>
      <c r="K212" s="4">
        <f>IFERROR(J212-I212,"")</f>
        <v/>
      </c>
    </row>
    <row r="213">
      <c r="A213" s="2" t="inlineStr">
        <is>
          <t>Goiânia</t>
        </is>
      </c>
      <c r="B213" s="11" t="inlineStr">
        <is>
          <t>Google Maps</t>
        </is>
      </c>
      <c r="C213" s="2" t="inlineStr">
        <is>
          <t>volume_avaliacoes</t>
        </is>
      </c>
      <c r="D213" s="2" t="inlineStr">
        <is>
          <t>Nº de avaliações no Google</t>
        </is>
      </c>
      <c r="E213" s="5">
        <f>COUNTIFS(dados!$C$2:$C$55,$A213,dados!$F$2:$F$55,"&lt;&gt;")</f>
        <v/>
      </c>
      <c r="F213" s="5">
        <f>IFERROR(AVERAGEIFS(dados!$F$2:$F$55,dados!$C$2:$C$55,$A213),"")</f>
        <v/>
      </c>
      <c r="G213" s="5">
        <f t="array" ref="G213">IFERROR(MEDIAN(IF((dados!$C$2:$C$55=$A213)*(dados!$F$2:$F$55&lt;&gt;""),dados!$F$2:$F$55)),"")</f>
        <v/>
      </c>
      <c r="H213" s="5">
        <f t="array" ref="H213">IFERROR(STDEV(IF((dados!$C$2:$C$55=$A213)*(dados!$F$2:$F$55&lt;&gt;""),dados!$F$2:$F$55)),"")</f>
        <v/>
      </c>
      <c r="I213" s="5">
        <f>IF(COUNTIFS(dados!$C$2:$C$55,$A213,dados!$F$2:$F$55,"&lt;&gt;")=0,"",_xlfn.MINIFS(dados!$F$2:$F$55,dados!$C$2:$C$55,$A213))</f>
        <v/>
      </c>
      <c r="J213" s="5">
        <f>IF(COUNTIFS(dados!$C$2:$C$55,$A213,dados!$F$2:$F$55,"&lt;&gt;")=0,"",_xlfn.MAXIFS(dados!$F$2:$F$55,dados!$C$2:$C$55,$A213))</f>
        <v/>
      </c>
      <c r="K213" s="5">
        <f>IFERROR(J213-I213,"")</f>
        <v/>
      </c>
    </row>
    <row r="214">
      <c r="A214" s="2" t="inlineStr">
        <is>
          <t>Goiânia</t>
        </is>
      </c>
      <c r="B214" s="12" t="inlineStr">
        <is>
          <t>Horários</t>
        </is>
      </c>
      <c r="C214" s="2" t="inlineStr">
        <is>
          <t>dias_abertos</t>
        </is>
      </c>
      <c r="D214" s="2" t="inlineStr">
        <is>
          <t>Dias abertos por semana</t>
        </is>
      </c>
      <c r="E214" s="5">
        <f>COUNTIFS(dados!$C$2:$C$55,$A214,dados!$G$2:$G$55,"&lt;&gt;")</f>
        <v/>
      </c>
      <c r="F214" s="6">
        <f>IFERROR(AVERAGEIFS(dados!$G$2:$G$55,dados!$C$2:$C$55,$A214),"")</f>
        <v/>
      </c>
      <c r="G214" s="6">
        <f t="array" ref="G214">IFERROR(MEDIAN(IF((dados!$C$2:$C$55=$A214)*(dados!$G$2:$G$55&lt;&gt;""),dados!$G$2:$G$55)),"")</f>
        <v/>
      </c>
      <c r="H214" s="6">
        <f t="array" ref="H214">IFERROR(STDEV(IF((dados!$C$2:$C$55=$A214)*(dados!$G$2:$G$55&lt;&gt;""),dados!$G$2:$G$55)),"")</f>
        <v/>
      </c>
      <c r="I214" s="6">
        <f>IF(COUNTIFS(dados!$C$2:$C$55,$A214,dados!$G$2:$G$55,"&lt;&gt;")=0,"",_xlfn.MINIFS(dados!$G$2:$G$55,dados!$C$2:$C$55,$A214))</f>
        <v/>
      </c>
      <c r="J214" s="6">
        <f>IF(COUNTIFS(dados!$C$2:$C$55,$A214,dados!$G$2:$G$55,"&lt;&gt;")=0,"",_xlfn.MAXIFS(dados!$G$2:$G$55,dados!$C$2:$C$55,$A214))</f>
        <v/>
      </c>
      <c r="K214" s="6">
        <f>IFERROR(J214-I214,"")</f>
        <v/>
      </c>
    </row>
    <row r="215">
      <c r="A215" s="2" t="inlineStr">
        <is>
          <t>Goiânia</t>
        </is>
      </c>
      <c r="B215" s="12" t="inlineStr">
        <is>
          <t>Horários</t>
        </is>
      </c>
      <c r="C215" s="2" t="inlineStr">
        <is>
          <t>horas_semana</t>
        </is>
      </c>
      <c r="D215" s="2" t="inlineStr">
        <is>
          <t>Horas abertas por semana</t>
        </is>
      </c>
      <c r="E215" s="5">
        <f>COUNTIFS(dados!$C$2:$C$55,$A215,dados!$H$2:$H$55,"&lt;&gt;")</f>
        <v/>
      </c>
      <c r="F215" s="6">
        <f>IFERROR(AVERAGEIFS(dados!$H$2:$H$55,dados!$C$2:$C$55,$A215),"")</f>
        <v/>
      </c>
      <c r="G215" s="6">
        <f t="array" ref="G215">IFERROR(MEDIAN(IF((dados!$C$2:$C$55=$A215)*(dados!$H$2:$H$55&lt;&gt;""),dados!$H$2:$H$55)),"")</f>
        <v/>
      </c>
      <c r="H215" s="6">
        <f t="array" ref="H215">IFERROR(STDEV(IF((dados!$C$2:$C$55=$A215)*(dados!$H$2:$H$55&lt;&gt;""),dados!$H$2:$H$55)),"")</f>
        <v/>
      </c>
      <c r="I215" s="6">
        <f>IF(COUNTIFS(dados!$C$2:$C$55,$A215,dados!$H$2:$H$55,"&lt;&gt;")=0,"",_xlfn.MINIFS(dados!$H$2:$H$55,dados!$C$2:$C$55,$A215))</f>
        <v/>
      </c>
      <c r="J215" s="6">
        <f>IF(COUNTIFS(dados!$C$2:$C$55,$A215,dados!$H$2:$H$55,"&lt;&gt;")=0,"",_xlfn.MAXIFS(dados!$H$2:$H$55,dados!$C$2:$C$55,$A215))</f>
        <v/>
      </c>
      <c r="K215" s="6">
        <f>IFERROR(J215-I215,"")</f>
        <v/>
      </c>
    </row>
    <row r="216">
      <c r="A216" s="2" t="inlineStr">
        <is>
          <t>Goiânia</t>
        </is>
      </c>
      <c r="B216" s="12" t="inlineStr">
        <is>
          <t>Horários</t>
        </is>
      </c>
      <c r="C216" s="2" t="inlineStr">
        <is>
          <t>abre_cedo_h</t>
        </is>
      </c>
      <c r="D216" s="2" t="inlineStr">
        <is>
          <t>Abertura mais cedo da semana</t>
        </is>
      </c>
      <c r="E216" s="5">
        <f>COUNTIFS(dados!$C$2:$C$55,$A216,dados!$I$2:$I$55,"&lt;&gt;")</f>
        <v/>
      </c>
      <c r="F216" s="6">
        <f>IFERROR(AVERAGEIFS(dados!$I$2:$I$55,dados!$C$2:$C$55,$A216),"")</f>
        <v/>
      </c>
      <c r="G216" s="6">
        <f t="array" ref="G216">IFERROR(MEDIAN(IF((dados!$C$2:$C$55=$A216)*(dados!$I$2:$I$55&lt;&gt;""),dados!$I$2:$I$55)),"")</f>
        <v/>
      </c>
      <c r="H216" s="6">
        <f t="array" ref="H216">IFERROR(STDEV(IF((dados!$C$2:$C$55=$A216)*(dados!$I$2:$I$55&lt;&gt;""),dados!$I$2:$I$55)),"")</f>
        <v/>
      </c>
      <c r="I216" s="6">
        <f>IF(COUNTIFS(dados!$C$2:$C$55,$A216,dados!$I$2:$I$55,"&lt;&gt;")=0,"",_xlfn.MINIFS(dados!$I$2:$I$55,dados!$C$2:$C$55,$A216))</f>
        <v/>
      </c>
      <c r="J216" s="6">
        <f>IF(COUNTIFS(dados!$C$2:$C$55,$A216,dados!$I$2:$I$55,"&lt;&gt;")=0,"",_xlfn.MAXIFS(dados!$I$2:$I$55,dados!$C$2:$C$55,$A216))</f>
        <v/>
      </c>
      <c r="K216" s="6">
        <f>IFERROR(J216-I216,"")</f>
        <v/>
      </c>
    </row>
    <row r="217">
      <c r="A217" s="2" t="inlineStr">
        <is>
          <t>Goiânia</t>
        </is>
      </c>
      <c r="B217" s="12" t="inlineStr">
        <is>
          <t>Horários</t>
        </is>
      </c>
      <c r="C217" s="2" t="inlineStr">
        <is>
          <t>fecha_tarde_h</t>
        </is>
      </c>
      <c r="D217" s="2" t="inlineStr">
        <is>
          <t>Fechamento mais tarde da semana (25 = 1h da manhã)</t>
        </is>
      </c>
      <c r="E217" s="5">
        <f>COUNTIFS(dados!$C$2:$C$55,$A217,dados!$J$2:$J$55,"&lt;&gt;")</f>
        <v/>
      </c>
      <c r="F217" s="6">
        <f>IFERROR(AVERAGEIFS(dados!$J$2:$J$55,dados!$C$2:$C$55,$A217),"")</f>
        <v/>
      </c>
      <c r="G217" s="6">
        <f t="array" ref="G217">IFERROR(MEDIAN(IF((dados!$C$2:$C$55=$A217)*(dados!$J$2:$J$55&lt;&gt;""),dados!$J$2:$J$55)),"")</f>
        <v/>
      </c>
      <c r="H217" s="6">
        <f t="array" ref="H217">IFERROR(STDEV(IF((dados!$C$2:$C$55=$A217)*(dados!$J$2:$J$55&lt;&gt;""),dados!$J$2:$J$55)),"")</f>
        <v/>
      </c>
      <c r="I217" s="6">
        <f>IF(COUNTIFS(dados!$C$2:$C$55,$A217,dados!$J$2:$J$55,"&lt;&gt;")=0,"",_xlfn.MINIFS(dados!$J$2:$J$55,dados!$C$2:$C$55,$A217))</f>
        <v/>
      </c>
      <c r="J217" s="6">
        <f>IF(COUNTIFS(dados!$C$2:$C$55,$A217,dados!$J$2:$J$55,"&lt;&gt;")=0,"",_xlfn.MAXIFS(dados!$J$2:$J$55,dados!$C$2:$C$55,$A217))</f>
        <v/>
      </c>
      <c r="K217" s="6">
        <f>IFERROR(J217-I217,"")</f>
        <v/>
      </c>
    </row>
    <row r="218">
      <c r="A218" s="2" t="inlineStr">
        <is>
          <t>Goiânia</t>
        </is>
      </c>
      <c r="B218" s="13" t="inlineStr">
        <is>
          <t>Entorno</t>
        </is>
      </c>
      <c r="C218" s="2" t="inlineStr">
        <is>
          <t>metro_500m</t>
        </is>
      </c>
      <c r="D218" s="2" t="inlineStr">
        <is>
          <t>Estações de metrô até 500 m</t>
        </is>
      </c>
      <c r="E218" s="5">
        <f>COUNTIFS(dados!$C$2:$C$55,$A218,dados!$K$2:$K$55,"&lt;&gt;")</f>
        <v/>
      </c>
      <c r="F218" s="4">
        <f>IFERROR(AVERAGEIFS(dados!$K$2:$K$55,dados!$C$2:$C$55,$A218),"")</f>
        <v/>
      </c>
      <c r="G218" s="4">
        <f t="array" ref="G218">IFERROR(MEDIAN(IF((dados!$C$2:$C$55=$A218)*(dados!$K$2:$K$55&lt;&gt;""),dados!$K$2:$K$55)),"")</f>
        <v/>
      </c>
      <c r="H218" s="4">
        <f t="array" ref="H218">IFERROR(STDEV(IF((dados!$C$2:$C$55=$A218)*(dados!$K$2:$K$55&lt;&gt;""),dados!$K$2:$K$55)),"")</f>
        <v/>
      </c>
      <c r="I218" s="4">
        <f>IF(COUNTIFS(dados!$C$2:$C$55,$A218,dados!$K$2:$K$55,"&lt;&gt;")=0,"",_xlfn.MINIFS(dados!$K$2:$K$55,dados!$C$2:$C$55,$A218))</f>
        <v/>
      </c>
      <c r="J218" s="4">
        <f>IF(COUNTIFS(dados!$C$2:$C$55,$A218,dados!$K$2:$K$55,"&lt;&gt;")=0,"",_xlfn.MAXIFS(dados!$K$2:$K$55,dados!$C$2:$C$55,$A218))</f>
        <v/>
      </c>
      <c r="K218" s="4">
        <f>IFERROR(J218-I218,"")</f>
        <v/>
      </c>
    </row>
    <row r="219">
      <c r="A219" s="2" t="inlineStr">
        <is>
          <t>Goiânia</t>
        </is>
      </c>
      <c r="B219" s="13" t="inlineStr">
        <is>
          <t>Entorno</t>
        </is>
      </c>
      <c r="C219" s="2" t="inlineStr">
        <is>
          <t>metro_1000m</t>
        </is>
      </c>
      <c r="D219" s="2" t="inlineStr">
        <is>
          <t>Estações de metrô até 1000 m</t>
        </is>
      </c>
      <c r="E219" s="5">
        <f>COUNTIFS(dados!$C$2:$C$55,$A219,dados!$L$2:$L$55,"&lt;&gt;")</f>
        <v/>
      </c>
      <c r="F219" s="4">
        <f>IFERROR(AVERAGEIFS(dados!$L$2:$L$55,dados!$C$2:$C$55,$A219),"")</f>
        <v/>
      </c>
      <c r="G219" s="4">
        <f t="array" ref="G219">IFERROR(MEDIAN(IF((dados!$C$2:$C$55=$A219)*(dados!$L$2:$L$55&lt;&gt;""),dados!$L$2:$L$55)),"")</f>
        <v/>
      </c>
      <c r="H219" s="4">
        <f t="array" ref="H219">IFERROR(STDEV(IF((dados!$C$2:$C$55=$A219)*(dados!$L$2:$L$55&lt;&gt;""),dados!$L$2:$L$55)),"")</f>
        <v/>
      </c>
      <c r="I219" s="4">
        <f>IF(COUNTIFS(dados!$C$2:$C$55,$A219,dados!$L$2:$L$55,"&lt;&gt;")=0,"",_xlfn.MINIFS(dados!$L$2:$L$55,dados!$C$2:$C$55,$A219))</f>
        <v/>
      </c>
      <c r="J219" s="4">
        <f>IF(COUNTIFS(dados!$C$2:$C$55,$A219,dados!$L$2:$L$55,"&lt;&gt;")=0,"",_xlfn.MAXIFS(dados!$L$2:$L$55,dados!$C$2:$C$55,$A219))</f>
        <v/>
      </c>
      <c r="K219" s="4">
        <f>IFERROR(J219-I219,"")</f>
        <v/>
      </c>
    </row>
    <row r="220">
      <c r="A220" s="2" t="inlineStr">
        <is>
          <t>Goiânia</t>
        </is>
      </c>
      <c r="B220" s="13" t="inlineStr">
        <is>
          <t>Entorno</t>
        </is>
      </c>
      <c r="C220" s="2" t="inlineStr">
        <is>
          <t>dist_metro_m</t>
        </is>
      </c>
      <c r="D220" s="2" t="inlineStr">
        <is>
          <t>Distância à estação de metrô mais próxima</t>
        </is>
      </c>
      <c r="E220" s="5">
        <f>COUNTIFS(dados!$C$2:$C$55,$A220,dados!$M$2:$M$55,"&lt;&gt;")</f>
        <v/>
      </c>
      <c r="F220" s="5">
        <f>IFERROR(AVERAGEIFS(dados!$M$2:$M$55,dados!$C$2:$C$55,$A220),"")</f>
        <v/>
      </c>
      <c r="G220" s="5">
        <f t="array" ref="G220">IFERROR(MEDIAN(IF((dados!$C$2:$C$55=$A220)*(dados!$M$2:$M$55&lt;&gt;""),dados!$M$2:$M$55)),"")</f>
        <v/>
      </c>
      <c r="H220" s="5">
        <f t="array" ref="H220">IFERROR(STDEV(IF((dados!$C$2:$C$55=$A220)*(dados!$M$2:$M$55&lt;&gt;""),dados!$M$2:$M$55)),"")</f>
        <v/>
      </c>
      <c r="I220" s="5">
        <f>IF(COUNTIFS(dados!$C$2:$C$55,$A220,dados!$M$2:$M$55,"&lt;&gt;")=0,"",_xlfn.MINIFS(dados!$M$2:$M$55,dados!$C$2:$C$55,$A220))</f>
        <v/>
      </c>
      <c r="J220" s="5">
        <f>IF(COUNTIFS(dados!$C$2:$C$55,$A220,dados!$M$2:$M$55,"&lt;&gt;")=0,"",_xlfn.MAXIFS(dados!$M$2:$M$55,dados!$C$2:$C$55,$A220))</f>
        <v/>
      </c>
      <c r="K220" s="5">
        <f>IFERROR(J220-I220,"")</f>
        <v/>
      </c>
    </row>
    <row r="221">
      <c r="A221" s="2" t="inlineStr">
        <is>
          <t>Goiânia</t>
        </is>
      </c>
      <c r="B221" s="13" t="inlineStr">
        <is>
          <t>Entorno</t>
        </is>
      </c>
      <c r="C221" s="2" t="inlineStr">
        <is>
          <t>shopping_porte_500m</t>
        </is>
      </c>
      <c r="D221" s="2" t="inlineStr">
        <is>
          <t>Shoppings de porte até 500 m (onde o porte foi buscado)</t>
        </is>
      </c>
      <c r="E221" s="5">
        <f>COUNTIFS(dados!$C$2:$C$55,$A221,dados!$N$2:$N$55,"&lt;&gt;")</f>
        <v/>
      </c>
      <c r="F221" s="4">
        <f>IFERROR(AVERAGEIFS(dados!$N$2:$N$55,dados!$C$2:$C$55,$A221),"")</f>
        <v/>
      </c>
      <c r="G221" s="4">
        <f t="array" ref="G221">IFERROR(MEDIAN(IF((dados!$C$2:$C$55=$A221)*(dados!$N$2:$N$55&lt;&gt;""),dados!$N$2:$N$55)),"")</f>
        <v/>
      </c>
      <c r="H221" s="4">
        <f t="array" ref="H221">IFERROR(STDEV(IF((dados!$C$2:$C$55=$A221)*(dados!$N$2:$N$55&lt;&gt;""),dados!$N$2:$N$55)),"")</f>
        <v/>
      </c>
      <c r="I221" s="4">
        <f>IF(COUNTIFS(dados!$C$2:$C$55,$A221,dados!$N$2:$N$55,"&lt;&gt;")=0,"",_xlfn.MINIFS(dados!$N$2:$N$55,dados!$C$2:$C$55,$A221))</f>
        <v/>
      </c>
      <c r="J221" s="4">
        <f>IF(COUNTIFS(dados!$C$2:$C$55,$A221,dados!$N$2:$N$55,"&lt;&gt;")=0,"",_xlfn.MAXIFS(dados!$N$2:$N$55,dados!$C$2:$C$55,$A221))</f>
        <v/>
      </c>
      <c r="K221" s="4">
        <f>IFERROR(J221-I221,"")</f>
        <v/>
      </c>
    </row>
    <row r="222">
      <c r="A222" s="2" t="inlineStr">
        <is>
          <t>Goiânia</t>
        </is>
      </c>
      <c r="B222" s="13" t="inlineStr">
        <is>
          <t>Entorno</t>
        </is>
      </c>
      <c r="C222" s="2" t="inlineStr">
        <is>
          <t>shopping_porte_1000m</t>
        </is>
      </c>
      <c r="D222" s="2" t="inlineStr">
        <is>
          <t>Shoppings de porte até 1000 m (onde o porte foi buscado)</t>
        </is>
      </c>
      <c r="E222" s="5">
        <f>COUNTIFS(dados!$C$2:$C$55,$A222,dados!$O$2:$O$55,"&lt;&gt;")</f>
        <v/>
      </c>
      <c r="F222" s="4">
        <f>IFERROR(AVERAGEIFS(dados!$O$2:$O$55,dados!$C$2:$C$55,$A222),"")</f>
        <v/>
      </c>
      <c r="G222" s="4">
        <f t="array" ref="G222">IFERROR(MEDIAN(IF((dados!$C$2:$C$55=$A222)*(dados!$O$2:$O$55&lt;&gt;""),dados!$O$2:$O$55)),"")</f>
        <v/>
      </c>
      <c r="H222" s="4">
        <f t="array" ref="H222">IFERROR(STDEV(IF((dados!$C$2:$C$55=$A222)*(dados!$O$2:$O$55&lt;&gt;""),dados!$O$2:$O$55)),"")</f>
        <v/>
      </c>
      <c r="I222" s="4">
        <f>IF(COUNTIFS(dados!$C$2:$C$55,$A222,dados!$O$2:$O$55,"&lt;&gt;")=0,"",_xlfn.MINIFS(dados!$O$2:$O$55,dados!$C$2:$C$55,$A222))</f>
        <v/>
      </c>
      <c r="J222" s="4">
        <f>IF(COUNTIFS(dados!$C$2:$C$55,$A222,dados!$O$2:$O$55,"&lt;&gt;")=0,"",_xlfn.MAXIFS(dados!$O$2:$O$55,dados!$C$2:$C$55,$A222))</f>
        <v/>
      </c>
      <c r="K222" s="4">
        <f>IFERROR(J222-I222,"")</f>
        <v/>
      </c>
    </row>
    <row r="223">
      <c r="A223" s="2" t="inlineStr">
        <is>
          <t>Goiânia</t>
        </is>
      </c>
      <c r="B223" s="13" t="inlineStr">
        <is>
          <t>Entorno</t>
        </is>
      </c>
      <c r="C223" s="2" t="inlineStr">
        <is>
          <t>dist_shopping_m</t>
        </is>
      </c>
      <c r="D223" s="2" t="inlineStr">
        <is>
          <t>Distância ao shopping mais próximo (qualquer porte)</t>
        </is>
      </c>
      <c r="E223" s="5">
        <f>COUNTIFS(dados!$C$2:$C$55,$A223,dados!$P$2:$P$55,"&lt;&gt;")</f>
        <v/>
      </c>
      <c r="F223" s="5">
        <f>IFERROR(AVERAGEIFS(dados!$P$2:$P$55,dados!$C$2:$C$55,$A223),"")</f>
        <v/>
      </c>
      <c r="G223" s="5">
        <f t="array" ref="G223">IFERROR(MEDIAN(IF((dados!$C$2:$C$55=$A223)*(dados!$P$2:$P$55&lt;&gt;""),dados!$P$2:$P$55)),"")</f>
        <v/>
      </c>
      <c r="H223" s="5">
        <f t="array" ref="H223">IFERROR(STDEV(IF((dados!$C$2:$C$55=$A223)*(dados!$P$2:$P$55&lt;&gt;""),dados!$P$2:$P$55)),"")</f>
        <v/>
      </c>
      <c r="I223" s="5">
        <f>IF(COUNTIFS(dados!$C$2:$C$55,$A223,dados!$P$2:$P$55,"&lt;&gt;")=0,"",_xlfn.MINIFS(dados!$P$2:$P$55,dados!$C$2:$C$55,$A223))</f>
        <v/>
      </c>
      <c r="J223" s="5">
        <f>IF(COUNTIFS(dados!$C$2:$C$55,$A223,dados!$P$2:$P$55,"&lt;&gt;")=0,"",_xlfn.MAXIFS(dados!$P$2:$P$55,dados!$C$2:$C$55,$A223))</f>
        <v/>
      </c>
      <c r="K223" s="5">
        <f>IFERROR(J223-I223,"")</f>
        <v/>
      </c>
    </row>
    <row r="224">
      <c r="A224" s="2" t="inlineStr">
        <is>
          <t>Goiânia</t>
        </is>
      </c>
      <c r="B224" s="14" t="inlineStr">
        <is>
          <t>Instagram</t>
        </is>
      </c>
      <c r="C224" s="2" t="inlineStr">
        <is>
          <t>seguidores</t>
        </is>
      </c>
      <c r="D224" s="2" t="inlineStr">
        <is>
          <t>Seguidores</t>
        </is>
      </c>
      <c r="E224" s="5">
        <f>COUNTIFS(dados!$C$2:$C$55,$A224,dados!$Q$2:$Q$55,"&lt;&gt;")</f>
        <v/>
      </c>
      <c r="F224" s="5">
        <f>IFERROR(AVERAGEIFS(dados!$Q$2:$Q$55,dados!$C$2:$C$55,$A224),"")</f>
        <v/>
      </c>
      <c r="G224" s="5">
        <f t="array" ref="G224">IFERROR(MEDIAN(IF((dados!$C$2:$C$55=$A224)*(dados!$Q$2:$Q$55&lt;&gt;""),dados!$Q$2:$Q$55)),"")</f>
        <v/>
      </c>
      <c r="H224" s="5">
        <f t="array" ref="H224">IFERROR(STDEV(IF((dados!$C$2:$C$55=$A224)*(dados!$Q$2:$Q$55&lt;&gt;""),dados!$Q$2:$Q$55)),"")</f>
        <v/>
      </c>
      <c r="I224" s="5">
        <f>IF(COUNTIFS(dados!$C$2:$C$55,$A224,dados!$Q$2:$Q$55,"&lt;&gt;")=0,"",_xlfn.MINIFS(dados!$Q$2:$Q$55,dados!$C$2:$C$55,$A224))</f>
        <v/>
      </c>
      <c r="J224" s="5">
        <f>IF(COUNTIFS(dados!$C$2:$C$55,$A224,dados!$Q$2:$Q$55,"&lt;&gt;")=0,"",_xlfn.MAXIFS(dados!$Q$2:$Q$55,dados!$C$2:$C$55,$A224))</f>
        <v/>
      </c>
      <c r="K224" s="5">
        <f>IFERROR(J224-I224,"")</f>
        <v/>
      </c>
    </row>
    <row r="225">
      <c r="A225" s="2" t="inlineStr">
        <is>
          <t>Goiânia</t>
        </is>
      </c>
      <c r="B225" s="14" t="inlineStr">
        <is>
          <t>Instagram</t>
        </is>
      </c>
      <c r="C225" s="2" t="inlineStr">
        <is>
          <t>n_posts_total</t>
        </is>
      </c>
      <c r="D225" s="2" t="inlineStr">
        <is>
          <t>Posts desde a criação do perfil</t>
        </is>
      </c>
      <c r="E225" s="5">
        <f>COUNTIFS(dados!$C$2:$C$55,$A225,dados!$R$2:$R$55,"&lt;&gt;")</f>
        <v/>
      </c>
      <c r="F225" s="5">
        <f>IFERROR(AVERAGEIFS(dados!$R$2:$R$55,dados!$C$2:$C$55,$A225),"")</f>
        <v/>
      </c>
      <c r="G225" s="5">
        <f t="array" ref="G225">IFERROR(MEDIAN(IF((dados!$C$2:$C$55=$A225)*(dados!$R$2:$R$55&lt;&gt;""),dados!$R$2:$R$55)),"")</f>
        <v/>
      </c>
      <c r="H225" s="5">
        <f t="array" ref="H225">IFERROR(STDEV(IF((dados!$C$2:$C$55=$A225)*(dados!$R$2:$R$55&lt;&gt;""),dados!$R$2:$R$55)),"")</f>
        <v/>
      </c>
      <c r="I225" s="5">
        <f>IF(COUNTIFS(dados!$C$2:$C$55,$A225,dados!$R$2:$R$55,"&lt;&gt;")=0,"",_xlfn.MINIFS(dados!$R$2:$R$55,dados!$C$2:$C$55,$A225))</f>
        <v/>
      </c>
      <c r="J225" s="5">
        <f>IF(COUNTIFS(dados!$C$2:$C$55,$A225,dados!$R$2:$R$55,"&lt;&gt;")=0,"",_xlfn.MAXIFS(dados!$R$2:$R$55,dados!$C$2:$C$55,$A225))</f>
        <v/>
      </c>
      <c r="K225" s="5">
        <f>IFERROR(J225-I225,"")</f>
        <v/>
      </c>
    </row>
    <row r="226">
      <c r="A226" s="2" t="inlineStr">
        <is>
          <t>Goiânia</t>
        </is>
      </c>
      <c r="B226" s="14" t="inlineStr">
        <is>
          <t>Instagram</t>
        </is>
      </c>
      <c r="C226" s="2" t="inlineStr">
        <is>
          <t>idade_perfil_anos</t>
        </is>
      </c>
      <c r="D226" s="2" t="inlineStr">
        <is>
          <t>Idade do perfil (desde o primeiro post até 15/10/2026)</t>
        </is>
      </c>
      <c r="E226" s="5">
        <f>COUNTIFS(dados!$C$2:$C$55,$A226,dados!$S$2:$S$55,"&lt;&gt;")</f>
        <v/>
      </c>
      <c r="F226" s="6">
        <f>IFERROR(AVERAGEIFS(dados!$S$2:$S$55,dados!$C$2:$C$55,$A226),"")</f>
        <v/>
      </c>
      <c r="G226" s="6">
        <f t="array" ref="G226">IFERROR(MEDIAN(IF((dados!$C$2:$C$55=$A226)*(dados!$S$2:$S$55&lt;&gt;""),dados!$S$2:$S$55)),"")</f>
        <v/>
      </c>
      <c r="H226" s="6">
        <f t="array" ref="H226">IFERROR(STDEV(IF((dados!$C$2:$C$55=$A226)*(dados!$S$2:$S$55&lt;&gt;""),dados!$S$2:$S$55)),"")</f>
        <v/>
      </c>
      <c r="I226" s="6">
        <f>IF(COUNTIFS(dados!$C$2:$C$55,$A226,dados!$S$2:$S$55,"&lt;&gt;")=0,"",_xlfn.MINIFS(dados!$S$2:$S$55,dados!$C$2:$C$55,$A226))</f>
        <v/>
      </c>
      <c r="J226" s="6">
        <f>IF(COUNTIFS(dados!$C$2:$C$55,$A226,dados!$S$2:$S$55,"&lt;&gt;")=0,"",_xlfn.MAXIFS(dados!$S$2:$S$55,dados!$C$2:$C$55,$A226))</f>
        <v/>
      </c>
      <c r="K226" s="6">
        <f>IFERROR(J226-I226,"")</f>
        <v/>
      </c>
    </row>
    <row r="227">
      <c r="A227" s="2" t="inlineStr">
        <is>
          <t>Goiânia</t>
        </is>
      </c>
      <c r="B227" s="14" t="inlineStr">
        <is>
          <t>Instagram</t>
        </is>
      </c>
      <c r="C227" s="2" t="inlineStr">
        <is>
          <t>n_posts_periodo</t>
        </is>
      </c>
      <c r="D227" s="2" t="inlineStr">
        <is>
          <t>Posts de 01/09 a 01/10/2026</t>
        </is>
      </c>
      <c r="E227" s="5">
        <f>COUNTIFS(dados!$C$2:$C$55,$A227,dados!$T$2:$T$55,"&lt;&gt;")</f>
        <v/>
      </c>
      <c r="F227" s="6">
        <f>IFERROR(AVERAGEIFS(dados!$T$2:$T$55,dados!$C$2:$C$55,$A227),"")</f>
        <v/>
      </c>
      <c r="G227" s="6">
        <f t="array" ref="G227">IFERROR(MEDIAN(IF((dados!$C$2:$C$55=$A227)*(dados!$T$2:$T$55&lt;&gt;""),dados!$T$2:$T$55)),"")</f>
        <v/>
      </c>
      <c r="H227" s="6">
        <f t="array" ref="H227">IFERROR(STDEV(IF((dados!$C$2:$C$55=$A227)*(dados!$T$2:$T$55&lt;&gt;""),dados!$T$2:$T$55)),"")</f>
        <v/>
      </c>
      <c r="I227" s="6">
        <f>IF(COUNTIFS(dados!$C$2:$C$55,$A227,dados!$T$2:$T$55,"&lt;&gt;")=0,"",_xlfn.MINIFS(dados!$T$2:$T$55,dados!$C$2:$C$55,$A227))</f>
        <v/>
      </c>
      <c r="J227" s="6">
        <f>IF(COUNTIFS(dados!$C$2:$C$55,$A227,dados!$T$2:$T$55,"&lt;&gt;")=0,"",_xlfn.MAXIFS(dados!$T$2:$T$55,dados!$C$2:$C$55,$A227))</f>
        <v/>
      </c>
      <c r="K227" s="6">
        <f>IFERROR(J227-I227,"")</f>
        <v/>
      </c>
    </row>
    <row r="228">
      <c r="A228" s="2" t="inlineStr">
        <is>
          <t>Goiânia</t>
        </is>
      </c>
      <c r="B228" s="14" t="inlineStr">
        <is>
          <t>Instagram</t>
        </is>
      </c>
      <c r="C228" s="2" t="inlineStr">
        <is>
          <t>curtidas_periodo</t>
        </is>
      </c>
      <c r="D228" s="2" t="inlineStr">
        <is>
          <t>Curtidas no período</t>
        </is>
      </c>
      <c r="E228" s="5">
        <f>COUNTIFS(dados!$C$2:$C$55,$A228,dados!$U$2:$U$55,"&lt;&gt;")</f>
        <v/>
      </c>
      <c r="F228" s="5">
        <f>IFERROR(AVERAGEIFS(dados!$U$2:$U$55,dados!$C$2:$C$55,$A228),"")</f>
        <v/>
      </c>
      <c r="G228" s="5">
        <f t="array" ref="G228">IFERROR(MEDIAN(IF((dados!$C$2:$C$55=$A228)*(dados!$U$2:$U$55&lt;&gt;""),dados!$U$2:$U$55)),"")</f>
        <v/>
      </c>
      <c r="H228" s="5">
        <f t="array" ref="H228">IFERROR(STDEV(IF((dados!$C$2:$C$55=$A228)*(dados!$U$2:$U$55&lt;&gt;""),dados!$U$2:$U$55)),"")</f>
        <v/>
      </c>
      <c r="I228" s="5">
        <f>IF(COUNTIFS(dados!$C$2:$C$55,$A228,dados!$U$2:$U$55,"&lt;&gt;")=0,"",_xlfn.MINIFS(dados!$U$2:$U$55,dados!$C$2:$C$55,$A228))</f>
        <v/>
      </c>
      <c r="J228" s="5">
        <f>IF(COUNTIFS(dados!$C$2:$C$55,$A228,dados!$U$2:$U$55,"&lt;&gt;")=0,"",_xlfn.MAXIFS(dados!$U$2:$U$55,dados!$C$2:$C$55,$A228))</f>
        <v/>
      </c>
      <c r="K228" s="5">
        <f>IFERROR(J228-I228,"")</f>
        <v/>
      </c>
    </row>
    <row r="229">
      <c r="A229" s="2" t="inlineStr">
        <is>
          <t>Goiânia</t>
        </is>
      </c>
      <c r="B229" s="14" t="inlineStr">
        <is>
          <t>Instagram</t>
        </is>
      </c>
      <c r="C229" s="2" t="inlineStr">
        <is>
          <t>comentarios_periodo</t>
        </is>
      </c>
      <c r="D229" s="2" t="inlineStr">
        <is>
          <t>Comentários no período</t>
        </is>
      </c>
      <c r="E229" s="5">
        <f>COUNTIFS(dados!$C$2:$C$55,$A229,dados!$V$2:$V$55,"&lt;&gt;")</f>
        <v/>
      </c>
      <c r="F229" s="5">
        <f>IFERROR(AVERAGEIFS(dados!$V$2:$V$55,dados!$C$2:$C$55,$A229),"")</f>
        <v/>
      </c>
      <c r="G229" s="5">
        <f t="array" ref="G229">IFERROR(MEDIAN(IF((dados!$C$2:$C$55=$A229)*(dados!$V$2:$V$55&lt;&gt;""),dados!$V$2:$V$55)),"")</f>
        <v/>
      </c>
      <c r="H229" s="5">
        <f t="array" ref="H229">IFERROR(STDEV(IF((dados!$C$2:$C$55=$A229)*(dados!$V$2:$V$55&lt;&gt;""),dados!$V$2:$V$55)),"")</f>
        <v/>
      </c>
      <c r="I229" s="5">
        <f>IF(COUNTIFS(dados!$C$2:$C$55,$A229,dados!$V$2:$V$55,"&lt;&gt;")=0,"",_xlfn.MINIFS(dados!$V$2:$V$55,dados!$C$2:$C$55,$A229))</f>
        <v/>
      </c>
      <c r="J229" s="5">
        <f>IF(COUNTIFS(dados!$C$2:$C$55,$A229,dados!$V$2:$V$55,"&lt;&gt;")=0,"",_xlfn.MAXIFS(dados!$V$2:$V$55,dados!$C$2:$C$55,$A229))</f>
        <v/>
      </c>
      <c r="K229" s="5">
        <f>IFERROR(J229-I229,"")</f>
        <v/>
      </c>
    </row>
    <row r="230">
      <c r="A230" s="2" t="inlineStr">
        <is>
          <t>Goiânia</t>
        </is>
      </c>
      <c r="B230" s="14" t="inlineStr">
        <is>
          <t>Instagram</t>
        </is>
      </c>
      <c r="C230" s="2" t="inlineStr">
        <is>
          <t>interacoes_por_post</t>
        </is>
      </c>
      <c r="D230" s="2" t="inlineStr">
        <is>
          <t>Interações por post no período (curtidas + comentários)</t>
        </is>
      </c>
      <c r="E230" s="5">
        <f>COUNTIFS(dados!$C$2:$C$55,$A230,dados!$W$2:$W$55,"&lt;&gt;")</f>
        <v/>
      </c>
      <c r="F230" s="6">
        <f>IFERROR(AVERAGEIFS(dados!$W$2:$W$55,dados!$C$2:$C$55,$A230),"")</f>
        <v/>
      </c>
      <c r="G230" s="6">
        <f t="array" ref="G230">IFERROR(MEDIAN(IF((dados!$C$2:$C$55=$A230)*(dados!$W$2:$W$55&lt;&gt;""),dados!$W$2:$W$55)),"")</f>
        <v/>
      </c>
      <c r="H230" s="6">
        <f t="array" ref="H230">IFERROR(STDEV(IF((dados!$C$2:$C$55=$A230)*(dados!$W$2:$W$55&lt;&gt;""),dados!$W$2:$W$55)),"")</f>
        <v/>
      </c>
      <c r="I230" s="6">
        <f>IF(COUNTIFS(dados!$C$2:$C$55,$A230,dados!$W$2:$W$55,"&lt;&gt;")=0,"",_xlfn.MINIFS(dados!$W$2:$W$55,dados!$C$2:$C$55,$A230))</f>
        <v/>
      </c>
      <c r="J230" s="6">
        <f>IF(COUNTIFS(dados!$C$2:$C$55,$A230,dados!$W$2:$W$55,"&lt;&gt;")=0,"",_xlfn.MAXIFS(dados!$W$2:$W$55,dados!$C$2:$C$55,$A230))</f>
        <v/>
      </c>
      <c r="K230" s="6">
        <f>IFERROR(J230-I230,"")</f>
        <v/>
      </c>
    </row>
    <row r="231">
      <c r="A231" s="2" t="inlineStr">
        <is>
          <t>Goiânia</t>
        </is>
      </c>
      <c r="B231" s="14" t="inlineStr">
        <is>
          <t>Instagram</t>
        </is>
      </c>
      <c r="C231" s="2" t="inlineStr">
        <is>
          <t>engajamento_pct</t>
        </is>
      </c>
      <c r="D231" s="2" t="inlineStr">
        <is>
          <t>Taxa de engajamento (interações por post ÷ seguidores)</t>
        </is>
      </c>
      <c r="E231" s="5">
        <f>COUNTIFS(dados!$C$2:$C$55,$A231,dados!$X$2:$X$55,"&lt;&gt;")</f>
        <v/>
      </c>
      <c r="F231" s="15">
        <f>IFERROR(AVERAGEIFS(dados!$X$2:$X$55,dados!$C$2:$C$55,$A231),"")</f>
        <v/>
      </c>
      <c r="G231" s="15">
        <f t="array" ref="G231">IFERROR(MEDIAN(IF((dados!$C$2:$C$55=$A231)*(dados!$X$2:$X$55&lt;&gt;""),dados!$X$2:$X$55)),"")</f>
        <v/>
      </c>
      <c r="H231" s="15">
        <f t="array" ref="H231">IFERROR(STDEV(IF((dados!$C$2:$C$55=$A231)*(dados!$X$2:$X$55&lt;&gt;""),dados!$X$2:$X$55)),"")</f>
        <v/>
      </c>
      <c r="I231" s="15">
        <f>IF(COUNTIFS(dados!$C$2:$C$55,$A231,dados!$X$2:$X$55,"&lt;&gt;")=0,"",_xlfn.MINIFS(dados!$X$2:$X$55,dados!$C$2:$C$55,$A231))</f>
        <v/>
      </c>
      <c r="J231" s="15">
        <f>IF(COUNTIFS(dados!$C$2:$C$55,$A231,dados!$X$2:$X$55,"&lt;&gt;")=0,"",_xlfn.MAXIFS(dados!$X$2:$X$55,dados!$C$2:$C$55,$A231))</f>
        <v/>
      </c>
      <c r="K231" s="15">
        <f>IFERROR(J231-I231,"")</f>
        <v/>
      </c>
    </row>
    <row r="232">
      <c r="A232" s="2" t="inlineStr">
        <is>
          <t>Goiânia</t>
        </is>
      </c>
      <c r="B232" s="16" t="inlineStr">
        <is>
          <t>Cardápio</t>
        </is>
      </c>
      <c r="C232" s="2" t="inlineStr">
        <is>
          <t>itens_com_preco</t>
        </is>
      </c>
      <c r="D232" s="2" t="inlineStr">
        <is>
          <t>Itens com preço no cardápio</t>
        </is>
      </c>
      <c r="E232" s="5">
        <f>COUNTIFS(dados!$C$2:$C$55,$A232,dados!$Y$2:$Y$55,"&lt;&gt;")</f>
        <v/>
      </c>
      <c r="F232" s="5">
        <f>IFERROR(AVERAGEIFS(dados!$Y$2:$Y$55,dados!$C$2:$C$55,$A232),"")</f>
        <v/>
      </c>
      <c r="G232" s="5">
        <f t="array" ref="G232">IFERROR(MEDIAN(IF((dados!$C$2:$C$55=$A232)*(dados!$Y$2:$Y$55&lt;&gt;""),dados!$Y$2:$Y$55)),"")</f>
        <v/>
      </c>
      <c r="H232" s="5">
        <f t="array" ref="H232">IFERROR(STDEV(IF((dados!$C$2:$C$55=$A232)*(dados!$Y$2:$Y$55&lt;&gt;""),dados!$Y$2:$Y$55)),"")</f>
        <v/>
      </c>
      <c r="I232" s="5">
        <f>IF(COUNTIFS(dados!$C$2:$C$55,$A232,dados!$Y$2:$Y$55,"&lt;&gt;")=0,"",_xlfn.MINIFS(dados!$Y$2:$Y$55,dados!$C$2:$C$55,$A232))</f>
        <v/>
      </c>
      <c r="J232" s="5">
        <f>IF(COUNTIFS(dados!$C$2:$C$55,$A232,dados!$Y$2:$Y$55,"&lt;&gt;")=0,"",_xlfn.MAXIFS(dados!$Y$2:$Y$55,dados!$C$2:$C$55,$A232))</f>
        <v/>
      </c>
      <c r="K232" s="5">
        <f>IFERROR(J232-I232,"")</f>
        <v/>
      </c>
    </row>
    <row r="233">
      <c r="A233" s="2" t="inlineStr">
        <is>
          <t>Goiânia</t>
        </is>
      </c>
      <c r="B233" s="16" t="inlineStr">
        <is>
          <t>Cardápio</t>
        </is>
      </c>
      <c r="C233" s="2" t="inlineStr">
        <is>
          <t>couvert_mediana</t>
        </is>
      </c>
      <c r="D233" s="2" t="inlineStr">
        <is>
          <t>Couvert ou taxa de jogo (só casas que cobram)</t>
        </is>
      </c>
      <c r="E233" s="5">
        <f>COUNTIFS(dados!$C$2:$C$55,$A233,dados!$Z$2:$Z$55,"&lt;&gt;")</f>
        <v/>
      </c>
      <c r="F233" s="7">
        <f>IFERROR(AVERAGEIFS(dados!$Z$2:$Z$55,dados!$C$2:$C$55,$A233),"")</f>
        <v/>
      </c>
      <c r="G233" s="7">
        <f t="array" ref="G233">IFERROR(MEDIAN(IF((dados!$C$2:$C$55=$A233)*(dados!$Z$2:$Z$55&lt;&gt;""),dados!$Z$2:$Z$55)),"")</f>
        <v/>
      </c>
      <c r="H233" s="7">
        <f t="array" ref="H233">IFERROR(STDEV(IF((dados!$C$2:$C$55=$A233)*(dados!$Z$2:$Z$55&lt;&gt;""),dados!$Z$2:$Z$55)),"")</f>
        <v/>
      </c>
      <c r="I233" s="7">
        <f>IF(COUNTIFS(dados!$C$2:$C$55,$A233,dados!$Z$2:$Z$55,"&lt;&gt;")=0,"",_xlfn.MINIFS(dados!$Z$2:$Z$55,dados!$C$2:$C$55,$A233))</f>
        <v/>
      </c>
      <c r="J233" s="7">
        <f>IF(COUNTIFS(dados!$C$2:$C$55,$A233,dados!$Z$2:$Z$55,"&lt;&gt;")=0,"",_xlfn.MAXIFS(dados!$Z$2:$Z$55,dados!$C$2:$C$55,$A233))</f>
        <v/>
      </c>
      <c r="K233" s="7">
        <f>IFERROR(J233-I233,"")</f>
        <v/>
      </c>
    </row>
    <row r="234">
      <c r="A234" s="2" t="inlineStr">
        <is>
          <t>Goiânia</t>
        </is>
      </c>
      <c r="B234" s="16" t="inlineStr">
        <is>
          <t>Cardápio</t>
        </is>
      </c>
      <c r="C234" s="2" t="inlineStr">
        <is>
          <t>bebida_mediana</t>
        </is>
      </c>
      <c r="D234" s="2" t="inlineStr">
        <is>
          <t>Bebida, mediana do cardápio</t>
        </is>
      </c>
      <c r="E234" s="5">
        <f>COUNTIFS(dados!$C$2:$C$55,$A234,dados!$AA$2:$AA$55,"&lt;&gt;")</f>
        <v/>
      </c>
      <c r="F234" s="7">
        <f>IFERROR(AVERAGEIFS(dados!$AA$2:$AA$55,dados!$C$2:$C$55,$A234),"")</f>
        <v/>
      </c>
      <c r="G234" s="7">
        <f t="array" ref="G234">IFERROR(MEDIAN(IF((dados!$C$2:$C$55=$A234)*(dados!$AA$2:$AA$55&lt;&gt;""),dados!$AA$2:$AA$55)),"")</f>
        <v/>
      </c>
      <c r="H234" s="7">
        <f t="array" ref="H234">IFERROR(STDEV(IF((dados!$C$2:$C$55=$A234)*(dados!$AA$2:$AA$55&lt;&gt;""),dados!$AA$2:$AA$55)),"")</f>
        <v/>
      </c>
      <c r="I234" s="7">
        <f>IF(COUNTIFS(dados!$C$2:$C$55,$A234,dados!$AA$2:$AA$55,"&lt;&gt;")=0,"",_xlfn.MINIFS(dados!$AA$2:$AA$55,dados!$C$2:$C$55,$A234))</f>
        <v/>
      </c>
      <c r="J234" s="7">
        <f>IF(COUNTIFS(dados!$C$2:$C$55,$A234,dados!$AA$2:$AA$55,"&lt;&gt;")=0,"",_xlfn.MAXIFS(dados!$AA$2:$AA$55,dados!$C$2:$C$55,$A234))</f>
        <v/>
      </c>
      <c r="K234" s="7">
        <f>IFERROR(J234-I234,"")</f>
        <v/>
      </c>
    </row>
    <row r="235">
      <c r="A235" s="2" t="inlineStr">
        <is>
          <t>Goiânia</t>
        </is>
      </c>
      <c r="B235" s="16" t="inlineStr">
        <is>
          <t>Cardápio</t>
        </is>
      </c>
      <c r="C235" s="2" t="inlineStr">
        <is>
          <t>entrada_ou_prato_mediana</t>
        </is>
      </c>
      <c r="D235" s="2" t="inlineStr">
        <is>
          <t>Entrada ou prato, mediana do cardápio</t>
        </is>
      </c>
      <c r="E235" s="5">
        <f>COUNTIFS(dados!$C$2:$C$55,$A235,dados!$AB$2:$AB$55,"&lt;&gt;")</f>
        <v/>
      </c>
      <c r="F235" s="7">
        <f>IFERROR(AVERAGEIFS(dados!$AB$2:$AB$55,dados!$C$2:$C$55,$A235),"")</f>
        <v/>
      </c>
      <c r="G235" s="7">
        <f t="array" ref="G235">IFERROR(MEDIAN(IF((dados!$C$2:$C$55=$A235)*(dados!$AB$2:$AB$55&lt;&gt;""),dados!$AB$2:$AB$55)),"")</f>
        <v/>
      </c>
      <c r="H235" s="7">
        <f t="array" ref="H235">IFERROR(STDEV(IF((dados!$C$2:$C$55=$A235)*(dados!$AB$2:$AB$55&lt;&gt;""),dados!$AB$2:$AB$55)),"")</f>
        <v/>
      </c>
      <c r="I235" s="7">
        <f>IF(COUNTIFS(dados!$C$2:$C$55,$A235,dados!$AB$2:$AB$55,"&lt;&gt;")=0,"",_xlfn.MINIFS(dados!$AB$2:$AB$55,dados!$C$2:$C$55,$A235))</f>
        <v/>
      </c>
      <c r="J235" s="7">
        <f>IF(COUNTIFS(dados!$C$2:$C$55,$A235,dados!$AB$2:$AB$55,"&lt;&gt;")=0,"",_xlfn.MAXIFS(dados!$AB$2:$AB$55,dados!$C$2:$C$55,$A235))</f>
        <v/>
      </c>
      <c r="K235" s="7">
        <f>IFERROR(J235-I235,"")</f>
        <v/>
      </c>
    </row>
    <row r="236">
      <c r="A236" s="2" t="inlineStr">
        <is>
          <t>Goiânia</t>
        </is>
      </c>
      <c r="B236" s="16" t="inlineStr">
        <is>
          <t>Cardápio</t>
        </is>
      </c>
      <c r="C236" s="2" t="inlineStr">
        <is>
          <t>cesta_baixa</t>
        </is>
      </c>
      <c r="D236" s="2" t="inlineStr">
        <is>
          <t>Cesta por pessoa, nível baixo (P25)</t>
        </is>
      </c>
      <c r="E236" s="5">
        <f>COUNTIFS(dados!$C$2:$C$55,$A236,dados!$AC$2:$AC$55,"&lt;&gt;")</f>
        <v/>
      </c>
      <c r="F236" s="7">
        <f>IFERROR(AVERAGEIFS(dados!$AC$2:$AC$55,dados!$C$2:$C$55,$A236),"")</f>
        <v/>
      </c>
      <c r="G236" s="7">
        <f t="array" ref="G236">IFERROR(MEDIAN(IF((dados!$C$2:$C$55=$A236)*(dados!$AC$2:$AC$55&lt;&gt;""),dados!$AC$2:$AC$55)),"")</f>
        <v/>
      </c>
      <c r="H236" s="7">
        <f t="array" ref="H236">IFERROR(STDEV(IF((dados!$C$2:$C$55=$A236)*(dados!$AC$2:$AC$55&lt;&gt;""),dados!$AC$2:$AC$55)),"")</f>
        <v/>
      </c>
      <c r="I236" s="7">
        <f>IF(COUNTIFS(dados!$C$2:$C$55,$A236,dados!$AC$2:$AC$55,"&lt;&gt;")=0,"",_xlfn.MINIFS(dados!$AC$2:$AC$55,dados!$C$2:$C$55,$A236))</f>
        <v/>
      </c>
      <c r="J236" s="7">
        <f>IF(COUNTIFS(dados!$C$2:$C$55,$A236,dados!$AC$2:$AC$55,"&lt;&gt;")=0,"",_xlfn.MAXIFS(dados!$AC$2:$AC$55,dados!$C$2:$C$55,$A236))</f>
        <v/>
      </c>
      <c r="K236" s="7">
        <f>IFERROR(J236-I236,"")</f>
        <v/>
      </c>
    </row>
    <row r="237">
      <c r="A237" s="2" t="inlineStr">
        <is>
          <t>Goiânia</t>
        </is>
      </c>
      <c r="B237" s="16" t="inlineStr">
        <is>
          <t>Cardápio</t>
        </is>
      </c>
      <c r="C237" s="2" t="inlineStr">
        <is>
          <t>cesta_mediana</t>
        </is>
      </c>
      <c r="D237" s="2" t="inlineStr">
        <is>
          <t>Cesta por pessoa, nível mediano</t>
        </is>
      </c>
      <c r="E237" s="5">
        <f>COUNTIFS(dados!$C$2:$C$55,$A237,dados!$AD$2:$AD$55,"&lt;&gt;")</f>
        <v/>
      </c>
      <c r="F237" s="7">
        <f>IFERROR(AVERAGEIFS(dados!$AD$2:$AD$55,dados!$C$2:$C$55,$A237),"")</f>
        <v/>
      </c>
      <c r="G237" s="7">
        <f t="array" ref="G237">IFERROR(MEDIAN(IF((dados!$C$2:$C$55=$A237)*(dados!$AD$2:$AD$55&lt;&gt;""),dados!$AD$2:$AD$55)),"")</f>
        <v/>
      </c>
      <c r="H237" s="7">
        <f t="array" ref="H237">IFERROR(STDEV(IF((dados!$C$2:$C$55=$A237)*(dados!$AD$2:$AD$55&lt;&gt;""),dados!$AD$2:$AD$55)),"")</f>
        <v/>
      </c>
      <c r="I237" s="7">
        <f>IF(COUNTIFS(dados!$C$2:$C$55,$A237,dados!$AD$2:$AD$55,"&lt;&gt;")=0,"",_xlfn.MINIFS(dados!$AD$2:$AD$55,dados!$C$2:$C$55,$A237))</f>
        <v/>
      </c>
      <c r="J237" s="7">
        <f>IF(COUNTIFS(dados!$C$2:$C$55,$A237,dados!$AD$2:$AD$55,"&lt;&gt;")=0,"",_xlfn.MAXIFS(dados!$AD$2:$AD$55,dados!$C$2:$C$55,$A237))</f>
        <v/>
      </c>
      <c r="K237" s="7">
        <f>IFERROR(J237-I237,"")</f>
        <v/>
      </c>
    </row>
    <row r="238">
      <c r="A238" s="2" t="inlineStr">
        <is>
          <t>Goiânia</t>
        </is>
      </c>
      <c r="B238" s="16" t="inlineStr">
        <is>
          <t>Cardápio</t>
        </is>
      </c>
      <c r="C238" s="2" t="inlineStr">
        <is>
          <t>cesta_alta</t>
        </is>
      </c>
      <c r="D238" s="2" t="inlineStr">
        <is>
          <t>Cesta por pessoa, nível alto (P75)</t>
        </is>
      </c>
      <c r="E238" s="5">
        <f>COUNTIFS(dados!$C$2:$C$55,$A238,dados!$AE$2:$AE$55,"&lt;&gt;")</f>
        <v/>
      </c>
      <c r="F238" s="7">
        <f>IFERROR(AVERAGEIFS(dados!$AE$2:$AE$55,dados!$C$2:$C$55,$A238),"")</f>
        <v/>
      </c>
      <c r="G238" s="7">
        <f t="array" ref="G238">IFERROR(MEDIAN(IF((dados!$C$2:$C$55=$A238)*(dados!$AE$2:$AE$55&lt;&gt;""),dados!$AE$2:$AE$55)),"")</f>
        <v/>
      </c>
      <c r="H238" s="7">
        <f t="array" ref="H238">IFERROR(STDEV(IF((dados!$C$2:$C$55=$A238)*(dados!$AE$2:$AE$55&lt;&gt;""),dados!$AE$2:$AE$55)),"")</f>
        <v/>
      </c>
      <c r="I238" s="7">
        <f>IF(COUNTIFS(dados!$C$2:$C$55,$A238,dados!$AE$2:$AE$55,"&lt;&gt;")=0,"",_xlfn.MINIFS(dados!$AE$2:$AE$55,dados!$C$2:$C$55,$A238))</f>
        <v/>
      </c>
      <c r="J238" s="7">
        <f>IF(COUNTIFS(dados!$C$2:$C$55,$A238,dados!$AE$2:$AE$55,"&lt;&gt;")=0,"",_xlfn.MAXIFS(dados!$AE$2:$AE$55,dados!$C$2:$C$55,$A238))</f>
        <v/>
      </c>
      <c r="K238" s="7">
        <f>IFERROR(J238-I238,"")</f>
        <v/>
      </c>
    </row>
    <row r="239">
      <c r="A239" s="2" t="inlineStr">
        <is>
          <t>Goiânia</t>
        </is>
      </c>
      <c r="B239" s="16" t="inlineStr">
        <is>
          <t>Cardápio</t>
        </is>
      </c>
      <c r="C239" s="2" t="inlineStr">
        <is>
          <t>hamburguer_mediana</t>
        </is>
      </c>
      <c r="D239" s="2" t="inlineStr">
        <is>
          <t>Hambúrguer, mediana</t>
        </is>
      </c>
      <c r="E239" s="5">
        <f>COUNTIFS(dados!$C$2:$C$55,$A239,dados!$AF$2:$AF$55,"&lt;&gt;")</f>
        <v/>
      </c>
      <c r="F239" s="7">
        <f>IFERROR(AVERAGEIFS(dados!$AF$2:$AF$55,dados!$C$2:$C$55,$A239),"")</f>
        <v/>
      </c>
      <c r="G239" s="7">
        <f t="array" ref="G239">IFERROR(MEDIAN(IF((dados!$C$2:$C$55=$A239)*(dados!$AF$2:$AF$55&lt;&gt;""),dados!$AF$2:$AF$55)),"")</f>
        <v/>
      </c>
      <c r="H239" s="7">
        <f t="array" ref="H239">IFERROR(STDEV(IF((dados!$C$2:$C$55=$A239)*(dados!$AF$2:$AF$55&lt;&gt;""),dados!$AF$2:$AF$55)),"")</f>
        <v/>
      </c>
      <c r="I239" s="7">
        <f>IF(COUNTIFS(dados!$C$2:$C$55,$A239,dados!$AF$2:$AF$55,"&lt;&gt;")=0,"",_xlfn.MINIFS(dados!$AF$2:$AF$55,dados!$C$2:$C$55,$A239))</f>
        <v/>
      </c>
      <c r="J239" s="7">
        <f>IF(COUNTIFS(dados!$C$2:$C$55,$A239,dados!$AF$2:$AF$55,"&lt;&gt;")=0,"",_xlfn.MAXIFS(dados!$AF$2:$AF$55,dados!$C$2:$C$55,$A239))</f>
        <v/>
      </c>
      <c r="K239" s="7">
        <f>IFERROR(J239-I239,"")</f>
        <v/>
      </c>
    </row>
    <row r="240">
      <c r="A240" s="2" t="inlineStr">
        <is>
          <t>Goiânia</t>
        </is>
      </c>
      <c r="B240" s="16" t="inlineStr">
        <is>
          <t>Cardápio</t>
        </is>
      </c>
      <c r="C240" s="2" t="inlineStr">
        <is>
          <t>batata_mediana</t>
        </is>
      </c>
      <c r="D240" s="2" t="inlineStr">
        <is>
          <t>Batata, mediana</t>
        </is>
      </c>
      <c r="E240" s="5">
        <f>COUNTIFS(dados!$C$2:$C$55,$A240,dados!$AG$2:$AG$55,"&lt;&gt;")</f>
        <v/>
      </c>
      <c r="F240" s="7">
        <f>IFERROR(AVERAGEIFS(dados!$AG$2:$AG$55,dados!$C$2:$C$55,$A240),"")</f>
        <v/>
      </c>
      <c r="G240" s="7">
        <f t="array" ref="G240">IFERROR(MEDIAN(IF((dados!$C$2:$C$55=$A240)*(dados!$AG$2:$AG$55&lt;&gt;""),dados!$AG$2:$AG$55)),"")</f>
        <v/>
      </c>
      <c r="H240" s="7">
        <f t="array" ref="H240">IFERROR(STDEV(IF((dados!$C$2:$C$55=$A240)*(dados!$AG$2:$AG$55&lt;&gt;""),dados!$AG$2:$AG$55)),"")</f>
        <v/>
      </c>
      <c r="I240" s="7">
        <f>IF(COUNTIFS(dados!$C$2:$C$55,$A240,dados!$AG$2:$AG$55,"&lt;&gt;")=0,"",_xlfn.MINIFS(dados!$AG$2:$AG$55,dados!$C$2:$C$55,$A240))</f>
        <v/>
      </c>
      <c r="J240" s="7">
        <f>IF(COUNTIFS(dados!$C$2:$C$55,$A240,dados!$AG$2:$AG$55,"&lt;&gt;")=0,"",_xlfn.MAXIFS(dados!$AG$2:$AG$55,dados!$C$2:$C$55,$A240))</f>
        <v/>
      </c>
      <c r="K240" s="7">
        <f>IFERROR(J240-I240,"")</f>
        <v/>
      </c>
    </row>
    <row r="241">
      <c r="A241" s="2" t="inlineStr">
        <is>
          <t>Goiânia</t>
        </is>
      </c>
      <c r="B241" s="16" t="inlineStr">
        <is>
          <t>Cardápio</t>
        </is>
      </c>
      <c r="C241" s="2" t="inlineStr">
        <is>
          <t>cerveja_mediana</t>
        </is>
      </c>
      <c r="D241" s="2" t="inlineStr">
        <is>
          <t>Cerveja, mediana</t>
        </is>
      </c>
      <c r="E241" s="5">
        <f>COUNTIFS(dados!$C$2:$C$55,$A241,dados!$AH$2:$AH$55,"&lt;&gt;")</f>
        <v/>
      </c>
      <c r="F241" s="7">
        <f>IFERROR(AVERAGEIFS(dados!$AH$2:$AH$55,dados!$C$2:$C$55,$A241),"")</f>
        <v/>
      </c>
      <c r="G241" s="7">
        <f t="array" ref="G241">IFERROR(MEDIAN(IF((dados!$C$2:$C$55=$A241)*(dados!$AH$2:$AH$55&lt;&gt;""),dados!$AH$2:$AH$55)),"")</f>
        <v/>
      </c>
      <c r="H241" s="7">
        <f t="array" ref="H241">IFERROR(STDEV(IF((dados!$C$2:$C$55=$A241)*(dados!$AH$2:$AH$55&lt;&gt;""),dados!$AH$2:$AH$55)),"")</f>
        <v/>
      </c>
      <c r="I241" s="7">
        <f>IF(COUNTIFS(dados!$C$2:$C$55,$A241,dados!$AH$2:$AH$55,"&lt;&gt;")=0,"",_xlfn.MINIFS(dados!$AH$2:$AH$55,dados!$C$2:$C$55,$A241))</f>
        <v/>
      </c>
      <c r="J241" s="7">
        <f>IF(COUNTIFS(dados!$C$2:$C$55,$A241,dados!$AH$2:$AH$55,"&lt;&gt;")=0,"",_xlfn.MAXIFS(dados!$AH$2:$AH$55,dados!$C$2:$C$55,$A241))</f>
        <v/>
      </c>
      <c r="K241" s="7">
        <f>IFERROR(J241-I241,"")</f>
        <v/>
      </c>
    </row>
    <row r="242">
      <c r="A242" s="2" t="inlineStr">
        <is>
          <t>Goiânia</t>
        </is>
      </c>
      <c r="B242" s="16" t="inlineStr">
        <is>
          <t>Cardápio</t>
        </is>
      </c>
      <c r="C242" s="2" t="inlineStr">
        <is>
          <t>refrigerante_mediana</t>
        </is>
      </c>
      <c r="D242" s="2" t="inlineStr">
        <is>
          <t>Refrigerante, mediana</t>
        </is>
      </c>
      <c r="E242" s="5">
        <f>COUNTIFS(dados!$C$2:$C$55,$A242,dados!$AI$2:$AI$55,"&lt;&gt;")</f>
        <v/>
      </c>
      <c r="F242" s="7">
        <f>IFERROR(AVERAGEIFS(dados!$AI$2:$AI$55,dados!$C$2:$C$55,$A242),"")</f>
        <v/>
      </c>
      <c r="G242" s="7">
        <f t="array" ref="G242">IFERROR(MEDIAN(IF((dados!$C$2:$C$55=$A242)*(dados!$AI$2:$AI$55&lt;&gt;""),dados!$AI$2:$AI$55)),"")</f>
        <v/>
      </c>
      <c r="H242" s="7">
        <f t="array" ref="H242">IFERROR(STDEV(IF((dados!$C$2:$C$55=$A242)*(dados!$AI$2:$AI$55&lt;&gt;""),dados!$AI$2:$AI$55)),"")</f>
        <v/>
      </c>
      <c r="I242" s="7">
        <f>IF(COUNTIFS(dados!$C$2:$C$55,$A242,dados!$AI$2:$AI$55,"&lt;&gt;")=0,"",_xlfn.MINIFS(dados!$AI$2:$AI$55,dados!$C$2:$C$55,$A242))</f>
        <v/>
      </c>
      <c r="J242" s="7">
        <f>IF(COUNTIFS(dados!$C$2:$C$55,$A242,dados!$AI$2:$AI$55,"&lt;&gt;")=0,"",_xlfn.MAXIFS(dados!$AI$2:$AI$55,dados!$C$2:$C$55,$A242))</f>
        <v/>
      </c>
      <c r="K242" s="7">
        <f>IFERROR(J242-I242,"")</f>
        <v/>
      </c>
    </row>
    <row r="243">
      <c r="A243" s="2" t="inlineStr">
        <is>
          <t>Goiânia</t>
        </is>
      </c>
      <c r="B243" s="16" t="inlineStr">
        <is>
          <t>Cardápio</t>
        </is>
      </c>
      <c r="C243" s="2" t="inlineStr">
        <is>
          <t>drinks_mediana</t>
        </is>
      </c>
      <c r="D243" s="2" t="inlineStr">
        <is>
          <t>Drinks, mediana</t>
        </is>
      </c>
      <c r="E243" s="5">
        <f>COUNTIFS(dados!$C$2:$C$55,$A243,dados!$AJ$2:$AJ$55,"&lt;&gt;")</f>
        <v/>
      </c>
      <c r="F243" s="7">
        <f>IFERROR(AVERAGEIFS(dados!$AJ$2:$AJ$55,dados!$C$2:$C$55,$A243),"")</f>
        <v/>
      </c>
      <c r="G243" s="7">
        <f t="array" ref="G243">IFERROR(MEDIAN(IF((dados!$C$2:$C$55=$A243)*(dados!$AJ$2:$AJ$55&lt;&gt;""),dados!$AJ$2:$AJ$55)),"")</f>
        <v/>
      </c>
      <c r="H243" s="7">
        <f t="array" ref="H243">IFERROR(STDEV(IF((dados!$C$2:$C$55=$A243)*(dados!$AJ$2:$AJ$55&lt;&gt;""),dados!$AJ$2:$AJ$55)),"")</f>
        <v/>
      </c>
      <c r="I243" s="7">
        <f>IF(COUNTIFS(dados!$C$2:$C$55,$A243,dados!$AJ$2:$AJ$55,"&lt;&gt;")=0,"",_xlfn.MINIFS(dados!$AJ$2:$AJ$55,dados!$C$2:$C$55,$A243))</f>
        <v/>
      </c>
      <c r="J243" s="7">
        <f>IF(COUNTIFS(dados!$C$2:$C$55,$A243,dados!$AJ$2:$AJ$55,"&lt;&gt;")=0,"",_xlfn.MAXIFS(dados!$AJ$2:$AJ$55,dados!$C$2:$C$55,$A243))</f>
        <v/>
      </c>
      <c r="K243" s="7">
        <f>IFERROR(J243-I243,"")</f>
        <v/>
      </c>
    </row>
    <row r="244">
      <c r="A244" s="2" t="inlineStr">
        <is>
          <t>Goiânia</t>
        </is>
      </c>
      <c r="B244" s="17" t="inlineStr">
        <is>
          <t>Acervo</t>
        </is>
      </c>
      <c r="C244" s="2" t="inlineStr">
        <is>
          <t>titulos_acervo</t>
        </is>
      </c>
      <c r="D244" s="2" t="inlineStr">
        <is>
          <t>Títulos no acervo publicado</t>
        </is>
      </c>
      <c r="E244" s="5">
        <f>COUNTIFS(dados!$C$2:$C$55,$A244,dados!$AK$2:$AK$55,"&lt;&gt;")</f>
        <v/>
      </c>
      <c r="F244" s="5">
        <f>IFERROR(AVERAGEIFS(dados!$AK$2:$AK$55,dados!$C$2:$C$55,$A244),"")</f>
        <v/>
      </c>
      <c r="G244" s="5">
        <f t="array" ref="G244">IFERROR(MEDIAN(IF((dados!$C$2:$C$55=$A244)*(dados!$AK$2:$AK$55&lt;&gt;""),dados!$AK$2:$AK$55)),"")</f>
        <v/>
      </c>
      <c r="H244" s="5">
        <f t="array" ref="H244">IFERROR(STDEV(IF((dados!$C$2:$C$55=$A244)*(dados!$AK$2:$AK$55&lt;&gt;""),dados!$AK$2:$AK$55)),"")</f>
        <v/>
      </c>
      <c r="I244" s="5">
        <f>IF(COUNTIFS(dados!$C$2:$C$55,$A244,dados!$AK$2:$AK$55,"&lt;&gt;")=0,"",_xlfn.MINIFS(dados!$AK$2:$AK$55,dados!$C$2:$C$55,$A244))</f>
        <v/>
      </c>
      <c r="J244" s="5">
        <f>IF(COUNTIFS(dados!$C$2:$C$55,$A244,dados!$AK$2:$AK$55,"&lt;&gt;")=0,"",_xlfn.MAXIFS(dados!$AK$2:$AK$55,dados!$C$2:$C$55,$A244))</f>
        <v/>
      </c>
      <c r="K244" s="5">
        <f>IFERROR(J244-I244,"")</f>
        <v/>
      </c>
    </row>
    <row r="245">
      <c r="A245" s="2" t="inlineStr">
        <is>
          <t>Goiânia</t>
        </is>
      </c>
      <c r="B245" s="18" t="inlineStr">
        <is>
          <t>B2</t>
        </is>
      </c>
      <c r="C245" s="2" t="inlineStr">
        <is>
          <t>avaliacoes_b2</t>
        </is>
      </c>
      <c r="D245" s="2" t="inlineStr">
        <is>
          <t>Avaliações no recorte do B2 (até '3 meses atrás')</t>
        </is>
      </c>
      <c r="E245" s="5">
        <f>COUNTIFS(dados!$C$2:$C$55,$A245,dados!$AL$2:$AL$55,"&lt;&gt;")</f>
        <v/>
      </c>
      <c r="F245" s="5">
        <f>IFERROR(AVERAGEIFS(dados!$AL$2:$AL$55,dados!$C$2:$C$55,$A245),"")</f>
        <v/>
      </c>
      <c r="G245" s="5">
        <f t="array" ref="G245">IFERROR(MEDIAN(IF((dados!$C$2:$C$55=$A245)*(dados!$AL$2:$AL$55&lt;&gt;""),dados!$AL$2:$AL$55)),"")</f>
        <v/>
      </c>
      <c r="H245" s="5">
        <f t="array" ref="H245">IFERROR(STDEV(IF((dados!$C$2:$C$55=$A245)*(dados!$AL$2:$AL$55&lt;&gt;""),dados!$AL$2:$AL$55)),"")</f>
        <v/>
      </c>
      <c r="I245" s="5">
        <f>IF(COUNTIFS(dados!$C$2:$C$55,$A245,dados!$AL$2:$AL$55,"&lt;&gt;")=0,"",_xlfn.MINIFS(dados!$AL$2:$AL$55,dados!$C$2:$C$55,$A245))</f>
        <v/>
      </c>
      <c r="J245" s="5">
        <f>IF(COUNTIFS(dados!$C$2:$C$55,$A245,dados!$AL$2:$AL$55,"&lt;&gt;")=0,"",_xlfn.MAXIFS(dados!$AL$2:$AL$55,dados!$C$2:$C$55,$A245))</f>
        <v/>
      </c>
      <c r="K245" s="5">
        <f>IFERROR(J245-I245,"")</f>
        <v/>
      </c>
    </row>
    <row r="246">
      <c r="A246" s="2" t="inlineStr">
        <is>
          <t>Goiânia</t>
        </is>
      </c>
      <c r="B246" s="18" t="inlineStr">
        <is>
          <t>B2</t>
        </is>
      </c>
      <c r="C246" s="2" t="inlineStr">
        <is>
          <t>avaliacoes_b2_com_texto</t>
        </is>
      </c>
      <c r="D246" s="2" t="inlineStr">
        <is>
          <t>Dessas, com texto</t>
        </is>
      </c>
      <c r="E246" s="5">
        <f>COUNTIFS(dados!$C$2:$C$55,$A246,dados!$AM$2:$AM$55,"&lt;&gt;")</f>
        <v/>
      </c>
      <c r="F246" s="5">
        <f>IFERROR(AVERAGEIFS(dados!$AM$2:$AM$55,dados!$C$2:$C$55,$A246),"")</f>
        <v/>
      </c>
      <c r="G246" s="5">
        <f t="array" ref="G246">IFERROR(MEDIAN(IF((dados!$C$2:$C$55=$A246)*(dados!$AM$2:$AM$55&lt;&gt;""),dados!$AM$2:$AM$55)),"")</f>
        <v/>
      </c>
      <c r="H246" s="5">
        <f t="array" ref="H246">IFERROR(STDEV(IF((dados!$C$2:$C$55=$A246)*(dados!$AM$2:$AM$55&lt;&gt;""),dados!$AM$2:$AM$55)),"")</f>
        <v/>
      </c>
      <c r="I246" s="5">
        <f>IF(COUNTIFS(dados!$C$2:$C$55,$A246,dados!$AM$2:$AM$55,"&lt;&gt;")=0,"",_xlfn.MINIFS(dados!$AM$2:$AM$55,dados!$C$2:$C$55,$A246))</f>
        <v/>
      </c>
      <c r="J246" s="5">
        <f>IF(COUNTIFS(dados!$C$2:$C$55,$A246,dados!$AM$2:$AM$55,"&lt;&gt;")=0,"",_xlfn.MAXIFS(dados!$AM$2:$AM$55,dados!$C$2:$C$55,$A246))</f>
        <v/>
      </c>
      <c r="K246" s="5">
        <f>IFERROR(J246-I246,"")</f>
        <v/>
      </c>
    </row>
    <row r="247">
      <c r="A247" s="2" t="inlineStr">
        <is>
          <t>Porto Alegre</t>
        </is>
      </c>
      <c r="B247" s="11" t="inlineStr">
        <is>
          <t>Google Maps</t>
        </is>
      </c>
      <c r="C247" s="2" t="inlineStr">
        <is>
          <t>avaliacao_media</t>
        </is>
      </c>
      <c r="D247" s="2" t="inlineStr">
        <is>
          <t>Nota média no Google</t>
        </is>
      </c>
      <c r="E247" s="5">
        <f>COUNTIFS(dados!$C$2:$C$55,$A247,dados!$E$2:$E$55,"&lt;&gt;")</f>
        <v/>
      </c>
      <c r="F247" s="4">
        <f>IFERROR(AVERAGEIFS(dados!$E$2:$E$55,dados!$C$2:$C$55,$A247),"")</f>
        <v/>
      </c>
      <c r="G247" s="4">
        <f t="array" ref="G247">IFERROR(MEDIAN(IF((dados!$C$2:$C$55=$A247)*(dados!$E$2:$E$55&lt;&gt;""),dados!$E$2:$E$55)),"")</f>
        <v/>
      </c>
      <c r="H247" s="4">
        <f t="array" ref="H247">IFERROR(STDEV(IF((dados!$C$2:$C$55=$A247)*(dados!$E$2:$E$55&lt;&gt;""),dados!$E$2:$E$55)),"")</f>
        <v/>
      </c>
      <c r="I247" s="4">
        <f>IF(COUNTIFS(dados!$C$2:$C$55,$A247,dados!$E$2:$E$55,"&lt;&gt;")=0,"",_xlfn.MINIFS(dados!$E$2:$E$55,dados!$C$2:$C$55,$A247))</f>
        <v/>
      </c>
      <c r="J247" s="4">
        <f>IF(COUNTIFS(dados!$C$2:$C$55,$A247,dados!$E$2:$E$55,"&lt;&gt;")=0,"",_xlfn.MAXIFS(dados!$E$2:$E$55,dados!$C$2:$C$55,$A247))</f>
        <v/>
      </c>
      <c r="K247" s="4">
        <f>IFERROR(J247-I247,"")</f>
        <v/>
      </c>
    </row>
    <row r="248">
      <c r="A248" s="2" t="inlineStr">
        <is>
          <t>Porto Alegre</t>
        </is>
      </c>
      <c r="B248" s="11" t="inlineStr">
        <is>
          <t>Google Maps</t>
        </is>
      </c>
      <c r="C248" s="2" t="inlineStr">
        <is>
          <t>volume_avaliacoes</t>
        </is>
      </c>
      <c r="D248" s="2" t="inlineStr">
        <is>
          <t>Nº de avaliações no Google</t>
        </is>
      </c>
      <c r="E248" s="5">
        <f>COUNTIFS(dados!$C$2:$C$55,$A248,dados!$F$2:$F$55,"&lt;&gt;")</f>
        <v/>
      </c>
      <c r="F248" s="5">
        <f>IFERROR(AVERAGEIFS(dados!$F$2:$F$55,dados!$C$2:$C$55,$A248),"")</f>
        <v/>
      </c>
      <c r="G248" s="5">
        <f t="array" ref="G248">IFERROR(MEDIAN(IF((dados!$C$2:$C$55=$A248)*(dados!$F$2:$F$55&lt;&gt;""),dados!$F$2:$F$55)),"")</f>
        <v/>
      </c>
      <c r="H248" s="5">
        <f t="array" ref="H248">IFERROR(STDEV(IF((dados!$C$2:$C$55=$A248)*(dados!$F$2:$F$55&lt;&gt;""),dados!$F$2:$F$55)),"")</f>
        <v/>
      </c>
      <c r="I248" s="5">
        <f>IF(COUNTIFS(dados!$C$2:$C$55,$A248,dados!$F$2:$F$55,"&lt;&gt;")=0,"",_xlfn.MINIFS(dados!$F$2:$F$55,dados!$C$2:$C$55,$A248))</f>
        <v/>
      </c>
      <c r="J248" s="5">
        <f>IF(COUNTIFS(dados!$C$2:$C$55,$A248,dados!$F$2:$F$55,"&lt;&gt;")=0,"",_xlfn.MAXIFS(dados!$F$2:$F$55,dados!$C$2:$C$55,$A248))</f>
        <v/>
      </c>
      <c r="K248" s="5">
        <f>IFERROR(J248-I248,"")</f>
        <v/>
      </c>
    </row>
    <row r="249">
      <c r="A249" s="2" t="inlineStr">
        <is>
          <t>Porto Alegre</t>
        </is>
      </c>
      <c r="B249" s="12" t="inlineStr">
        <is>
          <t>Horários</t>
        </is>
      </c>
      <c r="C249" s="2" t="inlineStr">
        <is>
          <t>dias_abertos</t>
        </is>
      </c>
      <c r="D249" s="2" t="inlineStr">
        <is>
          <t>Dias abertos por semana</t>
        </is>
      </c>
      <c r="E249" s="5">
        <f>COUNTIFS(dados!$C$2:$C$55,$A249,dados!$G$2:$G$55,"&lt;&gt;")</f>
        <v/>
      </c>
      <c r="F249" s="6">
        <f>IFERROR(AVERAGEIFS(dados!$G$2:$G$55,dados!$C$2:$C$55,$A249),"")</f>
        <v/>
      </c>
      <c r="G249" s="6">
        <f t="array" ref="G249">IFERROR(MEDIAN(IF((dados!$C$2:$C$55=$A249)*(dados!$G$2:$G$55&lt;&gt;""),dados!$G$2:$G$55)),"")</f>
        <v/>
      </c>
      <c r="H249" s="6">
        <f t="array" ref="H249">IFERROR(STDEV(IF((dados!$C$2:$C$55=$A249)*(dados!$G$2:$G$55&lt;&gt;""),dados!$G$2:$G$55)),"")</f>
        <v/>
      </c>
      <c r="I249" s="6">
        <f>IF(COUNTIFS(dados!$C$2:$C$55,$A249,dados!$G$2:$G$55,"&lt;&gt;")=0,"",_xlfn.MINIFS(dados!$G$2:$G$55,dados!$C$2:$C$55,$A249))</f>
        <v/>
      </c>
      <c r="J249" s="6">
        <f>IF(COUNTIFS(dados!$C$2:$C$55,$A249,dados!$G$2:$G$55,"&lt;&gt;")=0,"",_xlfn.MAXIFS(dados!$G$2:$G$55,dados!$C$2:$C$55,$A249))</f>
        <v/>
      </c>
      <c r="K249" s="6">
        <f>IFERROR(J249-I249,"")</f>
        <v/>
      </c>
    </row>
    <row r="250">
      <c r="A250" s="2" t="inlineStr">
        <is>
          <t>Porto Alegre</t>
        </is>
      </c>
      <c r="B250" s="12" t="inlineStr">
        <is>
          <t>Horários</t>
        </is>
      </c>
      <c r="C250" s="2" t="inlineStr">
        <is>
          <t>horas_semana</t>
        </is>
      </c>
      <c r="D250" s="2" t="inlineStr">
        <is>
          <t>Horas abertas por semana</t>
        </is>
      </c>
      <c r="E250" s="5">
        <f>COUNTIFS(dados!$C$2:$C$55,$A250,dados!$H$2:$H$55,"&lt;&gt;")</f>
        <v/>
      </c>
      <c r="F250" s="6">
        <f>IFERROR(AVERAGEIFS(dados!$H$2:$H$55,dados!$C$2:$C$55,$A250),"")</f>
        <v/>
      </c>
      <c r="G250" s="6">
        <f t="array" ref="G250">IFERROR(MEDIAN(IF((dados!$C$2:$C$55=$A250)*(dados!$H$2:$H$55&lt;&gt;""),dados!$H$2:$H$55)),"")</f>
        <v/>
      </c>
      <c r="H250" s="6">
        <f t="array" ref="H250">IFERROR(STDEV(IF((dados!$C$2:$C$55=$A250)*(dados!$H$2:$H$55&lt;&gt;""),dados!$H$2:$H$55)),"")</f>
        <v/>
      </c>
      <c r="I250" s="6">
        <f>IF(COUNTIFS(dados!$C$2:$C$55,$A250,dados!$H$2:$H$55,"&lt;&gt;")=0,"",_xlfn.MINIFS(dados!$H$2:$H$55,dados!$C$2:$C$55,$A250))</f>
        <v/>
      </c>
      <c r="J250" s="6">
        <f>IF(COUNTIFS(dados!$C$2:$C$55,$A250,dados!$H$2:$H$55,"&lt;&gt;")=0,"",_xlfn.MAXIFS(dados!$H$2:$H$55,dados!$C$2:$C$55,$A250))</f>
        <v/>
      </c>
      <c r="K250" s="6">
        <f>IFERROR(J250-I250,"")</f>
        <v/>
      </c>
    </row>
    <row r="251">
      <c r="A251" s="2" t="inlineStr">
        <is>
          <t>Porto Alegre</t>
        </is>
      </c>
      <c r="B251" s="12" t="inlineStr">
        <is>
          <t>Horários</t>
        </is>
      </c>
      <c r="C251" s="2" t="inlineStr">
        <is>
          <t>abre_cedo_h</t>
        </is>
      </c>
      <c r="D251" s="2" t="inlineStr">
        <is>
          <t>Abertura mais cedo da semana</t>
        </is>
      </c>
      <c r="E251" s="5">
        <f>COUNTIFS(dados!$C$2:$C$55,$A251,dados!$I$2:$I$55,"&lt;&gt;")</f>
        <v/>
      </c>
      <c r="F251" s="6">
        <f>IFERROR(AVERAGEIFS(dados!$I$2:$I$55,dados!$C$2:$C$55,$A251),"")</f>
        <v/>
      </c>
      <c r="G251" s="6">
        <f t="array" ref="G251">IFERROR(MEDIAN(IF((dados!$C$2:$C$55=$A251)*(dados!$I$2:$I$55&lt;&gt;""),dados!$I$2:$I$55)),"")</f>
        <v/>
      </c>
      <c r="H251" s="6">
        <f t="array" ref="H251">IFERROR(STDEV(IF((dados!$C$2:$C$55=$A251)*(dados!$I$2:$I$55&lt;&gt;""),dados!$I$2:$I$55)),"")</f>
        <v/>
      </c>
      <c r="I251" s="6">
        <f>IF(COUNTIFS(dados!$C$2:$C$55,$A251,dados!$I$2:$I$55,"&lt;&gt;")=0,"",_xlfn.MINIFS(dados!$I$2:$I$55,dados!$C$2:$C$55,$A251))</f>
        <v/>
      </c>
      <c r="J251" s="6">
        <f>IF(COUNTIFS(dados!$C$2:$C$55,$A251,dados!$I$2:$I$55,"&lt;&gt;")=0,"",_xlfn.MAXIFS(dados!$I$2:$I$55,dados!$C$2:$C$55,$A251))</f>
        <v/>
      </c>
      <c r="K251" s="6">
        <f>IFERROR(J251-I251,"")</f>
        <v/>
      </c>
    </row>
    <row r="252">
      <c r="A252" s="2" t="inlineStr">
        <is>
          <t>Porto Alegre</t>
        </is>
      </c>
      <c r="B252" s="12" t="inlineStr">
        <is>
          <t>Horários</t>
        </is>
      </c>
      <c r="C252" s="2" t="inlineStr">
        <is>
          <t>fecha_tarde_h</t>
        </is>
      </c>
      <c r="D252" s="2" t="inlineStr">
        <is>
          <t>Fechamento mais tarde da semana (25 = 1h da manhã)</t>
        </is>
      </c>
      <c r="E252" s="5">
        <f>COUNTIFS(dados!$C$2:$C$55,$A252,dados!$J$2:$J$55,"&lt;&gt;")</f>
        <v/>
      </c>
      <c r="F252" s="6">
        <f>IFERROR(AVERAGEIFS(dados!$J$2:$J$55,dados!$C$2:$C$55,$A252),"")</f>
        <v/>
      </c>
      <c r="G252" s="6">
        <f t="array" ref="G252">IFERROR(MEDIAN(IF((dados!$C$2:$C$55=$A252)*(dados!$J$2:$J$55&lt;&gt;""),dados!$J$2:$J$55)),"")</f>
        <v/>
      </c>
      <c r="H252" s="6">
        <f t="array" ref="H252">IFERROR(STDEV(IF((dados!$C$2:$C$55=$A252)*(dados!$J$2:$J$55&lt;&gt;""),dados!$J$2:$J$55)),"")</f>
        <v/>
      </c>
      <c r="I252" s="6">
        <f>IF(COUNTIFS(dados!$C$2:$C$55,$A252,dados!$J$2:$J$55,"&lt;&gt;")=0,"",_xlfn.MINIFS(dados!$J$2:$J$55,dados!$C$2:$C$55,$A252))</f>
        <v/>
      </c>
      <c r="J252" s="6">
        <f>IF(COUNTIFS(dados!$C$2:$C$55,$A252,dados!$J$2:$J$55,"&lt;&gt;")=0,"",_xlfn.MAXIFS(dados!$J$2:$J$55,dados!$C$2:$C$55,$A252))</f>
        <v/>
      </c>
      <c r="K252" s="6">
        <f>IFERROR(J252-I252,"")</f>
        <v/>
      </c>
    </row>
    <row r="253">
      <c r="A253" s="2" t="inlineStr">
        <is>
          <t>Porto Alegre</t>
        </is>
      </c>
      <c r="B253" s="13" t="inlineStr">
        <is>
          <t>Entorno</t>
        </is>
      </c>
      <c r="C253" s="2" t="inlineStr">
        <is>
          <t>metro_500m</t>
        </is>
      </c>
      <c r="D253" s="2" t="inlineStr">
        <is>
          <t>Estações de metrô até 500 m</t>
        </is>
      </c>
      <c r="E253" s="5">
        <f>COUNTIFS(dados!$C$2:$C$55,$A253,dados!$K$2:$K$55,"&lt;&gt;")</f>
        <v/>
      </c>
      <c r="F253" s="4">
        <f>IFERROR(AVERAGEIFS(dados!$K$2:$K$55,dados!$C$2:$C$55,$A253),"")</f>
        <v/>
      </c>
      <c r="G253" s="4">
        <f t="array" ref="G253">IFERROR(MEDIAN(IF((dados!$C$2:$C$55=$A253)*(dados!$K$2:$K$55&lt;&gt;""),dados!$K$2:$K$55)),"")</f>
        <v/>
      </c>
      <c r="H253" s="4">
        <f t="array" ref="H253">IFERROR(STDEV(IF((dados!$C$2:$C$55=$A253)*(dados!$K$2:$K$55&lt;&gt;""),dados!$K$2:$K$55)),"")</f>
        <v/>
      </c>
      <c r="I253" s="4">
        <f>IF(COUNTIFS(dados!$C$2:$C$55,$A253,dados!$K$2:$K$55,"&lt;&gt;")=0,"",_xlfn.MINIFS(dados!$K$2:$K$55,dados!$C$2:$C$55,$A253))</f>
        <v/>
      </c>
      <c r="J253" s="4">
        <f>IF(COUNTIFS(dados!$C$2:$C$55,$A253,dados!$K$2:$K$55,"&lt;&gt;")=0,"",_xlfn.MAXIFS(dados!$K$2:$K$55,dados!$C$2:$C$55,$A253))</f>
        <v/>
      </c>
      <c r="K253" s="4">
        <f>IFERROR(J253-I253,"")</f>
        <v/>
      </c>
    </row>
    <row r="254">
      <c r="A254" s="2" t="inlineStr">
        <is>
          <t>Porto Alegre</t>
        </is>
      </c>
      <c r="B254" s="13" t="inlineStr">
        <is>
          <t>Entorno</t>
        </is>
      </c>
      <c r="C254" s="2" t="inlineStr">
        <is>
          <t>metro_1000m</t>
        </is>
      </c>
      <c r="D254" s="2" t="inlineStr">
        <is>
          <t>Estações de metrô até 1000 m</t>
        </is>
      </c>
      <c r="E254" s="5">
        <f>COUNTIFS(dados!$C$2:$C$55,$A254,dados!$L$2:$L$55,"&lt;&gt;")</f>
        <v/>
      </c>
      <c r="F254" s="4">
        <f>IFERROR(AVERAGEIFS(dados!$L$2:$L$55,dados!$C$2:$C$55,$A254),"")</f>
        <v/>
      </c>
      <c r="G254" s="4">
        <f t="array" ref="G254">IFERROR(MEDIAN(IF((dados!$C$2:$C$55=$A254)*(dados!$L$2:$L$55&lt;&gt;""),dados!$L$2:$L$55)),"")</f>
        <v/>
      </c>
      <c r="H254" s="4">
        <f t="array" ref="H254">IFERROR(STDEV(IF((dados!$C$2:$C$55=$A254)*(dados!$L$2:$L$55&lt;&gt;""),dados!$L$2:$L$55)),"")</f>
        <v/>
      </c>
      <c r="I254" s="4">
        <f>IF(COUNTIFS(dados!$C$2:$C$55,$A254,dados!$L$2:$L$55,"&lt;&gt;")=0,"",_xlfn.MINIFS(dados!$L$2:$L$55,dados!$C$2:$C$55,$A254))</f>
        <v/>
      </c>
      <c r="J254" s="4">
        <f>IF(COUNTIFS(dados!$C$2:$C$55,$A254,dados!$L$2:$L$55,"&lt;&gt;")=0,"",_xlfn.MAXIFS(dados!$L$2:$L$55,dados!$C$2:$C$55,$A254))</f>
        <v/>
      </c>
      <c r="K254" s="4">
        <f>IFERROR(J254-I254,"")</f>
        <v/>
      </c>
    </row>
    <row r="255">
      <c r="A255" s="2" t="inlineStr">
        <is>
          <t>Porto Alegre</t>
        </is>
      </c>
      <c r="B255" s="13" t="inlineStr">
        <is>
          <t>Entorno</t>
        </is>
      </c>
      <c r="C255" s="2" t="inlineStr">
        <is>
          <t>dist_metro_m</t>
        </is>
      </c>
      <c r="D255" s="2" t="inlineStr">
        <is>
          <t>Distância à estação de metrô mais próxima</t>
        </is>
      </c>
      <c r="E255" s="5">
        <f>COUNTIFS(dados!$C$2:$C$55,$A255,dados!$M$2:$M$55,"&lt;&gt;")</f>
        <v/>
      </c>
      <c r="F255" s="5">
        <f>IFERROR(AVERAGEIFS(dados!$M$2:$M$55,dados!$C$2:$C$55,$A255),"")</f>
        <v/>
      </c>
      <c r="G255" s="5">
        <f t="array" ref="G255">IFERROR(MEDIAN(IF((dados!$C$2:$C$55=$A255)*(dados!$M$2:$M$55&lt;&gt;""),dados!$M$2:$M$55)),"")</f>
        <v/>
      </c>
      <c r="H255" s="5">
        <f t="array" ref="H255">IFERROR(STDEV(IF((dados!$C$2:$C$55=$A255)*(dados!$M$2:$M$55&lt;&gt;""),dados!$M$2:$M$55)),"")</f>
        <v/>
      </c>
      <c r="I255" s="5">
        <f>IF(COUNTIFS(dados!$C$2:$C$55,$A255,dados!$M$2:$M$55,"&lt;&gt;")=0,"",_xlfn.MINIFS(dados!$M$2:$M$55,dados!$C$2:$C$55,$A255))</f>
        <v/>
      </c>
      <c r="J255" s="5">
        <f>IF(COUNTIFS(dados!$C$2:$C$55,$A255,dados!$M$2:$M$55,"&lt;&gt;")=0,"",_xlfn.MAXIFS(dados!$M$2:$M$55,dados!$C$2:$C$55,$A255))</f>
        <v/>
      </c>
      <c r="K255" s="5">
        <f>IFERROR(J255-I255,"")</f>
        <v/>
      </c>
    </row>
    <row r="256">
      <c r="A256" s="2" t="inlineStr">
        <is>
          <t>Porto Alegre</t>
        </is>
      </c>
      <c r="B256" s="13" t="inlineStr">
        <is>
          <t>Entorno</t>
        </is>
      </c>
      <c r="C256" s="2" t="inlineStr">
        <is>
          <t>shopping_porte_500m</t>
        </is>
      </c>
      <c r="D256" s="2" t="inlineStr">
        <is>
          <t>Shoppings de porte até 500 m (onde o porte foi buscado)</t>
        </is>
      </c>
      <c r="E256" s="5">
        <f>COUNTIFS(dados!$C$2:$C$55,$A256,dados!$N$2:$N$55,"&lt;&gt;")</f>
        <v/>
      </c>
      <c r="F256" s="4">
        <f>IFERROR(AVERAGEIFS(dados!$N$2:$N$55,dados!$C$2:$C$55,$A256),"")</f>
        <v/>
      </c>
      <c r="G256" s="4">
        <f t="array" ref="G256">IFERROR(MEDIAN(IF((dados!$C$2:$C$55=$A256)*(dados!$N$2:$N$55&lt;&gt;""),dados!$N$2:$N$55)),"")</f>
        <v/>
      </c>
      <c r="H256" s="4">
        <f t="array" ref="H256">IFERROR(STDEV(IF((dados!$C$2:$C$55=$A256)*(dados!$N$2:$N$55&lt;&gt;""),dados!$N$2:$N$55)),"")</f>
        <v/>
      </c>
      <c r="I256" s="4">
        <f>IF(COUNTIFS(dados!$C$2:$C$55,$A256,dados!$N$2:$N$55,"&lt;&gt;")=0,"",_xlfn.MINIFS(dados!$N$2:$N$55,dados!$C$2:$C$55,$A256))</f>
        <v/>
      </c>
      <c r="J256" s="4">
        <f>IF(COUNTIFS(dados!$C$2:$C$55,$A256,dados!$N$2:$N$55,"&lt;&gt;")=0,"",_xlfn.MAXIFS(dados!$N$2:$N$55,dados!$C$2:$C$55,$A256))</f>
        <v/>
      </c>
      <c r="K256" s="4">
        <f>IFERROR(J256-I256,"")</f>
        <v/>
      </c>
    </row>
    <row r="257">
      <c r="A257" s="2" t="inlineStr">
        <is>
          <t>Porto Alegre</t>
        </is>
      </c>
      <c r="B257" s="13" t="inlineStr">
        <is>
          <t>Entorno</t>
        </is>
      </c>
      <c r="C257" s="2" t="inlineStr">
        <is>
          <t>shopping_porte_1000m</t>
        </is>
      </c>
      <c r="D257" s="2" t="inlineStr">
        <is>
          <t>Shoppings de porte até 1000 m (onde o porte foi buscado)</t>
        </is>
      </c>
      <c r="E257" s="5">
        <f>COUNTIFS(dados!$C$2:$C$55,$A257,dados!$O$2:$O$55,"&lt;&gt;")</f>
        <v/>
      </c>
      <c r="F257" s="4">
        <f>IFERROR(AVERAGEIFS(dados!$O$2:$O$55,dados!$C$2:$C$55,$A257),"")</f>
        <v/>
      </c>
      <c r="G257" s="4">
        <f t="array" ref="G257">IFERROR(MEDIAN(IF((dados!$C$2:$C$55=$A257)*(dados!$O$2:$O$55&lt;&gt;""),dados!$O$2:$O$55)),"")</f>
        <v/>
      </c>
      <c r="H257" s="4">
        <f t="array" ref="H257">IFERROR(STDEV(IF((dados!$C$2:$C$55=$A257)*(dados!$O$2:$O$55&lt;&gt;""),dados!$O$2:$O$55)),"")</f>
        <v/>
      </c>
      <c r="I257" s="4">
        <f>IF(COUNTIFS(dados!$C$2:$C$55,$A257,dados!$O$2:$O$55,"&lt;&gt;")=0,"",_xlfn.MINIFS(dados!$O$2:$O$55,dados!$C$2:$C$55,$A257))</f>
        <v/>
      </c>
      <c r="J257" s="4">
        <f>IF(COUNTIFS(dados!$C$2:$C$55,$A257,dados!$O$2:$O$55,"&lt;&gt;")=0,"",_xlfn.MAXIFS(dados!$O$2:$O$55,dados!$C$2:$C$55,$A257))</f>
        <v/>
      </c>
      <c r="K257" s="4">
        <f>IFERROR(J257-I257,"")</f>
        <v/>
      </c>
    </row>
    <row r="258">
      <c r="A258" s="2" t="inlineStr">
        <is>
          <t>Porto Alegre</t>
        </is>
      </c>
      <c r="B258" s="13" t="inlineStr">
        <is>
          <t>Entorno</t>
        </is>
      </c>
      <c r="C258" s="2" t="inlineStr">
        <is>
          <t>dist_shopping_m</t>
        </is>
      </c>
      <c r="D258" s="2" t="inlineStr">
        <is>
          <t>Distância ao shopping mais próximo (qualquer porte)</t>
        </is>
      </c>
      <c r="E258" s="5">
        <f>COUNTIFS(dados!$C$2:$C$55,$A258,dados!$P$2:$P$55,"&lt;&gt;")</f>
        <v/>
      </c>
      <c r="F258" s="5">
        <f>IFERROR(AVERAGEIFS(dados!$P$2:$P$55,dados!$C$2:$C$55,$A258),"")</f>
        <v/>
      </c>
      <c r="G258" s="5">
        <f t="array" ref="G258">IFERROR(MEDIAN(IF((dados!$C$2:$C$55=$A258)*(dados!$P$2:$P$55&lt;&gt;""),dados!$P$2:$P$55)),"")</f>
        <v/>
      </c>
      <c r="H258" s="5">
        <f t="array" ref="H258">IFERROR(STDEV(IF((dados!$C$2:$C$55=$A258)*(dados!$P$2:$P$55&lt;&gt;""),dados!$P$2:$P$55)),"")</f>
        <v/>
      </c>
      <c r="I258" s="5">
        <f>IF(COUNTIFS(dados!$C$2:$C$55,$A258,dados!$P$2:$P$55,"&lt;&gt;")=0,"",_xlfn.MINIFS(dados!$P$2:$P$55,dados!$C$2:$C$55,$A258))</f>
        <v/>
      </c>
      <c r="J258" s="5">
        <f>IF(COUNTIFS(dados!$C$2:$C$55,$A258,dados!$P$2:$P$55,"&lt;&gt;")=0,"",_xlfn.MAXIFS(dados!$P$2:$P$55,dados!$C$2:$C$55,$A258))</f>
        <v/>
      </c>
      <c r="K258" s="5">
        <f>IFERROR(J258-I258,"")</f>
        <v/>
      </c>
    </row>
    <row r="259">
      <c r="A259" s="2" t="inlineStr">
        <is>
          <t>Porto Alegre</t>
        </is>
      </c>
      <c r="B259" s="14" t="inlineStr">
        <is>
          <t>Instagram</t>
        </is>
      </c>
      <c r="C259" s="2" t="inlineStr">
        <is>
          <t>seguidores</t>
        </is>
      </c>
      <c r="D259" s="2" t="inlineStr">
        <is>
          <t>Seguidores</t>
        </is>
      </c>
      <c r="E259" s="5">
        <f>COUNTIFS(dados!$C$2:$C$55,$A259,dados!$Q$2:$Q$55,"&lt;&gt;")</f>
        <v/>
      </c>
      <c r="F259" s="5">
        <f>IFERROR(AVERAGEIFS(dados!$Q$2:$Q$55,dados!$C$2:$C$55,$A259),"")</f>
        <v/>
      </c>
      <c r="G259" s="5">
        <f t="array" ref="G259">IFERROR(MEDIAN(IF((dados!$C$2:$C$55=$A259)*(dados!$Q$2:$Q$55&lt;&gt;""),dados!$Q$2:$Q$55)),"")</f>
        <v/>
      </c>
      <c r="H259" s="5">
        <f t="array" ref="H259">IFERROR(STDEV(IF((dados!$C$2:$C$55=$A259)*(dados!$Q$2:$Q$55&lt;&gt;""),dados!$Q$2:$Q$55)),"")</f>
        <v/>
      </c>
      <c r="I259" s="5">
        <f>IF(COUNTIFS(dados!$C$2:$C$55,$A259,dados!$Q$2:$Q$55,"&lt;&gt;")=0,"",_xlfn.MINIFS(dados!$Q$2:$Q$55,dados!$C$2:$C$55,$A259))</f>
        <v/>
      </c>
      <c r="J259" s="5">
        <f>IF(COUNTIFS(dados!$C$2:$C$55,$A259,dados!$Q$2:$Q$55,"&lt;&gt;")=0,"",_xlfn.MAXIFS(dados!$Q$2:$Q$55,dados!$C$2:$C$55,$A259))</f>
        <v/>
      </c>
      <c r="K259" s="5">
        <f>IFERROR(J259-I259,"")</f>
        <v/>
      </c>
    </row>
    <row r="260">
      <c r="A260" s="2" t="inlineStr">
        <is>
          <t>Porto Alegre</t>
        </is>
      </c>
      <c r="B260" s="14" t="inlineStr">
        <is>
          <t>Instagram</t>
        </is>
      </c>
      <c r="C260" s="2" t="inlineStr">
        <is>
          <t>n_posts_total</t>
        </is>
      </c>
      <c r="D260" s="2" t="inlineStr">
        <is>
          <t>Posts desde a criação do perfil</t>
        </is>
      </c>
      <c r="E260" s="5">
        <f>COUNTIFS(dados!$C$2:$C$55,$A260,dados!$R$2:$R$55,"&lt;&gt;")</f>
        <v/>
      </c>
      <c r="F260" s="5">
        <f>IFERROR(AVERAGEIFS(dados!$R$2:$R$55,dados!$C$2:$C$55,$A260),"")</f>
        <v/>
      </c>
      <c r="G260" s="5">
        <f t="array" ref="G260">IFERROR(MEDIAN(IF((dados!$C$2:$C$55=$A260)*(dados!$R$2:$R$55&lt;&gt;""),dados!$R$2:$R$55)),"")</f>
        <v/>
      </c>
      <c r="H260" s="5">
        <f t="array" ref="H260">IFERROR(STDEV(IF((dados!$C$2:$C$55=$A260)*(dados!$R$2:$R$55&lt;&gt;""),dados!$R$2:$R$55)),"")</f>
        <v/>
      </c>
      <c r="I260" s="5">
        <f>IF(COUNTIFS(dados!$C$2:$C$55,$A260,dados!$R$2:$R$55,"&lt;&gt;")=0,"",_xlfn.MINIFS(dados!$R$2:$R$55,dados!$C$2:$C$55,$A260))</f>
        <v/>
      </c>
      <c r="J260" s="5">
        <f>IF(COUNTIFS(dados!$C$2:$C$55,$A260,dados!$R$2:$R$55,"&lt;&gt;")=0,"",_xlfn.MAXIFS(dados!$R$2:$R$55,dados!$C$2:$C$55,$A260))</f>
        <v/>
      </c>
      <c r="K260" s="5">
        <f>IFERROR(J260-I260,"")</f>
        <v/>
      </c>
    </row>
    <row r="261">
      <c r="A261" s="2" t="inlineStr">
        <is>
          <t>Porto Alegre</t>
        </is>
      </c>
      <c r="B261" s="14" t="inlineStr">
        <is>
          <t>Instagram</t>
        </is>
      </c>
      <c r="C261" s="2" t="inlineStr">
        <is>
          <t>idade_perfil_anos</t>
        </is>
      </c>
      <c r="D261" s="2" t="inlineStr">
        <is>
          <t>Idade do perfil (desde o primeiro post até 15/10/2026)</t>
        </is>
      </c>
      <c r="E261" s="5">
        <f>COUNTIFS(dados!$C$2:$C$55,$A261,dados!$S$2:$S$55,"&lt;&gt;")</f>
        <v/>
      </c>
      <c r="F261" s="6">
        <f>IFERROR(AVERAGEIFS(dados!$S$2:$S$55,dados!$C$2:$C$55,$A261),"")</f>
        <v/>
      </c>
      <c r="G261" s="6">
        <f t="array" ref="G261">IFERROR(MEDIAN(IF((dados!$C$2:$C$55=$A261)*(dados!$S$2:$S$55&lt;&gt;""),dados!$S$2:$S$55)),"")</f>
        <v/>
      </c>
      <c r="H261" s="6">
        <f t="array" ref="H261">IFERROR(STDEV(IF((dados!$C$2:$C$55=$A261)*(dados!$S$2:$S$55&lt;&gt;""),dados!$S$2:$S$55)),"")</f>
        <v/>
      </c>
      <c r="I261" s="6">
        <f>IF(COUNTIFS(dados!$C$2:$C$55,$A261,dados!$S$2:$S$55,"&lt;&gt;")=0,"",_xlfn.MINIFS(dados!$S$2:$S$55,dados!$C$2:$C$55,$A261))</f>
        <v/>
      </c>
      <c r="J261" s="6">
        <f>IF(COUNTIFS(dados!$C$2:$C$55,$A261,dados!$S$2:$S$55,"&lt;&gt;")=0,"",_xlfn.MAXIFS(dados!$S$2:$S$55,dados!$C$2:$C$55,$A261))</f>
        <v/>
      </c>
      <c r="K261" s="6">
        <f>IFERROR(J261-I261,"")</f>
        <v/>
      </c>
    </row>
    <row r="262">
      <c r="A262" s="2" t="inlineStr">
        <is>
          <t>Porto Alegre</t>
        </is>
      </c>
      <c r="B262" s="14" t="inlineStr">
        <is>
          <t>Instagram</t>
        </is>
      </c>
      <c r="C262" s="2" t="inlineStr">
        <is>
          <t>n_posts_periodo</t>
        </is>
      </c>
      <c r="D262" s="2" t="inlineStr">
        <is>
          <t>Posts de 01/09 a 01/10/2026</t>
        </is>
      </c>
      <c r="E262" s="5">
        <f>COUNTIFS(dados!$C$2:$C$55,$A262,dados!$T$2:$T$55,"&lt;&gt;")</f>
        <v/>
      </c>
      <c r="F262" s="6">
        <f>IFERROR(AVERAGEIFS(dados!$T$2:$T$55,dados!$C$2:$C$55,$A262),"")</f>
        <v/>
      </c>
      <c r="G262" s="6">
        <f t="array" ref="G262">IFERROR(MEDIAN(IF((dados!$C$2:$C$55=$A262)*(dados!$T$2:$T$55&lt;&gt;""),dados!$T$2:$T$55)),"")</f>
        <v/>
      </c>
      <c r="H262" s="6">
        <f t="array" ref="H262">IFERROR(STDEV(IF((dados!$C$2:$C$55=$A262)*(dados!$T$2:$T$55&lt;&gt;""),dados!$T$2:$T$55)),"")</f>
        <v/>
      </c>
      <c r="I262" s="6">
        <f>IF(COUNTIFS(dados!$C$2:$C$55,$A262,dados!$T$2:$T$55,"&lt;&gt;")=0,"",_xlfn.MINIFS(dados!$T$2:$T$55,dados!$C$2:$C$55,$A262))</f>
        <v/>
      </c>
      <c r="J262" s="6">
        <f>IF(COUNTIFS(dados!$C$2:$C$55,$A262,dados!$T$2:$T$55,"&lt;&gt;")=0,"",_xlfn.MAXIFS(dados!$T$2:$T$55,dados!$C$2:$C$55,$A262))</f>
        <v/>
      </c>
      <c r="K262" s="6">
        <f>IFERROR(J262-I262,"")</f>
        <v/>
      </c>
    </row>
    <row r="263">
      <c r="A263" s="2" t="inlineStr">
        <is>
          <t>Porto Alegre</t>
        </is>
      </c>
      <c r="B263" s="14" t="inlineStr">
        <is>
          <t>Instagram</t>
        </is>
      </c>
      <c r="C263" s="2" t="inlineStr">
        <is>
          <t>curtidas_periodo</t>
        </is>
      </c>
      <c r="D263" s="2" t="inlineStr">
        <is>
          <t>Curtidas no período</t>
        </is>
      </c>
      <c r="E263" s="5">
        <f>COUNTIFS(dados!$C$2:$C$55,$A263,dados!$U$2:$U$55,"&lt;&gt;")</f>
        <v/>
      </c>
      <c r="F263" s="5">
        <f>IFERROR(AVERAGEIFS(dados!$U$2:$U$55,dados!$C$2:$C$55,$A263),"")</f>
        <v/>
      </c>
      <c r="G263" s="5">
        <f t="array" ref="G263">IFERROR(MEDIAN(IF((dados!$C$2:$C$55=$A263)*(dados!$U$2:$U$55&lt;&gt;""),dados!$U$2:$U$55)),"")</f>
        <v/>
      </c>
      <c r="H263" s="5">
        <f t="array" ref="H263">IFERROR(STDEV(IF((dados!$C$2:$C$55=$A263)*(dados!$U$2:$U$55&lt;&gt;""),dados!$U$2:$U$55)),"")</f>
        <v/>
      </c>
      <c r="I263" s="5">
        <f>IF(COUNTIFS(dados!$C$2:$C$55,$A263,dados!$U$2:$U$55,"&lt;&gt;")=0,"",_xlfn.MINIFS(dados!$U$2:$U$55,dados!$C$2:$C$55,$A263))</f>
        <v/>
      </c>
      <c r="J263" s="5">
        <f>IF(COUNTIFS(dados!$C$2:$C$55,$A263,dados!$U$2:$U$55,"&lt;&gt;")=0,"",_xlfn.MAXIFS(dados!$U$2:$U$55,dados!$C$2:$C$55,$A263))</f>
        <v/>
      </c>
      <c r="K263" s="5">
        <f>IFERROR(J263-I263,"")</f>
        <v/>
      </c>
    </row>
    <row r="264">
      <c r="A264" s="2" t="inlineStr">
        <is>
          <t>Porto Alegre</t>
        </is>
      </c>
      <c r="B264" s="14" t="inlineStr">
        <is>
          <t>Instagram</t>
        </is>
      </c>
      <c r="C264" s="2" t="inlineStr">
        <is>
          <t>comentarios_periodo</t>
        </is>
      </c>
      <c r="D264" s="2" t="inlineStr">
        <is>
          <t>Comentários no período</t>
        </is>
      </c>
      <c r="E264" s="5">
        <f>COUNTIFS(dados!$C$2:$C$55,$A264,dados!$V$2:$V$55,"&lt;&gt;")</f>
        <v/>
      </c>
      <c r="F264" s="5">
        <f>IFERROR(AVERAGEIFS(dados!$V$2:$V$55,dados!$C$2:$C$55,$A264),"")</f>
        <v/>
      </c>
      <c r="G264" s="5">
        <f t="array" ref="G264">IFERROR(MEDIAN(IF((dados!$C$2:$C$55=$A264)*(dados!$V$2:$V$55&lt;&gt;""),dados!$V$2:$V$55)),"")</f>
        <v/>
      </c>
      <c r="H264" s="5">
        <f t="array" ref="H264">IFERROR(STDEV(IF((dados!$C$2:$C$55=$A264)*(dados!$V$2:$V$55&lt;&gt;""),dados!$V$2:$V$55)),"")</f>
        <v/>
      </c>
      <c r="I264" s="5">
        <f>IF(COUNTIFS(dados!$C$2:$C$55,$A264,dados!$V$2:$V$55,"&lt;&gt;")=0,"",_xlfn.MINIFS(dados!$V$2:$V$55,dados!$C$2:$C$55,$A264))</f>
        <v/>
      </c>
      <c r="J264" s="5">
        <f>IF(COUNTIFS(dados!$C$2:$C$55,$A264,dados!$V$2:$V$55,"&lt;&gt;")=0,"",_xlfn.MAXIFS(dados!$V$2:$V$55,dados!$C$2:$C$55,$A264))</f>
        <v/>
      </c>
      <c r="K264" s="5">
        <f>IFERROR(J264-I264,"")</f>
        <v/>
      </c>
    </row>
    <row r="265">
      <c r="A265" s="2" t="inlineStr">
        <is>
          <t>Porto Alegre</t>
        </is>
      </c>
      <c r="B265" s="14" t="inlineStr">
        <is>
          <t>Instagram</t>
        </is>
      </c>
      <c r="C265" s="2" t="inlineStr">
        <is>
          <t>interacoes_por_post</t>
        </is>
      </c>
      <c r="D265" s="2" t="inlineStr">
        <is>
          <t>Interações por post no período (curtidas + comentários)</t>
        </is>
      </c>
      <c r="E265" s="5">
        <f>COUNTIFS(dados!$C$2:$C$55,$A265,dados!$W$2:$W$55,"&lt;&gt;")</f>
        <v/>
      </c>
      <c r="F265" s="6">
        <f>IFERROR(AVERAGEIFS(dados!$W$2:$W$55,dados!$C$2:$C$55,$A265),"")</f>
        <v/>
      </c>
      <c r="G265" s="6">
        <f t="array" ref="G265">IFERROR(MEDIAN(IF((dados!$C$2:$C$55=$A265)*(dados!$W$2:$W$55&lt;&gt;""),dados!$W$2:$W$55)),"")</f>
        <v/>
      </c>
      <c r="H265" s="6">
        <f t="array" ref="H265">IFERROR(STDEV(IF((dados!$C$2:$C$55=$A265)*(dados!$W$2:$W$55&lt;&gt;""),dados!$W$2:$W$55)),"")</f>
        <v/>
      </c>
      <c r="I265" s="6">
        <f>IF(COUNTIFS(dados!$C$2:$C$55,$A265,dados!$W$2:$W$55,"&lt;&gt;")=0,"",_xlfn.MINIFS(dados!$W$2:$W$55,dados!$C$2:$C$55,$A265))</f>
        <v/>
      </c>
      <c r="J265" s="6">
        <f>IF(COUNTIFS(dados!$C$2:$C$55,$A265,dados!$W$2:$W$55,"&lt;&gt;")=0,"",_xlfn.MAXIFS(dados!$W$2:$W$55,dados!$C$2:$C$55,$A265))</f>
        <v/>
      </c>
      <c r="K265" s="6">
        <f>IFERROR(J265-I265,"")</f>
        <v/>
      </c>
    </row>
    <row r="266">
      <c r="A266" s="2" t="inlineStr">
        <is>
          <t>Porto Alegre</t>
        </is>
      </c>
      <c r="B266" s="14" t="inlineStr">
        <is>
          <t>Instagram</t>
        </is>
      </c>
      <c r="C266" s="2" t="inlineStr">
        <is>
          <t>engajamento_pct</t>
        </is>
      </c>
      <c r="D266" s="2" t="inlineStr">
        <is>
          <t>Taxa de engajamento (interações por post ÷ seguidores)</t>
        </is>
      </c>
      <c r="E266" s="5">
        <f>COUNTIFS(dados!$C$2:$C$55,$A266,dados!$X$2:$X$55,"&lt;&gt;")</f>
        <v/>
      </c>
      <c r="F266" s="15">
        <f>IFERROR(AVERAGEIFS(dados!$X$2:$X$55,dados!$C$2:$C$55,$A266),"")</f>
        <v/>
      </c>
      <c r="G266" s="15">
        <f t="array" ref="G266">IFERROR(MEDIAN(IF((dados!$C$2:$C$55=$A266)*(dados!$X$2:$X$55&lt;&gt;""),dados!$X$2:$X$55)),"")</f>
        <v/>
      </c>
      <c r="H266" s="15">
        <f t="array" ref="H266">IFERROR(STDEV(IF((dados!$C$2:$C$55=$A266)*(dados!$X$2:$X$55&lt;&gt;""),dados!$X$2:$X$55)),"")</f>
        <v/>
      </c>
      <c r="I266" s="15">
        <f>IF(COUNTIFS(dados!$C$2:$C$55,$A266,dados!$X$2:$X$55,"&lt;&gt;")=0,"",_xlfn.MINIFS(dados!$X$2:$X$55,dados!$C$2:$C$55,$A266))</f>
        <v/>
      </c>
      <c r="J266" s="15">
        <f>IF(COUNTIFS(dados!$C$2:$C$55,$A266,dados!$X$2:$X$55,"&lt;&gt;")=0,"",_xlfn.MAXIFS(dados!$X$2:$X$55,dados!$C$2:$C$55,$A266))</f>
        <v/>
      </c>
      <c r="K266" s="15">
        <f>IFERROR(J266-I266,"")</f>
        <v/>
      </c>
    </row>
    <row r="267">
      <c r="A267" s="2" t="inlineStr">
        <is>
          <t>Porto Alegre</t>
        </is>
      </c>
      <c r="B267" s="16" t="inlineStr">
        <is>
          <t>Cardápio</t>
        </is>
      </c>
      <c r="C267" s="2" t="inlineStr">
        <is>
          <t>itens_com_preco</t>
        </is>
      </c>
      <c r="D267" s="2" t="inlineStr">
        <is>
          <t>Itens com preço no cardápio</t>
        </is>
      </c>
      <c r="E267" s="5">
        <f>COUNTIFS(dados!$C$2:$C$55,$A267,dados!$Y$2:$Y$55,"&lt;&gt;")</f>
        <v/>
      </c>
      <c r="F267" s="5">
        <f>IFERROR(AVERAGEIFS(dados!$Y$2:$Y$55,dados!$C$2:$C$55,$A267),"")</f>
        <v/>
      </c>
      <c r="G267" s="5">
        <f t="array" ref="G267">IFERROR(MEDIAN(IF((dados!$C$2:$C$55=$A267)*(dados!$Y$2:$Y$55&lt;&gt;""),dados!$Y$2:$Y$55)),"")</f>
        <v/>
      </c>
      <c r="H267" s="5">
        <f t="array" ref="H267">IFERROR(STDEV(IF((dados!$C$2:$C$55=$A267)*(dados!$Y$2:$Y$55&lt;&gt;""),dados!$Y$2:$Y$55)),"")</f>
        <v/>
      </c>
      <c r="I267" s="5">
        <f>IF(COUNTIFS(dados!$C$2:$C$55,$A267,dados!$Y$2:$Y$55,"&lt;&gt;")=0,"",_xlfn.MINIFS(dados!$Y$2:$Y$55,dados!$C$2:$C$55,$A267))</f>
        <v/>
      </c>
      <c r="J267" s="5">
        <f>IF(COUNTIFS(dados!$C$2:$C$55,$A267,dados!$Y$2:$Y$55,"&lt;&gt;")=0,"",_xlfn.MAXIFS(dados!$Y$2:$Y$55,dados!$C$2:$C$55,$A267))</f>
        <v/>
      </c>
      <c r="K267" s="5">
        <f>IFERROR(J267-I267,"")</f>
        <v/>
      </c>
    </row>
    <row r="268">
      <c r="A268" s="2" t="inlineStr">
        <is>
          <t>Porto Alegre</t>
        </is>
      </c>
      <c r="B268" s="16" t="inlineStr">
        <is>
          <t>Cardápio</t>
        </is>
      </c>
      <c r="C268" s="2" t="inlineStr">
        <is>
          <t>couvert_mediana</t>
        </is>
      </c>
      <c r="D268" s="2" t="inlineStr">
        <is>
          <t>Couvert ou taxa de jogo (só casas que cobram)</t>
        </is>
      </c>
      <c r="E268" s="5">
        <f>COUNTIFS(dados!$C$2:$C$55,$A268,dados!$Z$2:$Z$55,"&lt;&gt;")</f>
        <v/>
      </c>
      <c r="F268" s="7">
        <f>IFERROR(AVERAGEIFS(dados!$Z$2:$Z$55,dados!$C$2:$C$55,$A268),"")</f>
        <v/>
      </c>
      <c r="G268" s="7">
        <f t="array" ref="G268">IFERROR(MEDIAN(IF((dados!$C$2:$C$55=$A268)*(dados!$Z$2:$Z$55&lt;&gt;""),dados!$Z$2:$Z$55)),"")</f>
        <v/>
      </c>
      <c r="H268" s="7">
        <f t="array" ref="H268">IFERROR(STDEV(IF((dados!$C$2:$C$55=$A268)*(dados!$Z$2:$Z$55&lt;&gt;""),dados!$Z$2:$Z$55)),"")</f>
        <v/>
      </c>
      <c r="I268" s="7">
        <f>IF(COUNTIFS(dados!$C$2:$C$55,$A268,dados!$Z$2:$Z$55,"&lt;&gt;")=0,"",_xlfn.MINIFS(dados!$Z$2:$Z$55,dados!$C$2:$C$55,$A268))</f>
        <v/>
      </c>
      <c r="J268" s="7">
        <f>IF(COUNTIFS(dados!$C$2:$C$55,$A268,dados!$Z$2:$Z$55,"&lt;&gt;")=0,"",_xlfn.MAXIFS(dados!$Z$2:$Z$55,dados!$C$2:$C$55,$A268))</f>
        <v/>
      </c>
      <c r="K268" s="7">
        <f>IFERROR(J268-I268,"")</f>
        <v/>
      </c>
    </row>
    <row r="269">
      <c r="A269" s="2" t="inlineStr">
        <is>
          <t>Porto Alegre</t>
        </is>
      </c>
      <c r="B269" s="16" t="inlineStr">
        <is>
          <t>Cardápio</t>
        </is>
      </c>
      <c r="C269" s="2" t="inlineStr">
        <is>
          <t>bebida_mediana</t>
        </is>
      </c>
      <c r="D269" s="2" t="inlineStr">
        <is>
          <t>Bebida, mediana do cardápio</t>
        </is>
      </c>
      <c r="E269" s="5">
        <f>COUNTIFS(dados!$C$2:$C$55,$A269,dados!$AA$2:$AA$55,"&lt;&gt;")</f>
        <v/>
      </c>
      <c r="F269" s="7">
        <f>IFERROR(AVERAGEIFS(dados!$AA$2:$AA$55,dados!$C$2:$C$55,$A269),"")</f>
        <v/>
      </c>
      <c r="G269" s="7">
        <f t="array" ref="G269">IFERROR(MEDIAN(IF((dados!$C$2:$C$55=$A269)*(dados!$AA$2:$AA$55&lt;&gt;""),dados!$AA$2:$AA$55)),"")</f>
        <v/>
      </c>
      <c r="H269" s="7">
        <f t="array" ref="H269">IFERROR(STDEV(IF((dados!$C$2:$C$55=$A269)*(dados!$AA$2:$AA$55&lt;&gt;""),dados!$AA$2:$AA$55)),"")</f>
        <v/>
      </c>
      <c r="I269" s="7">
        <f>IF(COUNTIFS(dados!$C$2:$C$55,$A269,dados!$AA$2:$AA$55,"&lt;&gt;")=0,"",_xlfn.MINIFS(dados!$AA$2:$AA$55,dados!$C$2:$C$55,$A269))</f>
        <v/>
      </c>
      <c r="J269" s="7">
        <f>IF(COUNTIFS(dados!$C$2:$C$55,$A269,dados!$AA$2:$AA$55,"&lt;&gt;")=0,"",_xlfn.MAXIFS(dados!$AA$2:$AA$55,dados!$C$2:$C$55,$A269))</f>
        <v/>
      </c>
      <c r="K269" s="7">
        <f>IFERROR(J269-I269,"")</f>
        <v/>
      </c>
    </row>
    <row r="270">
      <c r="A270" s="2" t="inlineStr">
        <is>
          <t>Porto Alegre</t>
        </is>
      </c>
      <c r="B270" s="16" t="inlineStr">
        <is>
          <t>Cardápio</t>
        </is>
      </c>
      <c r="C270" s="2" t="inlineStr">
        <is>
          <t>entrada_ou_prato_mediana</t>
        </is>
      </c>
      <c r="D270" s="2" t="inlineStr">
        <is>
          <t>Entrada ou prato, mediana do cardápio</t>
        </is>
      </c>
      <c r="E270" s="5">
        <f>COUNTIFS(dados!$C$2:$C$55,$A270,dados!$AB$2:$AB$55,"&lt;&gt;")</f>
        <v/>
      </c>
      <c r="F270" s="7">
        <f>IFERROR(AVERAGEIFS(dados!$AB$2:$AB$55,dados!$C$2:$C$55,$A270),"")</f>
        <v/>
      </c>
      <c r="G270" s="7">
        <f t="array" ref="G270">IFERROR(MEDIAN(IF((dados!$C$2:$C$55=$A270)*(dados!$AB$2:$AB$55&lt;&gt;""),dados!$AB$2:$AB$55)),"")</f>
        <v/>
      </c>
      <c r="H270" s="7">
        <f t="array" ref="H270">IFERROR(STDEV(IF((dados!$C$2:$C$55=$A270)*(dados!$AB$2:$AB$55&lt;&gt;""),dados!$AB$2:$AB$55)),"")</f>
        <v/>
      </c>
      <c r="I270" s="7">
        <f>IF(COUNTIFS(dados!$C$2:$C$55,$A270,dados!$AB$2:$AB$55,"&lt;&gt;")=0,"",_xlfn.MINIFS(dados!$AB$2:$AB$55,dados!$C$2:$C$55,$A270))</f>
        <v/>
      </c>
      <c r="J270" s="7">
        <f>IF(COUNTIFS(dados!$C$2:$C$55,$A270,dados!$AB$2:$AB$55,"&lt;&gt;")=0,"",_xlfn.MAXIFS(dados!$AB$2:$AB$55,dados!$C$2:$C$55,$A270))</f>
        <v/>
      </c>
      <c r="K270" s="7">
        <f>IFERROR(J270-I270,"")</f>
        <v/>
      </c>
    </row>
    <row r="271">
      <c r="A271" s="2" t="inlineStr">
        <is>
          <t>Porto Alegre</t>
        </is>
      </c>
      <c r="B271" s="16" t="inlineStr">
        <is>
          <t>Cardápio</t>
        </is>
      </c>
      <c r="C271" s="2" t="inlineStr">
        <is>
          <t>cesta_baixa</t>
        </is>
      </c>
      <c r="D271" s="2" t="inlineStr">
        <is>
          <t>Cesta por pessoa, nível baixo (P25)</t>
        </is>
      </c>
      <c r="E271" s="5">
        <f>COUNTIFS(dados!$C$2:$C$55,$A271,dados!$AC$2:$AC$55,"&lt;&gt;")</f>
        <v/>
      </c>
      <c r="F271" s="7">
        <f>IFERROR(AVERAGEIFS(dados!$AC$2:$AC$55,dados!$C$2:$C$55,$A271),"")</f>
        <v/>
      </c>
      <c r="G271" s="7">
        <f t="array" ref="G271">IFERROR(MEDIAN(IF((dados!$C$2:$C$55=$A271)*(dados!$AC$2:$AC$55&lt;&gt;""),dados!$AC$2:$AC$55)),"")</f>
        <v/>
      </c>
      <c r="H271" s="7">
        <f t="array" ref="H271">IFERROR(STDEV(IF((dados!$C$2:$C$55=$A271)*(dados!$AC$2:$AC$55&lt;&gt;""),dados!$AC$2:$AC$55)),"")</f>
        <v/>
      </c>
      <c r="I271" s="7">
        <f>IF(COUNTIFS(dados!$C$2:$C$55,$A271,dados!$AC$2:$AC$55,"&lt;&gt;")=0,"",_xlfn.MINIFS(dados!$AC$2:$AC$55,dados!$C$2:$C$55,$A271))</f>
        <v/>
      </c>
      <c r="J271" s="7">
        <f>IF(COUNTIFS(dados!$C$2:$C$55,$A271,dados!$AC$2:$AC$55,"&lt;&gt;")=0,"",_xlfn.MAXIFS(dados!$AC$2:$AC$55,dados!$C$2:$C$55,$A271))</f>
        <v/>
      </c>
      <c r="K271" s="7">
        <f>IFERROR(J271-I271,"")</f>
        <v/>
      </c>
    </row>
    <row r="272">
      <c r="A272" s="2" t="inlineStr">
        <is>
          <t>Porto Alegre</t>
        </is>
      </c>
      <c r="B272" s="16" t="inlineStr">
        <is>
          <t>Cardápio</t>
        </is>
      </c>
      <c r="C272" s="2" t="inlineStr">
        <is>
          <t>cesta_mediana</t>
        </is>
      </c>
      <c r="D272" s="2" t="inlineStr">
        <is>
          <t>Cesta por pessoa, nível mediano</t>
        </is>
      </c>
      <c r="E272" s="5">
        <f>COUNTIFS(dados!$C$2:$C$55,$A272,dados!$AD$2:$AD$55,"&lt;&gt;")</f>
        <v/>
      </c>
      <c r="F272" s="7">
        <f>IFERROR(AVERAGEIFS(dados!$AD$2:$AD$55,dados!$C$2:$C$55,$A272),"")</f>
        <v/>
      </c>
      <c r="G272" s="7">
        <f t="array" ref="G272">IFERROR(MEDIAN(IF((dados!$C$2:$C$55=$A272)*(dados!$AD$2:$AD$55&lt;&gt;""),dados!$AD$2:$AD$55)),"")</f>
        <v/>
      </c>
      <c r="H272" s="7">
        <f t="array" ref="H272">IFERROR(STDEV(IF((dados!$C$2:$C$55=$A272)*(dados!$AD$2:$AD$55&lt;&gt;""),dados!$AD$2:$AD$55)),"")</f>
        <v/>
      </c>
      <c r="I272" s="7">
        <f>IF(COUNTIFS(dados!$C$2:$C$55,$A272,dados!$AD$2:$AD$55,"&lt;&gt;")=0,"",_xlfn.MINIFS(dados!$AD$2:$AD$55,dados!$C$2:$C$55,$A272))</f>
        <v/>
      </c>
      <c r="J272" s="7">
        <f>IF(COUNTIFS(dados!$C$2:$C$55,$A272,dados!$AD$2:$AD$55,"&lt;&gt;")=0,"",_xlfn.MAXIFS(dados!$AD$2:$AD$55,dados!$C$2:$C$55,$A272))</f>
        <v/>
      </c>
      <c r="K272" s="7">
        <f>IFERROR(J272-I272,"")</f>
        <v/>
      </c>
    </row>
    <row r="273">
      <c r="A273" s="2" t="inlineStr">
        <is>
          <t>Porto Alegre</t>
        </is>
      </c>
      <c r="B273" s="16" t="inlineStr">
        <is>
          <t>Cardápio</t>
        </is>
      </c>
      <c r="C273" s="2" t="inlineStr">
        <is>
          <t>cesta_alta</t>
        </is>
      </c>
      <c r="D273" s="2" t="inlineStr">
        <is>
          <t>Cesta por pessoa, nível alto (P75)</t>
        </is>
      </c>
      <c r="E273" s="5">
        <f>COUNTIFS(dados!$C$2:$C$55,$A273,dados!$AE$2:$AE$55,"&lt;&gt;")</f>
        <v/>
      </c>
      <c r="F273" s="7">
        <f>IFERROR(AVERAGEIFS(dados!$AE$2:$AE$55,dados!$C$2:$C$55,$A273),"")</f>
        <v/>
      </c>
      <c r="G273" s="7">
        <f t="array" ref="G273">IFERROR(MEDIAN(IF((dados!$C$2:$C$55=$A273)*(dados!$AE$2:$AE$55&lt;&gt;""),dados!$AE$2:$AE$55)),"")</f>
        <v/>
      </c>
      <c r="H273" s="7">
        <f t="array" ref="H273">IFERROR(STDEV(IF((dados!$C$2:$C$55=$A273)*(dados!$AE$2:$AE$55&lt;&gt;""),dados!$AE$2:$AE$55)),"")</f>
        <v/>
      </c>
      <c r="I273" s="7">
        <f>IF(COUNTIFS(dados!$C$2:$C$55,$A273,dados!$AE$2:$AE$55,"&lt;&gt;")=0,"",_xlfn.MINIFS(dados!$AE$2:$AE$55,dados!$C$2:$C$55,$A273))</f>
        <v/>
      </c>
      <c r="J273" s="7">
        <f>IF(COUNTIFS(dados!$C$2:$C$55,$A273,dados!$AE$2:$AE$55,"&lt;&gt;")=0,"",_xlfn.MAXIFS(dados!$AE$2:$AE$55,dados!$C$2:$C$55,$A273))</f>
        <v/>
      </c>
      <c r="K273" s="7">
        <f>IFERROR(J273-I273,"")</f>
        <v/>
      </c>
    </row>
    <row r="274">
      <c r="A274" s="2" t="inlineStr">
        <is>
          <t>Porto Alegre</t>
        </is>
      </c>
      <c r="B274" s="16" t="inlineStr">
        <is>
          <t>Cardápio</t>
        </is>
      </c>
      <c r="C274" s="2" t="inlineStr">
        <is>
          <t>hamburguer_mediana</t>
        </is>
      </c>
      <c r="D274" s="2" t="inlineStr">
        <is>
          <t>Hambúrguer, mediana</t>
        </is>
      </c>
      <c r="E274" s="5">
        <f>COUNTIFS(dados!$C$2:$C$55,$A274,dados!$AF$2:$AF$55,"&lt;&gt;")</f>
        <v/>
      </c>
      <c r="F274" s="7">
        <f>IFERROR(AVERAGEIFS(dados!$AF$2:$AF$55,dados!$C$2:$C$55,$A274),"")</f>
        <v/>
      </c>
      <c r="G274" s="7">
        <f t="array" ref="G274">IFERROR(MEDIAN(IF((dados!$C$2:$C$55=$A274)*(dados!$AF$2:$AF$55&lt;&gt;""),dados!$AF$2:$AF$55)),"")</f>
        <v/>
      </c>
      <c r="H274" s="7">
        <f t="array" ref="H274">IFERROR(STDEV(IF((dados!$C$2:$C$55=$A274)*(dados!$AF$2:$AF$55&lt;&gt;""),dados!$AF$2:$AF$55)),"")</f>
        <v/>
      </c>
      <c r="I274" s="7">
        <f>IF(COUNTIFS(dados!$C$2:$C$55,$A274,dados!$AF$2:$AF$55,"&lt;&gt;")=0,"",_xlfn.MINIFS(dados!$AF$2:$AF$55,dados!$C$2:$C$55,$A274))</f>
        <v/>
      </c>
      <c r="J274" s="7">
        <f>IF(COUNTIFS(dados!$C$2:$C$55,$A274,dados!$AF$2:$AF$55,"&lt;&gt;")=0,"",_xlfn.MAXIFS(dados!$AF$2:$AF$55,dados!$C$2:$C$55,$A274))</f>
        <v/>
      </c>
      <c r="K274" s="7">
        <f>IFERROR(J274-I274,"")</f>
        <v/>
      </c>
    </row>
    <row r="275">
      <c r="A275" s="2" t="inlineStr">
        <is>
          <t>Porto Alegre</t>
        </is>
      </c>
      <c r="B275" s="16" t="inlineStr">
        <is>
          <t>Cardápio</t>
        </is>
      </c>
      <c r="C275" s="2" t="inlineStr">
        <is>
          <t>batata_mediana</t>
        </is>
      </c>
      <c r="D275" s="2" t="inlineStr">
        <is>
          <t>Batata, mediana</t>
        </is>
      </c>
      <c r="E275" s="5">
        <f>COUNTIFS(dados!$C$2:$C$55,$A275,dados!$AG$2:$AG$55,"&lt;&gt;")</f>
        <v/>
      </c>
      <c r="F275" s="7">
        <f>IFERROR(AVERAGEIFS(dados!$AG$2:$AG$55,dados!$C$2:$C$55,$A275),"")</f>
        <v/>
      </c>
      <c r="G275" s="7">
        <f t="array" ref="G275">IFERROR(MEDIAN(IF((dados!$C$2:$C$55=$A275)*(dados!$AG$2:$AG$55&lt;&gt;""),dados!$AG$2:$AG$55)),"")</f>
        <v/>
      </c>
      <c r="H275" s="7">
        <f t="array" ref="H275">IFERROR(STDEV(IF((dados!$C$2:$C$55=$A275)*(dados!$AG$2:$AG$55&lt;&gt;""),dados!$AG$2:$AG$55)),"")</f>
        <v/>
      </c>
      <c r="I275" s="7">
        <f>IF(COUNTIFS(dados!$C$2:$C$55,$A275,dados!$AG$2:$AG$55,"&lt;&gt;")=0,"",_xlfn.MINIFS(dados!$AG$2:$AG$55,dados!$C$2:$C$55,$A275))</f>
        <v/>
      </c>
      <c r="J275" s="7">
        <f>IF(COUNTIFS(dados!$C$2:$C$55,$A275,dados!$AG$2:$AG$55,"&lt;&gt;")=0,"",_xlfn.MAXIFS(dados!$AG$2:$AG$55,dados!$C$2:$C$55,$A275))</f>
        <v/>
      </c>
      <c r="K275" s="7">
        <f>IFERROR(J275-I275,"")</f>
        <v/>
      </c>
    </row>
    <row r="276">
      <c r="A276" s="2" t="inlineStr">
        <is>
          <t>Porto Alegre</t>
        </is>
      </c>
      <c r="B276" s="16" t="inlineStr">
        <is>
          <t>Cardápio</t>
        </is>
      </c>
      <c r="C276" s="2" t="inlineStr">
        <is>
          <t>cerveja_mediana</t>
        </is>
      </c>
      <c r="D276" s="2" t="inlineStr">
        <is>
          <t>Cerveja, mediana</t>
        </is>
      </c>
      <c r="E276" s="5">
        <f>COUNTIFS(dados!$C$2:$C$55,$A276,dados!$AH$2:$AH$55,"&lt;&gt;")</f>
        <v/>
      </c>
      <c r="F276" s="7">
        <f>IFERROR(AVERAGEIFS(dados!$AH$2:$AH$55,dados!$C$2:$C$55,$A276),"")</f>
        <v/>
      </c>
      <c r="G276" s="7">
        <f t="array" ref="G276">IFERROR(MEDIAN(IF((dados!$C$2:$C$55=$A276)*(dados!$AH$2:$AH$55&lt;&gt;""),dados!$AH$2:$AH$55)),"")</f>
        <v/>
      </c>
      <c r="H276" s="7">
        <f t="array" ref="H276">IFERROR(STDEV(IF((dados!$C$2:$C$55=$A276)*(dados!$AH$2:$AH$55&lt;&gt;""),dados!$AH$2:$AH$55)),"")</f>
        <v/>
      </c>
      <c r="I276" s="7">
        <f>IF(COUNTIFS(dados!$C$2:$C$55,$A276,dados!$AH$2:$AH$55,"&lt;&gt;")=0,"",_xlfn.MINIFS(dados!$AH$2:$AH$55,dados!$C$2:$C$55,$A276))</f>
        <v/>
      </c>
      <c r="J276" s="7">
        <f>IF(COUNTIFS(dados!$C$2:$C$55,$A276,dados!$AH$2:$AH$55,"&lt;&gt;")=0,"",_xlfn.MAXIFS(dados!$AH$2:$AH$55,dados!$C$2:$C$55,$A276))</f>
        <v/>
      </c>
      <c r="K276" s="7">
        <f>IFERROR(J276-I276,"")</f>
        <v/>
      </c>
    </row>
    <row r="277">
      <c r="A277" s="2" t="inlineStr">
        <is>
          <t>Porto Alegre</t>
        </is>
      </c>
      <c r="B277" s="16" t="inlineStr">
        <is>
          <t>Cardápio</t>
        </is>
      </c>
      <c r="C277" s="2" t="inlineStr">
        <is>
          <t>refrigerante_mediana</t>
        </is>
      </c>
      <c r="D277" s="2" t="inlineStr">
        <is>
          <t>Refrigerante, mediana</t>
        </is>
      </c>
      <c r="E277" s="5">
        <f>COUNTIFS(dados!$C$2:$C$55,$A277,dados!$AI$2:$AI$55,"&lt;&gt;")</f>
        <v/>
      </c>
      <c r="F277" s="7">
        <f>IFERROR(AVERAGEIFS(dados!$AI$2:$AI$55,dados!$C$2:$C$55,$A277),"")</f>
        <v/>
      </c>
      <c r="G277" s="7">
        <f t="array" ref="G277">IFERROR(MEDIAN(IF((dados!$C$2:$C$55=$A277)*(dados!$AI$2:$AI$55&lt;&gt;""),dados!$AI$2:$AI$55)),"")</f>
        <v/>
      </c>
      <c r="H277" s="7">
        <f t="array" ref="H277">IFERROR(STDEV(IF((dados!$C$2:$C$55=$A277)*(dados!$AI$2:$AI$55&lt;&gt;""),dados!$AI$2:$AI$55)),"")</f>
        <v/>
      </c>
      <c r="I277" s="7">
        <f>IF(COUNTIFS(dados!$C$2:$C$55,$A277,dados!$AI$2:$AI$55,"&lt;&gt;")=0,"",_xlfn.MINIFS(dados!$AI$2:$AI$55,dados!$C$2:$C$55,$A277))</f>
        <v/>
      </c>
      <c r="J277" s="7">
        <f>IF(COUNTIFS(dados!$C$2:$C$55,$A277,dados!$AI$2:$AI$55,"&lt;&gt;")=0,"",_xlfn.MAXIFS(dados!$AI$2:$AI$55,dados!$C$2:$C$55,$A277))</f>
        <v/>
      </c>
      <c r="K277" s="7">
        <f>IFERROR(J277-I277,"")</f>
        <v/>
      </c>
    </row>
    <row r="278">
      <c r="A278" s="2" t="inlineStr">
        <is>
          <t>Porto Alegre</t>
        </is>
      </c>
      <c r="B278" s="16" t="inlineStr">
        <is>
          <t>Cardápio</t>
        </is>
      </c>
      <c r="C278" s="2" t="inlineStr">
        <is>
          <t>drinks_mediana</t>
        </is>
      </c>
      <c r="D278" s="2" t="inlineStr">
        <is>
          <t>Drinks, mediana</t>
        </is>
      </c>
      <c r="E278" s="5">
        <f>COUNTIFS(dados!$C$2:$C$55,$A278,dados!$AJ$2:$AJ$55,"&lt;&gt;")</f>
        <v/>
      </c>
      <c r="F278" s="7">
        <f>IFERROR(AVERAGEIFS(dados!$AJ$2:$AJ$55,dados!$C$2:$C$55,$A278),"")</f>
        <v/>
      </c>
      <c r="G278" s="7">
        <f t="array" ref="G278">IFERROR(MEDIAN(IF((dados!$C$2:$C$55=$A278)*(dados!$AJ$2:$AJ$55&lt;&gt;""),dados!$AJ$2:$AJ$55)),"")</f>
        <v/>
      </c>
      <c r="H278" s="7">
        <f t="array" ref="H278">IFERROR(STDEV(IF((dados!$C$2:$C$55=$A278)*(dados!$AJ$2:$AJ$55&lt;&gt;""),dados!$AJ$2:$AJ$55)),"")</f>
        <v/>
      </c>
      <c r="I278" s="7">
        <f>IF(COUNTIFS(dados!$C$2:$C$55,$A278,dados!$AJ$2:$AJ$55,"&lt;&gt;")=0,"",_xlfn.MINIFS(dados!$AJ$2:$AJ$55,dados!$C$2:$C$55,$A278))</f>
        <v/>
      </c>
      <c r="J278" s="7">
        <f>IF(COUNTIFS(dados!$C$2:$C$55,$A278,dados!$AJ$2:$AJ$55,"&lt;&gt;")=0,"",_xlfn.MAXIFS(dados!$AJ$2:$AJ$55,dados!$C$2:$C$55,$A278))</f>
        <v/>
      </c>
      <c r="K278" s="7">
        <f>IFERROR(J278-I278,"")</f>
        <v/>
      </c>
    </row>
    <row r="279">
      <c r="A279" s="2" t="inlineStr">
        <is>
          <t>Porto Alegre</t>
        </is>
      </c>
      <c r="B279" s="17" t="inlineStr">
        <is>
          <t>Acervo</t>
        </is>
      </c>
      <c r="C279" s="2" t="inlineStr">
        <is>
          <t>titulos_acervo</t>
        </is>
      </c>
      <c r="D279" s="2" t="inlineStr">
        <is>
          <t>Títulos no acervo publicado</t>
        </is>
      </c>
      <c r="E279" s="5">
        <f>COUNTIFS(dados!$C$2:$C$55,$A279,dados!$AK$2:$AK$55,"&lt;&gt;")</f>
        <v/>
      </c>
      <c r="F279" s="5">
        <f>IFERROR(AVERAGEIFS(dados!$AK$2:$AK$55,dados!$C$2:$C$55,$A279),"")</f>
        <v/>
      </c>
      <c r="G279" s="5">
        <f t="array" ref="G279">IFERROR(MEDIAN(IF((dados!$C$2:$C$55=$A279)*(dados!$AK$2:$AK$55&lt;&gt;""),dados!$AK$2:$AK$55)),"")</f>
        <v/>
      </c>
      <c r="H279" s="5">
        <f t="array" ref="H279">IFERROR(STDEV(IF((dados!$C$2:$C$55=$A279)*(dados!$AK$2:$AK$55&lt;&gt;""),dados!$AK$2:$AK$55)),"")</f>
        <v/>
      </c>
      <c r="I279" s="5">
        <f>IF(COUNTIFS(dados!$C$2:$C$55,$A279,dados!$AK$2:$AK$55,"&lt;&gt;")=0,"",_xlfn.MINIFS(dados!$AK$2:$AK$55,dados!$C$2:$C$55,$A279))</f>
        <v/>
      </c>
      <c r="J279" s="5">
        <f>IF(COUNTIFS(dados!$C$2:$C$55,$A279,dados!$AK$2:$AK$55,"&lt;&gt;")=0,"",_xlfn.MAXIFS(dados!$AK$2:$AK$55,dados!$C$2:$C$55,$A279))</f>
        <v/>
      </c>
      <c r="K279" s="5">
        <f>IFERROR(J279-I279,"")</f>
        <v/>
      </c>
    </row>
    <row r="280">
      <c r="A280" s="2" t="inlineStr">
        <is>
          <t>Porto Alegre</t>
        </is>
      </c>
      <c r="B280" s="18" t="inlineStr">
        <is>
          <t>B2</t>
        </is>
      </c>
      <c r="C280" s="2" t="inlineStr">
        <is>
          <t>avaliacoes_b2</t>
        </is>
      </c>
      <c r="D280" s="2" t="inlineStr">
        <is>
          <t>Avaliações no recorte do B2 (até '3 meses atrás')</t>
        </is>
      </c>
      <c r="E280" s="5">
        <f>COUNTIFS(dados!$C$2:$C$55,$A280,dados!$AL$2:$AL$55,"&lt;&gt;")</f>
        <v/>
      </c>
      <c r="F280" s="5">
        <f>IFERROR(AVERAGEIFS(dados!$AL$2:$AL$55,dados!$C$2:$C$55,$A280),"")</f>
        <v/>
      </c>
      <c r="G280" s="5">
        <f t="array" ref="G280">IFERROR(MEDIAN(IF((dados!$C$2:$C$55=$A280)*(dados!$AL$2:$AL$55&lt;&gt;""),dados!$AL$2:$AL$55)),"")</f>
        <v/>
      </c>
      <c r="H280" s="5">
        <f t="array" ref="H280">IFERROR(STDEV(IF((dados!$C$2:$C$55=$A280)*(dados!$AL$2:$AL$55&lt;&gt;""),dados!$AL$2:$AL$55)),"")</f>
        <v/>
      </c>
      <c r="I280" s="5">
        <f>IF(COUNTIFS(dados!$C$2:$C$55,$A280,dados!$AL$2:$AL$55,"&lt;&gt;")=0,"",_xlfn.MINIFS(dados!$AL$2:$AL$55,dados!$C$2:$C$55,$A280))</f>
        <v/>
      </c>
      <c r="J280" s="5">
        <f>IF(COUNTIFS(dados!$C$2:$C$55,$A280,dados!$AL$2:$AL$55,"&lt;&gt;")=0,"",_xlfn.MAXIFS(dados!$AL$2:$AL$55,dados!$C$2:$C$55,$A280))</f>
        <v/>
      </c>
      <c r="K280" s="5">
        <f>IFERROR(J280-I280,"")</f>
        <v/>
      </c>
    </row>
    <row r="281">
      <c r="A281" s="2" t="inlineStr">
        <is>
          <t>Porto Alegre</t>
        </is>
      </c>
      <c r="B281" s="18" t="inlineStr">
        <is>
          <t>B2</t>
        </is>
      </c>
      <c r="C281" s="2" t="inlineStr">
        <is>
          <t>avaliacoes_b2_com_texto</t>
        </is>
      </c>
      <c r="D281" s="2" t="inlineStr">
        <is>
          <t>Dessas, com texto</t>
        </is>
      </c>
      <c r="E281" s="5">
        <f>COUNTIFS(dados!$C$2:$C$55,$A281,dados!$AM$2:$AM$55,"&lt;&gt;")</f>
        <v/>
      </c>
      <c r="F281" s="5">
        <f>IFERROR(AVERAGEIFS(dados!$AM$2:$AM$55,dados!$C$2:$C$55,$A281),"")</f>
        <v/>
      </c>
      <c r="G281" s="5">
        <f t="array" ref="G281">IFERROR(MEDIAN(IF((dados!$C$2:$C$55=$A281)*(dados!$AM$2:$AM$55&lt;&gt;""),dados!$AM$2:$AM$55)),"")</f>
        <v/>
      </c>
      <c r="H281" s="5">
        <f t="array" ref="H281">IFERROR(STDEV(IF((dados!$C$2:$C$55=$A281)*(dados!$AM$2:$AM$55&lt;&gt;""),dados!$AM$2:$AM$55)),"")</f>
        <v/>
      </c>
      <c r="I281" s="5">
        <f>IF(COUNTIFS(dados!$C$2:$C$55,$A281,dados!$AM$2:$AM$55,"&lt;&gt;")=0,"",_xlfn.MINIFS(dados!$AM$2:$AM$55,dados!$C$2:$C$55,$A281))</f>
        <v/>
      </c>
      <c r="J281" s="5">
        <f>IF(COUNTIFS(dados!$C$2:$C$55,$A281,dados!$AM$2:$AM$55,"&lt;&gt;")=0,"",_xlfn.MAXIFS(dados!$AM$2:$AM$55,dados!$C$2:$C$55,$A281))</f>
        <v/>
      </c>
      <c r="K281" s="5">
        <f>IFERROR(J281-I281,"")</f>
        <v/>
      </c>
    </row>
    <row r="282">
      <c r="A282" s="2" t="inlineStr">
        <is>
          <t>Recife</t>
        </is>
      </c>
      <c r="B282" s="11" t="inlineStr">
        <is>
          <t>Google Maps</t>
        </is>
      </c>
      <c r="C282" s="2" t="inlineStr">
        <is>
          <t>avaliacao_media</t>
        </is>
      </c>
      <c r="D282" s="2" t="inlineStr">
        <is>
          <t>Nota média no Google</t>
        </is>
      </c>
      <c r="E282" s="5">
        <f>COUNTIFS(dados!$C$2:$C$55,$A282,dados!$E$2:$E$55,"&lt;&gt;")</f>
        <v/>
      </c>
      <c r="F282" s="4">
        <f>IFERROR(AVERAGEIFS(dados!$E$2:$E$55,dados!$C$2:$C$55,$A282),"")</f>
        <v/>
      </c>
      <c r="G282" s="4">
        <f t="array" ref="G282">IFERROR(MEDIAN(IF((dados!$C$2:$C$55=$A282)*(dados!$E$2:$E$55&lt;&gt;""),dados!$E$2:$E$55)),"")</f>
        <v/>
      </c>
      <c r="H282" s="4">
        <f t="array" ref="H282">IFERROR(STDEV(IF((dados!$C$2:$C$55=$A282)*(dados!$E$2:$E$55&lt;&gt;""),dados!$E$2:$E$55)),"")</f>
        <v/>
      </c>
      <c r="I282" s="4">
        <f>IF(COUNTIFS(dados!$C$2:$C$55,$A282,dados!$E$2:$E$55,"&lt;&gt;")=0,"",_xlfn.MINIFS(dados!$E$2:$E$55,dados!$C$2:$C$55,$A282))</f>
        <v/>
      </c>
      <c r="J282" s="4">
        <f>IF(COUNTIFS(dados!$C$2:$C$55,$A282,dados!$E$2:$E$55,"&lt;&gt;")=0,"",_xlfn.MAXIFS(dados!$E$2:$E$55,dados!$C$2:$C$55,$A282))</f>
        <v/>
      </c>
      <c r="K282" s="4">
        <f>IFERROR(J282-I282,"")</f>
        <v/>
      </c>
    </row>
    <row r="283">
      <c r="A283" s="2" t="inlineStr">
        <is>
          <t>Recife</t>
        </is>
      </c>
      <c r="B283" s="11" t="inlineStr">
        <is>
          <t>Google Maps</t>
        </is>
      </c>
      <c r="C283" s="2" t="inlineStr">
        <is>
          <t>volume_avaliacoes</t>
        </is>
      </c>
      <c r="D283" s="2" t="inlineStr">
        <is>
          <t>Nº de avaliações no Google</t>
        </is>
      </c>
      <c r="E283" s="5">
        <f>COUNTIFS(dados!$C$2:$C$55,$A283,dados!$F$2:$F$55,"&lt;&gt;")</f>
        <v/>
      </c>
      <c r="F283" s="5">
        <f>IFERROR(AVERAGEIFS(dados!$F$2:$F$55,dados!$C$2:$C$55,$A283),"")</f>
        <v/>
      </c>
      <c r="G283" s="5">
        <f t="array" ref="G283">IFERROR(MEDIAN(IF((dados!$C$2:$C$55=$A283)*(dados!$F$2:$F$55&lt;&gt;""),dados!$F$2:$F$55)),"")</f>
        <v/>
      </c>
      <c r="H283" s="5">
        <f t="array" ref="H283">IFERROR(STDEV(IF((dados!$C$2:$C$55=$A283)*(dados!$F$2:$F$55&lt;&gt;""),dados!$F$2:$F$55)),"")</f>
        <v/>
      </c>
      <c r="I283" s="5">
        <f>IF(COUNTIFS(dados!$C$2:$C$55,$A283,dados!$F$2:$F$55,"&lt;&gt;")=0,"",_xlfn.MINIFS(dados!$F$2:$F$55,dados!$C$2:$C$55,$A283))</f>
        <v/>
      </c>
      <c r="J283" s="5">
        <f>IF(COUNTIFS(dados!$C$2:$C$55,$A283,dados!$F$2:$F$55,"&lt;&gt;")=0,"",_xlfn.MAXIFS(dados!$F$2:$F$55,dados!$C$2:$C$55,$A283))</f>
        <v/>
      </c>
      <c r="K283" s="5">
        <f>IFERROR(J283-I283,"")</f>
        <v/>
      </c>
    </row>
    <row r="284">
      <c r="A284" s="2" t="inlineStr">
        <is>
          <t>Recife</t>
        </is>
      </c>
      <c r="B284" s="12" t="inlineStr">
        <is>
          <t>Horários</t>
        </is>
      </c>
      <c r="C284" s="2" t="inlineStr">
        <is>
          <t>dias_abertos</t>
        </is>
      </c>
      <c r="D284" s="2" t="inlineStr">
        <is>
          <t>Dias abertos por semana</t>
        </is>
      </c>
      <c r="E284" s="5">
        <f>COUNTIFS(dados!$C$2:$C$55,$A284,dados!$G$2:$G$55,"&lt;&gt;")</f>
        <v/>
      </c>
      <c r="F284" s="6">
        <f>IFERROR(AVERAGEIFS(dados!$G$2:$G$55,dados!$C$2:$C$55,$A284),"")</f>
        <v/>
      </c>
      <c r="G284" s="6">
        <f t="array" ref="G284">IFERROR(MEDIAN(IF((dados!$C$2:$C$55=$A284)*(dados!$G$2:$G$55&lt;&gt;""),dados!$G$2:$G$55)),"")</f>
        <v/>
      </c>
      <c r="H284" s="6">
        <f t="array" ref="H284">IFERROR(STDEV(IF((dados!$C$2:$C$55=$A284)*(dados!$G$2:$G$55&lt;&gt;""),dados!$G$2:$G$55)),"")</f>
        <v/>
      </c>
      <c r="I284" s="6">
        <f>IF(COUNTIFS(dados!$C$2:$C$55,$A284,dados!$G$2:$G$55,"&lt;&gt;")=0,"",_xlfn.MINIFS(dados!$G$2:$G$55,dados!$C$2:$C$55,$A284))</f>
        <v/>
      </c>
      <c r="J284" s="6">
        <f>IF(COUNTIFS(dados!$C$2:$C$55,$A284,dados!$G$2:$G$55,"&lt;&gt;")=0,"",_xlfn.MAXIFS(dados!$G$2:$G$55,dados!$C$2:$C$55,$A284))</f>
        <v/>
      </c>
      <c r="K284" s="6">
        <f>IFERROR(J284-I284,"")</f>
        <v/>
      </c>
    </row>
    <row r="285">
      <c r="A285" s="2" t="inlineStr">
        <is>
          <t>Recife</t>
        </is>
      </c>
      <c r="B285" s="12" t="inlineStr">
        <is>
          <t>Horários</t>
        </is>
      </c>
      <c r="C285" s="2" t="inlineStr">
        <is>
          <t>horas_semana</t>
        </is>
      </c>
      <c r="D285" s="2" t="inlineStr">
        <is>
          <t>Horas abertas por semana</t>
        </is>
      </c>
      <c r="E285" s="5">
        <f>COUNTIFS(dados!$C$2:$C$55,$A285,dados!$H$2:$H$55,"&lt;&gt;")</f>
        <v/>
      </c>
      <c r="F285" s="6">
        <f>IFERROR(AVERAGEIFS(dados!$H$2:$H$55,dados!$C$2:$C$55,$A285),"")</f>
        <v/>
      </c>
      <c r="G285" s="6">
        <f t="array" ref="G285">IFERROR(MEDIAN(IF((dados!$C$2:$C$55=$A285)*(dados!$H$2:$H$55&lt;&gt;""),dados!$H$2:$H$55)),"")</f>
        <v/>
      </c>
      <c r="H285" s="6">
        <f t="array" ref="H285">IFERROR(STDEV(IF((dados!$C$2:$C$55=$A285)*(dados!$H$2:$H$55&lt;&gt;""),dados!$H$2:$H$55)),"")</f>
        <v/>
      </c>
      <c r="I285" s="6">
        <f>IF(COUNTIFS(dados!$C$2:$C$55,$A285,dados!$H$2:$H$55,"&lt;&gt;")=0,"",_xlfn.MINIFS(dados!$H$2:$H$55,dados!$C$2:$C$55,$A285))</f>
        <v/>
      </c>
      <c r="J285" s="6">
        <f>IF(COUNTIFS(dados!$C$2:$C$55,$A285,dados!$H$2:$H$55,"&lt;&gt;")=0,"",_xlfn.MAXIFS(dados!$H$2:$H$55,dados!$C$2:$C$55,$A285))</f>
        <v/>
      </c>
      <c r="K285" s="6">
        <f>IFERROR(J285-I285,"")</f>
        <v/>
      </c>
    </row>
    <row r="286">
      <c r="A286" s="2" t="inlineStr">
        <is>
          <t>Recife</t>
        </is>
      </c>
      <c r="B286" s="12" t="inlineStr">
        <is>
          <t>Horários</t>
        </is>
      </c>
      <c r="C286" s="2" t="inlineStr">
        <is>
          <t>abre_cedo_h</t>
        </is>
      </c>
      <c r="D286" s="2" t="inlineStr">
        <is>
          <t>Abertura mais cedo da semana</t>
        </is>
      </c>
      <c r="E286" s="5">
        <f>COUNTIFS(dados!$C$2:$C$55,$A286,dados!$I$2:$I$55,"&lt;&gt;")</f>
        <v/>
      </c>
      <c r="F286" s="6">
        <f>IFERROR(AVERAGEIFS(dados!$I$2:$I$55,dados!$C$2:$C$55,$A286),"")</f>
        <v/>
      </c>
      <c r="G286" s="6">
        <f t="array" ref="G286">IFERROR(MEDIAN(IF((dados!$C$2:$C$55=$A286)*(dados!$I$2:$I$55&lt;&gt;""),dados!$I$2:$I$55)),"")</f>
        <v/>
      </c>
      <c r="H286" s="6">
        <f t="array" ref="H286">IFERROR(STDEV(IF((dados!$C$2:$C$55=$A286)*(dados!$I$2:$I$55&lt;&gt;""),dados!$I$2:$I$55)),"")</f>
        <v/>
      </c>
      <c r="I286" s="6">
        <f>IF(COUNTIFS(dados!$C$2:$C$55,$A286,dados!$I$2:$I$55,"&lt;&gt;")=0,"",_xlfn.MINIFS(dados!$I$2:$I$55,dados!$C$2:$C$55,$A286))</f>
        <v/>
      </c>
      <c r="J286" s="6">
        <f>IF(COUNTIFS(dados!$C$2:$C$55,$A286,dados!$I$2:$I$55,"&lt;&gt;")=0,"",_xlfn.MAXIFS(dados!$I$2:$I$55,dados!$C$2:$C$55,$A286))</f>
        <v/>
      </c>
      <c r="K286" s="6">
        <f>IFERROR(J286-I286,"")</f>
        <v/>
      </c>
    </row>
    <row r="287">
      <c r="A287" s="2" t="inlineStr">
        <is>
          <t>Recife</t>
        </is>
      </c>
      <c r="B287" s="12" t="inlineStr">
        <is>
          <t>Horários</t>
        </is>
      </c>
      <c r="C287" s="2" t="inlineStr">
        <is>
          <t>fecha_tarde_h</t>
        </is>
      </c>
      <c r="D287" s="2" t="inlineStr">
        <is>
          <t>Fechamento mais tarde da semana (25 = 1h da manhã)</t>
        </is>
      </c>
      <c r="E287" s="5">
        <f>COUNTIFS(dados!$C$2:$C$55,$A287,dados!$J$2:$J$55,"&lt;&gt;")</f>
        <v/>
      </c>
      <c r="F287" s="6">
        <f>IFERROR(AVERAGEIFS(dados!$J$2:$J$55,dados!$C$2:$C$55,$A287),"")</f>
        <v/>
      </c>
      <c r="G287" s="6">
        <f t="array" ref="G287">IFERROR(MEDIAN(IF((dados!$C$2:$C$55=$A287)*(dados!$J$2:$J$55&lt;&gt;""),dados!$J$2:$J$55)),"")</f>
        <v/>
      </c>
      <c r="H287" s="6">
        <f t="array" ref="H287">IFERROR(STDEV(IF((dados!$C$2:$C$55=$A287)*(dados!$J$2:$J$55&lt;&gt;""),dados!$J$2:$J$55)),"")</f>
        <v/>
      </c>
      <c r="I287" s="6">
        <f>IF(COUNTIFS(dados!$C$2:$C$55,$A287,dados!$J$2:$J$55,"&lt;&gt;")=0,"",_xlfn.MINIFS(dados!$J$2:$J$55,dados!$C$2:$C$55,$A287))</f>
        <v/>
      </c>
      <c r="J287" s="6">
        <f>IF(COUNTIFS(dados!$C$2:$C$55,$A287,dados!$J$2:$J$55,"&lt;&gt;")=0,"",_xlfn.MAXIFS(dados!$J$2:$J$55,dados!$C$2:$C$55,$A287))</f>
        <v/>
      </c>
      <c r="K287" s="6">
        <f>IFERROR(J287-I287,"")</f>
        <v/>
      </c>
    </row>
    <row r="288">
      <c r="A288" s="2" t="inlineStr">
        <is>
          <t>Recife</t>
        </is>
      </c>
      <c r="B288" s="13" t="inlineStr">
        <is>
          <t>Entorno</t>
        </is>
      </c>
      <c r="C288" s="2" t="inlineStr">
        <is>
          <t>metro_500m</t>
        </is>
      </c>
      <c r="D288" s="2" t="inlineStr">
        <is>
          <t>Estações de metrô até 500 m</t>
        </is>
      </c>
      <c r="E288" s="5">
        <f>COUNTIFS(dados!$C$2:$C$55,$A288,dados!$K$2:$K$55,"&lt;&gt;")</f>
        <v/>
      </c>
      <c r="F288" s="4">
        <f>IFERROR(AVERAGEIFS(dados!$K$2:$K$55,dados!$C$2:$C$55,$A288),"")</f>
        <v/>
      </c>
      <c r="G288" s="4">
        <f t="array" ref="G288">IFERROR(MEDIAN(IF((dados!$C$2:$C$55=$A288)*(dados!$K$2:$K$55&lt;&gt;""),dados!$K$2:$K$55)),"")</f>
        <v/>
      </c>
      <c r="H288" s="4">
        <f t="array" ref="H288">IFERROR(STDEV(IF((dados!$C$2:$C$55=$A288)*(dados!$K$2:$K$55&lt;&gt;""),dados!$K$2:$K$55)),"")</f>
        <v/>
      </c>
      <c r="I288" s="4">
        <f>IF(COUNTIFS(dados!$C$2:$C$55,$A288,dados!$K$2:$K$55,"&lt;&gt;")=0,"",_xlfn.MINIFS(dados!$K$2:$K$55,dados!$C$2:$C$55,$A288))</f>
        <v/>
      </c>
      <c r="J288" s="4">
        <f>IF(COUNTIFS(dados!$C$2:$C$55,$A288,dados!$K$2:$K$55,"&lt;&gt;")=0,"",_xlfn.MAXIFS(dados!$K$2:$K$55,dados!$C$2:$C$55,$A288))</f>
        <v/>
      </c>
      <c r="K288" s="4">
        <f>IFERROR(J288-I288,"")</f>
        <v/>
      </c>
    </row>
    <row r="289">
      <c r="A289" s="2" t="inlineStr">
        <is>
          <t>Recife</t>
        </is>
      </c>
      <c r="B289" s="13" t="inlineStr">
        <is>
          <t>Entorno</t>
        </is>
      </c>
      <c r="C289" s="2" t="inlineStr">
        <is>
          <t>metro_1000m</t>
        </is>
      </c>
      <c r="D289" s="2" t="inlineStr">
        <is>
          <t>Estações de metrô até 1000 m</t>
        </is>
      </c>
      <c r="E289" s="5">
        <f>COUNTIFS(dados!$C$2:$C$55,$A289,dados!$L$2:$L$55,"&lt;&gt;")</f>
        <v/>
      </c>
      <c r="F289" s="4">
        <f>IFERROR(AVERAGEIFS(dados!$L$2:$L$55,dados!$C$2:$C$55,$A289),"")</f>
        <v/>
      </c>
      <c r="G289" s="4">
        <f t="array" ref="G289">IFERROR(MEDIAN(IF((dados!$C$2:$C$55=$A289)*(dados!$L$2:$L$55&lt;&gt;""),dados!$L$2:$L$55)),"")</f>
        <v/>
      </c>
      <c r="H289" s="4">
        <f t="array" ref="H289">IFERROR(STDEV(IF((dados!$C$2:$C$55=$A289)*(dados!$L$2:$L$55&lt;&gt;""),dados!$L$2:$L$55)),"")</f>
        <v/>
      </c>
      <c r="I289" s="4">
        <f>IF(COUNTIFS(dados!$C$2:$C$55,$A289,dados!$L$2:$L$55,"&lt;&gt;")=0,"",_xlfn.MINIFS(dados!$L$2:$L$55,dados!$C$2:$C$55,$A289))</f>
        <v/>
      </c>
      <c r="J289" s="4">
        <f>IF(COUNTIFS(dados!$C$2:$C$55,$A289,dados!$L$2:$L$55,"&lt;&gt;")=0,"",_xlfn.MAXIFS(dados!$L$2:$L$55,dados!$C$2:$C$55,$A289))</f>
        <v/>
      </c>
      <c r="K289" s="4">
        <f>IFERROR(J289-I289,"")</f>
        <v/>
      </c>
    </row>
    <row r="290">
      <c r="A290" s="2" t="inlineStr">
        <is>
          <t>Recife</t>
        </is>
      </c>
      <c r="B290" s="13" t="inlineStr">
        <is>
          <t>Entorno</t>
        </is>
      </c>
      <c r="C290" s="2" t="inlineStr">
        <is>
          <t>dist_metro_m</t>
        </is>
      </c>
      <c r="D290" s="2" t="inlineStr">
        <is>
          <t>Distância à estação de metrô mais próxima</t>
        </is>
      </c>
      <c r="E290" s="5">
        <f>COUNTIFS(dados!$C$2:$C$55,$A290,dados!$M$2:$M$55,"&lt;&gt;")</f>
        <v/>
      </c>
      <c r="F290" s="5">
        <f>IFERROR(AVERAGEIFS(dados!$M$2:$M$55,dados!$C$2:$C$55,$A290),"")</f>
        <v/>
      </c>
      <c r="G290" s="5">
        <f t="array" ref="G290">IFERROR(MEDIAN(IF((dados!$C$2:$C$55=$A290)*(dados!$M$2:$M$55&lt;&gt;""),dados!$M$2:$M$55)),"")</f>
        <v/>
      </c>
      <c r="H290" s="5">
        <f t="array" ref="H290">IFERROR(STDEV(IF((dados!$C$2:$C$55=$A290)*(dados!$M$2:$M$55&lt;&gt;""),dados!$M$2:$M$55)),"")</f>
        <v/>
      </c>
      <c r="I290" s="5">
        <f>IF(COUNTIFS(dados!$C$2:$C$55,$A290,dados!$M$2:$M$55,"&lt;&gt;")=0,"",_xlfn.MINIFS(dados!$M$2:$M$55,dados!$C$2:$C$55,$A290))</f>
        <v/>
      </c>
      <c r="J290" s="5">
        <f>IF(COUNTIFS(dados!$C$2:$C$55,$A290,dados!$M$2:$M$55,"&lt;&gt;")=0,"",_xlfn.MAXIFS(dados!$M$2:$M$55,dados!$C$2:$C$55,$A290))</f>
        <v/>
      </c>
      <c r="K290" s="5">
        <f>IFERROR(J290-I290,"")</f>
        <v/>
      </c>
    </row>
    <row r="291">
      <c r="A291" s="2" t="inlineStr">
        <is>
          <t>Recife</t>
        </is>
      </c>
      <c r="B291" s="13" t="inlineStr">
        <is>
          <t>Entorno</t>
        </is>
      </c>
      <c r="C291" s="2" t="inlineStr">
        <is>
          <t>shopping_porte_500m</t>
        </is>
      </c>
      <c r="D291" s="2" t="inlineStr">
        <is>
          <t>Shoppings de porte até 500 m (onde o porte foi buscado)</t>
        </is>
      </c>
      <c r="E291" s="5">
        <f>COUNTIFS(dados!$C$2:$C$55,$A291,dados!$N$2:$N$55,"&lt;&gt;")</f>
        <v/>
      </c>
      <c r="F291" s="4">
        <f>IFERROR(AVERAGEIFS(dados!$N$2:$N$55,dados!$C$2:$C$55,$A291),"")</f>
        <v/>
      </c>
      <c r="G291" s="4">
        <f t="array" ref="G291">IFERROR(MEDIAN(IF((dados!$C$2:$C$55=$A291)*(dados!$N$2:$N$55&lt;&gt;""),dados!$N$2:$N$55)),"")</f>
        <v/>
      </c>
      <c r="H291" s="4">
        <f t="array" ref="H291">IFERROR(STDEV(IF((dados!$C$2:$C$55=$A291)*(dados!$N$2:$N$55&lt;&gt;""),dados!$N$2:$N$55)),"")</f>
        <v/>
      </c>
      <c r="I291" s="4">
        <f>IF(COUNTIFS(dados!$C$2:$C$55,$A291,dados!$N$2:$N$55,"&lt;&gt;")=0,"",_xlfn.MINIFS(dados!$N$2:$N$55,dados!$C$2:$C$55,$A291))</f>
        <v/>
      </c>
      <c r="J291" s="4">
        <f>IF(COUNTIFS(dados!$C$2:$C$55,$A291,dados!$N$2:$N$55,"&lt;&gt;")=0,"",_xlfn.MAXIFS(dados!$N$2:$N$55,dados!$C$2:$C$55,$A291))</f>
        <v/>
      </c>
      <c r="K291" s="4">
        <f>IFERROR(J291-I291,"")</f>
        <v/>
      </c>
    </row>
    <row r="292">
      <c r="A292" s="2" t="inlineStr">
        <is>
          <t>Recife</t>
        </is>
      </c>
      <c r="B292" s="13" t="inlineStr">
        <is>
          <t>Entorno</t>
        </is>
      </c>
      <c r="C292" s="2" t="inlineStr">
        <is>
          <t>shopping_porte_1000m</t>
        </is>
      </c>
      <c r="D292" s="2" t="inlineStr">
        <is>
          <t>Shoppings de porte até 1000 m (onde o porte foi buscado)</t>
        </is>
      </c>
      <c r="E292" s="5">
        <f>COUNTIFS(dados!$C$2:$C$55,$A292,dados!$O$2:$O$55,"&lt;&gt;")</f>
        <v/>
      </c>
      <c r="F292" s="4">
        <f>IFERROR(AVERAGEIFS(dados!$O$2:$O$55,dados!$C$2:$C$55,$A292),"")</f>
        <v/>
      </c>
      <c r="G292" s="4">
        <f t="array" ref="G292">IFERROR(MEDIAN(IF((dados!$C$2:$C$55=$A292)*(dados!$O$2:$O$55&lt;&gt;""),dados!$O$2:$O$55)),"")</f>
        <v/>
      </c>
      <c r="H292" s="4">
        <f t="array" ref="H292">IFERROR(STDEV(IF((dados!$C$2:$C$55=$A292)*(dados!$O$2:$O$55&lt;&gt;""),dados!$O$2:$O$55)),"")</f>
        <v/>
      </c>
      <c r="I292" s="4">
        <f>IF(COUNTIFS(dados!$C$2:$C$55,$A292,dados!$O$2:$O$55,"&lt;&gt;")=0,"",_xlfn.MINIFS(dados!$O$2:$O$55,dados!$C$2:$C$55,$A292))</f>
        <v/>
      </c>
      <c r="J292" s="4">
        <f>IF(COUNTIFS(dados!$C$2:$C$55,$A292,dados!$O$2:$O$55,"&lt;&gt;")=0,"",_xlfn.MAXIFS(dados!$O$2:$O$55,dados!$C$2:$C$55,$A292))</f>
        <v/>
      </c>
      <c r="K292" s="4">
        <f>IFERROR(J292-I292,"")</f>
        <v/>
      </c>
    </row>
    <row r="293">
      <c r="A293" s="2" t="inlineStr">
        <is>
          <t>Recife</t>
        </is>
      </c>
      <c r="B293" s="13" t="inlineStr">
        <is>
          <t>Entorno</t>
        </is>
      </c>
      <c r="C293" s="2" t="inlineStr">
        <is>
          <t>dist_shopping_m</t>
        </is>
      </c>
      <c r="D293" s="2" t="inlineStr">
        <is>
          <t>Distância ao shopping mais próximo (qualquer porte)</t>
        </is>
      </c>
      <c r="E293" s="5">
        <f>COUNTIFS(dados!$C$2:$C$55,$A293,dados!$P$2:$P$55,"&lt;&gt;")</f>
        <v/>
      </c>
      <c r="F293" s="5">
        <f>IFERROR(AVERAGEIFS(dados!$P$2:$P$55,dados!$C$2:$C$55,$A293),"")</f>
        <v/>
      </c>
      <c r="G293" s="5">
        <f t="array" ref="G293">IFERROR(MEDIAN(IF((dados!$C$2:$C$55=$A293)*(dados!$P$2:$P$55&lt;&gt;""),dados!$P$2:$P$55)),"")</f>
        <v/>
      </c>
      <c r="H293" s="5">
        <f t="array" ref="H293">IFERROR(STDEV(IF((dados!$C$2:$C$55=$A293)*(dados!$P$2:$P$55&lt;&gt;""),dados!$P$2:$P$55)),"")</f>
        <v/>
      </c>
      <c r="I293" s="5">
        <f>IF(COUNTIFS(dados!$C$2:$C$55,$A293,dados!$P$2:$P$55,"&lt;&gt;")=0,"",_xlfn.MINIFS(dados!$P$2:$P$55,dados!$C$2:$C$55,$A293))</f>
        <v/>
      </c>
      <c r="J293" s="5">
        <f>IF(COUNTIFS(dados!$C$2:$C$55,$A293,dados!$P$2:$P$55,"&lt;&gt;")=0,"",_xlfn.MAXIFS(dados!$P$2:$P$55,dados!$C$2:$C$55,$A293))</f>
        <v/>
      </c>
      <c r="K293" s="5">
        <f>IFERROR(J293-I293,"")</f>
        <v/>
      </c>
    </row>
    <row r="294">
      <c r="A294" s="2" t="inlineStr">
        <is>
          <t>Recife</t>
        </is>
      </c>
      <c r="B294" s="14" t="inlineStr">
        <is>
          <t>Instagram</t>
        </is>
      </c>
      <c r="C294" s="2" t="inlineStr">
        <is>
          <t>seguidores</t>
        </is>
      </c>
      <c r="D294" s="2" t="inlineStr">
        <is>
          <t>Seguidores</t>
        </is>
      </c>
      <c r="E294" s="5">
        <f>COUNTIFS(dados!$C$2:$C$55,$A294,dados!$Q$2:$Q$55,"&lt;&gt;")</f>
        <v/>
      </c>
      <c r="F294" s="5">
        <f>IFERROR(AVERAGEIFS(dados!$Q$2:$Q$55,dados!$C$2:$C$55,$A294),"")</f>
        <v/>
      </c>
      <c r="G294" s="5">
        <f t="array" ref="G294">IFERROR(MEDIAN(IF((dados!$C$2:$C$55=$A294)*(dados!$Q$2:$Q$55&lt;&gt;""),dados!$Q$2:$Q$55)),"")</f>
        <v/>
      </c>
      <c r="H294" s="5">
        <f t="array" ref="H294">IFERROR(STDEV(IF((dados!$C$2:$C$55=$A294)*(dados!$Q$2:$Q$55&lt;&gt;""),dados!$Q$2:$Q$55)),"")</f>
        <v/>
      </c>
      <c r="I294" s="5">
        <f>IF(COUNTIFS(dados!$C$2:$C$55,$A294,dados!$Q$2:$Q$55,"&lt;&gt;")=0,"",_xlfn.MINIFS(dados!$Q$2:$Q$55,dados!$C$2:$C$55,$A294))</f>
        <v/>
      </c>
      <c r="J294" s="5">
        <f>IF(COUNTIFS(dados!$C$2:$C$55,$A294,dados!$Q$2:$Q$55,"&lt;&gt;")=0,"",_xlfn.MAXIFS(dados!$Q$2:$Q$55,dados!$C$2:$C$55,$A294))</f>
        <v/>
      </c>
      <c r="K294" s="5">
        <f>IFERROR(J294-I294,"")</f>
        <v/>
      </c>
    </row>
    <row r="295">
      <c r="A295" s="2" t="inlineStr">
        <is>
          <t>Recife</t>
        </is>
      </c>
      <c r="B295" s="14" t="inlineStr">
        <is>
          <t>Instagram</t>
        </is>
      </c>
      <c r="C295" s="2" t="inlineStr">
        <is>
          <t>n_posts_total</t>
        </is>
      </c>
      <c r="D295" s="2" t="inlineStr">
        <is>
          <t>Posts desde a criação do perfil</t>
        </is>
      </c>
      <c r="E295" s="5">
        <f>COUNTIFS(dados!$C$2:$C$55,$A295,dados!$R$2:$R$55,"&lt;&gt;")</f>
        <v/>
      </c>
      <c r="F295" s="5">
        <f>IFERROR(AVERAGEIFS(dados!$R$2:$R$55,dados!$C$2:$C$55,$A295),"")</f>
        <v/>
      </c>
      <c r="G295" s="5">
        <f t="array" ref="G295">IFERROR(MEDIAN(IF((dados!$C$2:$C$55=$A295)*(dados!$R$2:$R$55&lt;&gt;""),dados!$R$2:$R$55)),"")</f>
        <v/>
      </c>
      <c r="H295" s="5">
        <f t="array" ref="H295">IFERROR(STDEV(IF((dados!$C$2:$C$55=$A295)*(dados!$R$2:$R$55&lt;&gt;""),dados!$R$2:$R$55)),"")</f>
        <v/>
      </c>
      <c r="I295" s="5">
        <f>IF(COUNTIFS(dados!$C$2:$C$55,$A295,dados!$R$2:$R$55,"&lt;&gt;")=0,"",_xlfn.MINIFS(dados!$R$2:$R$55,dados!$C$2:$C$55,$A295))</f>
        <v/>
      </c>
      <c r="J295" s="5">
        <f>IF(COUNTIFS(dados!$C$2:$C$55,$A295,dados!$R$2:$R$55,"&lt;&gt;")=0,"",_xlfn.MAXIFS(dados!$R$2:$R$55,dados!$C$2:$C$55,$A295))</f>
        <v/>
      </c>
      <c r="K295" s="5">
        <f>IFERROR(J295-I295,"")</f>
        <v/>
      </c>
    </row>
    <row r="296">
      <c r="A296" s="2" t="inlineStr">
        <is>
          <t>Recife</t>
        </is>
      </c>
      <c r="B296" s="14" t="inlineStr">
        <is>
          <t>Instagram</t>
        </is>
      </c>
      <c r="C296" s="2" t="inlineStr">
        <is>
          <t>idade_perfil_anos</t>
        </is>
      </c>
      <c r="D296" s="2" t="inlineStr">
        <is>
          <t>Idade do perfil (desde o primeiro post até 15/10/2026)</t>
        </is>
      </c>
      <c r="E296" s="5">
        <f>COUNTIFS(dados!$C$2:$C$55,$A296,dados!$S$2:$S$55,"&lt;&gt;")</f>
        <v/>
      </c>
      <c r="F296" s="6">
        <f>IFERROR(AVERAGEIFS(dados!$S$2:$S$55,dados!$C$2:$C$55,$A296),"")</f>
        <v/>
      </c>
      <c r="G296" s="6">
        <f t="array" ref="G296">IFERROR(MEDIAN(IF((dados!$C$2:$C$55=$A296)*(dados!$S$2:$S$55&lt;&gt;""),dados!$S$2:$S$55)),"")</f>
        <v/>
      </c>
      <c r="H296" s="6">
        <f t="array" ref="H296">IFERROR(STDEV(IF((dados!$C$2:$C$55=$A296)*(dados!$S$2:$S$55&lt;&gt;""),dados!$S$2:$S$55)),"")</f>
        <v/>
      </c>
      <c r="I296" s="6">
        <f>IF(COUNTIFS(dados!$C$2:$C$55,$A296,dados!$S$2:$S$55,"&lt;&gt;")=0,"",_xlfn.MINIFS(dados!$S$2:$S$55,dados!$C$2:$C$55,$A296))</f>
        <v/>
      </c>
      <c r="J296" s="6">
        <f>IF(COUNTIFS(dados!$C$2:$C$55,$A296,dados!$S$2:$S$55,"&lt;&gt;")=0,"",_xlfn.MAXIFS(dados!$S$2:$S$55,dados!$C$2:$C$55,$A296))</f>
        <v/>
      </c>
      <c r="K296" s="6">
        <f>IFERROR(J296-I296,"")</f>
        <v/>
      </c>
    </row>
    <row r="297">
      <c r="A297" s="2" t="inlineStr">
        <is>
          <t>Recife</t>
        </is>
      </c>
      <c r="B297" s="14" t="inlineStr">
        <is>
          <t>Instagram</t>
        </is>
      </c>
      <c r="C297" s="2" t="inlineStr">
        <is>
          <t>n_posts_periodo</t>
        </is>
      </c>
      <c r="D297" s="2" t="inlineStr">
        <is>
          <t>Posts de 01/09 a 01/10/2026</t>
        </is>
      </c>
      <c r="E297" s="5">
        <f>COUNTIFS(dados!$C$2:$C$55,$A297,dados!$T$2:$T$55,"&lt;&gt;")</f>
        <v/>
      </c>
      <c r="F297" s="6">
        <f>IFERROR(AVERAGEIFS(dados!$T$2:$T$55,dados!$C$2:$C$55,$A297),"")</f>
        <v/>
      </c>
      <c r="G297" s="6">
        <f t="array" ref="G297">IFERROR(MEDIAN(IF((dados!$C$2:$C$55=$A297)*(dados!$T$2:$T$55&lt;&gt;""),dados!$T$2:$T$55)),"")</f>
        <v/>
      </c>
      <c r="H297" s="6">
        <f t="array" ref="H297">IFERROR(STDEV(IF((dados!$C$2:$C$55=$A297)*(dados!$T$2:$T$55&lt;&gt;""),dados!$T$2:$T$55)),"")</f>
        <v/>
      </c>
      <c r="I297" s="6">
        <f>IF(COUNTIFS(dados!$C$2:$C$55,$A297,dados!$T$2:$T$55,"&lt;&gt;")=0,"",_xlfn.MINIFS(dados!$T$2:$T$55,dados!$C$2:$C$55,$A297))</f>
        <v/>
      </c>
      <c r="J297" s="6">
        <f>IF(COUNTIFS(dados!$C$2:$C$55,$A297,dados!$T$2:$T$55,"&lt;&gt;")=0,"",_xlfn.MAXIFS(dados!$T$2:$T$55,dados!$C$2:$C$55,$A297))</f>
        <v/>
      </c>
      <c r="K297" s="6">
        <f>IFERROR(J297-I297,"")</f>
        <v/>
      </c>
    </row>
    <row r="298">
      <c r="A298" s="2" t="inlineStr">
        <is>
          <t>Recife</t>
        </is>
      </c>
      <c r="B298" s="14" t="inlineStr">
        <is>
          <t>Instagram</t>
        </is>
      </c>
      <c r="C298" s="2" t="inlineStr">
        <is>
          <t>curtidas_periodo</t>
        </is>
      </c>
      <c r="D298" s="2" t="inlineStr">
        <is>
          <t>Curtidas no período</t>
        </is>
      </c>
      <c r="E298" s="5">
        <f>COUNTIFS(dados!$C$2:$C$55,$A298,dados!$U$2:$U$55,"&lt;&gt;")</f>
        <v/>
      </c>
      <c r="F298" s="5">
        <f>IFERROR(AVERAGEIFS(dados!$U$2:$U$55,dados!$C$2:$C$55,$A298),"")</f>
        <v/>
      </c>
      <c r="G298" s="5">
        <f t="array" ref="G298">IFERROR(MEDIAN(IF((dados!$C$2:$C$55=$A298)*(dados!$U$2:$U$55&lt;&gt;""),dados!$U$2:$U$55)),"")</f>
        <v/>
      </c>
      <c r="H298" s="5">
        <f t="array" ref="H298">IFERROR(STDEV(IF((dados!$C$2:$C$55=$A298)*(dados!$U$2:$U$55&lt;&gt;""),dados!$U$2:$U$55)),"")</f>
        <v/>
      </c>
      <c r="I298" s="5">
        <f>IF(COUNTIFS(dados!$C$2:$C$55,$A298,dados!$U$2:$U$55,"&lt;&gt;")=0,"",_xlfn.MINIFS(dados!$U$2:$U$55,dados!$C$2:$C$55,$A298))</f>
        <v/>
      </c>
      <c r="J298" s="5">
        <f>IF(COUNTIFS(dados!$C$2:$C$55,$A298,dados!$U$2:$U$55,"&lt;&gt;")=0,"",_xlfn.MAXIFS(dados!$U$2:$U$55,dados!$C$2:$C$55,$A298))</f>
        <v/>
      </c>
      <c r="K298" s="5">
        <f>IFERROR(J298-I298,"")</f>
        <v/>
      </c>
    </row>
    <row r="299">
      <c r="A299" s="2" t="inlineStr">
        <is>
          <t>Recife</t>
        </is>
      </c>
      <c r="B299" s="14" t="inlineStr">
        <is>
          <t>Instagram</t>
        </is>
      </c>
      <c r="C299" s="2" t="inlineStr">
        <is>
          <t>comentarios_periodo</t>
        </is>
      </c>
      <c r="D299" s="2" t="inlineStr">
        <is>
          <t>Comentários no período</t>
        </is>
      </c>
      <c r="E299" s="5">
        <f>COUNTIFS(dados!$C$2:$C$55,$A299,dados!$V$2:$V$55,"&lt;&gt;")</f>
        <v/>
      </c>
      <c r="F299" s="5">
        <f>IFERROR(AVERAGEIFS(dados!$V$2:$V$55,dados!$C$2:$C$55,$A299),"")</f>
        <v/>
      </c>
      <c r="G299" s="5">
        <f t="array" ref="G299">IFERROR(MEDIAN(IF((dados!$C$2:$C$55=$A299)*(dados!$V$2:$V$55&lt;&gt;""),dados!$V$2:$V$55)),"")</f>
        <v/>
      </c>
      <c r="H299" s="5">
        <f t="array" ref="H299">IFERROR(STDEV(IF((dados!$C$2:$C$55=$A299)*(dados!$V$2:$V$55&lt;&gt;""),dados!$V$2:$V$55)),"")</f>
        <v/>
      </c>
      <c r="I299" s="5">
        <f>IF(COUNTIFS(dados!$C$2:$C$55,$A299,dados!$V$2:$V$55,"&lt;&gt;")=0,"",_xlfn.MINIFS(dados!$V$2:$V$55,dados!$C$2:$C$55,$A299))</f>
        <v/>
      </c>
      <c r="J299" s="5">
        <f>IF(COUNTIFS(dados!$C$2:$C$55,$A299,dados!$V$2:$V$55,"&lt;&gt;")=0,"",_xlfn.MAXIFS(dados!$V$2:$V$55,dados!$C$2:$C$55,$A299))</f>
        <v/>
      </c>
      <c r="K299" s="5">
        <f>IFERROR(J299-I299,"")</f>
        <v/>
      </c>
    </row>
    <row r="300">
      <c r="A300" s="2" t="inlineStr">
        <is>
          <t>Recife</t>
        </is>
      </c>
      <c r="B300" s="14" t="inlineStr">
        <is>
          <t>Instagram</t>
        </is>
      </c>
      <c r="C300" s="2" t="inlineStr">
        <is>
          <t>interacoes_por_post</t>
        </is>
      </c>
      <c r="D300" s="2" t="inlineStr">
        <is>
          <t>Interações por post no período (curtidas + comentários)</t>
        </is>
      </c>
      <c r="E300" s="5">
        <f>COUNTIFS(dados!$C$2:$C$55,$A300,dados!$W$2:$W$55,"&lt;&gt;")</f>
        <v/>
      </c>
      <c r="F300" s="6">
        <f>IFERROR(AVERAGEIFS(dados!$W$2:$W$55,dados!$C$2:$C$55,$A300),"")</f>
        <v/>
      </c>
      <c r="G300" s="6">
        <f t="array" ref="G300">IFERROR(MEDIAN(IF((dados!$C$2:$C$55=$A300)*(dados!$W$2:$W$55&lt;&gt;""),dados!$W$2:$W$55)),"")</f>
        <v/>
      </c>
      <c r="H300" s="6">
        <f t="array" ref="H300">IFERROR(STDEV(IF((dados!$C$2:$C$55=$A300)*(dados!$W$2:$W$55&lt;&gt;""),dados!$W$2:$W$55)),"")</f>
        <v/>
      </c>
      <c r="I300" s="6">
        <f>IF(COUNTIFS(dados!$C$2:$C$55,$A300,dados!$W$2:$W$55,"&lt;&gt;")=0,"",_xlfn.MINIFS(dados!$W$2:$W$55,dados!$C$2:$C$55,$A300))</f>
        <v/>
      </c>
      <c r="J300" s="6">
        <f>IF(COUNTIFS(dados!$C$2:$C$55,$A300,dados!$W$2:$W$55,"&lt;&gt;")=0,"",_xlfn.MAXIFS(dados!$W$2:$W$55,dados!$C$2:$C$55,$A300))</f>
        <v/>
      </c>
      <c r="K300" s="6">
        <f>IFERROR(J300-I300,"")</f>
        <v/>
      </c>
    </row>
    <row r="301">
      <c r="A301" s="2" t="inlineStr">
        <is>
          <t>Recife</t>
        </is>
      </c>
      <c r="B301" s="14" t="inlineStr">
        <is>
          <t>Instagram</t>
        </is>
      </c>
      <c r="C301" s="2" t="inlineStr">
        <is>
          <t>engajamento_pct</t>
        </is>
      </c>
      <c r="D301" s="2" t="inlineStr">
        <is>
          <t>Taxa de engajamento (interações por post ÷ seguidores)</t>
        </is>
      </c>
      <c r="E301" s="5">
        <f>COUNTIFS(dados!$C$2:$C$55,$A301,dados!$X$2:$X$55,"&lt;&gt;")</f>
        <v/>
      </c>
      <c r="F301" s="15">
        <f>IFERROR(AVERAGEIFS(dados!$X$2:$X$55,dados!$C$2:$C$55,$A301),"")</f>
        <v/>
      </c>
      <c r="G301" s="15">
        <f t="array" ref="G301">IFERROR(MEDIAN(IF((dados!$C$2:$C$55=$A301)*(dados!$X$2:$X$55&lt;&gt;""),dados!$X$2:$X$55)),"")</f>
        <v/>
      </c>
      <c r="H301" s="15">
        <f t="array" ref="H301">IFERROR(STDEV(IF((dados!$C$2:$C$55=$A301)*(dados!$X$2:$X$55&lt;&gt;""),dados!$X$2:$X$55)),"")</f>
        <v/>
      </c>
      <c r="I301" s="15">
        <f>IF(COUNTIFS(dados!$C$2:$C$55,$A301,dados!$X$2:$X$55,"&lt;&gt;")=0,"",_xlfn.MINIFS(dados!$X$2:$X$55,dados!$C$2:$C$55,$A301))</f>
        <v/>
      </c>
      <c r="J301" s="15">
        <f>IF(COUNTIFS(dados!$C$2:$C$55,$A301,dados!$X$2:$X$55,"&lt;&gt;")=0,"",_xlfn.MAXIFS(dados!$X$2:$X$55,dados!$C$2:$C$55,$A301))</f>
        <v/>
      </c>
      <c r="K301" s="15">
        <f>IFERROR(J301-I301,"")</f>
        <v/>
      </c>
    </row>
    <row r="302">
      <c r="A302" s="2" t="inlineStr">
        <is>
          <t>Recife</t>
        </is>
      </c>
      <c r="B302" s="16" t="inlineStr">
        <is>
          <t>Cardápio</t>
        </is>
      </c>
      <c r="C302" s="2" t="inlineStr">
        <is>
          <t>itens_com_preco</t>
        </is>
      </c>
      <c r="D302" s="2" t="inlineStr">
        <is>
          <t>Itens com preço no cardápio</t>
        </is>
      </c>
      <c r="E302" s="5">
        <f>COUNTIFS(dados!$C$2:$C$55,$A302,dados!$Y$2:$Y$55,"&lt;&gt;")</f>
        <v/>
      </c>
      <c r="F302" s="5">
        <f>IFERROR(AVERAGEIFS(dados!$Y$2:$Y$55,dados!$C$2:$C$55,$A302),"")</f>
        <v/>
      </c>
      <c r="G302" s="5">
        <f t="array" ref="G302">IFERROR(MEDIAN(IF((dados!$C$2:$C$55=$A302)*(dados!$Y$2:$Y$55&lt;&gt;""),dados!$Y$2:$Y$55)),"")</f>
        <v/>
      </c>
      <c r="H302" s="5">
        <f t="array" ref="H302">IFERROR(STDEV(IF((dados!$C$2:$C$55=$A302)*(dados!$Y$2:$Y$55&lt;&gt;""),dados!$Y$2:$Y$55)),"")</f>
        <v/>
      </c>
      <c r="I302" s="5">
        <f>IF(COUNTIFS(dados!$C$2:$C$55,$A302,dados!$Y$2:$Y$55,"&lt;&gt;")=0,"",_xlfn.MINIFS(dados!$Y$2:$Y$55,dados!$C$2:$C$55,$A302))</f>
        <v/>
      </c>
      <c r="J302" s="5">
        <f>IF(COUNTIFS(dados!$C$2:$C$55,$A302,dados!$Y$2:$Y$55,"&lt;&gt;")=0,"",_xlfn.MAXIFS(dados!$Y$2:$Y$55,dados!$C$2:$C$55,$A302))</f>
        <v/>
      </c>
      <c r="K302" s="5">
        <f>IFERROR(J302-I302,"")</f>
        <v/>
      </c>
    </row>
    <row r="303">
      <c r="A303" s="2" t="inlineStr">
        <is>
          <t>Recife</t>
        </is>
      </c>
      <c r="B303" s="16" t="inlineStr">
        <is>
          <t>Cardápio</t>
        </is>
      </c>
      <c r="C303" s="2" t="inlineStr">
        <is>
          <t>couvert_mediana</t>
        </is>
      </c>
      <c r="D303" s="2" t="inlineStr">
        <is>
          <t>Couvert ou taxa de jogo (só casas que cobram)</t>
        </is>
      </c>
      <c r="E303" s="5">
        <f>COUNTIFS(dados!$C$2:$C$55,$A303,dados!$Z$2:$Z$55,"&lt;&gt;")</f>
        <v/>
      </c>
      <c r="F303" s="7">
        <f>IFERROR(AVERAGEIFS(dados!$Z$2:$Z$55,dados!$C$2:$C$55,$A303),"")</f>
        <v/>
      </c>
      <c r="G303" s="7">
        <f t="array" ref="G303">IFERROR(MEDIAN(IF((dados!$C$2:$C$55=$A303)*(dados!$Z$2:$Z$55&lt;&gt;""),dados!$Z$2:$Z$55)),"")</f>
        <v/>
      </c>
      <c r="H303" s="7">
        <f t="array" ref="H303">IFERROR(STDEV(IF((dados!$C$2:$C$55=$A303)*(dados!$Z$2:$Z$55&lt;&gt;""),dados!$Z$2:$Z$55)),"")</f>
        <v/>
      </c>
      <c r="I303" s="7">
        <f>IF(COUNTIFS(dados!$C$2:$C$55,$A303,dados!$Z$2:$Z$55,"&lt;&gt;")=0,"",_xlfn.MINIFS(dados!$Z$2:$Z$55,dados!$C$2:$C$55,$A303))</f>
        <v/>
      </c>
      <c r="J303" s="7">
        <f>IF(COUNTIFS(dados!$C$2:$C$55,$A303,dados!$Z$2:$Z$55,"&lt;&gt;")=0,"",_xlfn.MAXIFS(dados!$Z$2:$Z$55,dados!$C$2:$C$55,$A303))</f>
        <v/>
      </c>
      <c r="K303" s="7">
        <f>IFERROR(J303-I303,"")</f>
        <v/>
      </c>
    </row>
    <row r="304">
      <c r="A304" s="2" t="inlineStr">
        <is>
          <t>Recife</t>
        </is>
      </c>
      <c r="B304" s="16" t="inlineStr">
        <is>
          <t>Cardápio</t>
        </is>
      </c>
      <c r="C304" s="2" t="inlineStr">
        <is>
          <t>bebida_mediana</t>
        </is>
      </c>
      <c r="D304" s="2" t="inlineStr">
        <is>
          <t>Bebida, mediana do cardápio</t>
        </is>
      </c>
      <c r="E304" s="5">
        <f>COUNTIFS(dados!$C$2:$C$55,$A304,dados!$AA$2:$AA$55,"&lt;&gt;")</f>
        <v/>
      </c>
      <c r="F304" s="7">
        <f>IFERROR(AVERAGEIFS(dados!$AA$2:$AA$55,dados!$C$2:$C$55,$A304),"")</f>
        <v/>
      </c>
      <c r="G304" s="7">
        <f t="array" ref="G304">IFERROR(MEDIAN(IF((dados!$C$2:$C$55=$A304)*(dados!$AA$2:$AA$55&lt;&gt;""),dados!$AA$2:$AA$55)),"")</f>
        <v/>
      </c>
      <c r="H304" s="7">
        <f t="array" ref="H304">IFERROR(STDEV(IF((dados!$C$2:$C$55=$A304)*(dados!$AA$2:$AA$55&lt;&gt;""),dados!$AA$2:$AA$55)),"")</f>
        <v/>
      </c>
      <c r="I304" s="7">
        <f>IF(COUNTIFS(dados!$C$2:$C$55,$A304,dados!$AA$2:$AA$55,"&lt;&gt;")=0,"",_xlfn.MINIFS(dados!$AA$2:$AA$55,dados!$C$2:$C$55,$A304))</f>
        <v/>
      </c>
      <c r="J304" s="7">
        <f>IF(COUNTIFS(dados!$C$2:$C$55,$A304,dados!$AA$2:$AA$55,"&lt;&gt;")=0,"",_xlfn.MAXIFS(dados!$AA$2:$AA$55,dados!$C$2:$C$55,$A304))</f>
        <v/>
      </c>
      <c r="K304" s="7">
        <f>IFERROR(J304-I304,"")</f>
        <v/>
      </c>
    </row>
    <row r="305">
      <c r="A305" s="2" t="inlineStr">
        <is>
          <t>Recife</t>
        </is>
      </c>
      <c r="B305" s="16" t="inlineStr">
        <is>
          <t>Cardápio</t>
        </is>
      </c>
      <c r="C305" s="2" t="inlineStr">
        <is>
          <t>entrada_ou_prato_mediana</t>
        </is>
      </c>
      <c r="D305" s="2" t="inlineStr">
        <is>
          <t>Entrada ou prato, mediana do cardápio</t>
        </is>
      </c>
      <c r="E305" s="5">
        <f>COUNTIFS(dados!$C$2:$C$55,$A305,dados!$AB$2:$AB$55,"&lt;&gt;")</f>
        <v/>
      </c>
      <c r="F305" s="7">
        <f>IFERROR(AVERAGEIFS(dados!$AB$2:$AB$55,dados!$C$2:$C$55,$A305),"")</f>
        <v/>
      </c>
      <c r="G305" s="7">
        <f t="array" ref="G305">IFERROR(MEDIAN(IF((dados!$C$2:$C$55=$A305)*(dados!$AB$2:$AB$55&lt;&gt;""),dados!$AB$2:$AB$55)),"")</f>
        <v/>
      </c>
      <c r="H305" s="7">
        <f t="array" ref="H305">IFERROR(STDEV(IF((dados!$C$2:$C$55=$A305)*(dados!$AB$2:$AB$55&lt;&gt;""),dados!$AB$2:$AB$55)),"")</f>
        <v/>
      </c>
      <c r="I305" s="7">
        <f>IF(COUNTIFS(dados!$C$2:$C$55,$A305,dados!$AB$2:$AB$55,"&lt;&gt;")=0,"",_xlfn.MINIFS(dados!$AB$2:$AB$55,dados!$C$2:$C$55,$A305))</f>
        <v/>
      </c>
      <c r="J305" s="7">
        <f>IF(COUNTIFS(dados!$C$2:$C$55,$A305,dados!$AB$2:$AB$55,"&lt;&gt;")=0,"",_xlfn.MAXIFS(dados!$AB$2:$AB$55,dados!$C$2:$C$55,$A305))</f>
        <v/>
      </c>
      <c r="K305" s="7">
        <f>IFERROR(J305-I305,"")</f>
        <v/>
      </c>
    </row>
    <row r="306">
      <c r="A306" s="2" t="inlineStr">
        <is>
          <t>Recife</t>
        </is>
      </c>
      <c r="B306" s="16" t="inlineStr">
        <is>
          <t>Cardápio</t>
        </is>
      </c>
      <c r="C306" s="2" t="inlineStr">
        <is>
          <t>cesta_baixa</t>
        </is>
      </c>
      <c r="D306" s="2" t="inlineStr">
        <is>
          <t>Cesta por pessoa, nível baixo (P25)</t>
        </is>
      </c>
      <c r="E306" s="5">
        <f>COUNTIFS(dados!$C$2:$C$55,$A306,dados!$AC$2:$AC$55,"&lt;&gt;")</f>
        <v/>
      </c>
      <c r="F306" s="7">
        <f>IFERROR(AVERAGEIFS(dados!$AC$2:$AC$55,dados!$C$2:$C$55,$A306),"")</f>
        <v/>
      </c>
      <c r="G306" s="7">
        <f t="array" ref="G306">IFERROR(MEDIAN(IF((dados!$C$2:$C$55=$A306)*(dados!$AC$2:$AC$55&lt;&gt;""),dados!$AC$2:$AC$55)),"")</f>
        <v/>
      </c>
      <c r="H306" s="7">
        <f t="array" ref="H306">IFERROR(STDEV(IF((dados!$C$2:$C$55=$A306)*(dados!$AC$2:$AC$55&lt;&gt;""),dados!$AC$2:$AC$55)),"")</f>
        <v/>
      </c>
      <c r="I306" s="7">
        <f>IF(COUNTIFS(dados!$C$2:$C$55,$A306,dados!$AC$2:$AC$55,"&lt;&gt;")=0,"",_xlfn.MINIFS(dados!$AC$2:$AC$55,dados!$C$2:$C$55,$A306))</f>
        <v/>
      </c>
      <c r="J306" s="7">
        <f>IF(COUNTIFS(dados!$C$2:$C$55,$A306,dados!$AC$2:$AC$55,"&lt;&gt;")=0,"",_xlfn.MAXIFS(dados!$AC$2:$AC$55,dados!$C$2:$C$55,$A306))</f>
        <v/>
      </c>
      <c r="K306" s="7">
        <f>IFERROR(J306-I306,"")</f>
        <v/>
      </c>
    </row>
    <row r="307">
      <c r="A307" s="2" t="inlineStr">
        <is>
          <t>Recife</t>
        </is>
      </c>
      <c r="B307" s="16" t="inlineStr">
        <is>
          <t>Cardápio</t>
        </is>
      </c>
      <c r="C307" s="2" t="inlineStr">
        <is>
          <t>cesta_mediana</t>
        </is>
      </c>
      <c r="D307" s="2" t="inlineStr">
        <is>
          <t>Cesta por pessoa, nível mediano</t>
        </is>
      </c>
      <c r="E307" s="5">
        <f>COUNTIFS(dados!$C$2:$C$55,$A307,dados!$AD$2:$AD$55,"&lt;&gt;")</f>
        <v/>
      </c>
      <c r="F307" s="7">
        <f>IFERROR(AVERAGEIFS(dados!$AD$2:$AD$55,dados!$C$2:$C$55,$A307),"")</f>
        <v/>
      </c>
      <c r="G307" s="7">
        <f t="array" ref="G307">IFERROR(MEDIAN(IF((dados!$C$2:$C$55=$A307)*(dados!$AD$2:$AD$55&lt;&gt;""),dados!$AD$2:$AD$55)),"")</f>
        <v/>
      </c>
      <c r="H307" s="7">
        <f t="array" ref="H307">IFERROR(STDEV(IF((dados!$C$2:$C$55=$A307)*(dados!$AD$2:$AD$55&lt;&gt;""),dados!$AD$2:$AD$55)),"")</f>
        <v/>
      </c>
      <c r="I307" s="7">
        <f>IF(COUNTIFS(dados!$C$2:$C$55,$A307,dados!$AD$2:$AD$55,"&lt;&gt;")=0,"",_xlfn.MINIFS(dados!$AD$2:$AD$55,dados!$C$2:$C$55,$A307))</f>
        <v/>
      </c>
      <c r="J307" s="7">
        <f>IF(COUNTIFS(dados!$C$2:$C$55,$A307,dados!$AD$2:$AD$55,"&lt;&gt;")=0,"",_xlfn.MAXIFS(dados!$AD$2:$AD$55,dados!$C$2:$C$55,$A307))</f>
        <v/>
      </c>
      <c r="K307" s="7">
        <f>IFERROR(J307-I307,"")</f>
        <v/>
      </c>
    </row>
    <row r="308">
      <c r="A308" s="2" t="inlineStr">
        <is>
          <t>Recife</t>
        </is>
      </c>
      <c r="B308" s="16" t="inlineStr">
        <is>
          <t>Cardápio</t>
        </is>
      </c>
      <c r="C308" s="2" t="inlineStr">
        <is>
          <t>cesta_alta</t>
        </is>
      </c>
      <c r="D308" s="2" t="inlineStr">
        <is>
          <t>Cesta por pessoa, nível alto (P75)</t>
        </is>
      </c>
      <c r="E308" s="5">
        <f>COUNTIFS(dados!$C$2:$C$55,$A308,dados!$AE$2:$AE$55,"&lt;&gt;")</f>
        <v/>
      </c>
      <c r="F308" s="7">
        <f>IFERROR(AVERAGEIFS(dados!$AE$2:$AE$55,dados!$C$2:$C$55,$A308),"")</f>
        <v/>
      </c>
      <c r="G308" s="7">
        <f t="array" ref="G308">IFERROR(MEDIAN(IF((dados!$C$2:$C$55=$A308)*(dados!$AE$2:$AE$55&lt;&gt;""),dados!$AE$2:$AE$55)),"")</f>
        <v/>
      </c>
      <c r="H308" s="7">
        <f t="array" ref="H308">IFERROR(STDEV(IF((dados!$C$2:$C$55=$A308)*(dados!$AE$2:$AE$55&lt;&gt;""),dados!$AE$2:$AE$55)),"")</f>
        <v/>
      </c>
      <c r="I308" s="7">
        <f>IF(COUNTIFS(dados!$C$2:$C$55,$A308,dados!$AE$2:$AE$55,"&lt;&gt;")=0,"",_xlfn.MINIFS(dados!$AE$2:$AE$55,dados!$C$2:$C$55,$A308))</f>
        <v/>
      </c>
      <c r="J308" s="7">
        <f>IF(COUNTIFS(dados!$C$2:$C$55,$A308,dados!$AE$2:$AE$55,"&lt;&gt;")=0,"",_xlfn.MAXIFS(dados!$AE$2:$AE$55,dados!$C$2:$C$55,$A308))</f>
        <v/>
      </c>
      <c r="K308" s="7">
        <f>IFERROR(J308-I308,"")</f>
        <v/>
      </c>
    </row>
    <row r="309">
      <c r="A309" s="2" t="inlineStr">
        <is>
          <t>Recife</t>
        </is>
      </c>
      <c r="B309" s="16" t="inlineStr">
        <is>
          <t>Cardápio</t>
        </is>
      </c>
      <c r="C309" s="2" t="inlineStr">
        <is>
          <t>hamburguer_mediana</t>
        </is>
      </c>
      <c r="D309" s="2" t="inlineStr">
        <is>
          <t>Hambúrguer, mediana</t>
        </is>
      </c>
      <c r="E309" s="5">
        <f>COUNTIFS(dados!$C$2:$C$55,$A309,dados!$AF$2:$AF$55,"&lt;&gt;")</f>
        <v/>
      </c>
      <c r="F309" s="7">
        <f>IFERROR(AVERAGEIFS(dados!$AF$2:$AF$55,dados!$C$2:$C$55,$A309),"")</f>
        <v/>
      </c>
      <c r="G309" s="7">
        <f t="array" ref="G309">IFERROR(MEDIAN(IF((dados!$C$2:$C$55=$A309)*(dados!$AF$2:$AF$55&lt;&gt;""),dados!$AF$2:$AF$55)),"")</f>
        <v/>
      </c>
      <c r="H309" s="7">
        <f t="array" ref="H309">IFERROR(STDEV(IF((dados!$C$2:$C$55=$A309)*(dados!$AF$2:$AF$55&lt;&gt;""),dados!$AF$2:$AF$55)),"")</f>
        <v/>
      </c>
      <c r="I309" s="7">
        <f>IF(COUNTIFS(dados!$C$2:$C$55,$A309,dados!$AF$2:$AF$55,"&lt;&gt;")=0,"",_xlfn.MINIFS(dados!$AF$2:$AF$55,dados!$C$2:$C$55,$A309))</f>
        <v/>
      </c>
      <c r="J309" s="7">
        <f>IF(COUNTIFS(dados!$C$2:$C$55,$A309,dados!$AF$2:$AF$55,"&lt;&gt;")=0,"",_xlfn.MAXIFS(dados!$AF$2:$AF$55,dados!$C$2:$C$55,$A309))</f>
        <v/>
      </c>
      <c r="K309" s="7">
        <f>IFERROR(J309-I309,"")</f>
        <v/>
      </c>
    </row>
    <row r="310">
      <c r="A310" s="2" t="inlineStr">
        <is>
          <t>Recife</t>
        </is>
      </c>
      <c r="B310" s="16" t="inlineStr">
        <is>
          <t>Cardápio</t>
        </is>
      </c>
      <c r="C310" s="2" t="inlineStr">
        <is>
          <t>batata_mediana</t>
        </is>
      </c>
      <c r="D310" s="2" t="inlineStr">
        <is>
          <t>Batata, mediana</t>
        </is>
      </c>
      <c r="E310" s="5">
        <f>COUNTIFS(dados!$C$2:$C$55,$A310,dados!$AG$2:$AG$55,"&lt;&gt;")</f>
        <v/>
      </c>
      <c r="F310" s="7">
        <f>IFERROR(AVERAGEIFS(dados!$AG$2:$AG$55,dados!$C$2:$C$55,$A310),"")</f>
        <v/>
      </c>
      <c r="G310" s="7">
        <f t="array" ref="G310">IFERROR(MEDIAN(IF((dados!$C$2:$C$55=$A310)*(dados!$AG$2:$AG$55&lt;&gt;""),dados!$AG$2:$AG$55)),"")</f>
        <v/>
      </c>
      <c r="H310" s="7">
        <f t="array" ref="H310">IFERROR(STDEV(IF((dados!$C$2:$C$55=$A310)*(dados!$AG$2:$AG$55&lt;&gt;""),dados!$AG$2:$AG$55)),"")</f>
        <v/>
      </c>
      <c r="I310" s="7">
        <f>IF(COUNTIFS(dados!$C$2:$C$55,$A310,dados!$AG$2:$AG$55,"&lt;&gt;")=0,"",_xlfn.MINIFS(dados!$AG$2:$AG$55,dados!$C$2:$C$55,$A310))</f>
        <v/>
      </c>
      <c r="J310" s="7">
        <f>IF(COUNTIFS(dados!$C$2:$C$55,$A310,dados!$AG$2:$AG$55,"&lt;&gt;")=0,"",_xlfn.MAXIFS(dados!$AG$2:$AG$55,dados!$C$2:$C$55,$A310))</f>
        <v/>
      </c>
      <c r="K310" s="7">
        <f>IFERROR(J310-I310,"")</f>
        <v/>
      </c>
    </row>
    <row r="311">
      <c r="A311" s="2" t="inlineStr">
        <is>
          <t>Recife</t>
        </is>
      </c>
      <c r="B311" s="16" t="inlineStr">
        <is>
          <t>Cardápio</t>
        </is>
      </c>
      <c r="C311" s="2" t="inlineStr">
        <is>
          <t>cerveja_mediana</t>
        </is>
      </c>
      <c r="D311" s="2" t="inlineStr">
        <is>
          <t>Cerveja, mediana</t>
        </is>
      </c>
      <c r="E311" s="5">
        <f>COUNTIFS(dados!$C$2:$C$55,$A311,dados!$AH$2:$AH$55,"&lt;&gt;")</f>
        <v/>
      </c>
      <c r="F311" s="7">
        <f>IFERROR(AVERAGEIFS(dados!$AH$2:$AH$55,dados!$C$2:$C$55,$A311),"")</f>
        <v/>
      </c>
      <c r="G311" s="7">
        <f t="array" ref="G311">IFERROR(MEDIAN(IF((dados!$C$2:$C$55=$A311)*(dados!$AH$2:$AH$55&lt;&gt;""),dados!$AH$2:$AH$55)),"")</f>
        <v/>
      </c>
      <c r="H311" s="7">
        <f t="array" ref="H311">IFERROR(STDEV(IF((dados!$C$2:$C$55=$A311)*(dados!$AH$2:$AH$55&lt;&gt;""),dados!$AH$2:$AH$55)),"")</f>
        <v/>
      </c>
      <c r="I311" s="7">
        <f>IF(COUNTIFS(dados!$C$2:$C$55,$A311,dados!$AH$2:$AH$55,"&lt;&gt;")=0,"",_xlfn.MINIFS(dados!$AH$2:$AH$55,dados!$C$2:$C$55,$A311))</f>
        <v/>
      </c>
      <c r="J311" s="7">
        <f>IF(COUNTIFS(dados!$C$2:$C$55,$A311,dados!$AH$2:$AH$55,"&lt;&gt;")=0,"",_xlfn.MAXIFS(dados!$AH$2:$AH$55,dados!$C$2:$C$55,$A311))</f>
        <v/>
      </c>
      <c r="K311" s="7">
        <f>IFERROR(J311-I311,"")</f>
        <v/>
      </c>
    </row>
    <row r="312">
      <c r="A312" s="2" t="inlineStr">
        <is>
          <t>Recife</t>
        </is>
      </c>
      <c r="B312" s="16" t="inlineStr">
        <is>
          <t>Cardápio</t>
        </is>
      </c>
      <c r="C312" s="2" t="inlineStr">
        <is>
          <t>refrigerante_mediana</t>
        </is>
      </c>
      <c r="D312" s="2" t="inlineStr">
        <is>
          <t>Refrigerante, mediana</t>
        </is>
      </c>
      <c r="E312" s="5">
        <f>COUNTIFS(dados!$C$2:$C$55,$A312,dados!$AI$2:$AI$55,"&lt;&gt;")</f>
        <v/>
      </c>
      <c r="F312" s="7">
        <f>IFERROR(AVERAGEIFS(dados!$AI$2:$AI$55,dados!$C$2:$C$55,$A312),"")</f>
        <v/>
      </c>
      <c r="G312" s="7">
        <f t="array" ref="G312">IFERROR(MEDIAN(IF((dados!$C$2:$C$55=$A312)*(dados!$AI$2:$AI$55&lt;&gt;""),dados!$AI$2:$AI$55)),"")</f>
        <v/>
      </c>
      <c r="H312" s="7">
        <f t="array" ref="H312">IFERROR(STDEV(IF((dados!$C$2:$C$55=$A312)*(dados!$AI$2:$AI$55&lt;&gt;""),dados!$AI$2:$AI$55)),"")</f>
        <v/>
      </c>
      <c r="I312" s="7">
        <f>IF(COUNTIFS(dados!$C$2:$C$55,$A312,dados!$AI$2:$AI$55,"&lt;&gt;")=0,"",_xlfn.MINIFS(dados!$AI$2:$AI$55,dados!$C$2:$C$55,$A312))</f>
        <v/>
      </c>
      <c r="J312" s="7">
        <f>IF(COUNTIFS(dados!$C$2:$C$55,$A312,dados!$AI$2:$AI$55,"&lt;&gt;")=0,"",_xlfn.MAXIFS(dados!$AI$2:$AI$55,dados!$C$2:$C$55,$A312))</f>
        <v/>
      </c>
      <c r="K312" s="7">
        <f>IFERROR(J312-I312,"")</f>
        <v/>
      </c>
    </row>
    <row r="313">
      <c r="A313" s="2" t="inlineStr">
        <is>
          <t>Recife</t>
        </is>
      </c>
      <c r="B313" s="16" t="inlineStr">
        <is>
          <t>Cardápio</t>
        </is>
      </c>
      <c r="C313" s="2" t="inlineStr">
        <is>
          <t>drinks_mediana</t>
        </is>
      </c>
      <c r="D313" s="2" t="inlineStr">
        <is>
          <t>Drinks, mediana</t>
        </is>
      </c>
      <c r="E313" s="5">
        <f>COUNTIFS(dados!$C$2:$C$55,$A313,dados!$AJ$2:$AJ$55,"&lt;&gt;")</f>
        <v/>
      </c>
      <c r="F313" s="7">
        <f>IFERROR(AVERAGEIFS(dados!$AJ$2:$AJ$55,dados!$C$2:$C$55,$A313),"")</f>
        <v/>
      </c>
      <c r="G313" s="7">
        <f t="array" ref="G313">IFERROR(MEDIAN(IF((dados!$C$2:$C$55=$A313)*(dados!$AJ$2:$AJ$55&lt;&gt;""),dados!$AJ$2:$AJ$55)),"")</f>
        <v/>
      </c>
      <c r="H313" s="7">
        <f t="array" ref="H313">IFERROR(STDEV(IF((dados!$C$2:$C$55=$A313)*(dados!$AJ$2:$AJ$55&lt;&gt;""),dados!$AJ$2:$AJ$55)),"")</f>
        <v/>
      </c>
      <c r="I313" s="7">
        <f>IF(COUNTIFS(dados!$C$2:$C$55,$A313,dados!$AJ$2:$AJ$55,"&lt;&gt;")=0,"",_xlfn.MINIFS(dados!$AJ$2:$AJ$55,dados!$C$2:$C$55,$A313))</f>
        <v/>
      </c>
      <c r="J313" s="7">
        <f>IF(COUNTIFS(dados!$C$2:$C$55,$A313,dados!$AJ$2:$AJ$55,"&lt;&gt;")=0,"",_xlfn.MAXIFS(dados!$AJ$2:$AJ$55,dados!$C$2:$C$55,$A313))</f>
        <v/>
      </c>
      <c r="K313" s="7">
        <f>IFERROR(J313-I313,"")</f>
        <v/>
      </c>
    </row>
    <row r="314">
      <c r="A314" s="2" t="inlineStr">
        <is>
          <t>Recife</t>
        </is>
      </c>
      <c r="B314" s="17" t="inlineStr">
        <is>
          <t>Acervo</t>
        </is>
      </c>
      <c r="C314" s="2" t="inlineStr">
        <is>
          <t>titulos_acervo</t>
        </is>
      </c>
      <c r="D314" s="2" t="inlineStr">
        <is>
          <t>Títulos no acervo publicado</t>
        </is>
      </c>
      <c r="E314" s="5">
        <f>COUNTIFS(dados!$C$2:$C$55,$A314,dados!$AK$2:$AK$55,"&lt;&gt;")</f>
        <v/>
      </c>
      <c r="F314" s="5">
        <f>IFERROR(AVERAGEIFS(dados!$AK$2:$AK$55,dados!$C$2:$C$55,$A314),"")</f>
        <v/>
      </c>
      <c r="G314" s="5">
        <f t="array" ref="G314">IFERROR(MEDIAN(IF((dados!$C$2:$C$55=$A314)*(dados!$AK$2:$AK$55&lt;&gt;""),dados!$AK$2:$AK$55)),"")</f>
        <v/>
      </c>
      <c r="H314" s="5">
        <f t="array" ref="H314">IFERROR(STDEV(IF((dados!$C$2:$C$55=$A314)*(dados!$AK$2:$AK$55&lt;&gt;""),dados!$AK$2:$AK$55)),"")</f>
        <v/>
      </c>
      <c r="I314" s="5">
        <f>IF(COUNTIFS(dados!$C$2:$C$55,$A314,dados!$AK$2:$AK$55,"&lt;&gt;")=0,"",_xlfn.MINIFS(dados!$AK$2:$AK$55,dados!$C$2:$C$55,$A314))</f>
        <v/>
      </c>
      <c r="J314" s="5">
        <f>IF(COUNTIFS(dados!$C$2:$C$55,$A314,dados!$AK$2:$AK$55,"&lt;&gt;")=0,"",_xlfn.MAXIFS(dados!$AK$2:$AK$55,dados!$C$2:$C$55,$A314))</f>
        <v/>
      </c>
      <c r="K314" s="5">
        <f>IFERROR(J314-I314,"")</f>
        <v/>
      </c>
    </row>
    <row r="315">
      <c r="A315" s="2" t="inlineStr">
        <is>
          <t>Recife</t>
        </is>
      </c>
      <c r="B315" s="18" t="inlineStr">
        <is>
          <t>B2</t>
        </is>
      </c>
      <c r="C315" s="2" t="inlineStr">
        <is>
          <t>avaliacoes_b2</t>
        </is>
      </c>
      <c r="D315" s="2" t="inlineStr">
        <is>
          <t>Avaliações no recorte do B2 (até '3 meses atrás')</t>
        </is>
      </c>
      <c r="E315" s="5">
        <f>COUNTIFS(dados!$C$2:$C$55,$A315,dados!$AL$2:$AL$55,"&lt;&gt;")</f>
        <v/>
      </c>
      <c r="F315" s="5">
        <f>IFERROR(AVERAGEIFS(dados!$AL$2:$AL$55,dados!$C$2:$C$55,$A315),"")</f>
        <v/>
      </c>
      <c r="G315" s="5">
        <f t="array" ref="G315">IFERROR(MEDIAN(IF((dados!$C$2:$C$55=$A315)*(dados!$AL$2:$AL$55&lt;&gt;""),dados!$AL$2:$AL$55)),"")</f>
        <v/>
      </c>
      <c r="H315" s="5">
        <f t="array" ref="H315">IFERROR(STDEV(IF((dados!$C$2:$C$55=$A315)*(dados!$AL$2:$AL$55&lt;&gt;""),dados!$AL$2:$AL$55)),"")</f>
        <v/>
      </c>
      <c r="I315" s="5">
        <f>IF(COUNTIFS(dados!$C$2:$C$55,$A315,dados!$AL$2:$AL$55,"&lt;&gt;")=0,"",_xlfn.MINIFS(dados!$AL$2:$AL$55,dados!$C$2:$C$55,$A315))</f>
        <v/>
      </c>
      <c r="J315" s="5">
        <f>IF(COUNTIFS(dados!$C$2:$C$55,$A315,dados!$AL$2:$AL$55,"&lt;&gt;")=0,"",_xlfn.MAXIFS(dados!$AL$2:$AL$55,dados!$C$2:$C$55,$A315))</f>
        <v/>
      </c>
      <c r="K315" s="5">
        <f>IFERROR(J315-I315,"")</f>
        <v/>
      </c>
    </row>
    <row r="316">
      <c r="A316" s="2" t="inlineStr">
        <is>
          <t>Recife</t>
        </is>
      </c>
      <c r="B316" s="18" t="inlineStr">
        <is>
          <t>B2</t>
        </is>
      </c>
      <c r="C316" s="2" t="inlineStr">
        <is>
          <t>avaliacoes_b2_com_texto</t>
        </is>
      </c>
      <c r="D316" s="2" t="inlineStr">
        <is>
          <t>Dessas, com texto</t>
        </is>
      </c>
      <c r="E316" s="5">
        <f>COUNTIFS(dados!$C$2:$C$55,$A316,dados!$AM$2:$AM$55,"&lt;&gt;")</f>
        <v/>
      </c>
      <c r="F316" s="5">
        <f>IFERROR(AVERAGEIFS(dados!$AM$2:$AM$55,dados!$C$2:$C$55,$A316),"")</f>
        <v/>
      </c>
      <c r="G316" s="5">
        <f t="array" ref="G316">IFERROR(MEDIAN(IF((dados!$C$2:$C$55=$A316)*(dados!$AM$2:$AM$55&lt;&gt;""),dados!$AM$2:$AM$55)),"")</f>
        <v/>
      </c>
      <c r="H316" s="5">
        <f t="array" ref="H316">IFERROR(STDEV(IF((dados!$C$2:$C$55=$A316)*(dados!$AM$2:$AM$55&lt;&gt;""),dados!$AM$2:$AM$55)),"")</f>
        <v/>
      </c>
      <c r="I316" s="5">
        <f>IF(COUNTIFS(dados!$C$2:$C$55,$A316,dados!$AM$2:$AM$55,"&lt;&gt;")=0,"",_xlfn.MINIFS(dados!$AM$2:$AM$55,dados!$C$2:$C$55,$A316))</f>
        <v/>
      </c>
      <c r="J316" s="5">
        <f>IF(COUNTIFS(dados!$C$2:$C$55,$A316,dados!$AM$2:$AM$55,"&lt;&gt;")=0,"",_xlfn.MAXIFS(dados!$AM$2:$AM$55,dados!$C$2:$C$55,$A316))</f>
        <v/>
      </c>
      <c r="K316" s="5">
        <f>IFERROR(J316-I316,"")</f>
        <v/>
      </c>
    </row>
    <row r="317">
      <c r="A317" s="2" t="inlineStr">
        <is>
          <t>Rio de Janeiro</t>
        </is>
      </c>
      <c r="B317" s="11" t="inlineStr">
        <is>
          <t>Google Maps</t>
        </is>
      </c>
      <c r="C317" s="2" t="inlineStr">
        <is>
          <t>avaliacao_media</t>
        </is>
      </c>
      <c r="D317" s="2" t="inlineStr">
        <is>
          <t>Nota média no Google</t>
        </is>
      </c>
      <c r="E317" s="5">
        <f>COUNTIFS(dados!$C$2:$C$55,$A317,dados!$E$2:$E$55,"&lt;&gt;")</f>
        <v/>
      </c>
      <c r="F317" s="4">
        <f>IFERROR(AVERAGEIFS(dados!$E$2:$E$55,dados!$C$2:$C$55,$A317),"")</f>
        <v/>
      </c>
      <c r="G317" s="4">
        <f t="array" ref="G317">IFERROR(MEDIAN(IF((dados!$C$2:$C$55=$A317)*(dados!$E$2:$E$55&lt;&gt;""),dados!$E$2:$E$55)),"")</f>
        <v/>
      </c>
      <c r="H317" s="4">
        <f t="array" ref="H317">IFERROR(STDEV(IF((dados!$C$2:$C$55=$A317)*(dados!$E$2:$E$55&lt;&gt;""),dados!$E$2:$E$55)),"")</f>
        <v/>
      </c>
      <c r="I317" s="4">
        <f>IF(COUNTIFS(dados!$C$2:$C$55,$A317,dados!$E$2:$E$55,"&lt;&gt;")=0,"",_xlfn.MINIFS(dados!$E$2:$E$55,dados!$C$2:$C$55,$A317))</f>
        <v/>
      </c>
      <c r="J317" s="4">
        <f>IF(COUNTIFS(dados!$C$2:$C$55,$A317,dados!$E$2:$E$55,"&lt;&gt;")=0,"",_xlfn.MAXIFS(dados!$E$2:$E$55,dados!$C$2:$C$55,$A317))</f>
        <v/>
      </c>
      <c r="K317" s="4">
        <f>IFERROR(J317-I317,"")</f>
        <v/>
      </c>
    </row>
    <row r="318">
      <c r="A318" s="2" t="inlineStr">
        <is>
          <t>Rio de Janeiro</t>
        </is>
      </c>
      <c r="B318" s="11" t="inlineStr">
        <is>
          <t>Google Maps</t>
        </is>
      </c>
      <c r="C318" s="2" t="inlineStr">
        <is>
          <t>volume_avaliacoes</t>
        </is>
      </c>
      <c r="D318" s="2" t="inlineStr">
        <is>
          <t>Nº de avaliações no Google</t>
        </is>
      </c>
      <c r="E318" s="5">
        <f>COUNTIFS(dados!$C$2:$C$55,$A318,dados!$F$2:$F$55,"&lt;&gt;")</f>
        <v/>
      </c>
      <c r="F318" s="5">
        <f>IFERROR(AVERAGEIFS(dados!$F$2:$F$55,dados!$C$2:$C$55,$A318),"")</f>
        <v/>
      </c>
      <c r="G318" s="5">
        <f t="array" ref="G318">IFERROR(MEDIAN(IF((dados!$C$2:$C$55=$A318)*(dados!$F$2:$F$55&lt;&gt;""),dados!$F$2:$F$55)),"")</f>
        <v/>
      </c>
      <c r="H318" s="5">
        <f t="array" ref="H318">IFERROR(STDEV(IF((dados!$C$2:$C$55=$A318)*(dados!$F$2:$F$55&lt;&gt;""),dados!$F$2:$F$55)),"")</f>
        <v/>
      </c>
      <c r="I318" s="5">
        <f>IF(COUNTIFS(dados!$C$2:$C$55,$A318,dados!$F$2:$F$55,"&lt;&gt;")=0,"",_xlfn.MINIFS(dados!$F$2:$F$55,dados!$C$2:$C$55,$A318))</f>
        <v/>
      </c>
      <c r="J318" s="5">
        <f>IF(COUNTIFS(dados!$C$2:$C$55,$A318,dados!$F$2:$F$55,"&lt;&gt;")=0,"",_xlfn.MAXIFS(dados!$F$2:$F$55,dados!$C$2:$C$55,$A318))</f>
        <v/>
      </c>
      <c r="K318" s="5">
        <f>IFERROR(J318-I318,"")</f>
        <v/>
      </c>
    </row>
    <row r="319">
      <c r="A319" s="2" t="inlineStr">
        <is>
          <t>Rio de Janeiro</t>
        </is>
      </c>
      <c r="B319" s="12" t="inlineStr">
        <is>
          <t>Horários</t>
        </is>
      </c>
      <c r="C319" s="2" t="inlineStr">
        <is>
          <t>dias_abertos</t>
        </is>
      </c>
      <c r="D319" s="2" t="inlineStr">
        <is>
          <t>Dias abertos por semana</t>
        </is>
      </c>
      <c r="E319" s="5">
        <f>COUNTIFS(dados!$C$2:$C$55,$A319,dados!$G$2:$G$55,"&lt;&gt;")</f>
        <v/>
      </c>
      <c r="F319" s="6">
        <f>IFERROR(AVERAGEIFS(dados!$G$2:$G$55,dados!$C$2:$C$55,$A319),"")</f>
        <v/>
      </c>
      <c r="G319" s="6">
        <f t="array" ref="G319">IFERROR(MEDIAN(IF((dados!$C$2:$C$55=$A319)*(dados!$G$2:$G$55&lt;&gt;""),dados!$G$2:$G$55)),"")</f>
        <v/>
      </c>
      <c r="H319" s="6">
        <f t="array" ref="H319">IFERROR(STDEV(IF((dados!$C$2:$C$55=$A319)*(dados!$G$2:$G$55&lt;&gt;""),dados!$G$2:$G$55)),"")</f>
        <v/>
      </c>
      <c r="I319" s="6">
        <f>IF(COUNTIFS(dados!$C$2:$C$55,$A319,dados!$G$2:$G$55,"&lt;&gt;")=0,"",_xlfn.MINIFS(dados!$G$2:$G$55,dados!$C$2:$C$55,$A319))</f>
        <v/>
      </c>
      <c r="J319" s="6">
        <f>IF(COUNTIFS(dados!$C$2:$C$55,$A319,dados!$G$2:$G$55,"&lt;&gt;")=0,"",_xlfn.MAXIFS(dados!$G$2:$G$55,dados!$C$2:$C$55,$A319))</f>
        <v/>
      </c>
      <c r="K319" s="6">
        <f>IFERROR(J319-I319,"")</f>
        <v/>
      </c>
    </row>
    <row r="320">
      <c r="A320" s="2" t="inlineStr">
        <is>
          <t>Rio de Janeiro</t>
        </is>
      </c>
      <c r="B320" s="12" t="inlineStr">
        <is>
          <t>Horários</t>
        </is>
      </c>
      <c r="C320" s="2" t="inlineStr">
        <is>
          <t>horas_semana</t>
        </is>
      </c>
      <c r="D320" s="2" t="inlineStr">
        <is>
          <t>Horas abertas por semana</t>
        </is>
      </c>
      <c r="E320" s="5">
        <f>COUNTIFS(dados!$C$2:$C$55,$A320,dados!$H$2:$H$55,"&lt;&gt;")</f>
        <v/>
      </c>
      <c r="F320" s="6">
        <f>IFERROR(AVERAGEIFS(dados!$H$2:$H$55,dados!$C$2:$C$55,$A320),"")</f>
        <v/>
      </c>
      <c r="G320" s="6">
        <f t="array" ref="G320">IFERROR(MEDIAN(IF((dados!$C$2:$C$55=$A320)*(dados!$H$2:$H$55&lt;&gt;""),dados!$H$2:$H$55)),"")</f>
        <v/>
      </c>
      <c r="H320" s="6">
        <f t="array" ref="H320">IFERROR(STDEV(IF((dados!$C$2:$C$55=$A320)*(dados!$H$2:$H$55&lt;&gt;""),dados!$H$2:$H$55)),"")</f>
        <v/>
      </c>
      <c r="I320" s="6">
        <f>IF(COUNTIFS(dados!$C$2:$C$55,$A320,dados!$H$2:$H$55,"&lt;&gt;")=0,"",_xlfn.MINIFS(dados!$H$2:$H$55,dados!$C$2:$C$55,$A320))</f>
        <v/>
      </c>
      <c r="J320" s="6">
        <f>IF(COUNTIFS(dados!$C$2:$C$55,$A320,dados!$H$2:$H$55,"&lt;&gt;")=0,"",_xlfn.MAXIFS(dados!$H$2:$H$55,dados!$C$2:$C$55,$A320))</f>
        <v/>
      </c>
      <c r="K320" s="6">
        <f>IFERROR(J320-I320,"")</f>
        <v/>
      </c>
    </row>
    <row r="321">
      <c r="A321" s="2" t="inlineStr">
        <is>
          <t>Rio de Janeiro</t>
        </is>
      </c>
      <c r="B321" s="12" t="inlineStr">
        <is>
          <t>Horários</t>
        </is>
      </c>
      <c r="C321" s="2" t="inlineStr">
        <is>
          <t>abre_cedo_h</t>
        </is>
      </c>
      <c r="D321" s="2" t="inlineStr">
        <is>
          <t>Abertura mais cedo da semana</t>
        </is>
      </c>
      <c r="E321" s="5">
        <f>COUNTIFS(dados!$C$2:$C$55,$A321,dados!$I$2:$I$55,"&lt;&gt;")</f>
        <v/>
      </c>
      <c r="F321" s="6">
        <f>IFERROR(AVERAGEIFS(dados!$I$2:$I$55,dados!$C$2:$C$55,$A321),"")</f>
        <v/>
      </c>
      <c r="G321" s="6">
        <f t="array" ref="G321">IFERROR(MEDIAN(IF((dados!$C$2:$C$55=$A321)*(dados!$I$2:$I$55&lt;&gt;""),dados!$I$2:$I$55)),"")</f>
        <v/>
      </c>
      <c r="H321" s="6">
        <f t="array" ref="H321">IFERROR(STDEV(IF((dados!$C$2:$C$55=$A321)*(dados!$I$2:$I$55&lt;&gt;""),dados!$I$2:$I$55)),"")</f>
        <v/>
      </c>
      <c r="I321" s="6">
        <f>IF(COUNTIFS(dados!$C$2:$C$55,$A321,dados!$I$2:$I$55,"&lt;&gt;")=0,"",_xlfn.MINIFS(dados!$I$2:$I$55,dados!$C$2:$C$55,$A321))</f>
        <v/>
      </c>
      <c r="J321" s="6">
        <f>IF(COUNTIFS(dados!$C$2:$C$55,$A321,dados!$I$2:$I$55,"&lt;&gt;")=0,"",_xlfn.MAXIFS(dados!$I$2:$I$55,dados!$C$2:$C$55,$A321))</f>
        <v/>
      </c>
      <c r="K321" s="6">
        <f>IFERROR(J321-I321,"")</f>
        <v/>
      </c>
    </row>
    <row r="322">
      <c r="A322" s="2" t="inlineStr">
        <is>
          <t>Rio de Janeiro</t>
        </is>
      </c>
      <c r="B322" s="12" t="inlineStr">
        <is>
          <t>Horários</t>
        </is>
      </c>
      <c r="C322" s="2" t="inlineStr">
        <is>
          <t>fecha_tarde_h</t>
        </is>
      </c>
      <c r="D322" s="2" t="inlineStr">
        <is>
          <t>Fechamento mais tarde da semana (25 = 1h da manhã)</t>
        </is>
      </c>
      <c r="E322" s="5">
        <f>COUNTIFS(dados!$C$2:$C$55,$A322,dados!$J$2:$J$55,"&lt;&gt;")</f>
        <v/>
      </c>
      <c r="F322" s="6">
        <f>IFERROR(AVERAGEIFS(dados!$J$2:$J$55,dados!$C$2:$C$55,$A322),"")</f>
        <v/>
      </c>
      <c r="G322" s="6">
        <f t="array" ref="G322">IFERROR(MEDIAN(IF((dados!$C$2:$C$55=$A322)*(dados!$J$2:$J$55&lt;&gt;""),dados!$J$2:$J$55)),"")</f>
        <v/>
      </c>
      <c r="H322" s="6">
        <f t="array" ref="H322">IFERROR(STDEV(IF((dados!$C$2:$C$55=$A322)*(dados!$J$2:$J$55&lt;&gt;""),dados!$J$2:$J$55)),"")</f>
        <v/>
      </c>
      <c r="I322" s="6">
        <f>IF(COUNTIFS(dados!$C$2:$C$55,$A322,dados!$J$2:$J$55,"&lt;&gt;")=0,"",_xlfn.MINIFS(dados!$J$2:$J$55,dados!$C$2:$C$55,$A322))</f>
        <v/>
      </c>
      <c r="J322" s="6">
        <f>IF(COUNTIFS(dados!$C$2:$C$55,$A322,dados!$J$2:$J$55,"&lt;&gt;")=0,"",_xlfn.MAXIFS(dados!$J$2:$J$55,dados!$C$2:$C$55,$A322))</f>
        <v/>
      </c>
      <c r="K322" s="6">
        <f>IFERROR(J322-I322,"")</f>
        <v/>
      </c>
    </row>
    <row r="323">
      <c r="A323" s="2" t="inlineStr">
        <is>
          <t>Rio de Janeiro</t>
        </is>
      </c>
      <c r="B323" s="13" t="inlineStr">
        <is>
          <t>Entorno</t>
        </is>
      </c>
      <c r="C323" s="2" t="inlineStr">
        <is>
          <t>metro_500m</t>
        </is>
      </c>
      <c r="D323" s="2" t="inlineStr">
        <is>
          <t>Estações de metrô até 500 m</t>
        </is>
      </c>
      <c r="E323" s="5">
        <f>COUNTIFS(dados!$C$2:$C$55,$A323,dados!$K$2:$K$55,"&lt;&gt;")</f>
        <v/>
      </c>
      <c r="F323" s="4">
        <f>IFERROR(AVERAGEIFS(dados!$K$2:$K$55,dados!$C$2:$C$55,$A323),"")</f>
        <v/>
      </c>
      <c r="G323" s="4">
        <f t="array" ref="G323">IFERROR(MEDIAN(IF((dados!$C$2:$C$55=$A323)*(dados!$K$2:$K$55&lt;&gt;""),dados!$K$2:$K$55)),"")</f>
        <v/>
      </c>
      <c r="H323" s="4">
        <f t="array" ref="H323">IFERROR(STDEV(IF((dados!$C$2:$C$55=$A323)*(dados!$K$2:$K$55&lt;&gt;""),dados!$K$2:$K$55)),"")</f>
        <v/>
      </c>
      <c r="I323" s="4">
        <f>IF(COUNTIFS(dados!$C$2:$C$55,$A323,dados!$K$2:$K$55,"&lt;&gt;")=0,"",_xlfn.MINIFS(dados!$K$2:$K$55,dados!$C$2:$C$55,$A323))</f>
        <v/>
      </c>
      <c r="J323" s="4">
        <f>IF(COUNTIFS(dados!$C$2:$C$55,$A323,dados!$K$2:$K$55,"&lt;&gt;")=0,"",_xlfn.MAXIFS(dados!$K$2:$K$55,dados!$C$2:$C$55,$A323))</f>
        <v/>
      </c>
      <c r="K323" s="4">
        <f>IFERROR(J323-I323,"")</f>
        <v/>
      </c>
    </row>
    <row r="324">
      <c r="A324" s="2" t="inlineStr">
        <is>
          <t>Rio de Janeiro</t>
        </is>
      </c>
      <c r="B324" s="13" t="inlineStr">
        <is>
          <t>Entorno</t>
        </is>
      </c>
      <c r="C324" s="2" t="inlineStr">
        <is>
          <t>metro_1000m</t>
        </is>
      </c>
      <c r="D324" s="2" t="inlineStr">
        <is>
          <t>Estações de metrô até 1000 m</t>
        </is>
      </c>
      <c r="E324" s="5">
        <f>COUNTIFS(dados!$C$2:$C$55,$A324,dados!$L$2:$L$55,"&lt;&gt;")</f>
        <v/>
      </c>
      <c r="F324" s="4">
        <f>IFERROR(AVERAGEIFS(dados!$L$2:$L$55,dados!$C$2:$C$55,$A324),"")</f>
        <v/>
      </c>
      <c r="G324" s="4">
        <f t="array" ref="G324">IFERROR(MEDIAN(IF((dados!$C$2:$C$55=$A324)*(dados!$L$2:$L$55&lt;&gt;""),dados!$L$2:$L$55)),"")</f>
        <v/>
      </c>
      <c r="H324" s="4">
        <f t="array" ref="H324">IFERROR(STDEV(IF((dados!$C$2:$C$55=$A324)*(dados!$L$2:$L$55&lt;&gt;""),dados!$L$2:$L$55)),"")</f>
        <v/>
      </c>
      <c r="I324" s="4">
        <f>IF(COUNTIFS(dados!$C$2:$C$55,$A324,dados!$L$2:$L$55,"&lt;&gt;")=0,"",_xlfn.MINIFS(dados!$L$2:$L$55,dados!$C$2:$C$55,$A324))</f>
        <v/>
      </c>
      <c r="J324" s="4">
        <f>IF(COUNTIFS(dados!$C$2:$C$55,$A324,dados!$L$2:$L$55,"&lt;&gt;")=0,"",_xlfn.MAXIFS(dados!$L$2:$L$55,dados!$C$2:$C$55,$A324))</f>
        <v/>
      </c>
      <c r="K324" s="4">
        <f>IFERROR(J324-I324,"")</f>
        <v/>
      </c>
    </row>
    <row r="325">
      <c r="A325" s="2" t="inlineStr">
        <is>
          <t>Rio de Janeiro</t>
        </is>
      </c>
      <c r="B325" s="13" t="inlineStr">
        <is>
          <t>Entorno</t>
        </is>
      </c>
      <c r="C325" s="2" t="inlineStr">
        <is>
          <t>dist_metro_m</t>
        </is>
      </c>
      <c r="D325" s="2" t="inlineStr">
        <is>
          <t>Distância à estação de metrô mais próxima</t>
        </is>
      </c>
      <c r="E325" s="5">
        <f>COUNTIFS(dados!$C$2:$C$55,$A325,dados!$M$2:$M$55,"&lt;&gt;")</f>
        <v/>
      </c>
      <c r="F325" s="5">
        <f>IFERROR(AVERAGEIFS(dados!$M$2:$M$55,dados!$C$2:$C$55,$A325),"")</f>
        <v/>
      </c>
      <c r="G325" s="5">
        <f t="array" ref="G325">IFERROR(MEDIAN(IF((dados!$C$2:$C$55=$A325)*(dados!$M$2:$M$55&lt;&gt;""),dados!$M$2:$M$55)),"")</f>
        <v/>
      </c>
      <c r="H325" s="5">
        <f t="array" ref="H325">IFERROR(STDEV(IF((dados!$C$2:$C$55=$A325)*(dados!$M$2:$M$55&lt;&gt;""),dados!$M$2:$M$55)),"")</f>
        <v/>
      </c>
      <c r="I325" s="5">
        <f>IF(COUNTIFS(dados!$C$2:$C$55,$A325,dados!$M$2:$M$55,"&lt;&gt;")=0,"",_xlfn.MINIFS(dados!$M$2:$M$55,dados!$C$2:$C$55,$A325))</f>
        <v/>
      </c>
      <c r="J325" s="5">
        <f>IF(COUNTIFS(dados!$C$2:$C$55,$A325,dados!$M$2:$M$55,"&lt;&gt;")=0,"",_xlfn.MAXIFS(dados!$M$2:$M$55,dados!$C$2:$C$55,$A325))</f>
        <v/>
      </c>
      <c r="K325" s="5">
        <f>IFERROR(J325-I325,"")</f>
        <v/>
      </c>
    </row>
    <row r="326">
      <c r="A326" s="2" t="inlineStr">
        <is>
          <t>Rio de Janeiro</t>
        </is>
      </c>
      <c r="B326" s="13" t="inlineStr">
        <is>
          <t>Entorno</t>
        </is>
      </c>
      <c r="C326" s="2" t="inlineStr">
        <is>
          <t>shopping_porte_500m</t>
        </is>
      </c>
      <c r="D326" s="2" t="inlineStr">
        <is>
          <t>Shoppings de porte até 500 m (onde o porte foi buscado)</t>
        </is>
      </c>
      <c r="E326" s="5">
        <f>COUNTIFS(dados!$C$2:$C$55,$A326,dados!$N$2:$N$55,"&lt;&gt;")</f>
        <v/>
      </c>
      <c r="F326" s="4">
        <f>IFERROR(AVERAGEIFS(dados!$N$2:$N$55,dados!$C$2:$C$55,$A326),"")</f>
        <v/>
      </c>
      <c r="G326" s="4">
        <f t="array" ref="G326">IFERROR(MEDIAN(IF((dados!$C$2:$C$55=$A326)*(dados!$N$2:$N$55&lt;&gt;""),dados!$N$2:$N$55)),"")</f>
        <v/>
      </c>
      <c r="H326" s="4">
        <f t="array" ref="H326">IFERROR(STDEV(IF((dados!$C$2:$C$55=$A326)*(dados!$N$2:$N$55&lt;&gt;""),dados!$N$2:$N$55)),"")</f>
        <v/>
      </c>
      <c r="I326" s="4">
        <f>IF(COUNTIFS(dados!$C$2:$C$55,$A326,dados!$N$2:$N$55,"&lt;&gt;")=0,"",_xlfn.MINIFS(dados!$N$2:$N$55,dados!$C$2:$C$55,$A326))</f>
        <v/>
      </c>
      <c r="J326" s="4">
        <f>IF(COUNTIFS(dados!$C$2:$C$55,$A326,dados!$N$2:$N$55,"&lt;&gt;")=0,"",_xlfn.MAXIFS(dados!$N$2:$N$55,dados!$C$2:$C$55,$A326))</f>
        <v/>
      </c>
      <c r="K326" s="4">
        <f>IFERROR(J326-I326,"")</f>
        <v/>
      </c>
    </row>
    <row r="327">
      <c r="A327" s="2" t="inlineStr">
        <is>
          <t>Rio de Janeiro</t>
        </is>
      </c>
      <c r="B327" s="13" t="inlineStr">
        <is>
          <t>Entorno</t>
        </is>
      </c>
      <c r="C327" s="2" t="inlineStr">
        <is>
          <t>shopping_porte_1000m</t>
        </is>
      </c>
      <c r="D327" s="2" t="inlineStr">
        <is>
          <t>Shoppings de porte até 1000 m (onde o porte foi buscado)</t>
        </is>
      </c>
      <c r="E327" s="5">
        <f>COUNTIFS(dados!$C$2:$C$55,$A327,dados!$O$2:$O$55,"&lt;&gt;")</f>
        <v/>
      </c>
      <c r="F327" s="4">
        <f>IFERROR(AVERAGEIFS(dados!$O$2:$O$55,dados!$C$2:$C$55,$A327),"")</f>
        <v/>
      </c>
      <c r="G327" s="4">
        <f t="array" ref="G327">IFERROR(MEDIAN(IF((dados!$C$2:$C$55=$A327)*(dados!$O$2:$O$55&lt;&gt;""),dados!$O$2:$O$55)),"")</f>
        <v/>
      </c>
      <c r="H327" s="4">
        <f t="array" ref="H327">IFERROR(STDEV(IF((dados!$C$2:$C$55=$A327)*(dados!$O$2:$O$55&lt;&gt;""),dados!$O$2:$O$55)),"")</f>
        <v/>
      </c>
      <c r="I327" s="4">
        <f>IF(COUNTIFS(dados!$C$2:$C$55,$A327,dados!$O$2:$O$55,"&lt;&gt;")=0,"",_xlfn.MINIFS(dados!$O$2:$O$55,dados!$C$2:$C$55,$A327))</f>
        <v/>
      </c>
      <c r="J327" s="4">
        <f>IF(COUNTIFS(dados!$C$2:$C$55,$A327,dados!$O$2:$O$55,"&lt;&gt;")=0,"",_xlfn.MAXIFS(dados!$O$2:$O$55,dados!$C$2:$C$55,$A327))</f>
        <v/>
      </c>
      <c r="K327" s="4">
        <f>IFERROR(J327-I327,"")</f>
        <v/>
      </c>
    </row>
    <row r="328">
      <c r="A328" s="2" t="inlineStr">
        <is>
          <t>Rio de Janeiro</t>
        </is>
      </c>
      <c r="B328" s="13" t="inlineStr">
        <is>
          <t>Entorno</t>
        </is>
      </c>
      <c r="C328" s="2" t="inlineStr">
        <is>
          <t>dist_shopping_m</t>
        </is>
      </c>
      <c r="D328" s="2" t="inlineStr">
        <is>
          <t>Distância ao shopping mais próximo (qualquer porte)</t>
        </is>
      </c>
      <c r="E328" s="5">
        <f>COUNTIFS(dados!$C$2:$C$55,$A328,dados!$P$2:$P$55,"&lt;&gt;")</f>
        <v/>
      </c>
      <c r="F328" s="5">
        <f>IFERROR(AVERAGEIFS(dados!$P$2:$P$55,dados!$C$2:$C$55,$A328),"")</f>
        <v/>
      </c>
      <c r="G328" s="5">
        <f t="array" ref="G328">IFERROR(MEDIAN(IF((dados!$C$2:$C$55=$A328)*(dados!$P$2:$P$55&lt;&gt;""),dados!$P$2:$P$55)),"")</f>
        <v/>
      </c>
      <c r="H328" s="5">
        <f t="array" ref="H328">IFERROR(STDEV(IF((dados!$C$2:$C$55=$A328)*(dados!$P$2:$P$55&lt;&gt;""),dados!$P$2:$P$55)),"")</f>
        <v/>
      </c>
      <c r="I328" s="5">
        <f>IF(COUNTIFS(dados!$C$2:$C$55,$A328,dados!$P$2:$P$55,"&lt;&gt;")=0,"",_xlfn.MINIFS(dados!$P$2:$P$55,dados!$C$2:$C$55,$A328))</f>
        <v/>
      </c>
      <c r="J328" s="5">
        <f>IF(COUNTIFS(dados!$C$2:$C$55,$A328,dados!$P$2:$P$55,"&lt;&gt;")=0,"",_xlfn.MAXIFS(dados!$P$2:$P$55,dados!$C$2:$C$55,$A328))</f>
        <v/>
      </c>
      <c r="K328" s="5">
        <f>IFERROR(J328-I328,"")</f>
        <v/>
      </c>
    </row>
    <row r="329">
      <c r="A329" s="2" t="inlineStr">
        <is>
          <t>Rio de Janeiro</t>
        </is>
      </c>
      <c r="B329" s="14" t="inlineStr">
        <is>
          <t>Instagram</t>
        </is>
      </c>
      <c r="C329" s="2" t="inlineStr">
        <is>
          <t>seguidores</t>
        </is>
      </c>
      <c r="D329" s="2" t="inlineStr">
        <is>
          <t>Seguidores</t>
        </is>
      </c>
      <c r="E329" s="5">
        <f>COUNTIFS(dados!$C$2:$C$55,$A329,dados!$Q$2:$Q$55,"&lt;&gt;")</f>
        <v/>
      </c>
      <c r="F329" s="5">
        <f>IFERROR(AVERAGEIFS(dados!$Q$2:$Q$55,dados!$C$2:$C$55,$A329),"")</f>
        <v/>
      </c>
      <c r="G329" s="5">
        <f t="array" ref="G329">IFERROR(MEDIAN(IF((dados!$C$2:$C$55=$A329)*(dados!$Q$2:$Q$55&lt;&gt;""),dados!$Q$2:$Q$55)),"")</f>
        <v/>
      </c>
      <c r="H329" s="5">
        <f t="array" ref="H329">IFERROR(STDEV(IF((dados!$C$2:$C$55=$A329)*(dados!$Q$2:$Q$55&lt;&gt;""),dados!$Q$2:$Q$55)),"")</f>
        <v/>
      </c>
      <c r="I329" s="5">
        <f>IF(COUNTIFS(dados!$C$2:$C$55,$A329,dados!$Q$2:$Q$55,"&lt;&gt;")=0,"",_xlfn.MINIFS(dados!$Q$2:$Q$55,dados!$C$2:$C$55,$A329))</f>
        <v/>
      </c>
      <c r="J329" s="5">
        <f>IF(COUNTIFS(dados!$C$2:$C$55,$A329,dados!$Q$2:$Q$55,"&lt;&gt;")=0,"",_xlfn.MAXIFS(dados!$Q$2:$Q$55,dados!$C$2:$C$55,$A329))</f>
        <v/>
      </c>
      <c r="K329" s="5">
        <f>IFERROR(J329-I329,"")</f>
        <v/>
      </c>
    </row>
    <row r="330">
      <c r="A330" s="2" t="inlineStr">
        <is>
          <t>Rio de Janeiro</t>
        </is>
      </c>
      <c r="B330" s="14" t="inlineStr">
        <is>
          <t>Instagram</t>
        </is>
      </c>
      <c r="C330" s="2" t="inlineStr">
        <is>
          <t>n_posts_total</t>
        </is>
      </c>
      <c r="D330" s="2" t="inlineStr">
        <is>
          <t>Posts desde a criação do perfil</t>
        </is>
      </c>
      <c r="E330" s="5">
        <f>COUNTIFS(dados!$C$2:$C$55,$A330,dados!$R$2:$R$55,"&lt;&gt;")</f>
        <v/>
      </c>
      <c r="F330" s="5">
        <f>IFERROR(AVERAGEIFS(dados!$R$2:$R$55,dados!$C$2:$C$55,$A330),"")</f>
        <v/>
      </c>
      <c r="G330" s="5">
        <f t="array" ref="G330">IFERROR(MEDIAN(IF((dados!$C$2:$C$55=$A330)*(dados!$R$2:$R$55&lt;&gt;""),dados!$R$2:$R$55)),"")</f>
        <v/>
      </c>
      <c r="H330" s="5">
        <f t="array" ref="H330">IFERROR(STDEV(IF((dados!$C$2:$C$55=$A330)*(dados!$R$2:$R$55&lt;&gt;""),dados!$R$2:$R$55)),"")</f>
        <v/>
      </c>
      <c r="I330" s="5">
        <f>IF(COUNTIFS(dados!$C$2:$C$55,$A330,dados!$R$2:$R$55,"&lt;&gt;")=0,"",_xlfn.MINIFS(dados!$R$2:$R$55,dados!$C$2:$C$55,$A330))</f>
        <v/>
      </c>
      <c r="J330" s="5">
        <f>IF(COUNTIFS(dados!$C$2:$C$55,$A330,dados!$R$2:$R$55,"&lt;&gt;")=0,"",_xlfn.MAXIFS(dados!$R$2:$R$55,dados!$C$2:$C$55,$A330))</f>
        <v/>
      </c>
      <c r="K330" s="5">
        <f>IFERROR(J330-I330,"")</f>
        <v/>
      </c>
    </row>
    <row r="331">
      <c r="A331" s="2" t="inlineStr">
        <is>
          <t>Rio de Janeiro</t>
        </is>
      </c>
      <c r="B331" s="14" t="inlineStr">
        <is>
          <t>Instagram</t>
        </is>
      </c>
      <c r="C331" s="2" t="inlineStr">
        <is>
          <t>idade_perfil_anos</t>
        </is>
      </c>
      <c r="D331" s="2" t="inlineStr">
        <is>
          <t>Idade do perfil (desde o primeiro post até 15/10/2026)</t>
        </is>
      </c>
      <c r="E331" s="5">
        <f>COUNTIFS(dados!$C$2:$C$55,$A331,dados!$S$2:$S$55,"&lt;&gt;")</f>
        <v/>
      </c>
      <c r="F331" s="6">
        <f>IFERROR(AVERAGEIFS(dados!$S$2:$S$55,dados!$C$2:$C$55,$A331),"")</f>
        <v/>
      </c>
      <c r="G331" s="6">
        <f t="array" ref="G331">IFERROR(MEDIAN(IF((dados!$C$2:$C$55=$A331)*(dados!$S$2:$S$55&lt;&gt;""),dados!$S$2:$S$55)),"")</f>
        <v/>
      </c>
      <c r="H331" s="6">
        <f t="array" ref="H331">IFERROR(STDEV(IF((dados!$C$2:$C$55=$A331)*(dados!$S$2:$S$55&lt;&gt;""),dados!$S$2:$S$55)),"")</f>
        <v/>
      </c>
      <c r="I331" s="6">
        <f>IF(COUNTIFS(dados!$C$2:$C$55,$A331,dados!$S$2:$S$55,"&lt;&gt;")=0,"",_xlfn.MINIFS(dados!$S$2:$S$55,dados!$C$2:$C$55,$A331))</f>
        <v/>
      </c>
      <c r="J331" s="6">
        <f>IF(COUNTIFS(dados!$C$2:$C$55,$A331,dados!$S$2:$S$55,"&lt;&gt;")=0,"",_xlfn.MAXIFS(dados!$S$2:$S$55,dados!$C$2:$C$55,$A331))</f>
        <v/>
      </c>
      <c r="K331" s="6">
        <f>IFERROR(J331-I331,"")</f>
        <v/>
      </c>
    </row>
    <row r="332">
      <c r="A332" s="2" t="inlineStr">
        <is>
          <t>Rio de Janeiro</t>
        </is>
      </c>
      <c r="B332" s="14" t="inlineStr">
        <is>
          <t>Instagram</t>
        </is>
      </c>
      <c r="C332" s="2" t="inlineStr">
        <is>
          <t>n_posts_periodo</t>
        </is>
      </c>
      <c r="D332" s="2" t="inlineStr">
        <is>
          <t>Posts de 01/09 a 01/10/2026</t>
        </is>
      </c>
      <c r="E332" s="5">
        <f>COUNTIFS(dados!$C$2:$C$55,$A332,dados!$T$2:$T$55,"&lt;&gt;")</f>
        <v/>
      </c>
      <c r="F332" s="6">
        <f>IFERROR(AVERAGEIFS(dados!$T$2:$T$55,dados!$C$2:$C$55,$A332),"")</f>
        <v/>
      </c>
      <c r="G332" s="6">
        <f t="array" ref="G332">IFERROR(MEDIAN(IF((dados!$C$2:$C$55=$A332)*(dados!$T$2:$T$55&lt;&gt;""),dados!$T$2:$T$55)),"")</f>
        <v/>
      </c>
      <c r="H332" s="6">
        <f t="array" ref="H332">IFERROR(STDEV(IF((dados!$C$2:$C$55=$A332)*(dados!$T$2:$T$55&lt;&gt;""),dados!$T$2:$T$55)),"")</f>
        <v/>
      </c>
      <c r="I332" s="6">
        <f>IF(COUNTIFS(dados!$C$2:$C$55,$A332,dados!$T$2:$T$55,"&lt;&gt;")=0,"",_xlfn.MINIFS(dados!$T$2:$T$55,dados!$C$2:$C$55,$A332))</f>
        <v/>
      </c>
      <c r="J332" s="6">
        <f>IF(COUNTIFS(dados!$C$2:$C$55,$A332,dados!$T$2:$T$55,"&lt;&gt;")=0,"",_xlfn.MAXIFS(dados!$T$2:$T$55,dados!$C$2:$C$55,$A332))</f>
        <v/>
      </c>
      <c r="K332" s="6">
        <f>IFERROR(J332-I332,"")</f>
        <v/>
      </c>
    </row>
    <row r="333">
      <c r="A333" s="2" t="inlineStr">
        <is>
          <t>Rio de Janeiro</t>
        </is>
      </c>
      <c r="B333" s="14" t="inlineStr">
        <is>
          <t>Instagram</t>
        </is>
      </c>
      <c r="C333" s="2" t="inlineStr">
        <is>
          <t>curtidas_periodo</t>
        </is>
      </c>
      <c r="D333" s="2" t="inlineStr">
        <is>
          <t>Curtidas no período</t>
        </is>
      </c>
      <c r="E333" s="5">
        <f>COUNTIFS(dados!$C$2:$C$55,$A333,dados!$U$2:$U$55,"&lt;&gt;")</f>
        <v/>
      </c>
      <c r="F333" s="5">
        <f>IFERROR(AVERAGEIFS(dados!$U$2:$U$55,dados!$C$2:$C$55,$A333),"")</f>
        <v/>
      </c>
      <c r="G333" s="5">
        <f t="array" ref="G333">IFERROR(MEDIAN(IF((dados!$C$2:$C$55=$A333)*(dados!$U$2:$U$55&lt;&gt;""),dados!$U$2:$U$55)),"")</f>
        <v/>
      </c>
      <c r="H333" s="5">
        <f t="array" ref="H333">IFERROR(STDEV(IF((dados!$C$2:$C$55=$A333)*(dados!$U$2:$U$55&lt;&gt;""),dados!$U$2:$U$55)),"")</f>
        <v/>
      </c>
      <c r="I333" s="5">
        <f>IF(COUNTIFS(dados!$C$2:$C$55,$A333,dados!$U$2:$U$55,"&lt;&gt;")=0,"",_xlfn.MINIFS(dados!$U$2:$U$55,dados!$C$2:$C$55,$A333))</f>
        <v/>
      </c>
      <c r="J333" s="5">
        <f>IF(COUNTIFS(dados!$C$2:$C$55,$A333,dados!$U$2:$U$55,"&lt;&gt;")=0,"",_xlfn.MAXIFS(dados!$U$2:$U$55,dados!$C$2:$C$55,$A333))</f>
        <v/>
      </c>
      <c r="K333" s="5">
        <f>IFERROR(J333-I333,"")</f>
        <v/>
      </c>
    </row>
    <row r="334">
      <c r="A334" s="2" t="inlineStr">
        <is>
          <t>Rio de Janeiro</t>
        </is>
      </c>
      <c r="B334" s="14" t="inlineStr">
        <is>
          <t>Instagram</t>
        </is>
      </c>
      <c r="C334" s="2" t="inlineStr">
        <is>
          <t>comentarios_periodo</t>
        </is>
      </c>
      <c r="D334" s="2" t="inlineStr">
        <is>
          <t>Comentários no período</t>
        </is>
      </c>
      <c r="E334" s="5">
        <f>COUNTIFS(dados!$C$2:$C$55,$A334,dados!$V$2:$V$55,"&lt;&gt;")</f>
        <v/>
      </c>
      <c r="F334" s="5">
        <f>IFERROR(AVERAGEIFS(dados!$V$2:$V$55,dados!$C$2:$C$55,$A334),"")</f>
        <v/>
      </c>
      <c r="G334" s="5">
        <f t="array" ref="G334">IFERROR(MEDIAN(IF((dados!$C$2:$C$55=$A334)*(dados!$V$2:$V$55&lt;&gt;""),dados!$V$2:$V$55)),"")</f>
        <v/>
      </c>
      <c r="H334" s="5">
        <f t="array" ref="H334">IFERROR(STDEV(IF((dados!$C$2:$C$55=$A334)*(dados!$V$2:$V$55&lt;&gt;""),dados!$V$2:$V$55)),"")</f>
        <v/>
      </c>
      <c r="I334" s="5">
        <f>IF(COUNTIFS(dados!$C$2:$C$55,$A334,dados!$V$2:$V$55,"&lt;&gt;")=0,"",_xlfn.MINIFS(dados!$V$2:$V$55,dados!$C$2:$C$55,$A334))</f>
        <v/>
      </c>
      <c r="J334" s="5">
        <f>IF(COUNTIFS(dados!$C$2:$C$55,$A334,dados!$V$2:$V$55,"&lt;&gt;")=0,"",_xlfn.MAXIFS(dados!$V$2:$V$55,dados!$C$2:$C$55,$A334))</f>
        <v/>
      </c>
      <c r="K334" s="5">
        <f>IFERROR(J334-I334,"")</f>
        <v/>
      </c>
    </row>
    <row r="335">
      <c r="A335" s="2" t="inlineStr">
        <is>
          <t>Rio de Janeiro</t>
        </is>
      </c>
      <c r="B335" s="14" t="inlineStr">
        <is>
          <t>Instagram</t>
        </is>
      </c>
      <c r="C335" s="2" t="inlineStr">
        <is>
          <t>interacoes_por_post</t>
        </is>
      </c>
      <c r="D335" s="2" t="inlineStr">
        <is>
          <t>Interações por post no período (curtidas + comentários)</t>
        </is>
      </c>
      <c r="E335" s="5">
        <f>COUNTIFS(dados!$C$2:$C$55,$A335,dados!$W$2:$W$55,"&lt;&gt;")</f>
        <v/>
      </c>
      <c r="F335" s="6">
        <f>IFERROR(AVERAGEIFS(dados!$W$2:$W$55,dados!$C$2:$C$55,$A335),"")</f>
        <v/>
      </c>
      <c r="G335" s="6">
        <f t="array" ref="G335">IFERROR(MEDIAN(IF((dados!$C$2:$C$55=$A335)*(dados!$W$2:$W$55&lt;&gt;""),dados!$W$2:$W$55)),"")</f>
        <v/>
      </c>
      <c r="H335" s="6">
        <f t="array" ref="H335">IFERROR(STDEV(IF((dados!$C$2:$C$55=$A335)*(dados!$W$2:$W$55&lt;&gt;""),dados!$W$2:$W$55)),"")</f>
        <v/>
      </c>
      <c r="I335" s="6">
        <f>IF(COUNTIFS(dados!$C$2:$C$55,$A335,dados!$W$2:$W$55,"&lt;&gt;")=0,"",_xlfn.MINIFS(dados!$W$2:$W$55,dados!$C$2:$C$55,$A335))</f>
        <v/>
      </c>
      <c r="J335" s="6">
        <f>IF(COUNTIFS(dados!$C$2:$C$55,$A335,dados!$W$2:$W$55,"&lt;&gt;")=0,"",_xlfn.MAXIFS(dados!$W$2:$W$55,dados!$C$2:$C$55,$A335))</f>
        <v/>
      </c>
      <c r="K335" s="6">
        <f>IFERROR(J335-I335,"")</f>
        <v/>
      </c>
    </row>
    <row r="336">
      <c r="A336" s="2" t="inlineStr">
        <is>
          <t>Rio de Janeiro</t>
        </is>
      </c>
      <c r="B336" s="14" t="inlineStr">
        <is>
          <t>Instagram</t>
        </is>
      </c>
      <c r="C336" s="2" t="inlineStr">
        <is>
          <t>engajamento_pct</t>
        </is>
      </c>
      <c r="D336" s="2" t="inlineStr">
        <is>
          <t>Taxa de engajamento (interações por post ÷ seguidores)</t>
        </is>
      </c>
      <c r="E336" s="5">
        <f>COUNTIFS(dados!$C$2:$C$55,$A336,dados!$X$2:$X$55,"&lt;&gt;")</f>
        <v/>
      </c>
      <c r="F336" s="15">
        <f>IFERROR(AVERAGEIFS(dados!$X$2:$X$55,dados!$C$2:$C$55,$A336),"")</f>
        <v/>
      </c>
      <c r="G336" s="15">
        <f t="array" ref="G336">IFERROR(MEDIAN(IF((dados!$C$2:$C$55=$A336)*(dados!$X$2:$X$55&lt;&gt;""),dados!$X$2:$X$55)),"")</f>
        <v/>
      </c>
      <c r="H336" s="15">
        <f t="array" ref="H336">IFERROR(STDEV(IF((dados!$C$2:$C$55=$A336)*(dados!$X$2:$X$55&lt;&gt;""),dados!$X$2:$X$55)),"")</f>
        <v/>
      </c>
      <c r="I336" s="15">
        <f>IF(COUNTIFS(dados!$C$2:$C$55,$A336,dados!$X$2:$X$55,"&lt;&gt;")=0,"",_xlfn.MINIFS(dados!$X$2:$X$55,dados!$C$2:$C$55,$A336))</f>
        <v/>
      </c>
      <c r="J336" s="15">
        <f>IF(COUNTIFS(dados!$C$2:$C$55,$A336,dados!$X$2:$X$55,"&lt;&gt;")=0,"",_xlfn.MAXIFS(dados!$X$2:$X$55,dados!$C$2:$C$55,$A336))</f>
        <v/>
      </c>
      <c r="K336" s="15">
        <f>IFERROR(J336-I336,"")</f>
        <v/>
      </c>
    </row>
    <row r="337">
      <c r="A337" s="2" t="inlineStr">
        <is>
          <t>Rio de Janeiro</t>
        </is>
      </c>
      <c r="B337" s="16" t="inlineStr">
        <is>
          <t>Cardápio</t>
        </is>
      </c>
      <c r="C337" s="2" t="inlineStr">
        <is>
          <t>itens_com_preco</t>
        </is>
      </c>
      <c r="D337" s="2" t="inlineStr">
        <is>
          <t>Itens com preço no cardápio</t>
        </is>
      </c>
      <c r="E337" s="5">
        <f>COUNTIFS(dados!$C$2:$C$55,$A337,dados!$Y$2:$Y$55,"&lt;&gt;")</f>
        <v/>
      </c>
      <c r="F337" s="5">
        <f>IFERROR(AVERAGEIFS(dados!$Y$2:$Y$55,dados!$C$2:$C$55,$A337),"")</f>
        <v/>
      </c>
      <c r="G337" s="5">
        <f t="array" ref="G337">IFERROR(MEDIAN(IF((dados!$C$2:$C$55=$A337)*(dados!$Y$2:$Y$55&lt;&gt;""),dados!$Y$2:$Y$55)),"")</f>
        <v/>
      </c>
      <c r="H337" s="5">
        <f t="array" ref="H337">IFERROR(STDEV(IF((dados!$C$2:$C$55=$A337)*(dados!$Y$2:$Y$55&lt;&gt;""),dados!$Y$2:$Y$55)),"")</f>
        <v/>
      </c>
      <c r="I337" s="5">
        <f>IF(COUNTIFS(dados!$C$2:$C$55,$A337,dados!$Y$2:$Y$55,"&lt;&gt;")=0,"",_xlfn.MINIFS(dados!$Y$2:$Y$55,dados!$C$2:$C$55,$A337))</f>
        <v/>
      </c>
      <c r="J337" s="5">
        <f>IF(COUNTIFS(dados!$C$2:$C$55,$A337,dados!$Y$2:$Y$55,"&lt;&gt;")=0,"",_xlfn.MAXIFS(dados!$Y$2:$Y$55,dados!$C$2:$C$55,$A337))</f>
        <v/>
      </c>
      <c r="K337" s="5">
        <f>IFERROR(J337-I337,"")</f>
        <v/>
      </c>
    </row>
    <row r="338">
      <c r="A338" s="2" t="inlineStr">
        <is>
          <t>Rio de Janeiro</t>
        </is>
      </c>
      <c r="B338" s="16" t="inlineStr">
        <is>
          <t>Cardápio</t>
        </is>
      </c>
      <c r="C338" s="2" t="inlineStr">
        <is>
          <t>couvert_mediana</t>
        </is>
      </c>
      <c r="D338" s="2" t="inlineStr">
        <is>
          <t>Couvert ou taxa de jogo (só casas que cobram)</t>
        </is>
      </c>
      <c r="E338" s="5">
        <f>COUNTIFS(dados!$C$2:$C$55,$A338,dados!$Z$2:$Z$55,"&lt;&gt;")</f>
        <v/>
      </c>
      <c r="F338" s="7">
        <f>IFERROR(AVERAGEIFS(dados!$Z$2:$Z$55,dados!$C$2:$C$55,$A338),"")</f>
        <v/>
      </c>
      <c r="G338" s="7">
        <f t="array" ref="G338">IFERROR(MEDIAN(IF((dados!$C$2:$C$55=$A338)*(dados!$Z$2:$Z$55&lt;&gt;""),dados!$Z$2:$Z$55)),"")</f>
        <v/>
      </c>
      <c r="H338" s="7">
        <f t="array" ref="H338">IFERROR(STDEV(IF((dados!$C$2:$C$55=$A338)*(dados!$Z$2:$Z$55&lt;&gt;""),dados!$Z$2:$Z$55)),"")</f>
        <v/>
      </c>
      <c r="I338" s="7">
        <f>IF(COUNTIFS(dados!$C$2:$C$55,$A338,dados!$Z$2:$Z$55,"&lt;&gt;")=0,"",_xlfn.MINIFS(dados!$Z$2:$Z$55,dados!$C$2:$C$55,$A338))</f>
        <v/>
      </c>
      <c r="J338" s="7">
        <f>IF(COUNTIFS(dados!$C$2:$C$55,$A338,dados!$Z$2:$Z$55,"&lt;&gt;")=0,"",_xlfn.MAXIFS(dados!$Z$2:$Z$55,dados!$C$2:$C$55,$A338))</f>
        <v/>
      </c>
      <c r="K338" s="7">
        <f>IFERROR(J338-I338,"")</f>
        <v/>
      </c>
    </row>
    <row r="339">
      <c r="A339" s="2" t="inlineStr">
        <is>
          <t>Rio de Janeiro</t>
        </is>
      </c>
      <c r="B339" s="16" t="inlineStr">
        <is>
          <t>Cardápio</t>
        </is>
      </c>
      <c r="C339" s="2" t="inlineStr">
        <is>
          <t>bebida_mediana</t>
        </is>
      </c>
      <c r="D339" s="2" t="inlineStr">
        <is>
          <t>Bebida, mediana do cardápio</t>
        </is>
      </c>
      <c r="E339" s="5">
        <f>COUNTIFS(dados!$C$2:$C$55,$A339,dados!$AA$2:$AA$55,"&lt;&gt;")</f>
        <v/>
      </c>
      <c r="F339" s="7">
        <f>IFERROR(AVERAGEIFS(dados!$AA$2:$AA$55,dados!$C$2:$C$55,$A339),"")</f>
        <v/>
      </c>
      <c r="G339" s="7">
        <f t="array" ref="G339">IFERROR(MEDIAN(IF((dados!$C$2:$C$55=$A339)*(dados!$AA$2:$AA$55&lt;&gt;""),dados!$AA$2:$AA$55)),"")</f>
        <v/>
      </c>
      <c r="H339" s="7">
        <f t="array" ref="H339">IFERROR(STDEV(IF((dados!$C$2:$C$55=$A339)*(dados!$AA$2:$AA$55&lt;&gt;""),dados!$AA$2:$AA$55)),"")</f>
        <v/>
      </c>
      <c r="I339" s="7">
        <f>IF(COUNTIFS(dados!$C$2:$C$55,$A339,dados!$AA$2:$AA$55,"&lt;&gt;")=0,"",_xlfn.MINIFS(dados!$AA$2:$AA$55,dados!$C$2:$C$55,$A339))</f>
        <v/>
      </c>
      <c r="J339" s="7">
        <f>IF(COUNTIFS(dados!$C$2:$C$55,$A339,dados!$AA$2:$AA$55,"&lt;&gt;")=0,"",_xlfn.MAXIFS(dados!$AA$2:$AA$55,dados!$C$2:$C$55,$A339))</f>
        <v/>
      </c>
      <c r="K339" s="7">
        <f>IFERROR(J339-I339,"")</f>
        <v/>
      </c>
    </row>
    <row r="340">
      <c r="A340" s="2" t="inlineStr">
        <is>
          <t>Rio de Janeiro</t>
        </is>
      </c>
      <c r="B340" s="16" t="inlineStr">
        <is>
          <t>Cardápio</t>
        </is>
      </c>
      <c r="C340" s="2" t="inlineStr">
        <is>
          <t>entrada_ou_prato_mediana</t>
        </is>
      </c>
      <c r="D340" s="2" t="inlineStr">
        <is>
          <t>Entrada ou prato, mediana do cardápio</t>
        </is>
      </c>
      <c r="E340" s="5">
        <f>COUNTIFS(dados!$C$2:$C$55,$A340,dados!$AB$2:$AB$55,"&lt;&gt;")</f>
        <v/>
      </c>
      <c r="F340" s="7">
        <f>IFERROR(AVERAGEIFS(dados!$AB$2:$AB$55,dados!$C$2:$C$55,$A340),"")</f>
        <v/>
      </c>
      <c r="G340" s="7">
        <f t="array" ref="G340">IFERROR(MEDIAN(IF((dados!$C$2:$C$55=$A340)*(dados!$AB$2:$AB$55&lt;&gt;""),dados!$AB$2:$AB$55)),"")</f>
        <v/>
      </c>
      <c r="H340" s="7">
        <f t="array" ref="H340">IFERROR(STDEV(IF((dados!$C$2:$C$55=$A340)*(dados!$AB$2:$AB$55&lt;&gt;""),dados!$AB$2:$AB$55)),"")</f>
        <v/>
      </c>
      <c r="I340" s="7">
        <f>IF(COUNTIFS(dados!$C$2:$C$55,$A340,dados!$AB$2:$AB$55,"&lt;&gt;")=0,"",_xlfn.MINIFS(dados!$AB$2:$AB$55,dados!$C$2:$C$55,$A340))</f>
        <v/>
      </c>
      <c r="J340" s="7">
        <f>IF(COUNTIFS(dados!$C$2:$C$55,$A340,dados!$AB$2:$AB$55,"&lt;&gt;")=0,"",_xlfn.MAXIFS(dados!$AB$2:$AB$55,dados!$C$2:$C$55,$A340))</f>
        <v/>
      </c>
      <c r="K340" s="7">
        <f>IFERROR(J340-I340,"")</f>
        <v/>
      </c>
    </row>
    <row r="341">
      <c r="A341" s="2" t="inlineStr">
        <is>
          <t>Rio de Janeiro</t>
        </is>
      </c>
      <c r="B341" s="16" t="inlineStr">
        <is>
          <t>Cardápio</t>
        </is>
      </c>
      <c r="C341" s="2" t="inlineStr">
        <is>
          <t>cesta_baixa</t>
        </is>
      </c>
      <c r="D341" s="2" t="inlineStr">
        <is>
          <t>Cesta por pessoa, nível baixo (P25)</t>
        </is>
      </c>
      <c r="E341" s="5">
        <f>COUNTIFS(dados!$C$2:$C$55,$A341,dados!$AC$2:$AC$55,"&lt;&gt;")</f>
        <v/>
      </c>
      <c r="F341" s="7">
        <f>IFERROR(AVERAGEIFS(dados!$AC$2:$AC$55,dados!$C$2:$C$55,$A341),"")</f>
        <v/>
      </c>
      <c r="G341" s="7">
        <f t="array" ref="G341">IFERROR(MEDIAN(IF((dados!$C$2:$C$55=$A341)*(dados!$AC$2:$AC$55&lt;&gt;""),dados!$AC$2:$AC$55)),"")</f>
        <v/>
      </c>
      <c r="H341" s="7">
        <f t="array" ref="H341">IFERROR(STDEV(IF((dados!$C$2:$C$55=$A341)*(dados!$AC$2:$AC$55&lt;&gt;""),dados!$AC$2:$AC$55)),"")</f>
        <v/>
      </c>
      <c r="I341" s="7">
        <f>IF(COUNTIFS(dados!$C$2:$C$55,$A341,dados!$AC$2:$AC$55,"&lt;&gt;")=0,"",_xlfn.MINIFS(dados!$AC$2:$AC$55,dados!$C$2:$C$55,$A341))</f>
        <v/>
      </c>
      <c r="J341" s="7">
        <f>IF(COUNTIFS(dados!$C$2:$C$55,$A341,dados!$AC$2:$AC$55,"&lt;&gt;")=0,"",_xlfn.MAXIFS(dados!$AC$2:$AC$55,dados!$C$2:$C$55,$A341))</f>
        <v/>
      </c>
      <c r="K341" s="7">
        <f>IFERROR(J341-I341,"")</f>
        <v/>
      </c>
    </row>
    <row r="342">
      <c r="A342" s="2" t="inlineStr">
        <is>
          <t>Rio de Janeiro</t>
        </is>
      </c>
      <c r="B342" s="16" t="inlineStr">
        <is>
          <t>Cardápio</t>
        </is>
      </c>
      <c r="C342" s="2" t="inlineStr">
        <is>
          <t>cesta_mediana</t>
        </is>
      </c>
      <c r="D342" s="2" t="inlineStr">
        <is>
          <t>Cesta por pessoa, nível mediano</t>
        </is>
      </c>
      <c r="E342" s="5">
        <f>COUNTIFS(dados!$C$2:$C$55,$A342,dados!$AD$2:$AD$55,"&lt;&gt;")</f>
        <v/>
      </c>
      <c r="F342" s="7">
        <f>IFERROR(AVERAGEIFS(dados!$AD$2:$AD$55,dados!$C$2:$C$55,$A342),"")</f>
        <v/>
      </c>
      <c r="G342" s="7">
        <f t="array" ref="G342">IFERROR(MEDIAN(IF((dados!$C$2:$C$55=$A342)*(dados!$AD$2:$AD$55&lt;&gt;""),dados!$AD$2:$AD$55)),"")</f>
        <v/>
      </c>
      <c r="H342" s="7">
        <f t="array" ref="H342">IFERROR(STDEV(IF((dados!$C$2:$C$55=$A342)*(dados!$AD$2:$AD$55&lt;&gt;""),dados!$AD$2:$AD$55)),"")</f>
        <v/>
      </c>
      <c r="I342" s="7">
        <f>IF(COUNTIFS(dados!$C$2:$C$55,$A342,dados!$AD$2:$AD$55,"&lt;&gt;")=0,"",_xlfn.MINIFS(dados!$AD$2:$AD$55,dados!$C$2:$C$55,$A342))</f>
        <v/>
      </c>
      <c r="J342" s="7">
        <f>IF(COUNTIFS(dados!$C$2:$C$55,$A342,dados!$AD$2:$AD$55,"&lt;&gt;")=0,"",_xlfn.MAXIFS(dados!$AD$2:$AD$55,dados!$C$2:$C$55,$A342))</f>
        <v/>
      </c>
      <c r="K342" s="7">
        <f>IFERROR(J342-I342,"")</f>
        <v/>
      </c>
    </row>
    <row r="343">
      <c r="A343" s="2" t="inlineStr">
        <is>
          <t>Rio de Janeiro</t>
        </is>
      </c>
      <c r="B343" s="16" t="inlineStr">
        <is>
          <t>Cardápio</t>
        </is>
      </c>
      <c r="C343" s="2" t="inlineStr">
        <is>
          <t>cesta_alta</t>
        </is>
      </c>
      <c r="D343" s="2" t="inlineStr">
        <is>
          <t>Cesta por pessoa, nível alto (P75)</t>
        </is>
      </c>
      <c r="E343" s="5">
        <f>COUNTIFS(dados!$C$2:$C$55,$A343,dados!$AE$2:$AE$55,"&lt;&gt;")</f>
        <v/>
      </c>
      <c r="F343" s="7">
        <f>IFERROR(AVERAGEIFS(dados!$AE$2:$AE$55,dados!$C$2:$C$55,$A343),"")</f>
        <v/>
      </c>
      <c r="G343" s="7">
        <f t="array" ref="G343">IFERROR(MEDIAN(IF((dados!$C$2:$C$55=$A343)*(dados!$AE$2:$AE$55&lt;&gt;""),dados!$AE$2:$AE$55)),"")</f>
        <v/>
      </c>
      <c r="H343" s="7">
        <f t="array" ref="H343">IFERROR(STDEV(IF((dados!$C$2:$C$55=$A343)*(dados!$AE$2:$AE$55&lt;&gt;""),dados!$AE$2:$AE$55)),"")</f>
        <v/>
      </c>
      <c r="I343" s="7">
        <f>IF(COUNTIFS(dados!$C$2:$C$55,$A343,dados!$AE$2:$AE$55,"&lt;&gt;")=0,"",_xlfn.MINIFS(dados!$AE$2:$AE$55,dados!$C$2:$C$55,$A343))</f>
        <v/>
      </c>
      <c r="J343" s="7">
        <f>IF(COUNTIFS(dados!$C$2:$C$55,$A343,dados!$AE$2:$AE$55,"&lt;&gt;")=0,"",_xlfn.MAXIFS(dados!$AE$2:$AE$55,dados!$C$2:$C$55,$A343))</f>
        <v/>
      </c>
      <c r="K343" s="7">
        <f>IFERROR(J343-I343,"")</f>
        <v/>
      </c>
    </row>
    <row r="344">
      <c r="A344" s="2" t="inlineStr">
        <is>
          <t>Rio de Janeiro</t>
        </is>
      </c>
      <c r="B344" s="16" t="inlineStr">
        <is>
          <t>Cardápio</t>
        </is>
      </c>
      <c r="C344" s="2" t="inlineStr">
        <is>
          <t>hamburguer_mediana</t>
        </is>
      </c>
      <c r="D344" s="2" t="inlineStr">
        <is>
          <t>Hambúrguer, mediana</t>
        </is>
      </c>
      <c r="E344" s="5">
        <f>COUNTIFS(dados!$C$2:$C$55,$A344,dados!$AF$2:$AF$55,"&lt;&gt;")</f>
        <v/>
      </c>
      <c r="F344" s="7">
        <f>IFERROR(AVERAGEIFS(dados!$AF$2:$AF$55,dados!$C$2:$C$55,$A344),"")</f>
        <v/>
      </c>
      <c r="G344" s="7">
        <f t="array" ref="G344">IFERROR(MEDIAN(IF((dados!$C$2:$C$55=$A344)*(dados!$AF$2:$AF$55&lt;&gt;""),dados!$AF$2:$AF$55)),"")</f>
        <v/>
      </c>
      <c r="H344" s="7">
        <f t="array" ref="H344">IFERROR(STDEV(IF((dados!$C$2:$C$55=$A344)*(dados!$AF$2:$AF$55&lt;&gt;""),dados!$AF$2:$AF$55)),"")</f>
        <v/>
      </c>
      <c r="I344" s="7">
        <f>IF(COUNTIFS(dados!$C$2:$C$55,$A344,dados!$AF$2:$AF$55,"&lt;&gt;")=0,"",_xlfn.MINIFS(dados!$AF$2:$AF$55,dados!$C$2:$C$55,$A344))</f>
        <v/>
      </c>
      <c r="J344" s="7">
        <f>IF(COUNTIFS(dados!$C$2:$C$55,$A344,dados!$AF$2:$AF$55,"&lt;&gt;")=0,"",_xlfn.MAXIFS(dados!$AF$2:$AF$55,dados!$C$2:$C$55,$A344))</f>
        <v/>
      </c>
      <c r="K344" s="7">
        <f>IFERROR(J344-I344,"")</f>
        <v/>
      </c>
    </row>
    <row r="345">
      <c r="A345" s="2" t="inlineStr">
        <is>
          <t>Rio de Janeiro</t>
        </is>
      </c>
      <c r="B345" s="16" t="inlineStr">
        <is>
          <t>Cardápio</t>
        </is>
      </c>
      <c r="C345" s="2" t="inlineStr">
        <is>
          <t>batata_mediana</t>
        </is>
      </c>
      <c r="D345" s="2" t="inlineStr">
        <is>
          <t>Batata, mediana</t>
        </is>
      </c>
      <c r="E345" s="5">
        <f>COUNTIFS(dados!$C$2:$C$55,$A345,dados!$AG$2:$AG$55,"&lt;&gt;")</f>
        <v/>
      </c>
      <c r="F345" s="7">
        <f>IFERROR(AVERAGEIFS(dados!$AG$2:$AG$55,dados!$C$2:$C$55,$A345),"")</f>
        <v/>
      </c>
      <c r="G345" s="7">
        <f t="array" ref="G345">IFERROR(MEDIAN(IF((dados!$C$2:$C$55=$A345)*(dados!$AG$2:$AG$55&lt;&gt;""),dados!$AG$2:$AG$55)),"")</f>
        <v/>
      </c>
      <c r="H345" s="7">
        <f t="array" ref="H345">IFERROR(STDEV(IF((dados!$C$2:$C$55=$A345)*(dados!$AG$2:$AG$55&lt;&gt;""),dados!$AG$2:$AG$55)),"")</f>
        <v/>
      </c>
      <c r="I345" s="7">
        <f>IF(COUNTIFS(dados!$C$2:$C$55,$A345,dados!$AG$2:$AG$55,"&lt;&gt;")=0,"",_xlfn.MINIFS(dados!$AG$2:$AG$55,dados!$C$2:$C$55,$A345))</f>
        <v/>
      </c>
      <c r="J345" s="7">
        <f>IF(COUNTIFS(dados!$C$2:$C$55,$A345,dados!$AG$2:$AG$55,"&lt;&gt;")=0,"",_xlfn.MAXIFS(dados!$AG$2:$AG$55,dados!$C$2:$C$55,$A345))</f>
        <v/>
      </c>
      <c r="K345" s="7">
        <f>IFERROR(J345-I345,"")</f>
        <v/>
      </c>
    </row>
    <row r="346">
      <c r="A346" s="2" t="inlineStr">
        <is>
          <t>Rio de Janeiro</t>
        </is>
      </c>
      <c r="B346" s="16" t="inlineStr">
        <is>
          <t>Cardápio</t>
        </is>
      </c>
      <c r="C346" s="2" t="inlineStr">
        <is>
          <t>cerveja_mediana</t>
        </is>
      </c>
      <c r="D346" s="2" t="inlineStr">
        <is>
          <t>Cerveja, mediana</t>
        </is>
      </c>
      <c r="E346" s="5">
        <f>COUNTIFS(dados!$C$2:$C$55,$A346,dados!$AH$2:$AH$55,"&lt;&gt;")</f>
        <v/>
      </c>
      <c r="F346" s="7">
        <f>IFERROR(AVERAGEIFS(dados!$AH$2:$AH$55,dados!$C$2:$C$55,$A346),"")</f>
        <v/>
      </c>
      <c r="G346" s="7">
        <f t="array" ref="G346">IFERROR(MEDIAN(IF((dados!$C$2:$C$55=$A346)*(dados!$AH$2:$AH$55&lt;&gt;""),dados!$AH$2:$AH$55)),"")</f>
        <v/>
      </c>
      <c r="H346" s="7">
        <f t="array" ref="H346">IFERROR(STDEV(IF((dados!$C$2:$C$55=$A346)*(dados!$AH$2:$AH$55&lt;&gt;""),dados!$AH$2:$AH$55)),"")</f>
        <v/>
      </c>
      <c r="I346" s="7">
        <f>IF(COUNTIFS(dados!$C$2:$C$55,$A346,dados!$AH$2:$AH$55,"&lt;&gt;")=0,"",_xlfn.MINIFS(dados!$AH$2:$AH$55,dados!$C$2:$C$55,$A346))</f>
        <v/>
      </c>
      <c r="J346" s="7">
        <f>IF(COUNTIFS(dados!$C$2:$C$55,$A346,dados!$AH$2:$AH$55,"&lt;&gt;")=0,"",_xlfn.MAXIFS(dados!$AH$2:$AH$55,dados!$C$2:$C$55,$A346))</f>
        <v/>
      </c>
      <c r="K346" s="7">
        <f>IFERROR(J346-I346,"")</f>
        <v/>
      </c>
    </row>
    <row r="347">
      <c r="A347" s="2" t="inlineStr">
        <is>
          <t>Rio de Janeiro</t>
        </is>
      </c>
      <c r="B347" s="16" t="inlineStr">
        <is>
          <t>Cardápio</t>
        </is>
      </c>
      <c r="C347" s="2" t="inlineStr">
        <is>
          <t>refrigerante_mediana</t>
        </is>
      </c>
      <c r="D347" s="2" t="inlineStr">
        <is>
          <t>Refrigerante, mediana</t>
        </is>
      </c>
      <c r="E347" s="5">
        <f>COUNTIFS(dados!$C$2:$C$55,$A347,dados!$AI$2:$AI$55,"&lt;&gt;")</f>
        <v/>
      </c>
      <c r="F347" s="7">
        <f>IFERROR(AVERAGEIFS(dados!$AI$2:$AI$55,dados!$C$2:$C$55,$A347),"")</f>
        <v/>
      </c>
      <c r="G347" s="7">
        <f t="array" ref="G347">IFERROR(MEDIAN(IF((dados!$C$2:$C$55=$A347)*(dados!$AI$2:$AI$55&lt;&gt;""),dados!$AI$2:$AI$55)),"")</f>
        <v/>
      </c>
      <c r="H347" s="7">
        <f t="array" ref="H347">IFERROR(STDEV(IF((dados!$C$2:$C$55=$A347)*(dados!$AI$2:$AI$55&lt;&gt;""),dados!$AI$2:$AI$55)),"")</f>
        <v/>
      </c>
      <c r="I347" s="7">
        <f>IF(COUNTIFS(dados!$C$2:$C$55,$A347,dados!$AI$2:$AI$55,"&lt;&gt;")=0,"",_xlfn.MINIFS(dados!$AI$2:$AI$55,dados!$C$2:$C$55,$A347))</f>
        <v/>
      </c>
      <c r="J347" s="7">
        <f>IF(COUNTIFS(dados!$C$2:$C$55,$A347,dados!$AI$2:$AI$55,"&lt;&gt;")=0,"",_xlfn.MAXIFS(dados!$AI$2:$AI$55,dados!$C$2:$C$55,$A347))</f>
        <v/>
      </c>
      <c r="K347" s="7">
        <f>IFERROR(J347-I347,"")</f>
        <v/>
      </c>
    </row>
    <row r="348">
      <c r="A348" s="2" t="inlineStr">
        <is>
          <t>Rio de Janeiro</t>
        </is>
      </c>
      <c r="B348" s="16" t="inlineStr">
        <is>
          <t>Cardápio</t>
        </is>
      </c>
      <c r="C348" s="2" t="inlineStr">
        <is>
          <t>drinks_mediana</t>
        </is>
      </c>
      <c r="D348" s="2" t="inlineStr">
        <is>
          <t>Drinks, mediana</t>
        </is>
      </c>
      <c r="E348" s="5">
        <f>COUNTIFS(dados!$C$2:$C$55,$A348,dados!$AJ$2:$AJ$55,"&lt;&gt;")</f>
        <v/>
      </c>
      <c r="F348" s="7">
        <f>IFERROR(AVERAGEIFS(dados!$AJ$2:$AJ$55,dados!$C$2:$C$55,$A348),"")</f>
        <v/>
      </c>
      <c r="G348" s="7">
        <f t="array" ref="G348">IFERROR(MEDIAN(IF((dados!$C$2:$C$55=$A348)*(dados!$AJ$2:$AJ$55&lt;&gt;""),dados!$AJ$2:$AJ$55)),"")</f>
        <v/>
      </c>
      <c r="H348" s="7">
        <f t="array" ref="H348">IFERROR(STDEV(IF((dados!$C$2:$C$55=$A348)*(dados!$AJ$2:$AJ$55&lt;&gt;""),dados!$AJ$2:$AJ$55)),"")</f>
        <v/>
      </c>
      <c r="I348" s="7">
        <f>IF(COUNTIFS(dados!$C$2:$C$55,$A348,dados!$AJ$2:$AJ$55,"&lt;&gt;")=0,"",_xlfn.MINIFS(dados!$AJ$2:$AJ$55,dados!$C$2:$C$55,$A348))</f>
        <v/>
      </c>
      <c r="J348" s="7">
        <f>IF(COUNTIFS(dados!$C$2:$C$55,$A348,dados!$AJ$2:$AJ$55,"&lt;&gt;")=0,"",_xlfn.MAXIFS(dados!$AJ$2:$AJ$55,dados!$C$2:$C$55,$A348))</f>
        <v/>
      </c>
      <c r="K348" s="7">
        <f>IFERROR(J348-I348,"")</f>
        <v/>
      </c>
    </row>
    <row r="349">
      <c r="A349" s="2" t="inlineStr">
        <is>
          <t>Rio de Janeiro</t>
        </is>
      </c>
      <c r="B349" s="17" t="inlineStr">
        <is>
          <t>Acervo</t>
        </is>
      </c>
      <c r="C349" s="2" t="inlineStr">
        <is>
          <t>titulos_acervo</t>
        </is>
      </c>
      <c r="D349" s="2" t="inlineStr">
        <is>
          <t>Títulos no acervo publicado</t>
        </is>
      </c>
      <c r="E349" s="5">
        <f>COUNTIFS(dados!$C$2:$C$55,$A349,dados!$AK$2:$AK$55,"&lt;&gt;")</f>
        <v/>
      </c>
      <c r="F349" s="5">
        <f>IFERROR(AVERAGEIFS(dados!$AK$2:$AK$55,dados!$C$2:$C$55,$A349),"")</f>
        <v/>
      </c>
      <c r="G349" s="5">
        <f t="array" ref="G349">IFERROR(MEDIAN(IF((dados!$C$2:$C$55=$A349)*(dados!$AK$2:$AK$55&lt;&gt;""),dados!$AK$2:$AK$55)),"")</f>
        <v/>
      </c>
      <c r="H349" s="5">
        <f t="array" ref="H349">IFERROR(STDEV(IF((dados!$C$2:$C$55=$A349)*(dados!$AK$2:$AK$55&lt;&gt;""),dados!$AK$2:$AK$55)),"")</f>
        <v/>
      </c>
      <c r="I349" s="5">
        <f>IF(COUNTIFS(dados!$C$2:$C$55,$A349,dados!$AK$2:$AK$55,"&lt;&gt;")=0,"",_xlfn.MINIFS(dados!$AK$2:$AK$55,dados!$C$2:$C$55,$A349))</f>
        <v/>
      </c>
      <c r="J349" s="5">
        <f>IF(COUNTIFS(dados!$C$2:$C$55,$A349,dados!$AK$2:$AK$55,"&lt;&gt;")=0,"",_xlfn.MAXIFS(dados!$AK$2:$AK$55,dados!$C$2:$C$55,$A349))</f>
        <v/>
      </c>
      <c r="K349" s="5">
        <f>IFERROR(J349-I349,"")</f>
        <v/>
      </c>
    </row>
    <row r="350">
      <c r="A350" s="2" t="inlineStr">
        <is>
          <t>Rio de Janeiro</t>
        </is>
      </c>
      <c r="B350" s="18" t="inlineStr">
        <is>
          <t>B2</t>
        </is>
      </c>
      <c r="C350" s="2" t="inlineStr">
        <is>
          <t>avaliacoes_b2</t>
        </is>
      </c>
      <c r="D350" s="2" t="inlineStr">
        <is>
          <t>Avaliações no recorte do B2 (até '3 meses atrás')</t>
        </is>
      </c>
      <c r="E350" s="5">
        <f>COUNTIFS(dados!$C$2:$C$55,$A350,dados!$AL$2:$AL$55,"&lt;&gt;")</f>
        <v/>
      </c>
      <c r="F350" s="5">
        <f>IFERROR(AVERAGEIFS(dados!$AL$2:$AL$55,dados!$C$2:$C$55,$A350),"")</f>
        <v/>
      </c>
      <c r="G350" s="5">
        <f t="array" ref="G350">IFERROR(MEDIAN(IF((dados!$C$2:$C$55=$A350)*(dados!$AL$2:$AL$55&lt;&gt;""),dados!$AL$2:$AL$55)),"")</f>
        <v/>
      </c>
      <c r="H350" s="5">
        <f t="array" ref="H350">IFERROR(STDEV(IF((dados!$C$2:$C$55=$A350)*(dados!$AL$2:$AL$55&lt;&gt;""),dados!$AL$2:$AL$55)),"")</f>
        <v/>
      </c>
      <c r="I350" s="5">
        <f>IF(COUNTIFS(dados!$C$2:$C$55,$A350,dados!$AL$2:$AL$55,"&lt;&gt;")=0,"",_xlfn.MINIFS(dados!$AL$2:$AL$55,dados!$C$2:$C$55,$A350))</f>
        <v/>
      </c>
      <c r="J350" s="5">
        <f>IF(COUNTIFS(dados!$C$2:$C$55,$A350,dados!$AL$2:$AL$55,"&lt;&gt;")=0,"",_xlfn.MAXIFS(dados!$AL$2:$AL$55,dados!$C$2:$C$55,$A350))</f>
        <v/>
      </c>
      <c r="K350" s="5">
        <f>IFERROR(J350-I350,"")</f>
        <v/>
      </c>
    </row>
    <row r="351">
      <c r="A351" s="2" t="inlineStr">
        <is>
          <t>Rio de Janeiro</t>
        </is>
      </c>
      <c r="B351" s="18" t="inlineStr">
        <is>
          <t>B2</t>
        </is>
      </c>
      <c r="C351" s="2" t="inlineStr">
        <is>
          <t>avaliacoes_b2_com_texto</t>
        </is>
      </c>
      <c r="D351" s="2" t="inlineStr">
        <is>
          <t>Dessas, com texto</t>
        </is>
      </c>
      <c r="E351" s="5">
        <f>COUNTIFS(dados!$C$2:$C$55,$A351,dados!$AM$2:$AM$55,"&lt;&gt;")</f>
        <v/>
      </c>
      <c r="F351" s="5">
        <f>IFERROR(AVERAGEIFS(dados!$AM$2:$AM$55,dados!$C$2:$C$55,$A351),"")</f>
        <v/>
      </c>
      <c r="G351" s="5">
        <f t="array" ref="G351">IFERROR(MEDIAN(IF((dados!$C$2:$C$55=$A351)*(dados!$AM$2:$AM$55&lt;&gt;""),dados!$AM$2:$AM$55)),"")</f>
        <v/>
      </c>
      <c r="H351" s="5">
        <f t="array" ref="H351">IFERROR(STDEV(IF((dados!$C$2:$C$55=$A351)*(dados!$AM$2:$AM$55&lt;&gt;""),dados!$AM$2:$AM$55)),"")</f>
        <v/>
      </c>
      <c r="I351" s="5">
        <f>IF(COUNTIFS(dados!$C$2:$C$55,$A351,dados!$AM$2:$AM$55,"&lt;&gt;")=0,"",_xlfn.MINIFS(dados!$AM$2:$AM$55,dados!$C$2:$C$55,$A351))</f>
        <v/>
      </c>
      <c r="J351" s="5">
        <f>IF(COUNTIFS(dados!$C$2:$C$55,$A351,dados!$AM$2:$AM$55,"&lt;&gt;")=0,"",_xlfn.MAXIFS(dados!$AM$2:$AM$55,dados!$C$2:$C$55,$A351))</f>
        <v/>
      </c>
      <c r="K351" s="5">
        <f>IFERROR(J351-I351,"")</f>
        <v/>
      </c>
    </row>
    <row r="352">
      <c r="A352" s="2" t="inlineStr">
        <is>
          <t>Salvador</t>
        </is>
      </c>
      <c r="B352" s="11" t="inlineStr">
        <is>
          <t>Google Maps</t>
        </is>
      </c>
      <c r="C352" s="2" t="inlineStr">
        <is>
          <t>avaliacao_media</t>
        </is>
      </c>
      <c r="D352" s="2" t="inlineStr">
        <is>
          <t>Nota média no Google</t>
        </is>
      </c>
      <c r="E352" s="5">
        <f>COUNTIFS(dados!$C$2:$C$55,$A352,dados!$E$2:$E$55,"&lt;&gt;")</f>
        <v/>
      </c>
      <c r="F352" s="4">
        <f>IFERROR(AVERAGEIFS(dados!$E$2:$E$55,dados!$C$2:$C$55,$A352),"")</f>
        <v/>
      </c>
      <c r="G352" s="4">
        <f t="array" ref="G352">IFERROR(MEDIAN(IF((dados!$C$2:$C$55=$A352)*(dados!$E$2:$E$55&lt;&gt;""),dados!$E$2:$E$55)),"")</f>
        <v/>
      </c>
      <c r="H352" s="4">
        <f t="array" ref="H352">IFERROR(STDEV(IF((dados!$C$2:$C$55=$A352)*(dados!$E$2:$E$55&lt;&gt;""),dados!$E$2:$E$55)),"")</f>
        <v/>
      </c>
      <c r="I352" s="4">
        <f>IF(COUNTIFS(dados!$C$2:$C$55,$A352,dados!$E$2:$E$55,"&lt;&gt;")=0,"",_xlfn.MINIFS(dados!$E$2:$E$55,dados!$C$2:$C$55,$A352))</f>
        <v/>
      </c>
      <c r="J352" s="4">
        <f>IF(COUNTIFS(dados!$C$2:$C$55,$A352,dados!$E$2:$E$55,"&lt;&gt;")=0,"",_xlfn.MAXIFS(dados!$E$2:$E$55,dados!$C$2:$C$55,$A352))</f>
        <v/>
      </c>
      <c r="K352" s="4">
        <f>IFERROR(J352-I352,"")</f>
        <v/>
      </c>
    </row>
    <row r="353">
      <c r="A353" s="2" t="inlineStr">
        <is>
          <t>Salvador</t>
        </is>
      </c>
      <c r="B353" s="11" t="inlineStr">
        <is>
          <t>Google Maps</t>
        </is>
      </c>
      <c r="C353" s="2" t="inlineStr">
        <is>
          <t>volume_avaliacoes</t>
        </is>
      </c>
      <c r="D353" s="2" t="inlineStr">
        <is>
          <t>Nº de avaliações no Google</t>
        </is>
      </c>
      <c r="E353" s="5">
        <f>COUNTIFS(dados!$C$2:$C$55,$A353,dados!$F$2:$F$55,"&lt;&gt;")</f>
        <v/>
      </c>
      <c r="F353" s="5">
        <f>IFERROR(AVERAGEIFS(dados!$F$2:$F$55,dados!$C$2:$C$55,$A353),"")</f>
        <v/>
      </c>
      <c r="G353" s="5">
        <f t="array" ref="G353">IFERROR(MEDIAN(IF((dados!$C$2:$C$55=$A353)*(dados!$F$2:$F$55&lt;&gt;""),dados!$F$2:$F$55)),"")</f>
        <v/>
      </c>
      <c r="H353" s="5">
        <f t="array" ref="H353">IFERROR(STDEV(IF((dados!$C$2:$C$55=$A353)*(dados!$F$2:$F$55&lt;&gt;""),dados!$F$2:$F$55)),"")</f>
        <v/>
      </c>
      <c r="I353" s="5">
        <f>IF(COUNTIFS(dados!$C$2:$C$55,$A353,dados!$F$2:$F$55,"&lt;&gt;")=0,"",_xlfn.MINIFS(dados!$F$2:$F$55,dados!$C$2:$C$55,$A353))</f>
        <v/>
      </c>
      <c r="J353" s="5">
        <f>IF(COUNTIFS(dados!$C$2:$C$55,$A353,dados!$F$2:$F$55,"&lt;&gt;")=0,"",_xlfn.MAXIFS(dados!$F$2:$F$55,dados!$C$2:$C$55,$A353))</f>
        <v/>
      </c>
      <c r="K353" s="5">
        <f>IFERROR(J353-I353,"")</f>
        <v/>
      </c>
    </row>
    <row r="354">
      <c r="A354" s="2" t="inlineStr">
        <is>
          <t>Salvador</t>
        </is>
      </c>
      <c r="B354" s="12" t="inlineStr">
        <is>
          <t>Horários</t>
        </is>
      </c>
      <c r="C354" s="2" t="inlineStr">
        <is>
          <t>dias_abertos</t>
        </is>
      </c>
      <c r="D354" s="2" t="inlineStr">
        <is>
          <t>Dias abertos por semana</t>
        </is>
      </c>
      <c r="E354" s="5">
        <f>COUNTIFS(dados!$C$2:$C$55,$A354,dados!$G$2:$G$55,"&lt;&gt;")</f>
        <v/>
      </c>
      <c r="F354" s="6">
        <f>IFERROR(AVERAGEIFS(dados!$G$2:$G$55,dados!$C$2:$C$55,$A354),"")</f>
        <v/>
      </c>
      <c r="G354" s="6">
        <f t="array" ref="G354">IFERROR(MEDIAN(IF((dados!$C$2:$C$55=$A354)*(dados!$G$2:$G$55&lt;&gt;""),dados!$G$2:$G$55)),"")</f>
        <v/>
      </c>
      <c r="H354" s="6">
        <f t="array" ref="H354">IFERROR(STDEV(IF((dados!$C$2:$C$55=$A354)*(dados!$G$2:$G$55&lt;&gt;""),dados!$G$2:$G$55)),"")</f>
        <v/>
      </c>
      <c r="I354" s="6">
        <f>IF(COUNTIFS(dados!$C$2:$C$55,$A354,dados!$G$2:$G$55,"&lt;&gt;")=0,"",_xlfn.MINIFS(dados!$G$2:$G$55,dados!$C$2:$C$55,$A354))</f>
        <v/>
      </c>
      <c r="J354" s="6">
        <f>IF(COUNTIFS(dados!$C$2:$C$55,$A354,dados!$G$2:$G$55,"&lt;&gt;")=0,"",_xlfn.MAXIFS(dados!$G$2:$G$55,dados!$C$2:$C$55,$A354))</f>
        <v/>
      </c>
      <c r="K354" s="6">
        <f>IFERROR(J354-I354,"")</f>
        <v/>
      </c>
    </row>
    <row r="355">
      <c r="A355" s="2" t="inlineStr">
        <is>
          <t>Salvador</t>
        </is>
      </c>
      <c r="B355" s="12" t="inlineStr">
        <is>
          <t>Horários</t>
        </is>
      </c>
      <c r="C355" s="2" t="inlineStr">
        <is>
          <t>horas_semana</t>
        </is>
      </c>
      <c r="D355" s="2" t="inlineStr">
        <is>
          <t>Horas abertas por semana</t>
        </is>
      </c>
      <c r="E355" s="5">
        <f>COUNTIFS(dados!$C$2:$C$55,$A355,dados!$H$2:$H$55,"&lt;&gt;")</f>
        <v/>
      </c>
      <c r="F355" s="6">
        <f>IFERROR(AVERAGEIFS(dados!$H$2:$H$55,dados!$C$2:$C$55,$A355),"")</f>
        <v/>
      </c>
      <c r="G355" s="6">
        <f t="array" ref="G355">IFERROR(MEDIAN(IF((dados!$C$2:$C$55=$A355)*(dados!$H$2:$H$55&lt;&gt;""),dados!$H$2:$H$55)),"")</f>
        <v/>
      </c>
      <c r="H355" s="6">
        <f t="array" ref="H355">IFERROR(STDEV(IF((dados!$C$2:$C$55=$A355)*(dados!$H$2:$H$55&lt;&gt;""),dados!$H$2:$H$55)),"")</f>
        <v/>
      </c>
      <c r="I355" s="6">
        <f>IF(COUNTIFS(dados!$C$2:$C$55,$A355,dados!$H$2:$H$55,"&lt;&gt;")=0,"",_xlfn.MINIFS(dados!$H$2:$H$55,dados!$C$2:$C$55,$A355))</f>
        <v/>
      </c>
      <c r="J355" s="6">
        <f>IF(COUNTIFS(dados!$C$2:$C$55,$A355,dados!$H$2:$H$55,"&lt;&gt;")=0,"",_xlfn.MAXIFS(dados!$H$2:$H$55,dados!$C$2:$C$55,$A355))</f>
        <v/>
      </c>
      <c r="K355" s="6">
        <f>IFERROR(J355-I355,"")</f>
        <v/>
      </c>
    </row>
    <row r="356">
      <c r="A356" s="2" t="inlineStr">
        <is>
          <t>Salvador</t>
        </is>
      </c>
      <c r="B356" s="12" t="inlineStr">
        <is>
          <t>Horários</t>
        </is>
      </c>
      <c r="C356" s="2" t="inlineStr">
        <is>
          <t>abre_cedo_h</t>
        </is>
      </c>
      <c r="D356" s="2" t="inlineStr">
        <is>
          <t>Abertura mais cedo da semana</t>
        </is>
      </c>
      <c r="E356" s="5">
        <f>COUNTIFS(dados!$C$2:$C$55,$A356,dados!$I$2:$I$55,"&lt;&gt;")</f>
        <v/>
      </c>
      <c r="F356" s="6">
        <f>IFERROR(AVERAGEIFS(dados!$I$2:$I$55,dados!$C$2:$C$55,$A356),"")</f>
        <v/>
      </c>
      <c r="G356" s="6">
        <f t="array" ref="G356">IFERROR(MEDIAN(IF((dados!$C$2:$C$55=$A356)*(dados!$I$2:$I$55&lt;&gt;""),dados!$I$2:$I$55)),"")</f>
        <v/>
      </c>
      <c r="H356" s="6">
        <f t="array" ref="H356">IFERROR(STDEV(IF((dados!$C$2:$C$55=$A356)*(dados!$I$2:$I$55&lt;&gt;""),dados!$I$2:$I$55)),"")</f>
        <v/>
      </c>
      <c r="I356" s="6">
        <f>IF(COUNTIFS(dados!$C$2:$C$55,$A356,dados!$I$2:$I$55,"&lt;&gt;")=0,"",_xlfn.MINIFS(dados!$I$2:$I$55,dados!$C$2:$C$55,$A356))</f>
        <v/>
      </c>
      <c r="J356" s="6">
        <f>IF(COUNTIFS(dados!$C$2:$C$55,$A356,dados!$I$2:$I$55,"&lt;&gt;")=0,"",_xlfn.MAXIFS(dados!$I$2:$I$55,dados!$C$2:$C$55,$A356))</f>
        <v/>
      </c>
      <c r="K356" s="6">
        <f>IFERROR(J356-I356,"")</f>
        <v/>
      </c>
    </row>
    <row r="357">
      <c r="A357" s="2" t="inlineStr">
        <is>
          <t>Salvador</t>
        </is>
      </c>
      <c r="B357" s="12" t="inlineStr">
        <is>
          <t>Horários</t>
        </is>
      </c>
      <c r="C357" s="2" t="inlineStr">
        <is>
          <t>fecha_tarde_h</t>
        </is>
      </c>
      <c r="D357" s="2" t="inlineStr">
        <is>
          <t>Fechamento mais tarde da semana (25 = 1h da manhã)</t>
        </is>
      </c>
      <c r="E357" s="5">
        <f>COUNTIFS(dados!$C$2:$C$55,$A357,dados!$J$2:$J$55,"&lt;&gt;")</f>
        <v/>
      </c>
      <c r="F357" s="6">
        <f>IFERROR(AVERAGEIFS(dados!$J$2:$J$55,dados!$C$2:$C$55,$A357),"")</f>
        <v/>
      </c>
      <c r="G357" s="6">
        <f t="array" ref="G357">IFERROR(MEDIAN(IF((dados!$C$2:$C$55=$A357)*(dados!$J$2:$J$55&lt;&gt;""),dados!$J$2:$J$55)),"")</f>
        <v/>
      </c>
      <c r="H357" s="6">
        <f t="array" ref="H357">IFERROR(STDEV(IF((dados!$C$2:$C$55=$A357)*(dados!$J$2:$J$55&lt;&gt;""),dados!$J$2:$J$55)),"")</f>
        <v/>
      </c>
      <c r="I357" s="6">
        <f>IF(COUNTIFS(dados!$C$2:$C$55,$A357,dados!$J$2:$J$55,"&lt;&gt;")=0,"",_xlfn.MINIFS(dados!$J$2:$J$55,dados!$C$2:$C$55,$A357))</f>
        <v/>
      </c>
      <c r="J357" s="6">
        <f>IF(COUNTIFS(dados!$C$2:$C$55,$A357,dados!$J$2:$J$55,"&lt;&gt;")=0,"",_xlfn.MAXIFS(dados!$J$2:$J$55,dados!$C$2:$C$55,$A357))</f>
        <v/>
      </c>
      <c r="K357" s="6">
        <f>IFERROR(J357-I357,"")</f>
        <v/>
      </c>
    </row>
    <row r="358">
      <c r="A358" s="2" t="inlineStr">
        <is>
          <t>Salvador</t>
        </is>
      </c>
      <c r="B358" s="13" t="inlineStr">
        <is>
          <t>Entorno</t>
        </is>
      </c>
      <c r="C358" s="2" t="inlineStr">
        <is>
          <t>metro_500m</t>
        </is>
      </c>
      <c r="D358" s="2" t="inlineStr">
        <is>
          <t>Estações de metrô até 500 m</t>
        </is>
      </c>
      <c r="E358" s="5">
        <f>COUNTIFS(dados!$C$2:$C$55,$A358,dados!$K$2:$K$55,"&lt;&gt;")</f>
        <v/>
      </c>
      <c r="F358" s="4">
        <f>IFERROR(AVERAGEIFS(dados!$K$2:$K$55,dados!$C$2:$C$55,$A358),"")</f>
        <v/>
      </c>
      <c r="G358" s="4">
        <f t="array" ref="G358">IFERROR(MEDIAN(IF((dados!$C$2:$C$55=$A358)*(dados!$K$2:$K$55&lt;&gt;""),dados!$K$2:$K$55)),"")</f>
        <v/>
      </c>
      <c r="H358" s="4">
        <f t="array" ref="H358">IFERROR(STDEV(IF((dados!$C$2:$C$55=$A358)*(dados!$K$2:$K$55&lt;&gt;""),dados!$K$2:$K$55)),"")</f>
        <v/>
      </c>
      <c r="I358" s="4">
        <f>IF(COUNTIFS(dados!$C$2:$C$55,$A358,dados!$K$2:$K$55,"&lt;&gt;")=0,"",_xlfn.MINIFS(dados!$K$2:$K$55,dados!$C$2:$C$55,$A358))</f>
        <v/>
      </c>
      <c r="J358" s="4">
        <f>IF(COUNTIFS(dados!$C$2:$C$55,$A358,dados!$K$2:$K$55,"&lt;&gt;")=0,"",_xlfn.MAXIFS(dados!$K$2:$K$55,dados!$C$2:$C$55,$A358))</f>
        <v/>
      </c>
      <c r="K358" s="4">
        <f>IFERROR(J358-I358,"")</f>
        <v/>
      </c>
    </row>
    <row r="359">
      <c r="A359" s="2" t="inlineStr">
        <is>
          <t>Salvador</t>
        </is>
      </c>
      <c r="B359" s="13" t="inlineStr">
        <is>
          <t>Entorno</t>
        </is>
      </c>
      <c r="C359" s="2" t="inlineStr">
        <is>
          <t>metro_1000m</t>
        </is>
      </c>
      <c r="D359" s="2" t="inlineStr">
        <is>
          <t>Estações de metrô até 1000 m</t>
        </is>
      </c>
      <c r="E359" s="5">
        <f>COUNTIFS(dados!$C$2:$C$55,$A359,dados!$L$2:$L$55,"&lt;&gt;")</f>
        <v/>
      </c>
      <c r="F359" s="4">
        <f>IFERROR(AVERAGEIFS(dados!$L$2:$L$55,dados!$C$2:$C$55,$A359),"")</f>
        <v/>
      </c>
      <c r="G359" s="4">
        <f t="array" ref="G359">IFERROR(MEDIAN(IF((dados!$C$2:$C$55=$A359)*(dados!$L$2:$L$55&lt;&gt;""),dados!$L$2:$L$55)),"")</f>
        <v/>
      </c>
      <c r="H359" s="4">
        <f t="array" ref="H359">IFERROR(STDEV(IF((dados!$C$2:$C$55=$A359)*(dados!$L$2:$L$55&lt;&gt;""),dados!$L$2:$L$55)),"")</f>
        <v/>
      </c>
      <c r="I359" s="4">
        <f>IF(COUNTIFS(dados!$C$2:$C$55,$A359,dados!$L$2:$L$55,"&lt;&gt;")=0,"",_xlfn.MINIFS(dados!$L$2:$L$55,dados!$C$2:$C$55,$A359))</f>
        <v/>
      </c>
      <c r="J359" s="4">
        <f>IF(COUNTIFS(dados!$C$2:$C$55,$A359,dados!$L$2:$L$55,"&lt;&gt;")=0,"",_xlfn.MAXIFS(dados!$L$2:$L$55,dados!$C$2:$C$55,$A359))</f>
        <v/>
      </c>
      <c r="K359" s="4">
        <f>IFERROR(J359-I359,"")</f>
        <v/>
      </c>
    </row>
    <row r="360">
      <c r="A360" s="2" t="inlineStr">
        <is>
          <t>Salvador</t>
        </is>
      </c>
      <c r="B360" s="13" t="inlineStr">
        <is>
          <t>Entorno</t>
        </is>
      </c>
      <c r="C360" s="2" t="inlineStr">
        <is>
          <t>dist_metro_m</t>
        </is>
      </c>
      <c r="D360" s="2" t="inlineStr">
        <is>
          <t>Distância à estação de metrô mais próxima</t>
        </is>
      </c>
      <c r="E360" s="5">
        <f>COUNTIFS(dados!$C$2:$C$55,$A360,dados!$M$2:$M$55,"&lt;&gt;")</f>
        <v/>
      </c>
      <c r="F360" s="5">
        <f>IFERROR(AVERAGEIFS(dados!$M$2:$M$55,dados!$C$2:$C$55,$A360),"")</f>
        <v/>
      </c>
      <c r="G360" s="5">
        <f t="array" ref="G360">IFERROR(MEDIAN(IF((dados!$C$2:$C$55=$A360)*(dados!$M$2:$M$55&lt;&gt;""),dados!$M$2:$M$55)),"")</f>
        <v/>
      </c>
      <c r="H360" s="5">
        <f t="array" ref="H360">IFERROR(STDEV(IF((dados!$C$2:$C$55=$A360)*(dados!$M$2:$M$55&lt;&gt;""),dados!$M$2:$M$55)),"")</f>
        <v/>
      </c>
      <c r="I360" s="5">
        <f>IF(COUNTIFS(dados!$C$2:$C$55,$A360,dados!$M$2:$M$55,"&lt;&gt;")=0,"",_xlfn.MINIFS(dados!$M$2:$M$55,dados!$C$2:$C$55,$A360))</f>
        <v/>
      </c>
      <c r="J360" s="5">
        <f>IF(COUNTIFS(dados!$C$2:$C$55,$A360,dados!$M$2:$M$55,"&lt;&gt;")=0,"",_xlfn.MAXIFS(dados!$M$2:$M$55,dados!$C$2:$C$55,$A360))</f>
        <v/>
      </c>
      <c r="K360" s="5">
        <f>IFERROR(J360-I360,"")</f>
        <v/>
      </c>
    </row>
    <row r="361">
      <c r="A361" s="2" t="inlineStr">
        <is>
          <t>Salvador</t>
        </is>
      </c>
      <c r="B361" s="13" t="inlineStr">
        <is>
          <t>Entorno</t>
        </is>
      </c>
      <c r="C361" s="2" t="inlineStr">
        <is>
          <t>shopping_porte_500m</t>
        </is>
      </c>
      <c r="D361" s="2" t="inlineStr">
        <is>
          <t>Shoppings de porte até 500 m (onde o porte foi buscado)</t>
        </is>
      </c>
      <c r="E361" s="5">
        <f>COUNTIFS(dados!$C$2:$C$55,$A361,dados!$N$2:$N$55,"&lt;&gt;")</f>
        <v/>
      </c>
      <c r="F361" s="4">
        <f>IFERROR(AVERAGEIFS(dados!$N$2:$N$55,dados!$C$2:$C$55,$A361),"")</f>
        <v/>
      </c>
      <c r="G361" s="4">
        <f t="array" ref="G361">IFERROR(MEDIAN(IF((dados!$C$2:$C$55=$A361)*(dados!$N$2:$N$55&lt;&gt;""),dados!$N$2:$N$55)),"")</f>
        <v/>
      </c>
      <c r="H361" s="4">
        <f t="array" ref="H361">IFERROR(STDEV(IF((dados!$C$2:$C$55=$A361)*(dados!$N$2:$N$55&lt;&gt;""),dados!$N$2:$N$55)),"")</f>
        <v/>
      </c>
      <c r="I361" s="4">
        <f>IF(COUNTIFS(dados!$C$2:$C$55,$A361,dados!$N$2:$N$55,"&lt;&gt;")=0,"",_xlfn.MINIFS(dados!$N$2:$N$55,dados!$C$2:$C$55,$A361))</f>
        <v/>
      </c>
      <c r="J361" s="4">
        <f>IF(COUNTIFS(dados!$C$2:$C$55,$A361,dados!$N$2:$N$55,"&lt;&gt;")=0,"",_xlfn.MAXIFS(dados!$N$2:$N$55,dados!$C$2:$C$55,$A361))</f>
        <v/>
      </c>
      <c r="K361" s="4">
        <f>IFERROR(J361-I361,"")</f>
        <v/>
      </c>
    </row>
    <row r="362">
      <c r="A362" s="2" t="inlineStr">
        <is>
          <t>Salvador</t>
        </is>
      </c>
      <c r="B362" s="13" t="inlineStr">
        <is>
          <t>Entorno</t>
        </is>
      </c>
      <c r="C362" s="2" t="inlineStr">
        <is>
          <t>shopping_porte_1000m</t>
        </is>
      </c>
      <c r="D362" s="2" t="inlineStr">
        <is>
          <t>Shoppings de porte até 1000 m (onde o porte foi buscado)</t>
        </is>
      </c>
      <c r="E362" s="5">
        <f>COUNTIFS(dados!$C$2:$C$55,$A362,dados!$O$2:$O$55,"&lt;&gt;")</f>
        <v/>
      </c>
      <c r="F362" s="4">
        <f>IFERROR(AVERAGEIFS(dados!$O$2:$O$55,dados!$C$2:$C$55,$A362),"")</f>
        <v/>
      </c>
      <c r="G362" s="4">
        <f t="array" ref="G362">IFERROR(MEDIAN(IF((dados!$C$2:$C$55=$A362)*(dados!$O$2:$O$55&lt;&gt;""),dados!$O$2:$O$55)),"")</f>
        <v/>
      </c>
      <c r="H362" s="4">
        <f t="array" ref="H362">IFERROR(STDEV(IF((dados!$C$2:$C$55=$A362)*(dados!$O$2:$O$55&lt;&gt;""),dados!$O$2:$O$55)),"")</f>
        <v/>
      </c>
      <c r="I362" s="4">
        <f>IF(COUNTIFS(dados!$C$2:$C$55,$A362,dados!$O$2:$O$55,"&lt;&gt;")=0,"",_xlfn.MINIFS(dados!$O$2:$O$55,dados!$C$2:$C$55,$A362))</f>
        <v/>
      </c>
      <c r="J362" s="4">
        <f>IF(COUNTIFS(dados!$C$2:$C$55,$A362,dados!$O$2:$O$55,"&lt;&gt;")=0,"",_xlfn.MAXIFS(dados!$O$2:$O$55,dados!$C$2:$C$55,$A362))</f>
        <v/>
      </c>
      <c r="K362" s="4">
        <f>IFERROR(J362-I362,"")</f>
        <v/>
      </c>
    </row>
    <row r="363">
      <c r="A363" s="2" t="inlineStr">
        <is>
          <t>Salvador</t>
        </is>
      </c>
      <c r="B363" s="13" t="inlineStr">
        <is>
          <t>Entorno</t>
        </is>
      </c>
      <c r="C363" s="2" t="inlineStr">
        <is>
          <t>dist_shopping_m</t>
        </is>
      </c>
      <c r="D363" s="2" t="inlineStr">
        <is>
          <t>Distância ao shopping mais próximo (qualquer porte)</t>
        </is>
      </c>
      <c r="E363" s="5">
        <f>COUNTIFS(dados!$C$2:$C$55,$A363,dados!$P$2:$P$55,"&lt;&gt;")</f>
        <v/>
      </c>
      <c r="F363" s="5">
        <f>IFERROR(AVERAGEIFS(dados!$P$2:$P$55,dados!$C$2:$C$55,$A363),"")</f>
        <v/>
      </c>
      <c r="G363" s="5">
        <f t="array" ref="G363">IFERROR(MEDIAN(IF((dados!$C$2:$C$55=$A363)*(dados!$P$2:$P$55&lt;&gt;""),dados!$P$2:$P$55)),"")</f>
        <v/>
      </c>
      <c r="H363" s="5">
        <f t="array" ref="H363">IFERROR(STDEV(IF((dados!$C$2:$C$55=$A363)*(dados!$P$2:$P$55&lt;&gt;""),dados!$P$2:$P$55)),"")</f>
        <v/>
      </c>
      <c r="I363" s="5">
        <f>IF(COUNTIFS(dados!$C$2:$C$55,$A363,dados!$P$2:$P$55,"&lt;&gt;")=0,"",_xlfn.MINIFS(dados!$P$2:$P$55,dados!$C$2:$C$55,$A363))</f>
        <v/>
      </c>
      <c r="J363" s="5">
        <f>IF(COUNTIFS(dados!$C$2:$C$55,$A363,dados!$P$2:$P$55,"&lt;&gt;")=0,"",_xlfn.MAXIFS(dados!$P$2:$P$55,dados!$C$2:$C$55,$A363))</f>
        <v/>
      </c>
      <c r="K363" s="5">
        <f>IFERROR(J363-I363,"")</f>
        <v/>
      </c>
    </row>
    <row r="364">
      <c r="A364" s="2" t="inlineStr">
        <is>
          <t>Salvador</t>
        </is>
      </c>
      <c r="B364" s="14" t="inlineStr">
        <is>
          <t>Instagram</t>
        </is>
      </c>
      <c r="C364" s="2" t="inlineStr">
        <is>
          <t>seguidores</t>
        </is>
      </c>
      <c r="D364" s="2" t="inlineStr">
        <is>
          <t>Seguidores</t>
        </is>
      </c>
      <c r="E364" s="5">
        <f>COUNTIFS(dados!$C$2:$C$55,$A364,dados!$Q$2:$Q$55,"&lt;&gt;")</f>
        <v/>
      </c>
      <c r="F364" s="5">
        <f>IFERROR(AVERAGEIFS(dados!$Q$2:$Q$55,dados!$C$2:$C$55,$A364),"")</f>
        <v/>
      </c>
      <c r="G364" s="5">
        <f t="array" ref="G364">IFERROR(MEDIAN(IF((dados!$C$2:$C$55=$A364)*(dados!$Q$2:$Q$55&lt;&gt;""),dados!$Q$2:$Q$55)),"")</f>
        <v/>
      </c>
      <c r="H364" s="5">
        <f t="array" ref="H364">IFERROR(STDEV(IF((dados!$C$2:$C$55=$A364)*(dados!$Q$2:$Q$55&lt;&gt;""),dados!$Q$2:$Q$55)),"")</f>
        <v/>
      </c>
      <c r="I364" s="5">
        <f>IF(COUNTIFS(dados!$C$2:$C$55,$A364,dados!$Q$2:$Q$55,"&lt;&gt;")=0,"",_xlfn.MINIFS(dados!$Q$2:$Q$55,dados!$C$2:$C$55,$A364))</f>
        <v/>
      </c>
      <c r="J364" s="5">
        <f>IF(COUNTIFS(dados!$C$2:$C$55,$A364,dados!$Q$2:$Q$55,"&lt;&gt;")=0,"",_xlfn.MAXIFS(dados!$Q$2:$Q$55,dados!$C$2:$C$55,$A364))</f>
        <v/>
      </c>
      <c r="K364" s="5">
        <f>IFERROR(J364-I364,"")</f>
        <v/>
      </c>
    </row>
    <row r="365">
      <c r="A365" s="2" t="inlineStr">
        <is>
          <t>Salvador</t>
        </is>
      </c>
      <c r="B365" s="14" t="inlineStr">
        <is>
          <t>Instagram</t>
        </is>
      </c>
      <c r="C365" s="2" t="inlineStr">
        <is>
          <t>n_posts_total</t>
        </is>
      </c>
      <c r="D365" s="2" t="inlineStr">
        <is>
          <t>Posts desde a criação do perfil</t>
        </is>
      </c>
      <c r="E365" s="5">
        <f>COUNTIFS(dados!$C$2:$C$55,$A365,dados!$R$2:$R$55,"&lt;&gt;")</f>
        <v/>
      </c>
      <c r="F365" s="5">
        <f>IFERROR(AVERAGEIFS(dados!$R$2:$R$55,dados!$C$2:$C$55,$A365),"")</f>
        <v/>
      </c>
      <c r="G365" s="5">
        <f t="array" ref="G365">IFERROR(MEDIAN(IF((dados!$C$2:$C$55=$A365)*(dados!$R$2:$R$55&lt;&gt;""),dados!$R$2:$R$55)),"")</f>
        <v/>
      </c>
      <c r="H365" s="5">
        <f t="array" ref="H365">IFERROR(STDEV(IF((dados!$C$2:$C$55=$A365)*(dados!$R$2:$R$55&lt;&gt;""),dados!$R$2:$R$55)),"")</f>
        <v/>
      </c>
      <c r="I365" s="5">
        <f>IF(COUNTIFS(dados!$C$2:$C$55,$A365,dados!$R$2:$R$55,"&lt;&gt;")=0,"",_xlfn.MINIFS(dados!$R$2:$R$55,dados!$C$2:$C$55,$A365))</f>
        <v/>
      </c>
      <c r="J365" s="5">
        <f>IF(COUNTIFS(dados!$C$2:$C$55,$A365,dados!$R$2:$R$55,"&lt;&gt;")=0,"",_xlfn.MAXIFS(dados!$R$2:$R$55,dados!$C$2:$C$55,$A365))</f>
        <v/>
      </c>
      <c r="K365" s="5">
        <f>IFERROR(J365-I365,"")</f>
        <v/>
      </c>
    </row>
    <row r="366">
      <c r="A366" s="2" t="inlineStr">
        <is>
          <t>Salvador</t>
        </is>
      </c>
      <c r="B366" s="14" t="inlineStr">
        <is>
          <t>Instagram</t>
        </is>
      </c>
      <c r="C366" s="2" t="inlineStr">
        <is>
          <t>idade_perfil_anos</t>
        </is>
      </c>
      <c r="D366" s="2" t="inlineStr">
        <is>
          <t>Idade do perfil (desde o primeiro post até 15/10/2026)</t>
        </is>
      </c>
      <c r="E366" s="5">
        <f>COUNTIFS(dados!$C$2:$C$55,$A366,dados!$S$2:$S$55,"&lt;&gt;")</f>
        <v/>
      </c>
      <c r="F366" s="6">
        <f>IFERROR(AVERAGEIFS(dados!$S$2:$S$55,dados!$C$2:$C$55,$A366),"")</f>
        <v/>
      </c>
      <c r="G366" s="6">
        <f t="array" ref="G366">IFERROR(MEDIAN(IF((dados!$C$2:$C$55=$A366)*(dados!$S$2:$S$55&lt;&gt;""),dados!$S$2:$S$55)),"")</f>
        <v/>
      </c>
      <c r="H366" s="6">
        <f t="array" ref="H366">IFERROR(STDEV(IF((dados!$C$2:$C$55=$A366)*(dados!$S$2:$S$55&lt;&gt;""),dados!$S$2:$S$55)),"")</f>
        <v/>
      </c>
      <c r="I366" s="6">
        <f>IF(COUNTIFS(dados!$C$2:$C$55,$A366,dados!$S$2:$S$55,"&lt;&gt;")=0,"",_xlfn.MINIFS(dados!$S$2:$S$55,dados!$C$2:$C$55,$A366))</f>
        <v/>
      </c>
      <c r="J366" s="6">
        <f>IF(COUNTIFS(dados!$C$2:$C$55,$A366,dados!$S$2:$S$55,"&lt;&gt;")=0,"",_xlfn.MAXIFS(dados!$S$2:$S$55,dados!$C$2:$C$55,$A366))</f>
        <v/>
      </c>
      <c r="K366" s="6">
        <f>IFERROR(J366-I366,"")</f>
        <v/>
      </c>
    </row>
    <row r="367">
      <c r="A367" s="2" t="inlineStr">
        <is>
          <t>Salvador</t>
        </is>
      </c>
      <c r="B367" s="14" t="inlineStr">
        <is>
          <t>Instagram</t>
        </is>
      </c>
      <c r="C367" s="2" t="inlineStr">
        <is>
          <t>n_posts_periodo</t>
        </is>
      </c>
      <c r="D367" s="2" t="inlineStr">
        <is>
          <t>Posts de 01/09 a 01/10/2026</t>
        </is>
      </c>
      <c r="E367" s="5">
        <f>COUNTIFS(dados!$C$2:$C$55,$A367,dados!$T$2:$T$55,"&lt;&gt;")</f>
        <v/>
      </c>
      <c r="F367" s="6">
        <f>IFERROR(AVERAGEIFS(dados!$T$2:$T$55,dados!$C$2:$C$55,$A367),"")</f>
        <v/>
      </c>
      <c r="G367" s="6">
        <f t="array" ref="G367">IFERROR(MEDIAN(IF((dados!$C$2:$C$55=$A367)*(dados!$T$2:$T$55&lt;&gt;""),dados!$T$2:$T$55)),"")</f>
        <v/>
      </c>
      <c r="H367" s="6">
        <f t="array" ref="H367">IFERROR(STDEV(IF((dados!$C$2:$C$55=$A367)*(dados!$T$2:$T$55&lt;&gt;""),dados!$T$2:$T$55)),"")</f>
        <v/>
      </c>
      <c r="I367" s="6">
        <f>IF(COUNTIFS(dados!$C$2:$C$55,$A367,dados!$T$2:$T$55,"&lt;&gt;")=0,"",_xlfn.MINIFS(dados!$T$2:$T$55,dados!$C$2:$C$55,$A367))</f>
        <v/>
      </c>
      <c r="J367" s="6">
        <f>IF(COUNTIFS(dados!$C$2:$C$55,$A367,dados!$T$2:$T$55,"&lt;&gt;")=0,"",_xlfn.MAXIFS(dados!$T$2:$T$55,dados!$C$2:$C$55,$A367))</f>
        <v/>
      </c>
      <c r="K367" s="6">
        <f>IFERROR(J367-I367,"")</f>
        <v/>
      </c>
    </row>
    <row r="368">
      <c r="A368" s="2" t="inlineStr">
        <is>
          <t>Salvador</t>
        </is>
      </c>
      <c r="B368" s="14" t="inlineStr">
        <is>
          <t>Instagram</t>
        </is>
      </c>
      <c r="C368" s="2" t="inlineStr">
        <is>
          <t>curtidas_periodo</t>
        </is>
      </c>
      <c r="D368" s="2" t="inlineStr">
        <is>
          <t>Curtidas no período</t>
        </is>
      </c>
      <c r="E368" s="5">
        <f>COUNTIFS(dados!$C$2:$C$55,$A368,dados!$U$2:$U$55,"&lt;&gt;")</f>
        <v/>
      </c>
      <c r="F368" s="5">
        <f>IFERROR(AVERAGEIFS(dados!$U$2:$U$55,dados!$C$2:$C$55,$A368),"")</f>
        <v/>
      </c>
      <c r="G368" s="5">
        <f t="array" ref="G368">IFERROR(MEDIAN(IF((dados!$C$2:$C$55=$A368)*(dados!$U$2:$U$55&lt;&gt;""),dados!$U$2:$U$55)),"")</f>
        <v/>
      </c>
      <c r="H368" s="5">
        <f t="array" ref="H368">IFERROR(STDEV(IF((dados!$C$2:$C$55=$A368)*(dados!$U$2:$U$55&lt;&gt;""),dados!$U$2:$U$55)),"")</f>
        <v/>
      </c>
      <c r="I368" s="5">
        <f>IF(COUNTIFS(dados!$C$2:$C$55,$A368,dados!$U$2:$U$55,"&lt;&gt;")=0,"",_xlfn.MINIFS(dados!$U$2:$U$55,dados!$C$2:$C$55,$A368))</f>
        <v/>
      </c>
      <c r="J368" s="5">
        <f>IF(COUNTIFS(dados!$C$2:$C$55,$A368,dados!$U$2:$U$55,"&lt;&gt;")=0,"",_xlfn.MAXIFS(dados!$U$2:$U$55,dados!$C$2:$C$55,$A368))</f>
        <v/>
      </c>
      <c r="K368" s="5">
        <f>IFERROR(J368-I368,"")</f>
        <v/>
      </c>
    </row>
    <row r="369">
      <c r="A369" s="2" t="inlineStr">
        <is>
          <t>Salvador</t>
        </is>
      </c>
      <c r="B369" s="14" t="inlineStr">
        <is>
          <t>Instagram</t>
        </is>
      </c>
      <c r="C369" s="2" t="inlineStr">
        <is>
          <t>comentarios_periodo</t>
        </is>
      </c>
      <c r="D369" s="2" t="inlineStr">
        <is>
          <t>Comentários no período</t>
        </is>
      </c>
      <c r="E369" s="5">
        <f>COUNTIFS(dados!$C$2:$C$55,$A369,dados!$V$2:$V$55,"&lt;&gt;")</f>
        <v/>
      </c>
      <c r="F369" s="5">
        <f>IFERROR(AVERAGEIFS(dados!$V$2:$V$55,dados!$C$2:$C$55,$A369),"")</f>
        <v/>
      </c>
      <c r="G369" s="5">
        <f t="array" ref="G369">IFERROR(MEDIAN(IF((dados!$C$2:$C$55=$A369)*(dados!$V$2:$V$55&lt;&gt;""),dados!$V$2:$V$55)),"")</f>
        <v/>
      </c>
      <c r="H369" s="5">
        <f t="array" ref="H369">IFERROR(STDEV(IF((dados!$C$2:$C$55=$A369)*(dados!$V$2:$V$55&lt;&gt;""),dados!$V$2:$V$55)),"")</f>
        <v/>
      </c>
      <c r="I369" s="5">
        <f>IF(COUNTIFS(dados!$C$2:$C$55,$A369,dados!$V$2:$V$55,"&lt;&gt;")=0,"",_xlfn.MINIFS(dados!$V$2:$V$55,dados!$C$2:$C$55,$A369))</f>
        <v/>
      </c>
      <c r="J369" s="5">
        <f>IF(COUNTIFS(dados!$C$2:$C$55,$A369,dados!$V$2:$V$55,"&lt;&gt;")=0,"",_xlfn.MAXIFS(dados!$V$2:$V$55,dados!$C$2:$C$55,$A369))</f>
        <v/>
      </c>
      <c r="K369" s="5">
        <f>IFERROR(J369-I369,"")</f>
        <v/>
      </c>
    </row>
    <row r="370">
      <c r="A370" s="2" t="inlineStr">
        <is>
          <t>Salvador</t>
        </is>
      </c>
      <c r="B370" s="14" t="inlineStr">
        <is>
          <t>Instagram</t>
        </is>
      </c>
      <c r="C370" s="2" t="inlineStr">
        <is>
          <t>interacoes_por_post</t>
        </is>
      </c>
      <c r="D370" s="2" t="inlineStr">
        <is>
          <t>Interações por post no período (curtidas + comentários)</t>
        </is>
      </c>
      <c r="E370" s="5">
        <f>COUNTIFS(dados!$C$2:$C$55,$A370,dados!$W$2:$W$55,"&lt;&gt;")</f>
        <v/>
      </c>
      <c r="F370" s="6">
        <f>IFERROR(AVERAGEIFS(dados!$W$2:$W$55,dados!$C$2:$C$55,$A370),"")</f>
        <v/>
      </c>
      <c r="G370" s="6">
        <f t="array" ref="G370">IFERROR(MEDIAN(IF((dados!$C$2:$C$55=$A370)*(dados!$W$2:$W$55&lt;&gt;""),dados!$W$2:$W$55)),"")</f>
        <v/>
      </c>
      <c r="H370" s="6">
        <f t="array" ref="H370">IFERROR(STDEV(IF((dados!$C$2:$C$55=$A370)*(dados!$W$2:$W$55&lt;&gt;""),dados!$W$2:$W$55)),"")</f>
        <v/>
      </c>
      <c r="I370" s="6">
        <f>IF(COUNTIFS(dados!$C$2:$C$55,$A370,dados!$W$2:$W$55,"&lt;&gt;")=0,"",_xlfn.MINIFS(dados!$W$2:$W$55,dados!$C$2:$C$55,$A370))</f>
        <v/>
      </c>
      <c r="J370" s="6">
        <f>IF(COUNTIFS(dados!$C$2:$C$55,$A370,dados!$W$2:$W$55,"&lt;&gt;")=0,"",_xlfn.MAXIFS(dados!$W$2:$W$55,dados!$C$2:$C$55,$A370))</f>
        <v/>
      </c>
      <c r="K370" s="6">
        <f>IFERROR(J370-I370,"")</f>
        <v/>
      </c>
    </row>
    <row r="371">
      <c r="A371" s="2" t="inlineStr">
        <is>
          <t>Salvador</t>
        </is>
      </c>
      <c r="B371" s="14" t="inlineStr">
        <is>
          <t>Instagram</t>
        </is>
      </c>
      <c r="C371" s="2" t="inlineStr">
        <is>
          <t>engajamento_pct</t>
        </is>
      </c>
      <c r="D371" s="2" t="inlineStr">
        <is>
          <t>Taxa de engajamento (interações por post ÷ seguidores)</t>
        </is>
      </c>
      <c r="E371" s="5">
        <f>COUNTIFS(dados!$C$2:$C$55,$A371,dados!$X$2:$X$55,"&lt;&gt;")</f>
        <v/>
      </c>
      <c r="F371" s="15">
        <f>IFERROR(AVERAGEIFS(dados!$X$2:$X$55,dados!$C$2:$C$55,$A371),"")</f>
        <v/>
      </c>
      <c r="G371" s="15">
        <f t="array" ref="G371">IFERROR(MEDIAN(IF((dados!$C$2:$C$55=$A371)*(dados!$X$2:$X$55&lt;&gt;""),dados!$X$2:$X$55)),"")</f>
        <v/>
      </c>
      <c r="H371" s="15">
        <f t="array" ref="H371">IFERROR(STDEV(IF((dados!$C$2:$C$55=$A371)*(dados!$X$2:$X$55&lt;&gt;""),dados!$X$2:$X$55)),"")</f>
        <v/>
      </c>
      <c r="I371" s="15">
        <f>IF(COUNTIFS(dados!$C$2:$C$55,$A371,dados!$X$2:$X$55,"&lt;&gt;")=0,"",_xlfn.MINIFS(dados!$X$2:$X$55,dados!$C$2:$C$55,$A371))</f>
        <v/>
      </c>
      <c r="J371" s="15">
        <f>IF(COUNTIFS(dados!$C$2:$C$55,$A371,dados!$X$2:$X$55,"&lt;&gt;")=0,"",_xlfn.MAXIFS(dados!$X$2:$X$55,dados!$C$2:$C$55,$A371))</f>
        <v/>
      </c>
      <c r="K371" s="15">
        <f>IFERROR(J371-I371,"")</f>
        <v/>
      </c>
    </row>
    <row r="372">
      <c r="A372" s="2" t="inlineStr">
        <is>
          <t>Salvador</t>
        </is>
      </c>
      <c r="B372" s="16" t="inlineStr">
        <is>
          <t>Cardápio</t>
        </is>
      </c>
      <c r="C372" s="2" t="inlineStr">
        <is>
          <t>itens_com_preco</t>
        </is>
      </c>
      <c r="D372" s="2" t="inlineStr">
        <is>
          <t>Itens com preço no cardápio</t>
        </is>
      </c>
      <c r="E372" s="5">
        <f>COUNTIFS(dados!$C$2:$C$55,$A372,dados!$Y$2:$Y$55,"&lt;&gt;")</f>
        <v/>
      </c>
      <c r="F372" s="5">
        <f>IFERROR(AVERAGEIFS(dados!$Y$2:$Y$55,dados!$C$2:$C$55,$A372),"")</f>
        <v/>
      </c>
      <c r="G372" s="5">
        <f t="array" ref="G372">IFERROR(MEDIAN(IF((dados!$C$2:$C$55=$A372)*(dados!$Y$2:$Y$55&lt;&gt;""),dados!$Y$2:$Y$55)),"")</f>
        <v/>
      </c>
      <c r="H372" s="5">
        <f t="array" ref="H372">IFERROR(STDEV(IF((dados!$C$2:$C$55=$A372)*(dados!$Y$2:$Y$55&lt;&gt;""),dados!$Y$2:$Y$55)),"")</f>
        <v/>
      </c>
      <c r="I372" s="5">
        <f>IF(COUNTIFS(dados!$C$2:$C$55,$A372,dados!$Y$2:$Y$55,"&lt;&gt;")=0,"",_xlfn.MINIFS(dados!$Y$2:$Y$55,dados!$C$2:$C$55,$A372))</f>
        <v/>
      </c>
      <c r="J372" s="5">
        <f>IF(COUNTIFS(dados!$C$2:$C$55,$A372,dados!$Y$2:$Y$55,"&lt;&gt;")=0,"",_xlfn.MAXIFS(dados!$Y$2:$Y$55,dados!$C$2:$C$55,$A372))</f>
        <v/>
      </c>
      <c r="K372" s="5">
        <f>IFERROR(J372-I372,"")</f>
        <v/>
      </c>
    </row>
    <row r="373">
      <c r="A373" s="2" t="inlineStr">
        <is>
          <t>Salvador</t>
        </is>
      </c>
      <c r="B373" s="16" t="inlineStr">
        <is>
          <t>Cardápio</t>
        </is>
      </c>
      <c r="C373" s="2" t="inlineStr">
        <is>
          <t>couvert_mediana</t>
        </is>
      </c>
      <c r="D373" s="2" t="inlineStr">
        <is>
          <t>Couvert ou taxa de jogo (só casas que cobram)</t>
        </is>
      </c>
      <c r="E373" s="5">
        <f>COUNTIFS(dados!$C$2:$C$55,$A373,dados!$Z$2:$Z$55,"&lt;&gt;")</f>
        <v/>
      </c>
      <c r="F373" s="7">
        <f>IFERROR(AVERAGEIFS(dados!$Z$2:$Z$55,dados!$C$2:$C$55,$A373),"")</f>
        <v/>
      </c>
      <c r="G373" s="7">
        <f t="array" ref="G373">IFERROR(MEDIAN(IF((dados!$C$2:$C$55=$A373)*(dados!$Z$2:$Z$55&lt;&gt;""),dados!$Z$2:$Z$55)),"")</f>
        <v/>
      </c>
      <c r="H373" s="7">
        <f t="array" ref="H373">IFERROR(STDEV(IF((dados!$C$2:$C$55=$A373)*(dados!$Z$2:$Z$55&lt;&gt;""),dados!$Z$2:$Z$55)),"")</f>
        <v/>
      </c>
      <c r="I373" s="7">
        <f>IF(COUNTIFS(dados!$C$2:$C$55,$A373,dados!$Z$2:$Z$55,"&lt;&gt;")=0,"",_xlfn.MINIFS(dados!$Z$2:$Z$55,dados!$C$2:$C$55,$A373))</f>
        <v/>
      </c>
      <c r="J373" s="7">
        <f>IF(COUNTIFS(dados!$C$2:$C$55,$A373,dados!$Z$2:$Z$55,"&lt;&gt;")=0,"",_xlfn.MAXIFS(dados!$Z$2:$Z$55,dados!$C$2:$C$55,$A373))</f>
        <v/>
      </c>
      <c r="K373" s="7">
        <f>IFERROR(J373-I373,"")</f>
        <v/>
      </c>
    </row>
    <row r="374">
      <c r="A374" s="2" t="inlineStr">
        <is>
          <t>Salvador</t>
        </is>
      </c>
      <c r="B374" s="16" t="inlineStr">
        <is>
          <t>Cardápio</t>
        </is>
      </c>
      <c r="C374" s="2" t="inlineStr">
        <is>
          <t>bebida_mediana</t>
        </is>
      </c>
      <c r="D374" s="2" t="inlineStr">
        <is>
          <t>Bebida, mediana do cardápio</t>
        </is>
      </c>
      <c r="E374" s="5">
        <f>COUNTIFS(dados!$C$2:$C$55,$A374,dados!$AA$2:$AA$55,"&lt;&gt;")</f>
        <v/>
      </c>
      <c r="F374" s="7">
        <f>IFERROR(AVERAGEIFS(dados!$AA$2:$AA$55,dados!$C$2:$C$55,$A374),"")</f>
        <v/>
      </c>
      <c r="G374" s="7">
        <f t="array" ref="G374">IFERROR(MEDIAN(IF((dados!$C$2:$C$55=$A374)*(dados!$AA$2:$AA$55&lt;&gt;""),dados!$AA$2:$AA$55)),"")</f>
        <v/>
      </c>
      <c r="H374" s="7">
        <f t="array" ref="H374">IFERROR(STDEV(IF((dados!$C$2:$C$55=$A374)*(dados!$AA$2:$AA$55&lt;&gt;""),dados!$AA$2:$AA$55)),"")</f>
        <v/>
      </c>
      <c r="I374" s="7">
        <f>IF(COUNTIFS(dados!$C$2:$C$55,$A374,dados!$AA$2:$AA$55,"&lt;&gt;")=0,"",_xlfn.MINIFS(dados!$AA$2:$AA$55,dados!$C$2:$C$55,$A374))</f>
        <v/>
      </c>
      <c r="J374" s="7">
        <f>IF(COUNTIFS(dados!$C$2:$C$55,$A374,dados!$AA$2:$AA$55,"&lt;&gt;")=0,"",_xlfn.MAXIFS(dados!$AA$2:$AA$55,dados!$C$2:$C$55,$A374))</f>
        <v/>
      </c>
      <c r="K374" s="7">
        <f>IFERROR(J374-I374,"")</f>
        <v/>
      </c>
    </row>
    <row r="375">
      <c r="A375" s="2" t="inlineStr">
        <is>
          <t>Salvador</t>
        </is>
      </c>
      <c r="B375" s="16" t="inlineStr">
        <is>
          <t>Cardápio</t>
        </is>
      </c>
      <c r="C375" s="2" t="inlineStr">
        <is>
          <t>entrada_ou_prato_mediana</t>
        </is>
      </c>
      <c r="D375" s="2" t="inlineStr">
        <is>
          <t>Entrada ou prato, mediana do cardápio</t>
        </is>
      </c>
      <c r="E375" s="5">
        <f>COUNTIFS(dados!$C$2:$C$55,$A375,dados!$AB$2:$AB$55,"&lt;&gt;")</f>
        <v/>
      </c>
      <c r="F375" s="7">
        <f>IFERROR(AVERAGEIFS(dados!$AB$2:$AB$55,dados!$C$2:$C$55,$A375),"")</f>
        <v/>
      </c>
      <c r="G375" s="7">
        <f t="array" ref="G375">IFERROR(MEDIAN(IF((dados!$C$2:$C$55=$A375)*(dados!$AB$2:$AB$55&lt;&gt;""),dados!$AB$2:$AB$55)),"")</f>
        <v/>
      </c>
      <c r="H375" s="7">
        <f t="array" ref="H375">IFERROR(STDEV(IF((dados!$C$2:$C$55=$A375)*(dados!$AB$2:$AB$55&lt;&gt;""),dados!$AB$2:$AB$55)),"")</f>
        <v/>
      </c>
      <c r="I375" s="7">
        <f>IF(COUNTIFS(dados!$C$2:$C$55,$A375,dados!$AB$2:$AB$55,"&lt;&gt;")=0,"",_xlfn.MINIFS(dados!$AB$2:$AB$55,dados!$C$2:$C$55,$A375))</f>
        <v/>
      </c>
      <c r="J375" s="7">
        <f>IF(COUNTIFS(dados!$C$2:$C$55,$A375,dados!$AB$2:$AB$55,"&lt;&gt;")=0,"",_xlfn.MAXIFS(dados!$AB$2:$AB$55,dados!$C$2:$C$55,$A375))</f>
        <v/>
      </c>
      <c r="K375" s="7">
        <f>IFERROR(J375-I375,"")</f>
        <v/>
      </c>
    </row>
    <row r="376">
      <c r="A376" s="2" t="inlineStr">
        <is>
          <t>Salvador</t>
        </is>
      </c>
      <c r="B376" s="16" t="inlineStr">
        <is>
          <t>Cardápio</t>
        </is>
      </c>
      <c r="C376" s="2" t="inlineStr">
        <is>
          <t>cesta_baixa</t>
        </is>
      </c>
      <c r="D376" s="2" t="inlineStr">
        <is>
          <t>Cesta por pessoa, nível baixo (P25)</t>
        </is>
      </c>
      <c r="E376" s="5">
        <f>COUNTIFS(dados!$C$2:$C$55,$A376,dados!$AC$2:$AC$55,"&lt;&gt;")</f>
        <v/>
      </c>
      <c r="F376" s="7">
        <f>IFERROR(AVERAGEIFS(dados!$AC$2:$AC$55,dados!$C$2:$C$55,$A376),"")</f>
        <v/>
      </c>
      <c r="G376" s="7">
        <f t="array" ref="G376">IFERROR(MEDIAN(IF((dados!$C$2:$C$55=$A376)*(dados!$AC$2:$AC$55&lt;&gt;""),dados!$AC$2:$AC$55)),"")</f>
        <v/>
      </c>
      <c r="H376" s="7">
        <f t="array" ref="H376">IFERROR(STDEV(IF((dados!$C$2:$C$55=$A376)*(dados!$AC$2:$AC$55&lt;&gt;""),dados!$AC$2:$AC$55)),"")</f>
        <v/>
      </c>
      <c r="I376" s="7">
        <f>IF(COUNTIFS(dados!$C$2:$C$55,$A376,dados!$AC$2:$AC$55,"&lt;&gt;")=0,"",_xlfn.MINIFS(dados!$AC$2:$AC$55,dados!$C$2:$C$55,$A376))</f>
        <v/>
      </c>
      <c r="J376" s="7">
        <f>IF(COUNTIFS(dados!$C$2:$C$55,$A376,dados!$AC$2:$AC$55,"&lt;&gt;")=0,"",_xlfn.MAXIFS(dados!$AC$2:$AC$55,dados!$C$2:$C$55,$A376))</f>
        <v/>
      </c>
      <c r="K376" s="7">
        <f>IFERROR(J376-I376,"")</f>
        <v/>
      </c>
    </row>
    <row r="377">
      <c r="A377" s="2" t="inlineStr">
        <is>
          <t>Salvador</t>
        </is>
      </c>
      <c r="B377" s="16" t="inlineStr">
        <is>
          <t>Cardápio</t>
        </is>
      </c>
      <c r="C377" s="2" t="inlineStr">
        <is>
          <t>cesta_mediana</t>
        </is>
      </c>
      <c r="D377" s="2" t="inlineStr">
        <is>
          <t>Cesta por pessoa, nível mediano</t>
        </is>
      </c>
      <c r="E377" s="5">
        <f>COUNTIFS(dados!$C$2:$C$55,$A377,dados!$AD$2:$AD$55,"&lt;&gt;")</f>
        <v/>
      </c>
      <c r="F377" s="7">
        <f>IFERROR(AVERAGEIFS(dados!$AD$2:$AD$55,dados!$C$2:$C$55,$A377),"")</f>
        <v/>
      </c>
      <c r="G377" s="7">
        <f t="array" ref="G377">IFERROR(MEDIAN(IF((dados!$C$2:$C$55=$A377)*(dados!$AD$2:$AD$55&lt;&gt;""),dados!$AD$2:$AD$55)),"")</f>
        <v/>
      </c>
      <c r="H377" s="7">
        <f t="array" ref="H377">IFERROR(STDEV(IF((dados!$C$2:$C$55=$A377)*(dados!$AD$2:$AD$55&lt;&gt;""),dados!$AD$2:$AD$55)),"")</f>
        <v/>
      </c>
      <c r="I377" s="7">
        <f>IF(COUNTIFS(dados!$C$2:$C$55,$A377,dados!$AD$2:$AD$55,"&lt;&gt;")=0,"",_xlfn.MINIFS(dados!$AD$2:$AD$55,dados!$C$2:$C$55,$A377))</f>
        <v/>
      </c>
      <c r="J377" s="7">
        <f>IF(COUNTIFS(dados!$C$2:$C$55,$A377,dados!$AD$2:$AD$55,"&lt;&gt;")=0,"",_xlfn.MAXIFS(dados!$AD$2:$AD$55,dados!$C$2:$C$55,$A377))</f>
        <v/>
      </c>
      <c r="K377" s="7">
        <f>IFERROR(J377-I377,"")</f>
        <v/>
      </c>
    </row>
    <row r="378">
      <c r="A378" s="2" t="inlineStr">
        <is>
          <t>Salvador</t>
        </is>
      </c>
      <c r="B378" s="16" t="inlineStr">
        <is>
          <t>Cardápio</t>
        </is>
      </c>
      <c r="C378" s="2" t="inlineStr">
        <is>
          <t>cesta_alta</t>
        </is>
      </c>
      <c r="D378" s="2" t="inlineStr">
        <is>
          <t>Cesta por pessoa, nível alto (P75)</t>
        </is>
      </c>
      <c r="E378" s="5">
        <f>COUNTIFS(dados!$C$2:$C$55,$A378,dados!$AE$2:$AE$55,"&lt;&gt;")</f>
        <v/>
      </c>
      <c r="F378" s="7">
        <f>IFERROR(AVERAGEIFS(dados!$AE$2:$AE$55,dados!$C$2:$C$55,$A378),"")</f>
        <v/>
      </c>
      <c r="G378" s="7">
        <f t="array" ref="G378">IFERROR(MEDIAN(IF((dados!$C$2:$C$55=$A378)*(dados!$AE$2:$AE$55&lt;&gt;""),dados!$AE$2:$AE$55)),"")</f>
        <v/>
      </c>
      <c r="H378" s="7">
        <f t="array" ref="H378">IFERROR(STDEV(IF((dados!$C$2:$C$55=$A378)*(dados!$AE$2:$AE$55&lt;&gt;""),dados!$AE$2:$AE$55)),"")</f>
        <v/>
      </c>
      <c r="I378" s="7">
        <f>IF(COUNTIFS(dados!$C$2:$C$55,$A378,dados!$AE$2:$AE$55,"&lt;&gt;")=0,"",_xlfn.MINIFS(dados!$AE$2:$AE$55,dados!$C$2:$C$55,$A378))</f>
        <v/>
      </c>
      <c r="J378" s="7">
        <f>IF(COUNTIFS(dados!$C$2:$C$55,$A378,dados!$AE$2:$AE$55,"&lt;&gt;")=0,"",_xlfn.MAXIFS(dados!$AE$2:$AE$55,dados!$C$2:$C$55,$A378))</f>
        <v/>
      </c>
      <c r="K378" s="7">
        <f>IFERROR(J378-I378,"")</f>
        <v/>
      </c>
    </row>
    <row r="379">
      <c r="A379" s="2" t="inlineStr">
        <is>
          <t>Salvador</t>
        </is>
      </c>
      <c r="B379" s="16" t="inlineStr">
        <is>
          <t>Cardápio</t>
        </is>
      </c>
      <c r="C379" s="2" t="inlineStr">
        <is>
          <t>hamburguer_mediana</t>
        </is>
      </c>
      <c r="D379" s="2" t="inlineStr">
        <is>
          <t>Hambúrguer, mediana</t>
        </is>
      </c>
      <c r="E379" s="5">
        <f>COUNTIFS(dados!$C$2:$C$55,$A379,dados!$AF$2:$AF$55,"&lt;&gt;")</f>
        <v/>
      </c>
      <c r="F379" s="7">
        <f>IFERROR(AVERAGEIFS(dados!$AF$2:$AF$55,dados!$C$2:$C$55,$A379),"")</f>
        <v/>
      </c>
      <c r="G379" s="7">
        <f t="array" ref="G379">IFERROR(MEDIAN(IF((dados!$C$2:$C$55=$A379)*(dados!$AF$2:$AF$55&lt;&gt;""),dados!$AF$2:$AF$55)),"")</f>
        <v/>
      </c>
      <c r="H379" s="7">
        <f t="array" ref="H379">IFERROR(STDEV(IF((dados!$C$2:$C$55=$A379)*(dados!$AF$2:$AF$55&lt;&gt;""),dados!$AF$2:$AF$55)),"")</f>
        <v/>
      </c>
      <c r="I379" s="7">
        <f>IF(COUNTIFS(dados!$C$2:$C$55,$A379,dados!$AF$2:$AF$55,"&lt;&gt;")=0,"",_xlfn.MINIFS(dados!$AF$2:$AF$55,dados!$C$2:$C$55,$A379))</f>
        <v/>
      </c>
      <c r="J379" s="7">
        <f>IF(COUNTIFS(dados!$C$2:$C$55,$A379,dados!$AF$2:$AF$55,"&lt;&gt;")=0,"",_xlfn.MAXIFS(dados!$AF$2:$AF$55,dados!$C$2:$C$55,$A379))</f>
        <v/>
      </c>
      <c r="K379" s="7">
        <f>IFERROR(J379-I379,"")</f>
        <v/>
      </c>
    </row>
    <row r="380">
      <c r="A380" s="2" t="inlineStr">
        <is>
          <t>Salvador</t>
        </is>
      </c>
      <c r="B380" s="16" t="inlineStr">
        <is>
          <t>Cardápio</t>
        </is>
      </c>
      <c r="C380" s="2" t="inlineStr">
        <is>
          <t>batata_mediana</t>
        </is>
      </c>
      <c r="D380" s="2" t="inlineStr">
        <is>
          <t>Batata, mediana</t>
        </is>
      </c>
      <c r="E380" s="5">
        <f>COUNTIFS(dados!$C$2:$C$55,$A380,dados!$AG$2:$AG$55,"&lt;&gt;")</f>
        <v/>
      </c>
      <c r="F380" s="7">
        <f>IFERROR(AVERAGEIFS(dados!$AG$2:$AG$55,dados!$C$2:$C$55,$A380),"")</f>
        <v/>
      </c>
      <c r="G380" s="7">
        <f t="array" ref="G380">IFERROR(MEDIAN(IF((dados!$C$2:$C$55=$A380)*(dados!$AG$2:$AG$55&lt;&gt;""),dados!$AG$2:$AG$55)),"")</f>
        <v/>
      </c>
      <c r="H380" s="7">
        <f t="array" ref="H380">IFERROR(STDEV(IF((dados!$C$2:$C$55=$A380)*(dados!$AG$2:$AG$55&lt;&gt;""),dados!$AG$2:$AG$55)),"")</f>
        <v/>
      </c>
      <c r="I380" s="7">
        <f>IF(COUNTIFS(dados!$C$2:$C$55,$A380,dados!$AG$2:$AG$55,"&lt;&gt;")=0,"",_xlfn.MINIFS(dados!$AG$2:$AG$55,dados!$C$2:$C$55,$A380))</f>
        <v/>
      </c>
      <c r="J380" s="7">
        <f>IF(COUNTIFS(dados!$C$2:$C$55,$A380,dados!$AG$2:$AG$55,"&lt;&gt;")=0,"",_xlfn.MAXIFS(dados!$AG$2:$AG$55,dados!$C$2:$C$55,$A380))</f>
        <v/>
      </c>
      <c r="K380" s="7">
        <f>IFERROR(J380-I380,"")</f>
        <v/>
      </c>
    </row>
    <row r="381">
      <c r="A381" s="2" t="inlineStr">
        <is>
          <t>Salvador</t>
        </is>
      </c>
      <c r="B381" s="16" t="inlineStr">
        <is>
          <t>Cardápio</t>
        </is>
      </c>
      <c r="C381" s="2" t="inlineStr">
        <is>
          <t>cerveja_mediana</t>
        </is>
      </c>
      <c r="D381" s="2" t="inlineStr">
        <is>
          <t>Cerveja, mediana</t>
        </is>
      </c>
      <c r="E381" s="5">
        <f>COUNTIFS(dados!$C$2:$C$55,$A381,dados!$AH$2:$AH$55,"&lt;&gt;")</f>
        <v/>
      </c>
      <c r="F381" s="7">
        <f>IFERROR(AVERAGEIFS(dados!$AH$2:$AH$55,dados!$C$2:$C$55,$A381),"")</f>
        <v/>
      </c>
      <c r="G381" s="7">
        <f t="array" ref="G381">IFERROR(MEDIAN(IF((dados!$C$2:$C$55=$A381)*(dados!$AH$2:$AH$55&lt;&gt;""),dados!$AH$2:$AH$55)),"")</f>
        <v/>
      </c>
      <c r="H381" s="7">
        <f t="array" ref="H381">IFERROR(STDEV(IF((dados!$C$2:$C$55=$A381)*(dados!$AH$2:$AH$55&lt;&gt;""),dados!$AH$2:$AH$55)),"")</f>
        <v/>
      </c>
      <c r="I381" s="7">
        <f>IF(COUNTIFS(dados!$C$2:$C$55,$A381,dados!$AH$2:$AH$55,"&lt;&gt;")=0,"",_xlfn.MINIFS(dados!$AH$2:$AH$55,dados!$C$2:$C$55,$A381))</f>
        <v/>
      </c>
      <c r="J381" s="7">
        <f>IF(COUNTIFS(dados!$C$2:$C$55,$A381,dados!$AH$2:$AH$55,"&lt;&gt;")=0,"",_xlfn.MAXIFS(dados!$AH$2:$AH$55,dados!$C$2:$C$55,$A381))</f>
        <v/>
      </c>
      <c r="K381" s="7">
        <f>IFERROR(J381-I381,"")</f>
        <v/>
      </c>
    </row>
    <row r="382">
      <c r="A382" s="2" t="inlineStr">
        <is>
          <t>Salvador</t>
        </is>
      </c>
      <c r="B382" s="16" t="inlineStr">
        <is>
          <t>Cardápio</t>
        </is>
      </c>
      <c r="C382" s="2" t="inlineStr">
        <is>
          <t>refrigerante_mediana</t>
        </is>
      </c>
      <c r="D382" s="2" t="inlineStr">
        <is>
          <t>Refrigerante, mediana</t>
        </is>
      </c>
      <c r="E382" s="5">
        <f>COUNTIFS(dados!$C$2:$C$55,$A382,dados!$AI$2:$AI$55,"&lt;&gt;")</f>
        <v/>
      </c>
      <c r="F382" s="7">
        <f>IFERROR(AVERAGEIFS(dados!$AI$2:$AI$55,dados!$C$2:$C$55,$A382),"")</f>
        <v/>
      </c>
      <c r="G382" s="7">
        <f t="array" ref="G382">IFERROR(MEDIAN(IF((dados!$C$2:$C$55=$A382)*(dados!$AI$2:$AI$55&lt;&gt;""),dados!$AI$2:$AI$55)),"")</f>
        <v/>
      </c>
      <c r="H382" s="7">
        <f t="array" ref="H382">IFERROR(STDEV(IF((dados!$C$2:$C$55=$A382)*(dados!$AI$2:$AI$55&lt;&gt;""),dados!$AI$2:$AI$55)),"")</f>
        <v/>
      </c>
      <c r="I382" s="7">
        <f>IF(COUNTIFS(dados!$C$2:$C$55,$A382,dados!$AI$2:$AI$55,"&lt;&gt;")=0,"",_xlfn.MINIFS(dados!$AI$2:$AI$55,dados!$C$2:$C$55,$A382))</f>
        <v/>
      </c>
      <c r="J382" s="7">
        <f>IF(COUNTIFS(dados!$C$2:$C$55,$A382,dados!$AI$2:$AI$55,"&lt;&gt;")=0,"",_xlfn.MAXIFS(dados!$AI$2:$AI$55,dados!$C$2:$C$55,$A382))</f>
        <v/>
      </c>
      <c r="K382" s="7">
        <f>IFERROR(J382-I382,"")</f>
        <v/>
      </c>
    </row>
    <row r="383">
      <c r="A383" s="2" t="inlineStr">
        <is>
          <t>Salvador</t>
        </is>
      </c>
      <c r="B383" s="16" t="inlineStr">
        <is>
          <t>Cardápio</t>
        </is>
      </c>
      <c r="C383" s="2" t="inlineStr">
        <is>
          <t>drinks_mediana</t>
        </is>
      </c>
      <c r="D383" s="2" t="inlineStr">
        <is>
          <t>Drinks, mediana</t>
        </is>
      </c>
      <c r="E383" s="5">
        <f>COUNTIFS(dados!$C$2:$C$55,$A383,dados!$AJ$2:$AJ$55,"&lt;&gt;")</f>
        <v/>
      </c>
      <c r="F383" s="7">
        <f>IFERROR(AVERAGEIFS(dados!$AJ$2:$AJ$55,dados!$C$2:$C$55,$A383),"")</f>
        <v/>
      </c>
      <c r="G383" s="7">
        <f t="array" ref="G383">IFERROR(MEDIAN(IF((dados!$C$2:$C$55=$A383)*(dados!$AJ$2:$AJ$55&lt;&gt;""),dados!$AJ$2:$AJ$55)),"")</f>
        <v/>
      </c>
      <c r="H383" s="7">
        <f t="array" ref="H383">IFERROR(STDEV(IF((dados!$C$2:$C$55=$A383)*(dados!$AJ$2:$AJ$55&lt;&gt;""),dados!$AJ$2:$AJ$55)),"")</f>
        <v/>
      </c>
      <c r="I383" s="7">
        <f>IF(COUNTIFS(dados!$C$2:$C$55,$A383,dados!$AJ$2:$AJ$55,"&lt;&gt;")=0,"",_xlfn.MINIFS(dados!$AJ$2:$AJ$55,dados!$C$2:$C$55,$A383))</f>
        <v/>
      </c>
      <c r="J383" s="7">
        <f>IF(COUNTIFS(dados!$C$2:$C$55,$A383,dados!$AJ$2:$AJ$55,"&lt;&gt;")=0,"",_xlfn.MAXIFS(dados!$AJ$2:$AJ$55,dados!$C$2:$C$55,$A383))</f>
        <v/>
      </c>
      <c r="K383" s="7">
        <f>IFERROR(J383-I383,"")</f>
        <v/>
      </c>
    </row>
    <row r="384">
      <c r="A384" s="2" t="inlineStr">
        <is>
          <t>Salvador</t>
        </is>
      </c>
      <c r="B384" s="17" t="inlineStr">
        <is>
          <t>Acervo</t>
        </is>
      </c>
      <c r="C384" s="2" t="inlineStr">
        <is>
          <t>titulos_acervo</t>
        </is>
      </c>
      <c r="D384" s="2" t="inlineStr">
        <is>
          <t>Títulos no acervo publicado</t>
        </is>
      </c>
      <c r="E384" s="5">
        <f>COUNTIFS(dados!$C$2:$C$55,$A384,dados!$AK$2:$AK$55,"&lt;&gt;")</f>
        <v/>
      </c>
      <c r="F384" s="5">
        <f>IFERROR(AVERAGEIFS(dados!$AK$2:$AK$55,dados!$C$2:$C$55,$A384),"")</f>
        <v/>
      </c>
      <c r="G384" s="5">
        <f t="array" ref="G384">IFERROR(MEDIAN(IF((dados!$C$2:$C$55=$A384)*(dados!$AK$2:$AK$55&lt;&gt;""),dados!$AK$2:$AK$55)),"")</f>
        <v/>
      </c>
      <c r="H384" s="5">
        <f t="array" ref="H384">IFERROR(STDEV(IF((dados!$C$2:$C$55=$A384)*(dados!$AK$2:$AK$55&lt;&gt;""),dados!$AK$2:$AK$55)),"")</f>
        <v/>
      </c>
      <c r="I384" s="5">
        <f>IF(COUNTIFS(dados!$C$2:$C$55,$A384,dados!$AK$2:$AK$55,"&lt;&gt;")=0,"",_xlfn.MINIFS(dados!$AK$2:$AK$55,dados!$C$2:$C$55,$A384))</f>
        <v/>
      </c>
      <c r="J384" s="5">
        <f>IF(COUNTIFS(dados!$C$2:$C$55,$A384,dados!$AK$2:$AK$55,"&lt;&gt;")=0,"",_xlfn.MAXIFS(dados!$AK$2:$AK$55,dados!$C$2:$C$55,$A384))</f>
        <v/>
      </c>
      <c r="K384" s="5">
        <f>IFERROR(J384-I384,"")</f>
        <v/>
      </c>
    </row>
    <row r="385">
      <c r="A385" s="2" t="inlineStr">
        <is>
          <t>Salvador</t>
        </is>
      </c>
      <c r="B385" s="18" t="inlineStr">
        <is>
          <t>B2</t>
        </is>
      </c>
      <c r="C385" s="2" t="inlineStr">
        <is>
          <t>avaliacoes_b2</t>
        </is>
      </c>
      <c r="D385" s="2" t="inlineStr">
        <is>
          <t>Avaliações no recorte do B2 (até '3 meses atrás')</t>
        </is>
      </c>
      <c r="E385" s="5">
        <f>COUNTIFS(dados!$C$2:$C$55,$A385,dados!$AL$2:$AL$55,"&lt;&gt;")</f>
        <v/>
      </c>
      <c r="F385" s="5">
        <f>IFERROR(AVERAGEIFS(dados!$AL$2:$AL$55,dados!$C$2:$C$55,$A385),"")</f>
        <v/>
      </c>
      <c r="G385" s="5">
        <f t="array" ref="G385">IFERROR(MEDIAN(IF((dados!$C$2:$C$55=$A385)*(dados!$AL$2:$AL$55&lt;&gt;""),dados!$AL$2:$AL$55)),"")</f>
        <v/>
      </c>
      <c r="H385" s="5">
        <f t="array" ref="H385">IFERROR(STDEV(IF((dados!$C$2:$C$55=$A385)*(dados!$AL$2:$AL$55&lt;&gt;""),dados!$AL$2:$AL$55)),"")</f>
        <v/>
      </c>
      <c r="I385" s="5">
        <f>IF(COUNTIFS(dados!$C$2:$C$55,$A385,dados!$AL$2:$AL$55,"&lt;&gt;")=0,"",_xlfn.MINIFS(dados!$AL$2:$AL$55,dados!$C$2:$C$55,$A385))</f>
        <v/>
      </c>
      <c r="J385" s="5">
        <f>IF(COUNTIFS(dados!$C$2:$C$55,$A385,dados!$AL$2:$AL$55,"&lt;&gt;")=0,"",_xlfn.MAXIFS(dados!$AL$2:$AL$55,dados!$C$2:$C$55,$A385))</f>
        <v/>
      </c>
      <c r="K385" s="5">
        <f>IFERROR(J385-I385,"")</f>
        <v/>
      </c>
    </row>
    <row r="386">
      <c r="A386" s="2" t="inlineStr">
        <is>
          <t>Salvador</t>
        </is>
      </c>
      <c r="B386" s="18" t="inlineStr">
        <is>
          <t>B2</t>
        </is>
      </c>
      <c r="C386" s="2" t="inlineStr">
        <is>
          <t>avaliacoes_b2_com_texto</t>
        </is>
      </c>
      <c r="D386" s="2" t="inlineStr">
        <is>
          <t>Dessas, com texto</t>
        </is>
      </c>
      <c r="E386" s="5">
        <f>COUNTIFS(dados!$C$2:$C$55,$A386,dados!$AM$2:$AM$55,"&lt;&gt;")</f>
        <v/>
      </c>
      <c r="F386" s="5">
        <f>IFERROR(AVERAGEIFS(dados!$AM$2:$AM$55,dados!$C$2:$C$55,$A386),"")</f>
        <v/>
      </c>
      <c r="G386" s="5">
        <f t="array" ref="G386">IFERROR(MEDIAN(IF((dados!$C$2:$C$55=$A386)*(dados!$AM$2:$AM$55&lt;&gt;""),dados!$AM$2:$AM$55)),"")</f>
        <v/>
      </c>
      <c r="H386" s="5">
        <f t="array" ref="H386">IFERROR(STDEV(IF((dados!$C$2:$C$55=$A386)*(dados!$AM$2:$AM$55&lt;&gt;""),dados!$AM$2:$AM$55)),"")</f>
        <v/>
      </c>
      <c r="I386" s="5">
        <f>IF(COUNTIFS(dados!$C$2:$C$55,$A386,dados!$AM$2:$AM$55,"&lt;&gt;")=0,"",_xlfn.MINIFS(dados!$AM$2:$AM$55,dados!$C$2:$C$55,$A386))</f>
        <v/>
      </c>
      <c r="J386" s="5">
        <f>IF(COUNTIFS(dados!$C$2:$C$55,$A386,dados!$AM$2:$AM$55,"&lt;&gt;")=0,"",_xlfn.MAXIFS(dados!$AM$2:$AM$55,dados!$C$2:$C$55,$A386))</f>
        <v/>
      </c>
      <c r="K386" s="5">
        <f>IFERROR(J386-I386,"")</f>
        <v/>
      </c>
    </row>
    <row r="387">
      <c r="A387" s="2" t="inlineStr">
        <is>
          <t>São Paulo</t>
        </is>
      </c>
      <c r="B387" s="11" t="inlineStr">
        <is>
          <t>Google Maps</t>
        </is>
      </c>
      <c r="C387" s="2" t="inlineStr">
        <is>
          <t>avaliacao_media</t>
        </is>
      </c>
      <c r="D387" s="2" t="inlineStr">
        <is>
          <t>Nota média no Google</t>
        </is>
      </c>
      <c r="E387" s="5">
        <f>COUNTIFS(dados!$C$2:$C$55,$A387,dados!$E$2:$E$55,"&lt;&gt;")</f>
        <v/>
      </c>
      <c r="F387" s="4">
        <f>IFERROR(AVERAGEIFS(dados!$E$2:$E$55,dados!$C$2:$C$55,$A387),"")</f>
        <v/>
      </c>
      <c r="G387" s="4">
        <f t="array" ref="G387">IFERROR(MEDIAN(IF((dados!$C$2:$C$55=$A387)*(dados!$E$2:$E$55&lt;&gt;""),dados!$E$2:$E$55)),"")</f>
        <v/>
      </c>
      <c r="H387" s="4">
        <f t="array" ref="H387">IFERROR(STDEV(IF((dados!$C$2:$C$55=$A387)*(dados!$E$2:$E$55&lt;&gt;""),dados!$E$2:$E$55)),"")</f>
        <v/>
      </c>
      <c r="I387" s="4">
        <f>IF(COUNTIFS(dados!$C$2:$C$55,$A387,dados!$E$2:$E$55,"&lt;&gt;")=0,"",_xlfn.MINIFS(dados!$E$2:$E$55,dados!$C$2:$C$55,$A387))</f>
        <v/>
      </c>
      <c r="J387" s="4">
        <f>IF(COUNTIFS(dados!$C$2:$C$55,$A387,dados!$E$2:$E$55,"&lt;&gt;")=0,"",_xlfn.MAXIFS(dados!$E$2:$E$55,dados!$C$2:$C$55,$A387))</f>
        <v/>
      </c>
      <c r="K387" s="4">
        <f>IFERROR(J387-I387,"")</f>
        <v/>
      </c>
    </row>
    <row r="388">
      <c r="A388" s="2" t="inlineStr">
        <is>
          <t>São Paulo</t>
        </is>
      </c>
      <c r="B388" s="11" t="inlineStr">
        <is>
          <t>Google Maps</t>
        </is>
      </c>
      <c r="C388" s="2" t="inlineStr">
        <is>
          <t>volume_avaliacoes</t>
        </is>
      </c>
      <c r="D388" s="2" t="inlineStr">
        <is>
          <t>Nº de avaliações no Google</t>
        </is>
      </c>
      <c r="E388" s="5">
        <f>COUNTIFS(dados!$C$2:$C$55,$A388,dados!$F$2:$F$55,"&lt;&gt;")</f>
        <v/>
      </c>
      <c r="F388" s="5">
        <f>IFERROR(AVERAGEIFS(dados!$F$2:$F$55,dados!$C$2:$C$55,$A388),"")</f>
        <v/>
      </c>
      <c r="G388" s="5">
        <f t="array" ref="G388">IFERROR(MEDIAN(IF((dados!$C$2:$C$55=$A388)*(dados!$F$2:$F$55&lt;&gt;""),dados!$F$2:$F$55)),"")</f>
        <v/>
      </c>
      <c r="H388" s="5">
        <f t="array" ref="H388">IFERROR(STDEV(IF((dados!$C$2:$C$55=$A388)*(dados!$F$2:$F$55&lt;&gt;""),dados!$F$2:$F$55)),"")</f>
        <v/>
      </c>
      <c r="I388" s="5">
        <f>IF(COUNTIFS(dados!$C$2:$C$55,$A388,dados!$F$2:$F$55,"&lt;&gt;")=0,"",_xlfn.MINIFS(dados!$F$2:$F$55,dados!$C$2:$C$55,$A388))</f>
        <v/>
      </c>
      <c r="J388" s="5">
        <f>IF(COUNTIFS(dados!$C$2:$C$55,$A388,dados!$F$2:$F$55,"&lt;&gt;")=0,"",_xlfn.MAXIFS(dados!$F$2:$F$55,dados!$C$2:$C$55,$A388))</f>
        <v/>
      </c>
      <c r="K388" s="5">
        <f>IFERROR(J388-I388,"")</f>
        <v/>
      </c>
    </row>
    <row r="389">
      <c r="A389" s="2" t="inlineStr">
        <is>
          <t>São Paulo</t>
        </is>
      </c>
      <c r="B389" s="12" t="inlineStr">
        <is>
          <t>Horários</t>
        </is>
      </c>
      <c r="C389" s="2" t="inlineStr">
        <is>
          <t>dias_abertos</t>
        </is>
      </c>
      <c r="D389" s="2" t="inlineStr">
        <is>
          <t>Dias abertos por semana</t>
        </is>
      </c>
      <c r="E389" s="5">
        <f>COUNTIFS(dados!$C$2:$C$55,$A389,dados!$G$2:$G$55,"&lt;&gt;")</f>
        <v/>
      </c>
      <c r="F389" s="6">
        <f>IFERROR(AVERAGEIFS(dados!$G$2:$G$55,dados!$C$2:$C$55,$A389),"")</f>
        <v/>
      </c>
      <c r="G389" s="6">
        <f t="array" ref="G389">IFERROR(MEDIAN(IF((dados!$C$2:$C$55=$A389)*(dados!$G$2:$G$55&lt;&gt;""),dados!$G$2:$G$55)),"")</f>
        <v/>
      </c>
      <c r="H389" s="6">
        <f t="array" ref="H389">IFERROR(STDEV(IF((dados!$C$2:$C$55=$A389)*(dados!$G$2:$G$55&lt;&gt;""),dados!$G$2:$G$55)),"")</f>
        <v/>
      </c>
      <c r="I389" s="6">
        <f>IF(COUNTIFS(dados!$C$2:$C$55,$A389,dados!$G$2:$G$55,"&lt;&gt;")=0,"",_xlfn.MINIFS(dados!$G$2:$G$55,dados!$C$2:$C$55,$A389))</f>
        <v/>
      </c>
      <c r="J389" s="6">
        <f>IF(COUNTIFS(dados!$C$2:$C$55,$A389,dados!$G$2:$G$55,"&lt;&gt;")=0,"",_xlfn.MAXIFS(dados!$G$2:$G$55,dados!$C$2:$C$55,$A389))</f>
        <v/>
      </c>
      <c r="K389" s="6">
        <f>IFERROR(J389-I389,"")</f>
        <v/>
      </c>
    </row>
    <row r="390">
      <c r="A390" s="2" t="inlineStr">
        <is>
          <t>São Paulo</t>
        </is>
      </c>
      <c r="B390" s="12" t="inlineStr">
        <is>
          <t>Horários</t>
        </is>
      </c>
      <c r="C390" s="2" t="inlineStr">
        <is>
          <t>horas_semana</t>
        </is>
      </c>
      <c r="D390" s="2" t="inlineStr">
        <is>
          <t>Horas abertas por semana</t>
        </is>
      </c>
      <c r="E390" s="5">
        <f>COUNTIFS(dados!$C$2:$C$55,$A390,dados!$H$2:$H$55,"&lt;&gt;")</f>
        <v/>
      </c>
      <c r="F390" s="6">
        <f>IFERROR(AVERAGEIFS(dados!$H$2:$H$55,dados!$C$2:$C$55,$A390),"")</f>
        <v/>
      </c>
      <c r="G390" s="6">
        <f t="array" ref="G390">IFERROR(MEDIAN(IF((dados!$C$2:$C$55=$A390)*(dados!$H$2:$H$55&lt;&gt;""),dados!$H$2:$H$55)),"")</f>
        <v/>
      </c>
      <c r="H390" s="6">
        <f t="array" ref="H390">IFERROR(STDEV(IF((dados!$C$2:$C$55=$A390)*(dados!$H$2:$H$55&lt;&gt;""),dados!$H$2:$H$55)),"")</f>
        <v/>
      </c>
      <c r="I390" s="6">
        <f>IF(COUNTIFS(dados!$C$2:$C$55,$A390,dados!$H$2:$H$55,"&lt;&gt;")=0,"",_xlfn.MINIFS(dados!$H$2:$H$55,dados!$C$2:$C$55,$A390))</f>
        <v/>
      </c>
      <c r="J390" s="6">
        <f>IF(COUNTIFS(dados!$C$2:$C$55,$A390,dados!$H$2:$H$55,"&lt;&gt;")=0,"",_xlfn.MAXIFS(dados!$H$2:$H$55,dados!$C$2:$C$55,$A390))</f>
        <v/>
      </c>
      <c r="K390" s="6">
        <f>IFERROR(J390-I390,"")</f>
        <v/>
      </c>
    </row>
    <row r="391">
      <c r="A391" s="2" t="inlineStr">
        <is>
          <t>São Paulo</t>
        </is>
      </c>
      <c r="B391" s="12" t="inlineStr">
        <is>
          <t>Horários</t>
        </is>
      </c>
      <c r="C391" s="2" t="inlineStr">
        <is>
          <t>abre_cedo_h</t>
        </is>
      </c>
      <c r="D391" s="2" t="inlineStr">
        <is>
          <t>Abertura mais cedo da semana</t>
        </is>
      </c>
      <c r="E391" s="5">
        <f>COUNTIFS(dados!$C$2:$C$55,$A391,dados!$I$2:$I$55,"&lt;&gt;")</f>
        <v/>
      </c>
      <c r="F391" s="6">
        <f>IFERROR(AVERAGEIFS(dados!$I$2:$I$55,dados!$C$2:$C$55,$A391),"")</f>
        <v/>
      </c>
      <c r="G391" s="6">
        <f t="array" ref="G391">IFERROR(MEDIAN(IF((dados!$C$2:$C$55=$A391)*(dados!$I$2:$I$55&lt;&gt;""),dados!$I$2:$I$55)),"")</f>
        <v/>
      </c>
      <c r="H391" s="6">
        <f t="array" ref="H391">IFERROR(STDEV(IF((dados!$C$2:$C$55=$A391)*(dados!$I$2:$I$55&lt;&gt;""),dados!$I$2:$I$55)),"")</f>
        <v/>
      </c>
      <c r="I391" s="6">
        <f>IF(COUNTIFS(dados!$C$2:$C$55,$A391,dados!$I$2:$I$55,"&lt;&gt;")=0,"",_xlfn.MINIFS(dados!$I$2:$I$55,dados!$C$2:$C$55,$A391))</f>
        <v/>
      </c>
      <c r="J391" s="6">
        <f>IF(COUNTIFS(dados!$C$2:$C$55,$A391,dados!$I$2:$I$55,"&lt;&gt;")=0,"",_xlfn.MAXIFS(dados!$I$2:$I$55,dados!$C$2:$C$55,$A391))</f>
        <v/>
      </c>
      <c r="K391" s="6">
        <f>IFERROR(J391-I391,"")</f>
        <v/>
      </c>
    </row>
    <row r="392">
      <c r="A392" s="2" t="inlineStr">
        <is>
          <t>São Paulo</t>
        </is>
      </c>
      <c r="B392" s="12" t="inlineStr">
        <is>
          <t>Horários</t>
        </is>
      </c>
      <c r="C392" s="2" t="inlineStr">
        <is>
          <t>fecha_tarde_h</t>
        </is>
      </c>
      <c r="D392" s="2" t="inlineStr">
        <is>
          <t>Fechamento mais tarde da semana (25 = 1h da manhã)</t>
        </is>
      </c>
      <c r="E392" s="5">
        <f>COUNTIFS(dados!$C$2:$C$55,$A392,dados!$J$2:$J$55,"&lt;&gt;")</f>
        <v/>
      </c>
      <c r="F392" s="6">
        <f>IFERROR(AVERAGEIFS(dados!$J$2:$J$55,dados!$C$2:$C$55,$A392),"")</f>
        <v/>
      </c>
      <c r="G392" s="6">
        <f t="array" ref="G392">IFERROR(MEDIAN(IF((dados!$C$2:$C$55=$A392)*(dados!$J$2:$J$55&lt;&gt;""),dados!$J$2:$J$55)),"")</f>
        <v/>
      </c>
      <c r="H392" s="6">
        <f t="array" ref="H392">IFERROR(STDEV(IF((dados!$C$2:$C$55=$A392)*(dados!$J$2:$J$55&lt;&gt;""),dados!$J$2:$J$55)),"")</f>
        <v/>
      </c>
      <c r="I392" s="6">
        <f>IF(COUNTIFS(dados!$C$2:$C$55,$A392,dados!$J$2:$J$55,"&lt;&gt;")=0,"",_xlfn.MINIFS(dados!$J$2:$J$55,dados!$C$2:$C$55,$A392))</f>
        <v/>
      </c>
      <c r="J392" s="6">
        <f>IF(COUNTIFS(dados!$C$2:$C$55,$A392,dados!$J$2:$J$55,"&lt;&gt;")=0,"",_xlfn.MAXIFS(dados!$J$2:$J$55,dados!$C$2:$C$55,$A392))</f>
        <v/>
      </c>
      <c r="K392" s="6">
        <f>IFERROR(J392-I392,"")</f>
        <v/>
      </c>
    </row>
    <row r="393">
      <c r="A393" s="2" t="inlineStr">
        <is>
          <t>São Paulo</t>
        </is>
      </c>
      <c r="B393" s="13" t="inlineStr">
        <is>
          <t>Entorno</t>
        </is>
      </c>
      <c r="C393" s="2" t="inlineStr">
        <is>
          <t>metro_500m</t>
        </is>
      </c>
      <c r="D393" s="2" t="inlineStr">
        <is>
          <t>Estações de metrô até 500 m</t>
        </is>
      </c>
      <c r="E393" s="5">
        <f>COUNTIFS(dados!$C$2:$C$55,$A393,dados!$K$2:$K$55,"&lt;&gt;")</f>
        <v/>
      </c>
      <c r="F393" s="4">
        <f>IFERROR(AVERAGEIFS(dados!$K$2:$K$55,dados!$C$2:$C$55,$A393),"")</f>
        <v/>
      </c>
      <c r="G393" s="4">
        <f t="array" ref="G393">IFERROR(MEDIAN(IF((dados!$C$2:$C$55=$A393)*(dados!$K$2:$K$55&lt;&gt;""),dados!$K$2:$K$55)),"")</f>
        <v/>
      </c>
      <c r="H393" s="4">
        <f t="array" ref="H393">IFERROR(STDEV(IF((dados!$C$2:$C$55=$A393)*(dados!$K$2:$K$55&lt;&gt;""),dados!$K$2:$K$55)),"")</f>
        <v/>
      </c>
      <c r="I393" s="4">
        <f>IF(COUNTIFS(dados!$C$2:$C$55,$A393,dados!$K$2:$K$55,"&lt;&gt;")=0,"",_xlfn.MINIFS(dados!$K$2:$K$55,dados!$C$2:$C$55,$A393))</f>
        <v/>
      </c>
      <c r="J393" s="4">
        <f>IF(COUNTIFS(dados!$C$2:$C$55,$A393,dados!$K$2:$K$55,"&lt;&gt;")=0,"",_xlfn.MAXIFS(dados!$K$2:$K$55,dados!$C$2:$C$55,$A393))</f>
        <v/>
      </c>
      <c r="K393" s="4">
        <f>IFERROR(J393-I393,"")</f>
        <v/>
      </c>
    </row>
    <row r="394">
      <c r="A394" s="2" t="inlineStr">
        <is>
          <t>São Paulo</t>
        </is>
      </c>
      <c r="B394" s="13" t="inlineStr">
        <is>
          <t>Entorno</t>
        </is>
      </c>
      <c r="C394" s="2" t="inlineStr">
        <is>
          <t>metro_1000m</t>
        </is>
      </c>
      <c r="D394" s="2" t="inlineStr">
        <is>
          <t>Estações de metrô até 1000 m</t>
        </is>
      </c>
      <c r="E394" s="5">
        <f>COUNTIFS(dados!$C$2:$C$55,$A394,dados!$L$2:$L$55,"&lt;&gt;")</f>
        <v/>
      </c>
      <c r="F394" s="4">
        <f>IFERROR(AVERAGEIFS(dados!$L$2:$L$55,dados!$C$2:$C$55,$A394),"")</f>
        <v/>
      </c>
      <c r="G394" s="4">
        <f t="array" ref="G394">IFERROR(MEDIAN(IF((dados!$C$2:$C$55=$A394)*(dados!$L$2:$L$55&lt;&gt;""),dados!$L$2:$L$55)),"")</f>
        <v/>
      </c>
      <c r="H394" s="4">
        <f t="array" ref="H394">IFERROR(STDEV(IF((dados!$C$2:$C$55=$A394)*(dados!$L$2:$L$55&lt;&gt;""),dados!$L$2:$L$55)),"")</f>
        <v/>
      </c>
      <c r="I394" s="4">
        <f>IF(COUNTIFS(dados!$C$2:$C$55,$A394,dados!$L$2:$L$55,"&lt;&gt;")=0,"",_xlfn.MINIFS(dados!$L$2:$L$55,dados!$C$2:$C$55,$A394))</f>
        <v/>
      </c>
      <c r="J394" s="4">
        <f>IF(COUNTIFS(dados!$C$2:$C$55,$A394,dados!$L$2:$L$55,"&lt;&gt;")=0,"",_xlfn.MAXIFS(dados!$L$2:$L$55,dados!$C$2:$C$55,$A394))</f>
        <v/>
      </c>
      <c r="K394" s="4">
        <f>IFERROR(J394-I394,"")</f>
        <v/>
      </c>
    </row>
    <row r="395">
      <c r="A395" s="2" t="inlineStr">
        <is>
          <t>São Paulo</t>
        </is>
      </c>
      <c r="B395" s="13" t="inlineStr">
        <is>
          <t>Entorno</t>
        </is>
      </c>
      <c r="C395" s="2" t="inlineStr">
        <is>
          <t>dist_metro_m</t>
        </is>
      </c>
      <c r="D395" s="2" t="inlineStr">
        <is>
          <t>Distância à estação de metrô mais próxima</t>
        </is>
      </c>
      <c r="E395" s="5">
        <f>COUNTIFS(dados!$C$2:$C$55,$A395,dados!$M$2:$M$55,"&lt;&gt;")</f>
        <v/>
      </c>
      <c r="F395" s="5">
        <f>IFERROR(AVERAGEIFS(dados!$M$2:$M$55,dados!$C$2:$C$55,$A395),"")</f>
        <v/>
      </c>
      <c r="G395" s="5">
        <f t="array" ref="G395">IFERROR(MEDIAN(IF((dados!$C$2:$C$55=$A395)*(dados!$M$2:$M$55&lt;&gt;""),dados!$M$2:$M$55)),"")</f>
        <v/>
      </c>
      <c r="H395" s="5">
        <f t="array" ref="H395">IFERROR(STDEV(IF((dados!$C$2:$C$55=$A395)*(dados!$M$2:$M$55&lt;&gt;""),dados!$M$2:$M$55)),"")</f>
        <v/>
      </c>
      <c r="I395" s="5">
        <f>IF(COUNTIFS(dados!$C$2:$C$55,$A395,dados!$M$2:$M$55,"&lt;&gt;")=0,"",_xlfn.MINIFS(dados!$M$2:$M$55,dados!$C$2:$C$55,$A395))</f>
        <v/>
      </c>
      <c r="J395" s="5">
        <f>IF(COUNTIFS(dados!$C$2:$C$55,$A395,dados!$M$2:$M$55,"&lt;&gt;")=0,"",_xlfn.MAXIFS(dados!$M$2:$M$55,dados!$C$2:$C$55,$A395))</f>
        <v/>
      </c>
      <c r="K395" s="5">
        <f>IFERROR(J395-I395,"")</f>
        <v/>
      </c>
    </row>
    <row r="396">
      <c r="A396" s="2" t="inlineStr">
        <is>
          <t>São Paulo</t>
        </is>
      </c>
      <c r="B396" s="13" t="inlineStr">
        <is>
          <t>Entorno</t>
        </is>
      </c>
      <c r="C396" s="2" t="inlineStr">
        <is>
          <t>shopping_porte_500m</t>
        </is>
      </c>
      <c r="D396" s="2" t="inlineStr">
        <is>
          <t>Shoppings de porte até 500 m (onde o porte foi buscado)</t>
        </is>
      </c>
      <c r="E396" s="5">
        <f>COUNTIFS(dados!$C$2:$C$55,$A396,dados!$N$2:$N$55,"&lt;&gt;")</f>
        <v/>
      </c>
      <c r="F396" s="4">
        <f>IFERROR(AVERAGEIFS(dados!$N$2:$N$55,dados!$C$2:$C$55,$A396),"")</f>
        <v/>
      </c>
      <c r="G396" s="4">
        <f t="array" ref="G396">IFERROR(MEDIAN(IF((dados!$C$2:$C$55=$A396)*(dados!$N$2:$N$55&lt;&gt;""),dados!$N$2:$N$55)),"")</f>
        <v/>
      </c>
      <c r="H396" s="4">
        <f t="array" ref="H396">IFERROR(STDEV(IF((dados!$C$2:$C$55=$A396)*(dados!$N$2:$N$55&lt;&gt;""),dados!$N$2:$N$55)),"")</f>
        <v/>
      </c>
      <c r="I396" s="4">
        <f>IF(COUNTIFS(dados!$C$2:$C$55,$A396,dados!$N$2:$N$55,"&lt;&gt;")=0,"",_xlfn.MINIFS(dados!$N$2:$N$55,dados!$C$2:$C$55,$A396))</f>
        <v/>
      </c>
      <c r="J396" s="4">
        <f>IF(COUNTIFS(dados!$C$2:$C$55,$A396,dados!$N$2:$N$55,"&lt;&gt;")=0,"",_xlfn.MAXIFS(dados!$N$2:$N$55,dados!$C$2:$C$55,$A396))</f>
        <v/>
      </c>
      <c r="K396" s="4">
        <f>IFERROR(J396-I396,"")</f>
        <v/>
      </c>
    </row>
    <row r="397">
      <c r="A397" s="2" t="inlineStr">
        <is>
          <t>São Paulo</t>
        </is>
      </c>
      <c r="B397" s="13" t="inlineStr">
        <is>
          <t>Entorno</t>
        </is>
      </c>
      <c r="C397" s="2" t="inlineStr">
        <is>
          <t>shopping_porte_1000m</t>
        </is>
      </c>
      <c r="D397" s="2" t="inlineStr">
        <is>
          <t>Shoppings de porte até 1000 m (onde o porte foi buscado)</t>
        </is>
      </c>
      <c r="E397" s="5">
        <f>COUNTIFS(dados!$C$2:$C$55,$A397,dados!$O$2:$O$55,"&lt;&gt;")</f>
        <v/>
      </c>
      <c r="F397" s="4">
        <f>IFERROR(AVERAGEIFS(dados!$O$2:$O$55,dados!$C$2:$C$55,$A397),"")</f>
        <v/>
      </c>
      <c r="G397" s="4">
        <f t="array" ref="G397">IFERROR(MEDIAN(IF((dados!$C$2:$C$55=$A397)*(dados!$O$2:$O$55&lt;&gt;""),dados!$O$2:$O$55)),"")</f>
        <v/>
      </c>
      <c r="H397" s="4">
        <f t="array" ref="H397">IFERROR(STDEV(IF((dados!$C$2:$C$55=$A397)*(dados!$O$2:$O$55&lt;&gt;""),dados!$O$2:$O$55)),"")</f>
        <v/>
      </c>
      <c r="I397" s="4">
        <f>IF(COUNTIFS(dados!$C$2:$C$55,$A397,dados!$O$2:$O$55,"&lt;&gt;")=0,"",_xlfn.MINIFS(dados!$O$2:$O$55,dados!$C$2:$C$55,$A397))</f>
        <v/>
      </c>
      <c r="J397" s="4">
        <f>IF(COUNTIFS(dados!$C$2:$C$55,$A397,dados!$O$2:$O$55,"&lt;&gt;")=0,"",_xlfn.MAXIFS(dados!$O$2:$O$55,dados!$C$2:$C$55,$A397))</f>
        <v/>
      </c>
      <c r="K397" s="4">
        <f>IFERROR(J397-I397,"")</f>
        <v/>
      </c>
    </row>
    <row r="398">
      <c r="A398" s="2" t="inlineStr">
        <is>
          <t>São Paulo</t>
        </is>
      </c>
      <c r="B398" s="13" t="inlineStr">
        <is>
          <t>Entorno</t>
        </is>
      </c>
      <c r="C398" s="2" t="inlineStr">
        <is>
          <t>dist_shopping_m</t>
        </is>
      </c>
      <c r="D398" s="2" t="inlineStr">
        <is>
          <t>Distância ao shopping mais próximo (qualquer porte)</t>
        </is>
      </c>
      <c r="E398" s="5">
        <f>COUNTIFS(dados!$C$2:$C$55,$A398,dados!$P$2:$P$55,"&lt;&gt;")</f>
        <v/>
      </c>
      <c r="F398" s="5">
        <f>IFERROR(AVERAGEIFS(dados!$P$2:$P$55,dados!$C$2:$C$55,$A398),"")</f>
        <v/>
      </c>
      <c r="G398" s="5">
        <f t="array" ref="G398">IFERROR(MEDIAN(IF((dados!$C$2:$C$55=$A398)*(dados!$P$2:$P$55&lt;&gt;""),dados!$P$2:$P$55)),"")</f>
        <v/>
      </c>
      <c r="H398" s="5">
        <f t="array" ref="H398">IFERROR(STDEV(IF((dados!$C$2:$C$55=$A398)*(dados!$P$2:$P$55&lt;&gt;""),dados!$P$2:$P$55)),"")</f>
        <v/>
      </c>
      <c r="I398" s="5">
        <f>IF(COUNTIFS(dados!$C$2:$C$55,$A398,dados!$P$2:$P$55,"&lt;&gt;")=0,"",_xlfn.MINIFS(dados!$P$2:$P$55,dados!$C$2:$C$55,$A398))</f>
        <v/>
      </c>
      <c r="J398" s="5">
        <f>IF(COUNTIFS(dados!$C$2:$C$55,$A398,dados!$P$2:$P$55,"&lt;&gt;")=0,"",_xlfn.MAXIFS(dados!$P$2:$P$55,dados!$C$2:$C$55,$A398))</f>
        <v/>
      </c>
      <c r="K398" s="5">
        <f>IFERROR(J398-I398,"")</f>
        <v/>
      </c>
    </row>
    <row r="399">
      <c r="A399" s="2" t="inlineStr">
        <is>
          <t>São Paulo</t>
        </is>
      </c>
      <c r="B399" s="14" t="inlineStr">
        <is>
          <t>Instagram</t>
        </is>
      </c>
      <c r="C399" s="2" t="inlineStr">
        <is>
          <t>seguidores</t>
        </is>
      </c>
      <c r="D399" s="2" t="inlineStr">
        <is>
          <t>Seguidores</t>
        </is>
      </c>
      <c r="E399" s="5">
        <f>COUNTIFS(dados!$C$2:$C$55,$A399,dados!$Q$2:$Q$55,"&lt;&gt;")</f>
        <v/>
      </c>
      <c r="F399" s="5">
        <f>IFERROR(AVERAGEIFS(dados!$Q$2:$Q$55,dados!$C$2:$C$55,$A399),"")</f>
        <v/>
      </c>
      <c r="G399" s="5">
        <f t="array" ref="G399">IFERROR(MEDIAN(IF((dados!$C$2:$C$55=$A399)*(dados!$Q$2:$Q$55&lt;&gt;""),dados!$Q$2:$Q$55)),"")</f>
        <v/>
      </c>
      <c r="H399" s="5">
        <f t="array" ref="H399">IFERROR(STDEV(IF((dados!$C$2:$C$55=$A399)*(dados!$Q$2:$Q$55&lt;&gt;""),dados!$Q$2:$Q$55)),"")</f>
        <v/>
      </c>
      <c r="I399" s="5">
        <f>IF(COUNTIFS(dados!$C$2:$C$55,$A399,dados!$Q$2:$Q$55,"&lt;&gt;")=0,"",_xlfn.MINIFS(dados!$Q$2:$Q$55,dados!$C$2:$C$55,$A399))</f>
        <v/>
      </c>
      <c r="J399" s="5">
        <f>IF(COUNTIFS(dados!$C$2:$C$55,$A399,dados!$Q$2:$Q$55,"&lt;&gt;")=0,"",_xlfn.MAXIFS(dados!$Q$2:$Q$55,dados!$C$2:$C$55,$A399))</f>
        <v/>
      </c>
      <c r="K399" s="5">
        <f>IFERROR(J399-I399,"")</f>
        <v/>
      </c>
    </row>
    <row r="400">
      <c r="A400" s="2" t="inlineStr">
        <is>
          <t>São Paulo</t>
        </is>
      </c>
      <c r="B400" s="14" t="inlineStr">
        <is>
          <t>Instagram</t>
        </is>
      </c>
      <c r="C400" s="2" t="inlineStr">
        <is>
          <t>n_posts_total</t>
        </is>
      </c>
      <c r="D400" s="2" t="inlineStr">
        <is>
          <t>Posts desde a criação do perfil</t>
        </is>
      </c>
      <c r="E400" s="5">
        <f>COUNTIFS(dados!$C$2:$C$55,$A400,dados!$R$2:$R$55,"&lt;&gt;")</f>
        <v/>
      </c>
      <c r="F400" s="5">
        <f>IFERROR(AVERAGEIFS(dados!$R$2:$R$55,dados!$C$2:$C$55,$A400),"")</f>
        <v/>
      </c>
      <c r="G400" s="5">
        <f t="array" ref="G400">IFERROR(MEDIAN(IF((dados!$C$2:$C$55=$A400)*(dados!$R$2:$R$55&lt;&gt;""),dados!$R$2:$R$55)),"")</f>
        <v/>
      </c>
      <c r="H400" s="5">
        <f t="array" ref="H400">IFERROR(STDEV(IF((dados!$C$2:$C$55=$A400)*(dados!$R$2:$R$55&lt;&gt;""),dados!$R$2:$R$55)),"")</f>
        <v/>
      </c>
      <c r="I400" s="5">
        <f>IF(COUNTIFS(dados!$C$2:$C$55,$A400,dados!$R$2:$R$55,"&lt;&gt;")=0,"",_xlfn.MINIFS(dados!$R$2:$R$55,dados!$C$2:$C$55,$A400))</f>
        <v/>
      </c>
      <c r="J400" s="5">
        <f>IF(COUNTIFS(dados!$C$2:$C$55,$A400,dados!$R$2:$R$55,"&lt;&gt;")=0,"",_xlfn.MAXIFS(dados!$R$2:$R$55,dados!$C$2:$C$55,$A400))</f>
        <v/>
      </c>
      <c r="K400" s="5">
        <f>IFERROR(J400-I400,"")</f>
        <v/>
      </c>
    </row>
    <row r="401">
      <c r="A401" s="2" t="inlineStr">
        <is>
          <t>São Paulo</t>
        </is>
      </c>
      <c r="B401" s="14" t="inlineStr">
        <is>
          <t>Instagram</t>
        </is>
      </c>
      <c r="C401" s="2" t="inlineStr">
        <is>
          <t>idade_perfil_anos</t>
        </is>
      </c>
      <c r="D401" s="2" t="inlineStr">
        <is>
          <t>Idade do perfil (desde o primeiro post até 15/10/2026)</t>
        </is>
      </c>
      <c r="E401" s="5">
        <f>COUNTIFS(dados!$C$2:$C$55,$A401,dados!$S$2:$S$55,"&lt;&gt;")</f>
        <v/>
      </c>
      <c r="F401" s="6">
        <f>IFERROR(AVERAGEIFS(dados!$S$2:$S$55,dados!$C$2:$C$55,$A401),"")</f>
        <v/>
      </c>
      <c r="G401" s="6">
        <f t="array" ref="G401">IFERROR(MEDIAN(IF((dados!$C$2:$C$55=$A401)*(dados!$S$2:$S$55&lt;&gt;""),dados!$S$2:$S$55)),"")</f>
        <v/>
      </c>
      <c r="H401" s="6">
        <f t="array" ref="H401">IFERROR(STDEV(IF((dados!$C$2:$C$55=$A401)*(dados!$S$2:$S$55&lt;&gt;""),dados!$S$2:$S$55)),"")</f>
        <v/>
      </c>
      <c r="I401" s="6">
        <f>IF(COUNTIFS(dados!$C$2:$C$55,$A401,dados!$S$2:$S$55,"&lt;&gt;")=0,"",_xlfn.MINIFS(dados!$S$2:$S$55,dados!$C$2:$C$55,$A401))</f>
        <v/>
      </c>
      <c r="J401" s="6">
        <f>IF(COUNTIFS(dados!$C$2:$C$55,$A401,dados!$S$2:$S$55,"&lt;&gt;")=0,"",_xlfn.MAXIFS(dados!$S$2:$S$55,dados!$C$2:$C$55,$A401))</f>
        <v/>
      </c>
      <c r="K401" s="6">
        <f>IFERROR(J401-I401,"")</f>
        <v/>
      </c>
    </row>
    <row r="402">
      <c r="A402" s="2" t="inlineStr">
        <is>
          <t>São Paulo</t>
        </is>
      </c>
      <c r="B402" s="14" t="inlineStr">
        <is>
          <t>Instagram</t>
        </is>
      </c>
      <c r="C402" s="2" t="inlineStr">
        <is>
          <t>n_posts_periodo</t>
        </is>
      </c>
      <c r="D402" s="2" t="inlineStr">
        <is>
          <t>Posts de 01/09 a 01/10/2026</t>
        </is>
      </c>
      <c r="E402" s="5">
        <f>COUNTIFS(dados!$C$2:$C$55,$A402,dados!$T$2:$T$55,"&lt;&gt;")</f>
        <v/>
      </c>
      <c r="F402" s="6">
        <f>IFERROR(AVERAGEIFS(dados!$T$2:$T$55,dados!$C$2:$C$55,$A402),"")</f>
        <v/>
      </c>
      <c r="G402" s="6">
        <f t="array" ref="G402">IFERROR(MEDIAN(IF((dados!$C$2:$C$55=$A402)*(dados!$T$2:$T$55&lt;&gt;""),dados!$T$2:$T$55)),"")</f>
        <v/>
      </c>
      <c r="H402" s="6">
        <f t="array" ref="H402">IFERROR(STDEV(IF((dados!$C$2:$C$55=$A402)*(dados!$T$2:$T$55&lt;&gt;""),dados!$T$2:$T$55)),"")</f>
        <v/>
      </c>
      <c r="I402" s="6">
        <f>IF(COUNTIFS(dados!$C$2:$C$55,$A402,dados!$T$2:$T$55,"&lt;&gt;")=0,"",_xlfn.MINIFS(dados!$T$2:$T$55,dados!$C$2:$C$55,$A402))</f>
        <v/>
      </c>
      <c r="J402" s="6">
        <f>IF(COUNTIFS(dados!$C$2:$C$55,$A402,dados!$T$2:$T$55,"&lt;&gt;")=0,"",_xlfn.MAXIFS(dados!$T$2:$T$55,dados!$C$2:$C$55,$A402))</f>
        <v/>
      </c>
      <c r="K402" s="6">
        <f>IFERROR(J402-I402,"")</f>
        <v/>
      </c>
    </row>
    <row r="403">
      <c r="A403" s="2" t="inlineStr">
        <is>
          <t>São Paulo</t>
        </is>
      </c>
      <c r="B403" s="14" t="inlineStr">
        <is>
          <t>Instagram</t>
        </is>
      </c>
      <c r="C403" s="2" t="inlineStr">
        <is>
          <t>curtidas_periodo</t>
        </is>
      </c>
      <c r="D403" s="2" t="inlineStr">
        <is>
          <t>Curtidas no período</t>
        </is>
      </c>
      <c r="E403" s="5">
        <f>COUNTIFS(dados!$C$2:$C$55,$A403,dados!$U$2:$U$55,"&lt;&gt;")</f>
        <v/>
      </c>
      <c r="F403" s="5">
        <f>IFERROR(AVERAGEIFS(dados!$U$2:$U$55,dados!$C$2:$C$55,$A403),"")</f>
        <v/>
      </c>
      <c r="G403" s="5">
        <f t="array" ref="G403">IFERROR(MEDIAN(IF((dados!$C$2:$C$55=$A403)*(dados!$U$2:$U$55&lt;&gt;""),dados!$U$2:$U$55)),"")</f>
        <v/>
      </c>
      <c r="H403" s="5">
        <f t="array" ref="H403">IFERROR(STDEV(IF((dados!$C$2:$C$55=$A403)*(dados!$U$2:$U$55&lt;&gt;""),dados!$U$2:$U$55)),"")</f>
        <v/>
      </c>
      <c r="I403" s="5">
        <f>IF(COUNTIFS(dados!$C$2:$C$55,$A403,dados!$U$2:$U$55,"&lt;&gt;")=0,"",_xlfn.MINIFS(dados!$U$2:$U$55,dados!$C$2:$C$55,$A403))</f>
        <v/>
      </c>
      <c r="J403" s="5">
        <f>IF(COUNTIFS(dados!$C$2:$C$55,$A403,dados!$U$2:$U$55,"&lt;&gt;")=0,"",_xlfn.MAXIFS(dados!$U$2:$U$55,dados!$C$2:$C$55,$A403))</f>
        <v/>
      </c>
      <c r="K403" s="5">
        <f>IFERROR(J403-I403,"")</f>
        <v/>
      </c>
    </row>
    <row r="404">
      <c r="A404" s="2" t="inlineStr">
        <is>
          <t>São Paulo</t>
        </is>
      </c>
      <c r="B404" s="14" t="inlineStr">
        <is>
          <t>Instagram</t>
        </is>
      </c>
      <c r="C404" s="2" t="inlineStr">
        <is>
          <t>comentarios_periodo</t>
        </is>
      </c>
      <c r="D404" s="2" t="inlineStr">
        <is>
          <t>Comentários no período</t>
        </is>
      </c>
      <c r="E404" s="5">
        <f>COUNTIFS(dados!$C$2:$C$55,$A404,dados!$V$2:$V$55,"&lt;&gt;")</f>
        <v/>
      </c>
      <c r="F404" s="5">
        <f>IFERROR(AVERAGEIFS(dados!$V$2:$V$55,dados!$C$2:$C$55,$A404),"")</f>
        <v/>
      </c>
      <c r="G404" s="5">
        <f t="array" ref="G404">IFERROR(MEDIAN(IF((dados!$C$2:$C$55=$A404)*(dados!$V$2:$V$55&lt;&gt;""),dados!$V$2:$V$55)),"")</f>
        <v/>
      </c>
      <c r="H404" s="5">
        <f t="array" ref="H404">IFERROR(STDEV(IF((dados!$C$2:$C$55=$A404)*(dados!$V$2:$V$55&lt;&gt;""),dados!$V$2:$V$55)),"")</f>
        <v/>
      </c>
      <c r="I404" s="5">
        <f>IF(COUNTIFS(dados!$C$2:$C$55,$A404,dados!$V$2:$V$55,"&lt;&gt;")=0,"",_xlfn.MINIFS(dados!$V$2:$V$55,dados!$C$2:$C$55,$A404))</f>
        <v/>
      </c>
      <c r="J404" s="5">
        <f>IF(COUNTIFS(dados!$C$2:$C$55,$A404,dados!$V$2:$V$55,"&lt;&gt;")=0,"",_xlfn.MAXIFS(dados!$V$2:$V$55,dados!$C$2:$C$55,$A404))</f>
        <v/>
      </c>
      <c r="K404" s="5">
        <f>IFERROR(J404-I404,"")</f>
        <v/>
      </c>
    </row>
    <row r="405">
      <c r="A405" s="2" t="inlineStr">
        <is>
          <t>São Paulo</t>
        </is>
      </c>
      <c r="B405" s="14" t="inlineStr">
        <is>
          <t>Instagram</t>
        </is>
      </c>
      <c r="C405" s="2" t="inlineStr">
        <is>
          <t>interacoes_por_post</t>
        </is>
      </c>
      <c r="D405" s="2" t="inlineStr">
        <is>
          <t>Interações por post no período (curtidas + comentários)</t>
        </is>
      </c>
      <c r="E405" s="5">
        <f>COUNTIFS(dados!$C$2:$C$55,$A405,dados!$W$2:$W$55,"&lt;&gt;")</f>
        <v/>
      </c>
      <c r="F405" s="6">
        <f>IFERROR(AVERAGEIFS(dados!$W$2:$W$55,dados!$C$2:$C$55,$A405),"")</f>
        <v/>
      </c>
      <c r="G405" s="6">
        <f t="array" ref="G405">IFERROR(MEDIAN(IF((dados!$C$2:$C$55=$A405)*(dados!$W$2:$W$55&lt;&gt;""),dados!$W$2:$W$55)),"")</f>
        <v/>
      </c>
      <c r="H405" s="6">
        <f t="array" ref="H405">IFERROR(STDEV(IF((dados!$C$2:$C$55=$A405)*(dados!$W$2:$W$55&lt;&gt;""),dados!$W$2:$W$55)),"")</f>
        <v/>
      </c>
      <c r="I405" s="6">
        <f>IF(COUNTIFS(dados!$C$2:$C$55,$A405,dados!$W$2:$W$55,"&lt;&gt;")=0,"",_xlfn.MINIFS(dados!$W$2:$W$55,dados!$C$2:$C$55,$A405))</f>
        <v/>
      </c>
      <c r="J405" s="6">
        <f>IF(COUNTIFS(dados!$C$2:$C$55,$A405,dados!$W$2:$W$55,"&lt;&gt;")=0,"",_xlfn.MAXIFS(dados!$W$2:$W$55,dados!$C$2:$C$55,$A405))</f>
        <v/>
      </c>
      <c r="K405" s="6">
        <f>IFERROR(J405-I405,"")</f>
        <v/>
      </c>
    </row>
    <row r="406">
      <c r="A406" s="2" t="inlineStr">
        <is>
          <t>São Paulo</t>
        </is>
      </c>
      <c r="B406" s="14" t="inlineStr">
        <is>
          <t>Instagram</t>
        </is>
      </c>
      <c r="C406" s="2" t="inlineStr">
        <is>
          <t>engajamento_pct</t>
        </is>
      </c>
      <c r="D406" s="2" t="inlineStr">
        <is>
          <t>Taxa de engajamento (interações por post ÷ seguidores)</t>
        </is>
      </c>
      <c r="E406" s="5">
        <f>COUNTIFS(dados!$C$2:$C$55,$A406,dados!$X$2:$X$55,"&lt;&gt;")</f>
        <v/>
      </c>
      <c r="F406" s="15">
        <f>IFERROR(AVERAGEIFS(dados!$X$2:$X$55,dados!$C$2:$C$55,$A406),"")</f>
        <v/>
      </c>
      <c r="G406" s="15">
        <f t="array" ref="G406">IFERROR(MEDIAN(IF((dados!$C$2:$C$55=$A406)*(dados!$X$2:$X$55&lt;&gt;""),dados!$X$2:$X$55)),"")</f>
        <v/>
      </c>
      <c r="H406" s="15">
        <f t="array" ref="H406">IFERROR(STDEV(IF((dados!$C$2:$C$55=$A406)*(dados!$X$2:$X$55&lt;&gt;""),dados!$X$2:$X$55)),"")</f>
        <v/>
      </c>
      <c r="I406" s="15">
        <f>IF(COUNTIFS(dados!$C$2:$C$55,$A406,dados!$X$2:$X$55,"&lt;&gt;")=0,"",_xlfn.MINIFS(dados!$X$2:$X$55,dados!$C$2:$C$55,$A406))</f>
        <v/>
      </c>
      <c r="J406" s="15">
        <f>IF(COUNTIFS(dados!$C$2:$C$55,$A406,dados!$X$2:$X$55,"&lt;&gt;")=0,"",_xlfn.MAXIFS(dados!$X$2:$X$55,dados!$C$2:$C$55,$A406))</f>
        <v/>
      </c>
      <c r="K406" s="15">
        <f>IFERROR(J406-I406,"")</f>
        <v/>
      </c>
    </row>
    <row r="407">
      <c r="A407" s="2" t="inlineStr">
        <is>
          <t>São Paulo</t>
        </is>
      </c>
      <c r="B407" s="16" t="inlineStr">
        <is>
          <t>Cardápio</t>
        </is>
      </c>
      <c r="C407" s="2" t="inlineStr">
        <is>
          <t>itens_com_preco</t>
        </is>
      </c>
      <c r="D407" s="2" t="inlineStr">
        <is>
          <t>Itens com preço no cardápio</t>
        </is>
      </c>
      <c r="E407" s="5">
        <f>COUNTIFS(dados!$C$2:$C$55,$A407,dados!$Y$2:$Y$55,"&lt;&gt;")</f>
        <v/>
      </c>
      <c r="F407" s="5">
        <f>IFERROR(AVERAGEIFS(dados!$Y$2:$Y$55,dados!$C$2:$C$55,$A407),"")</f>
        <v/>
      </c>
      <c r="G407" s="5">
        <f t="array" ref="G407">IFERROR(MEDIAN(IF((dados!$C$2:$C$55=$A407)*(dados!$Y$2:$Y$55&lt;&gt;""),dados!$Y$2:$Y$55)),"")</f>
        <v/>
      </c>
      <c r="H407" s="5">
        <f t="array" ref="H407">IFERROR(STDEV(IF((dados!$C$2:$C$55=$A407)*(dados!$Y$2:$Y$55&lt;&gt;""),dados!$Y$2:$Y$55)),"")</f>
        <v/>
      </c>
      <c r="I407" s="5">
        <f>IF(COUNTIFS(dados!$C$2:$C$55,$A407,dados!$Y$2:$Y$55,"&lt;&gt;")=0,"",_xlfn.MINIFS(dados!$Y$2:$Y$55,dados!$C$2:$C$55,$A407))</f>
        <v/>
      </c>
      <c r="J407" s="5">
        <f>IF(COUNTIFS(dados!$C$2:$C$55,$A407,dados!$Y$2:$Y$55,"&lt;&gt;")=0,"",_xlfn.MAXIFS(dados!$Y$2:$Y$55,dados!$C$2:$C$55,$A407))</f>
        <v/>
      </c>
      <c r="K407" s="5">
        <f>IFERROR(J407-I407,"")</f>
        <v/>
      </c>
    </row>
    <row r="408">
      <c r="A408" s="2" t="inlineStr">
        <is>
          <t>São Paulo</t>
        </is>
      </c>
      <c r="B408" s="16" t="inlineStr">
        <is>
          <t>Cardápio</t>
        </is>
      </c>
      <c r="C408" s="2" t="inlineStr">
        <is>
          <t>couvert_mediana</t>
        </is>
      </c>
      <c r="D408" s="2" t="inlineStr">
        <is>
          <t>Couvert ou taxa de jogo (só casas que cobram)</t>
        </is>
      </c>
      <c r="E408" s="5">
        <f>COUNTIFS(dados!$C$2:$C$55,$A408,dados!$Z$2:$Z$55,"&lt;&gt;")</f>
        <v/>
      </c>
      <c r="F408" s="7">
        <f>IFERROR(AVERAGEIFS(dados!$Z$2:$Z$55,dados!$C$2:$C$55,$A408),"")</f>
        <v/>
      </c>
      <c r="G408" s="7">
        <f t="array" ref="G408">IFERROR(MEDIAN(IF((dados!$C$2:$C$55=$A408)*(dados!$Z$2:$Z$55&lt;&gt;""),dados!$Z$2:$Z$55)),"")</f>
        <v/>
      </c>
      <c r="H408" s="7">
        <f t="array" ref="H408">IFERROR(STDEV(IF((dados!$C$2:$C$55=$A408)*(dados!$Z$2:$Z$55&lt;&gt;""),dados!$Z$2:$Z$55)),"")</f>
        <v/>
      </c>
      <c r="I408" s="7">
        <f>IF(COUNTIFS(dados!$C$2:$C$55,$A408,dados!$Z$2:$Z$55,"&lt;&gt;")=0,"",_xlfn.MINIFS(dados!$Z$2:$Z$55,dados!$C$2:$C$55,$A408))</f>
        <v/>
      </c>
      <c r="J408" s="7">
        <f>IF(COUNTIFS(dados!$C$2:$C$55,$A408,dados!$Z$2:$Z$55,"&lt;&gt;")=0,"",_xlfn.MAXIFS(dados!$Z$2:$Z$55,dados!$C$2:$C$55,$A408))</f>
        <v/>
      </c>
      <c r="K408" s="7">
        <f>IFERROR(J408-I408,"")</f>
        <v/>
      </c>
    </row>
    <row r="409">
      <c r="A409" s="2" t="inlineStr">
        <is>
          <t>São Paulo</t>
        </is>
      </c>
      <c r="B409" s="16" t="inlineStr">
        <is>
          <t>Cardápio</t>
        </is>
      </c>
      <c r="C409" s="2" t="inlineStr">
        <is>
          <t>bebida_mediana</t>
        </is>
      </c>
      <c r="D409" s="2" t="inlineStr">
        <is>
          <t>Bebida, mediana do cardápio</t>
        </is>
      </c>
      <c r="E409" s="5">
        <f>COUNTIFS(dados!$C$2:$C$55,$A409,dados!$AA$2:$AA$55,"&lt;&gt;")</f>
        <v/>
      </c>
      <c r="F409" s="7">
        <f>IFERROR(AVERAGEIFS(dados!$AA$2:$AA$55,dados!$C$2:$C$55,$A409),"")</f>
        <v/>
      </c>
      <c r="G409" s="7">
        <f t="array" ref="G409">IFERROR(MEDIAN(IF((dados!$C$2:$C$55=$A409)*(dados!$AA$2:$AA$55&lt;&gt;""),dados!$AA$2:$AA$55)),"")</f>
        <v/>
      </c>
      <c r="H409" s="7">
        <f t="array" ref="H409">IFERROR(STDEV(IF((dados!$C$2:$C$55=$A409)*(dados!$AA$2:$AA$55&lt;&gt;""),dados!$AA$2:$AA$55)),"")</f>
        <v/>
      </c>
      <c r="I409" s="7">
        <f>IF(COUNTIFS(dados!$C$2:$C$55,$A409,dados!$AA$2:$AA$55,"&lt;&gt;")=0,"",_xlfn.MINIFS(dados!$AA$2:$AA$55,dados!$C$2:$C$55,$A409))</f>
        <v/>
      </c>
      <c r="J409" s="7">
        <f>IF(COUNTIFS(dados!$C$2:$C$55,$A409,dados!$AA$2:$AA$55,"&lt;&gt;")=0,"",_xlfn.MAXIFS(dados!$AA$2:$AA$55,dados!$C$2:$C$55,$A409))</f>
        <v/>
      </c>
      <c r="K409" s="7">
        <f>IFERROR(J409-I409,"")</f>
        <v/>
      </c>
    </row>
    <row r="410">
      <c r="A410" s="2" t="inlineStr">
        <is>
          <t>São Paulo</t>
        </is>
      </c>
      <c r="B410" s="16" t="inlineStr">
        <is>
          <t>Cardápio</t>
        </is>
      </c>
      <c r="C410" s="2" t="inlineStr">
        <is>
          <t>entrada_ou_prato_mediana</t>
        </is>
      </c>
      <c r="D410" s="2" t="inlineStr">
        <is>
          <t>Entrada ou prato, mediana do cardápio</t>
        </is>
      </c>
      <c r="E410" s="5">
        <f>COUNTIFS(dados!$C$2:$C$55,$A410,dados!$AB$2:$AB$55,"&lt;&gt;")</f>
        <v/>
      </c>
      <c r="F410" s="7">
        <f>IFERROR(AVERAGEIFS(dados!$AB$2:$AB$55,dados!$C$2:$C$55,$A410),"")</f>
        <v/>
      </c>
      <c r="G410" s="7">
        <f t="array" ref="G410">IFERROR(MEDIAN(IF((dados!$C$2:$C$55=$A410)*(dados!$AB$2:$AB$55&lt;&gt;""),dados!$AB$2:$AB$55)),"")</f>
        <v/>
      </c>
      <c r="H410" s="7">
        <f t="array" ref="H410">IFERROR(STDEV(IF((dados!$C$2:$C$55=$A410)*(dados!$AB$2:$AB$55&lt;&gt;""),dados!$AB$2:$AB$55)),"")</f>
        <v/>
      </c>
      <c r="I410" s="7">
        <f>IF(COUNTIFS(dados!$C$2:$C$55,$A410,dados!$AB$2:$AB$55,"&lt;&gt;")=0,"",_xlfn.MINIFS(dados!$AB$2:$AB$55,dados!$C$2:$C$55,$A410))</f>
        <v/>
      </c>
      <c r="J410" s="7">
        <f>IF(COUNTIFS(dados!$C$2:$C$55,$A410,dados!$AB$2:$AB$55,"&lt;&gt;")=0,"",_xlfn.MAXIFS(dados!$AB$2:$AB$55,dados!$C$2:$C$55,$A410))</f>
        <v/>
      </c>
      <c r="K410" s="7">
        <f>IFERROR(J410-I410,"")</f>
        <v/>
      </c>
    </row>
    <row r="411">
      <c r="A411" s="2" t="inlineStr">
        <is>
          <t>São Paulo</t>
        </is>
      </c>
      <c r="B411" s="16" t="inlineStr">
        <is>
          <t>Cardápio</t>
        </is>
      </c>
      <c r="C411" s="2" t="inlineStr">
        <is>
          <t>cesta_baixa</t>
        </is>
      </c>
      <c r="D411" s="2" t="inlineStr">
        <is>
          <t>Cesta por pessoa, nível baixo (P25)</t>
        </is>
      </c>
      <c r="E411" s="5">
        <f>COUNTIFS(dados!$C$2:$C$55,$A411,dados!$AC$2:$AC$55,"&lt;&gt;")</f>
        <v/>
      </c>
      <c r="F411" s="7">
        <f>IFERROR(AVERAGEIFS(dados!$AC$2:$AC$55,dados!$C$2:$C$55,$A411),"")</f>
        <v/>
      </c>
      <c r="G411" s="7">
        <f t="array" ref="G411">IFERROR(MEDIAN(IF((dados!$C$2:$C$55=$A411)*(dados!$AC$2:$AC$55&lt;&gt;""),dados!$AC$2:$AC$55)),"")</f>
        <v/>
      </c>
      <c r="H411" s="7">
        <f t="array" ref="H411">IFERROR(STDEV(IF((dados!$C$2:$C$55=$A411)*(dados!$AC$2:$AC$55&lt;&gt;""),dados!$AC$2:$AC$55)),"")</f>
        <v/>
      </c>
      <c r="I411" s="7">
        <f>IF(COUNTIFS(dados!$C$2:$C$55,$A411,dados!$AC$2:$AC$55,"&lt;&gt;")=0,"",_xlfn.MINIFS(dados!$AC$2:$AC$55,dados!$C$2:$C$55,$A411))</f>
        <v/>
      </c>
      <c r="J411" s="7">
        <f>IF(COUNTIFS(dados!$C$2:$C$55,$A411,dados!$AC$2:$AC$55,"&lt;&gt;")=0,"",_xlfn.MAXIFS(dados!$AC$2:$AC$55,dados!$C$2:$C$55,$A411))</f>
        <v/>
      </c>
      <c r="K411" s="7">
        <f>IFERROR(J411-I411,"")</f>
        <v/>
      </c>
    </row>
    <row r="412">
      <c r="A412" s="2" t="inlineStr">
        <is>
          <t>São Paulo</t>
        </is>
      </c>
      <c r="B412" s="16" t="inlineStr">
        <is>
          <t>Cardápio</t>
        </is>
      </c>
      <c r="C412" s="2" t="inlineStr">
        <is>
          <t>cesta_mediana</t>
        </is>
      </c>
      <c r="D412" s="2" t="inlineStr">
        <is>
          <t>Cesta por pessoa, nível mediano</t>
        </is>
      </c>
      <c r="E412" s="5">
        <f>COUNTIFS(dados!$C$2:$C$55,$A412,dados!$AD$2:$AD$55,"&lt;&gt;")</f>
        <v/>
      </c>
      <c r="F412" s="7">
        <f>IFERROR(AVERAGEIFS(dados!$AD$2:$AD$55,dados!$C$2:$C$55,$A412),"")</f>
        <v/>
      </c>
      <c r="G412" s="7">
        <f t="array" ref="G412">IFERROR(MEDIAN(IF((dados!$C$2:$C$55=$A412)*(dados!$AD$2:$AD$55&lt;&gt;""),dados!$AD$2:$AD$55)),"")</f>
        <v/>
      </c>
      <c r="H412" s="7">
        <f t="array" ref="H412">IFERROR(STDEV(IF((dados!$C$2:$C$55=$A412)*(dados!$AD$2:$AD$55&lt;&gt;""),dados!$AD$2:$AD$55)),"")</f>
        <v/>
      </c>
      <c r="I412" s="7">
        <f>IF(COUNTIFS(dados!$C$2:$C$55,$A412,dados!$AD$2:$AD$55,"&lt;&gt;")=0,"",_xlfn.MINIFS(dados!$AD$2:$AD$55,dados!$C$2:$C$55,$A412))</f>
        <v/>
      </c>
      <c r="J412" s="7">
        <f>IF(COUNTIFS(dados!$C$2:$C$55,$A412,dados!$AD$2:$AD$55,"&lt;&gt;")=0,"",_xlfn.MAXIFS(dados!$AD$2:$AD$55,dados!$C$2:$C$55,$A412))</f>
        <v/>
      </c>
      <c r="K412" s="7">
        <f>IFERROR(J412-I412,"")</f>
        <v/>
      </c>
    </row>
    <row r="413">
      <c r="A413" s="2" t="inlineStr">
        <is>
          <t>São Paulo</t>
        </is>
      </c>
      <c r="B413" s="16" t="inlineStr">
        <is>
          <t>Cardápio</t>
        </is>
      </c>
      <c r="C413" s="2" t="inlineStr">
        <is>
          <t>cesta_alta</t>
        </is>
      </c>
      <c r="D413" s="2" t="inlineStr">
        <is>
          <t>Cesta por pessoa, nível alto (P75)</t>
        </is>
      </c>
      <c r="E413" s="5">
        <f>COUNTIFS(dados!$C$2:$C$55,$A413,dados!$AE$2:$AE$55,"&lt;&gt;")</f>
        <v/>
      </c>
      <c r="F413" s="7">
        <f>IFERROR(AVERAGEIFS(dados!$AE$2:$AE$55,dados!$C$2:$C$55,$A413),"")</f>
        <v/>
      </c>
      <c r="G413" s="7">
        <f t="array" ref="G413">IFERROR(MEDIAN(IF((dados!$C$2:$C$55=$A413)*(dados!$AE$2:$AE$55&lt;&gt;""),dados!$AE$2:$AE$55)),"")</f>
        <v/>
      </c>
      <c r="H413" s="7">
        <f t="array" ref="H413">IFERROR(STDEV(IF((dados!$C$2:$C$55=$A413)*(dados!$AE$2:$AE$55&lt;&gt;""),dados!$AE$2:$AE$55)),"")</f>
        <v/>
      </c>
      <c r="I413" s="7">
        <f>IF(COUNTIFS(dados!$C$2:$C$55,$A413,dados!$AE$2:$AE$55,"&lt;&gt;")=0,"",_xlfn.MINIFS(dados!$AE$2:$AE$55,dados!$C$2:$C$55,$A413))</f>
        <v/>
      </c>
      <c r="J413" s="7">
        <f>IF(COUNTIFS(dados!$C$2:$C$55,$A413,dados!$AE$2:$AE$55,"&lt;&gt;")=0,"",_xlfn.MAXIFS(dados!$AE$2:$AE$55,dados!$C$2:$C$55,$A413))</f>
        <v/>
      </c>
      <c r="K413" s="7">
        <f>IFERROR(J413-I413,"")</f>
        <v/>
      </c>
    </row>
    <row r="414">
      <c r="A414" s="2" t="inlineStr">
        <is>
          <t>São Paulo</t>
        </is>
      </c>
      <c r="B414" s="16" t="inlineStr">
        <is>
          <t>Cardápio</t>
        </is>
      </c>
      <c r="C414" s="2" t="inlineStr">
        <is>
          <t>hamburguer_mediana</t>
        </is>
      </c>
      <c r="D414" s="2" t="inlineStr">
        <is>
          <t>Hambúrguer, mediana</t>
        </is>
      </c>
      <c r="E414" s="5">
        <f>COUNTIFS(dados!$C$2:$C$55,$A414,dados!$AF$2:$AF$55,"&lt;&gt;")</f>
        <v/>
      </c>
      <c r="F414" s="7">
        <f>IFERROR(AVERAGEIFS(dados!$AF$2:$AF$55,dados!$C$2:$C$55,$A414),"")</f>
        <v/>
      </c>
      <c r="G414" s="7">
        <f t="array" ref="G414">IFERROR(MEDIAN(IF((dados!$C$2:$C$55=$A414)*(dados!$AF$2:$AF$55&lt;&gt;""),dados!$AF$2:$AF$55)),"")</f>
        <v/>
      </c>
      <c r="H414" s="7">
        <f t="array" ref="H414">IFERROR(STDEV(IF((dados!$C$2:$C$55=$A414)*(dados!$AF$2:$AF$55&lt;&gt;""),dados!$AF$2:$AF$55)),"")</f>
        <v/>
      </c>
      <c r="I414" s="7">
        <f>IF(COUNTIFS(dados!$C$2:$C$55,$A414,dados!$AF$2:$AF$55,"&lt;&gt;")=0,"",_xlfn.MINIFS(dados!$AF$2:$AF$55,dados!$C$2:$C$55,$A414))</f>
        <v/>
      </c>
      <c r="J414" s="7">
        <f>IF(COUNTIFS(dados!$C$2:$C$55,$A414,dados!$AF$2:$AF$55,"&lt;&gt;")=0,"",_xlfn.MAXIFS(dados!$AF$2:$AF$55,dados!$C$2:$C$55,$A414))</f>
        <v/>
      </c>
      <c r="K414" s="7">
        <f>IFERROR(J414-I414,"")</f>
        <v/>
      </c>
    </row>
    <row r="415">
      <c r="A415" s="2" t="inlineStr">
        <is>
          <t>São Paulo</t>
        </is>
      </c>
      <c r="B415" s="16" t="inlineStr">
        <is>
          <t>Cardápio</t>
        </is>
      </c>
      <c r="C415" s="2" t="inlineStr">
        <is>
          <t>batata_mediana</t>
        </is>
      </c>
      <c r="D415" s="2" t="inlineStr">
        <is>
          <t>Batata, mediana</t>
        </is>
      </c>
      <c r="E415" s="5">
        <f>COUNTIFS(dados!$C$2:$C$55,$A415,dados!$AG$2:$AG$55,"&lt;&gt;")</f>
        <v/>
      </c>
      <c r="F415" s="7">
        <f>IFERROR(AVERAGEIFS(dados!$AG$2:$AG$55,dados!$C$2:$C$55,$A415),"")</f>
        <v/>
      </c>
      <c r="G415" s="7">
        <f t="array" ref="G415">IFERROR(MEDIAN(IF((dados!$C$2:$C$55=$A415)*(dados!$AG$2:$AG$55&lt;&gt;""),dados!$AG$2:$AG$55)),"")</f>
        <v/>
      </c>
      <c r="H415" s="7">
        <f t="array" ref="H415">IFERROR(STDEV(IF((dados!$C$2:$C$55=$A415)*(dados!$AG$2:$AG$55&lt;&gt;""),dados!$AG$2:$AG$55)),"")</f>
        <v/>
      </c>
      <c r="I415" s="7">
        <f>IF(COUNTIFS(dados!$C$2:$C$55,$A415,dados!$AG$2:$AG$55,"&lt;&gt;")=0,"",_xlfn.MINIFS(dados!$AG$2:$AG$55,dados!$C$2:$C$55,$A415))</f>
        <v/>
      </c>
      <c r="J415" s="7">
        <f>IF(COUNTIFS(dados!$C$2:$C$55,$A415,dados!$AG$2:$AG$55,"&lt;&gt;")=0,"",_xlfn.MAXIFS(dados!$AG$2:$AG$55,dados!$C$2:$C$55,$A415))</f>
        <v/>
      </c>
      <c r="K415" s="7">
        <f>IFERROR(J415-I415,"")</f>
        <v/>
      </c>
    </row>
    <row r="416">
      <c r="A416" s="2" t="inlineStr">
        <is>
          <t>São Paulo</t>
        </is>
      </c>
      <c r="B416" s="16" t="inlineStr">
        <is>
          <t>Cardápio</t>
        </is>
      </c>
      <c r="C416" s="2" t="inlineStr">
        <is>
          <t>cerveja_mediana</t>
        </is>
      </c>
      <c r="D416" s="2" t="inlineStr">
        <is>
          <t>Cerveja, mediana</t>
        </is>
      </c>
      <c r="E416" s="5">
        <f>COUNTIFS(dados!$C$2:$C$55,$A416,dados!$AH$2:$AH$55,"&lt;&gt;")</f>
        <v/>
      </c>
      <c r="F416" s="7">
        <f>IFERROR(AVERAGEIFS(dados!$AH$2:$AH$55,dados!$C$2:$C$55,$A416),"")</f>
        <v/>
      </c>
      <c r="G416" s="7">
        <f t="array" ref="G416">IFERROR(MEDIAN(IF((dados!$C$2:$C$55=$A416)*(dados!$AH$2:$AH$55&lt;&gt;""),dados!$AH$2:$AH$55)),"")</f>
        <v/>
      </c>
      <c r="H416" s="7">
        <f t="array" ref="H416">IFERROR(STDEV(IF((dados!$C$2:$C$55=$A416)*(dados!$AH$2:$AH$55&lt;&gt;""),dados!$AH$2:$AH$55)),"")</f>
        <v/>
      </c>
      <c r="I416" s="7">
        <f>IF(COUNTIFS(dados!$C$2:$C$55,$A416,dados!$AH$2:$AH$55,"&lt;&gt;")=0,"",_xlfn.MINIFS(dados!$AH$2:$AH$55,dados!$C$2:$C$55,$A416))</f>
        <v/>
      </c>
      <c r="J416" s="7">
        <f>IF(COUNTIFS(dados!$C$2:$C$55,$A416,dados!$AH$2:$AH$55,"&lt;&gt;")=0,"",_xlfn.MAXIFS(dados!$AH$2:$AH$55,dados!$C$2:$C$55,$A416))</f>
        <v/>
      </c>
      <c r="K416" s="7">
        <f>IFERROR(J416-I416,"")</f>
        <v/>
      </c>
    </row>
    <row r="417">
      <c r="A417" s="2" t="inlineStr">
        <is>
          <t>São Paulo</t>
        </is>
      </c>
      <c r="B417" s="16" t="inlineStr">
        <is>
          <t>Cardápio</t>
        </is>
      </c>
      <c r="C417" s="2" t="inlineStr">
        <is>
          <t>refrigerante_mediana</t>
        </is>
      </c>
      <c r="D417" s="2" t="inlineStr">
        <is>
          <t>Refrigerante, mediana</t>
        </is>
      </c>
      <c r="E417" s="5">
        <f>COUNTIFS(dados!$C$2:$C$55,$A417,dados!$AI$2:$AI$55,"&lt;&gt;")</f>
        <v/>
      </c>
      <c r="F417" s="7">
        <f>IFERROR(AVERAGEIFS(dados!$AI$2:$AI$55,dados!$C$2:$C$55,$A417),"")</f>
        <v/>
      </c>
      <c r="G417" s="7">
        <f t="array" ref="G417">IFERROR(MEDIAN(IF((dados!$C$2:$C$55=$A417)*(dados!$AI$2:$AI$55&lt;&gt;""),dados!$AI$2:$AI$55)),"")</f>
        <v/>
      </c>
      <c r="H417" s="7">
        <f t="array" ref="H417">IFERROR(STDEV(IF((dados!$C$2:$C$55=$A417)*(dados!$AI$2:$AI$55&lt;&gt;""),dados!$AI$2:$AI$55)),"")</f>
        <v/>
      </c>
      <c r="I417" s="7">
        <f>IF(COUNTIFS(dados!$C$2:$C$55,$A417,dados!$AI$2:$AI$55,"&lt;&gt;")=0,"",_xlfn.MINIFS(dados!$AI$2:$AI$55,dados!$C$2:$C$55,$A417))</f>
        <v/>
      </c>
      <c r="J417" s="7">
        <f>IF(COUNTIFS(dados!$C$2:$C$55,$A417,dados!$AI$2:$AI$55,"&lt;&gt;")=0,"",_xlfn.MAXIFS(dados!$AI$2:$AI$55,dados!$C$2:$C$55,$A417))</f>
        <v/>
      </c>
      <c r="K417" s="7">
        <f>IFERROR(J417-I417,"")</f>
        <v/>
      </c>
    </row>
    <row r="418">
      <c r="A418" s="2" t="inlineStr">
        <is>
          <t>São Paulo</t>
        </is>
      </c>
      <c r="B418" s="16" t="inlineStr">
        <is>
          <t>Cardápio</t>
        </is>
      </c>
      <c r="C418" s="2" t="inlineStr">
        <is>
          <t>drinks_mediana</t>
        </is>
      </c>
      <c r="D418" s="2" t="inlineStr">
        <is>
          <t>Drinks, mediana</t>
        </is>
      </c>
      <c r="E418" s="5">
        <f>COUNTIFS(dados!$C$2:$C$55,$A418,dados!$AJ$2:$AJ$55,"&lt;&gt;")</f>
        <v/>
      </c>
      <c r="F418" s="7">
        <f>IFERROR(AVERAGEIFS(dados!$AJ$2:$AJ$55,dados!$C$2:$C$55,$A418),"")</f>
        <v/>
      </c>
      <c r="G418" s="7">
        <f t="array" ref="G418">IFERROR(MEDIAN(IF((dados!$C$2:$C$55=$A418)*(dados!$AJ$2:$AJ$55&lt;&gt;""),dados!$AJ$2:$AJ$55)),"")</f>
        <v/>
      </c>
      <c r="H418" s="7">
        <f t="array" ref="H418">IFERROR(STDEV(IF((dados!$C$2:$C$55=$A418)*(dados!$AJ$2:$AJ$55&lt;&gt;""),dados!$AJ$2:$AJ$55)),"")</f>
        <v/>
      </c>
      <c r="I418" s="7">
        <f>IF(COUNTIFS(dados!$C$2:$C$55,$A418,dados!$AJ$2:$AJ$55,"&lt;&gt;")=0,"",_xlfn.MINIFS(dados!$AJ$2:$AJ$55,dados!$C$2:$C$55,$A418))</f>
        <v/>
      </c>
      <c r="J418" s="7">
        <f>IF(COUNTIFS(dados!$C$2:$C$55,$A418,dados!$AJ$2:$AJ$55,"&lt;&gt;")=0,"",_xlfn.MAXIFS(dados!$AJ$2:$AJ$55,dados!$C$2:$C$55,$A418))</f>
        <v/>
      </c>
      <c r="K418" s="7">
        <f>IFERROR(J418-I418,"")</f>
        <v/>
      </c>
    </row>
    <row r="419">
      <c r="A419" s="2" t="inlineStr">
        <is>
          <t>São Paulo</t>
        </is>
      </c>
      <c r="B419" s="17" t="inlineStr">
        <is>
          <t>Acervo</t>
        </is>
      </c>
      <c r="C419" s="2" t="inlineStr">
        <is>
          <t>titulos_acervo</t>
        </is>
      </c>
      <c r="D419" s="2" t="inlineStr">
        <is>
          <t>Títulos no acervo publicado</t>
        </is>
      </c>
      <c r="E419" s="5">
        <f>COUNTIFS(dados!$C$2:$C$55,$A419,dados!$AK$2:$AK$55,"&lt;&gt;")</f>
        <v/>
      </c>
      <c r="F419" s="5">
        <f>IFERROR(AVERAGEIFS(dados!$AK$2:$AK$55,dados!$C$2:$C$55,$A419),"")</f>
        <v/>
      </c>
      <c r="G419" s="5">
        <f t="array" ref="G419">IFERROR(MEDIAN(IF((dados!$C$2:$C$55=$A419)*(dados!$AK$2:$AK$55&lt;&gt;""),dados!$AK$2:$AK$55)),"")</f>
        <v/>
      </c>
      <c r="H419" s="5">
        <f t="array" ref="H419">IFERROR(STDEV(IF((dados!$C$2:$C$55=$A419)*(dados!$AK$2:$AK$55&lt;&gt;""),dados!$AK$2:$AK$55)),"")</f>
        <v/>
      </c>
      <c r="I419" s="5">
        <f>IF(COUNTIFS(dados!$C$2:$C$55,$A419,dados!$AK$2:$AK$55,"&lt;&gt;")=0,"",_xlfn.MINIFS(dados!$AK$2:$AK$55,dados!$C$2:$C$55,$A419))</f>
        <v/>
      </c>
      <c r="J419" s="5">
        <f>IF(COUNTIFS(dados!$C$2:$C$55,$A419,dados!$AK$2:$AK$55,"&lt;&gt;")=0,"",_xlfn.MAXIFS(dados!$AK$2:$AK$55,dados!$C$2:$C$55,$A419))</f>
        <v/>
      </c>
      <c r="K419" s="5">
        <f>IFERROR(J419-I419,"")</f>
        <v/>
      </c>
    </row>
    <row r="420">
      <c r="A420" s="2" t="inlineStr">
        <is>
          <t>São Paulo</t>
        </is>
      </c>
      <c r="B420" s="18" t="inlineStr">
        <is>
          <t>B2</t>
        </is>
      </c>
      <c r="C420" s="2" t="inlineStr">
        <is>
          <t>avaliacoes_b2</t>
        </is>
      </c>
      <c r="D420" s="2" t="inlineStr">
        <is>
          <t>Avaliações no recorte do B2 (até '3 meses atrás')</t>
        </is>
      </c>
      <c r="E420" s="5">
        <f>COUNTIFS(dados!$C$2:$C$55,$A420,dados!$AL$2:$AL$55,"&lt;&gt;")</f>
        <v/>
      </c>
      <c r="F420" s="5">
        <f>IFERROR(AVERAGEIFS(dados!$AL$2:$AL$55,dados!$C$2:$C$55,$A420),"")</f>
        <v/>
      </c>
      <c r="G420" s="5">
        <f t="array" ref="G420">IFERROR(MEDIAN(IF((dados!$C$2:$C$55=$A420)*(dados!$AL$2:$AL$55&lt;&gt;""),dados!$AL$2:$AL$55)),"")</f>
        <v/>
      </c>
      <c r="H420" s="5">
        <f t="array" ref="H420">IFERROR(STDEV(IF((dados!$C$2:$C$55=$A420)*(dados!$AL$2:$AL$55&lt;&gt;""),dados!$AL$2:$AL$55)),"")</f>
        <v/>
      </c>
      <c r="I420" s="5">
        <f>IF(COUNTIFS(dados!$C$2:$C$55,$A420,dados!$AL$2:$AL$55,"&lt;&gt;")=0,"",_xlfn.MINIFS(dados!$AL$2:$AL$55,dados!$C$2:$C$55,$A420))</f>
        <v/>
      </c>
      <c r="J420" s="5">
        <f>IF(COUNTIFS(dados!$C$2:$C$55,$A420,dados!$AL$2:$AL$55,"&lt;&gt;")=0,"",_xlfn.MAXIFS(dados!$AL$2:$AL$55,dados!$C$2:$C$55,$A420))</f>
        <v/>
      </c>
      <c r="K420" s="5">
        <f>IFERROR(J420-I420,"")</f>
        <v/>
      </c>
    </row>
    <row r="421">
      <c r="A421" s="2" t="inlineStr">
        <is>
          <t>São Paulo</t>
        </is>
      </c>
      <c r="B421" s="18" t="inlineStr">
        <is>
          <t>B2</t>
        </is>
      </c>
      <c r="C421" s="2" t="inlineStr">
        <is>
          <t>avaliacoes_b2_com_texto</t>
        </is>
      </c>
      <c r="D421" s="2" t="inlineStr">
        <is>
          <t>Dessas, com texto</t>
        </is>
      </c>
      <c r="E421" s="5">
        <f>COUNTIFS(dados!$C$2:$C$55,$A421,dados!$AM$2:$AM$55,"&lt;&gt;")</f>
        <v/>
      </c>
      <c r="F421" s="5">
        <f>IFERROR(AVERAGEIFS(dados!$AM$2:$AM$55,dados!$C$2:$C$55,$A421),"")</f>
        <v/>
      </c>
      <c r="G421" s="5">
        <f t="array" ref="G421">IFERROR(MEDIAN(IF((dados!$C$2:$C$55=$A421)*(dados!$AM$2:$AM$55&lt;&gt;""),dados!$AM$2:$AM$55)),"")</f>
        <v/>
      </c>
      <c r="H421" s="5">
        <f t="array" ref="H421">IFERROR(STDEV(IF((dados!$C$2:$C$55=$A421)*(dados!$AM$2:$AM$55&lt;&gt;""),dados!$AM$2:$AM$55)),"")</f>
        <v/>
      </c>
      <c r="I421" s="5">
        <f>IF(COUNTIFS(dados!$C$2:$C$55,$A421,dados!$AM$2:$AM$55,"&lt;&gt;")=0,"",_xlfn.MINIFS(dados!$AM$2:$AM$55,dados!$C$2:$C$55,$A421))</f>
        <v/>
      </c>
      <c r="J421" s="5">
        <f>IF(COUNTIFS(dados!$C$2:$C$55,$A421,dados!$AM$2:$AM$55,"&lt;&gt;")=0,"",_xlfn.MAXIFS(dados!$AM$2:$AM$55,dados!$C$2:$C$55,$A421))</f>
        <v/>
      </c>
      <c r="K421" s="5">
        <f>IFERROR(J421-I421,"")</f>
        <v/>
      </c>
    </row>
    <row r="422">
      <c r="A422" s="2" t="inlineStr">
        <is>
          <t>Vitória</t>
        </is>
      </c>
      <c r="B422" s="11" t="inlineStr">
        <is>
          <t>Google Maps</t>
        </is>
      </c>
      <c r="C422" s="2" t="inlineStr">
        <is>
          <t>avaliacao_media</t>
        </is>
      </c>
      <c r="D422" s="2" t="inlineStr">
        <is>
          <t>Nota média no Google</t>
        </is>
      </c>
      <c r="E422" s="5">
        <f>COUNTIFS(dados!$C$2:$C$55,$A422,dados!$E$2:$E$55,"&lt;&gt;")</f>
        <v/>
      </c>
      <c r="F422" s="4">
        <f>IFERROR(AVERAGEIFS(dados!$E$2:$E$55,dados!$C$2:$C$55,$A422),"")</f>
        <v/>
      </c>
      <c r="G422" s="4">
        <f t="array" ref="G422">IFERROR(MEDIAN(IF((dados!$C$2:$C$55=$A422)*(dados!$E$2:$E$55&lt;&gt;""),dados!$E$2:$E$55)),"")</f>
        <v/>
      </c>
      <c r="H422" s="4">
        <f t="array" ref="H422">IFERROR(STDEV(IF((dados!$C$2:$C$55=$A422)*(dados!$E$2:$E$55&lt;&gt;""),dados!$E$2:$E$55)),"")</f>
        <v/>
      </c>
      <c r="I422" s="4">
        <f>IF(COUNTIFS(dados!$C$2:$C$55,$A422,dados!$E$2:$E$55,"&lt;&gt;")=0,"",_xlfn.MINIFS(dados!$E$2:$E$55,dados!$C$2:$C$55,$A422))</f>
        <v/>
      </c>
      <c r="J422" s="4">
        <f>IF(COUNTIFS(dados!$C$2:$C$55,$A422,dados!$E$2:$E$55,"&lt;&gt;")=0,"",_xlfn.MAXIFS(dados!$E$2:$E$55,dados!$C$2:$C$55,$A422))</f>
        <v/>
      </c>
      <c r="K422" s="4">
        <f>IFERROR(J422-I422,"")</f>
        <v/>
      </c>
    </row>
    <row r="423">
      <c r="A423" s="2" t="inlineStr">
        <is>
          <t>Vitória</t>
        </is>
      </c>
      <c r="B423" s="11" t="inlineStr">
        <is>
          <t>Google Maps</t>
        </is>
      </c>
      <c r="C423" s="2" t="inlineStr">
        <is>
          <t>volume_avaliacoes</t>
        </is>
      </c>
      <c r="D423" s="2" t="inlineStr">
        <is>
          <t>Nº de avaliações no Google</t>
        </is>
      </c>
      <c r="E423" s="5">
        <f>COUNTIFS(dados!$C$2:$C$55,$A423,dados!$F$2:$F$55,"&lt;&gt;")</f>
        <v/>
      </c>
      <c r="F423" s="5">
        <f>IFERROR(AVERAGEIFS(dados!$F$2:$F$55,dados!$C$2:$C$55,$A423),"")</f>
        <v/>
      </c>
      <c r="G423" s="5">
        <f t="array" ref="G423">IFERROR(MEDIAN(IF((dados!$C$2:$C$55=$A423)*(dados!$F$2:$F$55&lt;&gt;""),dados!$F$2:$F$55)),"")</f>
        <v/>
      </c>
      <c r="H423" s="5">
        <f t="array" ref="H423">IFERROR(STDEV(IF((dados!$C$2:$C$55=$A423)*(dados!$F$2:$F$55&lt;&gt;""),dados!$F$2:$F$55)),"")</f>
        <v/>
      </c>
      <c r="I423" s="5">
        <f>IF(COUNTIFS(dados!$C$2:$C$55,$A423,dados!$F$2:$F$55,"&lt;&gt;")=0,"",_xlfn.MINIFS(dados!$F$2:$F$55,dados!$C$2:$C$55,$A423))</f>
        <v/>
      </c>
      <c r="J423" s="5">
        <f>IF(COUNTIFS(dados!$C$2:$C$55,$A423,dados!$F$2:$F$55,"&lt;&gt;")=0,"",_xlfn.MAXIFS(dados!$F$2:$F$55,dados!$C$2:$C$55,$A423))</f>
        <v/>
      </c>
      <c r="K423" s="5">
        <f>IFERROR(J423-I423,"")</f>
        <v/>
      </c>
    </row>
    <row r="424">
      <c r="A424" s="2" t="inlineStr">
        <is>
          <t>Vitória</t>
        </is>
      </c>
      <c r="B424" s="12" t="inlineStr">
        <is>
          <t>Horários</t>
        </is>
      </c>
      <c r="C424" s="2" t="inlineStr">
        <is>
          <t>dias_abertos</t>
        </is>
      </c>
      <c r="D424" s="2" t="inlineStr">
        <is>
          <t>Dias abertos por semana</t>
        </is>
      </c>
      <c r="E424" s="5">
        <f>COUNTIFS(dados!$C$2:$C$55,$A424,dados!$G$2:$G$55,"&lt;&gt;")</f>
        <v/>
      </c>
      <c r="F424" s="6">
        <f>IFERROR(AVERAGEIFS(dados!$G$2:$G$55,dados!$C$2:$C$55,$A424),"")</f>
        <v/>
      </c>
      <c r="G424" s="6">
        <f t="array" ref="G424">IFERROR(MEDIAN(IF((dados!$C$2:$C$55=$A424)*(dados!$G$2:$G$55&lt;&gt;""),dados!$G$2:$G$55)),"")</f>
        <v/>
      </c>
      <c r="H424" s="6">
        <f t="array" ref="H424">IFERROR(STDEV(IF((dados!$C$2:$C$55=$A424)*(dados!$G$2:$G$55&lt;&gt;""),dados!$G$2:$G$55)),"")</f>
        <v/>
      </c>
      <c r="I424" s="6">
        <f>IF(COUNTIFS(dados!$C$2:$C$55,$A424,dados!$G$2:$G$55,"&lt;&gt;")=0,"",_xlfn.MINIFS(dados!$G$2:$G$55,dados!$C$2:$C$55,$A424))</f>
        <v/>
      </c>
      <c r="J424" s="6">
        <f>IF(COUNTIFS(dados!$C$2:$C$55,$A424,dados!$G$2:$G$55,"&lt;&gt;")=0,"",_xlfn.MAXIFS(dados!$G$2:$G$55,dados!$C$2:$C$55,$A424))</f>
        <v/>
      </c>
      <c r="K424" s="6">
        <f>IFERROR(J424-I424,"")</f>
        <v/>
      </c>
    </row>
    <row r="425">
      <c r="A425" s="2" t="inlineStr">
        <is>
          <t>Vitória</t>
        </is>
      </c>
      <c r="B425" s="12" t="inlineStr">
        <is>
          <t>Horários</t>
        </is>
      </c>
      <c r="C425" s="2" t="inlineStr">
        <is>
          <t>horas_semana</t>
        </is>
      </c>
      <c r="D425" s="2" t="inlineStr">
        <is>
          <t>Horas abertas por semana</t>
        </is>
      </c>
      <c r="E425" s="5">
        <f>COUNTIFS(dados!$C$2:$C$55,$A425,dados!$H$2:$H$55,"&lt;&gt;")</f>
        <v/>
      </c>
      <c r="F425" s="6">
        <f>IFERROR(AVERAGEIFS(dados!$H$2:$H$55,dados!$C$2:$C$55,$A425),"")</f>
        <v/>
      </c>
      <c r="G425" s="6">
        <f t="array" ref="G425">IFERROR(MEDIAN(IF((dados!$C$2:$C$55=$A425)*(dados!$H$2:$H$55&lt;&gt;""),dados!$H$2:$H$55)),"")</f>
        <v/>
      </c>
      <c r="H425" s="6">
        <f t="array" ref="H425">IFERROR(STDEV(IF((dados!$C$2:$C$55=$A425)*(dados!$H$2:$H$55&lt;&gt;""),dados!$H$2:$H$55)),"")</f>
        <v/>
      </c>
      <c r="I425" s="6">
        <f>IF(COUNTIFS(dados!$C$2:$C$55,$A425,dados!$H$2:$H$55,"&lt;&gt;")=0,"",_xlfn.MINIFS(dados!$H$2:$H$55,dados!$C$2:$C$55,$A425))</f>
        <v/>
      </c>
      <c r="J425" s="6">
        <f>IF(COUNTIFS(dados!$C$2:$C$55,$A425,dados!$H$2:$H$55,"&lt;&gt;")=0,"",_xlfn.MAXIFS(dados!$H$2:$H$55,dados!$C$2:$C$55,$A425))</f>
        <v/>
      </c>
      <c r="K425" s="6">
        <f>IFERROR(J425-I425,"")</f>
        <v/>
      </c>
    </row>
    <row r="426">
      <c r="A426" s="2" t="inlineStr">
        <is>
          <t>Vitória</t>
        </is>
      </c>
      <c r="B426" s="12" t="inlineStr">
        <is>
          <t>Horários</t>
        </is>
      </c>
      <c r="C426" s="2" t="inlineStr">
        <is>
          <t>abre_cedo_h</t>
        </is>
      </c>
      <c r="D426" s="2" t="inlineStr">
        <is>
          <t>Abertura mais cedo da semana</t>
        </is>
      </c>
      <c r="E426" s="5">
        <f>COUNTIFS(dados!$C$2:$C$55,$A426,dados!$I$2:$I$55,"&lt;&gt;")</f>
        <v/>
      </c>
      <c r="F426" s="6">
        <f>IFERROR(AVERAGEIFS(dados!$I$2:$I$55,dados!$C$2:$C$55,$A426),"")</f>
        <v/>
      </c>
      <c r="G426" s="6">
        <f t="array" ref="G426">IFERROR(MEDIAN(IF((dados!$C$2:$C$55=$A426)*(dados!$I$2:$I$55&lt;&gt;""),dados!$I$2:$I$55)),"")</f>
        <v/>
      </c>
      <c r="H426" s="6">
        <f t="array" ref="H426">IFERROR(STDEV(IF((dados!$C$2:$C$55=$A426)*(dados!$I$2:$I$55&lt;&gt;""),dados!$I$2:$I$55)),"")</f>
        <v/>
      </c>
      <c r="I426" s="6">
        <f>IF(COUNTIFS(dados!$C$2:$C$55,$A426,dados!$I$2:$I$55,"&lt;&gt;")=0,"",_xlfn.MINIFS(dados!$I$2:$I$55,dados!$C$2:$C$55,$A426))</f>
        <v/>
      </c>
      <c r="J426" s="6">
        <f>IF(COUNTIFS(dados!$C$2:$C$55,$A426,dados!$I$2:$I$55,"&lt;&gt;")=0,"",_xlfn.MAXIFS(dados!$I$2:$I$55,dados!$C$2:$C$55,$A426))</f>
        <v/>
      </c>
      <c r="K426" s="6">
        <f>IFERROR(J426-I426,"")</f>
        <v/>
      </c>
    </row>
    <row r="427">
      <c r="A427" s="2" t="inlineStr">
        <is>
          <t>Vitória</t>
        </is>
      </c>
      <c r="B427" s="12" t="inlineStr">
        <is>
          <t>Horários</t>
        </is>
      </c>
      <c r="C427" s="2" t="inlineStr">
        <is>
          <t>fecha_tarde_h</t>
        </is>
      </c>
      <c r="D427" s="2" t="inlineStr">
        <is>
          <t>Fechamento mais tarde da semana (25 = 1h da manhã)</t>
        </is>
      </c>
      <c r="E427" s="5">
        <f>COUNTIFS(dados!$C$2:$C$55,$A427,dados!$J$2:$J$55,"&lt;&gt;")</f>
        <v/>
      </c>
      <c r="F427" s="6">
        <f>IFERROR(AVERAGEIFS(dados!$J$2:$J$55,dados!$C$2:$C$55,$A427),"")</f>
        <v/>
      </c>
      <c r="G427" s="6">
        <f t="array" ref="G427">IFERROR(MEDIAN(IF((dados!$C$2:$C$55=$A427)*(dados!$J$2:$J$55&lt;&gt;""),dados!$J$2:$J$55)),"")</f>
        <v/>
      </c>
      <c r="H427" s="6">
        <f t="array" ref="H427">IFERROR(STDEV(IF((dados!$C$2:$C$55=$A427)*(dados!$J$2:$J$55&lt;&gt;""),dados!$J$2:$J$55)),"")</f>
        <v/>
      </c>
      <c r="I427" s="6">
        <f>IF(COUNTIFS(dados!$C$2:$C$55,$A427,dados!$J$2:$J$55,"&lt;&gt;")=0,"",_xlfn.MINIFS(dados!$J$2:$J$55,dados!$C$2:$C$55,$A427))</f>
        <v/>
      </c>
      <c r="J427" s="6">
        <f>IF(COUNTIFS(dados!$C$2:$C$55,$A427,dados!$J$2:$J$55,"&lt;&gt;")=0,"",_xlfn.MAXIFS(dados!$J$2:$J$55,dados!$C$2:$C$55,$A427))</f>
        <v/>
      </c>
      <c r="K427" s="6">
        <f>IFERROR(J427-I427,"")</f>
        <v/>
      </c>
    </row>
    <row r="428">
      <c r="A428" s="2" t="inlineStr">
        <is>
          <t>Vitória</t>
        </is>
      </c>
      <c r="B428" s="13" t="inlineStr">
        <is>
          <t>Entorno</t>
        </is>
      </c>
      <c r="C428" s="2" t="inlineStr">
        <is>
          <t>metro_500m</t>
        </is>
      </c>
      <c r="D428" s="2" t="inlineStr">
        <is>
          <t>Estações de metrô até 500 m</t>
        </is>
      </c>
      <c r="E428" s="5">
        <f>COUNTIFS(dados!$C$2:$C$55,$A428,dados!$K$2:$K$55,"&lt;&gt;")</f>
        <v/>
      </c>
      <c r="F428" s="4">
        <f>IFERROR(AVERAGEIFS(dados!$K$2:$K$55,dados!$C$2:$C$55,$A428),"")</f>
        <v/>
      </c>
      <c r="G428" s="4">
        <f t="array" ref="G428">IFERROR(MEDIAN(IF((dados!$C$2:$C$55=$A428)*(dados!$K$2:$K$55&lt;&gt;""),dados!$K$2:$K$55)),"")</f>
        <v/>
      </c>
      <c r="H428" s="4">
        <f t="array" ref="H428">IFERROR(STDEV(IF((dados!$C$2:$C$55=$A428)*(dados!$K$2:$K$55&lt;&gt;""),dados!$K$2:$K$55)),"")</f>
        <v/>
      </c>
      <c r="I428" s="4">
        <f>IF(COUNTIFS(dados!$C$2:$C$55,$A428,dados!$K$2:$K$55,"&lt;&gt;")=0,"",_xlfn.MINIFS(dados!$K$2:$K$55,dados!$C$2:$C$55,$A428))</f>
        <v/>
      </c>
      <c r="J428" s="4">
        <f>IF(COUNTIFS(dados!$C$2:$C$55,$A428,dados!$K$2:$K$55,"&lt;&gt;")=0,"",_xlfn.MAXIFS(dados!$K$2:$K$55,dados!$C$2:$C$55,$A428))</f>
        <v/>
      </c>
      <c r="K428" s="4">
        <f>IFERROR(J428-I428,"")</f>
        <v/>
      </c>
    </row>
    <row r="429">
      <c r="A429" s="2" t="inlineStr">
        <is>
          <t>Vitória</t>
        </is>
      </c>
      <c r="B429" s="13" t="inlineStr">
        <is>
          <t>Entorno</t>
        </is>
      </c>
      <c r="C429" s="2" t="inlineStr">
        <is>
          <t>metro_1000m</t>
        </is>
      </c>
      <c r="D429" s="2" t="inlineStr">
        <is>
          <t>Estações de metrô até 1000 m</t>
        </is>
      </c>
      <c r="E429" s="5">
        <f>COUNTIFS(dados!$C$2:$C$55,$A429,dados!$L$2:$L$55,"&lt;&gt;")</f>
        <v/>
      </c>
      <c r="F429" s="4">
        <f>IFERROR(AVERAGEIFS(dados!$L$2:$L$55,dados!$C$2:$C$55,$A429),"")</f>
        <v/>
      </c>
      <c r="G429" s="4">
        <f t="array" ref="G429">IFERROR(MEDIAN(IF((dados!$C$2:$C$55=$A429)*(dados!$L$2:$L$55&lt;&gt;""),dados!$L$2:$L$55)),"")</f>
        <v/>
      </c>
      <c r="H429" s="4">
        <f t="array" ref="H429">IFERROR(STDEV(IF((dados!$C$2:$C$55=$A429)*(dados!$L$2:$L$55&lt;&gt;""),dados!$L$2:$L$55)),"")</f>
        <v/>
      </c>
      <c r="I429" s="4">
        <f>IF(COUNTIFS(dados!$C$2:$C$55,$A429,dados!$L$2:$L$55,"&lt;&gt;")=0,"",_xlfn.MINIFS(dados!$L$2:$L$55,dados!$C$2:$C$55,$A429))</f>
        <v/>
      </c>
      <c r="J429" s="4">
        <f>IF(COUNTIFS(dados!$C$2:$C$55,$A429,dados!$L$2:$L$55,"&lt;&gt;")=0,"",_xlfn.MAXIFS(dados!$L$2:$L$55,dados!$C$2:$C$55,$A429))</f>
        <v/>
      </c>
      <c r="K429" s="4">
        <f>IFERROR(J429-I429,"")</f>
        <v/>
      </c>
    </row>
    <row r="430">
      <c r="A430" s="2" t="inlineStr">
        <is>
          <t>Vitória</t>
        </is>
      </c>
      <c r="B430" s="13" t="inlineStr">
        <is>
          <t>Entorno</t>
        </is>
      </c>
      <c r="C430" s="2" t="inlineStr">
        <is>
          <t>dist_metro_m</t>
        </is>
      </c>
      <c r="D430" s="2" t="inlineStr">
        <is>
          <t>Distância à estação de metrô mais próxima</t>
        </is>
      </c>
      <c r="E430" s="5">
        <f>COUNTIFS(dados!$C$2:$C$55,$A430,dados!$M$2:$M$55,"&lt;&gt;")</f>
        <v/>
      </c>
      <c r="F430" s="5">
        <f>IFERROR(AVERAGEIFS(dados!$M$2:$M$55,dados!$C$2:$C$55,$A430),"")</f>
        <v/>
      </c>
      <c r="G430" s="5">
        <f t="array" ref="G430">IFERROR(MEDIAN(IF((dados!$C$2:$C$55=$A430)*(dados!$M$2:$M$55&lt;&gt;""),dados!$M$2:$M$55)),"")</f>
        <v/>
      </c>
      <c r="H430" s="5">
        <f t="array" ref="H430">IFERROR(STDEV(IF((dados!$C$2:$C$55=$A430)*(dados!$M$2:$M$55&lt;&gt;""),dados!$M$2:$M$55)),"")</f>
        <v/>
      </c>
      <c r="I430" s="5">
        <f>IF(COUNTIFS(dados!$C$2:$C$55,$A430,dados!$M$2:$M$55,"&lt;&gt;")=0,"",_xlfn.MINIFS(dados!$M$2:$M$55,dados!$C$2:$C$55,$A430))</f>
        <v/>
      </c>
      <c r="J430" s="5">
        <f>IF(COUNTIFS(dados!$C$2:$C$55,$A430,dados!$M$2:$M$55,"&lt;&gt;")=0,"",_xlfn.MAXIFS(dados!$M$2:$M$55,dados!$C$2:$C$55,$A430))</f>
        <v/>
      </c>
      <c r="K430" s="5">
        <f>IFERROR(J430-I430,"")</f>
        <v/>
      </c>
    </row>
    <row r="431">
      <c r="A431" s="2" t="inlineStr">
        <is>
          <t>Vitória</t>
        </is>
      </c>
      <c r="B431" s="13" t="inlineStr">
        <is>
          <t>Entorno</t>
        </is>
      </c>
      <c r="C431" s="2" t="inlineStr">
        <is>
          <t>shopping_porte_500m</t>
        </is>
      </c>
      <c r="D431" s="2" t="inlineStr">
        <is>
          <t>Shoppings de porte até 500 m (onde o porte foi buscado)</t>
        </is>
      </c>
      <c r="E431" s="5">
        <f>COUNTIFS(dados!$C$2:$C$55,$A431,dados!$N$2:$N$55,"&lt;&gt;")</f>
        <v/>
      </c>
      <c r="F431" s="4">
        <f>IFERROR(AVERAGEIFS(dados!$N$2:$N$55,dados!$C$2:$C$55,$A431),"")</f>
        <v/>
      </c>
      <c r="G431" s="4">
        <f t="array" ref="G431">IFERROR(MEDIAN(IF((dados!$C$2:$C$55=$A431)*(dados!$N$2:$N$55&lt;&gt;""),dados!$N$2:$N$55)),"")</f>
        <v/>
      </c>
      <c r="H431" s="4">
        <f t="array" ref="H431">IFERROR(STDEV(IF((dados!$C$2:$C$55=$A431)*(dados!$N$2:$N$55&lt;&gt;""),dados!$N$2:$N$55)),"")</f>
        <v/>
      </c>
      <c r="I431" s="4">
        <f>IF(COUNTIFS(dados!$C$2:$C$55,$A431,dados!$N$2:$N$55,"&lt;&gt;")=0,"",_xlfn.MINIFS(dados!$N$2:$N$55,dados!$C$2:$C$55,$A431))</f>
        <v/>
      </c>
      <c r="J431" s="4">
        <f>IF(COUNTIFS(dados!$C$2:$C$55,$A431,dados!$N$2:$N$55,"&lt;&gt;")=0,"",_xlfn.MAXIFS(dados!$N$2:$N$55,dados!$C$2:$C$55,$A431))</f>
        <v/>
      </c>
      <c r="K431" s="4">
        <f>IFERROR(J431-I431,"")</f>
        <v/>
      </c>
    </row>
    <row r="432">
      <c r="A432" s="2" t="inlineStr">
        <is>
          <t>Vitória</t>
        </is>
      </c>
      <c r="B432" s="13" t="inlineStr">
        <is>
          <t>Entorno</t>
        </is>
      </c>
      <c r="C432" s="2" t="inlineStr">
        <is>
          <t>shopping_porte_1000m</t>
        </is>
      </c>
      <c r="D432" s="2" t="inlineStr">
        <is>
          <t>Shoppings de porte até 1000 m (onde o porte foi buscado)</t>
        </is>
      </c>
      <c r="E432" s="5">
        <f>COUNTIFS(dados!$C$2:$C$55,$A432,dados!$O$2:$O$55,"&lt;&gt;")</f>
        <v/>
      </c>
      <c r="F432" s="4">
        <f>IFERROR(AVERAGEIFS(dados!$O$2:$O$55,dados!$C$2:$C$55,$A432),"")</f>
        <v/>
      </c>
      <c r="G432" s="4">
        <f t="array" ref="G432">IFERROR(MEDIAN(IF((dados!$C$2:$C$55=$A432)*(dados!$O$2:$O$55&lt;&gt;""),dados!$O$2:$O$55)),"")</f>
        <v/>
      </c>
      <c r="H432" s="4">
        <f t="array" ref="H432">IFERROR(STDEV(IF((dados!$C$2:$C$55=$A432)*(dados!$O$2:$O$55&lt;&gt;""),dados!$O$2:$O$55)),"")</f>
        <v/>
      </c>
      <c r="I432" s="4">
        <f>IF(COUNTIFS(dados!$C$2:$C$55,$A432,dados!$O$2:$O$55,"&lt;&gt;")=0,"",_xlfn.MINIFS(dados!$O$2:$O$55,dados!$C$2:$C$55,$A432))</f>
        <v/>
      </c>
      <c r="J432" s="4">
        <f>IF(COUNTIFS(dados!$C$2:$C$55,$A432,dados!$O$2:$O$55,"&lt;&gt;")=0,"",_xlfn.MAXIFS(dados!$O$2:$O$55,dados!$C$2:$C$55,$A432))</f>
        <v/>
      </c>
      <c r="K432" s="4">
        <f>IFERROR(J432-I432,"")</f>
        <v/>
      </c>
    </row>
    <row r="433">
      <c r="A433" s="2" t="inlineStr">
        <is>
          <t>Vitória</t>
        </is>
      </c>
      <c r="B433" s="13" t="inlineStr">
        <is>
          <t>Entorno</t>
        </is>
      </c>
      <c r="C433" s="2" t="inlineStr">
        <is>
          <t>dist_shopping_m</t>
        </is>
      </c>
      <c r="D433" s="2" t="inlineStr">
        <is>
          <t>Distância ao shopping mais próximo (qualquer porte)</t>
        </is>
      </c>
      <c r="E433" s="5">
        <f>COUNTIFS(dados!$C$2:$C$55,$A433,dados!$P$2:$P$55,"&lt;&gt;")</f>
        <v/>
      </c>
      <c r="F433" s="5">
        <f>IFERROR(AVERAGEIFS(dados!$P$2:$P$55,dados!$C$2:$C$55,$A433),"")</f>
        <v/>
      </c>
      <c r="G433" s="5">
        <f t="array" ref="G433">IFERROR(MEDIAN(IF((dados!$C$2:$C$55=$A433)*(dados!$P$2:$P$55&lt;&gt;""),dados!$P$2:$P$55)),"")</f>
        <v/>
      </c>
      <c r="H433" s="5">
        <f t="array" ref="H433">IFERROR(STDEV(IF((dados!$C$2:$C$55=$A433)*(dados!$P$2:$P$55&lt;&gt;""),dados!$P$2:$P$55)),"")</f>
        <v/>
      </c>
      <c r="I433" s="5">
        <f>IF(COUNTIFS(dados!$C$2:$C$55,$A433,dados!$P$2:$P$55,"&lt;&gt;")=0,"",_xlfn.MINIFS(dados!$P$2:$P$55,dados!$C$2:$C$55,$A433))</f>
        <v/>
      </c>
      <c r="J433" s="5">
        <f>IF(COUNTIFS(dados!$C$2:$C$55,$A433,dados!$P$2:$P$55,"&lt;&gt;")=0,"",_xlfn.MAXIFS(dados!$P$2:$P$55,dados!$C$2:$C$55,$A433))</f>
        <v/>
      </c>
      <c r="K433" s="5">
        <f>IFERROR(J433-I433,"")</f>
        <v/>
      </c>
    </row>
    <row r="434">
      <c r="A434" s="2" t="inlineStr">
        <is>
          <t>Vitória</t>
        </is>
      </c>
      <c r="B434" s="14" t="inlineStr">
        <is>
          <t>Instagram</t>
        </is>
      </c>
      <c r="C434" s="2" t="inlineStr">
        <is>
          <t>seguidores</t>
        </is>
      </c>
      <c r="D434" s="2" t="inlineStr">
        <is>
          <t>Seguidores</t>
        </is>
      </c>
      <c r="E434" s="5">
        <f>COUNTIFS(dados!$C$2:$C$55,$A434,dados!$Q$2:$Q$55,"&lt;&gt;")</f>
        <v/>
      </c>
      <c r="F434" s="5">
        <f>IFERROR(AVERAGEIFS(dados!$Q$2:$Q$55,dados!$C$2:$C$55,$A434),"")</f>
        <v/>
      </c>
      <c r="G434" s="5">
        <f t="array" ref="G434">IFERROR(MEDIAN(IF((dados!$C$2:$C$55=$A434)*(dados!$Q$2:$Q$55&lt;&gt;""),dados!$Q$2:$Q$55)),"")</f>
        <v/>
      </c>
      <c r="H434" s="5">
        <f t="array" ref="H434">IFERROR(STDEV(IF((dados!$C$2:$C$55=$A434)*(dados!$Q$2:$Q$55&lt;&gt;""),dados!$Q$2:$Q$55)),"")</f>
        <v/>
      </c>
      <c r="I434" s="5">
        <f>IF(COUNTIFS(dados!$C$2:$C$55,$A434,dados!$Q$2:$Q$55,"&lt;&gt;")=0,"",_xlfn.MINIFS(dados!$Q$2:$Q$55,dados!$C$2:$C$55,$A434))</f>
        <v/>
      </c>
      <c r="J434" s="5">
        <f>IF(COUNTIFS(dados!$C$2:$C$55,$A434,dados!$Q$2:$Q$55,"&lt;&gt;")=0,"",_xlfn.MAXIFS(dados!$Q$2:$Q$55,dados!$C$2:$C$55,$A434))</f>
        <v/>
      </c>
      <c r="K434" s="5">
        <f>IFERROR(J434-I434,"")</f>
        <v/>
      </c>
    </row>
    <row r="435">
      <c r="A435" s="2" t="inlineStr">
        <is>
          <t>Vitória</t>
        </is>
      </c>
      <c r="B435" s="14" t="inlineStr">
        <is>
          <t>Instagram</t>
        </is>
      </c>
      <c r="C435" s="2" t="inlineStr">
        <is>
          <t>n_posts_total</t>
        </is>
      </c>
      <c r="D435" s="2" t="inlineStr">
        <is>
          <t>Posts desde a criação do perfil</t>
        </is>
      </c>
      <c r="E435" s="5">
        <f>COUNTIFS(dados!$C$2:$C$55,$A435,dados!$R$2:$R$55,"&lt;&gt;")</f>
        <v/>
      </c>
      <c r="F435" s="5">
        <f>IFERROR(AVERAGEIFS(dados!$R$2:$R$55,dados!$C$2:$C$55,$A435),"")</f>
        <v/>
      </c>
      <c r="G435" s="5">
        <f t="array" ref="G435">IFERROR(MEDIAN(IF((dados!$C$2:$C$55=$A435)*(dados!$R$2:$R$55&lt;&gt;""),dados!$R$2:$R$55)),"")</f>
        <v/>
      </c>
      <c r="H435" s="5">
        <f t="array" ref="H435">IFERROR(STDEV(IF((dados!$C$2:$C$55=$A435)*(dados!$R$2:$R$55&lt;&gt;""),dados!$R$2:$R$55)),"")</f>
        <v/>
      </c>
      <c r="I435" s="5">
        <f>IF(COUNTIFS(dados!$C$2:$C$55,$A435,dados!$R$2:$R$55,"&lt;&gt;")=0,"",_xlfn.MINIFS(dados!$R$2:$R$55,dados!$C$2:$C$55,$A435))</f>
        <v/>
      </c>
      <c r="J435" s="5">
        <f>IF(COUNTIFS(dados!$C$2:$C$55,$A435,dados!$R$2:$R$55,"&lt;&gt;")=0,"",_xlfn.MAXIFS(dados!$R$2:$R$55,dados!$C$2:$C$55,$A435))</f>
        <v/>
      </c>
      <c r="K435" s="5">
        <f>IFERROR(J435-I435,"")</f>
        <v/>
      </c>
    </row>
    <row r="436">
      <c r="A436" s="2" t="inlineStr">
        <is>
          <t>Vitória</t>
        </is>
      </c>
      <c r="B436" s="14" t="inlineStr">
        <is>
          <t>Instagram</t>
        </is>
      </c>
      <c r="C436" s="2" t="inlineStr">
        <is>
          <t>idade_perfil_anos</t>
        </is>
      </c>
      <c r="D436" s="2" t="inlineStr">
        <is>
          <t>Idade do perfil (desde o primeiro post até 15/10/2026)</t>
        </is>
      </c>
      <c r="E436" s="5">
        <f>COUNTIFS(dados!$C$2:$C$55,$A436,dados!$S$2:$S$55,"&lt;&gt;")</f>
        <v/>
      </c>
      <c r="F436" s="6">
        <f>IFERROR(AVERAGEIFS(dados!$S$2:$S$55,dados!$C$2:$C$55,$A436),"")</f>
        <v/>
      </c>
      <c r="G436" s="6">
        <f t="array" ref="G436">IFERROR(MEDIAN(IF((dados!$C$2:$C$55=$A436)*(dados!$S$2:$S$55&lt;&gt;""),dados!$S$2:$S$55)),"")</f>
        <v/>
      </c>
      <c r="H436" s="6">
        <f t="array" ref="H436">IFERROR(STDEV(IF((dados!$C$2:$C$55=$A436)*(dados!$S$2:$S$55&lt;&gt;""),dados!$S$2:$S$55)),"")</f>
        <v/>
      </c>
      <c r="I436" s="6">
        <f>IF(COUNTIFS(dados!$C$2:$C$55,$A436,dados!$S$2:$S$55,"&lt;&gt;")=0,"",_xlfn.MINIFS(dados!$S$2:$S$55,dados!$C$2:$C$55,$A436))</f>
        <v/>
      </c>
      <c r="J436" s="6">
        <f>IF(COUNTIFS(dados!$C$2:$C$55,$A436,dados!$S$2:$S$55,"&lt;&gt;")=0,"",_xlfn.MAXIFS(dados!$S$2:$S$55,dados!$C$2:$C$55,$A436))</f>
        <v/>
      </c>
      <c r="K436" s="6">
        <f>IFERROR(J436-I436,"")</f>
        <v/>
      </c>
    </row>
    <row r="437">
      <c r="A437" s="2" t="inlineStr">
        <is>
          <t>Vitória</t>
        </is>
      </c>
      <c r="B437" s="14" t="inlineStr">
        <is>
          <t>Instagram</t>
        </is>
      </c>
      <c r="C437" s="2" t="inlineStr">
        <is>
          <t>n_posts_periodo</t>
        </is>
      </c>
      <c r="D437" s="2" t="inlineStr">
        <is>
          <t>Posts de 01/09 a 01/10/2026</t>
        </is>
      </c>
      <c r="E437" s="5">
        <f>COUNTIFS(dados!$C$2:$C$55,$A437,dados!$T$2:$T$55,"&lt;&gt;")</f>
        <v/>
      </c>
      <c r="F437" s="6">
        <f>IFERROR(AVERAGEIFS(dados!$T$2:$T$55,dados!$C$2:$C$55,$A437),"")</f>
        <v/>
      </c>
      <c r="G437" s="6">
        <f t="array" ref="G437">IFERROR(MEDIAN(IF((dados!$C$2:$C$55=$A437)*(dados!$T$2:$T$55&lt;&gt;""),dados!$T$2:$T$55)),"")</f>
        <v/>
      </c>
      <c r="H437" s="6">
        <f t="array" ref="H437">IFERROR(STDEV(IF((dados!$C$2:$C$55=$A437)*(dados!$T$2:$T$55&lt;&gt;""),dados!$T$2:$T$55)),"")</f>
        <v/>
      </c>
      <c r="I437" s="6">
        <f>IF(COUNTIFS(dados!$C$2:$C$55,$A437,dados!$T$2:$T$55,"&lt;&gt;")=0,"",_xlfn.MINIFS(dados!$T$2:$T$55,dados!$C$2:$C$55,$A437))</f>
        <v/>
      </c>
      <c r="J437" s="6">
        <f>IF(COUNTIFS(dados!$C$2:$C$55,$A437,dados!$T$2:$T$55,"&lt;&gt;")=0,"",_xlfn.MAXIFS(dados!$T$2:$T$55,dados!$C$2:$C$55,$A437))</f>
        <v/>
      </c>
      <c r="K437" s="6">
        <f>IFERROR(J437-I437,"")</f>
        <v/>
      </c>
    </row>
    <row r="438">
      <c r="A438" s="2" t="inlineStr">
        <is>
          <t>Vitória</t>
        </is>
      </c>
      <c r="B438" s="14" t="inlineStr">
        <is>
          <t>Instagram</t>
        </is>
      </c>
      <c r="C438" s="2" t="inlineStr">
        <is>
          <t>curtidas_periodo</t>
        </is>
      </c>
      <c r="D438" s="2" t="inlineStr">
        <is>
          <t>Curtidas no período</t>
        </is>
      </c>
      <c r="E438" s="5">
        <f>COUNTIFS(dados!$C$2:$C$55,$A438,dados!$U$2:$U$55,"&lt;&gt;")</f>
        <v/>
      </c>
      <c r="F438" s="5">
        <f>IFERROR(AVERAGEIFS(dados!$U$2:$U$55,dados!$C$2:$C$55,$A438),"")</f>
        <v/>
      </c>
      <c r="G438" s="5">
        <f t="array" ref="G438">IFERROR(MEDIAN(IF((dados!$C$2:$C$55=$A438)*(dados!$U$2:$U$55&lt;&gt;""),dados!$U$2:$U$55)),"")</f>
        <v/>
      </c>
      <c r="H438" s="5">
        <f t="array" ref="H438">IFERROR(STDEV(IF((dados!$C$2:$C$55=$A438)*(dados!$U$2:$U$55&lt;&gt;""),dados!$U$2:$U$55)),"")</f>
        <v/>
      </c>
      <c r="I438" s="5">
        <f>IF(COUNTIFS(dados!$C$2:$C$55,$A438,dados!$U$2:$U$55,"&lt;&gt;")=0,"",_xlfn.MINIFS(dados!$U$2:$U$55,dados!$C$2:$C$55,$A438))</f>
        <v/>
      </c>
      <c r="J438" s="5">
        <f>IF(COUNTIFS(dados!$C$2:$C$55,$A438,dados!$U$2:$U$55,"&lt;&gt;")=0,"",_xlfn.MAXIFS(dados!$U$2:$U$55,dados!$C$2:$C$55,$A438))</f>
        <v/>
      </c>
      <c r="K438" s="5">
        <f>IFERROR(J438-I438,"")</f>
        <v/>
      </c>
    </row>
    <row r="439">
      <c r="A439" s="2" t="inlineStr">
        <is>
          <t>Vitória</t>
        </is>
      </c>
      <c r="B439" s="14" t="inlineStr">
        <is>
          <t>Instagram</t>
        </is>
      </c>
      <c r="C439" s="2" t="inlineStr">
        <is>
          <t>comentarios_periodo</t>
        </is>
      </c>
      <c r="D439" s="2" t="inlineStr">
        <is>
          <t>Comentários no período</t>
        </is>
      </c>
      <c r="E439" s="5">
        <f>COUNTIFS(dados!$C$2:$C$55,$A439,dados!$V$2:$V$55,"&lt;&gt;")</f>
        <v/>
      </c>
      <c r="F439" s="5">
        <f>IFERROR(AVERAGEIFS(dados!$V$2:$V$55,dados!$C$2:$C$55,$A439),"")</f>
        <v/>
      </c>
      <c r="G439" s="5">
        <f t="array" ref="G439">IFERROR(MEDIAN(IF((dados!$C$2:$C$55=$A439)*(dados!$V$2:$V$55&lt;&gt;""),dados!$V$2:$V$55)),"")</f>
        <v/>
      </c>
      <c r="H439" s="5">
        <f t="array" ref="H439">IFERROR(STDEV(IF((dados!$C$2:$C$55=$A439)*(dados!$V$2:$V$55&lt;&gt;""),dados!$V$2:$V$55)),"")</f>
        <v/>
      </c>
      <c r="I439" s="5">
        <f>IF(COUNTIFS(dados!$C$2:$C$55,$A439,dados!$V$2:$V$55,"&lt;&gt;")=0,"",_xlfn.MINIFS(dados!$V$2:$V$55,dados!$C$2:$C$55,$A439))</f>
        <v/>
      </c>
      <c r="J439" s="5">
        <f>IF(COUNTIFS(dados!$C$2:$C$55,$A439,dados!$V$2:$V$55,"&lt;&gt;")=0,"",_xlfn.MAXIFS(dados!$V$2:$V$55,dados!$C$2:$C$55,$A439))</f>
        <v/>
      </c>
      <c r="K439" s="5">
        <f>IFERROR(J439-I439,"")</f>
        <v/>
      </c>
    </row>
    <row r="440">
      <c r="A440" s="2" t="inlineStr">
        <is>
          <t>Vitória</t>
        </is>
      </c>
      <c r="B440" s="14" t="inlineStr">
        <is>
          <t>Instagram</t>
        </is>
      </c>
      <c r="C440" s="2" t="inlineStr">
        <is>
          <t>interacoes_por_post</t>
        </is>
      </c>
      <c r="D440" s="2" t="inlineStr">
        <is>
          <t>Interações por post no período (curtidas + comentários)</t>
        </is>
      </c>
      <c r="E440" s="5">
        <f>COUNTIFS(dados!$C$2:$C$55,$A440,dados!$W$2:$W$55,"&lt;&gt;")</f>
        <v/>
      </c>
      <c r="F440" s="6">
        <f>IFERROR(AVERAGEIFS(dados!$W$2:$W$55,dados!$C$2:$C$55,$A440),"")</f>
        <v/>
      </c>
      <c r="G440" s="6">
        <f t="array" ref="G440">IFERROR(MEDIAN(IF((dados!$C$2:$C$55=$A440)*(dados!$W$2:$W$55&lt;&gt;""),dados!$W$2:$W$55)),"")</f>
        <v/>
      </c>
      <c r="H440" s="6">
        <f t="array" ref="H440">IFERROR(STDEV(IF((dados!$C$2:$C$55=$A440)*(dados!$W$2:$W$55&lt;&gt;""),dados!$W$2:$W$55)),"")</f>
        <v/>
      </c>
      <c r="I440" s="6">
        <f>IF(COUNTIFS(dados!$C$2:$C$55,$A440,dados!$W$2:$W$55,"&lt;&gt;")=0,"",_xlfn.MINIFS(dados!$W$2:$W$55,dados!$C$2:$C$55,$A440))</f>
        <v/>
      </c>
      <c r="J440" s="6">
        <f>IF(COUNTIFS(dados!$C$2:$C$55,$A440,dados!$W$2:$W$55,"&lt;&gt;")=0,"",_xlfn.MAXIFS(dados!$W$2:$W$55,dados!$C$2:$C$55,$A440))</f>
        <v/>
      </c>
      <c r="K440" s="6">
        <f>IFERROR(J440-I440,"")</f>
        <v/>
      </c>
    </row>
    <row r="441">
      <c r="A441" s="2" t="inlineStr">
        <is>
          <t>Vitória</t>
        </is>
      </c>
      <c r="B441" s="14" t="inlineStr">
        <is>
          <t>Instagram</t>
        </is>
      </c>
      <c r="C441" s="2" t="inlineStr">
        <is>
          <t>engajamento_pct</t>
        </is>
      </c>
      <c r="D441" s="2" t="inlineStr">
        <is>
          <t>Taxa de engajamento (interações por post ÷ seguidores)</t>
        </is>
      </c>
      <c r="E441" s="5">
        <f>COUNTIFS(dados!$C$2:$C$55,$A441,dados!$X$2:$X$55,"&lt;&gt;")</f>
        <v/>
      </c>
      <c r="F441" s="15">
        <f>IFERROR(AVERAGEIFS(dados!$X$2:$X$55,dados!$C$2:$C$55,$A441),"")</f>
        <v/>
      </c>
      <c r="G441" s="15">
        <f t="array" ref="G441">IFERROR(MEDIAN(IF((dados!$C$2:$C$55=$A441)*(dados!$X$2:$X$55&lt;&gt;""),dados!$X$2:$X$55)),"")</f>
        <v/>
      </c>
      <c r="H441" s="15">
        <f t="array" ref="H441">IFERROR(STDEV(IF((dados!$C$2:$C$55=$A441)*(dados!$X$2:$X$55&lt;&gt;""),dados!$X$2:$X$55)),"")</f>
        <v/>
      </c>
      <c r="I441" s="15">
        <f>IF(COUNTIFS(dados!$C$2:$C$55,$A441,dados!$X$2:$X$55,"&lt;&gt;")=0,"",_xlfn.MINIFS(dados!$X$2:$X$55,dados!$C$2:$C$55,$A441))</f>
        <v/>
      </c>
      <c r="J441" s="15">
        <f>IF(COUNTIFS(dados!$C$2:$C$55,$A441,dados!$X$2:$X$55,"&lt;&gt;")=0,"",_xlfn.MAXIFS(dados!$X$2:$X$55,dados!$C$2:$C$55,$A441))</f>
        <v/>
      </c>
      <c r="K441" s="15">
        <f>IFERROR(J441-I441,"")</f>
        <v/>
      </c>
    </row>
    <row r="442">
      <c r="A442" s="2" t="inlineStr">
        <is>
          <t>Vitória</t>
        </is>
      </c>
      <c r="B442" s="16" t="inlineStr">
        <is>
          <t>Cardápio</t>
        </is>
      </c>
      <c r="C442" s="2" t="inlineStr">
        <is>
          <t>itens_com_preco</t>
        </is>
      </c>
      <c r="D442" s="2" t="inlineStr">
        <is>
          <t>Itens com preço no cardápio</t>
        </is>
      </c>
      <c r="E442" s="5">
        <f>COUNTIFS(dados!$C$2:$C$55,$A442,dados!$Y$2:$Y$55,"&lt;&gt;")</f>
        <v/>
      </c>
      <c r="F442" s="5">
        <f>IFERROR(AVERAGEIFS(dados!$Y$2:$Y$55,dados!$C$2:$C$55,$A442),"")</f>
        <v/>
      </c>
      <c r="G442" s="5">
        <f t="array" ref="G442">IFERROR(MEDIAN(IF((dados!$C$2:$C$55=$A442)*(dados!$Y$2:$Y$55&lt;&gt;""),dados!$Y$2:$Y$55)),"")</f>
        <v/>
      </c>
      <c r="H442" s="5">
        <f t="array" ref="H442">IFERROR(STDEV(IF((dados!$C$2:$C$55=$A442)*(dados!$Y$2:$Y$55&lt;&gt;""),dados!$Y$2:$Y$55)),"")</f>
        <v/>
      </c>
      <c r="I442" s="5">
        <f>IF(COUNTIFS(dados!$C$2:$C$55,$A442,dados!$Y$2:$Y$55,"&lt;&gt;")=0,"",_xlfn.MINIFS(dados!$Y$2:$Y$55,dados!$C$2:$C$55,$A442))</f>
        <v/>
      </c>
      <c r="J442" s="5">
        <f>IF(COUNTIFS(dados!$C$2:$C$55,$A442,dados!$Y$2:$Y$55,"&lt;&gt;")=0,"",_xlfn.MAXIFS(dados!$Y$2:$Y$55,dados!$C$2:$C$55,$A442))</f>
        <v/>
      </c>
      <c r="K442" s="5">
        <f>IFERROR(J442-I442,"")</f>
        <v/>
      </c>
    </row>
    <row r="443">
      <c r="A443" s="2" t="inlineStr">
        <is>
          <t>Vitória</t>
        </is>
      </c>
      <c r="B443" s="16" t="inlineStr">
        <is>
          <t>Cardápio</t>
        </is>
      </c>
      <c r="C443" s="2" t="inlineStr">
        <is>
          <t>couvert_mediana</t>
        </is>
      </c>
      <c r="D443" s="2" t="inlineStr">
        <is>
          <t>Couvert ou taxa de jogo (só casas que cobram)</t>
        </is>
      </c>
      <c r="E443" s="5">
        <f>COUNTIFS(dados!$C$2:$C$55,$A443,dados!$Z$2:$Z$55,"&lt;&gt;")</f>
        <v/>
      </c>
      <c r="F443" s="7">
        <f>IFERROR(AVERAGEIFS(dados!$Z$2:$Z$55,dados!$C$2:$C$55,$A443),"")</f>
        <v/>
      </c>
      <c r="G443" s="7">
        <f t="array" ref="G443">IFERROR(MEDIAN(IF((dados!$C$2:$C$55=$A443)*(dados!$Z$2:$Z$55&lt;&gt;""),dados!$Z$2:$Z$55)),"")</f>
        <v/>
      </c>
      <c r="H443" s="7">
        <f t="array" ref="H443">IFERROR(STDEV(IF((dados!$C$2:$C$55=$A443)*(dados!$Z$2:$Z$55&lt;&gt;""),dados!$Z$2:$Z$55)),"")</f>
        <v/>
      </c>
      <c r="I443" s="7">
        <f>IF(COUNTIFS(dados!$C$2:$C$55,$A443,dados!$Z$2:$Z$55,"&lt;&gt;")=0,"",_xlfn.MINIFS(dados!$Z$2:$Z$55,dados!$C$2:$C$55,$A443))</f>
        <v/>
      </c>
      <c r="J443" s="7">
        <f>IF(COUNTIFS(dados!$C$2:$C$55,$A443,dados!$Z$2:$Z$55,"&lt;&gt;")=0,"",_xlfn.MAXIFS(dados!$Z$2:$Z$55,dados!$C$2:$C$55,$A443))</f>
        <v/>
      </c>
      <c r="K443" s="7">
        <f>IFERROR(J443-I443,"")</f>
        <v/>
      </c>
    </row>
    <row r="444">
      <c r="A444" s="2" t="inlineStr">
        <is>
          <t>Vitória</t>
        </is>
      </c>
      <c r="B444" s="16" t="inlineStr">
        <is>
          <t>Cardápio</t>
        </is>
      </c>
      <c r="C444" s="2" t="inlineStr">
        <is>
          <t>bebida_mediana</t>
        </is>
      </c>
      <c r="D444" s="2" t="inlineStr">
        <is>
          <t>Bebida, mediana do cardápio</t>
        </is>
      </c>
      <c r="E444" s="5">
        <f>COUNTIFS(dados!$C$2:$C$55,$A444,dados!$AA$2:$AA$55,"&lt;&gt;")</f>
        <v/>
      </c>
      <c r="F444" s="7">
        <f>IFERROR(AVERAGEIFS(dados!$AA$2:$AA$55,dados!$C$2:$C$55,$A444),"")</f>
        <v/>
      </c>
      <c r="G444" s="7">
        <f t="array" ref="G444">IFERROR(MEDIAN(IF((dados!$C$2:$C$55=$A444)*(dados!$AA$2:$AA$55&lt;&gt;""),dados!$AA$2:$AA$55)),"")</f>
        <v/>
      </c>
      <c r="H444" s="7">
        <f t="array" ref="H444">IFERROR(STDEV(IF((dados!$C$2:$C$55=$A444)*(dados!$AA$2:$AA$55&lt;&gt;""),dados!$AA$2:$AA$55)),"")</f>
        <v/>
      </c>
      <c r="I444" s="7">
        <f>IF(COUNTIFS(dados!$C$2:$C$55,$A444,dados!$AA$2:$AA$55,"&lt;&gt;")=0,"",_xlfn.MINIFS(dados!$AA$2:$AA$55,dados!$C$2:$C$55,$A444))</f>
        <v/>
      </c>
      <c r="J444" s="7">
        <f>IF(COUNTIFS(dados!$C$2:$C$55,$A444,dados!$AA$2:$AA$55,"&lt;&gt;")=0,"",_xlfn.MAXIFS(dados!$AA$2:$AA$55,dados!$C$2:$C$55,$A444))</f>
        <v/>
      </c>
      <c r="K444" s="7">
        <f>IFERROR(J444-I444,"")</f>
        <v/>
      </c>
    </row>
    <row r="445">
      <c r="A445" s="2" t="inlineStr">
        <is>
          <t>Vitória</t>
        </is>
      </c>
      <c r="B445" s="16" t="inlineStr">
        <is>
          <t>Cardápio</t>
        </is>
      </c>
      <c r="C445" s="2" t="inlineStr">
        <is>
          <t>entrada_ou_prato_mediana</t>
        </is>
      </c>
      <c r="D445" s="2" t="inlineStr">
        <is>
          <t>Entrada ou prato, mediana do cardápio</t>
        </is>
      </c>
      <c r="E445" s="5">
        <f>COUNTIFS(dados!$C$2:$C$55,$A445,dados!$AB$2:$AB$55,"&lt;&gt;")</f>
        <v/>
      </c>
      <c r="F445" s="7">
        <f>IFERROR(AVERAGEIFS(dados!$AB$2:$AB$55,dados!$C$2:$C$55,$A445),"")</f>
        <v/>
      </c>
      <c r="G445" s="7">
        <f t="array" ref="G445">IFERROR(MEDIAN(IF((dados!$C$2:$C$55=$A445)*(dados!$AB$2:$AB$55&lt;&gt;""),dados!$AB$2:$AB$55)),"")</f>
        <v/>
      </c>
      <c r="H445" s="7">
        <f t="array" ref="H445">IFERROR(STDEV(IF((dados!$C$2:$C$55=$A445)*(dados!$AB$2:$AB$55&lt;&gt;""),dados!$AB$2:$AB$55)),"")</f>
        <v/>
      </c>
      <c r="I445" s="7">
        <f>IF(COUNTIFS(dados!$C$2:$C$55,$A445,dados!$AB$2:$AB$55,"&lt;&gt;")=0,"",_xlfn.MINIFS(dados!$AB$2:$AB$55,dados!$C$2:$C$55,$A445))</f>
        <v/>
      </c>
      <c r="J445" s="7">
        <f>IF(COUNTIFS(dados!$C$2:$C$55,$A445,dados!$AB$2:$AB$55,"&lt;&gt;")=0,"",_xlfn.MAXIFS(dados!$AB$2:$AB$55,dados!$C$2:$C$55,$A445))</f>
        <v/>
      </c>
      <c r="K445" s="7">
        <f>IFERROR(J445-I445,"")</f>
        <v/>
      </c>
    </row>
    <row r="446">
      <c r="A446" s="2" t="inlineStr">
        <is>
          <t>Vitória</t>
        </is>
      </c>
      <c r="B446" s="16" t="inlineStr">
        <is>
          <t>Cardápio</t>
        </is>
      </c>
      <c r="C446" s="2" t="inlineStr">
        <is>
          <t>cesta_baixa</t>
        </is>
      </c>
      <c r="D446" s="2" t="inlineStr">
        <is>
          <t>Cesta por pessoa, nível baixo (P25)</t>
        </is>
      </c>
      <c r="E446" s="5">
        <f>COUNTIFS(dados!$C$2:$C$55,$A446,dados!$AC$2:$AC$55,"&lt;&gt;")</f>
        <v/>
      </c>
      <c r="F446" s="7">
        <f>IFERROR(AVERAGEIFS(dados!$AC$2:$AC$55,dados!$C$2:$C$55,$A446),"")</f>
        <v/>
      </c>
      <c r="G446" s="7">
        <f t="array" ref="G446">IFERROR(MEDIAN(IF((dados!$C$2:$C$55=$A446)*(dados!$AC$2:$AC$55&lt;&gt;""),dados!$AC$2:$AC$55)),"")</f>
        <v/>
      </c>
      <c r="H446" s="7">
        <f t="array" ref="H446">IFERROR(STDEV(IF((dados!$C$2:$C$55=$A446)*(dados!$AC$2:$AC$55&lt;&gt;""),dados!$AC$2:$AC$55)),"")</f>
        <v/>
      </c>
      <c r="I446" s="7">
        <f>IF(COUNTIFS(dados!$C$2:$C$55,$A446,dados!$AC$2:$AC$55,"&lt;&gt;")=0,"",_xlfn.MINIFS(dados!$AC$2:$AC$55,dados!$C$2:$C$55,$A446))</f>
        <v/>
      </c>
      <c r="J446" s="7">
        <f>IF(COUNTIFS(dados!$C$2:$C$55,$A446,dados!$AC$2:$AC$55,"&lt;&gt;")=0,"",_xlfn.MAXIFS(dados!$AC$2:$AC$55,dados!$C$2:$C$55,$A446))</f>
        <v/>
      </c>
      <c r="K446" s="7">
        <f>IFERROR(J446-I446,"")</f>
        <v/>
      </c>
    </row>
    <row r="447">
      <c r="A447" s="2" t="inlineStr">
        <is>
          <t>Vitória</t>
        </is>
      </c>
      <c r="B447" s="16" t="inlineStr">
        <is>
          <t>Cardápio</t>
        </is>
      </c>
      <c r="C447" s="2" t="inlineStr">
        <is>
          <t>cesta_mediana</t>
        </is>
      </c>
      <c r="D447" s="2" t="inlineStr">
        <is>
          <t>Cesta por pessoa, nível mediano</t>
        </is>
      </c>
      <c r="E447" s="5">
        <f>COUNTIFS(dados!$C$2:$C$55,$A447,dados!$AD$2:$AD$55,"&lt;&gt;")</f>
        <v/>
      </c>
      <c r="F447" s="7">
        <f>IFERROR(AVERAGEIFS(dados!$AD$2:$AD$55,dados!$C$2:$C$55,$A447),"")</f>
        <v/>
      </c>
      <c r="G447" s="7">
        <f t="array" ref="G447">IFERROR(MEDIAN(IF((dados!$C$2:$C$55=$A447)*(dados!$AD$2:$AD$55&lt;&gt;""),dados!$AD$2:$AD$55)),"")</f>
        <v/>
      </c>
      <c r="H447" s="7">
        <f t="array" ref="H447">IFERROR(STDEV(IF((dados!$C$2:$C$55=$A447)*(dados!$AD$2:$AD$55&lt;&gt;""),dados!$AD$2:$AD$55)),"")</f>
        <v/>
      </c>
      <c r="I447" s="7">
        <f>IF(COUNTIFS(dados!$C$2:$C$55,$A447,dados!$AD$2:$AD$55,"&lt;&gt;")=0,"",_xlfn.MINIFS(dados!$AD$2:$AD$55,dados!$C$2:$C$55,$A447))</f>
        <v/>
      </c>
      <c r="J447" s="7">
        <f>IF(COUNTIFS(dados!$C$2:$C$55,$A447,dados!$AD$2:$AD$55,"&lt;&gt;")=0,"",_xlfn.MAXIFS(dados!$AD$2:$AD$55,dados!$C$2:$C$55,$A447))</f>
        <v/>
      </c>
      <c r="K447" s="7">
        <f>IFERROR(J447-I447,"")</f>
        <v/>
      </c>
    </row>
    <row r="448">
      <c r="A448" s="2" t="inlineStr">
        <is>
          <t>Vitória</t>
        </is>
      </c>
      <c r="B448" s="16" t="inlineStr">
        <is>
          <t>Cardápio</t>
        </is>
      </c>
      <c r="C448" s="2" t="inlineStr">
        <is>
          <t>cesta_alta</t>
        </is>
      </c>
      <c r="D448" s="2" t="inlineStr">
        <is>
          <t>Cesta por pessoa, nível alto (P75)</t>
        </is>
      </c>
      <c r="E448" s="5">
        <f>COUNTIFS(dados!$C$2:$C$55,$A448,dados!$AE$2:$AE$55,"&lt;&gt;")</f>
        <v/>
      </c>
      <c r="F448" s="7">
        <f>IFERROR(AVERAGEIFS(dados!$AE$2:$AE$55,dados!$C$2:$C$55,$A448),"")</f>
        <v/>
      </c>
      <c r="G448" s="7">
        <f t="array" ref="G448">IFERROR(MEDIAN(IF((dados!$C$2:$C$55=$A448)*(dados!$AE$2:$AE$55&lt;&gt;""),dados!$AE$2:$AE$55)),"")</f>
        <v/>
      </c>
      <c r="H448" s="7">
        <f t="array" ref="H448">IFERROR(STDEV(IF((dados!$C$2:$C$55=$A448)*(dados!$AE$2:$AE$55&lt;&gt;""),dados!$AE$2:$AE$55)),"")</f>
        <v/>
      </c>
      <c r="I448" s="7">
        <f>IF(COUNTIFS(dados!$C$2:$C$55,$A448,dados!$AE$2:$AE$55,"&lt;&gt;")=0,"",_xlfn.MINIFS(dados!$AE$2:$AE$55,dados!$C$2:$C$55,$A448))</f>
        <v/>
      </c>
      <c r="J448" s="7">
        <f>IF(COUNTIFS(dados!$C$2:$C$55,$A448,dados!$AE$2:$AE$55,"&lt;&gt;")=0,"",_xlfn.MAXIFS(dados!$AE$2:$AE$55,dados!$C$2:$C$55,$A448))</f>
        <v/>
      </c>
      <c r="K448" s="7">
        <f>IFERROR(J448-I448,"")</f>
        <v/>
      </c>
    </row>
    <row r="449">
      <c r="A449" s="2" t="inlineStr">
        <is>
          <t>Vitória</t>
        </is>
      </c>
      <c r="B449" s="16" t="inlineStr">
        <is>
          <t>Cardápio</t>
        </is>
      </c>
      <c r="C449" s="2" t="inlineStr">
        <is>
          <t>hamburguer_mediana</t>
        </is>
      </c>
      <c r="D449" s="2" t="inlineStr">
        <is>
          <t>Hambúrguer, mediana</t>
        </is>
      </c>
      <c r="E449" s="5">
        <f>COUNTIFS(dados!$C$2:$C$55,$A449,dados!$AF$2:$AF$55,"&lt;&gt;")</f>
        <v/>
      </c>
      <c r="F449" s="7">
        <f>IFERROR(AVERAGEIFS(dados!$AF$2:$AF$55,dados!$C$2:$C$55,$A449),"")</f>
        <v/>
      </c>
      <c r="G449" s="7">
        <f t="array" ref="G449">IFERROR(MEDIAN(IF((dados!$C$2:$C$55=$A449)*(dados!$AF$2:$AF$55&lt;&gt;""),dados!$AF$2:$AF$55)),"")</f>
        <v/>
      </c>
      <c r="H449" s="7">
        <f t="array" ref="H449">IFERROR(STDEV(IF((dados!$C$2:$C$55=$A449)*(dados!$AF$2:$AF$55&lt;&gt;""),dados!$AF$2:$AF$55)),"")</f>
        <v/>
      </c>
      <c r="I449" s="7">
        <f>IF(COUNTIFS(dados!$C$2:$C$55,$A449,dados!$AF$2:$AF$55,"&lt;&gt;")=0,"",_xlfn.MINIFS(dados!$AF$2:$AF$55,dados!$C$2:$C$55,$A449))</f>
        <v/>
      </c>
      <c r="J449" s="7">
        <f>IF(COUNTIFS(dados!$C$2:$C$55,$A449,dados!$AF$2:$AF$55,"&lt;&gt;")=0,"",_xlfn.MAXIFS(dados!$AF$2:$AF$55,dados!$C$2:$C$55,$A449))</f>
        <v/>
      </c>
      <c r="K449" s="7">
        <f>IFERROR(J449-I449,"")</f>
        <v/>
      </c>
    </row>
    <row r="450">
      <c r="A450" s="2" t="inlineStr">
        <is>
          <t>Vitória</t>
        </is>
      </c>
      <c r="B450" s="16" t="inlineStr">
        <is>
          <t>Cardápio</t>
        </is>
      </c>
      <c r="C450" s="2" t="inlineStr">
        <is>
          <t>batata_mediana</t>
        </is>
      </c>
      <c r="D450" s="2" t="inlineStr">
        <is>
          <t>Batata, mediana</t>
        </is>
      </c>
      <c r="E450" s="5">
        <f>COUNTIFS(dados!$C$2:$C$55,$A450,dados!$AG$2:$AG$55,"&lt;&gt;")</f>
        <v/>
      </c>
      <c r="F450" s="7">
        <f>IFERROR(AVERAGEIFS(dados!$AG$2:$AG$55,dados!$C$2:$C$55,$A450),"")</f>
        <v/>
      </c>
      <c r="G450" s="7">
        <f t="array" ref="G450">IFERROR(MEDIAN(IF((dados!$C$2:$C$55=$A450)*(dados!$AG$2:$AG$55&lt;&gt;""),dados!$AG$2:$AG$55)),"")</f>
        <v/>
      </c>
      <c r="H450" s="7">
        <f t="array" ref="H450">IFERROR(STDEV(IF((dados!$C$2:$C$55=$A450)*(dados!$AG$2:$AG$55&lt;&gt;""),dados!$AG$2:$AG$55)),"")</f>
        <v/>
      </c>
      <c r="I450" s="7">
        <f>IF(COUNTIFS(dados!$C$2:$C$55,$A450,dados!$AG$2:$AG$55,"&lt;&gt;")=0,"",_xlfn.MINIFS(dados!$AG$2:$AG$55,dados!$C$2:$C$55,$A450))</f>
        <v/>
      </c>
      <c r="J450" s="7">
        <f>IF(COUNTIFS(dados!$C$2:$C$55,$A450,dados!$AG$2:$AG$55,"&lt;&gt;")=0,"",_xlfn.MAXIFS(dados!$AG$2:$AG$55,dados!$C$2:$C$55,$A450))</f>
        <v/>
      </c>
      <c r="K450" s="7">
        <f>IFERROR(J450-I450,"")</f>
        <v/>
      </c>
    </row>
    <row r="451">
      <c r="A451" s="2" t="inlineStr">
        <is>
          <t>Vitória</t>
        </is>
      </c>
      <c r="B451" s="16" t="inlineStr">
        <is>
          <t>Cardápio</t>
        </is>
      </c>
      <c r="C451" s="2" t="inlineStr">
        <is>
          <t>cerveja_mediana</t>
        </is>
      </c>
      <c r="D451" s="2" t="inlineStr">
        <is>
          <t>Cerveja, mediana</t>
        </is>
      </c>
      <c r="E451" s="5">
        <f>COUNTIFS(dados!$C$2:$C$55,$A451,dados!$AH$2:$AH$55,"&lt;&gt;")</f>
        <v/>
      </c>
      <c r="F451" s="7">
        <f>IFERROR(AVERAGEIFS(dados!$AH$2:$AH$55,dados!$C$2:$C$55,$A451),"")</f>
        <v/>
      </c>
      <c r="G451" s="7">
        <f t="array" ref="G451">IFERROR(MEDIAN(IF((dados!$C$2:$C$55=$A451)*(dados!$AH$2:$AH$55&lt;&gt;""),dados!$AH$2:$AH$55)),"")</f>
        <v/>
      </c>
      <c r="H451" s="7">
        <f t="array" ref="H451">IFERROR(STDEV(IF((dados!$C$2:$C$55=$A451)*(dados!$AH$2:$AH$55&lt;&gt;""),dados!$AH$2:$AH$55)),"")</f>
        <v/>
      </c>
      <c r="I451" s="7">
        <f>IF(COUNTIFS(dados!$C$2:$C$55,$A451,dados!$AH$2:$AH$55,"&lt;&gt;")=0,"",_xlfn.MINIFS(dados!$AH$2:$AH$55,dados!$C$2:$C$55,$A451))</f>
        <v/>
      </c>
      <c r="J451" s="7">
        <f>IF(COUNTIFS(dados!$C$2:$C$55,$A451,dados!$AH$2:$AH$55,"&lt;&gt;")=0,"",_xlfn.MAXIFS(dados!$AH$2:$AH$55,dados!$C$2:$C$55,$A451))</f>
        <v/>
      </c>
      <c r="K451" s="7">
        <f>IFERROR(J451-I451,"")</f>
        <v/>
      </c>
    </row>
    <row r="452">
      <c r="A452" s="2" t="inlineStr">
        <is>
          <t>Vitória</t>
        </is>
      </c>
      <c r="B452" s="16" t="inlineStr">
        <is>
          <t>Cardápio</t>
        </is>
      </c>
      <c r="C452" s="2" t="inlineStr">
        <is>
          <t>refrigerante_mediana</t>
        </is>
      </c>
      <c r="D452" s="2" t="inlineStr">
        <is>
          <t>Refrigerante, mediana</t>
        </is>
      </c>
      <c r="E452" s="5">
        <f>COUNTIFS(dados!$C$2:$C$55,$A452,dados!$AI$2:$AI$55,"&lt;&gt;")</f>
        <v/>
      </c>
      <c r="F452" s="7">
        <f>IFERROR(AVERAGEIFS(dados!$AI$2:$AI$55,dados!$C$2:$C$55,$A452),"")</f>
        <v/>
      </c>
      <c r="G452" s="7">
        <f t="array" ref="G452">IFERROR(MEDIAN(IF((dados!$C$2:$C$55=$A452)*(dados!$AI$2:$AI$55&lt;&gt;""),dados!$AI$2:$AI$55)),"")</f>
        <v/>
      </c>
      <c r="H452" s="7">
        <f t="array" ref="H452">IFERROR(STDEV(IF((dados!$C$2:$C$55=$A452)*(dados!$AI$2:$AI$55&lt;&gt;""),dados!$AI$2:$AI$55)),"")</f>
        <v/>
      </c>
      <c r="I452" s="7">
        <f>IF(COUNTIFS(dados!$C$2:$C$55,$A452,dados!$AI$2:$AI$55,"&lt;&gt;")=0,"",_xlfn.MINIFS(dados!$AI$2:$AI$55,dados!$C$2:$C$55,$A452))</f>
        <v/>
      </c>
      <c r="J452" s="7">
        <f>IF(COUNTIFS(dados!$C$2:$C$55,$A452,dados!$AI$2:$AI$55,"&lt;&gt;")=0,"",_xlfn.MAXIFS(dados!$AI$2:$AI$55,dados!$C$2:$C$55,$A452))</f>
        <v/>
      </c>
      <c r="K452" s="7">
        <f>IFERROR(J452-I452,"")</f>
        <v/>
      </c>
    </row>
    <row r="453">
      <c r="A453" s="2" t="inlineStr">
        <is>
          <t>Vitória</t>
        </is>
      </c>
      <c r="B453" s="16" t="inlineStr">
        <is>
          <t>Cardápio</t>
        </is>
      </c>
      <c r="C453" s="2" t="inlineStr">
        <is>
          <t>drinks_mediana</t>
        </is>
      </c>
      <c r="D453" s="2" t="inlineStr">
        <is>
          <t>Drinks, mediana</t>
        </is>
      </c>
      <c r="E453" s="5">
        <f>COUNTIFS(dados!$C$2:$C$55,$A453,dados!$AJ$2:$AJ$55,"&lt;&gt;")</f>
        <v/>
      </c>
      <c r="F453" s="7">
        <f>IFERROR(AVERAGEIFS(dados!$AJ$2:$AJ$55,dados!$C$2:$C$55,$A453),"")</f>
        <v/>
      </c>
      <c r="G453" s="7">
        <f t="array" ref="G453">IFERROR(MEDIAN(IF((dados!$C$2:$C$55=$A453)*(dados!$AJ$2:$AJ$55&lt;&gt;""),dados!$AJ$2:$AJ$55)),"")</f>
        <v/>
      </c>
      <c r="H453" s="7">
        <f t="array" ref="H453">IFERROR(STDEV(IF((dados!$C$2:$C$55=$A453)*(dados!$AJ$2:$AJ$55&lt;&gt;""),dados!$AJ$2:$AJ$55)),"")</f>
        <v/>
      </c>
      <c r="I453" s="7">
        <f>IF(COUNTIFS(dados!$C$2:$C$55,$A453,dados!$AJ$2:$AJ$55,"&lt;&gt;")=0,"",_xlfn.MINIFS(dados!$AJ$2:$AJ$55,dados!$C$2:$C$55,$A453))</f>
        <v/>
      </c>
      <c r="J453" s="7">
        <f>IF(COUNTIFS(dados!$C$2:$C$55,$A453,dados!$AJ$2:$AJ$55,"&lt;&gt;")=0,"",_xlfn.MAXIFS(dados!$AJ$2:$AJ$55,dados!$C$2:$C$55,$A453))</f>
        <v/>
      </c>
      <c r="K453" s="7">
        <f>IFERROR(J453-I453,"")</f>
        <v/>
      </c>
    </row>
    <row r="454">
      <c r="A454" s="2" t="inlineStr">
        <is>
          <t>Vitória</t>
        </is>
      </c>
      <c r="B454" s="17" t="inlineStr">
        <is>
          <t>Acervo</t>
        </is>
      </c>
      <c r="C454" s="2" t="inlineStr">
        <is>
          <t>titulos_acervo</t>
        </is>
      </c>
      <c r="D454" s="2" t="inlineStr">
        <is>
          <t>Títulos no acervo publicado</t>
        </is>
      </c>
      <c r="E454" s="5">
        <f>COUNTIFS(dados!$C$2:$C$55,$A454,dados!$AK$2:$AK$55,"&lt;&gt;")</f>
        <v/>
      </c>
      <c r="F454" s="5">
        <f>IFERROR(AVERAGEIFS(dados!$AK$2:$AK$55,dados!$C$2:$C$55,$A454),"")</f>
        <v/>
      </c>
      <c r="G454" s="5">
        <f t="array" ref="G454">IFERROR(MEDIAN(IF((dados!$C$2:$C$55=$A454)*(dados!$AK$2:$AK$55&lt;&gt;""),dados!$AK$2:$AK$55)),"")</f>
        <v/>
      </c>
      <c r="H454" s="5">
        <f t="array" ref="H454">IFERROR(STDEV(IF((dados!$C$2:$C$55=$A454)*(dados!$AK$2:$AK$55&lt;&gt;""),dados!$AK$2:$AK$55)),"")</f>
        <v/>
      </c>
      <c r="I454" s="5">
        <f>IF(COUNTIFS(dados!$C$2:$C$55,$A454,dados!$AK$2:$AK$55,"&lt;&gt;")=0,"",_xlfn.MINIFS(dados!$AK$2:$AK$55,dados!$C$2:$C$55,$A454))</f>
        <v/>
      </c>
      <c r="J454" s="5">
        <f>IF(COUNTIFS(dados!$C$2:$C$55,$A454,dados!$AK$2:$AK$55,"&lt;&gt;")=0,"",_xlfn.MAXIFS(dados!$AK$2:$AK$55,dados!$C$2:$C$55,$A454))</f>
        <v/>
      </c>
      <c r="K454" s="5">
        <f>IFERROR(J454-I454,"")</f>
        <v/>
      </c>
    </row>
    <row r="455">
      <c r="A455" s="2" t="inlineStr">
        <is>
          <t>Vitória</t>
        </is>
      </c>
      <c r="B455" s="18" t="inlineStr">
        <is>
          <t>B2</t>
        </is>
      </c>
      <c r="C455" s="2" t="inlineStr">
        <is>
          <t>avaliacoes_b2</t>
        </is>
      </c>
      <c r="D455" s="2" t="inlineStr">
        <is>
          <t>Avaliações no recorte do B2 (até '3 meses atrás')</t>
        </is>
      </c>
      <c r="E455" s="5">
        <f>COUNTIFS(dados!$C$2:$C$55,$A455,dados!$AL$2:$AL$55,"&lt;&gt;")</f>
        <v/>
      </c>
      <c r="F455" s="5">
        <f>IFERROR(AVERAGEIFS(dados!$AL$2:$AL$55,dados!$C$2:$C$55,$A455),"")</f>
        <v/>
      </c>
      <c r="G455" s="5">
        <f t="array" ref="G455">IFERROR(MEDIAN(IF((dados!$C$2:$C$55=$A455)*(dados!$AL$2:$AL$55&lt;&gt;""),dados!$AL$2:$AL$55)),"")</f>
        <v/>
      </c>
      <c r="H455" s="5">
        <f t="array" ref="H455">IFERROR(STDEV(IF((dados!$C$2:$C$55=$A455)*(dados!$AL$2:$AL$55&lt;&gt;""),dados!$AL$2:$AL$55)),"")</f>
        <v/>
      </c>
      <c r="I455" s="5">
        <f>IF(COUNTIFS(dados!$C$2:$C$55,$A455,dados!$AL$2:$AL$55,"&lt;&gt;")=0,"",_xlfn.MINIFS(dados!$AL$2:$AL$55,dados!$C$2:$C$55,$A455))</f>
        <v/>
      </c>
      <c r="J455" s="5">
        <f>IF(COUNTIFS(dados!$C$2:$C$55,$A455,dados!$AL$2:$AL$55,"&lt;&gt;")=0,"",_xlfn.MAXIFS(dados!$AL$2:$AL$55,dados!$C$2:$C$55,$A455))</f>
        <v/>
      </c>
      <c r="K455" s="5">
        <f>IFERROR(J455-I455,"")</f>
        <v/>
      </c>
    </row>
    <row r="456">
      <c r="A456" s="2" t="inlineStr">
        <is>
          <t>Vitória</t>
        </is>
      </c>
      <c r="B456" s="18" t="inlineStr">
        <is>
          <t>B2</t>
        </is>
      </c>
      <c r="C456" s="2" t="inlineStr">
        <is>
          <t>avaliacoes_b2_com_texto</t>
        </is>
      </c>
      <c r="D456" s="2" t="inlineStr">
        <is>
          <t>Dessas, com texto</t>
        </is>
      </c>
      <c r="E456" s="5">
        <f>COUNTIFS(dados!$C$2:$C$55,$A456,dados!$AM$2:$AM$55,"&lt;&gt;")</f>
        <v/>
      </c>
      <c r="F456" s="5">
        <f>IFERROR(AVERAGEIFS(dados!$AM$2:$AM$55,dados!$C$2:$C$55,$A456),"")</f>
        <v/>
      </c>
      <c r="G456" s="5">
        <f t="array" ref="G456">IFERROR(MEDIAN(IF((dados!$C$2:$C$55=$A456)*(dados!$AM$2:$AM$55&lt;&gt;""),dados!$AM$2:$AM$55)),"")</f>
        <v/>
      </c>
      <c r="H456" s="5">
        <f t="array" ref="H456">IFERROR(STDEV(IF((dados!$C$2:$C$55=$A456)*(dados!$AM$2:$AM$55&lt;&gt;""),dados!$AM$2:$AM$55)),"")</f>
        <v/>
      </c>
      <c r="I456" s="5">
        <f>IF(COUNTIFS(dados!$C$2:$C$55,$A456,dados!$AM$2:$AM$55,"&lt;&gt;")=0,"",_xlfn.MINIFS(dados!$AM$2:$AM$55,dados!$C$2:$C$55,$A456))</f>
        <v/>
      </c>
      <c r="J456" s="5">
        <f>IF(COUNTIFS(dados!$C$2:$C$55,$A456,dados!$AM$2:$AM$55,"&lt;&gt;")=0,"",_xlfn.MAXIFS(dados!$AM$2:$AM$55,dados!$C$2:$C$55,$A456))</f>
        <v/>
      </c>
      <c r="K456" s="5">
        <f>IFERROR(J456-I456,"")</f>
        <v/>
      </c>
    </row>
  </sheetData>
  <autoFilter ref="A1:K4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place_id</t>
        </is>
      </c>
      <c r="B1" s="1" t="inlineStr">
        <is>
          <t>nome</t>
        </is>
      </c>
      <c r="C1" s="1" t="inlineStr">
        <is>
          <t>metropole</t>
        </is>
      </c>
      <c r="D1" s="1" t="inlineStr">
        <is>
          <t>regiao</t>
        </is>
      </c>
      <c r="E1" s="1" t="inlineStr">
        <is>
          <t>avaliacao_media</t>
        </is>
      </c>
      <c r="F1" s="1" t="inlineStr">
        <is>
          <t>volume_avaliacoes</t>
        </is>
      </c>
      <c r="G1" s="1" t="inlineStr">
        <is>
          <t>dias_abertos</t>
        </is>
      </c>
      <c r="H1" s="1" t="inlineStr">
        <is>
          <t>horas_semana</t>
        </is>
      </c>
      <c r="I1" s="1" t="inlineStr">
        <is>
          <t>abre_cedo_h</t>
        </is>
      </c>
      <c r="J1" s="1" t="inlineStr">
        <is>
          <t>fecha_tarde_h</t>
        </is>
      </c>
      <c r="K1" s="1" t="inlineStr">
        <is>
          <t>metro_500m</t>
        </is>
      </c>
      <c r="L1" s="1" t="inlineStr">
        <is>
          <t>metro_1000m</t>
        </is>
      </c>
      <c r="M1" s="1" t="inlineStr">
        <is>
          <t>dist_metro_m</t>
        </is>
      </c>
      <c r="N1" s="1" t="inlineStr">
        <is>
          <t>shopping_porte_500m</t>
        </is>
      </c>
      <c r="O1" s="1" t="inlineStr">
        <is>
          <t>shopping_porte_1000m</t>
        </is>
      </c>
      <c r="P1" s="1" t="inlineStr">
        <is>
          <t>dist_shopping_m</t>
        </is>
      </c>
      <c r="Q1" s="1" t="inlineStr">
        <is>
          <t>seguidores</t>
        </is>
      </c>
      <c r="R1" s="1" t="inlineStr">
        <is>
          <t>n_posts_total</t>
        </is>
      </c>
      <c r="S1" s="1" t="inlineStr">
        <is>
          <t>idade_perfil_anos</t>
        </is>
      </c>
      <c r="T1" s="1" t="inlineStr">
        <is>
          <t>n_posts_periodo</t>
        </is>
      </c>
      <c r="U1" s="1" t="inlineStr">
        <is>
          <t>curtidas_periodo</t>
        </is>
      </c>
      <c r="V1" s="1" t="inlineStr">
        <is>
          <t>comentarios_periodo</t>
        </is>
      </c>
      <c r="W1" s="1" t="inlineStr">
        <is>
          <t>interacoes_por_post</t>
        </is>
      </c>
      <c r="X1" s="1" t="inlineStr">
        <is>
          <t>engajamento_pct</t>
        </is>
      </c>
      <c r="Y1" s="1" t="inlineStr">
        <is>
          <t>itens_com_preco</t>
        </is>
      </c>
      <c r="Z1" s="1" t="inlineStr">
        <is>
          <t>couvert_mediana</t>
        </is>
      </c>
      <c r="AA1" s="1" t="inlineStr">
        <is>
          <t>bebida_mediana</t>
        </is>
      </c>
      <c r="AB1" s="1" t="inlineStr">
        <is>
          <t>entrada_ou_prato_mediana</t>
        </is>
      </c>
      <c r="AC1" s="1" t="inlineStr">
        <is>
          <t>cesta_baixa</t>
        </is>
      </c>
      <c r="AD1" s="1" t="inlineStr">
        <is>
          <t>cesta_mediana</t>
        </is>
      </c>
      <c r="AE1" s="1" t="inlineStr">
        <is>
          <t>cesta_alta</t>
        </is>
      </c>
      <c r="AF1" s="1" t="inlineStr">
        <is>
          <t>hamburguer_mediana</t>
        </is>
      </c>
      <c r="AG1" s="1" t="inlineStr">
        <is>
          <t>batata_mediana</t>
        </is>
      </c>
      <c r="AH1" s="1" t="inlineStr">
        <is>
          <t>cerveja_mediana</t>
        </is>
      </c>
      <c r="AI1" s="1" t="inlineStr">
        <is>
          <t>refrigerante_mediana</t>
        </is>
      </c>
      <c r="AJ1" s="1" t="inlineStr">
        <is>
          <t>drinks_mediana</t>
        </is>
      </c>
      <c r="AK1" s="1" t="inlineStr">
        <is>
          <t>titulos_acervo</t>
        </is>
      </c>
      <c r="AL1" s="1" t="inlineStr">
        <is>
          <t>avaliacoes_b2</t>
        </is>
      </c>
      <c r="AM1" s="1" t="inlineStr">
        <is>
          <t>avaliacoes_b2_com_texto</t>
        </is>
      </c>
      <c r="AN1" s="1" t="inlineStr">
        <is>
          <t>tem_metro_1000m</t>
        </is>
      </c>
      <c r="AO1" s="1" t="inlineStr">
        <is>
          <t>tem_cardapio</t>
        </is>
      </c>
      <c r="AP1" s="1" t="inlineStr">
        <is>
          <t>cobra_couvert</t>
        </is>
      </c>
      <c r="AQ1" s="1" t="inlineStr">
        <is>
          <t>abre_segunda</t>
        </is>
      </c>
      <c r="AR1" s="1" t="inlineStr">
        <is>
          <t>abre_terca</t>
        </is>
      </c>
      <c r="AS1" s="1" t="inlineStr">
        <is>
          <t>abre_quarta</t>
        </is>
      </c>
      <c r="AT1" s="1" t="inlineStr">
        <is>
          <t>abre_quinta</t>
        </is>
      </c>
      <c r="AU1" s="1" t="inlineStr">
        <is>
          <t>abre_sexta</t>
        </is>
      </c>
      <c r="AV1" s="1" t="inlineStr">
        <is>
          <t>abre_sabado</t>
        </is>
      </c>
      <c r="AW1" s="1" t="inlineStr">
        <is>
          <t>abre_domingo</t>
        </is>
      </c>
    </row>
    <row r="2">
      <c r="A2" s="2" t="inlineStr">
        <is>
          <t>ChIJyXjE650xWpMRJL-J6QbGkt4</t>
        </is>
      </c>
      <c r="B2" s="2" t="inlineStr">
        <is>
          <t>FORTALÚDICA - BURGERS &amp; JOGOS</t>
        </is>
      </c>
      <c r="C2" s="2" t="inlineStr">
        <is>
          <t>Brasília</t>
        </is>
      </c>
      <c r="D2" s="2" t="inlineStr">
        <is>
          <t>Centro-Oeste</t>
        </is>
      </c>
      <c r="E2" s="4" t="n">
        <v>4.8</v>
      </c>
      <c r="F2" s="5" t="n">
        <v>105</v>
      </c>
      <c r="G2" s="6" t="n">
        <v>7</v>
      </c>
      <c r="H2" s="6" t="n">
        <v>46</v>
      </c>
      <c r="I2" s="6" t="n">
        <v>14</v>
      </c>
      <c r="J2" s="6" t="n">
        <v>24</v>
      </c>
      <c r="K2" s="4" t="n">
        <v>0</v>
      </c>
      <c r="L2" s="4" t="n">
        <v>1</v>
      </c>
      <c r="M2" s="5" t="n">
        <v>768</v>
      </c>
      <c r="N2" s="4" t="n">
        <v>0</v>
      </c>
      <c r="O2" s="4" t="n">
        <v>0</v>
      </c>
      <c r="P2" s="5" t="n">
        <v>305</v>
      </c>
      <c r="Q2" s="5" t="n">
        <v>2711</v>
      </c>
      <c r="R2" s="5" t="n">
        <v>185</v>
      </c>
      <c r="S2" s="6" t="n">
        <v>1.26</v>
      </c>
      <c r="T2" s="6" t="n">
        <v>9</v>
      </c>
      <c r="U2" s="5" t="n">
        <v>86</v>
      </c>
      <c r="V2" s="5" t="n">
        <v>11</v>
      </c>
      <c r="W2" s="6" t="n">
        <v>10.78</v>
      </c>
      <c r="X2" s="15" t="n">
        <v>0.00398</v>
      </c>
      <c r="Y2" s="5" t="n">
        <v>51</v>
      </c>
      <c r="Z2" s="7" t="n"/>
      <c r="AA2" s="7" t="n">
        <v>8.5</v>
      </c>
      <c r="AB2" s="7" t="n">
        <v>30</v>
      </c>
      <c r="AC2" s="7" t="n">
        <v>32</v>
      </c>
      <c r="AD2" s="7" t="n">
        <v>38.5</v>
      </c>
      <c r="AE2" s="7" t="n">
        <v>45</v>
      </c>
      <c r="AF2" s="7" t="n">
        <v>32</v>
      </c>
      <c r="AG2" s="7" t="n">
        <v>15</v>
      </c>
      <c r="AH2" s="7" t="n">
        <v>8</v>
      </c>
      <c r="AI2" s="7" t="n">
        <v>7</v>
      </c>
      <c r="AJ2" s="7" t="n"/>
      <c r="AK2" s="5" t="n"/>
      <c r="AL2" s="5" t="n">
        <v>23</v>
      </c>
      <c r="AM2" s="5" t="n">
        <v>15</v>
      </c>
      <c r="AN2" s="2" t="n">
        <v>1</v>
      </c>
      <c r="AO2" s="2" t="n">
        <v>1</v>
      </c>
      <c r="AP2" s="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</row>
    <row r="3">
      <c r="A3" s="2" t="inlineStr">
        <is>
          <t>ChIJ172cu2U7WpMR-GxnGmUHCkc</t>
        </is>
      </c>
      <c r="B3" s="2" t="inlineStr">
        <is>
          <t>Gruta BSB</t>
        </is>
      </c>
      <c r="C3" s="2" t="inlineStr">
        <is>
          <t>Brasília</t>
        </is>
      </c>
      <c r="D3" s="2" t="inlineStr">
        <is>
          <t>Centro-Oeste</t>
        </is>
      </c>
      <c r="E3" s="4" t="n">
        <v>4.9</v>
      </c>
      <c r="F3" s="5" t="n">
        <v>112</v>
      </c>
      <c r="G3" s="6" t="n">
        <v>5</v>
      </c>
      <c r="H3" s="6" t="n">
        <v>30</v>
      </c>
      <c r="I3" s="6" t="n">
        <v>14</v>
      </c>
      <c r="J3" s="6" t="n">
        <v>23</v>
      </c>
      <c r="K3" s="4" t="n">
        <v>0</v>
      </c>
      <c r="L3" s="4" t="n">
        <v>0</v>
      </c>
      <c r="M3" s="5" t="n">
        <v>3099</v>
      </c>
      <c r="N3" s="4" t="n"/>
      <c r="O3" s="4" t="n"/>
      <c r="P3" s="5" t="n">
        <v>76</v>
      </c>
      <c r="Q3" s="5" t="n">
        <v>7631</v>
      </c>
      <c r="R3" s="5" t="n">
        <v>897</v>
      </c>
      <c r="S3" s="6" t="n">
        <v>5.63</v>
      </c>
      <c r="T3" s="6" t="n">
        <v>17</v>
      </c>
      <c r="U3" s="5" t="n">
        <v>450</v>
      </c>
      <c r="V3" s="5" t="n">
        <v>9</v>
      </c>
      <c r="W3" s="6" t="n">
        <v>27</v>
      </c>
      <c r="X3" s="15" t="n">
        <v>0.00354</v>
      </c>
      <c r="Y3" s="5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5" t="n"/>
      <c r="AL3" s="5" t="n">
        <v>12</v>
      </c>
      <c r="AM3" s="5" t="n">
        <v>8</v>
      </c>
      <c r="AN3" s="2" t="n">
        <v>0</v>
      </c>
      <c r="AO3" s="2" t="n">
        <v>0</v>
      </c>
      <c r="AP3" s="2" t="n"/>
      <c r="AQ3" s="2" t="n">
        <v>0</v>
      </c>
      <c r="AR3" s="2" t="n">
        <v>1</v>
      </c>
      <c r="AS3" s="2" t="n">
        <v>1</v>
      </c>
      <c r="AT3" s="2" t="n">
        <v>1</v>
      </c>
      <c r="AU3" s="2" t="n">
        <v>1</v>
      </c>
      <c r="AV3" s="2" t="n">
        <v>1</v>
      </c>
      <c r="AW3" s="2" t="n">
        <v>0</v>
      </c>
    </row>
    <row r="4">
      <c r="A4" s="2" t="inlineStr">
        <is>
          <t>ChIJdUv4La46WpMRnBvNknmOqWo</t>
        </is>
      </c>
      <c r="B4" s="2" t="inlineStr">
        <is>
          <t>Inside Games</t>
        </is>
      </c>
      <c r="C4" s="2" t="inlineStr">
        <is>
          <t>Brasília</t>
        </is>
      </c>
      <c r="D4" s="2" t="inlineStr">
        <is>
          <t>Centro-Oeste</t>
        </is>
      </c>
      <c r="E4" s="4" t="n">
        <v>4.6</v>
      </c>
      <c r="F4" s="5" t="n">
        <v>640</v>
      </c>
      <c r="G4" s="6" t="n">
        <v>6</v>
      </c>
      <c r="H4" s="6" t="n">
        <v>64</v>
      </c>
      <c r="I4" s="6" t="n">
        <v>12</v>
      </c>
      <c r="J4" s="6" t="n">
        <v>24</v>
      </c>
      <c r="K4" s="4" t="n">
        <v>0</v>
      </c>
      <c r="L4" s="4" t="n">
        <v>2</v>
      </c>
      <c r="M4" s="5" t="n">
        <v>702</v>
      </c>
      <c r="N4" s="4" t="n">
        <v>0</v>
      </c>
      <c r="O4" s="4" t="n">
        <v>0</v>
      </c>
      <c r="P4" s="5" t="n">
        <v>1505</v>
      </c>
      <c r="Q4" s="5" t="n">
        <v>6058</v>
      </c>
      <c r="R4" s="5" t="n">
        <v>2542</v>
      </c>
      <c r="S4" s="6" t="n">
        <v>9.33</v>
      </c>
      <c r="T4" s="6" t="n">
        <v>39</v>
      </c>
      <c r="U4" s="5" t="n">
        <v>193</v>
      </c>
      <c r="V4" s="5" t="n">
        <v>2</v>
      </c>
      <c r="W4" s="6" t="n">
        <v>5</v>
      </c>
      <c r="X4" s="15" t="n">
        <v>0.00083</v>
      </c>
      <c r="Y4" s="5" t="n">
        <v>24</v>
      </c>
      <c r="Z4" s="7" t="n"/>
      <c r="AA4" s="7" t="n">
        <v>6</v>
      </c>
      <c r="AB4" s="7" t="n">
        <v>6</v>
      </c>
      <c r="AC4" s="7" t="n">
        <v>11</v>
      </c>
      <c r="AD4" s="7" t="n">
        <v>12</v>
      </c>
      <c r="AE4" s="7" t="n">
        <v>15.5</v>
      </c>
      <c r="AF4" s="7" t="n"/>
      <c r="AG4" s="7" t="n"/>
      <c r="AH4" s="7" t="n">
        <v>8</v>
      </c>
      <c r="AI4" s="7" t="n">
        <v>5</v>
      </c>
      <c r="AJ4" s="7" t="n"/>
      <c r="AK4" s="5" t="n"/>
      <c r="AL4" s="5" t="n">
        <v>12</v>
      </c>
      <c r="AM4" s="5" t="n">
        <v>6</v>
      </c>
      <c r="AN4" s="2" t="n">
        <v>1</v>
      </c>
      <c r="AO4" s="2" t="n">
        <v>1</v>
      </c>
      <c r="AP4" s="2" t="n">
        <v>0</v>
      </c>
      <c r="AQ4" s="2" t="n">
        <v>0</v>
      </c>
      <c r="AR4" s="2" t="n">
        <v>1</v>
      </c>
      <c r="AS4" s="2" t="n">
        <v>1</v>
      </c>
      <c r="AT4" s="2" t="n">
        <v>1</v>
      </c>
      <c r="AU4" s="2" t="n">
        <v>1</v>
      </c>
      <c r="AV4" s="2" t="n">
        <v>1</v>
      </c>
      <c r="AW4" s="2" t="n">
        <v>1</v>
      </c>
    </row>
    <row r="5">
      <c r="A5" s="2" t="inlineStr">
        <is>
          <t>ChIJzdFNP3AyWpMRH2P6HEuhE-I</t>
        </is>
      </c>
      <c r="B5" s="2" t="inlineStr">
        <is>
          <t>Loja de Jogos - Asgard</t>
        </is>
      </c>
      <c r="C5" s="2" t="inlineStr">
        <is>
          <t>Brasília</t>
        </is>
      </c>
      <c r="D5" s="2" t="inlineStr">
        <is>
          <t>Centro-Oeste</t>
        </is>
      </c>
      <c r="E5" s="4" t="n">
        <v>4.7</v>
      </c>
      <c r="F5" s="5" t="n">
        <v>754</v>
      </c>
      <c r="G5" s="6" t="n">
        <v>7</v>
      </c>
      <c r="H5" s="6" t="n">
        <v>63</v>
      </c>
      <c r="I5" s="6" t="n">
        <v>14</v>
      </c>
      <c r="J5" s="6" t="n">
        <v>23</v>
      </c>
      <c r="K5" s="4" t="n">
        <v>1</v>
      </c>
      <c r="L5" s="4" t="n">
        <v>1</v>
      </c>
      <c r="M5" s="5" t="n">
        <v>430</v>
      </c>
      <c r="N5" s="4" t="n"/>
      <c r="O5" s="4" t="n"/>
      <c r="P5" s="5" t="n">
        <v>169</v>
      </c>
      <c r="Q5" s="5" t="n">
        <v>7305</v>
      </c>
      <c r="R5" s="5" t="n">
        <v>608</v>
      </c>
      <c r="S5" s="6" t="n">
        <v>9.02</v>
      </c>
      <c r="T5" s="6" t="n">
        <v>1</v>
      </c>
      <c r="U5" s="5" t="n">
        <v>15</v>
      </c>
      <c r="V5" s="5" t="n">
        <v>0</v>
      </c>
      <c r="W5" s="6" t="n">
        <v>15</v>
      </c>
      <c r="X5" s="15" t="n">
        <v>0.00205</v>
      </c>
      <c r="Y5" s="5" t="n">
        <v>39</v>
      </c>
      <c r="Z5" s="7" t="n">
        <v>17.5</v>
      </c>
      <c r="AA5" s="7" t="n">
        <v>17</v>
      </c>
      <c r="AB5" s="7" t="n">
        <v>33</v>
      </c>
      <c r="AC5" s="7" t="n">
        <v>54.5</v>
      </c>
      <c r="AD5" s="7" t="n">
        <v>67.5</v>
      </c>
      <c r="AE5" s="7" t="n">
        <v>81.5</v>
      </c>
      <c r="AF5" s="7" t="n">
        <v>45</v>
      </c>
      <c r="AG5" s="7" t="n">
        <v>30.5</v>
      </c>
      <c r="AH5" s="7" t="n">
        <v>12</v>
      </c>
      <c r="AI5" s="7" t="n">
        <v>6</v>
      </c>
      <c r="AJ5" s="7" t="n">
        <v>22</v>
      </c>
      <c r="AK5" s="5" t="n">
        <v>150</v>
      </c>
      <c r="AL5" s="5" t="n">
        <v>11</v>
      </c>
      <c r="AM5" s="5" t="n">
        <v>4</v>
      </c>
      <c r="AN5" s="2" t="n">
        <v>1</v>
      </c>
      <c r="AO5" s="2" t="n">
        <v>1</v>
      </c>
      <c r="AP5" s="2" t="n">
        <v>1</v>
      </c>
      <c r="AQ5" s="2" t="n">
        <v>1</v>
      </c>
      <c r="AR5" s="2" t="n">
        <v>1</v>
      </c>
      <c r="AS5" s="2" t="n">
        <v>1</v>
      </c>
      <c r="AT5" s="2" t="n">
        <v>1</v>
      </c>
      <c r="AU5" s="2" t="n">
        <v>1</v>
      </c>
      <c r="AV5" s="2" t="n">
        <v>1</v>
      </c>
      <c r="AW5" s="2" t="n">
        <v>1</v>
      </c>
    </row>
    <row r="6">
      <c r="A6" s="2" t="inlineStr">
        <is>
          <t>ChIJ15nLgwAwWpMRY1whwD29ZSo</t>
        </is>
      </c>
      <c r="B6" s="2" t="inlineStr">
        <is>
          <t>Ludoteca BGC</t>
        </is>
      </c>
      <c r="C6" s="2" t="inlineStr">
        <is>
          <t>Brasília</t>
        </is>
      </c>
      <c r="D6" s="2" t="inlineStr">
        <is>
          <t>Centro-Oeste</t>
        </is>
      </c>
      <c r="E6" s="4" t="n">
        <v>4.7</v>
      </c>
      <c r="F6" s="5" t="n">
        <v>1379</v>
      </c>
      <c r="G6" s="6" t="n">
        <v>6</v>
      </c>
      <c r="H6" s="6" t="n">
        <v>63</v>
      </c>
      <c r="I6" s="6" t="n">
        <v>12</v>
      </c>
      <c r="J6" s="6" t="n">
        <v>23.5</v>
      </c>
      <c r="K6" s="4" t="n">
        <v>2</v>
      </c>
      <c r="L6" s="4" t="n">
        <v>2</v>
      </c>
      <c r="M6" s="5" t="n">
        <v>465</v>
      </c>
      <c r="N6" s="4" t="n">
        <v>0</v>
      </c>
      <c r="O6" s="4" t="n">
        <v>0</v>
      </c>
      <c r="P6" s="5" t="n">
        <v>747</v>
      </c>
      <c r="Q6" s="5" t="n">
        <v>15000</v>
      </c>
      <c r="R6" s="5" t="n">
        <v>820</v>
      </c>
      <c r="S6" s="6" t="n">
        <v>10.37</v>
      </c>
      <c r="T6" s="6" t="n">
        <v>13</v>
      </c>
      <c r="U6" s="5" t="n">
        <v>144</v>
      </c>
      <c r="V6" s="5" t="n">
        <v>10</v>
      </c>
      <c r="W6" s="6" t="n">
        <v>11.85</v>
      </c>
      <c r="X6" s="15" t="n">
        <v>0.00079</v>
      </c>
      <c r="Y6" s="5" t="n">
        <v>60</v>
      </c>
      <c r="Z6" s="7" t="n">
        <v>30</v>
      </c>
      <c r="AA6" s="7" t="n">
        <v>9</v>
      </c>
      <c r="AB6" s="7" t="n">
        <v>31</v>
      </c>
      <c r="AC6" s="7" t="n">
        <v>64.5</v>
      </c>
      <c r="AD6" s="7" t="n">
        <v>70</v>
      </c>
      <c r="AE6" s="7" t="n">
        <v>76.75</v>
      </c>
      <c r="AF6" s="7" t="n"/>
      <c r="AG6" s="7" t="n"/>
      <c r="AH6" s="7" t="n">
        <v>8.5</v>
      </c>
      <c r="AI6" s="7" t="n">
        <v>6</v>
      </c>
      <c r="AJ6" s="7" t="n">
        <v>14</v>
      </c>
      <c r="AK6" s="5" t="n">
        <v>952</v>
      </c>
      <c r="AL6" s="5" t="n">
        <v>24</v>
      </c>
      <c r="AM6" s="5" t="n">
        <v>13</v>
      </c>
      <c r="AN6" s="2" t="n">
        <v>1</v>
      </c>
      <c r="AO6" s="2" t="n">
        <v>1</v>
      </c>
      <c r="AP6" s="2" t="n">
        <v>1</v>
      </c>
      <c r="AQ6" s="2" t="n">
        <v>0</v>
      </c>
      <c r="AR6" s="2" t="n">
        <v>1</v>
      </c>
      <c r="AS6" s="2" t="n">
        <v>1</v>
      </c>
      <c r="AT6" s="2" t="n">
        <v>1</v>
      </c>
      <c r="AU6" s="2" t="n">
        <v>1</v>
      </c>
      <c r="AV6" s="2" t="n">
        <v>1</v>
      </c>
      <c r="AW6" s="2" t="n">
        <v>1</v>
      </c>
    </row>
    <row r="7">
      <c r="A7" s="2" t="inlineStr">
        <is>
          <t>ChIJN8BZeb85WpMRgVKT05caxB4</t>
        </is>
      </c>
      <c r="B7" s="2" t="inlineStr">
        <is>
          <t>Utopia Games &amp; Food</t>
        </is>
      </c>
      <c r="C7" s="2" t="inlineStr">
        <is>
          <t>Brasília</t>
        </is>
      </c>
      <c r="D7" s="2" t="inlineStr">
        <is>
          <t>Centro-Oeste</t>
        </is>
      </c>
      <c r="E7" s="4" t="n">
        <v>4.8</v>
      </c>
      <c r="F7" s="5" t="n">
        <v>159</v>
      </c>
      <c r="G7" s="6" t="n">
        <v>6</v>
      </c>
      <c r="H7" s="6" t="n">
        <v>44</v>
      </c>
      <c r="I7" s="6" t="n">
        <v>14</v>
      </c>
      <c r="J7" s="6" t="n">
        <v>24</v>
      </c>
      <c r="K7" s="4" t="n">
        <v>0</v>
      </c>
      <c r="L7" s="4" t="n">
        <v>0</v>
      </c>
      <c r="M7" s="5" t="n">
        <v>6361</v>
      </c>
      <c r="N7" s="4" t="n">
        <v>0</v>
      </c>
      <c r="O7" s="4" t="n">
        <v>2</v>
      </c>
      <c r="P7" s="5" t="n">
        <v>162</v>
      </c>
      <c r="Q7" s="5" t="n">
        <v>2824</v>
      </c>
      <c r="R7" s="5" t="n">
        <v>208</v>
      </c>
      <c r="S7" s="6" t="n">
        <v>2.67</v>
      </c>
      <c r="T7" s="6" t="n">
        <v>27</v>
      </c>
      <c r="U7" s="5" t="n">
        <v>997</v>
      </c>
      <c r="V7" s="5" t="n">
        <v>64</v>
      </c>
      <c r="W7" s="6" t="n">
        <v>39.3</v>
      </c>
      <c r="X7" s="15" t="n">
        <v>0.01392</v>
      </c>
      <c r="Y7" s="5" t="n">
        <v>32</v>
      </c>
      <c r="Z7" s="7" t="n"/>
      <c r="AA7" s="7" t="n">
        <v>7</v>
      </c>
      <c r="AB7" s="7" t="n">
        <v>50</v>
      </c>
      <c r="AC7" s="7" t="n">
        <v>55</v>
      </c>
      <c r="AD7" s="7" t="n">
        <v>57</v>
      </c>
      <c r="AE7" s="7" t="n">
        <v>84.5</v>
      </c>
      <c r="AF7" s="7" t="n"/>
      <c r="AG7" s="7" t="n">
        <v>25.5</v>
      </c>
      <c r="AH7" s="7" t="n">
        <v>11</v>
      </c>
      <c r="AI7" s="7" t="n">
        <v>6</v>
      </c>
      <c r="AJ7" s="7" t="n"/>
      <c r="AK7" s="5" t="n"/>
      <c r="AL7" s="5" t="n">
        <v>31</v>
      </c>
      <c r="AM7" s="5" t="n">
        <v>22</v>
      </c>
      <c r="AN7" s="2" t="n">
        <v>0</v>
      </c>
      <c r="AO7" s="2" t="n">
        <v>1</v>
      </c>
      <c r="AP7" s="2" t="n">
        <v>0</v>
      </c>
      <c r="AQ7" s="2" t="n">
        <v>0</v>
      </c>
      <c r="AR7" s="2" t="n">
        <v>1</v>
      </c>
      <c r="AS7" s="2" t="n">
        <v>1</v>
      </c>
      <c r="AT7" s="2" t="n">
        <v>1</v>
      </c>
      <c r="AU7" s="2" t="n">
        <v>1</v>
      </c>
      <c r="AV7" s="2" t="n">
        <v>1</v>
      </c>
      <c r="AW7" s="2" t="n">
        <v>1</v>
      </c>
    </row>
    <row r="8">
      <c r="A8" s="2" t="inlineStr">
        <is>
          <t>ChIJ89uEICDxXpMRdaEvN0XiWK0</t>
        </is>
      </c>
      <c r="B8" s="2" t="inlineStr">
        <is>
          <t>Paladins Game Store</t>
        </is>
      </c>
      <c r="C8" s="2" t="inlineStr">
        <is>
          <t>Goiânia</t>
        </is>
      </c>
      <c r="D8" s="2" t="inlineStr">
        <is>
          <t>Centro-Oeste</t>
        </is>
      </c>
      <c r="E8" s="4" t="n">
        <v>4.7</v>
      </c>
      <c r="F8" s="5" t="n">
        <v>906</v>
      </c>
      <c r="G8" s="6" t="n">
        <v>7</v>
      </c>
      <c r="H8" s="6" t="n">
        <v>70</v>
      </c>
      <c r="I8" s="6" t="n">
        <v>10</v>
      </c>
      <c r="J8" s="6" t="n">
        <v>22</v>
      </c>
      <c r="K8" s="4" t="n">
        <v>0</v>
      </c>
      <c r="L8" s="4" t="n">
        <v>0</v>
      </c>
      <c r="M8" s="5" t="n"/>
      <c r="N8" s="4" t="n">
        <v>1</v>
      </c>
      <c r="O8" s="4" t="n">
        <v>2</v>
      </c>
      <c r="P8" s="5" t="n">
        <v>5</v>
      </c>
      <c r="Q8" s="5" t="n">
        <v>9690</v>
      </c>
      <c r="R8" s="5" t="n">
        <v>1376</v>
      </c>
      <c r="S8" s="6" t="n">
        <v>11.71</v>
      </c>
      <c r="T8" s="6" t="n">
        <v>1</v>
      </c>
      <c r="U8" s="5" t="n">
        <v>154</v>
      </c>
      <c r="V8" s="5" t="n">
        <v>3</v>
      </c>
      <c r="W8" s="6" t="n">
        <v>157</v>
      </c>
      <c r="X8" s="15" t="n">
        <v>0.0162</v>
      </c>
      <c r="Y8" s="5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5" t="n">
        <v>214</v>
      </c>
      <c r="AL8" s="5" t="n">
        <v>14</v>
      </c>
      <c r="AM8" s="5" t="n">
        <v>7</v>
      </c>
      <c r="AN8" s="2" t="n">
        <v>0</v>
      </c>
      <c r="AO8" s="2" t="n">
        <v>0</v>
      </c>
      <c r="AP8" s="2" t="n"/>
      <c r="AQ8" s="2" t="n">
        <v>1</v>
      </c>
      <c r="AR8" s="2" t="n">
        <v>1</v>
      </c>
      <c r="AS8" s="2" t="n">
        <v>1</v>
      </c>
      <c r="AT8" s="2" t="n">
        <v>1</v>
      </c>
      <c r="AU8" s="2" t="n">
        <v>1</v>
      </c>
      <c r="AV8" s="2" t="n">
        <v>1</v>
      </c>
      <c r="AW8" s="2" t="n">
        <v>1</v>
      </c>
    </row>
    <row r="9">
      <c r="A9" s="2" t="inlineStr">
        <is>
          <t>ChIJ0yXbI35IxwcR0_jLi-uINUU</t>
        </is>
      </c>
      <c r="B9" s="2" t="inlineStr">
        <is>
          <t>Balboa's Hobby Games</t>
        </is>
      </c>
      <c r="C9" s="2" t="inlineStr">
        <is>
          <t>Fortaleza</t>
        </is>
      </c>
      <c r="D9" s="2" t="inlineStr">
        <is>
          <t>Nordeste</t>
        </is>
      </c>
      <c r="E9" s="4" t="n">
        <v>4.8</v>
      </c>
      <c r="F9" s="5" t="n">
        <v>881</v>
      </c>
      <c r="G9" s="6" t="n">
        <v>5</v>
      </c>
      <c r="H9" s="6" t="n">
        <v>27</v>
      </c>
      <c r="I9" s="6" t="n">
        <v>15</v>
      </c>
      <c r="J9" s="6" t="n">
        <v>22</v>
      </c>
      <c r="K9" s="4" t="n">
        <v>0</v>
      </c>
      <c r="L9" s="4" t="n">
        <v>0</v>
      </c>
      <c r="M9" s="5" t="n">
        <v>3702</v>
      </c>
      <c r="N9" s="4" t="n"/>
      <c r="O9" s="4" t="n"/>
      <c r="P9" s="5" t="n">
        <v>228</v>
      </c>
      <c r="Q9" s="5" t="n">
        <v>21318</v>
      </c>
      <c r="R9" s="5" t="n">
        <v>1724</v>
      </c>
      <c r="S9" s="6" t="n">
        <v>12.37</v>
      </c>
      <c r="T9" s="6" t="n">
        <v>22</v>
      </c>
      <c r="U9" s="5" t="n">
        <v>2323</v>
      </c>
      <c r="V9" s="5" t="n">
        <v>108</v>
      </c>
      <c r="W9" s="6" t="n">
        <v>110.5</v>
      </c>
      <c r="X9" s="15" t="n">
        <v>0.00518</v>
      </c>
      <c r="Y9" s="5" t="n">
        <v>36</v>
      </c>
      <c r="Z9" s="7" t="n"/>
      <c r="AA9" s="7" t="n">
        <v>8</v>
      </c>
      <c r="AB9" s="7" t="n">
        <v>30</v>
      </c>
      <c r="AC9" s="7" t="n">
        <v>35</v>
      </c>
      <c r="AD9" s="7" t="n">
        <v>38</v>
      </c>
      <c r="AE9" s="7" t="n">
        <v>45</v>
      </c>
      <c r="AF9" s="7" t="n">
        <v>29.5</v>
      </c>
      <c r="AG9" s="7" t="n">
        <v>26.5</v>
      </c>
      <c r="AH9" s="7" t="n">
        <v>15</v>
      </c>
      <c r="AI9" s="7" t="n">
        <v>7.5</v>
      </c>
      <c r="AJ9" s="7" t="n">
        <v>15</v>
      </c>
      <c r="AK9" s="5" t="n">
        <v>1833</v>
      </c>
      <c r="AL9" s="5" t="n">
        <v>15</v>
      </c>
      <c r="AM9" s="5" t="n">
        <v>9</v>
      </c>
      <c r="AN9" s="2" t="n">
        <v>0</v>
      </c>
      <c r="AO9" s="2" t="n">
        <v>1</v>
      </c>
      <c r="AP9" s="2" t="n">
        <v>0</v>
      </c>
      <c r="AQ9" s="2" t="n">
        <v>0</v>
      </c>
      <c r="AR9" s="2" t="n">
        <v>0</v>
      </c>
      <c r="AS9" s="2" t="n">
        <v>1</v>
      </c>
      <c r="AT9" s="2" t="n">
        <v>1</v>
      </c>
      <c r="AU9" s="2" t="n">
        <v>1</v>
      </c>
      <c r="AV9" s="2" t="n">
        <v>1</v>
      </c>
      <c r="AW9" s="2" t="n">
        <v>1</v>
      </c>
    </row>
    <row r="10">
      <c r="A10" s="2" t="inlineStr">
        <is>
          <t>ChIJQURqeMZJxwcR95O-XLbS2mk</t>
        </is>
      </c>
      <c r="B10" s="2" t="inlineStr">
        <is>
          <t>Dominaria Cards &amp; Games</t>
        </is>
      </c>
      <c r="C10" s="2" t="inlineStr">
        <is>
          <t>Fortaleza</t>
        </is>
      </c>
      <c r="D10" s="2" t="inlineStr">
        <is>
          <t>Nordeste</t>
        </is>
      </c>
      <c r="E10" s="4" t="n">
        <v>4.7</v>
      </c>
      <c r="F10" s="5" t="n">
        <v>305</v>
      </c>
      <c r="G10" s="6" t="n">
        <v>7</v>
      </c>
      <c r="H10" s="6" t="n">
        <v>77</v>
      </c>
      <c r="I10" s="6" t="n">
        <v>8</v>
      </c>
      <c r="J10" s="6" t="n">
        <v>21</v>
      </c>
      <c r="K10" s="4" t="n">
        <v>1</v>
      </c>
      <c r="L10" s="4" t="n">
        <v>2</v>
      </c>
      <c r="M10" s="5" t="n">
        <v>95</v>
      </c>
      <c r="N10" s="4" t="n"/>
      <c r="O10" s="4" t="n"/>
      <c r="P10" s="5" t="n">
        <v>96</v>
      </c>
      <c r="Q10" s="5" t="n"/>
      <c r="R10" s="5" t="n"/>
      <c r="S10" s="6" t="n"/>
      <c r="T10" s="6" t="n"/>
      <c r="U10" s="5" t="n"/>
      <c r="V10" s="5" t="n"/>
      <c r="W10" s="6" t="n"/>
      <c r="X10" s="15" t="n"/>
      <c r="Y10" s="5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5" t="n"/>
      <c r="AL10" s="5" t="n">
        <v>19</v>
      </c>
      <c r="AM10" s="5" t="n">
        <v>14</v>
      </c>
      <c r="AN10" s="2" t="n">
        <v>1</v>
      </c>
      <c r="AO10" s="2" t="n">
        <v>0</v>
      </c>
      <c r="AP10" s="2" t="n"/>
      <c r="AQ10" s="2" t="n">
        <v>1</v>
      </c>
      <c r="AR10" s="2" t="n">
        <v>1</v>
      </c>
      <c r="AS10" s="2" t="n">
        <v>1</v>
      </c>
      <c r="AT10" s="2" t="n">
        <v>1</v>
      </c>
      <c r="AU10" s="2" t="n">
        <v>1</v>
      </c>
      <c r="AV10" s="2" t="n">
        <v>1</v>
      </c>
      <c r="AW10" s="2" t="n">
        <v>1</v>
      </c>
    </row>
    <row r="11">
      <c r="A11" s="2" t="inlineStr">
        <is>
          <t>ChIJRUjwU66WoGgRzc9yJU7jkwM</t>
        </is>
      </c>
      <c r="B11" s="2" t="inlineStr">
        <is>
          <t>Nala Land - Bar de Jogos de Tabuleiro em Recife</t>
        </is>
      </c>
      <c r="C11" s="2" t="inlineStr">
        <is>
          <t>Recife</t>
        </is>
      </c>
      <c r="D11" s="2" t="inlineStr">
        <is>
          <t>Nordeste</t>
        </is>
      </c>
      <c r="E11" s="4" t="n">
        <v>4.9</v>
      </c>
      <c r="F11" s="5" t="n">
        <v>206</v>
      </c>
      <c r="G11" s="6" t="n">
        <v>4</v>
      </c>
      <c r="H11" s="6" t="n">
        <v>28</v>
      </c>
      <c r="I11" s="6" t="n">
        <v>14</v>
      </c>
      <c r="J11" s="6" t="n">
        <v>24</v>
      </c>
      <c r="K11" s="4" t="n">
        <v>0</v>
      </c>
      <c r="L11" s="4" t="n">
        <v>0</v>
      </c>
      <c r="M11" s="5" t="n">
        <v>5144</v>
      </c>
      <c r="N11" s="4" t="n">
        <v>0</v>
      </c>
      <c r="O11" s="4" t="n">
        <v>0</v>
      </c>
      <c r="P11" s="5" t="n">
        <v>1138</v>
      </c>
      <c r="Q11" s="5" t="n">
        <v>27673</v>
      </c>
      <c r="R11" s="5" t="n">
        <v>655</v>
      </c>
      <c r="S11" s="6" t="n">
        <v>5.4</v>
      </c>
      <c r="T11" s="6" t="n">
        <v>17</v>
      </c>
      <c r="U11" s="5" t="n">
        <v>1058</v>
      </c>
      <c r="V11" s="5" t="n">
        <v>114</v>
      </c>
      <c r="W11" s="6" t="n">
        <v>68.94</v>
      </c>
      <c r="X11" s="15" t="n">
        <v>0.00249</v>
      </c>
      <c r="Y11" s="5" t="n">
        <v>25</v>
      </c>
      <c r="Z11" s="7" t="n"/>
      <c r="AA11" s="7" t="n">
        <v>12</v>
      </c>
      <c r="AB11" s="7" t="n">
        <v>22</v>
      </c>
      <c r="AC11" s="7" t="n">
        <v>29.5</v>
      </c>
      <c r="AD11" s="7" t="n">
        <v>34</v>
      </c>
      <c r="AE11" s="7" t="n">
        <v>37.5</v>
      </c>
      <c r="AF11" s="7" t="n">
        <v>34</v>
      </c>
      <c r="AG11" s="7" t="n">
        <v>19</v>
      </c>
      <c r="AH11" s="7" t="n">
        <v>12</v>
      </c>
      <c r="AI11" s="7" t="n"/>
      <c r="AJ11" s="7" t="n"/>
      <c r="AK11" s="5" t="n">
        <v>312</v>
      </c>
      <c r="AL11" s="5" t="n">
        <v>10</v>
      </c>
      <c r="AM11" s="5" t="n">
        <v>7</v>
      </c>
      <c r="AN11" s="2" t="n">
        <v>0</v>
      </c>
      <c r="AO11" s="2" t="n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1</v>
      </c>
      <c r="AU11" s="2" t="n">
        <v>1</v>
      </c>
      <c r="AV11" s="2" t="n">
        <v>1</v>
      </c>
      <c r="AW11" s="2" t="n">
        <v>1</v>
      </c>
    </row>
    <row r="12">
      <c r="A12" s="2" t="inlineStr">
        <is>
          <t>ChIJoTlvBfMbFgcRHvuCKHBQrXQ</t>
        </is>
      </c>
      <c r="B12" s="2" t="inlineStr">
        <is>
          <t>São Jogue - Bela Vista</t>
        </is>
      </c>
      <c r="C12" s="2" t="inlineStr">
        <is>
          <t>Salvador</t>
        </is>
      </c>
      <c r="D12" s="2" t="inlineStr">
        <is>
          <t>Nordeste</t>
        </is>
      </c>
      <c r="E12" s="4" t="n">
        <v>4.8</v>
      </c>
      <c r="F12" s="5" t="n">
        <v>787</v>
      </c>
      <c r="G12" s="6" t="n">
        <v>7</v>
      </c>
      <c r="H12" s="6" t="n">
        <v>68</v>
      </c>
      <c r="I12" s="6" t="n">
        <v>12</v>
      </c>
      <c r="J12" s="6" t="n">
        <v>22</v>
      </c>
      <c r="K12" s="4" t="n">
        <v>1</v>
      </c>
      <c r="L12" s="4" t="n">
        <v>2</v>
      </c>
      <c r="M12" s="5" t="n">
        <v>387</v>
      </c>
      <c r="N12" s="4" t="n">
        <v>1</v>
      </c>
      <c r="O12" s="4" t="n">
        <v>1</v>
      </c>
      <c r="P12" s="5" t="n">
        <v>118</v>
      </c>
      <c r="Q12" s="5" t="n">
        <v>38492</v>
      </c>
      <c r="R12" s="5" t="n">
        <v>2036</v>
      </c>
      <c r="S12" s="6" t="n">
        <v>8.91</v>
      </c>
      <c r="T12" s="6" t="n">
        <v>26</v>
      </c>
      <c r="U12" s="5" t="n">
        <v>8448</v>
      </c>
      <c r="V12" s="5" t="n">
        <v>251</v>
      </c>
      <c r="W12" s="6" t="n">
        <v>334.58</v>
      </c>
      <c r="X12" s="15" t="n">
        <v>0.00869</v>
      </c>
      <c r="Y12" s="5" t="n">
        <v>56</v>
      </c>
      <c r="Z12" s="7" t="n"/>
      <c r="AA12" s="7" t="n">
        <v>16</v>
      </c>
      <c r="AB12" s="7" t="n">
        <v>32.5</v>
      </c>
      <c r="AC12" s="7" t="n">
        <v>36.25</v>
      </c>
      <c r="AD12" s="7" t="n">
        <v>48.5</v>
      </c>
      <c r="AE12" s="7" t="n">
        <v>60.5</v>
      </c>
      <c r="AF12" s="7" t="n">
        <v>45</v>
      </c>
      <c r="AG12" s="7" t="n">
        <v>35</v>
      </c>
      <c r="AH12" s="7" t="n">
        <v>12</v>
      </c>
      <c r="AI12" s="7" t="n">
        <v>8.9</v>
      </c>
      <c r="AJ12" s="7" t="n">
        <v>28</v>
      </c>
      <c r="AK12" s="5" t="n">
        <v>370</v>
      </c>
      <c r="AL12" s="5" t="n">
        <v>5</v>
      </c>
      <c r="AM12" s="5" t="n">
        <v>4</v>
      </c>
      <c r="AN12" s="2" t="n">
        <v>1</v>
      </c>
      <c r="AO12" s="2" t="n">
        <v>1</v>
      </c>
      <c r="AP12" s="2" t="n">
        <v>0</v>
      </c>
      <c r="AQ12" s="2" t="n">
        <v>1</v>
      </c>
      <c r="AR12" s="2" t="n">
        <v>1</v>
      </c>
      <c r="AS12" s="2" t="n">
        <v>1</v>
      </c>
      <c r="AT12" s="2" t="n">
        <v>1</v>
      </c>
      <c r="AU12" s="2" t="n">
        <v>1</v>
      </c>
      <c r="AV12" s="2" t="n">
        <v>1</v>
      </c>
      <c r="AW12" s="2" t="n">
        <v>1</v>
      </c>
    </row>
    <row r="13">
      <c r="A13" s="2" t="inlineStr">
        <is>
          <t>ChIJ-97tiEeNpJIRb_eV7a-sxBs</t>
        </is>
      </c>
      <c r="B13" s="2" t="inlineStr">
        <is>
          <t>Ludoteca Sidequest</t>
        </is>
      </c>
      <c r="C13" s="2" t="inlineStr">
        <is>
          <t>Belém</t>
        </is>
      </c>
      <c r="D13" s="2" t="inlineStr">
        <is>
          <t>Norte</t>
        </is>
      </c>
      <c r="E13" s="4" t="n">
        <v>4.8</v>
      </c>
      <c r="F13" s="5" t="n">
        <v>327</v>
      </c>
      <c r="G13" s="6" t="n">
        <v>5</v>
      </c>
      <c r="H13" s="6" t="n">
        <v>42</v>
      </c>
      <c r="I13" s="6" t="n">
        <v>14</v>
      </c>
      <c r="J13" s="6" t="n">
        <v>24</v>
      </c>
      <c r="K13" s="4" t="n">
        <v>0</v>
      </c>
      <c r="L13" s="4" t="n">
        <v>0</v>
      </c>
      <c r="M13" s="5" t="n"/>
      <c r="N13" s="4" t="n">
        <v>2</v>
      </c>
      <c r="O13" s="4" t="n">
        <v>2</v>
      </c>
      <c r="P13" s="5" t="n">
        <v>52</v>
      </c>
      <c r="Q13" s="5" t="n">
        <v>21601</v>
      </c>
      <c r="R13" s="5" t="n">
        <v>235</v>
      </c>
      <c r="S13" s="6" t="n">
        <v>2.98</v>
      </c>
      <c r="T13" s="6" t="n">
        <v>10</v>
      </c>
      <c r="U13" s="5" t="n">
        <v>3394</v>
      </c>
      <c r="V13" s="5" t="n">
        <v>92</v>
      </c>
      <c r="W13" s="6" t="n">
        <v>348.6</v>
      </c>
      <c r="X13" s="15" t="n">
        <v>0.01614</v>
      </c>
      <c r="Y13" s="5" t="n">
        <v>60</v>
      </c>
      <c r="Z13" s="7" t="n">
        <v>25.5</v>
      </c>
      <c r="AA13" s="7" t="n">
        <v>13</v>
      </c>
      <c r="AB13" s="7" t="n">
        <v>35</v>
      </c>
      <c r="AC13" s="7" t="n">
        <v>56.75</v>
      </c>
      <c r="AD13" s="7" t="n">
        <v>73.5</v>
      </c>
      <c r="AE13" s="7" t="n">
        <v>81.25</v>
      </c>
      <c r="AF13" s="7" t="n">
        <v>40</v>
      </c>
      <c r="AG13" s="7" t="n">
        <v>31</v>
      </c>
      <c r="AH13" s="7" t="n">
        <v>13</v>
      </c>
      <c r="AI13" s="7" t="n">
        <v>7</v>
      </c>
      <c r="AJ13" s="7" t="n">
        <v>13</v>
      </c>
      <c r="AK13" s="5" t="n">
        <v>468</v>
      </c>
      <c r="AL13" s="5" t="n">
        <v>40</v>
      </c>
      <c r="AM13" s="5" t="n">
        <v>26</v>
      </c>
      <c r="AN13" s="2" t="n">
        <v>0</v>
      </c>
      <c r="AO13" s="2" t="n">
        <v>1</v>
      </c>
      <c r="AP13" s="2" t="n">
        <v>1</v>
      </c>
      <c r="AQ13" s="2" t="n">
        <v>0</v>
      </c>
      <c r="AR13" s="2" t="n">
        <v>0</v>
      </c>
      <c r="AS13" s="2" t="n">
        <v>1</v>
      </c>
      <c r="AT13" s="2" t="n">
        <v>1</v>
      </c>
      <c r="AU13" s="2" t="n">
        <v>1</v>
      </c>
      <c r="AV13" s="2" t="n">
        <v>1</v>
      </c>
      <c r="AW13" s="2" t="n">
        <v>1</v>
      </c>
    </row>
    <row r="14">
      <c r="A14" s="2" t="inlineStr">
        <is>
          <t>ChIJRcWOaPabpgARDvX2Bad0qb0</t>
        </is>
      </c>
      <c r="B14" s="2" t="inlineStr">
        <is>
          <t>Bardo Mago</t>
        </is>
      </c>
      <c r="C14" s="2" t="inlineStr">
        <is>
          <t>Belo Horizonte</t>
        </is>
      </c>
      <c r="D14" s="2" t="inlineStr">
        <is>
          <t>Sudeste</t>
        </is>
      </c>
      <c r="E14" s="4" t="n">
        <v>4.8</v>
      </c>
      <c r="F14" s="5" t="n">
        <v>823</v>
      </c>
      <c r="G14" s="6" t="n">
        <v>5</v>
      </c>
      <c r="H14" s="6" t="n">
        <v>37</v>
      </c>
      <c r="I14" s="6" t="n">
        <v>13</v>
      </c>
      <c r="J14" s="6" t="n">
        <v>24</v>
      </c>
      <c r="K14" s="4" t="n">
        <v>1</v>
      </c>
      <c r="L14" s="4" t="n">
        <v>1</v>
      </c>
      <c r="M14" s="5" t="n">
        <v>307</v>
      </c>
      <c r="N14" s="4" t="n">
        <v>0</v>
      </c>
      <c r="O14" s="4" t="n">
        <v>0</v>
      </c>
      <c r="P14" s="5" t="n">
        <v>723</v>
      </c>
      <c r="Q14" s="5" t="n"/>
      <c r="R14" s="5" t="n">
        <v>616</v>
      </c>
      <c r="S14" s="6" t="n">
        <v>2.42</v>
      </c>
      <c r="T14" s="6" t="n">
        <v>31</v>
      </c>
      <c r="U14" s="5" t="n">
        <v>8610</v>
      </c>
      <c r="V14" s="5" t="n">
        <v>288</v>
      </c>
      <c r="W14" s="6" t="n">
        <v>287.03</v>
      </c>
      <c r="X14" s="15" t="n"/>
      <c r="Y14" s="5" t="n">
        <v>110</v>
      </c>
      <c r="Z14" s="7" t="n"/>
      <c r="AA14" s="7" t="n">
        <v>20</v>
      </c>
      <c r="AB14" s="7" t="n">
        <v>34</v>
      </c>
      <c r="AC14" s="7" t="n">
        <v>40.5</v>
      </c>
      <c r="AD14" s="7" t="n">
        <v>54</v>
      </c>
      <c r="AE14" s="7" t="n">
        <v>71.5</v>
      </c>
      <c r="AF14" s="7" t="n">
        <v>42</v>
      </c>
      <c r="AG14" s="7" t="n"/>
      <c r="AH14" s="7" t="n">
        <v>12.5</v>
      </c>
      <c r="AI14" s="7" t="n">
        <v>8</v>
      </c>
      <c r="AJ14" s="7" t="n">
        <v>26</v>
      </c>
      <c r="AK14" s="5" t="n">
        <v>588</v>
      </c>
      <c r="AL14" s="5" t="n"/>
      <c r="AM14" s="5" t="n"/>
      <c r="AN14" s="2" t="n">
        <v>1</v>
      </c>
      <c r="AO14" s="2" t="n">
        <v>1</v>
      </c>
      <c r="AP14" s="2" t="n">
        <v>0</v>
      </c>
      <c r="AQ14" s="2" t="n">
        <v>0</v>
      </c>
      <c r="AR14" s="2" t="n">
        <v>0</v>
      </c>
      <c r="AS14" s="2" t="n">
        <v>1</v>
      </c>
      <c r="AT14" s="2" t="n">
        <v>1</v>
      </c>
      <c r="AU14" s="2" t="n">
        <v>1</v>
      </c>
      <c r="AV14" s="2" t="n">
        <v>1</v>
      </c>
      <c r="AW14" s="2" t="n">
        <v>1</v>
      </c>
    </row>
    <row r="15">
      <c r="A15" s="2" t="inlineStr">
        <is>
          <t>ChIJpzB8zc2XpgARoJTUu90J6Pw</t>
        </is>
      </c>
      <c r="B15" s="2" t="inlineStr">
        <is>
          <t>Comdado Bar e Jogos</t>
        </is>
      </c>
      <c r="C15" s="2" t="inlineStr">
        <is>
          <t>Belo Horizonte</t>
        </is>
      </c>
      <c r="D15" s="2" t="inlineStr">
        <is>
          <t>Sudeste</t>
        </is>
      </c>
      <c r="E15" s="4" t="n">
        <v>4.4</v>
      </c>
      <c r="F15" s="5" t="n">
        <v>158</v>
      </c>
      <c r="G15" s="6" t="n">
        <v>5</v>
      </c>
      <c r="H15" s="6" t="n">
        <v>45</v>
      </c>
      <c r="I15" s="6" t="n">
        <v>12</v>
      </c>
      <c r="J15" s="6" t="n">
        <v>25</v>
      </c>
      <c r="K15" s="4" t="n">
        <v>0</v>
      </c>
      <c r="L15" s="4" t="n">
        <v>0</v>
      </c>
      <c r="M15" s="5" t="n">
        <v>1142</v>
      </c>
      <c r="N15" s="4" t="n">
        <v>0</v>
      </c>
      <c r="O15" s="4" t="n">
        <v>3</v>
      </c>
      <c r="P15" s="5" t="n">
        <v>105</v>
      </c>
      <c r="Q15" s="5" t="n">
        <v>10671</v>
      </c>
      <c r="R15" s="5" t="n">
        <v>190</v>
      </c>
      <c r="S15" s="6" t="n">
        <v>3.98</v>
      </c>
      <c r="T15" s="6" t="n">
        <v>2</v>
      </c>
      <c r="U15" s="5" t="n">
        <v>100</v>
      </c>
      <c r="V15" s="5" t="n">
        <v>4</v>
      </c>
      <c r="W15" s="6" t="n">
        <v>52</v>
      </c>
      <c r="X15" s="15" t="n">
        <v>0.00487</v>
      </c>
      <c r="Y15" s="5" t="n">
        <v>55</v>
      </c>
      <c r="Z15" s="7" t="n">
        <v>17.5</v>
      </c>
      <c r="AA15" s="7" t="n">
        <v>18</v>
      </c>
      <c r="AB15" s="7" t="n">
        <v>50</v>
      </c>
      <c r="AC15" s="7" t="n">
        <v>71</v>
      </c>
      <c r="AD15" s="7" t="n">
        <v>85.5</v>
      </c>
      <c r="AE15" s="7" t="n">
        <v>98.75</v>
      </c>
      <c r="AF15" s="7" t="n">
        <v>50</v>
      </c>
      <c r="AG15" s="7" t="n"/>
      <c r="AH15" s="7" t="n">
        <v>12</v>
      </c>
      <c r="AI15" s="7" t="n"/>
      <c r="AJ15" s="7" t="n">
        <v>25</v>
      </c>
      <c r="AK15" s="5" t="n">
        <v>190</v>
      </c>
      <c r="AL15" s="5" t="n">
        <v>12</v>
      </c>
      <c r="AM15" s="5" t="n">
        <v>6</v>
      </c>
      <c r="AN15" s="2" t="n">
        <v>0</v>
      </c>
      <c r="AO15" s="2" t="n">
        <v>1</v>
      </c>
      <c r="AP15" s="2" t="n">
        <v>1</v>
      </c>
      <c r="AQ15" s="2" t="n">
        <v>0</v>
      </c>
      <c r="AR15" s="2" t="n">
        <v>0</v>
      </c>
      <c r="AS15" s="2" t="n">
        <v>1</v>
      </c>
      <c r="AT15" s="2" t="n">
        <v>1</v>
      </c>
      <c r="AU15" s="2" t="n">
        <v>1</v>
      </c>
      <c r="AV15" s="2" t="n">
        <v>1</v>
      </c>
      <c r="AW15" s="2" t="n">
        <v>1</v>
      </c>
    </row>
    <row r="16">
      <c r="A16" s="2" t="inlineStr">
        <is>
          <t>ChIJsUAT-dObpgARCT2C5QpnVKU</t>
        </is>
      </c>
      <c r="B16" s="2" t="inlineStr">
        <is>
          <t>Garagem do Nerd</t>
        </is>
      </c>
      <c r="C16" s="2" t="inlineStr">
        <is>
          <t>Belo Horizonte</t>
        </is>
      </c>
      <c r="D16" s="2" t="inlineStr">
        <is>
          <t>Sudeste</t>
        </is>
      </c>
      <c r="E16" s="4" t="n">
        <v>4.9</v>
      </c>
      <c r="F16" s="5" t="n">
        <v>244</v>
      </c>
      <c r="G16" s="6" t="n">
        <v>5</v>
      </c>
      <c r="H16" s="6" t="n">
        <v>34</v>
      </c>
      <c r="I16" s="6" t="n">
        <v>13</v>
      </c>
      <c r="J16" s="6" t="n">
        <v>25</v>
      </c>
      <c r="K16" s="4" t="n">
        <v>0</v>
      </c>
      <c r="L16" s="4" t="n">
        <v>0</v>
      </c>
      <c r="M16" s="5" t="n">
        <v>1201</v>
      </c>
      <c r="N16" s="4" t="n">
        <v>0</v>
      </c>
      <c r="O16" s="4" t="n"/>
      <c r="P16" s="5" t="n">
        <v>754</v>
      </c>
      <c r="Q16" s="5" t="n">
        <v>13420</v>
      </c>
      <c r="R16" s="5" t="n">
        <v>3023</v>
      </c>
      <c r="S16" s="6" t="n">
        <v>8.73</v>
      </c>
      <c r="T16" s="6" t="n">
        <v>30</v>
      </c>
      <c r="U16" s="5" t="n">
        <v>529</v>
      </c>
      <c r="V16" s="5" t="n">
        <v>10</v>
      </c>
      <c r="W16" s="6" t="n">
        <v>17.97</v>
      </c>
      <c r="X16" s="15" t="n">
        <v>0.00134</v>
      </c>
      <c r="Y16" s="5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5" t="n"/>
      <c r="AL16" s="5" t="n">
        <v>4</v>
      </c>
      <c r="AM16" s="5" t="n">
        <v>1</v>
      </c>
      <c r="AN16" s="2" t="n">
        <v>0</v>
      </c>
      <c r="AO16" s="2" t="n">
        <v>0</v>
      </c>
      <c r="AP16" s="2" t="n"/>
      <c r="AQ16" s="2" t="n">
        <v>0</v>
      </c>
      <c r="AR16" s="2" t="n">
        <v>1</v>
      </c>
      <c r="AS16" s="2" t="n">
        <v>1</v>
      </c>
      <c r="AT16" s="2" t="n">
        <v>1</v>
      </c>
      <c r="AU16" s="2" t="n">
        <v>1</v>
      </c>
      <c r="AV16" s="2" t="n">
        <v>1</v>
      </c>
      <c r="AW16" s="2" t="n">
        <v>0</v>
      </c>
    </row>
    <row r="17">
      <c r="A17" s="2" t="inlineStr">
        <is>
          <t>ChIJ-17ZQDG9pgARc-AxpXmaNRU</t>
        </is>
      </c>
      <c r="B17" s="2" t="inlineStr">
        <is>
          <t>La Tabuleria</t>
        </is>
      </c>
      <c r="C17" s="2" t="inlineStr">
        <is>
          <t>Belo Horizonte</t>
        </is>
      </c>
      <c r="D17" s="2" t="inlineStr">
        <is>
          <t>Sudeste</t>
        </is>
      </c>
      <c r="E17" s="4" t="n">
        <v>4.7</v>
      </c>
      <c r="F17" s="5" t="n">
        <v>138</v>
      </c>
      <c r="G17" s="6" t="n">
        <v>5</v>
      </c>
      <c r="H17" s="6" t="n">
        <v>42</v>
      </c>
      <c r="I17" s="6" t="n">
        <v>15</v>
      </c>
      <c r="J17" s="6" t="n">
        <v>25</v>
      </c>
      <c r="K17" s="4" t="n">
        <v>0</v>
      </c>
      <c r="L17" s="4" t="n">
        <v>0</v>
      </c>
      <c r="M17" s="5" t="n">
        <v>4984</v>
      </c>
      <c r="N17" s="4" t="n">
        <v>0</v>
      </c>
      <c r="O17" s="4" t="n">
        <v>0</v>
      </c>
      <c r="P17" s="5" t="n">
        <v>137</v>
      </c>
      <c r="Q17" s="5" t="n"/>
      <c r="R17" s="5" t="n"/>
      <c r="S17" s="6" t="n">
        <v>2.64</v>
      </c>
      <c r="T17" s="6" t="n">
        <v>8</v>
      </c>
      <c r="U17" s="5" t="n">
        <v>140</v>
      </c>
      <c r="V17" s="5" t="n">
        <v>1</v>
      </c>
      <c r="W17" s="6" t="n">
        <v>17.62</v>
      </c>
      <c r="X17" s="15" t="n"/>
      <c r="Y17" s="5" t="n">
        <v>90</v>
      </c>
      <c r="Z17" s="7" t="n">
        <v>20</v>
      </c>
      <c r="AA17" s="7" t="n">
        <v>20</v>
      </c>
      <c r="AB17" s="7" t="n">
        <v>35</v>
      </c>
      <c r="AC17" s="7" t="n">
        <v>58.5</v>
      </c>
      <c r="AD17" s="7" t="n">
        <v>75</v>
      </c>
      <c r="AE17" s="7" t="n">
        <v>87.5</v>
      </c>
      <c r="AF17" s="7" t="n">
        <v>42</v>
      </c>
      <c r="AG17" s="7" t="n">
        <v>37.5</v>
      </c>
      <c r="AH17" s="7" t="n">
        <v>12</v>
      </c>
      <c r="AI17" s="7" t="n">
        <v>8</v>
      </c>
      <c r="AJ17" s="7" t="n">
        <v>25</v>
      </c>
      <c r="AK17" s="5" t="n">
        <v>192</v>
      </c>
      <c r="AL17" s="5" t="n"/>
      <c r="AM17" s="5" t="n"/>
      <c r="AN17" s="2" t="n">
        <v>0</v>
      </c>
      <c r="AO17" s="2" t="n">
        <v>1</v>
      </c>
      <c r="AP17" s="2" t="n">
        <v>1</v>
      </c>
      <c r="AQ17" s="2" t="n">
        <v>0</v>
      </c>
      <c r="AR17" s="2" t="n">
        <v>0</v>
      </c>
      <c r="AS17" s="2" t="n">
        <v>1</v>
      </c>
      <c r="AT17" s="2" t="n">
        <v>1</v>
      </c>
      <c r="AU17" s="2" t="n">
        <v>1</v>
      </c>
      <c r="AV17" s="2" t="n">
        <v>1</v>
      </c>
      <c r="AW17" s="2" t="n">
        <v>1</v>
      </c>
    </row>
    <row r="18">
      <c r="A18" s="2" t="inlineStr">
        <is>
          <t>ChIJx5jr3zGXpgARQGx9eX7TDmY</t>
        </is>
      </c>
      <c r="B18" s="2" t="inlineStr">
        <is>
          <t>LudoCafé</t>
        </is>
      </c>
      <c r="C18" s="2" t="inlineStr">
        <is>
          <t>Belo Horizonte</t>
        </is>
      </c>
      <c r="D18" s="2" t="inlineStr">
        <is>
          <t>Sudeste</t>
        </is>
      </c>
      <c r="E18" s="4" t="n">
        <v>4.6</v>
      </c>
      <c r="F18" s="5" t="n">
        <v>585</v>
      </c>
      <c r="G18" s="6" t="n">
        <v>6</v>
      </c>
      <c r="H18" s="6" t="n">
        <v>41</v>
      </c>
      <c r="I18" s="6" t="n">
        <v>13</v>
      </c>
      <c r="J18" s="6" t="n">
        <v>24</v>
      </c>
      <c r="K18" s="4" t="n">
        <v>0</v>
      </c>
      <c r="L18" s="4" t="n">
        <v>0</v>
      </c>
      <c r="M18" s="5" t="n">
        <v>3205</v>
      </c>
      <c r="N18" s="4" t="n">
        <v>0</v>
      </c>
      <c r="O18" s="4" t="n">
        <v>0</v>
      </c>
      <c r="P18" s="5" t="n">
        <v>391</v>
      </c>
      <c r="Q18" s="5" t="n"/>
      <c r="R18" s="5" t="n"/>
      <c r="S18" s="6" t="n"/>
      <c r="T18" s="6" t="n"/>
      <c r="U18" s="5" t="n"/>
      <c r="V18" s="5" t="n"/>
      <c r="W18" s="6" t="n"/>
      <c r="X18" s="15" t="n"/>
      <c r="Y18" s="5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5" t="n"/>
      <c r="AL18" s="5" t="n">
        <v>10</v>
      </c>
      <c r="AM18" s="5" t="n">
        <v>6</v>
      </c>
      <c r="AN18" s="2" t="n">
        <v>0</v>
      </c>
      <c r="AO18" s="2" t="n">
        <v>0</v>
      </c>
      <c r="AP18" s="2" t="n"/>
      <c r="AQ18" s="2" t="n">
        <v>0</v>
      </c>
      <c r="AR18" s="2" t="n">
        <v>1</v>
      </c>
      <c r="AS18" s="2" t="n">
        <v>1</v>
      </c>
      <c r="AT18" s="2" t="n">
        <v>1</v>
      </c>
      <c r="AU18" s="2" t="n">
        <v>1</v>
      </c>
      <c r="AV18" s="2" t="n">
        <v>1</v>
      </c>
      <c r="AW18" s="2" t="n">
        <v>1</v>
      </c>
    </row>
    <row r="19">
      <c r="A19" s="2" t="inlineStr">
        <is>
          <t>ChIJ6ZLMZw-XpgAR_OR6SwY5xKo</t>
        </is>
      </c>
      <c r="B19" s="2" t="inlineStr">
        <is>
          <t>Shelf Bar e Jogos</t>
        </is>
      </c>
      <c r="C19" s="2" t="inlineStr">
        <is>
          <t>Belo Horizonte</t>
        </is>
      </c>
      <c r="D19" s="2" t="inlineStr">
        <is>
          <t>Sudeste</t>
        </is>
      </c>
      <c r="E19" s="4" t="n">
        <v>4.6</v>
      </c>
      <c r="F19" s="5" t="n">
        <v>1505</v>
      </c>
      <c r="G19" s="6" t="n">
        <v>6</v>
      </c>
      <c r="H19" s="6" t="n">
        <v>56</v>
      </c>
      <c r="I19" s="6" t="n">
        <v>15</v>
      </c>
      <c r="J19" s="6" t="n">
        <v>25</v>
      </c>
      <c r="K19" s="4" t="n">
        <v>0</v>
      </c>
      <c r="L19" s="4" t="n">
        <v>0</v>
      </c>
      <c r="M19" s="5" t="n">
        <v>2556</v>
      </c>
      <c r="N19" s="4" t="n"/>
      <c r="O19" s="4" t="n"/>
      <c r="P19" s="5" t="n">
        <v>221</v>
      </c>
      <c r="Q19" s="5" t="n">
        <v>31800</v>
      </c>
      <c r="R19" s="5" t="n">
        <v>630</v>
      </c>
      <c r="S19" s="6" t="n">
        <v>2.15</v>
      </c>
      <c r="T19" s="6" t="n">
        <v>32</v>
      </c>
      <c r="U19" s="5" t="n">
        <v>1557</v>
      </c>
      <c r="V19" s="5" t="n">
        <v>121</v>
      </c>
      <c r="W19" s="6" t="n">
        <v>52.44</v>
      </c>
      <c r="X19" s="15" t="n">
        <v>0.00165</v>
      </c>
      <c r="Y19" s="5" t="n">
        <v>138</v>
      </c>
      <c r="Z19" s="7" t="n">
        <v>20</v>
      </c>
      <c r="AA19" s="7" t="n">
        <v>25</v>
      </c>
      <c r="AB19" s="7" t="n">
        <v>52</v>
      </c>
      <c r="AC19" s="7" t="n">
        <v>74</v>
      </c>
      <c r="AD19" s="7" t="n">
        <v>97</v>
      </c>
      <c r="AE19" s="7" t="n">
        <v>121</v>
      </c>
      <c r="AF19" s="7" t="n">
        <v>54</v>
      </c>
      <c r="AG19" s="7" t="n">
        <v>40</v>
      </c>
      <c r="AH19" s="7" t="n">
        <v>13</v>
      </c>
      <c r="AI19" s="7" t="n">
        <v>12</v>
      </c>
      <c r="AJ19" s="7" t="n">
        <v>28</v>
      </c>
      <c r="AK19" s="5" t="n">
        <v>836</v>
      </c>
      <c r="AL19" s="5" t="n">
        <v>272</v>
      </c>
      <c r="AM19" s="5" t="n">
        <v>243</v>
      </c>
      <c r="AN19" s="2" t="n">
        <v>0</v>
      </c>
      <c r="AO19" s="2" t="n">
        <v>1</v>
      </c>
      <c r="AP19" s="2" t="n">
        <v>1</v>
      </c>
      <c r="AQ19" s="2" t="n">
        <v>0</v>
      </c>
      <c r="AR19" s="2" t="n">
        <v>1</v>
      </c>
      <c r="AS19" s="2" t="n">
        <v>1</v>
      </c>
      <c r="AT19" s="2" t="n">
        <v>1</v>
      </c>
      <c r="AU19" s="2" t="n">
        <v>1</v>
      </c>
      <c r="AV19" s="2" t="n">
        <v>1</v>
      </c>
      <c r="AW19" s="2" t="n">
        <v>1</v>
      </c>
    </row>
    <row r="20">
      <c r="A20" s="2" t="inlineStr">
        <is>
          <t>ChIJu1yUroF_mQAR7qxqAfxKSw4</t>
        </is>
      </c>
      <c r="B20" s="2" t="inlineStr">
        <is>
          <t>Game Of Boards</t>
        </is>
      </c>
      <c r="C20" s="2" t="inlineStr">
        <is>
          <t>Rio de Janeiro</t>
        </is>
      </c>
      <c r="D20" s="2" t="inlineStr">
        <is>
          <t>Sudeste</t>
        </is>
      </c>
      <c r="E20" s="4" t="n">
        <v>4.7</v>
      </c>
      <c r="F20" s="5" t="n">
        <v>1077</v>
      </c>
      <c r="G20" s="6" t="n">
        <v>5</v>
      </c>
      <c r="H20" s="6" t="n">
        <v>41</v>
      </c>
      <c r="I20" s="6" t="n">
        <v>14</v>
      </c>
      <c r="J20" s="6" t="n">
        <v>24</v>
      </c>
      <c r="K20" s="4" t="n">
        <v>0</v>
      </c>
      <c r="L20" s="4" t="n">
        <v>1</v>
      </c>
      <c r="M20" s="5" t="n">
        <v>555</v>
      </c>
      <c r="N20" s="4" t="n"/>
      <c r="O20" s="4" t="n"/>
      <c r="P20" s="5" t="n">
        <v>291</v>
      </c>
      <c r="Q20" s="5" t="n">
        <v>18453</v>
      </c>
      <c r="R20" s="5" t="n">
        <v>3266</v>
      </c>
      <c r="S20" s="6" t="n">
        <v>10.55</v>
      </c>
      <c r="T20" s="6" t="n">
        <v>21</v>
      </c>
      <c r="U20" s="5" t="n">
        <v>789</v>
      </c>
      <c r="V20" s="5" t="n">
        <v>76</v>
      </c>
      <c r="W20" s="6" t="n">
        <v>41.19</v>
      </c>
      <c r="X20" s="15" t="n">
        <v>0.00223</v>
      </c>
      <c r="Y20" s="5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5" t="n"/>
      <c r="AL20" s="5" t="n">
        <v>8</v>
      </c>
      <c r="AM20" s="5" t="n">
        <v>6</v>
      </c>
      <c r="AN20" s="2" t="n">
        <v>1</v>
      </c>
      <c r="AO20" s="2" t="n">
        <v>0</v>
      </c>
      <c r="AP20" s="2" t="n"/>
      <c r="AQ20" s="2" t="n">
        <v>0</v>
      </c>
      <c r="AR20" s="2" t="n">
        <v>0</v>
      </c>
      <c r="AS20" s="2" t="n">
        <v>1</v>
      </c>
      <c r="AT20" s="2" t="n">
        <v>1</v>
      </c>
      <c r="AU20" s="2" t="n">
        <v>1</v>
      </c>
      <c r="AV20" s="2" t="n">
        <v>1</v>
      </c>
      <c r="AW20" s="2" t="n">
        <v>1</v>
      </c>
    </row>
    <row r="21">
      <c r="A21" s="2" t="inlineStr">
        <is>
          <t>ChIJ90Gs_9rVmwAReA7MnIyPLTE</t>
        </is>
      </c>
      <c r="B21" s="2" t="inlineStr">
        <is>
          <t>Luderia Carioca</t>
        </is>
      </c>
      <c r="C21" s="2" t="inlineStr">
        <is>
          <t>Rio de Janeiro</t>
        </is>
      </c>
      <c r="D21" s="2" t="inlineStr">
        <is>
          <t>Sudeste</t>
        </is>
      </c>
      <c r="E21" s="4" t="n">
        <v>4.7</v>
      </c>
      <c r="F21" s="5" t="n">
        <v>212</v>
      </c>
      <c r="G21" s="6" t="n">
        <v>5</v>
      </c>
      <c r="H21" s="6" t="n">
        <v>38</v>
      </c>
      <c r="I21" s="6" t="n">
        <v>14</v>
      </c>
      <c r="J21" s="6" t="n">
        <v>24</v>
      </c>
      <c r="K21" s="4" t="n">
        <v>2</v>
      </c>
      <c r="L21" s="4" t="n">
        <v>3</v>
      </c>
      <c r="M21" s="5" t="n">
        <v>302</v>
      </c>
      <c r="N21" s="4" t="n">
        <v>0</v>
      </c>
      <c r="O21" s="4" t="n">
        <v>1</v>
      </c>
      <c r="P21" s="5" t="n">
        <v>576</v>
      </c>
      <c r="Q21" s="5" t="n">
        <v>16137</v>
      </c>
      <c r="R21" s="5" t="n">
        <v>84</v>
      </c>
      <c r="S21" s="6" t="n">
        <v>1.59</v>
      </c>
      <c r="T21" s="6" t="n">
        <v>5</v>
      </c>
      <c r="U21" s="5" t="n">
        <v>809</v>
      </c>
      <c r="V21" s="5" t="n">
        <v>20</v>
      </c>
      <c r="W21" s="6" t="n">
        <v>165.8</v>
      </c>
      <c r="X21" s="15" t="n">
        <v>0.01027</v>
      </c>
      <c r="Y21" s="5" t="n">
        <v>36</v>
      </c>
      <c r="Z21" s="7" t="n"/>
      <c r="AA21" s="7" t="n">
        <v>12</v>
      </c>
      <c r="AB21" s="7" t="n">
        <v>32</v>
      </c>
      <c r="AC21" s="7" t="n">
        <v>35</v>
      </c>
      <c r="AD21" s="7" t="n">
        <v>44</v>
      </c>
      <c r="AE21" s="7" t="n">
        <v>54.5</v>
      </c>
      <c r="AF21" s="7" t="n">
        <v>38</v>
      </c>
      <c r="AG21" s="7" t="n">
        <v>24</v>
      </c>
      <c r="AH21" s="7" t="n">
        <v>16.5</v>
      </c>
      <c r="AI21" s="7" t="n">
        <v>9</v>
      </c>
      <c r="AJ21" s="7" t="n"/>
      <c r="AK21" s="5" t="n">
        <v>780</v>
      </c>
      <c r="AL21" s="5" t="n">
        <v>99</v>
      </c>
      <c r="AM21" s="5" t="n">
        <v>69</v>
      </c>
      <c r="AN21" s="2" t="n">
        <v>1</v>
      </c>
      <c r="AO21" s="2" t="n">
        <v>1</v>
      </c>
      <c r="AP21" s="2" t="n">
        <v>0</v>
      </c>
      <c r="AQ21" s="2" t="n">
        <v>0</v>
      </c>
      <c r="AR21" s="2" t="n">
        <v>0</v>
      </c>
      <c r="AS21" s="2" t="n">
        <v>1</v>
      </c>
      <c r="AT21" s="2" t="n">
        <v>1</v>
      </c>
      <c r="AU21" s="2" t="n">
        <v>1</v>
      </c>
      <c r="AV21" s="2" t="n">
        <v>1</v>
      </c>
      <c r="AW21" s="2" t="n">
        <v>1</v>
      </c>
    </row>
    <row r="22">
      <c r="A22" s="2" t="inlineStr">
        <is>
          <t>ChIJYzHxUhR-mQARpqVtYD9th0c</t>
        </is>
      </c>
      <c r="B22" s="2" t="inlineStr">
        <is>
          <t>Magic Store Brazil</t>
        </is>
      </c>
      <c r="C22" s="2" t="inlineStr">
        <is>
          <t>Rio de Janeiro</t>
        </is>
      </c>
      <c r="D22" s="2" t="inlineStr">
        <is>
          <t>Sudeste</t>
        </is>
      </c>
      <c r="E22" s="4" t="n">
        <v>4.7</v>
      </c>
      <c r="F22" s="5" t="n">
        <v>465</v>
      </c>
      <c r="G22" s="6" t="n">
        <v>6</v>
      </c>
      <c r="H22" s="6" t="n">
        <v>32</v>
      </c>
      <c r="I22" s="6" t="n">
        <v>13</v>
      </c>
      <c r="J22" s="6" t="n">
        <v>21</v>
      </c>
      <c r="K22" s="4" t="n">
        <v>0</v>
      </c>
      <c r="L22" s="4" t="n">
        <v>0</v>
      </c>
      <c r="M22" s="5" t="n">
        <v>1216</v>
      </c>
      <c r="N22" s="4" t="n">
        <v>0</v>
      </c>
      <c r="O22" s="4" t="n">
        <v>2</v>
      </c>
      <c r="P22" s="5" t="n">
        <v>312</v>
      </c>
      <c r="Q22" s="5" t="n">
        <v>23364</v>
      </c>
      <c r="R22" s="5" t="n">
        <v>308</v>
      </c>
      <c r="S22" s="6" t="n">
        <v>7.89</v>
      </c>
      <c r="T22" s="6" t="n">
        <v>4</v>
      </c>
      <c r="U22" s="5" t="n">
        <v>132</v>
      </c>
      <c r="V22" s="5" t="n">
        <v>3</v>
      </c>
      <c r="W22" s="6" t="n">
        <v>33.75</v>
      </c>
      <c r="X22" s="15" t="n">
        <v>0.00144</v>
      </c>
      <c r="Y22" s="5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5" t="n"/>
      <c r="AL22" s="5" t="n">
        <v>15</v>
      </c>
      <c r="AM22" s="5" t="n">
        <v>7</v>
      </c>
      <c r="AN22" s="2" t="n">
        <v>0</v>
      </c>
      <c r="AO22" s="2" t="n">
        <v>0</v>
      </c>
      <c r="AP22" s="2" t="n"/>
      <c r="AQ22" s="2" t="n">
        <v>0</v>
      </c>
      <c r="AR22" s="2" t="n">
        <v>1</v>
      </c>
      <c r="AS22" s="2" t="n">
        <v>1</v>
      </c>
      <c r="AT22" s="2" t="n">
        <v>1</v>
      </c>
      <c r="AU22" s="2" t="n">
        <v>1</v>
      </c>
      <c r="AV22" s="2" t="n">
        <v>1</v>
      </c>
      <c r="AW22" s="2" t="n">
        <v>1</v>
      </c>
    </row>
    <row r="23">
      <c r="A23" s="2" t="inlineStr">
        <is>
          <t>ChIJ1SAzAGF_mQARQgP-yrPBxbQ</t>
        </is>
      </c>
      <c r="B23" s="2" t="inlineStr">
        <is>
          <t>RED jogos</t>
        </is>
      </c>
      <c r="C23" s="2" t="inlineStr">
        <is>
          <t>Rio de Janeiro</t>
        </is>
      </c>
      <c r="D23" s="2" t="inlineStr">
        <is>
          <t>Sudeste</t>
        </is>
      </c>
      <c r="E23" s="4" t="n">
        <v>4.7</v>
      </c>
      <c r="F23" s="5" t="n">
        <v>800</v>
      </c>
      <c r="G23" s="6" t="n">
        <v>6</v>
      </c>
      <c r="H23" s="6" t="n">
        <v>47</v>
      </c>
      <c r="I23" s="6" t="n">
        <v>11</v>
      </c>
      <c r="J23" s="6" t="n">
        <v>20</v>
      </c>
      <c r="K23" s="4" t="n">
        <v>2</v>
      </c>
      <c r="L23" s="4" t="n">
        <v>3</v>
      </c>
      <c r="M23" s="5" t="n">
        <v>161</v>
      </c>
      <c r="N23" s="4" t="n"/>
      <c r="O23" s="4" t="n"/>
      <c r="P23" s="5" t="n">
        <v>496</v>
      </c>
      <c r="Q23" s="5" t="n">
        <v>21522</v>
      </c>
      <c r="R23" s="5" t="n">
        <v>1164</v>
      </c>
      <c r="S23" s="6" t="n">
        <v>11.02</v>
      </c>
      <c r="T23" s="6" t="n">
        <v>12</v>
      </c>
      <c r="U23" s="5" t="n">
        <v>968</v>
      </c>
      <c r="V23" s="5" t="n">
        <v>103</v>
      </c>
      <c r="W23" s="6" t="n">
        <v>89.25</v>
      </c>
      <c r="X23" s="15" t="n">
        <v>0.00415</v>
      </c>
      <c r="Y23" s="5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5" t="n"/>
      <c r="AL23" s="5" t="n">
        <v>10</v>
      </c>
      <c r="AM23" s="5" t="n">
        <v>6</v>
      </c>
      <c r="AN23" s="2" t="n">
        <v>1</v>
      </c>
      <c r="AO23" s="2" t="n">
        <v>0</v>
      </c>
      <c r="AP23" s="2" t="n"/>
      <c r="AQ23" s="2" t="n">
        <v>1</v>
      </c>
      <c r="AR23" s="2" t="n">
        <v>1</v>
      </c>
      <c r="AS23" s="2" t="n">
        <v>1</v>
      </c>
      <c r="AT23" s="2" t="n">
        <v>1</v>
      </c>
      <c r="AU23" s="2" t="n">
        <v>1</v>
      </c>
      <c r="AV23" s="2" t="n">
        <v>1</v>
      </c>
      <c r="AW23" s="2" t="n">
        <v>0</v>
      </c>
    </row>
    <row r="24">
      <c r="A24" s="2" t="inlineStr">
        <is>
          <t>ChIJOcVssmeDmQARZZrnWu2mnwA</t>
        </is>
      </c>
      <c r="B24" s="2" t="inlineStr">
        <is>
          <t>TabuClub</t>
        </is>
      </c>
      <c r="C24" s="2" t="inlineStr">
        <is>
          <t>Rio de Janeiro</t>
        </is>
      </c>
      <c r="D24" s="2" t="inlineStr">
        <is>
          <t>Sudeste</t>
        </is>
      </c>
      <c r="E24" s="4" t="n">
        <v>4.7</v>
      </c>
      <c r="F24" s="5" t="n">
        <v>105</v>
      </c>
      <c r="G24" s="6" t="n">
        <v>6</v>
      </c>
      <c r="H24" s="6" t="n">
        <v>43</v>
      </c>
      <c r="I24" s="6" t="n">
        <v>14</v>
      </c>
      <c r="J24" s="6" t="n">
        <v>24</v>
      </c>
      <c r="K24" s="4" t="n">
        <v>0</v>
      </c>
      <c r="L24" s="4" t="n">
        <v>0</v>
      </c>
      <c r="M24" s="5" t="n">
        <v>7638</v>
      </c>
      <c r="N24" s="4" t="n"/>
      <c r="O24" s="4" t="n"/>
      <c r="P24" s="5" t="n">
        <v>153</v>
      </c>
      <c r="Q24" s="5" t="n"/>
      <c r="R24" s="5" t="n"/>
      <c r="S24" s="6" t="n">
        <v>3.23</v>
      </c>
      <c r="T24" s="6" t="n">
        <v>8</v>
      </c>
      <c r="U24" s="5" t="n">
        <v>1576</v>
      </c>
      <c r="V24" s="5" t="n">
        <v>85</v>
      </c>
      <c r="W24" s="6" t="n">
        <v>207.62</v>
      </c>
      <c r="X24" s="15" t="n"/>
      <c r="Y24" s="5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5" t="n">
        <v>1357</v>
      </c>
      <c r="AL24" s="5" t="n"/>
      <c r="AM24" s="5" t="n"/>
      <c r="AN24" s="2" t="n">
        <v>0</v>
      </c>
      <c r="AO24" s="2" t="n">
        <v>0</v>
      </c>
      <c r="AP24" s="2" t="n"/>
      <c r="AQ24" s="2" t="n">
        <v>0</v>
      </c>
      <c r="AR24" s="2" t="n">
        <v>1</v>
      </c>
      <c r="AS24" s="2" t="n">
        <v>1</v>
      </c>
      <c r="AT24" s="2" t="n">
        <v>1</v>
      </c>
      <c r="AU24" s="2" t="n">
        <v>1</v>
      </c>
      <c r="AV24" s="2" t="n">
        <v>1</v>
      </c>
      <c r="AW24" s="2" t="n">
        <v>1</v>
      </c>
    </row>
    <row r="25">
      <c r="A25" s="2" t="inlineStr">
        <is>
          <t>ChIJYTHwWgBbzpQRFenbJdM5cxU</t>
        </is>
      </c>
      <c r="B25" s="2" t="inlineStr">
        <is>
          <t>Arena BG | Jogos de Tabuleiro | Hamburgueria</t>
        </is>
      </c>
      <c r="C25" s="2" t="inlineStr">
        <is>
          <t>São Paulo</t>
        </is>
      </c>
      <c r="D25" s="2" t="inlineStr">
        <is>
          <t>Sudeste</t>
        </is>
      </c>
      <c r="E25" s="4" t="n">
        <v>4.8</v>
      </c>
      <c r="F25" s="5" t="n">
        <v>145</v>
      </c>
      <c r="G25" s="6" t="n">
        <v>5</v>
      </c>
      <c r="H25" s="6" t="n">
        <v>33</v>
      </c>
      <c r="I25" s="6" t="n">
        <v>14</v>
      </c>
      <c r="J25" s="6" t="n">
        <v>25</v>
      </c>
      <c r="K25" s="4" t="n">
        <v>1</v>
      </c>
      <c r="L25" s="4" t="n">
        <v>1</v>
      </c>
      <c r="M25" s="5" t="n">
        <v>351</v>
      </c>
      <c r="N25" s="4" t="n">
        <v>0</v>
      </c>
      <c r="O25" s="4" t="n">
        <v>0</v>
      </c>
      <c r="P25" s="5" t="n">
        <v>1796</v>
      </c>
      <c r="Q25" s="5" t="n">
        <v>6682</v>
      </c>
      <c r="R25" s="5" t="n">
        <v>520</v>
      </c>
      <c r="S25" s="6" t="n">
        <v>2.44</v>
      </c>
      <c r="T25" s="6" t="n">
        <v>32</v>
      </c>
      <c r="U25" s="5" t="n">
        <v>688</v>
      </c>
      <c r="V25" s="5" t="n">
        <v>67</v>
      </c>
      <c r="W25" s="6" t="n">
        <v>23.59</v>
      </c>
      <c r="X25" s="15" t="n">
        <v>0.00353</v>
      </c>
      <c r="Y25" s="5" t="n">
        <v>78</v>
      </c>
      <c r="Z25" s="7" t="n">
        <v>12.5</v>
      </c>
      <c r="AA25" s="7" t="n">
        <v>11</v>
      </c>
      <c r="AB25" s="7" t="n">
        <v>45</v>
      </c>
      <c r="AC25" s="7" t="n">
        <v>52.25</v>
      </c>
      <c r="AD25" s="7" t="n">
        <v>68.5</v>
      </c>
      <c r="AE25" s="7" t="n">
        <v>96.75</v>
      </c>
      <c r="AF25" s="7" t="n">
        <v>52.5</v>
      </c>
      <c r="AG25" s="7" t="n">
        <v>28.5</v>
      </c>
      <c r="AH25" s="7" t="n">
        <v>11</v>
      </c>
      <c r="AI25" s="7" t="n">
        <v>8</v>
      </c>
      <c r="AJ25" s="7" t="n">
        <v>25</v>
      </c>
      <c r="AK25" s="5" t="n">
        <v>540</v>
      </c>
      <c r="AL25" s="5" t="n">
        <v>17</v>
      </c>
      <c r="AM25" s="5" t="n">
        <v>13</v>
      </c>
      <c r="AN25" s="2" t="n">
        <v>1</v>
      </c>
      <c r="AO25" s="2" t="n">
        <v>1</v>
      </c>
      <c r="AP25" s="2" t="n">
        <v>1</v>
      </c>
      <c r="AQ25" s="2" t="n">
        <v>0</v>
      </c>
      <c r="AR25" s="2" t="n">
        <v>0</v>
      </c>
      <c r="AS25" s="2" t="n">
        <v>1</v>
      </c>
      <c r="AT25" s="2" t="n">
        <v>1</v>
      </c>
      <c r="AU25" s="2" t="n">
        <v>1</v>
      </c>
      <c r="AV25" s="2" t="n">
        <v>1</v>
      </c>
      <c r="AW25" s="2" t="n">
        <v>1</v>
      </c>
    </row>
    <row r="26">
      <c r="A26" s="2" t="inlineStr">
        <is>
          <t>ChIJKeHwNv5ZzpQRlmzx9rCTWdM</t>
        </is>
      </c>
      <c r="B26" s="2" t="inlineStr">
        <is>
          <t>Bodogami Restaurante e Cafeteria</t>
        </is>
      </c>
      <c r="C26" s="2" t="inlineStr">
        <is>
          <t>São Paulo</t>
        </is>
      </c>
      <c r="D26" s="2" t="inlineStr">
        <is>
          <t>Sudeste</t>
        </is>
      </c>
      <c r="E26" s="4" t="n">
        <v>4.6</v>
      </c>
      <c r="F26" s="5" t="n">
        <v>3386</v>
      </c>
      <c r="G26" s="6" t="n">
        <v>7</v>
      </c>
      <c r="H26" s="6" t="n">
        <v>77</v>
      </c>
      <c r="I26" s="6" t="n">
        <v>11</v>
      </c>
      <c r="J26" s="6" t="n">
        <v>22.5</v>
      </c>
      <c r="K26" s="4" t="n">
        <v>1</v>
      </c>
      <c r="L26" s="4" t="n">
        <v>2</v>
      </c>
      <c r="M26" s="5" t="n">
        <v>204</v>
      </c>
      <c r="N26" s="4" t="n"/>
      <c r="O26" s="4" t="n"/>
      <c r="P26" s="5" t="n">
        <v>163</v>
      </c>
      <c r="Q26" s="5" t="n">
        <v>74000</v>
      </c>
      <c r="R26" s="5" t="n">
        <v>2374</v>
      </c>
      <c r="S26" s="6" t="n">
        <v>9.75</v>
      </c>
      <c r="T26" s="6" t="n">
        <v>4</v>
      </c>
      <c r="U26" s="5" t="n">
        <v>444</v>
      </c>
      <c r="V26" s="5" t="n">
        <v>8</v>
      </c>
      <c r="W26" s="6" t="n">
        <v>113</v>
      </c>
      <c r="X26" s="15" t="n">
        <v>0.00153</v>
      </c>
      <c r="Y26" s="5" t="n">
        <v>90</v>
      </c>
      <c r="Z26" s="7" t="n"/>
      <c r="AA26" s="7" t="n">
        <v>17</v>
      </c>
      <c r="AB26" s="7" t="n">
        <v>43</v>
      </c>
      <c r="AC26" s="7" t="n">
        <v>40</v>
      </c>
      <c r="AD26" s="7" t="n">
        <v>60</v>
      </c>
      <c r="AE26" s="7" t="n">
        <v>76</v>
      </c>
      <c r="AF26" s="7" t="n">
        <v>49.5</v>
      </c>
      <c r="AG26" s="7" t="n">
        <v>39</v>
      </c>
      <c r="AH26" s="7" t="n">
        <v>16</v>
      </c>
      <c r="AI26" s="7" t="n">
        <v>8</v>
      </c>
      <c r="AJ26" s="7" t="n">
        <v>36.5</v>
      </c>
      <c r="AK26" s="5" t="n">
        <v>934</v>
      </c>
      <c r="AL26" s="5" t="n">
        <v>712</v>
      </c>
      <c r="AM26" s="5" t="n">
        <v>453</v>
      </c>
      <c r="AN26" s="2" t="n">
        <v>1</v>
      </c>
      <c r="AO26" s="2" t="n">
        <v>1</v>
      </c>
      <c r="AP26" s="2" t="n">
        <v>0</v>
      </c>
      <c r="AQ26" s="2" t="n">
        <v>1</v>
      </c>
      <c r="AR26" s="2" t="n">
        <v>1</v>
      </c>
      <c r="AS26" s="2" t="n">
        <v>1</v>
      </c>
      <c r="AT26" s="2" t="n">
        <v>1</v>
      </c>
      <c r="AU26" s="2" t="n">
        <v>1</v>
      </c>
      <c r="AV26" s="2" t="n">
        <v>1</v>
      </c>
      <c r="AW26" s="2" t="n">
        <v>1</v>
      </c>
    </row>
    <row r="27">
      <c r="A27" s="2" t="inlineStr">
        <is>
          <t>ChIJ__9TTnxCzpQRwVSzrOijkRY</t>
        </is>
      </c>
      <c r="B27" s="2" t="inlineStr">
        <is>
          <t>Bravo Jogos</t>
        </is>
      </c>
      <c r="C27" s="2" t="inlineStr">
        <is>
          <t>São Paulo</t>
        </is>
      </c>
      <c r="D27" s="2" t="inlineStr">
        <is>
          <t>Sudeste</t>
        </is>
      </c>
      <c r="E27" s="4" t="n">
        <v>4.9</v>
      </c>
      <c r="F27" s="5" t="n">
        <v>1719</v>
      </c>
      <c r="G27" s="6" t="n">
        <v>5</v>
      </c>
      <c r="H27" s="6" t="n">
        <v>55</v>
      </c>
      <c r="I27" s="6" t="n">
        <v>10</v>
      </c>
      <c r="J27" s="6" t="n">
        <v>21</v>
      </c>
      <c r="K27" s="4" t="n">
        <v>0</v>
      </c>
      <c r="L27" s="4" t="n">
        <v>0</v>
      </c>
      <c r="M27" s="5" t="n">
        <v>10228</v>
      </c>
      <c r="N27" s="4" t="n">
        <v>0</v>
      </c>
      <c r="O27" s="4" t="n"/>
      <c r="P27" s="5" t="n">
        <v>684</v>
      </c>
      <c r="Q27" s="5" t="n">
        <v>65145</v>
      </c>
      <c r="R27" s="5" t="n">
        <v>1782</v>
      </c>
      <c r="S27" s="6" t="n"/>
      <c r="T27" s="6" t="n">
        <v>14</v>
      </c>
      <c r="U27" s="5" t="n">
        <v>7178</v>
      </c>
      <c r="V27" s="5" t="n">
        <v>222</v>
      </c>
      <c r="W27" s="6" t="n">
        <v>528.5700000000001</v>
      </c>
      <c r="X27" s="15" t="n">
        <v>0.008109999999999999</v>
      </c>
      <c r="Y27" s="5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5" t="n"/>
      <c r="AL27" s="5" t="n">
        <v>32</v>
      </c>
      <c r="AM27" s="5" t="n">
        <v>24</v>
      </c>
      <c r="AN27" s="2" t="n">
        <v>0</v>
      </c>
      <c r="AO27" s="2" t="n">
        <v>0</v>
      </c>
      <c r="AP27" s="2" t="n"/>
      <c r="AQ27" s="2" t="n">
        <v>0</v>
      </c>
      <c r="AR27" s="2" t="n">
        <v>1</v>
      </c>
      <c r="AS27" s="2" t="n">
        <v>1</v>
      </c>
      <c r="AT27" s="2" t="n">
        <v>1</v>
      </c>
      <c r="AU27" s="2" t="n">
        <v>1</v>
      </c>
      <c r="AV27" s="2" t="n">
        <v>1</v>
      </c>
      <c r="AW27" s="2" t="n">
        <v>0</v>
      </c>
    </row>
    <row r="28">
      <c r="A28" s="2" t="inlineStr">
        <is>
          <t>ChIJrT_EWwBZzpQRGAZzptZbtsY</t>
        </is>
      </c>
      <c r="B28" s="2" t="inlineStr">
        <is>
          <t>Cartola Luderia Bar</t>
        </is>
      </c>
      <c r="C28" s="2" t="inlineStr">
        <is>
          <t>São Paulo</t>
        </is>
      </c>
      <c r="D28" s="2" t="inlineStr">
        <is>
          <t>Sudeste</t>
        </is>
      </c>
      <c r="E28" s="4" t="n">
        <v>4.7</v>
      </c>
      <c r="F28" s="5" t="n">
        <v>242</v>
      </c>
      <c r="G28" s="6" t="n">
        <v>3</v>
      </c>
      <c r="H28" s="6" t="n">
        <v>19.5</v>
      </c>
      <c r="I28" s="6" t="n">
        <v>17</v>
      </c>
      <c r="J28" s="6" t="n">
        <v>23.5</v>
      </c>
      <c r="K28" s="4" t="n">
        <v>0</v>
      </c>
      <c r="L28" s="4" t="n">
        <v>2</v>
      </c>
      <c r="M28" s="5" t="n">
        <v>607</v>
      </c>
      <c r="N28" s="4" t="n">
        <v>0</v>
      </c>
      <c r="O28" s="4" t="n"/>
      <c r="P28" s="5" t="n">
        <v>907</v>
      </c>
      <c r="Q28" s="5" t="n">
        <v>11500</v>
      </c>
      <c r="R28" s="5" t="n">
        <v>670</v>
      </c>
      <c r="S28" s="6" t="n">
        <v>2.56</v>
      </c>
      <c r="T28" s="6" t="n">
        <v>21</v>
      </c>
      <c r="U28" s="5" t="n">
        <v>1061</v>
      </c>
      <c r="V28" s="5" t="n">
        <v>24</v>
      </c>
      <c r="W28" s="6" t="n">
        <v>51.67</v>
      </c>
      <c r="X28" s="15" t="n">
        <v>0.00449</v>
      </c>
      <c r="Y28" s="5" t="n">
        <v>50</v>
      </c>
      <c r="Z28" s="7" t="n"/>
      <c r="AA28" s="7" t="n">
        <v>36</v>
      </c>
      <c r="AB28" s="7" t="n">
        <v>39</v>
      </c>
      <c r="AC28" s="7" t="n">
        <v>58.75</v>
      </c>
      <c r="AD28" s="7" t="n">
        <v>75</v>
      </c>
      <c r="AE28" s="7" t="n">
        <v>78</v>
      </c>
      <c r="AF28" s="7" t="n"/>
      <c r="AG28" s="7" t="n">
        <v>68</v>
      </c>
      <c r="AH28" s="7" t="n"/>
      <c r="AI28" s="7" t="n"/>
      <c r="AJ28" s="7" t="n">
        <v>36</v>
      </c>
      <c r="AK28" s="5" t="n"/>
      <c r="AL28" s="5" t="n">
        <v>51</v>
      </c>
      <c r="AM28" s="5" t="n">
        <v>38</v>
      </c>
      <c r="AN28" s="2" t="n">
        <v>1</v>
      </c>
      <c r="AO28" s="2" t="n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1</v>
      </c>
      <c r="AU28" s="2" t="n">
        <v>1</v>
      </c>
      <c r="AV28" s="2" t="n">
        <v>1</v>
      </c>
      <c r="AW28" s="2" t="n">
        <v>0</v>
      </c>
    </row>
    <row r="29">
      <c r="A29" s="2" t="inlineStr">
        <is>
          <t>ChIJbZRHQPRfzpQRz97-ZOg0yXA</t>
        </is>
      </c>
      <c r="B29" s="2" t="inlineStr">
        <is>
          <t>Castelos Bar &amp; Boardgames</t>
        </is>
      </c>
      <c r="C29" s="2" t="inlineStr">
        <is>
          <t>São Paulo</t>
        </is>
      </c>
      <c r="D29" s="2" t="inlineStr">
        <is>
          <t>Sudeste</t>
        </is>
      </c>
      <c r="E29" s="4" t="n">
        <v>4.6</v>
      </c>
      <c r="F29" s="5" t="n">
        <v>617</v>
      </c>
      <c r="G29" s="6" t="n">
        <v>5</v>
      </c>
      <c r="H29" s="6" t="n">
        <v>29</v>
      </c>
      <c r="I29" s="6" t="n">
        <v>14</v>
      </c>
      <c r="J29" s="6" t="n">
        <v>23</v>
      </c>
      <c r="K29" s="4" t="n">
        <v>0</v>
      </c>
      <c r="L29" s="4" t="n">
        <v>1</v>
      </c>
      <c r="M29" s="5" t="n">
        <v>577</v>
      </c>
      <c r="N29" s="4" t="n">
        <v>0</v>
      </c>
      <c r="O29" s="4" t="n">
        <v>0</v>
      </c>
      <c r="P29" s="5" t="n">
        <v>1006</v>
      </c>
      <c r="Q29" s="5" t="n">
        <v>41545</v>
      </c>
      <c r="R29" s="5" t="n">
        <v>1358</v>
      </c>
      <c r="S29" s="6" t="n">
        <v>6.91</v>
      </c>
      <c r="T29" s="6" t="n">
        <v>1</v>
      </c>
      <c r="U29" s="5" t="n">
        <v>20</v>
      </c>
      <c r="V29" s="5" t="n">
        <v>0</v>
      </c>
      <c r="W29" s="6" t="n">
        <v>20</v>
      </c>
      <c r="X29" s="15" t="n">
        <v>0.00048</v>
      </c>
      <c r="Y29" s="5" t="n">
        <v>69</v>
      </c>
      <c r="Z29" s="7" t="n"/>
      <c r="AA29" s="7" t="n">
        <v>28.4</v>
      </c>
      <c r="AB29" s="7" t="n">
        <v>43.4</v>
      </c>
      <c r="AC29" s="7" t="n">
        <v>55.57</v>
      </c>
      <c r="AD29" s="7" t="n">
        <v>71.8</v>
      </c>
      <c r="AE29" s="7" t="n">
        <v>83.55</v>
      </c>
      <c r="AF29" s="7" t="n">
        <v>43.9</v>
      </c>
      <c r="AG29" s="7" t="n">
        <v>39.9</v>
      </c>
      <c r="AH29" s="7" t="n">
        <v>15</v>
      </c>
      <c r="AI29" s="7" t="n">
        <v>9</v>
      </c>
      <c r="AJ29" s="7" t="n">
        <v>37.9</v>
      </c>
      <c r="AK29" s="5" t="n">
        <v>225</v>
      </c>
      <c r="AL29" s="5" t="n">
        <v>80</v>
      </c>
      <c r="AM29" s="5" t="n">
        <v>48</v>
      </c>
      <c r="AN29" s="2" t="n">
        <v>1</v>
      </c>
      <c r="AO29" s="2" t="n">
        <v>1</v>
      </c>
      <c r="AP29" s="2" t="n">
        <v>0</v>
      </c>
      <c r="AQ29" s="2" t="n">
        <v>0</v>
      </c>
      <c r="AR29" s="2" t="n">
        <v>0</v>
      </c>
      <c r="AS29" s="2" t="n">
        <v>1</v>
      </c>
      <c r="AT29" s="2" t="n">
        <v>1</v>
      </c>
      <c r="AU29" s="2" t="n">
        <v>1</v>
      </c>
      <c r="AV29" s="2" t="n">
        <v>1</v>
      </c>
      <c r="AW29" s="2" t="n">
        <v>1</v>
      </c>
    </row>
    <row r="30">
      <c r="A30" s="2" t="inlineStr">
        <is>
          <t>ChIJF9j3OCRbzpQRkk74_QtOk_0</t>
        </is>
      </c>
      <c r="B30" s="2" t="inlineStr">
        <is>
          <t>Coletivo Geek</t>
        </is>
      </c>
      <c r="C30" s="2" t="inlineStr">
        <is>
          <t>São Paulo</t>
        </is>
      </c>
      <c r="D30" s="2" t="inlineStr">
        <is>
          <t>Sudeste</t>
        </is>
      </c>
      <c r="E30" s="4" t="n">
        <v>4.7</v>
      </c>
      <c r="F30" s="5" t="n">
        <v>477</v>
      </c>
      <c r="G30" s="6" t="n">
        <v>6</v>
      </c>
      <c r="H30" s="6" t="n">
        <v>47</v>
      </c>
      <c r="I30" s="6" t="n">
        <v>13</v>
      </c>
      <c r="J30" s="6" t="n">
        <v>23</v>
      </c>
      <c r="K30" s="4" t="n">
        <v>0</v>
      </c>
      <c r="L30" s="4" t="n">
        <v>1</v>
      </c>
      <c r="M30" s="5" t="n">
        <v>555</v>
      </c>
      <c r="N30" s="4" t="n"/>
      <c r="O30" s="4" t="n"/>
      <c r="P30" s="5" t="n">
        <v>494</v>
      </c>
      <c r="Q30" s="5" t="n">
        <v>13059</v>
      </c>
      <c r="R30" s="5" t="n">
        <v>501</v>
      </c>
      <c r="S30" s="6" t="n">
        <v>7.53</v>
      </c>
      <c r="T30" s="6" t="n">
        <v>3</v>
      </c>
      <c r="U30" s="5" t="n">
        <v>159</v>
      </c>
      <c r="V30" s="5" t="n">
        <v>5</v>
      </c>
      <c r="W30" s="6" t="n">
        <v>54.67</v>
      </c>
      <c r="X30" s="15" t="n">
        <v>0.00419</v>
      </c>
      <c r="Y30" s="5" t="n">
        <v>72</v>
      </c>
      <c r="Z30" s="7" t="n"/>
      <c r="AA30" s="7" t="n">
        <v>28</v>
      </c>
      <c r="AB30" s="7" t="n">
        <v>32</v>
      </c>
      <c r="AC30" s="7" t="n">
        <v>47.75</v>
      </c>
      <c r="AD30" s="7" t="n">
        <v>60</v>
      </c>
      <c r="AE30" s="7" t="n">
        <v>69</v>
      </c>
      <c r="AF30" s="7" t="n">
        <v>28</v>
      </c>
      <c r="AG30" s="7" t="n">
        <v>33</v>
      </c>
      <c r="AH30" s="7" t="n">
        <v>22</v>
      </c>
      <c r="AI30" s="7" t="n">
        <v>8</v>
      </c>
      <c r="AJ30" s="7" t="n">
        <v>30</v>
      </c>
      <c r="AK30" s="5" t="n"/>
      <c r="AL30" s="5" t="n">
        <v>12</v>
      </c>
      <c r="AM30" s="5" t="n">
        <v>3</v>
      </c>
      <c r="AN30" s="2" t="n">
        <v>1</v>
      </c>
      <c r="AO30" s="2" t="n">
        <v>1</v>
      </c>
      <c r="AP30" s="2" t="n">
        <v>0</v>
      </c>
      <c r="AQ30" s="2" t="n">
        <v>0</v>
      </c>
      <c r="AR30" s="2" t="n">
        <v>1</v>
      </c>
      <c r="AS30" s="2" t="n">
        <v>1</v>
      </c>
      <c r="AT30" s="2" t="n">
        <v>1</v>
      </c>
      <c r="AU30" s="2" t="n">
        <v>1</v>
      </c>
      <c r="AV30" s="2" t="n">
        <v>1</v>
      </c>
      <c r="AW30" s="2" t="n">
        <v>1</v>
      </c>
    </row>
    <row r="31">
      <c r="A31" s="2" t="inlineStr">
        <is>
          <t>ChIJ7_DDAlH1zpQRJVJ0UHnItH8</t>
        </is>
      </c>
      <c r="B31" s="2" t="inlineStr">
        <is>
          <t>Covil Game Bar</t>
        </is>
      </c>
      <c r="C31" s="2" t="inlineStr">
        <is>
          <t>São Paulo</t>
        </is>
      </c>
      <c r="D31" s="2" t="inlineStr">
        <is>
          <t>Sudeste</t>
        </is>
      </c>
      <c r="E31" s="4" t="n">
        <v>4.6</v>
      </c>
      <c r="F31" s="5" t="n">
        <v>1714</v>
      </c>
      <c r="G31" s="6" t="n">
        <v>5</v>
      </c>
      <c r="H31" s="6" t="n">
        <v>32</v>
      </c>
      <c r="I31" s="6" t="n">
        <v>18</v>
      </c>
      <c r="J31" s="6" t="n">
        <v>25</v>
      </c>
      <c r="K31" s="4" t="n">
        <v>0</v>
      </c>
      <c r="L31" s="4" t="n">
        <v>0</v>
      </c>
      <c r="M31" s="5" t="n">
        <v>7180</v>
      </c>
      <c r="N31" s="4" t="n">
        <v>0</v>
      </c>
      <c r="O31" s="4" t="n">
        <v>0</v>
      </c>
      <c r="P31" s="5" t="n">
        <v>424</v>
      </c>
      <c r="Q31" s="5" t="n">
        <v>206000</v>
      </c>
      <c r="R31" s="5" t="n">
        <v>790</v>
      </c>
      <c r="S31" s="6" t="n">
        <v>9.869999999999999</v>
      </c>
      <c r="T31" s="6" t="n">
        <v>13</v>
      </c>
      <c r="U31" s="5" t="n">
        <v>90413</v>
      </c>
      <c r="V31" s="5" t="n">
        <v>949</v>
      </c>
      <c r="W31" s="6" t="n">
        <v>7027.85</v>
      </c>
      <c r="X31" s="15" t="n">
        <v>0.03412</v>
      </c>
      <c r="Y31" s="5" t="n">
        <v>71</v>
      </c>
      <c r="Z31" s="7" t="n"/>
      <c r="AA31" s="7" t="n">
        <v>18</v>
      </c>
      <c r="AB31" s="7" t="n">
        <v>34</v>
      </c>
      <c r="AC31" s="7" t="n">
        <v>43</v>
      </c>
      <c r="AD31" s="7" t="n">
        <v>52</v>
      </c>
      <c r="AE31" s="7" t="n">
        <v>60</v>
      </c>
      <c r="AF31" s="7" t="n">
        <v>29</v>
      </c>
      <c r="AG31" s="7" t="n">
        <v>50</v>
      </c>
      <c r="AH31" s="7" t="n">
        <v>17</v>
      </c>
      <c r="AI31" s="7" t="n">
        <v>8</v>
      </c>
      <c r="AJ31" s="7" t="n">
        <v>21.5</v>
      </c>
      <c r="AK31" s="5" t="n">
        <v>239</v>
      </c>
      <c r="AL31" s="5" t="n">
        <v>17</v>
      </c>
      <c r="AM31" s="5" t="n">
        <v>6</v>
      </c>
      <c r="AN31" s="2" t="n">
        <v>0</v>
      </c>
      <c r="AO31" s="2" t="n">
        <v>1</v>
      </c>
      <c r="AP31" s="2" t="n">
        <v>0</v>
      </c>
      <c r="AQ31" s="2" t="n">
        <v>0</v>
      </c>
      <c r="AR31" s="2" t="n">
        <v>0</v>
      </c>
      <c r="AS31" s="2" t="n">
        <v>1</v>
      </c>
      <c r="AT31" s="2" t="n">
        <v>1</v>
      </c>
      <c r="AU31" s="2" t="n">
        <v>1</v>
      </c>
      <c r="AV31" s="2" t="n">
        <v>1</v>
      </c>
      <c r="AW31" s="2" t="n">
        <v>1</v>
      </c>
    </row>
    <row r="32">
      <c r="A32" s="2" t="inlineStr">
        <is>
          <t>ChIJiZJ_DnIDz5QRaVafFCXGkUE</t>
        </is>
      </c>
      <c r="B32" s="2" t="inlineStr">
        <is>
          <t>Dungeon Games Store</t>
        </is>
      </c>
      <c r="C32" s="2" t="inlineStr">
        <is>
          <t>São Paulo</t>
        </is>
      </c>
      <c r="D32" s="2" t="inlineStr">
        <is>
          <t>Sudeste</t>
        </is>
      </c>
      <c r="E32" s="4" t="n">
        <v>4.9</v>
      </c>
      <c r="F32" s="5" t="n">
        <v>217</v>
      </c>
      <c r="G32" s="6" t="n">
        <v>5</v>
      </c>
      <c r="H32" s="6" t="n">
        <v>33</v>
      </c>
      <c r="I32" s="6" t="n">
        <v>13</v>
      </c>
      <c r="J32" s="6" t="n">
        <v>22</v>
      </c>
      <c r="K32" s="4" t="n">
        <v>0</v>
      </c>
      <c r="L32" s="4" t="n">
        <v>0</v>
      </c>
      <c r="M32" s="5" t="n">
        <v>16823</v>
      </c>
      <c r="N32" s="4" t="n">
        <v>0</v>
      </c>
      <c r="O32" s="4" t="n">
        <v>0</v>
      </c>
      <c r="P32" s="5" t="n">
        <v>1993</v>
      </c>
      <c r="Q32" s="5" t="n">
        <v>2732</v>
      </c>
      <c r="R32" s="5" t="n">
        <v>270</v>
      </c>
      <c r="S32" s="6" t="n">
        <v>4.93</v>
      </c>
      <c r="T32" s="6" t="n">
        <v>5</v>
      </c>
      <c r="U32" s="5" t="n">
        <v>107</v>
      </c>
      <c r="V32" s="5" t="n">
        <v>46</v>
      </c>
      <c r="W32" s="6" t="n">
        <v>30.6</v>
      </c>
      <c r="X32" s="15" t="n">
        <v>0.0112</v>
      </c>
      <c r="Y32" s="5" t="n">
        <v>42</v>
      </c>
      <c r="Z32" s="7" t="n"/>
      <c r="AA32" s="7" t="n">
        <v>14</v>
      </c>
      <c r="AB32" s="7" t="n">
        <v>30</v>
      </c>
      <c r="AC32" s="7" t="n">
        <v>35.75</v>
      </c>
      <c r="AD32" s="7" t="n">
        <v>44</v>
      </c>
      <c r="AE32" s="7" t="n">
        <v>52.5</v>
      </c>
      <c r="AF32" s="7" t="n">
        <v>31</v>
      </c>
      <c r="AG32" s="7" t="n">
        <v>30</v>
      </c>
      <c r="AH32" s="7" t="n">
        <v>12</v>
      </c>
      <c r="AI32" s="7" t="n">
        <v>8</v>
      </c>
      <c r="AJ32" s="7" t="n">
        <v>28</v>
      </c>
      <c r="AK32" s="5" t="n">
        <v>90</v>
      </c>
      <c r="AL32" s="5" t="n">
        <v>7</v>
      </c>
      <c r="AM32" s="5" t="n">
        <v>4</v>
      </c>
      <c r="AN32" s="2" t="n">
        <v>0</v>
      </c>
      <c r="AO32" s="2" t="n">
        <v>1</v>
      </c>
      <c r="AP32" s="2" t="n">
        <v>0</v>
      </c>
      <c r="AQ32" s="2" t="n">
        <v>0</v>
      </c>
      <c r="AR32" s="2" t="n">
        <v>0</v>
      </c>
      <c r="AS32" s="2" t="n">
        <v>1</v>
      </c>
      <c r="AT32" s="2" t="n">
        <v>1</v>
      </c>
      <c r="AU32" s="2" t="n">
        <v>1</v>
      </c>
      <c r="AV32" s="2" t="n">
        <v>1</v>
      </c>
      <c r="AW32" s="2" t="n">
        <v>1</v>
      </c>
    </row>
    <row r="33">
      <c r="A33" s="2" t="inlineStr">
        <is>
          <t>ChIJZz29dnVXzpQRvRh7_YKyUN4</t>
        </is>
      </c>
      <c r="B33" s="2" t="inlineStr">
        <is>
          <t>Encounter | Jogos de Tabuleiro | Board Games</t>
        </is>
      </c>
      <c r="C33" s="2" t="inlineStr">
        <is>
          <t>São Paulo</t>
        </is>
      </c>
      <c r="D33" s="2" t="inlineStr">
        <is>
          <t>Sudeste</t>
        </is>
      </c>
      <c r="E33" s="4" t="n">
        <v>4.8</v>
      </c>
      <c r="F33" s="5" t="n">
        <v>1123</v>
      </c>
      <c r="G33" s="6" t="n">
        <v>6</v>
      </c>
      <c r="H33" s="6" t="n">
        <v>45</v>
      </c>
      <c r="I33" s="6" t="n">
        <v>13</v>
      </c>
      <c r="J33" s="6" t="n">
        <v>25</v>
      </c>
      <c r="K33" s="4" t="n">
        <v>0</v>
      </c>
      <c r="L33" s="4" t="n">
        <v>1</v>
      </c>
      <c r="M33" s="5" t="n">
        <v>687</v>
      </c>
      <c r="N33" s="4" t="n">
        <v>0</v>
      </c>
      <c r="O33" s="4" t="n"/>
      <c r="P33" s="5" t="n">
        <v>835</v>
      </c>
      <c r="Q33" s="5" t="n">
        <v>22391</v>
      </c>
      <c r="R33" s="5" t="n">
        <v>1163</v>
      </c>
      <c r="S33" s="6" t="n">
        <v>9.710000000000001</v>
      </c>
      <c r="T33" s="6" t="n">
        <v>15</v>
      </c>
      <c r="U33" s="5" t="n">
        <v>1020</v>
      </c>
      <c r="V33" s="5" t="n">
        <v>60</v>
      </c>
      <c r="W33" s="6" t="n">
        <v>72</v>
      </c>
      <c r="X33" s="15" t="n">
        <v>0.00322</v>
      </c>
      <c r="Y33" s="5" t="n">
        <v>22</v>
      </c>
      <c r="Z33" s="7" t="n"/>
      <c r="AA33" s="7" t="n">
        <v>27.9</v>
      </c>
      <c r="AB33" s="7" t="n">
        <v>39.9</v>
      </c>
      <c r="AC33" s="7" t="n">
        <v>62.8</v>
      </c>
      <c r="AD33" s="7" t="n">
        <v>67.8</v>
      </c>
      <c r="AE33" s="7" t="n">
        <v>76.8</v>
      </c>
      <c r="AF33" s="7" t="n">
        <v>38</v>
      </c>
      <c r="AG33" s="7" t="n">
        <v>24.9</v>
      </c>
      <c r="AH33" s="7" t="n"/>
      <c r="AI33" s="7" t="n"/>
      <c r="AJ33" s="7" t="n"/>
      <c r="AK33" s="5" t="n"/>
      <c r="AL33" s="5" t="n">
        <v>81</v>
      </c>
      <c r="AM33" s="5" t="n">
        <v>62</v>
      </c>
      <c r="AN33" s="2" t="n">
        <v>1</v>
      </c>
      <c r="AO33" s="2" t="n">
        <v>1</v>
      </c>
      <c r="AP33" s="2" t="n">
        <v>0</v>
      </c>
      <c r="AQ33" s="2" t="n">
        <v>0</v>
      </c>
      <c r="AR33" s="2" t="n">
        <v>1</v>
      </c>
      <c r="AS33" s="2" t="n">
        <v>1</v>
      </c>
      <c r="AT33" s="2" t="n">
        <v>1</v>
      </c>
      <c r="AU33" s="2" t="n">
        <v>1</v>
      </c>
      <c r="AV33" s="2" t="n">
        <v>1</v>
      </c>
      <c r="AW33" s="2" t="n">
        <v>1</v>
      </c>
    </row>
    <row r="34">
      <c r="A34" s="2" t="inlineStr">
        <is>
          <t>ChIJ_aN4OAxXzpQR0UH63sAeVCA</t>
        </is>
      </c>
      <c r="B34" s="2" t="inlineStr">
        <is>
          <t>Fan Hour Games and Burgers</t>
        </is>
      </c>
      <c r="C34" s="2" t="inlineStr">
        <is>
          <t>São Paulo</t>
        </is>
      </c>
      <c r="D34" s="2" t="inlineStr">
        <is>
          <t>Sudeste</t>
        </is>
      </c>
      <c r="E34" s="4" t="n">
        <v>4.5</v>
      </c>
      <c r="F34" s="5" t="n">
        <v>2363</v>
      </c>
      <c r="G34" s="6" t="n">
        <v>6</v>
      </c>
      <c r="H34" s="6" t="n">
        <v>36.5</v>
      </c>
      <c r="I34" s="6" t="n">
        <v>13</v>
      </c>
      <c r="J34" s="6" t="n">
        <v>23</v>
      </c>
      <c r="K34" s="4" t="n">
        <v>0</v>
      </c>
      <c r="L34" s="4" t="n">
        <v>2</v>
      </c>
      <c r="M34" s="5" t="n">
        <v>628</v>
      </c>
      <c r="N34" s="4" t="n">
        <v>0</v>
      </c>
      <c r="O34" s="4" t="n">
        <v>0</v>
      </c>
      <c r="P34" s="5" t="n">
        <v>1205</v>
      </c>
      <c r="Q34" s="5" t="n">
        <v>110000</v>
      </c>
      <c r="R34" s="5" t="n">
        <v>1403</v>
      </c>
      <c r="S34" s="6" t="n">
        <v>6.89</v>
      </c>
      <c r="T34" s="6" t="n">
        <v>25</v>
      </c>
      <c r="U34" s="5" t="n">
        <v>3092</v>
      </c>
      <c r="V34" s="5" t="n">
        <v>119</v>
      </c>
      <c r="W34" s="6" t="n">
        <v>128.44</v>
      </c>
      <c r="X34" s="15" t="n">
        <v>0.00117</v>
      </c>
      <c r="Y34" s="5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5" t="n"/>
      <c r="AL34" s="5" t="n">
        <v>120</v>
      </c>
      <c r="AM34" s="5" t="n">
        <v>79</v>
      </c>
      <c r="AN34" s="2" t="n">
        <v>1</v>
      </c>
      <c r="AO34" s="2" t="n">
        <v>0</v>
      </c>
      <c r="AP34" s="2" t="n"/>
      <c r="AQ34" s="2" t="n">
        <v>0</v>
      </c>
      <c r="AR34" s="2" t="n">
        <v>1</v>
      </c>
      <c r="AS34" s="2" t="n">
        <v>1</v>
      </c>
      <c r="AT34" s="2" t="n">
        <v>1</v>
      </c>
      <c r="AU34" s="2" t="n">
        <v>1</v>
      </c>
      <c r="AV34" s="2" t="n">
        <v>1</v>
      </c>
      <c r="AW34" s="2" t="n">
        <v>1</v>
      </c>
    </row>
    <row r="35">
      <c r="A35" s="2" t="inlineStr">
        <is>
          <t>ChIJa3UsDhRczpQRPPSuDl6acO8</t>
        </is>
      </c>
      <c r="B35" s="2" t="inlineStr">
        <is>
          <t>Flow Games - Burgers, Cards &amp; Comunidade</t>
        </is>
      </c>
      <c r="C35" s="2" t="inlineStr">
        <is>
          <t>São Paulo</t>
        </is>
      </c>
      <c r="D35" s="2" t="inlineStr">
        <is>
          <t>Sudeste</t>
        </is>
      </c>
      <c r="E35" s="4" t="n">
        <v>4.6</v>
      </c>
      <c r="F35" s="5" t="n">
        <v>503</v>
      </c>
      <c r="G35" s="6" t="n">
        <v>5</v>
      </c>
      <c r="H35" s="6" t="n">
        <v>37</v>
      </c>
      <c r="I35" s="6" t="n">
        <v>11</v>
      </c>
      <c r="J35" s="6" t="n">
        <v>22</v>
      </c>
      <c r="K35" s="4" t="n">
        <v>1</v>
      </c>
      <c r="L35" s="4" t="n">
        <v>1</v>
      </c>
      <c r="M35" s="5" t="n">
        <v>435</v>
      </c>
      <c r="N35" s="4" t="n">
        <v>0</v>
      </c>
      <c r="O35" s="4" t="n"/>
      <c r="P35" s="5" t="n">
        <v>818</v>
      </c>
      <c r="Q35" s="5" t="n">
        <v>8944</v>
      </c>
      <c r="R35" s="5" t="n">
        <v>1666</v>
      </c>
      <c r="S35" s="6" t="n">
        <v>10.76</v>
      </c>
      <c r="T35" s="6" t="n">
        <v>17</v>
      </c>
      <c r="U35" s="5" t="n">
        <v>393</v>
      </c>
      <c r="V35" s="5" t="n">
        <v>19</v>
      </c>
      <c r="W35" s="6" t="n">
        <v>24.24</v>
      </c>
      <c r="X35" s="15" t="n">
        <v>0.00271</v>
      </c>
      <c r="Y35" s="5" t="n">
        <v>16</v>
      </c>
      <c r="Z35" s="7" t="n"/>
      <c r="AA35" s="7" t="n">
        <v>6</v>
      </c>
      <c r="AB35" s="7" t="n">
        <v>14</v>
      </c>
      <c r="AC35" s="7" t="n">
        <v>17</v>
      </c>
      <c r="AD35" s="7" t="n">
        <v>20</v>
      </c>
      <c r="AE35" s="7" t="n">
        <v>41.9</v>
      </c>
      <c r="AF35" s="7" t="n">
        <v>12</v>
      </c>
      <c r="AG35" s="7" t="n">
        <v>10</v>
      </c>
      <c r="AH35" s="7" t="n">
        <v>6.5</v>
      </c>
      <c r="AI35" s="7" t="n">
        <v>6</v>
      </c>
      <c r="AJ35" s="7" t="n"/>
      <c r="AK35" s="5" t="n"/>
      <c r="AL35" s="5" t="n">
        <v>29</v>
      </c>
      <c r="AM35" s="5" t="n">
        <v>16</v>
      </c>
      <c r="AN35" s="2" t="n">
        <v>1</v>
      </c>
      <c r="AO35" s="2" t="n">
        <v>1</v>
      </c>
      <c r="AP35" s="2" t="n">
        <v>0</v>
      </c>
      <c r="AQ35" s="2" t="n">
        <v>0</v>
      </c>
      <c r="AR35" s="2" t="n">
        <v>1</v>
      </c>
      <c r="AS35" s="2" t="n">
        <v>1</v>
      </c>
      <c r="AT35" s="2" t="n">
        <v>1</v>
      </c>
      <c r="AU35" s="2" t="n">
        <v>1</v>
      </c>
      <c r="AV35" s="2" t="n">
        <v>1</v>
      </c>
      <c r="AW35" s="2" t="n">
        <v>0</v>
      </c>
    </row>
    <row r="36">
      <c r="A36" s="2" t="inlineStr">
        <is>
          <t>ChIJn7uU0RNbzpQRI4GI9KHOo_s</t>
        </is>
      </c>
      <c r="B36" s="2" t="inlineStr">
        <is>
          <t>Jogasampa</t>
        </is>
      </c>
      <c r="C36" s="2" t="inlineStr">
        <is>
          <t>São Paulo</t>
        </is>
      </c>
      <c r="D36" s="2" t="inlineStr">
        <is>
          <t>Sudeste</t>
        </is>
      </c>
      <c r="E36" s="4" t="n">
        <v>4.7</v>
      </c>
      <c r="F36" s="5" t="n">
        <v>402</v>
      </c>
      <c r="G36" s="6" t="n">
        <v>6</v>
      </c>
      <c r="H36" s="6" t="n">
        <v>48</v>
      </c>
      <c r="I36" s="6" t="n">
        <v>13</v>
      </c>
      <c r="J36" s="6" t="n">
        <v>21</v>
      </c>
      <c r="K36" s="4" t="n">
        <v>0</v>
      </c>
      <c r="L36" s="4" t="n">
        <v>1</v>
      </c>
      <c r="M36" s="5" t="n">
        <v>587</v>
      </c>
      <c r="N36" s="4" t="n"/>
      <c r="O36" s="4" t="n"/>
      <c r="P36" s="5" t="n">
        <v>438</v>
      </c>
      <c r="Q36" s="5" t="n">
        <v>5966</v>
      </c>
      <c r="R36" s="5" t="n">
        <v>756</v>
      </c>
      <c r="S36" s="6" t="n">
        <v>9.859999999999999</v>
      </c>
      <c r="T36" s="6" t="n">
        <v>8</v>
      </c>
      <c r="U36" s="5" t="n">
        <v>111</v>
      </c>
      <c r="V36" s="5" t="n">
        <v>0</v>
      </c>
      <c r="W36" s="6" t="n">
        <v>13.88</v>
      </c>
      <c r="X36" s="15" t="n">
        <v>0.00233</v>
      </c>
      <c r="Y36" s="5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5" t="n">
        <v>331</v>
      </c>
      <c r="AL36" s="5" t="n">
        <v>5</v>
      </c>
      <c r="AM36" s="5" t="n">
        <v>3</v>
      </c>
      <c r="AN36" s="2" t="n">
        <v>1</v>
      </c>
      <c r="AO36" s="2" t="n">
        <v>0</v>
      </c>
      <c r="AP36" s="2" t="n"/>
      <c r="AQ36" s="2" t="n">
        <v>0</v>
      </c>
      <c r="AR36" s="2" t="n">
        <v>1</v>
      </c>
      <c r="AS36" s="2" t="n">
        <v>1</v>
      </c>
      <c r="AT36" s="2" t="n">
        <v>1</v>
      </c>
      <c r="AU36" s="2" t="n">
        <v>1</v>
      </c>
      <c r="AV36" s="2" t="n">
        <v>1</v>
      </c>
      <c r="AW36" s="2" t="n">
        <v>1</v>
      </c>
    </row>
    <row r="37">
      <c r="A37" s="2" t="inlineStr">
        <is>
          <t>ChIJTaG5ALpZzpQRUDErQ-RkfTs</t>
        </is>
      </c>
      <c r="B37" s="2" t="inlineStr">
        <is>
          <t>Ludus Luderia</t>
        </is>
      </c>
      <c r="C37" s="2" t="inlineStr">
        <is>
          <t>São Paulo</t>
        </is>
      </c>
      <c r="D37" s="2" t="inlineStr">
        <is>
          <t>Sudeste</t>
        </is>
      </c>
      <c r="E37" s="4" t="n">
        <v>4.6</v>
      </c>
      <c r="F37" s="5" t="n">
        <v>5137</v>
      </c>
      <c r="G37" s="6" t="n">
        <v>4</v>
      </c>
      <c r="H37" s="6" t="n">
        <v>31</v>
      </c>
      <c r="I37" s="6" t="n">
        <v>13</v>
      </c>
      <c r="J37" s="6" t="n">
        <v>25</v>
      </c>
      <c r="K37" s="4" t="n">
        <v>0</v>
      </c>
      <c r="L37" s="4" t="n">
        <v>3</v>
      </c>
      <c r="M37" s="5" t="n">
        <v>768</v>
      </c>
      <c r="N37" s="4" t="n"/>
      <c r="O37" s="4" t="n"/>
      <c r="P37" s="5" t="n">
        <v>119</v>
      </c>
      <c r="Q37" s="5" t="n">
        <v>90400</v>
      </c>
      <c r="R37" s="5" t="n"/>
      <c r="S37" s="6" t="n">
        <v>4.97</v>
      </c>
      <c r="T37" s="6" t="n">
        <v>12</v>
      </c>
      <c r="U37" s="5" t="n">
        <v>1505</v>
      </c>
      <c r="V37" s="5" t="n">
        <v>92</v>
      </c>
      <c r="W37" s="6" t="n">
        <v>133.08</v>
      </c>
      <c r="X37" s="15" t="n">
        <v>0.00147</v>
      </c>
      <c r="Y37" s="5" t="n">
        <v>161</v>
      </c>
      <c r="Z37" s="7" t="n">
        <v>0</v>
      </c>
      <c r="AA37" s="7" t="n">
        <v>34</v>
      </c>
      <c r="AB37" s="7" t="n">
        <v>48</v>
      </c>
      <c r="AC37" s="7" t="n">
        <v>63</v>
      </c>
      <c r="AD37" s="7" t="n">
        <v>82</v>
      </c>
      <c r="AE37" s="7" t="n">
        <v>92.5</v>
      </c>
      <c r="AF37" s="7" t="n">
        <v>42</v>
      </c>
      <c r="AG37" s="7" t="n">
        <v>48</v>
      </c>
      <c r="AH37" s="7" t="n">
        <v>18.5</v>
      </c>
      <c r="AI37" s="7" t="n">
        <v>9</v>
      </c>
      <c r="AJ37" s="7" t="n">
        <v>36</v>
      </c>
      <c r="AK37" s="5" t="n">
        <v>199</v>
      </c>
      <c r="AL37" s="5" t="n">
        <v>51</v>
      </c>
      <c r="AM37" s="5" t="n">
        <v>28</v>
      </c>
      <c r="AN37" s="2" t="n">
        <v>1</v>
      </c>
      <c r="AO37" s="2" t="n">
        <v>1</v>
      </c>
      <c r="AP37" s="2" t="n">
        <v>1</v>
      </c>
      <c r="AQ37" s="2" t="n">
        <v>0</v>
      </c>
      <c r="AR37" s="2" t="n">
        <v>0</v>
      </c>
      <c r="AS37" s="2" t="n">
        <v>0</v>
      </c>
      <c r="AT37" s="2" t="n">
        <v>1</v>
      </c>
      <c r="AU37" s="2" t="n">
        <v>1</v>
      </c>
      <c r="AV37" s="2" t="n">
        <v>1</v>
      </c>
      <c r="AW37" s="2" t="n">
        <v>1</v>
      </c>
    </row>
    <row r="38">
      <c r="A38" s="2" t="inlineStr">
        <is>
          <t>ChIJE43rt29ZzpQRnvADt6pXfto</t>
        </is>
      </c>
      <c r="B38" s="2" t="inlineStr">
        <is>
          <t>OMNIVERSE</t>
        </is>
      </c>
      <c r="C38" s="2" t="inlineStr">
        <is>
          <t>São Paulo</t>
        </is>
      </c>
      <c r="D38" s="2" t="inlineStr">
        <is>
          <t>Sudeste</t>
        </is>
      </c>
      <c r="E38" s="4" t="n">
        <v>4.8</v>
      </c>
      <c r="F38" s="5" t="n">
        <v>1145</v>
      </c>
      <c r="G38" s="6" t="n">
        <v>5</v>
      </c>
      <c r="H38" s="6" t="n">
        <v>46</v>
      </c>
      <c r="I38" s="6" t="n">
        <v>12</v>
      </c>
      <c r="J38" s="6" t="n">
        <v>24</v>
      </c>
      <c r="K38" s="4" t="n">
        <v>0</v>
      </c>
      <c r="L38" s="4" t="n">
        <v>2</v>
      </c>
      <c r="M38" s="5" t="n">
        <v>820</v>
      </c>
      <c r="N38" s="4" t="n">
        <v>0</v>
      </c>
      <c r="O38" s="4" t="n">
        <v>0</v>
      </c>
      <c r="P38" s="5" t="n">
        <v>1083</v>
      </c>
      <c r="Q38" s="5" t="n">
        <v>8510</v>
      </c>
      <c r="R38" s="5" t="n">
        <v>918</v>
      </c>
      <c r="S38" s="6" t="n">
        <v>13.68</v>
      </c>
      <c r="T38" s="6" t="n">
        <v>8</v>
      </c>
      <c r="U38" s="5" t="n">
        <v>510</v>
      </c>
      <c r="V38" s="5" t="n">
        <v>27</v>
      </c>
      <c r="W38" s="6" t="n">
        <v>67.12</v>
      </c>
      <c r="X38" s="15" t="n">
        <v>0.007889999999999999</v>
      </c>
      <c r="Y38" s="5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5" t="n">
        <v>59</v>
      </c>
      <c r="AL38" s="5" t="n">
        <v>31</v>
      </c>
      <c r="AM38" s="5" t="n">
        <v>18</v>
      </c>
      <c r="AN38" s="2" t="n">
        <v>1</v>
      </c>
      <c r="AO38" s="2" t="n">
        <v>0</v>
      </c>
      <c r="AP38" s="2" t="n"/>
      <c r="AQ38" s="2" t="n">
        <v>0</v>
      </c>
      <c r="AR38" s="2" t="n">
        <v>0</v>
      </c>
      <c r="AS38" s="2" t="n">
        <v>1</v>
      </c>
      <c r="AT38" s="2" t="n">
        <v>1</v>
      </c>
      <c r="AU38" s="2" t="n">
        <v>1</v>
      </c>
      <c r="AV38" s="2" t="n">
        <v>1</v>
      </c>
      <c r="AW38" s="2" t="n">
        <v>1</v>
      </c>
    </row>
    <row r="39">
      <c r="A39" s="2" t="inlineStr">
        <is>
          <t>ChIJo-6lZMlezpQRmgUpUPfmRIs</t>
        </is>
      </c>
      <c r="B39" s="2" t="inlineStr">
        <is>
          <t>Pitta's Board Games</t>
        </is>
      </c>
      <c r="C39" s="2" t="inlineStr">
        <is>
          <t>São Paulo</t>
        </is>
      </c>
      <c r="D39" s="2" t="inlineStr">
        <is>
          <t>Sudeste</t>
        </is>
      </c>
      <c r="E39" s="4" t="n">
        <v>4.9</v>
      </c>
      <c r="F39" s="5" t="n">
        <v>663</v>
      </c>
      <c r="G39" s="6" t="n">
        <v>6</v>
      </c>
      <c r="H39" s="6" t="n">
        <v>58</v>
      </c>
      <c r="I39" s="6" t="n">
        <v>11</v>
      </c>
      <c r="J39" s="6" t="n">
        <v>22</v>
      </c>
      <c r="K39" s="4" t="n">
        <v>0</v>
      </c>
      <c r="L39" s="4" t="n">
        <v>1</v>
      </c>
      <c r="M39" s="5" t="n">
        <v>566</v>
      </c>
      <c r="N39" s="4" t="n">
        <v>0</v>
      </c>
      <c r="O39" s="4" t="n">
        <v>0</v>
      </c>
      <c r="P39" s="5" t="n">
        <v>1744</v>
      </c>
      <c r="Q39" s="5" t="n">
        <v>23415</v>
      </c>
      <c r="R39" s="5" t="n">
        <v>2269</v>
      </c>
      <c r="S39" s="6" t="n">
        <v>11.21</v>
      </c>
      <c r="T39" s="6" t="n">
        <v>21</v>
      </c>
      <c r="U39" s="5" t="n">
        <v>1389</v>
      </c>
      <c r="V39" s="5" t="n">
        <v>63</v>
      </c>
      <c r="W39" s="6" t="n">
        <v>69.14</v>
      </c>
      <c r="X39" s="15" t="n">
        <v>0.00295</v>
      </c>
      <c r="Y39" s="5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5" t="n">
        <v>227</v>
      </c>
      <c r="AL39" s="5" t="n">
        <v>14</v>
      </c>
      <c r="AM39" s="5" t="n">
        <v>7</v>
      </c>
      <c r="AN39" s="2" t="n">
        <v>1</v>
      </c>
      <c r="AO39" s="2" t="n">
        <v>0</v>
      </c>
      <c r="AP39" s="2" t="n"/>
      <c r="AQ39" s="2" t="n">
        <v>0</v>
      </c>
      <c r="AR39" s="2" t="n">
        <v>1</v>
      </c>
      <c r="AS39" s="2" t="n">
        <v>1</v>
      </c>
      <c r="AT39" s="2" t="n">
        <v>1</v>
      </c>
      <c r="AU39" s="2" t="n">
        <v>1</v>
      </c>
      <c r="AV39" s="2" t="n">
        <v>1</v>
      </c>
      <c r="AW39" s="2" t="n">
        <v>1</v>
      </c>
    </row>
    <row r="40">
      <c r="A40" s="2" t="inlineStr">
        <is>
          <t>ChIJkWsGmd1czpQRGLydxc29vbw</t>
        </is>
      </c>
      <c r="B40" s="2" t="inlineStr">
        <is>
          <t>Place Games</t>
        </is>
      </c>
      <c r="C40" s="2" t="inlineStr">
        <is>
          <t>São Paulo</t>
        </is>
      </c>
      <c r="D40" s="2" t="inlineStr">
        <is>
          <t>Sudeste</t>
        </is>
      </c>
      <c r="E40" s="4" t="n">
        <v>4.8</v>
      </c>
      <c r="F40" s="5" t="n">
        <v>572</v>
      </c>
      <c r="G40" s="6" t="n">
        <v>5</v>
      </c>
      <c r="H40" s="6" t="n">
        <v>46</v>
      </c>
      <c r="I40" s="6" t="n">
        <v>10</v>
      </c>
      <c r="J40" s="6" t="n">
        <v>22</v>
      </c>
      <c r="K40" s="4" t="n">
        <v>0</v>
      </c>
      <c r="L40" s="4" t="n">
        <v>0</v>
      </c>
      <c r="M40" s="5" t="n">
        <v>4310</v>
      </c>
      <c r="N40" s="4" t="n"/>
      <c r="O40" s="4" t="n"/>
      <c r="P40" s="5" t="n">
        <v>251</v>
      </c>
      <c r="Q40" s="5" t="n">
        <v>14021</v>
      </c>
      <c r="R40" s="5" t="n">
        <v>2362</v>
      </c>
      <c r="S40" s="6" t="n">
        <v>10.55</v>
      </c>
      <c r="T40" s="6" t="n">
        <v>23</v>
      </c>
      <c r="U40" s="5" t="n">
        <v>1917</v>
      </c>
      <c r="V40" s="5" t="n">
        <v>148</v>
      </c>
      <c r="W40" s="6" t="n">
        <v>89.78</v>
      </c>
      <c r="X40" s="15" t="n">
        <v>0.0064</v>
      </c>
      <c r="Y40" s="5" t="n">
        <v>57</v>
      </c>
      <c r="Z40" s="7" t="n"/>
      <c r="AA40" s="7" t="n">
        <v>10.5</v>
      </c>
      <c r="AB40" s="7" t="n">
        <v>29</v>
      </c>
      <c r="AC40" s="7" t="n">
        <v>18.18</v>
      </c>
      <c r="AD40" s="7" t="n">
        <v>39.5</v>
      </c>
      <c r="AE40" s="7" t="n">
        <v>53.5</v>
      </c>
      <c r="AF40" s="7" t="n">
        <v>38.9</v>
      </c>
      <c r="AG40" s="7" t="n">
        <v>33</v>
      </c>
      <c r="AH40" s="7" t="n">
        <v>13</v>
      </c>
      <c r="AI40" s="7" t="n">
        <v>11</v>
      </c>
      <c r="AJ40" s="7" t="n"/>
      <c r="AK40" s="5" t="n">
        <v>633</v>
      </c>
      <c r="AL40" s="5" t="n">
        <v>18</v>
      </c>
      <c r="AM40" s="5" t="n">
        <v>11</v>
      </c>
      <c r="AN40" s="2" t="n">
        <v>0</v>
      </c>
      <c r="AO40" s="2" t="n">
        <v>1</v>
      </c>
      <c r="AP40" s="2" t="n">
        <v>0</v>
      </c>
      <c r="AQ40" s="2" t="n">
        <v>0</v>
      </c>
      <c r="AR40" s="2" t="n">
        <v>0</v>
      </c>
      <c r="AS40" s="2" t="n">
        <v>1</v>
      </c>
      <c r="AT40" s="2" t="n">
        <v>1</v>
      </c>
      <c r="AU40" s="2" t="n">
        <v>1</v>
      </c>
      <c r="AV40" s="2" t="n">
        <v>1</v>
      </c>
      <c r="AW40" s="2" t="n">
        <v>1</v>
      </c>
    </row>
    <row r="41">
      <c r="A41" s="2" t="inlineStr">
        <is>
          <t>ChIJNcHw7jNYzpQRKRHPOrb4jEw</t>
        </is>
      </c>
      <c r="B41" s="2" t="inlineStr">
        <is>
          <t>Play Easy</t>
        </is>
      </c>
      <c r="C41" s="2" t="inlineStr">
        <is>
          <t>São Paulo</t>
        </is>
      </c>
      <c r="D41" s="2" t="inlineStr">
        <is>
          <t>Sudeste</t>
        </is>
      </c>
      <c r="E41" s="4" t="n">
        <v>4.7</v>
      </c>
      <c r="F41" s="5" t="n">
        <v>1002</v>
      </c>
      <c r="G41" s="6" t="n">
        <v>6</v>
      </c>
      <c r="H41" s="6" t="n">
        <v>50</v>
      </c>
      <c r="I41" s="6" t="n">
        <v>12</v>
      </c>
      <c r="J41" s="6" t="n">
        <v>22</v>
      </c>
      <c r="K41" s="4" t="n">
        <v>0</v>
      </c>
      <c r="L41" s="4" t="n">
        <v>3</v>
      </c>
      <c r="M41" s="5" t="n">
        <v>563</v>
      </c>
      <c r="N41" s="4" t="n">
        <v>1</v>
      </c>
      <c r="O41" s="4" t="n">
        <v>2</v>
      </c>
      <c r="P41" s="5" t="n">
        <v>484</v>
      </c>
      <c r="Q41" s="5" t="n">
        <v>21346</v>
      </c>
      <c r="R41" s="5" t="n">
        <v>2996</v>
      </c>
      <c r="S41" s="6" t="n">
        <v>9.33</v>
      </c>
      <c r="T41" s="6" t="n">
        <v>16</v>
      </c>
      <c r="U41" s="5" t="n">
        <v>1381</v>
      </c>
      <c r="V41" s="5" t="n">
        <v>42</v>
      </c>
      <c r="W41" s="6" t="n">
        <v>88.94</v>
      </c>
      <c r="X41" s="15" t="n">
        <v>0.00417</v>
      </c>
      <c r="Y41" s="5" t="n">
        <v>16</v>
      </c>
      <c r="Z41" s="7" t="n"/>
      <c r="AA41" s="7" t="n">
        <v>7</v>
      </c>
      <c r="AB41" s="7" t="n">
        <v>25</v>
      </c>
      <c r="AC41" s="7" t="n">
        <v>17</v>
      </c>
      <c r="AD41" s="7" t="n">
        <v>32</v>
      </c>
      <c r="AE41" s="7" t="n">
        <v>34.5</v>
      </c>
      <c r="AF41" s="7" t="n"/>
      <c r="AG41" s="7" t="n">
        <v>16</v>
      </c>
      <c r="AH41" s="7" t="n">
        <v>10</v>
      </c>
      <c r="AI41" s="7" t="n">
        <v>6</v>
      </c>
      <c r="AJ41" s="7" t="n"/>
      <c r="AK41" s="5" t="n">
        <v>438</v>
      </c>
      <c r="AL41" s="5" t="n">
        <v>40</v>
      </c>
      <c r="AM41" s="5" t="n">
        <v>22</v>
      </c>
      <c r="AN41" s="2" t="n">
        <v>1</v>
      </c>
      <c r="AO41" s="2" t="n">
        <v>1</v>
      </c>
      <c r="AP41" s="2" t="n">
        <v>0</v>
      </c>
      <c r="AQ41" s="2" t="n">
        <v>1</v>
      </c>
      <c r="AR41" s="2" t="n">
        <v>1</v>
      </c>
      <c r="AS41" s="2" t="n">
        <v>1</v>
      </c>
      <c r="AT41" s="2" t="n">
        <v>1</v>
      </c>
      <c r="AU41" s="2" t="n">
        <v>1</v>
      </c>
      <c r="AV41" s="2" t="n">
        <v>1</v>
      </c>
      <c r="AW41" s="2" t="n">
        <v>0</v>
      </c>
    </row>
    <row r="42">
      <c r="A42" s="2" t="inlineStr">
        <is>
          <t>ChIJsU5BAwBRzpQRAgLVvqg68os</t>
        </is>
      </c>
      <c r="B42" s="2" t="inlineStr">
        <is>
          <t>Tubaleria</t>
        </is>
      </c>
      <c r="C42" s="2" t="inlineStr">
        <is>
          <t>São Paulo</t>
        </is>
      </c>
      <c r="D42" s="2" t="inlineStr">
        <is>
          <t>Sudeste</t>
        </is>
      </c>
      <c r="E42" s="4" t="n">
        <v>5</v>
      </c>
      <c r="F42" s="5" t="n">
        <v>116</v>
      </c>
      <c r="G42" s="6" t="n">
        <v>5</v>
      </c>
      <c r="H42" s="6" t="n">
        <v>55</v>
      </c>
      <c r="I42" s="6" t="n">
        <v>11</v>
      </c>
      <c r="J42" s="6" t="n">
        <v>23</v>
      </c>
      <c r="K42" s="4" t="n">
        <v>0</v>
      </c>
      <c r="L42" s="4" t="n">
        <v>0</v>
      </c>
      <c r="M42" s="5" t="n">
        <v>1527</v>
      </c>
      <c r="N42" s="4" t="n">
        <v>1</v>
      </c>
      <c r="O42" s="4" t="n">
        <v>2</v>
      </c>
      <c r="P42" s="5" t="n">
        <v>305</v>
      </c>
      <c r="Q42" s="5" t="n"/>
      <c r="R42" s="5" t="n">
        <v>340</v>
      </c>
      <c r="S42" s="6" t="n">
        <v>1.95</v>
      </c>
      <c r="T42" s="6" t="n">
        <v>20</v>
      </c>
      <c r="U42" s="5" t="n">
        <v>794</v>
      </c>
      <c r="V42" s="5" t="n">
        <v>38</v>
      </c>
      <c r="W42" s="6" t="n">
        <v>41.6</v>
      </c>
      <c r="X42" s="15" t="n"/>
      <c r="Y42" s="5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5" t="n">
        <v>221</v>
      </c>
      <c r="AL42" s="5" t="n"/>
      <c r="AM42" s="5" t="n"/>
      <c r="AN42" s="2" t="n">
        <v>0</v>
      </c>
      <c r="AO42" s="2" t="n">
        <v>0</v>
      </c>
      <c r="AP42" s="2" t="n"/>
      <c r="AQ42" s="2" t="n">
        <v>0</v>
      </c>
      <c r="AR42" s="2" t="n">
        <v>0</v>
      </c>
      <c r="AS42" s="2" t="n">
        <v>1</v>
      </c>
      <c r="AT42" s="2" t="n">
        <v>1</v>
      </c>
      <c r="AU42" s="2" t="n">
        <v>1</v>
      </c>
      <c r="AV42" s="2" t="n">
        <v>1</v>
      </c>
      <c r="AW42" s="2" t="n">
        <v>1</v>
      </c>
    </row>
    <row r="43">
      <c r="A43" s="2" t="inlineStr">
        <is>
          <t>ChIJi5zbZadgzpQRIYeuK_eqQio</t>
        </is>
      </c>
      <c r="B43" s="2" t="inlineStr">
        <is>
          <t>XPlace</t>
        </is>
      </c>
      <c r="C43" s="2" t="inlineStr">
        <is>
          <t>São Paulo</t>
        </is>
      </c>
      <c r="D43" s="2" t="inlineStr">
        <is>
          <t>Sudeste</t>
        </is>
      </c>
      <c r="E43" s="4" t="n">
        <v>4.7</v>
      </c>
      <c r="F43" s="5" t="n">
        <v>795</v>
      </c>
      <c r="G43" s="6" t="n">
        <v>6</v>
      </c>
      <c r="H43" s="6" t="n">
        <v>49</v>
      </c>
      <c r="I43" s="6" t="n">
        <v>11</v>
      </c>
      <c r="J43" s="6" t="n">
        <v>20</v>
      </c>
      <c r="K43" s="4" t="n">
        <v>1</v>
      </c>
      <c r="L43" s="4" t="n">
        <v>1</v>
      </c>
      <c r="M43" s="5" t="n">
        <v>364</v>
      </c>
      <c r="N43" s="4" t="n">
        <v>0</v>
      </c>
      <c r="O43" s="4" t="n">
        <v>0</v>
      </c>
      <c r="P43" s="5" t="n">
        <v>1486</v>
      </c>
      <c r="Q43" s="5" t="n">
        <v>34668</v>
      </c>
      <c r="R43" s="5" t="n">
        <v>5277</v>
      </c>
      <c r="S43" s="6" t="n">
        <v>11.06</v>
      </c>
      <c r="T43" s="6" t="n">
        <v>31</v>
      </c>
      <c r="U43" s="5" t="n">
        <v>4134</v>
      </c>
      <c r="V43" s="5" t="n">
        <v>233</v>
      </c>
      <c r="W43" s="6" t="n">
        <v>140.87</v>
      </c>
      <c r="X43" s="15" t="n">
        <v>0.00406</v>
      </c>
      <c r="Y43" s="5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5" t="n"/>
      <c r="AL43" s="5" t="n">
        <v>18</v>
      </c>
      <c r="AM43" s="5" t="n">
        <v>8</v>
      </c>
      <c r="AN43" s="2" t="n">
        <v>1</v>
      </c>
      <c r="AO43" s="2" t="n">
        <v>0</v>
      </c>
      <c r="AP43" s="2" t="n"/>
      <c r="AQ43" s="2" t="n">
        <v>1</v>
      </c>
      <c r="AR43" s="2" t="n">
        <v>1</v>
      </c>
      <c r="AS43" s="2" t="n">
        <v>1</v>
      </c>
      <c r="AT43" s="2" t="n">
        <v>1</v>
      </c>
      <c r="AU43" s="2" t="n">
        <v>1</v>
      </c>
      <c r="AV43" s="2" t="n">
        <v>1</v>
      </c>
      <c r="AW43" s="2" t="n">
        <v>0</v>
      </c>
    </row>
    <row r="44">
      <c r="A44" s="2" t="inlineStr">
        <is>
          <t>ChIJfyav9YI9uAARjwbBqcRm2_k</t>
        </is>
      </c>
      <c r="B44" s="2" t="inlineStr">
        <is>
          <t>Café Geek Cafeteria e Ludoteca</t>
        </is>
      </c>
      <c r="C44" s="2" t="inlineStr">
        <is>
          <t>Vitória</t>
        </is>
      </c>
      <c r="D44" s="2" t="inlineStr">
        <is>
          <t>Sudeste</t>
        </is>
      </c>
      <c r="E44" s="4" t="n">
        <v>5</v>
      </c>
      <c r="F44" s="5" t="n">
        <v>148</v>
      </c>
      <c r="G44" s="6" t="n">
        <v>4</v>
      </c>
      <c r="H44" s="6" t="n">
        <v>26</v>
      </c>
      <c r="I44" s="6" t="n">
        <v>14</v>
      </c>
      <c r="J44" s="6" t="n">
        <v>23</v>
      </c>
      <c r="K44" s="4" t="n">
        <v>0</v>
      </c>
      <c r="L44" s="4" t="n">
        <v>0</v>
      </c>
      <c r="M44" s="5" t="n"/>
      <c r="N44" s="4" t="n">
        <v>0</v>
      </c>
      <c r="O44" s="4" t="n"/>
      <c r="P44" s="5" t="n">
        <v>926</v>
      </c>
      <c r="Q44" s="5" t="n">
        <v>12159</v>
      </c>
      <c r="R44" s="5" t="n">
        <v>230</v>
      </c>
      <c r="S44" s="6" t="n">
        <v>5.21</v>
      </c>
      <c r="T44" s="6" t="n">
        <v>3</v>
      </c>
      <c r="U44" s="5" t="n">
        <v>114</v>
      </c>
      <c r="V44" s="5" t="n">
        <v>11</v>
      </c>
      <c r="W44" s="6" t="n">
        <v>41.67</v>
      </c>
      <c r="X44" s="15" t="n">
        <v>0.00343</v>
      </c>
      <c r="Y44" s="5" t="n">
        <v>67</v>
      </c>
      <c r="Z44" s="7" t="n"/>
      <c r="AA44" s="7" t="n">
        <v>12.5</v>
      </c>
      <c r="AB44" s="7" t="n">
        <v>10</v>
      </c>
      <c r="AC44" s="7" t="n">
        <v>15.75</v>
      </c>
      <c r="AD44" s="7" t="n">
        <v>22.5</v>
      </c>
      <c r="AE44" s="7" t="n">
        <v>30.25</v>
      </c>
      <c r="AF44" s="7" t="n"/>
      <c r="AG44" s="7" t="n">
        <v>18</v>
      </c>
      <c r="AH44" s="7" t="n">
        <v>12</v>
      </c>
      <c r="AI44" s="7" t="n">
        <v>7</v>
      </c>
      <c r="AJ44" s="7" t="n"/>
      <c r="AK44" s="5" t="n"/>
      <c r="AL44" s="5" t="n">
        <v>9</v>
      </c>
      <c r="AM44" s="5" t="n">
        <v>5</v>
      </c>
      <c r="AN44" s="2" t="n">
        <v>0</v>
      </c>
      <c r="AO44" s="2" t="n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1</v>
      </c>
      <c r="AU44" s="2" t="n">
        <v>1</v>
      </c>
      <c r="AV44" s="2" t="n">
        <v>1</v>
      </c>
      <c r="AW44" s="2" t="n">
        <v>1</v>
      </c>
    </row>
    <row r="45">
      <c r="A45" s="2" t="inlineStr">
        <is>
          <t>ChIJ3ekLtDjl3JQRHwtNgmINgLo</t>
        </is>
      </c>
      <c r="B45" s="2" t="inlineStr">
        <is>
          <t>Alçapão Jogos</t>
        </is>
      </c>
      <c r="C45" s="2" t="inlineStr">
        <is>
          <t>Curitiba</t>
        </is>
      </c>
      <c r="D45" s="2" t="inlineStr">
        <is>
          <t>Sul</t>
        </is>
      </c>
      <c r="E45" s="4" t="n">
        <v>5</v>
      </c>
      <c r="F45" s="5" t="n">
        <v>219</v>
      </c>
      <c r="G45" s="6" t="n">
        <v>5</v>
      </c>
      <c r="H45" s="6" t="n">
        <v>36</v>
      </c>
      <c r="I45" s="6" t="n">
        <v>15</v>
      </c>
      <c r="J45" s="6" t="n">
        <v>24</v>
      </c>
      <c r="K45" s="4" t="n">
        <v>0</v>
      </c>
      <c r="L45" s="4" t="n">
        <v>0</v>
      </c>
      <c r="M45" s="5" t="n"/>
      <c r="N45" s="4" t="n">
        <v>0</v>
      </c>
      <c r="O45" s="4" t="n"/>
      <c r="P45" s="5" t="n">
        <v>770</v>
      </c>
      <c r="Q45" s="5" t="n">
        <v>13883</v>
      </c>
      <c r="R45" s="5" t="n">
        <v>303</v>
      </c>
      <c r="S45" s="6" t="n">
        <v>7.83</v>
      </c>
      <c r="T45" s="6" t="n">
        <v>3</v>
      </c>
      <c r="U45" s="5" t="n">
        <v>67</v>
      </c>
      <c r="V45" s="5" t="n">
        <v>5</v>
      </c>
      <c r="W45" s="6" t="n">
        <v>24</v>
      </c>
      <c r="X45" s="15" t="n">
        <v>0.00173</v>
      </c>
      <c r="Y45" s="5" t="n">
        <v>28</v>
      </c>
      <c r="Z45" s="7" t="n"/>
      <c r="AA45" s="7" t="n">
        <v>12</v>
      </c>
      <c r="AB45" s="7" t="n">
        <v>12</v>
      </c>
      <c r="AC45" s="7" t="n">
        <v>22</v>
      </c>
      <c r="AD45" s="7" t="n">
        <v>24</v>
      </c>
      <c r="AE45" s="7" t="n">
        <v>34</v>
      </c>
      <c r="AF45" s="7" t="n"/>
      <c r="AG45" s="7" t="n"/>
      <c r="AH45" s="7" t="n"/>
      <c r="AI45" s="7" t="n">
        <v>9</v>
      </c>
      <c r="AJ45" s="7" t="n"/>
      <c r="AK45" s="5" t="n">
        <v>270</v>
      </c>
      <c r="AL45" s="5" t="n">
        <v>20</v>
      </c>
      <c r="AM45" s="5" t="n">
        <v>8</v>
      </c>
      <c r="AN45" s="2" t="n">
        <v>0</v>
      </c>
      <c r="AO45" s="2" t="n">
        <v>1</v>
      </c>
      <c r="AP45" s="2" t="n">
        <v>0</v>
      </c>
      <c r="AQ45" s="2" t="n">
        <v>0</v>
      </c>
      <c r="AR45" s="2" t="n">
        <v>0</v>
      </c>
      <c r="AS45" s="2" t="n">
        <v>1</v>
      </c>
      <c r="AT45" s="2" t="n">
        <v>1</v>
      </c>
      <c r="AU45" s="2" t="n">
        <v>1</v>
      </c>
      <c r="AV45" s="2" t="n">
        <v>1</v>
      </c>
      <c r="AW45" s="2" t="n">
        <v>1</v>
      </c>
    </row>
    <row r="46">
      <c r="A46" s="2" t="inlineStr">
        <is>
          <t>ChIJY_lqHVLl3JQRvDHacOMDKuc</t>
        </is>
      </c>
      <c r="B46" s="2" t="inlineStr">
        <is>
          <t>BoardZ Game Pub</t>
        </is>
      </c>
      <c r="C46" s="2" t="inlineStr">
        <is>
          <t>Curitiba</t>
        </is>
      </c>
      <c r="D46" s="2" t="inlineStr">
        <is>
          <t>Sul</t>
        </is>
      </c>
      <c r="E46" s="4" t="n">
        <v>4.8</v>
      </c>
      <c r="F46" s="5" t="n">
        <v>776</v>
      </c>
      <c r="G46" s="6" t="n">
        <v>6</v>
      </c>
      <c r="H46" s="6" t="n">
        <v>35</v>
      </c>
      <c r="I46" s="6" t="n">
        <v>16</v>
      </c>
      <c r="J46" s="6" t="n">
        <v>24.5</v>
      </c>
      <c r="K46" s="4" t="n">
        <v>0</v>
      </c>
      <c r="L46" s="4" t="n">
        <v>0</v>
      </c>
      <c r="M46" s="5" t="n"/>
      <c r="N46" s="4" t="n">
        <v>0</v>
      </c>
      <c r="O46" s="4" t="n">
        <v>0</v>
      </c>
      <c r="P46" s="5" t="n">
        <v>1175</v>
      </c>
      <c r="Q46" s="5" t="n">
        <v>18698</v>
      </c>
      <c r="R46" s="5" t="n">
        <v>491</v>
      </c>
      <c r="S46" s="6" t="n">
        <v>6.66</v>
      </c>
      <c r="T46" s="6" t="n">
        <v>2</v>
      </c>
      <c r="U46" s="5" t="n">
        <v>237</v>
      </c>
      <c r="V46" s="5" t="n">
        <v>22</v>
      </c>
      <c r="W46" s="6" t="n">
        <v>129.5</v>
      </c>
      <c r="X46" s="15" t="n">
        <v>0.00693</v>
      </c>
      <c r="Y46" s="5" t="n">
        <v>103</v>
      </c>
      <c r="Z46" s="7" t="n"/>
      <c r="AA46" s="7" t="n">
        <v>17.5</v>
      </c>
      <c r="AB46" s="7" t="n">
        <v>30</v>
      </c>
      <c r="AC46" s="7" t="n">
        <v>43</v>
      </c>
      <c r="AD46" s="7" t="n">
        <v>47.5</v>
      </c>
      <c r="AE46" s="7" t="n">
        <v>58</v>
      </c>
      <c r="AF46" s="7" t="n">
        <v>32</v>
      </c>
      <c r="AG46" s="7" t="n">
        <v>32</v>
      </c>
      <c r="AH46" s="7" t="n">
        <v>18</v>
      </c>
      <c r="AI46" s="7" t="n">
        <v>8</v>
      </c>
      <c r="AJ46" s="7" t="n">
        <v>24</v>
      </c>
      <c r="AK46" s="5" t="n"/>
      <c r="AL46" s="5" t="n">
        <v>37</v>
      </c>
      <c r="AM46" s="5" t="n">
        <v>24</v>
      </c>
      <c r="AN46" s="2" t="n">
        <v>0</v>
      </c>
      <c r="AO46" s="2" t="n">
        <v>1</v>
      </c>
      <c r="AP46" s="2" t="n">
        <v>0</v>
      </c>
      <c r="AQ46" s="2" t="n">
        <v>0</v>
      </c>
      <c r="AR46" s="2" t="n">
        <v>1</v>
      </c>
      <c r="AS46" s="2" t="n">
        <v>1</v>
      </c>
      <c r="AT46" s="2" t="n">
        <v>1</v>
      </c>
      <c r="AU46" s="2" t="n">
        <v>1</v>
      </c>
      <c r="AV46" s="2" t="n">
        <v>1</v>
      </c>
      <c r="AW46" s="2" t="n">
        <v>1</v>
      </c>
    </row>
    <row r="47">
      <c r="A47" s="2" t="inlineStr">
        <is>
          <t>ChIJOczn8z7l3JQRNBEL_ZJ3iQo</t>
        </is>
      </c>
      <c r="B47" s="2" t="inlineStr">
        <is>
          <t>Joyjoy Café</t>
        </is>
      </c>
      <c r="C47" s="2" t="inlineStr">
        <is>
          <t>Curitiba</t>
        </is>
      </c>
      <c r="D47" s="2" t="inlineStr">
        <is>
          <t>Sul</t>
        </is>
      </c>
      <c r="E47" s="4" t="n">
        <v>4.8</v>
      </c>
      <c r="F47" s="5" t="n">
        <v>690</v>
      </c>
      <c r="G47" s="6" t="n">
        <v>6</v>
      </c>
      <c r="H47" s="6" t="n">
        <v>37</v>
      </c>
      <c r="I47" s="6" t="n">
        <v>14</v>
      </c>
      <c r="J47" s="6" t="n">
        <v>23</v>
      </c>
      <c r="K47" s="4" t="n">
        <v>0</v>
      </c>
      <c r="L47" s="4" t="n">
        <v>0</v>
      </c>
      <c r="M47" s="5" t="n"/>
      <c r="N47" s="4" t="n">
        <v>0</v>
      </c>
      <c r="O47" s="4" t="n">
        <v>0</v>
      </c>
      <c r="P47" s="5" t="n">
        <v>1152</v>
      </c>
      <c r="Q47" s="5" t="n">
        <v>25555</v>
      </c>
      <c r="R47" s="5" t="n">
        <v>627</v>
      </c>
      <c r="S47" s="6" t="n">
        <v>6.66</v>
      </c>
      <c r="T47" s="6" t="n">
        <v>6</v>
      </c>
      <c r="U47" s="5" t="n">
        <v>1721</v>
      </c>
      <c r="V47" s="5" t="n">
        <v>114</v>
      </c>
      <c r="W47" s="6" t="n">
        <v>305.83</v>
      </c>
      <c r="X47" s="15" t="n">
        <v>0.01197</v>
      </c>
      <c r="Y47" s="5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5" t="n">
        <v>1010</v>
      </c>
      <c r="AL47" s="5" t="n">
        <v>50</v>
      </c>
      <c r="AM47" s="5" t="n">
        <v>17</v>
      </c>
      <c r="AN47" s="2" t="n">
        <v>0</v>
      </c>
      <c r="AO47" s="2" t="n">
        <v>0</v>
      </c>
      <c r="AP47" s="2" t="n"/>
      <c r="AQ47" s="2" t="n">
        <v>0</v>
      </c>
      <c r="AR47" s="2" t="n">
        <v>1</v>
      </c>
      <c r="AS47" s="2" t="n">
        <v>1</v>
      </c>
      <c r="AT47" s="2" t="n">
        <v>1</v>
      </c>
      <c r="AU47" s="2" t="n">
        <v>1</v>
      </c>
      <c r="AV47" s="2" t="n">
        <v>1</v>
      </c>
      <c r="AW47" s="2" t="n">
        <v>1</v>
      </c>
    </row>
    <row r="48">
      <c r="A48" s="2" t="inlineStr">
        <is>
          <t>ChIJK5Dhtunj3JQRniPWHB3haDU</t>
        </is>
      </c>
      <c r="B48" s="2" t="inlineStr">
        <is>
          <t>Paladino Hobbies</t>
        </is>
      </c>
      <c r="C48" s="2" t="inlineStr">
        <is>
          <t>Curitiba</t>
        </is>
      </c>
      <c r="D48" s="2" t="inlineStr">
        <is>
          <t>Sul</t>
        </is>
      </c>
      <c r="E48" s="4" t="n">
        <v>4.8</v>
      </c>
      <c r="F48" s="5" t="n">
        <v>188</v>
      </c>
      <c r="G48" s="6" t="n">
        <v>4</v>
      </c>
      <c r="H48" s="6" t="n">
        <v>22</v>
      </c>
      <c r="I48" s="6" t="n">
        <v>12</v>
      </c>
      <c r="J48" s="6" t="n">
        <v>19</v>
      </c>
      <c r="K48" s="4" t="n">
        <v>0</v>
      </c>
      <c r="L48" s="4" t="n">
        <v>0</v>
      </c>
      <c r="M48" s="5" t="n"/>
      <c r="N48" s="4" t="n"/>
      <c r="O48" s="4" t="n"/>
      <c r="P48" s="5" t="n">
        <v>293</v>
      </c>
      <c r="Q48" s="5" t="n">
        <v>1432</v>
      </c>
      <c r="R48" s="5" t="n">
        <v>140</v>
      </c>
      <c r="S48" s="6" t="n">
        <v>6.55</v>
      </c>
      <c r="T48" s="6" t="n">
        <v>1</v>
      </c>
      <c r="U48" s="5" t="n">
        <v>1</v>
      </c>
      <c r="V48" s="5" t="n">
        <v>0</v>
      </c>
      <c r="W48" s="6" t="n">
        <v>1</v>
      </c>
      <c r="X48" s="15" t="n">
        <v>0.0007</v>
      </c>
      <c r="Y48" s="5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5" t="n"/>
      <c r="AL48" s="5" t="n">
        <v>2</v>
      </c>
      <c r="AM48" s="5" t="n">
        <v>0</v>
      </c>
      <c r="AN48" s="2" t="n">
        <v>0</v>
      </c>
      <c r="AO48" s="2" t="n">
        <v>0</v>
      </c>
      <c r="AP48" s="2" t="n"/>
      <c r="AQ48" s="2" t="n">
        <v>0</v>
      </c>
      <c r="AR48" s="2" t="n">
        <v>0</v>
      </c>
      <c r="AS48" s="2" t="n">
        <v>1</v>
      </c>
      <c r="AT48" s="2" t="n">
        <v>1</v>
      </c>
      <c r="AU48" s="2" t="n">
        <v>1</v>
      </c>
      <c r="AV48" s="2" t="n">
        <v>1</v>
      </c>
      <c r="AW48" s="2" t="n">
        <v>0</v>
      </c>
    </row>
    <row r="49">
      <c r="A49" s="2" t="inlineStr">
        <is>
          <t>ChIJc66HomXk3JQRNl28jz_VsPc</t>
        </is>
      </c>
      <c r="B49" s="2" t="inlineStr">
        <is>
          <t>Taverna Game House</t>
        </is>
      </c>
      <c r="C49" s="2" t="inlineStr">
        <is>
          <t>Curitiba</t>
        </is>
      </c>
      <c r="D49" s="2" t="inlineStr">
        <is>
          <t>Sul</t>
        </is>
      </c>
      <c r="E49" s="4" t="n">
        <v>4.8</v>
      </c>
      <c r="F49" s="5" t="n">
        <v>625</v>
      </c>
      <c r="G49" s="6" t="n">
        <v>6</v>
      </c>
      <c r="H49" s="6" t="n">
        <v>48</v>
      </c>
      <c r="I49" s="6" t="n">
        <v>14</v>
      </c>
      <c r="J49" s="6" t="n">
        <v>22</v>
      </c>
      <c r="K49" s="4" t="n">
        <v>0</v>
      </c>
      <c r="L49" s="4" t="n">
        <v>0</v>
      </c>
      <c r="M49" s="5" t="n"/>
      <c r="N49" s="4" t="n"/>
      <c r="O49" s="4" t="n"/>
      <c r="P49" s="5" t="n">
        <v>358</v>
      </c>
      <c r="Q49" s="5" t="n">
        <v>3168</v>
      </c>
      <c r="R49" s="5" t="n">
        <v>1832</v>
      </c>
      <c r="S49" s="6" t="n">
        <v>9.050000000000001</v>
      </c>
      <c r="T49" s="6" t="n">
        <v>26</v>
      </c>
      <c r="U49" s="5" t="n">
        <v>611</v>
      </c>
      <c r="V49" s="5" t="n">
        <v>9</v>
      </c>
      <c r="W49" s="6" t="n">
        <v>23.85</v>
      </c>
      <c r="X49" s="15" t="n">
        <v>0.00753</v>
      </c>
      <c r="Y49" s="5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5" t="n"/>
      <c r="AL49" s="5" t="n">
        <v>13</v>
      </c>
      <c r="AM49" s="5" t="n">
        <v>5</v>
      </c>
      <c r="AN49" s="2" t="n">
        <v>0</v>
      </c>
      <c r="AO49" s="2" t="n">
        <v>0</v>
      </c>
      <c r="AP49" s="2" t="n"/>
      <c r="AQ49" s="2" t="n">
        <v>1</v>
      </c>
      <c r="AR49" s="2" t="n">
        <v>1</v>
      </c>
      <c r="AS49" s="2" t="n">
        <v>1</v>
      </c>
      <c r="AT49" s="2" t="n">
        <v>1</v>
      </c>
      <c r="AU49" s="2" t="n">
        <v>1</v>
      </c>
      <c r="AV49" s="2" t="n">
        <v>1</v>
      </c>
      <c r="AW49" s="2" t="n">
        <v>0</v>
      </c>
    </row>
    <row r="50">
      <c r="A50" s="2" t="inlineStr">
        <is>
          <t>ChIJ1wjBJD7k3JQRQi7trfp_0aQ</t>
        </is>
      </c>
      <c r="B50" s="2" t="inlineStr">
        <is>
          <t>Vila Celta Hobby Store - Jogos e Café</t>
        </is>
      </c>
      <c r="C50" s="2" t="inlineStr">
        <is>
          <t>Curitiba</t>
        </is>
      </c>
      <c r="D50" s="2" t="inlineStr">
        <is>
          <t>Sul</t>
        </is>
      </c>
      <c r="E50" s="4" t="n">
        <v>4.8</v>
      </c>
      <c r="F50" s="5" t="n">
        <v>751</v>
      </c>
      <c r="G50" s="6" t="n">
        <v>7</v>
      </c>
      <c r="H50" s="6" t="n">
        <v>73.5</v>
      </c>
      <c r="I50" s="6" t="n">
        <v>10</v>
      </c>
      <c r="J50" s="6" t="n">
        <v>24</v>
      </c>
      <c r="K50" s="4" t="n">
        <v>0</v>
      </c>
      <c r="L50" s="4" t="n">
        <v>0</v>
      </c>
      <c r="M50" s="5" t="n"/>
      <c r="N50" s="4" t="n">
        <v>0</v>
      </c>
      <c r="O50" s="4" t="n">
        <v>1</v>
      </c>
      <c r="P50" s="5" t="n">
        <v>590</v>
      </c>
      <c r="Q50" s="5" t="n">
        <v>11711</v>
      </c>
      <c r="R50" s="5" t="n">
        <v>566</v>
      </c>
      <c r="S50" s="6" t="n">
        <v>9.890000000000001</v>
      </c>
      <c r="T50" s="6" t="n">
        <v>2</v>
      </c>
      <c r="U50" s="5" t="n">
        <v>69</v>
      </c>
      <c r="V50" s="5" t="n">
        <v>7</v>
      </c>
      <c r="W50" s="6" t="n">
        <v>38</v>
      </c>
      <c r="X50" s="15" t="n">
        <v>0.00324</v>
      </c>
      <c r="Y50" s="5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5" t="n"/>
      <c r="AL50" s="5" t="n">
        <v>13</v>
      </c>
      <c r="AM50" s="5" t="n">
        <v>8</v>
      </c>
      <c r="AN50" s="2" t="n">
        <v>0</v>
      </c>
      <c r="AO50" s="2" t="n">
        <v>0</v>
      </c>
      <c r="AP50" s="2" t="n"/>
      <c r="AQ50" s="2" t="n">
        <v>1</v>
      </c>
      <c r="AR50" s="2" t="n">
        <v>1</v>
      </c>
      <c r="AS50" s="2" t="n">
        <v>1</v>
      </c>
      <c r="AT50" s="2" t="n">
        <v>1</v>
      </c>
      <c r="AU50" s="2" t="n">
        <v>1</v>
      </c>
      <c r="AV50" s="2" t="n">
        <v>1</v>
      </c>
      <c r="AW50" s="2" t="n">
        <v>1</v>
      </c>
    </row>
    <row r="51">
      <c r="A51" s="2" t="inlineStr">
        <is>
          <t>ChIJawIVeV0JM0oR5BtnD_poQeA</t>
        </is>
      </c>
      <c r="B51" s="2" t="inlineStr">
        <is>
          <t>CCG Floripa</t>
        </is>
      </c>
      <c r="C51" s="2" t="inlineStr">
        <is>
          <t>Florianópolis</t>
        </is>
      </c>
      <c r="D51" s="2" t="inlineStr">
        <is>
          <t>Sul</t>
        </is>
      </c>
      <c r="E51" s="4" t="n">
        <v>4.8</v>
      </c>
      <c r="F51" s="5" t="n">
        <v>194</v>
      </c>
      <c r="G51" s="6" t="n">
        <v>5</v>
      </c>
      <c r="H51" s="6" t="n">
        <v>42</v>
      </c>
      <c r="I51" s="6" t="n">
        <v>13</v>
      </c>
      <c r="J51" s="6" t="n">
        <v>23</v>
      </c>
      <c r="K51" s="4" t="n">
        <v>0</v>
      </c>
      <c r="L51" s="4" t="n">
        <v>0</v>
      </c>
      <c r="M51" s="5" t="n"/>
      <c r="N51" s="4" t="n">
        <v>0</v>
      </c>
      <c r="O51" s="4" t="n">
        <v>0</v>
      </c>
      <c r="P51" s="5" t="n">
        <v>294</v>
      </c>
      <c r="Q51" s="5" t="n">
        <v>11321</v>
      </c>
      <c r="R51" s="5" t="n">
        <v>446</v>
      </c>
      <c r="S51" s="6" t="n">
        <v>5.13</v>
      </c>
      <c r="T51" s="6" t="n">
        <v>2</v>
      </c>
      <c r="U51" s="5" t="n">
        <v>668</v>
      </c>
      <c r="V51" s="5" t="n">
        <v>21</v>
      </c>
      <c r="W51" s="6" t="n">
        <v>344.5</v>
      </c>
      <c r="X51" s="15" t="n">
        <v>0.03043</v>
      </c>
      <c r="Y51" s="5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5" t="n"/>
      <c r="AL51" s="5" t="n">
        <v>11</v>
      </c>
      <c r="AM51" s="5" t="n">
        <v>5</v>
      </c>
      <c r="AN51" s="2" t="n">
        <v>0</v>
      </c>
      <c r="AO51" s="2" t="n">
        <v>0</v>
      </c>
      <c r="AP51" s="2" t="n"/>
      <c r="AQ51" s="2" t="n">
        <v>0</v>
      </c>
      <c r="AR51" s="2" t="n">
        <v>1</v>
      </c>
      <c r="AS51" s="2" t="n">
        <v>1</v>
      </c>
      <c r="AT51" s="2" t="n">
        <v>1</v>
      </c>
      <c r="AU51" s="2" t="n">
        <v>1</v>
      </c>
      <c r="AV51" s="2" t="n">
        <v>1</v>
      </c>
      <c r="AW51" s="2" t="n">
        <v>0</v>
      </c>
    </row>
    <row r="52">
      <c r="A52" s="2" t="inlineStr">
        <is>
          <t>ChIJc3F7ka83J5URQZ1XTl-_iak</t>
        </is>
      </c>
      <c r="B52" s="2" t="inlineStr">
        <is>
          <t>Chef on Play</t>
        </is>
      </c>
      <c r="C52" s="2" t="inlineStr">
        <is>
          <t>Florianópolis</t>
        </is>
      </c>
      <c r="D52" s="2" t="inlineStr">
        <is>
          <t>Sul</t>
        </is>
      </c>
      <c r="E52" s="4" t="n">
        <v>4.6</v>
      </c>
      <c r="F52" s="5" t="n">
        <v>1204</v>
      </c>
      <c r="G52" s="6" t="n">
        <v>7</v>
      </c>
      <c r="H52" s="6" t="n">
        <v>35.5</v>
      </c>
      <c r="I52" s="6" t="n">
        <v>18.5</v>
      </c>
      <c r="J52" s="6" t="n">
        <v>24</v>
      </c>
      <c r="K52" s="4" t="n">
        <v>0</v>
      </c>
      <c r="L52" s="4" t="n">
        <v>0</v>
      </c>
      <c r="M52" s="5" t="n"/>
      <c r="N52" s="4" t="n">
        <v>0</v>
      </c>
      <c r="O52" s="4" t="n"/>
      <c r="P52" s="5" t="n">
        <v>834</v>
      </c>
      <c r="Q52" s="5" t="n">
        <v>10739</v>
      </c>
      <c r="R52" s="5" t="n">
        <v>517</v>
      </c>
      <c r="S52" s="6" t="n">
        <v>10.9</v>
      </c>
      <c r="T52" s="6" t="n">
        <v>0</v>
      </c>
      <c r="U52" s="5" t="n">
        <v>0</v>
      </c>
      <c r="V52" s="5" t="n">
        <v>0</v>
      </c>
      <c r="W52" s="6" t="n"/>
      <c r="X52" s="15" t="n"/>
      <c r="Y52" s="5" t="n">
        <v>100</v>
      </c>
      <c r="Z52" s="7" t="n"/>
      <c r="AA52" s="7" t="n">
        <v>6.8</v>
      </c>
      <c r="AB52" s="7" t="n">
        <v>25.9</v>
      </c>
      <c r="AC52" s="7" t="n">
        <v>28.4</v>
      </c>
      <c r="AD52" s="7" t="n">
        <v>32.7</v>
      </c>
      <c r="AE52" s="7" t="n">
        <v>37.6</v>
      </c>
      <c r="AF52" s="7" t="n">
        <v>25.9</v>
      </c>
      <c r="AG52" s="7" t="n"/>
      <c r="AH52" s="7" t="n"/>
      <c r="AI52" s="7" t="n">
        <v>6.5</v>
      </c>
      <c r="AJ52" s="7" t="n"/>
      <c r="AK52" s="5" t="n">
        <v>245</v>
      </c>
      <c r="AL52" s="5" t="n">
        <v>15</v>
      </c>
      <c r="AM52" s="5" t="n">
        <v>12</v>
      </c>
      <c r="AN52" s="2" t="n">
        <v>0</v>
      </c>
      <c r="AO52" s="2" t="n">
        <v>1</v>
      </c>
      <c r="AP52" s="2" t="n">
        <v>0</v>
      </c>
      <c r="AQ52" s="2" t="n">
        <v>1</v>
      </c>
      <c r="AR52" s="2" t="n">
        <v>1</v>
      </c>
      <c r="AS52" s="2" t="n">
        <v>1</v>
      </c>
      <c r="AT52" s="2" t="n">
        <v>1</v>
      </c>
      <c r="AU52" s="2" t="n">
        <v>1</v>
      </c>
      <c r="AV52" s="2" t="n">
        <v>1</v>
      </c>
      <c r="AW52" s="2" t="n">
        <v>1</v>
      </c>
    </row>
    <row r="53">
      <c r="A53" s="2" t="inlineStr">
        <is>
          <t>ChIJJz8-gcY3J5URYdZrEXdHaAk</t>
        </is>
      </c>
      <c r="B53" s="2" t="inlineStr">
        <is>
          <t>Cineplay- Restaurante e Jogos</t>
        </is>
      </c>
      <c r="C53" s="2" t="inlineStr">
        <is>
          <t>Florianópolis</t>
        </is>
      </c>
      <c r="D53" s="2" t="inlineStr">
        <is>
          <t>Sul</t>
        </is>
      </c>
      <c r="E53" s="4" t="n">
        <v>4.5</v>
      </c>
      <c r="F53" s="5" t="n">
        <v>1154</v>
      </c>
      <c r="G53" s="6" t="n">
        <v>7</v>
      </c>
      <c r="H53" s="6" t="n">
        <v>43</v>
      </c>
      <c r="I53" s="6" t="n">
        <v>11</v>
      </c>
      <c r="J53" s="6" t="n">
        <v>24</v>
      </c>
      <c r="K53" s="4" t="n">
        <v>0</v>
      </c>
      <c r="L53" s="4" t="n">
        <v>0</v>
      </c>
      <c r="M53" s="5" t="n"/>
      <c r="N53" s="4" t="n">
        <v>0</v>
      </c>
      <c r="O53" s="4" t="n">
        <v>0</v>
      </c>
      <c r="P53" s="5" t="n">
        <v>1681</v>
      </c>
      <c r="Q53" s="5" t="n">
        <v>87929</v>
      </c>
      <c r="R53" s="5" t="n">
        <v>1689</v>
      </c>
      <c r="S53" s="6" t="n">
        <v>8.359999999999999</v>
      </c>
      <c r="T53" s="6" t="n">
        <v>25</v>
      </c>
      <c r="U53" s="5" t="n">
        <v>4695</v>
      </c>
      <c r="V53" s="5" t="n">
        <v>362</v>
      </c>
      <c r="W53" s="6" t="n">
        <v>202.28</v>
      </c>
      <c r="X53" s="15" t="n">
        <v>0.0023</v>
      </c>
      <c r="Y53" s="5" t="n">
        <v>137</v>
      </c>
      <c r="Z53" s="7" t="n"/>
      <c r="AA53" s="7" t="n">
        <v>17.9</v>
      </c>
      <c r="AB53" s="7" t="n">
        <v>30.9</v>
      </c>
      <c r="AC53" s="7" t="n">
        <v>34.9</v>
      </c>
      <c r="AD53" s="7" t="n">
        <v>48.8</v>
      </c>
      <c r="AE53" s="7" t="n">
        <v>67.67</v>
      </c>
      <c r="AF53" s="7" t="n">
        <v>29.9</v>
      </c>
      <c r="AG53" s="7" t="n">
        <v>29.2</v>
      </c>
      <c r="AH53" s="7" t="n">
        <v>17</v>
      </c>
      <c r="AI53" s="7" t="n">
        <v>6.75</v>
      </c>
      <c r="AJ53" s="7" t="n">
        <v>20.9</v>
      </c>
      <c r="AK53" s="5" t="n"/>
      <c r="AL53" s="5" t="n">
        <v>48</v>
      </c>
      <c r="AM53" s="5" t="n">
        <v>23</v>
      </c>
      <c r="AN53" s="2" t="n">
        <v>0</v>
      </c>
      <c r="AO53" s="2" t="n">
        <v>1</v>
      </c>
      <c r="AP53" s="2" t="n">
        <v>0</v>
      </c>
      <c r="AQ53" s="2" t="n">
        <v>1</v>
      </c>
      <c r="AR53" s="2" t="n">
        <v>1</v>
      </c>
      <c r="AS53" s="2" t="n">
        <v>1</v>
      </c>
      <c r="AT53" s="2" t="n">
        <v>1</v>
      </c>
      <c r="AU53" s="2" t="n">
        <v>1</v>
      </c>
      <c r="AV53" s="2" t="n">
        <v>1</v>
      </c>
      <c r="AW53" s="2" t="n">
        <v>1</v>
      </c>
    </row>
    <row r="54">
      <c r="A54" s="2" t="inlineStr">
        <is>
          <t>ChIJHSDPTgF5GZURKmSqKITyoGM</t>
        </is>
      </c>
      <c r="B54" s="2" t="inlineStr">
        <is>
          <t>Arcadea Gaming Pub</t>
        </is>
      </c>
      <c r="C54" s="2" t="inlineStr">
        <is>
          <t>Porto Alegre</t>
        </is>
      </c>
      <c r="D54" s="2" t="inlineStr">
        <is>
          <t>Sul</t>
        </is>
      </c>
      <c r="E54" s="4" t="n">
        <v>4.2</v>
      </c>
      <c r="F54" s="5" t="n">
        <v>1087</v>
      </c>
      <c r="G54" s="6" t="n">
        <v>7</v>
      </c>
      <c r="H54" s="6" t="n">
        <v>42</v>
      </c>
      <c r="I54" s="6" t="n">
        <v>17</v>
      </c>
      <c r="J54" s="6" t="n">
        <v>24</v>
      </c>
      <c r="K54" s="4" t="n">
        <v>0</v>
      </c>
      <c r="L54" s="4" t="n">
        <v>0</v>
      </c>
      <c r="M54" s="5" t="n">
        <v>1300</v>
      </c>
      <c r="N54" s="4" t="n">
        <v>0</v>
      </c>
      <c r="O54" s="4" t="n"/>
      <c r="P54" s="5" t="n">
        <v>591</v>
      </c>
      <c r="Q54" s="5" t="n">
        <v>45836</v>
      </c>
      <c r="R54" s="5" t="n">
        <v>2009</v>
      </c>
      <c r="S54" s="6" t="n">
        <v>7.1</v>
      </c>
      <c r="T54" s="6" t="n">
        <v>29</v>
      </c>
      <c r="U54" s="5" t="n">
        <v>1106</v>
      </c>
      <c r="V54" s="5" t="n">
        <v>12</v>
      </c>
      <c r="W54" s="6" t="n">
        <v>38.55</v>
      </c>
      <c r="X54" s="15" t="n">
        <v>0.00084</v>
      </c>
      <c r="Y54" s="5" t="n">
        <v>95</v>
      </c>
      <c r="Z54" s="7" t="n"/>
      <c r="AA54" s="7" t="n">
        <v>25</v>
      </c>
      <c r="AB54" s="7" t="n">
        <v>40</v>
      </c>
      <c r="AC54" s="7" t="n">
        <v>52.75</v>
      </c>
      <c r="AD54" s="7" t="n">
        <v>65</v>
      </c>
      <c r="AE54" s="7" t="n">
        <v>84</v>
      </c>
      <c r="AF54" s="7" t="n">
        <v>45</v>
      </c>
      <c r="AG54" s="7" t="n">
        <v>28</v>
      </c>
      <c r="AH54" s="7" t="n">
        <v>19</v>
      </c>
      <c r="AI54" s="7" t="n">
        <v>8</v>
      </c>
      <c r="AJ54" s="7" t="n">
        <v>29</v>
      </c>
      <c r="AK54" s="5" t="n"/>
      <c r="AL54" s="5" t="n">
        <v>19</v>
      </c>
      <c r="AM54" s="5" t="n">
        <v>11</v>
      </c>
      <c r="AN54" s="2" t="n">
        <v>0</v>
      </c>
      <c r="AO54" s="2" t="n">
        <v>1</v>
      </c>
      <c r="AP54" s="2" t="n">
        <v>0</v>
      </c>
      <c r="AQ54" s="2" t="n">
        <v>1</v>
      </c>
      <c r="AR54" s="2" t="n">
        <v>1</v>
      </c>
      <c r="AS54" s="2" t="n">
        <v>1</v>
      </c>
      <c r="AT54" s="2" t="n">
        <v>1</v>
      </c>
      <c r="AU54" s="2" t="n">
        <v>1</v>
      </c>
      <c r="AV54" s="2" t="n">
        <v>1</v>
      </c>
      <c r="AW54" s="2" t="n">
        <v>1</v>
      </c>
    </row>
    <row r="55">
      <c r="A55" s="2" t="inlineStr">
        <is>
          <t>ChIJ41pgHNFDGZURC7yTegyn7nU</t>
        </is>
      </c>
      <c r="B55" s="2" t="inlineStr">
        <is>
          <t>Toca do Rato - Pizzaria e Jogos de Tabuleiro</t>
        </is>
      </c>
      <c r="C55" s="2" t="inlineStr">
        <is>
          <t>Porto Alegre</t>
        </is>
      </c>
      <c r="D55" s="2" t="inlineStr">
        <is>
          <t>Sul</t>
        </is>
      </c>
      <c r="E55" s="4" t="n">
        <v>4.8</v>
      </c>
      <c r="F55" s="5" t="n">
        <v>138</v>
      </c>
      <c r="G55" s="6" t="n">
        <v>6</v>
      </c>
      <c r="H55" s="6" t="n">
        <v>26.5</v>
      </c>
      <c r="I55" s="6" t="n">
        <v>18</v>
      </c>
      <c r="J55" s="6" t="n">
        <v>23</v>
      </c>
      <c r="K55" s="4" t="n">
        <v>0</v>
      </c>
      <c r="L55" s="4" t="n">
        <v>0</v>
      </c>
      <c r="M55" s="5" t="n">
        <v>15504</v>
      </c>
      <c r="N55" s="4" t="n">
        <v>0</v>
      </c>
      <c r="O55" s="4" t="n"/>
      <c r="P55" s="5" t="n">
        <v>583</v>
      </c>
      <c r="Q55" s="5" t="n"/>
      <c r="R55" s="5" t="n"/>
      <c r="S55" s="6" t="n">
        <v>3.25</v>
      </c>
      <c r="T55" s="6" t="n">
        <v>9</v>
      </c>
      <c r="U55" s="5" t="n">
        <v>309</v>
      </c>
      <c r="V55" s="5" t="n">
        <v>17</v>
      </c>
      <c r="W55" s="6" t="n">
        <v>36.22</v>
      </c>
      <c r="X55" s="15" t="n"/>
      <c r="Y55" s="5" t="n">
        <v>25</v>
      </c>
      <c r="Z55" s="7" t="n"/>
      <c r="AA55" s="7" t="n">
        <v>7.5</v>
      </c>
      <c r="AB55" s="7" t="n">
        <v>64.45</v>
      </c>
      <c r="AC55" s="7" t="n">
        <v>64.67</v>
      </c>
      <c r="AD55" s="7" t="n">
        <v>71.95</v>
      </c>
      <c r="AE55" s="7" t="n">
        <v>81.5</v>
      </c>
      <c r="AF55" s="7" t="n"/>
      <c r="AG55" s="7" t="n"/>
      <c r="AH55" s="7" t="n"/>
      <c r="AI55" s="7" t="n">
        <v>7.5</v>
      </c>
      <c r="AJ55" s="7" t="n"/>
      <c r="AK55" s="5" t="n">
        <v>287</v>
      </c>
      <c r="AL55" s="5" t="n"/>
      <c r="AM55" s="5" t="n"/>
      <c r="AN55" s="2" t="n">
        <v>0</v>
      </c>
      <c r="AO55" s="2" t="n">
        <v>1</v>
      </c>
      <c r="AP55" s="2" t="n">
        <v>0</v>
      </c>
      <c r="AQ55" s="2" t="n">
        <v>1</v>
      </c>
      <c r="AR55" s="2" t="n">
        <v>1</v>
      </c>
      <c r="AS55" s="2" t="n">
        <v>1</v>
      </c>
      <c r="AT55" s="2" t="n">
        <v>1</v>
      </c>
      <c r="AU55" s="2" t="n">
        <v>1</v>
      </c>
      <c r="AV55" s="2" t="n">
        <v>1</v>
      </c>
      <c r="AW55" s="2" t="n">
        <v>0</v>
      </c>
    </row>
  </sheetData>
  <autoFilter ref="A1:AW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2026-10-17T20:37:55Z</dcterms:created>
  <dcterms:modified xsi:type="dcterms:W3CDTF">2026-10-17T20:37:55Z</dcterms:modified>
</cp:coreProperties>
</file>