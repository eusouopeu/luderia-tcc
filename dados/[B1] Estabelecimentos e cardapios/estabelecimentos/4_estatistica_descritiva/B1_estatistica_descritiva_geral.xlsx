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ral" sheetId="1" state="visible" r:id="rId3"/>
    <sheet name="frequencias" sheetId="2" state="visible" r:id="rId4"/>
    <sheet name="dados" sheetId="3" state="visible" r:id="rId5"/>
    <sheet name="dicionario" sheetId="4" state="visible" r:id="rId6"/>
  </sheets>
  <definedNames>
    <definedName function="false" hidden="true" localSheetId="2" name="_xlnm._FilterDatabase" vbProcedure="false">dados!$A$1:$AW$55</definedName>
    <definedName function="false" hidden="true" localSheetId="3" name="_xlnm._FilterDatabase" vbProcedure="false">dicionario!$A$1:$D$48</definedName>
    <definedName function="false" hidden="true" localSheetId="1" name="_xlnm._FilterDatabase" vbProcedure="false">frequencias!$A$1:$D$35</definedName>
    <definedName function="false" hidden="true" localSheetId="0" name="_xlnm._FilterDatabase" vbProcedure="false">geral!$A$1:$O$36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<sst xmlns="http://schemas.openxmlformats.org/spreadsheetml/2006/main" count="684" uniqueCount="290">
  <si>
    <t xml:space="preserve">grupo</t>
  </si>
  <si>
    <t xml:space="preserve">variável</t>
  </si>
  <si>
    <t xml:space="preserve">descrição</t>
  </si>
  <si>
    <t xml:space="preserve">unidade</t>
  </si>
  <si>
    <t xml:space="preserve">n (casas com dado)</t>
  </si>
  <si>
    <t xml:space="preserve">sem dado</t>
  </si>
  <si>
    <t xml:space="preserve">média</t>
  </si>
  <si>
    <t xml:space="preserve">mediana</t>
  </si>
  <si>
    <t xml:space="preserve">desvio padrão</t>
  </si>
  <si>
    <t xml:space="preserve">mínimo</t>
  </si>
  <si>
    <t xml:space="preserve">1º quartil (P25)</t>
  </si>
  <si>
    <t xml:space="preserve">3º quartil (P75)</t>
  </si>
  <si>
    <t xml:space="preserve">máximo</t>
  </si>
  <si>
    <t xml:space="preserve">amplitude</t>
  </si>
  <si>
    <t xml:space="preserve">coef. de variação</t>
  </si>
  <si>
    <t xml:space="preserve">Google Maps</t>
  </si>
  <si>
    <t xml:space="preserve">avaliacao_media</t>
  </si>
  <si>
    <t xml:space="preserve">Nota média no Google</t>
  </si>
  <si>
    <t xml:space="preserve">1 a 5</t>
  </si>
  <si>
    <t xml:space="preserve">volume_avaliacoes</t>
  </si>
  <si>
    <t xml:space="preserve">Nº de avaliações no Google</t>
  </si>
  <si>
    <t xml:space="preserve">avaliações</t>
  </si>
  <si>
    <t xml:space="preserve">Horários</t>
  </si>
  <si>
    <t xml:space="preserve">dias_abertos</t>
  </si>
  <si>
    <t xml:space="preserve">Dias abertos por semana</t>
  </si>
  <si>
    <t xml:space="preserve">dias</t>
  </si>
  <si>
    <t xml:space="preserve">horas_semana</t>
  </si>
  <si>
    <t xml:space="preserve">Horas abertas por semana</t>
  </si>
  <si>
    <t xml:space="preserve">horas</t>
  </si>
  <si>
    <t xml:space="preserve">abre_cedo_h</t>
  </si>
  <si>
    <t xml:space="preserve">Abertura mais cedo da semana</t>
  </si>
  <si>
    <t xml:space="preserve">hora do dia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</si>
  <si>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</si>
  <si>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</si>
  <si>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</si>
  <si>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</si>
  <si>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</si>
  <si>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estações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</si>
  <si>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</si>
  <si>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</si>
  <si>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</si>
  <si>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</si>
  <si>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metros (linha reta)</t>
  </si>
  <si>
    <t xml:space="preserve">shopping_porte_500m</t>
  </si>
  <si>
    <t xml:space="preserve">Shoppings de porte até 500 m (onde o porte foi buscado)</t>
  </si>
  <si>
    <t xml:space="preserve">shoppings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</si>
  <si>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</si>
  <si>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</si>
  <si>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</si>
  <si>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</si>
  <si>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</si>
  <si>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</si>
  <si>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</si>
  <si>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</si>
  <si>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</si>
  <si>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posts</t>
  </si>
  <si>
    <t xml:space="preserve">idade_perfil_anos</t>
  </si>
  <si>
    <t xml:space="preserve">Idade do perfil (desde o primeiro post até 15/10/2026)</t>
  </si>
  <si>
    <t xml:space="preserve">anos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</si>
  <si>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</si>
  <si>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</si>
  <si>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</si>
  <si>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</si>
  <si>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curtidas</t>
  </si>
  <si>
    <t xml:space="preserve">comentarios_periodo</t>
  </si>
  <si>
    <t xml:space="preserve">Comentários no período</t>
  </si>
  <si>
    <t xml:space="preserve">comentários</t>
  </si>
  <si>
    <t xml:space="preserve">interacoes_por_post</t>
  </si>
  <si>
    <t xml:space="preserve">Interações por post no período (curtidas + comentários)</t>
  </si>
  <si>
    <t xml:space="preserve">interações</t>
  </si>
  <si>
    <t xml:space="preserve">engajamento_pct</t>
  </si>
  <si>
    <t xml:space="preserve">Taxa de engajamento (interações por post ÷ seguidores)</t>
  </si>
  <si>
    <t xml:space="preserve">%</t>
  </si>
  <si>
    <t xml:space="preserve">Cardápio</t>
  </si>
  <si>
    <t xml:space="preserve">itens_com_preco</t>
  </si>
  <si>
    <t xml:space="preserve">Itens com preço no cardápio</t>
  </si>
  <si>
    <t xml:space="preserve">itens</t>
  </si>
  <si>
    <t xml:space="preserve">couvert_mediana</t>
  </si>
  <si>
    <t xml:space="preserve">Couvert ou taxa de jogo (só casas que cobram)</t>
  </si>
  <si>
    <t xml:space="preserve">R$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</si>
  <si>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</si>
  <si>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</si>
  <si>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</si>
  <si>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</si>
  <si>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</si>
  <si>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</si>
  <si>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</si>
  <si>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</si>
  <si>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</si>
  <si>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</si>
  <si>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</si>
  <si>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</si>
  <si>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</si>
  <si>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</si>
  <si>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</si>
  <si>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</si>
  <si>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</si>
  <si>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</si>
  <si>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</si>
  <si>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</si>
  <si>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</si>
  <si>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</si>
  <si>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</si>
  <si>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jogos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</si>
  <si>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</si>
  <si>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</si>
  <si>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</si>
  <si>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</si>
  <si>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</si>
  <si>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tabela</t>
  </si>
  <si>
    <t xml:space="preserve">categoria</t>
  </si>
  <si>
    <t xml:space="preserve">casas</t>
  </si>
  <si>
    <t xml:space="preserve">% do total</t>
  </si>
  <si>
    <t xml:space="preserve">casas por região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</si>
  <si>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</si>
  <si>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</si>
  <si>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</si>
  <si>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</si>
  <si>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</si>
  <si>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</si>
  <si>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casas; deve ser 0)</t>
  </si>
  <si>
    <t xml:space="preserve">casas por 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</si>
  <si>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</si>
  <si>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</si>
  <si>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</si>
  <si>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</si>
  <si>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</si>
  <si>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</si>
  <si>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</si>
  <si>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</si>
  <si>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</si>
  <si>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</si>
  <si>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</si>
  <si>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</si>
  <si>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</si>
  <si>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proporções (não exclusivas: cada linha tem seu próprio total)</t>
  </si>
  <si>
    <t xml:space="preserve">característica</t>
  </si>
  <si>
    <t xml:space="preserve">casas com a característica</t>
  </si>
  <si>
    <t xml:space="preserve">% das casas com dado</t>
  </si>
  <si>
    <t xml:space="preserve">proporção</t>
  </si>
  <si>
    <t xml:space="preserve">Com estação de metrô até 1000 m</t>
  </si>
  <si>
    <t xml:space="preserve">Com cardápio transcrito</t>
  </si>
  <si>
    <t xml:space="preserve">Cobra couvert ou taxa de jogo (entre as com cardápio)</t>
  </si>
  <si>
    <t xml:space="preserve">Abre segunda</t>
  </si>
  <si>
    <t xml:space="preserve">Abre terça</t>
  </si>
  <si>
    <t xml:space="preserve">Abre quarta</t>
  </si>
  <si>
    <t xml:space="preserve">Abre quinta</t>
  </si>
  <si>
    <t xml:space="preserve">Abre sexta</t>
  </si>
  <si>
    <t xml:space="preserve">Abre sábado</t>
  </si>
  <si>
    <t xml:space="preserve">Abre domingo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</si>
  <si>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</si>
  <si>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</si>
  <si>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</si>
  <si>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</si>
  <si>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</si>
  <si>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</si>
  <si>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</si>
  <si>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</si>
  <si>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</si>
  <si>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</si>
  <si>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</si>
  <si>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</si>
  <si>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</si>
  <si>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</si>
  <si>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</si>
  <si>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</si>
  <si>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</si>
  <si>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</si>
  <si>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</si>
  <si>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</si>
  <si>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</si>
  <si>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</si>
  <si>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</si>
  <si>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</si>
  <si>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</si>
  <si>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</si>
  <si>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</si>
  <si>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</si>
  <si>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</si>
  <si>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</si>
  <si>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</si>
  <si>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</si>
  <si>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</si>
  <si>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</si>
  <si>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</si>
  <si>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</si>
  <si>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</si>
  <si>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</si>
  <si>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</si>
  <si>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</si>
  <si>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</si>
  <si>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</si>
  <si>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</si>
  <si>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</si>
  <si>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</si>
  <si>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</si>
  <si>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</si>
  <si>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</si>
  <si>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</si>
  <si>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</si>
  <si>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</si>
  <si>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</si>
  <si>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</si>
  <si>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</si>
  <si>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</si>
  <si>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</si>
  <si>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</si>
  <si>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</si>
  <si>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</si>
  <si>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</si>
  <si>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</si>
  <si>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</si>
  <si>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</si>
  <si>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</si>
  <si>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</si>
  <si>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</si>
  <si>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</si>
  <si>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</si>
  <si>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</si>
  <si>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</si>
  <si>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</si>
  <si>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</si>
  <si>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</si>
  <si>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</si>
  <si>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</si>
  <si>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</si>
  <si>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</si>
  <si>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</si>
  <si>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</si>
  <si>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</si>
  <si>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</si>
  <si>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</si>
  <si>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</si>
  <si>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</si>
  <si>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</si>
  <si>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</si>
  <si>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</si>
  <si>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</si>
  <si>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</si>
  <si>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</si>
  <si>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</si>
  <si>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</si>
  <si>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</si>
  <si>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</si>
  <si>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</si>
  <si>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</si>
  <si>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</si>
  <si>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</si>
  <si>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</si>
  <si>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</si>
  <si>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</si>
  <si>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</si>
  <si>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</si>
  <si>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</si>
  <si>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</si>
  <si>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</si>
  <si>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</si>
  <si>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</si>
  <si>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</si>
  <si>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</si>
  <si>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</si>
  <si>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</si>
  <si>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</si>
  <si>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</si>
  <si>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</si>
  <si>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</si>
  <si>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</si>
  <si>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</si>
  <si>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</si>
  <si>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</si>
  <si>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</si>
  <si>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</si>
  <si>
    <t xml:space="preserve">coluna</t>
  </si>
  <si>
    <t xml:space="preserve">Proporção</t>
  </si>
  <si>
    <t xml:space="preserve">Com estação de metrô até 1000 m (1 = sim, 0 = não)</t>
  </si>
  <si>
    <t xml:space="preserve">0 ou 1</t>
  </si>
  <si>
    <t xml:space="preserve">Com cardápio transcrito (1 = sim, 0 = não)</t>
  </si>
  <si>
    <t xml:space="preserve">Cobra couvert ou taxa de jogo (entre as com cardápio) (1 = sim, 0 = não)</t>
  </si>
  <si>
    <t xml:space="preserve">Abre segunda (1 = sim, 0 = não)</t>
  </si>
  <si>
    <t xml:space="preserve">Abre terça (1 = sim, 0 = não)</t>
  </si>
  <si>
    <t xml:space="preserve">Abre quarta (1 = sim, 0 = não)</t>
  </si>
  <si>
    <t xml:space="preserve">Abre quinta (1 = sim, 0 = não)</t>
  </si>
  <si>
    <t xml:space="preserve">Abre sexta (1 = sim, 0 = não)</t>
  </si>
  <si>
    <t xml:space="preserve">Abre sábado (1 = sim, 0 = não)</t>
  </si>
  <si>
    <t xml:space="preserve">Abre domingo (1 = sim, 0 = não)</t>
  </si>
  <si>
    <t xml:space="preserve">Identificação</t>
  </si>
  <si>
    <t xml:space="preserve">Região do Brasil da capital da metrópole (IBGE)</t>
  </si>
  <si>
    <t xml:space="preserve">—</t>
  </si>
  <si>
    <t xml:space="preserve">Regras</t>
  </si>
  <si>
    <t xml:space="preserve"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</si>
</sst>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"/>
    <numFmt numFmtId="167" formatCode="#,##0"/>
    <numFmt numFmtId="168" formatCode="#,##0.0"/>
    <numFmt numFmtId="169" formatCode="0.00%"/>
    <numFmt numFmtId="170" formatCode="&quot;R$ &quot;#,##0.00"/>
    <numFmt numFmtId="171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15" min="5" style="0" width="12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.8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4" t="n">
        <f aca="false">COUNT(dados!$E$2:$E$55)</f>
        <v>54</v>
      </c>
      <c r="F2" s="4" t="n">
        <f aca="false">ROWS(dados!$E$2:$E$55)-E2</f>
        <v>0</v>
      </c>
      <c r="G2" s="5" t="n">
        <f aca="false">IFERROR(AVERAGE(dados!$E$2:$E$55),"")</f>
        <v>4.73148148148148</v>
      </c>
      <c r="H2" s="5" t="n">
        <f aca="false">IFERROR(MEDIAN(dados!$E$2:$E$55),"")</f>
        <v>4.7</v>
      </c>
      <c r="I2" s="5" t="n">
        <f aca="false">IFERROR(STDEV(dados!$E$2:$E$55),"")</f>
        <v>0.146434445471021</v>
      </c>
      <c r="J2" s="5" t="n">
        <f aca="false">IFERROR(MIN(dados!$E$2:$E$55),"")</f>
        <v>4.2</v>
      </c>
      <c r="K2" s="5" t="n">
        <f aca="false">IFERROR(PERCENTILE(dados!$E$2:$E$55,0.25),"")</f>
        <v>4.7</v>
      </c>
      <c r="L2" s="5" t="n">
        <f aca="false">IFERROR(PERCENTILE(dados!$E$2:$E$55,0.75),"")</f>
        <v>4.8</v>
      </c>
      <c r="M2" s="5" t="n">
        <f aca="false">IFERROR(MAX(dados!$E$2:$E$55),"")</f>
        <v>5</v>
      </c>
      <c r="N2" s="5" t="n">
        <f aca="false">IFERROR(M2-J2,"")</f>
        <v>0.8</v>
      </c>
      <c r="O2" s="6" t="n">
        <f aca="false">IFERROR(I2/G2,"")</f>
        <v>0.0309489630349711</v>
      </c>
    </row>
    <row r="3" customFormat="false" ht="26.85" hidden="false" customHeight="false" outlineLevel="0" collapsed="false">
      <c r="A3" s="2" t="s">
        <v>15</v>
      </c>
      <c r="B3" s="3" t="s">
        <v>19</v>
      </c>
      <c r="C3" s="3" t="s">
        <v>20</v>
      </c>
      <c r="D3" s="3" t="s">
        <v>21</v>
      </c>
      <c r="E3" s="4" t="n">
        <f aca="false">COUNT(dados!$F$2:$F$55)</f>
        <v>54</v>
      </c>
      <c r="F3" s="4" t="n">
        <f aca="false">ROWS(dados!$F$2:$F$55)-E3</f>
        <v>0</v>
      </c>
      <c r="G3" s="7" t="n">
        <f aca="false">IFERROR(AVERAGE(dados!$F$2:$F$55),"")</f>
        <v>781.203703703704</v>
      </c>
      <c r="H3" s="7" t="n">
        <f aca="false">IFERROR(MEDIAN(dados!$F$2:$F$55),"")</f>
        <v>621</v>
      </c>
      <c r="I3" s="7" t="n">
        <f aca="false">IFERROR(STDEV(dados!$F$2:$F$55),"")</f>
        <v>863.498967663445</v>
      </c>
      <c r="J3" s="7" t="n">
        <f aca="false">IFERROR(MIN(dados!$F$2:$F$55),"")</f>
        <v>105</v>
      </c>
      <c r="K3" s="7" t="n">
        <f aca="false">IFERROR(PERCENTILE(dados!$F$2:$F$55,0.25),"")</f>
        <v>213.25</v>
      </c>
      <c r="L3" s="7" t="n">
        <f aca="false">IFERROR(PERCENTILE(dados!$F$2:$F$55,0.75),"")</f>
        <v>978</v>
      </c>
      <c r="M3" s="7" t="n">
        <f aca="false">IFERROR(MAX(dados!$F$2:$F$55),"")</f>
        <v>5137</v>
      </c>
      <c r="N3" s="7" t="n">
        <f aca="false">IFERROR(M3-J3,"")</f>
        <v>5032</v>
      </c>
      <c r="O3" s="6" t="n">
        <f aca="false">IFERROR(I3/G3,"")</f>
        <v>1.10534418048657</v>
      </c>
    </row>
    <row r="4" customFormat="false" ht="15" hidden="false" customHeight="false" outlineLevel="0" collapsed="false">
      <c r="A4" s="8" t="s">
        <v>22</v>
      </c>
      <c r="B4" s="3" t="s">
        <v>23</v>
      </c>
      <c r="C4" s="3" t="s">
        <v>24</v>
      </c>
      <c r="D4" s="3" t="s">
        <v>25</v>
      </c>
      <c r="E4" s="4" t="n">
        <f aca="false">COUNT(dados!$G$2:$G$55)</f>
        <v>54</v>
      </c>
      <c r="F4" s="4" t="n">
        <f aca="false">ROWS(dados!$G$2:$G$55)-E4</f>
        <v>0</v>
      </c>
      <c r="G4" s="9" t="n">
        <f aca="false">IFERROR(AVERAGE(dados!$G$2:$G$55),"")</f>
        <v>5.61111111111111</v>
      </c>
      <c r="H4" s="9" t="n">
        <f aca="false">IFERROR(MEDIAN(dados!$G$2:$G$55),"")</f>
        <v>6</v>
      </c>
      <c r="I4" s="9" t="n">
        <f aca="false">IFERROR(STDEV(dados!$G$2:$G$55),"")</f>
        <v>0.940025424519006</v>
      </c>
      <c r="J4" s="9" t="n">
        <f aca="false">IFERROR(MIN(dados!$G$2:$G$55),"")</f>
        <v>3</v>
      </c>
      <c r="K4" s="9" t="n">
        <f aca="false">IFERROR(PERCENTILE(dados!$G$2:$G$55,0.25),"")</f>
        <v>5</v>
      </c>
      <c r="L4" s="9" t="n">
        <f aca="false">IFERROR(PERCENTILE(dados!$G$2:$G$55,0.75),"")</f>
        <v>6</v>
      </c>
      <c r="M4" s="9" t="n">
        <f aca="false">IFERROR(MAX(dados!$G$2:$G$55),"")</f>
        <v>7</v>
      </c>
      <c r="N4" s="9" t="n">
        <f aca="false">IFERROR(M4-J4,"")</f>
        <v>4</v>
      </c>
      <c r="O4" s="6" t="n">
        <f aca="false">IFERROR(I4/G4,"")</f>
        <v>0.167529283577645</v>
      </c>
    </row>
    <row r="5" customFormat="false" ht="15" hidden="false" customHeight="false" outlineLevel="0" collapsed="false">
      <c r="A5" s="8" t="s">
        <v>22</v>
      </c>
      <c r="B5" s="3" t="s">
        <v>26</v>
      </c>
      <c r="C5" s="3" t="s">
        <v>27</v>
      </c>
      <c r="D5" s="3" t="s">
        <v>28</v>
      </c>
      <c r="E5" s="4" t="n">
        <f aca="false">COUNT(dados!$H$2:$H$55)</f>
        <v>54</v>
      </c>
      <c r="F5" s="4" t="n">
        <f aca="false">ROWS(dados!$H$2:$H$55)-E5</f>
        <v>0</v>
      </c>
      <c r="G5" s="9" t="n">
        <f aca="false">IFERROR(AVERAGE(dados!$H$2:$H$55),"")</f>
        <v>43.9166666666667</v>
      </c>
      <c r="H5" s="9" t="n">
        <f aca="false">IFERROR(MEDIAN(dados!$H$2:$H$55),"")</f>
        <v>42</v>
      </c>
      <c r="I5" s="9" t="n">
        <f aca="false">IFERROR(STDEV(dados!$H$2:$H$55),"")</f>
        <v>13.8051637864174</v>
      </c>
      <c r="J5" s="9" t="n">
        <f aca="false">IFERROR(MIN(dados!$H$2:$H$55),"")</f>
        <v>19.5</v>
      </c>
      <c r="K5" s="9" t="n">
        <f aca="false">IFERROR(PERCENTILE(dados!$H$2:$H$55,0.25),"")</f>
        <v>34.25</v>
      </c>
      <c r="L5" s="9" t="n">
        <f aca="false">IFERROR(PERCENTILE(dados!$H$2:$H$55,0.75),"")</f>
        <v>48.75</v>
      </c>
      <c r="M5" s="9" t="n">
        <f aca="false">IFERROR(MAX(dados!$H$2:$H$55),"")</f>
        <v>77</v>
      </c>
      <c r="N5" s="9" t="n">
        <f aca="false">IFERROR(M5-J5,"")</f>
        <v>57.5</v>
      </c>
      <c r="O5" s="6" t="n">
        <f aca="false">IFERROR(I5/G5,"")</f>
        <v>0.314349080525634</v>
      </c>
    </row>
    <row r="6" customFormat="false" ht="15" hidden="false" customHeight="false" outlineLevel="0" collapsed="false">
      <c r="A6" s="8" t="s">
        <v>22</v>
      </c>
      <c r="B6" s="3" t="s">
        <v>29</v>
      </c>
      <c r="C6" s="3" t="s">
        <v>30</v>
      </c>
      <c r="D6" s="3" t="s">
        <v>31</v>
      </c>
      <c r="E6" s="4" t="n">
        <f aca="false">COUNT(dados!$I$2:$I$55)</f>
        <v>54</v>
      </c>
      <c r="F6" s="4" t="n">
        <f aca="false">ROWS(dados!$I$2:$I$55)-E6</f>
        <v>0</v>
      </c>
      <c r="G6" s="9" t="n">
        <f aca="false">IFERROR(AVERAGE(dados!$I$2:$I$55),"")</f>
        <v>13.1944444444444</v>
      </c>
      <c r="H6" s="9" t="n">
        <f aca="false">IFERROR(MEDIAN(dados!$I$2:$I$55),"")</f>
        <v>13</v>
      </c>
      <c r="I6" s="9" t="n">
        <f aca="false">IFERROR(STDEV(dados!$I$2:$I$55),"")</f>
        <v>2.15094684430927</v>
      </c>
      <c r="J6" s="9" t="n">
        <f aca="false">IFERROR(MIN(dados!$I$2:$I$55),"")</f>
        <v>8</v>
      </c>
      <c r="K6" s="9" t="n">
        <f aca="false">IFERROR(PERCENTILE(dados!$I$2:$I$55,0.25),"")</f>
        <v>12</v>
      </c>
      <c r="L6" s="9" t="n">
        <f aca="false">IFERROR(PERCENTILE(dados!$I$2:$I$55,0.75),"")</f>
        <v>14</v>
      </c>
      <c r="M6" s="9" t="n">
        <f aca="false">IFERROR(MAX(dados!$I$2:$I$55),"")</f>
        <v>18.5</v>
      </c>
      <c r="N6" s="9" t="n">
        <f aca="false">IFERROR(M6-J6,"")</f>
        <v>10.5</v>
      </c>
      <c r="O6" s="6" t="n">
        <f aca="false">IFERROR(I6/G6,"")</f>
        <v>0.163019129252913</v>
      </c>
    </row>
    <row r="7" customFormat="false" ht="26.85" hidden="false" customHeight="false" outlineLevel="0" collapsed="false">
      <c r="A7" s="8" t="s">
        <v>22</v>
      </c>
      <c r="B7" s="3" t="s">
        <v>32</v>
      </c>
      <c r="C7" s="3" t="s">
        <v>33</v>
      </c>
      <c r="D7" s="3" t="s">
        <v>31</v>
      </c>
      <c r="E7" s="4" t="n">
        <f aca="false">COUNT(dados!$J$2:$J$55)</f>
        <v>54</v>
      </c>
      <c r="F7" s="4" t="n">
        <f aca="false">ROWS(dados!$J$2:$J$55)-E7</f>
        <v>0</v>
      </c>
      <c r="G7" s="9" t="n">
        <f aca="false">IFERROR(AVERAGE(dados!$J$2:$J$55),"")</f>
        <v>23.1296296296296</v>
      </c>
      <c r="H7" s="9" t="n">
        <f aca="false">IFERROR(MEDIAN(dados!$J$2:$J$55),"")</f>
        <v>23.25</v>
      </c>
      <c r="I7" s="9" t="n">
        <f aca="false">IFERROR(STDEV(dados!$J$2:$J$55),"")</f>
        <v>1.43469536962863</v>
      </c>
      <c r="J7" s="9" t="n">
        <f aca="false">IFERROR(MIN(dados!$J$2:$J$55),"")</f>
        <v>19</v>
      </c>
      <c r="K7" s="9" t="n">
        <f aca="false">IFERROR(PERCENTILE(dados!$J$2:$J$55,0.25),"")</f>
        <v>22</v>
      </c>
      <c r="L7" s="9" t="n">
        <f aca="false">IFERROR(PERCENTILE(dados!$J$2:$J$55,0.75),"")</f>
        <v>24</v>
      </c>
      <c r="M7" s="9" t="n">
        <f aca="false">IFERROR(MAX(dados!$J$2:$J$55),"")</f>
        <v>25</v>
      </c>
      <c r="N7" s="9" t="n">
        <f aca="false">IFERROR(M7-J7,"")</f>
        <v>6</v>
      </c>
      <c r="O7" s="6" t="n">
        <f aca="false">IFERROR(I7/G7,"")</f>
        <v>0.0620284627381472</v>
      </c>
    </row>
    <row r="8" customFormat="false" ht="15" hidden="false" customHeight="false" outlineLevel="0" collapsed="false">
      <c r="A8" s="10" t="s">
        <v>34</v>
      </c>
      <c r="B8" s="3" t="s">
        <v>35</v>
      </c>
      <c r="C8" s="3" t="s">
        <v>36</v>
      </c>
      <c r="D8" s="3" t="s">
        <v>37</v>
      </c>
      <c r="E8" s="4" t="n">
        <f aca="false">COUNT(dados!$K$2:$K$55)</f>
        <v>54</v>
      </c>
      <c r="F8" s="4" t="n">
        <f aca="false">ROWS(dados!$K$2:$K$55)-E8</f>
        <v>0</v>
      </c>
      <c r="G8" s="5" t="n">
        <f aca="false">IFERROR(AVERAGE(dados!$K$2:$K$55),"")</f>
        <v>0.259259259259259</v>
      </c>
      <c r="H8" s="5" t="n">
        <f aca="false">IFERROR(MEDIAN(dados!$K$2:$K$55),"")</f>
        <v>0</v>
      </c>
      <c r="I8" s="5" t="n">
        <f aca="false">IFERROR(STDEV(dados!$K$2:$K$55),"")</f>
        <v>0.555765159620948</v>
      </c>
      <c r="J8" s="5" t="n">
        <f aca="false">IFERROR(MIN(dados!$K$2:$K$55),"")</f>
        <v>0</v>
      </c>
      <c r="K8" s="5" t="n">
        <f aca="false">IFERROR(PERCENTILE(dados!$K$2:$K$55,0.25),"")</f>
        <v>0</v>
      </c>
      <c r="L8" s="5" t="n">
        <f aca="false">IFERROR(PERCENTILE(dados!$K$2:$K$55,0.75),"")</f>
        <v>0</v>
      </c>
      <c r="M8" s="5" t="n">
        <f aca="false">IFERROR(MAX(dados!$K$2:$K$55),"")</f>
        <v>2</v>
      </c>
      <c r="N8" s="5" t="n">
        <f aca="false">IFERROR(M8-J8,"")</f>
        <v>2</v>
      </c>
      <c r="O8" s="6" t="n">
        <f aca="false">IFERROR(I8/G8,"")</f>
        <v>2.1436656156808</v>
      </c>
    </row>
    <row r="9" customFormat="false" ht="15" hidden="false" customHeight="false" outlineLevel="0" collapsed="false">
      <c r="A9" s="10" t="s">
        <v>34</v>
      </c>
      <c r="B9" s="3" t="s">
        <v>38</v>
      </c>
      <c r="C9" s="3" t="s">
        <v>39</v>
      </c>
      <c r="D9" s="3" t="s">
        <v>37</v>
      </c>
      <c r="E9" s="4" t="n">
        <f aca="false">COUNT(dados!$L$2:$L$55)</f>
        <v>54</v>
      </c>
      <c r="F9" s="4" t="n">
        <f aca="false">ROWS(dados!$L$2:$L$55)-E9</f>
        <v>0</v>
      </c>
      <c r="G9" s="5" t="n">
        <f aca="false">IFERROR(AVERAGE(dados!$L$2:$L$55),"")</f>
        <v>0.740740740740741</v>
      </c>
      <c r="H9" s="5" t="n">
        <f aca="false">IFERROR(MEDIAN(dados!$L$2:$L$55),"")</f>
        <v>0</v>
      </c>
      <c r="I9" s="5" t="n">
        <f aca="false">IFERROR(STDEV(dados!$L$2:$L$55),"")</f>
        <v>0.974876580194007</v>
      </c>
      <c r="J9" s="5" t="n">
        <f aca="false">IFERROR(MIN(dados!$L$2:$L$55),"")</f>
        <v>0</v>
      </c>
      <c r="K9" s="5" t="n">
        <f aca="false">IFERROR(PERCENTILE(dados!$L$2:$L$55,0.25),"")</f>
        <v>0</v>
      </c>
      <c r="L9" s="5" t="n">
        <f aca="false">IFERROR(PERCENTILE(dados!$L$2:$L$55,0.75),"")</f>
        <v>1</v>
      </c>
      <c r="M9" s="5" t="n">
        <f aca="false">IFERROR(MAX(dados!$L$2:$L$55),"")</f>
        <v>3</v>
      </c>
      <c r="N9" s="5" t="n">
        <f aca="false">IFERROR(M9-J9,"")</f>
        <v>3</v>
      </c>
      <c r="O9" s="6" t="n">
        <f aca="false">IFERROR(I9/G9,"")</f>
        <v>1.31608338326191</v>
      </c>
    </row>
    <row r="10" customFormat="false" ht="26.85" hidden="false" customHeight="false" outlineLevel="0" collapsed="false">
      <c r="A10" s="10" t="s">
        <v>34</v>
      </c>
      <c r="B10" s="3" t="s">
        <v>40</v>
      </c>
      <c r="C10" s="3" t="s">
        <v>41</v>
      </c>
      <c r="D10" s="3" t="s">
        <v>42</v>
      </c>
      <c r="E10" s="4" t="n">
        <f aca="false">COUNT(dados!$M$2:$M$55)</f>
        <v>42</v>
      </c>
      <c r="F10" s="4" t="n">
        <f aca="false">ROWS(dados!$M$2:$M$55)-E10</f>
        <v>12</v>
      </c>
      <c r="G10" s="7" t="n">
        <f aca="false">IFERROR(AVERAGE(dados!$M$2:$M$55),"")</f>
        <v>2595.33333333333</v>
      </c>
      <c r="H10" s="7" t="n">
        <f aca="false">IFERROR(MEDIAN(dados!$M$2:$M$55),"")</f>
        <v>735</v>
      </c>
      <c r="I10" s="7" t="n">
        <f aca="false">IFERROR(STDEV(dados!$M$2:$M$55),"")</f>
        <v>3890.12992865131</v>
      </c>
      <c r="J10" s="7" t="n">
        <f aca="false">IFERROR(MIN(dados!$M$2:$M$55),"")</f>
        <v>95</v>
      </c>
      <c r="K10" s="7" t="n">
        <f aca="false">IFERROR(PERCENTILE(dados!$M$2:$M$55,0.25),"")</f>
        <v>487.5</v>
      </c>
      <c r="L10" s="7" t="n">
        <f aca="false">IFERROR(PERCENTILE(dados!$M$2:$M$55,0.75),"")</f>
        <v>3178.5</v>
      </c>
      <c r="M10" s="7" t="n">
        <f aca="false">IFERROR(MAX(dados!$M$2:$M$55),"")</f>
        <v>16823</v>
      </c>
      <c r="N10" s="7" t="n">
        <f aca="false">IFERROR(M10-J10,"")</f>
        <v>16728</v>
      </c>
      <c r="O10" s="6" t="n">
        <f aca="false">IFERROR(I10/G10,"")</f>
        <v>1.49889414153017</v>
      </c>
    </row>
    <row r="11" customFormat="false" ht="26.85" hidden="false" customHeight="false" outlineLevel="0" collapsed="false">
      <c r="A11" s="10" t="s">
        <v>34</v>
      </c>
      <c r="B11" s="3" t="s">
        <v>43</v>
      </c>
      <c r="C11" s="3" t="s">
        <v>44</v>
      </c>
      <c r="D11" s="3" t="s">
        <v>45</v>
      </c>
      <c r="E11" s="4" t="n">
        <f aca="false">COUNT(dados!$N$2:$N$55)</f>
        <v>39</v>
      </c>
      <c r="F11" s="4" t="n">
        <f aca="false">ROWS(dados!$N$2:$N$55)-E11</f>
        <v>15</v>
      </c>
      <c r="G11" s="5" t="n">
        <f aca="false">IFERROR(AVERAGE(dados!$N$2:$N$55),"")</f>
        <v>0.153846153846154</v>
      </c>
      <c r="H11" s="5" t="n">
        <f aca="false">IFERROR(MEDIAN(dados!$N$2:$N$55),"")</f>
        <v>0</v>
      </c>
      <c r="I11" s="5" t="n">
        <f aca="false">IFERROR(STDEV(dados!$N$2:$N$55),"")</f>
        <v>0.431549322573637</v>
      </c>
      <c r="J11" s="5" t="n">
        <f aca="false">IFERROR(MIN(dados!$N$2:$N$55),"")</f>
        <v>0</v>
      </c>
      <c r="K11" s="5" t="n">
        <f aca="false">IFERROR(PERCENTILE(dados!$N$2:$N$55,0.25),"")</f>
        <v>0</v>
      </c>
      <c r="L11" s="5" t="n">
        <f aca="false">IFERROR(PERCENTILE(dados!$N$2:$N$55,0.75),"")</f>
        <v>0</v>
      </c>
      <c r="M11" s="5" t="n">
        <f aca="false">IFERROR(MAX(dados!$N$2:$N$55),"")</f>
        <v>2</v>
      </c>
      <c r="N11" s="5" t="n">
        <f aca="false">IFERROR(M11-J11,"")</f>
        <v>2</v>
      </c>
      <c r="O11" s="6" t="n">
        <f aca="false">IFERROR(I11/G11,"")</f>
        <v>2.80507059672864</v>
      </c>
    </row>
    <row r="12" customFormat="false" ht="26.85" hidden="false" customHeight="false" outlineLevel="0" collapsed="false">
      <c r="A12" s="10" t="s">
        <v>34</v>
      </c>
      <c r="B12" s="3" t="s">
        <v>46</v>
      </c>
      <c r="C12" s="3" t="s">
        <v>47</v>
      </c>
      <c r="D12" s="3" t="s">
        <v>45</v>
      </c>
      <c r="E12" s="4" t="n">
        <f aca="false">COUNT(dados!$O$2:$O$55)</f>
        <v>29</v>
      </c>
      <c r="F12" s="4" t="n">
        <f aca="false">ROWS(dados!$O$2:$O$55)-E12</f>
        <v>25</v>
      </c>
      <c r="G12" s="5" t="n">
        <f aca="false">IFERROR(AVERAGE(dados!$O$2:$O$55),"")</f>
        <v>0.620689655172414</v>
      </c>
      <c r="H12" s="5" t="n">
        <f aca="false">IFERROR(MEDIAN(dados!$O$2:$O$55),"")</f>
        <v>0</v>
      </c>
      <c r="I12" s="5" t="n">
        <f aca="false">IFERROR(STDEV(dados!$O$2:$O$55),"")</f>
        <v>0.941647230861517</v>
      </c>
      <c r="J12" s="5" t="n">
        <f aca="false">IFERROR(MIN(dados!$O$2:$O$55),"")</f>
        <v>0</v>
      </c>
      <c r="K12" s="5" t="n">
        <f aca="false">IFERROR(PERCENTILE(dados!$O$2:$O$55,0.25),"")</f>
        <v>0</v>
      </c>
      <c r="L12" s="5" t="n">
        <f aca="false">IFERROR(PERCENTILE(dados!$O$2:$O$55,0.75),"")</f>
        <v>1</v>
      </c>
      <c r="M12" s="5" t="n">
        <f aca="false">IFERROR(MAX(dados!$O$2:$O$55),"")</f>
        <v>3</v>
      </c>
      <c r="N12" s="5" t="n">
        <f aca="false">IFERROR(M12-J12,"")</f>
        <v>3</v>
      </c>
      <c r="O12" s="6" t="n">
        <f aca="false">IFERROR(I12/G12,"")</f>
        <v>1.517098316388</v>
      </c>
    </row>
    <row r="13" customFormat="false" ht="26.85" hidden="false" customHeight="false" outlineLevel="0" collapsed="false">
      <c r="A13" s="10" t="s">
        <v>34</v>
      </c>
      <c r="B13" s="3" t="s">
        <v>48</v>
      </c>
      <c r="C13" s="3" t="s">
        <v>49</v>
      </c>
      <c r="D13" s="3" t="s">
        <v>42</v>
      </c>
      <c r="E13" s="4" t="n">
        <f aca="false">COUNT(dados!$P$2:$P$55)</f>
        <v>54</v>
      </c>
      <c r="F13" s="4" t="n">
        <f aca="false">ROWS(dados!$P$2:$P$55)-E13</f>
        <v>0</v>
      </c>
      <c r="G13" s="7" t="n">
        <f aca="false">IFERROR(AVERAGE(dados!$P$2:$P$55),"")</f>
        <v>634.111111111111</v>
      </c>
      <c r="H13" s="7" t="n">
        <f aca="false">IFERROR(MEDIAN(dados!$P$2:$P$55),"")</f>
        <v>495</v>
      </c>
      <c r="I13" s="7" t="n">
        <f aca="false">IFERROR(STDEV(dados!$P$2:$P$55),"")</f>
        <v>505.578341228634</v>
      </c>
      <c r="J13" s="7" t="n">
        <f aca="false">IFERROR(MIN(dados!$P$2:$P$55),"")</f>
        <v>5</v>
      </c>
      <c r="K13" s="7" t="n">
        <f aca="false">IFERROR(PERCENTILE(dados!$P$2:$P$55,0.25),"")</f>
        <v>233.75</v>
      </c>
      <c r="L13" s="7" t="n">
        <f aca="false">IFERROR(PERCENTILE(dados!$P$2:$P$55,0.75),"")</f>
        <v>889</v>
      </c>
      <c r="M13" s="7" t="n">
        <f aca="false">IFERROR(MAX(dados!$P$2:$P$55),"")</f>
        <v>1993</v>
      </c>
      <c r="N13" s="7" t="n">
        <f aca="false">IFERROR(M13-J13,"")</f>
        <v>1988</v>
      </c>
      <c r="O13" s="6" t="n">
        <f aca="false">IFERROR(I13/G13,"")</f>
        <v>0.79730244805637</v>
      </c>
    </row>
    <row r="14" customFormat="false" ht="15" hidden="false" customHeight="false" outlineLevel="0" collapsed="false">
      <c r="A14" s="11" t="s">
        <v>50</v>
      </c>
      <c r="B14" s="3" t="s">
        <v>51</v>
      </c>
      <c r="C14" s="3" t="s">
        <v>52</v>
      </c>
      <c r="D14" s="3" t="s">
        <v>51</v>
      </c>
      <c r="E14" s="4" t="n">
        <f aca="false">COUNT(dados!$Q$2:$Q$55)</f>
        <v>47</v>
      </c>
      <c r="F14" s="4" t="n">
        <f aca="false">ROWS(dados!$Q$2:$Q$55)-E14</f>
        <v>7</v>
      </c>
      <c r="G14" s="7" t="n">
        <f aca="false">IFERROR(AVERAGE(dados!$Q$2:$Q$55),"")</f>
        <v>27626.0638297872</v>
      </c>
      <c r="H14" s="7" t="n">
        <f aca="false">IFERROR(MEDIAN(dados!$Q$2:$Q$55),"")</f>
        <v>15000</v>
      </c>
      <c r="I14" s="7" t="n">
        <f aca="false">IFERROR(STDEV(dados!$Q$2:$Q$55),"")</f>
        <v>36075.0757511659</v>
      </c>
      <c r="J14" s="7" t="n">
        <f aca="false">IFERROR(MIN(dados!$Q$2:$Q$55),"")</f>
        <v>1432</v>
      </c>
      <c r="K14" s="7" t="n">
        <f aca="false">IFERROR(PERCENTILE(dados!$Q$2:$Q$55,0.25),"")</f>
        <v>9317</v>
      </c>
      <c r="L14" s="7" t="n">
        <f aca="false">IFERROR(PERCENTILE(dados!$Q$2:$Q$55,0.75),"")</f>
        <v>26614</v>
      </c>
      <c r="M14" s="7" t="n">
        <f aca="false">IFERROR(MAX(dados!$Q$2:$Q$55),"")</f>
        <v>206000</v>
      </c>
      <c r="N14" s="7" t="n">
        <f aca="false">IFERROR(M14-J14,"")</f>
        <v>204568</v>
      </c>
      <c r="O14" s="6" t="n">
        <f aca="false">IFERROR(I14/G14,"")</f>
        <v>1.30583480779005</v>
      </c>
    </row>
    <row r="15" customFormat="false" ht="15" hidden="false" customHeight="false" outlineLevel="0" collapsed="false">
      <c r="A15" s="11" t="s">
        <v>50</v>
      </c>
      <c r="B15" s="3" t="s">
        <v>53</v>
      </c>
      <c r="C15" s="3" t="s">
        <v>54</v>
      </c>
      <c r="D15" s="3" t="s">
        <v>55</v>
      </c>
      <c r="E15" s="4" t="n">
        <f aca="false">COUNT(dados!$R$2:$R$55)</f>
        <v>48</v>
      </c>
      <c r="F15" s="4" t="n">
        <f aca="false">ROWS(dados!$R$2:$R$55)-E15</f>
        <v>6</v>
      </c>
      <c r="G15" s="7" t="n">
        <f aca="false">IFERROR(AVERAGE(dados!$R$2:$R$55),"")</f>
        <v>1184</v>
      </c>
      <c r="H15" s="7" t="n">
        <f aca="false">IFERROR(MEDIAN(dados!$R$2:$R$55),"")</f>
        <v>773</v>
      </c>
      <c r="I15" s="7" t="n">
        <f aca="false">IFERROR(STDEV(dados!$R$2:$R$55),"")</f>
        <v>1051.80703674828</v>
      </c>
      <c r="J15" s="7" t="n">
        <f aca="false">IFERROR(MIN(dados!$R$2:$R$55),"")</f>
        <v>84</v>
      </c>
      <c r="K15" s="7" t="n">
        <f aca="false">IFERROR(PERCENTILE(dados!$R$2:$R$55,0.25),"")</f>
        <v>479.75</v>
      </c>
      <c r="L15" s="7" t="n">
        <f aca="false">IFERROR(PERCENTILE(dados!$R$2:$R$55,0.75),"")</f>
        <v>1738.5</v>
      </c>
      <c r="M15" s="7" t="n">
        <f aca="false">IFERROR(MAX(dados!$R$2:$R$55),"")</f>
        <v>5277</v>
      </c>
      <c r="N15" s="7" t="n">
        <f aca="false">IFERROR(M15-J15,"")</f>
        <v>5193</v>
      </c>
      <c r="O15" s="6" t="n">
        <f aca="false">IFERROR(I15/G15,"")</f>
        <v>0.888350537794153</v>
      </c>
    </row>
    <row r="16" customFormat="false" ht="26.85" hidden="false" customHeight="false" outlineLevel="0" collapsed="false">
      <c r="A16" s="11" t="s">
        <v>50</v>
      </c>
      <c r="B16" s="3" t="s">
        <v>56</v>
      </c>
      <c r="C16" s="3" t="s">
        <v>57</v>
      </c>
      <c r="D16" s="3" t="s">
        <v>58</v>
      </c>
      <c r="E16" s="4" t="n">
        <f aca="false">COUNT(dados!$S$2:$S$55)</f>
        <v>51</v>
      </c>
      <c r="F16" s="4" t="n">
        <f aca="false">ROWS(dados!$S$2:$S$55)-E16</f>
        <v>3</v>
      </c>
      <c r="G16" s="9" t="n">
        <f aca="false">IFERROR(AVERAGE(dados!$S$2:$S$55),"")</f>
        <v>7.14509803921569</v>
      </c>
      <c r="H16" s="9" t="n">
        <f aca="false">IFERROR(MEDIAN(dados!$S$2:$S$55),"")</f>
        <v>7.53</v>
      </c>
      <c r="I16" s="9" t="n">
        <f aca="false">IFERROR(STDEV(dados!$S$2:$S$55),"")</f>
        <v>3.35845879685848</v>
      </c>
      <c r="J16" s="9" t="n">
        <f aca="false">IFERROR(MIN(dados!$S$2:$S$55),"")</f>
        <v>1.26</v>
      </c>
      <c r="K16" s="9" t="n">
        <f aca="false">IFERROR(PERCENTILE(dados!$S$2:$S$55,0.25),"")</f>
        <v>4.455</v>
      </c>
      <c r="L16" s="9" t="n">
        <f aca="false">IFERROR(PERCENTILE(dados!$S$2:$S$55,0.75),"")</f>
        <v>9.865</v>
      </c>
      <c r="M16" s="9" t="n">
        <f aca="false">IFERROR(MAX(dados!$S$2:$S$55),"")</f>
        <v>13.68</v>
      </c>
      <c r="N16" s="9" t="n">
        <f aca="false">IFERROR(M16-J16,"")</f>
        <v>12.42</v>
      </c>
      <c r="O16" s="6" t="n">
        <f aca="false">IFERROR(I16/G16,"")</f>
        <v>0.470036769044408</v>
      </c>
    </row>
    <row r="17" customFormat="false" ht="15" hidden="false" customHeight="false" outlineLevel="0" collapsed="false">
      <c r="A17" s="11" t="s">
        <v>50</v>
      </c>
      <c r="B17" s="3" t="s">
        <v>59</v>
      </c>
      <c r="C17" s="3" t="s">
        <v>60</v>
      </c>
      <c r="D17" s="3" t="s">
        <v>55</v>
      </c>
      <c r="E17" s="4" t="n">
        <f aca="false">COUNT(dados!$T$2:$T$55)</f>
        <v>52</v>
      </c>
      <c r="F17" s="4" t="n">
        <f aca="false">ROWS(dados!$T$2:$T$55)-E17</f>
        <v>2</v>
      </c>
      <c r="G17" s="9" t="n">
        <f aca="false">IFERROR(AVERAGE(dados!$T$2:$T$55),"")</f>
        <v>14.0769230769231</v>
      </c>
      <c r="H17" s="9" t="n">
        <f aca="false">IFERROR(MEDIAN(dados!$T$2:$T$55),"")</f>
        <v>12.5</v>
      </c>
      <c r="I17" s="9" t="n">
        <f aca="false">IFERROR(STDEV(dados!$T$2:$T$55),"")</f>
        <v>10.7079705586149</v>
      </c>
      <c r="J17" s="9" t="n">
        <f aca="false">IFERROR(MIN(dados!$T$2:$T$55),"")</f>
        <v>0</v>
      </c>
      <c r="K17" s="9" t="n">
        <f aca="false">IFERROR(PERCENTILE(dados!$T$2:$T$55,0.25),"")</f>
        <v>4</v>
      </c>
      <c r="L17" s="9" t="n">
        <f aca="false">IFERROR(PERCENTILE(dados!$T$2:$T$55,0.75),"")</f>
        <v>22.25</v>
      </c>
      <c r="M17" s="9" t="n">
        <f aca="false">IFERROR(MAX(dados!$T$2:$T$55),"")</f>
        <v>39</v>
      </c>
      <c r="N17" s="9" t="n">
        <f aca="false">IFERROR(M17-J17,"")</f>
        <v>39</v>
      </c>
      <c r="O17" s="6" t="n">
        <f aca="false">IFERROR(I17/G17,"")</f>
        <v>0.760675504163898</v>
      </c>
    </row>
    <row r="18" customFormat="false" ht="15" hidden="false" customHeight="false" outlineLevel="0" collapsed="false">
      <c r="A18" s="11" t="s">
        <v>50</v>
      </c>
      <c r="B18" s="3" t="s">
        <v>61</v>
      </c>
      <c r="C18" s="3" t="s">
        <v>62</v>
      </c>
      <c r="D18" s="3" t="s">
        <v>63</v>
      </c>
      <c r="E18" s="4" t="n">
        <f aca="false">COUNT(dados!$U$2:$U$55)</f>
        <v>52</v>
      </c>
      <c r="F18" s="4" t="n">
        <f aca="false">ROWS(dados!$U$2:$U$55)-E18</f>
        <v>2</v>
      </c>
      <c r="G18" s="7" t="n">
        <f aca="false">IFERROR(AVERAGE(dados!$U$2:$U$55),"")</f>
        <v>3045.88461538462</v>
      </c>
      <c r="H18" s="7" t="n">
        <f aca="false">IFERROR(MEDIAN(dados!$U$2:$U$55),"")</f>
        <v>678</v>
      </c>
      <c r="I18" s="7" t="n">
        <f aca="false">IFERROR(STDEV(dados!$U$2:$U$55),"")</f>
        <v>12511.5308770904</v>
      </c>
      <c r="J18" s="7" t="n">
        <f aca="false">IFERROR(MIN(dados!$U$2:$U$55),"")</f>
        <v>0</v>
      </c>
      <c r="K18" s="7" t="n">
        <f aca="false">IFERROR(PERCENTILE(dados!$U$2:$U$55,0.25),"")</f>
        <v>143</v>
      </c>
      <c r="L18" s="7" t="n">
        <f aca="false">IFERROR(PERCENTILE(dados!$U$2:$U$55,0.75),"")</f>
        <v>1518</v>
      </c>
      <c r="M18" s="7" t="n">
        <f aca="false">IFERROR(MAX(dados!$U$2:$U$55),"")</f>
        <v>90413</v>
      </c>
      <c r="N18" s="7" t="n">
        <f aca="false">IFERROR(M18-J18,"")</f>
        <v>90413</v>
      </c>
      <c r="O18" s="6" t="n">
        <f aca="false">IFERROR(I18/G18,"")</f>
        <v>4.10768379533987</v>
      </c>
    </row>
    <row r="19" customFormat="false" ht="15" hidden="false" customHeight="false" outlineLevel="0" collapsed="false">
      <c r="A19" s="11" t="s">
        <v>50</v>
      </c>
      <c r="B19" s="3" t="s">
        <v>64</v>
      </c>
      <c r="C19" s="3" t="s">
        <v>65</v>
      </c>
      <c r="D19" s="3" t="s">
        <v>66</v>
      </c>
      <c r="E19" s="4" t="n">
        <f aca="false">COUNT(dados!$V$2:$V$55)</f>
        <v>52</v>
      </c>
      <c r="F19" s="4" t="n">
        <f aca="false">ROWS(dados!$V$2:$V$55)-E19</f>
        <v>2</v>
      </c>
      <c r="G19" s="7" t="n">
        <f aca="false">IFERROR(AVERAGE(dados!$V$2:$V$55),"")</f>
        <v>79.1730769230769</v>
      </c>
      <c r="H19" s="7" t="n">
        <f aca="false">IFERROR(MEDIAN(dados!$V$2:$V$55),"")</f>
        <v>23</v>
      </c>
      <c r="I19" s="7" t="n">
        <f aca="false">IFERROR(STDEV(dados!$V$2:$V$55),"")</f>
        <v>147.516396051667</v>
      </c>
      <c r="J19" s="7" t="n">
        <f aca="false">IFERROR(MIN(dados!$V$2:$V$55),"")</f>
        <v>0</v>
      </c>
      <c r="K19" s="7" t="n">
        <f aca="false">IFERROR(PERCENTILE(dados!$V$2:$V$55,0.25),"")</f>
        <v>7.75</v>
      </c>
      <c r="L19" s="7" t="n">
        <f aca="false">IFERROR(PERCENTILE(dados!$V$2:$V$55,0.75),"")</f>
        <v>94.75</v>
      </c>
      <c r="M19" s="7" t="n">
        <f aca="false">IFERROR(MAX(dados!$V$2:$V$55),"")</f>
        <v>949</v>
      </c>
      <c r="N19" s="7" t="n">
        <f aca="false">IFERROR(M19-J19,"")</f>
        <v>949</v>
      </c>
      <c r="O19" s="6" t="n">
        <f aca="false">IFERROR(I19/G19,"")</f>
        <v>1.86321413521659</v>
      </c>
    </row>
    <row r="20" customFormat="false" ht="26.85" hidden="false" customHeight="false" outlineLevel="0" collapsed="false">
      <c r="A20" s="11" t="s">
        <v>50</v>
      </c>
      <c r="B20" s="3" t="s">
        <v>67</v>
      </c>
      <c r="C20" s="3" t="s">
        <v>68</v>
      </c>
      <c r="D20" s="3" t="s">
        <v>69</v>
      </c>
      <c r="E20" s="4" t="n">
        <f aca="false">COUNT(dados!$W$2:$W$55)</f>
        <v>51</v>
      </c>
      <c r="F20" s="4" t="n">
        <f aca="false">ROWS(dados!$W$2:$W$55)-E20</f>
        <v>3</v>
      </c>
      <c r="G20" s="9" t="n">
        <f aca="false">IFERROR(AVERAGE(dados!$W$2:$W$55),"")</f>
        <v>235.248235294118</v>
      </c>
      <c r="H20" s="9" t="n">
        <f aca="false">IFERROR(MEDIAN(dados!$W$2:$W$55),"")</f>
        <v>52.44</v>
      </c>
      <c r="I20" s="9" t="n">
        <f aca="false">IFERROR(STDEV(dados!$W$2:$W$55),"")</f>
        <v>976.521465932431</v>
      </c>
      <c r="J20" s="9" t="n">
        <f aca="false">IFERROR(MIN(dados!$W$2:$W$55),"")</f>
        <v>1</v>
      </c>
      <c r="K20" s="9" t="n">
        <f aca="false">IFERROR(PERCENTILE(dados!$W$2:$W$55,0.25),"")</f>
        <v>25.62</v>
      </c>
      <c r="L20" s="9" t="n">
        <f aca="false">IFERROR(PERCENTILE(dados!$W$2:$W$55,0.75),"")</f>
        <v>131.29</v>
      </c>
      <c r="M20" s="9" t="n">
        <f aca="false">IFERROR(MAX(dados!$W$2:$W$55),"")</f>
        <v>7027.85</v>
      </c>
      <c r="N20" s="9" t="n">
        <f aca="false">IFERROR(M20-J20,"")</f>
        <v>7026.85</v>
      </c>
      <c r="O20" s="6" t="n">
        <f aca="false">IFERROR(I20/G20,"")</f>
        <v>4.15102568022047</v>
      </c>
    </row>
    <row r="21" customFormat="false" ht="26.85" hidden="false" customHeight="false" outlineLevel="0" collapsed="false">
      <c r="A21" s="11" t="s">
        <v>50</v>
      </c>
      <c r="B21" s="3" t="s">
        <v>70</v>
      </c>
      <c r="C21" s="3" t="s">
        <v>71</v>
      </c>
      <c r="D21" s="3" t="s">
        <v>72</v>
      </c>
      <c r="E21" s="4" t="n">
        <f aca="false">COUNT(dados!$X$2:$X$55)</f>
        <v>46</v>
      </c>
      <c r="F21" s="4" t="n">
        <f aca="false">ROWS(dados!$X$2:$X$55)-E21</f>
        <v>8</v>
      </c>
      <c r="G21" s="12" t="n">
        <f aca="false">IFERROR(AVERAGE(dados!$X$2:$X$55),"")</f>
        <v>0.00593217391304348</v>
      </c>
      <c r="H21" s="12" t="n">
        <f aca="false">IFERROR(MEDIAN(dados!$X$2:$X$55),"")</f>
        <v>0.003535</v>
      </c>
      <c r="I21" s="12" t="n">
        <f aca="false">IFERROR(STDEV(dados!$X$2:$X$55),"")</f>
        <v>0.00696766050743432</v>
      </c>
      <c r="J21" s="12" t="n">
        <f aca="false">IFERROR(MIN(dados!$X$2:$X$55),"")</f>
        <v>0.00048</v>
      </c>
      <c r="K21" s="12" t="n">
        <f aca="false">IFERROR(PERCENTILE(dados!$X$2:$X$55,0.25),"")</f>
        <v>0.00181</v>
      </c>
      <c r="L21" s="12" t="n">
        <f aca="false">IFERROR(PERCENTILE(dados!$X$2:$X$55,0.75),"")</f>
        <v>0.00738</v>
      </c>
      <c r="M21" s="12" t="n">
        <f aca="false">IFERROR(MAX(dados!$X$2:$X$55),"")</f>
        <v>0.03412</v>
      </c>
      <c r="N21" s="12" t="n">
        <f aca="false">IFERROR(M21-J21,"")</f>
        <v>0.03364</v>
      </c>
      <c r="O21" s="6" t="n">
        <f aca="false">IFERROR(I21/G21,"")</f>
        <v>1.1745543218337</v>
      </c>
    </row>
    <row r="22" customFormat="false" ht="15" hidden="false" customHeight="false" outlineLevel="0" collapsed="false">
      <c r="A22" s="13" t="s">
        <v>73</v>
      </c>
      <c r="B22" s="3" t="s">
        <v>74</v>
      </c>
      <c r="C22" s="3" t="s">
        <v>75</v>
      </c>
      <c r="D22" s="3" t="s">
        <v>76</v>
      </c>
      <c r="E22" s="4" t="n">
        <f aca="false">COUNT(dados!$Y$2:$Y$55)</f>
        <v>26</v>
      </c>
      <c r="F22" s="4" t="n">
        <f aca="false">ROWS(dados!$Y$2:$Y$55)-E22</f>
        <v>28</v>
      </c>
      <c r="G22" s="7" t="n">
        <f aca="false">IFERROR(AVERAGE(dados!$Y$2:$Y$55),"")</f>
        <v>70.1923076923077</v>
      </c>
      <c r="H22" s="7" t="n">
        <f aca="false">IFERROR(MEDIAN(dados!$Y$2:$Y$55),"")</f>
        <v>63.5</v>
      </c>
      <c r="I22" s="7" t="n">
        <f aca="false">IFERROR(STDEV(dados!$Y$2:$Y$55),"")</f>
        <v>38.761856746827</v>
      </c>
      <c r="J22" s="7" t="n">
        <f aca="false">IFERROR(MIN(dados!$Y$2:$Y$55),"")</f>
        <v>16</v>
      </c>
      <c r="K22" s="7" t="n">
        <f aca="false">IFERROR(PERCENTILE(dados!$Y$2:$Y$55,0.25),"")</f>
        <v>39.5</v>
      </c>
      <c r="L22" s="7" t="n">
        <f aca="false">IFERROR(PERCENTILE(dados!$Y$2:$Y$55,0.75),"")</f>
        <v>93.75</v>
      </c>
      <c r="M22" s="7" t="n">
        <f aca="false">IFERROR(MAX(dados!$Y$2:$Y$55),"")</f>
        <v>161</v>
      </c>
      <c r="N22" s="7" t="n">
        <f aca="false">IFERROR(M22-J22,"")</f>
        <v>145</v>
      </c>
      <c r="O22" s="6" t="n">
        <f aca="false">IFERROR(I22/G22,"")</f>
        <v>0.552223712557535</v>
      </c>
    </row>
    <row r="23" customFormat="false" ht="15" hidden="false" customHeight="false" outlineLevel="0" collapsed="false">
      <c r="A23" s="13" t="s">
        <v>73</v>
      </c>
      <c r="B23" s="3" t="s">
        <v>77</v>
      </c>
      <c r="C23" s="3" t="s">
        <v>78</v>
      </c>
      <c r="D23" s="3" t="s">
        <v>79</v>
      </c>
      <c r="E23" s="4" t="n">
        <f aca="false">COUNT(dados!$Z$2:$Z$55)</f>
        <v>7</v>
      </c>
      <c r="F23" s="4" t="n">
        <f aca="false">ROWS(dados!$Z$2:$Z$55)-E23</f>
        <v>47</v>
      </c>
      <c r="G23" s="14" t="n">
        <f aca="false">IFERROR(AVERAGE(dados!$Z$2:$Z$55),"")</f>
        <v>17.9285714285714</v>
      </c>
      <c r="H23" s="14" t="n">
        <f aca="false">IFERROR(MEDIAN(dados!$Z$2:$Z$55),"")</f>
        <v>20</v>
      </c>
      <c r="I23" s="14" t="n">
        <f aca="false">IFERROR(STDEV(dados!$Z$2:$Z$55),"")</f>
        <v>9.6843024676904</v>
      </c>
      <c r="J23" s="14" t="n">
        <f aca="false">IFERROR(MIN(dados!$Z$2:$Z$55),"")</f>
        <v>0</v>
      </c>
      <c r="K23" s="14" t="n">
        <f aca="false">IFERROR(PERCENTILE(dados!$Z$2:$Z$55,0.25),"")</f>
        <v>15</v>
      </c>
      <c r="L23" s="14" t="n">
        <f aca="false">IFERROR(PERCENTILE(dados!$Z$2:$Z$55,0.75),"")</f>
        <v>22.75</v>
      </c>
      <c r="M23" s="14" t="n">
        <f aca="false">IFERROR(MAX(dados!$Z$2:$Z$55),"")</f>
        <v>30</v>
      </c>
      <c r="N23" s="14" t="n">
        <f aca="false">IFERROR(M23-J23,"")</f>
        <v>30</v>
      </c>
      <c r="O23" s="6" t="n">
        <f aca="false">IFERROR(I23/G23,"")</f>
        <v>0.540160297002652</v>
      </c>
    </row>
    <row r="24" customFormat="false" ht="15" hidden="false" customHeight="false" outlineLevel="0" collapsed="false">
      <c r="A24" s="13" t="s">
        <v>73</v>
      </c>
      <c r="B24" s="3" t="s">
        <v>80</v>
      </c>
      <c r="C24" s="3" t="s">
        <v>81</v>
      </c>
      <c r="D24" s="3" t="s">
        <v>79</v>
      </c>
      <c r="E24" s="4" t="n">
        <f aca="false">COUNT(dados!$AA$2:$AA$55)</f>
        <v>26</v>
      </c>
      <c r="F24" s="4" t="n">
        <f aca="false">ROWS(dados!$AA$2:$AA$55)-E24</f>
        <v>28</v>
      </c>
      <c r="G24" s="14" t="n">
        <f aca="false">IFERROR(AVERAGE(dados!$AA$2:$AA$55),"")</f>
        <v>16.4038461538462</v>
      </c>
      <c r="H24" s="14" t="n">
        <f aca="false">IFERROR(MEDIAN(dados!$AA$2:$AA$55),"")</f>
        <v>15</v>
      </c>
      <c r="I24" s="14" t="n">
        <f aca="false">IFERROR(STDEV(dados!$AA$2:$AA$55),"")</f>
        <v>8.66170795024772</v>
      </c>
      <c r="J24" s="14" t="n">
        <f aca="false">IFERROR(MIN(dados!$AA$2:$AA$55),"")</f>
        <v>6</v>
      </c>
      <c r="K24" s="14" t="n">
        <f aca="false">IFERROR(PERCENTILE(dados!$AA$2:$AA$55,0.25),"")</f>
        <v>9.375</v>
      </c>
      <c r="L24" s="14" t="n">
        <f aca="false">IFERROR(PERCENTILE(dados!$AA$2:$AA$55,0.75),"")</f>
        <v>20</v>
      </c>
      <c r="M24" s="14" t="n">
        <f aca="false">IFERROR(MAX(dados!$AA$2:$AA$55),"")</f>
        <v>36</v>
      </c>
      <c r="N24" s="14" t="n">
        <f aca="false">IFERROR(M24-J24,"")</f>
        <v>30</v>
      </c>
      <c r="O24" s="6" t="n">
        <f aca="false">IFERROR(I24/G24,"")</f>
        <v>0.528029089581338</v>
      </c>
    </row>
    <row r="25" customFormat="false" ht="26.85" hidden="false" customHeight="false" outlineLevel="0" collapsed="false">
      <c r="A25" s="13" t="s">
        <v>73</v>
      </c>
      <c r="B25" s="3" t="s">
        <v>82</v>
      </c>
      <c r="C25" s="3" t="s">
        <v>83</v>
      </c>
      <c r="D25" s="3" t="s">
        <v>79</v>
      </c>
      <c r="E25" s="4" t="n">
        <f aca="false">COUNT(dados!$AB$2:$AB$55)</f>
        <v>26</v>
      </c>
      <c r="F25" s="4" t="n">
        <f aca="false">ROWS(dados!$AB$2:$AB$55)-E25</f>
        <v>28</v>
      </c>
      <c r="G25" s="14" t="n">
        <f aca="false">IFERROR(AVERAGE(dados!$AB$2:$AB$55),"")</f>
        <v>34.7519230769231</v>
      </c>
      <c r="H25" s="14" t="n">
        <f aca="false">IFERROR(MEDIAN(dados!$AB$2:$AB$55),"")</f>
        <v>34.5</v>
      </c>
      <c r="I25" s="14" t="n">
        <f aca="false">IFERROR(STDEV(dados!$AB$2:$AB$55),"")</f>
        <v>13.7432054541088</v>
      </c>
      <c r="J25" s="14" t="n">
        <f aca="false">IFERROR(MIN(dados!$AB$2:$AB$55),"")</f>
        <v>6</v>
      </c>
      <c r="K25" s="14" t="n">
        <f aca="false">IFERROR(PERCENTILE(dados!$AB$2:$AB$55,0.25),"")</f>
        <v>30</v>
      </c>
      <c r="L25" s="14" t="n">
        <f aca="false">IFERROR(PERCENTILE(dados!$AB$2:$AB$55,0.75),"")</f>
        <v>43.3</v>
      </c>
      <c r="M25" s="14" t="n">
        <f aca="false">IFERROR(MAX(dados!$AB$2:$AB$55),"")</f>
        <v>64.45</v>
      </c>
      <c r="N25" s="14" t="n">
        <f aca="false">IFERROR(M25-J25,"")</f>
        <v>58.45</v>
      </c>
      <c r="O25" s="6" t="n">
        <f aca="false">IFERROR(I25/G25,"")</f>
        <v>0.395466041510519</v>
      </c>
    </row>
    <row r="26" customFormat="false" ht="15" hidden="false" customHeight="false" outlineLevel="0" collapsed="false">
      <c r="A26" s="13" t="s">
        <v>73</v>
      </c>
      <c r="B26" s="3" t="s">
        <v>84</v>
      </c>
      <c r="C26" s="3" t="s">
        <v>85</v>
      </c>
      <c r="D26" s="3" t="s">
        <v>79</v>
      </c>
      <c r="E26" s="4" t="n">
        <f aca="false">COUNT(dados!$AC$2:$AC$55)</f>
        <v>26</v>
      </c>
      <c r="F26" s="4" t="n">
        <f aca="false">ROWS(dados!$AC$2:$AC$55)-E26</f>
        <v>28</v>
      </c>
      <c r="G26" s="14" t="n">
        <f aca="false">IFERROR(AVERAGE(dados!$AC$2:$AC$55),"")</f>
        <v>45.0103846153846</v>
      </c>
      <c r="H26" s="14" t="n">
        <f aca="false">IFERROR(MEDIAN(dados!$AC$2:$AC$55),"")</f>
        <v>47.625</v>
      </c>
      <c r="I26" s="14" t="n">
        <f aca="false">IFERROR(STDEV(dados!$AC$2:$AC$55),"")</f>
        <v>18.4417091357107</v>
      </c>
      <c r="J26" s="14" t="n">
        <f aca="false">IFERROR(MIN(dados!$AC$2:$AC$55),"")</f>
        <v>11</v>
      </c>
      <c r="K26" s="14" t="n">
        <f aca="false">IFERROR(PERCENTILE(dados!$AC$2:$AC$55,0.25),"")</f>
        <v>32.725</v>
      </c>
      <c r="L26" s="14" t="n">
        <f aca="false">IFERROR(PERCENTILE(dados!$AC$2:$AC$55,0.75),"")</f>
        <v>58.6875</v>
      </c>
      <c r="M26" s="14" t="n">
        <f aca="false">IFERROR(MAX(dados!$AC$2:$AC$55),"")</f>
        <v>74</v>
      </c>
      <c r="N26" s="14" t="n">
        <f aca="false">IFERROR(M26-J26,"")</f>
        <v>63</v>
      </c>
      <c r="O26" s="6" t="n">
        <f aca="false">IFERROR(I26/G26,"")</f>
        <v>0.409721207523458</v>
      </c>
    </row>
    <row r="27" customFormat="false" ht="15" hidden="false" customHeight="false" outlineLevel="0" collapsed="false">
      <c r="A27" s="13" t="s">
        <v>73</v>
      </c>
      <c r="B27" s="3" t="s">
        <v>86</v>
      </c>
      <c r="C27" s="3" t="s">
        <v>87</v>
      </c>
      <c r="D27" s="3" t="s">
        <v>79</v>
      </c>
      <c r="E27" s="4" t="n">
        <f aca="false">COUNT(dados!$AD$2:$AD$55)</f>
        <v>26</v>
      </c>
      <c r="F27" s="4" t="n">
        <f aca="false">ROWS(dados!$AD$2:$AD$55)-E27</f>
        <v>28</v>
      </c>
      <c r="G27" s="14" t="n">
        <f aca="false">IFERROR(AVERAGE(dados!$AD$2:$AD$55),"")</f>
        <v>55.9826923076923</v>
      </c>
      <c r="H27" s="14" t="n">
        <f aca="false">IFERROR(MEDIAN(dados!$AD$2:$AD$55),"")</f>
        <v>58.5</v>
      </c>
      <c r="I27" s="14" t="n">
        <f aca="false">IFERROR(STDEV(dados!$AD$2:$AD$55),"")</f>
        <v>22.0333880386458</v>
      </c>
      <c r="J27" s="14" t="n">
        <f aca="false">IFERROR(MIN(dados!$AD$2:$AD$55),"")</f>
        <v>12</v>
      </c>
      <c r="K27" s="14" t="n">
        <f aca="false">IFERROR(PERCENTILE(dados!$AD$2:$AD$55,0.25),"")</f>
        <v>40.625</v>
      </c>
      <c r="L27" s="14" t="n">
        <f aca="false">IFERROR(PERCENTILE(dados!$AD$2:$AD$55,0.75),"")</f>
        <v>71.9125</v>
      </c>
      <c r="M27" s="14" t="n">
        <f aca="false">IFERROR(MAX(dados!$AD$2:$AD$55),"")</f>
        <v>97</v>
      </c>
      <c r="N27" s="14" t="n">
        <f aca="false">IFERROR(M27-J27,"")</f>
        <v>85</v>
      </c>
      <c r="O27" s="6" t="n">
        <f aca="false">IFERROR(I27/G27,"")</f>
        <v>0.393574998457483</v>
      </c>
    </row>
    <row r="28" customFormat="false" ht="15" hidden="false" customHeight="false" outlineLevel="0" collapsed="false">
      <c r="A28" s="13" t="s">
        <v>73</v>
      </c>
      <c r="B28" s="3" t="s">
        <v>88</v>
      </c>
      <c r="C28" s="3" t="s">
        <v>89</v>
      </c>
      <c r="D28" s="3" t="s">
        <v>79</v>
      </c>
      <c r="E28" s="4" t="n">
        <f aca="false">COUNT(dados!$AE$2:$AE$55)</f>
        <v>26</v>
      </c>
      <c r="F28" s="4" t="n">
        <f aca="false">ROWS(dados!$AE$2:$AE$55)-E28</f>
        <v>28</v>
      </c>
      <c r="G28" s="14" t="n">
        <f aca="false">IFERROR(AVERAGE(dados!$AE$2:$AE$55),"")</f>
        <v>68.7796153846154</v>
      </c>
      <c r="H28" s="14" t="n">
        <f aca="false">IFERROR(MEDIAN(dados!$AE$2:$AE$55),"")</f>
        <v>76.375</v>
      </c>
      <c r="I28" s="14" t="n">
        <f aca="false">IFERROR(STDEV(dados!$AE$2:$AE$55),"")</f>
        <v>24.5211998859386</v>
      </c>
      <c r="J28" s="14" t="n">
        <f aca="false">IFERROR(MIN(dados!$AE$2:$AE$55),"")</f>
        <v>15.5</v>
      </c>
      <c r="K28" s="14" t="n">
        <f aca="false">IFERROR(PERCENTILE(dados!$AE$2:$AE$55,0.25),"")</f>
        <v>53.75</v>
      </c>
      <c r="L28" s="14" t="n">
        <f aca="false">IFERROR(PERCENTILE(dados!$AE$2:$AE$55,0.75),"")</f>
        <v>83.8875</v>
      </c>
      <c r="M28" s="14" t="n">
        <f aca="false">IFERROR(MAX(dados!$AE$2:$AE$55),"")</f>
        <v>121</v>
      </c>
      <c r="N28" s="14" t="n">
        <f aca="false">IFERROR(M28-J28,"")</f>
        <v>105.5</v>
      </c>
      <c r="O28" s="6" t="n">
        <f aca="false">IFERROR(I28/G28,"")</f>
        <v>0.35651842117488</v>
      </c>
    </row>
    <row r="29" customFormat="false" ht="15" hidden="false" customHeight="false" outlineLevel="0" collapsed="false">
      <c r="A29" s="13" t="s">
        <v>73</v>
      </c>
      <c r="B29" s="3" t="s">
        <v>90</v>
      </c>
      <c r="C29" s="3" t="s">
        <v>91</v>
      </c>
      <c r="D29" s="3" t="s">
        <v>79</v>
      </c>
      <c r="E29" s="4" t="n">
        <f aca="false">COUNT(dados!$AF$2:$AF$55)</f>
        <v>19</v>
      </c>
      <c r="F29" s="4" t="n">
        <f aca="false">ROWS(dados!$AF$2:$AF$55)-E29</f>
        <v>35</v>
      </c>
      <c r="G29" s="14" t="n">
        <f aca="false">IFERROR(AVERAGE(dados!$AF$2:$AF$55),"")</f>
        <v>38.7684210526316</v>
      </c>
      <c r="H29" s="14" t="n">
        <f aca="false">IFERROR(MEDIAN(dados!$AF$2:$AF$55),"")</f>
        <v>40</v>
      </c>
      <c r="I29" s="14" t="n">
        <f aca="false">IFERROR(STDEV(dados!$AF$2:$AF$55),"")</f>
        <v>10.298114856159</v>
      </c>
      <c r="J29" s="14" t="n">
        <f aca="false">IFERROR(MIN(dados!$AF$2:$AF$55),"")</f>
        <v>12</v>
      </c>
      <c r="K29" s="14" t="n">
        <f aca="false">IFERROR(PERCENTILE(dados!$AF$2:$AF$55,0.25),"")</f>
        <v>32</v>
      </c>
      <c r="L29" s="14" t="n">
        <f aca="false">IFERROR(PERCENTILE(dados!$AF$2:$AF$55,0.75),"")</f>
        <v>44.45</v>
      </c>
      <c r="M29" s="14" t="n">
        <f aca="false">IFERROR(MAX(dados!$AF$2:$AF$55),"")</f>
        <v>54</v>
      </c>
      <c r="N29" s="14" t="n">
        <f aca="false">IFERROR(M29-J29,"")</f>
        <v>42</v>
      </c>
      <c r="O29" s="6" t="n">
        <f aca="false">IFERROR(I29/G29,"")</f>
        <v>0.265631526292454</v>
      </c>
    </row>
    <row r="30" customFormat="false" ht="15" hidden="false" customHeight="false" outlineLevel="0" collapsed="false">
      <c r="A30" s="13" t="s">
        <v>73</v>
      </c>
      <c r="B30" s="3" t="s">
        <v>92</v>
      </c>
      <c r="C30" s="3" t="s">
        <v>93</v>
      </c>
      <c r="D30" s="3" t="s">
        <v>79</v>
      </c>
      <c r="E30" s="4" t="n">
        <f aca="false">COUNT(dados!$AG$2:$AG$55)</f>
        <v>19</v>
      </c>
      <c r="F30" s="4" t="n">
        <f aca="false">ROWS(dados!$AG$2:$AG$55)-E30</f>
        <v>35</v>
      </c>
      <c r="G30" s="14" t="n">
        <f aca="false">IFERROR(AVERAGE(dados!$AG$2:$AG$55),"")</f>
        <v>32.7105263157895</v>
      </c>
      <c r="H30" s="14" t="n">
        <f aca="false">IFERROR(MEDIAN(dados!$AG$2:$AG$55),"")</f>
        <v>31</v>
      </c>
      <c r="I30" s="14" t="n">
        <f aca="false">IFERROR(STDEV(dados!$AG$2:$AG$55),"")</f>
        <v>13.4077462990136</v>
      </c>
      <c r="J30" s="14" t="n">
        <f aca="false">IFERROR(MIN(dados!$AG$2:$AG$55),"")</f>
        <v>10</v>
      </c>
      <c r="K30" s="14" t="n">
        <f aca="false">IFERROR(PERCENTILE(dados!$AG$2:$AG$55,0.25),"")</f>
        <v>25.2</v>
      </c>
      <c r="L30" s="14" t="n">
        <f aca="false">IFERROR(PERCENTILE(dados!$AG$2:$AG$55,0.75),"")</f>
        <v>39.45</v>
      </c>
      <c r="M30" s="14" t="n">
        <f aca="false">IFERROR(MAX(dados!$AG$2:$AG$55),"")</f>
        <v>68</v>
      </c>
      <c r="N30" s="14" t="n">
        <f aca="false">IFERROR(M30-J30,"")</f>
        <v>58</v>
      </c>
      <c r="O30" s="6" t="n">
        <f aca="false">IFERROR(I30/G30,"")</f>
        <v>0.409890876397842</v>
      </c>
    </row>
    <row r="31" customFormat="false" ht="15" hidden="false" customHeight="false" outlineLevel="0" collapsed="false">
      <c r="A31" s="13" t="s">
        <v>73</v>
      </c>
      <c r="B31" s="3" t="s">
        <v>94</v>
      </c>
      <c r="C31" s="3" t="s">
        <v>95</v>
      </c>
      <c r="D31" s="3" t="s">
        <v>79</v>
      </c>
      <c r="E31" s="4" t="n">
        <f aca="false">COUNT(dados!$AH$2:$AH$55)</f>
        <v>21</v>
      </c>
      <c r="F31" s="4" t="n">
        <f aca="false">ROWS(dados!$AH$2:$AH$55)-E31</f>
        <v>33</v>
      </c>
      <c r="G31" s="14" t="n">
        <f aca="false">IFERROR(AVERAGE(dados!$AH$2:$AH$55),"")</f>
        <v>13.2142857142857</v>
      </c>
      <c r="H31" s="14" t="n">
        <f aca="false">IFERROR(MEDIAN(dados!$AH$2:$AH$55),"")</f>
        <v>13</v>
      </c>
      <c r="I31" s="14" t="n">
        <f aca="false">IFERROR(STDEV(dados!$AH$2:$AH$55),"")</f>
        <v>3.68297240205323</v>
      </c>
      <c r="J31" s="14" t="n">
        <f aca="false">IFERROR(MIN(dados!$AH$2:$AH$55),"")</f>
        <v>6.5</v>
      </c>
      <c r="K31" s="14" t="n">
        <f aca="false">IFERROR(PERCENTILE(dados!$AH$2:$AH$55,0.25),"")</f>
        <v>11</v>
      </c>
      <c r="L31" s="14" t="n">
        <f aca="false">IFERROR(PERCENTILE(dados!$AH$2:$AH$55,0.75),"")</f>
        <v>16.5</v>
      </c>
      <c r="M31" s="14" t="n">
        <f aca="false">IFERROR(MAX(dados!$AH$2:$AH$55),"")</f>
        <v>19</v>
      </c>
      <c r="N31" s="14" t="n">
        <f aca="false">IFERROR(M31-J31,"")</f>
        <v>12.5</v>
      </c>
      <c r="O31" s="6" t="n">
        <f aca="false">IFERROR(I31/G31,"")</f>
        <v>0.278711425020244</v>
      </c>
    </row>
    <row r="32" customFormat="false" ht="15" hidden="false" customHeight="false" outlineLevel="0" collapsed="false">
      <c r="A32" s="13" t="s">
        <v>73</v>
      </c>
      <c r="B32" s="3" t="s">
        <v>96</v>
      </c>
      <c r="C32" s="3" t="s">
        <v>97</v>
      </c>
      <c r="D32" s="3" t="s">
        <v>79</v>
      </c>
      <c r="E32" s="4" t="n">
        <f aca="false">COUNT(dados!$AI$2:$AI$55)</f>
        <v>23</v>
      </c>
      <c r="F32" s="4" t="n">
        <f aca="false">ROWS(dados!$AI$2:$AI$55)-E32</f>
        <v>31</v>
      </c>
      <c r="G32" s="14" t="n">
        <f aca="false">IFERROR(AVERAGE(dados!$AI$2:$AI$55),"")</f>
        <v>7.81521739130435</v>
      </c>
      <c r="H32" s="14" t="n">
        <f aca="false">IFERROR(MEDIAN(dados!$AI$2:$AI$55),"")</f>
        <v>8</v>
      </c>
      <c r="I32" s="14" t="n">
        <f aca="false">IFERROR(STDEV(dados!$AI$2:$AI$55),"")</f>
        <v>1.59939155921363</v>
      </c>
      <c r="J32" s="14" t="n">
        <f aca="false">IFERROR(MIN(dados!$AI$2:$AI$55),"")</f>
        <v>5</v>
      </c>
      <c r="K32" s="14" t="n">
        <f aca="false">IFERROR(PERCENTILE(dados!$AI$2:$AI$55,0.25),"")</f>
        <v>6.875</v>
      </c>
      <c r="L32" s="14" t="n">
        <f aca="false">IFERROR(PERCENTILE(dados!$AI$2:$AI$55,0.75),"")</f>
        <v>8.5</v>
      </c>
      <c r="M32" s="14" t="n">
        <f aca="false">IFERROR(MAX(dados!$AI$2:$AI$55),"")</f>
        <v>12</v>
      </c>
      <c r="N32" s="14" t="n">
        <f aca="false">IFERROR(M32-J32,"")</f>
        <v>7</v>
      </c>
      <c r="O32" s="6" t="n">
        <f aca="false">IFERROR(I32/G32,"")</f>
        <v>0.204650936644859</v>
      </c>
    </row>
    <row r="33" customFormat="false" ht="15" hidden="false" customHeight="false" outlineLevel="0" collapsed="false">
      <c r="A33" s="13" t="s">
        <v>73</v>
      </c>
      <c r="B33" s="3" t="s">
        <v>98</v>
      </c>
      <c r="C33" s="3" t="s">
        <v>99</v>
      </c>
      <c r="D33" s="3" t="s">
        <v>79</v>
      </c>
      <c r="E33" s="4" t="n">
        <f aca="false">COUNT(dados!$AJ$2:$AJ$55)</f>
        <v>15</v>
      </c>
      <c r="F33" s="4" t="n">
        <f aca="false">ROWS(dados!$AJ$2:$AJ$55)-E33</f>
        <v>39</v>
      </c>
      <c r="G33" s="14" t="n">
        <f aca="false">IFERROR(AVERAGE(dados!$AJ$2:$AJ$55),"")</f>
        <v>26.52</v>
      </c>
      <c r="H33" s="14" t="n">
        <f aca="false">IFERROR(MEDIAN(dados!$AJ$2:$AJ$55),"")</f>
        <v>25</v>
      </c>
      <c r="I33" s="14" t="n">
        <f aca="false">IFERROR(STDEV(dados!$AJ$2:$AJ$55),"")</f>
        <v>7.68609133435194</v>
      </c>
      <c r="J33" s="14" t="n">
        <f aca="false">IFERROR(MIN(dados!$AJ$2:$AJ$55),"")</f>
        <v>13</v>
      </c>
      <c r="K33" s="14" t="n">
        <f aca="false">IFERROR(PERCENTILE(dados!$AJ$2:$AJ$55,0.25),"")</f>
        <v>22.75</v>
      </c>
      <c r="L33" s="14" t="n">
        <f aca="false">IFERROR(PERCENTILE(dados!$AJ$2:$AJ$55,0.75),"")</f>
        <v>32.5</v>
      </c>
      <c r="M33" s="14" t="n">
        <f aca="false">IFERROR(MAX(dados!$AJ$2:$AJ$55),"")</f>
        <v>37.9</v>
      </c>
      <c r="N33" s="14" t="n">
        <f aca="false">IFERROR(M33-J33,"")</f>
        <v>24.9</v>
      </c>
      <c r="O33" s="6" t="n">
        <f aca="false">IFERROR(I33/G33,"")</f>
        <v>0.289822448504975</v>
      </c>
    </row>
    <row r="34" customFormat="false" ht="15" hidden="false" customHeight="false" outlineLevel="0" collapsed="false">
      <c r="A34" s="15" t="s">
        <v>100</v>
      </c>
      <c r="B34" s="3" t="s">
        <v>101</v>
      </c>
      <c r="C34" s="3" t="s">
        <v>102</v>
      </c>
      <c r="D34" s="3" t="s">
        <v>103</v>
      </c>
      <c r="E34" s="4" t="n">
        <f aca="false">COUNT(dados!$AK$2:$AK$55)</f>
        <v>17</v>
      </c>
      <c r="F34" s="4" t="n">
        <f aca="false">ROWS(dados!$AK$2:$AK$55)-E34</f>
        <v>37</v>
      </c>
      <c r="G34" s="7" t="n">
        <f aca="false">IFERROR(AVERAGE(dados!$AK$2:$AK$55),"")</f>
        <v>526.647058823529</v>
      </c>
      <c r="H34" s="7" t="n">
        <f aca="false">IFERROR(MEDIAN(dados!$AK$2:$AK$55),"")</f>
        <v>468</v>
      </c>
      <c r="I34" s="7" t="n">
        <f aca="false">IFERROR(STDEV(dados!$AK$2:$AK$55),"")</f>
        <v>345.731460308516</v>
      </c>
      <c r="J34" s="7" t="n">
        <f aca="false">IFERROR(MIN(dados!$AK$2:$AK$55),"")</f>
        <v>190</v>
      </c>
      <c r="K34" s="7" t="n">
        <f aca="false">IFERROR(PERCENTILE(dados!$AK$2:$AK$55,0.25),"")</f>
        <v>239</v>
      </c>
      <c r="L34" s="7" t="n">
        <f aca="false">IFERROR(PERCENTILE(dados!$AK$2:$AK$55,0.75),"")</f>
        <v>780</v>
      </c>
      <c r="M34" s="7" t="n">
        <f aca="false">IFERROR(MAX(dados!$AK$2:$AK$55),"")</f>
        <v>1357</v>
      </c>
      <c r="N34" s="7" t="n">
        <f aca="false">IFERROR(M34-J34,"")</f>
        <v>1167</v>
      </c>
      <c r="O34" s="6" t="n">
        <f aca="false">IFERROR(I34/G34,"")</f>
        <v>0.656476580503158</v>
      </c>
    </row>
    <row r="35" customFormat="false" ht="15" hidden="false" customHeight="false" outlineLevel="0" collapsed="false">
      <c r="A35" s="16" t="s">
        <v>104</v>
      </c>
      <c r="B35" s="3" t="s">
        <v>105</v>
      </c>
      <c r="C35" s="3" t="s">
        <v>106</v>
      </c>
      <c r="D35" s="3" t="s">
        <v>21</v>
      </c>
      <c r="E35" s="4" t="n">
        <f aca="false">COUNT(dados!$AL$2:$AL$55)</f>
        <v>49</v>
      </c>
      <c r="F35" s="4" t="n">
        <f aca="false">ROWS(dados!$AL$2:$AL$55)-E35</f>
        <v>5</v>
      </c>
      <c r="G35" s="7" t="n">
        <f aca="false">IFERROR(AVERAGE(dados!$AL$2:$AL$55),"")</f>
        <v>45.265306122449</v>
      </c>
      <c r="H35" s="7" t="n">
        <f aca="false">IFERROR(MEDIAN(dados!$AL$2:$AL$55),"")</f>
        <v>17</v>
      </c>
      <c r="I35" s="7" t="n">
        <f aca="false">IFERROR(STDEV(dados!$AL$2:$AL$55),"")</f>
        <v>106.291026492951</v>
      </c>
      <c r="J35" s="7" t="n">
        <f aca="false">IFERROR(MIN(dados!$AL$2:$AL$55),"")</f>
        <v>2</v>
      </c>
      <c r="K35" s="7" t="n">
        <f aca="false">IFERROR(PERCENTILE(dados!$AL$2:$AL$55,0.25),"")</f>
        <v>12</v>
      </c>
      <c r="L35" s="7" t="n">
        <f aca="false">IFERROR(PERCENTILE(dados!$AL$2:$AL$55,0.75),"")</f>
        <v>37</v>
      </c>
      <c r="M35" s="7" t="n">
        <f aca="false">IFERROR(MAX(dados!$AL$2:$AL$55),"")</f>
        <v>712</v>
      </c>
      <c r="N35" s="7" t="n">
        <f aca="false">IFERROR(M35-J35,"")</f>
        <v>710</v>
      </c>
      <c r="O35" s="6" t="n">
        <f aca="false">IFERROR(I35/G35,"")</f>
        <v>2.3481786736495</v>
      </c>
    </row>
    <row r="36" customFormat="false" ht="26.85" hidden="false" customHeight="false" outlineLevel="0" collapsed="false">
      <c r="A36" s="16" t="s">
        <v>104</v>
      </c>
      <c r="B36" s="3" t="s">
        <v>107</v>
      </c>
      <c r="C36" s="3" t="s">
        <v>108</v>
      </c>
      <c r="D36" s="3" t="s">
        <v>21</v>
      </c>
      <c r="E36" s="4" t="n">
        <f aca="false">COUNT(dados!$AM$2:$AM$55)</f>
        <v>49</v>
      </c>
      <c r="F36" s="4" t="n">
        <f aca="false">ROWS(dados!$AM$2:$AM$55)-E36</f>
        <v>5</v>
      </c>
      <c r="G36" s="7" t="n">
        <f aca="false">IFERROR(AVERAGE(dados!$AM$2:$AM$55),"")</f>
        <v>29.3877551020408</v>
      </c>
      <c r="H36" s="7" t="n">
        <f aca="false">IFERROR(MEDIAN(dados!$AM$2:$AM$55),"")</f>
        <v>9</v>
      </c>
      <c r="I36" s="7" t="n">
        <f aca="false">IFERROR(STDEV(dados!$AM$2:$AM$55),"")</f>
        <v>71.8139425664597</v>
      </c>
      <c r="J36" s="7" t="n">
        <f aca="false">IFERROR(MIN(dados!$AM$2:$AM$55),"")</f>
        <v>0</v>
      </c>
      <c r="K36" s="7" t="n">
        <f aca="false">IFERROR(PERCENTILE(dados!$AM$2:$AM$55,0.25),"")</f>
        <v>6</v>
      </c>
      <c r="L36" s="7" t="n">
        <f aca="false">IFERROR(PERCENTILE(dados!$AM$2:$AM$55,0.75),"")</f>
        <v>22</v>
      </c>
      <c r="M36" s="7" t="n">
        <f aca="false">IFERROR(MAX(dados!$AM$2:$AM$55),"")</f>
        <v>453</v>
      </c>
      <c r="N36" s="7" t="n">
        <f aca="false">IFERROR(M36-J36,"")</f>
        <v>453</v>
      </c>
      <c r="O36" s="6" t="n">
        <f aca="false">IFERROR(I36/G36,"")</f>
        <v>2.44366887899759</v>
      </c>
    </row>
  </sheetData>
  <autoFilter ref="A1:O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</row>
    <row r="2" customFormat="false" ht="15" hidden="false" customHeight="false" outlineLevel="0" collapsed="false">
      <c r="A2" s="4" t="s">
        <v>113</v>
      </c>
      <c r="B2" s="4" t="s">
        <v>114</v>
      </c>
      <c r="C2" s="4" t="n">
        <f aca="false">COUNTIF(dados!$D$2:$D$55,B2)</f>
        <v>1</v>
      </c>
      <c r="D2" s="17" t="n">
        <f aca="false">C2/COUNTA(dados!$A$2:$A$55)</f>
        <v>0.0185185185185185</v>
      </c>
    </row>
    <row r="3" customFormat="false" ht="15" hidden="false" customHeight="false" outlineLevel="0" collapsed="false">
      <c r="A3" s="4" t="s">
        <v>113</v>
      </c>
      <c r="B3" s="4" t="s">
        <v>115</v>
      </c>
      <c r="C3" s="4" t="n">
        <f aca="false">COUNTIF(dados!$D$2:$D$55,B3)</f>
        <v>4</v>
      </c>
      <c r="D3" s="17" t="n">
        <f aca="false">C3/COUNTA(dados!$A$2:$A$55)</f>
        <v>0.0740740740740741</v>
      </c>
    </row>
    <row r="4" customFormat="false" ht="15" hidden="false" customHeight="false" outlineLevel="0" collapsed="false">
      <c r="A4" s="4" t="s">
        <v>113</v>
      </c>
      <c r="B4" s="4" t="s">
        <v>116</v>
      </c>
      <c r="C4" s="4" t="n">
        <f aca="false">COUNTIF(dados!$D$2:$D$55,B4)</f>
        <v>7</v>
      </c>
      <c r="D4" s="17" t="n">
        <f aca="false">C4/COUNTA(dados!$A$2:$A$55)</f>
        <v>0.12962962962963</v>
      </c>
    </row>
    <row r="5" customFormat="false" ht="15" hidden="false" customHeight="false" outlineLevel="0" collapsed="false">
      <c r="A5" s="4" t="s">
        <v>113</v>
      </c>
      <c r="B5" s="4" t="s">
        <v>117</v>
      </c>
      <c r="C5" s="4" t="n">
        <f aca="false">COUNTIF(dados!$D$2:$D$55,B5)</f>
        <v>31</v>
      </c>
      <c r="D5" s="17" t="n">
        <f aca="false">C5/COUNTA(dados!$A$2:$A$55)</f>
        <v>0.574074074074074</v>
      </c>
    </row>
    <row r="6" customFormat="false" ht="15" hidden="false" customHeight="false" outlineLevel="0" collapsed="false">
      <c r="A6" s="4" t="s">
        <v>113</v>
      </c>
      <c r="B6" s="4" t="s">
        <v>118</v>
      </c>
      <c r="C6" s="4" t="n">
        <f aca="false">COUNTIF(dados!$D$2:$D$55,B6)</f>
        <v>11</v>
      </c>
      <c r="D6" s="17" t="n">
        <f aca="false">C6/COUNTA(dados!$A$2:$A$55)</f>
        <v>0.203703703703704</v>
      </c>
    </row>
    <row r="7" customFormat="false" ht="15" hidden="false" customHeight="false" outlineLevel="0" collapsed="false">
      <c r="A7" s="18" t="s">
        <v>113</v>
      </c>
      <c r="B7" s="18" t="s">
        <v>119</v>
      </c>
      <c r="C7" s="18" t="n">
        <f aca="false">SUM(C2:C6)</f>
        <v>54</v>
      </c>
      <c r="D7" s="19" t="n">
        <f aca="false">SUM(D2:D6)</f>
        <v>1</v>
      </c>
    </row>
    <row r="8" customFormat="false" ht="15" hidden="false" customHeight="false" outlineLevel="0" collapsed="false">
      <c r="A8" s="18" t="s">
        <v>113</v>
      </c>
      <c r="B8" s="18" t="s">
        <v>120</v>
      </c>
      <c r="C8" s="18" t="n">
        <f aca="false">C7-COUNTA(dados!$A$2:$A$55)</f>
        <v>0</v>
      </c>
      <c r="D8" s="19"/>
    </row>
    <row r="9" customFormat="false" ht="15" hidden="false" customHeight="false" outlineLevel="0" collapsed="false">
      <c r="A9" s="4" t="s">
        <v>121</v>
      </c>
      <c r="B9" s="4" t="s">
        <v>122</v>
      </c>
      <c r="C9" s="4" t="n">
        <f aca="false">COUNTIF(dados!$C$2:$C$55,B9)</f>
        <v>6</v>
      </c>
      <c r="D9" s="17" t="n">
        <f aca="false">C9/COUNTA(dados!$A$2:$A$55)</f>
        <v>0.111111111111111</v>
      </c>
    </row>
    <row r="10" customFormat="false" ht="15" hidden="false" customHeight="false" outlineLevel="0" collapsed="false">
      <c r="A10" s="4" t="s">
        <v>121</v>
      </c>
      <c r="B10" s="4" t="s">
        <v>123</v>
      </c>
      <c r="C10" s="4" t="n">
        <f aca="false">COUNTIF(dados!$C$2:$C$55,B10)</f>
        <v>1</v>
      </c>
      <c r="D10" s="17" t="n">
        <f aca="false">C10/COUNTA(dados!$A$2:$A$55)</f>
        <v>0.0185185185185185</v>
      </c>
    </row>
    <row r="11" customFormat="false" ht="15" hidden="false" customHeight="false" outlineLevel="0" collapsed="false">
      <c r="A11" s="4" t="s">
        <v>121</v>
      </c>
      <c r="B11" s="4" t="s">
        <v>124</v>
      </c>
      <c r="C11" s="4" t="n">
        <f aca="false">COUNTIF(dados!$C$2:$C$55,B11)</f>
        <v>6</v>
      </c>
      <c r="D11" s="17" t="n">
        <f aca="false">C11/COUNTA(dados!$A$2:$A$55)</f>
        <v>0.111111111111111</v>
      </c>
    </row>
    <row r="12" customFormat="false" ht="15" hidden="false" customHeight="false" outlineLevel="0" collapsed="false">
      <c r="A12" s="4" t="s">
        <v>121</v>
      </c>
      <c r="B12" s="4" t="s">
        <v>125</v>
      </c>
      <c r="C12" s="4" t="n">
        <f aca="false">COUNTIF(dados!$C$2:$C$55,B12)</f>
        <v>6</v>
      </c>
      <c r="D12" s="17" t="n">
        <f aca="false">C12/COUNTA(dados!$A$2:$A$55)</f>
        <v>0.111111111111111</v>
      </c>
    </row>
    <row r="13" customFormat="false" ht="15" hidden="false" customHeight="false" outlineLevel="0" collapsed="false">
      <c r="A13" s="4" t="s">
        <v>121</v>
      </c>
      <c r="B13" s="4" t="s">
        <v>126</v>
      </c>
      <c r="C13" s="4" t="n">
        <f aca="false">COUNTIF(dados!$C$2:$C$55,B13)</f>
        <v>3</v>
      </c>
      <c r="D13" s="17" t="n">
        <f aca="false">C13/COUNTA(dados!$A$2:$A$55)</f>
        <v>0.0555555555555556</v>
      </c>
    </row>
    <row r="14" customFormat="false" ht="15" hidden="false" customHeight="false" outlineLevel="0" collapsed="false">
      <c r="A14" s="4" t="s">
        <v>121</v>
      </c>
      <c r="B14" s="4" t="s">
        <v>127</v>
      </c>
      <c r="C14" s="4" t="n">
        <f aca="false">COUNTIF(dados!$C$2:$C$55,B14)</f>
        <v>2</v>
      </c>
      <c r="D14" s="17" t="n">
        <f aca="false">C14/COUNTA(dados!$A$2:$A$55)</f>
        <v>0.037037037037037</v>
      </c>
    </row>
    <row r="15" customFormat="false" ht="15" hidden="false" customHeight="false" outlineLevel="0" collapsed="false">
      <c r="A15" s="4" t="s">
        <v>121</v>
      </c>
      <c r="B15" s="4" t="s">
        <v>128</v>
      </c>
      <c r="C15" s="4" t="n">
        <f aca="false">COUNTIF(dados!$C$2:$C$55,B15)</f>
        <v>1</v>
      </c>
      <c r="D15" s="17" t="n">
        <f aca="false">C15/COUNTA(dados!$A$2:$A$55)</f>
        <v>0.0185185185185185</v>
      </c>
    </row>
    <row r="16" customFormat="false" ht="15" hidden="false" customHeight="false" outlineLevel="0" collapsed="false">
      <c r="A16" s="4" t="s">
        <v>121</v>
      </c>
      <c r="B16" s="4" t="s">
        <v>129</v>
      </c>
      <c r="C16" s="4" t="n">
        <f aca="false">COUNTIF(dados!$C$2:$C$55,B16)</f>
        <v>2</v>
      </c>
      <c r="D16" s="17" t="n">
        <f aca="false">C16/COUNTA(dados!$A$2:$A$55)</f>
        <v>0.037037037037037</v>
      </c>
    </row>
    <row r="17" customFormat="false" ht="15" hidden="false" customHeight="false" outlineLevel="0" collapsed="false">
      <c r="A17" s="4" t="s">
        <v>121</v>
      </c>
      <c r="B17" s="4" t="s">
        <v>130</v>
      </c>
      <c r="C17" s="4" t="n">
        <f aca="false">COUNTIF(dados!$C$2:$C$55,B17)</f>
        <v>1</v>
      </c>
      <c r="D17" s="17" t="n">
        <f aca="false">C17/COUNTA(dados!$A$2:$A$55)</f>
        <v>0.0185185185185185</v>
      </c>
    </row>
    <row r="18" customFormat="false" ht="15" hidden="false" customHeight="false" outlineLevel="0" collapsed="false">
      <c r="A18" s="4" t="s">
        <v>121</v>
      </c>
      <c r="B18" s="4" t="s">
        <v>131</v>
      </c>
      <c r="C18" s="4" t="n">
        <f aca="false">COUNTIF(dados!$C$2:$C$55,B18)</f>
        <v>5</v>
      </c>
      <c r="D18" s="17" t="n">
        <f aca="false">C18/COUNTA(dados!$A$2:$A$55)</f>
        <v>0.0925925925925926</v>
      </c>
    </row>
    <row r="19" customFormat="false" ht="15" hidden="false" customHeight="false" outlineLevel="0" collapsed="false">
      <c r="A19" s="4" t="s">
        <v>121</v>
      </c>
      <c r="B19" s="4" t="s">
        <v>132</v>
      </c>
      <c r="C19" s="4" t="n">
        <f aca="false">COUNTIF(dados!$C$2:$C$55,B19)</f>
        <v>1</v>
      </c>
      <c r="D19" s="17" t="n">
        <f aca="false">C19/COUNTA(dados!$A$2:$A$55)</f>
        <v>0.0185185185185185</v>
      </c>
    </row>
    <row r="20" customFormat="false" ht="15" hidden="false" customHeight="false" outlineLevel="0" collapsed="false">
      <c r="A20" s="4" t="s">
        <v>121</v>
      </c>
      <c r="B20" s="4" t="s">
        <v>133</v>
      </c>
      <c r="C20" s="4" t="n">
        <f aca="false">COUNTIF(dados!$C$2:$C$55,B20)</f>
        <v>19</v>
      </c>
      <c r="D20" s="17" t="n">
        <f aca="false">C20/COUNTA(dados!$A$2:$A$55)</f>
        <v>0.351851851851852</v>
      </c>
    </row>
    <row r="21" customFormat="false" ht="15" hidden="false" customHeight="false" outlineLevel="0" collapsed="false">
      <c r="A21" s="4" t="s">
        <v>121</v>
      </c>
      <c r="B21" s="4" t="s">
        <v>134</v>
      </c>
      <c r="C21" s="4" t="n">
        <f aca="false">COUNTIF(dados!$C$2:$C$55,B21)</f>
        <v>1</v>
      </c>
      <c r="D21" s="17" t="n">
        <f aca="false">C21/COUNTA(dados!$A$2:$A$55)</f>
        <v>0.0185185185185185</v>
      </c>
    </row>
    <row r="22" customFormat="false" ht="15" hidden="false" customHeight="false" outlineLevel="0" collapsed="false">
      <c r="A22" s="18" t="s">
        <v>121</v>
      </c>
      <c r="B22" s="18" t="s">
        <v>119</v>
      </c>
      <c r="C22" s="18" t="n">
        <f aca="false">SUM(C9:C21)</f>
        <v>54</v>
      </c>
      <c r="D22" s="19" t="n">
        <f aca="false">SUM(D9:D21)</f>
        <v>1</v>
      </c>
    </row>
    <row r="23" customFormat="false" ht="15" hidden="false" customHeight="false" outlineLevel="0" collapsed="false">
      <c r="A23" s="18" t="s">
        <v>121</v>
      </c>
      <c r="B23" s="18" t="s">
        <v>120</v>
      </c>
      <c r="C23" s="18" t="n">
        <f aca="false">C22-COUNTA(dados!$A$2:$A$55)</f>
        <v>0</v>
      </c>
      <c r="D23" s="19"/>
    </row>
    <row r="24" customFormat="false" ht="15" hidden="false" customHeight="false" outlineLevel="0" collapsed="false">
      <c r="A24" s="4"/>
      <c r="B24" s="4"/>
      <c r="C24" s="4"/>
      <c r="D24" s="17"/>
    </row>
    <row r="25" customFormat="false" ht="15" hidden="false" customHeight="false" outlineLevel="0" collapsed="false">
      <c r="A25" s="18" t="s">
        <v>135</v>
      </c>
      <c r="B25" s="18" t="s">
        <v>136</v>
      </c>
      <c r="C25" s="18" t="s">
        <v>137</v>
      </c>
      <c r="D25" s="19" t="s">
        <v>138</v>
      </c>
    </row>
    <row r="26" customFormat="false" ht="15" hidden="false" customHeight="false" outlineLevel="0" collapsed="false">
      <c r="A26" s="4" t="s">
        <v>139</v>
      </c>
      <c r="B26" s="4" t="s">
        <v>140</v>
      </c>
      <c r="C26" s="4" t="n">
        <f aca="false">SUM(dados!$AN$2:$AN$55)</f>
        <v>24</v>
      </c>
      <c r="D26" s="17" t="n">
        <f aca="false">IFERROR(SUM(dados!$AN$2:$AN$55)/COUNT(dados!$AN$2:$AN$55),"")</f>
        <v>0.444444444444444</v>
      </c>
    </row>
    <row r="27" customFormat="false" ht="15" hidden="false" customHeight="false" outlineLevel="0" collapsed="false">
      <c r="A27" s="4" t="s">
        <v>139</v>
      </c>
      <c r="B27" s="4" t="s">
        <v>141</v>
      </c>
      <c r="C27" s="4" t="n">
        <f aca="false">SUM(dados!$AO$2:$AO$55)</f>
        <v>26</v>
      </c>
      <c r="D27" s="17" t="n">
        <f aca="false">IFERROR(SUM(dados!$AO$2:$AO$55)/COUNT(dados!$AO$2:$AO$55),"")</f>
        <v>0.481481481481481</v>
      </c>
    </row>
    <row r="28" customFormat="false" ht="15" hidden="false" customHeight="false" outlineLevel="0" collapsed="false">
      <c r="A28" s="4" t="s">
        <v>139</v>
      </c>
      <c r="B28" s="4" t="s">
        <v>142</v>
      </c>
      <c r="C28" s="4" t="n">
        <f aca="false">SUM(dados!$AP$2:$AP$55)</f>
        <v>7</v>
      </c>
      <c r="D28" s="17" t="n">
        <f aca="false">IFERROR(SUM(dados!$AP$2:$AP$55)/COUNT(dados!$AP$2:$AP$55),"")</f>
        <v>0.269230769230769</v>
      </c>
    </row>
    <row r="29" customFormat="false" ht="15" hidden="false" customHeight="false" outlineLevel="0" collapsed="false">
      <c r="A29" s="4" t="s">
        <v>139</v>
      </c>
      <c r="B29" s="4" t="s">
        <v>143</v>
      </c>
      <c r="C29" s="4" t="n">
        <f aca="false">SUM(dados!$AQ$2:$AQ$55)</f>
        <v>15</v>
      </c>
      <c r="D29" s="17" t="n">
        <f aca="false">IFERROR(SUM(dados!$AQ$2:$AQ$55)/COUNT(dados!$AQ$2:$AQ$55),"")</f>
        <v>0.277777777777778</v>
      </c>
    </row>
    <row r="30" customFormat="false" ht="15" hidden="false" customHeight="false" outlineLevel="0" collapsed="false">
      <c r="A30" s="4" t="s">
        <v>139</v>
      </c>
      <c r="B30" s="4" t="s">
        <v>144</v>
      </c>
      <c r="C30" s="4" t="n">
        <f aca="false">SUM(dados!$AR$2:$AR$55)</f>
        <v>34</v>
      </c>
      <c r="D30" s="17" t="n">
        <f aca="false">IFERROR(SUM(dados!$AR$2:$AR$55)/COUNT(dados!$AR$2:$AR$55),"")</f>
        <v>0.62962962962963</v>
      </c>
    </row>
    <row r="31" customFormat="false" ht="15" hidden="false" customHeight="false" outlineLevel="0" collapsed="false">
      <c r="A31" s="4" t="s">
        <v>139</v>
      </c>
      <c r="B31" s="4" t="s">
        <v>145</v>
      </c>
      <c r="C31" s="4" t="n">
        <f aca="false">SUM(dados!$AS$2:$AS$55)</f>
        <v>50</v>
      </c>
      <c r="D31" s="17" t="n">
        <f aca="false">IFERROR(SUM(dados!$AS$2:$AS$55)/COUNT(dados!$AS$2:$AS$55),"")</f>
        <v>0.925925925925926</v>
      </c>
    </row>
    <row r="32" customFormat="false" ht="15" hidden="false" customHeight="false" outlineLevel="0" collapsed="false">
      <c r="A32" s="4" t="s">
        <v>139</v>
      </c>
      <c r="B32" s="4" t="s">
        <v>146</v>
      </c>
      <c r="C32" s="4" t="n">
        <f aca="false">SUM(dados!$AT$2:$AT$55)</f>
        <v>54</v>
      </c>
      <c r="D32" s="17" t="n">
        <f aca="false">IFERROR(SUM(dados!$AT$2:$AT$55)/COUNT(dados!$AT$2:$AT$55),"")</f>
        <v>1</v>
      </c>
    </row>
    <row r="33" customFormat="false" ht="15" hidden="false" customHeight="false" outlineLevel="0" collapsed="false">
      <c r="A33" s="4" t="s">
        <v>139</v>
      </c>
      <c r="B33" s="4" t="s">
        <v>147</v>
      </c>
      <c r="C33" s="4" t="n">
        <f aca="false">SUM(dados!$AU$2:$AU$55)</f>
        <v>54</v>
      </c>
      <c r="D33" s="17" t="n">
        <f aca="false">IFERROR(SUM(dados!$AU$2:$AU$55)/COUNT(dados!$AU$2:$AU$55),"")</f>
        <v>1</v>
      </c>
    </row>
    <row r="34" customFormat="false" ht="15" hidden="false" customHeight="false" outlineLevel="0" collapsed="false">
      <c r="A34" s="4" t="s">
        <v>139</v>
      </c>
      <c r="B34" s="4" t="s">
        <v>148</v>
      </c>
      <c r="C34" s="4" t="n">
        <f aca="false">SUM(dados!$AV$2:$AV$55)</f>
        <v>54</v>
      </c>
      <c r="D34" s="17" t="n">
        <f aca="false">IFERROR(SUM(dados!$AV$2:$AV$55)/COUNT(dados!$AV$2:$AV$55),"")</f>
        <v>1</v>
      </c>
    </row>
    <row r="35" customFormat="false" ht="15" hidden="false" customHeight="false" outlineLevel="0" collapsed="false">
      <c r="A35" s="4" t="s">
        <v>139</v>
      </c>
      <c r="B35" s="4" t="s">
        <v>149</v>
      </c>
      <c r="C35" s="4" t="n">
        <f aca="false">SUM(dados!$AW$2:$AW$55)</f>
        <v>42</v>
      </c>
      <c r="D35" s="17" t="n">
        <f aca="false">IFERROR(SUM(dados!$AW$2:$AW$55)/COUNT(dados!$AW$2:$AW$55),"")</f>
        <v>0.777777777777778</v>
      </c>
    </row>
  </sheetData>
  <autoFilter ref="A1:D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16</v>
      </c>
      <c r="F1" s="1" t="s">
        <v>19</v>
      </c>
      <c r="G1" s="1" t="s">
        <v>23</v>
      </c>
      <c r="H1" s="1" t="s">
        <v>26</v>
      </c>
      <c r="I1" s="1" t="s">
        <v>29</v>
      </c>
      <c r="J1" s="1" t="s">
        <v>32</v>
      </c>
      <c r="K1" s="1" t="s">
        <v>35</v>
      </c>
      <c r="L1" s="1" t="s">
        <v>38</v>
      </c>
      <c r="M1" s="1" t="s">
        <v>40</v>
      </c>
      <c r="N1" s="1" t="s">
        <v>43</v>
      </c>
      <c r="O1" s="1" t="s">
        <v>46</v>
      </c>
      <c r="P1" s="1" t="s">
        <v>48</v>
      </c>
      <c r="Q1" s="1" t="s">
        <v>51</v>
      </c>
      <c r="R1" s="1" t="s">
        <v>53</v>
      </c>
      <c r="S1" s="1" t="s">
        <v>56</v>
      </c>
      <c r="T1" s="1" t="s">
        <v>59</v>
      </c>
      <c r="U1" s="1" t="s">
        <v>61</v>
      </c>
      <c r="V1" s="1" t="s">
        <v>64</v>
      </c>
      <c r="W1" s="1" t="s">
        <v>67</v>
      </c>
      <c r="X1" s="1" t="s">
        <v>70</v>
      </c>
      <c r="Y1" s="1" t="s">
        <v>74</v>
      </c>
      <c r="Z1" s="1" t="s">
        <v>77</v>
      </c>
      <c r="AA1" s="1" t="s">
        <v>80</v>
      </c>
      <c r="AB1" s="1" t="s">
        <v>82</v>
      </c>
      <c r="AC1" s="1" t="s">
        <v>84</v>
      </c>
      <c r="AD1" s="1" t="s">
        <v>86</v>
      </c>
      <c r="AE1" s="1" t="s">
        <v>88</v>
      </c>
      <c r="AF1" s="1" t="s">
        <v>90</v>
      </c>
      <c r="AG1" s="1" t="s">
        <v>92</v>
      </c>
      <c r="AH1" s="1" t="s">
        <v>94</v>
      </c>
      <c r="AI1" s="1" t="s">
        <v>96</v>
      </c>
      <c r="AJ1" s="1" t="s">
        <v>98</v>
      </c>
      <c r="AK1" s="1" t="s">
        <v>101</v>
      </c>
      <c r="AL1" s="1" t="s">
        <v>105</v>
      </c>
      <c r="AM1" s="1" t="s">
        <v>107</v>
      </c>
      <c r="AN1" s="1" t="s">
        <v>154</v>
      </c>
      <c r="AO1" s="1" t="s">
        <v>155</v>
      </c>
      <c r="AP1" s="1" t="s">
        <v>156</v>
      </c>
      <c r="AQ1" s="1" t="s">
        <v>157</v>
      </c>
      <c r="AR1" s="1" t="s">
        <v>158</v>
      </c>
      <c r="AS1" s="1" t="s">
        <v>159</v>
      </c>
      <c r="AT1" s="1" t="s">
        <v>160</v>
      </c>
      <c r="AU1" s="1" t="s">
        <v>161</v>
      </c>
      <c r="AV1" s="1" t="s">
        <v>162</v>
      </c>
      <c r="AW1" s="1" t="s">
        <v>163</v>
      </c>
    </row>
    <row r="2" customFormat="false" ht="15" hidden="false" customHeight="false" outlineLevel="0" collapsed="false">
      <c r="A2" s="4" t="s">
        <v>164</v>
      </c>
      <c r="B2" s="4" t="s">
        <v>165</v>
      </c>
      <c r="C2" s="4" t="s">
        <v>124</v>
      </c>
      <c r="D2" s="4" t="s">
        <v>116</v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>
        <v>32</v>
      </c>
      <c r="AG2" s="14" t="n">
        <v>15</v>
      </c>
      <c r="AH2" s="14" t="n">
        <v>8</v>
      </c>
      <c r="AI2" s="14" t="n">
        <v>7</v>
      </c>
      <c r="AJ2" s="14"/>
      <c r="AK2" s="7"/>
      <c r="AL2" s="7" t="n">
        <v>23</v>
      </c>
      <c r="AM2" s="7" t="n">
        <v>15</v>
      </c>
      <c r="AN2" s="4" t="n">
        <v>1</v>
      </c>
      <c r="AO2" s="4" t="n">
        <v>1</v>
      </c>
      <c r="AP2" s="4" t="n">
        <v>0</v>
      </c>
      <c r="AQ2" s="4" t="n">
        <v>1</v>
      </c>
      <c r="AR2" s="4" t="n">
        <v>1</v>
      </c>
      <c r="AS2" s="4" t="n">
        <v>1</v>
      </c>
      <c r="AT2" s="4" t="n">
        <v>1</v>
      </c>
      <c r="AU2" s="4" t="n">
        <v>1</v>
      </c>
      <c r="AV2" s="4" t="n">
        <v>1</v>
      </c>
      <c r="AW2" s="4" t="n">
        <v>1</v>
      </c>
    </row>
    <row r="3" customFormat="false" ht="15" hidden="false" customHeight="false" outlineLevel="0" collapsed="false">
      <c r="A3" s="4" t="s">
        <v>166</v>
      </c>
      <c r="B3" s="4" t="s">
        <v>167</v>
      </c>
      <c r="C3" s="4" t="s">
        <v>124</v>
      </c>
      <c r="D3" s="4" t="s">
        <v>116</v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/>
      <c r="O3" s="5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7"/>
      <c r="AL3" s="7" t="n">
        <v>12</v>
      </c>
      <c r="AM3" s="7" t="n">
        <v>8</v>
      </c>
      <c r="AN3" s="4" t="n">
        <v>0</v>
      </c>
      <c r="AO3" s="4" t="n">
        <v>0</v>
      </c>
      <c r="AP3" s="4"/>
      <c r="AQ3" s="4" t="n">
        <v>0</v>
      </c>
      <c r="AR3" s="4" t="n">
        <v>1</v>
      </c>
      <c r="AS3" s="4" t="n">
        <v>1</v>
      </c>
      <c r="AT3" s="4" t="n">
        <v>1</v>
      </c>
      <c r="AU3" s="4" t="n">
        <v>1</v>
      </c>
      <c r="AV3" s="4" t="n">
        <v>1</v>
      </c>
      <c r="AW3" s="4" t="n">
        <v>0</v>
      </c>
    </row>
    <row r="4" customFormat="false" ht="15" hidden="false" customHeight="false" outlineLevel="0" collapsed="false">
      <c r="A4" s="4" t="s">
        <v>168</v>
      </c>
      <c r="B4" s="4" t="s">
        <v>169</v>
      </c>
      <c r="C4" s="4" t="s">
        <v>124</v>
      </c>
      <c r="D4" s="4" t="s">
        <v>116</v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/>
      <c r="AG4" s="14"/>
      <c r="AH4" s="14" t="n">
        <v>8</v>
      </c>
      <c r="AI4" s="14" t="n">
        <v>5</v>
      </c>
      <c r="AJ4" s="14"/>
      <c r="AK4" s="7"/>
      <c r="AL4" s="7" t="n">
        <v>12</v>
      </c>
      <c r="AM4" s="7" t="n">
        <v>6</v>
      </c>
      <c r="AN4" s="4" t="n">
        <v>1</v>
      </c>
      <c r="AO4" s="4" t="n">
        <v>1</v>
      </c>
      <c r="AP4" s="4" t="n">
        <v>0</v>
      </c>
      <c r="AQ4" s="4" t="n">
        <v>0</v>
      </c>
      <c r="AR4" s="4" t="n">
        <v>1</v>
      </c>
      <c r="AS4" s="4" t="n">
        <v>1</v>
      </c>
      <c r="AT4" s="4" t="n">
        <v>1</v>
      </c>
      <c r="AU4" s="4" t="n">
        <v>1</v>
      </c>
      <c r="AV4" s="4" t="n">
        <v>1</v>
      </c>
      <c r="AW4" s="4" t="n">
        <v>1</v>
      </c>
    </row>
    <row r="5" customFormat="false" ht="15" hidden="false" customHeight="false" outlineLevel="0" collapsed="false">
      <c r="A5" s="4" t="s">
        <v>170</v>
      </c>
      <c r="B5" s="4" t="s">
        <v>171</v>
      </c>
      <c r="C5" s="4" t="s">
        <v>124</v>
      </c>
      <c r="D5" s="4" t="s">
        <v>116</v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/>
      <c r="O5" s="5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7"/>
      <c r="AL5" s="7" t="n">
        <v>11</v>
      </c>
      <c r="AM5" s="7" t="n">
        <v>4</v>
      </c>
      <c r="AN5" s="4" t="n">
        <v>1</v>
      </c>
      <c r="AO5" s="4" t="n">
        <v>0</v>
      </c>
      <c r="AP5" s="4"/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</row>
    <row r="6" customFormat="false" ht="15" hidden="false" customHeight="false" outlineLevel="0" collapsed="false">
      <c r="A6" s="4" t="s">
        <v>172</v>
      </c>
      <c r="B6" s="4" t="s">
        <v>173</v>
      </c>
      <c r="C6" s="4" t="s">
        <v>124</v>
      </c>
      <c r="D6" s="4" t="s">
        <v>116</v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64.5</v>
      </c>
      <c r="AD6" s="14" t="n">
        <v>70</v>
      </c>
      <c r="AE6" s="14" t="n">
        <v>76.75</v>
      </c>
      <c r="AF6" s="14"/>
      <c r="AG6" s="14"/>
      <c r="AH6" s="14" t="n">
        <v>8.5</v>
      </c>
      <c r="AI6" s="14" t="n">
        <v>6</v>
      </c>
      <c r="AJ6" s="14" t="n">
        <v>14</v>
      </c>
      <c r="AK6" s="7" t="n">
        <v>952</v>
      </c>
      <c r="AL6" s="7" t="n">
        <v>24</v>
      </c>
      <c r="AM6" s="7" t="n">
        <v>13</v>
      </c>
      <c r="AN6" s="4" t="n">
        <v>1</v>
      </c>
      <c r="AO6" s="4" t="n">
        <v>1</v>
      </c>
      <c r="AP6" s="4" t="n">
        <v>1</v>
      </c>
      <c r="AQ6" s="4" t="n">
        <v>0</v>
      </c>
      <c r="AR6" s="4" t="n">
        <v>1</v>
      </c>
      <c r="AS6" s="4" t="n">
        <v>1</v>
      </c>
      <c r="AT6" s="4" t="n">
        <v>1</v>
      </c>
      <c r="AU6" s="4" t="n">
        <v>1</v>
      </c>
      <c r="AV6" s="4" t="n">
        <v>1</v>
      </c>
      <c r="AW6" s="4" t="n">
        <v>1</v>
      </c>
    </row>
    <row r="7" customFormat="false" ht="15" hidden="false" customHeight="false" outlineLevel="0" collapsed="false">
      <c r="A7" s="4" t="s">
        <v>174</v>
      </c>
      <c r="B7" s="4" t="s">
        <v>175</v>
      </c>
      <c r="C7" s="4" t="s">
        <v>124</v>
      </c>
      <c r="D7" s="4" t="s">
        <v>116</v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/>
      <c r="AG7" s="14" t="n">
        <v>25.5</v>
      </c>
      <c r="AH7" s="14" t="n">
        <v>11</v>
      </c>
      <c r="AI7" s="14" t="n">
        <v>6</v>
      </c>
      <c r="AJ7" s="14"/>
      <c r="AK7" s="7"/>
      <c r="AL7" s="7" t="n">
        <v>31</v>
      </c>
      <c r="AM7" s="7" t="n">
        <v>22</v>
      </c>
      <c r="AN7" s="4" t="n">
        <v>0</v>
      </c>
      <c r="AO7" s="4" t="n">
        <v>1</v>
      </c>
      <c r="AP7" s="4" t="n">
        <v>0</v>
      </c>
      <c r="AQ7" s="4" t="n">
        <v>0</v>
      </c>
      <c r="AR7" s="4" t="n">
        <v>1</v>
      </c>
      <c r="AS7" s="4" t="n">
        <v>1</v>
      </c>
      <c r="AT7" s="4" t="n">
        <v>1</v>
      </c>
      <c r="AU7" s="4" t="n">
        <v>1</v>
      </c>
      <c r="AV7" s="4" t="n">
        <v>1</v>
      </c>
      <c r="AW7" s="4" t="n">
        <v>1</v>
      </c>
    </row>
    <row r="8" customFormat="false" ht="15" hidden="false" customHeight="false" outlineLevel="0" collapsed="false">
      <c r="A8" s="4" t="s">
        <v>176</v>
      </c>
      <c r="B8" s="4" t="s">
        <v>177</v>
      </c>
      <c r="C8" s="4" t="s">
        <v>128</v>
      </c>
      <c r="D8" s="4" t="s">
        <v>116</v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7"/>
      <c r="AL8" s="7" t="n">
        <v>14</v>
      </c>
      <c r="AM8" s="7" t="n">
        <v>7</v>
      </c>
      <c r="AN8" s="4" t="n">
        <v>0</v>
      </c>
      <c r="AO8" s="4" t="n">
        <v>0</v>
      </c>
      <c r="AP8" s="4"/>
      <c r="AQ8" s="4" t="n">
        <v>1</v>
      </c>
      <c r="AR8" s="4" t="n">
        <v>1</v>
      </c>
      <c r="AS8" s="4" t="n">
        <v>1</v>
      </c>
      <c r="AT8" s="4" t="n">
        <v>1</v>
      </c>
      <c r="AU8" s="4" t="n">
        <v>1</v>
      </c>
      <c r="AV8" s="4" t="n">
        <v>1</v>
      </c>
      <c r="AW8" s="4" t="n">
        <v>1</v>
      </c>
    </row>
    <row r="9" customFormat="false" ht="15" hidden="false" customHeight="false" outlineLevel="0" collapsed="false">
      <c r="A9" s="4" t="s">
        <v>178</v>
      </c>
      <c r="B9" s="4" t="s">
        <v>179</v>
      </c>
      <c r="C9" s="4" t="s">
        <v>127</v>
      </c>
      <c r="D9" s="4" t="s">
        <v>115</v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/>
      <c r="O9" s="5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7"/>
      <c r="AL9" s="7" t="n">
        <v>15</v>
      </c>
      <c r="AM9" s="7" t="n">
        <v>9</v>
      </c>
      <c r="AN9" s="4" t="n">
        <v>0</v>
      </c>
      <c r="AO9" s="4" t="n">
        <v>0</v>
      </c>
      <c r="AP9" s="4"/>
      <c r="AQ9" s="4" t="n">
        <v>0</v>
      </c>
      <c r="AR9" s="4" t="n">
        <v>0</v>
      </c>
      <c r="AS9" s="4" t="n">
        <v>1</v>
      </c>
      <c r="AT9" s="4" t="n">
        <v>1</v>
      </c>
      <c r="AU9" s="4" t="n">
        <v>1</v>
      </c>
      <c r="AV9" s="4" t="n">
        <v>1</v>
      </c>
      <c r="AW9" s="4" t="n">
        <v>1</v>
      </c>
    </row>
    <row r="10" customFormat="false" ht="15" hidden="false" customHeight="false" outlineLevel="0" collapsed="false">
      <c r="A10" s="4" t="s">
        <v>180</v>
      </c>
      <c r="B10" s="4" t="s">
        <v>181</v>
      </c>
      <c r="C10" s="4" t="s">
        <v>127</v>
      </c>
      <c r="D10" s="4" t="s">
        <v>115</v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/>
      <c r="O10" s="5"/>
      <c r="P10" s="7" t="n">
        <v>96</v>
      </c>
      <c r="Q10" s="7"/>
      <c r="R10" s="7"/>
      <c r="S10" s="9"/>
      <c r="T10" s="9"/>
      <c r="U10" s="7"/>
      <c r="V10" s="7"/>
      <c r="W10" s="9"/>
      <c r="X10" s="12"/>
      <c r="Y10" s="7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7"/>
      <c r="AL10" s="7" t="n">
        <v>19</v>
      </c>
      <c r="AM10" s="7" t="n">
        <v>14</v>
      </c>
      <c r="AN10" s="4" t="n">
        <v>1</v>
      </c>
      <c r="AO10" s="4" t="n">
        <v>0</v>
      </c>
      <c r="AP10" s="4"/>
      <c r="AQ10" s="4" t="n">
        <v>1</v>
      </c>
      <c r="AR10" s="4" t="n">
        <v>1</v>
      </c>
      <c r="AS10" s="4" t="n">
        <v>1</v>
      </c>
      <c r="AT10" s="4" t="n">
        <v>1</v>
      </c>
      <c r="AU10" s="4" t="n">
        <v>1</v>
      </c>
      <c r="AV10" s="4" t="n">
        <v>1</v>
      </c>
      <c r="AW10" s="4" t="n">
        <v>1</v>
      </c>
    </row>
    <row r="11" customFormat="false" ht="15" hidden="false" customHeight="false" outlineLevel="0" collapsed="false">
      <c r="A11" s="4" t="s">
        <v>182</v>
      </c>
      <c r="B11" s="4" t="s">
        <v>183</v>
      </c>
      <c r="C11" s="4" t="s">
        <v>130</v>
      </c>
      <c r="D11" s="4" t="s">
        <v>115</v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7"/>
      <c r="AL11" s="7" t="n">
        <v>10</v>
      </c>
      <c r="AM11" s="7" t="n">
        <v>7</v>
      </c>
      <c r="AN11" s="4" t="n">
        <v>0</v>
      </c>
      <c r="AO11" s="4" t="n">
        <v>0</v>
      </c>
      <c r="AP11" s="4"/>
      <c r="AQ11" s="4" t="n">
        <v>0</v>
      </c>
      <c r="AR11" s="4" t="n">
        <v>0</v>
      </c>
      <c r="AS11" s="4" t="n">
        <v>0</v>
      </c>
      <c r="AT11" s="4" t="n">
        <v>1</v>
      </c>
      <c r="AU11" s="4" t="n">
        <v>1</v>
      </c>
      <c r="AV11" s="4" t="n">
        <v>1</v>
      </c>
      <c r="AW11" s="4" t="n">
        <v>1</v>
      </c>
    </row>
    <row r="12" customFormat="false" ht="15" hidden="false" customHeight="false" outlineLevel="0" collapsed="false">
      <c r="A12" s="4" t="s">
        <v>184</v>
      </c>
      <c r="B12" s="4" t="s">
        <v>185</v>
      </c>
      <c r="C12" s="4" t="s">
        <v>132</v>
      </c>
      <c r="D12" s="4" t="s">
        <v>115</v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7"/>
      <c r="AL12" s="7" t="n">
        <v>5</v>
      </c>
      <c r="AM12" s="7" t="n">
        <v>4</v>
      </c>
      <c r="AN12" s="4" t="n">
        <v>1</v>
      </c>
      <c r="AO12" s="4" t="n">
        <v>0</v>
      </c>
      <c r="AP12" s="4"/>
      <c r="AQ12" s="4" t="n">
        <v>1</v>
      </c>
      <c r="AR12" s="4" t="n">
        <v>1</v>
      </c>
      <c r="AS12" s="4" t="n">
        <v>1</v>
      </c>
      <c r="AT12" s="4" t="n">
        <v>1</v>
      </c>
      <c r="AU12" s="4" t="n">
        <v>1</v>
      </c>
      <c r="AV12" s="4" t="n">
        <v>1</v>
      </c>
      <c r="AW12" s="4" t="n">
        <v>1</v>
      </c>
    </row>
    <row r="13" customFormat="false" ht="15" hidden="false" customHeight="false" outlineLevel="0" collapsed="false">
      <c r="A13" s="4" t="s">
        <v>186</v>
      </c>
      <c r="B13" s="4" t="s">
        <v>187</v>
      </c>
      <c r="C13" s="4" t="s">
        <v>123</v>
      </c>
      <c r="D13" s="4" t="s">
        <v>114</v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56.75</v>
      </c>
      <c r="AD13" s="14" t="n">
        <v>73.5</v>
      </c>
      <c r="AE13" s="14" t="n">
        <v>81.25</v>
      </c>
      <c r="AF13" s="14" t="n">
        <v>40</v>
      </c>
      <c r="AG13" s="14" t="n">
        <v>31</v>
      </c>
      <c r="AH13" s="14" t="n">
        <v>13</v>
      </c>
      <c r="AI13" s="14" t="n">
        <v>7</v>
      </c>
      <c r="AJ13" s="14" t="n">
        <v>13</v>
      </c>
      <c r="AK13" s="7" t="n">
        <v>468</v>
      </c>
      <c r="AL13" s="7" t="n">
        <v>40</v>
      </c>
      <c r="AM13" s="7" t="n">
        <v>26</v>
      </c>
      <c r="AN13" s="4" t="n">
        <v>0</v>
      </c>
      <c r="AO13" s="4" t="n">
        <v>1</v>
      </c>
      <c r="AP13" s="4" t="n">
        <v>1</v>
      </c>
      <c r="AQ13" s="4" t="n">
        <v>0</v>
      </c>
      <c r="AR13" s="4" t="n">
        <v>0</v>
      </c>
      <c r="AS13" s="4" t="n">
        <v>1</v>
      </c>
      <c r="AT13" s="4" t="n">
        <v>1</v>
      </c>
      <c r="AU13" s="4" t="n">
        <v>1</v>
      </c>
      <c r="AV13" s="4" t="n">
        <v>1</v>
      </c>
      <c r="AW13" s="4" t="n">
        <v>1</v>
      </c>
    </row>
    <row r="14" customFormat="false" ht="15" hidden="false" customHeight="false" outlineLevel="0" collapsed="false">
      <c r="A14" s="4" t="s">
        <v>188</v>
      </c>
      <c r="B14" s="4" t="s">
        <v>189</v>
      </c>
      <c r="C14" s="4" t="s">
        <v>122</v>
      </c>
      <c r="D14" s="4" t="s">
        <v>117</v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/>
      <c r="Y14" s="7" t="n">
        <v>110</v>
      </c>
      <c r="Z14" s="14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42</v>
      </c>
      <c r="AG14" s="14"/>
      <c r="AH14" s="14" t="n">
        <v>12.5</v>
      </c>
      <c r="AI14" s="14" t="n">
        <v>8</v>
      </c>
      <c r="AJ14" s="14" t="n">
        <v>26</v>
      </c>
      <c r="AK14" s="7" t="n">
        <v>588</v>
      </c>
      <c r="AL14" s="7"/>
      <c r="AM14" s="7"/>
      <c r="AN14" s="4" t="n">
        <v>1</v>
      </c>
      <c r="AO14" s="4" t="n">
        <v>1</v>
      </c>
      <c r="AP14" s="4" t="n">
        <v>0</v>
      </c>
      <c r="AQ14" s="4" t="n">
        <v>0</v>
      </c>
      <c r="AR14" s="4" t="n">
        <v>0</v>
      </c>
      <c r="AS14" s="4" t="n">
        <v>1</v>
      </c>
      <c r="AT14" s="4" t="n">
        <v>1</v>
      </c>
      <c r="AU14" s="4" t="n">
        <v>1</v>
      </c>
      <c r="AV14" s="4" t="n">
        <v>1</v>
      </c>
      <c r="AW14" s="4" t="n">
        <v>1</v>
      </c>
    </row>
    <row r="15" customFormat="false" ht="15" hidden="false" customHeight="false" outlineLevel="0" collapsed="false">
      <c r="A15" s="4" t="s">
        <v>190</v>
      </c>
      <c r="B15" s="4" t="s">
        <v>191</v>
      </c>
      <c r="C15" s="4" t="s">
        <v>122</v>
      </c>
      <c r="D15" s="4" t="s">
        <v>117</v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71</v>
      </c>
      <c r="AD15" s="14" t="n">
        <v>85.5</v>
      </c>
      <c r="AE15" s="14" t="n">
        <v>98.75</v>
      </c>
      <c r="AF15" s="14" t="n">
        <v>50</v>
      </c>
      <c r="AG15" s="14"/>
      <c r="AH15" s="14" t="n">
        <v>12</v>
      </c>
      <c r="AI15" s="14"/>
      <c r="AJ15" s="14" t="n">
        <v>25</v>
      </c>
      <c r="AK15" s="7" t="n">
        <v>190</v>
      </c>
      <c r="AL15" s="7" t="n">
        <v>12</v>
      </c>
      <c r="AM15" s="7" t="n">
        <v>6</v>
      </c>
      <c r="AN15" s="4" t="n">
        <v>0</v>
      </c>
      <c r="AO15" s="4" t="n">
        <v>1</v>
      </c>
      <c r="AP15" s="4" t="n">
        <v>1</v>
      </c>
      <c r="AQ15" s="4" t="n">
        <v>0</v>
      </c>
      <c r="AR15" s="4" t="n">
        <v>0</v>
      </c>
      <c r="AS15" s="4" t="n">
        <v>1</v>
      </c>
      <c r="AT15" s="4" t="n">
        <v>1</v>
      </c>
      <c r="AU15" s="4" t="n">
        <v>1</v>
      </c>
      <c r="AV15" s="4" t="n">
        <v>1</v>
      </c>
      <c r="AW15" s="4" t="n">
        <v>1</v>
      </c>
    </row>
    <row r="16" customFormat="false" ht="15" hidden="false" customHeight="false" outlineLevel="0" collapsed="false">
      <c r="A16" s="4" t="s">
        <v>192</v>
      </c>
      <c r="B16" s="4" t="s">
        <v>193</v>
      </c>
      <c r="C16" s="4" t="s">
        <v>122</v>
      </c>
      <c r="D16" s="4" t="s">
        <v>117</v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7"/>
      <c r="AL16" s="7" t="n">
        <v>4</v>
      </c>
      <c r="AM16" s="7" t="n">
        <v>1</v>
      </c>
      <c r="AN16" s="4" t="n">
        <v>0</v>
      </c>
      <c r="AO16" s="4" t="n">
        <v>0</v>
      </c>
      <c r="AP16" s="4"/>
      <c r="AQ16" s="4" t="n">
        <v>0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v>1</v>
      </c>
      <c r="AW16" s="4" t="n">
        <v>0</v>
      </c>
    </row>
    <row r="17" customFormat="false" ht="15" hidden="false" customHeight="false" outlineLevel="0" collapsed="false">
      <c r="A17" s="4" t="s">
        <v>194</v>
      </c>
      <c r="B17" s="4" t="s">
        <v>195</v>
      </c>
      <c r="C17" s="4" t="s">
        <v>122</v>
      </c>
      <c r="D17" s="4" t="s">
        <v>117</v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/>
      <c r="R17" s="7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58.5</v>
      </c>
      <c r="AD17" s="14" t="n">
        <v>75</v>
      </c>
      <c r="AE17" s="14" t="n">
        <v>87.5</v>
      </c>
      <c r="AF17" s="14" t="n">
        <v>42</v>
      </c>
      <c r="AG17" s="14" t="n">
        <v>37.5</v>
      </c>
      <c r="AH17" s="14" t="n">
        <v>12</v>
      </c>
      <c r="AI17" s="14" t="n">
        <v>8</v>
      </c>
      <c r="AJ17" s="14" t="n">
        <v>25</v>
      </c>
      <c r="AK17" s="7" t="n">
        <v>192</v>
      </c>
      <c r="AL17" s="7"/>
      <c r="AM17" s="7"/>
      <c r="AN17" s="4" t="n">
        <v>0</v>
      </c>
      <c r="AO17" s="4" t="n">
        <v>1</v>
      </c>
      <c r="AP17" s="4" t="n">
        <v>1</v>
      </c>
      <c r="AQ17" s="4" t="n">
        <v>0</v>
      </c>
      <c r="AR17" s="4" t="n">
        <v>0</v>
      </c>
      <c r="AS17" s="4" t="n">
        <v>1</v>
      </c>
      <c r="AT17" s="4" t="n">
        <v>1</v>
      </c>
      <c r="AU17" s="4" t="n">
        <v>1</v>
      </c>
      <c r="AV17" s="4" t="n">
        <v>1</v>
      </c>
      <c r="AW17" s="4" t="n">
        <v>1</v>
      </c>
    </row>
    <row r="18" customFormat="false" ht="15" hidden="false" customHeight="false" outlineLevel="0" collapsed="false">
      <c r="A18" s="4" t="s">
        <v>196</v>
      </c>
      <c r="B18" s="4" t="s">
        <v>197</v>
      </c>
      <c r="C18" s="4" t="s">
        <v>122</v>
      </c>
      <c r="D18" s="4" t="s">
        <v>117</v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/>
      <c r="R18" s="7"/>
      <c r="S18" s="9"/>
      <c r="T18" s="9"/>
      <c r="U18" s="7"/>
      <c r="V18" s="7"/>
      <c r="W18" s="9"/>
      <c r="X18" s="12"/>
      <c r="Y18" s="7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7"/>
      <c r="AL18" s="7" t="n">
        <v>10</v>
      </c>
      <c r="AM18" s="7" t="n">
        <v>6</v>
      </c>
      <c r="AN18" s="4" t="n">
        <v>0</v>
      </c>
      <c r="AO18" s="4" t="n">
        <v>0</v>
      </c>
      <c r="AP18" s="4"/>
      <c r="AQ18" s="4" t="n">
        <v>0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v>1</v>
      </c>
      <c r="AW18" s="4" t="n">
        <v>1</v>
      </c>
    </row>
    <row r="19" customFormat="false" ht="15" hidden="false" customHeight="false" outlineLevel="0" collapsed="false">
      <c r="A19" s="4" t="s">
        <v>198</v>
      </c>
      <c r="B19" s="4" t="s">
        <v>199</v>
      </c>
      <c r="C19" s="4" t="s">
        <v>122</v>
      </c>
      <c r="D19" s="4" t="s">
        <v>117</v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/>
      <c r="O19" s="5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74</v>
      </c>
      <c r="AD19" s="14" t="n">
        <v>97</v>
      </c>
      <c r="AE19" s="14" t="n">
        <v>121</v>
      </c>
      <c r="AF19" s="14" t="n">
        <v>54</v>
      </c>
      <c r="AG19" s="14" t="n">
        <v>40</v>
      </c>
      <c r="AH19" s="14" t="n">
        <v>13</v>
      </c>
      <c r="AI19" s="14" t="n">
        <v>12</v>
      </c>
      <c r="AJ19" s="14" t="n">
        <v>28</v>
      </c>
      <c r="AK19" s="7" t="n">
        <v>836</v>
      </c>
      <c r="AL19" s="7" t="n">
        <v>272</v>
      </c>
      <c r="AM19" s="7" t="n">
        <v>243</v>
      </c>
      <c r="AN19" s="4" t="n">
        <v>0</v>
      </c>
      <c r="AO19" s="4" t="n">
        <v>1</v>
      </c>
      <c r="AP19" s="4" t="n">
        <v>1</v>
      </c>
      <c r="AQ19" s="4" t="n">
        <v>0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v>1</v>
      </c>
      <c r="AW19" s="4" t="n">
        <v>1</v>
      </c>
    </row>
    <row r="20" customFormat="false" ht="15" hidden="false" customHeight="false" outlineLevel="0" collapsed="false">
      <c r="A20" s="4" t="s">
        <v>200</v>
      </c>
      <c r="B20" s="4" t="s">
        <v>201</v>
      </c>
      <c r="C20" s="4" t="s">
        <v>131</v>
      </c>
      <c r="D20" s="4" t="s">
        <v>117</v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/>
      <c r="O20" s="5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7"/>
      <c r="AL20" s="7" t="n">
        <v>8</v>
      </c>
      <c r="AM20" s="7" t="n">
        <v>6</v>
      </c>
      <c r="AN20" s="4" t="n">
        <v>1</v>
      </c>
      <c r="AO20" s="4" t="n">
        <v>0</v>
      </c>
      <c r="AP20" s="4"/>
      <c r="AQ20" s="4" t="n">
        <v>0</v>
      </c>
      <c r="AR20" s="4" t="n">
        <v>0</v>
      </c>
      <c r="AS20" s="4" t="n">
        <v>1</v>
      </c>
      <c r="AT20" s="4" t="n">
        <v>1</v>
      </c>
      <c r="AU20" s="4" t="n">
        <v>1</v>
      </c>
      <c r="AV20" s="4" t="n">
        <v>1</v>
      </c>
      <c r="AW20" s="4" t="n">
        <v>1</v>
      </c>
    </row>
    <row r="21" customFormat="false" ht="15" hidden="false" customHeight="false" outlineLevel="0" collapsed="false">
      <c r="A21" s="4" t="s">
        <v>202</v>
      </c>
      <c r="B21" s="4" t="s">
        <v>203</v>
      </c>
      <c r="C21" s="4" t="s">
        <v>131</v>
      </c>
      <c r="D21" s="4" t="s">
        <v>117</v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38</v>
      </c>
      <c r="AG21" s="14" t="n">
        <v>24</v>
      </c>
      <c r="AH21" s="14" t="n">
        <v>16.5</v>
      </c>
      <c r="AI21" s="14" t="n">
        <v>9</v>
      </c>
      <c r="AJ21" s="14"/>
      <c r="AK21" s="7" t="n">
        <v>780</v>
      </c>
      <c r="AL21" s="7" t="n">
        <v>99</v>
      </c>
      <c r="AM21" s="7" t="n">
        <v>69</v>
      </c>
      <c r="AN21" s="4" t="n">
        <v>1</v>
      </c>
      <c r="AO21" s="4" t="n">
        <v>1</v>
      </c>
      <c r="AP21" s="4" t="n">
        <v>0</v>
      </c>
      <c r="AQ21" s="4" t="n">
        <v>0</v>
      </c>
      <c r="AR21" s="4" t="n">
        <v>0</v>
      </c>
      <c r="AS21" s="4" t="n">
        <v>1</v>
      </c>
      <c r="AT21" s="4" t="n">
        <v>1</v>
      </c>
      <c r="AU21" s="4" t="n">
        <v>1</v>
      </c>
      <c r="AV21" s="4" t="n">
        <v>1</v>
      </c>
      <c r="AW21" s="4" t="n">
        <v>1</v>
      </c>
    </row>
    <row r="22" customFormat="false" ht="15" hidden="false" customHeight="false" outlineLevel="0" collapsed="false">
      <c r="A22" s="4" t="s">
        <v>204</v>
      </c>
      <c r="B22" s="4" t="s">
        <v>205</v>
      </c>
      <c r="C22" s="4" t="s">
        <v>131</v>
      </c>
      <c r="D22" s="4" t="s">
        <v>117</v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7"/>
      <c r="AL22" s="7" t="n">
        <v>15</v>
      </c>
      <c r="AM22" s="7" t="n">
        <v>7</v>
      </c>
      <c r="AN22" s="4" t="n">
        <v>0</v>
      </c>
      <c r="AO22" s="4" t="n">
        <v>0</v>
      </c>
      <c r="AP22" s="4"/>
      <c r="AQ22" s="4" t="n">
        <v>0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v>1</v>
      </c>
      <c r="AW22" s="4" t="n">
        <v>1</v>
      </c>
    </row>
    <row r="23" customFormat="false" ht="15" hidden="false" customHeight="false" outlineLevel="0" collapsed="false">
      <c r="A23" s="4" t="s">
        <v>206</v>
      </c>
      <c r="B23" s="4" t="s">
        <v>207</v>
      </c>
      <c r="C23" s="4" t="s">
        <v>131</v>
      </c>
      <c r="D23" s="4" t="s">
        <v>117</v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/>
      <c r="O23" s="5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7"/>
      <c r="AL23" s="7" t="n">
        <v>10</v>
      </c>
      <c r="AM23" s="7" t="n">
        <v>6</v>
      </c>
      <c r="AN23" s="4" t="n">
        <v>1</v>
      </c>
      <c r="AO23" s="4" t="n">
        <v>0</v>
      </c>
      <c r="AP23" s="4"/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v>1</v>
      </c>
      <c r="AW23" s="4" t="n">
        <v>0</v>
      </c>
    </row>
    <row r="24" customFormat="false" ht="15" hidden="false" customHeight="false" outlineLevel="0" collapsed="false">
      <c r="A24" s="4" t="s">
        <v>208</v>
      </c>
      <c r="B24" s="4" t="s">
        <v>209</v>
      </c>
      <c r="C24" s="4" t="s">
        <v>131</v>
      </c>
      <c r="D24" s="4" t="s">
        <v>117</v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/>
      <c r="O24" s="5"/>
      <c r="P24" s="7" t="n">
        <v>153</v>
      </c>
      <c r="Q24" s="7"/>
      <c r="R24" s="7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/>
      <c r="Y24" s="7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7" t="n">
        <v>1357</v>
      </c>
      <c r="AL24" s="7"/>
      <c r="AM24" s="7"/>
      <c r="AN24" s="4" t="n">
        <v>0</v>
      </c>
      <c r="AO24" s="4" t="n">
        <v>0</v>
      </c>
      <c r="AP24" s="4"/>
      <c r="AQ24" s="4" t="n">
        <v>0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v>1</v>
      </c>
      <c r="AW24" s="4" t="n">
        <v>1</v>
      </c>
    </row>
    <row r="25" customFormat="false" ht="15" hidden="false" customHeight="false" outlineLevel="0" collapsed="false">
      <c r="A25" s="4" t="s">
        <v>210</v>
      </c>
      <c r="B25" s="4" t="s">
        <v>211</v>
      </c>
      <c r="C25" s="4" t="s">
        <v>133</v>
      </c>
      <c r="D25" s="4" t="s">
        <v>117</v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52.25</v>
      </c>
      <c r="AD25" s="14" t="n">
        <v>68.5</v>
      </c>
      <c r="AE25" s="14" t="n">
        <v>96.75</v>
      </c>
      <c r="AF25" s="14" t="n">
        <v>52.5</v>
      </c>
      <c r="AG25" s="14" t="n">
        <v>28.5</v>
      </c>
      <c r="AH25" s="14" t="n">
        <v>11</v>
      </c>
      <c r="AI25" s="14" t="n">
        <v>8</v>
      </c>
      <c r="AJ25" s="14" t="n">
        <v>25</v>
      </c>
      <c r="AK25" s="7" t="n">
        <v>540</v>
      </c>
      <c r="AL25" s="7" t="n">
        <v>17</v>
      </c>
      <c r="AM25" s="7" t="n">
        <v>13</v>
      </c>
      <c r="AN25" s="4" t="n">
        <v>1</v>
      </c>
      <c r="AO25" s="4" t="n">
        <v>1</v>
      </c>
      <c r="AP25" s="4" t="n">
        <v>1</v>
      </c>
      <c r="AQ25" s="4" t="n">
        <v>0</v>
      </c>
      <c r="AR25" s="4" t="n">
        <v>0</v>
      </c>
      <c r="AS25" s="4" t="n">
        <v>1</v>
      </c>
      <c r="AT25" s="4" t="n">
        <v>1</v>
      </c>
      <c r="AU25" s="4" t="n">
        <v>1</v>
      </c>
      <c r="AV25" s="4" t="n">
        <v>1</v>
      </c>
      <c r="AW25" s="4" t="n">
        <v>1</v>
      </c>
    </row>
    <row r="26" customFormat="false" ht="15" hidden="false" customHeight="false" outlineLevel="0" collapsed="false">
      <c r="A26" s="4" t="s">
        <v>212</v>
      </c>
      <c r="B26" s="4" t="s">
        <v>213</v>
      </c>
      <c r="C26" s="4" t="s">
        <v>133</v>
      </c>
      <c r="D26" s="4" t="s">
        <v>117</v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/>
      <c r="O26" s="5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>
        <v>49.5</v>
      </c>
      <c r="AG26" s="14" t="n">
        <v>39</v>
      </c>
      <c r="AH26" s="14" t="n">
        <v>16</v>
      </c>
      <c r="AI26" s="14" t="n">
        <v>8</v>
      </c>
      <c r="AJ26" s="14" t="n">
        <v>36.5</v>
      </c>
      <c r="AK26" s="7" t="n">
        <v>934</v>
      </c>
      <c r="AL26" s="7" t="n">
        <v>712</v>
      </c>
      <c r="AM26" s="7" t="n">
        <v>453</v>
      </c>
      <c r="AN26" s="4" t="n">
        <v>1</v>
      </c>
      <c r="AO26" s="4" t="n">
        <v>1</v>
      </c>
      <c r="AP26" s="4" t="n">
        <v>0</v>
      </c>
      <c r="AQ26" s="4" t="n">
        <v>1</v>
      </c>
      <c r="AR26" s="4" t="n">
        <v>1</v>
      </c>
      <c r="AS26" s="4" t="n">
        <v>1</v>
      </c>
      <c r="AT26" s="4" t="n">
        <v>1</v>
      </c>
      <c r="AU26" s="4" t="n">
        <v>1</v>
      </c>
      <c r="AV26" s="4" t="n">
        <v>1</v>
      </c>
      <c r="AW26" s="4" t="n">
        <v>1</v>
      </c>
    </row>
    <row r="27" customFormat="false" ht="15" hidden="false" customHeight="false" outlineLevel="0" collapsed="false">
      <c r="A27" s="4" t="s">
        <v>214</v>
      </c>
      <c r="B27" s="4" t="s">
        <v>215</v>
      </c>
      <c r="C27" s="4" t="s">
        <v>133</v>
      </c>
      <c r="D27" s="4" t="s">
        <v>117</v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/>
      <c r="P27" s="7" t="n">
        <v>684</v>
      </c>
      <c r="Q27" s="7" t="n">
        <v>65145</v>
      </c>
      <c r="R27" s="7" t="n">
        <v>1782</v>
      </c>
      <c r="S27" s="9"/>
      <c r="T27" s="9" t="n">
        <v>14</v>
      </c>
      <c r="U27" s="7" t="n">
        <v>7178</v>
      </c>
      <c r="V27" s="7" t="n">
        <v>222</v>
      </c>
      <c r="W27" s="9" t="n">
        <v>528.57</v>
      </c>
      <c r="X27" s="12" t="n">
        <v>0.00811</v>
      </c>
      <c r="Y27" s="7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7"/>
      <c r="AL27" s="7" t="n">
        <v>32</v>
      </c>
      <c r="AM27" s="7" t="n">
        <v>24</v>
      </c>
      <c r="AN27" s="4" t="n">
        <v>0</v>
      </c>
      <c r="AO27" s="4" t="n">
        <v>0</v>
      </c>
      <c r="AP27" s="4"/>
      <c r="AQ27" s="4" t="n">
        <v>0</v>
      </c>
      <c r="AR27" s="4" t="n">
        <v>1</v>
      </c>
      <c r="AS27" s="4" t="n">
        <v>1</v>
      </c>
      <c r="AT27" s="4" t="n">
        <v>1</v>
      </c>
      <c r="AU27" s="4" t="n">
        <v>1</v>
      </c>
      <c r="AV27" s="4" t="n">
        <v>1</v>
      </c>
      <c r="AW27" s="4" t="n">
        <v>0</v>
      </c>
    </row>
    <row r="28" customFormat="false" ht="15" hidden="false" customHeight="false" outlineLevel="0" collapsed="false">
      <c r="A28" s="4" t="s">
        <v>216</v>
      </c>
      <c r="B28" s="4" t="s">
        <v>217</v>
      </c>
      <c r="C28" s="4" t="s">
        <v>133</v>
      </c>
      <c r="D28" s="4" t="s">
        <v>117</v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/>
      <c r="AG28" s="14" t="n">
        <v>68</v>
      </c>
      <c r="AH28" s="14"/>
      <c r="AI28" s="14"/>
      <c r="AJ28" s="14" t="n">
        <v>36</v>
      </c>
      <c r="AK28" s="7"/>
      <c r="AL28" s="7" t="n">
        <v>51</v>
      </c>
      <c r="AM28" s="7" t="n">
        <v>38</v>
      </c>
      <c r="AN28" s="4" t="n">
        <v>1</v>
      </c>
      <c r="AO28" s="4" t="n">
        <v>1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1</v>
      </c>
      <c r="AU28" s="4" t="n">
        <v>1</v>
      </c>
      <c r="AV28" s="4" t="n">
        <v>1</v>
      </c>
      <c r="AW28" s="4" t="n">
        <v>0</v>
      </c>
    </row>
    <row r="29" customFormat="false" ht="15" hidden="false" customHeight="false" outlineLevel="0" collapsed="false">
      <c r="A29" s="4" t="s">
        <v>218</v>
      </c>
      <c r="B29" s="4" t="s">
        <v>219</v>
      </c>
      <c r="C29" s="4" t="s">
        <v>133</v>
      </c>
      <c r="D29" s="4" t="s">
        <v>117</v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>
        <v>43.9</v>
      </c>
      <c r="AG29" s="14" t="n">
        <v>39.9</v>
      </c>
      <c r="AH29" s="14" t="n">
        <v>15</v>
      </c>
      <c r="AI29" s="14" t="n">
        <v>9</v>
      </c>
      <c r="AJ29" s="14" t="n">
        <v>37.9</v>
      </c>
      <c r="AK29" s="7" t="n">
        <v>225</v>
      </c>
      <c r="AL29" s="7" t="n">
        <v>80</v>
      </c>
      <c r="AM29" s="7" t="n">
        <v>48</v>
      </c>
      <c r="AN29" s="4" t="n">
        <v>1</v>
      </c>
      <c r="AO29" s="4" t="n">
        <v>1</v>
      </c>
      <c r="AP29" s="4" t="n">
        <v>0</v>
      </c>
      <c r="AQ29" s="4" t="n">
        <v>0</v>
      </c>
      <c r="AR29" s="4" t="n">
        <v>0</v>
      </c>
      <c r="AS29" s="4" t="n">
        <v>1</v>
      </c>
      <c r="AT29" s="4" t="n">
        <v>1</v>
      </c>
      <c r="AU29" s="4" t="n">
        <v>1</v>
      </c>
      <c r="AV29" s="4" t="n">
        <v>1</v>
      </c>
      <c r="AW29" s="4" t="n">
        <v>1</v>
      </c>
    </row>
    <row r="30" customFormat="false" ht="15" hidden="false" customHeight="false" outlineLevel="0" collapsed="false">
      <c r="A30" s="4" t="s">
        <v>220</v>
      </c>
      <c r="B30" s="4" t="s">
        <v>221</v>
      </c>
      <c r="C30" s="4" t="s">
        <v>133</v>
      </c>
      <c r="D30" s="4" t="s">
        <v>117</v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/>
      <c r="O30" s="5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7"/>
      <c r="AL30" s="7" t="n">
        <v>12</v>
      </c>
      <c r="AM30" s="7" t="n">
        <v>3</v>
      </c>
      <c r="AN30" s="4" t="n">
        <v>1</v>
      </c>
      <c r="AO30" s="4" t="n">
        <v>0</v>
      </c>
      <c r="AP30" s="4"/>
      <c r="AQ30" s="4" t="n">
        <v>0</v>
      </c>
      <c r="AR30" s="4" t="n">
        <v>1</v>
      </c>
      <c r="AS30" s="4" t="n">
        <v>1</v>
      </c>
      <c r="AT30" s="4" t="n">
        <v>1</v>
      </c>
      <c r="AU30" s="4" t="n">
        <v>1</v>
      </c>
      <c r="AV30" s="4" t="n">
        <v>1</v>
      </c>
      <c r="AW30" s="4" t="n">
        <v>1</v>
      </c>
    </row>
    <row r="31" customFormat="false" ht="15" hidden="false" customHeight="false" outlineLevel="0" collapsed="false">
      <c r="A31" s="4" t="s">
        <v>222</v>
      </c>
      <c r="B31" s="4" t="s">
        <v>223</v>
      </c>
      <c r="C31" s="4" t="s">
        <v>133</v>
      </c>
      <c r="D31" s="4" t="s">
        <v>117</v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9.87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29</v>
      </c>
      <c r="AG31" s="14" t="n">
        <v>50</v>
      </c>
      <c r="AH31" s="14" t="n">
        <v>17</v>
      </c>
      <c r="AI31" s="14" t="n">
        <v>8</v>
      </c>
      <c r="AJ31" s="14" t="n">
        <v>21.5</v>
      </c>
      <c r="AK31" s="7" t="n">
        <v>239</v>
      </c>
      <c r="AL31" s="7" t="n">
        <v>17</v>
      </c>
      <c r="AM31" s="7" t="n">
        <v>6</v>
      </c>
      <c r="AN31" s="4" t="n">
        <v>0</v>
      </c>
      <c r="AO31" s="4" t="n">
        <v>1</v>
      </c>
      <c r="AP31" s="4" t="n">
        <v>0</v>
      </c>
      <c r="AQ31" s="4" t="n">
        <v>0</v>
      </c>
      <c r="AR31" s="4" t="n">
        <v>0</v>
      </c>
      <c r="AS31" s="4" t="n">
        <v>1</v>
      </c>
      <c r="AT31" s="4" t="n">
        <v>1</v>
      </c>
      <c r="AU31" s="4" t="n">
        <v>1</v>
      </c>
      <c r="AV31" s="4" t="n">
        <v>1</v>
      </c>
      <c r="AW31" s="4" t="n">
        <v>1</v>
      </c>
    </row>
    <row r="32" customFormat="false" ht="15" hidden="false" customHeight="false" outlineLevel="0" collapsed="false">
      <c r="A32" s="4" t="s">
        <v>224</v>
      </c>
      <c r="B32" s="4" t="s">
        <v>225</v>
      </c>
      <c r="C32" s="4" t="s">
        <v>133</v>
      </c>
      <c r="D32" s="4" t="s">
        <v>117</v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7"/>
      <c r="AL32" s="7" t="n">
        <v>7</v>
      </c>
      <c r="AM32" s="7" t="n">
        <v>4</v>
      </c>
      <c r="AN32" s="4" t="n">
        <v>0</v>
      </c>
      <c r="AO32" s="4" t="n">
        <v>0</v>
      </c>
      <c r="AP32" s="4"/>
      <c r="AQ32" s="4" t="n">
        <v>0</v>
      </c>
      <c r="AR32" s="4" t="n">
        <v>0</v>
      </c>
      <c r="AS32" s="4" t="n">
        <v>1</v>
      </c>
      <c r="AT32" s="4" t="n">
        <v>1</v>
      </c>
      <c r="AU32" s="4" t="n">
        <v>1</v>
      </c>
      <c r="AV32" s="4" t="n">
        <v>1</v>
      </c>
      <c r="AW32" s="4" t="n">
        <v>1</v>
      </c>
    </row>
    <row r="33" customFormat="false" ht="15" hidden="false" customHeight="false" outlineLevel="0" collapsed="false">
      <c r="A33" s="4" t="s">
        <v>226</v>
      </c>
      <c r="B33" s="4" t="s">
        <v>227</v>
      </c>
      <c r="C33" s="4" t="s">
        <v>133</v>
      </c>
      <c r="D33" s="4" t="s">
        <v>117</v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/>
      <c r="P33" s="7" t="n">
        <v>835</v>
      </c>
      <c r="Q33" s="7" t="n">
        <v>22391</v>
      </c>
      <c r="R33" s="7" t="n">
        <v>1163</v>
      </c>
      <c r="S33" s="9" t="n">
        <v>9.71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38</v>
      </c>
      <c r="AG33" s="14" t="n">
        <v>24.9</v>
      </c>
      <c r="AH33" s="14"/>
      <c r="AI33" s="14"/>
      <c r="AJ33" s="14"/>
      <c r="AK33" s="7"/>
      <c r="AL33" s="7" t="n">
        <v>81</v>
      </c>
      <c r="AM33" s="7" t="n">
        <v>62</v>
      </c>
      <c r="AN33" s="4" t="n">
        <v>1</v>
      </c>
      <c r="AO33" s="4" t="n">
        <v>1</v>
      </c>
      <c r="AP33" s="4" t="n">
        <v>0</v>
      </c>
      <c r="AQ33" s="4" t="n">
        <v>0</v>
      </c>
      <c r="AR33" s="4" t="n">
        <v>1</v>
      </c>
      <c r="AS33" s="4" t="n">
        <v>1</v>
      </c>
      <c r="AT33" s="4" t="n">
        <v>1</v>
      </c>
      <c r="AU33" s="4" t="n">
        <v>1</v>
      </c>
      <c r="AV33" s="4" t="n">
        <v>1</v>
      </c>
      <c r="AW33" s="4" t="n">
        <v>1</v>
      </c>
    </row>
    <row r="34" customFormat="false" ht="15" hidden="false" customHeight="false" outlineLevel="0" collapsed="false">
      <c r="A34" s="4" t="s">
        <v>228</v>
      </c>
      <c r="B34" s="4" t="s">
        <v>229</v>
      </c>
      <c r="C34" s="4" t="s">
        <v>133</v>
      </c>
      <c r="D34" s="4" t="s">
        <v>117</v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7"/>
      <c r="AL34" s="7" t="n">
        <v>120</v>
      </c>
      <c r="AM34" s="7" t="n">
        <v>79</v>
      </c>
      <c r="AN34" s="4" t="n">
        <v>1</v>
      </c>
      <c r="AO34" s="4" t="n">
        <v>0</v>
      </c>
      <c r="AP34" s="4"/>
      <c r="AQ34" s="4" t="n">
        <v>0</v>
      </c>
      <c r="AR34" s="4" t="n">
        <v>1</v>
      </c>
      <c r="AS34" s="4" t="n">
        <v>1</v>
      </c>
      <c r="AT34" s="4" t="n">
        <v>1</v>
      </c>
      <c r="AU34" s="4" t="n">
        <v>1</v>
      </c>
      <c r="AV34" s="4" t="n">
        <v>1</v>
      </c>
      <c r="AW34" s="4" t="n">
        <v>1</v>
      </c>
    </row>
    <row r="35" customFormat="false" ht="15" hidden="false" customHeight="false" outlineLevel="0" collapsed="false">
      <c r="A35" s="4" t="s">
        <v>230</v>
      </c>
      <c r="B35" s="4" t="s">
        <v>231</v>
      </c>
      <c r="C35" s="4" t="s">
        <v>133</v>
      </c>
      <c r="D35" s="4" t="s">
        <v>117</v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>
        <v>12</v>
      </c>
      <c r="AG35" s="14" t="n">
        <v>10</v>
      </c>
      <c r="AH35" s="14" t="n">
        <v>6.5</v>
      </c>
      <c r="AI35" s="14" t="n">
        <v>6</v>
      </c>
      <c r="AJ35" s="14"/>
      <c r="AK35" s="7"/>
      <c r="AL35" s="7" t="n">
        <v>29</v>
      </c>
      <c r="AM35" s="7" t="n">
        <v>16</v>
      </c>
      <c r="AN35" s="4" t="n">
        <v>1</v>
      </c>
      <c r="AO35" s="4" t="n">
        <v>1</v>
      </c>
      <c r="AP35" s="4" t="n">
        <v>0</v>
      </c>
      <c r="AQ35" s="4" t="n">
        <v>0</v>
      </c>
      <c r="AR35" s="4" t="n">
        <v>1</v>
      </c>
      <c r="AS35" s="4" t="n">
        <v>1</v>
      </c>
      <c r="AT35" s="4" t="n">
        <v>1</v>
      </c>
      <c r="AU35" s="4" t="n">
        <v>1</v>
      </c>
      <c r="AV35" s="4" t="n">
        <v>1</v>
      </c>
      <c r="AW35" s="4" t="n">
        <v>0</v>
      </c>
    </row>
    <row r="36" customFormat="false" ht="15" hidden="false" customHeight="false" outlineLevel="0" collapsed="false">
      <c r="A36" s="4" t="s">
        <v>232</v>
      </c>
      <c r="B36" s="4" t="s">
        <v>233</v>
      </c>
      <c r="C36" s="4" t="s">
        <v>133</v>
      </c>
      <c r="D36" s="4" t="s">
        <v>117</v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/>
      <c r="O36" s="5"/>
      <c r="P36" s="7" t="n">
        <v>438</v>
      </c>
      <c r="Q36" s="7" t="n">
        <v>5966</v>
      </c>
      <c r="R36" s="7" t="n">
        <v>756</v>
      </c>
      <c r="S36" s="9" t="n">
        <v>9.86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7"/>
      <c r="AL36" s="7" t="n">
        <v>5</v>
      </c>
      <c r="AM36" s="7" t="n">
        <v>3</v>
      </c>
      <c r="AN36" s="4" t="n">
        <v>1</v>
      </c>
      <c r="AO36" s="4" t="n">
        <v>0</v>
      </c>
      <c r="AP36" s="4"/>
      <c r="AQ36" s="4" t="n">
        <v>0</v>
      </c>
      <c r="AR36" s="4" t="n">
        <v>1</v>
      </c>
      <c r="AS36" s="4" t="n">
        <v>1</v>
      </c>
      <c r="AT36" s="4" t="n">
        <v>1</v>
      </c>
      <c r="AU36" s="4" t="n">
        <v>1</v>
      </c>
      <c r="AV36" s="4" t="n">
        <v>1</v>
      </c>
      <c r="AW36" s="4" t="n">
        <v>1</v>
      </c>
    </row>
    <row r="37" customFormat="false" ht="15" hidden="false" customHeight="false" outlineLevel="0" collapsed="false">
      <c r="A37" s="4" t="s">
        <v>234</v>
      </c>
      <c r="B37" s="4" t="s">
        <v>235</v>
      </c>
      <c r="C37" s="4" t="s">
        <v>133</v>
      </c>
      <c r="D37" s="4" t="s">
        <v>117</v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/>
      <c r="O37" s="5"/>
      <c r="P37" s="7" t="n">
        <v>119</v>
      </c>
      <c r="Q37" s="7" t="n">
        <v>90400</v>
      </c>
      <c r="R37" s="7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42</v>
      </c>
      <c r="AG37" s="14" t="n">
        <v>48</v>
      </c>
      <c r="AH37" s="14" t="n">
        <v>18.5</v>
      </c>
      <c r="AI37" s="14" t="n">
        <v>9</v>
      </c>
      <c r="AJ37" s="14" t="n">
        <v>36</v>
      </c>
      <c r="AK37" s="7"/>
      <c r="AL37" s="7" t="n">
        <v>51</v>
      </c>
      <c r="AM37" s="7" t="n">
        <v>28</v>
      </c>
      <c r="AN37" s="4" t="n">
        <v>1</v>
      </c>
      <c r="AO37" s="4" t="n">
        <v>1</v>
      </c>
      <c r="AP37" s="4" t="n">
        <v>1</v>
      </c>
      <c r="AQ37" s="4" t="n">
        <v>0</v>
      </c>
      <c r="AR37" s="4" t="n">
        <v>0</v>
      </c>
      <c r="AS37" s="4" t="n">
        <v>0</v>
      </c>
      <c r="AT37" s="4" t="n">
        <v>1</v>
      </c>
      <c r="AU37" s="4" t="n">
        <v>1</v>
      </c>
      <c r="AV37" s="4" t="n">
        <v>1</v>
      </c>
      <c r="AW37" s="4" t="n">
        <v>1</v>
      </c>
    </row>
    <row r="38" customFormat="false" ht="15" hidden="false" customHeight="false" outlineLevel="0" collapsed="false">
      <c r="A38" s="4" t="s">
        <v>236</v>
      </c>
      <c r="B38" s="4" t="s">
        <v>237</v>
      </c>
      <c r="C38" s="4" t="s">
        <v>133</v>
      </c>
      <c r="D38" s="4" t="s">
        <v>117</v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0.00789</v>
      </c>
      <c r="Y38" s="7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7"/>
      <c r="AL38" s="7" t="n">
        <v>31</v>
      </c>
      <c r="AM38" s="7" t="n">
        <v>18</v>
      </c>
      <c r="AN38" s="4" t="n">
        <v>1</v>
      </c>
      <c r="AO38" s="4" t="n">
        <v>0</v>
      </c>
      <c r="AP38" s="4"/>
      <c r="AQ38" s="4" t="n">
        <v>0</v>
      </c>
      <c r="AR38" s="4" t="n">
        <v>0</v>
      </c>
      <c r="AS38" s="4" t="n">
        <v>1</v>
      </c>
      <c r="AT38" s="4" t="n">
        <v>1</v>
      </c>
      <c r="AU38" s="4" t="n">
        <v>1</v>
      </c>
      <c r="AV38" s="4" t="n">
        <v>1</v>
      </c>
      <c r="AW38" s="4" t="n">
        <v>1</v>
      </c>
    </row>
    <row r="39" customFormat="false" ht="15" hidden="false" customHeight="false" outlineLevel="0" collapsed="false">
      <c r="A39" s="4" t="s">
        <v>238</v>
      </c>
      <c r="B39" s="4" t="s">
        <v>239</v>
      </c>
      <c r="C39" s="4" t="s">
        <v>133</v>
      </c>
      <c r="D39" s="4" t="s">
        <v>117</v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7"/>
      <c r="AL39" s="7" t="n">
        <v>14</v>
      </c>
      <c r="AM39" s="7" t="n">
        <v>7</v>
      </c>
      <c r="AN39" s="4" t="n">
        <v>1</v>
      </c>
      <c r="AO39" s="4" t="n">
        <v>0</v>
      </c>
      <c r="AP39" s="4"/>
      <c r="AQ39" s="4" t="n">
        <v>0</v>
      </c>
      <c r="AR39" s="4" t="n">
        <v>1</v>
      </c>
      <c r="AS39" s="4" t="n">
        <v>1</v>
      </c>
      <c r="AT39" s="4" t="n">
        <v>1</v>
      </c>
      <c r="AU39" s="4" t="n">
        <v>1</v>
      </c>
      <c r="AV39" s="4" t="n">
        <v>1</v>
      </c>
      <c r="AW39" s="4" t="n">
        <v>1</v>
      </c>
    </row>
    <row r="40" customFormat="false" ht="15" hidden="false" customHeight="false" outlineLevel="0" collapsed="false">
      <c r="A40" s="4" t="s">
        <v>240</v>
      </c>
      <c r="B40" s="4" t="s">
        <v>241</v>
      </c>
      <c r="C40" s="4" t="s">
        <v>133</v>
      </c>
      <c r="D40" s="4" t="s">
        <v>117</v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/>
      <c r="O40" s="5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>
        <v>38.9</v>
      </c>
      <c r="AG40" s="14" t="n">
        <v>33</v>
      </c>
      <c r="AH40" s="14" t="n">
        <v>13</v>
      </c>
      <c r="AI40" s="14" t="n">
        <v>11</v>
      </c>
      <c r="AJ40" s="14"/>
      <c r="AK40" s="7" t="n">
        <v>633</v>
      </c>
      <c r="AL40" s="7" t="n">
        <v>18</v>
      </c>
      <c r="AM40" s="7" t="n">
        <v>11</v>
      </c>
      <c r="AN40" s="4" t="n">
        <v>0</v>
      </c>
      <c r="AO40" s="4" t="n">
        <v>1</v>
      </c>
      <c r="AP40" s="4" t="n">
        <v>0</v>
      </c>
      <c r="AQ40" s="4" t="n">
        <v>0</v>
      </c>
      <c r="AR40" s="4" t="n">
        <v>0</v>
      </c>
      <c r="AS40" s="4" t="n">
        <v>1</v>
      </c>
      <c r="AT40" s="4" t="n">
        <v>1</v>
      </c>
      <c r="AU40" s="4" t="n">
        <v>1</v>
      </c>
      <c r="AV40" s="4" t="n">
        <v>1</v>
      </c>
      <c r="AW40" s="4" t="n">
        <v>1</v>
      </c>
    </row>
    <row r="41" customFormat="false" ht="15" hidden="false" customHeight="false" outlineLevel="0" collapsed="false">
      <c r="A41" s="4" t="s">
        <v>242</v>
      </c>
      <c r="B41" s="4" t="s">
        <v>243</v>
      </c>
      <c r="C41" s="4" t="s">
        <v>133</v>
      </c>
      <c r="D41" s="4" t="s">
        <v>117</v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7"/>
      <c r="AL41" s="7" t="n">
        <v>40</v>
      </c>
      <c r="AM41" s="7" t="n">
        <v>22</v>
      </c>
      <c r="AN41" s="4" t="n">
        <v>1</v>
      </c>
      <c r="AO41" s="4" t="n">
        <v>0</v>
      </c>
      <c r="AP41" s="4"/>
      <c r="AQ41" s="4" t="n">
        <v>1</v>
      </c>
      <c r="AR41" s="4" t="n">
        <v>1</v>
      </c>
      <c r="AS41" s="4" t="n">
        <v>1</v>
      </c>
      <c r="AT41" s="4" t="n">
        <v>1</v>
      </c>
      <c r="AU41" s="4" t="n">
        <v>1</v>
      </c>
      <c r="AV41" s="4" t="n">
        <v>1</v>
      </c>
      <c r="AW41" s="4" t="n">
        <v>0</v>
      </c>
    </row>
    <row r="42" customFormat="false" ht="15" hidden="false" customHeight="false" outlineLevel="0" collapsed="false">
      <c r="A42" s="4" t="s">
        <v>244</v>
      </c>
      <c r="B42" s="4" t="s">
        <v>245</v>
      </c>
      <c r="C42" s="4" t="s">
        <v>133</v>
      </c>
      <c r="D42" s="4" t="s">
        <v>117</v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/>
      <c r="Y42" s="7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7" t="n">
        <v>217</v>
      </c>
      <c r="AL42" s="7"/>
      <c r="AM42" s="7"/>
      <c r="AN42" s="4" t="n">
        <v>0</v>
      </c>
      <c r="AO42" s="4" t="n">
        <v>0</v>
      </c>
      <c r="AP42" s="4"/>
      <c r="AQ42" s="4" t="n">
        <v>0</v>
      </c>
      <c r="AR42" s="4" t="n">
        <v>0</v>
      </c>
      <c r="AS42" s="4" t="n">
        <v>1</v>
      </c>
      <c r="AT42" s="4" t="n">
        <v>1</v>
      </c>
      <c r="AU42" s="4" t="n">
        <v>1</v>
      </c>
      <c r="AV42" s="4" t="n">
        <v>1</v>
      </c>
      <c r="AW42" s="4" t="n">
        <v>1</v>
      </c>
    </row>
    <row r="43" customFormat="false" ht="15" hidden="false" customHeight="false" outlineLevel="0" collapsed="false">
      <c r="A43" s="4" t="s">
        <v>246</v>
      </c>
      <c r="B43" s="4" t="s">
        <v>247</v>
      </c>
      <c r="C43" s="4" t="s">
        <v>133</v>
      </c>
      <c r="D43" s="4" t="s">
        <v>117</v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7"/>
      <c r="AL43" s="7" t="n">
        <v>18</v>
      </c>
      <c r="AM43" s="7" t="n">
        <v>8</v>
      </c>
      <c r="AN43" s="4" t="n">
        <v>1</v>
      </c>
      <c r="AO43" s="4" t="n">
        <v>0</v>
      </c>
      <c r="AP43" s="4"/>
      <c r="AQ43" s="4" t="n">
        <v>1</v>
      </c>
      <c r="AR43" s="4" t="n">
        <v>1</v>
      </c>
      <c r="AS43" s="4" t="n">
        <v>1</v>
      </c>
      <c r="AT43" s="4" t="n">
        <v>1</v>
      </c>
      <c r="AU43" s="4" t="n">
        <v>1</v>
      </c>
      <c r="AV43" s="4" t="n">
        <v>1</v>
      </c>
      <c r="AW43" s="4" t="n">
        <v>0</v>
      </c>
    </row>
    <row r="44" customFormat="false" ht="15" hidden="false" customHeight="false" outlineLevel="0" collapsed="false">
      <c r="A44" s="4" t="s">
        <v>248</v>
      </c>
      <c r="B44" s="4" t="s">
        <v>249</v>
      </c>
      <c r="C44" s="4" t="s">
        <v>134</v>
      </c>
      <c r="D44" s="4" t="s">
        <v>117</v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/>
      <c r="N44" s="5" t="n">
        <v>0</v>
      </c>
      <c r="O44" s="5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/>
      <c r="AG44" s="14" t="n">
        <v>18</v>
      </c>
      <c r="AH44" s="14" t="n">
        <v>12</v>
      </c>
      <c r="AI44" s="14" t="n">
        <v>7</v>
      </c>
      <c r="AJ44" s="14"/>
      <c r="AK44" s="7"/>
      <c r="AL44" s="7" t="n">
        <v>9</v>
      </c>
      <c r="AM44" s="7" t="n">
        <v>5</v>
      </c>
      <c r="AN44" s="4" t="n">
        <v>0</v>
      </c>
      <c r="AO44" s="4" t="n">
        <v>1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1</v>
      </c>
      <c r="AU44" s="4" t="n">
        <v>1</v>
      </c>
      <c r="AV44" s="4" t="n">
        <v>1</v>
      </c>
      <c r="AW44" s="4" t="n">
        <v>1</v>
      </c>
    </row>
    <row r="45" customFormat="false" ht="15" hidden="false" customHeight="false" outlineLevel="0" collapsed="false">
      <c r="A45" s="4" t="s">
        <v>250</v>
      </c>
      <c r="B45" s="4" t="s">
        <v>251</v>
      </c>
      <c r="C45" s="4" t="s">
        <v>125</v>
      </c>
      <c r="D45" s="4" t="s">
        <v>118</v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/>
      <c r="N45" s="5" t="n">
        <v>0</v>
      </c>
      <c r="O45" s="5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/>
      <c r="AG45" s="14"/>
      <c r="AH45" s="14"/>
      <c r="AI45" s="14" t="n">
        <v>9</v>
      </c>
      <c r="AJ45" s="14"/>
      <c r="AK45" s="7" t="n">
        <v>270</v>
      </c>
      <c r="AL45" s="7" t="n">
        <v>20</v>
      </c>
      <c r="AM45" s="7" t="n">
        <v>8</v>
      </c>
      <c r="AN45" s="4" t="n">
        <v>0</v>
      </c>
      <c r="AO45" s="4" t="n">
        <v>1</v>
      </c>
      <c r="AP45" s="4" t="n">
        <v>0</v>
      </c>
      <c r="AQ45" s="4" t="n">
        <v>0</v>
      </c>
      <c r="AR45" s="4" t="n">
        <v>0</v>
      </c>
      <c r="AS45" s="4" t="n">
        <v>1</v>
      </c>
      <c r="AT45" s="4" t="n">
        <v>1</v>
      </c>
      <c r="AU45" s="4" t="n">
        <v>1</v>
      </c>
      <c r="AV45" s="4" t="n">
        <v>1</v>
      </c>
      <c r="AW45" s="4" t="n">
        <v>1</v>
      </c>
    </row>
    <row r="46" customFormat="false" ht="15" hidden="false" customHeight="false" outlineLevel="0" collapsed="false">
      <c r="A46" s="4" t="s">
        <v>252</v>
      </c>
      <c r="B46" s="4" t="s">
        <v>253</v>
      </c>
      <c r="C46" s="4" t="s">
        <v>125</v>
      </c>
      <c r="D46" s="4" t="s">
        <v>118</v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>
        <v>32</v>
      </c>
      <c r="AG46" s="14" t="n">
        <v>32</v>
      </c>
      <c r="AH46" s="14" t="n">
        <v>18</v>
      </c>
      <c r="AI46" s="14" t="n">
        <v>8</v>
      </c>
      <c r="AJ46" s="14" t="n">
        <v>24</v>
      </c>
      <c r="AK46" s="7"/>
      <c r="AL46" s="7" t="n">
        <v>37</v>
      </c>
      <c r="AM46" s="7" t="n">
        <v>24</v>
      </c>
      <c r="AN46" s="4" t="n">
        <v>0</v>
      </c>
      <c r="AO46" s="4" t="n">
        <v>1</v>
      </c>
      <c r="AP46" s="4" t="n">
        <v>0</v>
      </c>
      <c r="AQ46" s="4" t="n">
        <v>0</v>
      </c>
      <c r="AR46" s="4" t="n">
        <v>1</v>
      </c>
      <c r="AS46" s="4" t="n">
        <v>1</v>
      </c>
      <c r="AT46" s="4" t="n">
        <v>1</v>
      </c>
      <c r="AU46" s="4" t="n">
        <v>1</v>
      </c>
      <c r="AV46" s="4" t="n">
        <v>1</v>
      </c>
      <c r="AW46" s="4" t="n">
        <v>1</v>
      </c>
    </row>
    <row r="47" customFormat="false" ht="15" hidden="false" customHeight="false" outlineLevel="0" collapsed="false">
      <c r="A47" s="4" t="s">
        <v>254</v>
      </c>
      <c r="B47" s="4" t="s">
        <v>255</v>
      </c>
      <c r="C47" s="4" t="s">
        <v>125</v>
      </c>
      <c r="D47" s="4" t="s">
        <v>118</v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7"/>
      <c r="AL47" s="7" t="n">
        <v>50</v>
      </c>
      <c r="AM47" s="7" t="n">
        <v>17</v>
      </c>
      <c r="AN47" s="4" t="n">
        <v>0</v>
      </c>
      <c r="AO47" s="4" t="n">
        <v>0</v>
      </c>
      <c r="AP47" s="4"/>
      <c r="AQ47" s="4" t="n">
        <v>0</v>
      </c>
      <c r="AR47" s="4" t="n">
        <v>1</v>
      </c>
      <c r="AS47" s="4" t="n">
        <v>1</v>
      </c>
      <c r="AT47" s="4" t="n">
        <v>1</v>
      </c>
      <c r="AU47" s="4" t="n">
        <v>1</v>
      </c>
      <c r="AV47" s="4" t="n">
        <v>1</v>
      </c>
      <c r="AW47" s="4" t="n">
        <v>1</v>
      </c>
    </row>
    <row r="48" customFormat="false" ht="15" hidden="false" customHeight="false" outlineLevel="0" collapsed="false">
      <c r="A48" s="4" t="s">
        <v>256</v>
      </c>
      <c r="B48" s="4" t="s">
        <v>257</v>
      </c>
      <c r="C48" s="4" t="s">
        <v>125</v>
      </c>
      <c r="D48" s="4" t="s">
        <v>118</v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/>
      <c r="N48" s="5"/>
      <c r="O48" s="5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7"/>
      <c r="AL48" s="7" t="n">
        <v>2</v>
      </c>
      <c r="AM48" s="7" t="n">
        <v>0</v>
      </c>
      <c r="AN48" s="4" t="n">
        <v>0</v>
      </c>
      <c r="AO48" s="4" t="n">
        <v>0</v>
      </c>
      <c r="AP48" s="4"/>
      <c r="AQ48" s="4" t="n">
        <v>0</v>
      </c>
      <c r="AR48" s="4" t="n">
        <v>0</v>
      </c>
      <c r="AS48" s="4" t="n">
        <v>1</v>
      </c>
      <c r="AT48" s="4" t="n">
        <v>1</v>
      </c>
      <c r="AU48" s="4" t="n">
        <v>1</v>
      </c>
      <c r="AV48" s="4" t="n">
        <v>1</v>
      </c>
      <c r="AW48" s="4" t="n">
        <v>0</v>
      </c>
    </row>
    <row r="49" customFormat="false" ht="15" hidden="false" customHeight="false" outlineLevel="0" collapsed="false">
      <c r="A49" s="4" t="s">
        <v>258</v>
      </c>
      <c r="B49" s="4" t="s">
        <v>259</v>
      </c>
      <c r="C49" s="4" t="s">
        <v>125</v>
      </c>
      <c r="D49" s="4" t="s">
        <v>118</v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/>
      <c r="N49" s="5"/>
      <c r="O49" s="5"/>
      <c r="P49" s="7" t="n">
        <v>358</v>
      </c>
      <c r="Q49" s="7" t="n">
        <v>3168</v>
      </c>
      <c r="R49" s="7" t="n">
        <v>1832</v>
      </c>
      <c r="S49" s="9" t="n">
        <v>9.05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7"/>
      <c r="AL49" s="7" t="n">
        <v>13</v>
      </c>
      <c r="AM49" s="7" t="n">
        <v>5</v>
      </c>
      <c r="AN49" s="4" t="n">
        <v>0</v>
      </c>
      <c r="AO49" s="4" t="n">
        <v>0</v>
      </c>
      <c r="AP49" s="4"/>
      <c r="AQ49" s="4" t="n">
        <v>1</v>
      </c>
      <c r="AR49" s="4" t="n">
        <v>1</v>
      </c>
      <c r="AS49" s="4" t="n">
        <v>1</v>
      </c>
      <c r="AT49" s="4" t="n">
        <v>1</v>
      </c>
      <c r="AU49" s="4" t="n">
        <v>1</v>
      </c>
      <c r="AV49" s="4" t="n">
        <v>1</v>
      </c>
      <c r="AW49" s="4" t="n">
        <v>0</v>
      </c>
    </row>
    <row r="50" customFormat="false" ht="15" hidden="false" customHeight="false" outlineLevel="0" collapsed="false">
      <c r="A50" s="4" t="s">
        <v>260</v>
      </c>
      <c r="B50" s="4" t="s">
        <v>261</v>
      </c>
      <c r="C50" s="4" t="s">
        <v>125</v>
      </c>
      <c r="D50" s="4" t="s">
        <v>118</v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7"/>
      <c r="AL50" s="7" t="n">
        <v>13</v>
      </c>
      <c r="AM50" s="7" t="n">
        <v>8</v>
      </c>
      <c r="AN50" s="4" t="n">
        <v>0</v>
      </c>
      <c r="AO50" s="4" t="n">
        <v>0</v>
      </c>
      <c r="AP50" s="4"/>
      <c r="AQ50" s="4" t="n">
        <v>1</v>
      </c>
      <c r="AR50" s="4" t="n">
        <v>1</v>
      </c>
      <c r="AS50" s="4" t="n">
        <v>1</v>
      </c>
      <c r="AT50" s="4" t="n">
        <v>1</v>
      </c>
      <c r="AU50" s="4" t="n">
        <v>1</v>
      </c>
      <c r="AV50" s="4" t="n">
        <v>1</v>
      </c>
      <c r="AW50" s="4" t="n">
        <v>1</v>
      </c>
    </row>
    <row r="51" customFormat="false" ht="15" hidden="false" customHeight="false" outlineLevel="0" collapsed="false">
      <c r="A51" s="4" t="s">
        <v>262</v>
      </c>
      <c r="B51" s="4" t="s">
        <v>263</v>
      </c>
      <c r="C51" s="4" t="s">
        <v>126</v>
      </c>
      <c r="D51" s="4" t="s">
        <v>118</v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7"/>
      <c r="AL51" s="7" t="n">
        <v>11</v>
      </c>
      <c r="AM51" s="7" t="n">
        <v>5</v>
      </c>
      <c r="AN51" s="4" t="n">
        <v>0</v>
      </c>
      <c r="AO51" s="4" t="n">
        <v>0</v>
      </c>
      <c r="AP51" s="4"/>
      <c r="AQ51" s="4" t="n">
        <v>0</v>
      </c>
      <c r="AR51" s="4" t="n">
        <v>1</v>
      </c>
      <c r="AS51" s="4" t="n">
        <v>1</v>
      </c>
      <c r="AT51" s="4" t="n">
        <v>1</v>
      </c>
      <c r="AU51" s="4" t="n">
        <v>1</v>
      </c>
      <c r="AV51" s="4" t="n">
        <v>1</v>
      </c>
      <c r="AW51" s="4" t="n">
        <v>0</v>
      </c>
    </row>
    <row r="52" customFormat="false" ht="15" hidden="false" customHeight="false" outlineLevel="0" collapsed="false">
      <c r="A52" s="4" t="s">
        <v>264</v>
      </c>
      <c r="B52" s="4" t="s">
        <v>265</v>
      </c>
      <c r="C52" s="4" t="s">
        <v>126</v>
      </c>
      <c r="D52" s="4" t="s">
        <v>118</v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/>
      <c r="N52" s="5" t="n">
        <v>0</v>
      </c>
      <c r="O52" s="5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/>
      <c r="X52" s="12"/>
      <c r="Y52" s="7" t="n">
        <v>100</v>
      </c>
      <c r="Z52" s="14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>
        <v>25.9</v>
      </c>
      <c r="AG52" s="14"/>
      <c r="AH52" s="14"/>
      <c r="AI52" s="14" t="n">
        <v>6.5</v>
      </c>
      <c r="AJ52" s="14"/>
      <c r="AK52" s="7" t="n">
        <v>245</v>
      </c>
      <c r="AL52" s="7" t="n">
        <v>15</v>
      </c>
      <c r="AM52" s="7" t="n">
        <v>12</v>
      </c>
      <c r="AN52" s="4" t="n">
        <v>0</v>
      </c>
      <c r="AO52" s="4" t="n">
        <v>1</v>
      </c>
      <c r="AP52" s="4" t="n">
        <v>0</v>
      </c>
      <c r="AQ52" s="4" t="n">
        <v>1</v>
      </c>
      <c r="AR52" s="4" t="n">
        <v>1</v>
      </c>
      <c r="AS52" s="4" t="n">
        <v>1</v>
      </c>
      <c r="AT52" s="4" t="n">
        <v>1</v>
      </c>
      <c r="AU52" s="4" t="n">
        <v>1</v>
      </c>
      <c r="AV52" s="4" t="n">
        <v>1</v>
      </c>
      <c r="AW52" s="4" t="n">
        <v>1</v>
      </c>
    </row>
    <row r="53" customFormat="false" ht="15" hidden="false" customHeight="false" outlineLevel="0" collapsed="false">
      <c r="A53" s="4" t="s">
        <v>266</v>
      </c>
      <c r="B53" s="4" t="s">
        <v>267</v>
      </c>
      <c r="C53" s="4" t="s">
        <v>126</v>
      </c>
      <c r="D53" s="4" t="s">
        <v>118</v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8.36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>
        <v>29.9</v>
      </c>
      <c r="AG53" s="14" t="n">
        <v>29.2</v>
      </c>
      <c r="AH53" s="14" t="n">
        <v>17</v>
      </c>
      <c r="AI53" s="14" t="n">
        <v>6.75</v>
      </c>
      <c r="AJ53" s="14" t="n">
        <v>20.9</v>
      </c>
      <c r="AK53" s="7"/>
      <c r="AL53" s="7" t="n">
        <v>48</v>
      </c>
      <c r="AM53" s="7" t="n">
        <v>23</v>
      </c>
      <c r="AN53" s="4" t="n">
        <v>0</v>
      </c>
      <c r="AO53" s="4" t="n">
        <v>1</v>
      </c>
      <c r="AP53" s="4" t="n">
        <v>0</v>
      </c>
      <c r="AQ53" s="4" t="n">
        <v>1</v>
      </c>
      <c r="AR53" s="4" t="n">
        <v>1</v>
      </c>
      <c r="AS53" s="4" t="n">
        <v>1</v>
      </c>
      <c r="AT53" s="4" t="n">
        <v>1</v>
      </c>
      <c r="AU53" s="4" t="n">
        <v>1</v>
      </c>
      <c r="AV53" s="4" t="n">
        <v>1</v>
      </c>
      <c r="AW53" s="4" t="n">
        <v>1</v>
      </c>
    </row>
    <row r="54" customFormat="false" ht="15" hidden="false" customHeight="false" outlineLevel="0" collapsed="false">
      <c r="A54" s="4" t="s">
        <v>268</v>
      </c>
      <c r="B54" s="4" t="s">
        <v>269</v>
      </c>
      <c r="C54" s="4" t="s">
        <v>129</v>
      </c>
      <c r="D54" s="4" t="s">
        <v>118</v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>
        <v>45</v>
      </c>
      <c r="AG54" s="14" t="n">
        <v>28</v>
      </c>
      <c r="AH54" s="14" t="n">
        <v>19</v>
      </c>
      <c r="AI54" s="14" t="n">
        <v>8</v>
      </c>
      <c r="AJ54" s="14" t="n">
        <v>29</v>
      </c>
      <c r="AK54" s="7"/>
      <c r="AL54" s="7" t="n">
        <v>19</v>
      </c>
      <c r="AM54" s="7" t="n">
        <v>11</v>
      </c>
      <c r="AN54" s="4" t="n">
        <v>0</v>
      </c>
      <c r="AO54" s="4" t="n">
        <v>1</v>
      </c>
      <c r="AP54" s="4" t="n">
        <v>0</v>
      </c>
      <c r="AQ54" s="4" t="n">
        <v>1</v>
      </c>
      <c r="AR54" s="4" t="n">
        <v>1</v>
      </c>
      <c r="AS54" s="4" t="n">
        <v>1</v>
      </c>
      <c r="AT54" s="4" t="n">
        <v>1</v>
      </c>
      <c r="AU54" s="4" t="n">
        <v>1</v>
      </c>
      <c r="AV54" s="4" t="n">
        <v>1</v>
      </c>
      <c r="AW54" s="4" t="n">
        <v>1</v>
      </c>
    </row>
    <row r="55" customFormat="false" ht="15" hidden="false" customHeight="false" outlineLevel="0" collapsed="false">
      <c r="A55" s="4" t="s">
        <v>270</v>
      </c>
      <c r="B55" s="4" t="s">
        <v>271</v>
      </c>
      <c r="C55" s="4" t="s">
        <v>129</v>
      </c>
      <c r="D55" s="4" t="s">
        <v>118</v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/>
      <c r="P55" s="7" t="n">
        <v>583</v>
      </c>
      <c r="Q55" s="7"/>
      <c r="R55" s="7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/>
      <c r="Y55" s="7" t="n">
        <v>25</v>
      </c>
      <c r="Z55" s="14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/>
      <c r="AG55" s="14"/>
      <c r="AH55" s="14"/>
      <c r="AI55" s="14" t="n">
        <v>7.5</v>
      </c>
      <c r="AJ55" s="14"/>
      <c r="AK55" s="7" t="n">
        <v>287</v>
      </c>
      <c r="AL55" s="7"/>
      <c r="AM55" s="7"/>
      <c r="AN55" s="4" t="n">
        <v>0</v>
      </c>
      <c r="AO55" s="4" t="n">
        <v>1</v>
      </c>
      <c r="AP55" s="4" t="n">
        <v>0</v>
      </c>
      <c r="AQ55" s="4" t="n">
        <v>1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272</v>
      </c>
      <c r="B1" s="1" t="s">
        <v>0</v>
      </c>
      <c r="C1" s="1" t="s">
        <v>2</v>
      </c>
      <c r="D1" s="1" t="s">
        <v>3</v>
      </c>
    </row>
    <row r="2" customFormat="false" ht="15" hidden="false" customHeight="false" outlineLevel="0" collapsed="false">
      <c r="A2" s="3" t="s">
        <v>16</v>
      </c>
      <c r="B2" s="3" t="s">
        <v>15</v>
      </c>
      <c r="C2" s="3" t="s">
        <v>17</v>
      </c>
      <c r="D2" s="3" t="s">
        <v>18</v>
      </c>
    </row>
    <row r="3" customFormat="false" ht="15" hidden="false" customHeight="false" outlineLevel="0" collapsed="false">
      <c r="A3" s="3" t="s">
        <v>19</v>
      </c>
      <c r="B3" s="3" t="s">
        <v>15</v>
      </c>
      <c r="C3" s="3" t="s">
        <v>20</v>
      </c>
      <c r="D3" s="3" t="s">
        <v>21</v>
      </c>
    </row>
    <row r="4" customFormat="false" ht="15" hidden="false" customHeight="false" outlineLevel="0" collapsed="false">
      <c r="A4" s="3" t="s">
        <v>23</v>
      </c>
      <c r="B4" s="3" t="s">
        <v>22</v>
      </c>
      <c r="C4" s="3" t="s">
        <v>24</v>
      </c>
      <c r="D4" s="3" t="s">
        <v>25</v>
      </c>
    </row>
    <row r="5" customFormat="false" ht="15" hidden="false" customHeight="false" outlineLevel="0" collapsed="false">
      <c r="A5" s="3" t="s">
        <v>26</v>
      </c>
      <c r="B5" s="3" t="s">
        <v>22</v>
      </c>
      <c r="C5" s="3" t="s">
        <v>27</v>
      </c>
      <c r="D5" s="3" t="s">
        <v>28</v>
      </c>
    </row>
    <row r="6" customFormat="false" ht="15" hidden="false" customHeight="false" outlineLevel="0" collapsed="false">
      <c r="A6" s="3" t="s">
        <v>29</v>
      </c>
      <c r="B6" s="3" t="s">
        <v>22</v>
      </c>
      <c r="C6" s="3" t="s">
        <v>30</v>
      </c>
      <c r="D6" s="3" t="s">
        <v>31</v>
      </c>
    </row>
    <row r="7" customFormat="false" ht="15" hidden="false" customHeight="false" outlineLevel="0" collapsed="false">
      <c r="A7" s="3" t="s">
        <v>32</v>
      </c>
      <c r="B7" s="3" t="s">
        <v>22</v>
      </c>
      <c r="C7" s="3" t="s">
        <v>33</v>
      </c>
      <c r="D7" s="3" t="s">
        <v>31</v>
      </c>
    </row>
    <row r="8" customFormat="false" ht="15" hidden="false" customHeight="false" outlineLevel="0" collapsed="false">
      <c r="A8" s="3" t="s">
        <v>35</v>
      </c>
      <c r="B8" s="3" t="s">
        <v>34</v>
      </c>
      <c r="C8" s="3" t="s">
        <v>36</v>
      </c>
      <c r="D8" s="3" t="s">
        <v>37</v>
      </c>
    </row>
    <row r="9" customFormat="false" ht="15" hidden="false" customHeight="false" outlineLevel="0" collapsed="false">
      <c r="A9" s="3" t="s">
        <v>38</v>
      </c>
      <c r="B9" s="3" t="s">
        <v>34</v>
      </c>
      <c r="C9" s="3" t="s">
        <v>39</v>
      </c>
      <c r="D9" s="3" t="s">
        <v>37</v>
      </c>
    </row>
    <row r="10" customFormat="false" ht="15" hidden="false" customHeight="false" outlineLevel="0" collapsed="false">
      <c r="A10" s="3" t="s">
        <v>40</v>
      </c>
      <c r="B10" s="3" t="s">
        <v>34</v>
      </c>
      <c r="C10" s="3" t="s">
        <v>41</v>
      </c>
      <c r="D10" s="3" t="s">
        <v>42</v>
      </c>
    </row>
    <row r="11" customFormat="false" ht="15" hidden="false" customHeight="false" outlineLevel="0" collapsed="false">
      <c r="A11" s="3" t="s">
        <v>43</v>
      </c>
      <c r="B11" s="3" t="s">
        <v>34</v>
      </c>
      <c r="C11" s="3" t="s">
        <v>44</v>
      </c>
      <c r="D11" s="3" t="s">
        <v>45</v>
      </c>
    </row>
    <row r="12" customFormat="false" ht="15" hidden="false" customHeight="false" outlineLevel="0" collapsed="false">
      <c r="A12" s="3" t="s">
        <v>46</v>
      </c>
      <c r="B12" s="3" t="s">
        <v>34</v>
      </c>
      <c r="C12" s="3" t="s">
        <v>47</v>
      </c>
      <c r="D12" s="3" t="s">
        <v>45</v>
      </c>
    </row>
    <row r="13" customFormat="false" ht="15" hidden="false" customHeight="false" outlineLevel="0" collapsed="false">
      <c r="A13" s="3" t="s">
        <v>48</v>
      </c>
      <c r="B13" s="3" t="s">
        <v>34</v>
      </c>
      <c r="C13" s="3" t="s">
        <v>49</v>
      </c>
      <c r="D13" s="3" t="s">
        <v>42</v>
      </c>
    </row>
    <row r="14" customFormat="false" ht="15" hidden="false" customHeight="false" outlineLevel="0" collapsed="false">
      <c r="A14" s="3" t="s">
        <v>51</v>
      </c>
      <c r="B14" s="3" t="s">
        <v>50</v>
      </c>
      <c r="C14" s="3" t="s">
        <v>52</v>
      </c>
      <c r="D14" s="3" t="s">
        <v>51</v>
      </c>
    </row>
    <row r="15" customFormat="false" ht="15" hidden="false" customHeight="false" outlineLevel="0" collapsed="false">
      <c r="A15" s="3" t="s">
        <v>53</v>
      </c>
      <c r="B15" s="3" t="s">
        <v>50</v>
      </c>
      <c r="C15" s="3" t="s">
        <v>54</v>
      </c>
      <c r="D15" s="3" t="s">
        <v>55</v>
      </c>
    </row>
    <row r="16" customFormat="false" ht="15" hidden="false" customHeight="false" outlineLevel="0" collapsed="false">
      <c r="A16" s="3" t="s">
        <v>56</v>
      </c>
      <c r="B16" s="3" t="s">
        <v>50</v>
      </c>
      <c r="C16" s="3" t="s">
        <v>57</v>
      </c>
      <c r="D16" s="3" t="s">
        <v>58</v>
      </c>
    </row>
    <row r="17" customFormat="false" ht="15" hidden="false" customHeight="false" outlineLevel="0" collapsed="false">
      <c r="A17" s="3" t="s">
        <v>59</v>
      </c>
      <c r="B17" s="3" t="s">
        <v>50</v>
      </c>
      <c r="C17" s="3" t="s">
        <v>60</v>
      </c>
      <c r="D17" s="3" t="s">
        <v>55</v>
      </c>
    </row>
    <row r="18" customFormat="false" ht="15" hidden="false" customHeight="false" outlineLevel="0" collapsed="false">
      <c r="A18" s="3" t="s">
        <v>61</v>
      </c>
      <c r="B18" s="3" t="s">
        <v>50</v>
      </c>
      <c r="C18" s="3" t="s">
        <v>62</v>
      </c>
      <c r="D18" s="3" t="s">
        <v>63</v>
      </c>
    </row>
    <row r="19" customFormat="false" ht="15" hidden="false" customHeight="false" outlineLevel="0" collapsed="false">
      <c r="A19" s="3" t="s">
        <v>64</v>
      </c>
      <c r="B19" s="3" t="s">
        <v>50</v>
      </c>
      <c r="C19" s="3" t="s">
        <v>65</v>
      </c>
      <c r="D19" s="3" t="s">
        <v>66</v>
      </c>
    </row>
    <row r="20" customFormat="false" ht="15" hidden="false" customHeight="false" outlineLevel="0" collapsed="false">
      <c r="A20" s="3" t="s">
        <v>67</v>
      </c>
      <c r="B20" s="3" t="s">
        <v>50</v>
      </c>
      <c r="C20" s="3" t="s">
        <v>68</v>
      </c>
      <c r="D20" s="3" t="s">
        <v>69</v>
      </c>
    </row>
    <row r="21" customFormat="false" ht="15" hidden="false" customHeight="false" outlineLevel="0" collapsed="false">
      <c r="A21" s="3" t="s">
        <v>70</v>
      </c>
      <c r="B21" s="3" t="s">
        <v>50</v>
      </c>
      <c r="C21" s="3" t="s">
        <v>71</v>
      </c>
      <c r="D21" s="3" t="s">
        <v>72</v>
      </c>
    </row>
    <row r="22" customFormat="false" ht="15" hidden="false" customHeight="false" outlineLevel="0" collapsed="false">
      <c r="A22" s="3" t="s">
        <v>74</v>
      </c>
      <c r="B22" s="3" t="s">
        <v>73</v>
      </c>
      <c r="C22" s="3" t="s">
        <v>75</v>
      </c>
      <c r="D22" s="3" t="s">
        <v>76</v>
      </c>
    </row>
    <row r="23" customFormat="false" ht="15" hidden="false" customHeight="false" outlineLevel="0" collapsed="false">
      <c r="A23" s="3" t="s">
        <v>77</v>
      </c>
      <c r="B23" s="3" t="s">
        <v>73</v>
      </c>
      <c r="C23" s="3" t="s">
        <v>78</v>
      </c>
      <c r="D23" s="3" t="s">
        <v>79</v>
      </c>
    </row>
    <row r="24" customFormat="false" ht="15" hidden="false" customHeight="false" outlineLevel="0" collapsed="false">
      <c r="A24" s="3" t="s">
        <v>80</v>
      </c>
      <c r="B24" s="3" t="s">
        <v>73</v>
      </c>
      <c r="C24" s="3" t="s">
        <v>81</v>
      </c>
      <c r="D24" s="3" t="s">
        <v>79</v>
      </c>
    </row>
    <row r="25" customFormat="false" ht="26.85" hidden="false" customHeight="false" outlineLevel="0" collapsed="false">
      <c r="A25" s="3" t="s">
        <v>82</v>
      </c>
      <c r="B25" s="3" t="s">
        <v>73</v>
      </c>
      <c r="C25" s="3" t="s">
        <v>83</v>
      </c>
      <c r="D25" s="3" t="s">
        <v>79</v>
      </c>
    </row>
    <row r="26" customFormat="false" ht="15" hidden="false" customHeight="false" outlineLevel="0" collapsed="false">
      <c r="A26" s="3" t="s">
        <v>84</v>
      </c>
      <c r="B26" s="3" t="s">
        <v>73</v>
      </c>
      <c r="C26" s="3" t="s">
        <v>85</v>
      </c>
      <c r="D26" s="3" t="s">
        <v>79</v>
      </c>
    </row>
    <row r="27" customFormat="false" ht="15" hidden="false" customHeight="false" outlineLevel="0" collapsed="false">
      <c r="A27" s="3" t="s">
        <v>86</v>
      </c>
      <c r="B27" s="3" t="s">
        <v>73</v>
      </c>
      <c r="C27" s="3" t="s">
        <v>87</v>
      </c>
      <c r="D27" s="3" t="s">
        <v>79</v>
      </c>
    </row>
    <row r="28" customFormat="false" ht="15" hidden="false" customHeight="false" outlineLevel="0" collapsed="false">
      <c r="A28" s="3" t="s">
        <v>88</v>
      </c>
      <c r="B28" s="3" t="s">
        <v>73</v>
      </c>
      <c r="C28" s="3" t="s">
        <v>89</v>
      </c>
      <c r="D28" s="3" t="s">
        <v>79</v>
      </c>
    </row>
    <row r="29" customFormat="false" ht="15" hidden="false" customHeight="false" outlineLevel="0" collapsed="false">
      <c r="A29" s="3" t="s">
        <v>90</v>
      </c>
      <c r="B29" s="3" t="s">
        <v>73</v>
      </c>
      <c r="C29" s="3" t="s">
        <v>91</v>
      </c>
      <c r="D29" s="3" t="s">
        <v>79</v>
      </c>
    </row>
    <row r="30" customFormat="false" ht="15" hidden="false" customHeight="false" outlineLevel="0" collapsed="false">
      <c r="A30" s="3" t="s">
        <v>92</v>
      </c>
      <c r="B30" s="3" t="s">
        <v>73</v>
      </c>
      <c r="C30" s="3" t="s">
        <v>93</v>
      </c>
      <c r="D30" s="3" t="s">
        <v>79</v>
      </c>
    </row>
    <row r="31" customFormat="false" ht="15" hidden="false" customHeight="false" outlineLevel="0" collapsed="false">
      <c r="A31" s="3" t="s">
        <v>94</v>
      </c>
      <c r="B31" s="3" t="s">
        <v>73</v>
      </c>
      <c r="C31" s="3" t="s">
        <v>95</v>
      </c>
      <c r="D31" s="3" t="s">
        <v>79</v>
      </c>
    </row>
    <row r="32" customFormat="false" ht="15" hidden="false" customHeight="false" outlineLevel="0" collapsed="false">
      <c r="A32" s="3" t="s">
        <v>96</v>
      </c>
      <c r="B32" s="3" t="s">
        <v>73</v>
      </c>
      <c r="C32" s="3" t="s">
        <v>97</v>
      </c>
      <c r="D32" s="3" t="s">
        <v>79</v>
      </c>
    </row>
    <row r="33" customFormat="false" ht="15" hidden="false" customHeight="false" outlineLevel="0" collapsed="false">
      <c r="A33" s="3" t="s">
        <v>98</v>
      </c>
      <c r="B33" s="3" t="s">
        <v>73</v>
      </c>
      <c r="C33" s="3" t="s">
        <v>99</v>
      </c>
      <c r="D33" s="3" t="s">
        <v>79</v>
      </c>
    </row>
    <row r="34" customFormat="false" ht="15" hidden="false" customHeight="false" outlineLevel="0" collapsed="false">
      <c r="A34" s="3" t="s">
        <v>101</v>
      </c>
      <c r="B34" s="3" t="s">
        <v>100</v>
      </c>
      <c r="C34" s="3" t="s">
        <v>102</v>
      </c>
      <c r="D34" s="3" t="s">
        <v>103</v>
      </c>
    </row>
    <row r="35" customFormat="false" ht="15" hidden="false" customHeight="false" outlineLevel="0" collapsed="false">
      <c r="A35" s="3" t="s">
        <v>105</v>
      </c>
      <c r="B35" s="3" t="s">
        <v>104</v>
      </c>
      <c r="C35" s="3" t="s">
        <v>106</v>
      </c>
      <c r="D35" s="3" t="s">
        <v>21</v>
      </c>
    </row>
    <row r="36" customFormat="false" ht="15" hidden="false" customHeight="false" outlineLevel="0" collapsed="false">
      <c r="A36" s="3" t="s">
        <v>107</v>
      </c>
      <c r="B36" s="3" t="s">
        <v>104</v>
      </c>
      <c r="C36" s="3" t="s">
        <v>108</v>
      </c>
      <c r="D36" s="3" t="s">
        <v>21</v>
      </c>
    </row>
    <row r="37" customFormat="false" ht="15" hidden="false" customHeight="false" outlineLevel="0" collapsed="false">
      <c r="A37" s="3" t="s">
        <v>154</v>
      </c>
      <c r="B37" s="3" t="s">
        <v>273</v>
      </c>
      <c r="C37" s="3" t="s">
        <v>274</v>
      </c>
      <c r="D37" s="3" t="s">
        <v>275</v>
      </c>
    </row>
    <row r="38" customFormat="false" ht="15" hidden="false" customHeight="false" outlineLevel="0" collapsed="false">
      <c r="A38" s="3" t="s">
        <v>155</v>
      </c>
      <c r="B38" s="3" t="s">
        <v>273</v>
      </c>
      <c r="C38" s="3" t="s">
        <v>276</v>
      </c>
      <c r="D38" s="3" t="s">
        <v>275</v>
      </c>
    </row>
    <row r="39" customFormat="false" ht="15" hidden="false" customHeight="false" outlineLevel="0" collapsed="false">
      <c r="A39" s="3" t="s">
        <v>156</v>
      </c>
      <c r="B39" s="3" t="s">
        <v>273</v>
      </c>
      <c r="C39" s="3" t="s">
        <v>277</v>
      </c>
      <c r="D39" s="3" t="s">
        <v>275</v>
      </c>
    </row>
    <row r="40" customFormat="false" ht="15" hidden="false" customHeight="false" outlineLevel="0" collapsed="false">
      <c r="A40" s="3" t="s">
        <v>157</v>
      </c>
      <c r="B40" s="3" t="s">
        <v>273</v>
      </c>
      <c r="C40" s="3" t="s">
        <v>278</v>
      </c>
      <c r="D40" s="3" t="s">
        <v>275</v>
      </c>
    </row>
    <row r="41" customFormat="false" ht="15" hidden="false" customHeight="false" outlineLevel="0" collapsed="false">
      <c r="A41" s="3" t="s">
        <v>158</v>
      </c>
      <c r="B41" s="3" t="s">
        <v>273</v>
      </c>
      <c r="C41" s="3" t="s">
        <v>279</v>
      </c>
      <c r="D41" s="3" t="s">
        <v>275</v>
      </c>
    </row>
    <row r="42" customFormat="false" ht="15" hidden="false" customHeight="false" outlineLevel="0" collapsed="false">
      <c r="A42" s="3" t="s">
        <v>159</v>
      </c>
      <c r="B42" s="3" t="s">
        <v>273</v>
      </c>
      <c r="C42" s="3" t="s">
        <v>280</v>
      </c>
      <c r="D42" s="3" t="s">
        <v>275</v>
      </c>
    </row>
    <row r="43" customFormat="false" ht="15" hidden="false" customHeight="false" outlineLevel="0" collapsed="false">
      <c r="A43" s="3" t="s">
        <v>160</v>
      </c>
      <c r="B43" s="3" t="s">
        <v>273</v>
      </c>
      <c r="C43" s="3" t="s">
        <v>281</v>
      </c>
      <c r="D43" s="3" t="s">
        <v>275</v>
      </c>
    </row>
    <row r="44" customFormat="false" ht="15" hidden="false" customHeight="false" outlineLevel="0" collapsed="false">
      <c r="A44" s="3" t="s">
        <v>161</v>
      </c>
      <c r="B44" s="3" t="s">
        <v>273</v>
      </c>
      <c r="C44" s="3" t="s">
        <v>282</v>
      </c>
      <c r="D44" s="3" t="s">
        <v>275</v>
      </c>
    </row>
    <row r="45" customFormat="false" ht="15" hidden="false" customHeight="false" outlineLevel="0" collapsed="false">
      <c r="A45" s="3" t="s">
        <v>162</v>
      </c>
      <c r="B45" s="3" t="s">
        <v>273</v>
      </c>
      <c r="C45" s="3" t="s">
        <v>283</v>
      </c>
      <c r="D45" s="3" t="s">
        <v>275</v>
      </c>
    </row>
    <row r="46" customFormat="false" ht="15" hidden="false" customHeight="false" outlineLevel="0" collapsed="false">
      <c r="A46" s="3" t="s">
        <v>163</v>
      </c>
      <c r="B46" s="3" t="s">
        <v>273</v>
      </c>
      <c r="C46" s="3" t="s">
        <v>284</v>
      </c>
      <c r="D46" s="3" t="s">
        <v>275</v>
      </c>
    </row>
    <row r="47" customFormat="false" ht="15" hidden="false" customHeight="false" outlineLevel="0" collapsed="false">
      <c r="A47" s="3" t="s">
        <v>153</v>
      </c>
      <c r="B47" s="3" t="s">
        <v>285</v>
      </c>
      <c r="C47" s="3" t="s">
        <v>286</v>
      </c>
      <c r="D47" s="3" t="s">
        <v>287</v>
      </c>
    </row>
    <row r="48" customFormat="false" ht="52.2" hidden="false" customHeight="false" outlineLevel="0" collapsed="false">
      <c r="A48" s="3" t="s">
        <v>287</v>
      </c>
      <c r="B48" s="3" t="s">
        <v>288</v>
      </c>
      <c r="C48" s="3" t="s">
        <v>289</v>
      </c>
      <c r="D48" s="3" t="s">
        <v>287</v>
      </c>
    </row>
  </sheetData>
  <autoFilter ref="A1:D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2026-10-15T14:11:05Z</dcterms:created>
  <dc:creator>openpyxl</dc:creator>
  <dc:description/>
  <dc:language>pt-BR</dc:language>
  <cp:lastModifiedBy/>
  <dcterms:modified xsi:type="dcterms:W3CDTF">2026-10-15T14:11:05Z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