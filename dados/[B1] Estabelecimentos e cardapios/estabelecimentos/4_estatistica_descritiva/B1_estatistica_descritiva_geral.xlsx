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ral" sheetId="1" state="visible" r:id="rId1"/>
    <sheet xmlns:r="http://schemas.openxmlformats.org/officeDocument/2006/relationships" name="frequencias" sheetId="2" state="visible" r:id="rId2"/>
    <sheet xmlns:r="http://schemas.openxmlformats.org/officeDocument/2006/relationships" name="dados" sheetId="3" state="visible" r:id="rId3"/>
    <sheet xmlns:r="http://schemas.openxmlformats.org/officeDocument/2006/relationships" name="dicionario" sheetId="4" state="visible" r:id="rId4"/>
  </sheets>
  <definedNames>
    <definedName name="_xlnm._FilterDatabase" localSheetId="0" hidden="1">'geral'!$A$1:$O$39</definedName>
    <definedName name="_xlnm._FilterDatabase" localSheetId="1" hidden="1">'frequencias'!$A$1:$D$35</definedName>
    <definedName name="_xlnm._FilterDatabase" localSheetId="2" hidden="1">'dados'!$A$1:$AZ$55</definedName>
    <definedName name="_xlnm._FilterDatabase" localSheetId="3" hidden="1">'dicionario'!$A$1:$D$51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consumo_baixa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consumo_mediana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consumo_alta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cesta_baixa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cesta_mediana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cesta_alta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hamburguer_mediana</t>
        </is>
      </c>
      <c r="C32" s="3" t="inlineStr">
        <is>
          <t>Hambúrguer,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batata_mediana</t>
        </is>
      </c>
      <c r="C33" s="3" t="inlineStr">
        <is>
          <t>Batata,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3" t="inlineStr">
        <is>
          <t>Cardápio</t>
        </is>
      </c>
      <c r="B34" s="3" t="inlineStr">
        <is>
          <t>cerveja_mediana</t>
        </is>
      </c>
      <c r="C34" s="3" t="inlineStr">
        <is>
          <t>Cerveja, mediana</t>
        </is>
      </c>
      <c r="D34" s="3" t="inlineStr">
        <is>
          <t>R$</t>
        </is>
      </c>
      <c r="E34" s="4">
        <f>COUNT(dados!$AK$2:$AK$55)</f>
        <v/>
      </c>
      <c r="F34" s="4">
        <f>ROWS(dados!$AK$2:$AK$55)-E34</f>
        <v/>
      </c>
      <c r="G34" s="14">
        <f>IFERROR(AVERAGE(dados!$AK$2:$AK$55),"")</f>
        <v/>
      </c>
      <c r="H34" s="14">
        <f>IFERROR(MEDIAN(dados!$AK$2:$AK$55),"")</f>
        <v/>
      </c>
      <c r="I34" s="14">
        <f>IFERROR(STDEV(dados!$AK$2:$AK$55),"")</f>
        <v/>
      </c>
      <c r="J34" s="14">
        <f>IFERROR(MIN(dados!$AK$2:$AK$55),"")</f>
        <v/>
      </c>
      <c r="K34" s="14">
        <f>IFERROR(PERCENTILE(dados!$AK$2:$AK$55,0.25),"")</f>
        <v/>
      </c>
      <c r="L34" s="14">
        <f>IFERROR(PERCENTILE(dados!$AK$2:$AK$55,0.75),"")</f>
        <v/>
      </c>
      <c r="M34" s="14">
        <f>IFERROR(MAX(dados!$AK$2:$AK$55),"")</f>
        <v/>
      </c>
      <c r="N34" s="14">
        <f>IFERROR(M34-J34,"")</f>
        <v/>
      </c>
      <c r="O34" s="6">
        <f>IFERROR(I34/G34,"")</f>
        <v/>
      </c>
    </row>
    <row r="35">
      <c r="A35" s="13" t="inlineStr">
        <is>
          <t>Cardápio</t>
        </is>
      </c>
      <c r="B35" s="3" t="inlineStr">
        <is>
          <t>refrigerante_mediana</t>
        </is>
      </c>
      <c r="C35" s="3" t="inlineStr">
        <is>
          <t>Refrigerante, mediana</t>
        </is>
      </c>
      <c r="D35" s="3" t="inlineStr">
        <is>
          <t>R$</t>
        </is>
      </c>
      <c r="E35" s="4">
        <f>COUNT(dados!$AL$2:$AL$55)</f>
        <v/>
      </c>
      <c r="F35" s="4">
        <f>ROWS(dados!$AL$2:$AL$55)-E35</f>
        <v/>
      </c>
      <c r="G35" s="14">
        <f>IFERROR(AVERAGE(dados!$AL$2:$AL$55),"")</f>
        <v/>
      </c>
      <c r="H35" s="14">
        <f>IFERROR(MEDIAN(dados!$AL$2:$AL$55),"")</f>
        <v/>
      </c>
      <c r="I35" s="14">
        <f>IFERROR(STDEV(dados!$AL$2:$AL$55),"")</f>
        <v/>
      </c>
      <c r="J35" s="14">
        <f>IFERROR(MIN(dados!$AL$2:$AL$55),"")</f>
        <v/>
      </c>
      <c r="K35" s="14">
        <f>IFERROR(PERCENTILE(dados!$AL$2:$AL$55,0.25),"")</f>
        <v/>
      </c>
      <c r="L35" s="14">
        <f>IFERROR(PERCENTILE(dados!$AL$2:$AL$55,0.75),"")</f>
        <v/>
      </c>
      <c r="M35" s="14">
        <f>IFERROR(MAX(dados!$AL$2:$AL$55),"")</f>
        <v/>
      </c>
      <c r="N35" s="14">
        <f>IFERROR(M35-J35,"")</f>
        <v/>
      </c>
      <c r="O35" s="6">
        <f>IFERROR(I35/G35,"")</f>
        <v/>
      </c>
    </row>
    <row r="36">
      <c r="A36" s="13" t="inlineStr">
        <is>
          <t>Cardápio</t>
        </is>
      </c>
      <c r="B36" s="3" t="inlineStr">
        <is>
          <t>drinks_mediana</t>
        </is>
      </c>
      <c r="C36" s="3" t="inlineStr">
        <is>
          <t>Drinks, mediana</t>
        </is>
      </c>
      <c r="D36" s="3" t="inlineStr">
        <is>
          <t>R$</t>
        </is>
      </c>
      <c r="E36" s="4">
        <f>COUNT(dados!$AM$2:$AM$55)</f>
        <v/>
      </c>
      <c r="F36" s="4">
        <f>ROWS(dados!$AM$2:$AM$55)-E36</f>
        <v/>
      </c>
      <c r="G36" s="14">
        <f>IFERROR(AVERAGE(dados!$AM$2:$AM$55),"")</f>
        <v/>
      </c>
      <c r="H36" s="14">
        <f>IFERROR(MEDIAN(dados!$AM$2:$AM$55),"")</f>
        <v/>
      </c>
      <c r="I36" s="14">
        <f>IFERROR(STDEV(dados!$AM$2:$AM$55),"")</f>
        <v/>
      </c>
      <c r="J36" s="14">
        <f>IFERROR(MIN(dados!$AM$2:$AM$55),"")</f>
        <v/>
      </c>
      <c r="K36" s="14">
        <f>IFERROR(PERCENTILE(dados!$AM$2:$AM$55,0.25),"")</f>
        <v/>
      </c>
      <c r="L36" s="14">
        <f>IFERROR(PERCENTILE(dados!$AM$2:$AM$55,0.75),"")</f>
        <v/>
      </c>
      <c r="M36" s="14">
        <f>IFERROR(MAX(dados!$AM$2:$AM$55),"")</f>
        <v/>
      </c>
      <c r="N36" s="14">
        <f>IFERROR(M36-J36,"")</f>
        <v/>
      </c>
      <c r="O36" s="6">
        <f>IFERROR(I36/G36,"")</f>
        <v/>
      </c>
    </row>
    <row r="37">
      <c r="A37" s="15" t="inlineStr">
        <is>
          <t>Acervo</t>
        </is>
      </c>
      <c r="B37" s="3" t="inlineStr">
        <is>
          <t>titulos_acervo</t>
        </is>
      </c>
      <c r="C37" s="3" t="inlineStr">
        <is>
          <t>Títulos no acervo publicado</t>
        </is>
      </c>
      <c r="D37" s="3" t="inlineStr">
        <is>
          <t>jogos</t>
        </is>
      </c>
      <c r="E37" s="4">
        <f>COUNT(dados!$AN$2:$AN$55)</f>
        <v/>
      </c>
      <c r="F37" s="4">
        <f>ROWS(dados!$AN$2:$AN$55)-E37</f>
        <v/>
      </c>
      <c r="G37" s="7">
        <f>IFERROR(AVERAGE(dados!$AN$2:$AN$55),"")</f>
        <v/>
      </c>
      <c r="H37" s="7">
        <f>IFERROR(MEDIAN(dados!$AN$2:$AN$55),"")</f>
        <v/>
      </c>
      <c r="I37" s="7">
        <f>IFERROR(STDEV(dados!$AN$2:$AN$55),"")</f>
        <v/>
      </c>
      <c r="J37" s="7">
        <f>IFERROR(MIN(dados!$AN$2:$AN$55),"")</f>
        <v/>
      </c>
      <c r="K37" s="7">
        <f>IFERROR(PERCENTILE(dados!$AN$2:$AN$55,0.25),"")</f>
        <v/>
      </c>
      <c r="L37" s="7">
        <f>IFERROR(PERCENTILE(dados!$AN$2:$AN$55,0.75),"")</f>
        <v/>
      </c>
      <c r="M37" s="7">
        <f>IFERROR(MAX(dados!$AN$2:$AN$55),"")</f>
        <v/>
      </c>
      <c r="N37" s="7">
        <f>IFERROR(M37-J37,"")</f>
        <v/>
      </c>
      <c r="O37" s="6">
        <f>IFERROR(I37/G37,"")</f>
        <v/>
      </c>
    </row>
    <row r="38">
      <c r="A38" s="16" t="inlineStr">
        <is>
          <t>B2</t>
        </is>
      </c>
      <c r="B38" s="3" t="inlineStr">
        <is>
          <t>avaliacoes_b2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  <c r="E38" s="4">
        <f>COUNT(dados!$AO$2:$AO$55)</f>
        <v/>
      </c>
      <c r="F38" s="4">
        <f>ROWS(dados!$AO$2:$AO$55)-E38</f>
        <v/>
      </c>
      <c r="G38" s="7">
        <f>IFERROR(AVERAGE(dados!$AO$2:$AO$55),"")</f>
        <v/>
      </c>
      <c r="H38" s="7">
        <f>IFERROR(MEDIAN(dados!$AO$2:$AO$55),"")</f>
        <v/>
      </c>
      <c r="I38" s="7">
        <f>IFERROR(STDEV(dados!$AO$2:$AO$55),"")</f>
        <v/>
      </c>
      <c r="J38" s="7">
        <f>IFERROR(MIN(dados!$AO$2:$AO$55),"")</f>
        <v/>
      </c>
      <c r="K38" s="7">
        <f>IFERROR(PERCENTILE(dados!$AO$2:$AO$55,0.25),"")</f>
        <v/>
      </c>
      <c r="L38" s="7">
        <f>IFERROR(PERCENTILE(dados!$AO$2:$AO$55,0.75),"")</f>
        <v/>
      </c>
      <c r="M38" s="7">
        <f>IFERROR(MAX(dados!$AO$2:$AO$55),"")</f>
        <v/>
      </c>
      <c r="N38" s="7">
        <f>IFERROR(M38-J38,"")</f>
        <v/>
      </c>
      <c r="O38" s="6">
        <f>IFERROR(I38/G38,"")</f>
        <v/>
      </c>
    </row>
    <row r="39">
      <c r="A39" s="16" t="inlineStr">
        <is>
          <t>B2</t>
        </is>
      </c>
      <c r="B39" s="3" t="inlineStr">
        <is>
          <t>avaliacoes_b2_com_texto</t>
        </is>
      </c>
      <c r="C39" s="3" t="inlineStr">
        <is>
          <t>Dessas, com texto</t>
        </is>
      </c>
      <c r="D39" s="3" t="inlineStr">
        <is>
          <t>avaliações</t>
        </is>
      </c>
      <c r="E39" s="4">
        <f>COUNT(dados!$AP$2:$AP$55)</f>
        <v/>
      </c>
      <c r="F39" s="4">
        <f>ROWS(dados!$AP$2:$AP$55)-E39</f>
        <v/>
      </c>
      <c r="G39" s="7">
        <f>IFERROR(AVERAGE(dados!$AP$2:$AP$55),"")</f>
        <v/>
      </c>
      <c r="H39" s="7">
        <f>IFERROR(MEDIAN(dados!$AP$2:$AP$55),"")</f>
        <v/>
      </c>
      <c r="I39" s="7">
        <f>IFERROR(STDEV(dados!$AP$2:$AP$55),"")</f>
        <v/>
      </c>
      <c r="J39" s="7">
        <f>IFERROR(MIN(dados!$AP$2:$AP$55),"")</f>
        <v/>
      </c>
      <c r="K39" s="7">
        <f>IFERROR(PERCENTILE(dados!$AP$2:$AP$55,0.25),"")</f>
        <v/>
      </c>
      <c r="L39" s="7">
        <f>IFERROR(PERCENTILE(dados!$AP$2:$AP$55,0.75),"")</f>
        <v/>
      </c>
      <c r="M39" s="7">
        <f>IFERROR(MAX(dados!$AP$2:$AP$55),"")</f>
        <v/>
      </c>
      <c r="N39" s="7">
        <f>IFERROR(M39-J39,"")</f>
        <v/>
      </c>
      <c r="O39" s="6">
        <f>IFERROR(I39/G39,"")</f>
        <v/>
      </c>
    </row>
  </sheetData>
  <autoFilter ref="A1:O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SUM(dados!$AQ$2:$AQ$55)</f>
        <v/>
      </c>
      <c r="D26" s="17">
        <f>IFERROR(SUM(dados!$AQ$2:$AQ$55)/COUNT(dados!$AQ$2:$AQ$55),"")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SUM(dados!$AR$2:$AR$55)</f>
        <v/>
      </c>
      <c r="D27" s="17">
        <f>IFERROR(SUM(dados!$AR$2:$AR$55)/COUNT(dados!$AR$2:$AR$55),"")</f>
        <v/>
      </c>
    </row>
    <row r="28">
      <c r="A28" s="4" t="inlineStr">
        <is>
          <t>proporção</t>
        </is>
      </c>
      <c r="B28" s="4" t="inlineStr">
        <is>
          <t>Cobra couvert ou taxa de jogo (entre as com cardápio)</t>
        </is>
      </c>
      <c r="C28" s="4">
        <f>SUM(dados!$AS$2:$AS$55)</f>
        <v/>
      </c>
      <c r="D28" s="17">
        <f>IFERROR(SUM(dados!$AS$2:$AS$55)/COUNT(dados!$AS$2:$AS$55),"")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SUM(dados!$AT$2:$AT$55)</f>
        <v/>
      </c>
      <c r="D29" s="17">
        <f>IFERROR(SUM(dados!$AT$2:$AT$55)/COUNT(dados!$AT$2:$AT$55),"")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SUM(dados!$AU$2:$AU$55)</f>
        <v/>
      </c>
      <c r="D30" s="17">
        <f>IFERROR(SUM(dados!$AU$2:$AU$55)/COUNT(dados!$AU$2:$AU$55),"")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SUM(dados!$AV$2:$AV$55)</f>
        <v/>
      </c>
      <c r="D31" s="17">
        <f>IFERROR(SUM(dados!$AV$2:$AV$55)/COUNT(dados!$AV$2:$AV$55),"")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SUM(dados!$AW$2:$AW$55)</f>
        <v/>
      </c>
      <c r="D32" s="17">
        <f>IFERROR(SUM(dados!$AW$2:$AW$55)/COUNT(dados!$AW$2:$AW$55),"")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SUM(dados!$AX$2:$AX$55)</f>
        <v/>
      </c>
      <c r="D33" s="17">
        <f>IFERROR(SUM(dados!$AX$2:$AX$55)/COUNT(dados!$AX$2:$AX$55),"")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SUM(dados!$AY$2:$AY$55)</f>
        <v/>
      </c>
      <c r="D34" s="17">
        <f>IFERROR(SUM(dados!$AY$2:$AY$55)/COUNT(dados!$AY$2:$AY$55),"")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SUM(dados!$AZ$2:$AZ$55)</f>
        <v/>
      </c>
      <c r="D35" s="17">
        <f>IFERROR(SUM(dados!$AZ$2:$AZ$55)/COUNT(dados!$AZ$2:$AZ$55),"")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/>
      <c r="AG2" s="14" t="n"/>
      <c r="AH2" s="14" t="n"/>
      <c r="AI2" s="14" t="n">
        <v>32</v>
      </c>
      <c r="AJ2" s="14" t="n">
        <v>15</v>
      </c>
      <c r="AK2" s="14" t="n">
        <v>8</v>
      </c>
      <c r="AL2" s="14" t="n">
        <v>7</v>
      </c>
      <c r="AM2" s="14" t="n"/>
      <c r="AN2" s="7" t="n"/>
      <c r="AO2" s="7" t="n">
        <v>23</v>
      </c>
      <c r="AP2" s="7" t="n">
        <v>15</v>
      </c>
      <c r="AQ2" s="4" t="n">
        <v>1</v>
      </c>
      <c r="AR2" s="4" t="n">
        <v>1</v>
      </c>
      <c r="AS2" s="4" t="n">
        <v>0</v>
      </c>
      <c r="AT2" s="4" t="n">
        <v>1</v>
      </c>
      <c r="AU2" s="4" t="n">
        <v>1</v>
      </c>
      <c r="AV2" s="4" t="n">
        <v>1</v>
      </c>
      <c r="AW2" s="4" t="n">
        <v>1</v>
      </c>
      <c r="AX2" s="4" t="n">
        <v>1</v>
      </c>
      <c r="AY2" s="4" t="n">
        <v>1</v>
      </c>
      <c r="AZ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7" t="n"/>
      <c r="AO3" s="7" t="n">
        <v>12</v>
      </c>
      <c r="AP3" s="7" t="n">
        <v>8</v>
      </c>
      <c r="AQ3" s="4" t="n">
        <v>0</v>
      </c>
      <c r="AR3" s="4" t="n">
        <v>0</v>
      </c>
      <c r="AS3" s="4" t="n"/>
      <c r="AT3" s="4" t="n">
        <v>0</v>
      </c>
      <c r="AU3" s="4" t="n">
        <v>1</v>
      </c>
      <c r="AV3" s="4" t="n">
        <v>1</v>
      </c>
      <c r="AW3" s="4" t="n">
        <v>1</v>
      </c>
      <c r="AX3" s="4" t="n">
        <v>1</v>
      </c>
      <c r="AY3" s="4" t="n">
        <v>1</v>
      </c>
      <c r="AZ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/>
      <c r="AI4" s="14" t="n"/>
      <c r="AJ4" s="14" t="n"/>
      <c r="AK4" s="14" t="n">
        <v>8</v>
      </c>
      <c r="AL4" s="14" t="n">
        <v>5</v>
      </c>
      <c r="AM4" s="14" t="n"/>
      <c r="AN4" s="7" t="n"/>
      <c r="AO4" s="7" t="n">
        <v>12</v>
      </c>
      <c r="AP4" s="7" t="n">
        <v>6</v>
      </c>
      <c r="AQ4" s="4" t="n">
        <v>1</v>
      </c>
      <c r="AR4" s="4" t="n">
        <v>1</v>
      </c>
      <c r="AS4" s="4" t="n">
        <v>0</v>
      </c>
      <c r="AT4" s="4" t="n">
        <v>0</v>
      </c>
      <c r="AU4" s="4" t="n">
        <v>1</v>
      </c>
      <c r="AV4" s="4" t="n">
        <v>1</v>
      </c>
      <c r="AW4" s="4" t="n">
        <v>1</v>
      </c>
      <c r="AX4" s="4" t="n">
        <v>1</v>
      </c>
      <c r="AY4" s="4" t="n">
        <v>1</v>
      </c>
      <c r="AZ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40.75</v>
      </c>
      <c r="AD5" s="14" t="n">
        <v>50</v>
      </c>
      <c r="AE5" s="14" t="n">
        <v>60.25</v>
      </c>
      <c r="AF5" s="14" t="n">
        <v>54.5</v>
      </c>
      <c r="AG5" s="14" t="n">
        <v>67.5</v>
      </c>
      <c r="AH5" s="14" t="n">
        <v>81.5</v>
      </c>
      <c r="AI5" s="14" t="n">
        <v>45</v>
      </c>
      <c r="AJ5" s="14" t="n">
        <v>30.5</v>
      </c>
      <c r="AK5" s="14" t="n">
        <v>12</v>
      </c>
      <c r="AL5" s="14" t="n">
        <v>6</v>
      </c>
      <c r="AM5" s="14" t="n">
        <v>22</v>
      </c>
      <c r="AN5" s="7" t="n">
        <v>150</v>
      </c>
      <c r="AO5" s="7" t="n">
        <v>11</v>
      </c>
      <c r="AP5" s="7" t="n">
        <v>4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  <c r="AX5" s="4" t="n">
        <v>1</v>
      </c>
      <c r="AY5" s="4" t="n">
        <v>1</v>
      </c>
      <c r="AZ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34.5</v>
      </c>
      <c r="AD6" s="14" t="n">
        <v>40</v>
      </c>
      <c r="AE6" s="14" t="n">
        <v>46.75</v>
      </c>
      <c r="AF6" s="14" t="n">
        <v>64.5</v>
      </c>
      <c r="AG6" s="14" t="n">
        <v>70</v>
      </c>
      <c r="AH6" s="14" t="n">
        <v>76.75</v>
      </c>
      <c r="AI6" s="14" t="n"/>
      <c r="AJ6" s="14" t="n"/>
      <c r="AK6" s="14" t="n">
        <v>8.5</v>
      </c>
      <c r="AL6" s="14" t="n">
        <v>6</v>
      </c>
      <c r="AM6" s="14" t="n">
        <v>14</v>
      </c>
      <c r="AN6" s="7" t="n">
        <v>952</v>
      </c>
      <c r="AO6" s="7" t="n">
        <v>24</v>
      </c>
      <c r="AP6" s="7" t="n">
        <v>13</v>
      </c>
      <c r="AQ6" s="4" t="n">
        <v>1</v>
      </c>
      <c r="AR6" s="4" t="n">
        <v>1</v>
      </c>
      <c r="AS6" s="4" t="n">
        <v>1</v>
      </c>
      <c r="AT6" s="4" t="n">
        <v>0</v>
      </c>
      <c r="AU6" s="4" t="n">
        <v>1</v>
      </c>
      <c r="AV6" s="4" t="n">
        <v>1</v>
      </c>
      <c r="AW6" s="4" t="n">
        <v>1</v>
      </c>
      <c r="AX6" s="4" t="n">
        <v>1</v>
      </c>
      <c r="AY6" s="4" t="n">
        <v>1</v>
      </c>
      <c r="AZ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/>
      <c r="AH7" s="14" t="n"/>
      <c r="AI7" s="14" t="n"/>
      <c r="AJ7" s="14" t="n">
        <v>25.5</v>
      </c>
      <c r="AK7" s="14" t="n">
        <v>11</v>
      </c>
      <c r="AL7" s="14" t="n">
        <v>6</v>
      </c>
      <c r="AM7" s="14" t="n"/>
      <c r="AN7" s="7" t="n"/>
      <c r="AO7" s="7" t="n">
        <v>31</v>
      </c>
      <c r="AP7" s="7" t="n">
        <v>22</v>
      </c>
      <c r="AQ7" s="4" t="n">
        <v>0</v>
      </c>
      <c r="AR7" s="4" t="n">
        <v>1</v>
      </c>
      <c r="AS7" s="4" t="n">
        <v>0</v>
      </c>
      <c r="AT7" s="4" t="n">
        <v>0</v>
      </c>
      <c r="AU7" s="4" t="n">
        <v>1</v>
      </c>
      <c r="AV7" s="4" t="n">
        <v>1</v>
      </c>
      <c r="AW7" s="4" t="n">
        <v>1</v>
      </c>
      <c r="AX7" s="4" t="n">
        <v>1</v>
      </c>
      <c r="AY7" s="4" t="n">
        <v>1</v>
      </c>
      <c r="AZ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7" t="n">
        <v>214</v>
      </c>
      <c r="AO8" s="7" t="n">
        <v>14</v>
      </c>
      <c r="AP8" s="7" t="n">
        <v>7</v>
      </c>
      <c r="AQ8" s="4" t="n">
        <v>0</v>
      </c>
      <c r="AR8" s="4" t="n">
        <v>0</v>
      </c>
      <c r="AS8" s="4" t="n"/>
      <c r="AT8" s="4" t="n">
        <v>1</v>
      </c>
      <c r="AU8" s="4" t="n">
        <v>1</v>
      </c>
      <c r="AV8" s="4" t="n">
        <v>1</v>
      </c>
      <c r="AW8" s="4" t="n">
        <v>1</v>
      </c>
      <c r="AX8" s="4" t="n">
        <v>1</v>
      </c>
      <c r="AY8" s="4" t="n">
        <v>1</v>
      </c>
      <c r="AZ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/>
      <c r="AG9" s="14" t="n"/>
      <c r="AH9" s="14" t="n"/>
      <c r="AI9" s="14" t="n">
        <v>29.5</v>
      </c>
      <c r="AJ9" s="14" t="n">
        <v>26.5</v>
      </c>
      <c r="AK9" s="14" t="n">
        <v>15</v>
      </c>
      <c r="AL9" s="14" t="n">
        <v>7.5</v>
      </c>
      <c r="AM9" s="14" t="n">
        <v>15</v>
      </c>
      <c r="AN9" s="7" t="n">
        <v>1833</v>
      </c>
      <c r="AO9" s="7" t="n">
        <v>15</v>
      </c>
      <c r="AP9" s="7" t="n">
        <v>9</v>
      </c>
      <c r="AQ9" s="4" t="n">
        <v>0</v>
      </c>
      <c r="AR9" s="4" t="n">
        <v>1</v>
      </c>
      <c r="AS9" s="4" t="n">
        <v>0</v>
      </c>
      <c r="AT9" s="4" t="n">
        <v>0</v>
      </c>
      <c r="AU9" s="4" t="n">
        <v>0</v>
      </c>
      <c r="AV9" s="4" t="n">
        <v>1</v>
      </c>
      <c r="AW9" s="4" t="n">
        <v>1</v>
      </c>
      <c r="AX9" s="4" t="n">
        <v>1</v>
      </c>
      <c r="AY9" s="4" t="n">
        <v>1</v>
      </c>
      <c r="AZ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7" t="n"/>
      <c r="AO10" s="7" t="n">
        <v>19</v>
      </c>
      <c r="AP10" s="7" t="n">
        <v>14</v>
      </c>
      <c r="AQ10" s="4" t="n">
        <v>1</v>
      </c>
      <c r="AR10" s="4" t="n">
        <v>0</v>
      </c>
      <c r="AS10" s="4" t="n"/>
      <c r="AT10" s="4" t="n">
        <v>1</v>
      </c>
      <c r="AU10" s="4" t="n">
        <v>1</v>
      </c>
      <c r="AV10" s="4" t="n">
        <v>1</v>
      </c>
      <c r="AW10" s="4" t="n">
        <v>1</v>
      </c>
      <c r="AX10" s="4" t="n">
        <v>1</v>
      </c>
      <c r="AY10" s="4" t="n">
        <v>1</v>
      </c>
      <c r="AZ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25</v>
      </c>
      <c r="Z11" s="14" t="n"/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/>
      <c r="AG11" s="14" t="n"/>
      <c r="AH11" s="14" t="n"/>
      <c r="AI11" s="14" t="n">
        <v>34</v>
      </c>
      <c r="AJ11" s="14" t="n">
        <v>19</v>
      </c>
      <c r="AK11" s="14" t="n">
        <v>12</v>
      </c>
      <c r="AL11" s="14" t="n"/>
      <c r="AM11" s="14" t="n"/>
      <c r="AN11" s="7" t="n">
        <v>312</v>
      </c>
      <c r="AO11" s="7" t="n">
        <v>10</v>
      </c>
      <c r="AP11" s="7" t="n">
        <v>7</v>
      </c>
      <c r="AQ11" s="4" t="n">
        <v>0</v>
      </c>
      <c r="AR11" s="4" t="n">
        <v>1</v>
      </c>
      <c r="AS11" s="4" t="n">
        <v>0</v>
      </c>
      <c r="AT11" s="4" t="n">
        <v>0</v>
      </c>
      <c r="AU11" s="4" t="n">
        <v>0</v>
      </c>
      <c r="AV11" s="4" t="n">
        <v>0</v>
      </c>
      <c r="AW11" s="4" t="n">
        <v>1</v>
      </c>
      <c r="AX11" s="4" t="n">
        <v>1</v>
      </c>
      <c r="AY11" s="4" t="n">
        <v>1</v>
      </c>
      <c r="AZ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/>
      <c r="AG12" s="14" t="n"/>
      <c r="AH12" s="14" t="n"/>
      <c r="AI12" s="14" t="n">
        <v>45</v>
      </c>
      <c r="AJ12" s="14" t="n">
        <v>35</v>
      </c>
      <c r="AK12" s="14" t="n">
        <v>12</v>
      </c>
      <c r="AL12" s="14" t="n">
        <v>8.9</v>
      </c>
      <c r="AM12" s="14" t="n">
        <v>28</v>
      </c>
      <c r="AN12" s="7" t="n">
        <v>370</v>
      </c>
      <c r="AO12" s="7" t="n">
        <v>5</v>
      </c>
      <c r="AP12" s="7" t="n">
        <v>4</v>
      </c>
      <c r="AQ12" s="4" t="n">
        <v>1</v>
      </c>
      <c r="AR12" s="4" t="n">
        <v>1</v>
      </c>
      <c r="AS12" s="4" t="n">
        <v>0</v>
      </c>
      <c r="AT12" s="4" t="n">
        <v>1</v>
      </c>
      <c r="AU12" s="4" t="n">
        <v>1</v>
      </c>
      <c r="AV12" s="4" t="n">
        <v>1</v>
      </c>
      <c r="AW12" s="4" t="n">
        <v>1</v>
      </c>
      <c r="AX12" s="4" t="n">
        <v>1</v>
      </c>
      <c r="AY12" s="4" t="n">
        <v>1</v>
      </c>
      <c r="AZ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32.5</v>
      </c>
      <c r="AD13" s="14" t="n">
        <v>48</v>
      </c>
      <c r="AE13" s="14" t="n">
        <v>54.5</v>
      </c>
      <c r="AF13" s="14" t="n">
        <v>56.75</v>
      </c>
      <c r="AG13" s="14" t="n">
        <v>73.5</v>
      </c>
      <c r="AH13" s="14" t="n">
        <v>81.25</v>
      </c>
      <c r="AI13" s="14" t="n">
        <v>40</v>
      </c>
      <c r="AJ13" s="14" t="n">
        <v>31</v>
      </c>
      <c r="AK13" s="14" t="n">
        <v>13</v>
      </c>
      <c r="AL13" s="14" t="n">
        <v>7</v>
      </c>
      <c r="AM13" s="14" t="n">
        <v>13</v>
      </c>
      <c r="AN13" s="7" t="n">
        <v>468</v>
      </c>
      <c r="AO13" s="7" t="n">
        <v>40</v>
      </c>
      <c r="AP13" s="7" t="n">
        <v>26</v>
      </c>
      <c r="AQ13" s="4" t="n">
        <v>0</v>
      </c>
      <c r="AR13" s="4" t="n">
        <v>1</v>
      </c>
      <c r="AS13" s="4" t="n">
        <v>1</v>
      </c>
      <c r="AT13" s="4" t="n">
        <v>0</v>
      </c>
      <c r="AU13" s="4" t="n">
        <v>0</v>
      </c>
      <c r="AV13" s="4" t="n">
        <v>1</v>
      </c>
      <c r="AW13" s="4" t="n">
        <v>1</v>
      </c>
      <c r="AX13" s="4" t="n">
        <v>1</v>
      </c>
      <c r="AY13" s="4" t="n">
        <v>1</v>
      </c>
      <c r="AZ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110</v>
      </c>
      <c r="Z14" s="14" t="n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/>
      <c r="AG14" s="14" t="n"/>
      <c r="AH14" s="14" t="n"/>
      <c r="AI14" s="14" t="n">
        <v>42</v>
      </c>
      <c r="AJ14" s="14" t="n"/>
      <c r="AK14" s="14" t="n">
        <v>12.5</v>
      </c>
      <c r="AL14" s="14" t="n">
        <v>8</v>
      </c>
      <c r="AM14" s="14" t="n">
        <v>26</v>
      </c>
      <c r="AN14" s="7" t="n">
        <v>588</v>
      </c>
      <c r="AO14" s="7" t="n"/>
      <c r="AP14" s="7" t="n"/>
      <c r="AQ14" s="4" t="n">
        <v>1</v>
      </c>
      <c r="AR14" s="4" t="n">
        <v>1</v>
      </c>
      <c r="AS14" s="4" t="n">
        <v>0</v>
      </c>
      <c r="AT14" s="4" t="n">
        <v>0</v>
      </c>
      <c r="AU14" s="4" t="n">
        <v>0</v>
      </c>
      <c r="AV14" s="4" t="n">
        <v>1</v>
      </c>
      <c r="AW14" s="4" t="n">
        <v>1</v>
      </c>
      <c r="AX14" s="4" t="n">
        <v>1</v>
      </c>
      <c r="AY14" s="4" t="n">
        <v>1</v>
      </c>
      <c r="AZ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54.75</v>
      </c>
      <c r="AD15" s="14" t="n">
        <v>68</v>
      </c>
      <c r="AE15" s="14" t="n">
        <v>80</v>
      </c>
      <c r="AF15" s="14" t="n">
        <v>71</v>
      </c>
      <c r="AG15" s="14" t="n">
        <v>85.5</v>
      </c>
      <c r="AH15" s="14" t="n">
        <v>98.75</v>
      </c>
      <c r="AI15" s="14" t="n">
        <v>50</v>
      </c>
      <c r="AJ15" s="14" t="n"/>
      <c r="AK15" s="14" t="n">
        <v>12</v>
      </c>
      <c r="AL15" s="14" t="n"/>
      <c r="AM15" s="14" t="n">
        <v>25</v>
      </c>
      <c r="AN15" s="7" t="n">
        <v>190</v>
      </c>
      <c r="AO15" s="7" t="n">
        <v>12</v>
      </c>
      <c r="AP15" s="7" t="n">
        <v>6</v>
      </c>
      <c r="AQ15" s="4" t="n">
        <v>0</v>
      </c>
      <c r="AR15" s="4" t="n">
        <v>1</v>
      </c>
      <c r="AS15" s="4" t="n">
        <v>1</v>
      </c>
      <c r="AT15" s="4" t="n">
        <v>0</v>
      </c>
      <c r="AU15" s="4" t="n">
        <v>0</v>
      </c>
      <c r="AV15" s="4" t="n">
        <v>1</v>
      </c>
      <c r="AW15" s="4" t="n">
        <v>1</v>
      </c>
      <c r="AX15" s="4" t="n">
        <v>1</v>
      </c>
      <c r="AY15" s="4" t="n">
        <v>1</v>
      </c>
      <c r="AZ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7" t="n"/>
      <c r="AO16" s="7" t="n">
        <v>4</v>
      </c>
      <c r="AP16" s="7" t="n">
        <v>1</v>
      </c>
      <c r="AQ16" s="4" t="n">
        <v>0</v>
      </c>
      <c r="AR16" s="4" t="n">
        <v>0</v>
      </c>
      <c r="AS16" s="4" t="n"/>
      <c r="AT16" s="4" t="n">
        <v>0</v>
      </c>
      <c r="AU16" s="4" t="n">
        <v>1</v>
      </c>
      <c r="AV16" s="4" t="n">
        <v>1</v>
      </c>
      <c r="AW16" s="4" t="n">
        <v>1</v>
      </c>
      <c r="AX16" s="4" t="n">
        <v>1</v>
      </c>
      <c r="AY16" s="4" t="n">
        <v>1</v>
      </c>
      <c r="AZ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38.5</v>
      </c>
      <c r="AD17" s="14" t="n">
        <v>55</v>
      </c>
      <c r="AE17" s="14" t="n">
        <v>67.5</v>
      </c>
      <c r="AF17" s="14" t="n">
        <v>58.5</v>
      </c>
      <c r="AG17" s="14" t="n">
        <v>75</v>
      </c>
      <c r="AH17" s="14" t="n">
        <v>87.5</v>
      </c>
      <c r="AI17" s="14" t="n">
        <v>42</v>
      </c>
      <c r="AJ17" s="14" t="n">
        <v>37.5</v>
      </c>
      <c r="AK17" s="14" t="n">
        <v>12</v>
      </c>
      <c r="AL17" s="14" t="n">
        <v>8</v>
      </c>
      <c r="AM17" s="14" t="n">
        <v>25</v>
      </c>
      <c r="AN17" s="7" t="n">
        <v>192</v>
      </c>
      <c r="AO17" s="7" t="n"/>
      <c r="AP17" s="7" t="n"/>
      <c r="AQ17" s="4" t="n">
        <v>0</v>
      </c>
      <c r="AR17" s="4" t="n">
        <v>1</v>
      </c>
      <c r="AS17" s="4" t="n">
        <v>1</v>
      </c>
      <c r="AT17" s="4" t="n">
        <v>0</v>
      </c>
      <c r="AU17" s="4" t="n">
        <v>0</v>
      </c>
      <c r="AV17" s="4" t="n">
        <v>1</v>
      </c>
      <c r="AW17" s="4" t="n">
        <v>1</v>
      </c>
      <c r="AX17" s="4" t="n">
        <v>1</v>
      </c>
      <c r="AY17" s="4" t="n">
        <v>1</v>
      </c>
      <c r="AZ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7" t="n">
        <v>362</v>
      </c>
      <c r="AO18" s="7" t="n">
        <v>10</v>
      </c>
      <c r="AP18" s="7" t="n">
        <v>6</v>
      </c>
      <c r="AQ18" s="4" t="n">
        <v>0</v>
      </c>
      <c r="AR18" s="4" t="n">
        <v>0</v>
      </c>
      <c r="AS18" s="4" t="n"/>
      <c r="AT18" s="4" t="n">
        <v>0</v>
      </c>
      <c r="AU18" s="4" t="n">
        <v>1</v>
      </c>
      <c r="AV18" s="4" t="n">
        <v>1</v>
      </c>
      <c r="AW18" s="4" t="n">
        <v>1</v>
      </c>
      <c r="AX18" s="4" t="n">
        <v>1</v>
      </c>
      <c r="AY18" s="4" t="n">
        <v>1</v>
      </c>
      <c r="AZ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56.5</v>
      </c>
      <c r="AD19" s="14" t="n">
        <v>77</v>
      </c>
      <c r="AE19" s="14" t="n">
        <v>96</v>
      </c>
      <c r="AF19" s="14" t="n">
        <v>74</v>
      </c>
      <c r="AG19" s="14" t="n">
        <v>97</v>
      </c>
      <c r="AH19" s="14" t="n">
        <v>121</v>
      </c>
      <c r="AI19" s="14" t="n">
        <v>54</v>
      </c>
      <c r="AJ19" s="14" t="n">
        <v>40</v>
      </c>
      <c r="AK19" s="14" t="n">
        <v>13</v>
      </c>
      <c r="AL19" s="14" t="n">
        <v>12</v>
      </c>
      <c r="AM19" s="14" t="n">
        <v>28</v>
      </c>
      <c r="AN19" s="7" t="n">
        <v>836</v>
      </c>
      <c r="AO19" s="7" t="n">
        <v>272</v>
      </c>
      <c r="AP19" s="7" t="n">
        <v>243</v>
      </c>
      <c r="AQ19" s="4" t="n">
        <v>0</v>
      </c>
      <c r="AR19" s="4" t="n">
        <v>1</v>
      </c>
      <c r="AS19" s="4" t="n">
        <v>1</v>
      </c>
      <c r="AT19" s="4" t="n">
        <v>0</v>
      </c>
      <c r="AU19" s="4" t="n">
        <v>1</v>
      </c>
      <c r="AV19" s="4" t="n">
        <v>1</v>
      </c>
      <c r="AW19" s="4" t="n">
        <v>1</v>
      </c>
      <c r="AX19" s="4" t="n">
        <v>1</v>
      </c>
      <c r="AY19" s="4" t="n">
        <v>1</v>
      </c>
      <c r="AZ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7" t="n"/>
      <c r="AO20" s="7" t="n">
        <v>8</v>
      </c>
      <c r="AP20" s="7" t="n">
        <v>6</v>
      </c>
      <c r="AQ20" s="4" t="n">
        <v>1</v>
      </c>
      <c r="AR20" s="4" t="n">
        <v>0</v>
      </c>
      <c r="AS20" s="4" t="n"/>
      <c r="AT20" s="4" t="n">
        <v>0</v>
      </c>
      <c r="AU20" s="4" t="n">
        <v>0</v>
      </c>
      <c r="AV20" s="4" t="n">
        <v>1</v>
      </c>
      <c r="AW20" s="4" t="n">
        <v>1</v>
      </c>
      <c r="AX20" s="4" t="n">
        <v>1</v>
      </c>
      <c r="AY20" s="4" t="n">
        <v>1</v>
      </c>
      <c r="AZ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 t="n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/>
      <c r="AG21" s="14" t="n"/>
      <c r="AH21" s="14" t="n"/>
      <c r="AI21" s="14" t="n">
        <v>38</v>
      </c>
      <c r="AJ21" s="14" t="n">
        <v>24</v>
      </c>
      <c r="AK21" s="14" t="n">
        <v>16.5</v>
      </c>
      <c r="AL21" s="14" t="n">
        <v>9</v>
      </c>
      <c r="AM21" s="14" t="n"/>
      <c r="AN21" s="7" t="n">
        <v>780</v>
      </c>
      <c r="AO21" s="7" t="n">
        <v>99</v>
      </c>
      <c r="AP21" s="7" t="n">
        <v>69</v>
      </c>
      <c r="AQ21" s="4" t="n">
        <v>1</v>
      </c>
      <c r="AR21" s="4" t="n">
        <v>1</v>
      </c>
      <c r="AS21" s="4" t="n">
        <v>0</v>
      </c>
      <c r="AT21" s="4" t="n">
        <v>0</v>
      </c>
      <c r="AU21" s="4" t="n">
        <v>0</v>
      </c>
      <c r="AV21" s="4" t="n">
        <v>1</v>
      </c>
      <c r="AW21" s="4" t="n">
        <v>1</v>
      </c>
      <c r="AX21" s="4" t="n">
        <v>1</v>
      </c>
      <c r="AY21" s="4" t="n">
        <v>1</v>
      </c>
      <c r="AZ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7" t="n"/>
      <c r="AO22" s="7" t="n">
        <v>15</v>
      </c>
      <c r="AP22" s="7" t="n">
        <v>7</v>
      </c>
      <c r="AQ22" s="4" t="n">
        <v>0</v>
      </c>
      <c r="AR22" s="4" t="n">
        <v>0</v>
      </c>
      <c r="AS22" s="4" t="n"/>
      <c r="AT22" s="4" t="n">
        <v>0</v>
      </c>
      <c r="AU22" s="4" t="n">
        <v>1</v>
      </c>
      <c r="AV22" s="4" t="n">
        <v>1</v>
      </c>
      <c r="AW22" s="4" t="n">
        <v>1</v>
      </c>
      <c r="AX22" s="4" t="n">
        <v>1</v>
      </c>
      <c r="AY22" s="4" t="n">
        <v>1</v>
      </c>
      <c r="AZ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7" t="n"/>
      <c r="AO23" s="7" t="n">
        <v>10</v>
      </c>
      <c r="AP23" s="7" t="n">
        <v>6</v>
      </c>
      <c r="AQ23" s="4" t="n">
        <v>1</v>
      </c>
      <c r="AR23" s="4" t="n">
        <v>0</v>
      </c>
      <c r="AS23" s="4" t="n"/>
      <c r="AT23" s="4" t="n">
        <v>1</v>
      </c>
      <c r="AU23" s="4" t="n">
        <v>1</v>
      </c>
      <c r="AV23" s="4" t="n">
        <v>1</v>
      </c>
      <c r="AW23" s="4" t="n">
        <v>1</v>
      </c>
      <c r="AX23" s="4" t="n">
        <v>1</v>
      </c>
      <c r="AY23" s="4" t="n">
        <v>1</v>
      </c>
      <c r="AZ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7" t="n">
        <v>1357</v>
      </c>
      <c r="AO24" s="7" t="n"/>
      <c r="AP24" s="7" t="n"/>
      <c r="AQ24" s="4" t="n">
        <v>0</v>
      </c>
      <c r="AR24" s="4" t="n">
        <v>0</v>
      </c>
      <c r="AS24" s="4" t="n"/>
      <c r="AT24" s="4" t="n">
        <v>0</v>
      </c>
      <c r="AU24" s="4" t="n">
        <v>1</v>
      </c>
      <c r="AV24" s="4" t="n">
        <v>1</v>
      </c>
      <c r="AW24" s="4" t="n">
        <v>1</v>
      </c>
      <c r="AX24" s="4" t="n">
        <v>1</v>
      </c>
      <c r="AY24" s="4" t="n">
        <v>1</v>
      </c>
      <c r="AZ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46</v>
      </c>
      <c r="AD25" s="14" t="n">
        <v>56</v>
      </c>
      <c r="AE25" s="14" t="n">
        <v>78</v>
      </c>
      <c r="AF25" s="14" t="n">
        <v>52.25</v>
      </c>
      <c r="AG25" s="14" t="n">
        <v>68.5</v>
      </c>
      <c r="AH25" s="14" t="n">
        <v>96.75</v>
      </c>
      <c r="AI25" s="14" t="n">
        <v>52.5</v>
      </c>
      <c r="AJ25" s="14" t="n">
        <v>28.5</v>
      </c>
      <c r="AK25" s="14" t="n">
        <v>11</v>
      </c>
      <c r="AL25" s="14" t="n">
        <v>8</v>
      </c>
      <c r="AM25" s="14" t="n">
        <v>25</v>
      </c>
      <c r="AN25" s="7" t="n">
        <v>540</v>
      </c>
      <c r="AO25" s="7" t="n">
        <v>17</v>
      </c>
      <c r="AP25" s="7" t="n">
        <v>13</v>
      </c>
      <c r="AQ25" s="4" t="n">
        <v>1</v>
      </c>
      <c r="AR25" s="4" t="n">
        <v>1</v>
      </c>
      <c r="AS25" s="4" t="n">
        <v>1</v>
      </c>
      <c r="AT25" s="4" t="n">
        <v>0</v>
      </c>
      <c r="AU25" s="4" t="n">
        <v>0</v>
      </c>
      <c r="AV25" s="4" t="n">
        <v>1</v>
      </c>
      <c r="AW25" s="4" t="n">
        <v>1</v>
      </c>
      <c r="AX25" s="4" t="n">
        <v>1</v>
      </c>
      <c r="AY25" s="4" t="n">
        <v>1</v>
      </c>
      <c r="AZ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/>
      <c r="AG26" s="14" t="n"/>
      <c r="AH26" s="14" t="n"/>
      <c r="AI26" s="14" t="n">
        <v>49.5</v>
      </c>
      <c r="AJ26" s="14" t="n">
        <v>39</v>
      </c>
      <c r="AK26" s="14" t="n">
        <v>16</v>
      </c>
      <c r="AL26" s="14" t="n">
        <v>8</v>
      </c>
      <c r="AM26" s="14" t="n">
        <v>36.5</v>
      </c>
      <c r="AN26" s="7" t="n">
        <v>934</v>
      </c>
      <c r="AO26" s="7" t="n">
        <v>712</v>
      </c>
      <c r="AP26" s="7" t="n">
        <v>453</v>
      </c>
      <c r="AQ26" s="4" t="n">
        <v>1</v>
      </c>
      <c r="AR26" s="4" t="n">
        <v>1</v>
      </c>
      <c r="AS26" s="4" t="n">
        <v>0</v>
      </c>
      <c r="AT26" s="4" t="n">
        <v>1</v>
      </c>
      <c r="AU26" s="4" t="n">
        <v>1</v>
      </c>
      <c r="AV26" s="4" t="n">
        <v>1</v>
      </c>
      <c r="AW26" s="4" t="n">
        <v>1</v>
      </c>
      <c r="AX26" s="4" t="n">
        <v>1</v>
      </c>
      <c r="AY26" s="4" t="n">
        <v>1</v>
      </c>
      <c r="AZ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7" t="n"/>
      <c r="AO27" s="7" t="n">
        <v>32</v>
      </c>
      <c r="AP27" s="7" t="n">
        <v>24</v>
      </c>
      <c r="AQ27" s="4" t="n">
        <v>0</v>
      </c>
      <c r="AR27" s="4" t="n">
        <v>0</v>
      </c>
      <c r="AS27" s="4" t="n"/>
      <c r="AT27" s="4" t="n">
        <v>0</v>
      </c>
      <c r="AU27" s="4" t="n">
        <v>1</v>
      </c>
      <c r="AV27" s="4" t="n">
        <v>1</v>
      </c>
      <c r="AW27" s="4" t="n">
        <v>1</v>
      </c>
      <c r="AX27" s="4" t="n">
        <v>1</v>
      </c>
      <c r="AY27" s="4" t="n">
        <v>1</v>
      </c>
      <c r="AZ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/>
      <c r="AH28" s="14" t="n"/>
      <c r="AI28" s="14" t="n"/>
      <c r="AJ28" s="14" t="n">
        <v>68</v>
      </c>
      <c r="AK28" s="14" t="n"/>
      <c r="AL28" s="14" t="n"/>
      <c r="AM28" s="14" t="n">
        <v>36</v>
      </c>
      <c r="AN28" s="7" t="n"/>
      <c r="AO28" s="7" t="n">
        <v>51</v>
      </c>
      <c r="AP28" s="7" t="n">
        <v>38</v>
      </c>
      <c r="AQ28" s="4" t="n">
        <v>1</v>
      </c>
      <c r="AR28" s="4" t="n">
        <v>1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1</v>
      </c>
      <c r="AX28" s="4" t="n">
        <v>1</v>
      </c>
      <c r="AY28" s="4" t="n">
        <v>1</v>
      </c>
      <c r="AZ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 t="n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/>
      <c r="AG29" s="14" t="n"/>
      <c r="AH29" s="14" t="n"/>
      <c r="AI29" s="14" t="n">
        <v>43.9</v>
      </c>
      <c r="AJ29" s="14" t="n">
        <v>39.9</v>
      </c>
      <c r="AK29" s="14" t="n">
        <v>15</v>
      </c>
      <c r="AL29" s="14" t="n">
        <v>9</v>
      </c>
      <c r="AM29" s="14" t="n">
        <v>37.9</v>
      </c>
      <c r="AN29" s="7" t="n">
        <v>225</v>
      </c>
      <c r="AO29" s="7" t="n">
        <v>80</v>
      </c>
      <c r="AP29" s="7" t="n">
        <v>48</v>
      </c>
      <c r="AQ29" s="4" t="n">
        <v>1</v>
      </c>
      <c r="AR29" s="4" t="n">
        <v>1</v>
      </c>
      <c r="AS29" s="4" t="n">
        <v>0</v>
      </c>
      <c r="AT29" s="4" t="n">
        <v>0</v>
      </c>
      <c r="AU29" s="4" t="n">
        <v>0</v>
      </c>
      <c r="AV29" s="4" t="n">
        <v>1</v>
      </c>
      <c r="AW29" s="4" t="n">
        <v>1</v>
      </c>
      <c r="AX29" s="4" t="n">
        <v>1</v>
      </c>
      <c r="AY29" s="4" t="n">
        <v>1</v>
      </c>
      <c r="AZ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72</v>
      </c>
      <c r="Z30" s="14" t="n"/>
      <c r="AA30" s="14" t="n">
        <v>28</v>
      </c>
      <c r="AB30" s="14" t="n">
        <v>32</v>
      </c>
      <c r="AC30" s="14" t="n">
        <v>47.75</v>
      </c>
      <c r="AD30" s="14" t="n">
        <v>60</v>
      </c>
      <c r="AE30" s="14" t="n">
        <v>69</v>
      </c>
      <c r="AF30" s="14" t="n"/>
      <c r="AG30" s="14" t="n"/>
      <c r="AH30" s="14" t="n"/>
      <c r="AI30" s="14" t="n">
        <v>28</v>
      </c>
      <c r="AJ30" s="14" t="n">
        <v>33</v>
      </c>
      <c r="AK30" s="14" t="n">
        <v>22</v>
      </c>
      <c r="AL30" s="14" t="n">
        <v>8</v>
      </c>
      <c r="AM30" s="14" t="n">
        <v>30</v>
      </c>
      <c r="AN30" s="7" t="n"/>
      <c r="AO30" s="7" t="n">
        <v>12</v>
      </c>
      <c r="AP30" s="7" t="n">
        <v>3</v>
      </c>
      <c r="AQ30" s="4" t="n">
        <v>1</v>
      </c>
      <c r="AR30" s="4" t="n">
        <v>1</v>
      </c>
      <c r="AS30" s="4" t="n">
        <v>0</v>
      </c>
      <c r="AT30" s="4" t="n">
        <v>0</v>
      </c>
      <c r="AU30" s="4" t="n">
        <v>1</v>
      </c>
      <c r="AV30" s="4" t="n">
        <v>1</v>
      </c>
      <c r="AW30" s="4" t="n">
        <v>1</v>
      </c>
      <c r="AX30" s="4" t="n">
        <v>1</v>
      </c>
      <c r="AY30" s="4" t="n">
        <v>1</v>
      </c>
      <c r="AZ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 t="n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/>
      <c r="AG31" s="14" t="n"/>
      <c r="AH31" s="14" t="n"/>
      <c r="AI31" s="14" t="n">
        <v>29</v>
      </c>
      <c r="AJ31" s="14" t="n">
        <v>50</v>
      </c>
      <c r="AK31" s="14" t="n">
        <v>17</v>
      </c>
      <c r="AL31" s="14" t="n">
        <v>8</v>
      </c>
      <c r="AM31" s="14" t="n">
        <v>21.5</v>
      </c>
      <c r="AN31" s="7" t="n">
        <v>239</v>
      </c>
      <c r="AO31" s="7" t="n">
        <v>17</v>
      </c>
      <c r="AP31" s="7" t="n">
        <v>6</v>
      </c>
      <c r="AQ31" s="4" t="n">
        <v>0</v>
      </c>
      <c r="AR31" s="4" t="n">
        <v>1</v>
      </c>
      <c r="AS31" s="4" t="n">
        <v>0</v>
      </c>
      <c r="AT31" s="4" t="n">
        <v>0</v>
      </c>
      <c r="AU31" s="4" t="n">
        <v>0</v>
      </c>
      <c r="AV31" s="4" t="n">
        <v>1</v>
      </c>
      <c r="AW31" s="4" t="n">
        <v>1</v>
      </c>
      <c r="AX31" s="4" t="n">
        <v>1</v>
      </c>
      <c r="AY31" s="4" t="n">
        <v>1</v>
      </c>
      <c r="AZ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/>
      <c r="AG32" s="14" t="n"/>
      <c r="AH32" s="14" t="n"/>
      <c r="AI32" s="14" t="n">
        <v>31</v>
      </c>
      <c r="AJ32" s="14" t="n">
        <v>30</v>
      </c>
      <c r="AK32" s="14" t="n">
        <v>12</v>
      </c>
      <c r="AL32" s="14" t="n">
        <v>8</v>
      </c>
      <c r="AM32" s="14" t="n">
        <v>28</v>
      </c>
      <c r="AN32" s="7" t="n">
        <v>90</v>
      </c>
      <c r="AO32" s="7" t="n">
        <v>7</v>
      </c>
      <c r="AP32" s="7" t="n">
        <v>4</v>
      </c>
      <c r="AQ32" s="4" t="n">
        <v>0</v>
      </c>
      <c r="AR32" s="4" t="n">
        <v>1</v>
      </c>
      <c r="AS32" s="4" t="n">
        <v>0</v>
      </c>
      <c r="AT32" s="4" t="n">
        <v>0</v>
      </c>
      <c r="AU32" s="4" t="n">
        <v>0</v>
      </c>
      <c r="AV32" s="4" t="n">
        <v>1</v>
      </c>
      <c r="AW32" s="4" t="n">
        <v>1</v>
      </c>
      <c r="AX32" s="4" t="n">
        <v>1</v>
      </c>
      <c r="AY32" s="4" t="n">
        <v>1</v>
      </c>
      <c r="AZ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 t="n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/>
      <c r="AG33" s="14" t="n"/>
      <c r="AH33" s="14" t="n"/>
      <c r="AI33" s="14" t="n">
        <v>38</v>
      </c>
      <c r="AJ33" s="14" t="n">
        <v>24.9</v>
      </c>
      <c r="AK33" s="14" t="n"/>
      <c r="AL33" s="14" t="n"/>
      <c r="AM33" s="14" t="n"/>
      <c r="AN33" s="7" t="n"/>
      <c r="AO33" s="7" t="n">
        <v>81</v>
      </c>
      <c r="AP33" s="7" t="n">
        <v>62</v>
      </c>
      <c r="AQ33" s="4" t="n">
        <v>1</v>
      </c>
      <c r="AR33" s="4" t="n">
        <v>1</v>
      </c>
      <c r="AS33" s="4" t="n">
        <v>0</v>
      </c>
      <c r="AT33" s="4" t="n">
        <v>0</v>
      </c>
      <c r="AU33" s="4" t="n">
        <v>1</v>
      </c>
      <c r="AV33" s="4" t="n">
        <v>1</v>
      </c>
      <c r="AW33" s="4" t="n">
        <v>1</v>
      </c>
      <c r="AX33" s="4" t="n">
        <v>1</v>
      </c>
      <c r="AY33" s="4" t="n">
        <v>1</v>
      </c>
      <c r="AZ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4" t="n"/>
      <c r="AL34" s="14" t="n"/>
      <c r="AM34" s="14" t="n"/>
      <c r="AN34" s="7" t="n"/>
      <c r="AO34" s="7" t="n">
        <v>120</v>
      </c>
      <c r="AP34" s="7" t="n">
        <v>79</v>
      </c>
      <c r="AQ34" s="4" t="n">
        <v>1</v>
      </c>
      <c r="AR34" s="4" t="n">
        <v>0</v>
      </c>
      <c r="AS34" s="4" t="n"/>
      <c r="AT34" s="4" t="n">
        <v>0</v>
      </c>
      <c r="AU34" s="4" t="n">
        <v>1</v>
      </c>
      <c r="AV34" s="4" t="n">
        <v>1</v>
      </c>
      <c r="AW34" s="4" t="n">
        <v>1</v>
      </c>
      <c r="AX34" s="4" t="n">
        <v>1</v>
      </c>
      <c r="AY34" s="4" t="n">
        <v>1</v>
      </c>
      <c r="AZ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/>
      <c r="AG35" s="14" t="n"/>
      <c r="AH35" s="14" t="n"/>
      <c r="AI35" s="14" t="n">
        <v>12</v>
      </c>
      <c r="AJ35" s="14" t="n">
        <v>10</v>
      </c>
      <c r="AK35" s="14" t="n">
        <v>6.5</v>
      </c>
      <c r="AL35" s="14" t="n">
        <v>6</v>
      </c>
      <c r="AM35" s="14" t="n"/>
      <c r="AN35" s="7" t="n"/>
      <c r="AO35" s="7" t="n">
        <v>29</v>
      </c>
      <c r="AP35" s="7" t="n">
        <v>16</v>
      </c>
      <c r="AQ35" s="4" t="n">
        <v>1</v>
      </c>
      <c r="AR35" s="4" t="n">
        <v>1</v>
      </c>
      <c r="AS35" s="4" t="n">
        <v>0</v>
      </c>
      <c r="AT35" s="4" t="n">
        <v>0</v>
      </c>
      <c r="AU35" s="4" t="n">
        <v>1</v>
      </c>
      <c r="AV35" s="4" t="n">
        <v>1</v>
      </c>
      <c r="AW35" s="4" t="n">
        <v>1</v>
      </c>
      <c r="AX35" s="4" t="n">
        <v>1</v>
      </c>
      <c r="AY35" s="4" t="n">
        <v>1</v>
      </c>
      <c r="AZ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>
        <v>7</v>
      </c>
      <c r="Z36" s="14" t="n"/>
      <c r="AA36" s="14" t="n">
        <v>6</v>
      </c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>
        <v>6</v>
      </c>
      <c r="AM36" s="14" t="n"/>
      <c r="AN36" s="7" t="n">
        <v>331</v>
      </c>
      <c r="AO36" s="7" t="n">
        <v>5</v>
      </c>
      <c r="AP36" s="7" t="n">
        <v>3</v>
      </c>
      <c r="AQ36" s="4" t="n">
        <v>1</v>
      </c>
      <c r="AR36" s="4" t="n">
        <v>1</v>
      </c>
      <c r="AS36" s="4" t="n">
        <v>0</v>
      </c>
      <c r="AT36" s="4" t="n">
        <v>0</v>
      </c>
      <c r="AU36" s="4" t="n">
        <v>1</v>
      </c>
      <c r="AV36" s="4" t="n">
        <v>1</v>
      </c>
      <c r="AW36" s="4" t="n">
        <v>1</v>
      </c>
      <c r="AX36" s="4" t="n">
        <v>1</v>
      </c>
      <c r="AY36" s="4" t="n">
        <v>1</v>
      </c>
      <c r="AZ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63</v>
      </c>
      <c r="AG37" s="14" t="n">
        <v>82</v>
      </c>
      <c r="AH37" s="14" t="n">
        <v>92.5</v>
      </c>
      <c r="AI37" s="14" t="n">
        <v>42</v>
      </c>
      <c r="AJ37" s="14" t="n">
        <v>48</v>
      </c>
      <c r="AK37" s="14" t="n">
        <v>18.5</v>
      </c>
      <c r="AL37" s="14" t="n">
        <v>9</v>
      </c>
      <c r="AM37" s="14" t="n">
        <v>36</v>
      </c>
      <c r="AN37" s="7" t="n">
        <v>199</v>
      </c>
      <c r="AO37" s="7" t="n">
        <v>51</v>
      </c>
      <c r="AP37" s="7" t="n">
        <v>28</v>
      </c>
      <c r="AQ37" s="4" t="n">
        <v>1</v>
      </c>
      <c r="AR37" s="4" t="n">
        <v>1</v>
      </c>
      <c r="AS37" s="4" t="n">
        <v>1</v>
      </c>
      <c r="AT37" s="4" t="n">
        <v>0</v>
      </c>
      <c r="AU37" s="4" t="n">
        <v>0</v>
      </c>
      <c r="AV37" s="4" t="n">
        <v>0</v>
      </c>
      <c r="AW37" s="4" t="n">
        <v>1</v>
      </c>
      <c r="AX37" s="4" t="n">
        <v>1</v>
      </c>
      <c r="AY37" s="4" t="n">
        <v>1</v>
      </c>
      <c r="AZ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7" t="n">
        <v>59</v>
      </c>
      <c r="AO38" s="7" t="n">
        <v>31</v>
      </c>
      <c r="AP38" s="7" t="n">
        <v>18</v>
      </c>
      <c r="AQ38" s="4" t="n">
        <v>1</v>
      </c>
      <c r="AR38" s="4" t="n">
        <v>0</v>
      </c>
      <c r="AS38" s="4" t="n"/>
      <c r="AT38" s="4" t="n">
        <v>0</v>
      </c>
      <c r="AU38" s="4" t="n">
        <v>0</v>
      </c>
      <c r="AV38" s="4" t="n">
        <v>1</v>
      </c>
      <c r="AW38" s="4" t="n">
        <v>1</v>
      </c>
      <c r="AX38" s="4" t="n">
        <v>1</v>
      </c>
      <c r="AY38" s="4" t="n">
        <v>1</v>
      </c>
      <c r="AZ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7" t="n">
        <v>227</v>
      </c>
      <c r="AO39" s="7" t="n">
        <v>14</v>
      </c>
      <c r="AP39" s="7" t="n">
        <v>7</v>
      </c>
      <c r="AQ39" s="4" t="n">
        <v>1</v>
      </c>
      <c r="AR39" s="4" t="n">
        <v>0</v>
      </c>
      <c r="AS39" s="4" t="n"/>
      <c r="AT39" s="4" t="n">
        <v>0</v>
      </c>
      <c r="AU39" s="4" t="n">
        <v>1</v>
      </c>
      <c r="AV39" s="4" t="n">
        <v>1</v>
      </c>
      <c r="AW39" s="4" t="n">
        <v>1</v>
      </c>
      <c r="AX39" s="4" t="n">
        <v>1</v>
      </c>
      <c r="AY39" s="4" t="n">
        <v>1</v>
      </c>
      <c r="AZ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 t="n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/>
      <c r="AG40" s="14" t="n"/>
      <c r="AH40" s="14" t="n"/>
      <c r="AI40" s="14" t="n">
        <v>38.9</v>
      </c>
      <c r="AJ40" s="14" t="n">
        <v>33</v>
      </c>
      <c r="AK40" s="14" t="n">
        <v>13</v>
      </c>
      <c r="AL40" s="14" t="n">
        <v>11</v>
      </c>
      <c r="AM40" s="14" t="n"/>
      <c r="AN40" s="7" t="n">
        <v>633</v>
      </c>
      <c r="AO40" s="7" t="n">
        <v>18</v>
      </c>
      <c r="AP40" s="7" t="n">
        <v>11</v>
      </c>
      <c r="AQ40" s="4" t="n">
        <v>0</v>
      </c>
      <c r="AR40" s="4" t="n">
        <v>1</v>
      </c>
      <c r="AS40" s="4" t="n">
        <v>0</v>
      </c>
      <c r="AT40" s="4" t="n">
        <v>0</v>
      </c>
      <c r="AU40" s="4" t="n">
        <v>0</v>
      </c>
      <c r="AV40" s="4" t="n">
        <v>1</v>
      </c>
      <c r="AW40" s="4" t="n">
        <v>1</v>
      </c>
      <c r="AX40" s="4" t="n">
        <v>1</v>
      </c>
      <c r="AY40" s="4" t="n">
        <v>1</v>
      </c>
      <c r="AZ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/>
      <c r="AH41" s="14" t="n"/>
      <c r="AI41" s="14" t="n"/>
      <c r="AJ41" s="14" t="n">
        <v>16</v>
      </c>
      <c r="AK41" s="14" t="n">
        <v>10</v>
      </c>
      <c r="AL41" s="14" t="n">
        <v>6</v>
      </c>
      <c r="AM41" s="14" t="n"/>
      <c r="AN41" s="7" t="n">
        <v>438</v>
      </c>
      <c r="AO41" s="7" t="n">
        <v>40</v>
      </c>
      <c r="AP41" s="7" t="n">
        <v>22</v>
      </c>
      <c r="AQ41" s="4" t="n">
        <v>1</v>
      </c>
      <c r="AR41" s="4" t="n">
        <v>1</v>
      </c>
      <c r="AS41" s="4" t="n">
        <v>0</v>
      </c>
      <c r="AT41" s="4" t="n">
        <v>1</v>
      </c>
      <c r="AU41" s="4" t="n">
        <v>1</v>
      </c>
      <c r="AV41" s="4" t="n">
        <v>1</v>
      </c>
      <c r="AW41" s="4" t="n">
        <v>1</v>
      </c>
      <c r="AX41" s="4" t="n">
        <v>1</v>
      </c>
      <c r="AY41" s="4" t="n">
        <v>1</v>
      </c>
      <c r="AZ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>
        <v>29</v>
      </c>
      <c r="Z42" s="14" t="n"/>
      <c r="AA42" s="14" t="n"/>
      <c r="AB42" s="14" t="n">
        <v>38</v>
      </c>
      <c r="AC42" s="14" t="n"/>
      <c r="AD42" s="14" t="n"/>
      <c r="AE42" s="14" t="n"/>
      <c r="AF42" s="14" t="n"/>
      <c r="AG42" s="14" t="n"/>
      <c r="AH42" s="14" t="n"/>
      <c r="AI42" s="14" t="n">
        <v>48</v>
      </c>
      <c r="AJ42" s="14" t="n">
        <v>35</v>
      </c>
      <c r="AK42" s="14" t="n"/>
      <c r="AL42" s="14" t="n"/>
      <c r="AM42" s="14" t="n"/>
      <c r="AN42" s="7" t="n">
        <v>221</v>
      </c>
      <c r="AO42" s="7" t="n"/>
      <c r="AP42" s="7" t="n"/>
      <c r="AQ42" s="4" t="n">
        <v>0</v>
      </c>
      <c r="AR42" s="4" t="n">
        <v>1</v>
      </c>
      <c r="AS42" s="4" t="n">
        <v>0</v>
      </c>
      <c r="AT42" s="4" t="n">
        <v>0</v>
      </c>
      <c r="AU42" s="4" t="n">
        <v>0</v>
      </c>
      <c r="AV42" s="4" t="n">
        <v>1</v>
      </c>
      <c r="AW42" s="4" t="n">
        <v>1</v>
      </c>
      <c r="AX42" s="4" t="n">
        <v>1</v>
      </c>
      <c r="AY42" s="4" t="n">
        <v>1</v>
      </c>
      <c r="AZ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7" t="n"/>
      <c r="AO43" s="7" t="n">
        <v>18</v>
      </c>
      <c r="AP43" s="7" t="n">
        <v>8</v>
      </c>
      <c r="AQ43" s="4" t="n">
        <v>1</v>
      </c>
      <c r="AR43" s="4" t="n">
        <v>0</v>
      </c>
      <c r="AS43" s="4" t="n"/>
      <c r="AT43" s="4" t="n">
        <v>1</v>
      </c>
      <c r="AU43" s="4" t="n">
        <v>1</v>
      </c>
      <c r="AV43" s="4" t="n">
        <v>1</v>
      </c>
      <c r="AW43" s="4" t="n">
        <v>1</v>
      </c>
      <c r="AX43" s="4" t="n">
        <v>1</v>
      </c>
      <c r="AY43" s="4" t="n">
        <v>1</v>
      </c>
      <c r="AZ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>
        <v>0</v>
      </c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 t="n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/>
      <c r="AG44" s="14" t="n"/>
      <c r="AH44" s="14" t="n"/>
      <c r="AI44" s="14" t="n"/>
      <c r="AJ44" s="14" t="n">
        <v>18</v>
      </c>
      <c r="AK44" s="14" t="n">
        <v>12</v>
      </c>
      <c r="AL44" s="14" t="n">
        <v>7</v>
      </c>
      <c r="AM44" s="14" t="n"/>
      <c r="AN44" s="7" t="n"/>
      <c r="AO44" s="7" t="n">
        <v>9</v>
      </c>
      <c r="AP44" s="7" t="n">
        <v>5</v>
      </c>
      <c r="AQ44" s="4" t="n">
        <v>0</v>
      </c>
      <c r="AR44" s="4" t="n">
        <v>1</v>
      </c>
      <c r="AS44" s="4" t="n">
        <v>0</v>
      </c>
      <c r="AT44" s="4" t="n">
        <v>0</v>
      </c>
      <c r="AU44" s="4" t="n">
        <v>0</v>
      </c>
      <c r="AV44" s="4" t="n">
        <v>0</v>
      </c>
      <c r="AW44" s="4" t="n">
        <v>1</v>
      </c>
      <c r="AX44" s="4" t="n">
        <v>1</v>
      </c>
      <c r="AY44" s="4" t="n">
        <v>1</v>
      </c>
      <c r="AZ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>
        <v>0</v>
      </c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 t="n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 t="n"/>
      <c r="AG45" s="14" t="n"/>
      <c r="AH45" s="14" t="n"/>
      <c r="AI45" s="14" t="n"/>
      <c r="AJ45" s="14" t="n"/>
      <c r="AK45" s="14" t="n"/>
      <c r="AL45" s="14" t="n">
        <v>9</v>
      </c>
      <c r="AM45" s="14" t="n"/>
      <c r="AN45" s="7" t="n">
        <v>270</v>
      </c>
      <c r="AO45" s="7" t="n">
        <v>20</v>
      </c>
      <c r="AP45" s="7" t="n">
        <v>8</v>
      </c>
      <c r="AQ45" s="4" t="n">
        <v>0</v>
      </c>
      <c r="AR45" s="4" t="n">
        <v>1</v>
      </c>
      <c r="AS45" s="4" t="n">
        <v>0</v>
      </c>
      <c r="AT45" s="4" t="n">
        <v>0</v>
      </c>
      <c r="AU45" s="4" t="n">
        <v>0</v>
      </c>
      <c r="AV45" s="4" t="n">
        <v>1</v>
      </c>
      <c r="AW45" s="4" t="n">
        <v>1</v>
      </c>
      <c r="AX45" s="4" t="n">
        <v>1</v>
      </c>
      <c r="AY45" s="4" t="n">
        <v>1</v>
      </c>
      <c r="AZ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 t="n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/>
      <c r="AG46" s="14" t="n"/>
      <c r="AH46" s="14" t="n"/>
      <c r="AI46" s="14" t="n">
        <v>32</v>
      </c>
      <c r="AJ46" s="14" t="n">
        <v>32</v>
      </c>
      <c r="AK46" s="14" t="n">
        <v>18</v>
      </c>
      <c r="AL46" s="14" t="n">
        <v>8</v>
      </c>
      <c r="AM46" s="14" t="n">
        <v>24</v>
      </c>
      <c r="AN46" s="7" t="n"/>
      <c r="AO46" s="7" t="n">
        <v>37</v>
      </c>
      <c r="AP46" s="7" t="n">
        <v>24</v>
      </c>
      <c r="AQ46" s="4" t="n">
        <v>0</v>
      </c>
      <c r="AR46" s="4" t="n">
        <v>1</v>
      </c>
      <c r="AS46" s="4" t="n">
        <v>0</v>
      </c>
      <c r="AT46" s="4" t="n">
        <v>0</v>
      </c>
      <c r="AU46" s="4" t="n">
        <v>1</v>
      </c>
      <c r="AV46" s="4" t="n">
        <v>1</v>
      </c>
      <c r="AW46" s="4" t="n">
        <v>1</v>
      </c>
      <c r="AX46" s="4" t="n">
        <v>1</v>
      </c>
      <c r="AY46" s="4" t="n">
        <v>1</v>
      </c>
      <c r="AZ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7" t="n">
        <v>1010</v>
      </c>
      <c r="AO47" s="7" t="n">
        <v>50</v>
      </c>
      <c r="AP47" s="7" t="n">
        <v>17</v>
      </c>
      <c r="AQ47" s="4" t="n">
        <v>0</v>
      </c>
      <c r="AR47" s="4" t="n">
        <v>0</v>
      </c>
      <c r="AS47" s="4" t="n"/>
      <c r="AT47" s="4" t="n">
        <v>0</v>
      </c>
      <c r="AU47" s="4" t="n">
        <v>1</v>
      </c>
      <c r="AV47" s="4" t="n">
        <v>1</v>
      </c>
      <c r="AW47" s="4" t="n">
        <v>1</v>
      </c>
      <c r="AX47" s="4" t="n">
        <v>1</v>
      </c>
      <c r="AY47" s="4" t="n">
        <v>1</v>
      </c>
      <c r="AZ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7" t="n"/>
      <c r="AO48" s="7" t="n">
        <v>2</v>
      </c>
      <c r="AP48" s="7" t="n">
        <v>0</v>
      </c>
      <c r="AQ48" s="4" t="n">
        <v>0</v>
      </c>
      <c r="AR48" s="4" t="n">
        <v>0</v>
      </c>
      <c r="AS48" s="4" t="n"/>
      <c r="AT48" s="4" t="n">
        <v>0</v>
      </c>
      <c r="AU48" s="4" t="n">
        <v>0</v>
      </c>
      <c r="AV48" s="4" t="n">
        <v>1</v>
      </c>
      <c r="AW48" s="4" t="n">
        <v>1</v>
      </c>
      <c r="AX48" s="4" t="n">
        <v>1</v>
      </c>
      <c r="AY48" s="4" t="n">
        <v>1</v>
      </c>
      <c r="AZ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7" t="n"/>
      <c r="AO49" s="7" t="n">
        <v>13</v>
      </c>
      <c r="AP49" s="7" t="n">
        <v>5</v>
      </c>
      <c r="AQ49" s="4" t="n">
        <v>0</v>
      </c>
      <c r="AR49" s="4" t="n">
        <v>0</v>
      </c>
      <c r="AS49" s="4" t="n"/>
      <c r="AT49" s="4" t="n">
        <v>1</v>
      </c>
      <c r="AU49" s="4" t="n">
        <v>1</v>
      </c>
      <c r="AV49" s="4" t="n">
        <v>1</v>
      </c>
      <c r="AW49" s="4" t="n">
        <v>1</v>
      </c>
      <c r="AX49" s="4" t="n">
        <v>1</v>
      </c>
      <c r="AY49" s="4" t="n">
        <v>1</v>
      </c>
      <c r="AZ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7" t="n"/>
      <c r="AO50" s="7" t="n">
        <v>13</v>
      </c>
      <c r="AP50" s="7" t="n">
        <v>8</v>
      </c>
      <c r="AQ50" s="4" t="n">
        <v>0</v>
      </c>
      <c r="AR50" s="4" t="n">
        <v>0</v>
      </c>
      <c r="AS50" s="4" t="n"/>
      <c r="AT50" s="4" t="n">
        <v>1</v>
      </c>
      <c r="AU50" s="4" t="n">
        <v>1</v>
      </c>
      <c r="AV50" s="4" t="n">
        <v>1</v>
      </c>
      <c r="AW50" s="4" t="n">
        <v>1</v>
      </c>
      <c r="AX50" s="4" t="n">
        <v>1</v>
      </c>
      <c r="AY50" s="4" t="n">
        <v>1</v>
      </c>
      <c r="AZ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>
        <v>9</v>
      </c>
      <c r="Z51" s="14" t="n"/>
      <c r="AA51" s="14" t="n"/>
      <c r="AB51" s="14" t="n">
        <v>36</v>
      </c>
      <c r="AC51" s="14" t="n"/>
      <c r="AD51" s="14" t="n"/>
      <c r="AE51" s="14" t="n"/>
      <c r="AF51" s="14" t="n"/>
      <c r="AG51" s="14" t="n"/>
      <c r="AH51" s="14" t="n"/>
      <c r="AI51" s="14" t="n">
        <v>36</v>
      </c>
      <c r="AJ51" s="14" t="n">
        <v>54</v>
      </c>
      <c r="AK51" s="14" t="n"/>
      <c r="AL51" s="14" t="n"/>
      <c r="AM51" s="14" t="n"/>
      <c r="AN51" s="7" t="n"/>
      <c r="AO51" s="7" t="n">
        <v>11</v>
      </c>
      <c r="AP51" s="7" t="n">
        <v>5</v>
      </c>
      <c r="AQ51" s="4" t="n">
        <v>0</v>
      </c>
      <c r="AR51" s="4" t="n">
        <v>1</v>
      </c>
      <c r="AS51" s="4" t="n">
        <v>0</v>
      </c>
      <c r="AT51" s="4" t="n">
        <v>0</v>
      </c>
      <c r="AU51" s="4" t="n">
        <v>1</v>
      </c>
      <c r="AV51" s="4" t="n">
        <v>1</v>
      </c>
      <c r="AW51" s="4" t="n">
        <v>1</v>
      </c>
      <c r="AX51" s="4" t="n">
        <v>1</v>
      </c>
      <c r="AY51" s="4" t="n">
        <v>1</v>
      </c>
      <c r="AZ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>
        <v>0</v>
      </c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100</v>
      </c>
      <c r="Z52" s="14" t="n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/>
      <c r="AG52" s="14" t="n"/>
      <c r="AH52" s="14" t="n"/>
      <c r="AI52" s="14" t="n">
        <v>25.9</v>
      </c>
      <c r="AJ52" s="14" t="n"/>
      <c r="AK52" s="14" t="n"/>
      <c r="AL52" s="14" t="n">
        <v>6.5</v>
      </c>
      <c r="AM52" s="14" t="n"/>
      <c r="AN52" s="7" t="n">
        <v>245</v>
      </c>
      <c r="AO52" s="7" t="n">
        <v>15</v>
      </c>
      <c r="AP52" s="7" t="n">
        <v>12</v>
      </c>
      <c r="AQ52" s="4" t="n">
        <v>0</v>
      </c>
      <c r="AR52" s="4" t="n">
        <v>1</v>
      </c>
      <c r="AS52" s="4" t="n">
        <v>0</v>
      </c>
      <c r="AT52" s="4" t="n">
        <v>1</v>
      </c>
      <c r="AU52" s="4" t="n">
        <v>1</v>
      </c>
      <c r="AV52" s="4" t="n">
        <v>1</v>
      </c>
      <c r="AW52" s="4" t="n">
        <v>1</v>
      </c>
      <c r="AX52" s="4" t="n">
        <v>1</v>
      </c>
      <c r="AY52" s="4" t="n">
        <v>1</v>
      </c>
      <c r="AZ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 t="n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/>
      <c r="AG53" s="14" t="n"/>
      <c r="AH53" s="14" t="n"/>
      <c r="AI53" s="14" t="n">
        <v>29.9</v>
      </c>
      <c r="AJ53" s="14" t="n">
        <v>29.2</v>
      </c>
      <c r="AK53" s="14" t="n">
        <v>17</v>
      </c>
      <c r="AL53" s="14" t="n">
        <v>6.75</v>
      </c>
      <c r="AM53" s="14" t="n">
        <v>20.9</v>
      </c>
      <c r="AN53" s="7" t="n"/>
      <c r="AO53" s="7" t="n">
        <v>48</v>
      </c>
      <c r="AP53" s="7" t="n">
        <v>23</v>
      </c>
      <c r="AQ53" s="4" t="n">
        <v>0</v>
      </c>
      <c r="AR53" s="4" t="n">
        <v>1</v>
      </c>
      <c r="AS53" s="4" t="n">
        <v>0</v>
      </c>
      <c r="AT53" s="4" t="n">
        <v>1</v>
      </c>
      <c r="AU53" s="4" t="n">
        <v>1</v>
      </c>
      <c r="AV53" s="4" t="n">
        <v>1</v>
      </c>
      <c r="AW53" s="4" t="n">
        <v>1</v>
      </c>
      <c r="AX53" s="4" t="n">
        <v>1</v>
      </c>
      <c r="AY53" s="4" t="n">
        <v>1</v>
      </c>
      <c r="AZ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 t="n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/>
      <c r="AG54" s="14" t="n"/>
      <c r="AH54" s="14" t="n"/>
      <c r="AI54" s="14" t="n">
        <v>45</v>
      </c>
      <c r="AJ54" s="14" t="n">
        <v>28</v>
      </c>
      <c r="AK54" s="14" t="n">
        <v>19</v>
      </c>
      <c r="AL54" s="14" t="n">
        <v>8</v>
      </c>
      <c r="AM54" s="14" t="n">
        <v>29</v>
      </c>
      <c r="AN54" s="7" t="n"/>
      <c r="AO54" s="7" t="n">
        <v>19</v>
      </c>
      <c r="AP54" s="7" t="n">
        <v>11</v>
      </c>
      <c r="AQ54" s="4" t="n">
        <v>0</v>
      </c>
      <c r="AR54" s="4" t="n">
        <v>1</v>
      </c>
      <c r="AS54" s="4" t="n">
        <v>0</v>
      </c>
      <c r="AT54" s="4" t="n">
        <v>1</v>
      </c>
      <c r="AU54" s="4" t="n">
        <v>1</v>
      </c>
      <c r="AV54" s="4" t="n">
        <v>1</v>
      </c>
      <c r="AW54" s="4" t="n">
        <v>1</v>
      </c>
      <c r="AX54" s="4" t="n">
        <v>1</v>
      </c>
      <c r="AY54" s="4" t="n">
        <v>1</v>
      </c>
      <c r="AZ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25</v>
      </c>
      <c r="Z55" s="14" t="n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/>
      <c r="AG55" s="14" t="n"/>
      <c r="AH55" s="14" t="n"/>
      <c r="AI55" s="14" t="n"/>
      <c r="AJ55" s="14" t="n"/>
      <c r="AK55" s="14" t="n"/>
      <c r="AL55" s="14" t="n">
        <v>7.5</v>
      </c>
      <c r="AM55" s="14" t="n"/>
      <c r="AN55" s="7" t="n">
        <v>287</v>
      </c>
      <c r="AO55" s="7" t="n"/>
      <c r="AP55" s="7" t="n"/>
      <c r="AQ55" s="4" t="n">
        <v>0</v>
      </c>
      <c r="AR55" s="4" t="n">
        <v>1</v>
      </c>
      <c r="AS55" s="4" t="n">
        <v>0</v>
      </c>
      <c r="AT55" s="4" t="n">
        <v>1</v>
      </c>
      <c r="AU55" s="4" t="n">
        <v>1</v>
      </c>
      <c r="AV55" s="4" t="n">
        <v>1</v>
      </c>
      <c r="AW55" s="4" t="n">
        <v>1</v>
      </c>
      <c r="AX55" s="4" t="n">
        <v>1</v>
      </c>
      <c r="AY55" s="4" t="n">
        <v>1</v>
      </c>
      <c r="AZ55" s="4" t="n">
        <v>0</v>
      </c>
    </row>
  </sheetData>
  <autoFilter ref="A1:AZ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consumo_baixa</t>
        </is>
      </c>
      <c r="B26" s="3" t="inlineStr">
        <is>
          <t>Cardápio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</row>
    <row r="27">
      <c r="A27" s="3" t="inlineStr">
        <is>
          <t>consumo_mediana</t>
        </is>
      </c>
      <c r="B27" s="3" t="inlineStr">
        <is>
          <t>Cardápio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</row>
    <row r="28">
      <c r="A28" s="3" t="inlineStr">
        <is>
          <t>consumo_alta</t>
        </is>
      </c>
      <c r="B28" s="3" t="inlineStr">
        <is>
          <t>Cardápio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</row>
    <row r="29">
      <c r="A29" s="3" t="inlineStr">
        <is>
          <t>cesta_baixa</t>
        </is>
      </c>
      <c r="B29" s="3" t="inlineStr">
        <is>
          <t>Cardápio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</row>
    <row r="30">
      <c r="A30" s="3" t="inlineStr">
        <is>
          <t>cesta_mediana</t>
        </is>
      </c>
      <c r="B30" s="3" t="inlineStr">
        <is>
          <t>Cardápio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</row>
    <row r="31">
      <c r="A31" s="3" t="inlineStr">
        <is>
          <t>cesta_alta</t>
        </is>
      </c>
      <c r="B31" s="3" t="inlineStr">
        <is>
          <t>Cardápio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</row>
    <row r="32">
      <c r="A32" s="3" t="inlineStr">
        <is>
          <t>hamburguer_mediana</t>
        </is>
      </c>
      <c r="B32" s="3" t="inlineStr">
        <is>
          <t>Cardápio</t>
        </is>
      </c>
      <c r="C32" s="3" t="inlineStr">
        <is>
          <t>Hambúrguer, mediana</t>
        </is>
      </c>
      <c r="D32" s="3" t="inlineStr">
        <is>
          <t>R$</t>
        </is>
      </c>
    </row>
    <row r="33">
      <c r="A33" s="3" t="inlineStr">
        <is>
          <t>batata_mediana</t>
        </is>
      </c>
      <c r="B33" s="3" t="inlineStr">
        <is>
          <t>Cardápio</t>
        </is>
      </c>
      <c r="C33" s="3" t="inlineStr">
        <is>
          <t>Batata, mediana</t>
        </is>
      </c>
      <c r="D33" s="3" t="inlineStr">
        <is>
          <t>R$</t>
        </is>
      </c>
    </row>
    <row r="34">
      <c r="A34" s="3" t="inlineStr">
        <is>
          <t>cerveja_mediana</t>
        </is>
      </c>
      <c r="B34" s="3" t="inlineStr">
        <is>
          <t>Cardápio</t>
        </is>
      </c>
      <c r="C34" s="3" t="inlineStr">
        <is>
          <t>Cerveja, mediana</t>
        </is>
      </c>
      <c r="D34" s="3" t="inlineStr">
        <is>
          <t>R$</t>
        </is>
      </c>
    </row>
    <row r="35">
      <c r="A35" s="3" t="inlineStr">
        <is>
          <t>refrigerante_mediana</t>
        </is>
      </c>
      <c r="B35" s="3" t="inlineStr">
        <is>
          <t>Cardápio</t>
        </is>
      </c>
      <c r="C35" s="3" t="inlineStr">
        <is>
          <t>Refrigerante, mediana</t>
        </is>
      </c>
      <c r="D35" s="3" t="inlineStr">
        <is>
          <t>R$</t>
        </is>
      </c>
    </row>
    <row r="36">
      <c r="A36" s="3" t="inlineStr">
        <is>
          <t>drinks_mediana</t>
        </is>
      </c>
      <c r="B36" s="3" t="inlineStr">
        <is>
          <t>Cardápio</t>
        </is>
      </c>
      <c r="C36" s="3" t="inlineStr">
        <is>
          <t>Drinks, mediana</t>
        </is>
      </c>
      <c r="D36" s="3" t="inlineStr">
        <is>
          <t>R$</t>
        </is>
      </c>
    </row>
    <row r="37">
      <c r="A37" s="3" t="inlineStr">
        <is>
          <t>titulos_acervo</t>
        </is>
      </c>
      <c r="B37" s="3" t="inlineStr">
        <is>
          <t>Acervo</t>
        </is>
      </c>
      <c r="C37" s="3" t="inlineStr">
        <is>
          <t>Títulos no acervo publicado</t>
        </is>
      </c>
      <c r="D37" s="3" t="inlineStr">
        <is>
          <t>jogos</t>
        </is>
      </c>
    </row>
    <row r="38">
      <c r="A38" s="3" t="inlineStr">
        <is>
          <t>avaliacoes_b2</t>
        </is>
      </c>
      <c r="B38" s="3" t="inlineStr">
        <is>
          <t>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</row>
    <row r="39">
      <c r="A39" s="3" t="inlineStr">
        <is>
          <t>avaliacoes_b2_com_texto</t>
        </is>
      </c>
      <c r="B39" s="3" t="inlineStr">
        <is>
          <t>B2</t>
        </is>
      </c>
      <c r="C39" s="3" t="inlineStr">
        <is>
          <t>Dessas, com texto</t>
        </is>
      </c>
      <c r="D39" s="3" t="inlineStr">
        <is>
          <t>avaliações</t>
        </is>
      </c>
    </row>
    <row r="40">
      <c r="A40" s="3" t="inlineStr">
        <is>
          <t>tem_metro_1000m</t>
        </is>
      </c>
      <c r="B40" s="3" t="inlineStr">
        <is>
          <t>Proporção</t>
        </is>
      </c>
      <c r="C40" s="3" t="inlineStr">
        <is>
          <t>Com estação de metrô até 1000 m (1 = sim, 0 = não)</t>
        </is>
      </c>
      <c r="D40" s="3" t="inlineStr">
        <is>
          <t>0 ou 1</t>
        </is>
      </c>
    </row>
    <row r="41">
      <c r="A41" s="3" t="inlineStr">
        <is>
          <t>tem_cardapio</t>
        </is>
      </c>
      <c r="B41" s="3" t="inlineStr">
        <is>
          <t>Proporção</t>
        </is>
      </c>
      <c r="C41" s="3" t="inlineStr">
        <is>
          <t>Com cardápio transcrito (1 = sim, 0 = não)</t>
        </is>
      </c>
      <c r="D41" s="3" t="inlineStr">
        <is>
          <t>0 ou 1</t>
        </is>
      </c>
    </row>
    <row r="42">
      <c r="A42" s="3" t="inlineStr">
        <is>
          <t>cobra_couvert</t>
        </is>
      </c>
      <c r="B42" s="3" t="inlineStr">
        <is>
          <t>Proporção</t>
        </is>
      </c>
      <c r="C42" s="3" t="inlineStr">
        <is>
          <t>Cobra couvert ou taxa de jogo (entre as com cardápio) (1 = sim, 0 = não)</t>
        </is>
      </c>
      <c r="D42" s="3" t="inlineStr">
        <is>
          <t>0 ou 1</t>
        </is>
      </c>
    </row>
    <row r="43">
      <c r="A43" s="3" t="inlineStr">
        <is>
          <t>abre_segunda</t>
        </is>
      </c>
      <c r="B43" s="3" t="inlineStr">
        <is>
          <t>Proporção</t>
        </is>
      </c>
      <c r="C43" s="3" t="inlineStr">
        <is>
          <t>Abre segunda (1 = sim, 0 = não)</t>
        </is>
      </c>
      <c r="D43" s="3" t="inlineStr">
        <is>
          <t>0 ou 1</t>
        </is>
      </c>
    </row>
    <row r="44">
      <c r="A44" s="3" t="inlineStr">
        <is>
          <t>abre_terca</t>
        </is>
      </c>
      <c r="B44" s="3" t="inlineStr">
        <is>
          <t>Proporção</t>
        </is>
      </c>
      <c r="C44" s="3" t="inlineStr">
        <is>
          <t>Abre terça (1 = sim, 0 = não)</t>
        </is>
      </c>
      <c r="D44" s="3" t="inlineStr">
        <is>
          <t>0 ou 1</t>
        </is>
      </c>
    </row>
    <row r="45">
      <c r="A45" s="3" t="inlineStr">
        <is>
          <t>abre_quarta</t>
        </is>
      </c>
      <c r="B45" s="3" t="inlineStr">
        <is>
          <t>Proporção</t>
        </is>
      </c>
      <c r="C45" s="3" t="inlineStr">
        <is>
          <t>Abre quarta (1 = sim, 0 = não)</t>
        </is>
      </c>
      <c r="D45" s="3" t="inlineStr">
        <is>
          <t>0 ou 1</t>
        </is>
      </c>
    </row>
    <row r="46">
      <c r="A46" s="3" t="inlineStr">
        <is>
          <t>abre_quinta</t>
        </is>
      </c>
      <c r="B46" s="3" t="inlineStr">
        <is>
          <t>Proporção</t>
        </is>
      </c>
      <c r="C46" s="3" t="inlineStr">
        <is>
          <t>Abre quinta (1 = sim, 0 = não)</t>
        </is>
      </c>
      <c r="D46" s="3" t="inlineStr">
        <is>
          <t>0 ou 1</t>
        </is>
      </c>
    </row>
    <row r="47">
      <c r="A47" s="3" t="inlineStr">
        <is>
          <t>abre_sexta</t>
        </is>
      </c>
      <c r="B47" s="3" t="inlineStr">
        <is>
          <t>Proporção</t>
        </is>
      </c>
      <c r="C47" s="3" t="inlineStr">
        <is>
          <t>Abre sexta (1 = sim, 0 = não)</t>
        </is>
      </c>
      <c r="D47" s="3" t="inlineStr">
        <is>
          <t>0 ou 1</t>
        </is>
      </c>
    </row>
    <row r="48">
      <c r="A48" s="3" t="inlineStr">
        <is>
          <t>abre_sabado</t>
        </is>
      </c>
      <c r="B48" s="3" t="inlineStr">
        <is>
          <t>Proporção</t>
        </is>
      </c>
      <c r="C48" s="3" t="inlineStr">
        <is>
          <t>Abre sábado (1 = sim, 0 = não)</t>
        </is>
      </c>
      <c r="D48" s="3" t="inlineStr">
        <is>
          <t>0 ou 1</t>
        </is>
      </c>
    </row>
    <row r="49">
      <c r="A49" s="3" t="inlineStr">
        <is>
          <t>abre_domingo</t>
        </is>
      </c>
      <c r="B49" s="3" t="inlineStr">
        <is>
          <t>Proporção</t>
        </is>
      </c>
      <c r="C49" s="3" t="inlineStr">
        <is>
          <t>Abre domingo (1 = sim, 0 = não)</t>
        </is>
      </c>
      <c r="D49" s="3" t="inlineStr">
        <is>
          <t>0 ou 1</t>
        </is>
      </c>
    </row>
    <row r="50">
      <c r="A50" s="3" t="inlineStr">
        <is>
          <t>regiao</t>
        </is>
      </c>
      <c r="B50" s="3" t="inlineStr">
        <is>
          <t>Identificação</t>
        </is>
      </c>
      <c r="C50" s="3" t="inlineStr">
        <is>
          <t>Região do Brasil da capital da metrópole (IBGE)</t>
        </is>
      </c>
      <c r="D50" s="3" t="inlineStr">
        <is>
          <t>—</t>
        </is>
      </c>
    </row>
    <row r="51">
      <c r="A51" s="3" t="inlineStr">
        <is>
          <t>—</t>
        </is>
      </c>
      <c r="B51" s="3" t="inlineStr">
        <is>
          <t>Regras</t>
        </is>
      </c>
      <c r="C51" s="3" t="inlineStr">
        <is>
          <t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      </is>
      </c>
      <c r="D51" s="3" t="inlineStr">
        <is>
          <t>—</t>
        </is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2026-10-31T01:30:09Z</dcterms:created>
  <dcterms:modified xmlns:dcterms="http://purl.org/dc/terms/" xmlns:xsi="http://www.w3.org/2001/XMLSchema-instance" xsi:type="dcterms:W3CDTF">2026-10-31T01:30:09Z</dcterms:modified>
</cp:coreProperties>
</file>