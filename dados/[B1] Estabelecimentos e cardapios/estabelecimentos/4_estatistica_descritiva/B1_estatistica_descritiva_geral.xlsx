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al" sheetId="1" state="visible" r:id="rId1"/>
    <sheet name="frequencias" sheetId="2" state="visible" r:id="rId2"/>
    <sheet name="dados" sheetId="3" state="visible" r:id="rId3"/>
    <sheet name="dicionario" sheetId="4" state="visible" r:id="rId4"/>
  </sheets>
  <definedNames>
    <definedName name="_xlnm._FilterDatabase" localSheetId="0" hidden="1">'geral'!$A$1:$O$39</definedName>
    <definedName name="_xlnm._FilterDatabase" localSheetId="1" hidden="1">'frequencias'!$A$1:$D$35</definedName>
    <definedName name="_xlnm._FilterDatabase" localSheetId="2" hidden="1">'dados'!$A$1:$AZ$55</definedName>
    <definedName name="_xlnm._FilterDatabase" localSheetId="3" hidden="1">'dicionario'!$A$1:$D$51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&quot;R$&quot; #,##0.00"/>
    <numFmt numFmtId="166" formatCode="0.0%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9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2F6"/>
      </patternFill>
    </fill>
    <fill>
      <patternFill patternType="solid">
        <fgColor rgb="00DE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4" fontId="2" fillId="0" borderId="0" pivotButton="0" quotePrefix="0" xfId="0"/>
    <xf numFmtId="2" fontId="2" fillId="0" borderId="0" pivotButton="0" quotePrefix="0" xfId="0"/>
    <xf numFmtId="3" fontId="2" fillId="0" borderId="0" pivotButton="0" quotePrefix="0" xfId="0"/>
    <xf numFmtId="0" fontId="2" fillId="3" borderId="0" applyAlignment="1" pivotButton="0" quotePrefix="0" xfId="0">
      <alignment vertical="top" wrapText="1"/>
    </xf>
    <xf numFmtId="164" fontId="2" fillId="0" borderId="0" pivotButton="0" quotePrefix="0" xfId="0"/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10" fontId="2" fillId="0" borderId="0" pivotButton="0" quotePrefix="0" xfId="0"/>
    <xf numFmtId="0" fontId="2" fillId="6" borderId="0" applyAlignment="1" pivotButton="0" quotePrefix="0" xfId="0">
      <alignment vertical="top" wrapText="1"/>
    </xf>
    <xf numFmtId="165" fontId="2" fillId="0" borderId="0" pivotButton="0" quotePrefix="0" xfId="0"/>
    <xf numFmtId="0" fontId="2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166" fontId="2" fillId="0" borderId="0" pivotButton="0" quotePrefix="0" xfId="0"/>
    <xf numFmtId="0" fontId="1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46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grupo</t>
        </is>
      </c>
      <c r="B1" s="1" t="inlineStr">
        <is>
          <t>variável</t>
        </is>
      </c>
      <c r="C1" s="1" t="inlineStr">
        <is>
          <t>descrição</t>
        </is>
      </c>
      <c r="D1" s="1" t="inlineStr">
        <is>
          <t>unidade</t>
        </is>
      </c>
      <c r="E1" s="1" t="inlineStr">
        <is>
          <t>n (casas com dado)</t>
        </is>
      </c>
      <c r="F1" s="1" t="inlineStr">
        <is>
          <t>sem dado</t>
        </is>
      </c>
      <c r="G1" s="1" t="inlineStr">
        <is>
          <t>média</t>
        </is>
      </c>
      <c r="H1" s="1" t="inlineStr">
        <is>
          <t>mediana</t>
        </is>
      </c>
      <c r="I1" s="1" t="inlineStr">
        <is>
          <t>desvio padrão</t>
        </is>
      </c>
      <c r="J1" s="1" t="inlineStr">
        <is>
          <t>mínimo</t>
        </is>
      </c>
      <c r="K1" s="1" t="inlineStr">
        <is>
          <t>1º quartil (P25)</t>
        </is>
      </c>
      <c r="L1" s="1" t="inlineStr">
        <is>
          <t>3º quartil (P75)</t>
        </is>
      </c>
      <c r="M1" s="1" t="inlineStr">
        <is>
          <t>máximo</t>
        </is>
      </c>
      <c r="N1" s="1" t="inlineStr">
        <is>
          <t>amplitude</t>
        </is>
      </c>
      <c r="O1" s="1" t="inlineStr">
        <is>
          <t>coef. de variação</t>
        </is>
      </c>
    </row>
    <row r="2">
      <c r="A2" s="2" t="inlineStr">
        <is>
          <t>Google Maps</t>
        </is>
      </c>
      <c r="B2" s="3" t="inlineStr">
        <is>
          <t>avaliacao_media</t>
        </is>
      </c>
      <c r="C2" s="3" t="inlineStr">
        <is>
          <t>Nota média no Google</t>
        </is>
      </c>
      <c r="D2" s="3" t="inlineStr">
        <is>
          <t>1 a 5</t>
        </is>
      </c>
      <c r="E2" s="4">
        <f>COUNT(dados!$E$2:$E$55)</f>
        <v/>
      </c>
      <c r="F2" s="4">
        <f>ROWS(dados!$E$2:$E$55)-E2</f>
        <v/>
      </c>
      <c r="G2" s="5">
        <f>IFERROR(AVERAGE(dados!$E$2:$E$55),"")</f>
        <v/>
      </c>
      <c r="H2" s="5">
        <f>IFERROR(MEDIAN(dados!$E$2:$E$55),"")</f>
        <v/>
      </c>
      <c r="I2" s="5">
        <f>IFERROR(STDEV(dados!$E$2:$E$55),"")</f>
        <v/>
      </c>
      <c r="J2" s="5">
        <f>IFERROR(MIN(dados!$E$2:$E$55),"")</f>
        <v/>
      </c>
      <c r="K2" s="5">
        <f>IFERROR(PERCENTILE(dados!$E$2:$E$55,0.25),"")</f>
        <v/>
      </c>
      <c r="L2" s="5">
        <f>IFERROR(PERCENTILE(dados!$E$2:$E$55,0.75),"")</f>
        <v/>
      </c>
      <c r="M2" s="5">
        <f>IFERROR(MAX(dados!$E$2:$E$55),"")</f>
        <v/>
      </c>
      <c r="N2" s="5">
        <f>IFERROR(M2-J2,"")</f>
        <v/>
      </c>
      <c r="O2" s="6">
        <f>IFERROR(I2/G2,"")</f>
        <v/>
      </c>
    </row>
    <row r="3">
      <c r="A3" s="2" t="inlineStr">
        <is>
          <t>Google Maps</t>
        </is>
      </c>
      <c r="B3" s="3" t="inlineStr">
        <is>
          <t>volume_avaliacoes</t>
        </is>
      </c>
      <c r="C3" s="3" t="inlineStr">
        <is>
          <t>Nº de avaliações no Google</t>
        </is>
      </c>
      <c r="D3" s="3" t="inlineStr">
        <is>
          <t>avaliações</t>
        </is>
      </c>
      <c r="E3" s="4">
        <f>COUNT(dados!$F$2:$F$55)</f>
        <v/>
      </c>
      <c r="F3" s="4">
        <f>ROWS(dados!$F$2:$F$55)-E3</f>
        <v/>
      </c>
      <c r="G3" s="7">
        <f>IFERROR(AVERAGE(dados!$F$2:$F$55),"")</f>
        <v/>
      </c>
      <c r="H3" s="7">
        <f>IFERROR(MEDIAN(dados!$F$2:$F$55),"")</f>
        <v/>
      </c>
      <c r="I3" s="7">
        <f>IFERROR(STDEV(dados!$F$2:$F$55),"")</f>
        <v/>
      </c>
      <c r="J3" s="7">
        <f>IFERROR(MIN(dados!$F$2:$F$55),"")</f>
        <v/>
      </c>
      <c r="K3" s="7">
        <f>IFERROR(PERCENTILE(dados!$F$2:$F$55,0.25),"")</f>
        <v/>
      </c>
      <c r="L3" s="7">
        <f>IFERROR(PERCENTILE(dados!$F$2:$F$55,0.75),"")</f>
        <v/>
      </c>
      <c r="M3" s="7">
        <f>IFERROR(MAX(dados!$F$2:$F$55),"")</f>
        <v/>
      </c>
      <c r="N3" s="7">
        <f>IFERROR(M3-J3,"")</f>
        <v/>
      </c>
      <c r="O3" s="6">
        <f>IFERROR(I3/G3,"")</f>
        <v/>
      </c>
    </row>
    <row r="4">
      <c r="A4" s="8" t="inlineStr">
        <is>
          <t>Horários</t>
        </is>
      </c>
      <c r="B4" s="3" t="inlineStr">
        <is>
          <t>dias_abertos</t>
        </is>
      </c>
      <c r="C4" s="3" t="inlineStr">
        <is>
          <t>Dias abertos por semana</t>
        </is>
      </c>
      <c r="D4" s="3" t="inlineStr">
        <is>
          <t>dias</t>
        </is>
      </c>
      <c r="E4" s="4">
        <f>COUNT(dados!$G$2:$G$55)</f>
        <v/>
      </c>
      <c r="F4" s="4">
        <f>ROWS(dados!$G$2:$G$55)-E4</f>
        <v/>
      </c>
      <c r="G4" s="9">
        <f>IFERROR(AVERAGE(dados!$G$2:$G$55),"")</f>
        <v/>
      </c>
      <c r="H4" s="9">
        <f>IFERROR(MEDIAN(dados!$G$2:$G$55),"")</f>
        <v/>
      </c>
      <c r="I4" s="9">
        <f>IFERROR(STDEV(dados!$G$2:$G$55),"")</f>
        <v/>
      </c>
      <c r="J4" s="9">
        <f>IFERROR(MIN(dados!$G$2:$G$55),"")</f>
        <v/>
      </c>
      <c r="K4" s="9">
        <f>IFERROR(PERCENTILE(dados!$G$2:$G$55,0.25),"")</f>
        <v/>
      </c>
      <c r="L4" s="9">
        <f>IFERROR(PERCENTILE(dados!$G$2:$G$55,0.75),"")</f>
        <v/>
      </c>
      <c r="M4" s="9">
        <f>IFERROR(MAX(dados!$G$2:$G$55),"")</f>
        <v/>
      </c>
      <c r="N4" s="9">
        <f>IFERROR(M4-J4,"")</f>
        <v/>
      </c>
      <c r="O4" s="6">
        <f>IFERROR(I4/G4,"")</f>
        <v/>
      </c>
    </row>
    <row r="5">
      <c r="A5" s="8" t="inlineStr">
        <is>
          <t>Horários</t>
        </is>
      </c>
      <c r="B5" s="3" t="inlineStr">
        <is>
          <t>horas_semana</t>
        </is>
      </c>
      <c r="C5" s="3" t="inlineStr">
        <is>
          <t>Horas abertas por semana</t>
        </is>
      </c>
      <c r="D5" s="3" t="inlineStr">
        <is>
          <t>horas</t>
        </is>
      </c>
      <c r="E5" s="4">
        <f>COUNT(dados!$H$2:$H$55)</f>
        <v/>
      </c>
      <c r="F5" s="4">
        <f>ROWS(dados!$H$2:$H$55)-E5</f>
        <v/>
      </c>
      <c r="G5" s="9">
        <f>IFERROR(AVERAGE(dados!$H$2:$H$55),"")</f>
        <v/>
      </c>
      <c r="H5" s="9">
        <f>IFERROR(MEDIAN(dados!$H$2:$H$55),"")</f>
        <v/>
      </c>
      <c r="I5" s="9">
        <f>IFERROR(STDEV(dados!$H$2:$H$55),"")</f>
        <v/>
      </c>
      <c r="J5" s="9">
        <f>IFERROR(MIN(dados!$H$2:$H$55),"")</f>
        <v/>
      </c>
      <c r="K5" s="9">
        <f>IFERROR(PERCENTILE(dados!$H$2:$H$55,0.25),"")</f>
        <v/>
      </c>
      <c r="L5" s="9">
        <f>IFERROR(PERCENTILE(dados!$H$2:$H$55,0.75),"")</f>
        <v/>
      </c>
      <c r="M5" s="9">
        <f>IFERROR(MAX(dados!$H$2:$H$55),"")</f>
        <v/>
      </c>
      <c r="N5" s="9">
        <f>IFERROR(M5-J5,"")</f>
        <v/>
      </c>
      <c r="O5" s="6">
        <f>IFERROR(I5/G5,"")</f>
        <v/>
      </c>
    </row>
    <row r="6">
      <c r="A6" s="8" t="inlineStr">
        <is>
          <t>Horários</t>
        </is>
      </c>
      <c r="B6" s="3" t="inlineStr">
        <is>
          <t>abre_cedo_h</t>
        </is>
      </c>
      <c r="C6" s="3" t="inlineStr">
        <is>
          <t>Abertura mais cedo da semana</t>
        </is>
      </c>
      <c r="D6" s="3" t="inlineStr">
        <is>
          <t>hora do dia</t>
        </is>
      </c>
      <c r="E6" s="4">
        <f>COUNT(dados!$I$2:$I$55)</f>
        <v/>
      </c>
      <c r="F6" s="4">
        <f>ROWS(dados!$I$2:$I$55)-E6</f>
        <v/>
      </c>
      <c r="G6" s="9">
        <f>IFERROR(AVERAGE(dados!$I$2:$I$55),"")</f>
        <v/>
      </c>
      <c r="H6" s="9">
        <f>IFERROR(MEDIAN(dados!$I$2:$I$55),"")</f>
        <v/>
      </c>
      <c r="I6" s="9">
        <f>IFERROR(STDEV(dados!$I$2:$I$55),"")</f>
        <v/>
      </c>
      <c r="J6" s="9">
        <f>IFERROR(MIN(dados!$I$2:$I$55),"")</f>
        <v/>
      </c>
      <c r="K6" s="9">
        <f>IFERROR(PERCENTILE(dados!$I$2:$I$55,0.25),"")</f>
        <v/>
      </c>
      <c r="L6" s="9">
        <f>IFERROR(PERCENTILE(dados!$I$2:$I$55,0.75),"")</f>
        <v/>
      </c>
      <c r="M6" s="9">
        <f>IFERROR(MAX(dados!$I$2:$I$55),"")</f>
        <v/>
      </c>
      <c r="N6" s="9">
        <f>IFERROR(M6-J6,"")</f>
        <v/>
      </c>
      <c r="O6" s="6">
        <f>IFERROR(I6/G6,"")</f>
        <v/>
      </c>
    </row>
    <row r="7">
      <c r="A7" s="8" t="inlineStr">
        <is>
          <t>Horários</t>
        </is>
      </c>
      <c r="B7" s="3" t="inlineStr">
        <is>
          <t>fecha_tarde_h</t>
        </is>
      </c>
      <c r="C7" s="3" t="inlineStr">
        <is>
          <t>Fechamento mais tarde da semana (25 = 1h da manhã)</t>
        </is>
      </c>
      <c r="D7" s="3" t="inlineStr">
        <is>
          <t>hora do dia</t>
        </is>
      </c>
      <c r="E7" s="4">
        <f>COUNT(dados!$J$2:$J$55)</f>
        <v/>
      </c>
      <c r="F7" s="4">
        <f>ROWS(dados!$J$2:$J$55)-E7</f>
        <v/>
      </c>
      <c r="G7" s="9">
        <f>IFERROR(AVERAGE(dados!$J$2:$J$55),"")</f>
        <v/>
      </c>
      <c r="H7" s="9">
        <f>IFERROR(MEDIAN(dados!$J$2:$J$55),"")</f>
        <v/>
      </c>
      <c r="I7" s="9">
        <f>IFERROR(STDEV(dados!$J$2:$J$55),"")</f>
        <v/>
      </c>
      <c r="J7" s="9">
        <f>IFERROR(MIN(dados!$J$2:$J$55),"")</f>
        <v/>
      </c>
      <c r="K7" s="9">
        <f>IFERROR(PERCENTILE(dados!$J$2:$J$55,0.25),"")</f>
        <v/>
      </c>
      <c r="L7" s="9">
        <f>IFERROR(PERCENTILE(dados!$J$2:$J$55,0.75),"")</f>
        <v/>
      </c>
      <c r="M7" s="9">
        <f>IFERROR(MAX(dados!$J$2:$J$55),"")</f>
        <v/>
      </c>
      <c r="N7" s="9">
        <f>IFERROR(M7-J7,"")</f>
        <v/>
      </c>
      <c r="O7" s="6">
        <f>IFERROR(I7/G7,"")</f>
        <v/>
      </c>
    </row>
    <row r="8">
      <c r="A8" s="10" t="inlineStr">
        <is>
          <t>Entorno</t>
        </is>
      </c>
      <c r="B8" s="3" t="inlineStr">
        <is>
          <t>metro_500m</t>
        </is>
      </c>
      <c r="C8" s="3" t="inlineStr">
        <is>
          <t>Estações de metrô até 500 m</t>
        </is>
      </c>
      <c r="D8" s="3" t="inlineStr">
        <is>
          <t>estações</t>
        </is>
      </c>
      <c r="E8" s="4">
        <f>COUNT(dados!$K$2:$K$55)</f>
        <v/>
      </c>
      <c r="F8" s="4">
        <f>ROWS(dados!$K$2:$K$55)-E8</f>
        <v/>
      </c>
      <c r="G8" s="5">
        <f>IFERROR(AVERAGE(dados!$K$2:$K$55),"")</f>
        <v/>
      </c>
      <c r="H8" s="5">
        <f>IFERROR(MEDIAN(dados!$K$2:$K$55),"")</f>
        <v/>
      </c>
      <c r="I8" s="5">
        <f>IFERROR(STDEV(dados!$K$2:$K$55),"")</f>
        <v/>
      </c>
      <c r="J8" s="5">
        <f>IFERROR(MIN(dados!$K$2:$K$55),"")</f>
        <v/>
      </c>
      <c r="K8" s="5">
        <f>IFERROR(PERCENTILE(dados!$K$2:$K$55,0.25),"")</f>
        <v/>
      </c>
      <c r="L8" s="5">
        <f>IFERROR(PERCENTILE(dados!$K$2:$K$55,0.75),"")</f>
        <v/>
      </c>
      <c r="M8" s="5">
        <f>IFERROR(MAX(dados!$K$2:$K$55),"")</f>
        <v/>
      </c>
      <c r="N8" s="5">
        <f>IFERROR(M8-J8,"")</f>
        <v/>
      </c>
      <c r="O8" s="6">
        <f>IFERROR(I8/G8,"")</f>
        <v/>
      </c>
    </row>
    <row r="9">
      <c r="A9" s="10" t="inlineStr">
        <is>
          <t>Entorno</t>
        </is>
      </c>
      <c r="B9" s="3" t="inlineStr">
        <is>
          <t>metro_1000m</t>
        </is>
      </c>
      <c r="C9" s="3" t="inlineStr">
        <is>
          <t>Estações de metrô até 1000 m</t>
        </is>
      </c>
      <c r="D9" s="3" t="inlineStr">
        <is>
          <t>estações</t>
        </is>
      </c>
      <c r="E9" s="4">
        <f>COUNT(dados!$L$2:$L$55)</f>
        <v/>
      </c>
      <c r="F9" s="4">
        <f>ROWS(dados!$L$2:$L$55)-E9</f>
        <v/>
      </c>
      <c r="G9" s="5">
        <f>IFERROR(AVERAGE(dados!$L$2:$L$55),"")</f>
        <v/>
      </c>
      <c r="H9" s="5">
        <f>IFERROR(MEDIAN(dados!$L$2:$L$55),"")</f>
        <v/>
      </c>
      <c r="I9" s="5">
        <f>IFERROR(STDEV(dados!$L$2:$L$55),"")</f>
        <v/>
      </c>
      <c r="J9" s="5">
        <f>IFERROR(MIN(dados!$L$2:$L$55),"")</f>
        <v/>
      </c>
      <c r="K9" s="5">
        <f>IFERROR(PERCENTILE(dados!$L$2:$L$55,0.25),"")</f>
        <v/>
      </c>
      <c r="L9" s="5">
        <f>IFERROR(PERCENTILE(dados!$L$2:$L$55,0.75),"")</f>
        <v/>
      </c>
      <c r="M9" s="5">
        <f>IFERROR(MAX(dados!$L$2:$L$55),"")</f>
        <v/>
      </c>
      <c r="N9" s="5">
        <f>IFERROR(M9-J9,"")</f>
        <v/>
      </c>
      <c r="O9" s="6">
        <f>IFERROR(I9/G9,"")</f>
        <v/>
      </c>
    </row>
    <row r="10">
      <c r="A10" s="10" t="inlineStr">
        <is>
          <t>Entorno</t>
        </is>
      </c>
      <c r="B10" s="3" t="inlineStr">
        <is>
          <t>dist_metro_m</t>
        </is>
      </c>
      <c r="C10" s="3" t="inlineStr">
        <is>
          <t>Distância à estação de metrô mais próxima</t>
        </is>
      </c>
      <c r="D10" s="3" t="inlineStr">
        <is>
          <t>metros (linha reta)</t>
        </is>
      </c>
      <c r="E10" s="4">
        <f>COUNT(dados!$M$2:$M$55)</f>
        <v/>
      </c>
      <c r="F10" s="4">
        <f>ROWS(dados!$M$2:$M$55)-E10</f>
        <v/>
      </c>
      <c r="G10" s="7">
        <f>IFERROR(AVERAGE(dados!$M$2:$M$55),"")</f>
        <v/>
      </c>
      <c r="H10" s="7">
        <f>IFERROR(MEDIAN(dados!$M$2:$M$55),"")</f>
        <v/>
      </c>
      <c r="I10" s="7">
        <f>IFERROR(STDEV(dados!$M$2:$M$55),"")</f>
        <v/>
      </c>
      <c r="J10" s="7">
        <f>IFERROR(MIN(dados!$M$2:$M$55),"")</f>
        <v/>
      </c>
      <c r="K10" s="7">
        <f>IFERROR(PERCENTILE(dados!$M$2:$M$55,0.25),"")</f>
        <v/>
      </c>
      <c r="L10" s="7">
        <f>IFERROR(PERCENTILE(dados!$M$2:$M$55,0.75),"")</f>
        <v/>
      </c>
      <c r="M10" s="7">
        <f>IFERROR(MAX(dados!$M$2:$M$55),"")</f>
        <v/>
      </c>
      <c r="N10" s="7">
        <f>IFERROR(M10-J10,"")</f>
        <v/>
      </c>
      <c r="O10" s="6">
        <f>IFERROR(I10/G10,"")</f>
        <v/>
      </c>
    </row>
    <row r="11">
      <c r="A11" s="10" t="inlineStr">
        <is>
          <t>Entorno</t>
        </is>
      </c>
      <c r="B11" s="3" t="inlineStr">
        <is>
          <t>shopping_porte_500m</t>
        </is>
      </c>
      <c r="C11" s="3" t="inlineStr">
        <is>
          <t>Shoppings de porte até 500 m (onde o porte foi buscado)</t>
        </is>
      </c>
      <c r="D11" s="3" t="inlineStr">
        <is>
          <t>shoppings</t>
        </is>
      </c>
      <c r="E11" s="4">
        <f>COUNT(dados!$N$2:$N$55)</f>
        <v/>
      </c>
      <c r="F11" s="4">
        <f>ROWS(dados!$N$2:$N$55)-E11</f>
        <v/>
      </c>
      <c r="G11" s="5">
        <f>IFERROR(AVERAGE(dados!$N$2:$N$55),"")</f>
        <v/>
      </c>
      <c r="H11" s="5">
        <f>IFERROR(MEDIAN(dados!$N$2:$N$55),"")</f>
        <v/>
      </c>
      <c r="I11" s="5">
        <f>IFERROR(STDEV(dados!$N$2:$N$55),"")</f>
        <v/>
      </c>
      <c r="J11" s="5">
        <f>IFERROR(MIN(dados!$N$2:$N$55),"")</f>
        <v/>
      </c>
      <c r="K11" s="5">
        <f>IFERROR(PERCENTILE(dados!$N$2:$N$55,0.25),"")</f>
        <v/>
      </c>
      <c r="L11" s="5">
        <f>IFERROR(PERCENTILE(dados!$N$2:$N$55,0.75),"")</f>
        <v/>
      </c>
      <c r="M11" s="5">
        <f>IFERROR(MAX(dados!$N$2:$N$55),"")</f>
        <v/>
      </c>
      <c r="N11" s="5">
        <f>IFERROR(M11-J11,"")</f>
        <v/>
      </c>
      <c r="O11" s="6">
        <f>IFERROR(I11/G11,"")</f>
        <v/>
      </c>
    </row>
    <row r="12">
      <c r="A12" s="10" t="inlineStr">
        <is>
          <t>Entorno</t>
        </is>
      </c>
      <c r="B12" s="3" t="inlineStr">
        <is>
          <t>shopping_porte_1000m</t>
        </is>
      </c>
      <c r="C12" s="3" t="inlineStr">
        <is>
          <t>Shoppings de porte até 1000 m (onde o porte foi buscado)</t>
        </is>
      </c>
      <c r="D12" s="3" t="inlineStr">
        <is>
          <t>shoppings</t>
        </is>
      </c>
      <c r="E12" s="4">
        <f>COUNT(dados!$O$2:$O$55)</f>
        <v/>
      </c>
      <c r="F12" s="4">
        <f>ROWS(dados!$O$2:$O$55)-E12</f>
        <v/>
      </c>
      <c r="G12" s="5">
        <f>IFERROR(AVERAGE(dados!$O$2:$O$55),"")</f>
        <v/>
      </c>
      <c r="H12" s="5">
        <f>IFERROR(MEDIAN(dados!$O$2:$O$55),"")</f>
        <v/>
      </c>
      <c r="I12" s="5">
        <f>IFERROR(STDEV(dados!$O$2:$O$55),"")</f>
        <v/>
      </c>
      <c r="J12" s="5">
        <f>IFERROR(MIN(dados!$O$2:$O$55),"")</f>
        <v/>
      </c>
      <c r="K12" s="5">
        <f>IFERROR(PERCENTILE(dados!$O$2:$O$55,0.25),"")</f>
        <v/>
      </c>
      <c r="L12" s="5">
        <f>IFERROR(PERCENTILE(dados!$O$2:$O$55,0.75),"")</f>
        <v/>
      </c>
      <c r="M12" s="5">
        <f>IFERROR(MAX(dados!$O$2:$O$55),"")</f>
        <v/>
      </c>
      <c r="N12" s="5">
        <f>IFERROR(M12-J12,"")</f>
        <v/>
      </c>
      <c r="O12" s="6">
        <f>IFERROR(I12/G12,"")</f>
        <v/>
      </c>
    </row>
    <row r="13">
      <c r="A13" s="10" t="inlineStr">
        <is>
          <t>Entorno</t>
        </is>
      </c>
      <c r="B13" s="3" t="inlineStr">
        <is>
          <t>dist_shopping_m</t>
        </is>
      </c>
      <c r="C13" s="3" t="inlineStr">
        <is>
          <t>Distância ao shopping mais próximo (qualquer porte)</t>
        </is>
      </c>
      <c r="D13" s="3" t="inlineStr">
        <is>
          <t>metros (linha reta)</t>
        </is>
      </c>
      <c r="E13" s="4">
        <f>COUNT(dados!$P$2:$P$55)</f>
        <v/>
      </c>
      <c r="F13" s="4">
        <f>ROWS(dados!$P$2:$P$55)-E13</f>
        <v/>
      </c>
      <c r="G13" s="7">
        <f>IFERROR(AVERAGE(dados!$P$2:$P$55),"")</f>
        <v/>
      </c>
      <c r="H13" s="7">
        <f>IFERROR(MEDIAN(dados!$P$2:$P$55),"")</f>
        <v/>
      </c>
      <c r="I13" s="7">
        <f>IFERROR(STDEV(dados!$P$2:$P$55),"")</f>
        <v/>
      </c>
      <c r="J13" s="7">
        <f>IFERROR(MIN(dados!$P$2:$P$55),"")</f>
        <v/>
      </c>
      <c r="K13" s="7">
        <f>IFERROR(PERCENTILE(dados!$P$2:$P$55,0.25),"")</f>
        <v/>
      </c>
      <c r="L13" s="7">
        <f>IFERROR(PERCENTILE(dados!$P$2:$P$55,0.75),"")</f>
        <v/>
      </c>
      <c r="M13" s="7">
        <f>IFERROR(MAX(dados!$P$2:$P$55),"")</f>
        <v/>
      </c>
      <c r="N13" s="7">
        <f>IFERROR(M13-J13,"")</f>
        <v/>
      </c>
      <c r="O13" s="6">
        <f>IFERROR(I13/G13,"")</f>
        <v/>
      </c>
    </row>
    <row r="14">
      <c r="A14" s="11" t="inlineStr">
        <is>
          <t>Instagram</t>
        </is>
      </c>
      <c r="B14" s="3" t="inlineStr">
        <is>
          <t>seguidores</t>
        </is>
      </c>
      <c r="C14" s="3" t="inlineStr">
        <is>
          <t>Seguidores</t>
        </is>
      </c>
      <c r="D14" s="3" t="inlineStr">
        <is>
          <t>seguidores</t>
        </is>
      </c>
      <c r="E14" s="4">
        <f>COUNT(dados!$Q$2:$Q$55)</f>
        <v/>
      </c>
      <c r="F14" s="4">
        <f>ROWS(dados!$Q$2:$Q$55)-E14</f>
        <v/>
      </c>
      <c r="G14" s="7">
        <f>IFERROR(AVERAGE(dados!$Q$2:$Q$55),"")</f>
        <v/>
      </c>
      <c r="H14" s="7">
        <f>IFERROR(MEDIAN(dados!$Q$2:$Q$55),"")</f>
        <v/>
      </c>
      <c r="I14" s="7">
        <f>IFERROR(STDEV(dados!$Q$2:$Q$55),"")</f>
        <v/>
      </c>
      <c r="J14" s="7">
        <f>IFERROR(MIN(dados!$Q$2:$Q$55),"")</f>
        <v/>
      </c>
      <c r="K14" s="7">
        <f>IFERROR(PERCENTILE(dados!$Q$2:$Q$55,0.25),"")</f>
        <v/>
      </c>
      <c r="L14" s="7">
        <f>IFERROR(PERCENTILE(dados!$Q$2:$Q$55,0.75),"")</f>
        <v/>
      </c>
      <c r="M14" s="7">
        <f>IFERROR(MAX(dados!$Q$2:$Q$55),"")</f>
        <v/>
      </c>
      <c r="N14" s="7">
        <f>IFERROR(M14-J14,"")</f>
        <v/>
      </c>
      <c r="O14" s="6">
        <f>IFERROR(I14/G14,"")</f>
        <v/>
      </c>
    </row>
    <row r="15">
      <c r="A15" s="11" t="inlineStr">
        <is>
          <t>Instagram</t>
        </is>
      </c>
      <c r="B15" s="3" t="inlineStr">
        <is>
          <t>n_posts_total</t>
        </is>
      </c>
      <c r="C15" s="3" t="inlineStr">
        <is>
          <t>Posts desde a criação do perfil</t>
        </is>
      </c>
      <c r="D15" s="3" t="inlineStr">
        <is>
          <t>posts</t>
        </is>
      </c>
      <c r="E15" s="4">
        <f>COUNT(dados!$R$2:$R$55)</f>
        <v/>
      </c>
      <c r="F15" s="4">
        <f>ROWS(dados!$R$2:$R$55)-E15</f>
        <v/>
      </c>
      <c r="G15" s="7">
        <f>IFERROR(AVERAGE(dados!$R$2:$R$55),"")</f>
        <v/>
      </c>
      <c r="H15" s="7">
        <f>IFERROR(MEDIAN(dados!$R$2:$R$55),"")</f>
        <v/>
      </c>
      <c r="I15" s="7">
        <f>IFERROR(STDEV(dados!$R$2:$R$55),"")</f>
        <v/>
      </c>
      <c r="J15" s="7">
        <f>IFERROR(MIN(dados!$R$2:$R$55),"")</f>
        <v/>
      </c>
      <c r="K15" s="7">
        <f>IFERROR(PERCENTILE(dados!$R$2:$R$55,0.25),"")</f>
        <v/>
      </c>
      <c r="L15" s="7">
        <f>IFERROR(PERCENTILE(dados!$R$2:$R$55,0.75),"")</f>
        <v/>
      </c>
      <c r="M15" s="7">
        <f>IFERROR(MAX(dados!$R$2:$R$55),"")</f>
        <v/>
      </c>
      <c r="N15" s="7">
        <f>IFERROR(M15-J15,"")</f>
        <v/>
      </c>
      <c r="O15" s="6">
        <f>IFERROR(I15/G15,"")</f>
        <v/>
      </c>
    </row>
    <row r="16">
      <c r="A16" s="11" t="inlineStr">
        <is>
          <t>Instagram</t>
        </is>
      </c>
      <c r="B16" s="3" t="inlineStr">
        <is>
          <t>idade_perfil_anos</t>
        </is>
      </c>
      <c r="C16" s="3" t="inlineStr">
        <is>
          <t>Idade do perfil (desde o primeiro post até 15/10/2026)</t>
        </is>
      </c>
      <c r="D16" s="3" t="inlineStr">
        <is>
          <t>anos</t>
        </is>
      </c>
      <c r="E16" s="4">
        <f>COUNT(dados!$S$2:$S$55)</f>
        <v/>
      </c>
      <c r="F16" s="4">
        <f>ROWS(dados!$S$2:$S$55)-E16</f>
        <v/>
      </c>
      <c r="G16" s="9">
        <f>IFERROR(AVERAGE(dados!$S$2:$S$55),"")</f>
        <v/>
      </c>
      <c r="H16" s="9">
        <f>IFERROR(MEDIAN(dados!$S$2:$S$55),"")</f>
        <v/>
      </c>
      <c r="I16" s="9">
        <f>IFERROR(STDEV(dados!$S$2:$S$55),"")</f>
        <v/>
      </c>
      <c r="J16" s="9">
        <f>IFERROR(MIN(dados!$S$2:$S$55),"")</f>
        <v/>
      </c>
      <c r="K16" s="9">
        <f>IFERROR(PERCENTILE(dados!$S$2:$S$55,0.25),"")</f>
        <v/>
      </c>
      <c r="L16" s="9">
        <f>IFERROR(PERCENTILE(dados!$S$2:$S$55,0.75),"")</f>
        <v/>
      </c>
      <c r="M16" s="9">
        <f>IFERROR(MAX(dados!$S$2:$S$55),"")</f>
        <v/>
      </c>
      <c r="N16" s="9">
        <f>IFERROR(M16-J16,"")</f>
        <v/>
      </c>
      <c r="O16" s="6">
        <f>IFERROR(I16/G16,"")</f>
        <v/>
      </c>
    </row>
    <row r="17">
      <c r="A17" s="11" t="inlineStr">
        <is>
          <t>Instagram</t>
        </is>
      </c>
      <c r="B17" s="3" t="inlineStr">
        <is>
          <t>n_posts_periodo</t>
        </is>
      </c>
      <c r="C17" s="3" t="inlineStr">
        <is>
          <t>Posts de 01/09 a 01/10/2026</t>
        </is>
      </c>
      <c r="D17" s="3" t="inlineStr">
        <is>
          <t>posts</t>
        </is>
      </c>
      <c r="E17" s="4">
        <f>COUNT(dados!$T$2:$T$55)</f>
        <v/>
      </c>
      <c r="F17" s="4">
        <f>ROWS(dados!$T$2:$T$55)-E17</f>
        <v/>
      </c>
      <c r="G17" s="9">
        <f>IFERROR(AVERAGE(dados!$T$2:$T$55),"")</f>
        <v/>
      </c>
      <c r="H17" s="9">
        <f>IFERROR(MEDIAN(dados!$T$2:$T$55),"")</f>
        <v/>
      </c>
      <c r="I17" s="9">
        <f>IFERROR(STDEV(dados!$T$2:$T$55),"")</f>
        <v/>
      </c>
      <c r="J17" s="9">
        <f>IFERROR(MIN(dados!$T$2:$T$55),"")</f>
        <v/>
      </c>
      <c r="K17" s="9">
        <f>IFERROR(PERCENTILE(dados!$T$2:$T$55,0.25),"")</f>
        <v/>
      </c>
      <c r="L17" s="9">
        <f>IFERROR(PERCENTILE(dados!$T$2:$T$55,0.75),"")</f>
        <v/>
      </c>
      <c r="M17" s="9">
        <f>IFERROR(MAX(dados!$T$2:$T$55),"")</f>
        <v/>
      </c>
      <c r="N17" s="9">
        <f>IFERROR(M17-J17,"")</f>
        <v/>
      </c>
      <c r="O17" s="6">
        <f>IFERROR(I17/G17,"")</f>
        <v/>
      </c>
    </row>
    <row r="18">
      <c r="A18" s="11" t="inlineStr">
        <is>
          <t>Instagram</t>
        </is>
      </c>
      <c r="B18" s="3" t="inlineStr">
        <is>
          <t>curtidas_periodo</t>
        </is>
      </c>
      <c r="C18" s="3" t="inlineStr">
        <is>
          <t>Curtidas no período</t>
        </is>
      </c>
      <c r="D18" s="3" t="inlineStr">
        <is>
          <t>curtidas</t>
        </is>
      </c>
      <c r="E18" s="4">
        <f>COUNT(dados!$U$2:$U$55)</f>
        <v/>
      </c>
      <c r="F18" s="4">
        <f>ROWS(dados!$U$2:$U$55)-E18</f>
        <v/>
      </c>
      <c r="G18" s="7">
        <f>IFERROR(AVERAGE(dados!$U$2:$U$55),"")</f>
        <v/>
      </c>
      <c r="H18" s="7">
        <f>IFERROR(MEDIAN(dados!$U$2:$U$55),"")</f>
        <v/>
      </c>
      <c r="I18" s="7">
        <f>IFERROR(STDEV(dados!$U$2:$U$55),"")</f>
        <v/>
      </c>
      <c r="J18" s="7">
        <f>IFERROR(MIN(dados!$U$2:$U$55),"")</f>
        <v/>
      </c>
      <c r="K18" s="7">
        <f>IFERROR(PERCENTILE(dados!$U$2:$U$55,0.25),"")</f>
        <v/>
      </c>
      <c r="L18" s="7">
        <f>IFERROR(PERCENTILE(dados!$U$2:$U$55,0.75),"")</f>
        <v/>
      </c>
      <c r="M18" s="7">
        <f>IFERROR(MAX(dados!$U$2:$U$55),"")</f>
        <v/>
      </c>
      <c r="N18" s="7">
        <f>IFERROR(M18-J18,"")</f>
        <v/>
      </c>
      <c r="O18" s="6">
        <f>IFERROR(I18/G18,"")</f>
        <v/>
      </c>
    </row>
    <row r="19">
      <c r="A19" s="11" t="inlineStr">
        <is>
          <t>Instagram</t>
        </is>
      </c>
      <c r="B19" s="3" t="inlineStr">
        <is>
          <t>comentarios_periodo</t>
        </is>
      </c>
      <c r="C19" s="3" t="inlineStr">
        <is>
          <t>Comentários no período</t>
        </is>
      </c>
      <c r="D19" s="3" t="inlineStr">
        <is>
          <t>comentários</t>
        </is>
      </c>
      <c r="E19" s="4">
        <f>COUNT(dados!$V$2:$V$55)</f>
        <v/>
      </c>
      <c r="F19" s="4">
        <f>ROWS(dados!$V$2:$V$55)-E19</f>
        <v/>
      </c>
      <c r="G19" s="7">
        <f>IFERROR(AVERAGE(dados!$V$2:$V$55),"")</f>
        <v/>
      </c>
      <c r="H19" s="7">
        <f>IFERROR(MEDIAN(dados!$V$2:$V$55),"")</f>
        <v/>
      </c>
      <c r="I19" s="7">
        <f>IFERROR(STDEV(dados!$V$2:$V$55),"")</f>
        <v/>
      </c>
      <c r="J19" s="7">
        <f>IFERROR(MIN(dados!$V$2:$V$55),"")</f>
        <v/>
      </c>
      <c r="K19" s="7">
        <f>IFERROR(PERCENTILE(dados!$V$2:$V$55,0.25),"")</f>
        <v/>
      </c>
      <c r="L19" s="7">
        <f>IFERROR(PERCENTILE(dados!$V$2:$V$55,0.75),"")</f>
        <v/>
      </c>
      <c r="M19" s="7">
        <f>IFERROR(MAX(dados!$V$2:$V$55),"")</f>
        <v/>
      </c>
      <c r="N19" s="7">
        <f>IFERROR(M19-J19,"")</f>
        <v/>
      </c>
      <c r="O19" s="6">
        <f>IFERROR(I19/G19,"")</f>
        <v/>
      </c>
    </row>
    <row r="20">
      <c r="A20" s="11" t="inlineStr">
        <is>
          <t>Instagram</t>
        </is>
      </c>
      <c r="B20" s="3" t="inlineStr">
        <is>
          <t>interacoes_por_post</t>
        </is>
      </c>
      <c r="C20" s="3" t="inlineStr">
        <is>
          <t>Interações por post no período (curtidas + comentários)</t>
        </is>
      </c>
      <c r="D20" s="3" t="inlineStr">
        <is>
          <t>interações</t>
        </is>
      </c>
      <c r="E20" s="4">
        <f>COUNT(dados!$W$2:$W$55)</f>
        <v/>
      </c>
      <c r="F20" s="4">
        <f>ROWS(dados!$W$2:$W$55)-E20</f>
        <v/>
      </c>
      <c r="G20" s="9">
        <f>IFERROR(AVERAGE(dados!$W$2:$W$55),"")</f>
        <v/>
      </c>
      <c r="H20" s="9">
        <f>IFERROR(MEDIAN(dados!$W$2:$W$55),"")</f>
        <v/>
      </c>
      <c r="I20" s="9">
        <f>IFERROR(STDEV(dados!$W$2:$W$55),"")</f>
        <v/>
      </c>
      <c r="J20" s="9">
        <f>IFERROR(MIN(dados!$W$2:$W$55),"")</f>
        <v/>
      </c>
      <c r="K20" s="9">
        <f>IFERROR(PERCENTILE(dados!$W$2:$W$55,0.25),"")</f>
        <v/>
      </c>
      <c r="L20" s="9">
        <f>IFERROR(PERCENTILE(dados!$W$2:$W$55,0.75),"")</f>
        <v/>
      </c>
      <c r="M20" s="9">
        <f>IFERROR(MAX(dados!$W$2:$W$55),"")</f>
        <v/>
      </c>
      <c r="N20" s="9">
        <f>IFERROR(M20-J20,"")</f>
        <v/>
      </c>
      <c r="O20" s="6">
        <f>IFERROR(I20/G20,"")</f>
        <v/>
      </c>
    </row>
    <row r="21">
      <c r="A21" s="11" t="inlineStr">
        <is>
          <t>Instagram</t>
        </is>
      </c>
      <c r="B21" s="3" t="inlineStr">
        <is>
          <t>engajamento_pct</t>
        </is>
      </c>
      <c r="C21" s="3" t="inlineStr">
        <is>
          <t>Taxa de engajamento (interações por post ÷ seguidores)</t>
        </is>
      </c>
      <c r="D21" s="3" t="inlineStr">
        <is>
          <t>%</t>
        </is>
      </c>
      <c r="E21" s="4">
        <f>COUNT(dados!$X$2:$X$55)</f>
        <v/>
      </c>
      <c r="F21" s="4">
        <f>ROWS(dados!$X$2:$X$55)-E21</f>
        <v/>
      </c>
      <c r="G21" s="12">
        <f>IFERROR(AVERAGE(dados!$X$2:$X$55),"")</f>
        <v/>
      </c>
      <c r="H21" s="12">
        <f>IFERROR(MEDIAN(dados!$X$2:$X$55),"")</f>
        <v/>
      </c>
      <c r="I21" s="12">
        <f>IFERROR(STDEV(dados!$X$2:$X$55),"")</f>
        <v/>
      </c>
      <c r="J21" s="12">
        <f>IFERROR(MIN(dados!$X$2:$X$55),"")</f>
        <v/>
      </c>
      <c r="K21" s="12">
        <f>IFERROR(PERCENTILE(dados!$X$2:$X$55,0.25),"")</f>
        <v/>
      </c>
      <c r="L21" s="12">
        <f>IFERROR(PERCENTILE(dados!$X$2:$X$55,0.75),"")</f>
        <v/>
      </c>
      <c r="M21" s="12">
        <f>IFERROR(MAX(dados!$X$2:$X$55),"")</f>
        <v/>
      </c>
      <c r="N21" s="12">
        <f>IFERROR(M21-J21,"")</f>
        <v/>
      </c>
      <c r="O21" s="6">
        <f>IFERROR(I21/G21,"")</f>
        <v/>
      </c>
    </row>
    <row r="22">
      <c r="A22" s="13" t="inlineStr">
        <is>
          <t>Cardápio</t>
        </is>
      </c>
      <c r="B22" s="3" t="inlineStr">
        <is>
          <t>itens_com_preco</t>
        </is>
      </c>
      <c r="C22" s="3" t="inlineStr">
        <is>
          <t>Itens com preço no cardápio</t>
        </is>
      </c>
      <c r="D22" s="3" t="inlineStr">
        <is>
          <t>itens</t>
        </is>
      </c>
      <c r="E22" s="4">
        <f>COUNT(dados!$Y$2:$Y$55)</f>
        <v/>
      </c>
      <c r="F22" s="4">
        <f>ROWS(dados!$Y$2:$Y$55)-E22</f>
        <v/>
      </c>
      <c r="G22" s="7">
        <f>IFERROR(AVERAGE(dados!$Y$2:$Y$55),"")</f>
        <v/>
      </c>
      <c r="H22" s="7">
        <f>IFERROR(MEDIAN(dados!$Y$2:$Y$55),"")</f>
        <v/>
      </c>
      <c r="I22" s="7">
        <f>IFERROR(STDEV(dados!$Y$2:$Y$55),"")</f>
        <v/>
      </c>
      <c r="J22" s="7">
        <f>IFERROR(MIN(dados!$Y$2:$Y$55),"")</f>
        <v/>
      </c>
      <c r="K22" s="7">
        <f>IFERROR(PERCENTILE(dados!$Y$2:$Y$55,0.25),"")</f>
        <v/>
      </c>
      <c r="L22" s="7">
        <f>IFERROR(PERCENTILE(dados!$Y$2:$Y$55,0.75),"")</f>
        <v/>
      </c>
      <c r="M22" s="7">
        <f>IFERROR(MAX(dados!$Y$2:$Y$55),"")</f>
        <v/>
      </c>
      <c r="N22" s="7">
        <f>IFERROR(M22-J22,"")</f>
        <v/>
      </c>
      <c r="O22" s="6">
        <f>IFERROR(I22/G22,"")</f>
        <v/>
      </c>
    </row>
    <row r="23">
      <c r="A23" s="13" t="inlineStr">
        <is>
          <t>Cardápio</t>
        </is>
      </c>
      <c r="B23" s="3" t="inlineStr">
        <is>
          <t>couvert_mediana</t>
        </is>
      </c>
      <c r="C23" s="3" t="inlineStr">
        <is>
          <t>Couvert ou taxa de jogo (só casas que cobram)</t>
        </is>
      </c>
      <c r="D23" s="3" t="inlineStr">
        <is>
          <t>R$</t>
        </is>
      </c>
      <c r="E23" s="4">
        <f>COUNT(dados!$Z$2:$Z$55)</f>
        <v/>
      </c>
      <c r="F23" s="4">
        <f>ROWS(dados!$Z$2:$Z$55)-E23</f>
        <v/>
      </c>
      <c r="G23" s="14">
        <f>IFERROR(AVERAGE(dados!$Z$2:$Z$55),"")</f>
        <v/>
      </c>
      <c r="H23" s="14">
        <f>IFERROR(MEDIAN(dados!$Z$2:$Z$55),"")</f>
        <v/>
      </c>
      <c r="I23" s="14">
        <f>IFERROR(STDEV(dados!$Z$2:$Z$55),"")</f>
        <v/>
      </c>
      <c r="J23" s="14">
        <f>IFERROR(MIN(dados!$Z$2:$Z$55),"")</f>
        <v/>
      </c>
      <c r="K23" s="14">
        <f>IFERROR(PERCENTILE(dados!$Z$2:$Z$55,0.25),"")</f>
        <v/>
      </c>
      <c r="L23" s="14">
        <f>IFERROR(PERCENTILE(dados!$Z$2:$Z$55,0.75),"")</f>
        <v/>
      </c>
      <c r="M23" s="14">
        <f>IFERROR(MAX(dados!$Z$2:$Z$55),"")</f>
        <v/>
      </c>
      <c r="N23" s="14">
        <f>IFERROR(M23-J23,"")</f>
        <v/>
      </c>
      <c r="O23" s="6">
        <f>IFERROR(I23/G23,"")</f>
        <v/>
      </c>
    </row>
    <row r="24">
      <c r="A24" s="13" t="inlineStr">
        <is>
          <t>Cardápio</t>
        </is>
      </c>
      <c r="B24" s="3" t="inlineStr">
        <is>
          <t>bebida_mediana</t>
        </is>
      </c>
      <c r="C24" s="3" t="inlineStr">
        <is>
          <t>Bebida, mediana do cardápio</t>
        </is>
      </c>
      <c r="D24" s="3" t="inlineStr">
        <is>
          <t>R$</t>
        </is>
      </c>
      <c r="E24" s="4">
        <f>COUNT(dados!$AA$2:$AA$55)</f>
        <v/>
      </c>
      <c r="F24" s="4">
        <f>ROWS(dados!$AA$2:$AA$55)-E24</f>
        <v/>
      </c>
      <c r="G24" s="14">
        <f>IFERROR(AVERAGE(dados!$AA$2:$AA$55),"")</f>
        <v/>
      </c>
      <c r="H24" s="14">
        <f>IFERROR(MEDIAN(dados!$AA$2:$AA$55),"")</f>
        <v/>
      </c>
      <c r="I24" s="14">
        <f>IFERROR(STDEV(dados!$AA$2:$AA$55),"")</f>
        <v/>
      </c>
      <c r="J24" s="14">
        <f>IFERROR(MIN(dados!$AA$2:$AA$55),"")</f>
        <v/>
      </c>
      <c r="K24" s="14">
        <f>IFERROR(PERCENTILE(dados!$AA$2:$AA$55,0.25),"")</f>
        <v/>
      </c>
      <c r="L24" s="14">
        <f>IFERROR(PERCENTILE(dados!$AA$2:$AA$55,0.75),"")</f>
        <v/>
      </c>
      <c r="M24" s="14">
        <f>IFERROR(MAX(dados!$AA$2:$AA$55),"")</f>
        <v/>
      </c>
      <c r="N24" s="14">
        <f>IFERROR(M24-J24,"")</f>
        <v/>
      </c>
      <c r="O24" s="6">
        <f>IFERROR(I24/G24,"")</f>
        <v/>
      </c>
    </row>
    <row r="25">
      <c r="A25" s="13" t="inlineStr">
        <is>
          <t>Cardápio</t>
        </is>
      </c>
      <c r="B25" s="3" t="inlineStr">
        <is>
          <t>entrada_ou_prato_mediana</t>
        </is>
      </c>
      <c r="C25" s="3" t="inlineStr">
        <is>
          <t>Entrada ou prato, mediana do cardápio</t>
        </is>
      </c>
      <c r="D25" s="3" t="inlineStr">
        <is>
          <t>R$</t>
        </is>
      </c>
      <c r="E25" s="4">
        <f>COUNT(dados!$AB$2:$AB$55)</f>
        <v/>
      </c>
      <c r="F25" s="4">
        <f>ROWS(dados!$AB$2:$AB$55)-E25</f>
        <v/>
      </c>
      <c r="G25" s="14">
        <f>IFERROR(AVERAGE(dados!$AB$2:$AB$55),"")</f>
        <v/>
      </c>
      <c r="H25" s="14">
        <f>IFERROR(MEDIAN(dados!$AB$2:$AB$55),"")</f>
        <v/>
      </c>
      <c r="I25" s="14">
        <f>IFERROR(STDEV(dados!$AB$2:$AB$55),"")</f>
        <v/>
      </c>
      <c r="J25" s="14">
        <f>IFERROR(MIN(dados!$AB$2:$AB$55),"")</f>
        <v/>
      </c>
      <c r="K25" s="14">
        <f>IFERROR(PERCENTILE(dados!$AB$2:$AB$55,0.25),"")</f>
        <v/>
      </c>
      <c r="L25" s="14">
        <f>IFERROR(PERCENTILE(dados!$AB$2:$AB$55,0.75),"")</f>
        <v/>
      </c>
      <c r="M25" s="14">
        <f>IFERROR(MAX(dados!$AB$2:$AB$55),"")</f>
        <v/>
      </c>
      <c r="N25" s="14">
        <f>IFERROR(M25-J25,"")</f>
        <v/>
      </c>
      <c r="O25" s="6">
        <f>IFERROR(I25/G25,"")</f>
        <v/>
      </c>
    </row>
    <row r="26">
      <c r="A26" s="13" t="inlineStr">
        <is>
          <t>Cardápio</t>
        </is>
      </c>
      <c r="B26" s="3" t="inlineStr">
        <is>
          <t>consumo_baixa</t>
        </is>
      </c>
      <c r="C26" s="3" t="inlineStr">
        <is>
          <t>Consumo por pessoa (bebida + entrada ou prato), nível baixo (P25)</t>
        </is>
      </c>
      <c r="D26" s="3" t="inlineStr">
        <is>
          <t>R$</t>
        </is>
      </c>
      <c r="E26" s="4">
        <f>COUNT(dados!$AC$2:$AC$55)</f>
        <v/>
      </c>
      <c r="F26" s="4">
        <f>ROWS(dados!$AC$2:$AC$55)-E26</f>
        <v/>
      </c>
      <c r="G26" s="14">
        <f>IFERROR(AVERAGE(dados!$AC$2:$AC$55),"")</f>
        <v/>
      </c>
      <c r="H26" s="14">
        <f>IFERROR(MEDIAN(dados!$AC$2:$AC$55),"")</f>
        <v/>
      </c>
      <c r="I26" s="14">
        <f>IFERROR(STDEV(dados!$AC$2:$AC$55),"")</f>
        <v/>
      </c>
      <c r="J26" s="14">
        <f>IFERROR(MIN(dados!$AC$2:$AC$55),"")</f>
        <v/>
      </c>
      <c r="K26" s="14">
        <f>IFERROR(PERCENTILE(dados!$AC$2:$AC$55,0.25),"")</f>
        <v/>
      </c>
      <c r="L26" s="14">
        <f>IFERROR(PERCENTILE(dados!$AC$2:$AC$55,0.75),"")</f>
        <v/>
      </c>
      <c r="M26" s="14">
        <f>IFERROR(MAX(dados!$AC$2:$AC$55),"")</f>
        <v/>
      </c>
      <c r="N26" s="14">
        <f>IFERROR(M26-J26,"")</f>
        <v/>
      </c>
      <c r="O26" s="6">
        <f>IFERROR(I26/G26,"")</f>
        <v/>
      </c>
    </row>
    <row r="27">
      <c r="A27" s="13" t="inlineStr">
        <is>
          <t>Cardápio</t>
        </is>
      </c>
      <c r="B27" s="3" t="inlineStr">
        <is>
          <t>consumo_mediana</t>
        </is>
      </c>
      <c r="C27" s="3" t="inlineStr">
        <is>
          <t>Consumo por pessoa (bebida + entrada ou prato), nível mediano</t>
        </is>
      </c>
      <c r="D27" s="3" t="inlineStr">
        <is>
          <t>R$</t>
        </is>
      </c>
      <c r="E27" s="4">
        <f>COUNT(dados!$AD$2:$AD$55)</f>
        <v/>
      </c>
      <c r="F27" s="4">
        <f>ROWS(dados!$AD$2:$AD$55)-E27</f>
        <v/>
      </c>
      <c r="G27" s="14">
        <f>IFERROR(AVERAGE(dados!$AD$2:$AD$55),"")</f>
        <v/>
      </c>
      <c r="H27" s="14">
        <f>IFERROR(MEDIAN(dados!$AD$2:$AD$55),"")</f>
        <v/>
      </c>
      <c r="I27" s="14">
        <f>IFERROR(STDEV(dados!$AD$2:$AD$55),"")</f>
        <v/>
      </c>
      <c r="J27" s="14">
        <f>IFERROR(MIN(dados!$AD$2:$AD$55),"")</f>
        <v/>
      </c>
      <c r="K27" s="14">
        <f>IFERROR(PERCENTILE(dados!$AD$2:$AD$55,0.25),"")</f>
        <v/>
      </c>
      <c r="L27" s="14">
        <f>IFERROR(PERCENTILE(dados!$AD$2:$AD$55,0.75),"")</f>
        <v/>
      </c>
      <c r="M27" s="14">
        <f>IFERROR(MAX(dados!$AD$2:$AD$55),"")</f>
        <v/>
      </c>
      <c r="N27" s="14">
        <f>IFERROR(M27-J27,"")</f>
        <v/>
      </c>
      <c r="O27" s="6">
        <f>IFERROR(I27/G27,"")</f>
        <v/>
      </c>
    </row>
    <row r="28">
      <c r="A28" s="13" t="inlineStr">
        <is>
          <t>Cardápio</t>
        </is>
      </c>
      <c r="B28" s="3" t="inlineStr">
        <is>
          <t>consumo_alta</t>
        </is>
      </c>
      <c r="C28" s="3" t="inlineStr">
        <is>
          <t>Consumo por pessoa (bebida + entrada ou prato), nível alto (P75)</t>
        </is>
      </c>
      <c r="D28" s="3" t="inlineStr">
        <is>
          <t>R$</t>
        </is>
      </c>
      <c r="E28" s="4">
        <f>COUNT(dados!$AE$2:$AE$55)</f>
        <v/>
      </c>
      <c r="F28" s="4">
        <f>ROWS(dados!$AE$2:$AE$55)-E28</f>
        <v/>
      </c>
      <c r="G28" s="14">
        <f>IFERROR(AVERAGE(dados!$AE$2:$AE$55),"")</f>
        <v/>
      </c>
      <c r="H28" s="14">
        <f>IFERROR(MEDIAN(dados!$AE$2:$AE$55),"")</f>
        <v/>
      </c>
      <c r="I28" s="14">
        <f>IFERROR(STDEV(dados!$AE$2:$AE$55),"")</f>
        <v/>
      </c>
      <c r="J28" s="14">
        <f>IFERROR(MIN(dados!$AE$2:$AE$55),"")</f>
        <v/>
      </c>
      <c r="K28" s="14">
        <f>IFERROR(PERCENTILE(dados!$AE$2:$AE$55,0.25),"")</f>
        <v/>
      </c>
      <c r="L28" s="14">
        <f>IFERROR(PERCENTILE(dados!$AE$2:$AE$55,0.75),"")</f>
        <v/>
      </c>
      <c r="M28" s="14">
        <f>IFERROR(MAX(dados!$AE$2:$AE$55),"")</f>
        <v/>
      </c>
      <c r="N28" s="14">
        <f>IFERROR(M28-J28,"")</f>
        <v/>
      </c>
      <c r="O28" s="6">
        <f>IFERROR(I28/G28,"")</f>
        <v/>
      </c>
    </row>
    <row r="29">
      <c r="A29" s="13" t="inlineStr">
        <is>
          <t>Cardápio</t>
        </is>
      </c>
      <c r="B29" s="3" t="inlineStr">
        <is>
          <t>cesta_baixa</t>
        </is>
      </c>
      <c r="C29" s="3" t="inlineStr">
        <is>
          <t>Cesta completa (consumo + couvert encontrado), nível baixo (P25)</t>
        </is>
      </c>
      <c r="D29" s="3" t="inlineStr">
        <is>
          <t>R$</t>
        </is>
      </c>
      <c r="E29" s="4">
        <f>COUNT(dados!$AF$2:$AF$55)</f>
        <v/>
      </c>
      <c r="F29" s="4">
        <f>ROWS(dados!$AF$2:$AF$55)-E29</f>
        <v/>
      </c>
      <c r="G29" s="14">
        <f>IFERROR(AVERAGE(dados!$AF$2:$AF$55),"")</f>
        <v/>
      </c>
      <c r="H29" s="14">
        <f>IFERROR(MEDIAN(dados!$AF$2:$AF$55),"")</f>
        <v/>
      </c>
      <c r="I29" s="14">
        <f>IFERROR(STDEV(dados!$AF$2:$AF$55),"")</f>
        <v/>
      </c>
      <c r="J29" s="14">
        <f>IFERROR(MIN(dados!$AF$2:$AF$55),"")</f>
        <v/>
      </c>
      <c r="K29" s="14">
        <f>IFERROR(PERCENTILE(dados!$AF$2:$AF$55,0.25),"")</f>
        <v/>
      </c>
      <c r="L29" s="14">
        <f>IFERROR(PERCENTILE(dados!$AF$2:$AF$55,0.75),"")</f>
        <v/>
      </c>
      <c r="M29" s="14">
        <f>IFERROR(MAX(dados!$AF$2:$AF$55),"")</f>
        <v/>
      </c>
      <c r="N29" s="14">
        <f>IFERROR(M29-J29,"")</f>
        <v/>
      </c>
      <c r="O29" s="6">
        <f>IFERROR(I29/G29,"")</f>
        <v/>
      </c>
    </row>
    <row r="30">
      <c r="A30" s="13" t="inlineStr">
        <is>
          <t>Cardápio</t>
        </is>
      </c>
      <c r="B30" s="3" t="inlineStr">
        <is>
          <t>cesta_mediana</t>
        </is>
      </c>
      <c r="C30" s="3" t="inlineStr">
        <is>
          <t>Cesta completa (consumo + couvert encontrado), nível mediano</t>
        </is>
      </c>
      <c r="D30" s="3" t="inlineStr">
        <is>
          <t>R$</t>
        </is>
      </c>
      <c r="E30" s="4">
        <f>COUNT(dados!$AG$2:$AG$55)</f>
        <v/>
      </c>
      <c r="F30" s="4">
        <f>ROWS(dados!$AG$2:$AG$55)-E30</f>
        <v/>
      </c>
      <c r="G30" s="14">
        <f>IFERROR(AVERAGE(dados!$AG$2:$AG$55),"")</f>
        <v/>
      </c>
      <c r="H30" s="14">
        <f>IFERROR(MEDIAN(dados!$AG$2:$AG$55),"")</f>
        <v/>
      </c>
      <c r="I30" s="14">
        <f>IFERROR(STDEV(dados!$AG$2:$AG$55),"")</f>
        <v/>
      </c>
      <c r="J30" s="14">
        <f>IFERROR(MIN(dados!$AG$2:$AG$55),"")</f>
        <v/>
      </c>
      <c r="K30" s="14">
        <f>IFERROR(PERCENTILE(dados!$AG$2:$AG$55,0.25),"")</f>
        <v/>
      </c>
      <c r="L30" s="14">
        <f>IFERROR(PERCENTILE(dados!$AG$2:$AG$55,0.75),"")</f>
        <v/>
      </c>
      <c r="M30" s="14">
        <f>IFERROR(MAX(dados!$AG$2:$AG$55),"")</f>
        <v/>
      </c>
      <c r="N30" s="14">
        <f>IFERROR(M30-J30,"")</f>
        <v/>
      </c>
      <c r="O30" s="6">
        <f>IFERROR(I30/G30,"")</f>
        <v/>
      </c>
    </row>
    <row r="31">
      <c r="A31" s="13" t="inlineStr">
        <is>
          <t>Cardápio</t>
        </is>
      </c>
      <c r="B31" s="3" t="inlineStr">
        <is>
          <t>cesta_alta</t>
        </is>
      </c>
      <c r="C31" s="3" t="inlineStr">
        <is>
          <t>Cesta completa (consumo + couvert encontrado), nível alto (P75)</t>
        </is>
      </c>
      <c r="D31" s="3" t="inlineStr">
        <is>
          <t>R$</t>
        </is>
      </c>
      <c r="E31" s="4">
        <f>COUNT(dados!$AH$2:$AH$55)</f>
        <v/>
      </c>
      <c r="F31" s="4">
        <f>ROWS(dados!$AH$2:$AH$55)-E31</f>
        <v/>
      </c>
      <c r="G31" s="14">
        <f>IFERROR(AVERAGE(dados!$AH$2:$AH$55),"")</f>
        <v/>
      </c>
      <c r="H31" s="14">
        <f>IFERROR(MEDIAN(dados!$AH$2:$AH$55),"")</f>
        <v/>
      </c>
      <c r="I31" s="14">
        <f>IFERROR(STDEV(dados!$AH$2:$AH$55),"")</f>
        <v/>
      </c>
      <c r="J31" s="14">
        <f>IFERROR(MIN(dados!$AH$2:$AH$55),"")</f>
        <v/>
      </c>
      <c r="K31" s="14">
        <f>IFERROR(PERCENTILE(dados!$AH$2:$AH$55,0.25),"")</f>
        <v/>
      </c>
      <c r="L31" s="14">
        <f>IFERROR(PERCENTILE(dados!$AH$2:$AH$55,0.75),"")</f>
        <v/>
      </c>
      <c r="M31" s="14">
        <f>IFERROR(MAX(dados!$AH$2:$AH$55),"")</f>
        <v/>
      </c>
      <c r="N31" s="14">
        <f>IFERROR(M31-J31,"")</f>
        <v/>
      </c>
      <c r="O31" s="6">
        <f>IFERROR(I31/G31,"")</f>
        <v/>
      </c>
    </row>
    <row r="32">
      <c r="A32" s="13" t="inlineStr">
        <is>
          <t>Cardápio</t>
        </is>
      </c>
      <c r="B32" s="3" t="inlineStr">
        <is>
          <t>hamburguer_mediana</t>
        </is>
      </c>
      <c r="C32" s="3" t="inlineStr">
        <is>
          <t>Hambúrguer, mediana</t>
        </is>
      </c>
      <c r="D32" s="3" t="inlineStr">
        <is>
          <t>R$</t>
        </is>
      </c>
      <c r="E32" s="4">
        <f>COUNT(dados!$AI$2:$AI$55)</f>
        <v/>
      </c>
      <c r="F32" s="4">
        <f>ROWS(dados!$AI$2:$AI$55)-E32</f>
        <v/>
      </c>
      <c r="G32" s="14">
        <f>IFERROR(AVERAGE(dados!$AI$2:$AI$55),"")</f>
        <v/>
      </c>
      <c r="H32" s="14">
        <f>IFERROR(MEDIAN(dados!$AI$2:$AI$55),"")</f>
        <v/>
      </c>
      <c r="I32" s="14">
        <f>IFERROR(STDEV(dados!$AI$2:$AI$55),"")</f>
        <v/>
      </c>
      <c r="J32" s="14">
        <f>IFERROR(MIN(dados!$AI$2:$AI$55),"")</f>
        <v/>
      </c>
      <c r="K32" s="14">
        <f>IFERROR(PERCENTILE(dados!$AI$2:$AI$55,0.25),"")</f>
        <v/>
      </c>
      <c r="L32" s="14">
        <f>IFERROR(PERCENTILE(dados!$AI$2:$AI$55,0.75),"")</f>
        <v/>
      </c>
      <c r="M32" s="14">
        <f>IFERROR(MAX(dados!$AI$2:$AI$55),"")</f>
        <v/>
      </c>
      <c r="N32" s="14">
        <f>IFERROR(M32-J32,"")</f>
        <v/>
      </c>
      <c r="O32" s="6">
        <f>IFERROR(I32/G32,"")</f>
        <v/>
      </c>
    </row>
    <row r="33">
      <c r="A33" s="13" t="inlineStr">
        <is>
          <t>Cardápio</t>
        </is>
      </c>
      <c r="B33" s="3" t="inlineStr">
        <is>
          <t>batata_mediana</t>
        </is>
      </c>
      <c r="C33" s="3" t="inlineStr">
        <is>
          <t>Batata, mediana</t>
        </is>
      </c>
      <c r="D33" s="3" t="inlineStr">
        <is>
          <t>R$</t>
        </is>
      </c>
      <c r="E33" s="4">
        <f>COUNT(dados!$AJ$2:$AJ$55)</f>
        <v/>
      </c>
      <c r="F33" s="4">
        <f>ROWS(dados!$AJ$2:$AJ$55)-E33</f>
        <v/>
      </c>
      <c r="G33" s="14">
        <f>IFERROR(AVERAGE(dados!$AJ$2:$AJ$55),"")</f>
        <v/>
      </c>
      <c r="H33" s="14">
        <f>IFERROR(MEDIAN(dados!$AJ$2:$AJ$55),"")</f>
        <v/>
      </c>
      <c r="I33" s="14">
        <f>IFERROR(STDEV(dados!$AJ$2:$AJ$55),"")</f>
        <v/>
      </c>
      <c r="J33" s="14">
        <f>IFERROR(MIN(dados!$AJ$2:$AJ$55),"")</f>
        <v/>
      </c>
      <c r="K33" s="14">
        <f>IFERROR(PERCENTILE(dados!$AJ$2:$AJ$55,0.25),"")</f>
        <v/>
      </c>
      <c r="L33" s="14">
        <f>IFERROR(PERCENTILE(dados!$AJ$2:$AJ$55,0.75),"")</f>
        <v/>
      </c>
      <c r="M33" s="14">
        <f>IFERROR(MAX(dados!$AJ$2:$AJ$55),"")</f>
        <v/>
      </c>
      <c r="N33" s="14">
        <f>IFERROR(M33-J33,"")</f>
        <v/>
      </c>
      <c r="O33" s="6">
        <f>IFERROR(I33/G33,"")</f>
        <v/>
      </c>
    </row>
    <row r="34">
      <c r="A34" s="13" t="inlineStr">
        <is>
          <t>Cardápio</t>
        </is>
      </c>
      <c r="B34" s="3" t="inlineStr">
        <is>
          <t>cerveja_mediana</t>
        </is>
      </c>
      <c r="C34" s="3" t="inlineStr">
        <is>
          <t>Cerveja, mediana</t>
        </is>
      </c>
      <c r="D34" s="3" t="inlineStr">
        <is>
          <t>R$</t>
        </is>
      </c>
      <c r="E34" s="4">
        <f>COUNT(dados!$AK$2:$AK$55)</f>
        <v/>
      </c>
      <c r="F34" s="4">
        <f>ROWS(dados!$AK$2:$AK$55)-E34</f>
        <v/>
      </c>
      <c r="G34" s="14">
        <f>IFERROR(AVERAGE(dados!$AK$2:$AK$55),"")</f>
        <v/>
      </c>
      <c r="H34" s="14">
        <f>IFERROR(MEDIAN(dados!$AK$2:$AK$55),"")</f>
        <v/>
      </c>
      <c r="I34" s="14">
        <f>IFERROR(STDEV(dados!$AK$2:$AK$55),"")</f>
        <v/>
      </c>
      <c r="J34" s="14">
        <f>IFERROR(MIN(dados!$AK$2:$AK$55),"")</f>
        <v/>
      </c>
      <c r="K34" s="14">
        <f>IFERROR(PERCENTILE(dados!$AK$2:$AK$55,0.25),"")</f>
        <v/>
      </c>
      <c r="L34" s="14">
        <f>IFERROR(PERCENTILE(dados!$AK$2:$AK$55,0.75),"")</f>
        <v/>
      </c>
      <c r="M34" s="14">
        <f>IFERROR(MAX(dados!$AK$2:$AK$55),"")</f>
        <v/>
      </c>
      <c r="N34" s="14">
        <f>IFERROR(M34-J34,"")</f>
        <v/>
      </c>
      <c r="O34" s="6">
        <f>IFERROR(I34/G34,"")</f>
        <v/>
      </c>
    </row>
    <row r="35">
      <c r="A35" s="13" t="inlineStr">
        <is>
          <t>Cardápio</t>
        </is>
      </c>
      <c r="B35" s="3" t="inlineStr">
        <is>
          <t>refrigerante_mediana</t>
        </is>
      </c>
      <c r="C35" s="3" t="inlineStr">
        <is>
          <t>Refrigerante, mediana</t>
        </is>
      </c>
      <c r="D35" s="3" t="inlineStr">
        <is>
          <t>R$</t>
        </is>
      </c>
      <c r="E35" s="4">
        <f>COUNT(dados!$AL$2:$AL$55)</f>
        <v/>
      </c>
      <c r="F35" s="4">
        <f>ROWS(dados!$AL$2:$AL$55)-E35</f>
        <v/>
      </c>
      <c r="G35" s="14">
        <f>IFERROR(AVERAGE(dados!$AL$2:$AL$55),"")</f>
        <v/>
      </c>
      <c r="H35" s="14">
        <f>IFERROR(MEDIAN(dados!$AL$2:$AL$55),"")</f>
        <v/>
      </c>
      <c r="I35" s="14">
        <f>IFERROR(STDEV(dados!$AL$2:$AL$55),"")</f>
        <v/>
      </c>
      <c r="J35" s="14">
        <f>IFERROR(MIN(dados!$AL$2:$AL$55),"")</f>
        <v/>
      </c>
      <c r="K35" s="14">
        <f>IFERROR(PERCENTILE(dados!$AL$2:$AL$55,0.25),"")</f>
        <v/>
      </c>
      <c r="L35" s="14">
        <f>IFERROR(PERCENTILE(dados!$AL$2:$AL$55,0.75),"")</f>
        <v/>
      </c>
      <c r="M35" s="14">
        <f>IFERROR(MAX(dados!$AL$2:$AL$55),"")</f>
        <v/>
      </c>
      <c r="N35" s="14">
        <f>IFERROR(M35-J35,"")</f>
        <v/>
      </c>
      <c r="O35" s="6">
        <f>IFERROR(I35/G35,"")</f>
        <v/>
      </c>
    </row>
    <row r="36">
      <c r="A36" s="13" t="inlineStr">
        <is>
          <t>Cardápio</t>
        </is>
      </c>
      <c r="B36" s="3" t="inlineStr">
        <is>
          <t>drinks_mediana</t>
        </is>
      </c>
      <c r="C36" s="3" t="inlineStr">
        <is>
          <t>Drinks, mediana</t>
        </is>
      </c>
      <c r="D36" s="3" t="inlineStr">
        <is>
          <t>R$</t>
        </is>
      </c>
      <c r="E36" s="4">
        <f>COUNT(dados!$AM$2:$AM$55)</f>
        <v/>
      </c>
      <c r="F36" s="4">
        <f>ROWS(dados!$AM$2:$AM$55)-E36</f>
        <v/>
      </c>
      <c r="G36" s="14">
        <f>IFERROR(AVERAGE(dados!$AM$2:$AM$55),"")</f>
        <v/>
      </c>
      <c r="H36" s="14">
        <f>IFERROR(MEDIAN(dados!$AM$2:$AM$55),"")</f>
        <v/>
      </c>
      <c r="I36" s="14">
        <f>IFERROR(STDEV(dados!$AM$2:$AM$55),"")</f>
        <v/>
      </c>
      <c r="J36" s="14">
        <f>IFERROR(MIN(dados!$AM$2:$AM$55),"")</f>
        <v/>
      </c>
      <c r="K36" s="14">
        <f>IFERROR(PERCENTILE(dados!$AM$2:$AM$55,0.25),"")</f>
        <v/>
      </c>
      <c r="L36" s="14">
        <f>IFERROR(PERCENTILE(dados!$AM$2:$AM$55,0.75),"")</f>
        <v/>
      </c>
      <c r="M36" s="14">
        <f>IFERROR(MAX(dados!$AM$2:$AM$55),"")</f>
        <v/>
      </c>
      <c r="N36" s="14">
        <f>IFERROR(M36-J36,"")</f>
        <v/>
      </c>
      <c r="O36" s="6">
        <f>IFERROR(I36/G36,"")</f>
        <v/>
      </c>
    </row>
    <row r="37">
      <c r="A37" s="15" t="inlineStr">
        <is>
          <t>Acervo</t>
        </is>
      </c>
      <c r="B37" s="3" t="inlineStr">
        <is>
          <t>titulos_acervo</t>
        </is>
      </c>
      <c r="C37" s="3" t="inlineStr">
        <is>
          <t>Títulos no acervo publicado</t>
        </is>
      </c>
      <c r="D37" s="3" t="inlineStr">
        <is>
          <t>jogos</t>
        </is>
      </c>
      <c r="E37" s="4">
        <f>COUNT(dados!$AN$2:$AN$55)</f>
        <v/>
      </c>
      <c r="F37" s="4">
        <f>ROWS(dados!$AN$2:$AN$55)-E37</f>
        <v/>
      </c>
      <c r="G37" s="7">
        <f>IFERROR(AVERAGE(dados!$AN$2:$AN$55),"")</f>
        <v/>
      </c>
      <c r="H37" s="7">
        <f>IFERROR(MEDIAN(dados!$AN$2:$AN$55),"")</f>
        <v/>
      </c>
      <c r="I37" s="7">
        <f>IFERROR(STDEV(dados!$AN$2:$AN$55),"")</f>
        <v/>
      </c>
      <c r="J37" s="7">
        <f>IFERROR(MIN(dados!$AN$2:$AN$55),"")</f>
        <v/>
      </c>
      <c r="K37" s="7">
        <f>IFERROR(PERCENTILE(dados!$AN$2:$AN$55,0.25),"")</f>
        <v/>
      </c>
      <c r="L37" s="7">
        <f>IFERROR(PERCENTILE(dados!$AN$2:$AN$55,0.75),"")</f>
        <v/>
      </c>
      <c r="M37" s="7">
        <f>IFERROR(MAX(dados!$AN$2:$AN$55),"")</f>
        <v/>
      </c>
      <c r="N37" s="7">
        <f>IFERROR(M37-J37,"")</f>
        <v/>
      </c>
      <c r="O37" s="6">
        <f>IFERROR(I37/G37,"")</f>
        <v/>
      </c>
    </row>
    <row r="38">
      <c r="A38" s="16" t="inlineStr">
        <is>
          <t>B2</t>
        </is>
      </c>
      <c r="B38" s="3" t="inlineStr">
        <is>
          <t>avaliacoes_b2</t>
        </is>
      </c>
      <c r="C38" s="3" t="inlineStr">
        <is>
          <t>Avaliações no recorte do B2 (até '3 meses atrás')</t>
        </is>
      </c>
      <c r="D38" s="3" t="inlineStr">
        <is>
          <t>avaliações</t>
        </is>
      </c>
      <c r="E38" s="4">
        <f>COUNT(dados!$AO$2:$AO$55)</f>
        <v/>
      </c>
      <c r="F38" s="4">
        <f>ROWS(dados!$AO$2:$AO$55)-E38</f>
        <v/>
      </c>
      <c r="G38" s="7">
        <f>IFERROR(AVERAGE(dados!$AO$2:$AO$55),"")</f>
        <v/>
      </c>
      <c r="H38" s="7">
        <f>IFERROR(MEDIAN(dados!$AO$2:$AO$55),"")</f>
        <v/>
      </c>
      <c r="I38" s="7">
        <f>IFERROR(STDEV(dados!$AO$2:$AO$55),"")</f>
        <v/>
      </c>
      <c r="J38" s="7">
        <f>IFERROR(MIN(dados!$AO$2:$AO$55),"")</f>
        <v/>
      </c>
      <c r="K38" s="7">
        <f>IFERROR(PERCENTILE(dados!$AO$2:$AO$55,0.25),"")</f>
        <v/>
      </c>
      <c r="L38" s="7">
        <f>IFERROR(PERCENTILE(dados!$AO$2:$AO$55,0.75),"")</f>
        <v/>
      </c>
      <c r="M38" s="7">
        <f>IFERROR(MAX(dados!$AO$2:$AO$55),"")</f>
        <v/>
      </c>
      <c r="N38" s="7">
        <f>IFERROR(M38-J38,"")</f>
        <v/>
      </c>
      <c r="O38" s="6">
        <f>IFERROR(I38/G38,"")</f>
        <v/>
      </c>
    </row>
    <row r="39">
      <c r="A39" s="16" t="inlineStr">
        <is>
          <t>B2</t>
        </is>
      </c>
      <c r="B39" s="3" t="inlineStr">
        <is>
          <t>avaliacoes_b2_com_texto</t>
        </is>
      </c>
      <c r="C39" s="3" t="inlineStr">
        <is>
          <t>Dessas, com texto</t>
        </is>
      </c>
      <c r="D39" s="3" t="inlineStr">
        <is>
          <t>avaliações</t>
        </is>
      </c>
      <c r="E39" s="4">
        <f>COUNT(dados!$AP$2:$AP$55)</f>
        <v/>
      </c>
      <c r="F39" s="4">
        <f>ROWS(dados!$AP$2:$AP$55)-E39</f>
        <v/>
      </c>
      <c r="G39" s="7">
        <f>IFERROR(AVERAGE(dados!$AP$2:$AP$55),"")</f>
        <v/>
      </c>
      <c r="H39" s="7">
        <f>IFERROR(MEDIAN(dados!$AP$2:$AP$55),"")</f>
        <v/>
      </c>
      <c r="I39" s="7">
        <f>IFERROR(STDEV(dados!$AP$2:$AP$55),"")</f>
        <v/>
      </c>
      <c r="J39" s="7">
        <f>IFERROR(MIN(dados!$AP$2:$AP$55),"")</f>
        <v/>
      </c>
      <c r="K39" s="7">
        <f>IFERROR(PERCENTILE(dados!$AP$2:$AP$55,0.25),"")</f>
        <v/>
      </c>
      <c r="L39" s="7">
        <f>IFERROR(PERCENTILE(dados!$AP$2:$AP$55,0.75),"")</f>
        <v/>
      </c>
      <c r="M39" s="7">
        <f>IFERROR(MAX(dados!$AP$2:$AP$55),"")</f>
        <v/>
      </c>
      <c r="N39" s="7">
        <f>IFERROR(M39-J39,"")</f>
        <v/>
      </c>
      <c r="O39" s="6">
        <f>IFERROR(I39/G39,"")</f>
        <v/>
      </c>
    </row>
  </sheetData>
  <autoFilter ref="A1:O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6" customWidth="1" min="3" max="3"/>
    <col width="16" customWidth="1" min="4" max="4"/>
  </cols>
  <sheetData>
    <row r="1">
      <c r="A1" s="1" t="inlineStr">
        <is>
          <t>tabela</t>
        </is>
      </c>
      <c r="B1" s="1" t="inlineStr">
        <is>
          <t>categoria</t>
        </is>
      </c>
      <c r="C1" s="1" t="inlineStr">
        <is>
          <t>casas</t>
        </is>
      </c>
      <c r="D1" s="1" t="inlineStr">
        <is>
          <t>% do total</t>
        </is>
      </c>
    </row>
    <row r="2">
      <c r="A2" s="4" t="inlineStr">
        <is>
          <t>casas por região</t>
        </is>
      </c>
      <c r="B2" s="4" t="inlineStr">
        <is>
          <t>Norte</t>
        </is>
      </c>
      <c r="C2" s="4">
        <f>COUNTIF(dados!$D$2:$D$55,B2)</f>
        <v/>
      </c>
      <c r="D2" s="17">
        <f>C2/COUNTA(dados!$A$2:$A$55)</f>
        <v/>
      </c>
    </row>
    <row r="3">
      <c r="A3" s="4" t="inlineStr">
        <is>
          <t>casas por região</t>
        </is>
      </c>
      <c r="B3" s="4" t="inlineStr">
        <is>
          <t>Nordeste</t>
        </is>
      </c>
      <c r="C3" s="4">
        <f>COUNTIF(dados!$D$2:$D$55,B3)</f>
        <v/>
      </c>
      <c r="D3" s="17">
        <f>C3/COUNTA(dados!$A$2:$A$55)</f>
        <v/>
      </c>
    </row>
    <row r="4">
      <c r="A4" s="4" t="inlineStr">
        <is>
          <t>casas por região</t>
        </is>
      </c>
      <c r="B4" s="4" t="inlineStr">
        <is>
          <t>Centro-Oeste</t>
        </is>
      </c>
      <c r="C4" s="4">
        <f>COUNTIF(dados!$D$2:$D$55,B4)</f>
        <v/>
      </c>
      <c r="D4" s="17">
        <f>C4/COUNTA(dados!$A$2:$A$55)</f>
        <v/>
      </c>
    </row>
    <row r="5">
      <c r="A5" s="4" t="inlineStr">
        <is>
          <t>casas por região</t>
        </is>
      </c>
      <c r="B5" s="4" t="inlineStr">
        <is>
          <t>Sudeste</t>
        </is>
      </c>
      <c r="C5" s="4">
        <f>COUNTIF(dados!$D$2:$D$55,B5)</f>
        <v/>
      </c>
      <c r="D5" s="17">
        <f>C5/COUNTA(dados!$A$2:$A$55)</f>
        <v/>
      </c>
    </row>
    <row r="6">
      <c r="A6" s="4" t="inlineStr">
        <is>
          <t>casas por região</t>
        </is>
      </c>
      <c r="B6" s="4" t="inlineStr">
        <is>
          <t>Sul</t>
        </is>
      </c>
      <c r="C6" s="4">
        <f>COUNTIF(dados!$D$2:$D$55,B6)</f>
        <v/>
      </c>
      <c r="D6" s="17">
        <f>C6/COUNTA(dados!$A$2:$A$55)</f>
        <v/>
      </c>
    </row>
    <row r="7">
      <c r="A7" s="18" t="inlineStr">
        <is>
          <t>casas por região</t>
        </is>
      </c>
      <c r="B7" s="18" t="inlineStr">
        <is>
          <t>Total</t>
        </is>
      </c>
      <c r="C7" s="18">
        <f>SUM(C2:C6)</f>
        <v/>
      </c>
      <c r="D7" s="19">
        <f>SUM(D2:D6)</f>
        <v/>
      </c>
    </row>
    <row r="8">
      <c r="A8" s="18" t="inlineStr">
        <is>
          <t>casas por região</t>
        </is>
      </c>
      <c r="B8" s="18" t="inlineStr">
        <is>
          <t>Conferência (total − casas; deve ser 0)</t>
        </is>
      </c>
      <c r="C8" s="18">
        <f>C7-COUNTA(dados!$A$2:$A$55)</f>
        <v/>
      </c>
      <c r="D8" s="19" t="n"/>
    </row>
    <row r="9">
      <c r="A9" s="4" t="inlineStr">
        <is>
          <t>casas por metrópole</t>
        </is>
      </c>
      <c r="B9" s="4" t="inlineStr">
        <is>
          <t>Belo Horizonte</t>
        </is>
      </c>
      <c r="C9" s="4">
        <f>COUNTIF(dados!$C$2:$C$55,B9)</f>
        <v/>
      </c>
      <c r="D9" s="17">
        <f>C9/COUNTA(dados!$A$2:$A$55)</f>
        <v/>
      </c>
    </row>
    <row r="10">
      <c r="A10" s="4" t="inlineStr">
        <is>
          <t>casas por metrópole</t>
        </is>
      </c>
      <c r="B10" s="4" t="inlineStr">
        <is>
          <t>Belém</t>
        </is>
      </c>
      <c r="C10" s="4">
        <f>COUNTIF(dados!$C$2:$C$55,B10)</f>
        <v/>
      </c>
      <c r="D10" s="17">
        <f>C10/COUNTA(dados!$A$2:$A$55)</f>
        <v/>
      </c>
    </row>
    <row r="11">
      <c r="A11" s="4" t="inlineStr">
        <is>
          <t>casas por metrópole</t>
        </is>
      </c>
      <c r="B11" s="4" t="inlineStr">
        <is>
          <t>Brasília</t>
        </is>
      </c>
      <c r="C11" s="4">
        <f>COUNTIF(dados!$C$2:$C$55,B11)</f>
        <v/>
      </c>
      <c r="D11" s="17">
        <f>C11/COUNTA(dados!$A$2:$A$55)</f>
        <v/>
      </c>
    </row>
    <row r="12">
      <c r="A12" s="4" t="inlineStr">
        <is>
          <t>casas por metrópole</t>
        </is>
      </c>
      <c r="B12" s="4" t="inlineStr">
        <is>
          <t>Curitiba</t>
        </is>
      </c>
      <c r="C12" s="4">
        <f>COUNTIF(dados!$C$2:$C$55,B12)</f>
        <v/>
      </c>
      <c r="D12" s="17">
        <f>C12/COUNTA(dados!$A$2:$A$55)</f>
        <v/>
      </c>
    </row>
    <row r="13">
      <c r="A13" s="4" t="inlineStr">
        <is>
          <t>casas por metrópole</t>
        </is>
      </c>
      <c r="B13" s="4" t="inlineStr">
        <is>
          <t>Florianópolis</t>
        </is>
      </c>
      <c r="C13" s="4">
        <f>COUNTIF(dados!$C$2:$C$55,B13)</f>
        <v/>
      </c>
      <c r="D13" s="17">
        <f>C13/COUNTA(dados!$A$2:$A$55)</f>
        <v/>
      </c>
    </row>
    <row r="14">
      <c r="A14" s="4" t="inlineStr">
        <is>
          <t>casas por metrópole</t>
        </is>
      </c>
      <c r="B14" s="4" t="inlineStr">
        <is>
          <t>Fortaleza</t>
        </is>
      </c>
      <c r="C14" s="4">
        <f>COUNTIF(dados!$C$2:$C$55,B14)</f>
        <v/>
      </c>
      <c r="D14" s="17">
        <f>C14/COUNTA(dados!$A$2:$A$55)</f>
        <v/>
      </c>
    </row>
    <row r="15">
      <c r="A15" s="4" t="inlineStr">
        <is>
          <t>casas por metrópole</t>
        </is>
      </c>
      <c r="B15" s="4" t="inlineStr">
        <is>
          <t>Goiânia</t>
        </is>
      </c>
      <c r="C15" s="4">
        <f>COUNTIF(dados!$C$2:$C$55,B15)</f>
        <v/>
      </c>
      <c r="D15" s="17">
        <f>C15/COUNTA(dados!$A$2:$A$55)</f>
        <v/>
      </c>
    </row>
    <row r="16">
      <c r="A16" s="4" t="inlineStr">
        <is>
          <t>casas por metrópole</t>
        </is>
      </c>
      <c r="B16" s="4" t="inlineStr">
        <is>
          <t>Porto Alegre</t>
        </is>
      </c>
      <c r="C16" s="4">
        <f>COUNTIF(dados!$C$2:$C$55,B16)</f>
        <v/>
      </c>
      <c r="D16" s="17">
        <f>C16/COUNTA(dados!$A$2:$A$55)</f>
        <v/>
      </c>
    </row>
    <row r="17">
      <c r="A17" s="4" t="inlineStr">
        <is>
          <t>casas por metrópole</t>
        </is>
      </c>
      <c r="B17" s="4" t="inlineStr">
        <is>
          <t>Recife</t>
        </is>
      </c>
      <c r="C17" s="4">
        <f>COUNTIF(dados!$C$2:$C$55,B17)</f>
        <v/>
      </c>
      <c r="D17" s="17">
        <f>C17/COUNTA(dados!$A$2:$A$55)</f>
        <v/>
      </c>
    </row>
    <row r="18">
      <c r="A18" s="4" t="inlineStr">
        <is>
          <t>casas por metrópole</t>
        </is>
      </c>
      <c r="B18" s="4" t="inlineStr">
        <is>
          <t>Rio de Janeiro</t>
        </is>
      </c>
      <c r="C18" s="4">
        <f>COUNTIF(dados!$C$2:$C$55,B18)</f>
        <v/>
      </c>
      <c r="D18" s="17">
        <f>C18/COUNTA(dados!$A$2:$A$55)</f>
        <v/>
      </c>
    </row>
    <row r="19">
      <c r="A19" s="4" t="inlineStr">
        <is>
          <t>casas por metrópole</t>
        </is>
      </c>
      <c r="B19" s="4" t="inlineStr">
        <is>
          <t>Salvador</t>
        </is>
      </c>
      <c r="C19" s="4">
        <f>COUNTIF(dados!$C$2:$C$55,B19)</f>
        <v/>
      </c>
      <c r="D19" s="17">
        <f>C19/COUNTA(dados!$A$2:$A$55)</f>
        <v/>
      </c>
    </row>
    <row r="20">
      <c r="A20" s="4" t="inlineStr">
        <is>
          <t>casas por metrópole</t>
        </is>
      </c>
      <c r="B20" s="4" t="inlineStr">
        <is>
          <t>São Paulo</t>
        </is>
      </c>
      <c r="C20" s="4">
        <f>COUNTIF(dados!$C$2:$C$55,B20)</f>
        <v/>
      </c>
      <c r="D20" s="17">
        <f>C20/COUNTA(dados!$A$2:$A$55)</f>
        <v/>
      </c>
    </row>
    <row r="21">
      <c r="A21" s="4" t="inlineStr">
        <is>
          <t>casas por metrópole</t>
        </is>
      </c>
      <c r="B21" s="4" t="inlineStr">
        <is>
          <t>Vitória</t>
        </is>
      </c>
      <c r="C21" s="4">
        <f>COUNTIF(dados!$C$2:$C$55,B21)</f>
        <v/>
      </c>
      <c r="D21" s="17">
        <f>C21/COUNTA(dados!$A$2:$A$55)</f>
        <v/>
      </c>
    </row>
    <row r="22">
      <c r="A22" s="18" t="inlineStr">
        <is>
          <t>casas por metrópole</t>
        </is>
      </c>
      <c r="B22" s="18" t="inlineStr">
        <is>
          <t>Total</t>
        </is>
      </c>
      <c r="C22" s="18">
        <f>SUM(C9:C21)</f>
        <v/>
      </c>
      <c r="D22" s="19">
        <f>SUM(D9:D21)</f>
        <v/>
      </c>
    </row>
    <row r="23">
      <c r="A23" s="18" t="inlineStr">
        <is>
          <t>casas por metrópole</t>
        </is>
      </c>
      <c r="B23" s="18" t="inlineStr">
        <is>
          <t>Conferência (total − casas; deve ser 0)</t>
        </is>
      </c>
      <c r="C23" s="18">
        <f>C22-COUNTA(dados!$A$2:$A$55)</f>
        <v/>
      </c>
      <c r="D23" s="19" t="n"/>
    </row>
    <row r="24">
      <c r="A24" s="4" t="n"/>
      <c r="B24" s="4" t="n"/>
      <c r="C24" s="4" t="n"/>
      <c r="D24" s="17" t="n"/>
    </row>
    <row r="25">
      <c r="A25" s="18" t="inlineStr">
        <is>
          <t>proporções (não exclusivas: cada linha tem seu próprio total)</t>
        </is>
      </c>
      <c r="B25" s="18" t="inlineStr">
        <is>
          <t>característica</t>
        </is>
      </c>
      <c r="C25" s="18" t="inlineStr">
        <is>
          <t>casas com a característica</t>
        </is>
      </c>
      <c r="D25" s="19" t="inlineStr">
        <is>
          <t>% das casas com dado</t>
        </is>
      </c>
    </row>
    <row r="26">
      <c r="A26" s="4" t="inlineStr">
        <is>
          <t>proporção</t>
        </is>
      </c>
      <c r="B26" s="4" t="inlineStr">
        <is>
          <t>Com estação de metrô até 1000 m</t>
        </is>
      </c>
      <c r="C26" s="4">
        <f>SUM(dados!$AQ$2:$AQ$55)</f>
        <v/>
      </c>
      <c r="D26" s="17">
        <f>IFERROR(SUM(dados!$AQ$2:$AQ$55)/COUNT(dados!$AQ$2:$AQ$55),"")</f>
        <v/>
      </c>
    </row>
    <row r="27">
      <c r="A27" s="4" t="inlineStr">
        <is>
          <t>proporção</t>
        </is>
      </c>
      <c r="B27" s="4" t="inlineStr">
        <is>
          <t>Com cardápio transcrito</t>
        </is>
      </c>
      <c r="C27" s="4">
        <f>SUM(dados!$AR$2:$AR$55)</f>
        <v/>
      </c>
      <c r="D27" s="17">
        <f>IFERROR(SUM(dados!$AR$2:$AR$55)/COUNT(dados!$AR$2:$AR$55),"")</f>
        <v/>
      </c>
    </row>
    <row r="28">
      <c r="A28" s="4" t="inlineStr">
        <is>
          <t>proporção</t>
        </is>
      </c>
      <c r="B28" s="4" t="inlineStr">
        <is>
          <t>Couvert ou taxa de jogo encontrado (entre as com cardápio)</t>
        </is>
      </c>
      <c r="C28" s="4">
        <f>SUM(dados!$AS$2:$AS$55)</f>
        <v/>
      </c>
      <c r="D28" s="17">
        <f>IFERROR(SUM(dados!$AS$2:$AS$55)/COUNT(dados!$AS$2:$AS$55),"")</f>
        <v/>
      </c>
    </row>
    <row r="29">
      <c r="A29" s="4" t="inlineStr">
        <is>
          <t>proporção</t>
        </is>
      </c>
      <c r="B29" s="4" t="inlineStr">
        <is>
          <t>Abre segunda</t>
        </is>
      </c>
      <c r="C29" s="4">
        <f>SUM(dados!$AT$2:$AT$55)</f>
        <v/>
      </c>
      <c r="D29" s="17">
        <f>IFERROR(SUM(dados!$AT$2:$AT$55)/COUNT(dados!$AT$2:$AT$55),"")</f>
        <v/>
      </c>
    </row>
    <row r="30">
      <c r="A30" s="4" t="inlineStr">
        <is>
          <t>proporção</t>
        </is>
      </c>
      <c r="B30" s="4" t="inlineStr">
        <is>
          <t>Abre terça</t>
        </is>
      </c>
      <c r="C30" s="4">
        <f>SUM(dados!$AU$2:$AU$55)</f>
        <v/>
      </c>
      <c r="D30" s="17">
        <f>IFERROR(SUM(dados!$AU$2:$AU$55)/COUNT(dados!$AU$2:$AU$55),"")</f>
        <v/>
      </c>
    </row>
    <row r="31">
      <c r="A31" s="4" t="inlineStr">
        <is>
          <t>proporção</t>
        </is>
      </c>
      <c r="B31" s="4" t="inlineStr">
        <is>
          <t>Abre quarta</t>
        </is>
      </c>
      <c r="C31" s="4">
        <f>SUM(dados!$AV$2:$AV$55)</f>
        <v/>
      </c>
      <c r="D31" s="17">
        <f>IFERROR(SUM(dados!$AV$2:$AV$55)/COUNT(dados!$AV$2:$AV$55),"")</f>
        <v/>
      </c>
    </row>
    <row r="32">
      <c r="A32" s="4" t="inlineStr">
        <is>
          <t>proporção</t>
        </is>
      </c>
      <c r="B32" s="4" t="inlineStr">
        <is>
          <t>Abre quinta</t>
        </is>
      </c>
      <c r="C32" s="4">
        <f>SUM(dados!$AW$2:$AW$55)</f>
        <v/>
      </c>
      <c r="D32" s="17">
        <f>IFERROR(SUM(dados!$AW$2:$AW$55)/COUNT(dados!$AW$2:$AW$55),"")</f>
        <v/>
      </c>
    </row>
    <row r="33">
      <c r="A33" s="4" t="inlineStr">
        <is>
          <t>proporção</t>
        </is>
      </c>
      <c r="B33" s="4" t="inlineStr">
        <is>
          <t>Abre sexta</t>
        </is>
      </c>
      <c r="C33" s="4">
        <f>SUM(dados!$AX$2:$AX$55)</f>
        <v/>
      </c>
      <c r="D33" s="17">
        <f>IFERROR(SUM(dados!$AX$2:$AX$55)/COUNT(dados!$AX$2:$AX$55),"")</f>
        <v/>
      </c>
    </row>
    <row r="34">
      <c r="A34" s="4" t="inlineStr">
        <is>
          <t>proporção</t>
        </is>
      </c>
      <c r="B34" s="4" t="inlineStr">
        <is>
          <t>Abre sábado</t>
        </is>
      </c>
      <c r="C34" s="4">
        <f>SUM(dados!$AY$2:$AY$55)</f>
        <v/>
      </c>
      <c r="D34" s="17">
        <f>IFERROR(SUM(dados!$AY$2:$AY$55)/COUNT(dados!$AY$2:$AY$55),"")</f>
        <v/>
      </c>
    </row>
    <row r="35">
      <c r="A35" s="4" t="inlineStr">
        <is>
          <t>proporção</t>
        </is>
      </c>
      <c r="B35" s="4" t="inlineStr">
        <is>
          <t>Abre domingo</t>
        </is>
      </c>
      <c r="C35" s="4">
        <f>SUM(dados!$AZ$2:$AZ$55)</f>
        <v/>
      </c>
      <c r="D35" s="17">
        <f>IFERROR(SUM(dados!$AZ$2:$AZ$55)/COUNT(dados!$AZ$2:$AZ$55),"")</f>
        <v/>
      </c>
    </row>
  </sheetData>
  <autoFilter ref="A1:D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</cols>
  <sheetData>
    <row r="1">
      <c r="A1" s="1" t="inlineStr">
        <is>
          <t>place_id</t>
        </is>
      </c>
      <c r="B1" s="1" t="inlineStr">
        <is>
          <t>nome</t>
        </is>
      </c>
      <c r="C1" s="1" t="inlineStr">
        <is>
          <t>metropole</t>
        </is>
      </c>
      <c r="D1" s="1" t="inlineStr">
        <is>
          <t>regiao</t>
        </is>
      </c>
      <c r="E1" s="1" t="inlineStr">
        <is>
          <t>avaliacao_media</t>
        </is>
      </c>
      <c r="F1" s="1" t="inlineStr">
        <is>
          <t>volume_avaliacoes</t>
        </is>
      </c>
      <c r="G1" s="1" t="inlineStr">
        <is>
          <t>dias_abertos</t>
        </is>
      </c>
      <c r="H1" s="1" t="inlineStr">
        <is>
          <t>horas_semana</t>
        </is>
      </c>
      <c r="I1" s="1" t="inlineStr">
        <is>
          <t>abre_cedo_h</t>
        </is>
      </c>
      <c r="J1" s="1" t="inlineStr">
        <is>
          <t>fecha_tarde_h</t>
        </is>
      </c>
      <c r="K1" s="1" t="inlineStr">
        <is>
          <t>metro_500m</t>
        </is>
      </c>
      <c r="L1" s="1" t="inlineStr">
        <is>
          <t>metro_1000m</t>
        </is>
      </c>
      <c r="M1" s="1" t="inlineStr">
        <is>
          <t>dist_metro_m</t>
        </is>
      </c>
      <c r="N1" s="1" t="inlineStr">
        <is>
          <t>shopping_porte_500m</t>
        </is>
      </c>
      <c r="O1" s="1" t="inlineStr">
        <is>
          <t>shopping_porte_1000m</t>
        </is>
      </c>
      <c r="P1" s="1" t="inlineStr">
        <is>
          <t>dist_shopping_m</t>
        </is>
      </c>
      <c r="Q1" s="1" t="inlineStr">
        <is>
          <t>seguidores</t>
        </is>
      </c>
      <c r="R1" s="1" t="inlineStr">
        <is>
          <t>n_posts_total</t>
        </is>
      </c>
      <c r="S1" s="1" t="inlineStr">
        <is>
          <t>idade_perfil_anos</t>
        </is>
      </c>
      <c r="T1" s="1" t="inlineStr">
        <is>
          <t>n_posts_periodo</t>
        </is>
      </c>
      <c r="U1" s="1" t="inlineStr">
        <is>
          <t>curtidas_periodo</t>
        </is>
      </c>
      <c r="V1" s="1" t="inlineStr">
        <is>
          <t>comentarios_periodo</t>
        </is>
      </c>
      <c r="W1" s="1" t="inlineStr">
        <is>
          <t>interacoes_por_post</t>
        </is>
      </c>
      <c r="X1" s="1" t="inlineStr">
        <is>
          <t>engajamento_pct</t>
        </is>
      </c>
      <c r="Y1" s="1" t="inlineStr">
        <is>
          <t>itens_com_preco</t>
        </is>
      </c>
      <c r="Z1" s="1" t="inlineStr">
        <is>
          <t>couvert_mediana</t>
        </is>
      </c>
      <c r="AA1" s="1" t="inlineStr">
        <is>
          <t>bebida_mediana</t>
        </is>
      </c>
      <c r="AB1" s="1" t="inlineStr">
        <is>
          <t>entrada_ou_prato_mediana</t>
        </is>
      </c>
      <c r="AC1" s="1" t="inlineStr">
        <is>
          <t>consumo_baixa</t>
        </is>
      </c>
      <c r="AD1" s="1" t="inlineStr">
        <is>
          <t>consumo_mediana</t>
        </is>
      </c>
      <c r="AE1" s="1" t="inlineStr">
        <is>
          <t>consumo_alta</t>
        </is>
      </c>
      <c r="AF1" s="1" t="inlineStr">
        <is>
          <t>cesta_baixa</t>
        </is>
      </c>
      <c r="AG1" s="1" t="inlineStr">
        <is>
          <t>cesta_mediana</t>
        </is>
      </c>
      <c r="AH1" s="1" t="inlineStr">
        <is>
          <t>cesta_alta</t>
        </is>
      </c>
      <c r="AI1" s="1" t="inlineStr">
        <is>
          <t>hamburguer_mediana</t>
        </is>
      </c>
      <c r="AJ1" s="1" t="inlineStr">
        <is>
          <t>batata_mediana</t>
        </is>
      </c>
      <c r="AK1" s="1" t="inlineStr">
        <is>
          <t>cerveja_mediana</t>
        </is>
      </c>
      <c r="AL1" s="1" t="inlineStr">
        <is>
          <t>refrigerante_mediana</t>
        </is>
      </c>
      <c r="AM1" s="1" t="inlineStr">
        <is>
          <t>drinks_mediana</t>
        </is>
      </c>
      <c r="AN1" s="1" t="inlineStr">
        <is>
          <t>titulos_acervo</t>
        </is>
      </c>
      <c r="AO1" s="1" t="inlineStr">
        <is>
          <t>avaliacoes_b2</t>
        </is>
      </c>
      <c r="AP1" s="1" t="inlineStr">
        <is>
          <t>avaliacoes_b2_com_texto</t>
        </is>
      </c>
      <c r="AQ1" s="1" t="inlineStr">
        <is>
          <t>tem_metro_1000m</t>
        </is>
      </c>
      <c r="AR1" s="1" t="inlineStr">
        <is>
          <t>tem_cardapio</t>
        </is>
      </c>
      <c r="AS1" s="1" t="inlineStr">
        <is>
          <t>cobra_couvert</t>
        </is>
      </c>
      <c r="AT1" s="1" t="inlineStr">
        <is>
          <t>abre_segunda</t>
        </is>
      </c>
      <c r="AU1" s="1" t="inlineStr">
        <is>
          <t>abre_terca</t>
        </is>
      </c>
      <c r="AV1" s="1" t="inlineStr">
        <is>
          <t>abre_quarta</t>
        </is>
      </c>
      <c r="AW1" s="1" t="inlineStr">
        <is>
          <t>abre_quinta</t>
        </is>
      </c>
      <c r="AX1" s="1" t="inlineStr">
        <is>
          <t>abre_sexta</t>
        </is>
      </c>
      <c r="AY1" s="1" t="inlineStr">
        <is>
          <t>abre_sabado</t>
        </is>
      </c>
      <c r="AZ1" s="1" t="inlineStr">
        <is>
          <t>abre_domingo</t>
        </is>
      </c>
    </row>
    <row r="2">
      <c r="A2" s="4" t="inlineStr">
        <is>
          <t>ChIJyXjE650xWpMRJL-J6QbGkt4</t>
        </is>
      </c>
      <c r="B2" s="4" t="inlineStr">
        <is>
          <t>FORTALÚDICA - BURGERS &amp; JOGOS</t>
        </is>
      </c>
      <c r="C2" s="4" t="inlineStr">
        <is>
          <t>Brasília</t>
        </is>
      </c>
      <c r="D2" s="4" t="inlineStr">
        <is>
          <t>Centro-Oeste</t>
        </is>
      </c>
      <c r="E2" s="5" t="n">
        <v>4.8</v>
      </c>
      <c r="F2" s="7" t="n">
        <v>105</v>
      </c>
      <c r="G2" s="9" t="n">
        <v>7</v>
      </c>
      <c r="H2" s="9" t="n">
        <v>46</v>
      </c>
      <c r="I2" s="9" t="n">
        <v>14</v>
      </c>
      <c r="J2" s="9" t="n">
        <v>24</v>
      </c>
      <c r="K2" s="5" t="n">
        <v>0</v>
      </c>
      <c r="L2" s="5" t="n">
        <v>1</v>
      </c>
      <c r="M2" s="7" t="n">
        <v>768</v>
      </c>
      <c r="N2" s="5" t="n"/>
      <c r="O2" s="5" t="n"/>
      <c r="P2" s="7" t="n">
        <v>305</v>
      </c>
      <c r="Q2" s="7" t="n">
        <v>2711</v>
      </c>
      <c r="R2" s="7" t="n">
        <v>185</v>
      </c>
      <c r="S2" s="9" t="n">
        <v>1.26</v>
      </c>
      <c r="T2" s="9" t="n">
        <v>9</v>
      </c>
      <c r="U2" s="7" t="n">
        <v>86</v>
      </c>
      <c r="V2" s="7" t="n">
        <v>11</v>
      </c>
      <c r="W2" s="9" t="n">
        <v>10.78</v>
      </c>
      <c r="X2" s="12" t="n">
        <v>0.00398</v>
      </c>
      <c r="Y2" s="7" t="n">
        <v>51</v>
      </c>
      <c r="Z2" s="14" t="n"/>
      <c r="AA2" s="14" t="n">
        <v>8.5</v>
      </c>
      <c r="AB2" s="14" t="n">
        <v>30</v>
      </c>
      <c r="AC2" s="14" t="n">
        <v>32</v>
      </c>
      <c r="AD2" s="14" t="n">
        <v>38.5</v>
      </c>
      <c r="AE2" s="14" t="n">
        <v>45</v>
      </c>
      <c r="AF2" s="14" t="n"/>
      <c r="AG2" s="14" t="n"/>
      <c r="AH2" s="14" t="n"/>
      <c r="AI2" s="14" t="n">
        <v>32</v>
      </c>
      <c r="AJ2" s="14" t="n">
        <v>15</v>
      </c>
      <c r="AK2" s="14" t="n">
        <v>8</v>
      </c>
      <c r="AL2" s="14" t="n">
        <v>7</v>
      </c>
      <c r="AM2" s="14" t="n"/>
      <c r="AN2" s="7" t="n"/>
      <c r="AO2" s="7" t="n">
        <v>23</v>
      </c>
      <c r="AP2" s="7" t="n">
        <v>15</v>
      </c>
      <c r="AQ2" s="4" t="n">
        <v>1</v>
      </c>
      <c r="AR2" s="4" t="n">
        <v>1</v>
      </c>
      <c r="AS2" s="4" t="n">
        <v>0</v>
      </c>
      <c r="AT2" s="4" t="n">
        <v>1</v>
      </c>
      <c r="AU2" s="4" t="n">
        <v>1</v>
      </c>
      <c r="AV2" s="4" t="n">
        <v>1</v>
      </c>
      <c r="AW2" s="4" t="n">
        <v>1</v>
      </c>
      <c r="AX2" s="4" t="n">
        <v>1</v>
      </c>
      <c r="AY2" s="4" t="n">
        <v>1</v>
      </c>
      <c r="AZ2" s="4" t="n">
        <v>1</v>
      </c>
    </row>
    <row r="3">
      <c r="A3" s="4" t="inlineStr">
        <is>
          <t>ChIJ172cu2U7WpMR-GxnGmUHCkc</t>
        </is>
      </c>
      <c r="B3" s="4" t="inlineStr">
        <is>
          <t>Gruta BSB</t>
        </is>
      </c>
      <c r="C3" s="4" t="inlineStr">
        <is>
          <t>Brasília</t>
        </is>
      </c>
      <c r="D3" s="4" t="inlineStr">
        <is>
          <t>Centro-Oeste</t>
        </is>
      </c>
      <c r="E3" s="5" t="n">
        <v>4.9</v>
      </c>
      <c r="F3" s="7" t="n">
        <v>112</v>
      </c>
      <c r="G3" s="9" t="n">
        <v>5</v>
      </c>
      <c r="H3" s="9" t="n">
        <v>30</v>
      </c>
      <c r="I3" s="9" t="n">
        <v>14</v>
      </c>
      <c r="J3" s="9" t="n">
        <v>23</v>
      </c>
      <c r="K3" s="5" t="n">
        <v>0</v>
      </c>
      <c r="L3" s="5" t="n">
        <v>0</v>
      </c>
      <c r="M3" s="7" t="n"/>
      <c r="N3" s="5" t="n"/>
      <c r="O3" s="5" t="n"/>
      <c r="P3" s="7" t="n">
        <v>76</v>
      </c>
      <c r="Q3" s="7" t="n">
        <v>7631</v>
      </c>
      <c r="R3" s="7" t="n">
        <v>897</v>
      </c>
      <c r="S3" s="9" t="n">
        <v>5.63</v>
      </c>
      <c r="T3" s="9" t="n">
        <v>17</v>
      </c>
      <c r="U3" s="7" t="n">
        <v>450</v>
      </c>
      <c r="V3" s="7" t="n">
        <v>9</v>
      </c>
      <c r="W3" s="9" t="n">
        <v>27</v>
      </c>
      <c r="X3" s="12" t="n">
        <v>0.00354</v>
      </c>
      <c r="Y3" s="7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7" t="n"/>
      <c r="AO3" s="7" t="n">
        <v>12</v>
      </c>
      <c r="AP3" s="7" t="n">
        <v>8</v>
      </c>
      <c r="AQ3" s="4" t="n">
        <v>0</v>
      </c>
      <c r="AR3" s="4" t="n">
        <v>0</v>
      </c>
      <c r="AS3" s="4" t="n"/>
      <c r="AT3" s="4" t="n">
        <v>0</v>
      </c>
      <c r="AU3" s="4" t="n">
        <v>1</v>
      </c>
      <c r="AV3" s="4" t="n">
        <v>1</v>
      </c>
      <c r="AW3" s="4" t="n">
        <v>1</v>
      </c>
      <c r="AX3" s="4" t="n">
        <v>1</v>
      </c>
      <c r="AY3" s="4" t="n">
        <v>1</v>
      </c>
      <c r="AZ3" s="4" t="n">
        <v>0</v>
      </c>
    </row>
    <row r="4">
      <c r="A4" s="4" t="inlineStr">
        <is>
          <t>ChIJdUv4La46WpMRnBvNknmOqWo</t>
        </is>
      </c>
      <c r="B4" s="4" t="inlineStr">
        <is>
          <t>Inside Games</t>
        </is>
      </c>
      <c r="C4" s="4" t="inlineStr">
        <is>
          <t>Brasília</t>
        </is>
      </c>
      <c r="D4" s="4" t="inlineStr">
        <is>
          <t>Centro-Oeste</t>
        </is>
      </c>
      <c r="E4" s="5" t="n">
        <v>4.6</v>
      </c>
      <c r="F4" s="7" t="n">
        <v>640</v>
      </c>
      <c r="G4" s="9" t="n">
        <v>6</v>
      </c>
      <c r="H4" s="9" t="n">
        <v>64</v>
      </c>
      <c r="I4" s="9" t="n">
        <v>12</v>
      </c>
      <c r="J4" s="9" t="n">
        <v>24</v>
      </c>
      <c r="K4" s="5" t="n">
        <v>0</v>
      </c>
      <c r="L4" s="5" t="n">
        <v>2</v>
      </c>
      <c r="M4" s="7" t="n">
        <v>702</v>
      </c>
      <c r="N4" s="5" t="n"/>
      <c r="O4" s="5" t="n"/>
      <c r="P4" s="7" t="n"/>
      <c r="Q4" s="7" t="n">
        <v>6058</v>
      </c>
      <c r="R4" s="7" t="n">
        <v>2542</v>
      </c>
      <c r="S4" s="9" t="n">
        <v>9.33</v>
      </c>
      <c r="T4" s="9" t="n">
        <v>39</v>
      </c>
      <c r="U4" s="7" t="n">
        <v>193</v>
      </c>
      <c r="V4" s="7" t="n">
        <v>2</v>
      </c>
      <c r="W4" s="9" t="n">
        <v>5</v>
      </c>
      <c r="X4" s="12" t="n">
        <v>0.00083</v>
      </c>
      <c r="Y4" s="7" t="n">
        <v>24</v>
      </c>
      <c r="Z4" s="14" t="n"/>
      <c r="AA4" s="14" t="n">
        <v>6</v>
      </c>
      <c r="AB4" s="14" t="n">
        <v>6</v>
      </c>
      <c r="AC4" s="14" t="n">
        <v>11</v>
      </c>
      <c r="AD4" s="14" t="n">
        <v>12</v>
      </c>
      <c r="AE4" s="14" t="n">
        <v>15.5</v>
      </c>
      <c r="AF4" s="14" t="n"/>
      <c r="AG4" s="14" t="n"/>
      <c r="AH4" s="14" t="n"/>
      <c r="AI4" s="14" t="n"/>
      <c r="AJ4" s="14" t="n"/>
      <c r="AK4" s="14" t="n">
        <v>8</v>
      </c>
      <c r="AL4" s="14" t="n">
        <v>5</v>
      </c>
      <c r="AM4" s="14" t="n"/>
      <c r="AN4" s="7" t="n"/>
      <c r="AO4" s="7" t="n">
        <v>12</v>
      </c>
      <c r="AP4" s="7" t="n">
        <v>6</v>
      </c>
      <c r="AQ4" s="4" t="n">
        <v>1</v>
      </c>
      <c r="AR4" s="4" t="n">
        <v>1</v>
      </c>
      <c r="AS4" s="4" t="n">
        <v>0</v>
      </c>
      <c r="AT4" s="4" t="n">
        <v>0</v>
      </c>
      <c r="AU4" s="4" t="n">
        <v>1</v>
      </c>
      <c r="AV4" s="4" t="n">
        <v>1</v>
      </c>
      <c r="AW4" s="4" t="n">
        <v>1</v>
      </c>
      <c r="AX4" s="4" t="n">
        <v>1</v>
      </c>
      <c r="AY4" s="4" t="n">
        <v>1</v>
      </c>
      <c r="AZ4" s="4" t="n">
        <v>1</v>
      </c>
    </row>
    <row r="5">
      <c r="A5" s="4" t="inlineStr">
        <is>
          <t>ChIJzdFNP3AyWpMRH2P6HEuhE-I</t>
        </is>
      </c>
      <c r="B5" s="4" t="inlineStr">
        <is>
          <t>Loja de Jogos - Asgard</t>
        </is>
      </c>
      <c r="C5" s="4" t="inlineStr">
        <is>
          <t>Brasília</t>
        </is>
      </c>
      <c r="D5" s="4" t="inlineStr">
        <is>
          <t>Centro-Oeste</t>
        </is>
      </c>
      <c r="E5" s="5" t="n">
        <v>4.7</v>
      </c>
      <c r="F5" s="7" t="n">
        <v>754</v>
      </c>
      <c r="G5" s="9" t="n">
        <v>7</v>
      </c>
      <c r="H5" s="9" t="n">
        <v>63</v>
      </c>
      <c r="I5" s="9" t="n">
        <v>14</v>
      </c>
      <c r="J5" s="9" t="n">
        <v>23</v>
      </c>
      <c r="K5" s="5" t="n">
        <v>1</v>
      </c>
      <c r="L5" s="5" t="n">
        <v>1</v>
      </c>
      <c r="M5" s="7" t="n">
        <v>430</v>
      </c>
      <c r="N5" s="5" t="n"/>
      <c r="O5" s="5" t="n"/>
      <c r="P5" s="7" t="n">
        <v>169</v>
      </c>
      <c r="Q5" s="7" t="n">
        <v>7305</v>
      </c>
      <c r="R5" s="7" t="n">
        <v>608</v>
      </c>
      <c r="S5" s="9" t="n">
        <v>9.02</v>
      </c>
      <c r="T5" s="9" t="n">
        <v>1</v>
      </c>
      <c r="U5" s="7" t="n">
        <v>15</v>
      </c>
      <c r="V5" s="7" t="n">
        <v>0</v>
      </c>
      <c r="W5" s="9" t="n">
        <v>15</v>
      </c>
      <c r="X5" s="12" t="n">
        <v>0.00205</v>
      </c>
      <c r="Y5" s="7" t="n">
        <v>39</v>
      </c>
      <c r="Z5" s="14" t="n">
        <v>17.5</v>
      </c>
      <c r="AA5" s="14" t="n">
        <v>17</v>
      </c>
      <c r="AB5" s="14" t="n">
        <v>33</v>
      </c>
      <c r="AC5" s="14" t="n">
        <v>40.75</v>
      </c>
      <c r="AD5" s="14" t="n">
        <v>50</v>
      </c>
      <c r="AE5" s="14" t="n">
        <v>60.25</v>
      </c>
      <c r="AF5" s="14" t="n">
        <v>54.5</v>
      </c>
      <c r="AG5" s="14" t="n">
        <v>67.5</v>
      </c>
      <c r="AH5" s="14" t="n">
        <v>81.5</v>
      </c>
      <c r="AI5" s="14" t="n">
        <v>45</v>
      </c>
      <c r="AJ5" s="14" t="n">
        <v>30.5</v>
      </c>
      <c r="AK5" s="14" t="n">
        <v>12</v>
      </c>
      <c r="AL5" s="14" t="n">
        <v>6</v>
      </c>
      <c r="AM5" s="14" t="n">
        <v>22</v>
      </c>
      <c r="AN5" s="7" t="n">
        <v>150</v>
      </c>
      <c r="AO5" s="7" t="n">
        <v>11</v>
      </c>
      <c r="AP5" s="7" t="n">
        <v>4</v>
      </c>
      <c r="AQ5" s="4" t="n">
        <v>1</v>
      </c>
      <c r="AR5" s="4" t="n">
        <v>1</v>
      </c>
      <c r="AS5" s="4" t="n">
        <v>1</v>
      </c>
      <c r="AT5" s="4" t="n">
        <v>1</v>
      </c>
      <c r="AU5" s="4" t="n">
        <v>1</v>
      </c>
      <c r="AV5" s="4" t="n">
        <v>1</v>
      </c>
      <c r="AW5" s="4" t="n">
        <v>1</v>
      </c>
      <c r="AX5" s="4" t="n">
        <v>1</v>
      </c>
      <c r="AY5" s="4" t="n">
        <v>1</v>
      </c>
      <c r="AZ5" s="4" t="n">
        <v>1</v>
      </c>
    </row>
    <row r="6">
      <c r="A6" s="4" t="inlineStr">
        <is>
          <t>ChIJ15nLgwAwWpMRY1whwD29ZSo</t>
        </is>
      </c>
      <c r="B6" s="4" t="inlineStr">
        <is>
          <t>Ludoteca BGC</t>
        </is>
      </c>
      <c r="C6" s="4" t="inlineStr">
        <is>
          <t>Brasília</t>
        </is>
      </c>
      <c r="D6" s="4" t="inlineStr">
        <is>
          <t>Centro-Oeste</t>
        </is>
      </c>
      <c r="E6" s="5" t="n">
        <v>4.7</v>
      </c>
      <c r="F6" s="7" t="n">
        <v>1379</v>
      </c>
      <c r="G6" s="9" t="n">
        <v>6</v>
      </c>
      <c r="H6" s="9" t="n">
        <v>63</v>
      </c>
      <c r="I6" s="9" t="n">
        <v>12</v>
      </c>
      <c r="J6" s="9" t="n">
        <v>23.5</v>
      </c>
      <c r="K6" s="5" t="n">
        <v>2</v>
      </c>
      <c r="L6" s="5" t="n">
        <v>2</v>
      </c>
      <c r="M6" s="7" t="n">
        <v>465</v>
      </c>
      <c r="N6" s="5" t="n"/>
      <c r="O6" s="5" t="n"/>
      <c r="P6" s="7" t="n">
        <v>747</v>
      </c>
      <c r="Q6" s="7" t="n">
        <v>15000</v>
      </c>
      <c r="R6" s="7" t="n">
        <v>820</v>
      </c>
      <c r="S6" s="9" t="n">
        <v>10.37</v>
      </c>
      <c r="T6" s="9" t="n">
        <v>13</v>
      </c>
      <c r="U6" s="7" t="n">
        <v>144</v>
      </c>
      <c r="V6" s="7" t="n">
        <v>10</v>
      </c>
      <c r="W6" s="9" t="n">
        <v>11.85</v>
      </c>
      <c r="X6" s="12" t="n">
        <v>0.00079</v>
      </c>
      <c r="Y6" s="7" t="n">
        <v>60</v>
      </c>
      <c r="Z6" s="14" t="n"/>
      <c r="AA6" s="14" t="n">
        <v>9</v>
      </c>
      <c r="AB6" s="14" t="n">
        <v>31</v>
      </c>
      <c r="AC6" s="14" t="n">
        <v>34.75</v>
      </c>
      <c r="AD6" s="14" t="n">
        <v>40</v>
      </c>
      <c r="AE6" s="14" t="n">
        <v>46.75</v>
      </c>
      <c r="AF6" s="14" t="n"/>
      <c r="AG6" s="14" t="n"/>
      <c r="AH6" s="14" t="n"/>
      <c r="AI6" s="14" t="n"/>
      <c r="AJ6" s="14" t="n"/>
      <c r="AK6" s="14" t="n">
        <v>8.5</v>
      </c>
      <c r="AL6" s="14" t="n">
        <v>6</v>
      </c>
      <c r="AM6" s="14" t="n">
        <v>14</v>
      </c>
      <c r="AN6" s="7" t="n">
        <v>952</v>
      </c>
      <c r="AO6" s="7" t="n">
        <v>24</v>
      </c>
      <c r="AP6" s="7" t="n">
        <v>13</v>
      </c>
      <c r="AQ6" s="4" t="n">
        <v>1</v>
      </c>
      <c r="AR6" s="4" t="n">
        <v>1</v>
      </c>
      <c r="AS6" s="4" t="n">
        <v>0</v>
      </c>
      <c r="AT6" s="4" t="n">
        <v>0</v>
      </c>
      <c r="AU6" s="4" t="n">
        <v>1</v>
      </c>
      <c r="AV6" s="4" t="n">
        <v>1</v>
      </c>
      <c r="AW6" s="4" t="n">
        <v>1</v>
      </c>
      <c r="AX6" s="4" t="n">
        <v>1</v>
      </c>
      <c r="AY6" s="4" t="n">
        <v>1</v>
      </c>
      <c r="AZ6" s="4" t="n">
        <v>1</v>
      </c>
    </row>
    <row r="7">
      <c r="A7" s="4" t="inlineStr">
        <is>
          <t>ChIJN8BZeb85WpMRgVKT05caxB4</t>
        </is>
      </c>
      <c r="B7" s="4" t="inlineStr">
        <is>
          <t>Utopia Games &amp; Food</t>
        </is>
      </c>
      <c r="C7" s="4" t="inlineStr">
        <is>
          <t>Brasília</t>
        </is>
      </c>
      <c r="D7" s="4" t="inlineStr">
        <is>
          <t>Centro-Oeste</t>
        </is>
      </c>
      <c r="E7" s="5" t="n">
        <v>4.8</v>
      </c>
      <c r="F7" s="7" t="n">
        <v>159</v>
      </c>
      <c r="G7" s="9" t="n">
        <v>6</v>
      </c>
      <c r="H7" s="9" t="n">
        <v>44</v>
      </c>
      <c r="I7" s="9" t="n">
        <v>14</v>
      </c>
      <c r="J7" s="9" t="n">
        <v>24</v>
      </c>
      <c r="K7" s="5" t="n">
        <v>0</v>
      </c>
      <c r="L7" s="5" t="n">
        <v>0</v>
      </c>
      <c r="M7" s="7" t="n"/>
      <c r="N7" s="5" t="n"/>
      <c r="O7" s="5" t="n"/>
      <c r="P7" s="7" t="n">
        <v>162</v>
      </c>
      <c r="Q7" s="7" t="n">
        <v>2824</v>
      </c>
      <c r="R7" s="7" t="n">
        <v>208</v>
      </c>
      <c r="S7" s="9" t="n">
        <v>2.67</v>
      </c>
      <c r="T7" s="9" t="n">
        <v>27</v>
      </c>
      <c r="U7" s="7" t="n">
        <v>997</v>
      </c>
      <c r="V7" s="7" t="n">
        <v>64</v>
      </c>
      <c r="W7" s="9" t="n">
        <v>39.3</v>
      </c>
      <c r="X7" s="12" t="n">
        <v>0.01392</v>
      </c>
      <c r="Y7" s="7" t="n">
        <v>32</v>
      </c>
      <c r="Z7" s="14" t="n"/>
      <c r="AA7" s="14" t="n">
        <v>7</v>
      </c>
      <c r="AB7" s="14" t="n">
        <v>50</v>
      </c>
      <c r="AC7" s="14" t="n">
        <v>55</v>
      </c>
      <c r="AD7" s="14" t="n">
        <v>57</v>
      </c>
      <c r="AE7" s="14" t="n">
        <v>84.5</v>
      </c>
      <c r="AF7" s="14" t="n"/>
      <c r="AG7" s="14" t="n"/>
      <c r="AH7" s="14" t="n"/>
      <c r="AI7" s="14" t="n"/>
      <c r="AJ7" s="14" t="n">
        <v>25.5</v>
      </c>
      <c r="AK7" s="14" t="n">
        <v>11</v>
      </c>
      <c r="AL7" s="14" t="n">
        <v>6</v>
      </c>
      <c r="AM7" s="14" t="n"/>
      <c r="AN7" s="7" t="n"/>
      <c r="AO7" s="7" t="n">
        <v>31</v>
      </c>
      <c r="AP7" s="7" t="n">
        <v>22</v>
      </c>
      <c r="AQ7" s="4" t="n">
        <v>0</v>
      </c>
      <c r="AR7" s="4" t="n">
        <v>1</v>
      </c>
      <c r="AS7" s="4" t="n">
        <v>0</v>
      </c>
      <c r="AT7" s="4" t="n">
        <v>0</v>
      </c>
      <c r="AU7" s="4" t="n">
        <v>1</v>
      </c>
      <c r="AV7" s="4" t="n">
        <v>1</v>
      </c>
      <c r="AW7" s="4" t="n">
        <v>1</v>
      </c>
      <c r="AX7" s="4" t="n">
        <v>1</v>
      </c>
      <c r="AY7" s="4" t="n">
        <v>1</v>
      </c>
      <c r="AZ7" s="4" t="n">
        <v>1</v>
      </c>
    </row>
    <row r="8">
      <c r="A8" s="4" t="inlineStr">
        <is>
          <t>ChIJ89uEICDxXpMRdaEvN0XiWK0</t>
        </is>
      </c>
      <c r="B8" s="4" t="inlineStr">
        <is>
          <t>Paladins Game Store</t>
        </is>
      </c>
      <c r="C8" s="4" t="inlineStr">
        <is>
          <t>Goiânia</t>
        </is>
      </c>
      <c r="D8" s="4" t="inlineStr">
        <is>
          <t>Centro-Oeste</t>
        </is>
      </c>
      <c r="E8" s="5" t="n">
        <v>4.7</v>
      </c>
      <c r="F8" s="7" t="n">
        <v>906</v>
      </c>
      <c r="G8" s="9" t="n">
        <v>7</v>
      </c>
      <c r="H8" s="9" t="n">
        <v>70</v>
      </c>
      <c r="I8" s="9" t="n">
        <v>10</v>
      </c>
      <c r="J8" s="9" t="n">
        <v>22</v>
      </c>
      <c r="K8" s="5" t="n">
        <v>0</v>
      </c>
      <c r="L8" s="5" t="n">
        <v>0</v>
      </c>
      <c r="M8" s="7" t="n"/>
      <c r="N8" s="5" t="n"/>
      <c r="O8" s="5" t="n"/>
      <c r="P8" s="7" t="n">
        <v>5</v>
      </c>
      <c r="Q8" s="7" t="n">
        <v>9690</v>
      </c>
      <c r="R8" s="7" t="n">
        <v>1376</v>
      </c>
      <c r="S8" s="9" t="n">
        <v>11.71</v>
      </c>
      <c r="T8" s="9" t="n">
        <v>1</v>
      </c>
      <c r="U8" s="7" t="n">
        <v>154</v>
      </c>
      <c r="V8" s="7" t="n">
        <v>3</v>
      </c>
      <c r="W8" s="9" t="n">
        <v>157</v>
      </c>
      <c r="X8" s="12" t="n">
        <v>0.0162</v>
      </c>
      <c r="Y8" s="7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7" t="n">
        <v>214</v>
      </c>
      <c r="AO8" s="7" t="n">
        <v>14</v>
      </c>
      <c r="AP8" s="7" t="n">
        <v>7</v>
      </c>
      <c r="AQ8" s="4" t="n">
        <v>0</v>
      </c>
      <c r="AR8" s="4" t="n">
        <v>0</v>
      </c>
      <c r="AS8" s="4" t="n"/>
      <c r="AT8" s="4" t="n">
        <v>1</v>
      </c>
      <c r="AU8" s="4" t="n">
        <v>1</v>
      </c>
      <c r="AV8" s="4" t="n">
        <v>1</v>
      </c>
      <c r="AW8" s="4" t="n">
        <v>1</v>
      </c>
      <c r="AX8" s="4" t="n">
        <v>1</v>
      </c>
      <c r="AY8" s="4" t="n">
        <v>1</v>
      </c>
      <c r="AZ8" s="4" t="n">
        <v>1</v>
      </c>
    </row>
    <row r="9">
      <c r="A9" s="4" t="inlineStr">
        <is>
          <t>ChIJ0yXbI35IxwcR0_jLi-uINUU</t>
        </is>
      </c>
      <c r="B9" s="4" t="inlineStr">
        <is>
          <t>Balboa's Hobby Games</t>
        </is>
      </c>
      <c r="C9" s="4" t="inlineStr">
        <is>
          <t>Fortaleza</t>
        </is>
      </c>
      <c r="D9" s="4" t="inlineStr">
        <is>
          <t>Nordeste</t>
        </is>
      </c>
      <c r="E9" s="5" t="n">
        <v>4.8</v>
      </c>
      <c r="F9" s="7" t="n">
        <v>881</v>
      </c>
      <c r="G9" s="9" t="n">
        <v>5</v>
      </c>
      <c r="H9" s="9" t="n">
        <v>27</v>
      </c>
      <c r="I9" s="9" t="n">
        <v>15</v>
      </c>
      <c r="J9" s="9" t="n">
        <v>22</v>
      </c>
      <c r="K9" s="5" t="n">
        <v>0</v>
      </c>
      <c r="L9" s="5" t="n">
        <v>0</v>
      </c>
      <c r="M9" s="7" t="n"/>
      <c r="N9" s="5" t="n"/>
      <c r="O9" s="5" t="n"/>
      <c r="P9" s="7" t="n">
        <v>228</v>
      </c>
      <c r="Q9" s="7" t="n">
        <v>21318</v>
      </c>
      <c r="R9" s="7" t="n">
        <v>1724</v>
      </c>
      <c r="S9" s="9" t="n">
        <v>12.37</v>
      </c>
      <c r="T9" s="9" t="n">
        <v>22</v>
      </c>
      <c r="U9" s="7" t="n">
        <v>2323</v>
      </c>
      <c r="V9" s="7" t="n">
        <v>108</v>
      </c>
      <c r="W9" s="9" t="n">
        <v>110.5</v>
      </c>
      <c r="X9" s="12" t="n">
        <v>0.00518</v>
      </c>
      <c r="Y9" s="7" t="n">
        <v>36</v>
      </c>
      <c r="Z9" s="14" t="n"/>
      <c r="AA9" s="14" t="n">
        <v>8</v>
      </c>
      <c r="AB9" s="14" t="n">
        <v>30</v>
      </c>
      <c r="AC9" s="14" t="n">
        <v>35</v>
      </c>
      <c r="AD9" s="14" t="n">
        <v>38</v>
      </c>
      <c r="AE9" s="14" t="n">
        <v>45</v>
      </c>
      <c r="AF9" s="14" t="n"/>
      <c r="AG9" s="14" t="n"/>
      <c r="AH9" s="14" t="n"/>
      <c r="AI9" s="14" t="n">
        <v>29.5</v>
      </c>
      <c r="AJ9" s="14" t="n">
        <v>26.5</v>
      </c>
      <c r="AK9" s="14" t="n">
        <v>15</v>
      </c>
      <c r="AL9" s="14" t="n">
        <v>7.5</v>
      </c>
      <c r="AM9" s="14" t="n">
        <v>15</v>
      </c>
      <c r="AN9" s="7" t="n">
        <v>1833</v>
      </c>
      <c r="AO9" s="7" t="n">
        <v>15</v>
      </c>
      <c r="AP9" s="7" t="n">
        <v>9</v>
      </c>
      <c r="AQ9" s="4" t="n">
        <v>0</v>
      </c>
      <c r="AR9" s="4" t="n">
        <v>1</v>
      </c>
      <c r="AS9" s="4" t="n">
        <v>0</v>
      </c>
      <c r="AT9" s="4" t="n">
        <v>0</v>
      </c>
      <c r="AU9" s="4" t="n">
        <v>0</v>
      </c>
      <c r="AV9" s="4" t="n">
        <v>1</v>
      </c>
      <c r="AW9" s="4" t="n">
        <v>1</v>
      </c>
      <c r="AX9" s="4" t="n">
        <v>1</v>
      </c>
      <c r="AY9" s="4" t="n">
        <v>1</v>
      </c>
      <c r="AZ9" s="4" t="n">
        <v>1</v>
      </c>
    </row>
    <row r="10">
      <c r="A10" s="4" t="inlineStr">
        <is>
          <t>ChIJQURqeMZJxwcR95O-XLbS2mk</t>
        </is>
      </c>
      <c r="B10" s="4" t="inlineStr">
        <is>
          <t>Dominaria Cards &amp; Games</t>
        </is>
      </c>
      <c r="C10" s="4" t="inlineStr">
        <is>
          <t>Fortaleza</t>
        </is>
      </c>
      <c r="D10" s="4" t="inlineStr">
        <is>
          <t>Nordeste</t>
        </is>
      </c>
      <c r="E10" s="5" t="n">
        <v>4.7</v>
      </c>
      <c r="F10" s="7" t="n">
        <v>305</v>
      </c>
      <c r="G10" s="9" t="n">
        <v>7</v>
      </c>
      <c r="H10" s="9" t="n">
        <v>77</v>
      </c>
      <c r="I10" s="9" t="n">
        <v>8</v>
      </c>
      <c r="J10" s="9" t="n">
        <v>21</v>
      </c>
      <c r="K10" s="5" t="n">
        <v>1</v>
      </c>
      <c r="L10" s="5" t="n">
        <v>2</v>
      </c>
      <c r="M10" s="7" t="n">
        <v>95</v>
      </c>
      <c r="N10" s="5" t="n"/>
      <c r="O10" s="5" t="n"/>
      <c r="P10" s="7" t="n">
        <v>96</v>
      </c>
      <c r="Q10" s="7" t="n"/>
      <c r="R10" s="7" t="n"/>
      <c r="S10" s="9" t="n"/>
      <c r="T10" s="9" t="n"/>
      <c r="U10" s="7" t="n"/>
      <c r="V10" s="7" t="n"/>
      <c r="W10" s="9" t="n"/>
      <c r="X10" s="12" t="n"/>
      <c r="Y10" s="7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7" t="n"/>
      <c r="AO10" s="7" t="n">
        <v>19</v>
      </c>
      <c r="AP10" s="7" t="n">
        <v>14</v>
      </c>
      <c r="AQ10" s="4" t="n">
        <v>1</v>
      </c>
      <c r="AR10" s="4" t="n">
        <v>0</v>
      </c>
      <c r="AS10" s="4" t="n"/>
      <c r="AT10" s="4" t="n">
        <v>1</v>
      </c>
      <c r="AU10" s="4" t="n">
        <v>1</v>
      </c>
      <c r="AV10" s="4" t="n">
        <v>1</v>
      </c>
      <c r="AW10" s="4" t="n">
        <v>1</v>
      </c>
      <c r="AX10" s="4" t="n">
        <v>1</v>
      </c>
      <c r="AY10" s="4" t="n">
        <v>1</v>
      </c>
      <c r="AZ10" s="4" t="n">
        <v>1</v>
      </c>
    </row>
    <row r="11">
      <c r="A11" s="4" t="inlineStr">
        <is>
          <t>ChIJRUjwU66WoGgRzc9yJU7jkwM</t>
        </is>
      </c>
      <c r="B11" s="4" t="inlineStr">
        <is>
          <t>Nala Land - Bar de Jogos de Tabuleiro em Recife</t>
        </is>
      </c>
      <c r="C11" s="4" t="inlineStr">
        <is>
          <t>Recife</t>
        </is>
      </c>
      <c r="D11" s="4" t="inlineStr">
        <is>
          <t>Nordeste</t>
        </is>
      </c>
      <c r="E11" s="5" t="n">
        <v>4.9</v>
      </c>
      <c r="F11" s="7" t="n">
        <v>206</v>
      </c>
      <c r="G11" s="9" t="n">
        <v>4</v>
      </c>
      <c r="H11" s="9" t="n">
        <v>28</v>
      </c>
      <c r="I11" s="9" t="n">
        <v>14</v>
      </c>
      <c r="J11" s="9" t="n">
        <v>24</v>
      </c>
      <c r="K11" s="5" t="n">
        <v>0</v>
      </c>
      <c r="L11" s="5" t="n">
        <v>0</v>
      </c>
      <c r="M11" s="7" t="n"/>
      <c r="N11" s="5" t="n"/>
      <c r="O11" s="5" t="n"/>
      <c r="P11" s="7" t="n"/>
      <c r="Q11" s="7" t="n">
        <v>27673</v>
      </c>
      <c r="R11" s="7" t="n">
        <v>655</v>
      </c>
      <c r="S11" s="9" t="n">
        <v>5.4</v>
      </c>
      <c r="T11" s="9" t="n">
        <v>17</v>
      </c>
      <c r="U11" s="7" t="n">
        <v>1058</v>
      </c>
      <c r="V11" s="7" t="n">
        <v>114</v>
      </c>
      <c r="W11" s="9" t="n">
        <v>68.94</v>
      </c>
      <c r="X11" s="12" t="n">
        <v>0.00249</v>
      </c>
      <c r="Y11" s="7" t="n">
        <v>28</v>
      </c>
      <c r="Z11" s="14" t="n">
        <v>25</v>
      </c>
      <c r="AA11" s="14" t="n">
        <v>12</v>
      </c>
      <c r="AB11" s="14" t="n">
        <v>22</v>
      </c>
      <c r="AC11" s="14" t="n">
        <v>29.5</v>
      </c>
      <c r="AD11" s="14" t="n">
        <v>34</v>
      </c>
      <c r="AE11" s="14" t="n">
        <v>37.5</v>
      </c>
      <c r="AF11" s="14" t="n">
        <v>52</v>
      </c>
      <c r="AG11" s="14" t="n">
        <v>59</v>
      </c>
      <c r="AH11" s="14" t="n">
        <v>62.5</v>
      </c>
      <c r="AI11" s="14" t="n">
        <v>34</v>
      </c>
      <c r="AJ11" s="14" t="n">
        <v>19</v>
      </c>
      <c r="AK11" s="14" t="n">
        <v>12</v>
      </c>
      <c r="AL11" s="14" t="n"/>
      <c r="AM11" s="14" t="n"/>
      <c r="AN11" s="7" t="n">
        <v>312</v>
      </c>
      <c r="AO11" s="7" t="n">
        <v>10</v>
      </c>
      <c r="AP11" s="7" t="n">
        <v>7</v>
      </c>
      <c r="AQ11" s="4" t="n">
        <v>0</v>
      </c>
      <c r="AR11" s="4" t="n">
        <v>1</v>
      </c>
      <c r="AS11" s="4" t="n">
        <v>1</v>
      </c>
      <c r="AT11" s="4" t="n">
        <v>0</v>
      </c>
      <c r="AU11" s="4" t="n">
        <v>0</v>
      </c>
      <c r="AV11" s="4" t="n">
        <v>0</v>
      </c>
      <c r="AW11" s="4" t="n">
        <v>1</v>
      </c>
      <c r="AX11" s="4" t="n">
        <v>1</v>
      </c>
      <c r="AY11" s="4" t="n">
        <v>1</v>
      </c>
      <c r="AZ11" s="4" t="n">
        <v>1</v>
      </c>
    </row>
    <row r="12">
      <c r="A12" s="4" t="inlineStr">
        <is>
          <t>ChIJoTlvBfMbFgcRHvuCKHBQrXQ</t>
        </is>
      </c>
      <c r="B12" s="4" t="inlineStr">
        <is>
          <t>São Jogue - Bela Vista</t>
        </is>
      </c>
      <c r="C12" s="4" t="inlineStr">
        <is>
          <t>Salvador</t>
        </is>
      </c>
      <c r="D12" s="4" t="inlineStr">
        <is>
          <t>Nordeste</t>
        </is>
      </c>
      <c r="E12" s="5" t="n">
        <v>4.8</v>
      </c>
      <c r="F12" s="7" t="n">
        <v>787</v>
      </c>
      <c r="G12" s="9" t="n">
        <v>7</v>
      </c>
      <c r="H12" s="9" t="n">
        <v>68</v>
      </c>
      <c r="I12" s="9" t="n">
        <v>12</v>
      </c>
      <c r="J12" s="9" t="n">
        <v>22</v>
      </c>
      <c r="K12" s="5" t="n">
        <v>1</v>
      </c>
      <c r="L12" s="5" t="n">
        <v>2</v>
      </c>
      <c r="M12" s="7" t="n">
        <v>387</v>
      </c>
      <c r="N12" s="5" t="n"/>
      <c r="O12" s="5" t="n"/>
      <c r="P12" s="7" t="n">
        <v>118</v>
      </c>
      <c r="Q12" s="7" t="n">
        <v>38492</v>
      </c>
      <c r="R12" s="7" t="n">
        <v>2036</v>
      </c>
      <c r="S12" s="9" t="n">
        <v>8.91</v>
      </c>
      <c r="T12" s="9" t="n">
        <v>26</v>
      </c>
      <c r="U12" s="7" t="n">
        <v>8448</v>
      </c>
      <c r="V12" s="7" t="n">
        <v>251</v>
      </c>
      <c r="W12" s="9" t="n">
        <v>334.58</v>
      </c>
      <c r="X12" s="12" t="n">
        <v>0.00869</v>
      </c>
      <c r="Y12" s="7" t="n">
        <v>56</v>
      </c>
      <c r="Z12" s="14" t="n"/>
      <c r="AA12" s="14" t="n">
        <v>16</v>
      </c>
      <c r="AB12" s="14" t="n">
        <v>32.5</v>
      </c>
      <c r="AC12" s="14" t="n">
        <v>36.25</v>
      </c>
      <c r="AD12" s="14" t="n">
        <v>48.5</v>
      </c>
      <c r="AE12" s="14" t="n">
        <v>60.5</v>
      </c>
      <c r="AF12" s="14" t="n"/>
      <c r="AG12" s="14" t="n"/>
      <c r="AH12" s="14" t="n"/>
      <c r="AI12" s="14" t="n">
        <v>45</v>
      </c>
      <c r="AJ12" s="14" t="n">
        <v>35</v>
      </c>
      <c r="AK12" s="14" t="n">
        <v>12</v>
      </c>
      <c r="AL12" s="14" t="n">
        <v>8.9</v>
      </c>
      <c r="AM12" s="14" t="n">
        <v>28</v>
      </c>
      <c r="AN12" s="7" t="n">
        <v>370</v>
      </c>
      <c r="AO12" s="7" t="n">
        <v>5</v>
      </c>
      <c r="AP12" s="7" t="n">
        <v>4</v>
      </c>
      <c r="AQ12" s="4" t="n">
        <v>1</v>
      </c>
      <c r="AR12" s="4" t="n">
        <v>1</v>
      </c>
      <c r="AS12" s="4" t="n">
        <v>0</v>
      </c>
      <c r="AT12" s="4" t="n">
        <v>1</v>
      </c>
      <c r="AU12" s="4" t="n">
        <v>1</v>
      </c>
      <c r="AV12" s="4" t="n">
        <v>1</v>
      </c>
      <c r="AW12" s="4" t="n">
        <v>1</v>
      </c>
      <c r="AX12" s="4" t="n">
        <v>1</v>
      </c>
      <c r="AY12" s="4" t="n">
        <v>1</v>
      </c>
      <c r="AZ12" s="4" t="n">
        <v>1</v>
      </c>
    </row>
    <row r="13">
      <c r="A13" s="4" t="inlineStr">
        <is>
          <t>ChIJ-97tiEeNpJIRb_eV7a-sxBs</t>
        </is>
      </c>
      <c r="B13" s="4" t="inlineStr">
        <is>
          <t>Ludoteca Sidequest</t>
        </is>
      </c>
      <c r="C13" s="4" t="inlineStr">
        <is>
          <t>Belém</t>
        </is>
      </c>
      <c r="D13" s="4" t="inlineStr">
        <is>
          <t>Norte</t>
        </is>
      </c>
      <c r="E13" s="5" t="n">
        <v>4.8</v>
      </c>
      <c r="F13" s="7" t="n">
        <v>327</v>
      </c>
      <c r="G13" s="9" t="n">
        <v>5</v>
      </c>
      <c r="H13" s="9" t="n">
        <v>42</v>
      </c>
      <c r="I13" s="9" t="n">
        <v>14</v>
      </c>
      <c r="J13" s="9" t="n">
        <v>24</v>
      </c>
      <c r="K13" s="5" t="n">
        <v>0</v>
      </c>
      <c r="L13" s="5" t="n">
        <v>0</v>
      </c>
      <c r="M13" s="7" t="n"/>
      <c r="N13" s="5" t="n"/>
      <c r="O13" s="5" t="n"/>
      <c r="P13" s="7" t="n">
        <v>52</v>
      </c>
      <c r="Q13" s="7" t="n">
        <v>21601</v>
      </c>
      <c r="R13" s="7" t="n">
        <v>235</v>
      </c>
      <c r="S13" s="9" t="n">
        <v>2.98</v>
      </c>
      <c r="T13" s="9" t="n">
        <v>10</v>
      </c>
      <c r="U13" s="7" t="n">
        <v>3394</v>
      </c>
      <c r="V13" s="7" t="n">
        <v>92</v>
      </c>
      <c r="W13" s="9" t="n">
        <v>348.6</v>
      </c>
      <c r="X13" s="12" t="n">
        <v>0.01614</v>
      </c>
      <c r="Y13" s="7" t="n">
        <v>58</v>
      </c>
      <c r="Z13" s="14" t="n">
        <v>25.5</v>
      </c>
      <c r="AA13" s="14" t="n">
        <v>13</v>
      </c>
      <c r="AB13" s="14" t="n">
        <v>35</v>
      </c>
      <c r="AC13" s="14" t="n">
        <v>30</v>
      </c>
      <c r="AD13" s="14" t="n">
        <v>48</v>
      </c>
      <c r="AE13" s="14" t="n">
        <v>54.5</v>
      </c>
      <c r="AF13" s="14" t="n">
        <v>54.25</v>
      </c>
      <c r="AG13" s="14" t="n">
        <v>73.5</v>
      </c>
      <c r="AH13" s="14" t="n">
        <v>81.25</v>
      </c>
      <c r="AI13" s="14" t="n">
        <v>40</v>
      </c>
      <c r="AJ13" s="14" t="n">
        <v>30.5</v>
      </c>
      <c r="AK13" s="14" t="n">
        <v>13</v>
      </c>
      <c r="AL13" s="14" t="n">
        <v>7</v>
      </c>
      <c r="AM13" s="14" t="n">
        <v>13</v>
      </c>
      <c r="AN13" s="7" t="n">
        <v>468</v>
      </c>
      <c r="AO13" s="7" t="n">
        <v>40</v>
      </c>
      <c r="AP13" s="7" t="n">
        <v>26</v>
      </c>
      <c r="AQ13" s="4" t="n">
        <v>0</v>
      </c>
      <c r="AR13" s="4" t="n">
        <v>1</v>
      </c>
      <c r="AS13" s="4" t="n">
        <v>1</v>
      </c>
      <c r="AT13" s="4" t="n">
        <v>0</v>
      </c>
      <c r="AU13" s="4" t="n">
        <v>0</v>
      </c>
      <c r="AV13" s="4" t="n">
        <v>1</v>
      </c>
      <c r="AW13" s="4" t="n">
        <v>1</v>
      </c>
      <c r="AX13" s="4" t="n">
        <v>1</v>
      </c>
      <c r="AY13" s="4" t="n">
        <v>1</v>
      </c>
      <c r="AZ13" s="4" t="n">
        <v>1</v>
      </c>
    </row>
    <row r="14">
      <c r="A14" s="4" t="inlineStr">
        <is>
          <t>ChIJRcWOaPabpgARDvX2Bad0qb0</t>
        </is>
      </c>
      <c r="B14" s="4" t="inlineStr">
        <is>
          <t>Bardo Mago</t>
        </is>
      </c>
      <c r="C14" s="4" t="inlineStr">
        <is>
          <t>Belo Horizonte</t>
        </is>
      </c>
      <c r="D14" s="4" t="inlineStr">
        <is>
          <t>Sudeste</t>
        </is>
      </c>
      <c r="E14" s="5" t="n">
        <v>4.8</v>
      </c>
      <c r="F14" s="7" t="n">
        <v>823</v>
      </c>
      <c r="G14" s="9" t="n">
        <v>5</v>
      </c>
      <c r="H14" s="9" t="n">
        <v>37</v>
      </c>
      <c r="I14" s="9" t="n">
        <v>13</v>
      </c>
      <c r="J14" s="9" t="n">
        <v>24</v>
      </c>
      <c r="K14" s="5" t="n">
        <v>1</v>
      </c>
      <c r="L14" s="5" t="n">
        <v>1</v>
      </c>
      <c r="M14" s="7" t="n">
        <v>307</v>
      </c>
      <c r="N14" s="5" t="n"/>
      <c r="O14" s="5" t="n"/>
      <c r="P14" s="7" t="n">
        <v>723</v>
      </c>
      <c r="Q14" s="7" t="n"/>
      <c r="R14" s="7" t="n">
        <v>616</v>
      </c>
      <c r="S14" s="9" t="n">
        <v>2.42</v>
      </c>
      <c r="T14" s="9" t="n">
        <v>31</v>
      </c>
      <c r="U14" s="7" t="n">
        <v>8610</v>
      </c>
      <c r="V14" s="7" t="n">
        <v>288</v>
      </c>
      <c r="W14" s="9" t="n">
        <v>287.03</v>
      </c>
      <c r="X14" s="12" t="n"/>
      <c r="Y14" s="7" t="n">
        <v>112</v>
      </c>
      <c r="Z14" s="14" t="n">
        <v>20</v>
      </c>
      <c r="AA14" s="14" t="n">
        <v>20</v>
      </c>
      <c r="AB14" s="14" t="n">
        <v>34</v>
      </c>
      <c r="AC14" s="14" t="n">
        <v>40.5</v>
      </c>
      <c r="AD14" s="14" t="n">
        <v>54</v>
      </c>
      <c r="AE14" s="14" t="n">
        <v>71.5</v>
      </c>
      <c r="AF14" s="14" t="n">
        <v>58</v>
      </c>
      <c r="AG14" s="14" t="n">
        <v>74</v>
      </c>
      <c r="AH14" s="14" t="n">
        <v>94</v>
      </c>
      <c r="AI14" s="14" t="n">
        <v>42</v>
      </c>
      <c r="AJ14" s="14" t="n"/>
      <c r="AK14" s="14" t="n">
        <v>12.5</v>
      </c>
      <c r="AL14" s="14" t="n">
        <v>8</v>
      </c>
      <c r="AM14" s="14" t="n">
        <v>26</v>
      </c>
      <c r="AN14" s="7" t="n">
        <v>588</v>
      </c>
      <c r="AO14" s="7" t="n"/>
      <c r="AP14" s="7" t="n"/>
      <c r="AQ14" s="4" t="n">
        <v>1</v>
      </c>
      <c r="AR14" s="4" t="n">
        <v>1</v>
      </c>
      <c r="AS14" s="4" t="n">
        <v>1</v>
      </c>
      <c r="AT14" s="4" t="n">
        <v>0</v>
      </c>
      <c r="AU14" s="4" t="n">
        <v>0</v>
      </c>
      <c r="AV14" s="4" t="n">
        <v>1</v>
      </c>
      <c r="AW14" s="4" t="n">
        <v>1</v>
      </c>
      <c r="AX14" s="4" t="n">
        <v>1</v>
      </c>
      <c r="AY14" s="4" t="n">
        <v>1</v>
      </c>
      <c r="AZ14" s="4" t="n">
        <v>1</v>
      </c>
    </row>
    <row r="15">
      <c r="A15" s="4" t="inlineStr">
        <is>
          <t>ChIJpzB8zc2XpgARoJTUu90J6Pw</t>
        </is>
      </c>
      <c r="B15" s="4" t="inlineStr">
        <is>
          <t>Comdado Bar e Jogos</t>
        </is>
      </c>
      <c r="C15" s="4" t="inlineStr">
        <is>
          <t>Belo Horizonte</t>
        </is>
      </c>
      <c r="D15" s="4" t="inlineStr">
        <is>
          <t>Sudeste</t>
        </is>
      </c>
      <c r="E15" s="5" t="n">
        <v>4.4</v>
      </c>
      <c r="F15" s="7" t="n">
        <v>158</v>
      </c>
      <c r="G15" s="9" t="n">
        <v>5</v>
      </c>
      <c r="H15" s="9" t="n">
        <v>45</v>
      </c>
      <c r="I15" s="9" t="n">
        <v>12</v>
      </c>
      <c r="J15" s="9" t="n">
        <v>25</v>
      </c>
      <c r="K15" s="5" t="n">
        <v>0</v>
      </c>
      <c r="L15" s="5" t="n">
        <v>0</v>
      </c>
      <c r="M15" s="7" t="n"/>
      <c r="N15" s="5" t="n"/>
      <c r="O15" s="5" t="n"/>
      <c r="P15" s="7" t="n">
        <v>105</v>
      </c>
      <c r="Q15" s="7" t="n">
        <v>10671</v>
      </c>
      <c r="R15" s="7" t="n">
        <v>190</v>
      </c>
      <c r="S15" s="9" t="n">
        <v>3.98</v>
      </c>
      <c r="T15" s="9" t="n">
        <v>2</v>
      </c>
      <c r="U15" s="7" t="n">
        <v>100</v>
      </c>
      <c r="V15" s="7" t="n">
        <v>4</v>
      </c>
      <c r="W15" s="9" t="n">
        <v>52</v>
      </c>
      <c r="X15" s="12" t="n">
        <v>0.00487</v>
      </c>
      <c r="Y15" s="7" t="n">
        <v>55</v>
      </c>
      <c r="Z15" s="14" t="n">
        <v>17.5</v>
      </c>
      <c r="AA15" s="14" t="n">
        <v>18</v>
      </c>
      <c r="AB15" s="14" t="n">
        <v>50</v>
      </c>
      <c r="AC15" s="14" t="n">
        <v>54.75</v>
      </c>
      <c r="AD15" s="14" t="n">
        <v>68</v>
      </c>
      <c r="AE15" s="14" t="n">
        <v>80</v>
      </c>
      <c r="AF15" s="14" t="n">
        <v>71</v>
      </c>
      <c r="AG15" s="14" t="n">
        <v>85.5</v>
      </c>
      <c r="AH15" s="14" t="n">
        <v>98.75</v>
      </c>
      <c r="AI15" s="14" t="n">
        <v>50</v>
      </c>
      <c r="AJ15" s="14" t="n"/>
      <c r="AK15" s="14" t="n">
        <v>12</v>
      </c>
      <c r="AL15" s="14" t="n"/>
      <c r="AM15" s="14" t="n">
        <v>25</v>
      </c>
      <c r="AN15" s="7" t="n">
        <v>190</v>
      </c>
      <c r="AO15" s="7" t="n">
        <v>12</v>
      </c>
      <c r="AP15" s="7" t="n">
        <v>6</v>
      </c>
      <c r="AQ15" s="4" t="n">
        <v>0</v>
      </c>
      <c r="AR15" s="4" t="n">
        <v>1</v>
      </c>
      <c r="AS15" s="4" t="n">
        <v>1</v>
      </c>
      <c r="AT15" s="4" t="n">
        <v>0</v>
      </c>
      <c r="AU15" s="4" t="n">
        <v>0</v>
      </c>
      <c r="AV15" s="4" t="n">
        <v>1</v>
      </c>
      <c r="AW15" s="4" t="n">
        <v>1</v>
      </c>
      <c r="AX15" s="4" t="n">
        <v>1</v>
      </c>
      <c r="AY15" s="4" t="n">
        <v>1</v>
      </c>
      <c r="AZ15" s="4" t="n">
        <v>1</v>
      </c>
    </row>
    <row r="16">
      <c r="A16" s="4" t="inlineStr">
        <is>
          <t>ChIJsUAT-dObpgARCT2C5QpnVKU</t>
        </is>
      </c>
      <c r="B16" s="4" t="inlineStr">
        <is>
          <t>Garagem do Nerd</t>
        </is>
      </c>
      <c r="C16" s="4" t="inlineStr">
        <is>
          <t>Belo Horizonte</t>
        </is>
      </c>
      <c r="D16" s="4" t="inlineStr">
        <is>
          <t>Sudeste</t>
        </is>
      </c>
      <c r="E16" s="5" t="n">
        <v>4.9</v>
      </c>
      <c r="F16" s="7" t="n">
        <v>244</v>
      </c>
      <c r="G16" s="9" t="n">
        <v>5</v>
      </c>
      <c r="H16" s="9" t="n">
        <v>34</v>
      </c>
      <c r="I16" s="9" t="n">
        <v>13</v>
      </c>
      <c r="J16" s="9" t="n">
        <v>25</v>
      </c>
      <c r="K16" s="5" t="n">
        <v>0</v>
      </c>
      <c r="L16" s="5" t="n">
        <v>0</v>
      </c>
      <c r="M16" s="7" t="n"/>
      <c r="N16" s="5" t="n"/>
      <c r="O16" s="5" t="n"/>
      <c r="P16" s="7" t="n">
        <v>754</v>
      </c>
      <c r="Q16" s="7" t="n">
        <v>13420</v>
      </c>
      <c r="R16" s="7" t="n">
        <v>3023</v>
      </c>
      <c r="S16" s="9" t="n">
        <v>8.73</v>
      </c>
      <c r="T16" s="9" t="n">
        <v>30</v>
      </c>
      <c r="U16" s="7" t="n">
        <v>529</v>
      </c>
      <c r="V16" s="7" t="n">
        <v>10</v>
      </c>
      <c r="W16" s="9" t="n">
        <v>17.97</v>
      </c>
      <c r="X16" s="12" t="n">
        <v>0.00134</v>
      </c>
      <c r="Y16" s="7" t="n">
        <v>1</v>
      </c>
      <c r="Z16" s="14" t="n">
        <v>10</v>
      </c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7" t="n"/>
      <c r="AO16" s="7" t="n">
        <v>4</v>
      </c>
      <c r="AP16" s="7" t="n">
        <v>1</v>
      </c>
      <c r="AQ16" s="4" t="n">
        <v>0</v>
      </c>
      <c r="AR16" s="4" t="n">
        <v>1</v>
      </c>
      <c r="AS16" s="4" t="n">
        <v>1</v>
      </c>
      <c r="AT16" s="4" t="n">
        <v>0</v>
      </c>
      <c r="AU16" s="4" t="n">
        <v>1</v>
      </c>
      <c r="AV16" s="4" t="n">
        <v>1</v>
      </c>
      <c r="AW16" s="4" t="n">
        <v>1</v>
      </c>
      <c r="AX16" s="4" t="n">
        <v>1</v>
      </c>
      <c r="AY16" s="4" t="n">
        <v>1</v>
      </c>
      <c r="AZ16" s="4" t="n">
        <v>0</v>
      </c>
    </row>
    <row r="17">
      <c r="A17" s="4" t="inlineStr">
        <is>
          <t>ChIJ-17ZQDG9pgARc-AxpXmaNRU</t>
        </is>
      </c>
      <c r="B17" s="4" t="inlineStr">
        <is>
          <t>La Tabuleria</t>
        </is>
      </c>
      <c r="C17" s="4" t="inlineStr">
        <is>
          <t>Belo Horizonte</t>
        </is>
      </c>
      <c r="D17" s="4" t="inlineStr">
        <is>
          <t>Sudeste</t>
        </is>
      </c>
      <c r="E17" s="5" t="n">
        <v>4.7</v>
      </c>
      <c r="F17" s="7" t="n">
        <v>138</v>
      </c>
      <c r="G17" s="9" t="n">
        <v>5</v>
      </c>
      <c r="H17" s="9" t="n">
        <v>42</v>
      </c>
      <c r="I17" s="9" t="n">
        <v>15</v>
      </c>
      <c r="J17" s="9" t="n">
        <v>25</v>
      </c>
      <c r="K17" s="5" t="n">
        <v>0</v>
      </c>
      <c r="L17" s="5" t="n">
        <v>0</v>
      </c>
      <c r="M17" s="7" t="n"/>
      <c r="N17" s="5" t="n"/>
      <c r="O17" s="5" t="n"/>
      <c r="P17" s="7" t="n">
        <v>137</v>
      </c>
      <c r="Q17" s="7" t="n"/>
      <c r="R17" s="7" t="n"/>
      <c r="S17" s="9" t="n">
        <v>2.64</v>
      </c>
      <c r="T17" s="9" t="n">
        <v>8</v>
      </c>
      <c r="U17" s="7" t="n">
        <v>140</v>
      </c>
      <c r="V17" s="7" t="n">
        <v>1</v>
      </c>
      <c r="W17" s="9" t="n">
        <v>17.62</v>
      </c>
      <c r="X17" s="12" t="n"/>
      <c r="Y17" s="7" t="n">
        <v>90</v>
      </c>
      <c r="Z17" s="14" t="n">
        <v>20</v>
      </c>
      <c r="AA17" s="14" t="n">
        <v>20</v>
      </c>
      <c r="AB17" s="14" t="n">
        <v>35</v>
      </c>
      <c r="AC17" s="14" t="n">
        <v>38.5</v>
      </c>
      <c r="AD17" s="14" t="n">
        <v>55</v>
      </c>
      <c r="AE17" s="14" t="n">
        <v>67.5</v>
      </c>
      <c r="AF17" s="14" t="n">
        <v>58.5</v>
      </c>
      <c r="AG17" s="14" t="n">
        <v>75</v>
      </c>
      <c r="AH17" s="14" t="n">
        <v>87.5</v>
      </c>
      <c r="AI17" s="14" t="n">
        <v>42</v>
      </c>
      <c r="AJ17" s="14" t="n">
        <v>37.5</v>
      </c>
      <c r="AK17" s="14" t="n">
        <v>12</v>
      </c>
      <c r="AL17" s="14" t="n">
        <v>8</v>
      </c>
      <c r="AM17" s="14" t="n">
        <v>25</v>
      </c>
      <c r="AN17" s="7" t="n">
        <v>192</v>
      </c>
      <c r="AO17" s="7" t="n"/>
      <c r="AP17" s="7" t="n"/>
      <c r="AQ17" s="4" t="n">
        <v>0</v>
      </c>
      <c r="AR17" s="4" t="n">
        <v>1</v>
      </c>
      <c r="AS17" s="4" t="n">
        <v>1</v>
      </c>
      <c r="AT17" s="4" t="n">
        <v>0</v>
      </c>
      <c r="AU17" s="4" t="n">
        <v>0</v>
      </c>
      <c r="AV17" s="4" t="n">
        <v>1</v>
      </c>
      <c r="AW17" s="4" t="n">
        <v>1</v>
      </c>
      <c r="AX17" s="4" t="n">
        <v>1</v>
      </c>
      <c r="AY17" s="4" t="n">
        <v>1</v>
      </c>
      <c r="AZ17" s="4" t="n">
        <v>1</v>
      </c>
    </row>
    <row r="18">
      <c r="A18" s="4" t="inlineStr">
        <is>
          <t>ChIJx5jr3zGXpgARQGx9eX7TDmY</t>
        </is>
      </c>
      <c r="B18" s="4" t="inlineStr">
        <is>
          <t>LudoCafé</t>
        </is>
      </c>
      <c r="C18" s="4" t="inlineStr">
        <is>
          <t>Belo Horizonte</t>
        </is>
      </c>
      <c r="D18" s="4" t="inlineStr">
        <is>
          <t>Sudeste</t>
        </is>
      </c>
      <c r="E18" s="5" t="n">
        <v>4.6</v>
      </c>
      <c r="F18" s="7" t="n">
        <v>585</v>
      </c>
      <c r="G18" s="9" t="n">
        <v>6</v>
      </c>
      <c r="H18" s="9" t="n">
        <v>41</v>
      </c>
      <c r="I18" s="9" t="n">
        <v>13</v>
      </c>
      <c r="J18" s="9" t="n">
        <v>24</v>
      </c>
      <c r="K18" s="5" t="n">
        <v>0</v>
      </c>
      <c r="L18" s="5" t="n">
        <v>0</v>
      </c>
      <c r="M18" s="7" t="n"/>
      <c r="N18" s="5" t="n"/>
      <c r="O18" s="5" t="n"/>
      <c r="P18" s="7" t="n">
        <v>391</v>
      </c>
      <c r="Q18" s="7" t="n"/>
      <c r="R18" s="7" t="n"/>
      <c r="S18" s="9" t="n"/>
      <c r="T18" s="9" t="n"/>
      <c r="U18" s="7" t="n"/>
      <c r="V18" s="7" t="n"/>
      <c r="W18" s="9" t="n"/>
      <c r="X18" s="12" t="n"/>
      <c r="Y18" s="7" t="n">
        <v>13</v>
      </c>
      <c r="Z18" s="14" t="n">
        <v>22.5</v>
      </c>
      <c r="AA18" s="14" t="n">
        <v>34.4</v>
      </c>
      <c r="AB18" s="14" t="n">
        <v>38.9</v>
      </c>
      <c r="AC18" s="14" t="n">
        <v>69.3</v>
      </c>
      <c r="AD18" s="14" t="n">
        <v>73.3</v>
      </c>
      <c r="AE18" s="14" t="n">
        <v>75.8</v>
      </c>
      <c r="AF18" s="14" t="n">
        <v>86.8</v>
      </c>
      <c r="AG18" s="14" t="n">
        <v>95.8</v>
      </c>
      <c r="AH18" s="14" t="n">
        <v>103.3</v>
      </c>
      <c r="AI18" s="14" t="n"/>
      <c r="AJ18" s="14" t="n"/>
      <c r="AK18" s="14" t="n"/>
      <c r="AL18" s="14" t="n"/>
      <c r="AM18" s="14" t="n">
        <v>38.9</v>
      </c>
      <c r="AN18" s="7" t="n">
        <v>362</v>
      </c>
      <c r="AO18" s="7" t="n">
        <v>10</v>
      </c>
      <c r="AP18" s="7" t="n">
        <v>6</v>
      </c>
      <c r="AQ18" s="4" t="n">
        <v>0</v>
      </c>
      <c r="AR18" s="4" t="n">
        <v>1</v>
      </c>
      <c r="AS18" s="4" t="n">
        <v>1</v>
      </c>
      <c r="AT18" s="4" t="n">
        <v>0</v>
      </c>
      <c r="AU18" s="4" t="n">
        <v>1</v>
      </c>
      <c r="AV18" s="4" t="n">
        <v>1</v>
      </c>
      <c r="AW18" s="4" t="n">
        <v>1</v>
      </c>
      <c r="AX18" s="4" t="n">
        <v>1</v>
      </c>
      <c r="AY18" s="4" t="n">
        <v>1</v>
      </c>
      <c r="AZ18" s="4" t="n">
        <v>1</v>
      </c>
    </row>
    <row r="19">
      <c r="A19" s="4" t="inlineStr">
        <is>
          <t>ChIJ6ZLMZw-XpgAR_OR6SwY5xKo</t>
        </is>
      </c>
      <c r="B19" s="4" t="inlineStr">
        <is>
          <t>Shelf Bar e Jogos</t>
        </is>
      </c>
      <c r="C19" s="4" t="inlineStr">
        <is>
          <t>Belo Horizonte</t>
        </is>
      </c>
      <c r="D19" s="4" t="inlineStr">
        <is>
          <t>Sudeste</t>
        </is>
      </c>
      <c r="E19" s="5" t="n">
        <v>4.6</v>
      </c>
      <c r="F19" s="7" t="n">
        <v>1505</v>
      </c>
      <c r="G19" s="9" t="n">
        <v>6</v>
      </c>
      <c r="H19" s="9" t="n">
        <v>56</v>
      </c>
      <c r="I19" s="9" t="n">
        <v>15</v>
      </c>
      <c r="J19" s="9" t="n">
        <v>25</v>
      </c>
      <c r="K19" s="5" t="n">
        <v>0</v>
      </c>
      <c r="L19" s="5" t="n">
        <v>0</v>
      </c>
      <c r="M19" s="7" t="n"/>
      <c r="N19" s="5" t="n"/>
      <c r="O19" s="5" t="n"/>
      <c r="P19" s="7" t="n">
        <v>221</v>
      </c>
      <c r="Q19" s="7" t="n">
        <v>31800</v>
      </c>
      <c r="R19" s="7" t="n">
        <v>630</v>
      </c>
      <c r="S19" s="9" t="n">
        <v>2.15</v>
      </c>
      <c r="T19" s="9" t="n">
        <v>32</v>
      </c>
      <c r="U19" s="7" t="n">
        <v>1557</v>
      </c>
      <c r="V19" s="7" t="n">
        <v>121</v>
      </c>
      <c r="W19" s="9" t="n">
        <v>52.44</v>
      </c>
      <c r="X19" s="12" t="n">
        <v>0.00165</v>
      </c>
      <c r="Y19" s="7" t="n">
        <v>138</v>
      </c>
      <c r="Z19" s="14" t="n">
        <v>20</v>
      </c>
      <c r="AA19" s="14" t="n">
        <v>25</v>
      </c>
      <c r="AB19" s="14" t="n">
        <v>52</v>
      </c>
      <c r="AC19" s="14" t="n">
        <v>56.5</v>
      </c>
      <c r="AD19" s="14" t="n">
        <v>77</v>
      </c>
      <c r="AE19" s="14" t="n">
        <v>96</v>
      </c>
      <c r="AF19" s="14" t="n">
        <v>74</v>
      </c>
      <c r="AG19" s="14" t="n">
        <v>97</v>
      </c>
      <c r="AH19" s="14" t="n">
        <v>121</v>
      </c>
      <c r="AI19" s="14" t="n">
        <v>54</v>
      </c>
      <c r="AJ19" s="14" t="n">
        <v>40</v>
      </c>
      <c r="AK19" s="14" t="n">
        <v>13</v>
      </c>
      <c r="AL19" s="14" t="n">
        <v>12</v>
      </c>
      <c r="AM19" s="14" t="n">
        <v>28</v>
      </c>
      <c r="AN19" s="7" t="n">
        <v>836</v>
      </c>
      <c r="AO19" s="7" t="n">
        <v>272</v>
      </c>
      <c r="AP19" s="7" t="n">
        <v>243</v>
      </c>
      <c r="AQ19" s="4" t="n">
        <v>0</v>
      </c>
      <c r="AR19" s="4" t="n">
        <v>1</v>
      </c>
      <c r="AS19" s="4" t="n">
        <v>1</v>
      </c>
      <c r="AT19" s="4" t="n">
        <v>0</v>
      </c>
      <c r="AU19" s="4" t="n">
        <v>1</v>
      </c>
      <c r="AV19" s="4" t="n">
        <v>1</v>
      </c>
      <c r="AW19" s="4" t="n">
        <v>1</v>
      </c>
      <c r="AX19" s="4" t="n">
        <v>1</v>
      </c>
      <c r="AY19" s="4" t="n">
        <v>1</v>
      </c>
      <c r="AZ19" s="4" t="n">
        <v>1</v>
      </c>
    </row>
    <row r="20">
      <c r="A20" s="4" t="inlineStr">
        <is>
          <t>ChIJu1yUroF_mQAR7qxqAfxKSw4</t>
        </is>
      </c>
      <c r="B20" s="4" t="inlineStr">
        <is>
          <t>Game Of Boards</t>
        </is>
      </c>
      <c r="C20" s="4" t="inlineStr">
        <is>
          <t>Rio de Janeiro</t>
        </is>
      </c>
      <c r="D20" s="4" t="inlineStr">
        <is>
          <t>Sudeste</t>
        </is>
      </c>
      <c r="E20" s="5" t="n">
        <v>4.7</v>
      </c>
      <c r="F20" s="7" t="n">
        <v>1077</v>
      </c>
      <c r="G20" s="9" t="n">
        <v>5</v>
      </c>
      <c r="H20" s="9" t="n">
        <v>41</v>
      </c>
      <c r="I20" s="9" t="n">
        <v>14</v>
      </c>
      <c r="J20" s="9" t="n">
        <v>24</v>
      </c>
      <c r="K20" s="5" t="n">
        <v>0</v>
      </c>
      <c r="L20" s="5" t="n">
        <v>1</v>
      </c>
      <c r="M20" s="7" t="n">
        <v>555</v>
      </c>
      <c r="N20" s="5" t="n"/>
      <c r="O20" s="5" t="n"/>
      <c r="P20" s="7" t="n">
        <v>291</v>
      </c>
      <c r="Q20" s="7" t="n">
        <v>18453</v>
      </c>
      <c r="R20" s="7" t="n">
        <v>3266</v>
      </c>
      <c r="S20" s="9" t="n">
        <v>10.55</v>
      </c>
      <c r="T20" s="9" t="n">
        <v>21</v>
      </c>
      <c r="U20" s="7" t="n">
        <v>789</v>
      </c>
      <c r="V20" s="7" t="n">
        <v>76</v>
      </c>
      <c r="W20" s="9" t="n">
        <v>41.19</v>
      </c>
      <c r="X20" s="12" t="n">
        <v>0.00223</v>
      </c>
      <c r="Y20" s="7" t="n">
        <v>2</v>
      </c>
      <c r="Z20" s="14" t="n">
        <v>20</v>
      </c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7" t="n"/>
      <c r="AO20" s="7" t="n">
        <v>8</v>
      </c>
      <c r="AP20" s="7" t="n">
        <v>6</v>
      </c>
      <c r="AQ20" s="4" t="n">
        <v>1</v>
      </c>
      <c r="AR20" s="4" t="n">
        <v>1</v>
      </c>
      <c r="AS20" s="4" t="n">
        <v>1</v>
      </c>
      <c r="AT20" s="4" t="n">
        <v>0</v>
      </c>
      <c r="AU20" s="4" t="n">
        <v>0</v>
      </c>
      <c r="AV20" s="4" t="n">
        <v>1</v>
      </c>
      <c r="AW20" s="4" t="n">
        <v>1</v>
      </c>
      <c r="AX20" s="4" t="n">
        <v>1</v>
      </c>
      <c r="AY20" s="4" t="n">
        <v>1</v>
      </c>
      <c r="AZ20" s="4" t="n">
        <v>1</v>
      </c>
    </row>
    <row r="21">
      <c r="A21" s="4" t="inlineStr">
        <is>
          <t>ChIJ90Gs_9rVmwAReA7MnIyPLTE</t>
        </is>
      </c>
      <c r="B21" s="4" t="inlineStr">
        <is>
          <t>Luderia Carioca</t>
        </is>
      </c>
      <c r="C21" s="4" t="inlineStr">
        <is>
          <t>Rio de Janeiro</t>
        </is>
      </c>
      <c r="D21" s="4" t="inlineStr">
        <is>
          <t>Sudeste</t>
        </is>
      </c>
      <c r="E21" s="5" t="n">
        <v>4.7</v>
      </c>
      <c r="F21" s="7" t="n">
        <v>212</v>
      </c>
      <c r="G21" s="9" t="n">
        <v>5</v>
      </c>
      <c r="H21" s="9" t="n">
        <v>38</v>
      </c>
      <c r="I21" s="9" t="n">
        <v>14</v>
      </c>
      <c r="J21" s="9" t="n">
        <v>24</v>
      </c>
      <c r="K21" s="5" t="n">
        <v>2</v>
      </c>
      <c r="L21" s="5" t="n">
        <v>3</v>
      </c>
      <c r="M21" s="7" t="n">
        <v>302</v>
      </c>
      <c r="N21" s="5" t="n"/>
      <c r="O21" s="5" t="n"/>
      <c r="P21" s="7" t="n">
        <v>576</v>
      </c>
      <c r="Q21" s="7" t="n">
        <v>16137</v>
      </c>
      <c r="R21" s="7" t="n">
        <v>84</v>
      </c>
      <c r="S21" s="9" t="n">
        <v>1.59</v>
      </c>
      <c r="T21" s="9" t="n">
        <v>5</v>
      </c>
      <c r="U21" s="7" t="n">
        <v>809</v>
      </c>
      <c r="V21" s="7" t="n">
        <v>20</v>
      </c>
      <c r="W21" s="9" t="n">
        <v>165.8</v>
      </c>
      <c r="X21" s="12" t="n">
        <v>0.01027</v>
      </c>
      <c r="Y21" s="7" t="n">
        <v>37</v>
      </c>
      <c r="Z21" s="14" t="n">
        <v>20</v>
      </c>
      <c r="AA21" s="14" t="n">
        <v>12</v>
      </c>
      <c r="AB21" s="14" t="n">
        <v>32</v>
      </c>
      <c r="AC21" s="14" t="n">
        <v>35</v>
      </c>
      <c r="AD21" s="14" t="n">
        <v>44</v>
      </c>
      <c r="AE21" s="14" t="n">
        <v>54.5</v>
      </c>
      <c r="AF21" s="14" t="n">
        <v>55</v>
      </c>
      <c r="AG21" s="14" t="n">
        <v>64</v>
      </c>
      <c r="AH21" s="14" t="n">
        <v>74.5</v>
      </c>
      <c r="AI21" s="14" t="n">
        <v>38</v>
      </c>
      <c r="AJ21" s="14" t="n">
        <v>24</v>
      </c>
      <c r="AK21" s="14" t="n">
        <v>16.5</v>
      </c>
      <c r="AL21" s="14" t="n">
        <v>9</v>
      </c>
      <c r="AM21" s="14" t="n"/>
      <c r="AN21" s="7" t="n">
        <v>780</v>
      </c>
      <c r="AO21" s="7" t="n">
        <v>99</v>
      </c>
      <c r="AP21" s="7" t="n">
        <v>69</v>
      </c>
      <c r="AQ21" s="4" t="n">
        <v>1</v>
      </c>
      <c r="AR21" s="4" t="n">
        <v>1</v>
      </c>
      <c r="AS21" s="4" t="n">
        <v>1</v>
      </c>
      <c r="AT21" s="4" t="n">
        <v>0</v>
      </c>
      <c r="AU21" s="4" t="n">
        <v>0</v>
      </c>
      <c r="AV21" s="4" t="n">
        <v>1</v>
      </c>
      <c r="AW21" s="4" t="n">
        <v>1</v>
      </c>
      <c r="AX21" s="4" t="n">
        <v>1</v>
      </c>
      <c r="AY21" s="4" t="n">
        <v>1</v>
      </c>
      <c r="AZ21" s="4" t="n">
        <v>1</v>
      </c>
    </row>
    <row r="22">
      <c r="A22" s="4" t="inlineStr">
        <is>
          <t>ChIJYzHxUhR-mQARpqVtYD9th0c</t>
        </is>
      </c>
      <c r="B22" s="4" t="inlineStr">
        <is>
          <t>Magic Store Brazil</t>
        </is>
      </c>
      <c r="C22" s="4" t="inlineStr">
        <is>
          <t>Rio de Janeiro</t>
        </is>
      </c>
      <c r="D22" s="4" t="inlineStr">
        <is>
          <t>Sudeste</t>
        </is>
      </c>
      <c r="E22" s="5" t="n">
        <v>4.7</v>
      </c>
      <c r="F22" s="7" t="n">
        <v>465</v>
      </c>
      <c r="G22" s="9" t="n">
        <v>6</v>
      </c>
      <c r="H22" s="9" t="n">
        <v>32</v>
      </c>
      <c r="I22" s="9" t="n">
        <v>13</v>
      </c>
      <c r="J22" s="9" t="n">
        <v>21</v>
      </c>
      <c r="K22" s="5" t="n">
        <v>0</v>
      </c>
      <c r="L22" s="5" t="n">
        <v>0</v>
      </c>
      <c r="M22" s="7" t="n"/>
      <c r="N22" s="5" t="n"/>
      <c r="O22" s="5" t="n"/>
      <c r="P22" s="7" t="n">
        <v>312</v>
      </c>
      <c r="Q22" s="7" t="n">
        <v>23364</v>
      </c>
      <c r="R22" s="7" t="n">
        <v>308</v>
      </c>
      <c r="S22" s="9" t="n">
        <v>7.89</v>
      </c>
      <c r="T22" s="9" t="n">
        <v>4</v>
      </c>
      <c r="U22" s="7" t="n">
        <v>132</v>
      </c>
      <c r="V22" s="7" t="n">
        <v>3</v>
      </c>
      <c r="W22" s="9" t="n">
        <v>33.75</v>
      </c>
      <c r="X22" s="12" t="n">
        <v>0.00144</v>
      </c>
      <c r="Y22" s="7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7" t="n"/>
      <c r="AO22" s="7" t="n">
        <v>15</v>
      </c>
      <c r="AP22" s="7" t="n">
        <v>7</v>
      </c>
      <c r="AQ22" s="4" t="n">
        <v>0</v>
      </c>
      <c r="AR22" s="4" t="n">
        <v>0</v>
      </c>
      <c r="AS22" s="4" t="n"/>
      <c r="AT22" s="4" t="n">
        <v>0</v>
      </c>
      <c r="AU22" s="4" t="n">
        <v>1</v>
      </c>
      <c r="AV22" s="4" t="n">
        <v>1</v>
      </c>
      <c r="AW22" s="4" t="n">
        <v>1</v>
      </c>
      <c r="AX22" s="4" t="n">
        <v>1</v>
      </c>
      <c r="AY22" s="4" t="n">
        <v>1</v>
      </c>
      <c r="AZ22" s="4" t="n">
        <v>1</v>
      </c>
    </row>
    <row r="23">
      <c r="A23" s="4" t="inlineStr">
        <is>
          <t>ChIJ1SAzAGF_mQARQgP-yrPBxbQ</t>
        </is>
      </c>
      <c r="B23" s="4" t="inlineStr">
        <is>
          <t>RED jogos</t>
        </is>
      </c>
      <c r="C23" s="4" t="inlineStr">
        <is>
          <t>Rio de Janeiro</t>
        </is>
      </c>
      <c r="D23" s="4" t="inlineStr">
        <is>
          <t>Sudeste</t>
        </is>
      </c>
      <c r="E23" s="5" t="n">
        <v>4.7</v>
      </c>
      <c r="F23" s="7" t="n">
        <v>800</v>
      </c>
      <c r="G23" s="9" t="n">
        <v>6</v>
      </c>
      <c r="H23" s="9" t="n">
        <v>47</v>
      </c>
      <c r="I23" s="9" t="n">
        <v>11</v>
      </c>
      <c r="J23" s="9" t="n">
        <v>20</v>
      </c>
      <c r="K23" s="5" t="n">
        <v>2</v>
      </c>
      <c r="L23" s="5" t="n">
        <v>3</v>
      </c>
      <c r="M23" s="7" t="n">
        <v>161</v>
      </c>
      <c r="N23" s="5" t="n"/>
      <c r="O23" s="5" t="n"/>
      <c r="P23" s="7" t="n">
        <v>496</v>
      </c>
      <c r="Q23" s="7" t="n">
        <v>21522</v>
      </c>
      <c r="R23" s="7" t="n">
        <v>1164</v>
      </c>
      <c r="S23" s="9" t="n">
        <v>11.02</v>
      </c>
      <c r="T23" s="9" t="n">
        <v>12</v>
      </c>
      <c r="U23" s="7" t="n">
        <v>968</v>
      </c>
      <c r="V23" s="7" t="n">
        <v>103</v>
      </c>
      <c r="W23" s="9" t="n">
        <v>89.25</v>
      </c>
      <c r="X23" s="12" t="n">
        <v>0.00415</v>
      </c>
      <c r="Y23" s="7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7" t="n"/>
      <c r="AO23" s="7" t="n">
        <v>10</v>
      </c>
      <c r="AP23" s="7" t="n">
        <v>6</v>
      </c>
      <c r="AQ23" s="4" t="n">
        <v>1</v>
      </c>
      <c r="AR23" s="4" t="n">
        <v>0</v>
      </c>
      <c r="AS23" s="4" t="n"/>
      <c r="AT23" s="4" t="n">
        <v>1</v>
      </c>
      <c r="AU23" s="4" t="n">
        <v>1</v>
      </c>
      <c r="AV23" s="4" t="n">
        <v>1</v>
      </c>
      <c r="AW23" s="4" t="n">
        <v>1</v>
      </c>
      <c r="AX23" s="4" t="n">
        <v>1</v>
      </c>
      <c r="AY23" s="4" t="n">
        <v>1</v>
      </c>
      <c r="AZ23" s="4" t="n">
        <v>0</v>
      </c>
    </row>
    <row r="24">
      <c r="A24" s="4" t="inlineStr">
        <is>
          <t>ChIJOcVssmeDmQARZZrnWu2mnwA</t>
        </is>
      </c>
      <c r="B24" s="4" t="inlineStr">
        <is>
          <t>TabuClub</t>
        </is>
      </c>
      <c r="C24" s="4" t="inlineStr">
        <is>
          <t>Rio de Janeiro</t>
        </is>
      </c>
      <c r="D24" s="4" t="inlineStr">
        <is>
          <t>Sudeste</t>
        </is>
      </c>
      <c r="E24" s="5" t="n">
        <v>4.7</v>
      </c>
      <c r="F24" s="7" t="n">
        <v>105</v>
      </c>
      <c r="G24" s="9" t="n">
        <v>6</v>
      </c>
      <c r="H24" s="9" t="n">
        <v>43</v>
      </c>
      <c r="I24" s="9" t="n">
        <v>14</v>
      </c>
      <c r="J24" s="9" t="n">
        <v>24</v>
      </c>
      <c r="K24" s="5" t="n">
        <v>0</v>
      </c>
      <c r="L24" s="5" t="n">
        <v>0</v>
      </c>
      <c r="M24" s="7" t="n"/>
      <c r="N24" s="5" t="n"/>
      <c r="O24" s="5" t="n"/>
      <c r="P24" s="7" t="n">
        <v>153</v>
      </c>
      <c r="Q24" s="7" t="n"/>
      <c r="R24" s="7" t="n"/>
      <c r="S24" s="9" t="n">
        <v>3.23</v>
      </c>
      <c r="T24" s="9" t="n">
        <v>8</v>
      </c>
      <c r="U24" s="7" t="n">
        <v>1576</v>
      </c>
      <c r="V24" s="7" t="n">
        <v>85</v>
      </c>
      <c r="W24" s="9" t="n">
        <v>207.62</v>
      </c>
      <c r="X24" s="12" t="n"/>
      <c r="Y24" s="7" t="n">
        <v>77</v>
      </c>
      <c r="Z24" s="14" t="n">
        <v>22.5</v>
      </c>
      <c r="AA24" s="14" t="n">
        <v>25</v>
      </c>
      <c r="AB24" s="14" t="n">
        <v>36</v>
      </c>
      <c r="AC24" s="14" t="n">
        <v>41</v>
      </c>
      <c r="AD24" s="14" t="n">
        <v>61</v>
      </c>
      <c r="AE24" s="14" t="n">
        <v>75.75</v>
      </c>
      <c r="AF24" s="14" t="n">
        <v>62.25</v>
      </c>
      <c r="AG24" s="14" t="n">
        <v>83.5</v>
      </c>
      <c r="AH24" s="14" t="n">
        <v>99.5</v>
      </c>
      <c r="AI24" s="14" t="n">
        <v>49</v>
      </c>
      <c r="AJ24" s="14" t="n">
        <v>22</v>
      </c>
      <c r="AK24" s="14" t="n">
        <v>23</v>
      </c>
      <c r="AL24" s="14" t="n">
        <v>9</v>
      </c>
      <c r="AM24" s="14" t="n">
        <v>32</v>
      </c>
      <c r="AN24" s="7" t="n">
        <v>1357</v>
      </c>
      <c r="AO24" s="7" t="n"/>
      <c r="AP24" s="7" t="n"/>
      <c r="AQ24" s="4" t="n">
        <v>0</v>
      </c>
      <c r="AR24" s="4" t="n">
        <v>1</v>
      </c>
      <c r="AS24" s="4" t="n">
        <v>1</v>
      </c>
      <c r="AT24" s="4" t="n">
        <v>0</v>
      </c>
      <c r="AU24" s="4" t="n">
        <v>1</v>
      </c>
      <c r="AV24" s="4" t="n">
        <v>1</v>
      </c>
      <c r="AW24" s="4" t="n">
        <v>1</v>
      </c>
      <c r="AX24" s="4" t="n">
        <v>1</v>
      </c>
      <c r="AY24" s="4" t="n">
        <v>1</v>
      </c>
      <c r="AZ24" s="4" t="n">
        <v>1</v>
      </c>
    </row>
    <row r="25">
      <c r="A25" s="4" t="inlineStr">
        <is>
          <t>ChIJYTHwWgBbzpQRFenbJdM5cxU</t>
        </is>
      </c>
      <c r="B25" s="4" t="inlineStr">
        <is>
          <t>Arena BG | Jogos de Tabuleiro | Hamburgueria</t>
        </is>
      </c>
      <c r="C25" s="4" t="inlineStr">
        <is>
          <t>São Paulo</t>
        </is>
      </c>
      <c r="D25" s="4" t="inlineStr">
        <is>
          <t>Sudeste</t>
        </is>
      </c>
      <c r="E25" s="5" t="n">
        <v>4.8</v>
      </c>
      <c r="F25" s="7" t="n">
        <v>145</v>
      </c>
      <c r="G25" s="9" t="n">
        <v>5</v>
      </c>
      <c r="H25" s="9" t="n">
        <v>33</v>
      </c>
      <c r="I25" s="9" t="n">
        <v>14</v>
      </c>
      <c r="J25" s="9" t="n">
        <v>25</v>
      </c>
      <c r="K25" s="5" t="n">
        <v>1</v>
      </c>
      <c r="L25" s="5" t="n">
        <v>1</v>
      </c>
      <c r="M25" s="7" t="n">
        <v>351</v>
      </c>
      <c r="N25" s="5" t="n"/>
      <c r="O25" s="5" t="n"/>
      <c r="P25" s="7" t="n"/>
      <c r="Q25" s="7" t="n">
        <v>6682</v>
      </c>
      <c r="R25" s="7" t="n">
        <v>520</v>
      </c>
      <c r="S25" s="9" t="n">
        <v>2.44</v>
      </c>
      <c r="T25" s="9" t="n">
        <v>32</v>
      </c>
      <c r="U25" s="7" t="n">
        <v>688</v>
      </c>
      <c r="V25" s="7" t="n">
        <v>67</v>
      </c>
      <c r="W25" s="9" t="n">
        <v>23.59</v>
      </c>
      <c r="X25" s="12" t="n">
        <v>0.00353</v>
      </c>
      <c r="Y25" s="7" t="n">
        <v>65</v>
      </c>
      <c r="Z25" s="14" t="n">
        <v>12.5</v>
      </c>
      <c r="AA25" s="14" t="n">
        <v>11</v>
      </c>
      <c r="AB25" s="14" t="n">
        <v>39.5</v>
      </c>
      <c r="AC25" s="14" t="n">
        <v>43.25</v>
      </c>
      <c r="AD25" s="14" t="n">
        <v>50.5</v>
      </c>
      <c r="AE25" s="14" t="n">
        <v>65</v>
      </c>
      <c r="AF25" s="14" t="n">
        <v>49.5</v>
      </c>
      <c r="AG25" s="14" t="n">
        <v>63</v>
      </c>
      <c r="AH25" s="14" t="n">
        <v>83.75</v>
      </c>
      <c r="AI25" s="14" t="n">
        <v>42</v>
      </c>
      <c r="AJ25" s="14" t="n">
        <v>28.5</v>
      </c>
      <c r="AK25" s="14" t="n">
        <v>11</v>
      </c>
      <c r="AL25" s="14" t="n">
        <v>8</v>
      </c>
      <c r="AM25" s="14" t="n">
        <v>25</v>
      </c>
      <c r="AN25" s="7" t="n">
        <v>540</v>
      </c>
      <c r="AO25" s="7" t="n">
        <v>17</v>
      </c>
      <c r="AP25" s="7" t="n">
        <v>13</v>
      </c>
      <c r="AQ25" s="4" t="n">
        <v>1</v>
      </c>
      <c r="AR25" s="4" t="n">
        <v>1</v>
      </c>
      <c r="AS25" s="4" t="n">
        <v>1</v>
      </c>
      <c r="AT25" s="4" t="n">
        <v>0</v>
      </c>
      <c r="AU25" s="4" t="n">
        <v>0</v>
      </c>
      <c r="AV25" s="4" t="n">
        <v>1</v>
      </c>
      <c r="AW25" s="4" t="n">
        <v>1</v>
      </c>
      <c r="AX25" s="4" t="n">
        <v>1</v>
      </c>
      <c r="AY25" s="4" t="n">
        <v>1</v>
      </c>
      <c r="AZ25" s="4" t="n">
        <v>1</v>
      </c>
    </row>
    <row r="26">
      <c r="A26" s="4" t="inlineStr">
        <is>
          <t>ChIJKeHwNv5ZzpQRlmzx9rCTWdM</t>
        </is>
      </c>
      <c r="B26" s="4" t="inlineStr">
        <is>
          <t>Bodogami Restaurante e Cafeteria</t>
        </is>
      </c>
      <c r="C26" s="4" t="inlineStr">
        <is>
          <t>São Paulo</t>
        </is>
      </c>
      <c r="D26" s="4" t="inlineStr">
        <is>
          <t>Sudeste</t>
        </is>
      </c>
      <c r="E26" s="5" t="n">
        <v>4.6</v>
      </c>
      <c r="F26" s="7" t="n">
        <v>3386</v>
      </c>
      <c r="G26" s="9" t="n">
        <v>7</v>
      </c>
      <c r="H26" s="9" t="n">
        <v>77</v>
      </c>
      <c r="I26" s="9" t="n">
        <v>11</v>
      </c>
      <c r="J26" s="9" t="n">
        <v>22.5</v>
      </c>
      <c r="K26" s="5" t="n">
        <v>1</v>
      </c>
      <c r="L26" s="5" t="n">
        <v>2</v>
      </c>
      <c r="M26" s="7" t="n">
        <v>204</v>
      </c>
      <c r="N26" s="5" t="n"/>
      <c r="O26" s="5" t="n"/>
      <c r="P26" s="7" t="n">
        <v>163</v>
      </c>
      <c r="Q26" s="7" t="n">
        <v>74000</v>
      </c>
      <c r="R26" s="7" t="n">
        <v>2374</v>
      </c>
      <c r="S26" s="9" t="n">
        <v>9.75</v>
      </c>
      <c r="T26" s="9" t="n">
        <v>4</v>
      </c>
      <c r="U26" s="7" t="n">
        <v>444</v>
      </c>
      <c r="V26" s="7" t="n">
        <v>8</v>
      </c>
      <c r="W26" s="9" t="n">
        <v>113</v>
      </c>
      <c r="X26" s="12" t="n">
        <v>0.00153</v>
      </c>
      <c r="Y26" s="7" t="n">
        <v>89</v>
      </c>
      <c r="Z26" s="14" t="n"/>
      <c r="AA26" s="14" t="n">
        <v>17</v>
      </c>
      <c r="AB26" s="14" t="n">
        <v>43</v>
      </c>
      <c r="AC26" s="14" t="n">
        <v>40</v>
      </c>
      <c r="AD26" s="14" t="n">
        <v>60</v>
      </c>
      <c r="AE26" s="14" t="n">
        <v>77.5</v>
      </c>
      <c r="AF26" s="14" t="n"/>
      <c r="AG26" s="14" t="n"/>
      <c r="AH26" s="14" t="n"/>
      <c r="AI26" s="14" t="n">
        <v>49.5</v>
      </c>
      <c r="AJ26" s="14" t="n">
        <v>39</v>
      </c>
      <c r="AK26" s="14" t="n">
        <v>15</v>
      </c>
      <c r="AL26" s="14" t="n">
        <v>8</v>
      </c>
      <c r="AM26" s="14" t="n">
        <v>36.5</v>
      </c>
      <c r="AN26" s="7" t="n">
        <v>934</v>
      </c>
      <c r="AO26" s="7" t="n">
        <v>712</v>
      </c>
      <c r="AP26" s="7" t="n">
        <v>453</v>
      </c>
      <c r="AQ26" s="4" t="n">
        <v>1</v>
      </c>
      <c r="AR26" s="4" t="n">
        <v>1</v>
      </c>
      <c r="AS26" s="4" t="n">
        <v>0</v>
      </c>
      <c r="AT26" s="4" t="n">
        <v>1</v>
      </c>
      <c r="AU26" s="4" t="n">
        <v>1</v>
      </c>
      <c r="AV26" s="4" t="n">
        <v>1</v>
      </c>
      <c r="AW26" s="4" t="n">
        <v>1</v>
      </c>
      <c r="AX26" s="4" t="n">
        <v>1</v>
      </c>
      <c r="AY26" s="4" t="n">
        <v>1</v>
      </c>
      <c r="AZ26" s="4" t="n">
        <v>1</v>
      </c>
    </row>
    <row r="27">
      <c r="A27" s="4" t="inlineStr">
        <is>
          <t>ChIJ__9TTnxCzpQRwVSzrOijkRY</t>
        </is>
      </c>
      <c r="B27" s="4" t="inlineStr">
        <is>
          <t>Bravo Jogos</t>
        </is>
      </c>
      <c r="C27" s="4" t="inlineStr">
        <is>
          <t>São Paulo</t>
        </is>
      </c>
      <c r="D27" s="4" t="inlineStr">
        <is>
          <t>Sudeste</t>
        </is>
      </c>
      <c r="E27" s="5" t="n">
        <v>4.9</v>
      </c>
      <c r="F27" s="7" t="n">
        <v>1719</v>
      </c>
      <c r="G27" s="9" t="n">
        <v>5</v>
      </c>
      <c r="H27" s="9" t="n">
        <v>55</v>
      </c>
      <c r="I27" s="9" t="n">
        <v>10</v>
      </c>
      <c r="J27" s="9" t="n">
        <v>21</v>
      </c>
      <c r="K27" s="5" t="n">
        <v>0</v>
      </c>
      <c r="L27" s="5" t="n">
        <v>0</v>
      </c>
      <c r="M27" s="7" t="n"/>
      <c r="N27" s="5" t="n"/>
      <c r="O27" s="5" t="n"/>
      <c r="P27" s="7" t="n">
        <v>684</v>
      </c>
      <c r="Q27" s="7" t="n">
        <v>65145</v>
      </c>
      <c r="R27" s="7" t="n">
        <v>1782</v>
      </c>
      <c r="S27" s="9" t="n"/>
      <c r="T27" s="9" t="n">
        <v>14</v>
      </c>
      <c r="U27" s="7" t="n">
        <v>7178</v>
      </c>
      <c r="V27" s="7" t="n">
        <v>222</v>
      </c>
      <c r="W27" s="9" t="n">
        <v>528.5700000000001</v>
      </c>
      <c r="X27" s="12" t="n">
        <v>0.008109999999999999</v>
      </c>
      <c r="Y27" s="7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7" t="n"/>
      <c r="AO27" s="7" t="n">
        <v>32</v>
      </c>
      <c r="AP27" s="7" t="n">
        <v>24</v>
      </c>
      <c r="AQ27" s="4" t="n">
        <v>0</v>
      </c>
      <c r="AR27" s="4" t="n">
        <v>0</v>
      </c>
      <c r="AS27" s="4" t="n"/>
      <c r="AT27" s="4" t="n">
        <v>0</v>
      </c>
      <c r="AU27" s="4" t="n">
        <v>1</v>
      </c>
      <c r="AV27" s="4" t="n">
        <v>1</v>
      </c>
      <c r="AW27" s="4" t="n">
        <v>1</v>
      </c>
      <c r="AX27" s="4" t="n">
        <v>1</v>
      </c>
      <c r="AY27" s="4" t="n">
        <v>1</v>
      </c>
      <c r="AZ27" s="4" t="n">
        <v>0</v>
      </c>
    </row>
    <row r="28">
      <c r="A28" s="4" t="inlineStr">
        <is>
          <t>ChIJrT_EWwBZzpQRGAZzptZbtsY</t>
        </is>
      </c>
      <c r="B28" s="4" t="inlineStr">
        <is>
          <t>Cartola Luderia Bar</t>
        </is>
      </c>
      <c r="C28" s="4" t="inlineStr">
        <is>
          <t>São Paulo</t>
        </is>
      </c>
      <c r="D28" s="4" t="inlineStr">
        <is>
          <t>Sudeste</t>
        </is>
      </c>
      <c r="E28" s="5" t="n">
        <v>4.7</v>
      </c>
      <c r="F28" s="7" t="n">
        <v>242</v>
      </c>
      <c r="G28" s="9" t="n">
        <v>3</v>
      </c>
      <c r="H28" s="9" t="n">
        <v>19.5</v>
      </c>
      <c r="I28" s="9" t="n">
        <v>17</v>
      </c>
      <c r="J28" s="9" t="n">
        <v>23.5</v>
      </c>
      <c r="K28" s="5" t="n">
        <v>0</v>
      </c>
      <c r="L28" s="5" t="n">
        <v>2</v>
      </c>
      <c r="M28" s="7" t="n">
        <v>607</v>
      </c>
      <c r="N28" s="5" t="n"/>
      <c r="O28" s="5" t="n"/>
      <c r="P28" s="7" t="n">
        <v>907</v>
      </c>
      <c r="Q28" s="7" t="n">
        <v>11500</v>
      </c>
      <c r="R28" s="7" t="n">
        <v>670</v>
      </c>
      <c r="S28" s="9" t="n">
        <v>2.56</v>
      </c>
      <c r="T28" s="9" t="n">
        <v>21</v>
      </c>
      <c r="U28" s="7" t="n">
        <v>1061</v>
      </c>
      <c r="V28" s="7" t="n">
        <v>24</v>
      </c>
      <c r="W28" s="9" t="n">
        <v>51.67</v>
      </c>
      <c r="X28" s="12" t="n">
        <v>0.00449</v>
      </c>
      <c r="Y28" s="7" t="n">
        <v>50</v>
      </c>
      <c r="Z28" s="14" t="n"/>
      <c r="AA28" s="14" t="n">
        <v>36</v>
      </c>
      <c r="AB28" s="14" t="n">
        <v>39</v>
      </c>
      <c r="AC28" s="14" t="n">
        <v>58.75</v>
      </c>
      <c r="AD28" s="14" t="n">
        <v>75</v>
      </c>
      <c r="AE28" s="14" t="n">
        <v>78</v>
      </c>
      <c r="AF28" s="14" t="n"/>
      <c r="AG28" s="14" t="n"/>
      <c r="AH28" s="14" t="n"/>
      <c r="AI28" s="14" t="n"/>
      <c r="AJ28" s="14" t="n">
        <v>68</v>
      </c>
      <c r="AK28" s="14" t="n"/>
      <c r="AL28" s="14" t="n"/>
      <c r="AM28" s="14" t="n">
        <v>36</v>
      </c>
      <c r="AN28" s="7" t="n"/>
      <c r="AO28" s="7" t="n">
        <v>51</v>
      </c>
      <c r="AP28" s="7" t="n">
        <v>38</v>
      </c>
      <c r="AQ28" s="4" t="n">
        <v>1</v>
      </c>
      <c r="AR28" s="4" t="n">
        <v>1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1</v>
      </c>
      <c r="AX28" s="4" t="n">
        <v>1</v>
      </c>
      <c r="AY28" s="4" t="n">
        <v>1</v>
      </c>
      <c r="AZ28" s="4" t="n">
        <v>0</v>
      </c>
    </row>
    <row r="29">
      <c r="A29" s="4" t="inlineStr">
        <is>
          <t>ChIJbZRHQPRfzpQRz97-ZOg0yXA</t>
        </is>
      </c>
      <c r="B29" s="4" t="inlineStr">
        <is>
          <t>Castelos Bar &amp; Boardgames</t>
        </is>
      </c>
      <c r="C29" s="4" t="inlineStr">
        <is>
          <t>São Paulo</t>
        </is>
      </c>
      <c r="D29" s="4" t="inlineStr">
        <is>
          <t>Sudeste</t>
        </is>
      </c>
      <c r="E29" s="5" t="n">
        <v>4.6</v>
      </c>
      <c r="F29" s="7" t="n">
        <v>617</v>
      </c>
      <c r="G29" s="9" t="n">
        <v>5</v>
      </c>
      <c r="H29" s="9" t="n">
        <v>29</v>
      </c>
      <c r="I29" s="9" t="n">
        <v>14</v>
      </c>
      <c r="J29" s="9" t="n">
        <v>23</v>
      </c>
      <c r="K29" s="5" t="n">
        <v>0</v>
      </c>
      <c r="L29" s="5" t="n">
        <v>1</v>
      </c>
      <c r="M29" s="7" t="n">
        <v>577</v>
      </c>
      <c r="N29" s="5" t="n"/>
      <c r="O29" s="5" t="n"/>
      <c r="P29" s="7" t="n"/>
      <c r="Q29" s="7" t="n">
        <v>41545</v>
      </c>
      <c r="R29" s="7" t="n">
        <v>1358</v>
      </c>
      <c r="S29" s="9" t="n">
        <v>6.91</v>
      </c>
      <c r="T29" s="9" t="n">
        <v>1</v>
      </c>
      <c r="U29" s="7" t="n">
        <v>20</v>
      </c>
      <c r="V29" s="7" t="n">
        <v>0</v>
      </c>
      <c r="W29" s="9" t="n">
        <v>20</v>
      </c>
      <c r="X29" s="12" t="n">
        <v>0.00048</v>
      </c>
      <c r="Y29" s="7" t="n">
        <v>66</v>
      </c>
      <c r="Z29" s="14" t="n"/>
      <c r="AA29" s="14" t="n">
        <v>26.9</v>
      </c>
      <c r="AB29" s="14" t="n">
        <v>43.4</v>
      </c>
      <c r="AC29" s="14" t="n">
        <v>54.15</v>
      </c>
      <c r="AD29" s="14" t="n">
        <v>70.3</v>
      </c>
      <c r="AE29" s="14" t="n">
        <v>83.55</v>
      </c>
      <c r="AF29" s="14" t="n"/>
      <c r="AG29" s="14" t="n"/>
      <c r="AH29" s="14" t="n"/>
      <c r="AI29" s="14" t="n">
        <v>43.9</v>
      </c>
      <c r="AJ29" s="14" t="n">
        <v>39.9</v>
      </c>
      <c r="AK29" s="14" t="n">
        <v>15</v>
      </c>
      <c r="AL29" s="14" t="n">
        <v>9</v>
      </c>
      <c r="AM29" s="14" t="n">
        <v>37.4</v>
      </c>
      <c r="AN29" s="7" t="n">
        <v>225</v>
      </c>
      <c r="AO29" s="7" t="n">
        <v>80</v>
      </c>
      <c r="AP29" s="7" t="n">
        <v>48</v>
      </c>
      <c r="AQ29" s="4" t="n">
        <v>1</v>
      </c>
      <c r="AR29" s="4" t="n">
        <v>1</v>
      </c>
      <c r="AS29" s="4" t="n">
        <v>0</v>
      </c>
      <c r="AT29" s="4" t="n">
        <v>0</v>
      </c>
      <c r="AU29" s="4" t="n">
        <v>0</v>
      </c>
      <c r="AV29" s="4" t="n">
        <v>1</v>
      </c>
      <c r="AW29" s="4" t="n">
        <v>1</v>
      </c>
      <c r="AX29" s="4" t="n">
        <v>1</v>
      </c>
      <c r="AY29" s="4" t="n">
        <v>1</v>
      </c>
      <c r="AZ29" s="4" t="n">
        <v>1</v>
      </c>
    </row>
    <row r="30">
      <c r="A30" s="4" t="inlineStr">
        <is>
          <t>ChIJF9j3OCRbzpQRkk74_QtOk_0</t>
        </is>
      </c>
      <c r="B30" s="4" t="inlineStr">
        <is>
          <t>Coletivo Geek</t>
        </is>
      </c>
      <c r="C30" s="4" t="inlineStr">
        <is>
          <t>São Paulo</t>
        </is>
      </c>
      <c r="D30" s="4" t="inlineStr">
        <is>
          <t>Sudeste</t>
        </is>
      </c>
      <c r="E30" s="5" t="n">
        <v>4.7</v>
      </c>
      <c r="F30" s="7" t="n">
        <v>477</v>
      </c>
      <c r="G30" s="9" t="n">
        <v>6</v>
      </c>
      <c r="H30" s="9" t="n">
        <v>47</v>
      </c>
      <c r="I30" s="9" t="n">
        <v>13</v>
      </c>
      <c r="J30" s="9" t="n">
        <v>23</v>
      </c>
      <c r="K30" s="5" t="n">
        <v>0</v>
      </c>
      <c r="L30" s="5" t="n">
        <v>1</v>
      </c>
      <c r="M30" s="7" t="n">
        <v>555</v>
      </c>
      <c r="N30" s="5" t="n"/>
      <c r="O30" s="5" t="n"/>
      <c r="P30" s="7" t="n">
        <v>494</v>
      </c>
      <c r="Q30" s="7" t="n">
        <v>13059</v>
      </c>
      <c r="R30" s="7" t="n">
        <v>501</v>
      </c>
      <c r="S30" s="9" t="n">
        <v>7.53</v>
      </c>
      <c r="T30" s="9" t="n">
        <v>3</v>
      </c>
      <c r="U30" s="7" t="n">
        <v>159</v>
      </c>
      <c r="V30" s="7" t="n">
        <v>5</v>
      </c>
      <c r="W30" s="9" t="n">
        <v>54.67</v>
      </c>
      <c r="X30" s="12" t="n">
        <v>0.00419</v>
      </c>
      <c r="Y30" s="7" t="n">
        <v>71</v>
      </c>
      <c r="Z30" s="14" t="n"/>
      <c r="AA30" s="14" t="n">
        <v>28</v>
      </c>
      <c r="AB30" s="14" t="n">
        <v>32</v>
      </c>
      <c r="AC30" s="14" t="n">
        <v>47.5</v>
      </c>
      <c r="AD30" s="14" t="n">
        <v>60</v>
      </c>
      <c r="AE30" s="14" t="n">
        <v>69</v>
      </c>
      <c r="AF30" s="14" t="n"/>
      <c r="AG30" s="14" t="n"/>
      <c r="AH30" s="14" t="n"/>
      <c r="AI30" s="14" t="n">
        <v>28</v>
      </c>
      <c r="AJ30" s="14" t="n">
        <v>28</v>
      </c>
      <c r="AK30" s="14" t="n">
        <v>22</v>
      </c>
      <c r="AL30" s="14" t="n">
        <v>8</v>
      </c>
      <c r="AM30" s="14" t="n">
        <v>30</v>
      </c>
      <c r="AN30" s="7" t="n"/>
      <c r="AO30" s="7" t="n">
        <v>12</v>
      </c>
      <c r="AP30" s="7" t="n">
        <v>3</v>
      </c>
      <c r="AQ30" s="4" t="n">
        <v>1</v>
      </c>
      <c r="AR30" s="4" t="n">
        <v>1</v>
      </c>
      <c r="AS30" s="4" t="n">
        <v>0</v>
      </c>
      <c r="AT30" s="4" t="n">
        <v>0</v>
      </c>
      <c r="AU30" s="4" t="n">
        <v>1</v>
      </c>
      <c r="AV30" s="4" t="n">
        <v>1</v>
      </c>
      <c r="AW30" s="4" t="n">
        <v>1</v>
      </c>
      <c r="AX30" s="4" t="n">
        <v>1</v>
      </c>
      <c r="AY30" s="4" t="n">
        <v>1</v>
      </c>
      <c r="AZ30" s="4" t="n">
        <v>1</v>
      </c>
    </row>
    <row r="31">
      <c r="A31" s="4" t="inlineStr">
        <is>
          <t>ChIJ7_DDAlH1zpQRJVJ0UHnItH8</t>
        </is>
      </c>
      <c r="B31" s="4" t="inlineStr">
        <is>
          <t>Covil Game Bar</t>
        </is>
      </c>
      <c r="C31" s="4" t="inlineStr">
        <is>
          <t>São Paulo</t>
        </is>
      </c>
      <c r="D31" s="4" t="inlineStr">
        <is>
          <t>Sudeste</t>
        </is>
      </c>
      <c r="E31" s="5" t="n">
        <v>4.6</v>
      </c>
      <c r="F31" s="7" t="n">
        <v>1714</v>
      </c>
      <c r="G31" s="9" t="n">
        <v>5</v>
      </c>
      <c r="H31" s="9" t="n">
        <v>32</v>
      </c>
      <c r="I31" s="9" t="n">
        <v>18</v>
      </c>
      <c r="J31" s="9" t="n">
        <v>25</v>
      </c>
      <c r="K31" s="5" t="n">
        <v>0</v>
      </c>
      <c r="L31" s="5" t="n">
        <v>0</v>
      </c>
      <c r="M31" s="7" t="n"/>
      <c r="N31" s="5" t="n"/>
      <c r="O31" s="5" t="n"/>
      <c r="P31" s="7" t="n">
        <v>424</v>
      </c>
      <c r="Q31" s="7" t="n">
        <v>206000</v>
      </c>
      <c r="R31" s="7" t="n">
        <v>790</v>
      </c>
      <c r="S31" s="9" t="n">
        <v>9.869999999999999</v>
      </c>
      <c r="T31" s="9" t="n">
        <v>13</v>
      </c>
      <c r="U31" s="7" t="n">
        <v>90413</v>
      </c>
      <c r="V31" s="7" t="n">
        <v>949</v>
      </c>
      <c r="W31" s="9" t="n">
        <v>7027.85</v>
      </c>
      <c r="X31" s="12" t="n">
        <v>0.03412</v>
      </c>
      <c r="Y31" s="7" t="n">
        <v>73</v>
      </c>
      <c r="Z31" s="14" t="n">
        <v>17.5</v>
      </c>
      <c r="AA31" s="14" t="n">
        <v>18</v>
      </c>
      <c r="AB31" s="14" t="n">
        <v>34</v>
      </c>
      <c r="AC31" s="14" t="n">
        <v>43</v>
      </c>
      <c r="AD31" s="14" t="n">
        <v>52</v>
      </c>
      <c r="AE31" s="14" t="n">
        <v>60</v>
      </c>
      <c r="AF31" s="14" t="n">
        <v>59.25</v>
      </c>
      <c r="AG31" s="14" t="n">
        <v>69.5</v>
      </c>
      <c r="AH31" s="14" t="n">
        <v>78.75</v>
      </c>
      <c r="AI31" s="14" t="n">
        <v>29</v>
      </c>
      <c r="AJ31" s="14" t="n">
        <v>50</v>
      </c>
      <c r="AK31" s="14" t="n">
        <v>17</v>
      </c>
      <c r="AL31" s="14" t="n">
        <v>8</v>
      </c>
      <c r="AM31" s="14" t="n">
        <v>21.5</v>
      </c>
      <c r="AN31" s="7" t="n">
        <v>239</v>
      </c>
      <c r="AO31" s="7" t="n">
        <v>17</v>
      </c>
      <c r="AP31" s="7" t="n">
        <v>6</v>
      </c>
      <c r="AQ31" s="4" t="n">
        <v>0</v>
      </c>
      <c r="AR31" s="4" t="n">
        <v>1</v>
      </c>
      <c r="AS31" s="4" t="n">
        <v>1</v>
      </c>
      <c r="AT31" s="4" t="n">
        <v>0</v>
      </c>
      <c r="AU31" s="4" t="n">
        <v>0</v>
      </c>
      <c r="AV31" s="4" t="n">
        <v>1</v>
      </c>
      <c r="AW31" s="4" t="n">
        <v>1</v>
      </c>
      <c r="AX31" s="4" t="n">
        <v>1</v>
      </c>
      <c r="AY31" s="4" t="n">
        <v>1</v>
      </c>
      <c r="AZ31" s="4" t="n">
        <v>1</v>
      </c>
    </row>
    <row r="32">
      <c r="A32" s="4" t="inlineStr">
        <is>
          <t>ChIJiZJ_DnIDz5QRaVafFCXGkUE</t>
        </is>
      </c>
      <c r="B32" s="4" t="inlineStr">
        <is>
          <t>Dungeon Games Store</t>
        </is>
      </c>
      <c r="C32" s="4" t="inlineStr">
        <is>
          <t>São Paulo</t>
        </is>
      </c>
      <c r="D32" s="4" t="inlineStr">
        <is>
          <t>Sudeste</t>
        </is>
      </c>
      <c r="E32" s="5" t="n">
        <v>4.9</v>
      </c>
      <c r="F32" s="7" t="n">
        <v>217</v>
      </c>
      <c r="G32" s="9" t="n">
        <v>5</v>
      </c>
      <c r="H32" s="9" t="n">
        <v>33</v>
      </c>
      <c r="I32" s="9" t="n">
        <v>13</v>
      </c>
      <c r="J32" s="9" t="n">
        <v>22</v>
      </c>
      <c r="K32" s="5" t="n">
        <v>0</v>
      </c>
      <c r="L32" s="5" t="n">
        <v>0</v>
      </c>
      <c r="M32" s="7" t="n"/>
      <c r="N32" s="5" t="n"/>
      <c r="O32" s="5" t="n"/>
      <c r="P32" s="7" t="n"/>
      <c r="Q32" s="7" t="n">
        <v>2732</v>
      </c>
      <c r="R32" s="7" t="n">
        <v>270</v>
      </c>
      <c r="S32" s="9" t="n">
        <v>4.93</v>
      </c>
      <c r="T32" s="9" t="n">
        <v>5</v>
      </c>
      <c r="U32" s="7" t="n">
        <v>107</v>
      </c>
      <c r="V32" s="7" t="n">
        <v>46</v>
      </c>
      <c r="W32" s="9" t="n">
        <v>30.6</v>
      </c>
      <c r="X32" s="12" t="n">
        <v>0.0112</v>
      </c>
      <c r="Y32" s="7" t="n">
        <v>42</v>
      </c>
      <c r="Z32" s="14" t="n"/>
      <c r="AA32" s="14" t="n">
        <v>14</v>
      </c>
      <c r="AB32" s="14" t="n">
        <v>30</v>
      </c>
      <c r="AC32" s="14" t="n">
        <v>35.75</v>
      </c>
      <c r="AD32" s="14" t="n">
        <v>44</v>
      </c>
      <c r="AE32" s="14" t="n">
        <v>52.5</v>
      </c>
      <c r="AF32" s="14" t="n"/>
      <c r="AG32" s="14" t="n"/>
      <c r="AH32" s="14" t="n"/>
      <c r="AI32" s="14" t="n">
        <v>31</v>
      </c>
      <c r="AJ32" s="14" t="n">
        <v>30</v>
      </c>
      <c r="AK32" s="14" t="n">
        <v>12</v>
      </c>
      <c r="AL32" s="14" t="n">
        <v>8</v>
      </c>
      <c r="AM32" s="14" t="n">
        <v>28</v>
      </c>
      <c r="AN32" s="7" t="n">
        <v>90</v>
      </c>
      <c r="AO32" s="7" t="n">
        <v>7</v>
      </c>
      <c r="AP32" s="7" t="n">
        <v>4</v>
      </c>
      <c r="AQ32" s="4" t="n">
        <v>0</v>
      </c>
      <c r="AR32" s="4" t="n">
        <v>1</v>
      </c>
      <c r="AS32" s="4" t="n">
        <v>0</v>
      </c>
      <c r="AT32" s="4" t="n">
        <v>0</v>
      </c>
      <c r="AU32" s="4" t="n">
        <v>0</v>
      </c>
      <c r="AV32" s="4" t="n">
        <v>1</v>
      </c>
      <c r="AW32" s="4" t="n">
        <v>1</v>
      </c>
      <c r="AX32" s="4" t="n">
        <v>1</v>
      </c>
      <c r="AY32" s="4" t="n">
        <v>1</v>
      </c>
      <c r="AZ32" s="4" t="n">
        <v>1</v>
      </c>
    </row>
    <row r="33">
      <c r="A33" s="4" t="inlineStr">
        <is>
          <t>ChIJZz29dnVXzpQRvRh7_YKyUN4</t>
        </is>
      </c>
      <c r="B33" s="4" t="inlineStr">
        <is>
          <t>Encounter | Jogos de Tabuleiro | Board Games</t>
        </is>
      </c>
      <c r="C33" s="4" t="inlineStr">
        <is>
          <t>São Paulo</t>
        </is>
      </c>
      <c r="D33" s="4" t="inlineStr">
        <is>
          <t>Sudeste</t>
        </is>
      </c>
      <c r="E33" s="5" t="n">
        <v>4.8</v>
      </c>
      <c r="F33" s="7" t="n">
        <v>1123</v>
      </c>
      <c r="G33" s="9" t="n">
        <v>6</v>
      </c>
      <c r="H33" s="9" t="n">
        <v>45</v>
      </c>
      <c r="I33" s="9" t="n">
        <v>13</v>
      </c>
      <c r="J33" s="9" t="n">
        <v>25</v>
      </c>
      <c r="K33" s="5" t="n">
        <v>0</v>
      </c>
      <c r="L33" s="5" t="n">
        <v>1</v>
      </c>
      <c r="M33" s="7" t="n">
        <v>687</v>
      </c>
      <c r="N33" s="5" t="n"/>
      <c r="O33" s="5" t="n"/>
      <c r="P33" s="7" t="n">
        <v>835</v>
      </c>
      <c r="Q33" s="7" t="n">
        <v>22391</v>
      </c>
      <c r="R33" s="7" t="n">
        <v>1163</v>
      </c>
      <c r="S33" s="9" t="n">
        <v>9.710000000000001</v>
      </c>
      <c r="T33" s="9" t="n">
        <v>15</v>
      </c>
      <c r="U33" s="7" t="n">
        <v>1020</v>
      </c>
      <c r="V33" s="7" t="n">
        <v>60</v>
      </c>
      <c r="W33" s="9" t="n">
        <v>72</v>
      </c>
      <c r="X33" s="12" t="n">
        <v>0.00322</v>
      </c>
      <c r="Y33" s="7" t="n">
        <v>26</v>
      </c>
      <c r="Z33" s="14" t="n">
        <v>40</v>
      </c>
      <c r="AA33" s="14" t="n">
        <v>27.9</v>
      </c>
      <c r="AB33" s="14" t="n">
        <v>39.9</v>
      </c>
      <c r="AC33" s="14" t="n">
        <v>62.8</v>
      </c>
      <c r="AD33" s="14" t="n">
        <v>67.8</v>
      </c>
      <c r="AE33" s="14" t="n">
        <v>76.8</v>
      </c>
      <c r="AF33" s="14" t="n">
        <v>101.55</v>
      </c>
      <c r="AG33" s="14" t="n">
        <v>107.8</v>
      </c>
      <c r="AH33" s="14" t="n">
        <v>118.05</v>
      </c>
      <c r="AI33" s="14" t="n">
        <v>38</v>
      </c>
      <c r="AJ33" s="14" t="n">
        <v>24.9</v>
      </c>
      <c r="AK33" s="14" t="n"/>
      <c r="AL33" s="14" t="n"/>
      <c r="AM33" s="14" t="n"/>
      <c r="AN33" s="7" t="n"/>
      <c r="AO33" s="7" t="n">
        <v>81</v>
      </c>
      <c r="AP33" s="7" t="n">
        <v>62</v>
      </c>
      <c r="AQ33" s="4" t="n">
        <v>1</v>
      </c>
      <c r="AR33" s="4" t="n">
        <v>1</v>
      </c>
      <c r="AS33" s="4" t="n">
        <v>1</v>
      </c>
      <c r="AT33" s="4" t="n">
        <v>0</v>
      </c>
      <c r="AU33" s="4" t="n">
        <v>1</v>
      </c>
      <c r="AV33" s="4" t="n">
        <v>1</v>
      </c>
      <c r="AW33" s="4" t="n">
        <v>1</v>
      </c>
      <c r="AX33" s="4" t="n">
        <v>1</v>
      </c>
      <c r="AY33" s="4" t="n">
        <v>1</v>
      </c>
      <c r="AZ33" s="4" t="n">
        <v>1</v>
      </c>
    </row>
    <row r="34">
      <c r="A34" s="4" t="inlineStr">
        <is>
          <t>ChIJ_aN4OAxXzpQR0UH63sAeVCA</t>
        </is>
      </c>
      <c r="B34" s="4" t="inlineStr">
        <is>
          <t>Fan Hour Games and Burgers</t>
        </is>
      </c>
      <c r="C34" s="4" t="inlineStr">
        <is>
          <t>São Paulo</t>
        </is>
      </c>
      <c r="D34" s="4" t="inlineStr">
        <is>
          <t>Sudeste</t>
        </is>
      </c>
      <c r="E34" s="5" t="n">
        <v>4.5</v>
      </c>
      <c r="F34" s="7" t="n">
        <v>2363</v>
      </c>
      <c r="G34" s="9" t="n">
        <v>6</v>
      </c>
      <c r="H34" s="9" t="n">
        <v>36.5</v>
      </c>
      <c r="I34" s="9" t="n">
        <v>13</v>
      </c>
      <c r="J34" s="9" t="n">
        <v>23</v>
      </c>
      <c r="K34" s="5" t="n">
        <v>0</v>
      </c>
      <c r="L34" s="5" t="n">
        <v>2</v>
      </c>
      <c r="M34" s="7" t="n">
        <v>628</v>
      </c>
      <c r="N34" s="5" t="n"/>
      <c r="O34" s="5" t="n"/>
      <c r="P34" s="7" t="n"/>
      <c r="Q34" s="7" t="n">
        <v>110000</v>
      </c>
      <c r="R34" s="7" t="n">
        <v>1403</v>
      </c>
      <c r="S34" s="9" t="n">
        <v>6.89</v>
      </c>
      <c r="T34" s="9" t="n">
        <v>25</v>
      </c>
      <c r="U34" s="7" t="n">
        <v>3092</v>
      </c>
      <c r="V34" s="7" t="n">
        <v>119</v>
      </c>
      <c r="W34" s="9" t="n">
        <v>128.44</v>
      </c>
      <c r="X34" s="12" t="n">
        <v>0.00117</v>
      </c>
      <c r="Y34" s="7" t="n">
        <v>27</v>
      </c>
      <c r="Z34" s="14" t="n">
        <v>20</v>
      </c>
      <c r="AA34" s="14" t="n">
        <v>32.4</v>
      </c>
      <c r="AB34" s="14" t="n">
        <v>37.3</v>
      </c>
      <c r="AC34" s="14" t="n">
        <v>58.35</v>
      </c>
      <c r="AD34" s="14" t="n">
        <v>69.7</v>
      </c>
      <c r="AE34" s="14" t="n">
        <v>87.8</v>
      </c>
      <c r="AF34" s="14" t="n">
        <v>78.34999999999999</v>
      </c>
      <c r="AG34" s="14" t="n">
        <v>89.7</v>
      </c>
      <c r="AH34" s="14" t="n">
        <v>107.8</v>
      </c>
      <c r="AI34" s="14" t="n">
        <v>50.3</v>
      </c>
      <c r="AJ34" s="14" t="n">
        <v>26.7</v>
      </c>
      <c r="AK34" s="14" t="n"/>
      <c r="AL34" s="14" t="n"/>
      <c r="AM34" s="14" t="n"/>
      <c r="AN34" s="7" t="n"/>
      <c r="AO34" s="7" t="n">
        <v>120</v>
      </c>
      <c r="AP34" s="7" t="n">
        <v>79</v>
      </c>
      <c r="AQ34" s="4" t="n">
        <v>1</v>
      </c>
      <c r="AR34" s="4" t="n">
        <v>1</v>
      </c>
      <c r="AS34" s="4" t="n">
        <v>1</v>
      </c>
      <c r="AT34" s="4" t="n">
        <v>0</v>
      </c>
      <c r="AU34" s="4" t="n">
        <v>1</v>
      </c>
      <c r="AV34" s="4" t="n">
        <v>1</v>
      </c>
      <c r="AW34" s="4" t="n">
        <v>1</v>
      </c>
      <c r="AX34" s="4" t="n">
        <v>1</v>
      </c>
      <c r="AY34" s="4" t="n">
        <v>1</v>
      </c>
      <c r="AZ34" s="4" t="n">
        <v>1</v>
      </c>
    </row>
    <row r="35">
      <c r="A35" s="4" t="inlineStr">
        <is>
          <t>ChIJa3UsDhRczpQRPPSuDl6acO8</t>
        </is>
      </c>
      <c r="B35" s="4" t="inlineStr">
        <is>
          <t>Flow Games - Burgers, Cards &amp; Comunidade</t>
        </is>
      </c>
      <c r="C35" s="4" t="inlineStr">
        <is>
          <t>São Paulo</t>
        </is>
      </c>
      <c r="D35" s="4" t="inlineStr">
        <is>
          <t>Sudeste</t>
        </is>
      </c>
      <c r="E35" s="5" t="n">
        <v>4.6</v>
      </c>
      <c r="F35" s="7" t="n">
        <v>503</v>
      </c>
      <c r="G35" s="9" t="n">
        <v>5</v>
      </c>
      <c r="H35" s="9" t="n">
        <v>37</v>
      </c>
      <c r="I35" s="9" t="n">
        <v>11</v>
      </c>
      <c r="J35" s="9" t="n">
        <v>22</v>
      </c>
      <c r="K35" s="5" t="n">
        <v>1</v>
      </c>
      <c r="L35" s="5" t="n">
        <v>1</v>
      </c>
      <c r="M35" s="7" t="n">
        <v>435</v>
      </c>
      <c r="N35" s="5" t="n"/>
      <c r="O35" s="5" t="n"/>
      <c r="P35" s="7" t="n">
        <v>818</v>
      </c>
      <c r="Q35" s="7" t="n">
        <v>8944</v>
      </c>
      <c r="R35" s="7" t="n">
        <v>1666</v>
      </c>
      <c r="S35" s="9" t="n">
        <v>10.76</v>
      </c>
      <c r="T35" s="9" t="n">
        <v>17</v>
      </c>
      <c r="U35" s="7" t="n">
        <v>393</v>
      </c>
      <c r="V35" s="7" t="n">
        <v>19</v>
      </c>
      <c r="W35" s="9" t="n">
        <v>24.24</v>
      </c>
      <c r="X35" s="12" t="n">
        <v>0.00271</v>
      </c>
      <c r="Y35" s="7" t="n">
        <v>16</v>
      </c>
      <c r="Z35" s="14" t="n"/>
      <c r="AA35" s="14" t="n">
        <v>6</v>
      </c>
      <c r="AB35" s="14" t="n">
        <v>14</v>
      </c>
      <c r="AC35" s="14" t="n">
        <v>17</v>
      </c>
      <c r="AD35" s="14" t="n">
        <v>20</v>
      </c>
      <c r="AE35" s="14" t="n">
        <v>41.9</v>
      </c>
      <c r="AF35" s="14" t="n"/>
      <c r="AG35" s="14" t="n"/>
      <c r="AH35" s="14" t="n"/>
      <c r="AI35" s="14" t="n">
        <v>12</v>
      </c>
      <c r="AJ35" s="14" t="n">
        <v>10</v>
      </c>
      <c r="AK35" s="14" t="n">
        <v>6.5</v>
      </c>
      <c r="AL35" s="14" t="n">
        <v>6</v>
      </c>
      <c r="AM35" s="14" t="n"/>
      <c r="AN35" s="7" t="n"/>
      <c r="AO35" s="7" t="n">
        <v>29</v>
      </c>
      <c r="AP35" s="7" t="n">
        <v>16</v>
      </c>
      <c r="AQ35" s="4" t="n">
        <v>1</v>
      </c>
      <c r="AR35" s="4" t="n">
        <v>1</v>
      </c>
      <c r="AS35" s="4" t="n">
        <v>0</v>
      </c>
      <c r="AT35" s="4" t="n">
        <v>0</v>
      </c>
      <c r="AU35" s="4" t="n">
        <v>1</v>
      </c>
      <c r="AV35" s="4" t="n">
        <v>1</v>
      </c>
      <c r="AW35" s="4" t="n">
        <v>1</v>
      </c>
      <c r="AX35" s="4" t="n">
        <v>1</v>
      </c>
      <c r="AY35" s="4" t="n">
        <v>1</v>
      </c>
      <c r="AZ35" s="4" t="n">
        <v>0</v>
      </c>
    </row>
    <row r="36">
      <c r="A36" s="4" t="inlineStr">
        <is>
          <t>ChIJn7uU0RNbzpQRI4GI9KHOo_s</t>
        </is>
      </c>
      <c r="B36" s="4" t="inlineStr">
        <is>
          <t>Jogasampa</t>
        </is>
      </c>
      <c r="C36" s="4" t="inlineStr">
        <is>
          <t>São Paulo</t>
        </is>
      </c>
      <c r="D36" s="4" t="inlineStr">
        <is>
          <t>Sudeste</t>
        </is>
      </c>
      <c r="E36" s="5" t="n">
        <v>4.7</v>
      </c>
      <c r="F36" s="7" t="n">
        <v>402</v>
      </c>
      <c r="G36" s="9" t="n">
        <v>6</v>
      </c>
      <c r="H36" s="9" t="n">
        <v>48</v>
      </c>
      <c r="I36" s="9" t="n">
        <v>13</v>
      </c>
      <c r="J36" s="9" t="n">
        <v>21</v>
      </c>
      <c r="K36" s="5" t="n">
        <v>0</v>
      </c>
      <c r="L36" s="5" t="n">
        <v>1</v>
      </c>
      <c r="M36" s="7" t="n">
        <v>587</v>
      </c>
      <c r="N36" s="5" t="n"/>
      <c r="O36" s="5" t="n"/>
      <c r="P36" s="7" t="n">
        <v>438</v>
      </c>
      <c r="Q36" s="7" t="n">
        <v>5966</v>
      </c>
      <c r="R36" s="7" t="n">
        <v>756</v>
      </c>
      <c r="S36" s="9" t="n">
        <v>9.859999999999999</v>
      </c>
      <c r="T36" s="9" t="n">
        <v>8</v>
      </c>
      <c r="U36" s="7" t="n">
        <v>111</v>
      </c>
      <c r="V36" s="7" t="n">
        <v>0</v>
      </c>
      <c r="W36" s="9" t="n">
        <v>13.88</v>
      </c>
      <c r="X36" s="12" t="n">
        <v>0.00233</v>
      </c>
      <c r="Y36" s="7" t="n">
        <v>7</v>
      </c>
      <c r="Z36" s="14" t="n"/>
      <c r="AA36" s="14" t="n">
        <v>6</v>
      </c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>
        <v>6</v>
      </c>
      <c r="AM36" s="14" t="n"/>
      <c r="AN36" s="7" t="n">
        <v>331</v>
      </c>
      <c r="AO36" s="7" t="n">
        <v>5</v>
      </c>
      <c r="AP36" s="7" t="n">
        <v>3</v>
      </c>
      <c r="AQ36" s="4" t="n">
        <v>1</v>
      </c>
      <c r="AR36" s="4" t="n">
        <v>1</v>
      </c>
      <c r="AS36" s="4" t="n">
        <v>0</v>
      </c>
      <c r="AT36" s="4" t="n">
        <v>0</v>
      </c>
      <c r="AU36" s="4" t="n">
        <v>1</v>
      </c>
      <c r="AV36" s="4" t="n">
        <v>1</v>
      </c>
      <c r="AW36" s="4" t="n">
        <v>1</v>
      </c>
      <c r="AX36" s="4" t="n">
        <v>1</v>
      </c>
      <c r="AY36" s="4" t="n">
        <v>1</v>
      </c>
      <c r="AZ36" s="4" t="n">
        <v>1</v>
      </c>
    </row>
    <row r="37">
      <c r="A37" s="4" t="inlineStr">
        <is>
          <t>ChIJTaG5ALpZzpQRUDErQ-RkfTs</t>
        </is>
      </c>
      <c r="B37" s="4" t="inlineStr">
        <is>
          <t>Ludus Luderia</t>
        </is>
      </c>
      <c r="C37" s="4" t="inlineStr">
        <is>
          <t>São Paulo</t>
        </is>
      </c>
      <c r="D37" s="4" t="inlineStr">
        <is>
          <t>Sudeste</t>
        </is>
      </c>
      <c r="E37" s="5" t="n">
        <v>4.6</v>
      </c>
      <c r="F37" s="7" t="n">
        <v>5137</v>
      </c>
      <c r="G37" s="9" t="n">
        <v>4</v>
      </c>
      <c r="H37" s="9" t="n">
        <v>31</v>
      </c>
      <c r="I37" s="9" t="n">
        <v>13</v>
      </c>
      <c r="J37" s="9" t="n">
        <v>25</v>
      </c>
      <c r="K37" s="5" t="n">
        <v>0</v>
      </c>
      <c r="L37" s="5" t="n">
        <v>3</v>
      </c>
      <c r="M37" s="7" t="n">
        <v>768</v>
      </c>
      <c r="N37" s="5" t="n"/>
      <c r="O37" s="5" t="n"/>
      <c r="P37" s="7" t="n">
        <v>119</v>
      </c>
      <c r="Q37" s="7" t="n">
        <v>90400</v>
      </c>
      <c r="R37" s="7" t="n"/>
      <c r="S37" s="9" t="n">
        <v>4.97</v>
      </c>
      <c r="T37" s="9" t="n">
        <v>12</v>
      </c>
      <c r="U37" s="7" t="n">
        <v>1505</v>
      </c>
      <c r="V37" s="7" t="n">
        <v>92</v>
      </c>
      <c r="W37" s="9" t="n">
        <v>133.08</v>
      </c>
      <c r="X37" s="12" t="n">
        <v>0.00147</v>
      </c>
      <c r="Y37" s="7" t="n">
        <v>161</v>
      </c>
      <c r="Z37" s="14" t="n">
        <v>0</v>
      </c>
      <c r="AA37" s="14" t="n">
        <v>34</v>
      </c>
      <c r="AB37" s="14" t="n">
        <v>48</v>
      </c>
      <c r="AC37" s="14" t="n">
        <v>63</v>
      </c>
      <c r="AD37" s="14" t="n">
        <v>82</v>
      </c>
      <c r="AE37" s="14" t="n">
        <v>92.5</v>
      </c>
      <c r="AF37" s="14" t="n">
        <v>63</v>
      </c>
      <c r="AG37" s="14" t="n">
        <v>82</v>
      </c>
      <c r="AH37" s="14" t="n">
        <v>92.5</v>
      </c>
      <c r="AI37" s="14" t="n">
        <v>42</v>
      </c>
      <c r="AJ37" s="14" t="n">
        <v>48</v>
      </c>
      <c r="AK37" s="14" t="n">
        <v>18.5</v>
      </c>
      <c r="AL37" s="14" t="n">
        <v>9</v>
      </c>
      <c r="AM37" s="14" t="n">
        <v>36</v>
      </c>
      <c r="AN37" s="7" t="n">
        <v>199</v>
      </c>
      <c r="AO37" s="7" t="n">
        <v>51</v>
      </c>
      <c r="AP37" s="7" t="n">
        <v>28</v>
      </c>
      <c r="AQ37" s="4" t="n">
        <v>1</v>
      </c>
      <c r="AR37" s="4" t="n">
        <v>1</v>
      </c>
      <c r="AS37" s="4" t="n">
        <v>1</v>
      </c>
      <c r="AT37" s="4" t="n">
        <v>0</v>
      </c>
      <c r="AU37" s="4" t="n">
        <v>0</v>
      </c>
      <c r="AV37" s="4" t="n">
        <v>0</v>
      </c>
      <c r="AW37" s="4" t="n">
        <v>1</v>
      </c>
      <c r="AX37" s="4" t="n">
        <v>1</v>
      </c>
      <c r="AY37" s="4" t="n">
        <v>1</v>
      </c>
      <c r="AZ37" s="4" t="n">
        <v>1</v>
      </c>
    </row>
    <row r="38">
      <c r="A38" s="4" t="inlineStr">
        <is>
          <t>ChIJE43rt29ZzpQRnvADt6pXfto</t>
        </is>
      </c>
      <c r="B38" s="4" t="inlineStr">
        <is>
          <t>OMNIVERSE</t>
        </is>
      </c>
      <c r="C38" s="4" t="inlineStr">
        <is>
          <t>São Paulo</t>
        </is>
      </c>
      <c r="D38" s="4" t="inlineStr">
        <is>
          <t>Sudeste</t>
        </is>
      </c>
      <c r="E38" s="5" t="n">
        <v>4.8</v>
      </c>
      <c r="F38" s="7" t="n">
        <v>1145</v>
      </c>
      <c r="G38" s="9" t="n">
        <v>5</v>
      </c>
      <c r="H38" s="9" t="n">
        <v>46</v>
      </c>
      <c r="I38" s="9" t="n">
        <v>12</v>
      </c>
      <c r="J38" s="9" t="n">
        <v>24</v>
      </c>
      <c r="K38" s="5" t="n">
        <v>0</v>
      </c>
      <c r="L38" s="5" t="n">
        <v>2</v>
      </c>
      <c r="M38" s="7" t="n">
        <v>820</v>
      </c>
      <c r="N38" s="5" t="n"/>
      <c r="O38" s="5" t="n"/>
      <c r="P38" s="7" t="n"/>
      <c r="Q38" s="7" t="n">
        <v>8510</v>
      </c>
      <c r="R38" s="7" t="n">
        <v>918</v>
      </c>
      <c r="S38" s="9" t="n">
        <v>13.68</v>
      </c>
      <c r="T38" s="9" t="n">
        <v>8</v>
      </c>
      <c r="U38" s="7" t="n">
        <v>510</v>
      </c>
      <c r="V38" s="7" t="n">
        <v>27</v>
      </c>
      <c r="W38" s="9" t="n">
        <v>67.12</v>
      </c>
      <c r="X38" s="12" t="n">
        <v>0.007889999999999999</v>
      </c>
      <c r="Y38" s="7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7" t="n">
        <v>59</v>
      </c>
      <c r="AO38" s="7" t="n">
        <v>31</v>
      </c>
      <c r="AP38" s="7" t="n">
        <v>18</v>
      </c>
      <c r="AQ38" s="4" t="n">
        <v>1</v>
      </c>
      <c r="AR38" s="4" t="n">
        <v>0</v>
      </c>
      <c r="AS38" s="4" t="n"/>
      <c r="AT38" s="4" t="n">
        <v>0</v>
      </c>
      <c r="AU38" s="4" t="n">
        <v>0</v>
      </c>
      <c r="AV38" s="4" t="n">
        <v>1</v>
      </c>
      <c r="AW38" s="4" t="n">
        <v>1</v>
      </c>
      <c r="AX38" s="4" t="n">
        <v>1</v>
      </c>
      <c r="AY38" s="4" t="n">
        <v>1</v>
      </c>
      <c r="AZ38" s="4" t="n">
        <v>1</v>
      </c>
    </row>
    <row r="39">
      <c r="A39" s="4" t="inlineStr">
        <is>
          <t>ChIJo-6lZMlezpQRmgUpUPfmRIs</t>
        </is>
      </c>
      <c r="B39" s="4" t="inlineStr">
        <is>
          <t>Pitta's Board Games</t>
        </is>
      </c>
      <c r="C39" s="4" t="inlineStr">
        <is>
          <t>São Paulo</t>
        </is>
      </c>
      <c r="D39" s="4" t="inlineStr">
        <is>
          <t>Sudeste</t>
        </is>
      </c>
      <c r="E39" s="5" t="n">
        <v>4.9</v>
      </c>
      <c r="F39" s="7" t="n">
        <v>663</v>
      </c>
      <c r="G39" s="9" t="n">
        <v>6</v>
      </c>
      <c r="H39" s="9" t="n">
        <v>58</v>
      </c>
      <c r="I39" s="9" t="n">
        <v>11</v>
      </c>
      <c r="J39" s="9" t="n">
        <v>22</v>
      </c>
      <c r="K39" s="5" t="n">
        <v>0</v>
      </c>
      <c r="L39" s="5" t="n">
        <v>1</v>
      </c>
      <c r="M39" s="7" t="n">
        <v>566</v>
      </c>
      <c r="N39" s="5" t="n"/>
      <c r="O39" s="5" t="n"/>
      <c r="P39" s="7" t="n"/>
      <c r="Q39" s="7" t="n">
        <v>23415</v>
      </c>
      <c r="R39" s="7" t="n">
        <v>2269</v>
      </c>
      <c r="S39" s="9" t="n">
        <v>11.21</v>
      </c>
      <c r="T39" s="9" t="n">
        <v>21</v>
      </c>
      <c r="U39" s="7" t="n">
        <v>1389</v>
      </c>
      <c r="V39" s="7" t="n">
        <v>63</v>
      </c>
      <c r="W39" s="9" t="n">
        <v>69.14</v>
      </c>
      <c r="X39" s="12" t="n">
        <v>0.00295</v>
      </c>
      <c r="Y39" s="7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7" t="n">
        <v>227</v>
      </c>
      <c r="AO39" s="7" t="n">
        <v>14</v>
      </c>
      <c r="AP39" s="7" t="n">
        <v>7</v>
      </c>
      <c r="AQ39" s="4" t="n">
        <v>1</v>
      </c>
      <c r="AR39" s="4" t="n">
        <v>0</v>
      </c>
      <c r="AS39" s="4" t="n"/>
      <c r="AT39" s="4" t="n">
        <v>0</v>
      </c>
      <c r="AU39" s="4" t="n">
        <v>1</v>
      </c>
      <c r="AV39" s="4" t="n">
        <v>1</v>
      </c>
      <c r="AW39" s="4" t="n">
        <v>1</v>
      </c>
      <c r="AX39" s="4" t="n">
        <v>1</v>
      </c>
      <c r="AY39" s="4" t="n">
        <v>1</v>
      </c>
      <c r="AZ39" s="4" t="n">
        <v>1</v>
      </c>
    </row>
    <row r="40">
      <c r="A40" s="4" t="inlineStr">
        <is>
          <t>ChIJkWsGmd1czpQRGLydxc29vbw</t>
        </is>
      </c>
      <c r="B40" s="4" t="inlineStr">
        <is>
          <t>Place Games</t>
        </is>
      </c>
      <c r="C40" s="4" t="inlineStr">
        <is>
          <t>São Paulo</t>
        </is>
      </c>
      <c r="D40" s="4" t="inlineStr">
        <is>
          <t>Sudeste</t>
        </is>
      </c>
      <c r="E40" s="5" t="n">
        <v>4.8</v>
      </c>
      <c r="F40" s="7" t="n">
        <v>572</v>
      </c>
      <c r="G40" s="9" t="n">
        <v>5</v>
      </c>
      <c r="H40" s="9" t="n">
        <v>46</v>
      </c>
      <c r="I40" s="9" t="n">
        <v>10</v>
      </c>
      <c r="J40" s="9" t="n">
        <v>22</v>
      </c>
      <c r="K40" s="5" t="n">
        <v>0</v>
      </c>
      <c r="L40" s="5" t="n">
        <v>0</v>
      </c>
      <c r="M40" s="7" t="n"/>
      <c r="N40" s="5" t="n"/>
      <c r="O40" s="5" t="n"/>
      <c r="P40" s="7" t="n">
        <v>251</v>
      </c>
      <c r="Q40" s="7" t="n">
        <v>14021</v>
      </c>
      <c r="R40" s="7" t="n">
        <v>2362</v>
      </c>
      <c r="S40" s="9" t="n">
        <v>10.55</v>
      </c>
      <c r="T40" s="9" t="n">
        <v>23</v>
      </c>
      <c r="U40" s="7" t="n">
        <v>1917</v>
      </c>
      <c r="V40" s="7" t="n">
        <v>148</v>
      </c>
      <c r="W40" s="9" t="n">
        <v>89.78</v>
      </c>
      <c r="X40" s="12" t="n">
        <v>0.0064</v>
      </c>
      <c r="Y40" s="7" t="n">
        <v>56</v>
      </c>
      <c r="Z40" s="14" t="n">
        <v>12.5</v>
      </c>
      <c r="AA40" s="14" t="n">
        <v>9</v>
      </c>
      <c r="AB40" s="14" t="n">
        <v>29</v>
      </c>
      <c r="AC40" s="14" t="n">
        <v>17.9</v>
      </c>
      <c r="AD40" s="14" t="n">
        <v>38</v>
      </c>
      <c r="AE40" s="14" t="n">
        <v>52.72</v>
      </c>
      <c r="AF40" s="14" t="n">
        <v>24.15</v>
      </c>
      <c r="AG40" s="14" t="n">
        <v>50.5</v>
      </c>
      <c r="AH40" s="14" t="n">
        <v>71.47</v>
      </c>
      <c r="AI40" s="14" t="n">
        <v>38.9</v>
      </c>
      <c r="AJ40" s="14" t="n">
        <v>33</v>
      </c>
      <c r="AK40" s="14" t="n">
        <v>13</v>
      </c>
      <c r="AL40" s="14" t="n">
        <v>6.9</v>
      </c>
      <c r="AM40" s="14" t="n"/>
      <c r="AN40" s="7" t="n">
        <v>633</v>
      </c>
      <c r="AO40" s="7" t="n">
        <v>18</v>
      </c>
      <c r="AP40" s="7" t="n">
        <v>11</v>
      </c>
      <c r="AQ40" s="4" t="n">
        <v>0</v>
      </c>
      <c r="AR40" s="4" t="n">
        <v>1</v>
      </c>
      <c r="AS40" s="4" t="n">
        <v>1</v>
      </c>
      <c r="AT40" s="4" t="n">
        <v>0</v>
      </c>
      <c r="AU40" s="4" t="n">
        <v>0</v>
      </c>
      <c r="AV40" s="4" t="n">
        <v>1</v>
      </c>
      <c r="AW40" s="4" t="n">
        <v>1</v>
      </c>
      <c r="AX40" s="4" t="n">
        <v>1</v>
      </c>
      <c r="AY40" s="4" t="n">
        <v>1</v>
      </c>
      <c r="AZ40" s="4" t="n">
        <v>1</v>
      </c>
    </row>
    <row r="41">
      <c r="A41" s="4" t="inlineStr">
        <is>
          <t>ChIJNcHw7jNYzpQRKRHPOrb4jEw</t>
        </is>
      </c>
      <c r="B41" s="4" t="inlineStr">
        <is>
          <t>Play Easy</t>
        </is>
      </c>
      <c r="C41" s="4" t="inlineStr">
        <is>
          <t>São Paulo</t>
        </is>
      </c>
      <c r="D41" s="4" t="inlineStr">
        <is>
          <t>Sudeste</t>
        </is>
      </c>
      <c r="E41" s="5" t="n">
        <v>4.7</v>
      </c>
      <c r="F41" s="7" t="n">
        <v>1002</v>
      </c>
      <c r="G41" s="9" t="n">
        <v>6</v>
      </c>
      <c r="H41" s="9" t="n">
        <v>50</v>
      </c>
      <c r="I41" s="9" t="n">
        <v>12</v>
      </c>
      <c r="J41" s="9" t="n">
        <v>22</v>
      </c>
      <c r="K41" s="5" t="n">
        <v>0</v>
      </c>
      <c r="L41" s="5" t="n">
        <v>3</v>
      </c>
      <c r="M41" s="7" t="n">
        <v>563</v>
      </c>
      <c r="N41" s="5" t="n"/>
      <c r="O41" s="5" t="n"/>
      <c r="P41" s="7" t="n">
        <v>484</v>
      </c>
      <c r="Q41" s="7" t="n">
        <v>21346</v>
      </c>
      <c r="R41" s="7" t="n">
        <v>2996</v>
      </c>
      <c r="S41" s="9" t="n">
        <v>9.33</v>
      </c>
      <c r="T41" s="9" t="n">
        <v>16</v>
      </c>
      <c r="U41" s="7" t="n">
        <v>1381</v>
      </c>
      <c r="V41" s="7" t="n">
        <v>42</v>
      </c>
      <c r="W41" s="9" t="n">
        <v>88.94</v>
      </c>
      <c r="X41" s="12" t="n">
        <v>0.00417</v>
      </c>
      <c r="Y41" s="7" t="n">
        <v>16</v>
      </c>
      <c r="Z41" s="14" t="n"/>
      <c r="AA41" s="14" t="n">
        <v>7</v>
      </c>
      <c r="AB41" s="14" t="n">
        <v>25</v>
      </c>
      <c r="AC41" s="14" t="n">
        <v>17</v>
      </c>
      <c r="AD41" s="14" t="n">
        <v>32</v>
      </c>
      <c r="AE41" s="14" t="n">
        <v>34.5</v>
      </c>
      <c r="AF41" s="14" t="n"/>
      <c r="AG41" s="14" t="n"/>
      <c r="AH41" s="14" t="n"/>
      <c r="AI41" s="14" t="n"/>
      <c r="AJ41" s="14" t="n">
        <v>16</v>
      </c>
      <c r="AK41" s="14" t="n">
        <v>10</v>
      </c>
      <c r="AL41" s="14" t="n">
        <v>6</v>
      </c>
      <c r="AM41" s="14" t="n"/>
      <c r="AN41" s="7" t="n">
        <v>438</v>
      </c>
      <c r="AO41" s="7" t="n">
        <v>40</v>
      </c>
      <c r="AP41" s="7" t="n">
        <v>22</v>
      </c>
      <c r="AQ41" s="4" t="n">
        <v>1</v>
      </c>
      <c r="AR41" s="4" t="n">
        <v>1</v>
      </c>
      <c r="AS41" s="4" t="n">
        <v>0</v>
      </c>
      <c r="AT41" s="4" t="n">
        <v>1</v>
      </c>
      <c r="AU41" s="4" t="n">
        <v>1</v>
      </c>
      <c r="AV41" s="4" t="n">
        <v>1</v>
      </c>
      <c r="AW41" s="4" t="n">
        <v>1</v>
      </c>
      <c r="AX41" s="4" t="n">
        <v>1</v>
      </c>
      <c r="AY41" s="4" t="n">
        <v>1</v>
      </c>
      <c r="AZ41" s="4" t="n">
        <v>0</v>
      </c>
    </row>
    <row r="42">
      <c r="A42" s="4" t="inlineStr">
        <is>
          <t>ChIJsU5BAwBRzpQRAgLVvqg68os</t>
        </is>
      </c>
      <c r="B42" s="4" t="inlineStr">
        <is>
          <t>Tubaleria</t>
        </is>
      </c>
      <c r="C42" s="4" t="inlineStr">
        <is>
          <t>São Paulo</t>
        </is>
      </c>
      <c r="D42" s="4" t="inlineStr">
        <is>
          <t>Sudeste</t>
        </is>
      </c>
      <c r="E42" s="5" t="n">
        <v>5</v>
      </c>
      <c r="F42" s="7" t="n">
        <v>116</v>
      </c>
      <c r="G42" s="9" t="n">
        <v>5</v>
      </c>
      <c r="H42" s="9" t="n">
        <v>55</v>
      </c>
      <c r="I42" s="9" t="n">
        <v>11</v>
      </c>
      <c r="J42" s="9" t="n">
        <v>23</v>
      </c>
      <c r="K42" s="5" t="n">
        <v>0</v>
      </c>
      <c r="L42" s="5" t="n">
        <v>0</v>
      </c>
      <c r="M42" s="7" t="n"/>
      <c r="N42" s="5" t="n"/>
      <c r="O42" s="5" t="n"/>
      <c r="P42" s="7" t="n">
        <v>305</v>
      </c>
      <c r="Q42" s="7" t="n"/>
      <c r="R42" s="7" t="n">
        <v>340</v>
      </c>
      <c r="S42" s="9" t="n">
        <v>1.95</v>
      </c>
      <c r="T42" s="9" t="n">
        <v>20</v>
      </c>
      <c r="U42" s="7" t="n">
        <v>794</v>
      </c>
      <c r="V42" s="7" t="n">
        <v>38</v>
      </c>
      <c r="W42" s="9" t="n">
        <v>41.6</v>
      </c>
      <c r="X42" s="12" t="n"/>
      <c r="Y42" s="7" t="n">
        <v>17</v>
      </c>
      <c r="Z42" s="14" t="n">
        <v>28</v>
      </c>
      <c r="AA42" s="14" t="n"/>
      <c r="AB42" s="14" t="n">
        <v>38</v>
      </c>
      <c r="AC42" s="14" t="n"/>
      <c r="AD42" s="14" t="n"/>
      <c r="AE42" s="14" t="n"/>
      <c r="AF42" s="14" t="n"/>
      <c r="AG42" s="14" t="n"/>
      <c r="AH42" s="14" t="n"/>
      <c r="AI42" s="14" t="n">
        <v>38</v>
      </c>
      <c r="AJ42" s="14" t="n">
        <v>35</v>
      </c>
      <c r="AK42" s="14" t="n"/>
      <c r="AL42" s="14" t="n"/>
      <c r="AM42" s="14" t="n"/>
      <c r="AN42" s="7" t="n">
        <v>221</v>
      </c>
      <c r="AO42" s="7" t="n"/>
      <c r="AP42" s="7" t="n"/>
      <c r="AQ42" s="4" t="n">
        <v>0</v>
      </c>
      <c r="AR42" s="4" t="n">
        <v>1</v>
      </c>
      <c r="AS42" s="4" t="n">
        <v>1</v>
      </c>
      <c r="AT42" s="4" t="n">
        <v>0</v>
      </c>
      <c r="AU42" s="4" t="n">
        <v>0</v>
      </c>
      <c r="AV42" s="4" t="n">
        <v>1</v>
      </c>
      <c r="AW42" s="4" t="n">
        <v>1</v>
      </c>
      <c r="AX42" s="4" t="n">
        <v>1</v>
      </c>
      <c r="AY42" s="4" t="n">
        <v>1</v>
      </c>
      <c r="AZ42" s="4" t="n">
        <v>1</v>
      </c>
    </row>
    <row r="43">
      <c r="A43" s="4" t="inlineStr">
        <is>
          <t>ChIJi5zbZadgzpQRIYeuK_eqQio</t>
        </is>
      </c>
      <c r="B43" s="4" t="inlineStr">
        <is>
          <t>XPlace</t>
        </is>
      </c>
      <c r="C43" s="4" t="inlineStr">
        <is>
          <t>São Paulo</t>
        </is>
      </c>
      <c r="D43" s="4" t="inlineStr">
        <is>
          <t>Sudeste</t>
        </is>
      </c>
      <c r="E43" s="5" t="n">
        <v>4.7</v>
      </c>
      <c r="F43" s="7" t="n">
        <v>795</v>
      </c>
      <c r="G43" s="9" t="n">
        <v>6</v>
      </c>
      <c r="H43" s="9" t="n">
        <v>49</v>
      </c>
      <c r="I43" s="9" t="n">
        <v>11</v>
      </c>
      <c r="J43" s="9" t="n">
        <v>20</v>
      </c>
      <c r="K43" s="5" t="n">
        <v>1</v>
      </c>
      <c r="L43" s="5" t="n">
        <v>1</v>
      </c>
      <c r="M43" s="7" t="n">
        <v>364</v>
      </c>
      <c r="N43" s="5" t="n"/>
      <c r="O43" s="5" t="n"/>
      <c r="P43" s="7" t="n"/>
      <c r="Q43" s="7" t="n">
        <v>34668</v>
      </c>
      <c r="R43" s="7" t="n">
        <v>5277</v>
      </c>
      <c r="S43" s="9" t="n">
        <v>11.06</v>
      </c>
      <c r="T43" s="9" t="n">
        <v>31</v>
      </c>
      <c r="U43" s="7" t="n">
        <v>4134</v>
      </c>
      <c r="V43" s="7" t="n">
        <v>233</v>
      </c>
      <c r="W43" s="9" t="n">
        <v>140.87</v>
      </c>
      <c r="X43" s="12" t="n">
        <v>0.00406</v>
      </c>
      <c r="Y43" s="7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7" t="n"/>
      <c r="AO43" s="7" t="n">
        <v>18</v>
      </c>
      <c r="AP43" s="7" t="n">
        <v>8</v>
      </c>
      <c r="AQ43" s="4" t="n">
        <v>1</v>
      </c>
      <c r="AR43" s="4" t="n">
        <v>0</v>
      </c>
      <c r="AS43" s="4" t="n"/>
      <c r="AT43" s="4" t="n">
        <v>1</v>
      </c>
      <c r="AU43" s="4" t="n">
        <v>1</v>
      </c>
      <c r="AV43" s="4" t="n">
        <v>1</v>
      </c>
      <c r="AW43" s="4" t="n">
        <v>1</v>
      </c>
      <c r="AX43" s="4" t="n">
        <v>1</v>
      </c>
      <c r="AY43" s="4" t="n">
        <v>1</v>
      </c>
      <c r="AZ43" s="4" t="n">
        <v>0</v>
      </c>
    </row>
    <row r="44">
      <c r="A44" s="4" t="inlineStr">
        <is>
          <t>ChIJfyav9YI9uAARjwbBqcRm2_k</t>
        </is>
      </c>
      <c r="B44" s="4" t="inlineStr">
        <is>
          <t>Café Geek Cafeteria e Ludoteca</t>
        </is>
      </c>
      <c r="C44" s="4" t="inlineStr">
        <is>
          <t>Vitória</t>
        </is>
      </c>
      <c r="D44" s="4" t="inlineStr">
        <is>
          <t>Sudeste</t>
        </is>
      </c>
      <c r="E44" s="5" t="n">
        <v>5</v>
      </c>
      <c r="F44" s="7" t="n">
        <v>148</v>
      </c>
      <c r="G44" s="9" t="n">
        <v>4</v>
      </c>
      <c r="H44" s="9" t="n">
        <v>26</v>
      </c>
      <c r="I44" s="9" t="n">
        <v>14</v>
      </c>
      <c r="J44" s="9" t="n">
        <v>23</v>
      </c>
      <c r="K44" s="5" t="n">
        <v>0</v>
      </c>
      <c r="L44" s="5" t="n">
        <v>0</v>
      </c>
      <c r="M44" s="7" t="n"/>
      <c r="N44" s="5" t="n"/>
      <c r="O44" s="5" t="n"/>
      <c r="P44" s="7" t="n">
        <v>926</v>
      </c>
      <c r="Q44" s="7" t="n">
        <v>12159</v>
      </c>
      <c r="R44" s="7" t="n">
        <v>230</v>
      </c>
      <c r="S44" s="9" t="n">
        <v>5.21</v>
      </c>
      <c r="T44" s="9" t="n">
        <v>3</v>
      </c>
      <c r="U44" s="7" t="n">
        <v>114</v>
      </c>
      <c r="V44" s="7" t="n">
        <v>11</v>
      </c>
      <c r="W44" s="9" t="n">
        <v>41.67</v>
      </c>
      <c r="X44" s="12" t="n">
        <v>0.00343</v>
      </c>
      <c r="Y44" s="7" t="n">
        <v>70</v>
      </c>
      <c r="Z44" s="14" t="n">
        <v>10</v>
      </c>
      <c r="AA44" s="14" t="n">
        <v>12.5</v>
      </c>
      <c r="AB44" s="14" t="n">
        <v>10</v>
      </c>
      <c r="AC44" s="14" t="n">
        <v>15.75</v>
      </c>
      <c r="AD44" s="14" t="n">
        <v>22.5</v>
      </c>
      <c r="AE44" s="14" t="n">
        <v>30.25</v>
      </c>
      <c r="AF44" s="14" t="n">
        <v>22.75</v>
      </c>
      <c r="AG44" s="14" t="n">
        <v>32.5</v>
      </c>
      <c r="AH44" s="14" t="n">
        <v>42.25</v>
      </c>
      <c r="AI44" s="14" t="n"/>
      <c r="AJ44" s="14" t="n">
        <v>18</v>
      </c>
      <c r="AK44" s="14" t="n">
        <v>12</v>
      </c>
      <c r="AL44" s="14" t="n">
        <v>7</v>
      </c>
      <c r="AM44" s="14" t="n"/>
      <c r="AN44" s="7" t="n"/>
      <c r="AO44" s="7" t="n">
        <v>9</v>
      </c>
      <c r="AP44" s="7" t="n">
        <v>5</v>
      </c>
      <c r="AQ44" s="4" t="n">
        <v>0</v>
      </c>
      <c r="AR44" s="4" t="n">
        <v>1</v>
      </c>
      <c r="AS44" s="4" t="n">
        <v>1</v>
      </c>
      <c r="AT44" s="4" t="n">
        <v>0</v>
      </c>
      <c r="AU44" s="4" t="n">
        <v>0</v>
      </c>
      <c r="AV44" s="4" t="n">
        <v>0</v>
      </c>
      <c r="AW44" s="4" t="n">
        <v>1</v>
      </c>
      <c r="AX44" s="4" t="n">
        <v>1</v>
      </c>
      <c r="AY44" s="4" t="n">
        <v>1</v>
      </c>
      <c r="AZ44" s="4" t="n">
        <v>1</v>
      </c>
    </row>
    <row r="45">
      <c r="A45" s="4" t="inlineStr">
        <is>
          <t>ChIJ3ekLtDjl3JQRHwtNgmINgLo</t>
        </is>
      </c>
      <c r="B45" s="4" t="inlineStr">
        <is>
          <t>Alçapão Jogos</t>
        </is>
      </c>
      <c r="C45" s="4" t="inlineStr">
        <is>
          <t>Curitiba</t>
        </is>
      </c>
      <c r="D45" s="4" t="inlineStr">
        <is>
          <t>Sul</t>
        </is>
      </c>
      <c r="E45" s="5" t="n">
        <v>5</v>
      </c>
      <c r="F45" s="7" t="n">
        <v>219</v>
      </c>
      <c r="G45" s="9" t="n">
        <v>5</v>
      </c>
      <c r="H45" s="9" t="n">
        <v>36</v>
      </c>
      <c r="I45" s="9" t="n">
        <v>15</v>
      </c>
      <c r="J45" s="9" t="n">
        <v>24</v>
      </c>
      <c r="K45" s="5" t="n">
        <v>0</v>
      </c>
      <c r="L45" s="5" t="n">
        <v>0</v>
      </c>
      <c r="M45" s="7" t="n"/>
      <c r="N45" s="5" t="n"/>
      <c r="O45" s="5" t="n"/>
      <c r="P45" s="7" t="n">
        <v>770</v>
      </c>
      <c r="Q45" s="7" t="n">
        <v>13883</v>
      </c>
      <c r="R45" s="7" t="n">
        <v>303</v>
      </c>
      <c r="S45" s="9" t="n">
        <v>7.83</v>
      </c>
      <c r="T45" s="9" t="n">
        <v>3</v>
      </c>
      <c r="U45" s="7" t="n">
        <v>67</v>
      </c>
      <c r="V45" s="7" t="n">
        <v>5</v>
      </c>
      <c r="W45" s="9" t="n">
        <v>24</v>
      </c>
      <c r="X45" s="12" t="n">
        <v>0.00173</v>
      </c>
      <c r="Y45" s="7" t="n">
        <v>26</v>
      </c>
      <c r="Z45" s="14" t="n"/>
      <c r="AA45" s="14" t="n">
        <v>12</v>
      </c>
      <c r="AB45" s="14" t="n">
        <v>12</v>
      </c>
      <c r="AC45" s="14" t="n">
        <v>21.75</v>
      </c>
      <c r="AD45" s="14" t="n">
        <v>24</v>
      </c>
      <c r="AE45" s="14" t="n">
        <v>28.5</v>
      </c>
      <c r="AF45" s="14" t="n"/>
      <c r="AG45" s="14" t="n"/>
      <c r="AH45" s="14" t="n"/>
      <c r="AI45" s="14" t="n"/>
      <c r="AJ45" s="14" t="n"/>
      <c r="AK45" s="14" t="n"/>
      <c r="AL45" s="14" t="n">
        <v>9</v>
      </c>
      <c r="AM45" s="14" t="n"/>
      <c r="AN45" s="7" t="n">
        <v>270</v>
      </c>
      <c r="AO45" s="7" t="n">
        <v>20</v>
      </c>
      <c r="AP45" s="7" t="n">
        <v>8</v>
      </c>
      <c r="AQ45" s="4" t="n">
        <v>0</v>
      </c>
      <c r="AR45" s="4" t="n">
        <v>1</v>
      </c>
      <c r="AS45" s="4" t="n">
        <v>0</v>
      </c>
      <c r="AT45" s="4" t="n">
        <v>0</v>
      </c>
      <c r="AU45" s="4" t="n">
        <v>0</v>
      </c>
      <c r="AV45" s="4" t="n">
        <v>1</v>
      </c>
      <c r="AW45" s="4" t="n">
        <v>1</v>
      </c>
      <c r="AX45" s="4" t="n">
        <v>1</v>
      </c>
      <c r="AY45" s="4" t="n">
        <v>1</v>
      </c>
      <c r="AZ45" s="4" t="n">
        <v>1</v>
      </c>
    </row>
    <row r="46">
      <c r="A46" s="4" t="inlineStr">
        <is>
          <t>ChIJY_lqHVLl3JQRvDHacOMDKuc</t>
        </is>
      </c>
      <c r="B46" s="4" t="inlineStr">
        <is>
          <t>BoardZ Game Pub</t>
        </is>
      </c>
      <c r="C46" s="4" t="inlineStr">
        <is>
          <t>Curitiba</t>
        </is>
      </c>
      <c r="D46" s="4" t="inlineStr">
        <is>
          <t>Sul</t>
        </is>
      </c>
      <c r="E46" s="5" t="n">
        <v>4.8</v>
      </c>
      <c r="F46" s="7" t="n">
        <v>776</v>
      </c>
      <c r="G46" s="9" t="n">
        <v>6</v>
      </c>
      <c r="H46" s="9" t="n">
        <v>35</v>
      </c>
      <c r="I46" s="9" t="n">
        <v>16</v>
      </c>
      <c r="J46" s="9" t="n">
        <v>24.5</v>
      </c>
      <c r="K46" s="5" t="n">
        <v>0</v>
      </c>
      <c r="L46" s="5" t="n">
        <v>0</v>
      </c>
      <c r="M46" s="7" t="n"/>
      <c r="N46" s="5" t="n"/>
      <c r="O46" s="5" t="n"/>
      <c r="P46" s="7" t="n"/>
      <c r="Q46" s="7" t="n">
        <v>18698</v>
      </c>
      <c r="R46" s="7" t="n">
        <v>491</v>
      </c>
      <c r="S46" s="9" t="n">
        <v>6.66</v>
      </c>
      <c r="T46" s="9" t="n">
        <v>2</v>
      </c>
      <c r="U46" s="7" t="n">
        <v>237</v>
      </c>
      <c r="V46" s="7" t="n">
        <v>22</v>
      </c>
      <c r="W46" s="9" t="n">
        <v>129.5</v>
      </c>
      <c r="X46" s="12" t="n">
        <v>0.00693</v>
      </c>
      <c r="Y46" s="7" t="n">
        <v>93</v>
      </c>
      <c r="Z46" s="14" t="n">
        <v>12.5</v>
      </c>
      <c r="AA46" s="14" t="n">
        <v>16</v>
      </c>
      <c r="AB46" s="14" t="n">
        <v>28</v>
      </c>
      <c r="AC46" s="14" t="n">
        <v>41.75</v>
      </c>
      <c r="AD46" s="14" t="n">
        <v>44</v>
      </c>
      <c r="AE46" s="14" t="n">
        <v>57</v>
      </c>
      <c r="AF46" s="14" t="n">
        <v>53</v>
      </c>
      <c r="AG46" s="14" t="n">
        <v>56.5</v>
      </c>
      <c r="AH46" s="14" t="n">
        <v>70.75</v>
      </c>
      <c r="AI46" s="14" t="n">
        <v>28</v>
      </c>
      <c r="AJ46" s="14" t="n">
        <v>35</v>
      </c>
      <c r="AK46" s="14" t="n">
        <v>15</v>
      </c>
      <c r="AL46" s="14" t="n">
        <v>8</v>
      </c>
      <c r="AM46" s="14" t="n">
        <v>24</v>
      </c>
      <c r="AN46" s="7" t="n"/>
      <c r="AO46" s="7" t="n">
        <v>37</v>
      </c>
      <c r="AP46" s="7" t="n">
        <v>24</v>
      </c>
      <c r="AQ46" s="4" t="n">
        <v>0</v>
      </c>
      <c r="AR46" s="4" t="n">
        <v>1</v>
      </c>
      <c r="AS46" s="4" t="n">
        <v>1</v>
      </c>
      <c r="AT46" s="4" t="n">
        <v>0</v>
      </c>
      <c r="AU46" s="4" t="n">
        <v>1</v>
      </c>
      <c r="AV46" s="4" t="n">
        <v>1</v>
      </c>
      <c r="AW46" s="4" t="n">
        <v>1</v>
      </c>
      <c r="AX46" s="4" t="n">
        <v>1</v>
      </c>
      <c r="AY46" s="4" t="n">
        <v>1</v>
      </c>
      <c r="AZ46" s="4" t="n">
        <v>1</v>
      </c>
    </row>
    <row r="47">
      <c r="A47" s="4" t="inlineStr">
        <is>
          <t>ChIJOczn8z7l3JQRNBEL_ZJ3iQo</t>
        </is>
      </c>
      <c r="B47" s="4" t="inlineStr">
        <is>
          <t>Joyjoy Café</t>
        </is>
      </c>
      <c r="C47" s="4" t="inlineStr">
        <is>
          <t>Curitiba</t>
        </is>
      </c>
      <c r="D47" s="4" t="inlineStr">
        <is>
          <t>Sul</t>
        </is>
      </c>
      <c r="E47" s="5" t="n">
        <v>4.8</v>
      </c>
      <c r="F47" s="7" t="n">
        <v>690</v>
      </c>
      <c r="G47" s="9" t="n">
        <v>6</v>
      </c>
      <c r="H47" s="9" t="n">
        <v>37</v>
      </c>
      <c r="I47" s="9" t="n">
        <v>14</v>
      </c>
      <c r="J47" s="9" t="n">
        <v>23</v>
      </c>
      <c r="K47" s="5" t="n">
        <v>0</v>
      </c>
      <c r="L47" s="5" t="n">
        <v>0</v>
      </c>
      <c r="M47" s="7" t="n"/>
      <c r="N47" s="5" t="n"/>
      <c r="O47" s="5" t="n"/>
      <c r="P47" s="7" t="n"/>
      <c r="Q47" s="7" t="n">
        <v>25555</v>
      </c>
      <c r="R47" s="7" t="n">
        <v>627</v>
      </c>
      <c r="S47" s="9" t="n">
        <v>6.66</v>
      </c>
      <c r="T47" s="9" t="n">
        <v>6</v>
      </c>
      <c r="U47" s="7" t="n">
        <v>1721</v>
      </c>
      <c r="V47" s="7" t="n">
        <v>114</v>
      </c>
      <c r="W47" s="9" t="n">
        <v>305.83</v>
      </c>
      <c r="X47" s="12" t="n">
        <v>0.01197</v>
      </c>
      <c r="Y47" s="7" t="n">
        <v>2</v>
      </c>
      <c r="Z47" s="14" t="n">
        <v>12.5</v>
      </c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7" t="n">
        <v>1010</v>
      </c>
      <c r="AO47" s="7" t="n">
        <v>50</v>
      </c>
      <c r="AP47" s="7" t="n">
        <v>17</v>
      </c>
      <c r="AQ47" s="4" t="n">
        <v>0</v>
      </c>
      <c r="AR47" s="4" t="n">
        <v>1</v>
      </c>
      <c r="AS47" s="4" t="n">
        <v>1</v>
      </c>
      <c r="AT47" s="4" t="n">
        <v>0</v>
      </c>
      <c r="AU47" s="4" t="n">
        <v>1</v>
      </c>
      <c r="AV47" s="4" t="n">
        <v>1</v>
      </c>
      <c r="AW47" s="4" t="n">
        <v>1</v>
      </c>
      <c r="AX47" s="4" t="n">
        <v>1</v>
      </c>
      <c r="AY47" s="4" t="n">
        <v>1</v>
      </c>
      <c r="AZ47" s="4" t="n">
        <v>1</v>
      </c>
    </row>
    <row r="48">
      <c r="A48" s="4" t="inlineStr">
        <is>
          <t>ChIJK5Dhtunj3JQRniPWHB3haDU</t>
        </is>
      </c>
      <c r="B48" s="4" t="inlineStr">
        <is>
          <t>Paladino Hobbies</t>
        </is>
      </c>
      <c r="C48" s="4" t="inlineStr">
        <is>
          <t>Curitiba</t>
        </is>
      </c>
      <c r="D48" s="4" t="inlineStr">
        <is>
          <t>Sul</t>
        </is>
      </c>
      <c r="E48" s="5" t="n">
        <v>4.8</v>
      </c>
      <c r="F48" s="7" t="n">
        <v>188</v>
      </c>
      <c r="G48" s="9" t="n">
        <v>4</v>
      </c>
      <c r="H48" s="9" t="n">
        <v>22</v>
      </c>
      <c r="I48" s="9" t="n">
        <v>12</v>
      </c>
      <c r="J48" s="9" t="n">
        <v>19</v>
      </c>
      <c r="K48" s="5" t="n">
        <v>0</v>
      </c>
      <c r="L48" s="5" t="n">
        <v>0</v>
      </c>
      <c r="M48" s="7" t="n"/>
      <c r="N48" s="5" t="n"/>
      <c r="O48" s="5" t="n"/>
      <c r="P48" s="7" t="n">
        <v>293</v>
      </c>
      <c r="Q48" s="7" t="n">
        <v>1432</v>
      </c>
      <c r="R48" s="7" t="n">
        <v>140</v>
      </c>
      <c r="S48" s="9" t="n">
        <v>6.55</v>
      </c>
      <c r="T48" s="9" t="n">
        <v>1</v>
      </c>
      <c r="U48" s="7" t="n">
        <v>1</v>
      </c>
      <c r="V48" s="7" t="n">
        <v>0</v>
      </c>
      <c r="W48" s="9" t="n">
        <v>1</v>
      </c>
      <c r="X48" s="12" t="n">
        <v>0.0007</v>
      </c>
      <c r="Y48" s="7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7" t="n"/>
      <c r="AO48" s="7" t="n">
        <v>2</v>
      </c>
      <c r="AP48" s="7" t="n">
        <v>0</v>
      </c>
      <c r="AQ48" s="4" t="n">
        <v>0</v>
      </c>
      <c r="AR48" s="4" t="n">
        <v>0</v>
      </c>
      <c r="AS48" s="4" t="n"/>
      <c r="AT48" s="4" t="n">
        <v>0</v>
      </c>
      <c r="AU48" s="4" t="n">
        <v>0</v>
      </c>
      <c r="AV48" s="4" t="n">
        <v>1</v>
      </c>
      <c r="AW48" s="4" t="n">
        <v>1</v>
      </c>
      <c r="AX48" s="4" t="n">
        <v>1</v>
      </c>
      <c r="AY48" s="4" t="n">
        <v>1</v>
      </c>
      <c r="AZ48" s="4" t="n">
        <v>0</v>
      </c>
    </row>
    <row r="49">
      <c r="A49" s="4" t="inlineStr">
        <is>
          <t>ChIJc66HomXk3JQRNl28jz_VsPc</t>
        </is>
      </c>
      <c r="B49" s="4" t="inlineStr">
        <is>
          <t>Taverna Game House</t>
        </is>
      </c>
      <c r="C49" s="4" t="inlineStr">
        <is>
          <t>Curitiba</t>
        </is>
      </c>
      <c r="D49" s="4" t="inlineStr">
        <is>
          <t>Sul</t>
        </is>
      </c>
      <c r="E49" s="5" t="n">
        <v>4.8</v>
      </c>
      <c r="F49" s="7" t="n">
        <v>625</v>
      </c>
      <c r="G49" s="9" t="n">
        <v>6</v>
      </c>
      <c r="H49" s="9" t="n">
        <v>48</v>
      </c>
      <c r="I49" s="9" t="n">
        <v>14</v>
      </c>
      <c r="J49" s="9" t="n">
        <v>22</v>
      </c>
      <c r="K49" s="5" t="n">
        <v>0</v>
      </c>
      <c r="L49" s="5" t="n">
        <v>0</v>
      </c>
      <c r="M49" s="7" t="n"/>
      <c r="N49" s="5" t="n"/>
      <c r="O49" s="5" t="n"/>
      <c r="P49" s="7" t="n">
        <v>358</v>
      </c>
      <c r="Q49" s="7" t="n">
        <v>3168</v>
      </c>
      <c r="R49" s="7" t="n">
        <v>1832</v>
      </c>
      <c r="S49" s="9" t="n">
        <v>9.050000000000001</v>
      </c>
      <c r="T49" s="9" t="n">
        <v>26</v>
      </c>
      <c r="U49" s="7" t="n">
        <v>611</v>
      </c>
      <c r="V49" s="7" t="n">
        <v>9</v>
      </c>
      <c r="W49" s="9" t="n">
        <v>23.85</v>
      </c>
      <c r="X49" s="12" t="n">
        <v>0.00753</v>
      </c>
      <c r="Y49" s="7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7" t="n"/>
      <c r="AO49" s="7" t="n">
        <v>13</v>
      </c>
      <c r="AP49" s="7" t="n">
        <v>5</v>
      </c>
      <c r="AQ49" s="4" t="n">
        <v>0</v>
      </c>
      <c r="AR49" s="4" t="n">
        <v>0</v>
      </c>
      <c r="AS49" s="4" t="n"/>
      <c r="AT49" s="4" t="n">
        <v>1</v>
      </c>
      <c r="AU49" s="4" t="n">
        <v>1</v>
      </c>
      <c r="AV49" s="4" t="n">
        <v>1</v>
      </c>
      <c r="AW49" s="4" t="n">
        <v>1</v>
      </c>
      <c r="AX49" s="4" t="n">
        <v>1</v>
      </c>
      <c r="AY49" s="4" t="n">
        <v>1</v>
      </c>
      <c r="AZ49" s="4" t="n">
        <v>0</v>
      </c>
    </row>
    <row r="50">
      <c r="A50" s="4" t="inlineStr">
        <is>
          <t>ChIJ1wjBJD7k3JQRQi7trfp_0aQ</t>
        </is>
      </c>
      <c r="B50" s="4" t="inlineStr">
        <is>
          <t>Vila Celta Hobby Store - Jogos e Café</t>
        </is>
      </c>
      <c r="C50" s="4" t="inlineStr">
        <is>
          <t>Curitiba</t>
        </is>
      </c>
      <c r="D50" s="4" t="inlineStr">
        <is>
          <t>Sul</t>
        </is>
      </c>
      <c r="E50" s="5" t="n">
        <v>4.8</v>
      </c>
      <c r="F50" s="7" t="n">
        <v>751</v>
      </c>
      <c r="G50" s="9" t="n">
        <v>7</v>
      </c>
      <c r="H50" s="9" t="n">
        <v>73.5</v>
      </c>
      <c r="I50" s="9" t="n">
        <v>10</v>
      </c>
      <c r="J50" s="9" t="n">
        <v>24</v>
      </c>
      <c r="K50" s="5" t="n">
        <v>0</v>
      </c>
      <c r="L50" s="5" t="n">
        <v>0</v>
      </c>
      <c r="M50" s="7" t="n"/>
      <c r="N50" s="5" t="n"/>
      <c r="O50" s="5" t="n"/>
      <c r="P50" s="7" t="n">
        <v>590</v>
      </c>
      <c r="Q50" s="7" t="n">
        <v>11711</v>
      </c>
      <c r="R50" s="7" t="n">
        <v>566</v>
      </c>
      <c r="S50" s="9" t="n">
        <v>9.890000000000001</v>
      </c>
      <c r="T50" s="9" t="n">
        <v>2</v>
      </c>
      <c r="U50" s="7" t="n">
        <v>69</v>
      </c>
      <c r="V50" s="7" t="n">
        <v>7</v>
      </c>
      <c r="W50" s="9" t="n">
        <v>38</v>
      </c>
      <c r="X50" s="12" t="n">
        <v>0.00324</v>
      </c>
      <c r="Y50" s="7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7" t="n"/>
      <c r="AO50" s="7" t="n">
        <v>13</v>
      </c>
      <c r="AP50" s="7" t="n">
        <v>8</v>
      </c>
      <c r="AQ50" s="4" t="n">
        <v>0</v>
      </c>
      <c r="AR50" s="4" t="n">
        <v>0</v>
      </c>
      <c r="AS50" s="4" t="n"/>
      <c r="AT50" s="4" t="n">
        <v>1</v>
      </c>
      <c r="AU50" s="4" t="n">
        <v>1</v>
      </c>
      <c r="AV50" s="4" t="n">
        <v>1</v>
      </c>
      <c r="AW50" s="4" t="n">
        <v>1</v>
      </c>
      <c r="AX50" s="4" t="n">
        <v>1</v>
      </c>
      <c r="AY50" s="4" t="n">
        <v>1</v>
      </c>
      <c r="AZ50" s="4" t="n">
        <v>1</v>
      </c>
    </row>
    <row r="51">
      <c r="A51" s="4" t="inlineStr">
        <is>
          <t>ChIJawIVeV0JM0oR5BtnD_poQeA</t>
        </is>
      </c>
      <c r="B51" s="4" t="inlineStr">
        <is>
          <t>CCG Floripa</t>
        </is>
      </c>
      <c r="C51" s="4" t="inlineStr">
        <is>
          <t>Florianópolis</t>
        </is>
      </c>
      <c r="D51" s="4" t="inlineStr">
        <is>
          <t>Sul</t>
        </is>
      </c>
      <c r="E51" s="5" t="n">
        <v>4.8</v>
      </c>
      <c r="F51" s="7" t="n">
        <v>194</v>
      </c>
      <c r="G51" s="9" t="n">
        <v>5</v>
      </c>
      <c r="H51" s="9" t="n">
        <v>42</v>
      </c>
      <c r="I51" s="9" t="n">
        <v>13</v>
      </c>
      <c r="J51" s="9" t="n">
        <v>23</v>
      </c>
      <c r="K51" s="5" t="n">
        <v>0</v>
      </c>
      <c r="L51" s="5" t="n">
        <v>0</v>
      </c>
      <c r="M51" s="7" t="n"/>
      <c r="N51" s="5" t="n"/>
      <c r="O51" s="5" t="n"/>
      <c r="P51" s="7" t="n">
        <v>294</v>
      </c>
      <c r="Q51" s="7" t="n">
        <v>11321</v>
      </c>
      <c r="R51" s="7" t="n">
        <v>446</v>
      </c>
      <c r="S51" s="9" t="n">
        <v>5.13</v>
      </c>
      <c r="T51" s="9" t="n">
        <v>2</v>
      </c>
      <c r="U51" s="7" t="n">
        <v>668</v>
      </c>
      <c r="V51" s="7" t="n">
        <v>21</v>
      </c>
      <c r="W51" s="9" t="n">
        <v>344.5</v>
      </c>
      <c r="X51" s="12" t="n">
        <v>0.03043</v>
      </c>
      <c r="Y51" s="7" t="n">
        <v>7</v>
      </c>
      <c r="Z51" s="14" t="n"/>
      <c r="AA51" s="14" t="n"/>
      <c r="AB51" s="14" t="n">
        <v>36</v>
      </c>
      <c r="AC51" s="14" t="n"/>
      <c r="AD51" s="14" t="n"/>
      <c r="AE51" s="14" t="n"/>
      <c r="AF51" s="14" t="n"/>
      <c r="AG51" s="14" t="n"/>
      <c r="AH51" s="14" t="n"/>
      <c r="AI51" s="14" t="n">
        <v>36</v>
      </c>
      <c r="AJ51" s="14" t="n">
        <v>44.5</v>
      </c>
      <c r="AK51" s="14" t="n"/>
      <c r="AL51" s="14" t="n"/>
      <c r="AM51" s="14" t="n"/>
      <c r="AN51" s="7" t="n"/>
      <c r="AO51" s="7" t="n">
        <v>11</v>
      </c>
      <c r="AP51" s="7" t="n">
        <v>5</v>
      </c>
      <c r="AQ51" s="4" t="n">
        <v>0</v>
      </c>
      <c r="AR51" s="4" t="n">
        <v>1</v>
      </c>
      <c r="AS51" s="4" t="n">
        <v>0</v>
      </c>
      <c r="AT51" s="4" t="n">
        <v>0</v>
      </c>
      <c r="AU51" s="4" t="n">
        <v>1</v>
      </c>
      <c r="AV51" s="4" t="n">
        <v>1</v>
      </c>
      <c r="AW51" s="4" t="n">
        <v>1</v>
      </c>
      <c r="AX51" s="4" t="n">
        <v>1</v>
      </c>
      <c r="AY51" s="4" t="n">
        <v>1</v>
      </c>
      <c r="AZ51" s="4" t="n">
        <v>0</v>
      </c>
    </row>
    <row r="52">
      <c r="A52" s="4" t="inlineStr">
        <is>
          <t>ChIJc3F7ka83J5URQZ1XTl-_iak</t>
        </is>
      </c>
      <c r="B52" s="4" t="inlineStr">
        <is>
          <t>Chef on Play</t>
        </is>
      </c>
      <c r="C52" s="4" t="inlineStr">
        <is>
          <t>Florianópolis</t>
        </is>
      </c>
      <c r="D52" s="4" t="inlineStr">
        <is>
          <t>Sul</t>
        </is>
      </c>
      <c r="E52" s="5" t="n">
        <v>4.6</v>
      </c>
      <c r="F52" s="7" t="n">
        <v>1204</v>
      </c>
      <c r="G52" s="9" t="n">
        <v>7</v>
      </c>
      <c r="H52" s="9" t="n">
        <v>35.5</v>
      </c>
      <c r="I52" s="9" t="n">
        <v>18.5</v>
      </c>
      <c r="J52" s="9" t="n">
        <v>24</v>
      </c>
      <c r="K52" s="5" t="n">
        <v>0</v>
      </c>
      <c r="L52" s="5" t="n">
        <v>0</v>
      </c>
      <c r="M52" s="7" t="n"/>
      <c r="N52" s="5" t="n"/>
      <c r="O52" s="5" t="n"/>
      <c r="P52" s="7" t="n">
        <v>834</v>
      </c>
      <c r="Q52" s="7" t="n">
        <v>10739</v>
      </c>
      <c r="R52" s="7" t="n">
        <v>517</v>
      </c>
      <c r="S52" s="9" t="n">
        <v>10.9</v>
      </c>
      <c r="T52" s="9" t="n">
        <v>0</v>
      </c>
      <c r="U52" s="7" t="n">
        <v>0</v>
      </c>
      <c r="V52" s="7" t="n">
        <v>0</v>
      </c>
      <c r="W52" s="9" t="n"/>
      <c r="X52" s="12" t="n"/>
      <c r="Y52" s="7" t="n">
        <v>72</v>
      </c>
      <c r="Z52" s="14" t="n"/>
      <c r="AA52" s="14" t="n">
        <v>6.8</v>
      </c>
      <c r="AB52" s="14" t="n">
        <v>25.9</v>
      </c>
      <c r="AC52" s="14" t="n">
        <v>30.4</v>
      </c>
      <c r="AD52" s="14" t="n">
        <v>32.7</v>
      </c>
      <c r="AE52" s="14" t="n">
        <v>43.6</v>
      </c>
      <c r="AF52" s="14" t="n"/>
      <c r="AG52" s="14" t="n"/>
      <c r="AH52" s="14" t="n"/>
      <c r="AI52" s="14" t="n">
        <v>25.9</v>
      </c>
      <c r="AJ52" s="14" t="n"/>
      <c r="AK52" s="14" t="n"/>
      <c r="AL52" s="14" t="n">
        <v>6.5</v>
      </c>
      <c r="AM52" s="14" t="n"/>
      <c r="AN52" s="7" t="n">
        <v>245</v>
      </c>
      <c r="AO52" s="7" t="n">
        <v>15</v>
      </c>
      <c r="AP52" s="7" t="n">
        <v>12</v>
      </c>
      <c r="AQ52" s="4" t="n">
        <v>0</v>
      </c>
      <c r="AR52" s="4" t="n">
        <v>1</v>
      </c>
      <c r="AS52" s="4" t="n">
        <v>0</v>
      </c>
      <c r="AT52" s="4" t="n">
        <v>1</v>
      </c>
      <c r="AU52" s="4" t="n">
        <v>1</v>
      </c>
      <c r="AV52" s="4" t="n">
        <v>1</v>
      </c>
      <c r="AW52" s="4" t="n">
        <v>1</v>
      </c>
      <c r="AX52" s="4" t="n">
        <v>1</v>
      </c>
      <c r="AY52" s="4" t="n">
        <v>1</v>
      </c>
      <c r="AZ52" s="4" t="n">
        <v>1</v>
      </c>
    </row>
    <row r="53">
      <c r="A53" s="4" t="inlineStr">
        <is>
          <t>ChIJJz8-gcY3J5URYdZrEXdHaAk</t>
        </is>
      </c>
      <c r="B53" s="4" t="inlineStr">
        <is>
          <t>Cineplay- Restaurante e Jogos</t>
        </is>
      </c>
      <c r="C53" s="4" t="inlineStr">
        <is>
          <t>Florianópolis</t>
        </is>
      </c>
      <c r="D53" s="4" t="inlineStr">
        <is>
          <t>Sul</t>
        </is>
      </c>
      <c r="E53" s="5" t="n">
        <v>4.5</v>
      </c>
      <c r="F53" s="7" t="n">
        <v>1154</v>
      </c>
      <c r="G53" s="9" t="n">
        <v>7</v>
      </c>
      <c r="H53" s="9" t="n">
        <v>43</v>
      </c>
      <c r="I53" s="9" t="n">
        <v>11</v>
      </c>
      <c r="J53" s="9" t="n">
        <v>24</v>
      </c>
      <c r="K53" s="5" t="n">
        <v>0</v>
      </c>
      <c r="L53" s="5" t="n">
        <v>0</v>
      </c>
      <c r="M53" s="7" t="n"/>
      <c r="N53" s="5" t="n"/>
      <c r="O53" s="5" t="n"/>
      <c r="P53" s="7" t="n"/>
      <c r="Q53" s="7" t="n">
        <v>87929</v>
      </c>
      <c r="R53" s="7" t="n">
        <v>1689</v>
      </c>
      <c r="S53" s="9" t="n">
        <v>8.359999999999999</v>
      </c>
      <c r="T53" s="9" t="n">
        <v>25</v>
      </c>
      <c r="U53" s="7" t="n">
        <v>4695</v>
      </c>
      <c r="V53" s="7" t="n">
        <v>362</v>
      </c>
      <c r="W53" s="9" t="n">
        <v>202.28</v>
      </c>
      <c r="X53" s="12" t="n">
        <v>0.0023</v>
      </c>
      <c r="Y53" s="7" t="n">
        <v>112</v>
      </c>
      <c r="Z53" s="14" t="n"/>
      <c r="AA53" s="14" t="n">
        <v>17.9</v>
      </c>
      <c r="AB53" s="14" t="n">
        <v>31.9</v>
      </c>
      <c r="AC53" s="14" t="n">
        <v>35.55</v>
      </c>
      <c r="AD53" s="14" t="n">
        <v>49.8</v>
      </c>
      <c r="AE53" s="14" t="n">
        <v>71.42</v>
      </c>
      <c r="AF53" s="14" t="n"/>
      <c r="AG53" s="14" t="n"/>
      <c r="AH53" s="14" t="n"/>
      <c r="AI53" s="14" t="n">
        <v>29.9</v>
      </c>
      <c r="AJ53" s="14" t="n">
        <v>29.2</v>
      </c>
      <c r="AK53" s="14" t="n">
        <v>17</v>
      </c>
      <c r="AL53" s="14" t="n">
        <v>6.75</v>
      </c>
      <c r="AM53" s="14" t="n">
        <v>21.4</v>
      </c>
      <c r="AN53" s="7" t="n"/>
      <c r="AO53" s="7" t="n">
        <v>48</v>
      </c>
      <c r="AP53" s="7" t="n">
        <v>23</v>
      </c>
      <c r="AQ53" s="4" t="n">
        <v>0</v>
      </c>
      <c r="AR53" s="4" t="n">
        <v>1</v>
      </c>
      <c r="AS53" s="4" t="n">
        <v>0</v>
      </c>
      <c r="AT53" s="4" t="n">
        <v>1</v>
      </c>
      <c r="AU53" s="4" t="n">
        <v>1</v>
      </c>
      <c r="AV53" s="4" t="n">
        <v>1</v>
      </c>
      <c r="AW53" s="4" t="n">
        <v>1</v>
      </c>
      <c r="AX53" s="4" t="n">
        <v>1</v>
      </c>
      <c r="AY53" s="4" t="n">
        <v>1</v>
      </c>
      <c r="AZ53" s="4" t="n">
        <v>1</v>
      </c>
    </row>
    <row r="54">
      <c r="A54" s="4" t="inlineStr">
        <is>
          <t>ChIJHSDPTgF5GZURKmSqKITyoGM</t>
        </is>
      </c>
      <c r="B54" s="4" t="inlineStr">
        <is>
          <t>Arcadea Gaming Pub</t>
        </is>
      </c>
      <c r="C54" s="4" t="inlineStr">
        <is>
          <t>Porto Alegre</t>
        </is>
      </c>
      <c r="D54" s="4" t="inlineStr">
        <is>
          <t>Sul</t>
        </is>
      </c>
      <c r="E54" s="5" t="n">
        <v>4.2</v>
      </c>
      <c r="F54" s="7" t="n">
        <v>1087</v>
      </c>
      <c r="G54" s="9" t="n">
        <v>7</v>
      </c>
      <c r="H54" s="9" t="n">
        <v>42</v>
      </c>
      <c r="I54" s="9" t="n">
        <v>17</v>
      </c>
      <c r="J54" s="9" t="n">
        <v>24</v>
      </c>
      <c r="K54" s="5" t="n">
        <v>0</v>
      </c>
      <c r="L54" s="5" t="n">
        <v>0</v>
      </c>
      <c r="M54" s="7" t="n"/>
      <c r="N54" s="5" t="n"/>
      <c r="O54" s="5" t="n"/>
      <c r="P54" s="7" t="n">
        <v>591</v>
      </c>
      <c r="Q54" s="7" t="n">
        <v>45836</v>
      </c>
      <c r="R54" s="7" t="n">
        <v>2009</v>
      </c>
      <c r="S54" s="9" t="n">
        <v>7.1</v>
      </c>
      <c r="T54" s="9" t="n">
        <v>29</v>
      </c>
      <c r="U54" s="7" t="n">
        <v>1106</v>
      </c>
      <c r="V54" s="7" t="n">
        <v>12</v>
      </c>
      <c r="W54" s="9" t="n">
        <v>38.55</v>
      </c>
      <c r="X54" s="12" t="n">
        <v>0.00084</v>
      </c>
      <c r="Y54" s="7" t="n">
        <v>94</v>
      </c>
      <c r="Z54" s="14" t="n"/>
      <c r="AA54" s="14" t="n">
        <v>25</v>
      </c>
      <c r="AB54" s="14" t="n">
        <v>40</v>
      </c>
      <c r="AC54" s="14" t="n">
        <v>55</v>
      </c>
      <c r="AD54" s="14" t="n">
        <v>65</v>
      </c>
      <c r="AE54" s="14" t="n">
        <v>85</v>
      </c>
      <c r="AF54" s="14" t="n"/>
      <c r="AG54" s="14" t="n"/>
      <c r="AH54" s="14" t="n"/>
      <c r="AI54" s="14" t="n">
        <v>45</v>
      </c>
      <c r="AJ54" s="14" t="n">
        <v>28</v>
      </c>
      <c r="AK54" s="14" t="n">
        <v>21</v>
      </c>
      <c r="AL54" s="14" t="n">
        <v>8</v>
      </c>
      <c r="AM54" s="14" t="n">
        <v>29</v>
      </c>
      <c r="AN54" s="7" t="n"/>
      <c r="AO54" s="7" t="n">
        <v>19</v>
      </c>
      <c r="AP54" s="7" t="n">
        <v>11</v>
      </c>
      <c r="AQ54" s="4" t="n">
        <v>0</v>
      </c>
      <c r="AR54" s="4" t="n">
        <v>1</v>
      </c>
      <c r="AS54" s="4" t="n">
        <v>0</v>
      </c>
      <c r="AT54" s="4" t="n">
        <v>1</v>
      </c>
      <c r="AU54" s="4" t="n">
        <v>1</v>
      </c>
      <c r="AV54" s="4" t="n">
        <v>1</v>
      </c>
      <c r="AW54" s="4" t="n">
        <v>1</v>
      </c>
      <c r="AX54" s="4" t="n">
        <v>1</v>
      </c>
      <c r="AY54" s="4" t="n">
        <v>1</v>
      </c>
      <c r="AZ54" s="4" t="n">
        <v>1</v>
      </c>
    </row>
    <row r="55">
      <c r="A55" s="4" t="inlineStr">
        <is>
          <t>ChIJ41pgHNFDGZURC7yTegyn7nU</t>
        </is>
      </c>
      <c r="B55" s="4" t="inlineStr">
        <is>
          <t>Toca do Rato - Pizzaria e Jogos de Tabuleiro</t>
        </is>
      </c>
      <c r="C55" s="4" t="inlineStr">
        <is>
          <t>Porto Alegre</t>
        </is>
      </c>
      <c r="D55" s="4" t="inlineStr">
        <is>
          <t>Sul</t>
        </is>
      </c>
      <c r="E55" s="5" t="n">
        <v>4.8</v>
      </c>
      <c r="F55" s="7" t="n">
        <v>138</v>
      </c>
      <c r="G55" s="9" t="n">
        <v>6</v>
      </c>
      <c r="H55" s="9" t="n">
        <v>26.5</v>
      </c>
      <c r="I55" s="9" t="n">
        <v>18</v>
      </c>
      <c r="J55" s="9" t="n">
        <v>23</v>
      </c>
      <c r="K55" s="5" t="n">
        <v>0</v>
      </c>
      <c r="L55" s="5" t="n">
        <v>0</v>
      </c>
      <c r="M55" s="7" t="n"/>
      <c r="N55" s="5" t="n"/>
      <c r="O55" s="5" t="n"/>
      <c r="P55" s="7" t="n">
        <v>583</v>
      </c>
      <c r="Q55" s="7" t="n"/>
      <c r="R55" s="7" t="n"/>
      <c r="S55" s="9" t="n">
        <v>3.25</v>
      </c>
      <c r="T55" s="9" t="n">
        <v>9</v>
      </c>
      <c r="U55" s="7" t="n">
        <v>309</v>
      </c>
      <c r="V55" s="7" t="n">
        <v>17</v>
      </c>
      <c r="W55" s="9" t="n">
        <v>36.22</v>
      </c>
      <c r="X55" s="12" t="n"/>
      <c r="Y55" s="7" t="n">
        <v>26</v>
      </c>
      <c r="Z55" s="14" t="n">
        <v>5</v>
      </c>
      <c r="AA55" s="14" t="n">
        <v>7.5</v>
      </c>
      <c r="AB55" s="14" t="n">
        <v>64.45</v>
      </c>
      <c r="AC55" s="14" t="n">
        <v>64.67</v>
      </c>
      <c r="AD55" s="14" t="n">
        <v>71.95</v>
      </c>
      <c r="AE55" s="14" t="n">
        <v>81.5</v>
      </c>
      <c r="AF55" s="14" t="n">
        <v>69.67</v>
      </c>
      <c r="AG55" s="14" t="n">
        <v>76.95</v>
      </c>
      <c r="AH55" s="14" t="n">
        <v>86.5</v>
      </c>
      <c r="AI55" s="14" t="n"/>
      <c r="AJ55" s="14" t="n"/>
      <c r="AK55" s="14" t="n"/>
      <c r="AL55" s="14" t="n">
        <v>7.5</v>
      </c>
      <c r="AM55" s="14" t="n"/>
      <c r="AN55" s="7" t="n">
        <v>287</v>
      </c>
      <c r="AO55" s="7" t="n"/>
      <c r="AP55" s="7" t="n"/>
      <c r="AQ55" s="4" t="n">
        <v>0</v>
      </c>
      <c r="AR55" s="4" t="n">
        <v>1</v>
      </c>
      <c r="AS55" s="4" t="n">
        <v>1</v>
      </c>
      <c r="AT55" s="4" t="n">
        <v>1</v>
      </c>
      <c r="AU55" s="4" t="n">
        <v>1</v>
      </c>
      <c r="AV55" s="4" t="n">
        <v>1</v>
      </c>
      <c r="AW55" s="4" t="n">
        <v>1</v>
      </c>
      <c r="AX55" s="4" t="n">
        <v>1</v>
      </c>
      <c r="AY55" s="4" t="n">
        <v>1</v>
      </c>
      <c r="AZ55" s="4" t="n">
        <v>0</v>
      </c>
    </row>
  </sheetData>
  <autoFilter ref="A1:AZ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90" customWidth="1" min="3" max="3"/>
    <col width="18" customWidth="1" min="4" max="4"/>
  </cols>
  <sheetData>
    <row r="1">
      <c r="A1" s="1" t="inlineStr">
        <is>
          <t>coluna</t>
        </is>
      </c>
      <c r="B1" s="1" t="inlineStr">
        <is>
          <t>grupo</t>
        </is>
      </c>
      <c r="C1" s="1" t="inlineStr">
        <is>
          <t>descrição</t>
        </is>
      </c>
      <c r="D1" s="1" t="inlineStr">
        <is>
          <t>unidade</t>
        </is>
      </c>
    </row>
    <row r="2">
      <c r="A2" s="3" t="inlineStr">
        <is>
          <t>avaliacao_media</t>
        </is>
      </c>
      <c r="B2" s="3" t="inlineStr">
        <is>
          <t>Google Maps</t>
        </is>
      </c>
      <c r="C2" s="3" t="inlineStr">
        <is>
          <t>Nota média no Google</t>
        </is>
      </c>
      <c r="D2" s="3" t="inlineStr">
        <is>
          <t>1 a 5</t>
        </is>
      </c>
    </row>
    <row r="3">
      <c r="A3" s="3" t="inlineStr">
        <is>
          <t>volume_avaliacoes</t>
        </is>
      </c>
      <c r="B3" s="3" t="inlineStr">
        <is>
          <t>Google Maps</t>
        </is>
      </c>
      <c r="C3" s="3" t="inlineStr">
        <is>
          <t>Nº de avaliações no Google</t>
        </is>
      </c>
      <c r="D3" s="3" t="inlineStr">
        <is>
          <t>avaliações</t>
        </is>
      </c>
    </row>
    <row r="4">
      <c r="A4" s="3" t="inlineStr">
        <is>
          <t>dias_abertos</t>
        </is>
      </c>
      <c r="B4" s="3" t="inlineStr">
        <is>
          <t>Horários</t>
        </is>
      </c>
      <c r="C4" s="3" t="inlineStr">
        <is>
          <t>Dias abertos por semana</t>
        </is>
      </c>
      <c r="D4" s="3" t="inlineStr">
        <is>
          <t>dias</t>
        </is>
      </c>
    </row>
    <row r="5">
      <c r="A5" s="3" t="inlineStr">
        <is>
          <t>horas_semana</t>
        </is>
      </c>
      <c r="B5" s="3" t="inlineStr">
        <is>
          <t>Horários</t>
        </is>
      </c>
      <c r="C5" s="3" t="inlineStr">
        <is>
          <t>Horas abertas por semana</t>
        </is>
      </c>
      <c r="D5" s="3" t="inlineStr">
        <is>
          <t>horas</t>
        </is>
      </c>
    </row>
    <row r="6">
      <c r="A6" s="3" t="inlineStr">
        <is>
          <t>abre_cedo_h</t>
        </is>
      </c>
      <c r="B6" s="3" t="inlineStr">
        <is>
          <t>Horários</t>
        </is>
      </c>
      <c r="C6" s="3" t="inlineStr">
        <is>
          <t>Abertura mais cedo da semana</t>
        </is>
      </c>
      <c r="D6" s="3" t="inlineStr">
        <is>
          <t>hora do dia</t>
        </is>
      </c>
    </row>
    <row r="7">
      <c r="A7" s="3" t="inlineStr">
        <is>
          <t>fecha_tarde_h</t>
        </is>
      </c>
      <c r="B7" s="3" t="inlineStr">
        <is>
          <t>Horários</t>
        </is>
      </c>
      <c r="C7" s="3" t="inlineStr">
        <is>
          <t>Fechamento mais tarde da semana (25 = 1h da manhã)</t>
        </is>
      </c>
      <c r="D7" s="3" t="inlineStr">
        <is>
          <t>hora do dia</t>
        </is>
      </c>
    </row>
    <row r="8">
      <c r="A8" s="3" t="inlineStr">
        <is>
          <t>metro_500m</t>
        </is>
      </c>
      <c r="B8" s="3" t="inlineStr">
        <is>
          <t>Entorno</t>
        </is>
      </c>
      <c r="C8" s="3" t="inlineStr">
        <is>
          <t>Estações de metrô até 500 m</t>
        </is>
      </c>
      <c r="D8" s="3" t="inlineStr">
        <is>
          <t>estações</t>
        </is>
      </c>
    </row>
    <row r="9">
      <c r="A9" s="3" t="inlineStr">
        <is>
          <t>metro_1000m</t>
        </is>
      </c>
      <c r="B9" s="3" t="inlineStr">
        <is>
          <t>Entorno</t>
        </is>
      </c>
      <c r="C9" s="3" t="inlineStr">
        <is>
          <t>Estações de metrô até 1000 m</t>
        </is>
      </c>
      <c r="D9" s="3" t="inlineStr">
        <is>
          <t>estações</t>
        </is>
      </c>
    </row>
    <row r="10">
      <c r="A10" s="3" t="inlineStr">
        <is>
          <t>dist_metro_m</t>
        </is>
      </c>
      <c r="B10" s="3" t="inlineStr">
        <is>
          <t>Entorno</t>
        </is>
      </c>
      <c r="C10" s="3" t="inlineStr">
        <is>
          <t>Distância à estação de metrô mais próxima</t>
        </is>
      </c>
      <c r="D10" s="3" t="inlineStr">
        <is>
          <t>metros (linha reta)</t>
        </is>
      </c>
    </row>
    <row r="11">
      <c r="A11" s="3" t="inlineStr">
        <is>
          <t>shopping_porte_500m</t>
        </is>
      </c>
      <c r="B11" s="3" t="inlineStr">
        <is>
          <t>Entorno</t>
        </is>
      </c>
      <c r="C11" s="3" t="inlineStr">
        <is>
          <t>Shoppings de porte até 500 m (onde o porte foi buscado)</t>
        </is>
      </c>
      <c r="D11" s="3" t="inlineStr">
        <is>
          <t>shoppings</t>
        </is>
      </c>
    </row>
    <row r="12">
      <c r="A12" s="3" t="inlineStr">
        <is>
          <t>shopping_porte_1000m</t>
        </is>
      </c>
      <c r="B12" s="3" t="inlineStr">
        <is>
          <t>Entorno</t>
        </is>
      </c>
      <c r="C12" s="3" t="inlineStr">
        <is>
          <t>Shoppings de porte até 1000 m (onde o porte foi buscado)</t>
        </is>
      </c>
      <c r="D12" s="3" t="inlineStr">
        <is>
          <t>shoppings</t>
        </is>
      </c>
    </row>
    <row r="13">
      <c r="A13" s="3" t="inlineStr">
        <is>
          <t>dist_shopping_m</t>
        </is>
      </c>
      <c r="B13" s="3" t="inlineStr">
        <is>
          <t>Entorno</t>
        </is>
      </c>
      <c r="C13" s="3" t="inlineStr">
        <is>
          <t>Distância ao shopping mais próximo (qualquer porte)</t>
        </is>
      </c>
      <c r="D13" s="3" t="inlineStr">
        <is>
          <t>metros (linha reta)</t>
        </is>
      </c>
    </row>
    <row r="14">
      <c r="A14" s="3" t="inlineStr">
        <is>
          <t>seguidores</t>
        </is>
      </c>
      <c r="B14" s="3" t="inlineStr">
        <is>
          <t>Instagram</t>
        </is>
      </c>
      <c r="C14" s="3" t="inlineStr">
        <is>
          <t>Seguidores</t>
        </is>
      </c>
      <c r="D14" s="3" t="inlineStr">
        <is>
          <t>seguidores</t>
        </is>
      </c>
    </row>
    <row r="15">
      <c r="A15" s="3" t="inlineStr">
        <is>
          <t>n_posts_total</t>
        </is>
      </c>
      <c r="B15" s="3" t="inlineStr">
        <is>
          <t>Instagram</t>
        </is>
      </c>
      <c r="C15" s="3" t="inlineStr">
        <is>
          <t>Posts desde a criação do perfil</t>
        </is>
      </c>
      <c r="D15" s="3" t="inlineStr">
        <is>
          <t>posts</t>
        </is>
      </c>
    </row>
    <row r="16">
      <c r="A16" s="3" t="inlineStr">
        <is>
          <t>idade_perfil_anos</t>
        </is>
      </c>
      <c r="B16" s="3" t="inlineStr">
        <is>
          <t>Instagram</t>
        </is>
      </c>
      <c r="C16" s="3" t="inlineStr">
        <is>
          <t>Idade do perfil (desde o primeiro post até 15/10/2026)</t>
        </is>
      </c>
      <c r="D16" s="3" t="inlineStr">
        <is>
          <t>anos</t>
        </is>
      </c>
    </row>
    <row r="17">
      <c r="A17" s="3" t="inlineStr">
        <is>
          <t>n_posts_periodo</t>
        </is>
      </c>
      <c r="B17" s="3" t="inlineStr">
        <is>
          <t>Instagram</t>
        </is>
      </c>
      <c r="C17" s="3" t="inlineStr">
        <is>
          <t>Posts de 01/09 a 01/10/2026</t>
        </is>
      </c>
      <c r="D17" s="3" t="inlineStr">
        <is>
          <t>posts</t>
        </is>
      </c>
    </row>
    <row r="18">
      <c r="A18" s="3" t="inlineStr">
        <is>
          <t>curtidas_periodo</t>
        </is>
      </c>
      <c r="B18" s="3" t="inlineStr">
        <is>
          <t>Instagram</t>
        </is>
      </c>
      <c r="C18" s="3" t="inlineStr">
        <is>
          <t>Curtidas no período</t>
        </is>
      </c>
      <c r="D18" s="3" t="inlineStr">
        <is>
          <t>curtidas</t>
        </is>
      </c>
    </row>
    <row r="19">
      <c r="A19" s="3" t="inlineStr">
        <is>
          <t>comentarios_periodo</t>
        </is>
      </c>
      <c r="B19" s="3" t="inlineStr">
        <is>
          <t>Instagram</t>
        </is>
      </c>
      <c r="C19" s="3" t="inlineStr">
        <is>
          <t>Comentários no período</t>
        </is>
      </c>
      <c r="D19" s="3" t="inlineStr">
        <is>
          <t>comentários</t>
        </is>
      </c>
    </row>
    <row r="20">
      <c r="A20" s="3" t="inlineStr">
        <is>
          <t>interacoes_por_post</t>
        </is>
      </c>
      <c r="B20" s="3" t="inlineStr">
        <is>
          <t>Instagram</t>
        </is>
      </c>
      <c r="C20" s="3" t="inlineStr">
        <is>
          <t>Interações por post no período (curtidas + comentários)</t>
        </is>
      </c>
      <c r="D20" s="3" t="inlineStr">
        <is>
          <t>interações</t>
        </is>
      </c>
    </row>
    <row r="21">
      <c r="A21" s="3" t="inlineStr">
        <is>
          <t>engajamento_pct</t>
        </is>
      </c>
      <c r="B21" s="3" t="inlineStr">
        <is>
          <t>Instagram</t>
        </is>
      </c>
      <c r="C21" s="3" t="inlineStr">
        <is>
          <t>Taxa de engajamento (interações por post ÷ seguidores)</t>
        </is>
      </c>
      <c r="D21" s="3" t="inlineStr">
        <is>
          <t>%</t>
        </is>
      </c>
    </row>
    <row r="22">
      <c r="A22" s="3" t="inlineStr">
        <is>
          <t>itens_com_preco</t>
        </is>
      </c>
      <c r="B22" s="3" t="inlineStr">
        <is>
          <t>Cardápio</t>
        </is>
      </c>
      <c r="C22" s="3" t="inlineStr">
        <is>
          <t>Itens com preço no cardápio</t>
        </is>
      </c>
      <c r="D22" s="3" t="inlineStr">
        <is>
          <t>itens</t>
        </is>
      </c>
    </row>
    <row r="23">
      <c r="A23" s="3" t="inlineStr">
        <is>
          <t>couvert_mediana</t>
        </is>
      </c>
      <c r="B23" s="3" t="inlineStr">
        <is>
          <t>Cardápio</t>
        </is>
      </c>
      <c r="C23" s="3" t="inlineStr">
        <is>
          <t>Couvert ou taxa de jogo (só casas que cobram)</t>
        </is>
      </c>
      <c r="D23" s="3" t="inlineStr">
        <is>
          <t>R$</t>
        </is>
      </c>
    </row>
    <row r="24">
      <c r="A24" s="3" t="inlineStr">
        <is>
          <t>bebida_mediana</t>
        </is>
      </c>
      <c r="B24" s="3" t="inlineStr">
        <is>
          <t>Cardápio</t>
        </is>
      </c>
      <c r="C24" s="3" t="inlineStr">
        <is>
          <t>Bebida, mediana do cardápio</t>
        </is>
      </c>
      <c r="D24" s="3" t="inlineStr">
        <is>
          <t>R$</t>
        </is>
      </c>
    </row>
    <row r="25">
      <c r="A25" s="3" t="inlineStr">
        <is>
          <t>entrada_ou_prato_mediana</t>
        </is>
      </c>
      <c r="B25" s="3" t="inlineStr">
        <is>
          <t>Cardápio</t>
        </is>
      </c>
      <c r="C25" s="3" t="inlineStr">
        <is>
          <t>Entrada ou prato, mediana do cardápio</t>
        </is>
      </c>
      <c r="D25" s="3" t="inlineStr">
        <is>
          <t>R$</t>
        </is>
      </c>
    </row>
    <row r="26">
      <c r="A26" s="3" t="inlineStr">
        <is>
          <t>consumo_baixa</t>
        </is>
      </c>
      <c r="B26" s="3" t="inlineStr">
        <is>
          <t>Cardápio</t>
        </is>
      </c>
      <c r="C26" s="3" t="inlineStr">
        <is>
          <t>Consumo por pessoa (bebida + entrada ou prato), nível baixo (P25)</t>
        </is>
      </c>
      <c r="D26" s="3" t="inlineStr">
        <is>
          <t>R$</t>
        </is>
      </c>
    </row>
    <row r="27">
      <c r="A27" s="3" t="inlineStr">
        <is>
          <t>consumo_mediana</t>
        </is>
      </c>
      <c r="B27" s="3" t="inlineStr">
        <is>
          <t>Cardápio</t>
        </is>
      </c>
      <c r="C27" s="3" t="inlineStr">
        <is>
          <t>Consumo por pessoa (bebida + entrada ou prato), nível mediano</t>
        </is>
      </c>
      <c r="D27" s="3" t="inlineStr">
        <is>
          <t>R$</t>
        </is>
      </c>
    </row>
    <row r="28">
      <c r="A28" s="3" t="inlineStr">
        <is>
          <t>consumo_alta</t>
        </is>
      </c>
      <c r="B28" s="3" t="inlineStr">
        <is>
          <t>Cardápio</t>
        </is>
      </c>
      <c r="C28" s="3" t="inlineStr">
        <is>
          <t>Consumo por pessoa (bebida + entrada ou prato), nível alto (P75)</t>
        </is>
      </c>
      <c r="D28" s="3" t="inlineStr">
        <is>
          <t>R$</t>
        </is>
      </c>
    </row>
    <row r="29">
      <c r="A29" s="3" t="inlineStr">
        <is>
          <t>cesta_baixa</t>
        </is>
      </c>
      <c r="B29" s="3" t="inlineStr">
        <is>
          <t>Cardápio</t>
        </is>
      </c>
      <c r="C29" s="3" t="inlineStr">
        <is>
          <t>Cesta completa (consumo + couvert encontrado), nível baixo (P25)</t>
        </is>
      </c>
      <c r="D29" s="3" t="inlineStr">
        <is>
          <t>R$</t>
        </is>
      </c>
    </row>
    <row r="30">
      <c r="A30" s="3" t="inlineStr">
        <is>
          <t>cesta_mediana</t>
        </is>
      </c>
      <c r="B30" s="3" t="inlineStr">
        <is>
          <t>Cardápio</t>
        </is>
      </c>
      <c r="C30" s="3" t="inlineStr">
        <is>
          <t>Cesta completa (consumo + couvert encontrado), nível mediano</t>
        </is>
      </c>
      <c r="D30" s="3" t="inlineStr">
        <is>
          <t>R$</t>
        </is>
      </c>
    </row>
    <row r="31">
      <c r="A31" s="3" t="inlineStr">
        <is>
          <t>cesta_alta</t>
        </is>
      </c>
      <c r="B31" s="3" t="inlineStr">
        <is>
          <t>Cardápio</t>
        </is>
      </c>
      <c r="C31" s="3" t="inlineStr">
        <is>
          <t>Cesta completa (consumo + couvert encontrado), nível alto (P75)</t>
        </is>
      </c>
      <c r="D31" s="3" t="inlineStr">
        <is>
          <t>R$</t>
        </is>
      </c>
    </row>
    <row r="32">
      <c r="A32" s="3" t="inlineStr">
        <is>
          <t>hamburguer_mediana</t>
        </is>
      </c>
      <c r="B32" s="3" t="inlineStr">
        <is>
          <t>Cardápio</t>
        </is>
      </c>
      <c r="C32" s="3" t="inlineStr">
        <is>
          <t>Hambúrguer, mediana</t>
        </is>
      </c>
      <c r="D32" s="3" t="inlineStr">
        <is>
          <t>R$</t>
        </is>
      </c>
    </row>
    <row r="33">
      <c r="A33" s="3" t="inlineStr">
        <is>
          <t>batata_mediana</t>
        </is>
      </c>
      <c r="B33" s="3" t="inlineStr">
        <is>
          <t>Cardápio</t>
        </is>
      </c>
      <c r="C33" s="3" t="inlineStr">
        <is>
          <t>Batata, mediana</t>
        </is>
      </c>
      <c r="D33" s="3" t="inlineStr">
        <is>
          <t>R$</t>
        </is>
      </c>
    </row>
    <row r="34">
      <c r="A34" s="3" t="inlineStr">
        <is>
          <t>cerveja_mediana</t>
        </is>
      </c>
      <c r="B34" s="3" t="inlineStr">
        <is>
          <t>Cardápio</t>
        </is>
      </c>
      <c r="C34" s="3" t="inlineStr">
        <is>
          <t>Cerveja, mediana</t>
        </is>
      </c>
      <c r="D34" s="3" t="inlineStr">
        <is>
          <t>R$</t>
        </is>
      </c>
    </row>
    <row r="35">
      <c r="A35" s="3" t="inlineStr">
        <is>
          <t>refrigerante_mediana</t>
        </is>
      </c>
      <c r="B35" s="3" t="inlineStr">
        <is>
          <t>Cardápio</t>
        </is>
      </c>
      <c r="C35" s="3" t="inlineStr">
        <is>
          <t>Refrigerante, mediana</t>
        </is>
      </c>
      <c r="D35" s="3" t="inlineStr">
        <is>
          <t>R$</t>
        </is>
      </c>
    </row>
    <row r="36">
      <c r="A36" s="3" t="inlineStr">
        <is>
          <t>drinks_mediana</t>
        </is>
      </c>
      <c r="B36" s="3" t="inlineStr">
        <is>
          <t>Cardápio</t>
        </is>
      </c>
      <c r="C36" s="3" t="inlineStr">
        <is>
          <t>Drinks, mediana</t>
        </is>
      </c>
      <c r="D36" s="3" t="inlineStr">
        <is>
          <t>R$</t>
        </is>
      </c>
    </row>
    <row r="37">
      <c r="A37" s="3" t="inlineStr">
        <is>
          <t>titulos_acervo</t>
        </is>
      </c>
      <c r="B37" s="3" t="inlineStr">
        <is>
          <t>Acervo</t>
        </is>
      </c>
      <c r="C37" s="3" t="inlineStr">
        <is>
          <t>Títulos no acervo publicado</t>
        </is>
      </c>
      <c r="D37" s="3" t="inlineStr">
        <is>
          <t>jogos</t>
        </is>
      </c>
    </row>
    <row r="38">
      <c r="A38" s="3" t="inlineStr">
        <is>
          <t>avaliacoes_b2</t>
        </is>
      </c>
      <c r="B38" s="3" t="inlineStr">
        <is>
          <t>B2</t>
        </is>
      </c>
      <c r="C38" s="3" t="inlineStr">
        <is>
          <t>Avaliações no recorte do B2 (até '3 meses atrás')</t>
        </is>
      </c>
      <c r="D38" s="3" t="inlineStr">
        <is>
          <t>avaliações</t>
        </is>
      </c>
    </row>
    <row r="39">
      <c r="A39" s="3" t="inlineStr">
        <is>
          <t>avaliacoes_b2_com_texto</t>
        </is>
      </c>
      <c r="B39" s="3" t="inlineStr">
        <is>
          <t>B2</t>
        </is>
      </c>
      <c r="C39" s="3" t="inlineStr">
        <is>
          <t>Dessas, com texto</t>
        </is>
      </c>
      <c r="D39" s="3" t="inlineStr">
        <is>
          <t>avaliações</t>
        </is>
      </c>
    </row>
    <row r="40">
      <c r="A40" s="3" t="inlineStr">
        <is>
          <t>tem_metro_1000m</t>
        </is>
      </c>
      <c r="B40" s="3" t="inlineStr">
        <is>
          <t>Proporção</t>
        </is>
      </c>
      <c r="C40" s="3" t="inlineStr">
        <is>
          <t>Com estação de metrô até 1000 m (1 = sim, 0 = não)</t>
        </is>
      </c>
      <c r="D40" s="3" t="inlineStr">
        <is>
          <t>0 ou 1</t>
        </is>
      </c>
    </row>
    <row r="41">
      <c r="A41" s="3" t="inlineStr">
        <is>
          <t>tem_cardapio</t>
        </is>
      </c>
      <c r="B41" s="3" t="inlineStr">
        <is>
          <t>Proporção</t>
        </is>
      </c>
      <c r="C41" s="3" t="inlineStr">
        <is>
          <t>Com cardápio transcrito (1 = sim, 0 = não)</t>
        </is>
      </c>
      <c r="D41" s="3" t="inlineStr">
        <is>
          <t>0 ou 1</t>
        </is>
      </c>
    </row>
    <row r="42">
      <c r="A42" s="3" t="inlineStr">
        <is>
          <t>cobra_couvert</t>
        </is>
      </c>
      <c r="B42" s="3" t="inlineStr">
        <is>
          <t>Proporção</t>
        </is>
      </c>
      <c r="C42" s="3" t="inlineStr">
        <is>
          <t>Couvert ou taxa de jogo encontrado (entre as com cardápio) (1 = sim, 0 = não)</t>
        </is>
      </c>
      <c r="D42" s="3" t="inlineStr">
        <is>
          <t>0 ou 1</t>
        </is>
      </c>
    </row>
    <row r="43">
      <c r="A43" s="3" t="inlineStr">
        <is>
          <t>abre_segunda</t>
        </is>
      </c>
      <c r="B43" s="3" t="inlineStr">
        <is>
          <t>Proporção</t>
        </is>
      </c>
      <c r="C43" s="3" t="inlineStr">
        <is>
          <t>Abre segunda (1 = sim, 0 = não)</t>
        </is>
      </c>
      <c r="D43" s="3" t="inlineStr">
        <is>
          <t>0 ou 1</t>
        </is>
      </c>
    </row>
    <row r="44">
      <c r="A44" s="3" t="inlineStr">
        <is>
          <t>abre_terca</t>
        </is>
      </c>
      <c r="B44" s="3" t="inlineStr">
        <is>
          <t>Proporção</t>
        </is>
      </c>
      <c r="C44" s="3" t="inlineStr">
        <is>
          <t>Abre terça (1 = sim, 0 = não)</t>
        </is>
      </c>
      <c r="D44" s="3" t="inlineStr">
        <is>
          <t>0 ou 1</t>
        </is>
      </c>
    </row>
    <row r="45">
      <c r="A45" s="3" t="inlineStr">
        <is>
          <t>abre_quarta</t>
        </is>
      </c>
      <c r="B45" s="3" t="inlineStr">
        <is>
          <t>Proporção</t>
        </is>
      </c>
      <c r="C45" s="3" t="inlineStr">
        <is>
          <t>Abre quarta (1 = sim, 0 = não)</t>
        </is>
      </c>
      <c r="D45" s="3" t="inlineStr">
        <is>
          <t>0 ou 1</t>
        </is>
      </c>
    </row>
    <row r="46">
      <c r="A46" s="3" t="inlineStr">
        <is>
          <t>abre_quinta</t>
        </is>
      </c>
      <c r="B46" s="3" t="inlineStr">
        <is>
          <t>Proporção</t>
        </is>
      </c>
      <c r="C46" s="3" t="inlineStr">
        <is>
          <t>Abre quinta (1 = sim, 0 = não)</t>
        </is>
      </c>
      <c r="D46" s="3" t="inlineStr">
        <is>
          <t>0 ou 1</t>
        </is>
      </c>
    </row>
    <row r="47">
      <c r="A47" s="3" t="inlineStr">
        <is>
          <t>abre_sexta</t>
        </is>
      </c>
      <c r="B47" s="3" t="inlineStr">
        <is>
          <t>Proporção</t>
        </is>
      </c>
      <c r="C47" s="3" t="inlineStr">
        <is>
          <t>Abre sexta (1 = sim, 0 = não)</t>
        </is>
      </c>
      <c r="D47" s="3" t="inlineStr">
        <is>
          <t>0 ou 1</t>
        </is>
      </c>
    </row>
    <row r="48">
      <c r="A48" s="3" t="inlineStr">
        <is>
          <t>abre_sabado</t>
        </is>
      </c>
      <c r="B48" s="3" t="inlineStr">
        <is>
          <t>Proporção</t>
        </is>
      </c>
      <c r="C48" s="3" t="inlineStr">
        <is>
          <t>Abre sábado (1 = sim, 0 = não)</t>
        </is>
      </c>
      <c r="D48" s="3" t="inlineStr">
        <is>
          <t>0 ou 1</t>
        </is>
      </c>
    </row>
    <row r="49">
      <c r="A49" s="3" t="inlineStr">
        <is>
          <t>abre_domingo</t>
        </is>
      </c>
      <c r="B49" s="3" t="inlineStr">
        <is>
          <t>Proporção</t>
        </is>
      </c>
      <c r="C49" s="3" t="inlineStr">
        <is>
          <t>Abre domingo (1 = sim, 0 = não)</t>
        </is>
      </c>
      <c r="D49" s="3" t="inlineStr">
        <is>
          <t>0 ou 1</t>
        </is>
      </c>
    </row>
    <row r="50">
      <c r="A50" s="3" t="inlineStr">
        <is>
          <t>regiao</t>
        </is>
      </c>
      <c r="B50" s="3" t="inlineStr">
        <is>
          <t>Identificação</t>
        </is>
      </c>
      <c r="C50" s="3" t="inlineStr">
        <is>
          <t>Região do Brasil da capital da metrópole (IBGE)</t>
        </is>
      </c>
      <c r="D50" s="3" t="inlineStr">
        <is>
          <t>—</t>
        </is>
      </c>
    </row>
    <row r="51">
      <c r="A51" s="3" t="inlineStr">
        <is>
          <t>—</t>
        </is>
      </c>
      <c r="B51" s="3" t="inlineStr">
        <is>
          <t>Regras</t>
        </is>
      </c>
      <c r="C51" s="3" t="inlineStr">
        <is>
          <t>Cada casa conta uma vez, na metrópole do endereço. Instagram de LudoCafé e Dominaria vazio (perfil coletado não é o da casa). Couvert só nas casas com couvert encontrado. Shoppings de porte só onde o porte foi buscado. Distâncias em linha reta (coletor de entorno). Desvio padrão amostral; quartis pelo método inclusivo.</t>
        </is>
      </c>
      <c r="D51" s="3" t="inlineStr">
        <is>
          <t>—</t>
        </is>
      </c>
    </row>
  </sheetData>
  <autoFilter ref="A1:D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2026-10-31T14:04:06Z</dcterms:created>
  <dcterms:modified xsi:type="dcterms:W3CDTF">2026-10-31T14:04:06Z</dcterms:modified>
</cp:coreProperties>
</file>