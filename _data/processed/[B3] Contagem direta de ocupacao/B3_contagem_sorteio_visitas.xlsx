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Parâmetros" sheetId="2" state="visible" r:id="rId2"/>
    <sheet name="Horas" sheetId="3" state="visible" r:id="rId3"/>
    <sheet name="Retorno" sheetId="4" state="visible" r:id="rId4"/>
    <sheet name="Sorteio" sheetId="5" state="visible" r:id="rId5"/>
    <sheet name="Registr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.0000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color rgb="000000FF"/>
      <sz val="10"/>
    </font>
    <font>
      <name val="Arial"/>
      <color rgb="00008000"/>
      <sz val="10"/>
    </font>
  </fonts>
  <fills count="4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165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Sorteio das visitas da contagem direta de ocupação (Bloco D)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Na aba Parâmetros, preencha as células amarelas com o nome das duas unidades da São Jogue.</t>
        </is>
      </c>
    </row>
    <row r="5">
      <c r="A5" s="2" t="inlineStr">
        <is>
          <t>2. Na aba Horas, marque "não" nas colunas amarelas de cada unidade para as horas de início em que ela não fica aberta pelas 3 horas seguintes. Na aba Retorno, marque "não" para os dias em que ela não abre. Faça isso ANTES de abrir a aba Sorteio: mudar a lista depois de ver o resultado invalida o sorteio.</t>
        </is>
      </c>
    </row>
    <row r="6">
      <c r="A6" s="2" t="inlineStr">
        <is>
          <t>3. A aba Sorteio mostra as 2 visitas sorteadas e as 2 de retorno.</t>
        </is>
      </c>
    </row>
    <row r="7">
      <c r="A7" s="2" t="inlineStr">
        <is>
          <t>4. Registre o resultado final: copie a aba Sorteio e cole como valores na aba Registro, com a data do sorteio.</t>
        </is>
      </c>
    </row>
    <row r="8">
      <c r="A8" s="2" t="inlineStr"/>
    </row>
    <row r="9">
      <c r="A9" s="3" t="inlineStr">
        <is>
          <t>Regras do sorteio</t>
        </is>
      </c>
    </row>
    <row r="10">
      <c r="A10" s="2" t="inlineStr">
        <is>
          <t>• 4 visitas no total, 2 por unidade: 1 sorteada e 1 de retorno.</t>
        </is>
      </c>
    </row>
    <row r="11">
      <c r="A11" s="2" t="inlineStr">
        <is>
          <t>• Visitas sorteadas no sábado, 03/10/2026, as duas unidades no mesmo dia. Só a hora de início é sorteada (12h00 a 19h00, de hora em hora).</t>
        </is>
      </c>
    </row>
    <row r="12">
      <c r="A12" s="2" t="inlineStr">
        <is>
          <t>• Duração fixa de 3 horas. As horas de início das duas unidades distam no mínimo 2 horas.</t>
        </is>
      </c>
    </row>
    <row r="13">
      <c r="A13" s="2" t="inlineStr">
        <is>
          <t>• Um número sorteado define qual unidade escolhe primeiro. A primeira fica com a hora aberta de menor número aleatório; a segunda, com a hora aberta de menor número aleatório que respeite a distância mínima.</t>
        </is>
      </c>
    </row>
    <row r="14">
      <c r="A14" s="2" t="inlineStr">
        <is>
          <t>• Visita de retorno: 15 dias depois, no domingo, 18/10/2026, na mesma unidade e na mesma hora de início. Se a unidade estiver fechada, a visita passa ao dia seguinte de funcionamento.</t>
        </is>
      </c>
    </row>
    <row r="15">
      <c r="A15" s="2" t="inlineStr">
        <is>
          <t>• Em cada visita, registrar o número da NFC-e no início e no fim, e o horário de início e de fim. A diferença entre os números da visita sorteada e da de retorno dá as notas emitidas no intervalo.</t>
        </is>
      </c>
    </row>
    <row r="16">
      <c r="A16" s="2" t="inlineStr">
        <is>
          <t>• Visitas do lado de fora do estabelecimento, com contagem a cada 30 minutos.</t>
        </is>
      </c>
    </row>
    <row r="17">
      <c r="A17" s="2" t="inlineStr">
        <is>
          <t>• Os números aleatórios foram gerados com semente fixa (20260916) pelo script _src/[D] Contagem direta de ocupacao/build_contagem_sorteio.py e não devem ser editados.</t>
        </is>
      </c>
    </row>
    <row r="18">
      <c r="A18" s="2" t="inlineStr"/>
    </row>
    <row r="19">
      <c r="A19" s="3" t="inlineStr">
        <is>
          <t>Legenda de cores</t>
        </is>
      </c>
    </row>
    <row r="20">
      <c r="A20" s="2" t="inlineStr">
        <is>
          <t>Fundo amarelo: célula para preencher. Texto azul: valor fixo (dado ou número sorteado). Texto preto: fórmula. Texto verde: fórmula que busca dado de outra aba.</t>
        </is>
      </c>
    </row>
    <row r="21">
      <c r="A21" s="2" t="inlineStr"/>
    </row>
    <row r="22">
      <c r="A22" s="2" t="inlineStr">
        <is>
          <t>Fonte das datas de pagamento: Governo da Bahia, Tabela de Pagamentos 2026 dos servidores estaduais (servidores.rhbahia.ba.gov.br/tabela-de-pagamentos-2026), consultada em 17/09/2026. Setembro: ativos 30/09, inativos e pensionistas 29/09. Outubro: ativos 30/10, inativos e pensionistas 29/10.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60" customWidth="1" min="3" max="3"/>
  </cols>
  <sheetData>
    <row r="1">
      <c r="A1" s="4" t="inlineStr">
        <is>
          <t>Parâmetros do sorteio</t>
        </is>
      </c>
    </row>
    <row r="3">
      <c r="A3" s="5" t="inlineStr">
        <is>
          <t>Parâmetro</t>
        </is>
      </c>
      <c r="B3" s="5" t="inlineStr">
        <is>
          <t>Valor</t>
        </is>
      </c>
      <c r="C3" s="5" t="inlineStr">
        <is>
          <t>Observação</t>
        </is>
      </c>
    </row>
    <row r="4">
      <c r="A4" s="6" t="inlineStr">
        <is>
          <t>Nome da unidade 1</t>
        </is>
      </c>
      <c r="B4" s="7" t="inlineStr">
        <is>
          <t>Unidade 1</t>
        </is>
      </c>
      <c r="C4" s="6" t="inlineStr">
        <is>
          <t>Preencher</t>
        </is>
      </c>
    </row>
    <row r="5">
      <c r="A5" s="6" t="inlineStr">
        <is>
          <t>Nome da unidade 2</t>
        </is>
      </c>
      <c r="B5" s="7" t="inlineStr">
        <is>
          <t>Unidade 2</t>
        </is>
      </c>
      <c r="C5" s="6" t="inlineStr">
        <is>
          <t>Preencher</t>
        </is>
      </c>
    </row>
    <row r="6">
      <c r="A6" s="6" t="inlineStr">
        <is>
          <t>Dia das visitas sorteadas</t>
        </is>
      </c>
      <c r="B6" s="8" t="n">
        <v>46298</v>
      </c>
      <c r="C6" s="6" t="inlineStr">
        <is>
          <t>Sábado</t>
        </is>
      </c>
    </row>
    <row r="7">
      <c r="A7" s="6" t="inlineStr">
        <is>
          <t>Duração de cada visita (horas)</t>
        </is>
      </c>
      <c r="B7" s="9" t="n">
        <v>3</v>
      </c>
      <c r="C7" s="6" t="inlineStr">
        <is>
          <t>Fixa</t>
        </is>
      </c>
    </row>
    <row r="8">
      <c r="A8" s="6" t="inlineStr">
        <is>
          <t>Semente dos números aleatórios</t>
        </is>
      </c>
      <c r="B8" s="9" t="n">
        <v>20260916</v>
      </c>
      <c r="C8" s="6" t="inlineStr">
        <is>
          <t>Mesma do registro prévio</t>
        </is>
      </c>
    </row>
    <row r="9">
      <c r="A9" s="6" t="inlineStr">
        <is>
          <t>Número sorteado para as unidades</t>
        </is>
      </c>
      <c r="B9" s="10" t="n">
        <v>0.6624941903573036</v>
      </c>
      <c r="C9" s="6" t="inlineStr">
        <is>
          <t>&lt; 0,5: unidade 1 escolhe primeiro; ≥ 0,5: unidade 2</t>
        </is>
      </c>
    </row>
    <row r="10">
      <c r="A10" s="6" t="inlineStr">
        <is>
          <t>Dias até a visita de retorno</t>
        </is>
      </c>
      <c r="B10" s="9" t="n">
        <v>15</v>
      </c>
      <c r="C10" s="6" t="inlineStr">
        <is>
          <t>Contados a partir da visita sorteada</t>
        </is>
      </c>
    </row>
    <row r="11">
      <c r="A11" s="6" t="inlineStr">
        <is>
          <t>Distância mínima entre as horas de início (horas)</t>
        </is>
      </c>
      <c r="B11" s="9" t="n">
        <v>2</v>
      </c>
      <c r="C11" s="6" t="inlineStr">
        <is>
          <t>Entre as duas unidades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4" customWidth="1" min="4" max="4"/>
    <col width="14" customWidth="1" min="5" max="5"/>
  </cols>
  <sheetData>
    <row r="1">
      <c r="A1" s="4" t="inlineStr">
        <is>
          <t>Horas de início possíveis das visitas sorteadas (03/10/2026)</t>
        </is>
      </c>
    </row>
    <row r="2">
      <c r="A2" s="5" t="inlineStr">
        <is>
          <t>Número aleatório</t>
        </is>
      </c>
      <c r="B2" s="5" t="inlineStr">
        <is>
          <t>Hora</t>
        </is>
      </c>
      <c r="C2" s="5" t="inlineStr">
        <is>
          <t>Hora de início</t>
        </is>
      </c>
      <c r="D2" s="5" t="inlineStr">
        <is>
          <t>Unidade 1 aberta por 3 h?</t>
        </is>
      </c>
      <c r="E2" s="5" t="inlineStr">
        <is>
          <t>Unidade 2 aberta por 3 h?</t>
        </is>
      </c>
    </row>
    <row r="3">
      <c r="A3" s="10" t="n">
        <v>0.6825255929118569</v>
      </c>
      <c r="B3" s="9" t="n">
        <v>12</v>
      </c>
      <c r="C3" s="11" t="inlineStr">
        <is>
          <t>12h00</t>
        </is>
      </c>
      <c r="D3" s="7" t="inlineStr">
        <is>
          <t>sim</t>
        </is>
      </c>
      <c r="E3" s="7" t="inlineStr">
        <is>
          <t>sim</t>
        </is>
      </c>
    </row>
    <row r="4">
      <c r="A4" s="10" t="n">
        <v>0.9420456376610188</v>
      </c>
      <c r="B4" s="9" t="n">
        <v>13</v>
      </c>
      <c r="C4" s="11" t="inlineStr">
        <is>
          <t>13h00</t>
        </is>
      </c>
      <c r="D4" s="7" t="inlineStr">
        <is>
          <t>sim</t>
        </is>
      </c>
      <c r="E4" s="7" t="inlineStr">
        <is>
          <t>sim</t>
        </is>
      </c>
    </row>
    <row r="5">
      <c r="A5" s="10" t="n">
        <v>0.8701514202626593</v>
      </c>
      <c r="B5" s="9" t="n">
        <v>14</v>
      </c>
      <c r="C5" s="11" t="inlineStr">
        <is>
          <t>14h00</t>
        </is>
      </c>
      <c r="D5" s="7" t="inlineStr">
        <is>
          <t>sim</t>
        </is>
      </c>
      <c r="E5" s="7" t="inlineStr">
        <is>
          <t>sim</t>
        </is>
      </c>
    </row>
    <row r="6">
      <c r="A6" s="10" t="n">
        <v>0.1085408879036384</v>
      </c>
      <c r="B6" s="9" t="n">
        <v>15</v>
      </c>
      <c r="C6" s="11" t="inlineStr">
        <is>
          <t>15h00</t>
        </is>
      </c>
      <c r="D6" s="7" t="inlineStr">
        <is>
          <t>sim</t>
        </is>
      </c>
      <c r="E6" s="7" t="inlineStr">
        <is>
          <t>sim</t>
        </is>
      </c>
    </row>
    <row r="7">
      <c r="A7" s="10" t="n">
        <v>0.5044517982097884</v>
      </c>
      <c r="B7" s="9" t="n">
        <v>16</v>
      </c>
      <c r="C7" s="11" t="inlineStr">
        <is>
          <t>16h00</t>
        </is>
      </c>
      <c r="D7" s="7" t="inlineStr">
        <is>
          <t>sim</t>
        </is>
      </c>
      <c r="E7" s="7" t="inlineStr">
        <is>
          <t>sim</t>
        </is>
      </c>
    </row>
    <row r="8">
      <c r="A8" s="10" t="n">
        <v>0.8663027492310936</v>
      </c>
      <c r="B8" s="9" t="n">
        <v>17</v>
      </c>
      <c r="C8" s="11" t="inlineStr">
        <is>
          <t>17h00</t>
        </is>
      </c>
      <c r="D8" s="7" t="inlineStr">
        <is>
          <t>sim</t>
        </is>
      </c>
      <c r="E8" s="7" t="inlineStr">
        <is>
          <t>sim</t>
        </is>
      </c>
    </row>
    <row r="9">
      <c r="A9" s="10" t="n">
        <v>0.5899372207964796</v>
      </c>
      <c r="B9" s="9" t="n">
        <v>18</v>
      </c>
      <c r="C9" s="11" t="inlineStr">
        <is>
          <t>18h00</t>
        </is>
      </c>
      <c r="D9" s="7" t="inlineStr">
        <is>
          <t>sim</t>
        </is>
      </c>
      <c r="E9" s="7" t="inlineStr">
        <is>
          <t>sim</t>
        </is>
      </c>
    </row>
    <row r="10">
      <c r="A10" s="10" t="n">
        <v>0.6618768317480069</v>
      </c>
      <c r="B10" s="9" t="n">
        <v>19</v>
      </c>
      <c r="C10" s="11" t="inlineStr">
        <is>
          <t>19h00</t>
        </is>
      </c>
      <c r="D10" s="7" t="inlineStr">
        <is>
          <t>sim</t>
        </is>
      </c>
      <c r="E10" s="7" t="inlineStr">
        <is>
          <t>sim</t>
        </is>
      </c>
    </row>
  </sheetData>
  <dataValidations count="1">
    <dataValidation sqref="D3:E10" showDropDown="0" showInputMessage="0" showErrorMessage="0" allowBlank="0" type="list">
      <formula1>"sim,não"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</cols>
  <sheetData>
    <row r="1">
      <c r="A1" s="4" t="inlineStr">
        <is>
          <t>Dias possíveis para as visitas de retorno</t>
        </is>
      </c>
    </row>
    <row r="2">
      <c r="A2" s="5" t="inlineStr">
        <is>
          <t>Data</t>
        </is>
      </c>
      <c r="B2" s="5" t="inlineStr">
        <is>
          <t>Dia da semana</t>
        </is>
      </c>
      <c r="C2" s="5" t="inlineStr">
        <is>
          <t>Unidade 1 aberta?</t>
        </is>
      </c>
      <c r="D2" s="5" t="inlineStr">
        <is>
          <t>Unidade 2 aberta?</t>
        </is>
      </c>
    </row>
    <row r="3">
      <c r="A3" s="8" t="n">
        <v>46313</v>
      </c>
      <c r="B3" s="12">
        <f>CHOOSE(WEEKDAY(A3,2),"segunda","terça","quarta","quinta","sexta","sábado","domingo")</f>
        <v/>
      </c>
      <c r="C3" s="7" t="inlineStr">
        <is>
          <t>sim</t>
        </is>
      </c>
      <c r="D3" s="7" t="inlineStr">
        <is>
          <t>sim</t>
        </is>
      </c>
    </row>
    <row r="4">
      <c r="A4" s="8" t="n">
        <v>46314</v>
      </c>
      <c r="B4" s="12">
        <f>CHOOSE(WEEKDAY(A4,2),"segunda","terça","quarta","quinta","sexta","sábado","domingo")</f>
        <v/>
      </c>
      <c r="C4" s="7" t="inlineStr">
        <is>
          <t>sim</t>
        </is>
      </c>
      <c r="D4" s="7" t="inlineStr">
        <is>
          <t>sim</t>
        </is>
      </c>
    </row>
    <row r="5">
      <c r="A5" s="8" t="n">
        <v>46315</v>
      </c>
      <c r="B5" s="12">
        <f>CHOOSE(WEEKDAY(A5,2),"segunda","terça","quarta","quinta","sexta","sábado","domingo")</f>
        <v/>
      </c>
      <c r="C5" s="7" t="inlineStr">
        <is>
          <t>sim</t>
        </is>
      </c>
      <c r="D5" s="7" t="inlineStr">
        <is>
          <t>sim</t>
        </is>
      </c>
    </row>
  </sheetData>
  <dataValidations count="1">
    <dataValidation sqref="C3:D5" showDropDown="0" showInputMessage="0" showErrorMessage="0" allowBlank="0" type="list">
      <formula1>"sim,não"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12" customWidth="1" min="4" max="4"/>
    <col width="13" customWidth="1" min="5" max="5"/>
    <col width="13" customWidth="1" min="6" max="6"/>
    <col width="12" customWidth="1" min="7" max="7"/>
    <col width="8" customWidth="1" min="8" max="8"/>
  </cols>
  <sheetData>
    <row r="1">
      <c r="A1" s="4" t="inlineStr">
        <is>
          <t>Resultado do sorteio: 2 visitas sorteadas e 2 de retorno</t>
        </is>
      </c>
    </row>
    <row r="2">
      <c r="A2" s="5" t="inlineStr">
        <is>
          <t>Visita</t>
        </is>
      </c>
      <c r="B2" s="5" t="inlineStr">
        <is>
          <t>Tipo de visita</t>
        </is>
      </c>
      <c r="C2" s="5" t="inlineStr">
        <is>
          <t>Unidade</t>
        </is>
      </c>
      <c r="D2" s="5" t="inlineStr">
        <is>
          <t>Data</t>
        </is>
      </c>
      <c r="E2" s="5" t="inlineStr">
        <is>
          <t>Dia da semana</t>
        </is>
      </c>
      <c r="F2" s="5" t="inlineStr">
        <is>
          <t>Hora de início</t>
        </is>
      </c>
      <c r="G2" s="5" t="inlineStr">
        <is>
          <t>Número aleatório</t>
        </is>
      </c>
      <c r="H2" s="5" t="inlineStr">
        <is>
          <t>Hora</t>
        </is>
      </c>
    </row>
    <row r="3">
      <c r="A3" s="11" t="n">
        <v>1</v>
      </c>
      <c r="B3" s="11" t="inlineStr">
        <is>
          <t>Sorteada</t>
        </is>
      </c>
      <c r="C3" s="13">
        <f>IF(Parâmetros!$B$9&lt;0.5,Parâmetros!$B$4,Parâmetros!$B$5)</f>
        <v/>
      </c>
      <c r="D3" s="14">
        <f>Parâmetros!$B$6</f>
        <v/>
      </c>
      <c r="E3" s="12">
        <f>IFERROR(CHOOSE(WEEKDAY(D3,2),"segunda","terça","quarta","quinta","sexta","sábado","domingo"),"")</f>
        <v/>
      </c>
      <c r="F3" s="13">
        <f>IFERROR(INDEX(Horas!$C$3:$C$10,MATCH(G3,Horas!$A$3:$A$10,0)),"sem hora válida")</f>
        <v/>
      </c>
      <c r="G3" s="15">
        <f>IF(C3=Parâmetros!$B$4,_xlfn.MINIFS(Horas!$A$3:$A$10,Horas!$D$3:$D$10,"sim"),_xlfn.MINIFS(Horas!$A$3:$A$10,Horas!$E$3:$E$10,"sim"))</f>
        <v/>
      </c>
      <c r="H3" s="16">
        <f>IFERROR(INDEX(Horas!$B$3:$B$10,MATCH(G3,Horas!$A$3:$A$10,0)),"")</f>
        <v/>
      </c>
    </row>
    <row r="4">
      <c r="A4" s="11" t="n">
        <v>2</v>
      </c>
      <c r="B4" s="11" t="inlineStr">
        <is>
          <t>Sorteada</t>
        </is>
      </c>
      <c r="C4" s="13">
        <f>IF(Parâmetros!$B$9&lt;0.5,Parâmetros!$B$5,Parâmetros!$B$4)</f>
        <v/>
      </c>
      <c r="D4" s="14">
        <f>Parâmetros!$B$6</f>
        <v/>
      </c>
      <c r="E4" s="12">
        <f>IFERROR(CHOOSE(WEEKDAY(D4,2),"segunda","terça","quarta","quinta","sexta","sábado","domingo"),"")</f>
        <v/>
      </c>
      <c r="F4" s="13">
        <f>IFERROR(INDEX(Horas!$C$3:$C$10,MATCH(G4,Horas!$A$3:$A$10,0)),"sem hora válida")</f>
        <v/>
      </c>
      <c r="G4" s="15">
        <f>MIN(IF(_xlfn.MINIFS(Horas!$A$3:$A$10,IF(C4=Parâmetros!$B$4,Horas!$D$3:$D$10,Horas!$E$3:$E$10),"sim",Horas!$B$3:$B$10,"&lt;="&amp;(H3-Parâmetros!$B$11))=0,9,_xlfn.MINIFS(Horas!$A$3:$A$10,IF(C4=Parâmetros!$B$4,Horas!$D$3:$D$10,Horas!$E$3:$E$10),"sim",Horas!$B$3:$B$10,"&lt;="&amp;(H3-Parâmetros!$B$11))),IF(_xlfn.MINIFS(Horas!$A$3:$A$10,IF(C4=Parâmetros!$B$4,Horas!$D$3:$D$10,Horas!$E$3:$E$10),"sim",Horas!$B$3:$B$10,"&gt;="&amp;(H3+Parâmetros!$B$11))=0,9,_xlfn.MINIFS(Horas!$A$3:$A$10,IF(C4=Parâmetros!$B$4,Horas!$D$3:$D$10,Horas!$E$3:$E$10),"sim",Horas!$B$3:$B$10,"&gt;="&amp;(H3+Parâmetros!$B$11))))</f>
        <v/>
      </c>
      <c r="H4" s="16">
        <f>IFERROR(INDEX(Horas!$B$3:$B$10,MATCH(G4,Horas!$A$3:$A$10,0)),"")</f>
        <v/>
      </c>
    </row>
    <row r="5">
      <c r="A5" s="11" t="n">
        <v>3</v>
      </c>
      <c r="B5" s="11" t="inlineStr">
        <is>
          <t>Retorno da visita 1</t>
        </is>
      </c>
      <c r="C5" s="12">
        <f>C3</f>
        <v/>
      </c>
      <c r="D5" s="14">
        <f>IFERROR(INDEX(Retorno!$A$3:$A$5,MATCH(1,INDEX((Retorno!$A$3:$A$5&gt;=(D3+Parâmetros!$B$10))*((C5=Parâmetros!$B$4)*(Retorno!$C$3:$C$5="sim")+(C5&lt;&gt;Parâmetros!$B$4)*(Retorno!$D$3:$D$5="sim")),0),0)),"sem dia de retorno")</f>
        <v/>
      </c>
      <c r="E5" s="12">
        <f>IFERROR(CHOOSE(WEEKDAY(D5,2),"segunda","terça","quarta","quinta","sexta","sábado","domingo"),"")</f>
        <v/>
      </c>
      <c r="F5" s="12">
        <f>F3</f>
        <v/>
      </c>
      <c r="G5" s="6" t="n"/>
      <c r="H5" s="17">
        <f>H3</f>
        <v/>
      </c>
    </row>
    <row r="6">
      <c r="A6" s="11" t="n">
        <v>4</v>
      </c>
      <c r="B6" s="11" t="inlineStr">
        <is>
          <t>Retorno da visita 2</t>
        </is>
      </c>
      <c r="C6" s="12">
        <f>C4</f>
        <v/>
      </c>
      <c r="D6" s="14">
        <f>IFERROR(INDEX(Retorno!$A$3:$A$5,MATCH(1,INDEX((Retorno!$A$3:$A$5&gt;=(D4+Parâmetros!$B$10))*((C6=Parâmetros!$B$4)*(Retorno!$C$3:$C$5="sim")+(C6&lt;&gt;Parâmetros!$B$4)*(Retorno!$D$3:$D$5="sim")),0),0)),"sem dia de retorno")</f>
        <v/>
      </c>
      <c r="E6" s="12">
        <f>IFERROR(CHOOSE(WEEKDAY(D6,2),"segunda","terça","quarta","quinta","sexta","sábado","domingo"),"")</f>
        <v/>
      </c>
      <c r="F6" s="12">
        <f>F4</f>
        <v/>
      </c>
      <c r="G6" s="6" t="n"/>
      <c r="H6" s="17">
        <f>H4</f>
        <v/>
      </c>
    </row>
    <row r="8">
      <c r="A8" s="18" t="inlineStr">
        <is>
          <t>Conferência</t>
        </is>
      </c>
    </row>
    <row r="9">
      <c r="A9" s="19" t="inlineStr">
        <is>
          <t>Visitas por unidade (deve dar 2 e 2):</t>
        </is>
      </c>
      <c r="D9" s="19">
        <f>Parâmetros!$B$4&amp;": "&amp;COUNTIF($C$3:$C$6,Parâmetros!$B$4)&amp;" | "&amp;Parâmetros!$B$5&amp;": "&amp;COUNTIF($C$3:$C$6,Parâmetros!$B$5)</f>
        <v/>
      </c>
    </row>
    <row r="10">
      <c r="A10" s="19" t="inlineStr">
        <is>
          <t>Horas de início com a distância mínima:</t>
        </is>
      </c>
      <c r="D10" s="19">
        <f>IF(AND(ISNUMBER(H3),ISNUMBER(H4)),IF(ABS(H3-H4)&gt;=Parâmetros!$B$11,"sim","não"),"não")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12" customWidth="1" min="4" max="4"/>
    <col width="13" customWidth="1" min="5" max="5"/>
    <col width="13" customWidth="1" min="6" max="6"/>
    <col width="9" customWidth="1" min="7" max="7"/>
    <col width="9" customWidth="1" min="8" max="8"/>
    <col width="14" customWidth="1" min="9" max="9"/>
    <col width="14" customWidth="1" min="10" max="10"/>
    <col width="12" customWidth="1" min="11" max="11"/>
    <col width="40" customWidth="1" min="12" max="12"/>
  </cols>
  <sheetData>
    <row r="1">
      <c r="A1" s="4" t="inlineStr">
        <is>
          <t>Registro do sorteio e das visitas (colar o sorteio como valores)</t>
        </is>
      </c>
    </row>
    <row r="2">
      <c r="A2" s="18" t="inlineStr">
        <is>
          <t>Data do sorteio:</t>
        </is>
      </c>
      <c r="B2" s="20" t="n"/>
    </row>
    <row r="4">
      <c r="A4" s="5" t="inlineStr">
        <is>
          <t>Visita</t>
        </is>
      </c>
      <c r="B4" s="5" t="inlineStr">
        <is>
          <t>Tipo de visita</t>
        </is>
      </c>
      <c r="C4" s="5" t="inlineStr">
        <is>
          <t>Unidade</t>
        </is>
      </c>
      <c r="D4" s="5" t="inlineStr">
        <is>
          <t>Data</t>
        </is>
      </c>
      <c r="E4" s="5" t="inlineStr">
        <is>
          <t>Dia da semana</t>
        </is>
      </c>
      <c r="F4" s="5" t="inlineStr">
        <is>
          <t>Hora de início prevista</t>
        </is>
      </c>
      <c r="G4" s="5" t="inlineStr">
        <is>
          <t>Início</t>
        </is>
      </c>
      <c r="H4" s="5" t="inlineStr">
        <is>
          <t>Fim</t>
        </is>
      </c>
      <c r="I4" s="5" t="inlineStr">
        <is>
          <t>Nº NFC-e no início</t>
        </is>
      </c>
      <c r="J4" s="5" t="inlineStr">
        <is>
          <t>Nº NFC-e no fim</t>
        </is>
      </c>
      <c r="K4" s="5" t="inlineStr">
        <is>
          <t>Realizada? (sim/não)</t>
        </is>
      </c>
      <c r="L4" s="5" t="inlineStr">
        <is>
          <t>Observação</t>
        </is>
      </c>
    </row>
    <row r="5">
      <c r="A5" s="21" t="n"/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</row>
    <row r="6">
      <c r="A6" s="21" t="n"/>
      <c r="B6" s="21" t="n"/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</row>
    <row r="7">
      <c r="A7" s="21" t="n"/>
      <c r="B7" s="21" t="n"/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</row>
    <row r="8">
      <c r="A8" s="21" t="n"/>
      <c r="B8" s="21" t="n"/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2026-10-02T23:33:11Z</dcterms:created>
  <dcterms:modified xsi:type="dcterms:W3CDTF">2026-10-02T23:33:11Z</dcterms:modified>
</cp:coreProperties>
</file>