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râmetros" sheetId="2" state="visible" r:id="rId2"/>
    <sheet name="Dias e horas" sheetId="3" state="visible" r:id="rId3"/>
    <sheet name="Retorno" sheetId="4" state="visible" r:id="rId4"/>
    <sheet name="Sorteio" sheetId="5" state="visible" r:id="rId5"/>
    <sheet name="Regist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Sorteio das visitas da contagem direta de ocupação (Bloco D)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Na aba Parâmetros, preencha as células amarelas com o nome das duas unidades da São Jogue.</t>
        </is>
      </c>
    </row>
    <row r="5">
      <c r="A5" s="2" t="inlineStr">
        <is>
          <t>2. Nas abas Dias e horas e Retorno, marque "não" nas colunas amarelas de cada unidade para os dias e horas em que ela não abre. Faça isso ANTES de abrir a aba Sorteio: mudar a lista depois de ver o resultado invalida o sorteio.</t>
        </is>
      </c>
    </row>
    <row r="6">
      <c r="A6" s="2" t="inlineStr">
        <is>
          <t>3. A aba Sorteio mostra as 2 visitas sorteadas e as 2 de retorno.</t>
        </is>
      </c>
    </row>
    <row r="7">
      <c r="A7" s="2" t="inlineStr">
        <is>
          <t>4. Registre o resultado final: copie a aba Sorteio e cole como valores na aba Registro, com a data do sorteio.</t>
        </is>
      </c>
    </row>
    <row r="8">
      <c r="A8" s="2" t="inlineStr"/>
    </row>
    <row r="9">
      <c r="A9" s="3" t="inlineStr">
        <is>
          <t>Regras do sorteio</t>
        </is>
      </c>
    </row>
    <row r="10">
      <c r="A10" s="2" t="inlineStr">
        <is>
          <t>• 4 visitas no total, 2 por unidade: 1 sorteada e 1 de retorno.</t>
        </is>
      </c>
    </row>
    <row r="11">
      <c r="A11" s="2" t="inlineStr">
        <is>
          <t>• Visitas sorteadas entre 02/10 e 04/10/2026. Cada combinação de dia e hora de início (12h00 a 19h00, de hora em hora) é uma possibilidade. As duas unidades ficam em dias diferentes.</t>
        </is>
      </c>
    </row>
    <row r="12">
      <c r="A12" s="2" t="inlineStr">
        <is>
          <t>• Um número sorteado define qual unidade escolhe primeiro. Cada unidade fica com a combinação aberta de menor número aleatório; a segunda unidade não pode ficar no mesmo dia da primeira.</t>
        </is>
      </c>
    </row>
    <row r="13">
      <c r="A13" s="2" t="inlineStr">
        <is>
          <t>• Visita de retorno: 15 dias depois da sorteada, na mesma unidade e na mesma hora de início (17/10 a 19/10/2026). Se a unidade estiver fechada, a visita passa ao dia seguinte de funcionamento.</t>
        </is>
      </c>
    </row>
    <row r="14">
      <c r="A14" s="2" t="inlineStr">
        <is>
          <t>• Em cada visita, registrar o número da NFC-e no início e no fim, e o horário de início e de fim. A diferença entre os números da visita sorteada e da de retorno dá as notas emitidas no intervalo.</t>
        </is>
      </c>
    </row>
    <row r="15">
      <c r="A15" s="2" t="inlineStr">
        <is>
          <t>• Visitas sem duração fixa, do lado de fora do estabelecimento, com contagem a cada 30 minutos.</t>
        </is>
      </c>
    </row>
    <row r="16">
      <c r="A16" s="2" t="inlineStr">
        <is>
          <t>• Os números aleatórios foram gerados com semente fixa (20260916) pelo script _src/[D] Contagem direta de ocupacao/build_contagem_sorteio.py e não devem ser editados.</t>
        </is>
      </c>
    </row>
    <row r="17">
      <c r="A17" s="2" t="inlineStr"/>
    </row>
    <row r="18">
      <c r="A18" s="3" t="inlineStr">
        <is>
          <t>Legenda de cores</t>
        </is>
      </c>
    </row>
    <row r="19">
      <c r="A19" s="2" t="inlineStr">
        <is>
          <t>Fundo amarelo: célula para preencher. Texto azul: valor fixo (dado ou número sorteado). Texto preto: fórmula. Texto verde: fórmula que busca dado de outra aba.</t>
        </is>
      </c>
    </row>
    <row r="20">
      <c r="A20" s="2" t="inlineStr"/>
    </row>
    <row r="21">
      <c r="A21" s="2" t="inlineStr">
        <is>
          <t>Fonte das datas de pagamento: Governo da Bahia, Tabela de Pagamentos 2026 dos servidores estaduais (servidores.rhbahia.ba.gov.br/tabela-de-pagamentos-2026), consultada em 17/09/2026. Setembro: ativos 30/09, inativos e pensionistas 29/09. Outubro: ativos 30/10, inativos e pensionistas 29/10.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60" customWidth="1" min="3" max="3"/>
  </cols>
  <sheetData>
    <row r="1">
      <c r="A1" s="4" t="inlineStr">
        <is>
          <t>Parâmetros do sorteio</t>
        </is>
      </c>
    </row>
    <row r="3">
      <c r="A3" s="5" t="inlineStr">
        <is>
          <t>Parâmetro</t>
        </is>
      </c>
      <c r="B3" s="5" t="inlineStr">
        <is>
          <t>Valor</t>
        </is>
      </c>
      <c r="C3" s="5" t="inlineStr">
        <is>
          <t>Observação</t>
        </is>
      </c>
    </row>
    <row r="4">
      <c r="A4" s="6" t="inlineStr">
        <is>
          <t>Nome da unidade 1</t>
        </is>
      </c>
      <c r="B4" s="7" t="inlineStr">
        <is>
          <t>Unidade 1</t>
        </is>
      </c>
      <c r="C4" s="6" t="inlineStr">
        <is>
          <t>Preencher</t>
        </is>
      </c>
    </row>
    <row r="5">
      <c r="A5" s="6" t="inlineStr">
        <is>
          <t>Nome da unidade 2</t>
        </is>
      </c>
      <c r="B5" s="7" t="inlineStr">
        <is>
          <t>Unidade 2</t>
        </is>
      </c>
      <c r="C5" s="6" t="inlineStr">
        <is>
          <t>Preencher</t>
        </is>
      </c>
    </row>
    <row r="6">
      <c r="A6" s="6" t="inlineStr">
        <is>
          <t>Primeiro dia das visitas sorteadas</t>
        </is>
      </c>
      <c r="B6" s="8" t="n">
        <v>46297</v>
      </c>
      <c r="C6" s="6" t="inlineStr">
        <is>
          <t>Sexta-feira</t>
        </is>
      </c>
    </row>
    <row r="7">
      <c r="A7" s="6" t="inlineStr">
        <is>
          <t>Último dia das visitas sorteadas</t>
        </is>
      </c>
      <c r="B7" s="8" t="n">
        <v>46299</v>
      </c>
      <c r="C7" s="6" t="inlineStr">
        <is>
          <t>Domingo</t>
        </is>
      </c>
    </row>
    <row r="8">
      <c r="A8" s="6" t="inlineStr">
        <is>
          <t>Semente dos números aleatórios</t>
        </is>
      </c>
      <c r="B8" s="9" t="n">
        <v>20260916</v>
      </c>
      <c r="C8" s="6" t="inlineStr">
        <is>
          <t>Mesma do registro prévio</t>
        </is>
      </c>
    </row>
    <row r="9">
      <c r="A9" s="6" t="inlineStr">
        <is>
          <t>Número sorteado para as unidades</t>
        </is>
      </c>
      <c r="B9" s="10" t="n">
        <v>0.6624941903573036</v>
      </c>
      <c r="C9" s="6" t="inlineStr">
        <is>
          <t>&lt; 0,5: unidade 1 escolhe primeiro; ≥ 0,5: unidade 2</t>
        </is>
      </c>
    </row>
    <row r="10">
      <c r="A10" s="6" t="inlineStr">
        <is>
          <t>Dias até a visita de retorno</t>
        </is>
      </c>
      <c r="B10" s="9" t="n">
        <v>15</v>
      </c>
      <c r="C10" s="6" t="inlineStr">
        <is>
          <t>Contados a partir da visita sorteada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Combinações de dia e hora de início das visitas sorteadas</t>
        </is>
      </c>
    </row>
    <row r="2">
      <c r="A2" s="5" t="inlineStr">
        <is>
          <t>Número aleatório</t>
        </is>
      </c>
      <c r="B2" s="5" t="inlineStr">
        <is>
          <t>Data</t>
        </is>
      </c>
      <c r="C2" s="5" t="inlineStr">
        <is>
          <t>Dia da semana</t>
        </is>
      </c>
      <c r="D2" s="5" t="inlineStr">
        <is>
          <t>Hora de início</t>
        </is>
      </c>
      <c r="E2" s="5" t="inlineStr">
        <is>
          <t>Unidade 1 aberta?</t>
        </is>
      </c>
      <c r="F2" s="5" t="inlineStr">
        <is>
          <t>Unidade 2 aberta?</t>
        </is>
      </c>
    </row>
    <row r="3">
      <c r="A3" s="10" t="n">
        <v>0.6825255929118569</v>
      </c>
      <c r="B3" s="8" t="n">
        <v>46297</v>
      </c>
      <c r="C3" s="11">
        <f>CHOOSE(WEEKDAY(B3,2),"segunda","terça","quarta","quinta","sexta","sábado","domingo")</f>
        <v/>
      </c>
      <c r="D3" s="12" t="inlineStr">
        <is>
          <t>12h00</t>
        </is>
      </c>
      <c r="E3" s="7" t="inlineStr">
        <is>
          <t>sim</t>
        </is>
      </c>
      <c r="F3" s="7" t="inlineStr">
        <is>
          <t>sim</t>
        </is>
      </c>
    </row>
    <row r="4">
      <c r="A4" s="10" t="n">
        <v>0.9420456376610188</v>
      </c>
      <c r="B4" s="8" t="n">
        <v>46297</v>
      </c>
      <c r="C4" s="11">
        <f>CHOOSE(WEEKDAY(B4,2),"segunda","terça","quarta","quinta","sexta","sábado","domingo")</f>
        <v/>
      </c>
      <c r="D4" s="12" t="inlineStr">
        <is>
          <t>13h00</t>
        </is>
      </c>
      <c r="E4" s="7" t="inlineStr">
        <is>
          <t>sim</t>
        </is>
      </c>
      <c r="F4" s="7" t="inlineStr">
        <is>
          <t>sim</t>
        </is>
      </c>
    </row>
    <row r="5">
      <c r="A5" s="10" t="n">
        <v>0.8701514202626593</v>
      </c>
      <c r="B5" s="8" t="n">
        <v>46297</v>
      </c>
      <c r="C5" s="11">
        <f>CHOOSE(WEEKDAY(B5,2),"segunda","terça","quarta","quinta","sexta","sábado","domingo")</f>
        <v/>
      </c>
      <c r="D5" s="12" t="inlineStr">
        <is>
          <t>14h00</t>
        </is>
      </c>
      <c r="E5" s="7" t="inlineStr">
        <is>
          <t>sim</t>
        </is>
      </c>
      <c r="F5" s="7" t="inlineStr">
        <is>
          <t>sim</t>
        </is>
      </c>
    </row>
    <row r="6">
      <c r="A6" s="10" t="n">
        <v>0.1085408879036384</v>
      </c>
      <c r="B6" s="8" t="n">
        <v>46297</v>
      </c>
      <c r="C6" s="11">
        <f>CHOOSE(WEEKDAY(B6,2),"segunda","terça","quarta","quinta","sexta","sábado","domingo")</f>
        <v/>
      </c>
      <c r="D6" s="12" t="inlineStr">
        <is>
          <t>15h00</t>
        </is>
      </c>
      <c r="E6" s="7" t="inlineStr">
        <is>
          <t>sim</t>
        </is>
      </c>
      <c r="F6" s="7" t="inlineStr">
        <is>
          <t>sim</t>
        </is>
      </c>
    </row>
    <row r="7">
      <c r="A7" s="10" t="n">
        <v>0.5044517982097884</v>
      </c>
      <c r="B7" s="8" t="n">
        <v>46297</v>
      </c>
      <c r="C7" s="11">
        <f>CHOOSE(WEEKDAY(B7,2),"segunda","terça","quarta","quinta","sexta","sábado","domingo")</f>
        <v/>
      </c>
      <c r="D7" s="12" t="inlineStr">
        <is>
          <t>16h00</t>
        </is>
      </c>
      <c r="E7" s="7" t="inlineStr">
        <is>
          <t>sim</t>
        </is>
      </c>
      <c r="F7" s="7" t="inlineStr">
        <is>
          <t>sim</t>
        </is>
      </c>
    </row>
    <row r="8">
      <c r="A8" s="10" t="n">
        <v>0.8663027492310936</v>
      </c>
      <c r="B8" s="8" t="n">
        <v>46297</v>
      </c>
      <c r="C8" s="11">
        <f>CHOOSE(WEEKDAY(B8,2),"segunda","terça","quarta","quinta","sexta","sábado","domingo")</f>
        <v/>
      </c>
      <c r="D8" s="12" t="inlineStr">
        <is>
          <t>17h00</t>
        </is>
      </c>
      <c r="E8" s="7" t="inlineStr">
        <is>
          <t>sim</t>
        </is>
      </c>
      <c r="F8" s="7" t="inlineStr">
        <is>
          <t>sim</t>
        </is>
      </c>
    </row>
    <row r="9">
      <c r="A9" s="10" t="n">
        <v>0.5899372207964796</v>
      </c>
      <c r="B9" s="8" t="n">
        <v>46297</v>
      </c>
      <c r="C9" s="11">
        <f>CHOOSE(WEEKDAY(B9,2),"segunda","terça","quarta","quinta","sexta","sábado","domingo")</f>
        <v/>
      </c>
      <c r="D9" s="12" t="inlineStr">
        <is>
          <t>18h00</t>
        </is>
      </c>
      <c r="E9" s="7" t="inlineStr">
        <is>
          <t>sim</t>
        </is>
      </c>
      <c r="F9" s="7" t="inlineStr">
        <is>
          <t>sim</t>
        </is>
      </c>
    </row>
    <row r="10">
      <c r="A10" s="10" t="n">
        <v>0.6618768317480069</v>
      </c>
      <c r="B10" s="8" t="n">
        <v>46297</v>
      </c>
      <c r="C10" s="11">
        <f>CHOOSE(WEEKDAY(B10,2),"segunda","terça","quarta","quinta","sexta","sábado","domingo")</f>
        <v/>
      </c>
      <c r="D10" s="12" t="inlineStr">
        <is>
          <t>19h00</t>
        </is>
      </c>
      <c r="E10" s="7" t="inlineStr">
        <is>
          <t>sim</t>
        </is>
      </c>
      <c r="F10" s="7" t="inlineStr">
        <is>
          <t>sim</t>
        </is>
      </c>
    </row>
    <row r="11">
      <c r="A11" s="10" t="n">
        <v>0.6030938513646101</v>
      </c>
      <c r="B11" s="8" t="n">
        <v>46298</v>
      </c>
      <c r="C11" s="11">
        <f>CHOOSE(WEEKDAY(B11,2),"segunda","terça","quarta","quinta","sexta","sábado","domingo")</f>
        <v/>
      </c>
      <c r="D11" s="12" t="inlineStr">
        <is>
          <t>12h00</t>
        </is>
      </c>
      <c r="E11" s="7" t="inlineStr">
        <is>
          <t>sim</t>
        </is>
      </c>
      <c r="F11" s="7" t="inlineStr">
        <is>
          <t>sim</t>
        </is>
      </c>
    </row>
    <row r="12">
      <c r="A12" s="10" t="n">
        <v>0.7351310965538348</v>
      </c>
      <c r="B12" s="8" t="n">
        <v>46298</v>
      </c>
      <c r="C12" s="11">
        <f>CHOOSE(WEEKDAY(B12,2),"segunda","terça","quarta","quinta","sexta","sábado","domingo")</f>
        <v/>
      </c>
      <c r="D12" s="12" t="inlineStr">
        <is>
          <t>13h00</t>
        </is>
      </c>
      <c r="E12" s="7" t="inlineStr">
        <is>
          <t>sim</t>
        </is>
      </c>
      <c r="F12" s="7" t="inlineStr">
        <is>
          <t>sim</t>
        </is>
      </c>
    </row>
    <row r="13">
      <c r="A13" s="10" t="n">
        <v>0.6125826800980299</v>
      </c>
      <c r="B13" s="8" t="n">
        <v>46298</v>
      </c>
      <c r="C13" s="11">
        <f>CHOOSE(WEEKDAY(B13,2),"segunda","terça","quarta","quinta","sexta","sábado","domingo")</f>
        <v/>
      </c>
      <c r="D13" s="12" t="inlineStr">
        <is>
          <t>14h00</t>
        </is>
      </c>
      <c r="E13" s="7" t="inlineStr">
        <is>
          <t>sim</t>
        </is>
      </c>
      <c r="F13" s="7" t="inlineStr">
        <is>
          <t>sim</t>
        </is>
      </c>
    </row>
    <row r="14">
      <c r="A14" s="10" t="n">
        <v>0.2430836278838648</v>
      </c>
      <c r="B14" s="8" t="n">
        <v>46298</v>
      </c>
      <c r="C14" s="11">
        <f>CHOOSE(WEEKDAY(B14,2),"segunda","terça","quarta","quinta","sexta","sábado","domingo")</f>
        <v/>
      </c>
      <c r="D14" s="12" t="inlineStr">
        <is>
          <t>15h00</t>
        </is>
      </c>
      <c r="E14" s="7" t="inlineStr">
        <is>
          <t>sim</t>
        </is>
      </c>
      <c r="F14" s="7" t="inlineStr">
        <is>
          <t>sim</t>
        </is>
      </c>
    </row>
    <row r="15">
      <c r="A15" s="10" t="n">
        <v>0.1730766924901449</v>
      </c>
      <c r="B15" s="8" t="n">
        <v>46298</v>
      </c>
      <c r="C15" s="11">
        <f>CHOOSE(WEEKDAY(B15,2),"segunda","terça","quarta","quinta","sexta","sábado","domingo")</f>
        <v/>
      </c>
      <c r="D15" s="12" t="inlineStr">
        <is>
          <t>16h00</t>
        </is>
      </c>
      <c r="E15" s="7" t="inlineStr">
        <is>
          <t>sim</t>
        </is>
      </c>
      <c r="F15" s="7" t="inlineStr">
        <is>
          <t>sim</t>
        </is>
      </c>
    </row>
    <row r="16">
      <c r="A16" s="10" t="n">
        <v>0.2688377912382225</v>
      </c>
      <c r="B16" s="8" t="n">
        <v>46298</v>
      </c>
      <c r="C16" s="11">
        <f>CHOOSE(WEEKDAY(B16,2),"segunda","terça","quarta","quinta","sexta","sábado","domingo")</f>
        <v/>
      </c>
      <c r="D16" s="12" t="inlineStr">
        <is>
          <t>17h00</t>
        </is>
      </c>
      <c r="E16" s="7" t="inlineStr">
        <is>
          <t>sim</t>
        </is>
      </c>
      <c r="F16" s="7" t="inlineStr">
        <is>
          <t>sim</t>
        </is>
      </c>
    </row>
    <row r="17">
      <c r="A17" s="10" t="n">
        <v>0.6384763378898026</v>
      </c>
      <c r="B17" s="8" t="n">
        <v>46298</v>
      </c>
      <c r="C17" s="11">
        <f>CHOOSE(WEEKDAY(B17,2),"segunda","terça","quarta","quinta","sexta","sábado","domingo")</f>
        <v/>
      </c>
      <c r="D17" s="12" t="inlineStr">
        <is>
          <t>18h00</t>
        </is>
      </c>
      <c r="E17" s="7" t="inlineStr">
        <is>
          <t>sim</t>
        </is>
      </c>
      <c r="F17" s="7" t="inlineStr">
        <is>
          <t>sim</t>
        </is>
      </c>
    </row>
    <row r="18">
      <c r="A18" s="10" t="n">
        <v>0.7979611189056641</v>
      </c>
      <c r="B18" s="8" t="n">
        <v>46298</v>
      </c>
      <c r="C18" s="11">
        <f>CHOOSE(WEEKDAY(B18,2),"segunda","terça","quarta","quinta","sexta","sábado","domingo")</f>
        <v/>
      </c>
      <c r="D18" s="12" t="inlineStr">
        <is>
          <t>19h00</t>
        </is>
      </c>
      <c r="E18" s="7" t="inlineStr">
        <is>
          <t>sim</t>
        </is>
      </c>
      <c r="F18" s="7" t="inlineStr">
        <is>
          <t>sim</t>
        </is>
      </c>
    </row>
    <row r="19">
      <c r="A19" s="10" t="n">
        <v>0.6368536235161361</v>
      </c>
      <c r="B19" s="8" t="n">
        <v>46299</v>
      </c>
      <c r="C19" s="11">
        <f>CHOOSE(WEEKDAY(B19,2),"segunda","terça","quarta","quinta","sexta","sábado","domingo")</f>
        <v/>
      </c>
      <c r="D19" s="12" t="inlineStr">
        <is>
          <t>12h00</t>
        </is>
      </c>
      <c r="E19" s="7" t="inlineStr">
        <is>
          <t>sim</t>
        </is>
      </c>
      <c r="F19" s="7" t="inlineStr">
        <is>
          <t>sim</t>
        </is>
      </c>
    </row>
    <row r="20">
      <c r="A20" s="10" t="n">
        <v>0.5305828736421826</v>
      </c>
      <c r="B20" s="8" t="n">
        <v>46299</v>
      </c>
      <c r="C20" s="11">
        <f>CHOOSE(WEEKDAY(B20,2),"segunda","terça","quarta","quinta","sexta","sábado","domingo")</f>
        <v/>
      </c>
      <c r="D20" s="12" t="inlineStr">
        <is>
          <t>13h00</t>
        </is>
      </c>
      <c r="E20" s="7" t="inlineStr">
        <is>
          <t>sim</t>
        </is>
      </c>
      <c r="F20" s="7" t="inlineStr">
        <is>
          <t>sim</t>
        </is>
      </c>
    </row>
    <row r="21">
      <c r="A21" s="10" t="n">
        <v>0.405083223577504</v>
      </c>
      <c r="B21" s="8" t="n">
        <v>46299</v>
      </c>
      <c r="C21" s="11">
        <f>CHOOSE(WEEKDAY(B21,2),"segunda","terça","quarta","quinta","sexta","sábado","domingo")</f>
        <v/>
      </c>
      <c r="D21" s="12" t="inlineStr">
        <is>
          <t>14h00</t>
        </is>
      </c>
      <c r="E21" s="7" t="inlineStr">
        <is>
          <t>sim</t>
        </is>
      </c>
      <c r="F21" s="7" t="inlineStr">
        <is>
          <t>sim</t>
        </is>
      </c>
    </row>
    <row r="22">
      <c r="A22" s="10" t="n">
        <v>0.1278970371792419</v>
      </c>
      <c r="B22" s="8" t="n">
        <v>46299</v>
      </c>
      <c r="C22" s="11">
        <f>CHOOSE(WEEKDAY(B22,2),"segunda","terça","quarta","quinta","sexta","sábado","domingo")</f>
        <v/>
      </c>
      <c r="D22" s="12" t="inlineStr">
        <is>
          <t>15h00</t>
        </is>
      </c>
      <c r="E22" s="7" t="inlineStr">
        <is>
          <t>sim</t>
        </is>
      </c>
      <c r="F22" s="7" t="inlineStr">
        <is>
          <t>sim</t>
        </is>
      </c>
    </row>
    <row r="23">
      <c r="A23" s="10" t="n">
        <v>0.4845666963325101</v>
      </c>
      <c r="B23" s="8" t="n">
        <v>46299</v>
      </c>
      <c r="C23" s="11">
        <f>CHOOSE(WEEKDAY(B23,2),"segunda","terça","quarta","quinta","sexta","sábado","domingo")</f>
        <v/>
      </c>
      <c r="D23" s="12" t="inlineStr">
        <is>
          <t>16h00</t>
        </is>
      </c>
      <c r="E23" s="7" t="inlineStr">
        <is>
          <t>sim</t>
        </is>
      </c>
      <c r="F23" s="7" t="inlineStr">
        <is>
          <t>sim</t>
        </is>
      </c>
    </row>
    <row r="24">
      <c r="A24" s="10" t="n">
        <v>0.805315083187461</v>
      </c>
      <c r="B24" s="8" t="n">
        <v>46299</v>
      </c>
      <c r="C24" s="11">
        <f>CHOOSE(WEEKDAY(B24,2),"segunda","terça","quarta","quinta","sexta","sábado","domingo")</f>
        <v/>
      </c>
      <c r="D24" s="12" t="inlineStr">
        <is>
          <t>17h00</t>
        </is>
      </c>
      <c r="E24" s="7" t="inlineStr">
        <is>
          <t>sim</t>
        </is>
      </c>
      <c r="F24" s="7" t="inlineStr">
        <is>
          <t>sim</t>
        </is>
      </c>
    </row>
    <row r="25">
      <c r="A25" s="10" t="n">
        <v>0.1822396280224478</v>
      </c>
      <c r="B25" s="8" t="n">
        <v>46299</v>
      </c>
      <c r="C25" s="11">
        <f>CHOOSE(WEEKDAY(B25,2),"segunda","terça","quarta","quinta","sexta","sábado","domingo")</f>
        <v/>
      </c>
      <c r="D25" s="12" t="inlineStr">
        <is>
          <t>18h00</t>
        </is>
      </c>
      <c r="E25" s="7" t="inlineStr">
        <is>
          <t>sim</t>
        </is>
      </c>
      <c r="F25" s="7" t="inlineStr">
        <is>
          <t>sim</t>
        </is>
      </c>
    </row>
    <row r="26">
      <c r="A26" s="10" t="n">
        <v>0.4764214824658619</v>
      </c>
      <c r="B26" s="8" t="n">
        <v>46299</v>
      </c>
      <c r="C26" s="11">
        <f>CHOOSE(WEEKDAY(B26,2),"segunda","terça","quarta","quinta","sexta","sábado","domingo")</f>
        <v/>
      </c>
      <c r="D26" s="12" t="inlineStr">
        <is>
          <t>19h00</t>
        </is>
      </c>
      <c r="E26" s="7" t="inlineStr">
        <is>
          <t>sim</t>
        </is>
      </c>
      <c r="F26" s="7" t="inlineStr">
        <is>
          <t>sim</t>
        </is>
      </c>
    </row>
  </sheetData>
  <dataValidations count="1">
    <dataValidation sqref="E3:F26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4" t="inlineStr">
        <is>
          <t>Dias possíveis para as visitas de retorno</t>
        </is>
      </c>
    </row>
    <row r="2">
      <c r="A2" s="5" t="inlineStr">
        <is>
          <t>Data</t>
        </is>
      </c>
      <c r="B2" s="5" t="inlineStr">
        <is>
          <t>Dia da semana</t>
        </is>
      </c>
      <c r="C2" s="5" t="inlineStr">
        <is>
          <t>Unidade 1 aberta?</t>
        </is>
      </c>
      <c r="D2" s="5" t="inlineStr">
        <is>
          <t>Unidade 2 aberta?</t>
        </is>
      </c>
    </row>
    <row r="3">
      <c r="A3" s="8" t="n">
        <v>46312</v>
      </c>
      <c r="B3" s="11">
        <f>CHOOSE(WEEKDAY(A3,2),"segunda","terça","quarta","quinta","sexta","sábado","domingo")</f>
        <v/>
      </c>
      <c r="C3" s="7" t="inlineStr">
        <is>
          <t>sim</t>
        </is>
      </c>
      <c r="D3" s="7" t="inlineStr">
        <is>
          <t>sim</t>
        </is>
      </c>
    </row>
    <row r="4">
      <c r="A4" s="8" t="n">
        <v>46313</v>
      </c>
      <c r="B4" s="11">
        <f>CHOOSE(WEEKDAY(A4,2),"segunda","terça","quarta","quinta","sexta","sábado","domingo")</f>
        <v/>
      </c>
      <c r="C4" s="7" t="inlineStr">
        <is>
          <t>sim</t>
        </is>
      </c>
      <c r="D4" s="7" t="inlineStr">
        <is>
          <t>sim</t>
        </is>
      </c>
    </row>
    <row r="5">
      <c r="A5" s="8" t="n">
        <v>46314</v>
      </c>
      <c r="B5" s="11">
        <f>CHOOSE(WEEKDAY(A5,2),"segunda","terça","quarta","quinta","sexta","sábado","domingo")</f>
        <v/>
      </c>
      <c r="C5" s="7" t="inlineStr">
        <is>
          <t>sim</t>
        </is>
      </c>
      <c r="D5" s="7" t="inlineStr">
        <is>
          <t>sim</t>
        </is>
      </c>
    </row>
    <row r="6">
      <c r="A6" s="8" t="n">
        <v>46315</v>
      </c>
      <c r="B6" s="11">
        <f>CHOOSE(WEEKDAY(A6,2),"segunda","terça","quarta","quinta","sexta","sábado","domingo")</f>
        <v/>
      </c>
      <c r="C6" s="7" t="inlineStr">
        <is>
          <t>sim</t>
        </is>
      </c>
      <c r="D6" s="7" t="inlineStr">
        <is>
          <t>sim</t>
        </is>
      </c>
    </row>
    <row r="7">
      <c r="A7" s="8" t="n">
        <v>46316</v>
      </c>
      <c r="B7" s="11">
        <f>CHOOSE(WEEKDAY(A7,2),"segunda","terça","quarta","quinta","sexta","sábado","domingo")</f>
        <v/>
      </c>
      <c r="C7" s="7" t="inlineStr">
        <is>
          <t>sim</t>
        </is>
      </c>
      <c r="D7" s="7" t="inlineStr">
        <is>
          <t>sim</t>
        </is>
      </c>
    </row>
    <row r="8">
      <c r="A8" s="8" t="n">
        <v>46317</v>
      </c>
      <c r="B8" s="11">
        <f>CHOOSE(WEEKDAY(A8,2),"segunda","terça","quarta","quinta","sexta","sábado","domingo")</f>
        <v/>
      </c>
      <c r="C8" s="7" t="inlineStr">
        <is>
          <t>sim</t>
        </is>
      </c>
      <c r="D8" s="7" t="inlineStr">
        <is>
          <t>sim</t>
        </is>
      </c>
    </row>
    <row r="9">
      <c r="A9" s="8" t="n">
        <v>46318</v>
      </c>
      <c r="B9" s="11">
        <f>CHOOSE(WEEKDAY(A9,2),"segunda","terça","quarta","quinta","sexta","sábado","domingo")</f>
        <v/>
      </c>
      <c r="C9" s="7" t="inlineStr">
        <is>
          <t>sim</t>
        </is>
      </c>
      <c r="D9" s="7" t="inlineStr">
        <is>
          <t>sim</t>
        </is>
      </c>
    </row>
  </sheetData>
  <dataValidations count="1">
    <dataValidation sqref="C3:D9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3" customWidth="1" min="5" max="5"/>
    <col width="13" customWidth="1" min="6" max="6"/>
    <col width="12" customWidth="1" min="7" max="7"/>
  </cols>
  <sheetData>
    <row r="1">
      <c r="A1" s="4" t="inlineStr">
        <is>
          <t>Resultado do sorteio: 2 visitas sorteadas e 2 de retorno</t>
        </is>
      </c>
    </row>
    <row r="2">
      <c r="A2" s="5" t="inlineStr">
        <is>
          <t>Visita</t>
        </is>
      </c>
      <c r="B2" s="5" t="inlineStr">
        <is>
          <t>Tipo de visita</t>
        </is>
      </c>
      <c r="C2" s="5" t="inlineStr">
        <is>
          <t>Unidade</t>
        </is>
      </c>
      <c r="D2" s="5" t="inlineStr">
        <is>
          <t>Data</t>
        </is>
      </c>
      <c r="E2" s="5" t="inlineStr">
        <is>
          <t>Dia da semana</t>
        </is>
      </c>
      <c r="F2" s="5" t="inlineStr">
        <is>
          <t>Hora de início</t>
        </is>
      </c>
      <c r="G2" s="5" t="inlineStr">
        <is>
          <t>Número aleatório</t>
        </is>
      </c>
    </row>
    <row r="3">
      <c r="A3" s="12" t="n">
        <v>1</v>
      </c>
      <c r="B3" s="12" t="inlineStr">
        <is>
          <t>Sorteada</t>
        </is>
      </c>
      <c r="C3" s="13">
        <f>IF(Parâmetros!$B$9&lt;0.5,Parâmetros!$B$4,Parâmetros!$B$5)</f>
        <v/>
      </c>
      <c r="D3" s="14">
        <f>IFERROR(INDEX('Dias e horas'!$B$3:$B$26,MATCH(G3,'Dias e horas'!$A$3:$A$26,0)),"sem combinação")</f>
        <v/>
      </c>
      <c r="E3" s="11">
        <f>IFERROR(CHOOSE(WEEKDAY(D3,2),"segunda","terça","quarta","quinta","sexta","sábado","domingo"),"")</f>
        <v/>
      </c>
      <c r="F3" s="13">
        <f>IFERROR(INDEX('Dias e horas'!$D$3:$D$26,MATCH(G3,'Dias e horas'!$A$3:$A$26,0)),"")</f>
        <v/>
      </c>
      <c r="G3" s="15">
        <f>IF(C3=Parâmetros!$B$4,_xlfn.MINIFS('Dias e horas'!$A$3:$A$26,'Dias e horas'!$E$3:$E$26,"sim"),_xlfn.MINIFS('Dias e horas'!$A$3:$A$26,'Dias e horas'!$F$3:$F$26,"sim"))</f>
        <v/>
      </c>
    </row>
    <row r="4">
      <c r="A4" s="12" t="n">
        <v>2</v>
      </c>
      <c r="B4" s="12" t="inlineStr">
        <is>
          <t>Sorteada</t>
        </is>
      </c>
      <c r="C4" s="13">
        <f>IF(Parâmetros!$B$9&lt;0.5,Parâmetros!$B$5,Parâmetros!$B$4)</f>
        <v/>
      </c>
      <c r="D4" s="14">
        <f>IFERROR(INDEX('Dias e horas'!$B$3:$B$26,MATCH(G4,'Dias e horas'!$A$3:$A$26,0)),"sem combinação")</f>
        <v/>
      </c>
      <c r="E4" s="11">
        <f>IFERROR(CHOOSE(WEEKDAY(D4,2),"segunda","terça","quarta","quinta","sexta","sábado","domingo"),"")</f>
        <v/>
      </c>
      <c r="F4" s="13">
        <f>IFERROR(INDEX('Dias e horas'!$D$3:$D$26,MATCH(G4,'Dias e horas'!$A$3:$A$26,0)),"")</f>
        <v/>
      </c>
      <c r="G4" s="15">
        <f>IF(C4=Parâmetros!$B$4,_xlfn.MINIFS('Dias e horas'!$A$3:$A$26,'Dias e horas'!$E$3:$E$26,"sim",'Dias e horas'!$B$3:$B$26,"&lt;&gt;"&amp;D3),_xlfn.MINIFS('Dias e horas'!$A$3:$A$26,'Dias e horas'!$F$3:$F$26,"sim",'Dias e horas'!$B$3:$B$26,"&lt;&gt;"&amp;D3))</f>
        <v/>
      </c>
    </row>
    <row r="5">
      <c r="A5" s="12" t="n">
        <v>3</v>
      </c>
      <c r="B5" s="12" t="inlineStr">
        <is>
          <t>Retorno da visita 1</t>
        </is>
      </c>
      <c r="C5" s="11">
        <f>C3</f>
        <v/>
      </c>
      <c r="D5" s="14">
        <f>IFERROR(INDEX(Retorno!$A$3:$A$9,MATCH(1,INDEX((Retorno!$A$3:$A$9&gt;=(D3+Parâmetros!$B$10))*((C5=Parâmetros!$B$4)*(Retorno!$C$3:$C$9="sim")+(C5&lt;&gt;Parâmetros!$B$4)*(Retorno!$D$3:$D$9="sim")),0),0)),"sem dia de retorno")</f>
        <v/>
      </c>
      <c r="E5" s="11">
        <f>IFERROR(CHOOSE(WEEKDAY(D5,2),"segunda","terça","quarta","quinta","sexta","sábado","domingo"),"")</f>
        <v/>
      </c>
      <c r="F5" s="11">
        <f>F3</f>
        <v/>
      </c>
      <c r="G5" s="6" t="n"/>
    </row>
    <row r="6">
      <c r="A6" s="12" t="n">
        <v>4</v>
      </c>
      <c r="B6" s="12" t="inlineStr">
        <is>
          <t>Retorno da visita 2</t>
        </is>
      </c>
      <c r="C6" s="11">
        <f>C4</f>
        <v/>
      </c>
      <c r="D6" s="14">
        <f>IFERROR(INDEX(Retorno!$A$3:$A$9,MATCH(1,INDEX((Retorno!$A$3:$A$9&gt;=(D4+Parâmetros!$B$10))*((C6=Parâmetros!$B$4)*(Retorno!$C$3:$C$9="sim")+(C6&lt;&gt;Parâmetros!$B$4)*(Retorno!$D$3:$D$9="sim")),0),0)),"sem dia de retorno")</f>
        <v/>
      </c>
      <c r="E6" s="11">
        <f>IFERROR(CHOOSE(WEEKDAY(D6,2),"segunda","terça","quarta","quinta","sexta","sábado","domingo"),"")</f>
        <v/>
      </c>
      <c r="F6" s="11">
        <f>F4</f>
        <v/>
      </c>
      <c r="G6" s="6" t="n"/>
    </row>
    <row r="8">
      <c r="A8" s="16" t="inlineStr">
        <is>
          <t>Conferência</t>
        </is>
      </c>
    </row>
    <row r="9">
      <c r="A9" s="17" t="inlineStr">
        <is>
          <t>Visitas por unidade (deve dar 2 e 2):</t>
        </is>
      </c>
      <c r="D9" s="17">
        <f>Parâmetros!$B$4&amp;": "&amp;COUNTIF($C$3:$C$6,Parâmetros!$B$4)&amp;" | "&amp;Parâmetros!$B$5&amp;": "&amp;COUNTIF($C$3:$C$6,Parâmetros!$B$5)</f>
        <v/>
      </c>
    </row>
    <row r="10">
      <c r="A10" s="17" t="inlineStr">
        <is>
          <t>Visitas sorteadas em dias diferentes:</t>
        </is>
      </c>
      <c r="D10" s="17">
        <f>IF(AND(ISNUMBER(D3),ISNUMBER(D4),D3&lt;&gt;D4),"sim","não")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3" customWidth="1" min="5" max="5"/>
    <col width="13" customWidth="1" min="6" max="6"/>
    <col width="9" customWidth="1" min="7" max="7"/>
    <col width="9" customWidth="1" min="8" max="8"/>
    <col width="14" customWidth="1" min="9" max="9"/>
    <col width="14" customWidth="1" min="10" max="10"/>
    <col width="12" customWidth="1" min="11" max="11"/>
    <col width="40" customWidth="1" min="12" max="12"/>
  </cols>
  <sheetData>
    <row r="1">
      <c r="A1" s="4" t="inlineStr">
        <is>
          <t>Registro do sorteio e das visitas (colar o sorteio como valores)</t>
        </is>
      </c>
    </row>
    <row r="2">
      <c r="A2" s="16" t="inlineStr">
        <is>
          <t>Data do sorteio:</t>
        </is>
      </c>
      <c r="B2" s="18" t="n"/>
    </row>
    <row r="4">
      <c r="A4" s="5" t="inlineStr">
        <is>
          <t>Visita</t>
        </is>
      </c>
      <c r="B4" s="5" t="inlineStr">
        <is>
          <t>Tipo de visita</t>
        </is>
      </c>
      <c r="C4" s="5" t="inlineStr">
        <is>
          <t>Unidade</t>
        </is>
      </c>
      <c r="D4" s="5" t="inlineStr">
        <is>
          <t>Data</t>
        </is>
      </c>
      <c r="E4" s="5" t="inlineStr">
        <is>
          <t>Dia da semana</t>
        </is>
      </c>
      <c r="F4" s="5" t="inlineStr">
        <is>
          <t>Hora de início prevista</t>
        </is>
      </c>
      <c r="G4" s="5" t="inlineStr">
        <is>
          <t>Início</t>
        </is>
      </c>
      <c r="H4" s="5" t="inlineStr">
        <is>
          <t>Fim</t>
        </is>
      </c>
      <c r="I4" s="5" t="inlineStr">
        <is>
          <t>Nº NFC-e no início</t>
        </is>
      </c>
      <c r="J4" s="5" t="inlineStr">
        <is>
          <t>Nº NFC-e no fim</t>
        </is>
      </c>
      <c r="K4" s="5" t="inlineStr">
        <is>
          <t>Realizada? (sim/não)</t>
        </is>
      </c>
      <c r="L4" s="5" t="inlineStr">
        <is>
          <t>Observação</t>
        </is>
      </c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2026-09-19T00:41:35Z</dcterms:created>
  <dcterms:modified xsi:type="dcterms:W3CDTF">2026-09-19T00:41:35Z</dcterms:modified>
</cp:coreProperties>
</file>