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Parâmetros" sheetId="2" state="visible" r:id="rId2"/>
    <sheet name="Datas" sheetId="3" state="visible" r:id="rId3"/>
    <sheet name="Sorteio" sheetId="4" state="visible" r:id="rId4"/>
    <sheet name="Registr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0.00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E7E6E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5" fontId="2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Sorteio das visitas da contagem direta de ocupação (Bloco D)</t>
        </is>
      </c>
    </row>
    <row r="2">
      <c r="A2" s="2" t="inlineStr"/>
    </row>
    <row r="3">
      <c r="A3" s="3" t="inlineStr">
        <is>
          <t>Como usar</t>
        </is>
      </c>
    </row>
    <row r="4">
      <c r="A4" s="2" t="inlineStr">
        <is>
          <t>1. Na aba Parâmetros, preencha as células amarelas com o nome das duas unidades da São Jogue.</t>
        </is>
      </c>
    </row>
    <row r="5">
      <c r="A5" s="2" t="inlineStr">
        <is>
          <t>2. Na aba Datas, marque "não" nas colunas amarelas de cada unidade para os dias em que ela não abre. Faça isso ANTES de abrir a aba Sorteio: mudar a lista depois de ver o resultado invalida o sorteio.</t>
        </is>
      </c>
    </row>
    <row r="6">
      <c r="A6" s="2" t="inlineStr">
        <is>
          <t>3. A aba Sorteio mostra as 2 visitas sorteadas e as 2 de retorno. Se um dia sorteado for marcado como fechado, a fórmula passa para o próximo da ordem; se o dia de retorno estiver fechado, passa para o dia seguinte de funcionamento.</t>
        </is>
      </c>
    </row>
    <row r="7">
      <c r="A7" s="2" t="inlineStr">
        <is>
          <t>4. Registre o resultado final: copie a aba Sorteio e cole como valores na aba Registro, com a data do sorteio.</t>
        </is>
      </c>
    </row>
    <row r="8">
      <c r="A8" s="2" t="inlineStr"/>
    </row>
    <row r="9">
      <c r="A9" s="3" t="inlineStr">
        <is>
          <t>Regras do sorteio</t>
        </is>
      </c>
    </row>
    <row r="10">
      <c r="A10" s="2" t="inlineStr">
        <is>
          <t>• 4 visitas no total, 2 por unidade: 1 sorteada e 1 de retorno.</t>
        </is>
      </c>
    </row>
    <row r="11">
      <c r="A11" s="2" t="inlineStr">
        <is>
          <t>• Visitas sorteadas na quinzena pós-pagamento (29/09 a 13/10/2026): 1 em dia útil (segunda a quinta) e 1 no fim de semana (sexta a domingo). Feriados excluídos. Um número sorteado define qual unidade fica com o dia útil.</t>
        </is>
      </c>
    </row>
    <row r="12">
      <c r="A12" s="2" t="inlineStr">
        <is>
          <t>• Visita de retorno: 15 dias depois da sorteada, na mesma unidade, dentro da quinzena pré-pagamento (14/10 a 28/10/2026). Como 15 dias não são semanas inteiras, o dia da semana do retorno é o seguinte ao da visita sorteada.</t>
        </is>
      </c>
    </row>
    <row r="13">
      <c r="A13" s="2" t="inlineStr">
        <is>
          <t>• Em cada visita, registrar o número da NFC-e no início e no fim, e o horário de início e de fim. A diferença entre os números da visita sorteada e da de retorno dá as notas emitidas no intervalo.</t>
        </is>
      </c>
    </row>
    <row r="14">
      <c r="A14" s="2" t="inlineStr">
        <is>
          <t>• Visitas sem duração fixa, do lado de fora do estabelecimento, com contagem a cada 30 minutos.</t>
        </is>
      </c>
    </row>
    <row r="15">
      <c r="A15" s="2" t="inlineStr">
        <is>
          <t>• Os números aleatórios foram gerados com semente fixa (20260916) pelo script _src/[D] Contagem direta de ocupacao/build_contagem_sorteio.py e não devem ser editados.</t>
        </is>
      </c>
    </row>
    <row r="16">
      <c r="A16" s="2" t="inlineStr"/>
    </row>
    <row r="17">
      <c r="A17" s="3" t="inlineStr">
        <is>
          <t>Legenda de cores</t>
        </is>
      </c>
    </row>
    <row r="18">
      <c r="A18" s="2" t="inlineStr">
        <is>
          <t>Fundo amarelo: célula para preencher. Texto azul: valor fixo (dado ou número sorteado). Texto preto: fórmula. Texto verde: fórmula que busca dado de outra aba.</t>
        </is>
      </c>
    </row>
    <row r="19">
      <c r="A19" s="2" t="inlineStr"/>
    </row>
    <row r="20">
      <c r="A20" s="2" t="inlineStr">
        <is>
          <t>Fonte das datas de pagamento: Governo da Bahia, Tabela de Pagamentos 2026 dos servidores estaduais (servidores.rhbahia.ba.gov.br/tabela-de-pagamentos-2026), consultada em 17/09/2026. Setembro: ativos 30/09, inativos e pensionistas 29/09. Outubro: ativos 30/10, inativos e pensionistas 29/10.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44" customWidth="1" min="1" max="1"/>
    <col width="24" customWidth="1" min="2" max="2"/>
    <col width="60" customWidth="1" min="3" max="3"/>
  </cols>
  <sheetData>
    <row r="1">
      <c r="A1" s="4" t="inlineStr">
        <is>
          <t>Parâmetros do sorteio</t>
        </is>
      </c>
    </row>
    <row r="3">
      <c r="A3" s="5" t="inlineStr">
        <is>
          <t>Parâmetro</t>
        </is>
      </c>
      <c r="B3" s="5" t="inlineStr">
        <is>
          <t>Valor</t>
        </is>
      </c>
      <c r="C3" s="5" t="inlineStr">
        <is>
          <t>Observação</t>
        </is>
      </c>
    </row>
    <row r="4">
      <c r="A4" s="6" t="inlineStr">
        <is>
          <t>Nome da unidade 1</t>
        </is>
      </c>
      <c r="B4" s="7" t="inlineStr">
        <is>
          <t>Unidade 1</t>
        </is>
      </c>
      <c r="C4" s="6" t="inlineStr">
        <is>
          <t>Preencher</t>
        </is>
      </c>
    </row>
    <row r="5">
      <c r="A5" s="6" t="inlineStr">
        <is>
          <t>Nome da unidade 2</t>
        </is>
      </c>
      <c r="B5" s="7" t="inlineStr">
        <is>
          <t>Unidade 2</t>
        </is>
      </c>
      <c r="C5" s="6" t="inlineStr">
        <is>
          <t>Preencher</t>
        </is>
      </c>
    </row>
    <row r="6">
      <c r="A6" s="6" t="inlineStr">
        <is>
          <t>1º dia de pagamento de setembro</t>
        </is>
      </c>
      <c r="B6" s="8" t="n">
        <v>46294</v>
      </c>
      <c r="C6" s="6" t="inlineStr">
        <is>
          <t>Inativos e pensionistas (ativos: 30/09)</t>
        </is>
      </c>
    </row>
    <row r="7">
      <c r="A7" s="6" t="inlineStr">
        <is>
          <t>Dias por quinzena</t>
        </is>
      </c>
      <c r="B7" s="9" t="n">
        <v>15</v>
      </c>
      <c r="C7" s="6" t="inlineStr">
        <is>
          <t>Quinzena pós-pagamento começa no dia do pagamento</t>
        </is>
      </c>
    </row>
    <row r="8">
      <c r="A8" s="6" t="inlineStr">
        <is>
          <t>Último dia da quinzena pré-pagamento</t>
        </is>
      </c>
      <c r="B8" s="8" t="n">
        <v>46323</v>
      </c>
      <c r="C8" s="6" t="inlineStr">
        <is>
          <t>Véspera do pagamento de outubro (29/10)</t>
        </is>
      </c>
    </row>
    <row r="9">
      <c r="A9" s="6" t="inlineStr">
        <is>
          <t>Semente dos números aleatórios</t>
        </is>
      </c>
      <c r="B9" s="9" t="n">
        <v>20260916</v>
      </c>
      <c r="C9" s="6" t="inlineStr">
        <is>
          <t>Mesma do registro prévio</t>
        </is>
      </c>
    </row>
    <row r="10">
      <c r="A10" s="6" t="inlineStr">
        <is>
          <t>Número sorteado para as unidades</t>
        </is>
      </c>
      <c r="B10" s="10" t="n">
        <v>0.6624941903573036</v>
      </c>
      <c r="C10" s="6" t="inlineStr">
        <is>
          <t>&lt; 0,5: unidade 1 fica com o dia útil; ≥ 0,5: unidade 2</t>
        </is>
      </c>
    </row>
    <row r="11">
      <c r="A11" s="6" t="inlineStr">
        <is>
          <t>Dias até a visita de retorno</t>
        </is>
      </c>
      <c r="B11" s="9" t="n">
        <v>15</v>
      </c>
      <c r="C11" s="6" t="inlineStr">
        <is>
          <t>Contados a partir da visita sorteada</t>
        </is>
      </c>
    </row>
    <row r="14">
      <c r="A14" s="11" t="inlineStr">
        <is>
          <t>Feriados no período</t>
        </is>
      </c>
    </row>
    <row r="15">
      <c r="A15" s="5" t="inlineStr">
        <is>
          <t>Feriado</t>
        </is>
      </c>
      <c r="B15" s="5" t="inlineStr">
        <is>
          <t>Data</t>
        </is>
      </c>
    </row>
    <row r="16">
      <c r="A16" s="12" t="inlineStr">
        <is>
          <t>Nossa Senhora Aparecida (nacional)</t>
        </is>
      </c>
      <c r="B16" s="8" t="n">
        <v>46307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24" customWidth="1" min="4" max="4"/>
    <col width="16" customWidth="1" min="5" max="5"/>
    <col width="10" customWidth="1" min="6" max="6"/>
    <col width="12" customWidth="1" min="7" max="7"/>
    <col width="12" customWidth="1" min="8" max="8"/>
    <col width="22" customWidth="1" min="9" max="9"/>
    <col width="12" customWidth="1" min="10" max="10"/>
    <col width="11" customWidth="1" min="11" max="11"/>
  </cols>
  <sheetData>
    <row r="1">
      <c r="A1" s="4" t="inlineStr">
        <is>
          <t>Dias do período</t>
        </is>
      </c>
    </row>
    <row r="2">
      <c r="A2" s="5" t="inlineStr">
        <is>
          <t>Número aleatório</t>
        </is>
      </c>
      <c r="B2" s="5" t="inlineStr">
        <is>
          <t>Data</t>
        </is>
      </c>
      <c r="C2" s="5" t="inlineStr">
        <is>
          <t>Dia da semana</t>
        </is>
      </c>
      <c r="D2" s="5" t="inlineStr">
        <is>
          <t>Tipo de dia</t>
        </is>
      </c>
      <c r="E2" s="5" t="inlineStr">
        <is>
          <t>Quinzena</t>
        </is>
      </c>
      <c r="F2" s="5" t="inlineStr">
        <is>
          <t>Feriado?</t>
        </is>
      </c>
      <c r="G2" s="5" t="inlineStr">
        <is>
          <t>Unidade 1 aberta?</t>
        </is>
      </c>
      <c r="H2" s="5" t="inlineStr">
        <is>
          <t>Unidade 2 aberta?</t>
        </is>
      </c>
      <c r="I2" s="5" t="inlineStr">
        <is>
          <t>Unidade que visita neste tipo de dia</t>
        </is>
      </c>
      <c r="J2" s="5" t="inlineStr">
        <is>
          <t>Elegível para o sorteio?</t>
        </is>
      </c>
      <c r="K2" s="5" t="inlineStr">
        <is>
          <t>Ordem no tipo de dia</t>
        </is>
      </c>
    </row>
    <row r="3">
      <c r="A3" s="10" t="n">
        <v>0.6825255929118569</v>
      </c>
      <c r="B3" s="8" t="n">
        <v>46294</v>
      </c>
      <c r="C3" s="13">
        <f>CHOOSE(WEEKDAY(B3,2),"segunda","terça","quarta","quinta","sexta","sábado","domingo")</f>
        <v/>
      </c>
      <c r="D3" s="13">
        <f>IF(WEEKDAY(B3,2)&lt;=4,"Dia útil (seg a qui)","Fim de semana (sex a dom)")</f>
        <v/>
      </c>
      <c r="E3" s="14">
        <f>IF(B3&lt;Parâmetros!$B$6+Parâmetros!$B$7,"Pós-pagamento","Pré-pagamento")</f>
        <v/>
      </c>
      <c r="F3" s="14">
        <f>IF(COUNTIF(Parâmetros!$B$16:$B$16,B3)&gt;0,"sim","não")</f>
        <v/>
      </c>
      <c r="G3" s="7" t="inlineStr">
        <is>
          <t>sim</t>
        </is>
      </c>
      <c r="H3" s="7" t="inlineStr">
        <is>
          <t>sim</t>
        </is>
      </c>
      <c r="I3" s="14">
        <f>IF(D3="Dia útil (seg a qui)",IF(Parâmetros!$B$10&lt;0.5,Parâmetros!$B$4,Parâmetros!$B$5),IF(Parâmetros!$B$10&lt;0.5,Parâmetros!$B$5,Parâmetros!$B$4))</f>
        <v/>
      </c>
      <c r="J3" s="13">
        <f>IF(AND(E3="Pós-pagamento",F3="não",IF(I3=Parâmetros!$B$4,G3,H3)="sim"),"sim","não")</f>
        <v/>
      </c>
      <c r="K3" s="13">
        <f>IF(J3="sim",COUNTIFS($D$3:$D$32,D3,$J$3:$J$32,"sim",$A$3:$A$32,"&lt;="&amp;A3),"")</f>
        <v/>
      </c>
    </row>
    <row r="4">
      <c r="A4" s="10" t="n">
        <v>0.9420456376610188</v>
      </c>
      <c r="B4" s="8" t="n">
        <v>46295</v>
      </c>
      <c r="C4" s="13">
        <f>CHOOSE(WEEKDAY(B4,2),"segunda","terça","quarta","quinta","sexta","sábado","domingo")</f>
        <v/>
      </c>
      <c r="D4" s="13">
        <f>IF(WEEKDAY(B4,2)&lt;=4,"Dia útil (seg a qui)","Fim de semana (sex a dom)")</f>
        <v/>
      </c>
      <c r="E4" s="14">
        <f>IF(B4&lt;Parâmetros!$B$6+Parâmetros!$B$7,"Pós-pagamento","Pré-pagamento")</f>
        <v/>
      </c>
      <c r="F4" s="14">
        <f>IF(COUNTIF(Parâmetros!$B$16:$B$16,B4)&gt;0,"sim","não")</f>
        <v/>
      </c>
      <c r="G4" s="7" t="inlineStr">
        <is>
          <t>sim</t>
        </is>
      </c>
      <c r="H4" s="7" t="inlineStr">
        <is>
          <t>sim</t>
        </is>
      </c>
      <c r="I4" s="14">
        <f>IF(D4="Dia útil (seg a qui)",IF(Parâmetros!$B$10&lt;0.5,Parâmetros!$B$4,Parâmetros!$B$5),IF(Parâmetros!$B$10&lt;0.5,Parâmetros!$B$5,Parâmetros!$B$4))</f>
        <v/>
      </c>
      <c r="J4" s="13">
        <f>IF(AND(E4="Pós-pagamento",F4="não",IF(I4=Parâmetros!$B$4,G4,H4)="sim"),"sim","não")</f>
        <v/>
      </c>
      <c r="K4" s="13">
        <f>IF(J4="sim",COUNTIFS($D$3:$D$32,D4,$J$3:$J$32,"sim",$A$3:$A$32,"&lt;="&amp;A4),"")</f>
        <v/>
      </c>
    </row>
    <row r="5">
      <c r="A5" s="10" t="n">
        <v>0.8701514202626593</v>
      </c>
      <c r="B5" s="8" t="n">
        <v>46296</v>
      </c>
      <c r="C5" s="13">
        <f>CHOOSE(WEEKDAY(B5,2),"segunda","terça","quarta","quinta","sexta","sábado","domingo")</f>
        <v/>
      </c>
      <c r="D5" s="13">
        <f>IF(WEEKDAY(B5,2)&lt;=4,"Dia útil (seg a qui)","Fim de semana (sex a dom)")</f>
        <v/>
      </c>
      <c r="E5" s="14">
        <f>IF(B5&lt;Parâmetros!$B$6+Parâmetros!$B$7,"Pós-pagamento","Pré-pagamento")</f>
        <v/>
      </c>
      <c r="F5" s="14">
        <f>IF(COUNTIF(Parâmetros!$B$16:$B$16,B5)&gt;0,"sim","não")</f>
        <v/>
      </c>
      <c r="G5" s="7" t="inlineStr">
        <is>
          <t>sim</t>
        </is>
      </c>
      <c r="H5" s="7" t="inlineStr">
        <is>
          <t>sim</t>
        </is>
      </c>
      <c r="I5" s="14">
        <f>IF(D5="Dia útil (seg a qui)",IF(Parâmetros!$B$10&lt;0.5,Parâmetros!$B$4,Parâmetros!$B$5),IF(Parâmetros!$B$10&lt;0.5,Parâmetros!$B$5,Parâmetros!$B$4))</f>
        <v/>
      </c>
      <c r="J5" s="13">
        <f>IF(AND(E5="Pós-pagamento",F5="não",IF(I5=Parâmetros!$B$4,G5,H5)="sim"),"sim","não")</f>
        <v/>
      </c>
      <c r="K5" s="13">
        <f>IF(J5="sim",COUNTIFS($D$3:$D$32,D5,$J$3:$J$32,"sim",$A$3:$A$32,"&lt;="&amp;A5),"")</f>
        <v/>
      </c>
    </row>
    <row r="6">
      <c r="A6" s="10" t="n">
        <v>0.1085408879036384</v>
      </c>
      <c r="B6" s="8" t="n">
        <v>46297</v>
      </c>
      <c r="C6" s="13">
        <f>CHOOSE(WEEKDAY(B6,2),"segunda","terça","quarta","quinta","sexta","sábado","domingo")</f>
        <v/>
      </c>
      <c r="D6" s="13">
        <f>IF(WEEKDAY(B6,2)&lt;=4,"Dia útil (seg a qui)","Fim de semana (sex a dom)")</f>
        <v/>
      </c>
      <c r="E6" s="14">
        <f>IF(B6&lt;Parâmetros!$B$6+Parâmetros!$B$7,"Pós-pagamento","Pré-pagamento")</f>
        <v/>
      </c>
      <c r="F6" s="14">
        <f>IF(COUNTIF(Parâmetros!$B$16:$B$16,B6)&gt;0,"sim","não")</f>
        <v/>
      </c>
      <c r="G6" s="7" t="inlineStr">
        <is>
          <t>sim</t>
        </is>
      </c>
      <c r="H6" s="7" t="inlineStr">
        <is>
          <t>sim</t>
        </is>
      </c>
      <c r="I6" s="14">
        <f>IF(D6="Dia útil (seg a qui)",IF(Parâmetros!$B$10&lt;0.5,Parâmetros!$B$4,Parâmetros!$B$5),IF(Parâmetros!$B$10&lt;0.5,Parâmetros!$B$5,Parâmetros!$B$4))</f>
        <v/>
      </c>
      <c r="J6" s="13">
        <f>IF(AND(E6="Pós-pagamento",F6="não",IF(I6=Parâmetros!$B$4,G6,H6)="sim"),"sim","não")</f>
        <v/>
      </c>
      <c r="K6" s="13">
        <f>IF(J6="sim",COUNTIFS($D$3:$D$32,D6,$J$3:$J$32,"sim",$A$3:$A$32,"&lt;="&amp;A6),"")</f>
        <v/>
      </c>
    </row>
    <row r="7">
      <c r="A7" s="10" t="n">
        <v>0.5044517982097884</v>
      </c>
      <c r="B7" s="8" t="n">
        <v>46298</v>
      </c>
      <c r="C7" s="13">
        <f>CHOOSE(WEEKDAY(B7,2),"segunda","terça","quarta","quinta","sexta","sábado","domingo")</f>
        <v/>
      </c>
      <c r="D7" s="13">
        <f>IF(WEEKDAY(B7,2)&lt;=4,"Dia útil (seg a qui)","Fim de semana (sex a dom)")</f>
        <v/>
      </c>
      <c r="E7" s="14">
        <f>IF(B7&lt;Parâmetros!$B$6+Parâmetros!$B$7,"Pós-pagamento","Pré-pagamento")</f>
        <v/>
      </c>
      <c r="F7" s="14">
        <f>IF(COUNTIF(Parâmetros!$B$16:$B$16,B7)&gt;0,"sim","não")</f>
        <v/>
      </c>
      <c r="G7" s="7" t="inlineStr">
        <is>
          <t>sim</t>
        </is>
      </c>
      <c r="H7" s="7" t="inlineStr">
        <is>
          <t>sim</t>
        </is>
      </c>
      <c r="I7" s="14">
        <f>IF(D7="Dia útil (seg a qui)",IF(Parâmetros!$B$10&lt;0.5,Parâmetros!$B$4,Parâmetros!$B$5),IF(Parâmetros!$B$10&lt;0.5,Parâmetros!$B$5,Parâmetros!$B$4))</f>
        <v/>
      </c>
      <c r="J7" s="13">
        <f>IF(AND(E7="Pós-pagamento",F7="não",IF(I7=Parâmetros!$B$4,G7,H7)="sim"),"sim","não")</f>
        <v/>
      </c>
      <c r="K7" s="13">
        <f>IF(J7="sim",COUNTIFS($D$3:$D$32,D7,$J$3:$J$32,"sim",$A$3:$A$32,"&lt;="&amp;A7),"")</f>
        <v/>
      </c>
    </row>
    <row r="8">
      <c r="A8" s="10" t="n">
        <v>0.8663027492310936</v>
      </c>
      <c r="B8" s="8" t="n">
        <v>46299</v>
      </c>
      <c r="C8" s="13">
        <f>CHOOSE(WEEKDAY(B8,2),"segunda","terça","quarta","quinta","sexta","sábado","domingo")</f>
        <v/>
      </c>
      <c r="D8" s="13">
        <f>IF(WEEKDAY(B8,2)&lt;=4,"Dia útil (seg a qui)","Fim de semana (sex a dom)")</f>
        <v/>
      </c>
      <c r="E8" s="14">
        <f>IF(B8&lt;Parâmetros!$B$6+Parâmetros!$B$7,"Pós-pagamento","Pré-pagamento")</f>
        <v/>
      </c>
      <c r="F8" s="14">
        <f>IF(COUNTIF(Parâmetros!$B$16:$B$16,B8)&gt;0,"sim","não")</f>
        <v/>
      </c>
      <c r="G8" s="7" t="inlineStr">
        <is>
          <t>sim</t>
        </is>
      </c>
      <c r="H8" s="7" t="inlineStr">
        <is>
          <t>sim</t>
        </is>
      </c>
      <c r="I8" s="14">
        <f>IF(D8="Dia útil (seg a qui)",IF(Parâmetros!$B$10&lt;0.5,Parâmetros!$B$4,Parâmetros!$B$5),IF(Parâmetros!$B$10&lt;0.5,Parâmetros!$B$5,Parâmetros!$B$4))</f>
        <v/>
      </c>
      <c r="J8" s="13">
        <f>IF(AND(E8="Pós-pagamento",F8="não",IF(I8=Parâmetros!$B$4,G8,H8)="sim"),"sim","não")</f>
        <v/>
      </c>
      <c r="K8" s="13">
        <f>IF(J8="sim",COUNTIFS($D$3:$D$32,D8,$J$3:$J$32,"sim",$A$3:$A$32,"&lt;="&amp;A8),"")</f>
        <v/>
      </c>
    </row>
    <row r="9">
      <c r="A9" s="10" t="n">
        <v>0.5899372207964796</v>
      </c>
      <c r="B9" s="8" t="n">
        <v>46300</v>
      </c>
      <c r="C9" s="13">
        <f>CHOOSE(WEEKDAY(B9,2),"segunda","terça","quarta","quinta","sexta","sábado","domingo")</f>
        <v/>
      </c>
      <c r="D9" s="13">
        <f>IF(WEEKDAY(B9,2)&lt;=4,"Dia útil (seg a qui)","Fim de semana (sex a dom)")</f>
        <v/>
      </c>
      <c r="E9" s="14">
        <f>IF(B9&lt;Parâmetros!$B$6+Parâmetros!$B$7,"Pós-pagamento","Pré-pagamento")</f>
        <v/>
      </c>
      <c r="F9" s="14">
        <f>IF(COUNTIF(Parâmetros!$B$16:$B$16,B9)&gt;0,"sim","não")</f>
        <v/>
      </c>
      <c r="G9" s="7" t="inlineStr">
        <is>
          <t>sim</t>
        </is>
      </c>
      <c r="H9" s="7" t="inlineStr">
        <is>
          <t>sim</t>
        </is>
      </c>
      <c r="I9" s="14">
        <f>IF(D9="Dia útil (seg a qui)",IF(Parâmetros!$B$10&lt;0.5,Parâmetros!$B$4,Parâmetros!$B$5),IF(Parâmetros!$B$10&lt;0.5,Parâmetros!$B$5,Parâmetros!$B$4))</f>
        <v/>
      </c>
      <c r="J9" s="13">
        <f>IF(AND(E9="Pós-pagamento",F9="não",IF(I9=Parâmetros!$B$4,G9,H9)="sim"),"sim","não")</f>
        <v/>
      </c>
      <c r="K9" s="13">
        <f>IF(J9="sim",COUNTIFS($D$3:$D$32,D9,$J$3:$J$32,"sim",$A$3:$A$32,"&lt;="&amp;A9),"")</f>
        <v/>
      </c>
    </row>
    <row r="10">
      <c r="A10" s="10" t="n">
        <v>0.6618768317480069</v>
      </c>
      <c r="B10" s="8" t="n">
        <v>46301</v>
      </c>
      <c r="C10" s="13">
        <f>CHOOSE(WEEKDAY(B10,2),"segunda","terça","quarta","quinta","sexta","sábado","domingo")</f>
        <v/>
      </c>
      <c r="D10" s="13">
        <f>IF(WEEKDAY(B10,2)&lt;=4,"Dia útil (seg a qui)","Fim de semana (sex a dom)")</f>
        <v/>
      </c>
      <c r="E10" s="14">
        <f>IF(B10&lt;Parâmetros!$B$6+Parâmetros!$B$7,"Pós-pagamento","Pré-pagamento")</f>
        <v/>
      </c>
      <c r="F10" s="14">
        <f>IF(COUNTIF(Parâmetros!$B$16:$B$16,B10)&gt;0,"sim","não")</f>
        <v/>
      </c>
      <c r="G10" s="7" t="inlineStr">
        <is>
          <t>sim</t>
        </is>
      </c>
      <c r="H10" s="7" t="inlineStr">
        <is>
          <t>sim</t>
        </is>
      </c>
      <c r="I10" s="14">
        <f>IF(D10="Dia útil (seg a qui)",IF(Parâmetros!$B$10&lt;0.5,Parâmetros!$B$4,Parâmetros!$B$5),IF(Parâmetros!$B$10&lt;0.5,Parâmetros!$B$5,Parâmetros!$B$4))</f>
        <v/>
      </c>
      <c r="J10" s="13">
        <f>IF(AND(E10="Pós-pagamento",F10="não",IF(I10=Parâmetros!$B$4,G10,H10)="sim"),"sim","não")</f>
        <v/>
      </c>
      <c r="K10" s="13">
        <f>IF(J10="sim",COUNTIFS($D$3:$D$32,D10,$J$3:$J$32,"sim",$A$3:$A$32,"&lt;="&amp;A10),"")</f>
        <v/>
      </c>
    </row>
    <row r="11">
      <c r="A11" s="10" t="n">
        <v>0.6030938513646101</v>
      </c>
      <c r="B11" s="8" t="n">
        <v>46302</v>
      </c>
      <c r="C11" s="13">
        <f>CHOOSE(WEEKDAY(B11,2),"segunda","terça","quarta","quinta","sexta","sábado","domingo")</f>
        <v/>
      </c>
      <c r="D11" s="13">
        <f>IF(WEEKDAY(B11,2)&lt;=4,"Dia útil (seg a qui)","Fim de semana (sex a dom)")</f>
        <v/>
      </c>
      <c r="E11" s="14">
        <f>IF(B11&lt;Parâmetros!$B$6+Parâmetros!$B$7,"Pós-pagamento","Pré-pagamento")</f>
        <v/>
      </c>
      <c r="F11" s="14">
        <f>IF(COUNTIF(Parâmetros!$B$16:$B$16,B11)&gt;0,"sim","não")</f>
        <v/>
      </c>
      <c r="G11" s="7" t="inlineStr">
        <is>
          <t>sim</t>
        </is>
      </c>
      <c r="H11" s="7" t="inlineStr">
        <is>
          <t>sim</t>
        </is>
      </c>
      <c r="I11" s="14">
        <f>IF(D11="Dia útil (seg a qui)",IF(Parâmetros!$B$10&lt;0.5,Parâmetros!$B$4,Parâmetros!$B$5),IF(Parâmetros!$B$10&lt;0.5,Parâmetros!$B$5,Parâmetros!$B$4))</f>
        <v/>
      </c>
      <c r="J11" s="13">
        <f>IF(AND(E11="Pós-pagamento",F11="não",IF(I11=Parâmetros!$B$4,G11,H11)="sim"),"sim","não")</f>
        <v/>
      </c>
      <c r="K11" s="13">
        <f>IF(J11="sim",COUNTIFS($D$3:$D$32,D11,$J$3:$J$32,"sim",$A$3:$A$32,"&lt;="&amp;A11),"")</f>
        <v/>
      </c>
    </row>
    <row r="12">
      <c r="A12" s="10" t="n">
        <v>0.7351310965538348</v>
      </c>
      <c r="B12" s="8" t="n">
        <v>46303</v>
      </c>
      <c r="C12" s="13">
        <f>CHOOSE(WEEKDAY(B12,2),"segunda","terça","quarta","quinta","sexta","sábado","domingo")</f>
        <v/>
      </c>
      <c r="D12" s="13">
        <f>IF(WEEKDAY(B12,2)&lt;=4,"Dia útil (seg a qui)","Fim de semana (sex a dom)")</f>
        <v/>
      </c>
      <c r="E12" s="14">
        <f>IF(B12&lt;Parâmetros!$B$6+Parâmetros!$B$7,"Pós-pagamento","Pré-pagamento")</f>
        <v/>
      </c>
      <c r="F12" s="14">
        <f>IF(COUNTIF(Parâmetros!$B$16:$B$16,B12)&gt;0,"sim","não")</f>
        <v/>
      </c>
      <c r="G12" s="7" t="inlineStr">
        <is>
          <t>sim</t>
        </is>
      </c>
      <c r="H12" s="7" t="inlineStr">
        <is>
          <t>sim</t>
        </is>
      </c>
      <c r="I12" s="14">
        <f>IF(D12="Dia útil (seg a qui)",IF(Parâmetros!$B$10&lt;0.5,Parâmetros!$B$4,Parâmetros!$B$5),IF(Parâmetros!$B$10&lt;0.5,Parâmetros!$B$5,Parâmetros!$B$4))</f>
        <v/>
      </c>
      <c r="J12" s="13">
        <f>IF(AND(E12="Pós-pagamento",F12="não",IF(I12=Parâmetros!$B$4,G12,H12)="sim"),"sim","não")</f>
        <v/>
      </c>
      <c r="K12" s="13">
        <f>IF(J12="sim",COUNTIFS($D$3:$D$32,D12,$J$3:$J$32,"sim",$A$3:$A$32,"&lt;="&amp;A12),"")</f>
        <v/>
      </c>
    </row>
    <row r="13">
      <c r="A13" s="10" t="n">
        <v>0.6125826800980299</v>
      </c>
      <c r="B13" s="8" t="n">
        <v>46304</v>
      </c>
      <c r="C13" s="13">
        <f>CHOOSE(WEEKDAY(B13,2),"segunda","terça","quarta","quinta","sexta","sábado","domingo")</f>
        <v/>
      </c>
      <c r="D13" s="13">
        <f>IF(WEEKDAY(B13,2)&lt;=4,"Dia útil (seg a qui)","Fim de semana (sex a dom)")</f>
        <v/>
      </c>
      <c r="E13" s="14">
        <f>IF(B13&lt;Parâmetros!$B$6+Parâmetros!$B$7,"Pós-pagamento","Pré-pagamento")</f>
        <v/>
      </c>
      <c r="F13" s="14">
        <f>IF(COUNTIF(Parâmetros!$B$16:$B$16,B13)&gt;0,"sim","não")</f>
        <v/>
      </c>
      <c r="G13" s="7" t="inlineStr">
        <is>
          <t>sim</t>
        </is>
      </c>
      <c r="H13" s="7" t="inlineStr">
        <is>
          <t>sim</t>
        </is>
      </c>
      <c r="I13" s="14">
        <f>IF(D13="Dia útil (seg a qui)",IF(Parâmetros!$B$10&lt;0.5,Parâmetros!$B$4,Parâmetros!$B$5),IF(Parâmetros!$B$10&lt;0.5,Parâmetros!$B$5,Parâmetros!$B$4))</f>
        <v/>
      </c>
      <c r="J13" s="13">
        <f>IF(AND(E13="Pós-pagamento",F13="não",IF(I13=Parâmetros!$B$4,G13,H13)="sim"),"sim","não")</f>
        <v/>
      </c>
      <c r="K13" s="13">
        <f>IF(J13="sim",COUNTIFS($D$3:$D$32,D13,$J$3:$J$32,"sim",$A$3:$A$32,"&lt;="&amp;A13),"")</f>
        <v/>
      </c>
    </row>
    <row r="14">
      <c r="A14" s="10" t="n">
        <v>0.2430836278838648</v>
      </c>
      <c r="B14" s="8" t="n">
        <v>46305</v>
      </c>
      <c r="C14" s="13">
        <f>CHOOSE(WEEKDAY(B14,2),"segunda","terça","quarta","quinta","sexta","sábado","domingo")</f>
        <v/>
      </c>
      <c r="D14" s="13">
        <f>IF(WEEKDAY(B14,2)&lt;=4,"Dia útil (seg a qui)","Fim de semana (sex a dom)")</f>
        <v/>
      </c>
      <c r="E14" s="14">
        <f>IF(B14&lt;Parâmetros!$B$6+Parâmetros!$B$7,"Pós-pagamento","Pré-pagamento")</f>
        <v/>
      </c>
      <c r="F14" s="14">
        <f>IF(COUNTIF(Parâmetros!$B$16:$B$16,B14)&gt;0,"sim","não")</f>
        <v/>
      </c>
      <c r="G14" s="7" t="inlineStr">
        <is>
          <t>sim</t>
        </is>
      </c>
      <c r="H14" s="7" t="inlineStr">
        <is>
          <t>sim</t>
        </is>
      </c>
      <c r="I14" s="14">
        <f>IF(D14="Dia útil (seg a qui)",IF(Parâmetros!$B$10&lt;0.5,Parâmetros!$B$4,Parâmetros!$B$5),IF(Parâmetros!$B$10&lt;0.5,Parâmetros!$B$5,Parâmetros!$B$4))</f>
        <v/>
      </c>
      <c r="J14" s="13">
        <f>IF(AND(E14="Pós-pagamento",F14="não",IF(I14=Parâmetros!$B$4,G14,H14)="sim"),"sim","não")</f>
        <v/>
      </c>
      <c r="K14" s="13">
        <f>IF(J14="sim",COUNTIFS($D$3:$D$32,D14,$J$3:$J$32,"sim",$A$3:$A$32,"&lt;="&amp;A14),"")</f>
        <v/>
      </c>
    </row>
    <row r="15">
      <c r="A15" s="10" t="n">
        <v>0.1730766924901449</v>
      </c>
      <c r="B15" s="8" t="n">
        <v>46306</v>
      </c>
      <c r="C15" s="13">
        <f>CHOOSE(WEEKDAY(B15,2),"segunda","terça","quarta","quinta","sexta","sábado","domingo")</f>
        <v/>
      </c>
      <c r="D15" s="13">
        <f>IF(WEEKDAY(B15,2)&lt;=4,"Dia útil (seg a qui)","Fim de semana (sex a dom)")</f>
        <v/>
      </c>
      <c r="E15" s="14">
        <f>IF(B15&lt;Parâmetros!$B$6+Parâmetros!$B$7,"Pós-pagamento","Pré-pagamento")</f>
        <v/>
      </c>
      <c r="F15" s="14">
        <f>IF(COUNTIF(Parâmetros!$B$16:$B$16,B15)&gt;0,"sim","não")</f>
        <v/>
      </c>
      <c r="G15" s="7" t="inlineStr">
        <is>
          <t>sim</t>
        </is>
      </c>
      <c r="H15" s="7" t="inlineStr">
        <is>
          <t>sim</t>
        </is>
      </c>
      <c r="I15" s="14">
        <f>IF(D15="Dia útil (seg a qui)",IF(Parâmetros!$B$10&lt;0.5,Parâmetros!$B$4,Parâmetros!$B$5),IF(Parâmetros!$B$10&lt;0.5,Parâmetros!$B$5,Parâmetros!$B$4))</f>
        <v/>
      </c>
      <c r="J15" s="13">
        <f>IF(AND(E15="Pós-pagamento",F15="não",IF(I15=Parâmetros!$B$4,G15,H15)="sim"),"sim","não")</f>
        <v/>
      </c>
      <c r="K15" s="13">
        <f>IF(J15="sim",COUNTIFS($D$3:$D$32,D15,$J$3:$J$32,"sim",$A$3:$A$32,"&lt;="&amp;A15),"")</f>
        <v/>
      </c>
    </row>
    <row r="16">
      <c r="A16" s="10" t="n">
        <v>0.2688377912382225</v>
      </c>
      <c r="B16" s="8" t="n">
        <v>46307</v>
      </c>
      <c r="C16" s="13">
        <f>CHOOSE(WEEKDAY(B16,2),"segunda","terça","quarta","quinta","sexta","sábado","domingo")</f>
        <v/>
      </c>
      <c r="D16" s="13">
        <f>IF(WEEKDAY(B16,2)&lt;=4,"Dia útil (seg a qui)","Fim de semana (sex a dom)")</f>
        <v/>
      </c>
      <c r="E16" s="14">
        <f>IF(B16&lt;Parâmetros!$B$6+Parâmetros!$B$7,"Pós-pagamento","Pré-pagamento")</f>
        <v/>
      </c>
      <c r="F16" s="14">
        <f>IF(COUNTIF(Parâmetros!$B$16:$B$16,B16)&gt;0,"sim","não")</f>
        <v/>
      </c>
      <c r="G16" s="7" t="inlineStr">
        <is>
          <t>sim</t>
        </is>
      </c>
      <c r="H16" s="7" t="inlineStr">
        <is>
          <t>sim</t>
        </is>
      </c>
      <c r="I16" s="14">
        <f>IF(D16="Dia útil (seg a qui)",IF(Parâmetros!$B$10&lt;0.5,Parâmetros!$B$4,Parâmetros!$B$5),IF(Parâmetros!$B$10&lt;0.5,Parâmetros!$B$5,Parâmetros!$B$4))</f>
        <v/>
      </c>
      <c r="J16" s="13">
        <f>IF(AND(E16="Pós-pagamento",F16="não",IF(I16=Parâmetros!$B$4,G16,H16)="sim"),"sim","não")</f>
        <v/>
      </c>
      <c r="K16" s="13">
        <f>IF(J16="sim",COUNTIFS($D$3:$D$32,D16,$J$3:$J$32,"sim",$A$3:$A$32,"&lt;="&amp;A16),"")</f>
        <v/>
      </c>
    </row>
    <row r="17">
      <c r="A17" s="10" t="n">
        <v>0.6384763378898026</v>
      </c>
      <c r="B17" s="8" t="n">
        <v>46308</v>
      </c>
      <c r="C17" s="13">
        <f>CHOOSE(WEEKDAY(B17,2),"segunda","terça","quarta","quinta","sexta","sábado","domingo")</f>
        <v/>
      </c>
      <c r="D17" s="13">
        <f>IF(WEEKDAY(B17,2)&lt;=4,"Dia útil (seg a qui)","Fim de semana (sex a dom)")</f>
        <v/>
      </c>
      <c r="E17" s="14">
        <f>IF(B17&lt;Parâmetros!$B$6+Parâmetros!$B$7,"Pós-pagamento","Pré-pagamento")</f>
        <v/>
      </c>
      <c r="F17" s="14">
        <f>IF(COUNTIF(Parâmetros!$B$16:$B$16,B17)&gt;0,"sim","não")</f>
        <v/>
      </c>
      <c r="G17" s="7" t="inlineStr">
        <is>
          <t>sim</t>
        </is>
      </c>
      <c r="H17" s="7" t="inlineStr">
        <is>
          <t>sim</t>
        </is>
      </c>
      <c r="I17" s="14">
        <f>IF(D17="Dia útil (seg a qui)",IF(Parâmetros!$B$10&lt;0.5,Parâmetros!$B$4,Parâmetros!$B$5),IF(Parâmetros!$B$10&lt;0.5,Parâmetros!$B$5,Parâmetros!$B$4))</f>
        <v/>
      </c>
      <c r="J17" s="13">
        <f>IF(AND(E17="Pós-pagamento",F17="não",IF(I17=Parâmetros!$B$4,G17,H17)="sim"),"sim","não")</f>
        <v/>
      </c>
      <c r="K17" s="13">
        <f>IF(J17="sim",COUNTIFS($D$3:$D$32,D17,$J$3:$J$32,"sim",$A$3:$A$32,"&lt;="&amp;A17),"")</f>
        <v/>
      </c>
    </row>
    <row r="18">
      <c r="A18" s="10" t="n">
        <v>0.7979611189056641</v>
      </c>
      <c r="B18" s="8" t="n">
        <v>46309</v>
      </c>
      <c r="C18" s="13">
        <f>CHOOSE(WEEKDAY(B18,2),"segunda","terça","quarta","quinta","sexta","sábado","domingo")</f>
        <v/>
      </c>
      <c r="D18" s="13">
        <f>IF(WEEKDAY(B18,2)&lt;=4,"Dia útil (seg a qui)","Fim de semana (sex a dom)")</f>
        <v/>
      </c>
      <c r="E18" s="14">
        <f>IF(B18&lt;Parâmetros!$B$6+Parâmetros!$B$7,"Pós-pagamento","Pré-pagamento")</f>
        <v/>
      </c>
      <c r="F18" s="14">
        <f>IF(COUNTIF(Parâmetros!$B$16:$B$16,B18)&gt;0,"sim","não")</f>
        <v/>
      </c>
      <c r="G18" s="7" t="inlineStr">
        <is>
          <t>sim</t>
        </is>
      </c>
      <c r="H18" s="7" t="inlineStr">
        <is>
          <t>sim</t>
        </is>
      </c>
      <c r="I18" s="14">
        <f>IF(D18="Dia útil (seg a qui)",IF(Parâmetros!$B$10&lt;0.5,Parâmetros!$B$4,Parâmetros!$B$5),IF(Parâmetros!$B$10&lt;0.5,Parâmetros!$B$5,Parâmetros!$B$4))</f>
        <v/>
      </c>
      <c r="J18" s="13">
        <f>IF(AND(E18="Pós-pagamento",F18="não",IF(I18=Parâmetros!$B$4,G18,H18)="sim"),"sim","não")</f>
        <v/>
      </c>
      <c r="K18" s="13">
        <f>IF(J18="sim",COUNTIFS($D$3:$D$32,D18,$J$3:$J$32,"sim",$A$3:$A$32,"&lt;="&amp;A18),"")</f>
        <v/>
      </c>
    </row>
    <row r="19">
      <c r="A19" s="10" t="n">
        <v>0.6368536235161361</v>
      </c>
      <c r="B19" s="8" t="n">
        <v>46310</v>
      </c>
      <c r="C19" s="13">
        <f>CHOOSE(WEEKDAY(B19,2),"segunda","terça","quarta","quinta","sexta","sábado","domingo")</f>
        <v/>
      </c>
      <c r="D19" s="13">
        <f>IF(WEEKDAY(B19,2)&lt;=4,"Dia útil (seg a qui)","Fim de semana (sex a dom)")</f>
        <v/>
      </c>
      <c r="E19" s="14">
        <f>IF(B19&lt;Parâmetros!$B$6+Parâmetros!$B$7,"Pós-pagamento","Pré-pagamento")</f>
        <v/>
      </c>
      <c r="F19" s="14">
        <f>IF(COUNTIF(Parâmetros!$B$16:$B$16,B19)&gt;0,"sim","não")</f>
        <v/>
      </c>
      <c r="G19" s="7" t="inlineStr">
        <is>
          <t>sim</t>
        </is>
      </c>
      <c r="H19" s="7" t="inlineStr">
        <is>
          <t>sim</t>
        </is>
      </c>
      <c r="I19" s="14">
        <f>IF(D19="Dia útil (seg a qui)",IF(Parâmetros!$B$10&lt;0.5,Parâmetros!$B$4,Parâmetros!$B$5),IF(Parâmetros!$B$10&lt;0.5,Parâmetros!$B$5,Parâmetros!$B$4))</f>
        <v/>
      </c>
      <c r="J19" s="13">
        <f>IF(AND(E19="Pós-pagamento",F19="não",IF(I19=Parâmetros!$B$4,G19,H19)="sim"),"sim","não")</f>
        <v/>
      </c>
      <c r="K19" s="13">
        <f>IF(J19="sim",COUNTIFS($D$3:$D$32,D19,$J$3:$J$32,"sim",$A$3:$A$32,"&lt;="&amp;A19),"")</f>
        <v/>
      </c>
    </row>
    <row r="20">
      <c r="A20" s="10" t="n">
        <v>0.5305828736421826</v>
      </c>
      <c r="B20" s="8" t="n">
        <v>46311</v>
      </c>
      <c r="C20" s="13">
        <f>CHOOSE(WEEKDAY(B20,2),"segunda","terça","quarta","quinta","sexta","sábado","domingo")</f>
        <v/>
      </c>
      <c r="D20" s="13">
        <f>IF(WEEKDAY(B20,2)&lt;=4,"Dia útil (seg a qui)","Fim de semana (sex a dom)")</f>
        <v/>
      </c>
      <c r="E20" s="14">
        <f>IF(B20&lt;Parâmetros!$B$6+Parâmetros!$B$7,"Pós-pagamento","Pré-pagamento")</f>
        <v/>
      </c>
      <c r="F20" s="14">
        <f>IF(COUNTIF(Parâmetros!$B$16:$B$16,B20)&gt;0,"sim","não")</f>
        <v/>
      </c>
      <c r="G20" s="7" t="inlineStr">
        <is>
          <t>sim</t>
        </is>
      </c>
      <c r="H20" s="7" t="inlineStr">
        <is>
          <t>sim</t>
        </is>
      </c>
      <c r="I20" s="14">
        <f>IF(D20="Dia útil (seg a qui)",IF(Parâmetros!$B$10&lt;0.5,Parâmetros!$B$4,Parâmetros!$B$5),IF(Parâmetros!$B$10&lt;0.5,Parâmetros!$B$5,Parâmetros!$B$4))</f>
        <v/>
      </c>
      <c r="J20" s="13">
        <f>IF(AND(E20="Pós-pagamento",F20="não",IF(I20=Parâmetros!$B$4,G20,H20)="sim"),"sim","não")</f>
        <v/>
      </c>
      <c r="K20" s="13">
        <f>IF(J20="sim",COUNTIFS($D$3:$D$32,D20,$J$3:$J$32,"sim",$A$3:$A$32,"&lt;="&amp;A20),"")</f>
        <v/>
      </c>
    </row>
    <row r="21">
      <c r="A21" s="10" t="n">
        <v>0.405083223577504</v>
      </c>
      <c r="B21" s="8" t="n">
        <v>46312</v>
      </c>
      <c r="C21" s="13">
        <f>CHOOSE(WEEKDAY(B21,2),"segunda","terça","quarta","quinta","sexta","sábado","domingo")</f>
        <v/>
      </c>
      <c r="D21" s="13">
        <f>IF(WEEKDAY(B21,2)&lt;=4,"Dia útil (seg a qui)","Fim de semana (sex a dom)")</f>
        <v/>
      </c>
      <c r="E21" s="14">
        <f>IF(B21&lt;Parâmetros!$B$6+Parâmetros!$B$7,"Pós-pagamento","Pré-pagamento")</f>
        <v/>
      </c>
      <c r="F21" s="14">
        <f>IF(COUNTIF(Parâmetros!$B$16:$B$16,B21)&gt;0,"sim","não")</f>
        <v/>
      </c>
      <c r="G21" s="7" t="inlineStr">
        <is>
          <t>sim</t>
        </is>
      </c>
      <c r="H21" s="7" t="inlineStr">
        <is>
          <t>sim</t>
        </is>
      </c>
      <c r="I21" s="14">
        <f>IF(D21="Dia útil (seg a qui)",IF(Parâmetros!$B$10&lt;0.5,Parâmetros!$B$4,Parâmetros!$B$5),IF(Parâmetros!$B$10&lt;0.5,Parâmetros!$B$5,Parâmetros!$B$4))</f>
        <v/>
      </c>
      <c r="J21" s="13">
        <f>IF(AND(E21="Pós-pagamento",F21="não",IF(I21=Parâmetros!$B$4,G21,H21)="sim"),"sim","não")</f>
        <v/>
      </c>
      <c r="K21" s="13">
        <f>IF(J21="sim",COUNTIFS($D$3:$D$32,D21,$J$3:$J$32,"sim",$A$3:$A$32,"&lt;="&amp;A21),"")</f>
        <v/>
      </c>
    </row>
    <row r="22">
      <c r="A22" s="10" t="n">
        <v>0.1278970371792419</v>
      </c>
      <c r="B22" s="8" t="n">
        <v>46313</v>
      </c>
      <c r="C22" s="13">
        <f>CHOOSE(WEEKDAY(B22,2),"segunda","terça","quarta","quinta","sexta","sábado","domingo")</f>
        <v/>
      </c>
      <c r="D22" s="13">
        <f>IF(WEEKDAY(B22,2)&lt;=4,"Dia útil (seg a qui)","Fim de semana (sex a dom)")</f>
        <v/>
      </c>
      <c r="E22" s="14">
        <f>IF(B22&lt;Parâmetros!$B$6+Parâmetros!$B$7,"Pós-pagamento","Pré-pagamento")</f>
        <v/>
      </c>
      <c r="F22" s="14">
        <f>IF(COUNTIF(Parâmetros!$B$16:$B$16,B22)&gt;0,"sim","não")</f>
        <v/>
      </c>
      <c r="G22" s="7" t="inlineStr">
        <is>
          <t>sim</t>
        </is>
      </c>
      <c r="H22" s="7" t="inlineStr">
        <is>
          <t>sim</t>
        </is>
      </c>
      <c r="I22" s="14">
        <f>IF(D22="Dia útil (seg a qui)",IF(Parâmetros!$B$10&lt;0.5,Parâmetros!$B$4,Parâmetros!$B$5),IF(Parâmetros!$B$10&lt;0.5,Parâmetros!$B$5,Parâmetros!$B$4))</f>
        <v/>
      </c>
      <c r="J22" s="13">
        <f>IF(AND(E22="Pós-pagamento",F22="não",IF(I22=Parâmetros!$B$4,G22,H22)="sim"),"sim","não")</f>
        <v/>
      </c>
      <c r="K22" s="13">
        <f>IF(J22="sim",COUNTIFS($D$3:$D$32,D22,$J$3:$J$32,"sim",$A$3:$A$32,"&lt;="&amp;A22),"")</f>
        <v/>
      </c>
    </row>
    <row r="23">
      <c r="A23" s="10" t="n">
        <v>0.4845666963325101</v>
      </c>
      <c r="B23" s="8" t="n">
        <v>46314</v>
      </c>
      <c r="C23" s="13">
        <f>CHOOSE(WEEKDAY(B23,2),"segunda","terça","quarta","quinta","sexta","sábado","domingo")</f>
        <v/>
      </c>
      <c r="D23" s="13">
        <f>IF(WEEKDAY(B23,2)&lt;=4,"Dia útil (seg a qui)","Fim de semana (sex a dom)")</f>
        <v/>
      </c>
      <c r="E23" s="14">
        <f>IF(B23&lt;Parâmetros!$B$6+Parâmetros!$B$7,"Pós-pagamento","Pré-pagamento")</f>
        <v/>
      </c>
      <c r="F23" s="14">
        <f>IF(COUNTIF(Parâmetros!$B$16:$B$16,B23)&gt;0,"sim","não")</f>
        <v/>
      </c>
      <c r="G23" s="7" t="inlineStr">
        <is>
          <t>sim</t>
        </is>
      </c>
      <c r="H23" s="7" t="inlineStr">
        <is>
          <t>sim</t>
        </is>
      </c>
      <c r="I23" s="14">
        <f>IF(D23="Dia útil (seg a qui)",IF(Parâmetros!$B$10&lt;0.5,Parâmetros!$B$4,Parâmetros!$B$5),IF(Parâmetros!$B$10&lt;0.5,Parâmetros!$B$5,Parâmetros!$B$4))</f>
        <v/>
      </c>
      <c r="J23" s="13">
        <f>IF(AND(E23="Pós-pagamento",F23="não",IF(I23=Parâmetros!$B$4,G23,H23)="sim"),"sim","não")</f>
        <v/>
      </c>
      <c r="K23" s="13">
        <f>IF(J23="sim",COUNTIFS($D$3:$D$32,D23,$J$3:$J$32,"sim",$A$3:$A$32,"&lt;="&amp;A23),"")</f>
        <v/>
      </c>
    </row>
    <row r="24">
      <c r="A24" s="10" t="n">
        <v>0.805315083187461</v>
      </c>
      <c r="B24" s="8" t="n">
        <v>46315</v>
      </c>
      <c r="C24" s="13">
        <f>CHOOSE(WEEKDAY(B24,2),"segunda","terça","quarta","quinta","sexta","sábado","domingo")</f>
        <v/>
      </c>
      <c r="D24" s="13">
        <f>IF(WEEKDAY(B24,2)&lt;=4,"Dia útil (seg a qui)","Fim de semana (sex a dom)")</f>
        <v/>
      </c>
      <c r="E24" s="14">
        <f>IF(B24&lt;Parâmetros!$B$6+Parâmetros!$B$7,"Pós-pagamento","Pré-pagamento")</f>
        <v/>
      </c>
      <c r="F24" s="14">
        <f>IF(COUNTIF(Parâmetros!$B$16:$B$16,B24)&gt;0,"sim","não")</f>
        <v/>
      </c>
      <c r="G24" s="7" t="inlineStr">
        <is>
          <t>sim</t>
        </is>
      </c>
      <c r="H24" s="7" t="inlineStr">
        <is>
          <t>sim</t>
        </is>
      </c>
      <c r="I24" s="14">
        <f>IF(D24="Dia útil (seg a qui)",IF(Parâmetros!$B$10&lt;0.5,Parâmetros!$B$4,Parâmetros!$B$5),IF(Parâmetros!$B$10&lt;0.5,Parâmetros!$B$5,Parâmetros!$B$4))</f>
        <v/>
      </c>
      <c r="J24" s="13">
        <f>IF(AND(E24="Pós-pagamento",F24="não",IF(I24=Parâmetros!$B$4,G24,H24)="sim"),"sim","não")</f>
        <v/>
      </c>
      <c r="K24" s="13">
        <f>IF(J24="sim",COUNTIFS($D$3:$D$32,D24,$J$3:$J$32,"sim",$A$3:$A$32,"&lt;="&amp;A24),"")</f>
        <v/>
      </c>
    </row>
    <row r="25">
      <c r="A25" s="10" t="n">
        <v>0.1822396280224478</v>
      </c>
      <c r="B25" s="8" t="n">
        <v>46316</v>
      </c>
      <c r="C25" s="13">
        <f>CHOOSE(WEEKDAY(B25,2),"segunda","terça","quarta","quinta","sexta","sábado","domingo")</f>
        <v/>
      </c>
      <c r="D25" s="13">
        <f>IF(WEEKDAY(B25,2)&lt;=4,"Dia útil (seg a qui)","Fim de semana (sex a dom)")</f>
        <v/>
      </c>
      <c r="E25" s="14">
        <f>IF(B25&lt;Parâmetros!$B$6+Parâmetros!$B$7,"Pós-pagamento","Pré-pagamento")</f>
        <v/>
      </c>
      <c r="F25" s="14">
        <f>IF(COUNTIF(Parâmetros!$B$16:$B$16,B25)&gt;0,"sim","não")</f>
        <v/>
      </c>
      <c r="G25" s="7" t="inlineStr">
        <is>
          <t>sim</t>
        </is>
      </c>
      <c r="H25" s="7" t="inlineStr">
        <is>
          <t>sim</t>
        </is>
      </c>
      <c r="I25" s="14">
        <f>IF(D25="Dia útil (seg a qui)",IF(Parâmetros!$B$10&lt;0.5,Parâmetros!$B$4,Parâmetros!$B$5),IF(Parâmetros!$B$10&lt;0.5,Parâmetros!$B$5,Parâmetros!$B$4))</f>
        <v/>
      </c>
      <c r="J25" s="13">
        <f>IF(AND(E25="Pós-pagamento",F25="não",IF(I25=Parâmetros!$B$4,G25,H25)="sim"),"sim","não")</f>
        <v/>
      </c>
      <c r="K25" s="13">
        <f>IF(J25="sim",COUNTIFS($D$3:$D$32,D25,$J$3:$J$32,"sim",$A$3:$A$32,"&lt;="&amp;A25),"")</f>
        <v/>
      </c>
    </row>
    <row r="26">
      <c r="A26" s="10" t="n">
        <v>0.4764214824658619</v>
      </c>
      <c r="B26" s="8" t="n">
        <v>46317</v>
      </c>
      <c r="C26" s="13">
        <f>CHOOSE(WEEKDAY(B26,2),"segunda","terça","quarta","quinta","sexta","sábado","domingo")</f>
        <v/>
      </c>
      <c r="D26" s="13">
        <f>IF(WEEKDAY(B26,2)&lt;=4,"Dia útil (seg a qui)","Fim de semana (sex a dom)")</f>
        <v/>
      </c>
      <c r="E26" s="14">
        <f>IF(B26&lt;Parâmetros!$B$6+Parâmetros!$B$7,"Pós-pagamento","Pré-pagamento")</f>
        <v/>
      </c>
      <c r="F26" s="14">
        <f>IF(COUNTIF(Parâmetros!$B$16:$B$16,B26)&gt;0,"sim","não")</f>
        <v/>
      </c>
      <c r="G26" s="7" t="inlineStr">
        <is>
          <t>sim</t>
        </is>
      </c>
      <c r="H26" s="7" t="inlineStr">
        <is>
          <t>sim</t>
        </is>
      </c>
      <c r="I26" s="14">
        <f>IF(D26="Dia útil (seg a qui)",IF(Parâmetros!$B$10&lt;0.5,Parâmetros!$B$4,Parâmetros!$B$5),IF(Parâmetros!$B$10&lt;0.5,Parâmetros!$B$5,Parâmetros!$B$4))</f>
        <v/>
      </c>
      <c r="J26" s="13">
        <f>IF(AND(E26="Pós-pagamento",F26="não",IF(I26=Parâmetros!$B$4,G26,H26)="sim"),"sim","não")</f>
        <v/>
      </c>
      <c r="K26" s="13">
        <f>IF(J26="sim",COUNTIFS($D$3:$D$32,D26,$J$3:$J$32,"sim",$A$3:$A$32,"&lt;="&amp;A26),"")</f>
        <v/>
      </c>
    </row>
    <row r="27">
      <c r="A27" s="10" t="n">
        <v>0.5967551566674443</v>
      </c>
      <c r="B27" s="8" t="n">
        <v>46318</v>
      </c>
      <c r="C27" s="13">
        <f>CHOOSE(WEEKDAY(B27,2),"segunda","terça","quarta","quinta","sexta","sábado","domingo")</f>
        <v/>
      </c>
      <c r="D27" s="13">
        <f>IF(WEEKDAY(B27,2)&lt;=4,"Dia útil (seg a qui)","Fim de semana (sex a dom)")</f>
        <v/>
      </c>
      <c r="E27" s="14">
        <f>IF(B27&lt;Parâmetros!$B$6+Parâmetros!$B$7,"Pós-pagamento","Pré-pagamento")</f>
        <v/>
      </c>
      <c r="F27" s="14">
        <f>IF(COUNTIF(Parâmetros!$B$16:$B$16,B27)&gt;0,"sim","não")</f>
        <v/>
      </c>
      <c r="G27" s="7" t="inlineStr">
        <is>
          <t>sim</t>
        </is>
      </c>
      <c r="H27" s="7" t="inlineStr">
        <is>
          <t>sim</t>
        </is>
      </c>
      <c r="I27" s="14">
        <f>IF(D27="Dia útil (seg a qui)",IF(Parâmetros!$B$10&lt;0.5,Parâmetros!$B$4,Parâmetros!$B$5),IF(Parâmetros!$B$10&lt;0.5,Parâmetros!$B$5,Parâmetros!$B$4))</f>
        <v/>
      </c>
      <c r="J27" s="13">
        <f>IF(AND(E27="Pós-pagamento",F27="não",IF(I27=Parâmetros!$B$4,G27,H27)="sim"),"sim","não")</f>
        <v/>
      </c>
      <c r="K27" s="13">
        <f>IF(J27="sim",COUNTIFS($D$3:$D$32,D27,$J$3:$J$32,"sim",$A$3:$A$32,"&lt;="&amp;A27),"")</f>
        <v/>
      </c>
    </row>
    <row r="28">
      <c r="A28" s="10" t="n">
        <v>0.680109087596653</v>
      </c>
      <c r="B28" s="8" t="n">
        <v>46319</v>
      </c>
      <c r="C28" s="13">
        <f>CHOOSE(WEEKDAY(B28,2),"segunda","terça","quarta","quinta","sexta","sábado","domingo")</f>
        <v/>
      </c>
      <c r="D28" s="13">
        <f>IF(WEEKDAY(B28,2)&lt;=4,"Dia útil (seg a qui)","Fim de semana (sex a dom)")</f>
        <v/>
      </c>
      <c r="E28" s="14">
        <f>IF(B28&lt;Parâmetros!$B$6+Parâmetros!$B$7,"Pós-pagamento","Pré-pagamento")</f>
        <v/>
      </c>
      <c r="F28" s="14">
        <f>IF(COUNTIF(Parâmetros!$B$16:$B$16,B28)&gt;0,"sim","não")</f>
        <v/>
      </c>
      <c r="G28" s="7" t="inlineStr">
        <is>
          <t>sim</t>
        </is>
      </c>
      <c r="H28" s="7" t="inlineStr">
        <is>
          <t>sim</t>
        </is>
      </c>
      <c r="I28" s="14">
        <f>IF(D28="Dia útil (seg a qui)",IF(Parâmetros!$B$10&lt;0.5,Parâmetros!$B$4,Parâmetros!$B$5),IF(Parâmetros!$B$10&lt;0.5,Parâmetros!$B$5,Parâmetros!$B$4))</f>
        <v/>
      </c>
      <c r="J28" s="13">
        <f>IF(AND(E28="Pós-pagamento",F28="não",IF(I28=Parâmetros!$B$4,G28,H28)="sim"),"sim","não")</f>
        <v/>
      </c>
      <c r="K28" s="13">
        <f>IF(J28="sim",COUNTIFS($D$3:$D$32,D28,$J$3:$J$32,"sim",$A$3:$A$32,"&lt;="&amp;A28),"")</f>
        <v/>
      </c>
    </row>
    <row r="29">
      <c r="A29" s="10" t="n">
        <v>0.8961723425476926</v>
      </c>
      <c r="B29" s="8" t="n">
        <v>46320</v>
      </c>
      <c r="C29" s="13">
        <f>CHOOSE(WEEKDAY(B29,2),"segunda","terça","quarta","quinta","sexta","sábado","domingo")</f>
        <v/>
      </c>
      <c r="D29" s="13">
        <f>IF(WEEKDAY(B29,2)&lt;=4,"Dia útil (seg a qui)","Fim de semana (sex a dom)")</f>
        <v/>
      </c>
      <c r="E29" s="14">
        <f>IF(B29&lt;Parâmetros!$B$6+Parâmetros!$B$7,"Pós-pagamento","Pré-pagamento")</f>
        <v/>
      </c>
      <c r="F29" s="14">
        <f>IF(COUNTIF(Parâmetros!$B$16:$B$16,B29)&gt;0,"sim","não")</f>
        <v/>
      </c>
      <c r="G29" s="7" t="inlineStr">
        <is>
          <t>sim</t>
        </is>
      </c>
      <c r="H29" s="7" t="inlineStr">
        <is>
          <t>sim</t>
        </is>
      </c>
      <c r="I29" s="14">
        <f>IF(D29="Dia útil (seg a qui)",IF(Parâmetros!$B$10&lt;0.5,Parâmetros!$B$4,Parâmetros!$B$5),IF(Parâmetros!$B$10&lt;0.5,Parâmetros!$B$5,Parâmetros!$B$4))</f>
        <v/>
      </c>
      <c r="J29" s="13">
        <f>IF(AND(E29="Pós-pagamento",F29="não",IF(I29=Parâmetros!$B$4,G29,H29)="sim"),"sim","não")</f>
        <v/>
      </c>
      <c r="K29" s="13">
        <f>IF(J29="sim",COUNTIFS($D$3:$D$32,D29,$J$3:$J$32,"sim",$A$3:$A$32,"&lt;="&amp;A29),"")</f>
        <v/>
      </c>
    </row>
    <row r="30">
      <c r="A30" s="10" t="n">
        <v>0.4791427939382502</v>
      </c>
      <c r="B30" s="8" t="n">
        <v>46321</v>
      </c>
      <c r="C30" s="13">
        <f>CHOOSE(WEEKDAY(B30,2),"segunda","terça","quarta","quinta","sexta","sábado","domingo")</f>
        <v/>
      </c>
      <c r="D30" s="13">
        <f>IF(WEEKDAY(B30,2)&lt;=4,"Dia útil (seg a qui)","Fim de semana (sex a dom)")</f>
        <v/>
      </c>
      <c r="E30" s="14">
        <f>IF(B30&lt;Parâmetros!$B$6+Parâmetros!$B$7,"Pós-pagamento","Pré-pagamento")</f>
        <v/>
      </c>
      <c r="F30" s="14">
        <f>IF(COUNTIF(Parâmetros!$B$16:$B$16,B30)&gt;0,"sim","não")</f>
        <v/>
      </c>
      <c r="G30" s="7" t="inlineStr">
        <is>
          <t>sim</t>
        </is>
      </c>
      <c r="H30" s="7" t="inlineStr">
        <is>
          <t>sim</t>
        </is>
      </c>
      <c r="I30" s="14">
        <f>IF(D30="Dia útil (seg a qui)",IF(Parâmetros!$B$10&lt;0.5,Parâmetros!$B$4,Parâmetros!$B$5),IF(Parâmetros!$B$10&lt;0.5,Parâmetros!$B$5,Parâmetros!$B$4))</f>
        <v/>
      </c>
      <c r="J30" s="13">
        <f>IF(AND(E30="Pós-pagamento",F30="não",IF(I30=Parâmetros!$B$4,G30,H30)="sim"),"sim","não")</f>
        <v/>
      </c>
      <c r="K30" s="13">
        <f>IF(J30="sim",COUNTIFS($D$3:$D$32,D30,$J$3:$J$32,"sim",$A$3:$A$32,"&lt;="&amp;A30),"")</f>
        <v/>
      </c>
    </row>
    <row r="31">
      <c r="A31" s="10" t="n">
        <v>0.03045400872668069</v>
      </c>
      <c r="B31" s="8" t="n">
        <v>46322</v>
      </c>
      <c r="C31" s="13">
        <f>CHOOSE(WEEKDAY(B31,2),"segunda","terça","quarta","quinta","sexta","sábado","domingo")</f>
        <v/>
      </c>
      <c r="D31" s="13">
        <f>IF(WEEKDAY(B31,2)&lt;=4,"Dia útil (seg a qui)","Fim de semana (sex a dom)")</f>
        <v/>
      </c>
      <c r="E31" s="14">
        <f>IF(B31&lt;Parâmetros!$B$6+Parâmetros!$B$7,"Pós-pagamento","Pré-pagamento")</f>
        <v/>
      </c>
      <c r="F31" s="14">
        <f>IF(COUNTIF(Parâmetros!$B$16:$B$16,B31)&gt;0,"sim","não")</f>
        <v/>
      </c>
      <c r="G31" s="7" t="inlineStr">
        <is>
          <t>sim</t>
        </is>
      </c>
      <c r="H31" s="7" t="inlineStr">
        <is>
          <t>sim</t>
        </is>
      </c>
      <c r="I31" s="14">
        <f>IF(D31="Dia útil (seg a qui)",IF(Parâmetros!$B$10&lt;0.5,Parâmetros!$B$4,Parâmetros!$B$5),IF(Parâmetros!$B$10&lt;0.5,Parâmetros!$B$5,Parâmetros!$B$4))</f>
        <v/>
      </c>
      <c r="J31" s="13">
        <f>IF(AND(E31="Pós-pagamento",F31="não",IF(I31=Parâmetros!$B$4,G31,H31)="sim"),"sim","não")</f>
        <v/>
      </c>
      <c r="K31" s="13">
        <f>IF(J31="sim",COUNTIFS($D$3:$D$32,D31,$J$3:$J$32,"sim",$A$3:$A$32,"&lt;="&amp;A31),"")</f>
        <v/>
      </c>
    </row>
    <row r="32">
      <c r="A32" s="10" t="n">
        <v>0.07559415658448532</v>
      </c>
      <c r="B32" s="8" t="n">
        <v>46323</v>
      </c>
      <c r="C32" s="13">
        <f>CHOOSE(WEEKDAY(B32,2),"segunda","terça","quarta","quinta","sexta","sábado","domingo")</f>
        <v/>
      </c>
      <c r="D32" s="13">
        <f>IF(WEEKDAY(B32,2)&lt;=4,"Dia útil (seg a qui)","Fim de semana (sex a dom)")</f>
        <v/>
      </c>
      <c r="E32" s="14">
        <f>IF(B32&lt;Parâmetros!$B$6+Parâmetros!$B$7,"Pós-pagamento","Pré-pagamento")</f>
        <v/>
      </c>
      <c r="F32" s="14">
        <f>IF(COUNTIF(Parâmetros!$B$16:$B$16,B32)&gt;0,"sim","não")</f>
        <v/>
      </c>
      <c r="G32" s="7" t="inlineStr">
        <is>
          <t>sim</t>
        </is>
      </c>
      <c r="H32" s="7" t="inlineStr">
        <is>
          <t>sim</t>
        </is>
      </c>
      <c r="I32" s="14">
        <f>IF(D32="Dia útil (seg a qui)",IF(Parâmetros!$B$10&lt;0.5,Parâmetros!$B$4,Parâmetros!$B$5),IF(Parâmetros!$B$10&lt;0.5,Parâmetros!$B$5,Parâmetros!$B$4))</f>
        <v/>
      </c>
      <c r="J32" s="13">
        <f>IF(AND(E32="Pós-pagamento",F32="não",IF(I32=Parâmetros!$B$4,G32,H32)="sim"),"sim","não")</f>
        <v/>
      </c>
      <c r="K32" s="13">
        <f>IF(J32="sim",COUNTIFS($D$3:$D$32,D32,$J$3:$J$32,"sim",$A$3:$A$32,"&lt;="&amp;A32),"")</f>
        <v/>
      </c>
    </row>
  </sheetData>
  <dataValidations count="1">
    <dataValidation sqref="G3:H32" showDropDown="0" showInputMessage="0" showErrorMessage="0" allowBlank="0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22" customWidth="1" min="4" max="4"/>
    <col width="12" customWidth="1" min="5" max="5"/>
    <col width="13" customWidth="1" min="6" max="6"/>
    <col width="24" customWidth="1" min="7" max="7"/>
  </cols>
  <sheetData>
    <row r="1">
      <c r="A1" s="4" t="inlineStr">
        <is>
          <t>Resultado do sorteio: 2 visitas sorteadas e 2 de retorno</t>
        </is>
      </c>
    </row>
    <row r="2">
      <c r="A2" s="5" t="inlineStr">
        <is>
          <t>Visita</t>
        </is>
      </c>
      <c r="B2" s="5" t="inlineStr">
        <is>
          <t>Tipo de visita</t>
        </is>
      </c>
      <c r="C2" s="5" t="inlineStr">
        <is>
          <t>Quinzena</t>
        </is>
      </c>
      <c r="D2" s="5" t="inlineStr">
        <is>
          <t>Unidade</t>
        </is>
      </c>
      <c r="E2" s="5" t="inlineStr">
        <is>
          <t>Data</t>
        </is>
      </c>
      <c r="F2" s="5" t="inlineStr">
        <is>
          <t>Dia da semana</t>
        </is>
      </c>
      <c r="G2" s="5" t="inlineStr">
        <is>
          <t>Tipo de dia</t>
        </is>
      </c>
    </row>
    <row r="3">
      <c r="A3" s="15" t="n">
        <v>1</v>
      </c>
      <c r="B3" s="15" t="inlineStr">
        <is>
          <t>Sorteada</t>
        </is>
      </c>
      <c r="C3" s="15" t="inlineStr">
        <is>
          <t>Pós-pagamento</t>
        </is>
      </c>
      <c r="D3" s="14">
        <f>IF(Parâmetros!$B$10&lt;0.5,Parâmetros!$B$4,Parâmetros!$B$5)</f>
        <v/>
      </c>
      <c r="E3" s="16">
        <f>IFERROR(INDEX(Datas!$B$3:$B$32,MATCH(1,INDEX((Datas!$D$3:$D$32="Dia útil (seg a qui)")*(Datas!$K$3:$K$32=1),0),0)),"sem dia elegível")</f>
        <v/>
      </c>
      <c r="F3" s="13">
        <f>IFERROR(CHOOSE(WEEKDAY(E3,2),"segunda","terça","quarta","quinta","sexta","sábado","domingo"),"")</f>
        <v/>
      </c>
      <c r="G3" s="13">
        <f>IFERROR(IF(WEEKDAY(E3,2)&lt;=4,"Dia útil (seg a qui)","Fim de semana (sex a dom)"),"")</f>
        <v/>
      </c>
    </row>
    <row r="4">
      <c r="A4" s="15" t="n">
        <v>2</v>
      </c>
      <c r="B4" s="15" t="inlineStr">
        <is>
          <t>Sorteada</t>
        </is>
      </c>
      <c r="C4" s="15" t="inlineStr">
        <is>
          <t>Pós-pagamento</t>
        </is>
      </c>
      <c r="D4" s="14">
        <f>IF(Parâmetros!$B$10&lt;0.5,Parâmetros!$B$5,Parâmetros!$B$4)</f>
        <v/>
      </c>
      <c r="E4" s="16">
        <f>IFERROR(INDEX(Datas!$B$3:$B$32,MATCH(1,INDEX((Datas!$D$3:$D$32="Fim de semana (sex a dom)")*(Datas!$K$3:$K$32=1),0),0)),"sem dia elegível")</f>
        <v/>
      </c>
      <c r="F4" s="13">
        <f>IFERROR(CHOOSE(WEEKDAY(E4,2),"segunda","terça","quarta","quinta","sexta","sábado","domingo"),"")</f>
        <v/>
      </c>
      <c r="G4" s="13">
        <f>IFERROR(IF(WEEKDAY(E4,2)&lt;=4,"Dia útil (seg a qui)","Fim de semana (sex a dom)"),"")</f>
        <v/>
      </c>
    </row>
    <row r="5">
      <c r="A5" s="15" t="n">
        <v>3</v>
      </c>
      <c r="B5" s="15" t="inlineStr">
        <is>
          <t>Retorno da visita 1</t>
        </is>
      </c>
      <c r="C5" s="15" t="inlineStr">
        <is>
          <t>Pré-pagamento</t>
        </is>
      </c>
      <c r="D5" s="13">
        <f>D3</f>
        <v/>
      </c>
      <c r="E5" s="16">
        <f>IFERROR(INDEX(Datas!$B$3:$B$32,MATCH(1,INDEX((Datas!$B$3:$B$32&gt;=(E3+Parâmetros!$B$11))*(Datas!$F$3:$F$32="não")*((D5=Parâmetros!$B$4)*(Datas!$G$3:$G$32="sim")+(D5&lt;&gt;Parâmetros!$B$4)*(Datas!$H$3:$H$32="sim")),0),0)),"sem dia de retorno")</f>
        <v/>
      </c>
      <c r="F5" s="13">
        <f>IFERROR(CHOOSE(WEEKDAY(E5,2),"segunda","terça","quarta","quinta","sexta","sábado","domingo"),"")</f>
        <v/>
      </c>
      <c r="G5" s="13">
        <f>IFERROR(IF(WEEKDAY(E5,2)&lt;=4,"Dia útil (seg a qui)","Fim de semana (sex a dom)"),"")</f>
        <v/>
      </c>
    </row>
    <row r="6">
      <c r="A6" s="15" t="n">
        <v>4</v>
      </c>
      <c r="B6" s="15" t="inlineStr">
        <is>
          <t>Retorno da visita 2</t>
        </is>
      </c>
      <c r="C6" s="15" t="inlineStr">
        <is>
          <t>Pré-pagamento</t>
        </is>
      </c>
      <c r="D6" s="13">
        <f>D4</f>
        <v/>
      </c>
      <c r="E6" s="16">
        <f>IFERROR(INDEX(Datas!$B$3:$B$32,MATCH(1,INDEX((Datas!$B$3:$B$32&gt;=(E4+Parâmetros!$B$11))*(Datas!$F$3:$F$32="não")*((D6=Parâmetros!$B$4)*(Datas!$G$3:$G$32="sim")+(D6&lt;&gt;Parâmetros!$B$4)*(Datas!$H$3:$H$32="sim")),0),0)),"sem dia de retorno")</f>
        <v/>
      </c>
      <c r="F6" s="13">
        <f>IFERROR(CHOOSE(WEEKDAY(E6,2),"segunda","terça","quarta","quinta","sexta","sábado","domingo"),"")</f>
        <v/>
      </c>
      <c r="G6" s="13">
        <f>IFERROR(IF(WEEKDAY(E6,2)&lt;=4,"Dia útil (seg a qui)","Fim de semana (sex a dom)"),"")</f>
        <v/>
      </c>
    </row>
    <row r="8">
      <c r="A8" s="11" t="inlineStr">
        <is>
          <t>Conferência</t>
        </is>
      </c>
    </row>
    <row r="9">
      <c r="A9" s="17" t="inlineStr">
        <is>
          <t>Visitas por unidade (deve dar 2 e 2):</t>
        </is>
      </c>
      <c r="D9" s="17">
        <f>Parâmetros!$B$4&amp;": "&amp;COUNTIF($D$3:$D$6,Parâmetros!$B$4)&amp;" | "&amp;Parâmetros!$B$5&amp;": "&amp;COUNTIF($D$3:$D$6,Parâmetros!$B$5)</f>
        <v/>
      </c>
    </row>
    <row r="10">
      <c r="A10" s="17" t="inlineStr">
        <is>
          <t>Retornos dentro do período (até 28/10):</t>
        </is>
      </c>
      <c r="D10" s="17">
        <f>IF(AND(ISNUMBER(E5),ISNUMBER(E6),MAX(E5:E6)&lt;=Parâmetros!$B$8),"sim","não")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22" customWidth="1" min="4" max="4"/>
    <col width="12" customWidth="1" min="5" max="5"/>
    <col width="13" customWidth="1" min="6" max="6"/>
    <col width="24" customWidth="1" min="7" max="7"/>
    <col width="9" customWidth="1" min="8" max="8"/>
    <col width="9" customWidth="1" min="9" max="9"/>
    <col width="14" customWidth="1" min="10" max="10"/>
    <col width="14" customWidth="1" min="11" max="11"/>
    <col width="12" customWidth="1" min="12" max="12"/>
    <col width="40" customWidth="1" min="13" max="13"/>
  </cols>
  <sheetData>
    <row r="1">
      <c r="A1" s="4" t="inlineStr">
        <is>
          <t>Registro do sorteio e das visitas (colar o sorteio como valores)</t>
        </is>
      </c>
    </row>
    <row r="2">
      <c r="A2" s="11" t="inlineStr">
        <is>
          <t>Data do sorteio:</t>
        </is>
      </c>
      <c r="B2" s="18" t="n"/>
    </row>
    <row r="4">
      <c r="A4" s="5" t="inlineStr">
        <is>
          <t>Visita</t>
        </is>
      </c>
      <c r="B4" s="5" t="inlineStr">
        <is>
          <t>Tipo de visita</t>
        </is>
      </c>
      <c r="C4" s="5" t="inlineStr">
        <is>
          <t>Quinzena</t>
        </is>
      </c>
      <c r="D4" s="5" t="inlineStr">
        <is>
          <t>Unidade</t>
        </is>
      </c>
      <c r="E4" s="5" t="inlineStr">
        <is>
          <t>Data</t>
        </is>
      </c>
      <c r="F4" s="5" t="inlineStr">
        <is>
          <t>Dia da semana</t>
        </is>
      </c>
      <c r="G4" s="5" t="inlineStr">
        <is>
          <t>Tipo de dia</t>
        </is>
      </c>
      <c r="H4" s="5" t="inlineStr">
        <is>
          <t>Início</t>
        </is>
      </c>
      <c r="I4" s="5" t="inlineStr">
        <is>
          <t>Fim</t>
        </is>
      </c>
      <c r="J4" s="5" t="inlineStr">
        <is>
          <t>Nº NFC-e no início</t>
        </is>
      </c>
      <c r="K4" s="5" t="inlineStr">
        <is>
          <t>Nº NFC-e no fim</t>
        </is>
      </c>
      <c r="L4" s="5" t="inlineStr">
        <is>
          <t>Realizada? (sim/não)</t>
        </is>
      </c>
      <c r="M4" s="5" t="inlineStr">
        <is>
          <t>Observação</t>
        </is>
      </c>
    </row>
    <row r="5">
      <c r="A5" s="19" t="n"/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2026-09-19T00:13:21Z</dcterms:created>
  <dcterms:modified xsi:type="dcterms:W3CDTF">2026-09-19T00:13:21Z</dcterms:modified>
</cp:coreProperties>
</file>