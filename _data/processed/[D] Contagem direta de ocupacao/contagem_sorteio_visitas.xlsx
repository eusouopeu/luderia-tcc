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râmetros" sheetId="2" state="visible" r:id="rId2"/>
    <sheet name="Datas e turnos" sheetId="3" state="visible" r:id="rId3"/>
    <sheet name="Sorteio" sheetId="4" state="visible" r:id="rId4"/>
    <sheet name="Regist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Sorteio das visitas da contagem direta de ocupação (Bloco D)</t>
        </is>
      </c>
    </row>
    <row r="2">
      <c r="A2" s="2" t="inlineStr"/>
    </row>
    <row r="3">
      <c r="A3" s="3" t="inlineStr">
        <is>
          <t>Como usar</t>
        </is>
      </c>
    </row>
    <row r="4">
      <c r="A4" s="2" t="inlineStr">
        <is>
          <t>1. Na aba Parâmetros, preencha as células amarelas com o nome das duas unidades da São Jogue.</t>
        </is>
      </c>
    </row>
    <row r="5">
      <c r="A5" s="2" t="inlineStr">
        <is>
          <t>2. Na aba Datas e turnos, marque "não" na coluna amarela Unidade aberta? para os dias em que a São Jogue não abre. Faça isso ANTES de abrir a aba Sorteio: mudar a lista depois de ver o resultado invalida o sorteio.</t>
        </is>
      </c>
    </row>
    <row r="6">
      <c r="A6" s="2" t="inlineStr">
        <is>
          <t>3. A aba Sorteio mostra as 4 visitas. Se um dia sorteado for marcado como fechado, a fórmula passa para o próximo da ordem.</t>
        </is>
      </c>
    </row>
    <row r="7">
      <c r="A7" s="2" t="inlineStr">
        <is>
          <t>4. Registre o resultado final: copie a aba Sorteio e cole como valores na aba Registro, com a data do sorteio.</t>
        </is>
      </c>
    </row>
    <row r="8">
      <c r="A8" s="2" t="inlineStr"/>
    </row>
    <row r="9">
      <c r="A9" s="3" t="inlineStr">
        <is>
          <t>Regras do sorteio</t>
        </is>
      </c>
    </row>
    <row r="10">
      <c r="A10" s="2" t="inlineStr">
        <is>
          <t>• 4 visitas no total, 2 por unidade.</t>
        </is>
      </c>
    </row>
    <row r="11">
      <c r="A11" s="2" t="inlineStr">
        <is>
          <t>• Quinzena pós-pagamento: 29/09 a 13/10/2026. Quinzena pré-pagamento: 14/10 a 28/10/2026.</t>
        </is>
      </c>
    </row>
    <row r="12">
      <c r="A12" s="2" t="inlineStr">
        <is>
          <t>• Em cada quinzena: 1 visita em dia útil (segunda a quinta) e 1 no fim de semana (sexta a domingo). Feriados excluídos.</t>
        </is>
      </c>
    </row>
    <row r="13">
      <c r="A13" s="2" t="inlineStr">
        <is>
          <t>• Cada unidade fica com 1 visita em cada quinzena e 1 de cada tipo de dia.</t>
        </is>
      </c>
    </row>
    <row r="14">
      <c r="A14" s="2" t="inlineStr">
        <is>
          <t>• Visita de 3 horas em um de três turnos (12h00-15h00, 15h30-18h30, 19h00-22h00), com contagem a cada 30 minutos.</t>
        </is>
      </c>
    </row>
    <row r="15">
      <c r="A15" s="2" t="inlineStr">
        <is>
          <t>• Os números aleatórios foram gerados com semente fixa (20260916) pelo script _src/[D] Contagem direta de ocupacao/build_contagem_sorteio.py e não devem ser editados.</t>
        </is>
      </c>
    </row>
    <row r="16">
      <c r="A16" s="2" t="inlineStr"/>
    </row>
    <row r="17">
      <c r="A17" s="3" t="inlineStr">
        <is>
          <t>Legenda de cores</t>
        </is>
      </c>
    </row>
    <row r="18">
      <c r="A18" s="2" t="inlineStr">
        <is>
          <t>Fundo amarelo: célula para preencher. Texto azul: valor fixo (dado ou número sorteado). Texto preto: fórmula. Texto verde: fórmula que busca dado de outra aba.</t>
        </is>
      </c>
    </row>
    <row r="19">
      <c r="A19" s="2" t="inlineStr"/>
    </row>
    <row r="20">
      <c r="A20" s="2" t="inlineStr">
        <is>
          <t>Fonte das datas de pagamento: Governo da Bahia, Tabela de Pagamentos 2026 dos servidores estaduais (servidores.rhbahia.ba.gov.br/tabela-de-pagamentos-2026), consultada em 17/09/2026. Setembro: ativos 30/09, inativos e pensionistas 29/09. Outubro: ativos 30/10, inativos e pensionistas 29/10.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60" customWidth="1" min="3" max="3"/>
  </cols>
  <sheetData>
    <row r="1">
      <c r="A1" s="4" t="inlineStr">
        <is>
          <t>Parâmetros do sorteio</t>
        </is>
      </c>
    </row>
    <row r="3">
      <c r="A3" s="5" t="inlineStr">
        <is>
          <t>Parâmetro</t>
        </is>
      </c>
      <c r="B3" s="5" t="inlineStr">
        <is>
          <t>Valor</t>
        </is>
      </c>
      <c r="C3" s="5" t="inlineStr">
        <is>
          <t>Observação</t>
        </is>
      </c>
    </row>
    <row r="4">
      <c r="A4" s="6" t="inlineStr">
        <is>
          <t>Nome da unidade 1</t>
        </is>
      </c>
      <c r="B4" s="7" t="inlineStr">
        <is>
          <t>Unidade 1</t>
        </is>
      </c>
      <c r="C4" s="6" t="inlineStr">
        <is>
          <t>Preencher</t>
        </is>
      </c>
    </row>
    <row r="5">
      <c r="A5" s="6" t="inlineStr">
        <is>
          <t>Nome da unidade 2</t>
        </is>
      </c>
      <c r="B5" s="7" t="inlineStr">
        <is>
          <t>Unidade 2</t>
        </is>
      </c>
      <c r="C5" s="6" t="inlineStr">
        <is>
          <t>Preencher</t>
        </is>
      </c>
    </row>
    <row r="6">
      <c r="A6" s="6" t="inlineStr">
        <is>
          <t>1º dia de pagamento de setembro</t>
        </is>
      </c>
      <c r="B6" s="8" t="n">
        <v>46294</v>
      </c>
      <c r="C6" s="6" t="inlineStr">
        <is>
          <t>Inativos e pensionistas (ativos: 30/09)</t>
        </is>
      </c>
    </row>
    <row r="7">
      <c r="A7" s="6" t="inlineStr">
        <is>
          <t>Dias por quinzena</t>
        </is>
      </c>
      <c r="B7" s="9" t="n">
        <v>15</v>
      </c>
      <c r="C7" s="6" t="inlineStr">
        <is>
          <t>Quinzena pós-pagamento começa no dia do pagamento</t>
        </is>
      </c>
    </row>
    <row r="8">
      <c r="A8" s="6" t="inlineStr">
        <is>
          <t>Último dia da quinzena pré-pagamento</t>
        </is>
      </c>
      <c r="B8" s="8" t="n">
        <v>46323</v>
      </c>
      <c r="C8" s="6" t="inlineStr">
        <is>
          <t>Véspera do pagamento de outubro (29/10)</t>
        </is>
      </c>
    </row>
    <row r="9">
      <c r="A9" s="6" t="inlineStr">
        <is>
          <t>Semente dos números aleatórios</t>
        </is>
      </c>
      <c r="B9" s="9" t="n">
        <v>20260916</v>
      </c>
      <c r="C9" s="6" t="inlineStr">
        <is>
          <t>Mesma do registro prévio</t>
        </is>
      </c>
    </row>
    <row r="10">
      <c r="A10" s="6" t="inlineStr">
        <is>
          <t>Número sorteado para as unidades</t>
        </is>
      </c>
      <c r="B10" s="10" t="n">
        <v>0.6624941903573036</v>
      </c>
      <c r="C10" s="6" t="inlineStr">
        <is>
          <t>&lt; 0,5: unidade 1 fica com o dia útil pós-pagamento; ≥ 0,5: unidade 2</t>
        </is>
      </c>
    </row>
    <row r="13">
      <c r="A13" s="11" t="inlineStr">
        <is>
          <t>Turnos</t>
        </is>
      </c>
    </row>
    <row r="14">
      <c r="A14" s="5" t="inlineStr">
        <is>
          <t>Turno</t>
        </is>
      </c>
      <c r="B14" s="5" t="inlineStr">
        <is>
          <t>Horário</t>
        </is>
      </c>
      <c r="C14" s="5" t="inlineStr">
        <is>
          <t>Horários das 7 contagens</t>
        </is>
      </c>
    </row>
    <row r="15">
      <c r="A15" s="12" t="inlineStr">
        <is>
          <t>Turno 1</t>
        </is>
      </c>
      <c r="B15" s="13" t="inlineStr">
        <is>
          <t>12h00 às 15h00</t>
        </is>
      </c>
      <c r="C15" s="12" t="inlineStr">
        <is>
          <t>12h00, 12h30, 13h00, 13h30, 14h00, 14h30, 15h00</t>
        </is>
      </c>
    </row>
    <row r="16">
      <c r="A16" s="12" t="inlineStr">
        <is>
          <t>Turno 2</t>
        </is>
      </c>
      <c r="B16" s="13" t="inlineStr">
        <is>
          <t>15h30 às 18h30</t>
        </is>
      </c>
      <c r="C16" s="12" t="inlineStr">
        <is>
          <t>15h30, 16h00, 16h30, 17h00, 17h30, 18h00, 18h30</t>
        </is>
      </c>
    </row>
    <row r="17">
      <c r="A17" s="12" t="inlineStr">
        <is>
          <t>Turno 3</t>
        </is>
      </c>
      <c r="B17" s="13" t="inlineStr">
        <is>
          <t>19h00 às 22h00</t>
        </is>
      </c>
      <c r="C17" s="12" t="inlineStr">
        <is>
          <t>19h00, 19h30, 20h00, 20h30, 21h00, 21h30, 22h00</t>
        </is>
      </c>
    </row>
    <row r="20">
      <c r="A20" s="11" t="inlineStr">
        <is>
          <t>Feriados no período</t>
        </is>
      </c>
    </row>
    <row r="21">
      <c r="A21" s="5" t="inlineStr">
        <is>
          <t>Feriado</t>
        </is>
      </c>
      <c r="B21" s="5" t="inlineStr">
        <is>
          <t>Data</t>
        </is>
      </c>
    </row>
    <row r="22">
      <c r="A22" s="12" t="inlineStr">
        <is>
          <t>Nossa Senhora Aparecida (nacional)</t>
        </is>
      </c>
      <c r="B22" s="8" t="n">
        <v>46307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24" customWidth="1" min="4" max="4"/>
    <col width="16" customWidth="1" min="5" max="5"/>
    <col width="10" customWidth="1" min="6" max="6"/>
    <col width="16" customWidth="1" min="7" max="7"/>
    <col width="10" customWidth="1" min="8" max="8"/>
    <col width="12" customWidth="1" min="9" max="9"/>
    <col width="10" customWidth="1" min="10" max="10"/>
    <col width="40" customWidth="1" min="11" max="11"/>
    <col width="11" customWidth="1" min="12" max="12"/>
  </cols>
  <sheetData>
    <row r="1">
      <c r="A1" s="4" t="inlineStr">
        <is>
          <t>Todas as combinações de dia e turno do período</t>
        </is>
      </c>
    </row>
    <row r="2">
      <c r="A2" s="5" t="inlineStr">
        <is>
          <t>Número aleatório</t>
        </is>
      </c>
      <c r="B2" s="5" t="inlineStr">
        <is>
          <t>Data</t>
        </is>
      </c>
      <c r="C2" s="5" t="inlineStr">
        <is>
          <t>Dia da semana</t>
        </is>
      </c>
      <c r="D2" s="5" t="inlineStr">
        <is>
          <t>Tipo de dia</t>
        </is>
      </c>
      <c r="E2" s="5" t="inlineStr">
        <is>
          <t>Quinzena</t>
        </is>
      </c>
      <c r="F2" s="5" t="inlineStr">
        <is>
          <t>Turno</t>
        </is>
      </c>
      <c r="G2" s="5" t="inlineStr">
        <is>
          <t>Horário</t>
        </is>
      </c>
      <c r="H2" s="5" t="inlineStr">
        <is>
          <t>Feriado?</t>
        </is>
      </c>
      <c r="I2" s="5" t="inlineStr">
        <is>
          <t>Unidade aberta?</t>
        </is>
      </c>
      <c r="J2" s="5" t="inlineStr">
        <is>
          <t>Elegível?</t>
        </is>
      </c>
      <c r="K2" s="5" t="inlineStr">
        <is>
          <t>Estrato</t>
        </is>
      </c>
      <c r="L2" s="5" t="inlineStr">
        <is>
          <t>Ordem no estrato</t>
        </is>
      </c>
    </row>
    <row r="3">
      <c r="A3" s="10" t="n">
        <v>0.6825255929118569</v>
      </c>
      <c r="B3" s="8" t="n">
        <v>46294</v>
      </c>
      <c r="C3" s="14">
        <f>CHOOSE(WEEKDAY(B3,2),"segunda","terça","quarta","quinta","sexta","sábado","domingo")</f>
        <v/>
      </c>
      <c r="D3" s="14">
        <f>IF(WEEKDAY(B3,2)&lt;=4,"Dia útil (seg a qui)","Fim de semana (sex a dom)")</f>
        <v/>
      </c>
      <c r="E3" s="15">
        <f>IF(B3&lt;Parâmetros!$B$6+Parâmetros!$B$7,"Pós-pagamento","Pré-pagamento")</f>
        <v/>
      </c>
      <c r="F3" s="15">
        <f>Parâmetros!$A$15</f>
        <v/>
      </c>
      <c r="G3" s="15">
        <f>Parâmetros!$B$15</f>
        <v/>
      </c>
      <c r="H3" s="15">
        <f>IF(COUNTIF(Parâmetros!$B$22:$B$22,B3)&gt;0,"sim","não")</f>
        <v/>
      </c>
      <c r="I3" s="7" t="inlineStr">
        <is>
          <t>sim</t>
        </is>
      </c>
      <c r="J3" s="14">
        <f>IF(AND(H3="não",I3="sim"),"sim","não")</f>
        <v/>
      </c>
      <c r="K3" s="6">
        <f>E3&amp;" | "&amp;D3</f>
        <v/>
      </c>
      <c r="L3" s="14">
        <f>IF(J3="sim",COUNTIFS($K$3:$K$92,K3,$J$3:$J$92,"sim",$A$3:$A$92,"&lt;="&amp;A3),"")</f>
        <v/>
      </c>
    </row>
    <row r="4">
      <c r="A4" s="10" t="n">
        <v>0.9420456376610188</v>
      </c>
      <c r="B4" s="8" t="n">
        <v>46294</v>
      </c>
      <c r="C4" s="14">
        <f>CHOOSE(WEEKDAY(B4,2),"segunda","terça","quarta","quinta","sexta","sábado","domingo")</f>
        <v/>
      </c>
      <c r="D4" s="14">
        <f>IF(WEEKDAY(B4,2)&lt;=4,"Dia útil (seg a qui)","Fim de semana (sex a dom)")</f>
        <v/>
      </c>
      <c r="E4" s="15">
        <f>IF(B4&lt;Parâmetros!$B$6+Parâmetros!$B$7,"Pós-pagamento","Pré-pagamento")</f>
        <v/>
      </c>
      <c r="F4" s="15">
        <f>Parâmetros!$A$16</f>
        <v/>
      </c>
      <c r="G4" s="15">
        <f>Parâmetros!$B$16</f>
        <v/>
      </c>
      <c r="H4" s="15">
        <f>IF(COUNTIF(Parâmetros!$B$22:$B$22,B4)&gt;0,"sim","não")</f>
        <v/>
      </c>
      <c r="I4" s="7" t="inlineStr">
        <is>
          <t>sim</t>
        </is>
      </c>
      <c r="J4" s="14">
        <f>IF(AND(H4="não",I4="sim"),"sim","não")</f>
        <v/>
      </c>
      <c r="K4" s="6">
        <f>E4&amp;" | "&amp;D4</f>
        <v/>
      </c>
      <c r="L4" s="14">
        <f>IF(J4="sim",COUNTIFS($K$3:$K$92,K4,$J$3:$J$92,"sim",$A$3:$A$92,"&lt;="&amp;A4),"")</f>
        <v/>
      </c>
    </row>
    <row r="5">
      <c r="A5" s="10" t="n">
        <v>0.8701514202626593</v>
      </c>
      <c r="B5" s="8" t="n">
        <v>46294</v>
      </c>
      <c r="C5" s="14">
        <f>CHOOSE(WEEKDAY(B5,2),"segunda","terça","quarta","quinta","sexta","sábado","domingo")</f>
        <v/>
      </c>
      <c r="D5" s="14">
        <f>IF(WEEKDAY(B5,2)&lt;=4,"Dia útil (seg a qui)","Fim de semana (sex a dom)")</f>
        <v/>
      </c>
      <c r="E5" s="15">
        <f>IF(B5&lt;Parâmetros!$B$6+Parâmetros!$B$7,"Pós-pagamento","Pré-pagamento")</f>
        <v/>
      </c>
      <c r="F5" s="15">
        <f>Parâmetros!$A$17</f>
        <v/>
      </c>
      <c r="G5" s="15">
        <f>Parâmetros!$B$17</f>
        <v/>
      </c>
      <c r="H5" s="15">
        <f>IF(COUNTIF(Parâmetros!$B$22:$B$22,B5)&gt;0,"sim","não")</f>
        <v/>
      </c>
      <c r="I5" s="7" t="inlineStr">
        <is>
          <t>sim</t>
        </is>
      </c>
      <c r="J5" s="14">
        <f>IF(AND(H5="não",I5="sim"),"sim","não")</f>
        <v/>
      </c>
      <c r="K5" s="6">
        <f>E5&amp;" | "&amp;D5</f>
        <v/>
      </c>
      <c r="L5" s="14">
        <f>IF(J5="sim",COUNTIFS($K$3:$K$92,K5,$J$3:$J$92,"sim",$A$3:$A$92,"&lt;="&amp;A5),"")</f>
        <v/>
      </c>
    </row>
    <row r="6">
      <c r="A6" s="10" t="n">
        <v>0.1085408879036384</v>
      </c>
      <c r="B6" s="8" t="n">
        <v>46295</v>
      </c>
      <c r="C6" s="14">
        <f>CHOOSE(WEEKDAY(B6,2),"segunda","terça","quarta","quinta","sexta","sábado","domingo")</f>
        <v/>
      </c>
      <c r="D6" s="14">
        <f>IF(WEEKDAY(B6,2)&lt;=4,"Dia útil (seg a qui)","Fim de semana (sex a dom)")</f>
        <v/>
      </c>
      <c r="E6" s="15">
        <f>IF(B6&lt;Parâmetros!$B$6+Parâmetros!$B$7,"Pós-pagamento","Pré-pagamento")</f>
        <v/>
      </c>
      <c r="F6" s="15">
        <f>Parâmetros!$A$15</f>
        <v/>
      </c>
      <c r="G6" s="15">
        <f>Parâmetros!$B$15</f>
        <v/>
      </c>
      <c r="H6" s="15">
        <f>IF(COUNTIF(Parâmetros!$B$22:$B$22,B6)&gt;0,"sim","não")</f>
        <v/>
      </c>
      <c r="I6" s="7" t="inlineStr">
        <is>
          <t>sim</t>
        </is>
      </c>
      <c r="J6" s="14">
        <f>IF(AND(H6="não",I6="sim"),"sim","não")</f>
        <v/>
      </c>
      <c r="K6" s="6">
        <f>E6&amp;" | "&amp;D6</f>
        <v/>
      </c>
      <c r="L6" s="14">
        <f>IF(J6="sim",COUNTIFS($K$3:$K$92,K6,$J$3:$J$92,"sim",$A$3:$A$92,"&lt;="&amp;A6),"")</f>
        <v/>
      </c>
    </row>
    <row r="7">
      <c r="A7" s="10" t="n">
        <v>0.5044517982097884</v>
      </c>
      <c r="B7" s="8" t="n">
        <v>46295</v>
      </c>
      <c r="C7" s="14">
        <f>CHOOSE(WEEKDAY(B7,2),"segunda","terça","quarta","quinta","sexta","sábado","domingo")</f>
        <v/>
      </c>
      <c r="D7" s="14">
        <f>IF(WEEKDAY(B7,2)&lt;=4,"Dia útil (seg a qui)","Fim de semana (sex a dom)")</f>
        <v/>
      </c>
      <c r="E7" s="15">
        <f>IF(B7&lt;Parâmetros!$B$6+Parâmetros!$B$7,"Pós-pagamento","Pré-pagamento")</f>
        <v/>
      </c>
      <c r="F7" s="15">
        <f>Parâmetros!$A$16</f>
        <v/>
      </c>
      <c r="G7" s="15">
        <f>Parâmetros!$B$16</f>
        <v/>
      </c>
      <c r="H7" s="15">
        <f>IF(COUNTIF(Parâmetros!$B$22:$B$22,B7)&gt;0,"sim","não")</f>
        <v/>
      </c>
      <c r="I7" s="7" t="inlineStr">
        <is>
          <t>sim</t>
        </is>
      </c>
      <c r="J7" s="14">
        <f>IF(AND(H7="não",I7="sim"),"sim","não")</f>
        <v/>
      </c>
      <c r="K7" s="6">
        <f>E7&amp;" | "&amp;D7</f>
        <v/>
      </c>
      <c r="L7" s="14">
        <f>IF(J7="sim",COUNTIFS($K$3:$K$92,K7,$J$3:$J$92,"sim",$A$3:$A$92,"&lt;="&amp;A7),"")</f>
        <v/>
      </c>
    </row>
    <row r="8">
      <c r="A8" s="10" t="n">
        <v>0.8663027492310936</v>
      </c>
      <c r="B8" s="8" t="n">
        <v>46295</v>
      </c>
      <c r="C8" s="14">
        <f>CHOOSE(WEEKDAY(B8,2),"segunda","terça","quarta","quinta","sexta","sábado","domingo")</f>
        <v/>
      </c>
      <c r="D8" s="14">
        <f>IF(WEEKDAY(B8,2)&lt;=4,"Dia útil (seg a qui)","Fim de semana (sex a dom)")</f>
        <v/>
      </c>
      <c r="E8" s="15">
        <f>IF(B8&lt;Parâmetros!$B$6+Parâmetros!$B$7,"Pós-pagamento","Pré-pagamento")</f>
        <v/>
      </c>
      <c r="F8" s="15">
        <f>Parâmetros!$A$17</f>
        <v/>
      </c>
      <c r="G8" s="15">
        <f>Parâmetros!$B$17</f>
        <v/>
      </c>
      <c r="H8" s="15">
        <f>IF(COUNTIF(Parâmetros!$B$22:$B$22,B8)&gt;0,"sim","não")</f>
        <v/>
      </c>
      <c r="I8" s="7" t="inlineStr">
        <is>
          <t>sim</t>
        </is>
      </c>
      <c r="J8" s="14">
        <f>IF(AND(H8="não",I8="sim"),"sim","não")</f>
        <v/>
      </c>
      <c r="K8" s="6">
        <f>E8&amp;" | "&amp;D8</f>
        <v/>
      </c>
      <c r="L8" s="14">
        <f>IF(J8="sim",COUNTIFS($K$3:$K$92,K8,$J$3:$J$92,"sim",$A$3:$A$92,"&lt;="&amp;A8),"")</f>
        <v/>
      </c>
    </row>
    <row r="9">
      <c r="A9" s="10" t="n">
        <v>0.5899372207964796</v>
      </c>
      <c r="B9" s="8" t="n">
        <v>46296</v>
      </c>
      <c r="C9" s="14">
        <f>CHOOSE(WEEKDAY(B9,2),"segunda","terça","quarta","quinta","sexta","sábado","domingo")</f>
        <v/>
      </c>
      <c r="D9" s="14">
        <f>IF(WEEKDAY(B9,2)&lt;=4,"Dia útil (seg a qui)","Fim de semana (sex a dom)")</f>
        <v/>
      </c>
      <c r="E9" s="15">
        <f>IF(B9&lt;Parâmetros!$B$6+Parâmetros!$B$7,"Pós-pagamento","Pré-pagamento")</f>
        <v/>
      </c>
      <c r="F9" s="15">
        <f>Parâmetros!$A$15</f>
        <v/>
      </c>
      <c r="G9" s="15">
        <f>Parâmetros!$B$15</f>
        <v/>
      </c>
      <c r="H9" s="15">
        <f>IF(COUNTIF(Parâmetros!$B$22:$B$22,B9)&gt;0,"sim","não")</f>
        <v/>
      </c>
      <c r="I9" s="7" t="inlineStr">
        <is>
          <t>sim</t>
        </is>
      </c>
      <c r="J9" s="14">
        <f>IF(AND(H9="não",I9="sim"),"sim","não")</f>
        <v/>
      </c>
      <c r="K9" s="6">
        <f>E9&amp;" | "&amp;D9</f>
        <v/>
      </c>
      <c r="L9" s="14">
        <f>IF(J9="sim",COUNTIFS($K$3:$K$92,K9,$J$3:$J$92,"sim",$A$3:$A$92,"&lt;="&amp;A9),"")</f>
        <v/>
      </c>
    </row>
    <row r="10">
      <c r="A10" s="10" t="n">
        <v>0.6618768317480069</v>
      </c>
      <c r="B10" s="8" t="n">
        <v>46296</v>
      </c>
      <c r="C10" s="14">
        <f>CHOOSE(WEEKDAY(B10,2),"segunda","terça","quarta","quinta","sexta","sábado","domingo")</f>
        <v/>
      </c>
      <c r="D10" s="14">
        <f>IF(WEEKDAY(B10,2)&lt;=4,"Dia útil (seg a qui)","Fim de semana (sex a dom)")</f>
        <v/>
      </c>
      <c r="E10" s="15">
        <f>IF(B10&lt;Parâmetros!$B$6+Parâmetros!$B$7,"Pós-pagamento","Pré-pagamento")</f>
        <v/>
      </c>
      <c r="F10" s="15">
        <f>Parâmetros!$A$16</f>
        <v/>
      </c>
      <c r="G10" s="15">
        <f>Parâmetros!$B$16</f>
        <v/>
      </c>
      <c r="H10" s="15">
        <f>IF(COUNTIF(Parâmetros!$B$22:$B$22,B10)&gt;0,"sim","não")</f>
        <v/>
      </c>
      <c r="I10" s="7" t="inlineStr">
        <is>
          <t>sim</t>
        </is>
      </c>
      <c r="J10" s="14">
        <f>IF(AND(H10="não",I10="sim"),"sim","não")</f>
        <v/>
      </c>
      <c r="K10" s="6">
        <f>E10&amp;" | "&amp;D10</f>
        <v/>
      </c>
      <c r="L10" s="14">
        <f>IF(J10="sim",COUNTIFS($K$3:$K$92,K10,$J$3:$J$92,"sim",$A$3:$A$92,"&lt;="&amp;A10),"")</f>
        <v/>
      </c>
    </row>
    <row r="11">
      <c r="A11" s="10" t="n">
        <v>0.6030938513646101</v>
      </c>
      <c r="B11" s="8" t="n">
        <v>46296</v>
      </c>
      <c r="C11" s="14">
        <f>CHOOSE(WEEKDAY(B11,2),"segunda","terça","quarta","quinta","sexta","sábado","domingo")</f>
        <v/>
      </c>
      <c r="D11" s="14">
        <f>IF(WEEKDAY(B11,2)&lt;=4,"Dia útil (seg a qui)","Fim de semana (sex a dom)")</f>
        <v/>
      </c>
      <c r="E11" s="15">
        <f>IF(B11&lt;Parâmetros!$B$6+Parâmetros!$B$7,"Pós-pagamento","Pré-pagamento")</f>
        <v/>
      </c>
      <c r="F11" s="15">
        <f>Parâmetros!$A$17</f>
        <v/>
      </c>
      <c r="G11" s="15">
        <f>Parâmetros!$B$17</f>
        <v/>
      </c>
      <c r="H11" s="15">
        <f>IF(COUNTIF(Parâmetros!$B$22:$B$22,B11)&gt;0,"sim","não")</f>
        <v/>
      </c>
      <c r="I11" s="7" t="inlineStr">
        <is>
          <t>sim</t>
        </is>
      </c>
      <c r="J11" s="14">
        <f>IF(AND(H11="não",I11="sim"),"sim","não")</f>
        <v/>
      </c>
      <c r="K11" s="6">
        <f>E11&amp;" | "&amp;D11</f>
        <v/>
      </c>
      <c r="L11" s="14">
        <f>IF(J11="sim",COUNTIFS($K$3:$K$92,K11,$J$3:$J$92,"sim",$A$3:$A$92,"&lt;="&amp;A11),"")</f>
        <v/>
      </c>
    </row>
    <row r="12">
      <c r="A12" s="10" t="n">
        <v>0.7351310965538348</v>
      </c>
      <c r="B12" s="8" t="n">
        <v>46297</v>
      </c>
      <c r="C12" s="14">
        <f>CHOOSE(WEEKDAY(B12,2),"segunda","terça","quarta","quinta","sexta","sábado","domingo")</f>
        <v/>
      </c>
      <c r="D12" s="14">
        <f>IF(WEEKDAY(B12,2)&lt;=4,"Dia útil (seg a qui)","Fim de semana (sex a dom)")</f>
        <v/>
      </c>
      <c r="E12" s="15">
        <f>IF(B12&lt;Parâmetros!$B$6+Parâmetros!$B$7,"Pós-pagamento","Pré-pagamento")</f>
        <v/>
      </c>
      <c r="F12" s="15">
        <f>Parâmetros!$A$15</f>
        <v/>
      </c>
      <c r="G12" s="15">
        <f>Parâmetros!$B$15</f>
        <v/>
      </c>
      <c r="H12" s="15">
        <f>IF(COUNTIF(Parâmetros!$B$22:$B$22,B12)&gt;0,"sim","não")</f>
        <v/>
      </c>
      <c r="I12" s="7" t="inlineStr">
        <is>
          <t>sim</t>
        </is>
      </c>
      <c r="J12" s="14">
        <f>IF(AND(H12="não",I12="sim"),"sim","não")</f>
        <v/>
      </c>
      <c r="K12" s="6">
        <f>E12&amp;" | "&amp;D12</f>
        <v/>
      </c>
      <c r="L12" s="14">
        <f>IF(J12="sim",COUNTIFS($K$3:$K$92,K12,$J$3:$J$92,"sim",$A$3:$A$92,"&lt;="&amp;A12),"")</f>
        <v/>
      </c>
    </row>
    <row r="13">
      <c r="A13" s="10" t="n">
        <v>0.6125826800980299</v>
      </c>
      <c r="B13" s="8" t="n">
        <v>46297</v>
      </c>
      <c r="C13" s="14">
        <f>CHOOSE(WEEKDAY(B13,2),"segunda","terça","quarta","quinta","sexta","sábado","domingo")</f>
        <v/>
      </c>
      <c r="D13" s="14">
        <f>IF(WEEKDAY(B13,2)&lt;=4,"Dia útil (seg a qui)","Fim de semana (sex a dom)")</f>
        <v/>
      </c>
      <c r="E13" s="15">
        <f>IF(B13&lt;Parâmetros!$B$6+Parâmetros!$B$7,"Pós-pagamento","Pré-pagamento")</f>
        <v/>
      </c>
      <c r="F13" s="15">
        <f>Parâmetros!$A$16</f>
        <v/>
      </c>
      <c r="G13" s="15">
        <f>Parâmetros!$B$16</f>
        <v/>
      </c>
      <c r="H13" s="15">
        <f>IF(COUNTIF(Parâmetros!$B$22:$B$22,B13)&gt;0,"sim","não")</f>
        <v/>
      </c>
      <c r="I13" s="7" t="inlineStr">
        <is>
          <t>sim</t>
        </is>
      </c>
      <c r="J13" s="14">
        <f>IF(AND(H13="não",I13="sim"),"sim","não")</f>
        <v/>
      </c>
      <c r="K13" s="6">
        <f>E13&amp;" | "&amp;D13</f>
        <v/>
      </c>
      <c r="L13" s="14">
        <f>IF(J13="sim",COUNTIFS($K$3:$K$92,K13,$J$3:$J$92,"sim",$A$3:$A$92,"&lt;="&amp;A13),"")</f>
        <v/>
      </c>
    </row>
    <row r="14">
      <c r="A14" s="10" t="n">
        <v>0.2430836278838648</v>
      </c>
      <c r="B14" s="8" t="n">
        <v>46297</v>
      </c>
      <c r="C14" s="14">
        <f>CHOOSE(WEEKDAY(B14,2),"segunda","terça","quarta","quinta","sexta","sábado","domingo")</f>
        <v/>
      </c>
      <c r="D14" s="14">
        <f>IF(WEEKDAY(B14,2)&lt;=4,"Dia útil (seg a qui)","Fim de semana (sex a dom)")</f>
        <v/>
      </c>
      <c r="E14" s="15">
        <f>IF(B14&lt;Parâmetros!$B$6+Parâmetros!$B$7,"Pós-pagamento","Pré-pagamento")</f>
        <v/>
      </c>
      <c r="F14" s="15">
        <f>Parâmetros!$A$17</f>
        <v/>
      </c>
      <c r="G14" s="15">
        <f>Parâmetros!$B$17</f>
        <v/>
      </c>
      <c r="H14" s="15">
        <f>IF(COUNTIF(Parâmetros!$B$22:$B$22,B14)&gt;0,"sim","não")</f>
        <v/>
      </c>
      <c r="I14" s="7" t="inlineStr">
        <is>
          <t>sim</t>
        </is>
      </c>
      <c r="J14" s="14">
        <f>IF(AND(H14="não",I14="sim"),"sim","não")</f>
        <v/>
      </c>
      <c r="K14" s="6">
        <f>E14&amp;" | "&amp;D14</f>
        <v/>
      </c>
      <c r="L14" s="14">
        <f>IF(J14="sim",COUNTIFS($K$3:$K$92,K14,$J$3:$J$92,"sim",$A$3:$A$92,"&lt;="&amp;A14),"")</f>
        <v/>
      </c>
    </row>
    <row r="15">
      <c r="A15" s="10" t="n">
        <v>0.1730766924901449</v>
      </c>
      <c r="B15" s="8" t="n">
        <v>46298</v>
      </c>
      <c r="C15" s="14">
        <f>CHOOSE(WEEKDAY(B15,2),"segunda","terça","quarta","quinta","sexta","sábado","domingo")</f>
        <v/>
      </c>
      <c r="D15" s="14">
        <f>IF(WEEKDAY(B15,2)&lt;=4,"Dia útil (seg a qui)","Fim de semana (sex a dom)")</f>
        <v/>
      </c>
      <c r="E15" s="15">
        <f>IF(B15&lt;Parâmetros!$B$6+Parâmetros!$B$7,"Pós-pagamento","Pré-pagamento")</f>
        <v/>
      </c>
      <c r="F15" s="15">
        <f>Parâmetros!$A$15</f>
        <v/>
      </c>
      <c r="G15" s="15">
        <f>Parâmetros!$B$15</f>
        <v/>
      </c>
      <c r="H15" s="15">
        <f>IF(COUNTIF(Parâmetros!$B$22:$B$22,B15)&gt;0,"sim","não")</f>
        <v/>
      </c>
      <c r="I15" s="7" t="inlineStr">
        <is>
          <t>sim</t>
        </is>
      </c>
      <c r="J15" s="14">
        <f>IF(AND(H15="não",I15="sim"),"sim","não")</f>
        <v/>
      </c>
      <c r="K15" s="6">
        <f>E15&amp;" | "&amp;D15</f>
        <v/>
      </c>
      <c r="L15" s="14">
        <f>IF(J15="sim",COUNTIFS($K$3:$K$92,K15,$J$3:$J$92,"sim",$A$3:$A$92,"&lt;="&amp;A15),"")</f>
        <v/>
      </c>
    </row>
    <row r="16">
      <c r="A16" s="10" t="n">
        <v>0.2688377912382225</v>
      </c>
      <c r="B16" s="8" t="n">
        <v>46298</v>
      </c>
      <c r="C16" s="14">
        <f>CHOOSE(WEEKDAY(B16,2),"segunda","terça","quarta","quinta","sexta","sábado","domingo")</f>
        <v/>
      </c>
      <c r="D16" s="14">
        <f>IF(WEEKDAY(B16,2)&lt;=4,"Dia útil (seg a qui)","Fim de semana (sex a dom)")</f>
        <v/>
      </c>
      <c r="E16" s="15">
        <f>IF(B16&lt;Parâmetros!$B$6+Parâmetros!$B$7,"Pós-pagamento","Pré-pagamento")</f>
        <v/>
      </c>
      <c r="F16" s="15">
        <f>Parâmetros!$A$16</f>
        <v/>
      </c>
      <c r="G16" s="15">
        <f>Parâmetros!$B$16</f>
        <v/>
      </c>
      <c r="H16" s="15">
        <f>IF(COUNTIF(Parâmetros!$B$22:$B$22,B16)&gt;0,"sim","não")</f>
        <v/>
      </c>
      <c r="I16" s="7" t="inlineStr">
        <is>
          <t>sim</t>
        </is>
      </c>
      <c r="J16" s="14">
        <f>IF(AND(H16="não",I16="sim"),"sim","não")</f>
        <v/>
      </c>
      <c r="K16" s="6">
        <f>E16&amp;" | "&amp;D16</f>
        <v/>
      </c>
      <c r="L16" s="14">
        <f>IF(J16="sim",COUNTIFS($K$3:$K$92,K16,$J$3:$J$92,"sim",$A$3:$A$92,"&lt;="&amp;A16),"")</f>
        <v/>
      </c>
    </row>
    <row r="17">
      <c r="A17" s="10" t="n">
        <v>0.6384763378898026</v>
      </c>
      <c r="B17" s="8" t="n">
        <v>46298</v>
      </c>
      <c r="C17" s="14">
        <f>CHOOSE(WEEKDAY(B17,2),"segunda","terça","quarta","quinta","sexta","sábado","domingo")</f>
        <v/>
      </c>
      <c r="D17" s="14">
        <f>IF(WEEKDAY(B17,2)&lt;=4,"Dia útil (seg a qui)","Fim de semana (sex a dom)")</f>
        <v/>
      </c>
      <c r="E17" s="15">
        <f>IF(B17&lt;Parâmetros!$B$6+Parâmetros!$B$7,"Pós-pagamento","Pré-pagamento")</f>
        <v/>
      </c>
      <c r="F17" s="15">
        <f>Parâmetros!$A$17</f>
        <v/>
      </c>
      <c r="G17" s="15">
        <f>Parâmetros!$B$17</f>
        <v/>
      </c>
      <c r="H17" s="15">
        <f>IF(COUNTIF(Parâmetros!$B$22:$B$22,B17)&gt;0,"sim","não")</f>
        <v/>
      </c>
      <c r="I17" s="7" t="inlineStr">
        <is>
          <t>sim</t>
        </is>
      </c>
      <c r="J17" s="14">
        <f>IF(AND(H17="não",I17="sim"),"sim","não")</f>
        <v/>
      </c>
      <c r="K17" s="6">
        <f>E17&amp;" | "&amp;D17</f>
        <v/>
      </c>
      <c r="L17" s="14">
        <f>IF(J17="sim",COUNTIFS($K$3:$K$92,K17,$J$3:$J$92,"sim",$A$3:$A$92,"&lt;="&amp;A17),"")</f>
        <v/>
      </c>
    </row>
    <row r="18">
      <c r="A18" s="10" t="n">
        <v>0.7979611189056641</v>
      </c>
      <c r="B18" s="8" t="n">
        <v>46299</v>
      </c>
      <c r="C18" s="14">
        <f>CHOOSE(WEEKDAY(B18,2),"segunda","terça","quarta","quinta","sexta","sábado","domingo")</f>
        <v/>
      </c>
      <c r="D18" s="14">
        <f>IF(WEEKDAY(B18,2)&lt;=4,"Dia útil (seg a qui)","Fim de semana (sex a dom)")</f>
        <v/>
      </c>
      <c r="E18" s="15">
        <f>IF(B18&lt;Parâmetros!$B$6+Parâmetros!$B$7,"Pós-pagamento","Pré-pagamento")</f>
        <v/>
      </c>
      <c r="F18" s="15">
        <f>Parâmetros!$A$15</f>
        <v/>
      </c>
      <c r="G18" s="15">
        <f>Parâmetros!$B$15</f>
        <v/>
      </c>
      <c r="H18" s="15">
        <f>IF(COUNTIF(Parâmetros!$B$22:$B$22,B18)&gt;0,"sim","não")</f>
        <v/>
      </c>
      <c r="I18" s="7" t="inlineStr">
        <is>
          <t>sim</t>
        </is>
      </c>
      <c r="J18" s="14">
        <f>IF(AND(H18="não",I18="sim"),"sim","não")</f>
        <v/>
      </c>
      <c r="K18" s="6">
        <f>E18&amp;" | "&amp;D18</f>
        <v/>
      </c>
      <c r="L18" s="14">
        <f>IF(J18="sim",COUNTIFS($K$3:$K$92,K18,$J$3:$J$92,"sim",$A$3:$A$92,"&lt;="&amp;A18),"")</f>
        <v/>
      </c>
    </row>
    <row r="19">
      <c r="A19" s="10" t="n">
        <v>0.6368536235161361</v>
      </c>
      <c r="B19" s="8" t="n">
        <v>46299</v>
      </c>
      <c r="C19" s="14">
        <f>CHOOSE(WEEKDAY(B19,2),"segunda","terça","quarta","quinta","sexta","sábado","domingo")</f>
        <v/>
      </c>
      <c r="D19" s="14">
        <f>IF(WEEKDAY(B19,2)&lt;=4,"Dia útil (seg a qui)","Fim de semana (sex a dom)")</f>
        <v/>
      </c>
      <c r="E19" s="15">
        <f>IF(B19&lt;Parâmetros!$B$6+Parâmetros!$B$7,"Pós-pagamento","Pré-pagamento")</f>
        <v/>
      </c>
      <c r="F19" s="15">
        <f>Parâmetros!$A$16</f>
        <v/>
      </c>
      <c r="G19" s="15">
        <f>Parâmetros!$B$16</f>
        <v/>
      </c>
      <c r="H19" s="15">
        <f>IF(COUNTIF(Parâmetros!$B$22:$B$22,B19)&gt;0,"sim","não")</f>
        <v/>
      </c>
      <c r="I19" s="7" t="inlineStr">
        <is>
          <t>sim</t>
        </is>
      </c>
      <c r="J19" s="14">
        <f>IF(AND(H19="não",I19="sim"),"sim","não")</f>
        <v/>
      </c>
      <c r="K19" s="6">
        <f>E19&amp;" | "&amp;D19</f>
        <v/>
      </c>
      <c r="L19" s="14">
        <f>IF(J19="sim",COUNTIFS($K$3:$K$92,K19,$J$3:$J$92,"sim",$A$3:$A$92,"&lt;="&amp;A19),"")</f>
        <v/>
      </c>
    </row>
    <row r="20">
      <c r="A20" s="10" t="n">
        <v>0.5305828736421826</v>
      </c>
      <c r="B20" s="8" t="n">
        <v>46299</v>
      </c>
      <c r="C20" s="14">
        <f>CHOOSE(WEEKDAY(B20,2),"segunda","terça","quarta","quinta","sexta","sábado","domingo")</f>
        <v/>
      </c>
      <c r="D20" s="14">
        <f>IF(WEEKDAY(B20,2)&lt;=4,"Dia útil (seg a qui)","Fim de semana (sex a dom)")</f>
        <v/>
      </c>
      <c r="E20" s="15">
        <f>IF(B20&lt;Parâmetros!$B$6+Parâmetros!$B$7,"Pós-pagamento","Pré-pagamento")</f>
        <v/>
      </c>
      <c r="F20" s="15">
        <f>Parâmetros!$A$17</f>
        <v/>
      </c>
      <c r="G20" s="15">
        <f>Parâmetros!$B$17</f>
        <v/>
      </c>
      <c r="H20" s="15">
        <f>IF(COUNTIF(Parâmetros!$B$22:$B$22,B20)&gt;0,"sim","não")</f>
        <v/>
      </c>
      <c r="I20" s="7" t="inlineStr">
        <is>
          <t>sim</t>
        </is>
      </c>
      <c r="J20" s="14">
        <f>IF(AND(H20="não",I20="sim"),"sim","não")</f>
        <v/>
      </c>
      <c r="K20" s="6">
        <f>E20&amp;" | "&amp;D20</f>
        <v/>
      </c>
      <c r="L20" s="14">
        <f>IF(J20="sim",COUNTIFS($K$3:$K$92,K20,$J$3:$J$92,"sim",$A$3:$A$92,"&lt;="&amp;A20),"")</f>
        <v/>
      </c>
    </row>
    <row r="21">
      <c r="A21" s="10" t="n">
        <v>0.405083223577504</v>
      </c>
      <c r="B21" s="8" t="n">
        <v>46300</v>
      </c>
      <c r="C21" s="14">
        <f>CHOOSE(WEEKDAY(B21,2),"segunda","terça","quarta","quinta","sexta","sábado","domingo")</f>
        <v/>
      </c>
      <c r="D21" s="14">
        <f>IF(WEEKDAY(B21,2)&lt;=4,"Dia útil (seg a qui)","Fim de semana (sex a dom)")</f>
        <v/>
      </c>
      <c r="E21" s="15">
        <f>IF(B21&lt;Parâmetros!$B$6+Parâmetros!$B$7,"Pós-pagamento","Pré-pagamento")</f>
        <v/>
      </c>
      <c r="F21" s="15">
        <f>Parâmetros!$A$15</f>
        <v/>
      </c>
      <c r="G21" s="15">
        <f>Parâmetros!$B$15</f>
        <v/>
      </c>
      <c r="H21" s="15">
        <f>IF(COUNTIF(Parâmetros!$B$22:$B$22,B21)&gt;0,"sim","não")</f>
        <v/>
      </c>
      <c r="I21" s="7" t="inlineStr">
        <is>
          <t>sim</t>
        </is>
      </c>
      <c r="J21" s="14">
        <f>IF(AND(H21="não",I21="sim"),"sim","não")</f>
        <v/>
      </c>
      <c r="K21" s="6">
        <f>E21&amp;" | "&amp;D21</f>
        <v/>
      </c>
      <c r="L21" s="14">
        <f>IF(J21="sim",COUNTIFS($K$3:$K$92,K21,$J$3:$J$92,"sim",$A$3:$A$92,"&lt;="&amp;A21),"")</f>
        <v/>
      </c>
    </row>
    <row r="22">
      <c r="A22" s="10" t="n">
        <v>0.1278970371792419</v>
      </c>
      <c r="B22" s="8" t="n">
        <v>46300</v>
      </c>
      <c r="C22" s="14">
        <f>CHOOSE(WEEKDAY(B22,2),"segunda","terça","quarta","quinta","sexta","sábado","domingo")</f>
        <v/>
      </c>
      <c r="D22" s="14">
        <f>IF(WEEKDAY(B22,2)&lt;=4,"Dia útil (seg a qui)","Fim de semana (sex a dom)")</f>
        <v/>
      </c>
      <c r="E22" s="15">
        <f>IF(B22&lt;Parâmetros!$B$6+Parâmetros!$B$7,"Pós-pagamento","Pré-pagamento")</f>
        <v/>
      </c>
      <c r="F22" s="15">
        <f>Parâmetros!$A$16</f>
        <v/>
      </c>
      <c r="G22" s="15">
        <f>Parâmetros!$B$16</f>
        <v/>
      </c>
      <c r="H22" s="15">
        <f>IF(COUNTIF(Parâmetros!$B$22:$B$22,B22)&gt;0,"sim","não")</f>
        <v/>
      </c>
      <c r="I22" s="7" t="inlineStr">
        <is>
          <t>sim</t>
        </is>
      </c>
      <c r="J22" s="14">
        <f>IF(AND(H22="não",I22="sim"),"sim","não")</f>
        <v/>
      </c>
      <c r="K22" s="6">
        <f>E22&amp;" | "&amp;D22</f>
        <v/>
      </c>
      <c r="L22" s="14">
        <f>IF(J22="sim",COUNTIFS($K$3:$K$92,K22,$J$3:$J$92,"sim",$A$3:$A$92,"&lt;="&amp;A22),"")</f>
        <v/>
      </c>
    </row>
    <row r="23">
      <c r="A23" s="10" t="n">
        <v>0.4845666963325101</v>
      </c>
      <c r="B23" s="8" t="n">
        <v>46300</v>
      </c>
      <c r="C23" s="14">
        <f>CHOOSE(WEEKDAY(B23,2),"segunda","terça","quarta","quinta","sexta","sábado","domingo")</f>
        <v/>
      </c>
      <c r="D23" s="14">
        <f>IF(WEEKDAY(B23,2)&lt;=4,"Dia útil (seg a qui)","Fim de semana (sex a dom)")</f>
        <v/>
      </c>
      <c r="E23" s="15">
        <f>IF(B23&lt;Parâmetros!$B$6+Parâmetros!$B$7,"Pós-pagamento","Pré-pagamento")</f>
        <v/>
      </c>
      <c r="F23" s="15">
        <f>Parâmetros!$A$17</f>
        <v/>
      </c>
      <c r="G23" s="15">
        <f>Parâmetros!$B$17</f>
        <v/>
      </c>
      <c r="H23" s="15">
        <f>IF(COUNTIF(Parâmetros!$B$22:$B$22,B23)&gt;0,"sim","não")</f>
        <v/>
      </c>
      <c r="I23" s="7" t="inlineStr">
        <is>
          <t>sim</t>
        </is>
      </c>
      <c r="J23" s="14">
        <f>IF(AND(H23="não",I23="sim"),"sim","não")</f>
        <v/>
      </c>
      <c r="K23" s="6">
        <f>E23&amp;" | "&amp;D23</f>
        <v/>
      </c>
      <c r="L23" s="14">
        <f>IF(J23="sim",COUNTIFS($K$3:$K$92,K23,$J$3:$J$92,"sim",$A$3:$A$92,"&lt;="&amp;A23),"")</f>
        <v/>
      </c>
    </row>
    <row r="24">
      <c r="A24" s="10" t="n">
        <v>0.805315083187461</v>
      </c>
      <c r="B24" s="8" t="n">
        <v>46301</v>
      </c>
      <c r="C24" s="14">
        <f>CHOOSE(WEEKDAY(B24,2),"segunda","terça","quarta","quinta","sexta","sábado","domingo")</f>
        <v/>
      </c>
      <c r="D24" s="14">
        <f>IF(WEEKDAY(B24,2)&lt;=4,"Dia útil (seg a qui)","Fim de semana (sex a dom)")</f>
        <v/>
      </c>
      <c r="E24" s="15">
        <f>IF(B24&lt;Parâmetros!$B$6+Parâmetros!$B$7,"Pós-pagamento","Pré-pagamento")</f>
        <v/>
      </c>
      <c r="F24" s="15">
        <f>Parâmetros!$A$15</f>
        <v/>
      </c>
      <c r="G24" s="15">
        <f>Parâmetros!$B$15</f>
        <v/>
      </c>
      <c r="H24" s="15">
        <f>IF(COUNTIF(Parâmetros!$B$22:$B$22,B24)&gt;0,"sim","não")</f>
        <v/>
      </c>
      <c r="I24" s="7" t="inlineStr">
        <is>
          <t>sim</t>
        </is>
      </c>
      <c r="J24" s="14">
        <f>IF(AND(H24="não",I24="sim"),"sim","não")</f>
        <v/>
      </c>
      <c r="K24" s="6">
        <f>E24&amp;" | "&amp;D24</f>
        <v/>
      </c>
      <c r="L24" s="14">
        <f>IF(J24="sim",COUNTIFS($K$3:$K$92,K24,$J$3:$J$92,"sim",$A$3:$A$92,"&lt;="&amp;A24),"")</f>
        <v/>
      </c>
    </row>
    <row r="25">
      <c r="A25" s="10" t="n">
        <v>0.1822396280224478</v>
      </c>
      <c r="B25" s="8" t="n">
        <v>46301</v>
      </c>
      <c r="C25" s="14">
        <f>CHOOSE(WEEKDAY(B25,2),"segunda","terça","quarta","quinta","sexta","sábado","domingo")</f>
        <v/>
      </c>
      <c r="D25" s="14">
        <f>IF(WEEKDAY(B25,2)&lt;=4,"Dia útil (seg a qui)","Fim de semana (sex a dom)")</f>
        <v/>
      </c>
      <c r="E25" s="15">
        <f>IF(B25&lt;Parâmetros!$B$6+Parâmetros!$B$7,"Pós-pagamento","Pré-pagamento")</f>
        <v/>
      </c>
      <c r="F25" s="15">
        <f>Parâmetros!$A$16</f>
        <v/>
      </c>
      <c r="G25" s="15">
        <f>Parâmetros!$B$16</f>
        <v/>
      </c>
      <c r="H25" s="15">
        <f>IF(COUNTIF(Parâmetros!$B$22:$B$22,B25)&gt;0,"sim","não")</f>
        <v/>
      </c>
      <c r="I25" s="7" t="inlineStr">
        <is>
          <t>sim</t>
        </is>
      </c>
      <c r="J25" s="14">
        <f>IF(AND(H25="não",I25="sim"),"sim","não")</f>
        <v/>
      </c>
      <c r="K25" s="6">
        <f>E25&amp;" | "&amp;D25</f>
        <v/>
      </c>
      <c r="L25" s="14">
        <f>IF(J25="sim",COUNTIFS($K$3:$K$92,K25,$J$3:$J$92,"sim",$A$3:$A$92,"&lt;="&amp;A25),"")</f>
        <v/>
      </c>
    </row>
    <row r="26">
      <c r="A26" s="10" t="n">
        <v>0.4764214824658619</v>
      </c>
      <c r="B26" s="8" t="n">
        <v>46301</v>
      </c>
      <c r="C26" s="14">
        <f>CHOOSE(WEEKDAY(B26,2),"segunda","terça","quarta","quinta","sexta","sábado","domingo")</f>
        <v/>
      </c>
      <c r="D26" s="14">
        <f>IF(WEEKDAY(B26,2)&lt;=4,"Dia útil (seg a qui)","Fim de semana (sex a dom)")</f>
        <v/>
      </c>
      <c r="E26" s="15">
        <f>IF(B26&lt;Parâmetros!$B$6+Parâmetros!$B$7,"Pós-pagamento","Pré-pagamento")</f>
        <v/>
      </c>
      <c r="F26" s="15">
        <f>Parâmetros!$A$17</f>
        <v/>
      </c>
      <c r="G26" s="15">
        <f>Parâmetros!$B$17</f>
        <v/>
      </c>
      <c r="H26" s="15">
        <f>IF(COUNTIF(Parâmetros!$B$22:$B$22,B26)&gt;0,"sim","não")</f>
        <v/>
      </c>
      <c r="I26" s="7" t="inlineStr">
        <is>
          <t>sim</t>
        </is>
      </c>
      <c r="J26" s="14">
        <f>IF(AND(H26="não",I26="sim"),"sim","não")</f>
        <v/>
      </c>
      <c r="K26" s="6">
        <f>E26&amp;" | "&amp;D26</f>
        <v/>
      </c>
      <c r="L26" s="14">
        <f>IF(J26="sim",COUNTIFS($K$3:$K$92,K26,$J$3:$J$92,"sim",$A$3:$A$92,"&lt;="&amp;A26),"")</f>
        <v/>
      </c>
    </row>
    <row r="27">
      <c r="A27" s="10" t="n">
        <v>0.5967551566674443</v>
      </c>
      <c r="B27" s="8" t="n">
        <v>46302</v>
      </c>
      <c r="C27" s="14">
        <f>CHOOSE(WEEKDAY(B27,2),"segunda","terça","quarta","quinta","sexta","sábado","domingo")</f>
        <v/>
      </c>
      <c r="D27" s="14">
        <f>IF(WEEKDAY(B27,2)&lt;=4,"Dia útil (seg a qui)","Fim de semana (sex a dom)")</f>
        <v/>
      </c>
      <c r="E27" s="15">
        <f>IF(B27&lt;Parâmetros!$B$6+Parâmetros!$B$7,"Pós-pagamento","Pré-pagamento")</f>
        <v/>
      </c>
      <c r="F27" s="15">
        <f>Parâmetros!$A$15</f>
        <v/>
      </c>
      <c r="G27" s="15">
        <f>Parâmetros!$B$15</f>
        <v/>
      </c>
      <c r="H27" s="15">
        <f>IF(COUNTIF(Parâmetros!$B$22:$B$22,B27)&gt;0,"sim","não")</f>
        <v/>
      </c>
      <c r="I27" s="7" t="inlineStr">
        <is>
          <t>sim</t>
        </is>
      </c>
      <c r="J27" s="14">
        <f>IF(AND(H27="não",I27="sim"),"sim","não")</f>
        <v/>
      </c>
      <c r="K27" s="6">
        <f>E27&amp;" | "&amp;D27</f>
        <v/>
      </c>
      <c r="L27" s="14">
        <f>IF(J27="sim",COUNTIFS($K$3:$K$92,K27,$J$3:$J$92,"sim",$A$3:$A$92,"&lt;="&amp;A27),"")</f>
        <v/>
      </c>
    </row>
    <row r="28">
      <c r="A28" s="10" t="n">
        <v>0.680109087596653</v>
      </c>
      <c r="B28" s="8" t="n">
        <v>46302</v>
      </c>
      <c r="C28" s="14">
        <f>CHOOSE(WEEKDAY(B28,2),"segunda","terça","quarta","quinta","sexta","sábado","domingo")</f>
        <v/>
      </c>
      <c r="D28" s="14">
        <f>IF(WEEKDAY(B28,2)&lt;=4,"Dia útil (seg a qui)","Fim de semana (sex a dom)")</f>
        <v/>
      </c>
      <c r="E28" s="15">
        <f>IF(B28&lt;Parâmetros!$B$6+Parâmetros!$B$7,"Pós-pagamento","Pré-pagamento")</f>
        <v/>
      </c>
      <c r="F28" s="15">
        <f>Parâmetros!$A$16</f>
        <v/>
      </c>
      <c r="G28" s="15">
        <f>Parâmetros!$B$16</f>
        <v/>
      </c>
      <c r="H28" s="15">
        <f>IF(COUNTIF(Parâmetros!$B$22:$B$22,B28)&gt;0,"sim","não")</f>
        <v/>
      </c>
      <c r="I28" s="7" t="inlineStr">
        <is>
          <t>sim</t>
        </is>
      </c>
      <c r="J28" s="14">
        <f>IF(AND(H28="não",I28="sim"),"sim","não")</f>
        <v/>
      </c>
      <c r="K28" s="6">
        <f>E28&amp;" | "&amp;D28</f>
        <v/>
      </c>
      <c r="L28" s="14">
        <f>IF(J28="sim",COUNTIFS($K$3:$K$92,K28,$J$3:$J$92,"sim",$A$3:$A$92,"&lt;="&amp;A28),"")</f>
        <v/>
      </c>
    </row>
    <row r="29">
      <c r="A29" s="10" t="n">
        <v>0.8961723425476926</v>
      </c>
      <c r="B29" s="8" t="n">
        <v>46302</v>
      </c>
      <c r="C29" s="14">
        <f>CHOOSE(WEEKDAY(B29,2),"segunda","terça","quarta","quinta","sexta","sábado","domingo")</f>
        <v/>
      </c>
      <c r="D29" s="14">
        <f>IF(WEEKDAY(B29,2)&lt;=4,"Dia útil (seg a qui)","Fim de semana (sex a dom)")</f>
        <v/>
      </c>
      <c r="E29" s="15">
        <f>IF(B29&lt;Parâmetros!$B$6+Parâmetros!$B$7,"Pós-pagamento","Pré-pagamento")</f>
        <v/>
      </c>
      <c r="F29" s="15">
        <f>Parâmetros!$A$17</f>
        <v/>
      </c>
      <c r="G29" s="15">
        <f>Parâmetros!$B$17</f>
        <v/>
      </c>
      <c r="H29" s="15">
        <f>IF(COUNTIF(Parâmetros!$B$22:$B$22,B29)&gt;0,"sim","não")</f>
        <v/>
      </c>
      <c r="I29" s="7" t="inlineStr">
        <is>
          <t>sim</t>
        </is>
      </c>
      <c r="J29" s="14">
        <f>IF(AND(H29="não",I29="sim"),"sim","não")</f>
        <v/>
      </c>
      <c r="K29" s="6">
        <f>E29&amp;" | "&amp;D29</f>
        <v/>
      </c>
      <c r="L29" s="14">
        <f>IF(J29="sim",COUNTIFS($K$3:$K$92,K29,$J$3:$J$92,"sim",$A$3:$A$92,"&lt;="&amp;A29),"")</f>
        <v/>
      </c>
    </row>
    <row r="30">
      <c r="A30" s="10" t="n">
        <v>0.4791427939382502</v>
      </c>
      <c r="B30" s="8" t="n">
        <v>46303</v>
      </c>
      <c r="C30" s="14">
        <f>CHOOSE(WEEKDAY(B30,2),"segunda","terça","quarta","quinta","sexta","sábado","domingo")</f>
        <v/>
      </c>
      <c r="D30" s="14">
        <f>IF(WEEKDAY(B30,2)&lt;=4,"Dia útil (seg a qui)","Fim de semana (sex a dom)")</f>
        <v/>
      </c>
      <c r="E30" s="15">
        <f>IF(B30&lt;Parâmetros!$B$6+Parâmetros!$B$7,"Pós-pagamento","Pré-pagamento")</f>
        <v/>
      </c>
      <c r="F30" s="15">
        <f>Parâmetros!$A$15</f>
        <v/>
      </c>
      <c r="G30" s="15">
        <f>Parâmetros!$B$15</f>
        <v/>
      </c>
      <c r="H30" s="15">
        <f>IF(COUNTIF(Parâmetros!$B$22:$B$22,B30)&gt;0,"sim","não")</f>
        <v/>
      </c>
      <c r="I30" s="7" t="inlineStr">
        <is>
          <t>sim</t>
        </is>
      </c>
      <c r="J30" s="14">
        <f>IF(AND(H30="não",I30="sim"),"sim","não")</f>
        <v/>
      </c>
      <c r="K30" s="6">
        <f>E30&amp;" | "&amp;D30</f>
        <v/>
      </c>
      <c r="L30" s="14">
        <f>IF(J30="sim",COUNTIFS($K$3:$K$92,K30,$J$3:$J$92,"sim",$A$3:$A$92,"&lt;="&amp;A30),"")</f>
        <v/>
      </c>
    </row>
    <row r="31">
      <c r="A31" s="10" t="n">
        <v>0.03045400872668069</v>
      </c>
      <c r="B31" s="8" t="n">
        <v>46303</v>
      </c>
      <c r="C31" s="14">
        <f>CHOOSE(WEEKDAY(B31,2),"segunda","terça","quarta","quinta","sexta","sábado","domingo")</f>
        <v/>
      </c>
      <c r="D31" s="14">
        <f>IF(WEEKDAY(B31,2)&lt;=4,"Dia útil (seg a qui)","Fim de semana (sex a dom)")</f>
        <v/>
      </c>
      <c r="E31" s="15">
        <f>IF(B31&lt;Parâmetros!$B$6+Parâmetros!$B$7,"Pós-pagamento","Pré-pagamento")</f>
        <v/>
      </c>
      <c r="F31" s="15">
        <f>Parâmetros!$A$16</f>
        <v/>
      </c>
      <c r="G31" s="15">
        <f>Parâmetros!$B$16</f>
        <v/>
      </c>
      <c r="H31" s="15">
        <f>IF(COUNTIF(Parâmetros!$B$22:$B$22,B31)&gt;0,"sim","não")</f>
        <v/>
      </c>
      <c r="I31" s="7" t="inlineStr">
        <is>
          <t>sim</t>
        </is>
      </c>
      <c r="J31" s="14">
        <f>IF(AND(H31="não",I31="sim"),"sim","não")</f>
        <v/>
      </c>
      <c r="K31" s="6">
        <f>E31&amp;" | "&amp;D31</f>
        <v/>
      </c>
      <c r="L31" s="14">
        <f>IF(J31="sim",COUNTIFS($K$3:$K$92,K31,$J$3:$J$92,"sim",$A$3:$A$92,"&lt;="&amp;A31),"")</f>
        <v/>
      </c>
    </row>
    <row r="32">
      <c r="A32" s="10" t="n">
        <v>0.07559415658448532</v>
      </c>
      <c r="B32" s="8" t="n">
        <v>46303</v>
      </c>
      <c r="C32" s="14">
        <f>CHOOSE(WEEKDAY(B32,2),"segunda","terça","quarta","quinta","sexta","sábado","domingo")</f>
        <v/>
      </c>
      <c r="D32" s="14">
        <f>IF(WEEKDAY(B32,2)&lt;=4,"Dia útil (seg a qui)","Fim de semana (sex a dom)")</f>
        <v/>
      </c>
      <c r="E32" s="15">
        <f>IF(B32&lt;Parâmetros!$B$6+Parâmetros!$B$7,"Pós-pagamento","Pré-pagamento")</f>
        <v/>
      </c>
      <c r="F32" s="15">
        <f>Parâmetros!$A$17</f>
        <v/>
      </c>
      <c r="G32" s="15">
        <f>Parâmetros!$B$17</f>
        <v/>
      </c>
      <c r="H32" s="15">
        <f>IF(COUNTIF(Parâmetros!$B$22:$B$22,B32)&gt;0,"sim","não")</f>
        <v/>
      </c>
      <c r="I32" s="7" t="inlineStr">
        <is>
          <t>sim</t>
        </is>
      </c>
      <c r="J32" s="14">
        <f>IF(AND(H32="não",I32="sim"),"sim","não")</f>
        <v/>
      </c>
      <c r="K32" s="6">
        <f>E32&amp;" | "&amp;D32</f>
        <v/>
      </c>
      <c r="L32" s="14">
        <f>IF(J32="sim",COUNTIFS($K$3:$K$92,K32,$J$3:$J$92,"sim",$A$3:$A$92,"&lt;="&amp;A32),"")</f>
        <v/>
      </c>
    </row>
    <row r="33">
      <c r="A33" s="10" t="n">
        <v>0.04847279463095755</v>
      </c>
      <c r="B33" s="8" t="n">
        <v>46304</v>
      </c>
      <c r="C33" s="14">
        <f>CHOOSE(WEEKDAY(B33,2),"segunda","terça","quarta","quinta","sexta","sábado","domingo")</f>
        <v/>
      </c>
      <c r="D33" s="14">
        <f>IF(WEEKDAY(B33,2)&lt;=4,"Dia útil (seg a qui)","Fim de semana (sex a dom)")</f>
        <v/>
      </c>
      <c r="E33" s="15">
        <f>IF(B33&lt;Parâmetros!$B$6+Parâmetros!$B$7,"Pós-pagamento","Pré-pagamento")</f>
        <v/>
      </c>
      <c r="F33" s="15">
        <f>Parâmetros!$A$15</f>
        <v/>
      </c>
      <c r="G33" s="15">
        <f>Parâmetros!$B$15</f>
        <v/>
      </c>
      <c r="H33" s="15">
        <f>IF(COUNTIF(Parâmetros!$B$22:$B$22,B33)&gt;0,"sim","não")</f>
        <v/>
      </c>
      <c r="I33" s="7" t="inlineStr">
        <is>
          <t>sim</t>
        </is>
      </c>
      <c r="J33" s="14">
        <f>IF(AND(H33="não",I33="sim"),"sim","não")</f>
        <v/>
      </c>
      <c r="K33" s="6">
        <f>E33&amp;" | "&amp;D33</f>
        <v/>
      </c>
      <c r="L33" s="14">
        <f>IF(J33="sim",COUNTIFS($K$3:$K$92,K33,$J$3:$J$92,"sim",$A$3:$A$92,"&lt;="&amp;A33),"")</f>
        <v/>
      </c>
    </row>
    <row r="34">
      <c r="A34" s="10" t="n">
        <v>0.02475953733972136</v>
      </c>
      <c r="B34" s="8" t="n">
        <v>46304</v>
      </c>
      <c r="C34" s="14">
        <f>CHOOSE(WEEKDAY(B34,2),"segunda","terça","quarta","quinta","sexta","sábado","domingo")</f>
        <v/>
      </c>
      <c r="D34" s="14">
        <f>IF(WEEKDAY(B34,2)&lt;=4,"Dia útil (seg a qui)","Fim de semana (sex a dom)")</f>
        <v/>
      </c>
      <c r="E34" s="15">
        <f>IF(B34&lt;Parâmetros!$B$6+Parâmetros!$B$7,"Pós-pagamento","Pré-pagamento")</f>
        <v/>
      </c>
      <c r="F34" s="15">
        <f>Parâmetros!$A$16</f>
        <v/>
      </c>
      <c r="G34" s="15">
        <f>Parâmetros!$B$16</f>
        <v/>
      </c>
      <c r="H34" s="15">
        <f>IF(COUNTIF(Parâmetros!$B$22:$B$22,B34)&gt;0,"sim","não")</f>
        <v/>
      </c>
      <c r="I34" s="7" t="inlineStr">
        <is>
          <t>sim</t>
        </is>
      </c>
      <c r="J34" s="14">
        <f>IF(AND(H34="não",I34="sim"),"sim","não")</f>
        <v/>
      </c>
      <c r="K34" s="6">
        <f>E34&amp;" | "&amp;D34</f>
        <v/>
      </c>
      <c r="L34" s="14">
        <f>IF(J34="sim",COUNTIFS($K$3:$K$92,K34,$J$3:$J$92,"sim",$A$3:$A$92,"&lt;="&amp;A34),"")</f>
        <v/>
      </c>
    </row>
    <row r="35">
      <c r="A35" s="10" t="n">
        <v>0.3243477790748046</v>
      </c>
      <c r="B35" s="8" t="n">
        <v>46304</v>
      </c>
      <c r="C35" s="14">
        <f>CHOOSE(WEEKDAY(B35,2),"segunda","terça","quarta","quinta","sexta","sábado","domingo")</f>
        <v/>
      </c>
      <c r="D35" s="14">
        <f>IF(WEEKDAY(B35,2)&lt;=4,"Dia útil (seg a qui)","Fim de semana (sex a dom)")</f>
        <v/>
      </c>
      <c r="E35" s="15">
        <f>IF(B35&lt;Parâmetros!$B$6+Parâmetros!$B$7,"Pós-pagamento","Pré-pagamento")</f>
        <v/>
      </c>
      <c r="F35" s="15">
        <f>Parâmetros!$A$17</f>
        <v/>
      </c>
      <c r="G35" s="15">
        <f>Parâmetros!$B$17</f>
        <v/>
      </c>
      <c r="H35" s="15">
        <f>IF(COUNTIF(Parâmetros!$B$22:$B$22,B35)&gt;0,"sim","não")</f>
        <v/>
      </c>
      <c r="I35" s="7" t="inlineStr">
        <is>
          <t>sim</t>
        </is>
      </c>
      <c r="J35" s="14">
        <f>IF(AND(H35="não",I35="sim"),"sim","não")</f>
        <v/>
      </c>
      <c r="K35" s="6">
        <f>E35&amp;" | "&amp;D35</f>
        <v/>
      </c>
      <c r="L35" s="14">
        <f>IF(J35="sim",COUNTIFS($K$3:$K$92,K35,$J$3:$J$92,"sim",$A$3:$A$92,"&lt;="&amp;A35),"")</f>
        <v/>
      </c>
    </row>
    <row r="36">
      <c r="A36" s="10" t="n">
        <v>0.9478000512506545</v>
      </c>
      <c r="B36" s="8" t="n">
        <v>46305</v>
      </c>
      <c r="C36" s="14">
        <f>CHOOSE(WEEKDAY(B36,2),"segunda","terça","quarta","quinta","sexta","sábado","domingo")</f>
        <v/>
      </c>
      <c r="D36" s="14">
        <f>IF(WEEKDAY(B36,2)&lt;=4,"Dia útil (seg a qui)","Fim de semana (sex a dom)")</f>
        <v/>
      </c>
      <c r="E36" s="15">
        <f>IF(B36&lt;Parâmetros!$B$6+Parâmetros!$B$7,"Pós-pagamento","Pré-pagamento")</f>
        <v/>
      </c>
      <c r="F36" s="15">
        <f>Parâmetros!$A$15</f>
        <v/>
      </c>
      <c r="G36" s="15">
        <f>Parâmetros!$B$15</f>
        <v/>
      </c>
      <c r="H36" s="15">
        <f>IF(COUNTIF(Parâmetros!$B$22:$B$22,B36)&gt;0,"sim","não")</f>
        <v/>
      </c>
      <c r="I36" s="7" t="inlineStr">
        <is>
          <t>sim</t>
        </is>
      </c>
      <c r="J36" s="14">
        <f>IF(AND(H36="não",I36="sim"),"sim","não")</f>
        <v/>
      </c>
      <c r="K36" s="6">
        <f>E36&amp;" | "&amp;D36</f>
        <v/>
      </c>
      <c r="L36" s="14">
        <f>IF(J36="sim",COUNTIFS($K$3:$K$92,K36,$J$3:$J$92,"sim",$A$3:$A$92,"&lt;="&amp;A36),"")</f>
        <v/>
      </c>
    </row>
    <row r="37">
      <c r="A37" s="10" t="n">
        <v>0.2595152661735101</v>
      </c>
      <c r="B37" s="8" t="n">
        <v>46305</v>
      </c>
      <c r="C37" s="14">
        <f>CHOOSE(WEEKDAY(B37,2),"segunda","terça","quarta","quinta","sexta","sábado","domingo")</f>
        <v/>
      </c>
      <c r="D37" s="14">
        <f>IF(WEEKDAY(B37,2)&lt;=4,"Dia útil (seg a qui)","Fim de semana (sex a dom)")</f>
        <v/>
      </c>
      <c r="E37" s="15">
        <f>IF(B37&lt;Parâmetros!$B$6+Parâmetros!$B$7,"Pós-pagamento","Pré-pagamento")</f>
        <v/>
      </c>
      <c r="F37" s="15">
        <f>Parâmetros!$A$16</f>
        <v/>
      </c>
      <c r="G37" s="15">
        <f>Parâmetros!$B$16</f>
        <v/>
      </c>
      <c r="H37" s="15">
        <f>IF(COUNTIF(Parâmetros!$B$22:$B$22,B37)&gt;0,"sim","não")</f>
        <v/>
      </c>
      <c r="I37" s="7" t="inlineStr">
        <is>
          <t>sim</t>
        </is>
      </c>
      <c r="J37" s="14">
        <f>IF(AND(H37="não",I37="sim"),"sim","não")</f>
        <v/>
      </c>
      <c r="K37" s="6">
        <f>E37&amp;" | "&amp;D37</f>
        <v/>
      </c>
      <c r="L37" s="14">
        <f>IF(J37="sim",COUNTIFS($K$3:$K$92,K37,$J$3:$J$92,"sim",$A$3:$A$92,"&lt;="&amp;A37),"")</f>
        <v/>
      </c>
    </row>
    <row r="38">
      <c r="A38" s="10" t="n">
        <v>0.9031329796305158</v>
      </c>
      <c r="B38" s="8" t="n">
        <v>46305</v>
      </c>
      <c r="C38" s="14">
        <f>CHOOSE(WEEKDAY(B38,2),"segunda","terça","quarta","quinta","sexta","sábado","domingo")</f>
        <v/>
      </c>
      <c r="D38" s="14">
        <f>IF(WEEKDAY(B38,2)&lt;=4,"Dia útil (seg a qui)","Fim de semana (sex a dom)")</f>
        <v/>
      </c>
      <c r="E38" s="15">
        <f>IF(B38&lt;Parâmetros!$B$6+Parâmetros!$B$7,"Pós-pagamento","Pré-pagamento")</f>
        <v/>
      </c>
      <c r="F38" s="15">
        <f>Parâmetros!$A$17</f>
        <v/>
      </c>
      <c r="G38" s="15">
        <f>Parâmetros!$B$17</f>
        <v/>
      </c>
      <c r="H38" s="15">
        <f>IF(COUNTIF(Parâmetros!$B$22:$B$22,B38)&gt;0,"sim","não")</f>
        <v/>
      </c>
      <c r="I38" s="7" t="inlineStr">
        <is>
          <t>sim</t>
        </is>
      </c>
      <c r="J38" s="14">
        <f>IF(AND(H38="não",I38="sim"),"sim","não")</f>
        <v/>
      </c>
      <c r="K38" s="6">
        <f>E38&amp;" | "&amp;D38</f>
        <v/>
      </c>
      <c r="L38" s="14">
        <f>IF(J38="sim",COUNTIFS($K$3:$K$92,K38,$J$3:$J$92,"sim",$A$3:$A$92,"&lt;="&amp;A38),"")</f>
        <v/>
      </c>
    </row>
    <row r="39">
      <c r="A39" s="10" t="n">
        <v>0.998708613586622</v>
      </c>
      <c r="B39" s="8" t="n">
        <v>46306</v>
      </c>
      <c r="C39" s="14">
        <f>CHOOSE(WEEKDAY(B39,2),"segunda","terça","quarta","quinta","sexta","sábado","domingo")</f>
        <v/>
      </c>
      <c r="D39" s="14">
        <f>IF(WEEKDAY(B39,2)&lt;=4,"Dia útil (seg a qui)","Fim de semana (sex a dom)")</f>
        <v/>
      </c>
      <c r="E39" s="15">
        <f>IF(B39&lt;Parâmetros!$B$6+Parâmetros!$B$7,"Pós-pagamento","Pré-pagamento")</f>
        <v/>
      </c>
      <c r="F39" s="15">
        <f>Parâmetros!$A$15</f>
        <v/>
      </c>
      <c r="G39" s="15">
        <f>Parâmetros!$B$15</f>
        <v/>
      </c>
      <c r="H39" s="15">
        <f>IF(COUNTIF(Parâmetros!$B$22:$B$22,B39)&gt;0,"sim","não")</f>
        <v/>
      </c>
      <c r="I39" s="7" t="inlineStr">
        <is>
          <t>sim</t>
        </is>
      </c>
      <c r="J39" s="14">
        <f>IF(AND(H39="não",I39="sim"),"sim","não")</f>
        <v/>
      </c>
      <c r="K39" s="6">
        <f>E39&amp;" | "&amp;D39</f>
        <v/>
      </c>
      <c r="L39" s="14">
        <f>IF(J39="sim",COUNTIFS($K$3:$K$92,K39,$J$3:$J$92,"sim",$A$3:$A$92,"&lt;="&amp;A39),"")</f>
        <v/>
      </c>
    </row>
    <row r="40">
      <c r="A40" s="10" t="n">
        <v>0.446964998050886</v>
      </c>
      <c r="B40" s="8" t="n">
        <v>46306</v>
      </c>
      <c r="C40" s="14">
        <f>CHOOSE(WEEKDAY(B40,2),"segunda","terça","quarta","quinta","sexta","sábado","domingo")</f>
        <v/>
      </c>
      <c r="D40" s="14">
        <f>IF(WEEKDAY(B40,2)&lt;=4,"Dia útil (seg a qui)","Fim de semana (sex a dom)")</f>
        <v/>
      </c>
      <c r="E40" s="15">
        <f>IF(B40&lt;Parâmetros!$B$6+Parâmetros!$B$7,"Pós-pagamento","Pré-pagamento")</f>
        <v/>
      </c>
      <c r="F40" s="15">
        <f>Parâmetros!$A$16</f>
        <v/>
      </c>
      <c r="G40" s="15">
        <f>Parâmetros!$B$16</f>
        <v/>
      </c>
      <c r="H40" s="15">
        <f>IF(COUNTIF(Parâmetros!$B$22:$B$22,B40)&gt;0,"sim","não")</f>
        <v/>
      </c>
      <c r="I40" s="7" t="inlineStr">
        <is>
          <t>sim</t>
        </is>
      </c>
      <c r="J40" s="14">
        <f>IF(AND(H40="não",I40="sim"),"sim","não")</f>
        <v/>
      </c>
      <c r="K40" s="6">
        <f>E40&amp;" | "&amp;D40</f>
        <v/>
      </c>
      <c r="L40" s="14">
        <f>IF(J40="sim",COUNTIFS($K$3:$K$92,K40,$J$3:$J$92,"sim",$A$3:$A$92,"&lt;="&amp;A40),"")</f>
        <v/>
      </c>
    </row>
    <row r="41">
      <c r="A41" s="10" t="n">
        <v>0.5872255884364864</v>
      </c>
      <c r="B41" s="8" t="n">
        <v>46306</v>
      </c>
      <c r="C41" s="14">
        <f>CHOOSE(WEEKDAY(B41,2),"segunda","terça","quarta","quinta","sexta","sábado","domingo")</f>
        <v/>
      </c>
      <c r="D41" s="14">
        <f>IF(WEEKDAY(B41,2)&lt;=4,"Dia útil (seg a qui)","Fim de semana (sex a dom)")</f>
        <v/>
      </c>
      <c r="E41" s="15">
        <f>IF(B41&lt;Parâmetros!$B$6+Parâmetros!$B$7,"Pós-pagamento","Pré-pagamento")</f>
        <v/>
      </c>
      <c r="F41" s="15">
        <f>Parâmetros!$A$17</f>
        <v/>
      </c>
      <c r="G41" s="15">
        <f>Parâmetros!$B$17</f>
        <v/>
      </c>
      <c r="H41" s="15">
        <f>IF(COUNTIF(Parâmetros!$B$22:$B$22,B41)&gt;0,"sim","não")</f>
        <v/>
      </c>
      <c r="I41" s="7" t="inlineStr">
        <is>
          <t>sim</t>
        </is>
      </c>
      <c r="J41" s="14">
        <f>IF(AND(H41="não",I41="sim"),"sim","não")</f>
        <v/>
      </c>
      <c r="K41" s="6">
        <f>E41&amp;" | "&amp;D41</f>
        <v/>
      </c>
      <c r="L41" s="14">
        <f>IF(J41="sim",COUNTIFS($K$3:$K$92,K41,$J$3:$J$92,"sim",$A$3:$A$92,"&lt;="&amp;A41),"")</f>
        <v/>
      </c>
    </row>
    <row r="42">
      <c r="A42" s="10" t="n">
        <v>0.7022356549063441</v>
      </c>
      <c r="B42" s="8" t="n">
        <v>46307</v>
      </c>
      <c r="C42" s="14">
        <f>CHOOSE(WEEKDAY(B42,2),"segunda","terça","quarta","quinta","sexta","sábado","domingo")</f>
        <v/>
      </c>
      <c r="D42" s="14">
        <f>IF(WEEKDAY(B42,2)&lt;=4,"Dia útil (seg a qui)","Fim de semana (sex a dom)")</f>
        <v/>
      </c>
      <c r="E42" s="15">
        <f>IF(B42&lt;Parâmetros!$B$6+Parâmetros!$B$7,"Pós-pagamento","Pré-pagamento")</f>
        <v/>
      </c>
      <c r="F42" s="15">
        <f>Parâmetros!$A$15</f>
        <v/>
      </c>
      <c r="G42" s="15">
        <f>Parâmetros!$B$15</f>
        <v/>
      </c>
      <c r="H42" s="15">
        <f>IF(COUNTIF(Parâmetros!$B$22:$B$22,B42)&gt;0,"sim","não")</f>
        <v/>
      </c>
      <c r="I42" s="7" t="inlineStr">
        <is>
          <t>sim</t>
        </is>
      </c>
      <c r="J42" s="14">
        <f>IF(AND(H42="não",I42="sim"),"sim","não")</f>
        <v/>
      </c>
      <c r="K42" s="6">
        <f>E42&amp;" | "&amp;D42</f>
        <v/>
      </c>
      <c r="L42" s="14">
        <f>IF(J42="sim",COUNTIFS($K$3:$K$92,K42,$J$3:$J$92,"sim",$A$3:$A$92,"&lt;="&amp;A42),"")</f>
        <v/>
      </c>
    </row>
    <row r="43">
      <c r="A43" s="10" t="n">
        <v>0.6128004500014544</v>
      </c>
      <c r="B43" s="8" t="n">
        <v>46307</v>
      </c>
      <c r="C43" s="14">
        <f>CHOOSE(WEEKDAY(B43,2),"segunda","terça","quarta","quinta","sexta","sábado","domingo")</f>
        <v/>
      </c>
      <c r="D43" s="14">
        <f>IF(WEEKDAY(B43,2)&lt;=4,"Dia útil (seg a qui)","Fim de semana (sex a dom)")</f>
        <v/>
      </c>
      <c r="E43" s="15">
        <f>IF(B43&lt;Parâmetros!$B$6+Parâmetros!$B$7,"Pós-pagamento","Pré-pagamento")</f>
        <v/>
      </c>
      <c r="F43" s="15">
        <f>Parâmetros!$A$16</f>
        <v/>
      </c>
      <c r="G43" s="15">
        <f>Parâmetros!$B$16</f>
        <v/>
      </c>
      <c r="H43" s="15">
        <f>IF(COUNTIF(Parâmetros!$B$22:$B$22,B43)&gt;0,"sim","não")</f>
        <v/>
      </c>
      <c r="I43" s="7" t="inlineStr">
        <is>
          <t>sim</t>
        </is>
      </c>
      <c r="J43" s="14">
        <f>IF(AND(H43="não",I43="sim"),"sim","não")</f>
        <v/>
      </c>
      <c r="K43" s="6">
        <f>E43&amp;" | "&amp;D43</f>
        <v/>
      </c>
      <c r="L43" s="14">
        <f>IF(J43="sim",COUNTIFS($K$3:$K$92,K43,$J$3:$J$92,"sim",$A$3:$A$92,"&lt;="&amp;A43),"")</f>
        <v/>
      </c>
    </row>
    <row r="44">
      <c r="A44" s="10" t="n">
        <v>0.05352361314150134</v>
      </c>
      <c r="B44" s="8" t="n">
        <v>46307</v>
      </c>
      <c r="C44" s="14">
        <f>CHOOSE(WEEKDAY(B44,2),"segunda","terça","quarta","quinta","sexta","sábado","domingo")</f>
        <v/>
      </c>
      <c r="D44" s="14">
        <f>IF(WEEKDAY(B44,2)&lt;=4,"Dia útil (seg a qui)","Fim de semana (sex a dom)")</f>
        <v/>
      </c>
      <c r="E44" s="15">
        <f>IF(B44&lt;Parâmetros!$B$6+Parâmetros!$B$7,"Pós-pagamento","Pré-pagamento")</f>
        <v/>
      </c>
      <c r="F44" s="15">
        <f>Parâmetros!$A$17</f>
        <v/>
      </c>
      <c r="G44" s="15">
        <f>Parâmetros!$B$17</f>
        <v/>
      </c>
      <c r="H44" s="15">
        <f>IF(COUNTIF(Parâmetros!$B$22:$B$22,B44)&gt;0,"sim","não")</f>
        <v/>
      </c>
      <c r="I44" s="7" t="inlineStr">
        <is>
          <t>sim</t>
        </is>
      </c>
      <c r="J44" s="14">
        <f>IF(AND(H44="não",I44="sim"),"sim","não")</f>
        <v/>
      </c>
      <c r="K44" s="6">
        <f>E44&amp;" | "&amp;D44</f>
        <v/>
      </c>
      <c r="L44" s="14">
        <f>IF(J44="sim",COUNTIFS($K$3:$K$92,K44,$J$3:$J$92,"sim",$A$3:$A$92,"&lt;="&amp;A44),"")</f>
        <v/>
      </c>
    </row>
    <row r="45">
      <c r="A45" s="10" t="n">
        <v>0.576370199187528</v>
      </c>
      <c r="B45" s="8" t="n">
        <v>46308</v>
      </c>
      <c r="C45" s="14">
        <f>CHOOSE(WEEKDAY(B45,2),"segunda","terça","quarta","quinta","sexta","sábado","domingo")</f>
        <v/>
      </c>
      <c r="D45" s="14">
        <f>IF(WEEKDAY(B45,2)&lt;=4,"Dia útil (seg a qui)","Fim de semana (sex a dom)")</f>
        <v/>
      </c>
      <c r="E45" s="15">
        <f>IF(B45&lt;Parâmetros!$B$6+Parâmetros!$B$7,"Pós-pagamento","Pré-pagamento")</f>
        <v/>
      </c>
      <c r="F45" s="15">
        <f>Parâmetros!$A$15</f>
        <v/>
      </c>
      <c r="G45" s="15">
        <f>Parâmetros!$B$15</f>
        <v/>
      </c>
      <c r="H45" s="15">
        <f>IF(COUNTIF(Parâmetros!$B$22:$B$22,B45)&gt;0,"sim","não")</f>
        <v/>
      </c>
      <c r="I45" s="7" t="inlineStr">
        <is>
          <t>sim</t>
        </is>
      </c>
      <c r="J45" s="14">
        <f>IF(AND(H45="não",I45="sim"),"sim","não")</f>
        <v/>
      </c>
      <c r="K45" s="6">
        <f>E45&amp;" | "&amp;D45</f>
        <v/>
      </c>
      <c r="L45" s="14">
        <f>IF(J45="sim",COUNTIFS($K$3:$K$92,K45,$J$3:$J$92,"sim",$A$3:$A$92,"&lt;="&amp;A45),"")</f>
        <v/>
      </c>
    </row>
    <row r="46">
      <c r="A46" s="10" t="n">
        <v>0.215740392210826</v>
      </c>
      <c r="B46" s="8" t="n">
        <v>46308</v>
      </c>
      <c r="C46" s="14">
        <f>CHOOSE(WEEKDAY(B46,2),"segunda","terça","quarta","quinta","sexta","sábado","domingo")</f>
        <v/>
      </c>
      <c r="D46" s="14">
        <f>IF(WEEKDAY(B46,2)&lt;=4,"Dia útil (seg a qui)","Fim de semana (sex a dom)")</f>
        <v/>
      </c>
      <c r="E46" s="15">
        <f>IF(B46&lt;Parâmetros!$B$6+Parâmetros!$B$7,"Pós-pagamento","Pré-pagamento")</f>
        <v/>
      </c>
      <c r="F46" s="15">
        <f>Parâmetros!$A$16</f>
        <v/>
      </c>
      <c r="G46" s="15">
        <f>Parâmetros!$B$16</f>
        <v/>
      </c>
      <c r="H46" s="15">
        <f>IF(COUNTIF(Parâmetros!$B$22:$B$22,B46)&gt;0,"sim","não")</f>
        <v/>
      </c>
      <c r="I46" s="7" t="inlineStr">
        <is>
          <t>sim</t>
        </is>
      </c>
      <c r="J46" s="14">
        <f>IF(AND(H46="não",I46="sim"),"sim","não")</f>
        <v/>
      </c>
      <c r="K46" s="6">
        <f>E46&amp;" | "&amp;D46</f>
        <v/>
      </c>
      <c r="L46" s="14">
        <f>IF(J46="sim",COUNTIFS($K$3:$K$92,K46,$J$3:$J$92,"sim",$A$3:$A$92,"&lt;="&amp;A46),"")</f>
        <v/>
      </c>
    </row>
    <row r="47">
      <c r="A47" s="10" t="n">
        <v>0.5810743383605823</v>
      </c>
      <c r="B47" s="8" t="n">
        <v>46308</v>
      </c>
      <c r="C47" s="14">
        <f>CHOOSE(WEEKDAY(B47,2),"segunda","terça","quarta","quinta","sexta","sábado","domingo")</f>
        <v/>
      </c>
      <c r="D47" s="14">
        <f>IF(WEEKDAY(B47,2)&lt;=4,"Dia útil (seg a qui)","Fim de semana (sex a dom)")</f>
        <v/>
      </c>
      <c r="E47" s="15">
        <f>IF(B47&lt;Parâmetros!$B$6+Parâmetros!$B$7,"Pós-pagamento","Pré-pagamento")</f>
        <v/>
      </c>
      <c r="F47" s="15">
        <f>Parâmetros!$A$17</f>
        <v/>
      </c>
      <c r="G47" s="15">
        <f>Parâmetros!$B$17</f>
        <v/>
      </c>
      <c r="H47" s="15">
        <f>IF(COUNTIF(Parâmetros!$B$22:$B$22,B47)&gt;0,"sim","não")</f>
        <v/>
      </c>
      <c r="I47" s="7" t="inlineStr">
        <is>
          <t>sim</t>
        </is>
      </c>
      <c r="J47" s="14">
        <f>IF(AND(H47="não",I47="sim"),"sim","não")</f>
        <v/>
      </c>
      <c r="K47" s="6">
        <f>E47&amp;" | "&amp;D47</f>
        <v/>
      </c>
      <c r="L47" s="14">
        <f>IF(J47="sim",COUNTIFS($K$3:$K$92,K47,$J$3:$J$92,"sim",$A$3:$A$92,"&lt;="&amp;A47),"")</f>
        <v/>
      </c>
    </row>
    <row r="48">
      <c r="A48" s="10" t="n">
        <v>0.8961631218272536</v>
      </c>
      <c r="B48" s="8" t="n">
        <v>46309</v>
      </c>
      <c r="C48" s="14">
        <f>CHOOSE(WEEKDAY(B48,2),"segunda","terça","quarta","quinta","sexta","sábado","domingo")</f>
        <v/>
      </c>
      <c r="D48" s="14">
        <f>IF(WEEKDAY(B48,2)&lt;=4,"Dia útil (seg a qui)","Fim de semana (sex a dom)")</f>
        <v/>
      </c>
      <c r="E48" s="15">
        <f>IF(B48&lt;Parâmetros!$B$6+Parâmetros!$B$7,"Pós-pagamento","Pré-pagamento")</f>
        <v/>
      </c>
      <c r="F48" s="15">
        <f>Parâmetros!$A$15</f>
        <v/>
      </c>
      <c r="G48" s="15">
        <f>Parâmetros!$B$15</f>
        <v/>
      </c>
      <c r="H48" s="15">
        <f>IF(COUNTIF(Parâmetros!$B$22:$B$22,B48)&gt;0,"sim","não")</f>
        <v/>
      </c>
      <c r="I48" s="7" t="inlineStr">
        <is>
          <t>sim</t>
        </is>
      </c>
      <c r="J48" s="14">
        <f>IF(AND(H48="não",I48="sim"),"sim","não")</f>
        <v/>
      </c>
      <c r="K48" s="6">
        <f>E48&amp;" | "&amp;D48</f>
        <v/>
      </c>
      <c r="L48" s="14">
        <f>IF(J48="sim",COUNTIFS($K$3:$K$92,K48,$J$3:$J$92,"sim",$A$3:$A$92,"&lt;="&amp;A48),"")</f>
        <v/>
      </c>
    </row>
    <row r="49">
      <c r="A49" s="10" t="n">
        <v>0.01772782621854285</v>
      </c>
      <c r="B49" s="8" t="n">
        <v>46309</v>
      </c>
      <c r="C49" s="14">
        <f>CHOOSE(WEEKDAY(B49,2),"segunda","terça","quarta","quinta","sexta","sábado","domingo")</f>
        <v/>
      </c>
      <c r="D49" s="14">
        <f>IF(WEEKDAY(B49,2)&lt;=4,"Dia útil (seg a qui)","Fim de semana (sex a dom)")</f>
        <v/>
      </c>
      <c r="E49" s="15">
        <f>IF(B49&lt;Parâmetros!$B$6+Parâmetros!$B$7,"Pós-pagamento","Pré-pagamento")</f>
        <v/>
      </c>
      <c r="F49" s="15">
        <f>Parâmetros!$A$16</f>
        <v/>
      </c>
      <c r="G49" s="15">
        <f>Parâmetros!$B$16</f>
        <v/>
      </c>
      <c r="H49" s="15">
        <f>IF(COUNTIF(Parâmetros!$B$22:$B$22,B49)&gt;0,"sim","não")</f>
        <v/>
      </c>
      <c r="I49" s="7" t="inlineStr">
        <is>
          <t>sim</t>
        </is>
      </c>
      <c r="J49" s="14">
        <f>IF(AND(H49="não",I49="sim"),"sim","não")</f>
        <v/>
      </c>
      <c r="K49" s="6">
        <f>E49&amp;" | "&amp;D49</f>
        <v/>
      </c>
      <c r="L49" s="14">
        <f>IF(J49="sim",COUNTIFS($K$3:$K$92,K49,$J$3:$J$92,"sim",$A$3:$A$92,"&lt;="&amp;A49),"")</f>
        <v/>
      </c>
    </row>
    <row r="50">
      <c r="A50" s="10" t="n">
        <v>0.0943219145793408</v>
      </c>
      <c r="B50" s="8" t="n">
        <v>46309</v>
      </c>
      <c r="C50" s="14">
        <f>CHOOSE(WEEKDAY(B50,2),"segunda","terça","quarta","quinta","sexta","sábado","domingo")</f>
        <v/>
      </c>
      <c r="D50" s="14">
        <f>IF(WEEKDAY(B50,2)&lt;=4,"Dia útil (seg a qui)","Fim de semana (sex a dom)")</f>
        <v/>
      </c>
      <c r="E50" s="15">
        <f>IF(B50&lt;Parâmetros!$B$6+Parâmetros!$B$7,"Pós-pagamento","Pré-pagamento")</f>
        <v/>
      </c>
      <c r="F50" s="15">
        <f>Parâmetros!$A$17</f>
        <v/>
      </c>
      <c r="G50" s="15">
        <f>Parâmetros!$B$17</f>
        <v/>
      </c>
      <c r="H50" s="15">
        <f>IF(COUNTIF(Parâmetros!$B$22:$B$22,B50)&gt;0,"sim","não")</f>
        <v/>
      </c>
      <c r="I50" s="7" t="inlineStr">
        <is>
          <t>sim</t>
        </is>
      </c>
      <c r="J50" s="14">
        <f>IF(AND(H50="não",I50="sim"),"sim","não")</f>
        <v/>
      </c>
      <c r="K50" s="6">
        <f>E50&amp;" | "&amp;D50</f>
        <v/>
      </c>
      <c r="L50" s="14">
        <f>IF(J50="sim",COUNTIFS($K$3:$K$92,K50,$J$3:$J$92,"sim",$A$3:$A$92,"&lt;="&amp;A50),"")</f>
        <v/>
      </c>
    </row>
    <row r="51">
      <c r="A51" s="10" t="n">
        <v>0.340699678418562</v>
      </c>
      <c r="B51" s="8" t="n">
        <v>46310</v>
      </c>
      <c r="C51" s="14">
        <f>CHOOSE(WEEKDAY(B51,2),"segunda","terça","quarta","quinta","sexta","sábado","domingo")</f>
        <v/>
      </c>
      <c r="D51" s="14">
        <f>IF(WEEKDAY(B51,2)&lt;=4,"Dia útil (seg a qui)","Fim de semana (sex a dom)")</f>
        <v/>
      </c>
      <c r="E51" s="15">
        <f>IF(B51&lt;Parâmetros!$B$6+Parâmetros!$B$7,"Pós-pagamento","Pré-pagamento")</f>
        <v/>
      </c>
      <c r="F51" s="15">
        <f>Parâmetros!$A$15</f>
        <v/>
      </c>
      <c r="G51" s="15">
        <f>Parâmetros!$B$15</f>
        <v/>
      </c>
      <c r="H51" s="15">
        <f>IF(COUNTIF(Parâmetros!$B$22:$B$22,B51)&gt;0,"sim","não")</f>
        <v/>
      </c>
      <c r="I51" s="7" t="inlineStr">
        <is>
          <t>sim</t>
        </is>
      </c>
      <c r="J51" s="14">
        <f>IF(AND(H51="não",I51="sim"),"sim","não")</f>
        <v/>
      </c>
      <c r="K51" s="6">
        <f>E51&amp;" | "&amp;D51</f>
        <v/>
      </c>
      <c r="L51" s="14">
        <f>IF(J51="sim",COUNTIFS($K$3:$K$92,K51,$J$3:$J$92,"sim",$A$3:$A$92,"&lt;="&amp;A51),"")</f>
        <v/>
      </c>
    </row>
    <row r="52">
      <c r="A52" s="10" t="n">
        <v>0.2221069981902402</v>
      </c>
      <c r="B52" s="8" t="n">
        <v>46310</v>
      </c>
      <c r="C52" s="14">
        <f>CHOOSE(WEEKDAY(B52,2),"segunda","terça","quarta","quinta","sexta","sábado","domingo")</f>
        <v/>
      </c>
      <c r="D52" s="14">
        <f>IF(WEEKDAY(B52,2)&lt;=4,"Dia útil (seg a qui)","Fim de semana (sex a dom)")</f>
        <v/>
      </c>
      <c r="E52" s="15">
        <f>IF(B52&lt;Parâmetros!$B$6+Parâmetros!$B$7,"Pós-pagamento","Pré-pagamento")</f>
        <v/>
      </c>
      <c r="F52" s="15">
        <f>Parâmetros!$A$16</f>
        <v/>
      </c>
      <c r="G52" s="15">
        <f>Parâmetros!$B$16</f>
        <v/>
      </c>
      <c r="H52" s="15">
        <f>IF(COUNTIF(Parâmetros!$B$22:$B$22,B52)&gt;0,"sim","não")</f>
        <v/>
      </c>
      <c r="I52" s="7" t="inlineStr">
        <is>
          <t>sim</t>
        </is>
      </c>
      <c r="J52" s="14">
        <f>IF(AND(H52="não",I52="sim"),"sim","não")</f>
        <v/>
      </c>
      <c r="K52" s="6">
        <f>E52&amp;" | "&amp;D52</f>
        <v/>
      </c>
      <c r="L52" s="14">
        <f>IF(J52="sim",COUNTIFS($K$3:$K$92,K52,$J$3:$J$92,"sim",$A$3:$A$92,"&lt;="&amp;A52),"")</f>
        <v/>
      </c>
    </row>
    <row r="53">
      <c r="A53" s="10" t="n">
        <v>0.117669602190748</v>
      </c>
      <c r="B53" s="8" t="n">
        <v>46310</v>
      </c>
      <c r="C53" s="14">
        <f>CHOOSE(WEEKDAY(B53,2),"segunda","terça","quarta","quinta","sexta","sábado","domingo")</f>
        <v/>
      </c>
      <c r="D53" s="14">
        <f>IF(WEEKDAY(B53,2)&lt;=4,"Dia útil (seg a qui)","Fim de semana (sex a dom)")</f>
        <v/>
      </c>
      <c r="E53" s="15">
        <f>IF(B53&lt;Parâmetros!$B$6+Parâmetros!$B$7,"Pós-pagamento","Pré-pagamento")</f>
        <v/>
      </c>
      <c r="F53" s="15">
        <f>Parâmetros!$A$17</f>
        <v/>
      </c>
      <c r="G53" s="15">
        <f>Parâmetros!$B$17</f>
        <v/>
      </c>
      <c r="H53" s="15">
        <f>IF(COUNTIF(Parâmetros!$B$22:$B$22,B53)&gt;0,"sim","não")</f>
        <v/>
      </c>
      <c r="I53" s="7" t="inlineStr">
        <is>
          <t>sim</t>
        </is>
      </c>
      <c r="J53" s="14">
        <f>IF(AND(H53="não",I53="sim"),"sim","não")</f>
        <v/>
      </c>
      <c r="K53" s="6">
        <f>E53&amp;" | "&amp;D53</f>
        <v/>
      </c>
      <c r="L53" s="14">
        <f>IF(J53="sim",COUNTIFS($K$3:$K$92,K53,$J$3:$J$92,"sim",$A$3:$A$92,"&lt;="&amp;A53),"")</f>
        <v/>
      </c>
    </row>
    <row r="54">
      <c r="A54" s="10" t="n">
        <v>0.1665756812707905</v>
      </c>
      <c r="B54" s="8" t="n">
        <v>46311</v>
      </c>
      <c r="C54" s="14">
        <f>CHOOSE(WEEKDAY(B54,2),"segunda","terça","quarta","quinta","sexta","sábado","domingo")</f>
        <v/>
      </c>
      <c r="D54" s="14">
        <f>IF(WEEKDAY(B54,2)&lt;=4,"Dia útil (seg a qui)","Fim de semana (sex a dom)")</f>
        <v/>
      </c>
      <c r="E54" s="15">
        <f>IF(B54&lt;Parâmetros!$B$6+Parâmetros!$B$7,"Pós-pagamento","Pré-pagamento")</f>
        <v/>
      </c>
      <c r="F54" s="15">
        <f>Parâmetros!$A$15</f>
        <v/>
      </c>
      <c r="G54" s="15">
        <f>Parâmetros!$B$15</f>
        <v/>
      </c>
      <c r="H54" s="15">
        <f>IF(COUNTIF(Parâmetros!$B$22:$B$22,B54)&gt;0,"sim","não")</f>
        <v/>
      </c>
      <c r="I54" s="7" t="inlineStr">
        <is>
          <t>sim</t>
        </is>
      </c>
      <c r="J54" s="14">
        <f>IF(AND(H54="não",I54="sim"),"sim","não")</f>
        <v/>
      </c>
      <c r="K54" s="6">
        <f>E54&amp;" | "&amp;D54</f>
        <v/>
      </c>
      <c r="L54" s="14">
        <f>IF(J54="sim",COUNTIFS($K$3:$K$92,K54,$J$3:$J$92,"sim",$A$3:$A$92,"&lt;="&amp;A54),"")</f>
        <v/>
      </c>
    </row>
    <row r="55">
      <c r="A55" s="10" t="n">
        <v>0.6649891001422639</v>
      </c>
      <c r="B55" s="8" t="n">
        <v>46311</v>
      </c>
      <c r="C55" s="14">
        <f>CHOOSE(WEEKDAY(B55,2),"segunda","terça","quarta","quinta","sexta","sábado","domingo")</f>
        <v/>
      </c>
      <c r="D55" s="14">
        <f>IF(WEEKDAY(B55,2)&lt;=4,"Dia útil (seg a qui)","Fim de semana (sex a dom)")</f>
        <v/>
      </c>
      <c r="E55" s="15">
        <f>IF(B55&lt;Parâmetros!$B$6+Parâmetros!$B$7,"Pós-pagamento","Pré-pagamento")</f>
        <v/>
      </c>
      <c r="F55" s="15">
        <f>Parâmetros!$A$16</f>
        <v/>
      </c>
      <c r="G55" s="15">
        <f>Parâmetros!$B$16</f>
        <v/>
      </c>
      <c r="H55" s="15">
        <f>IF(COUNTIF(Parâmetros!$B$22:$B$22,B55)&gt;0,"sim","não")</f>
        <v/>
      </c>
      <c r="I55" s="7" t="inlineStr">
        <is>
          <t>sim</t>
        </is>
      </c>
      <c r="J55" s="14">
        <f>IF(AND(H55="não",I55="sim"),"sim","não")</f>
        <v/>
      </c>
      <c r="K55" s="6">
        <f>E55&amp;" | "&amp;D55</f>
        <v/>
      </c>
      <c r="L55" s="14">
        <f>IF(J55="sim",COUNTIFS($K$3:$K$92,K55,$J$3:$J$92,"sim",$A$3:$A$92,"&lt;="&amp;A55),"")</f>
        <v/>
      </c>
    </row>
    <row r="56">
      <c r="A56" s="10" t="n">
        <v>0.8497981125082282</v>
      </c>
      <c r="B56" s="8" t="n">
        <v>46311</v>
      </c>
      <c r="C56" s="14">
        <f>CHOOSE(WEEKDAY(B56,2),"segunda","terça","quarta","quinta","sexta","sábado","domingo")</f>
        <v/>
      </c>
      <c r="D56" s="14">
        <f>IF(WEEKDAY(B56,2)&lt;=4,"Dia útil (seg a qui)","Fim de semana (sex a dom)")</f>
        <v/>
      </c>
      <c r="E56" s="15">
        <f>IF(B56&lt;Parâmetros!$B$6+Parâmetros!$B$7,"Pós-pagamento","Pré-pagamento")</f>
        <v/>
      </c>
      <c r="F56" s="15">
        <f>Parâmetros!$A$17</f>
        <v/>
      </c>
      <c r="G56" s="15">
        <f>Parâmetros!$B$17</f>
        <v/>
      </c>
      <c r="H56" s="15">
        <f>IF(COUNTIF(Parâmetros!$B$22:$B$22,B56)&gt;0,"sim","não")</f>
        <v/>
      </c>
      <c r="I56" s="7" t="inlineStr">
        <is>
          <t>sim</t>
        </is>
      </c>
      <c r="J56" s="14">
        <f>IF(AND(H56="não",I56="sim"),"sim","não")</f>
        <v/>
      </c>
      <c r="K56" s="6">
        <f>E56&amp;" | "&amp;D56</f>
        <v/>
      </c>
      <c r="L56" s="14">
        <f>IF(J56="sim",COUNTIFS($K$3:$K$92,K56,$J$3:$J$92,"sim",$A$3:$A$92,"&lt;="&amp;A56),"")</f>
        <v/>
      </c>
    </row>
    <row r="57">
      <c r="A57" s="10" t="n">
        <v>0.8455924606568408</v>
      </c>
      <c r="B57" s="8" t="n">
        <v>46312</v>
      </c>
      <c r="C57" s="14">
        <f>CHOOSE(WEEKDAY(B57,2),"segunda","terça","quarta","quinta","sexta","sábado","domingo")</f>
        <v/>
      </c>
      <c r="D57" s="14">
        <f>IF(WEEKDAY(B57,2)&lt;=4,"Dia útil (seg a qui)","Fim de semana (sex a dom)")</f>
        <v/>
      </c>
      <c r="E57" s="15">
        <f>IF(B57&lt;Parâmetros!$B$6+Parâmetros!$B$7,"Pós-pagamento","Pré-pagamento")</f>
        <v/>
      </c>
      <c r="F57" s="15">
        <f>Parâmetros!$A$15</f>
        <v/>
      </c>
      <c r="G57" s="15">
        <f>Parâmetros!$B$15</f>
        <v/>
      </c>
      <c r="H57" s="15">
        <f>IF(COUNTIF(Parâmetros!$B$22:$B$22,B57)&gt;0,"sim","não")</f>
        <v/>
      </c>
      <c r="I57" s="7" t="inlineStr">
        <is>
          <t>sim</t>
        </is>
      </c>
      <c r="J57" s="14">
        <f>IF(AND(H57="não",I57="sim"),"sim","não")</f>
        <v/>
      </c>
      <c r="K57" s="6">
        <f>E57&amp;" | "&amp;D57</f>
        <v/>
      </c>
      <c r="L57" s="14">
        <f>IF(J57="sim",COUNTIFS($K$3:$K$92,K57,$J$3:$J$92,"sim",$A$3:$A$92,"&lt;="&amp;A57),"")</f>
        <v/>
      </c>
    </row>
    <row r="58">
      <c r="A58" s="10" t="n">
        <v>0.9954086095742065</v>
      </c>
      <c r="B58" s="8" t="n">
        <v>46312</v>
      </c>
      <c r="C58" s="14">
        <f>CHOOSE(WEEKDAY(B58,2),"segunda","terça","quarta","quinta","sexta","sábado","domingo")</f>
        <v/>
      </c>
      <c r="D58" s="14">
        <f>IF(WEEKDAY(B58,2)&lt;=4,"Dia útil (seg a qui)","Fim de semana (sex a dom)")</f>
        <v/>
      </c>
      <c r="E58" s="15">
        <f>IF(B58&lt;Parâmetros!$B$6+Parâmetros!$B$7,"Pós-pagamento","Pré-pagamento")</f>
        <v/>
      </c>
      <c r="F58" s="15">
        <f>Parâmetros!$A$16</f>
        <v/>
      </c>
      <c r="G58" s="15">
        <f>Parâmetros!$B$16</f>
        <v/>
      </c>
      <c r="H58" s="15">
        <f>IF(COUNTIF(Parâmetros!$B$22:$B$22,B58)&gt;0,"sim","não")</f>
        <v/>
      </c>
      <c r="I58" s="7" t="inlineStr">
        <is>
          <t>sim</t>
        </is>
      </c>
      <c r="J58" s="14">
        <f>IF(AND(H58="não",I58="sim"),"sim","não")</f>
        <v/>
      </c>
      <c r="K58" s="6">
        <f>E58&amp;" | "&amp;D58</f>
        <v/>
      </c>
      <c r="L58" s="14">
        <f>IF(J58="sim",COUNTIFS($K$3:$K$92,K58,$J$3:$J$92,"sim",$A$3:$A$92,"&lt;="&amp;A58),"")</f>
        <v/>
      </c>
    </row>
    <row r="59">
      <c r="A59" s="10" t="n">
        <v>0.05733870233366423</v>
      </c>
      <c r="B59" s="8" t="n">
        <v>46312</v>
      </c>
      <c r="C59" s="14">
        <f>CHOOSE(WEEKDAY(B59,2),"segunda","terça","quarta","quinta","sexta","sábado","domingo")</f>
        <v/>
      </c>
      <c r="D59" s="14">
        <f>IF(WEEKDAY(B59,2)&lt;=4,"Dia útil (seg a qui)","Fim de semana (sex a dom)")</f>
        <v/>
      </c>
      <c r="E59" s="15">
        <f>IF(B59&lt;Parâmetros!$B$6+Parâmetros!$B$7,"Pós-pagamento","Pré-pagamento")</f>
        <v/>
      </c>
      <c r="F59" s="15">
        <f>Parâmetros!$A$17</f>
        <v/>
      </c>
      <c r="G59" s="15">
        <f>Parâmetros!$B$17</f>
        <v/>
      </c>
      <c r="H59" s="15">
        <f>IF(COUNTIF(Parâmetros!$B$22:$B$22,B59)&gt;0,"sim","não")</f>
        <v/>
      </c>
      <c r="I59" s="7" t="inlineStr">
        <is>
          <t>sim</t>
        </is>
      </c>
      <c r="J59" s="14">
        <f>IF(AND(H59="não",I59="sim"),"sim","não")</f>
        <v/>
      </c>
      <c r="K59" s="6">
        <f>E59&amp;" | "&amp;D59</f>
        <v/>
      </c>
      <c r="L59" s="14">
        <f>IF(J59="sim",COUNTIFS($K$3:$K$92,K59,$J$3:$J$92,"sim",$A$3:$A$92,"&lt;="&amp;A59),"")</f>
        <v/>
      </c>
    </row>
    <row r="60">
      <c r="A60" s="10" t="n">
        <v>0.3772768224436559</v>
      </c>
      <c r="B60" s="8" t="n">
        <v>46313</v>
      </c>
      <c r="C60" s="14">
        <f>CHOOSE(WEEKDAY(B60,2),"segunda","terça","quarta","quinta","sexta","sábado","domingo")</f>
        <v/>
      </c>
      <c r="D60" s="14">
        <f>IF(WEEKDAY(B60,2)&lt;=4,"Dia útil (seg a qui)","Fim de semana (sex a dom)")</f>
        <v/>
      </c>
      <c r="E60" s="15">
        <f>IF(B60&lt;Parâmetros!$B$6+Parâmetros!$B$7,"Pós-pagamento","Pré-pagamento")</f>
        <v/>
      </c>
      <c r="F60" s="15">
        <f>Parâmetros!$A$15</f>
        <v/>
      </c>
      <c r="G60" s="15">
        <f>Parâmetros!$B$15</f>
        <v/>
      </c>
      <c r="H60" s="15">
        <f>IF(COUNTIF(Parâmetros!$B$22:$B$22,B60)&gt;0,"sim","não")</f>
        <v/>
      </c>
      <c r="I60" s="7" t="inlineStr">
        <is>
          <t>sim</t>
        </is>
      </c>
      <c r="J60" s="14">
        <f>IF(AND(H60="não",I60="sim"),"sim","não")</f>
        <v/>
      </c>
      <c r="K60" s="6">
        <f>E60&amp;" | "&amp;D60</f>
        <v/>
      </c>
      <c r="L60" s="14">
        <f>IF(J60="sim",COUNTIFS($K$3:$K$92,K60,$J$3:$J$92,"sim",$A$3:$A$92,"&lt;="&amp;A60),"")</f>
        <v/>
      </c>
    </row>
    <row r="61">
      <c r="A61" s="10" t="n">
        <v>0.3854138506142448</v>
      </c>
      <c r="B61" s="8" t="n">
        <v>46313</v>
      </c>
      <c r="C61" s="14">
        <f>CHOOSE(WEEKDAY(B61,2),"segunda","terça","quarta","quinta","sexta","sábado","domingo")</f>
        <v/>
      </c>
      <c r="D61" s="14">
        <f>IF(WEEKDAY(B61,2)&lt;=4,"Dia útil (seg a qui)","Fim de semana (sex a dom)")</f>
        <v/>
      </c>
      <c r="E61" s="15">
        <f>IF(B61&lt;Parâmetros!$B$6+Parâmetros!$B$7,"Pós-pagamento","Pré-pagamento")</f>
        <v/>
      </c>
      <c r="F61" s="15">
        <f>Parâmetros!$A$16</f>
        <v/>
      </c>
      <c r="G61" s="15">
        <f>Parâmetros!$B$16</f>
        <v/>
      </c>
      <c r="H61" s="15">
        <f>IF(COUNTIF(Parâmetros!$B$22:$B$22,B61)&gt;0,"sim","não")</f>
        <v/>
      </c>
      <c r="I61" s="7" t="inlineStr">
        <is>
          <t>sim</t>
        </is>
      </c>
      <c r="J61" s="14">
        <f>IF(AND(H61="não",I61="sim"),"sim","não")</f>
        <v/>
      </c>
      <c r="K61" s="6">
        <f>E61&amp;" | "&amp;D61</f>
        <v/>
      </c>
      <c r="L61" s="14">
        <f>IF(J61="sim",COUNTIFS($K$3:$K$92,K61,$J$3:$J$92,"sim",$A$3:$A$92,"&lt;="&amp;A61),"")</f>
        <v/>
      </c>
    </row>
    <row r="62">
      <c r="A62" s="10" t="n">
        <v>0.5441967676314293</v>
      </c>
      <c r="B62" s="8" t="n">
        <v>46313</v>
      </c>
      <c r="C62" s="14">
        <f>CHOOSE(WEEKDAY(B62,2),"segunda","terça","quarta","quinta","sexta","sábado","domingo")</f>
        <v/>
      </c>
      <c r="D62" s="14">
        <f>IF(WEEKDAY(B62,2)&lt;=4,"Dia útil (seg a qui)","Fim de semana (sex a dom)")</f>
        <v/>
      </c>
      <c r="E62" s="15">
        <f>IF(B62&lt;Parâmetros!$B$6+Parâmetros!$B$7,"Pós-pagamento","Pré-pagamento")</f>
        <v/>
      </c>
      <c r="F62" s="15">
        <f>Parâmetros!$A$17</f>
        <v/>
      </c>
      <c r="G62" s="15">
        <f>Parâmetros!$B$17</f>
        <v/>
      </c>
      <c r="H62" s="15">
        <f>IF(COUNTIF(Parâmetros!$B$22:$B$22,B62)&gt;0,"sim","não")</f>
        <v/>
      </c>
      <c r="I62" s="7" t="inlineStr">
        <is>
          <t>sim</t>
        </is>
      </c>
      <c r="J62" s="14">
        <f>IF(AND(H62="não",I62="sim"),"sim","não")</f>
        <v/>
      </c>
      <c r="K62" s="6">
        <f>E62&amp;" | "&amp;D62</f>
        <v/>
      </c>
      <c r="L62" s="14">
        <f>IF(J62="sim",COUNTIFS($K$3:$K$92,K62,$J$3:$J$92,"sim",$A$3:$A$92,"&lt;="&amp;A62),"")</f>
        <v/>
      </c>
    </row>
    <row r="63">
      <c r="A63" s="10" t="n">
        <v>0.7475549500258565</v>
      </c>
      <c r="B63" s="8" t="n">
        <v>46314</v>
      </c>
      <c r="C63" s="14">
        <f>CHOOSE(WEEKDAY(B63,2),"segunda","terça","quarta","quinta","sexta","sábado","domingo")</f>
        <v/>
      </c>
      <c r="D63" s="14">
        <f>IF(WEEKDAY(B63,2)&lt;=4,"Dia útil (seg a qui)","Fim de semana (sex a dom)")</f>
        <v/>
      </c>
      <c r="E63" s="15">
        <f>IF(B63&lt;Parâmetros!$B$6+Parâmetros!$B$7,"Pós-pagamento","Pré-pagamento")</f>
        <v/>
      </c>
      <c r="F63" s="15">
        <f>Parâmetros!$A$15</f>
        <v/>
      </c>
      <c r="G63" s="15">
        <f>Parâmetros!$B$15</f>
        <v/>
      </c>
      <c r="H63" s="15">
        <f>IF(COUNTIF(Parâmetros!$B$22:$B$22,B63)&gt;0,"sim","não")</f>
        <v/>
      </c>
      <c r="I63" s="7" t="inlineStr">
        <is>
          <t>sim</t>
        </is>
      </c>
      <c r="J63" s="14">
        <f>IF(AND(H63="não",I63="sim"),"sim","não")</f>
        <v/>
      </c>
      <c r="K63" s="6">
        <f>E63&amp;" | "&amp;D63</f>
        <v/>
      </c>
      <c r="L63" s="14">
        <f>IF(J63="sim",COUNTIFS($K$3:$K$92,K63,$J$3:$J$92,"sim",$A$3:$A$92,"&lt;="&amp;A63),"")</f>
        <v/>
      </c>
    </row>
    <row r="64">
      <c r="A64" s="10" t="n">
        <v>0.4476545336634395</v>
      </c>
      <c r="B64" s="8" t="n">
        <v>46314</v>
      </c>
      <c r="C64" s="14">
        <f>CHOOSE(WEEKDAY(B64,2),"segunda","terça","quarta","quinta","sexta","sábado","domingo")</f>
        <v/>
      </c>
      <c r="D64" s="14">
        <f>IF(WEEKDAY(B64,2)&lt;=4,"Dia útil (seg a qui)","Fim de semana (sex a dom)")</f>
        <v/>
      </c>
      <c r="E64" s="15">
        <f>IF(B64&lt;Parâmetros!$B$6+Parâmetros!$B$7,"Pós-pagamento","Pré-pagamento")</f>
        <v/>
      </c>
      <c r="F64" s="15">
        <f>Parâmetros!$A$16</f>
        <v/>
      </c>
      <c r="G64" s="15">
        <f>Parâmetros!$B$16</f>
        <v/>
      </c>
      <c r="H64" s="15">
        <f>IF(COUNTIF(Parâmetros!$B$22:$B$22,B64)&gt;0,"sim","não")</f>
        <v/>
      </c>
      <c r="I64" s="7" t="inlineStr">
        <is>
          <t>sim</t>
        </is>
      </c>
      <c r="J64" s="14">
        <f>IF(AND(H64="não",I64="sim"),"sim","não")</f>
        <v/>
      </c>
      <c r="K64" s="6">
        <f>E64&amp;" | "&amp;D64</f>
        <v/>
      </c>
      <c r="L64" s="14">
        <f>IF(J64="sim",COUNTIFS($K$3:$K$92,K64,$J$3:$J$92,"sim",$A$3:$A$92,"&lt;="&amp;A64),"")</f>
        <v/>
      </c>
    </row>
    <row r="65">
      <c r="A65" s="10" t="n">
        <v>0.1972903343990309</v>
      </c>
      <c r="B65" s="8" t="n">
        <v>46314</v>
      </c>
      <c r="C65" s="14">
        <f>CHOOSE(WEEKDAY(B65,2),"segunda","terça","quarta","quinta","sexta","sábado","domingo")</f>
        <v/>
      </c>
      <c r="D65" s="14">
        <f>IF(WEEKDAY(B65,2)&lt;=4,"Dia útil (seg a qui)","Fim de semana (sex a dom)")</f>
        <v/>
      </c>
      <c r="E65" s="15">
        <f>IF(B65&lt;Parâmetros!$B$6+Parâmetros!$B$7,"Pós-pagamento","Pré-pagamento")</f>
        <v/>
      </c>
      <c r="F65" s="15">
        <f>Parâmetros!$A$17</f>
        <v/>
      </c>
      <c r="G65" s="15">
        <f>Parâmetros!$B$17</f>
        <v/>
      </c>
      <c r="H65" s="15">
        <f>IF(COUNTIF(Parâmetros!$B$22:$B$22,B65)&gt;0,"sim","não")</f>
        <v/>
      </c>
      <c r="I65" s="7" t="inlineStr">
        <is>
          <t>sim</t>
        </is>
      </c>
      <c r="J65" s="14">
        <f>IF(AND(H65="não",I65="sim"),"sim","não")</f>
        <v/>
      </c>
      <c r="K65" s="6">
        <f>E65&amp;" | "&amp;D65</f>
        <v/>
      </c>
      <c r="L65" s="14">
        <f>IF(J65="sim",COUNTIFS($K$3:$K$92,K65,$J$3:$J$92,"sim",$A$3:$A$92,"&lt;="&amp;A65),"")</f>
        <v/>
      </c>
    </row>
    <row r="66">
      <c r="A66" s="10" t="n">
        <v>0.3846735369432718</v>
      </c>
      <c r="B66" s="8" t="n">
        <v>46315</v>
      </c>
      <c r="C66" s="14">
        <f>CHOOSE(WEEKDAY(B66,2),"segunda","terça","quarta","quinta","sexta","sábado","domingo")</f>
        <v/>
      </c>
      <c r="D66" s="14">
        <f>IF(WEEKDAY(B66,2)&lt;=4,"Dia útil (seg a qui)","Fim de semana (sex a dom)")</f>
        <v/>
      </c>
      <c r="E66" s="15">
        <f>IF(B66&lt;Parâmetros!$B$6+Parâmetros!$B$7,"Pós-pagamento","Pré-pagamento")</f>
        <v/>
      </c>
      <c r="F66" s="15">
        <f>Parâmetros!$A$15</f>
        <v/>
      </c>
      <c r="G66" s="15">
        <f>Parâmetros!$B$15</f>
        <v/>
      </c>
      <c r="H66" s="15">
        <f>IF(COUNTIF(Parâmetros!$B$22:$B$22,B66)&gt;0,"sim","não")</f>
        <v/>
      </c>
      <c r="I66" s="7" t="inlineStr">
        <is>
          <t>sim</t>
        </is>
      </c>
      <c r="J66" s="14">
        <f>IF(AND(H66="não",I66="sim"),"sim","não")</f>
        <v/>
      </c>
      <c r="K66" s="6">
        <f>E66&amp;" | "&amp;D66</f>
        <v/>
      </c>
      <c r="L66" s="14">
        <f>IF(J66="sim",COUNTIFS($K$3:$K$92,K66,$J$3:$J$92,"sim",$A$3:$A$92,"&lt;="&amp;A66),"")</f>
        <v/>
      </c>
    </row>
    <row r="67">
      <c r="A67" s="10" t="n">
        <v>0.6533010284031222</v>
      </c>
      <c r="B67" s="8" t="n">
        <v>46315</v>
      </c>
      <c r="C67" s="14">
        <f>CHOOSE(WEEKDAY(B67,2),"segunda","terça","quarta","quinta","sexta","sábado","domingo")</f>
        <v/>
      </c>
      <c r="D67" s="14">
        <f>IF(WEEKDAY(B67,2)&lt;=4,"Dia útil (seg a qui)","Fim de semana (sex a dom)")</f>
        <v/>
      </c>
      <c r="E67" s="15">
        <f>IF(B67&lt;Parâmetros!$B$6+Parâmetros!$B$7,"Pós-pagamento","Pré-pagamento")</f>
        <v/>
      </c>
      <c r="F67" s="15">
        <f>Parâmetros!$A$16</f>
        <v/>
      </c>
      <c r="G67" s="15">
        <f>Parâmetros!$B$16</f>
        <v/>
      </c>
      <c r="H67" s="15">
        <f>IF(COUNTIF(Parâmetros!$B$22:$B$22,B67)&gt;0,"sim","não")</f>
        <v/>
      </c>
      <c r="I67" s="7" t="inlineStr">
        <is>
          <t>sim</t>
        </is>
      </c>
      <c r="J67" s="14">
        <f>IF(AND(H67="não",I67="sim"),"sim","não")</f>
        <v/>
      </c>
      <c r="K67" s="6">
        <f>E67&amp;" | "&amp;D67</f>
        <v/>
      </c>
      <c r="L67" s="14">
        <f>IF(J67="sim",COUNTIFS($K$3:$K$92,K67,$J$3:$J$92,"sim",$A$3:$A$92,"&lt;="&amp;A67),"")</f>
        <v/>
      </c>
    </row>
    <row r="68">
      <c r="A68" s="10" t="n">
        <v>0.6295023408205945</v>
      </c>
      <c r="B68" s="8" t="n">
        <v>46315</v>
      </c>
      <c r="C68" s="14">
        <f>CHOOSE(WEEKDAY(B68,2),"segunda","terça","quarta","quinta","sexta","sábado","domingo")</f>
        <v/>
      </c>
      <c r="D68" s="14">
        <f>IF(WEEKDAY(B68,2)&lt;=4,"Dia útil (seg a qui)","Fim de semana (sex a dom)")</f>
        <v/>
      </c>
      <c r="E68" s="15">
        <f>IF(B68&lt;Parâmetros!$B$6+Parâmetros!$B$7,"Pós-pagamento","Pré-pagamento")</f>
        <v/>
      </c>
      <c r="F68" s="15">
        <f>Parâmetros!$A$17</f>
        <v/>
      </c>
      <c r="G68" s="15">
        <f>Parâmetros!$B$17</f>
        <v/>
      </c>
      <c r="H68" s="15">
        <f>IF(COUNTIF(Parâmetros!$B$22:$B$22,B68)&gt;0,"sim","não")</f>
        <v/>
      </c>
      <c r="I68" s="7" t="inlineStr">
        <is>
          <t>sim</t>
        </is>
      </c>
      <c r="J68" s="14">
        <f>IF(AND(H68="não",I68="sim"),"sim","não")</f>
        <v/>
      </c>
      <c r="K68" s="6">
        <f>E68&amp;" | "&amp;D68</f>
        <v/>
      </c>
      <c r="L68" s="14">
        <f>IF(J68="sim",COUNTIFS($K$3:$K$92,K68,$J$3:$J$92,"sim",$A$3:$A$92,"&lt;="&amp;A68),"")</f>
        <v/>
      </c>
    </row>
    <row r="69">
      <c r="A69" s="10" t="n">
        <v>0.4605435576049581</v>
      </c>
      <c r="B69" s="8" t="n">
        <v>46316</v>
      </c>
      <c r="C69" s="14">
        <f>CHOOSE(WEEKDAY(B69,2),"segunda","terça","quarta","quinta","sexta","sábado","domingo")</f>
        <v/>
      </c>
      <c r="D69" s="14">
        <f>IF(WEEKDAY(B69,2)&lt;=4,"Dia útil (seg a qui)","Fim de semana (sex a dom)")</f>
        <v/>
      </c>
      <c r="E69" s="15">
        <f>IF(B69&lt;Parâmetros!$B$6+Parâmetros!$B$7,"Pós-pagamento","Pré-pagamento")</f>
        <v/>
      </c>
      <c r="F69" s="15">
        <f>Parâmetros!$A$15</f>
        <v/>
      </c>
      <c r="G69" s="15">
        <f>Parâmetros!$B$15</f>
        <v/>
      </c>
      <c r="H69" s="15">
        <f>IF(COUNTIF(Parâmetros!$B$22:$B$22,B69)&gt;0,"sim","não")</f>
        <v/>
      </c>
      <c r="I69" s="7" t="inlineStr">
        <is>
          <t>sim</t>
        </is>
      </c>
      <c r="J69" s="14">
        <f>IF(AND(H69="não",I69="sim"),"sim","não")</f>
        <v/>
      </c>
      <c r="K69" s="6">
        <f>E69&amp;" | "&amp;D69</f>
        <v/>
      </c>
      <c r="L69" s="14">
        <f>IF(J69="sim",COUNTIFS($K$3:$K$92,K69,$J$3:$J$92,"sim",$A$3:$A$92,"&lt;="&amp;A69),"")</f>
        <v/>
      </c>
    </row>
    <row r="70">
      <c r="A70" s="10" t="n">
        <v>0.4740552411429358</v>
      </c>
      <c r="B70" s="8" t="n">
        <v>46316</v>
      </c>
      <c r="C70" s="14">
        <f>CHOOSE(WEEKDAY(B70,2),"segunda","terça","quarta","quinta","sexta","sábado","domingo")</f>
        <v/>
      </c>
      <c r="D70" s="14">
        <f>IF(WEEKDAY(B70,2)&lt;=4,"Dia útil (seg a qui)","Fim de semana (sex a dom)")</f>
        <v/>
      </c>
      <c r="E70" s="15">
        <f>IF(B70&lt;Parâmetros!$B$6+Parâmetros!$B$7,"Pós-pagamento","Pré-pagamento")</f>
        <v/>
      </c>
      <c r="F70" s="15">
        <f>Parâmetros!$A$16</f>
        <v/>
      </c>
      <c r="G70" s="15">
        <f>Parâmetros!$B$16</f>
        <v/>
      </c>
      <c r="H70" s="15">
        <f>IF(COUNTIF(Parâmetros!$B$22:$B$22,B70)&gt;0,"sim","não")</f>
        <v/>
      </c>
      <c r="I70" s="7" t="inlineStr">
        <is>
          <t>sim</t>
        </is>
      </c>
      <c r="J70" s="14">
        <f>IF(AND(H70="não",I70="sim"),"sim","não")</f>
        <v/>
      </c>
      <c r="K70" s="6">
        <f>E70&amp;" | "&amp;D70</f>
        <v/>
      </c>
      <c r="L70" s="14">
        <f>IF(J70="sim",COUNTIFS($K$3:$K$92,K70,$J$3:$J$92,"sim",$A$3:$A$92,"&lt;="&amp;A70),"")</f>
        <v/>
      </c>
    </row>
    <row r="71">
      <c r="A71" s="10" t="n">
        <v>0.1793231984852777</v>
      </c>
      <c r="B71" s="8" t="n">
        <v>46316</v>
      </c>
      <c r="C71" s="14">
        <f>CHOOSE(WEEKDAY(B71,2),"segunda","terça","quarta","quinta","sexta","sábado","domingo")</f>
        <v/>
      </c>
      <c r="D71" s="14">
        <f>IF(WEEKDAY(B71,2)&lt;=4,"Dia útil (seg a qui)","Fim de semana (sex a dom)")</f>
        <v/>
      </c>
      <c r="E71" s="15">
        <f>IF(B71&lt;Parâmetros!$B$6+Parâmetros!$B$7,"Pós-pagamento","Pré-pagamento")</f>
        <v/>
      </c>
      <c r="F71" s="15">
        <f>Parâmetros!$A$17</f>
        <v/>
      </c>
      <c r="G71" s="15">
        <f>Parâmetros!$B$17</f>
        <v/>
      </c>
      <c r="H71" s="15">
        <f>IF(COUNTIF(Parâmetros!$B$22:$B$22,B71)&gt;0,"sim","não")</f>
        <v/>
      </c>
      <c r="I71" s="7" t="inlineStr">
        <is>
          <t>sim</t>
        </is>
      </c>
      <c r="J71" s="14">
        <f>IF(AND(H71="não",I71="sim"),"sim","não")</f>
        <v/>
      </c>
      <c r="K71" s="6">
        <f>E71&amp;" | "&amp;D71</f>
        <v/>
      </c>
      <c r="L71" s="14">
        <f>IF(J71="sim",COUNTIFS($K$3:$K$92,K71,$J$3:$J$92,"sim",$A$3:$A$92,"&lt;="&amp;A71),"")</f>
        <v/>
      </c>
    </row>
    <row r="72">
      <c r="A72" s="10" t="n">
        <v>0.9690906859661099</v>
      </c>
      <c r="B72" s="8" t="n">
        <v>46317</v>
      </c>
      <c r="C72" s="14">
        <f>CHOOSE(WEEKDAY(B72,2),"segunda","terça","quarta","quinta","sexta","sábado","domingo")</f>
        <v/>
      </c>
      <c r="D72" s="14">
        <f>IF(WEEKDAY(B72,2)&lt;=4,"Dia útil (seg a qui)","Fim de semana (sex a dom)")</f>
        <v/>
      </c>
      <c r="E72" s="15">
        <f>IF(B72&lt;Parâmetros!$B$6+Parâmetros!$B$7,"Pós-pagamento","Pré-pagamento")</f>
        <v/>
      </c>
      <c r="F72" s="15">
        <f>Parâmetros!$A$15</f>
        <v/>
      </c>
      <c r="G72" s="15">
        <f>Parâmetros!$B$15</f>
        <v/>
      </c>
      <c r="H72" s="15">
        <f>IF(COUNTIF(Parâmetros!$B$22:$B$22,B72)&gt;0,"sim","não")</f>
        <v/>
      </c>
      <c r="I72" s="7" t="inlineStr">
        <is>
          <t>sim</t>
        </is>
      </c>
      <c r="J72" s="14">
        <f>IF(AND(H72="não",I72="sim"),"sim","não")</f>
        <v/>
      </c>
      <c r="K72" s="6">
        <f>E72&amp;" | "&amp;D72</f>
        <v/>
      </c>
      <c r="L72" s="14">
        <f>IF(J72="sim",COUNTIFS($K$3:$K$92,K72,$J$3:$J$92,"sim",$A$3:$A$92,"&lt;="&amp;A72),"")</f>
        <v/>
      </c>
    </row>
    <row r="73">
      <c r="A73" s="10" t="n">
        <v>0.703958892668654</v>
      </c>
      <c r="B73" s="8" t="n">
        <v>46317</v>
      </c>
      <c r="C73" s="14">
        <f>CHOOSE(WEEKDAY(B73,2),"segunda","terça","quarta","quinta","sexta","sábado","domingo")</f>
        <v/>
      </c>
      <c r="D73" s="14">
        <f>IF(WEEKDAY(B73,2)&lt;=4,"Dia útil (seg a qui)","Fim de semana (sex a dom)")</f>
        <v/>
      </c>
      <c r="E73" s="15">
        <f>IF(B73&lt;Parâmetros!$B$6+Parâmetros!$B$7,"Pós-pagamento","Pré-pagamento")</f>
        <v/>
      </c>
      <c r="F73" s="15">
        <f>Parâmetros!$A$16</f>
        <v/>
      </c>
      <c r="G73" s="15">
        <f>Parâmetros!$B$16</f>
        <v/>
      </c>
      <c r="H73" s="15">
        <f>IF(COUNTIF(Parâmetros!$B$22:$B$22,B73)&gt;0,"sim","não")</f>
        <v/>
      </c>
      <c r="I73" s="7" t="inlineStr">
        <is>
          <t>sim</t>
        </is>
      </c>
      <c r="J73" s="14">
        <f>IF(AND(H73="não",I73="sim"),"sim","não")</f>
        <v/>
      </c>
      <c r="K73" s="6">
        <f>E73&amp;" | "&amp;D73</f>
        <v/>
      </c>
      <c r="L73" s="14">
        <f>IF(J73="sim",COUNTIFS($K$3:$K$92,K73,$J$3:$J$92,"sim",$A$3:$A$92,"&lt;="&amp;A73),"")</f>
        <v/>
      </c>
    </row>
    <row r="74">
      <c r="A74" s="10" t="n">
        <v>0.6249807925922821</v>
      </c>
      <c r="B74" s="8" t="n">
        <v>46317</v>
      </c>
      <c r="C74" s="14">
        <f>CHOOSE(WEEKDAY(B74,2),"segunda","terça","quarta","quinta","sexta","sábado","domingo")</f>
        <v/>
      </c>
      <c r="D74" s="14">
        <f>IF(WEEKDAY(B74,2)&lt;=4,"Dia útil (seg a qui)","Fim de semana (sex a dom)")</f>
        <v/>
      </c>
      <c r="E74" s="15">
        <f>IF(B74&lt;Parâmetros!$B$6+Parâmetros!$B$7,"Pós-pagamento","Pré-pagamento")</f>
        <v/>
      </c>
      <c r="F74" s="15">
        <f>Parâmetros!$A$17</f>
        <v/>
      </c>
      <c r="G74" s="15">
        <f>Parâmetros!$B$17</f>
        <v/>
      </c>
      <c r="H74" s="15">
        <f>IF(COUNTIF(Parâmetros!$B$22:$B$22,B74)&gt;0,"sim","não")</f>
        <v/>
      </c>
      <c r="I74" s="7" t="inlineStr">
        <is>
          <t>sim</t>
        </is>
      </c>
      <c r="J74" s="14">
        <f>IF(AND(H74="não",I74="sim"),"sim","não")</f>
        <v/>
      </c>
      <c r="K74" s="6">
        <f>E74&amp;" | "&amp;D74</f>
        <v/>
      </c>
      <c r="L74" s="14">
        <f>IF(J74="sim",COUNTIFS($K$3:$K$92,K74,$J$3:$J$92,"sim",$A$3:$A$92,"&lt;="&amp;A74),"")</f>
        <v/>
      </c>
    </row>
    <row r="75">
      <c r="A75" s="10" t="n">
        <v>0.1147085543511175</v>
      </c>
      <c r="B75" s="8" t="n">
        <v>46318</v>
      </c>
      <c r="C75" s="14">
        <f>CHOOSE(WEEKDAY(B75,2),"segunda","terça","quarta","quinta","sexta","sábado","domingo")</f>
        <v/>
      </c>
      <c r="D75" s="14">
        <f>IF(WEEKDAY(B75,2)&lt;=4,"Dia útil (seg a qui)","Fim de semana (sex a dom)")</f>
        <v/>
      </c>
      <c r="E75" s="15">
        <f>IF(B75&lt;Parâmetros!$B$6+Parâmetros!$B$7,"Pós-pagamento","Pré-pagamento")</f>
        <v/>
      </c>
      <c r="F75" s="15">
        <f>Parâmetros!$A$15</f>
        <v/>
      </c>
      <c r="G75" s="15">
        <f>Parâmetros!$B$15</f>
        <v/>
      </c>
      <c r="H75" s="15">
        <f>IF(COUNTIF(Parâmetros!$B$22:$B$22,B75)&gt;0,"sim","não")</f>
        <v/>
      </c>
      <c r="I75" s="7" t="inlineStr">
        <is>
          <t>sim</t>
        </is>
      </c>
      <c r="J75" s="14">
        <f>IF(AND(H75="não",I75="sim"),"sim","não")</f>
        <v/>
      </c>
      <c r="K75" s="6">
        <f>E75&amp;" | "&amp;D75</f>
        <v/>
      </c>
      <c r="L75" s="14">
        <f>IF(J75="sim",COUNTIFS($K$3:$K$92,K75,$J$3:$J$92,"sim",$A$3:$A$92,"&lt;="&amp;A75),"")</f>
        <v/>
      </c>
    </row>
    <row r="76">
      <c r="A76" s="10" t="n">
        <v>0.4853627324018168</v>
      </c>
      <c r="B76" s="8" t="n">
        <v>46318</v>
      </c>
      <c r="C76" s="14">
        <f>CHOOSE(WEEKDAY(B76,2),"segunda","terça","quarta","quinta","sexta","sábado","domingo")</f>
        <v/>
      </c>
      <c r="D76" s="14">
        <f>IF(WEEKDAY(B76,2)&lt;=4,"Dia útil (seg a qui)","Fim de semana (sex a dom)")</f>
        <v/>
      </c>
      <c r="E76" s="15">
        <f>IF(B76&lt;Parâmetros!$B$6+Parâmetros!$B$7,"Pós-pagamento","Pré-pagamento")</f>
        <v/>
      </c>
      <c r="F76" s="15">
        <f>Parâmetros!$A$16</f>
        <v/>
      </c>
      <c r="G76" s="15">
        <f>Parâmetros!$B$16</f>
        <v/>
      </c>
      <c r="H76" s="15">
        <f>IF(COUNTIF(Parâmetros!$B$22:$B$22,B76)&gt;0,"sim","não")</f>
        <v/>
      </c>
      <c r="I76" s="7" t="inlineStr">
        <is>
          <t>sim</t>
        </is>
      </c>
      <c r="J76" s="14">
        <f>IF(AND(H76="não",I76="sim"),"sim","não")</f>
        <v/>
      </c>
      <c r="K76" s="6">
        <f>E76&amp;" | "&amp;D76</f>
        <v/>
      </c>
      <c r="L76" s="14">
        <f>IF(J76="sim",COUNTIFS($K$3:$K$92,K76,$J$3:$J$92,"sim",$A$3:$A$92,"&lt;="&amp;A76),"")</f>
        <v/>
      </c>
    </row>
    <row r="77">
      <c r="A77" s="10" t="n">
        <v>0.8728868215339918</v>
      </c>
      <c r="B77" s="8" t="n">
        <v>46318</v>
      </c>
      <c r="C77" s="14">
        <f>CHOOSE(WEEKDAY(B77,2),"segunda","terça","quarta","quinta","sexta","sábado","domingo")</f>
        <v/>
      </c>
      <c r="D77" s="14">
        <f>IF(WEEKDAY(B77,2)&lt;=4,"Dia útil (seg a qui)","Fim de semana (sex a dom)")</f>
        <v/>
      </c>
      <c r="E77" s="15">
        <f>IF(B77&lt;Parâmetros!$B$6+Parâmetros!$B$7,"Pós-pagamento","Pré-pagamento")</f>
        <v/>
      </c>
      <c r="F77" s="15">
        <f>Parâmetros!$A$17</f>
        <v/>
      </c>
      <c r="G77" s="15">
        <f>Parâmetros!$B$17</f>
        <v/>
      </c>
      <c r="H77" s="15">
        <f>IF(COUNTIF(Parâmetros!$B$22:$B$22,B77)&gt;0,"sim","não")</f>
        <v/>
      </c>
      <c r="I77" s="7" t="inlineStr">
        <is>
          <t>sim</t>
        </is>
      </c>
      <c r="J77" s="14">
        <f>IF(AND(H77="não",I77="sim"),"sim","não")</f>
        <v/>
      </c>
      <c r="K77" s="6">
        <f>E77&amp;" | "&amp;D77</f>
        <v/>
      </c>
      <c r="L77" s="14">
        <f>IF(J77="sim",COUNTIFS($K$3:$K$92,K77,$J$3:$J$92,"sim",$A$3:$A$92,"&lt;="&amp;A77),"")</f>
        <v/>
      </c>
    </row>
    <row r="78">
      <c r="A78" s="10" t="n">
        <v>0.2649125139582128</v>
      </c>
      <c r="B78" s="8" t="n">
        <v>46319</v>
      </c>
      <c r="C78" s="14">
        <f>CHOOSE(WEEKDAY(B78,2),"segunda","terça","quarta","quinta","sexta","sábado","domingo")</f>
        <v/>
      </c>
      <c r="D78" s="14">
        <f>IF(WEEKDAY(B78,2)&lt;=4,"Dia útil (seg a qui)","Fim de semana (sex a dom)")</f>
        <v/>
      </c>
      <c r="E78" s="15">
        <f>IF(B78&lt;Parâmetros!$B$6+Parâmetros!$B$7,"Pós-pagamento","Pré-pagamento")</f>
        <v/>
      </c>
      <c r="F78" s="15">
        <f>Parâmetros!$A$15</f>
        <v/>
      </c>
      <c r="G78" s="15">
        <f>Parâmetros!$B$15</f>
        <v/>
      </c>
      <c r="H78" s="15">
        <f>IF(COUNTIF(Parâmetros!$B$22:$B$22,B78)&gt;0,"sim","não")</f>
        <v/>
      </c>
      <c r="I78" s="7" t="inlineStr">
        <is>
          <t>sim</t>
        </is>
      </c>
      <c r="J78" s="14">
        <f>IF(AND(H78="não",I78="sim"),"sim","não")</f>
        <v/>
      </c>
      <c r="K78" s="6">
        <f>E78&amp;" | "&amp;D78</f>
        <v/>
      </c>
      <c r="L78" s="14">
        <f>IF(J78="sim",COUNTIFS($K$3:$K$92,K78,$J$3:$J$92,"sim",$A$3:$A$92,"&lt;="&amp;A78),"")</f>
        <v/>
      </c>
    </row>
    <row r="79">
      <c r="A79" s="10" t="n">
        <v>0.8602655172277436</v>
      </c>
      <c r="B79" s="8" t="n">
        <v>46319</v>
      </c>
      <c r="C79" s="14">
        <f>CHOOSE(WEEKDAY(B79,2),"segunda","terça","quarta","quinta","sexta","sábado","domingo")</f>
        <v/>
      </c>
      <c r="D79" s="14">
        <f>IF(WEEKDAY(B79,2)&lt;=4,"Dia útil (seg a qui)","Fim de semana (sex a dom)")</f>
        <v/>
      </c>
      <c r="E79" s="15">
        <f>IF(B79&lt;Parâmetros!$B$6+Parâmetros!$B$7,"Pós-pagamento","Pré-pagamento")</f>
        <v/>
      </c>
      <c r="F79" s="15">
        <f>Parâmetros!$A$16</f>
        <v/>
      </c>
      <c r="G79" s="15">
        <f>Parâmetros!$B$16</f>
        <v/>
      </c>
      <c r="H79" s="15">
        <f>IF(COUNTIF(Parâmetros!$B$22:$B$22,B79)&gt;0,"sim","não")</f>
        <v/>
      </c>
      <c r="I79" s="7" t="inlineStr">
        <is>
          <t>sim</t>
        </is>
      </c>
      <c r="J79" s="14">
        <f>IF(AND(H79="não",I79="sim"),"sim","não")</f>
        <v/>
      </c>
      <c r="K79" s="6">
        <f>E79&amp;" | "&amp;D79</f>
        <v/>
      </c>
      <c r="L79" s="14">
        <f>IF(J79="sim",COUNTIFS($K$3:$K$92,K79,$J$3:$J$92,"sim",$A$3:$A$92,"&lt;="&amp;A79),"")</f>
        <v/>
      </c>
    </row>
    <row r="80">
      <c r="A80" s="10" t="n">
        <v>0.3282634438727106</v>
      </c>
      <c r="B80" s="8" t="n">
        <v>46319</v>
      </c>
      <c r="C80" s="14">
        <f>CHOOSE(WEEKDAY(B80,2),"segunda","terça","quarta","quinta","sexta","sábado","domingo")</f>
        <v/>
      </c>
      <c r="D80" s="14">
        <f>IF(WEEKDAY(B80,2)&lt;=4,"Dia útil (seg a qui)","Fim de semana (sex a dom)")</f>
        <v/>
      </c>
      <c r="E80" s="15">
        <f>IF(B80&lt;Parâmetros!$B$6+Parâmetros!$B$7,"Pós-pagamento","Pré-pagamento")</f>
        <v/>
      </c>
      <c r="F80" s="15">
        <f>Parâmetros!$A$17</f>
        <v/>
      </c>
      <c r="G80" s="15">
        <f>Parâmetros!$B$17</f>
        <v/>
      </c>
      <c r="H80" s="15">
        <f>IF(COUNTIF(Parâmetros!$B$22:$B$22,B80)&gt;0,"sim","não")</f>
        <v/>
      </c>
      <c r="I80" s="7" t="inlineStr">
        <is>
          <t>sim</t>
        </is>
      </c>
      <c r="J80" s="14">
        <f>IF(AND(H80="não",I80="sim"),"sim","não")</f>
        <v/>
      </c>
      <c r="K80" s="6">
        <f>E80&amp;" | "&amp;D80</f>
        <v/>
      </c>
      <c r="L80" s="14">
        <f>IF(J80="sim",COUNTIFS($K$3:$K$92,K80,$J$3:$J$92,"sim",$A$3:$A$92,"&lt;="&amp;A80),"")</f>
        <v/>
      </c>
    </row>
    <row r="81">
      <c r="A81" s="10" t="n">
        <v>0.9419110541238062</v>
      </c>
      <c r="B81" s="8" t="n">
        <v>46320</v>
      </c>
      <c r="C81" s="14">
        <f>CHOOSE(WEEKDAY(B81,2),"segunda","terça","quarta","quinta","sexta","sábado","domingo")</f>
        <v/>
      </c>
      <c r="D81" s="14">
        <f>IF(WEEKDAY(B81,2)&lt;=4,"Dia útil (seg a qui)","Fim de semana (sex a dom)")</f>
        <v/>
      </c>
      <c r="E81" s="15">
        <f>IF(B81&lt;Parâmetros!$B$6+Parâmetros!$B$7,"Pós-pagamento","Pré-pagamento")</f>
        <v/>
      </c>
      <c r="F81" s="15">
        <f>Parâmetros!$A$15</f>
        <v/>
      </c>
      <c r="G81" s="15">
        <f>Parâmetros!$B$15</f>
        <v/>
      </c>
      <c r="H81" s="15">
        <f>IF(COUNTIF(Parâmetros!$B$22:$B$22,B81)&gt;0,"sim","não")</f>
        <v/>
      </c>
      <c r="I81" s="7" t="inlineStr">
        <is>
          <t>sim</t>
        </is>
      </c>
      <c r="J81" s="14">
        <f>IF(AND(H81="não",I81="sim"),"sim","não")</f>
        <v/>
      </c>
      <c r="K81" s="6">
        <f>E81&amp;" | "&amp;D81</f>
        <v/>
      </c>
      <c r="L81" s="14">
        <f>IF(J81="sim",COUNTIFS($K$3:$K$92,K81,$J$3:$J$92,"sim",$A$3:$A$92,"&lt;="&amp;A81),"")</f>
        <v/>
      </c>
    </row>
    <row r="82">
      <c r="A82" s="10" t="n">
        <v>0.9421853409858529</v>
      </c>
      <c r="B82" s="8" t="n">
        <v>46320</v>
      </c>
      <c r="C82" s="14">
        <f>CHOOSE(WEEKDAY(B82,2),"segunda","terça","quarta","quinta","sexta","sábado","domingo")</f>
        <v/>
      </c>
      <c r="D82" s="14">
        <f>IF(WEEKDAY(B82,2)&lt;=4,"Dia útil (seg a qui)","Fim de semana (sex a dom)")</f>
        <v/>
      </c>
      <c r="E82" s="15">
        <f>IF(B82&lt;Parâmetros!$B$6+Parâmetros!$B$7,"Pós-pagamento","Pré-pagamento")</f>
        <v/>
      </c>
      <c r="F82" s="15">
        <f>Parâmetros!$A$16</f>
        <v/>
      </c>
      <c r="G82" s="15">
        <f>Parâmetros!$B$16</f>
        <v/>
      </c>
      <c r="H82" s="15">
        <f>IF(COUNTIF(Parâmetros!$B$22:$B$22,B82)&gt;0,"sim","não")</f>
        <v/>
      </c>
      <c r="I82" s="7" t="inlineStr">
        <is>
          <t>sim</t>
        </is>
      </c>
      <c r="J82" s="14">
        <f>IF(AND(H82="não",I82="sim"),"sim","não")</f>
        <v/>
      </c>
      <c r="K82" s="6">
        <f>E82&amp;" | "&amp;D82</f>
        <v/>
      </c>
      <c r="L82" s="14">
        <f>IF(J82="sim",COUNTIFS($K$3:$K$92,K82,$J$3:$J$92,"sim",$A$3:$A$92,"&lt;="&amp;A82),"")</f>
        <v/>
      </c>
    </row>
    <row r="83">
      <c r="A83" s="10" t="n">
        <v>0.7224289233786397</v>
      </c>
      <c r="B83" s="8" t="n">
        <v>46320</v>
      </c>
      <c r="C83" s="14">
        <f>CHOOSE(WEEKDAY(B83,2),"segunda","terça","quarta","quinta","sexta","sábado","domingo")</f>
        <v/>
      </c>
      <c r="D83" s="14">
        <f>IF(WEEKDAY(B83,2)&lt;=4,"Dia útil (seg a qui)","Fim de semana (sex a dom)")</f>
        <v/>
      </c>
      <c r="E83" s="15">
        <f>IF(B83&lt;Parâmetros!$B$6+Parâmetros!$B$7,"Pós-pagamento","Pré-pagamento")</f>
        <v/>
      </c>
      <c r="F83" s="15">
        <f>Parâmetros!$A$17</f>
        <v/>
      </c>
      <c r="G83" s="15">
        <f>Parâmetros!$B$17</f>
        <v/>
      </c>
      <c r="H83" s="15">
        <f>IF(COUNTIF(Parâmetros!$B$22:$B$22,B83)&gt;0,"sim","não")</f>
        <v/>
      </c>
      <c r="I83" s="7" t="inlineStr">
        <is>
          <t>sim</t>
        </is>
      </c>
      <c r="J83" s="14">
        <f>IF(AND(H83="não",I83="sim"),"sim","não")</f>
        <v/>
      </c>
      <c r="K83" s="6">
        <f>E83&amp;" | "&amp;D83</f>
        <v/>
      </c>
      <c r="L83" s="14">
        <f>IF(J83="sim",COUNTIFS($K$3:$K$92,K83,$J$3:$J$92,"sim",$A$3:$A$92,"&lt;="&amp;A83),"")</f>
        <v/>
      </c>
    </row>
    <row r="84">
      <c r="A84" s="10" t="n">
        <v>0.1780392237534251</v>
      </c>
      <c r="B84" s="8" t="n">
        <v>46321</v>
      </c>
      <c r="C84" s="14">
        <f>CHOOSE(WEEKDAY(B84,2),"segunda","terça","quarta","quinta","sexta","sábado","domingo")</f>
        <v/>
      </c>
      <c r="D84" s="14">
        <f>IF(WEEKDAY(B84,2)&lt;=4,"Dia útil (seg a qui)","Fim de semana (sex a dom)")</f>
        <v/>
      </c>
      <c r="E84" s="15">
        <f>IF(B84&lt;Parâmetros!$B$6+Parâmetros!$B$7,"Pós-pagamento","Pré-pagamento")</f>
        <v/>
      </c>
      <c r="F84" s="15">
        <f>Parâmetros!$A$15</f>
        <v/>
      </c>
      <c r="G84" s="15">
        <f>Parâmetros!$B$15</f>
        <v/>
      </c>
      <c r="H84" s="15">
        <f>IF(COUNTIF(Parâmetros!$B$22:$B$22,B84)&gt;0,"sim","não")</f>
        <v/>
      </c>
      <c r="I84" s="7" t="inlineStr">
        <is>
          <t>sim</t>
        </is>
      </c>
      <c r="J84" s="14">
        <f>IF(AND(H84="não",I84="sim"),"sim","não")</f>
        <v/>
      </c>
      <c r="K84" s="6">
        <f>E84&amp;" | "&amp;D84</f>
        <v/>
      </c>
      <c r="L84" s="14">
        <f>IF(J84="sim",COUNTIFS($K$3:$K$92,K84,$J$3:$J$92,"sim",$A$3:$A$92,"&lt;="&amp;A84),"")</f>
        <v/>
      </c>
    </row>
    <row r="85">
      <c r="A85" s="10" t="n">
        <v>0.1162729775778287</v>
      </c>
      <c r="B85" s="8" t="n">
        <v>46321</v>
      </c>
      <c r="C85" s="14">
        <f>CHOOSE(WEEKDAY(B85,2),"segunda","terça","quarta","quinta","sexta","sábado","domingo")</f>
        <v/>
      </c>
      <c r="D85" s="14">
        <f>IF(WEEKDAY(B85,2)&lt;=4,"Dia útil (seg a qui)","Fim de semana (sex a dom)")</f>
        <v/>
      </c>
      <c r="E85" s="15">
        <f>IF(B85&lt;Parâmetros!$B$6+Parâmetros!$B$7,"Pós-pagamento","Pré-pagamento")</f>
        <v/>
      </c>
      <c r="F85" s="15">
        <f>Parâmetros!$A$16</f>
        <v/>
      </c>
      <c r="G85" s="15">
        <f>Parâmetros!$B$16</f>
        <v/>
      </c>
      <c r="H85" s="15">
        <f>IF(COUNTIF(Parâmetros!$B$22:$B$22,B85)&gt;0,"sim","não")</f>
        <v/>
      </c>
      <c r="I85" s="7" t="inlineStr">
        <is>
          <t>sim</t>
        </is>
      </c>
      <c r="J85" s="14">
        <f>IF(AND(H85="não",I85="sim"),"sim","não")</f>
        <v/>
      </c>
      <c r="K85" s="6">
        <f>E85&amp;" | "&amp;D85</f>
        <v/>
      </c>
      <c r="L85" s="14">
        <f>IF(J85="sim",COUNTIFS($K$3:$K$92,K85,$J$3:$J$92,"sim",$A$3:$A$92,"&lt;="&amp;A85),"")</f>
        <v/>
      </c>
    </row>
    <row r="86">
      <c r="A86" s="10" t="n">
        <v>0.9886010914677926</v>
      </c>
      <c r="B86" s="8" t="n">
        <v>46321</v>
      </c>
      <c r="C86" s="14">
        <f>CHOOSE(WEEKDAY(B86,2),"segunda","terça","quarta","quinta","sexta","sábado","domingo")</f>
        <v/>
      </c>
      <c r="D86" s="14">
        <f>IF(WEEKDAY(B86,2)&lt;=4,"Dia útil (seg a qui)","Fim de semana (sex a dom)")</f>
        <v/>
      </c>
      <c r="E86" s="15">
        <f>IF(B86&lt;Parâmetros!$B$6+Parâmetros!$B$7,"Pós-pagamento","Pré-pagamento")</f>
        <v/>
      </c>
      <c r="F86" s="15">
        <f>Parâmetros!$A$17</f>
        <v/>
      </c>
      <c r="G86" s="15">
        <f>Parâmetros!$B$17</f>
        <v/>
      </c>
      <c r="H86" s="15">
        <f>IF(COUNTIF(Parâmetros!$B$22:$B$22,B86)&gt;0,"sim","não")</f>
        <v/>
      </c>
      <c r="I86" s="7" t="inlineStr">
        <is>
          <t>sim</t>
        </is>
      </c>
      <c r="J86" s="14">
        <f>IF(AND(H86="não",I86="sim"),"sim","não")</f>
        <v/>
      </c>
      <c r="K86" s="6">
        <f>E86&amp;" | "&amp;D86</f>
        <v/>
      </c>
      <c r="L86" s="14">
        <f>IF(J86="sim",COUNTIFS($K$3:$K$92,K86,$J$3:$J$92,"sim",$A$3:$A$92,"&lt;="&amp;A86),"")</f>
        <v/>
      </c>
    </row>
    <row r="87">
      <c r="A87" s="10" t="n">
        <v>0.5750673858549918</v>
      </c>
      <c r="B87" s="8" t="n">
        <v>46322</v>
      </c>
      <c r="C87" s="14">
        <f>CHOOSE(WEEKDAY(B87,2),"segunda","terça","quarta","quinta","sexta","sábado","domingo")</f>
        <v/>
      </c>
      <c r="D87" s="14">
        <f>IF(WEEKDAY(B87,2)&lt;=4,"Dia útil (seg a qui)","Fim de semana (sex a dom)")</f>
        <v/>
      </c>
      <c r="E87" s="15">
        <f>IF(B87&lt;Parâmetros!$B$6+Parâmetros!$B$7,"Pós-pagamento","Pré-pagamento")</f>
        <v/>
      </c>
      <c r="F87" s="15">
        <f>Parâmetros!$A$15</f>
        <v/>
      </c>
      <c r="G87" s="15">
        <f>Parâmetros!$B$15</f>
        <v/>
      </c>
      <c r="H87" s="15">
        <f>IF(COUNTIF(Parâmetros!$B$22:$B$22,B87)&gt;0,"sim","não")</f>
        <v/>
      </c>
      <c r="I87" s="7" t="inlineStr">
        <is>
          <t>sim</t>
        </is>
      </c>
      <c r="J87" s="14">
        <f>IF(AND(H87="não",I87="sim"),"sim","não")</f>
        <v/>
      </c>
      <c r="K87" s="6">
        <f>E87&amp;" | "&amp;D87</f>
        <v/>
      </c>
      <c r="L87" s="14">
        <f>IF(J87="sim",COUNTIFS($K$3:$K$92,K87,$J$3:$J$92,"sim",$A$3:$A$92,"&lt;="&amp;A87),"")</f>
        <v/>
      </c>
    </row>
    <row r="88">
      <c r="A88" s="10" t="n">
        <v>0.1349940171867224</v>
      </c>
      <c r="B88" s="8" t="n">
        <v>46322</v>
      </c>
      <c r="C88" s="14">
        <f>CHOOSE(WEEKDAY(B88,2),"segunda","terça","quarta","quinta","sexta","sábado","domingo")</f>
        <v/>
      </c>
      <c r="D88" s="14">
        <f>IF(WEEKDAY(B88,2)&lt;=4,"Dia útil (seg a qui)","Fim de semana (sex a dom)")</f>
        <v/>
      </c>
      <c r="E88" s="15">
        <f>IF(B88&lt;Parâmetros!$B$6+Parâmetros!$B$7,"Pós-pagamento","Pré-pagamento")</f>
        <v/>
      </c>
      <c r="F88" s="15">
        <f>Parâmetros!$A$16</f>
        <v/>
      </c>
      <c r="G88" s="15">
        <f>Parâmetros!$B$16</f>
        <v/>
      </c>
      <c r="H88" s="15">
        <f>IF(COUNTIF(Parâmetros!$B$22:$B$22,B88)&gt;0,"sim","não")</f>
        <v/>
      </c>
      <c r="I88" s="7" t="inlineStr">
        <is>
          <t>sim</t>
        </is>
      </c>
      <c r="J88" s="14">
        <f>IF(AND(H88="não",I88="sim"),"sim","não")</f>
        <v/>
      </c>
      <c r="K88" s="6">
        <f>E88&amp;" | "&amp;D88</f>
        <v/>
      </c>
      <c r="L88" s="14">
        <f>IF(J88="sim",COUNTIFS($K$3:$K$92,K88,$J$3:$J$92,"sim",$A$3:$A$92,"&lt;="&amp;A88),"")</f>
        <v/>
      </c>
    </row>
    <row r="89">
      <c r="A89" s="10" t="n">
        <v>0.4521367107099848</v>
      </c>
      <c r="B89" s="8" t="n">
        <v>46322</v>
      </c>
      <c r="C89" s="14">
        <f>CHOOSE(WEEKDAY(B89,2),"segunda","terça","quarta","quinta","sexta","sábado","domingo")</f>
        <v/>
      </c>
      <c r="D89" s="14">
        <f>IF(WEEKDAY(B89,2)&lt;=4,"Dia útil (seg a qui)","Fim de semana (sex a dom)")</f>
        <v/>
      </c>
      <c r="E89" s="15">
        <f>IF(B89&lt;Parâmetros!$B$6+Parâmetros!$B$7,"Pós-pagamento","Pré-pagamento")</f>
        <v/>
      </c>
      <c r="F89" s="15">
        <f>Parâmetros!$A$17</f>
        <v/>
      </c>
      <c r="G89" s="15">
        <f>Parâmetros!$B$17</f>
        <v/>
      </c>
      <c r="H89" s="15">
        <f>IF(COUNTIF(Parâmetros!$B$22:$B$22,B89)&gt;0,"sim","não")</f>
        <v/>
      </c>
      <c r="I89" s="7" t="inlineStr">
        <is>
          <t>sim</t>
        </is>
      </c>
      <c r="J89" s="14">
        <f>IF(AND(H89="não",I89="sim"),"sim","não")</f>
        <v/>
      </c>
      <c r="K89" s="6">
        <f>E89&amp;" | "&amp;D89</f>
        <v/>
      </c>
      <c r="L89" s="14">
        <f>IF(J89="sim",COUNTIFS($K$3:$K$92,K89,$J$3:$J$92,"sim",$A$3:$A$92,"&lt;="&amp;A89),"")</f>
        <v/>
      </c>
    </row>
    <row r="90">
      <c r="A90" s="10" t="n">
        <v>0.5152039583304815</v>
      </c>
      <c r="B90" s="8" t="n">
        <v>46323</v>
      </c>
      <c r="C90" s="14">
        <f>CHOOSE(WEEKDAY(B90,2),"segunda","terça","quarta","quinta","sexta","sábado","domingo")</f>
        <v/>
      </c>
      <c r="D90" s="14">
        <f>IF(WEEKDAY(B90,2)&lt;=4,"Dia útil (seg a qui)","Fim de semana (sex a dom)")</f>
        <v/>
      </c>
      <c r="E90" s="15">
        <f>IF(B90&lt;Parâmetros!$B$6+Parâmetros!$B$7,"Pós-pagamento","Pré-pagamento")</f>
        <v/>
      </c>
      <c r="F90" s="15">
        <f>Parâmetros!$A$15</f>
        <v/>
      </c>
      <c r="G90" s="15">
        <f>Parâmetros!$B$15</f>
        <v/>
      </c>
      <c r="H90" s="15">
        <f>IF(COUNTIF(Parâmetros!$B$22:$B$22,B90)&gt;0,"sim","não")</f>
        <v/>
      </c>
      <c r="I90" s="7" t="inlineStr">
        <is>
          <t>sim</t>
        </is>
      </c>
      <c r="J90" s="14">
        <f>IF(AND(H90="não",I90="sim"),"sim","não")</f>
        <v/>
      </c>
      <c r="K90" s="6">
        <f>E90&amp;" | "&amp;D90</f>
        <v/>
      </c>
      <c r="L90" s="14">
        <f>IF(J90="sim",COUNTIFS($K$3:$K$92,K90,$J$3:$J$92,"sim",$A$3:$A$92,"&lt;="&amp;A90),"")</f>
        <v/>
      </c>
    </row>
    <row r="91">
      <c r="A91" s="10" t="n">
        <v>0.3093208272341297</v>
      </c>
      <c r="B91" s="8" t="n">
        <v>46323</v>
      </c>
      <c r="C91" s="14">
        <f>CHOOSE(WEEKDAY(B91,2),"segunda","terça","quarta","quinta","sexta","sábado","domingo")</f>
        <v/>
      </c>
      <c r="D91" s="14">
        <f>IF(WEEKDAY(B91,2)&lt;=4,"Dia útil (seg a qui)","Fim de semana (sex a dom)")</f>
        <v/>
      </c>
      <c r="E91" s="15">
        <f>IF(B91&lt;Parâmetros!$B$6+Parâmetros!$B$7,"Pós-pagamento","Pré-pagamento")</f>
        <v/>
      </c>
      <c r="F91" s="15">
        <f>Parâmetros!$A$16</f>
        <v/>
      </c>
      <c r="G91" s="15">
        <f>Parâmetros!$B$16</f>
        <v/>
      </c>
      <c r="H91" s="15">
        <f>IF(COUNTIF(Parâmetros!$B$22:$B$22,B91)&gt;0,"sim","não")</f>
        <v/>
      </c>
      <c r="I91" s="7" t="inlineStr">
        <is>
          <t>sim</t>
        </is>
      </c>
      <c r="J91" s="14">
        <f>IF(AND(H91="não",I91="sim"),"sim","não")</f>
        <v/>
      </c>
      <c r="K91" s="6">
        <f>E91&amp;" | "&amp;D91</f>
        <v/>
      </c>
      <c r="L91" s="14">
        <f>IF(J91="sim",COUNTIFS($K$3:$K$92,K91,$J$3:$J$92,"sim",$A$3:$A$92,"&lt;="&amp;A91),"")</f>
        <v/>
      </c>
    </row>
    <row r="92">
      <c r="A92" s="10" t="n">
        <v>0.8501664599136998</v>
      </c>
      <c r="B92" s="8" t="n">
        <v>46323</v>
      </c>
      <c r="C92" s="14">
        <f>CHOOSE(WEEKDAY(B92,2),"segunda","terça","quarta","quinta","sexta","sábado","domingo")</f>
        <v/>
      </c>
      <c r="D92" s="14">
        <f>IF(WEEKDAY(B92,2)&lt;=4,"Dia útil (seg a qui)","Fim de semana (sex a dom)")</f>
        <v/>
      </c>
      <c r="E92" s="15">
        <f>IF(B92&lt;Parâmetros!$B$6+Parâmetros!$B$7,"Pós-pagamento","Pré-pagamento")</f>
        <v/>
      </c>
      <c r="F92" s="15">
        <f>Parâmetros!$A$17</f>
        <v/>
      </c>
      <c r="G92" s="15">
        <f>Parâmetros!$B$17</f>
        <v/>
      </c>
      <c r="H92" s="15">
        <f>IF(COUNTIF(Parâmetros!$B$22:$B$22,B92)&gt;0,"sim","não")</f>
        <v/>
      </c>
      <c r="I92" s="7" t="inlineStr">
        <is>
          <t>sim</t>
        </is>
      </c>
      <c r="J92" s="14">
        <f>IF(AND(H92="não",I92="sim"),"sim","não")</f>
        <v/>
      </c>
      <c r="K92" s="6">
        <f>E92&amp;" | "&amp;D92</f>
        <v/>
      </c>
      <c r="L92" s="14">
        <f>IF(J92="sim",COUNTIFS($K$3:$K$92,K92,$J$3:$J$92,"sim",$A$3:$A$92,"&lt;="&amp;A92),"")</f>
        <v/>
      </c>
    </row>
  </sheetData>
  <dataValidations count="1">
    <dataValidation sqref="I3:I92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2" customWidth="1" min="4" max="4"/>
    <col width="12" customWidth="1" min="5" max="5"/>
    <col width="13" customWidth="1" min="6" max="6"/>
    <col width="10" customWidth="1" min="7" max="7"/>
    <col width="16" customWidth="1" min="8" max="8"/>
    <col width="58" customWidth="1" min="9" max="9"/>
  </cols>
  <sheetData>
    <row r="1">
      <c r="A1" s="4" t="inlineStr">
        <is>
          <t>Resultado do sorteio: 4 visitas</t>
        </is>
      </c>
    </row>
    <row r="2">
      <c r="A2" s="5" t="inlineStr">
        <is>
          <t>Visita</t>
        </is>
      </c>
      <c r="B2" s="5" t="inlineStr">
        <is>
          <t>Quinzena</t>
        </is>
      </c>
      <c r="C2" s="5" t="inlineStr">
        <is>
          <t>Tipo de dia</t>
        </is>
      </c>
      <c r="D2" s="5" t="inlineStr">
        <is>
          <t>Unidade</t>
        </is>
      </c>
      <c r="E2" s="5" t="inlineStr">
        <is>
          <t>Data</t>
        </is>
      </c>
      <c r="F2" s="5" t="inlineStr">
        <is>
          <t>Dia da semana</t>
        </is>
      </c>
      <c r="G2" s="5" t="inlineStr">
        <is>
          <t>Turno</t>
        </is>
      </c>
      <c r="H2" s="5" t="inlineStr">
        <is>
          <t>Horário</t>
        </is>
      </c>
      <c r="I2" s="5" t="inlineStr">
        <is>
          <t>Horários das contagens</t>
        </is>
      </c>
    </row>
    <row r="3">
      <c r="A3" s="13" t="n">
        <v>1</v>
      </c>
      <c r="B3" s="13" t="inlineStr">
        <is>
          <t>Pós-pagamento</t>
        </is>
      </c>
      <c r="C3" s="13" t="inlineStr">
        <is>
          <t>Dia útil (seg a qui)</t>
        </is>
      </c>
      <c r="D3" s="15">
        <f>IF(Parâmetros!$B$10&lt;0.5,Parâmetros!$B$4,Parâmetros!$B$5)</f>
        <v/>
      </c>
      <c r="E3" s="16">
        <f>IFERROR(INDEX('Datas e turnos'!$B$3:$B$92,MATCH(1,INDEX(('Datas e turnos'!$K$3:$K$92=B3&amp;" | "&amp;C3)*('Datas e turnos'!$L$3:$L$92=1),0),0)),"sem dia elegível")</f>
        <v/>
      </c>
      <c r="F3" s="15">
        <f>IFERROR(INDEX('Datas e turnos'!$C$3:$C$92,MATCH(1,INDEX(('Datas e turnos'!$K$3:$K$92=B3&amp;" | "&amp;C3)*('Datas e turnos'!$L$3:$L$92=1),0),0)),"sem dia elegível")</f>
        <v/>
      </c>
      <c r="G3" s="15">
        <f>IFERROR(INDEX('Datas e turnos'!$F$3:$F$92,MATCH(1,INDEX(('Datas e turnos'!$K$3:$K$92=B3&amp;" | "&amp;C3)*('Datas e turnos'!$L$3:$L$92=1),0),0)),"sem dia elegível")</f>
        <v/>
      </c>
      <c r="H3" s="15">
        <f>IFERROR(INDEX('Datas e turnos'!$G$3:$G$92,MATCH(1,INDEX(('Datas e turnos'!$K$3:$K$92=B3&amp;" | "&amp;C3)*('Datas e turnos'!$L$3:$L$92=1),0),0)),"sem dia elegível")</f>
        <v/>
      </c>
      <c r="I3" s="17">
        <f>IFERROR(INDEX(Parâmetros!$C$15:$C$17,MATCH(G3,Parâmetros!$A$15:$A$17,0)),"")</f>
        <v/>
      </c>
    </row>
    <row r="4">
      <c r="A4" s="13" t="n">
        <v>2</v>
      </c>
      <c r="B4" s="13" t="inlineStr">
        <is>
          <t>Pós-pagamento</t>
        </is>
      </c>
      <c r="C4" s="13" t="inlineStr">
        <is>
          <t>Fim de semana (sex a dom)</t>
        </is>
      </c>
      <c r="D4" s="15">
        <f>IF(Parâmetros!$B$10&lt;0.5,Parâmetros!$B$5,Parâmetros!$B$4)</f>
        <v/>
      </c>
      <c r="E4" s="16">
        <f>IFERROR(INDEX('Datas e turnos'!$B$3:$B$92,MATCH(1,INDEX(('Datas e turnos'!$K$3:$K$92=B4&amp;" | "&amp;C4)*('Datas e turnos'!$L$3:$L$92=1),0),0)),"sem dia elegível")</f>
        <v/>
      </c>
      <c r="F4" s="15">
        <f>IFERROR(INDEX('Datas e turnos'!$C$3:$C$92,MATCH(1,INDEX(('Datas e turnos'!$K$3:$K$92=B4&amp;" | "&amp;C4)*('Datas e turnos'!$L$3:$L$92=1),0),0)),"sem dia elegível")</f>
        <v/>
      </c>
      <c r="G4" s="15">
        <f>IFERROR(INDEX('Datas e turnos'!$F$3:$F$92,MATCH(1,INDEX(('Datas e turnos'!$K$3:$K$92=B4&amp;" | "&amp;C4)*('Datas e turnos'!$L$3:$L$92=1),0),0)),"sem dia elegível")</f>
        <v/>
      </c>
      <c r="H4" s="15">
        <f>IFERROR(INDEX('Datas e turnos'!$G$3:$G$92,MATCH(1,INDEX(('Datas e turnos'!$K$3:$K$92=B4&amp;" | "&amp;C4)*('Datas e turnos'!$L$3:$L$92=1),0),0)),"sem dia elegível")</f>
        <v/>
      </c>
      <c r="I4" s="17">
        <f>IFERROR(INDEX(Parâmetros!$C$15:$C$17,MATCH(G4,Parâmetros!$A$15:$A$17,0)),"")</f>
        <v/>
      </c>
    </row>
    <row r="5">
      <c r="A5" s="13" t="n">
        <v>3</v>
      </c>
      <c r="B5" s="13" t="inlineStr">
        <is>
          <t>Pré-pagamento</t>
        </is>
      </c>
      <c r="C5" s="13" t="inlineStr">
        <is>
          <t>Dia útil (seg a qui)</t>
        </is>
      </c>
      <c r="D5" s="15">
        <f>IF(Parâmetros!$B$10&lt;0.5,Parâmetros!$B$5,Parâmetros!$B$4)</f>
        <v/>
      </c>
      <c r="E5" s="16">
        <f>IFERROR(INDEX('Datas e turnos'!$B$3:$B$92,MATCH(1,INDEX(('Datas e turnos'!$K$3:$K$92=B5&amp;" | "&amp;C5)*('Datas e turnos'!$L$3:$L$92=1),0),0)),"sem dia elegível")</f>
        <v/>
      </c>
      <c r="F5" s="15">
        <f>IFERROR(INDEX('Datas e turnos'!$C$3:$C$92,MATCH(1,INDEX(('Datas e turnos'!$K$3:$K$92=B5&amp;" | "&amp;C5)*('Datas e turnos'!$L$3:$L$92=1),0),0)),"sem dia elegível")</f>
        <v/>
      </c>
      <c r="G5" s="15">
        <f>IFERROR(INDEX('Datas e turnos'!$F$3:$F$92,MATCH(1,INDEX(('Datas e turnos'!$K$3:$K$92=B5&amp;" | "&amp;C5)*('Datas e turnos'!$L$3:$L$92=1),0),0)),"sem dia elegível")</f>
        <v/>
      </c>
      <c r="H5" s="15">
        <f>IFERROR(INDEX('Datas e turnos'!$G$3:$G$92,MATCH(1,INDEX(('Datas e turnos'!$K$3:$K$92=B5&amp;" | "&amp;C5)*('Datas e turnos'!$L$3:$L$92=1),0),0)),"sem dia elegível")</f>
        <v/>
      </c>
      <c r="I5" s="17">
        <f>IFERROR(INDEX(Parâmetros!$C$15:$C$17,MATCH(G5,Parâmetros!$A$15:$A$17,0)),"")</f>
        <v/>
      </c>
    </row>
    <row r="6">
      <c r="A6" s="13" t="n">
        <v>4</v>
      </c>
      <c r="B6" s="13" t="inlineStr">
        <is>
          <t>Pré-pagamento</t>
        </is>
      </c>
      <c r="C6" s="13" t="inlineStr">
        <is>
          <t>Fim de semana (sex a dom)</t>
        </is>
      </c>
      <c r="D6" s="15">
        <f>IF(Parâmetros!$B$10&lt;0.5,Parâmetros!$B$4,Parâmetros!$B$5)</f>
        <v/>
      </c>
      <c r="E6" s="16">
        <f>IFERROR(INDEX('Datas e turnos'!$B$3:$B$92,MATCH(1,INDEX(('Datas e turnos'!$K$3:$K$92=B6&amp;" | "&amp;C6)*('Datas e turnos'!$L$3:$L$92=1),0),0)),"sem dia elegível")</f>
        <v/>
      </c>
      <c r="F6" s="15">
        <f>IFERROR(INDEX('Datas e turnos'!$C$3:$C$92,MATCH(1,INDEX(('Datas e turnos'!$K$3:$K$92=B6&amp;" | "&amp;C6)*('Datas e turnos'!$L$3:$L$92=1),0),0)),"sem dia elegível")</f>
        <v/>
      </c>
      <c r="G6" s="15">
        <f>IFERROR(INDEX('Datas e turnos'!$F$3:$F$92,MATCH(1,INDEX(('Datas e turnos'!$K$3:$K$92=B6&amp;" | "&amp;C6)*('Datas e turnos'!$L$3:$L$92=1),0),0)),"sem dia elegível")</f>
        <v/>
      </c>
      <c r="H6" s="15">
        <f>IFERROR(INDEX('Datas e turnos'!$G$3:$G$92,MATCH(1,INDEX(('Datas e turnos'!$K$3:$K$92=B6&amp;" | "&amp;C6)*('Datas e turnos'!$L$3:$L$92=1),0),0)),"sem dia elegível")</f>
        <v/>
      </c>
      <c r="I6" s="17">
        <f>IFERROR(INDEX(Parâmetros!$C$15:$C$17,MATCH(G6,Parâmetros!$A$15:$A$17,0)),"")</f>
        <v/>
      </c>
    </row>
    <row r="8">
      <c r="A8" s="11" t="inlineStr">
        <is>
          <t>Conferência</t>
        </is>
      </c>
    </row>
    <row r="9">
      <c r="A9" s="18" t="inlineStr">
        <is>
          <t>Visitas por unidade (deve dar 2 e 2):</t>
        </is>
      </c>
      <c r="D9" s="18">
        <f>Parâmetros!$B$4&amp;": "&amp;COUNTIF($D$3:$D$6,Parâmetros!$B$4)&amp;" | "&amp;Parâmetros!$B$5&amp;": "&amp;COUNTIF($D$3:$D$6,Parâmetros!$B$5)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2" customWidth="1" min="4" max="4"/>
    <col width="12" customWidth="1" min="5" max="5"/>
    <col width="13" customWidth="1" min="6" max="6"/>
    <col width="10" customWidth="1" min="7" max="7"/>
    <col width="16" customWidth="1" min="8" max="8"/>
    <col width="58" customWidth="1" min="9" max="9"/>
    <col width="12" customWidth="1" min="10" max="10"/>
    <col width="40" customWidth="1" min="11" max="11"/>
  </cols>
  <sheetData>
    <row r="1">
      <c r="A1" s="4" t="inlineStr">
        <is>
          <t>Registro do sorteio (colar como valores)</t>
        </is>
      </c>
    </row>
    <row r="2">
      <c r="A2" s="11" t="inlineStr">
        <is>
          <t>Data do sorteio:</t>
        </is>
      </c>
      <c r="B2" s="19" t="n"/>
    </row>
    <row r="4">
      <c r="A4" s="5" t="inlineStr">
        <is>
          <t>Visita</t>
        </is>
      </c>
      <c r="B4" s="5" t="inlineStr">
        <is>
          <t>Quinzena</t>
        </is>
      </c>
      <c r="C4" s="5" t="inlineStr">
        <is>
          <t>Tipo de dia</t>
        </is>
      </c>
      <c r="D4" s="5" t="inlineStr">
        <is>
          <t>Unidade</t>
        </is>
      </c>
      <c r="E4" s="5" t="inlineStr">
        <is>
          <t>Data</t>
        </is>
      </c>
      <c r="F4" s="5" t="inlineStr">
        <is>
          <t>Dia da semana</t>
        </is>
      </c>
      <c r="G4" s="5" t="inlineStr">
        <is>
          <t>Turno</t>
        </is>
      </c>
      <c r="H4" s="5" t="inlineStr">
        <is>
          <t>Horário</t>
        </is>
      </c>
      <c r="I4" s="5" t="inlineStr">
        <is>
          <t>Horários das contagens</t>
        </is>
      </c>
      <c r="J4" s="5" t="inlineStr">
        <is>
          <t>Realizada? (sim/não)</t>
        </is>
      </c>
      <c r="K4" s="5" t="inlineStr">
        <is>
          <t>Observação</t>
        </is>
      </c>
    </row>
    <row r="5">
      <c r="A5" s="20" t="n"/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2026-09-17T11:52:58Z</dcterms:created>
  <dcterms:modified xsi:type="dcterms:W3CDTF">2026-09-17T11:52:58Z</dcterms:modified>
</cp:coreProperties>
</file>