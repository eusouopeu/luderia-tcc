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ase de sorteio" sheetId="1" state="visible" r:id="rId1"/>
    <sheet name="Amostragem" sheetId="2" state="visible" r:id="rId2"/>
    <sheet name="Resumo" sheetId="3" state="visible" r:id="rId3"/>
  </sheets>
  <definedNames>
    <definedName name="_xlnm._FilterDatabase" localSheetId="0" hidden="1">'Base de sorteio'!$A$2:$M$1723</definedName>
    <definedName name="_xlnm._FilterDatabase" localSheetId="1" hidden="1">'Amostragem'!$A$2:$T$1703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1" fontId="2" fillId="0" borderId="2" applyAlignment="1" pivotButton="0" quotePrefix="0" xfId="0">
      <alignment horizontal="right"/>
    </xf>
    <xf numFmtId="165" fontId="2" fillId="0" borderId="0" applyAlignment="1" pivotButton="0" quotePrefix="0" xfId="0">
      <alignment horizontal="left"/>
    </xf>
    <xf numFmtId="165" fontId="2" fillId="0" borderId="2" applyAlignment="1" pivotButton="0" quotePrefix="0" xfId="0">
      <alignment horizontal="left"/>
    </xf>
    <xf numFmtId="10" fontId="2" fillId="0" borderId="0" applyAlignment="1" pivotButton="0" quotePrefix="0" xfId="0">
      <alignment horizontal="right"/>
    </xf>
    <xf numFmtId="10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1000%20Presentes%20Vip&amp;query_place_id=ChIJ0caB7AeNf5ERLJd-Yw-Nbrw" TargetMode="External" Id="rId1" /><Relationship Type="http://schemas.openxmlformats.org/officeDocument/2006/relationships/hyperlink" Target="https://www.google.com/maps/search/?api=1&amp;query=Acre%20Importa%C3%A7%C3%B5es&amp;query_place_id=ChIJO4YACEqNf5ERKIsRlaX-8-M" TargetMode="External" Id="rId2" /><Relationship Type="http://schemas.openxmlformats.org/officeDocument/2006/relationships/hyperlink" Target="https://www.google.com/maps/search/?api=1&amp;query=Actions%20Geek&amp;query_place_id=ChIJT1ogVfKNf5ERX_7DdpLnx8o" TargetMode="External" Id="rId3" /><Relationship Type="http://schemas.openxmlformats.org/officeDocument/2006/relationships/hyperlink" Target="https://www.google.com/maps/search/?api=1&amp;query=Americanas&amp;query_place_id=ChIJeSqczFWMf5ER4mlOg6vDcT0" TargetMode="External" Id="rId4" /><Relationship Type="http://schemas.openxmlformats.org/officeDocument/2006/relationships/hyperlink" Target="https://www.google.com/maps/search/?api=1&amp;query=Americanas&amp;query_place_id=ChIJm0XoJSyNf5ERmuz9HqoT63A" TargetMode="External" Id="rId5" /><Relationship Type="http://schemas.openxmlformats.org/officeDocument/2006/relationships/hyperlink" Target="https://www.google.com/maps/search/?api=1&amp;query=Brincando%20com%20Nelinha&amp;query_place_id=ChIJdc9EPmmNf5ERNz1jV9lDnJw" TargetMode="External" Id="rId6" /><Relationship Type="http://schemas.openxmlformats.org/officeDocument/2006/relationships/hyperlink" Target="https://www.google.com/maps/search/?api=1&amp;query=Cantinho%20Eletr%C3%B4nico%2C%20papelaria%2C%20artigo%20de%20presente%20e%20Lan%20house&amp;query_place_id=ChIJE9IvPYqNf5ERNjv4F--VtDw" TargetMode="External" Id="rId7" /><Relationship Type="http://schemas.openxmlformats.org/officeDocument/2006/relationships/hyperlink" Target="https://www.google.com/maps/search/?api=1&amp;query=Casa%20de%20Brinquedo&amp;query_place_id=ChIJlx060F6Mf5ERsHd3kI2Kz50" TargetMode="External" Id="rId8" /><Relationship Type="http://schemas.openxmlformats.org/officeDocument/2006/relationships/hyperlink" Target="https://www.google.com/maps/search/?api=1&amp;query=Decks%20%26%20Dungeons&amp;query_place_id=ChIJORUoEuqNf5ERmSLGJ7D3BUI" TargetMode="External" Id="rId9" /><Relationship Type="http://schemas.openxmlformats.org/officeDocument/2006/relationships/hyperlink" Target="https://www.google.com/maps/search/?api=1&amp;query=Duda%20Presentes&amp;query_place_id=ChIJz2CeJ3SMf5ER2iBb01SF_as" TargetMode="External" Id="rId10" /><Relationship Type="http://schemas.openxmlformats.org/officeDocument/2006/relationships/hyperlink" Target="https://www.google.com/maps/search/?api=1&amp;query=Emporium%20Nerd&amp;query_place_id=ChIJ_fuVrJCNf5ER5VwqwmDWOQ0" TargetMode="External" Id="rId11" /><Relationship Type="http://schemas.openxmlformats.org/officeDocument/2006/relationships/hyperlink" Target="https://www.google.com/maps/search/?api=1&amp;query=Fox%20Games%20-%20Via%20Verde%20Shopping%20-%20Floresta%20Sul&amp;query_place_id=ChIJr7mTWeSNf5ER7u2wlBtUMq8" TargetMode="External" Id="rId12" /><Relationship Type="http://schemas.openxmlformats.org/officeDocument/2006/relationships/hyperlink" Target="https://www.google.com/maps/search/?api=1&amp;query=Geek_store.a&amp;query_place_id=ChIJVS7xJ3aNf5ERC-4KJwU5WyQ" TargetMode="External" Id="rId13" /><Relationship Type="http://schemas.openxmlformats.org/officeDocument/2006/relationships/hyperlink" Target="https://www.google.com/maps/search/?api=1&amp;query=Hora%20da%20Divers%C3%A3o%20Brinquedos&amp;query_place_id=ChIJdxw4r3sdPoERpY-NVje3vx4" TargetMode="External" Id="rId14" /><Relationship Type="http://schemas.openxmlformats.org/officeDocument/2006/relationships/hyperlink" Target="https://www.google.com/maps/search/?api=1&amp;query=Jogos%20offline&amp;query_place_id=ChIJ4fA6DUuNf5ER_yWsCSvWV2M" TargetMode="External" Id="rId15" /><Relationship Type="http://schemas.openxmlformats.org/officeDocument/2006/relationships/hyperlink" Target="https://www.google.com/maps/search/?api=1&amp;query=Junior%20Games&amp;query_place_id=ChIJAST9A1qMf5ERea7KiThIpxo" TargetMode="External" Id="rId16" /><Relationship Type="http://schemas.openxmlformats.org/officeDocument/2006/relationships/hyperlink" Target="https://www.google.com/maps/search/?api=1&amp;query=LOJA%20DUO&amp;query_place_id=ChIJO5-CuLWPf5ERy2-W_UmDFps" TargetMode="External" Id="rId17" /><Relationship Type="http://schemas.openxmlformats.org/officeDocument/2006/relationships/hyperlink" Target="https://www.google.com/maps/search/?api=1&amp;query=LOJ%C3%83O%20DA%20CHINA&amp;query_place_id=ChIJQ72BFMCNf5ERIZ0dJqpCcvA" TargetMode="External" Id="rId18" /><Relationship Type="http://schemas.openxmlformats.org/officeDocument/2006/relationships/hyperlink" Target="https://www.google.com/maps/search/?api=1&amp;query=Livraria%20El%20Shaday&amp;query_place_id=ChIJB0LBiVeMf5ERNOwFrRIjAMk" TargetMode="External" Id="rId19" /><Relationship Type="http://schemas.openxmlformats.org/officeDocument/2006/relationships/hyperlink" Target="https://www.google.com/maps/search/?api=1&amp;query=Livraria%20Paim&amp;query_place_id=ChIJq6cAXlSMf5ERHNPzTDUIk_Q" TargetMode="External" Id="rId20" /><Relationship Type="http://schemas.openxmlformats.org/officeDocument/2006/relationships/hyperlink" Target="https://www.google.com/maps/search/?api=1&amp;query=Luddu%20Us%20Play&amp;query_place_id=ChIJZXKvt7ONf5ERFYb60yHYl6s" TargetMode="External" Id="rId21" /><Relationship Type="http://schemas.openxmlformats.org/officeDocument/2006/relationships/hyperlink" Target="https://www.google.com/maps/search/?api=1&amp;query=Mundo%20Kids&amp;query_place_id=ChIJ2UKjW1iMf5ERByyrivOQGSY" TargetMode="External" Id="rId22" /><Relationship Type="http://schemas.openxmlformats.org/officeDocument/2006/relationships/hyperlink" Target="https://www.google.com/maps/search/?api=1&amp;query=Plebeu%20Games%20e%20Inform%C3%A1tica%20-%20Rua%20Isaura%20Parente%2C%20Rio%20Branco%20-%20AC&amp;query_place_id=ChIJlYRHP5aNf5ERekyVRHNgmV0" TargetMode="External" Id="rId23" /><Relationship Type="http://schemas.openxmlformats.org/officeDocument/2006/relationships/hyperlink" Target="https://www.google.com/maps/search/?api=1&amp;query=Tem%20de%20Tudo&amp;query_place_id=ChIJlU5Lu-WNf5ERecngwP4r_zA" TargetMode="External" Id="rId24" /><Relationship Type="http://schemas.openxmlformats.org/officeDocument/2006/relationships/hyperlink" Target="https://www.google.com/maps/search/?api=1&amp;query=Tenpo%20Mokuzai&amp;query_place_id=ChIJK8ljwOWNf5ERjBqIzYMZ6_4" TargetMode="External" Id="rId25" /><Relationship Type="http://schemas.openxmlformats.org/officeDocument/2006/relationships/hyperlink" Target="https://www.google.com/maps/search/?api=1&amp;query=WE%20LOVE%20GASTROBAR&amp;query_place_id=ChIJWfLFPACNf5ERl7JPOFwf5iI" TargetMode="External" Id="rId26" /><Relationship Type="http://schemas.openxmlformats.org/officeDocument/2006/relationships/hyperlink" Target="https://www.google.com/maps/search/?api=1&amp;query=AL%20RPG%20CLUB&amp;query_place_id=ChIJ8Sm3w0FJAQcRBgwyl8PaDn8" TargetMode="External" Id="rId27" /><Relationship Type="http://schemas.openxmlformats.org/officeDocument/2006/relationships/hyperlink" Target="https://www.google.com/maps/search/?api=1&amp;query=Agario%20PATA%20Candy%20Crush%20-%20Unidade%20Clima%20Bom&amp;query_place_id=ChIJPct5IgBJAQcR9w9rrtalizI" TargetMode="External" Id="rId28" /><Relationship Type="http://schemas.openxmlformats.org/officeDocument/2006/relationships/hyperlink" Target="https://www.google.com/maps/search/?api=1&amp;query=Alagoana%20Choperia&amp;query_place_id=ChIJ8dcQZ7FFAQcRIpBxBkNQlK0" TargetMode="External" Id="rId29" /><Relationship Type="http://schemas.openxmlformats.org/officeDocument/2006/relationships/hyperlink" Target="https://www.google.com/maps/search/?api=1&amp;query=Amostradinho%20Petiscaria&amp;query_place_id=ChIJ0UnfCd9FAQcRp1aI_6g-sjw" TargetMode="External" Id="rId30" /><Relationship Type="http://schemas.openxmlformats.org/officeDocument/2006/relationships/hyperlink" Target="https://www.google.com/maps/search/?api=1&amp;query=Arcade%20XP%20AL&amp;query_place_id=ChIJKR4CBMVJAQcRCWkNZFf5weI" TargetMode="External" Id="rId31" /><Relationship Type="http://schemas.openxmlformats.org/officeDocument/2006/relationships/hyperlink" Target="https://www.google.com/maps/search/?api=1&amp;query=Atacadao&amp;query_place_id=ChIJY6JdnnlFAQcRmACLHD2xHfk" TargetMode="External" Id="rId32" /><Relationship Type="http://schemas.openxmlformats.org/officeDocument/2006/relationships/hyperlink" Target="https://www.google.com/maps/search/?api=1&amp;query=Atacad%C3%A3o%20Boa%20Vista&amp;query_place_id=ChIJDXFDTH5FAQcRQj00dGQCNyo" TargetMode="External" Id="rId33" /><Relationship Type="http://schemas.openxmlformats.org/officeDocument/2006/relationships/hyperlink" Target="https://www.google.com/maps/search/?api=1&amp;query=Babasom%20Rock%20Bar&amp;query_place_id=ChIJLQLZ06VFAQcRnwRlxv3ZCco" TargetMode="External" Id="rId34" /><Relationship Type="http://schemas.openxmlformats.org/officeDocument/2006/relationships/hyperlink" Target="https://www.google.com/maps/search/?api=1&amp;query=Barraca%20Bar%20Brasil&amp;query_place_id=ChIJMxRFUN9GAQcROREhqJLRvn4" TargetMode="External" Id="rId35" /><Relationship Type="http://schemas.openxmlformats.org/officeDocument/2006/relationships/hyperlink" Target="https://www.google.com/maps/search/?api=1&amp;query=Beta%20Pedag%C3%B3gico&amp;query_place_id=ChIJ05Qc1D5HAQcReP-gIxXnoC4" TargetMode="External" Id="rId36" /><Relationship Type="http://schemas.openxmlformats.org/officeDocument/2006/relationships/hyperlink" Target="https://www.google.com/maps/search/?api=1&amp;query=Blackout%20Inform%C3%A1tica%20e%20Lan%20House&amp;query_place_id=ChIJC24tQaxFAQcR3D9VwZ1opYA" TargetMode="External" Id="rId37" /><Relationship Type="http://schemas.openxmlformats.org/officeDocument/2006/relationships/hyperlink" Target="https://www.google.com/maps/search/?api=1&amp;query=Blue%20Games%20%26%20Inform%C3%A1tica&amp;query_place_id=ChIJPxbr071FAQcROLAjKHLWfFs" TargetMode="External" Id="rId38" /><Relationship Type="http://schemas.openxmlformats.org/officeDocument/2006/relationships/hyperlink" Target="https://www.google.com/maps/search/?api=1&amp;query=Boate%20Night%20Drinks%20-%20Cabar%C3%A9&amp;query_place_id=ChIJp-dR7yJJAQcR3Zd3n8wplxA" TargetMode="External" Id="rId39" /><Relationship Type="http://schemas.openxmlformats.org/officeDocument/2006/relationships/hyperlink" Target="https://www.google.com/maps/search/?api=1&amp;query=Bombar%20%26%20Galeteria&amp;query_place_id=ChIJjyJtYo9PAQcRLo1vHfDoqFs" TargetMode="External" Id="rId40" /><Relationship Type="http://schemas.openxmlformats.org/officeDocument/2006/relationships/hyperlink" Target="https://www.google.com/maps/search/?api=1&amp;query=Boteco%20Fama&amp;query_place_id=ChIJYy1yoZNIAQcRNRKueux1Vyo" TargetMode="External" Id="rId41" /><Relationship Type="http://schemas.openxmlformats.org/officeDocument/2006/relationships/hyperlink" Target="https://www.google.com/maps/search/?api=1&amp;query=Boteco%20da%20Bola%20%7C%20Bar%20e%20Restaurante%20em%20Macei%C3%B3&amp;query_place_id=ChIJv8fLWrpFAQcR9gefi-E5QxA" TargetMode="External" Id="rId42" /><Relationship Type="http://schemas.openxmlformats.org/officeDocument/2006/relationships/hyperlink" Target="https://www.google.com/maps/search/?api=1&amp;query=Botequim%20da%20Poica&amp;query_place_id=ChIJS8rfcspFAQcRiEwqDU3paXo" TargetMode="External" Id="rId43" /><Relationship Type="http://schemas.openxmlformats.org/officeDocument/2006/relationships/hyperlink" Target="https://www.google.com/maps/search/?api=1&amp;query=Brincadeira%20de%20crian%C3%A7a%20-%20Aluguel%20de%20brinquedos&amp;query_place_id=ChIJEfaZjehHAQcR2k1ZOn1NkyM" TargetMode="External" Id="rId44" /><Relationship Type="http://schemas.openxmlformats.org/officeDocument/2006/relationships/hyperlink" Target="https://www.google.com/maps/search/?api=1&amp;query=BrinqueLazer&amp;query_place_id=ChIJoXOYsrxFAQcR_AYapa5hV8k" TargetMode="External" Id="rId45" /><Relationship Type="http://schemas.openxmlformats.org/officeDocument/2006/relationships/hyperlink" Target="https://www.google.com/maps/search/?api=1&amp;query=Brinquedolandia&amp;query_place_id=ChIJG9OXnepFAQcRrkVLt1ivtFE" TargetMode="External" Id="rId46" /><Relationship Type="http://schemas.openxmlformats.org/officeDocument/2006/relationships/hyperlink" Target="https://www.google.com/maps/search/?api=1&amp;query=Casa%20Kids%20Brinquedoteca&amp;query_place_id=ChIJzy7aZ3pFAQcRPpJiEcMgEGM" TargetMode="External" Id="rId47" /><Relationship Type="http://schemas.openxmlformats.org/officeDocument/2006/relationships/hyperlink" Target="https://www.google.com/maps/search/?api=1&amp;query=Casa%20Loterica%20Zebrinha&amp;query_place_id=ChIJHa_Z51lIAQcRFmRsEsFgfg4" TargetMode="External" Id="rId48" /><Relationship Type="http://schemas.openxmlformats.org/officeDocument/2006/relationships/hyperlink" Target="https://www.google.com/maps/search/?api=1&amp;query=Casa%20da%20cultura%20Nerd&amp;query_place_id=ChIJzf0e5GdFAQcRfkS0E5O8q2A" TargetMode="External" Id="rId49" /><Relationship Type="http://schemas.openxmlformats.org/officeDocument/2006/relationships/hyperlink" Target="https://www.google.com/maps/search/?api=1&amp;query=Clube%20do%20Pirata&amp;query_place_id=ChIJhx1Q-qlFAQcRGzL7mShoJHk" TargetMode="External" Id="rId50" /><Relationship Type="http://schemas.openxmlformats.org/officeDocument/2006/relationships/hyperlink" Target="https://www.google.com/maps/search/?api=1&amp;query=Conversa%20Botequim&amp;query_place_id=ChIJL6JzyLZFAQcRIkqx0kVHb0g" TargetMode="External" Id="rId51" /><Relationship Type="http://schemas.openxmlformats.org/officeDocument/2006/relationships/hyperlink" Target="https://www.google.com/maps/search/?api=1&amp;query=DKPA&amp;query_place_id=ChIJZ4TBj5NFAQcRJjXB1Dh2VE0" TargetMode="External" Id="rId52" /><Relationship Type="http://schemas.openxmlformats.org/officeDocument/2006/relationships/hyperlink" Target="https://www.google.com/maps/search/?api=1&amp;query=Daniel%20Games&amp;query_place_id=ChIJ_12HTYdPAQcRHgk1LSYJNy4" TargetMode="External" Id="rId53" /><Relationship Type="http://schemas.openxmlformats.org/officeDocument/2006/relationships/hyperlink" Target="https://www.google.com/maps/search/?api=1&amp;query=Distrito%20Sport%20Bar&amp;query_place_id=ChIJw-doo6hHAQcRoGALoSReksg" TargetMode="External" Id="rId54" /><Relationship Type="http://schemas.openxmlformats.org/officeDocument/2006/relationships/hyperlink" Target="https://www.google.com/maps/search/?api=1&amp;query=Divert%20Kids%20-%20Creche%20Escola&amp;query_place_id=ChIJOcN4oDFFAQcRp-WhVJN7cKQ" TargetMode="External" Id="rId55" /><Relationship Type="http://schemas.openxmlformats.org/officeDocument/2006/relationships/hyperlink" Target="https://www.google.com/maps/search/?api=1&amp;query=Domingos%20Bar%20%26%20Churrascaria&amp;query_place_id=ChIJbTxXJ-xIAQcRhmA-5RC2zdU" TargetMode="External" Id="rId56" /><Relationship Type="http://schemas.openxmlformats.org/officeDocument/2006/relationships/hyperlink" Target="https://www.google.com/maps/search/?api=1&amp;query=Dona%20Mo%C3%A7a%20Restaurante&amp;query_place_id=ChIJZxn0yQlFAQcRVb5vmSqaNOw" TargetMode="External" Id="rId57" /><Relationship Type="http://schemas.openxmlformats.org/officeDocument/2006/relationships/hyperlink" Target="https://www.google.com/maps/search/?api=1&amp;query=El%20Lugar%20Bar&amp;query_place_id=ChIJTzXegbBFAQcRqOFAITIzAIM" TargetMode="External" Id="rId58" /><Relationship Type="http://schemas.openxmlformats.org/officeDocument/2006/relationships/hyperlink" Target="https://www.google.com/maps/search/?api=1&amp;query=Encontro%20dos%20Amigos&amp;query_place_id=ChIJVwjVEFxIAQcRmMyYF-hi56Q" TargetMode="External" Id="rId59" /><Relationship Type="http://schemas.openxmlformats.org/officeDocument/2006/relationships/hyperlink" Target="https://www.google.com/maps/search/?api=1&amp;query=Estaiada%20Choperia%20%26%20Drinkeria&amp;query_place_id=ChIJFWfGKoVFAQcRg1XFksJceM8" TargetMode="External" Id="rId60" /><Relationship Type="http://schemas.openxmlformats.org/officeDocument/2006/relationships/hyperlink" Target="https://www.google.com/maps/search/?api=1&amp;query=Fant%C3%A1stica%20F%C3%A1brica%20de%20Divers%C3%A3o%20-%20Sal%C3%A3o%20de%20Festa%20e%20Brinquedoteca&amp;query_place_id=ChIJe0EtdLFFAQcRuWhZCvcN_kk" TargetMode="External" Id="rId61" /><Relationship Type="http://schemas.openxmlformats.org/officeDocument/2006/relationships/hyperlink" Target="https://www.google.com/maps/search/?api=1&amp;query=Feirinha%20do%20Tabuleiro&amp;query_place_id=ChIJ25Hb_fNIAQcR3B7zZiGGEi8" TargetMode="External" Id="rId62" /><Relationship Type="http://schemas.openxmlformats.org/officeDocument/2006/relationships/hyperlink" Target="https://www.google.com/maps/search/?api=1&amp;query=Fire%20Paintball&amp;query_place_id=ChIJw6_9ovVIAQcR5EHqCEkSgC4" TargetMode="External" Id="rId63" /><Relationship Type="http://schemas.openxmlformats.org/officeDocument/2006/relationships/hyperlink" Target="https://www.google.com/maps/search/?api=1&amp;query=F%C3%AAnix%20Games&amp;query_place_id=ChIJfSQNreJJAQcR6NgXUUHgDnM" TargetMode="External" Id="rId64" /><Relationship Type="http://schemas.openxmlformats.org/officeDocument/2006/relationships/hyperlink" Target="https://www.google.com/maps/search/?api=1&amp;query=Game%20Station%20-%20Macei%C3%B3%20Shopping&amp;query_place_id=ChIJA7N9Wc5FAQcRVkg5NfmQvwE" TargetMode="External" Id="rId65" /><Relationship Type="http://schemas.openxmlformats.org/officeDocument/2006/relationships/hyperlink" Target="https://www.google.com/maps/search/?api=1&amp;query=Game%20Store&amp;query_place_id=ChIJqUF-J7FFAQcRkGihIryuA2o" TargetMode="External" Id="rId66" /><Relationship Type="http://schemas.openxmlformats.org/officeDocument/2006/relationships/hyperlink" Target="https://www.google.com/maps/search/?api=1&amp;query=Geeks%20Mcz&amp;query_place_id=ChIJgZEe0LZJAQcRLT0lGFQ0NtE" TargetMode="External" Id="rId67" /><Relationship Type="http://schemas.openxmlformats.org/officeDocument/2006/relationships/hyperlink" Target="https://www.google.com/maps/search/?api=1&amp;query=Gravity%20PUB%20%28Studio%20%26%20Karaok%C3%AA%29&amp;query_place_id=ChIJY9IHdwZFAQcRjhyoOb544w0" TargetMode="External" Id="rId68" /><Relationship Type="http://schemas.openxmlformats.org/officeDocument/2006/relationships/hyperlink" Target="https://www.google.com/maps/search/?api=1&amp;query=Hibiscus%20Beach%20Club&amp;query_place_id=ChIJVRviVQQ-AQcRORsVuGhA5tA" TargetMode="External" Id="rId69" /><Relationship Type="http://schemas.openxmlformats.org/officeDocument/2006/relationships/hyperlink" Target="https://www.google.com/maps/search/?api=1&amp;query=Hokutou&amp;query_place_id=ChIJ55uPE2FFAQcRpLA-yMFn20s" TargetMode="External" Id="rId70" /><Relationship Type="http://schemas.openxmlformats.org/officeDocument/2006/relationships/hyperlink" Target="https://www.google.com/maps/search/?api=1&amp;query=HomeVR&amp;query_place_id=ChIJ6Yn7M71FAQcRM-u_TrNWSkQ" TargetMode="External" Id="rId71" /><Relationship Type="http://schemas.openxmlformats.org/officeDocument/2006/relationships/hyperlink" Target="https://www.google.com/maps/search/?api=1&amp;query=Jesse%20James&amp;query_place_id=ChIJ-0GPaGtFAQcRrV5hGAXFnFA" TargetMode="External" Id="rId72" /><Relationship Type="http://schemas.openxmlformats.org/officeDocument/2006/relationships/hyperlink" Target="https://www.google.com/maps/search/?api=1&amp;query=Kalunga&amp;query_place_id=ChIJAdQ97DFJAQcR4CxMsMI5Qe4" TargetMode="External" Id="rId73" /><Relationship Type="http://schemas.openxmlformats.org/officeDocument/2006/relationships/hyperlink" Target="https://www.google.com/maps/search/?api=1&amp;query=Kalunga&amp;query_place_id=ChIJL4mbQcBFAQcRtJiMU33FNL0" TargetMode="External" Id="rId74" /><Relationship Type="http://schemas.openxmlformats.org/officeDocument/2006/relationships/hyperlink" Target="https://www.google.com/maps/search/?api=1&amp;query=Karlota%27s%20Festas%20Infantis&amp;query_place_id=ChIJhxAvwPNFAQcRuvI0KbGpHGc" TargetMode="External" Id="rId75" /><Relationship Type="http://schemas.openxmlformats.org/officeDocument/2006/relationships/hyperlink" Target="https://www.google.com/maps/search/?api=1&amp;query=KidsZone%20Maceio&amp;query_place_id=ChIJnzobOaVFAQcRthw3Am75yMo" TargetMode="External" Id="rId76" /><Relationship Type="http://schemas.openxmlformats.org/officeDocument/2006/relationships/hyperlink" Target="https://www.google.com/maps/search/?api=1&amp;query=Latin%20House%20Macei%C3%B3&amp;query_place_id=ChIJDUoU8QlJAQcR5J807Tuy3gY" TargetMode="External" Id="rId77" /><Relationship Type="http://schemas.openxmlformats.org/officeDocument/2006/relationships/hyperlink" Target="https://www.google.com/maps/search/?api=1&amp;query=Leitura&amp;query_place_id=ChIJIbX9jH9GAQcRct6b3MT3qGA" TargetMode="External" Id="rId78" /><Relationship Type="http://schemas.openxmlformats.org/officeDocument/2006/relationships/hyperlink" Target="https://www.google.com/maps/search/?api=1&amp;query=Livraria%20leitura&amp;query_place_id=ChIJdXfavr5FAQcR6q9DZfBV3bM" TargetMode="External" Id="rId79" /><Relationship Type="http://schemas.openxmlformats.org/officeDocument/2006/relationships/hyperlink" Target="https://www.google.com/maps/search/?api=1&amp;query=Loja%20Online%20RPG%20Taverna%20de%20Ferro&amp;query_place_id=ChIJ6eF2ec1FAQcRFbBMOaeT_zQ" TargetMode="External" Id="rId80" /><Relationship Type="http://schemas.openxmlformats.org/officeDocument/2006/relationships/hyperlink" Target="https://www.google.com/maps/search/?api=1&amp;query=Lopana&amp;query_place_id=ChIJO_Cy3alFAQcR4u2an4gX-mw" TargetMode="External" Id="rId81" /><Relationship Type="http://schemas.openxmlformats.org/officeDocument/2006/relationships/hyperlink" Target="https://www.google.com/maps/search/?api=1&amp;query=Lorde%20Nelson%20Rest%20Pub%20-%20Bar%20de%20Metal%20%F0%9F%A4%98&amp;query_place_id=ChIJc4z0GXBFAQcRGn5YSC0gnbo" TargetMode="External" Id="rId82" /><Relationship Type="http://schemas.openxmlformats.org/officeDocument/2006/relationships/hyperlink" Target="https://www.google.com/maps/search/?api=1&amp;query=Ludoteco&amp;query_place_id=ChIJq5XJzgk3AQcR3Aumtapg7C8" TargetMode="External" Id="rId83" /><Relationship Type="http://schemas.openxmlformats.org/officeDocument/2006/relationships/hyperlink" Target="https://www.google.com/maps/search/?api=1&amp;query=Lz&amp;query_place_id=ChIJs_8kBd85AQcRwvacwfAzcvM" TargetMode="External" Id="rId84" /><Relationship Type="http://schemas.openxmlformats.org/officeDocument/2006/relationships/hyperlink" Target="https://www.google.com/maps/search/?api=1&amp;query=Maikai&amp;query_place_id=ChIJE4n21clFAQcR9QtjLnimTd8" TargetMode="External" Id="rId85" /><Relationship Type="http://schemas.openxmlformats.org/officeDocument/2006/relationships/hyperlink" Target="https://www.google.com/maps/search/?api=1&amp;query=Matrix%20Games&amp;query_place_id=ChIJnXkS431FAQcROUxKASeZrKk" TargetMode="External" Id="rId86" /><Relationship Type="http://schemas.openxmlformats.org/officeDocument/2006/relationships/hyperlink" Target="https://www.google.com/maps/search/?api=1&amp;query=Matriz%20Game&amp;query_place_id=ChIJT7cPKnxFAQcRg2W4bSnQKLE" TargetMode="External" Id="rId87" /><Relationship Type="http://schemas.openxmlformats.org/officeDocument/2006/relationships/hyperlink" Target="https://www.google.com/maps/search/?api=1&amp;query=Megapixel%20gr%C3%A1fica%20r%C3%A1pida&amp;query_place_id=ChIJyZEDO2ZIAQcRJXz4rw1Sf1E" TargetMode="External" Id="rId88" /><Relationship Type="http://schemas.openxmlformats.org/officeDocument/2006/relationships/hyperlink" Target="https://www.google.com/maps/search/?api=1&amp;query=Mininice%20Brinquedos&amp;query_place_id=ChIJfbK0zIpFAQcRcHb7WtfE01E" TargetMode="External" Id="rId89" /><Relationship Type="http://schemas.openxmlformats.org/officeDocument/2006/relationships/hyperlink" Target="https://www.google.com/maps/search/?api=1&amp;query=Multibrinque%20Macei%C3%B3%20-%20Aluguel%20de%20Brinquedos%20e%20Acess%C3%B3rios%20para%20o%20dia%20a%20dia&amp;query_place_id=ChIJFwbfbrdFAQcRpl7Uf70zEK8" TargetMode="External" Id="rId90" /><Relationship Type="http://schemas.openxmlformats.org/officeDocument/2006/relationships/hyperlink" Target="https://www.google.com/maps/search/?api=1&amp;query=Mundo%20do%20Real&amp;query_place_id=ChIJQ1Dw__NIAQcRNXJJQxaP7EM" TargetMode="External" Id="rId91" /><Relationship Type="http://schemas.openxmlformats.org/officeDocument/2006/relationships/hyperlink" Target="https://www.google.com/maps/search/?api=1&amp;query=Mundo%20kids%20aluguel%20de%20brinquedos&amp;query_place_id=ChIJPzFX2EVFAQcRERBfWGSTHis" TargetMode="External" Id="rId92" /><Relationship Type="http://schemas.openxmlformats.org/officeDocument/2006/relationships/hyperlink" Target="https://www.google.com/maps/search/?api=1&amp;query=NLV%20Variedades&amp;query_place_id=ChIJU-tU3o5FAQcRJiJmUu_0Uas" TargetMode="External" Id="rId93" /><Relationship Type="http://schemas.openxmlformats.org/officeDocument/2006/relationships/hyperlink" Target="https://www.google.com/maps/search/?api=1&amp;query=O%20Espet%C3%A3o%20-%20Snooker%20Bar%20%26%20Restaurante&amp;query_place_id=ChIJJ3R-xc1FAQcRabKnPzkG8Gs" TargetMode="External" Id="rId94" /><Relationship Type="http://schemas.openxmlformats.org/officeDocument/2006/relationships/hyperlink" Target="https://www.google.com/maps/search/?api=1&amp;query=Orla%20Praia%20Paju%C3%A7ara&amp;query_place_id=ChIJ4c7C9AdFAQcRpeS0b9XNDsY" TargetMode="External" Id="rId95" /><Relationship Type="http://schemas.openxmlformats.org/officeDocument/2006/relationships/hyperlink" Target="https://www.google.com/maps/search/?api=1&amp;query=PH%20Macei%C3%B3%20-%20Atacado&amp;query_place_id=ChIJsy-eNH5FAQcRzqAvmCAJZ8c" TargetMode="External" Id="rId96" /><Relationship Type="http://schemas.openxmlformats.org/officeDocument/2006/relationships/hyperlink" Target="https://www.google.com/maps/search/?api=1&amp;query=Parque%20Shopping%20Macei%C3%B3&amp;query_place_id=ChIJs880fdVFAQcRDJ85vbEBgSg" TargetMode="External" Id="rId97" /><Relationship Type="http://schemas.openxmlformats.org/officeDocument/2006/relationships/hyperlink" Target="https://www.google.com/maps/search/?api=1&amp;query=Parquinho%20-%20O%20Mundo%20de%20Jo%C3%A3o%20e%20Maria&amp;query_place_id=ChIJpcKKOGxFAQcRVh3q4zQHX2U" TargetMode="External" Id="rId98" /><Relationship Type="http://schemas.openxmlformats.org/officeDocument/2006/relationships/hyperlink" Target="https://www.google.com/maps/search/?api=1&amp;query=Paulo%20Games&amp;query_place_id=ChIJ-5chtYBPAQcRN4Sg3nCqlZg" TargetMode="External" Id="rId99" /><Relationship Type="http://schemas.openxmlformats.org/officeDocument/2006/relationships/hyperlink" Target="https://www.google.com/maps/search/?api=1&amp;query=Play%20Games%20/%20Macei%C3%B3-AL&amp;query_place_id=ChIJe0C4Xy5HAQcRytrRQJpZuEg" TargetMode="External" Id="rId100" /><Relationship Type="http://schemas.openxmlformats.org/officeDocument/2006/relationships/hyperlink" Target="https://www.google.com/maps/search/?api=1&amp;query=Psicojogos&amp;query_place_id=ChIJm3gtAgtFAQcR0tE5OIh7HnA" TargetMode="External" Id="rId101" /><Relationship Type="http://schemas.openxmlformats.org/officeDocument/2006/relationships/hyperlink" Target="https://www.google.com/maps/search/?api=1&amp;query=RI%20HAPPY%20PARQUE%20SHOPPING%20MACEI%C3%93&amp;query_place_id=ChIJlfZ5m9VFAQcR2q4Jz5leh_I" TargetMode="External" Id="rId102" /><Relationship Type="http://schemas.openxmlformats.org/officeDocument/2006/relationships/hyperlink" Target="https://www.google.com/maps/search/?api=1&amp;query=RI%20HAPPY%20P%C3%81TIO%20MACEI%C3%93&amp;query_place_id=ChIJARBcJC1GAQcRbnEXpL1UqG8" TargetMode="External" Id="rId103" /><Relationship Type="http://schemas.openxmlformats.org/officeDocument/2006/relationships/hyperlink" Target="https://www.google.com/maps/search/?api=1&amp;query=RPG%20de%20Mesa%20Paga%20-%20TD%20Santos&amp;query_place_id=ChIJ3SukOn9PAQcRb_Lb03rPwwY" TargetMode="External" Id="rId104" /><Relationship Type="http://schemas.openxmlformats.org/officeDocument/2006/relationships/hyperlink" Target="https://www.google.com/maps/search/?api=1&amp;query=Restaurante%20Barrica%27s&amp;query_place_id=ChIJp-xYQFVEAQcRWUVppzNA8wo" TargetMode="External" Id="rId105" /><Relationship Type="http://schemas.openxmlformats.org/officeDocument/2006/relationships/hyperlink" Target="https://www.google.com/maps/search/?api=1&amp;query=Restaurante%20Casa%20de%20Mainha%20%7C%20Self%20Service%20%7C%20Paju%C3%A7ara&amp;query_place_id=ChIJ4Y7M96dFAQcRgd3v2p5uqUM" TargetMode="External" Id="rId106" /><Relationship Type="http://schemas.openxmlformats.org/officeDocument/2006/relationships/hyperlink" Target="https://www.google.com/maps/search/?api=1&amp;query=Rex%20Bar&amp;query_place_id=ChIJGZqe4nFFAQcROKyoXPArrvM" TargetMode="External" Id="rId107" /><Relationship Type="http://schemas.openxmlformats.org/officeDocument/2006/relationships/hyperlink" Target="https://www.google.com/maps/search/?api=1&amp;query=Sanduba%20do%20Careca&amp;query_place_id=ChIJy62vrLtFAQcRdSucKKus09I" TargetMode="External" Id="rId108" /><Relationship Type="http://schemas.openxmlformats.org/officeDocument/2006/relationships/hyperlink" Target="https://www.google.com/maps/search/?api=1&amp;query=Shopping%20P%C3%A1tio%20Macei%C3%B3&amp;query_place_id=ChIJ9a-eQBdIAQcRHr8QcRDyw4s" TargetMode="External" Id="rId109" /><Relationship Type="http://schemas.openxmlformats.org/officeDocument/2006/relationships/hyperlink" Target="https://www.google.com/maps/search/?api=1&amp;query=Sonic%20games&amp;query_place_id=ChIJa2IS9T5JAQcRhLCVnkXC7aw" TargetMode="External" Id="rId110" /><Relationship Type="http://schemas.openxmlformats.org/officeDocument/2006/relationships/hyperlink" Target="https://www.google.com/maps/search/?api=1&amp;query=Tapanac%C3%AA%20Beer%20Truck&amp;query_place_id=ChIJiXqBkbBFAQcRVHmnIQ2w9mI" TargetMode="External" Id="rId111" /><Relationship Type="http://schemas.openxmlformats.org/officeDocument/2006/relationships/hyperlink" Target="https://www.google.com/maps/search/?api=1&amp;query=Terra%20M%C3%A9dia%20Geek%20Store&amp;query_place_id=ChIJL48M4dNFAQcRst9EFDPtboU" TargetMode="External" Id="rId112" /><Relationship Type="http://schemas.openxmlformats.org/officeDocument/2006/relationships/hyperlink" Target="https://www.google.com/maps/search/?api=1&amp;query=The%20Public%20House&amp;query_place_id=ChIJSVSutgFFAQcR3LfVG2MNiFU" TargetMode="External" Id="rId113" /><Relationship Type="http://schemas.openxmlformats.org/officeDocument/2006/relationships/hyperlink" Target="https://www.google.com/maps/search/?api=1&amp;query=To%20You%20Presentes%20-%20Jati%C3%BAca&amp;query_place_id=ChIJP1G0Fq1FAQcRKpLXpZdnQNM" TargetMode="External" Id="rId114" /><Relationship Type="http://schemas.openxmlformats.org/officeDocument/2006/relationships/hyperlink" Target="https://www.google.com/maps/search/?api=1&amp;query=Wanderson&amp;query_place_id=ChIJcaXZtIBPAQcRIq7oaEIAdHc" TargetMode="External" Id="rId115" /><Relationship Type="http://schemas.openxmlformats.org/officeDocument/2006/relationships/hyperlink" Target="https://www.google.com/maps/search/?api=1&amp;query=4%20Fun%20Geek%20Store&amp;query_place_id=ChIJnyqy8QHhYY0RIHJp_Ofb4v8" TargetMode="External" Id="rId116" /><Relationship Type="http://schemas.openxmlformats.org/officeDocument/2006/relationships/hyperlink" Target="https://www.google.com/maps/search/?api=1&amp;query=ARKD%20BAR&amp;query_place_id=ChIJKfGDY2vhYY0RweefbOXSwhg" TargetMode="External" Id="rId117" /><Relationship Type="http://schemas.openxmlformats.org/officeDocument/2006/relationships/hyperlink" Target="https://www.google.com/maps/search/?api=1&amp;query=Arena%20Underground%20Games&amp;query_place_id=ChIJR0RVu7PhYY0RHoVScsHyiNU" TargetMode="External" Id="rId118" /><Relationship Type="http://schemas.openxmlformats.org/officeDocument/2006/relationships/hyperlink" Target="https://www.google.com/maps/search/?api=1&amp;query=BAR%20DO%20VILA&amp;query_place_id=ChIJI7SPyj7hYY0RVShAzLrI4_8" TargetMode="External" Id="rId119" /><Relationship Type="http://schemas.openxmlformats.org/officeDocument/2006/relationships/hyperlink" Target="https://www.google.com/maps/search/?api=1&amp;query=Bar%20Cajueiro&amp;query_place_id=ChIJB9LscRrhYY0Ri9A2rtfN0JA" TargetMode="External" Id="rId120" /><Relationship Type="http://schemas.openxmlformats.org/officeDocument/2006/relationships/hyperlink" Target="https://www.google.com/maps/search/?api=1&amp;query=Bar%20Du%20Pedro&amp;query_place_id=ChIJkRDxW0rhYY0RTxZqNbVbQs8" TargetMode="External" Id="rId121" /><Relationship Type="http://schemas.openxmlformats.org/officeDocument/2006/relationships/hyperlink" Target="https://www.google.com/maps/search/?api=1&amp;query=Bar%20do%20Urso&amp;query_place_id=ChIJb5ySLqfhYY0R8iLN1uFJCcU" TargetMode="External" Id="rId122" /><Relationship Type="http://schemas.openxmlformats.org/officeDocument/2006/relationships/hyperlink" Target="https://www.google.com/maps/search/?api=1&amp;query=Billiards%20Bar&amp;query_place_id=ChIJJ-SKMwDhYY0R1QRcLa9qyzE" TargetMode="External" Id="rId123" /><Relationship Type="http://schemas.openxmlformats.org/officeDocument/2006/relationships/hyperlink" Target="https://www.google.com/maps/search/?api=1&amp;query=Board%20House%20-%20Jogos%20de%20Tabuleiro&amp;query_place_id=ChIJbSfwVQDhYY0Rx5aY3a7TZzQ" TargetMode="External" Id="rId124" /><Relationship Type="http://schemas.openxmlformats.org/officeDocument/2006/relationships/hyperlink" Target="https://www.google.com/maps/search/?api=1&amp;query=Brinquedoteca%20Brincar%20e%20aprender&amp;query_place_id=ChIJB_gogvfhYY0Rakpj0BQUbTI" TargetMode="External" Id="rId125" /><Relationship Type="http://schemas.openxmlformats.org/officeDocument/2006/relationships/hyperlink" Target="https://www.google.com/maps/search/?api=1&amp;query=C.A%20Play%20Games&amp;query_place_id=ChIJtQemUefnYY0RBM5_s0hukys" TargetMode="External" Id="rId126" /><Relationship Type="http://schemas.openxmlformats.org/officeDocument/2006/relationships/hyperlink" Target="https://www.google.com/maps/search/?api=1&amp;query=CAVERNA%20-%20COLLECTIBLE%20STORE&amp;query_place_id=ChIJ____SAbhYY0RQ4c3KWejXXo" TargetMode="External" Id="rId127" /><Relationship Type="http://schemas.openxmlformats.org/officeDocument/2006/relationships/hyperlink" Target="https://www.google.com/maps/search/?api=1&amp;query=Espa%C3%A7o%20Crian%C3%A7a%20Brinquedoteca%20%26%20Play%20Park&amp;query_place_id=ChIJk-w24F0fnpIRQE5x0l1Uy0c" TargetMode="External" Id="rId128" /><Relationship Type="http://schemas.openxmlformats.org/officeDocument/2006/relationships/hyperlink" Target="https://www.google.com/maps/search/?api=1&amp;query=Geg%C3%AA%20Gastro-Bar&amp;query_place_id=ChIJlX7nbiPhYY0RJJY1JafeCfg" TargetMode="External" Id="rId129" /><Relationship Type="http://schemas.openxmlformats.org/officeDocument/2006/relationships/hyperlink" Target="https://www.google.com/maps/search/?api=1&amp;query=Infinity%20TCG&amp;query_place_id=ChIJce_iUyrhYY0R2ys9OHsXuCM" TargetMode="External" Id="rId130" /><Relationship Type="http://schemas.openxmlformats.org/officeDocument/2006/relationships/hyperlink" Target="https://www.google.com/maps/search/?api=1&amp;query=Inforgame%20Produtos%20Eletr%C3%B4nicos&amp;query_place_id=ChIJu8UNtRvhYY0R8iv23rNIXZg" TargetMode="External" Id="rId131" /><Relationship Type="http://schemas.openxmlformats.org/officeDocument/2006/relationships/hyperlink" Target="https://www.google.com/maps/search/?api=1&amp;query=Lajes%20Barber%20Club&amp;query_place_id=ChIJZZUHbgDhYY0R9jUdPGJQZbI" TargetMode="External" Id="rId132" /><Relationship Type="http://schemas.openxmlformats.org/officeDocument/2006/relationships/hyperlink" Target="https://www.google.com/maps/search/?api=1&amp;query=Lajes%20Macap%C3%A1&amp;query_place_id=ChIJv2wtG6zhYY0R1xTfcbsaSZA" TargetMode="External" Id="rId133" /><Relationship Type="http://schemas.openxmlformats.org/officeDocument/2006/relationships/hyperlink" Target="https://www.google.com/maps/search/?api=1&amp;query=Leitura&amp;query_place_id=ChIJD91JKhEenpIRqEibzcYLto8" TargetMode="External" Id="rId134" /><Relationship Type="http://schemas.openxmlformats.org/officeDocument/2006/relationships/hyperlink" Target="https://www.google.com/maps/search/?api=1&amp;query=Leo%20Games&amp;query_place_id=ChIJu0RxYZbhYY0RQjos4linbLY" TargetMode="External" Id="rId135" /><Relationship Type="http://schemas.openxmlformats.org/officeDocument/2006/relationships/hyperlink" Target="https://www.google.com/maps/search/?api=1&amp;query=Magazine%20Fortaleza%20Kids&amp;query_place_id=ChIJWSYSTAbhYY0R6eakNIGfTyM" TargetMode="External" Id="rId136" /><Relationship Type="http://schemas.openxmlformats.org/officeDocument/2006/relationships/hyperlink" Target="https://www.google.com/maps/search/?api=1&amp;query=Pro%20Game&amp;query_place_id=ChIJWQOhHWvhYY0RPdlAV_VRTKc" TargetMode="External" Id="rId137" /><Relationship Type="http://schemas.openxmlformats.org/officeDocument/2006/relationships/hyperlink" Target="https://www.google.com/maps/search/?api=1&amp;query=Reabilitare%20Fisioterapia%20Especializada&amp;query_place_id=ChIJT3Ud_BThYY0RDxgj9z24HY8" TargetMode="External" Id="rId138" /><Relationship Type="http://schemas.openxmlformats.org/officeDocument/2006/relationships/hyperlink" Target="https://www.google.com/maps/search/?api=1&amp;query=Saint%20Collection%20-%20Cartas%20de%20Pok%C3%A9mon%2C%20Cards%20Colecion%C3%A1veis%2C%20Figurinha%20Copa%20e%20TCG%20em%20Macap%C3%A1&amp;query_place_id=ChIJv_K76-LgYY0RtrLQsaziXTs" TargetMode="External" Id="rId139" /><Relationship Type="http://schemas.openxmlformats.org/officeDocument/2006/relationships/hyperlink" Target="https://www.google.com/maps/search/?api=1&amp;query=Servinorte%20games&amp;query_place_id=ChIJv0yHrjfnYY0Ray_j0S-ur7A" TargetMode="External" Id="rId140" /><Relationship Type="http://schemas.openxmlformats.org/officeDocument/2006/relationships/hyperlink" Target="https://www.google.com/maps/search/?api=1&amp;query=Seu%20Botequim&amp;query_place_id=ChIJv2ALXnvjYY0RgXYKXsOV0xI" TargetMode="External" Id="rId141" /><Relationship Type="http://schemas.openxmlformats.org/officeDocument/2006/relationships/hyperlink" Target="https://www.google.com/maps/search/?api=1&amp;query=Studio%20D%26T%20Fisioterapia%20e%20Quiropraxia&amp;query_place_id=ChIJWdoRdIPhYY0RVPqi7sBUDtA" TargetMode="External" Id="rId142" /><Relationship Type="http://schemas.openxmlformats.org/officeDocument/2006/relationships/hyperlink" Target="https://www.google.com/maps/search/?api=1&amp;query=Taberna%20pub&amp;query_place_id=ChIJ_aoJowXhYY0RexhM2OIROCU" TargetMode="External" Id="rId143" /><Relationship Type="http://schemas.openxmlformats.org/officeDocument/2006/relationships/hyperlink" Target="https://www.google.com/maps/search/?api=1&amp;query=Tabuleiroca&amp;query_place_id=ChIJhUqpPe3nYY0RoXzwAvFh7HU" TargetMode="External" Id="rId144" /><Relationship Type="http://schemas.openxmlformats.org/officeDocument/2006/relationships/hyperlink" Target="https://www.google.com/maps/search/?api=1&amp;query=Top%20Game%20Games&amp;query_place_id=ChIJU6yWSf3gYY0RsPQhZgRzVmA" TargetMode="External" Id="rId145" /><Relationship Type="http://schemas.openxmlformats.org/officeDocument/2006/relationships/hyperlink" Target="https://www.google.com/maps/search/?api=1&amp;query=Treta%20Club&amp;query_place_id=ChIJa3o_ohPhYY0R62l0kundIn4" TargetMode="External" Id="rId146" /><Relationship Type="http://schemas.openxmlformats.org/officeDocument/2006/relationships/hyperlink" Target="https://www.google.com/maps/search/?api=1&amp;query=Villa%20Nova%20Shopping&amp;query_place_id=ChIJkWTo6uLgYY0RMAORtzsC4FU" TargetMode="External" Id="rId147" /><Relationship Type="http://schemas.openxmlformats.org/officeDocument/2006/relationships/hyperlink" Target="https://www.google.com/maps/search/?api=1&amp;query=Action%20Games&amp;query_place_id=ChIJOTGZVvyQ9gcRDNXzjH9fHls" TargetMode="External" Id="rId148" /><Relationship Type="http://schemas.openxmlformats.org/officeDocument/2006/relationships/hyperlink" Target="https://www.google.com/maps/search/?api=1&amp;query=O%20Mundo%20Divertido%20-%20Brinquedoteca&amp;query_place_id=ChIJE91FzOyR9gcRLHn_-Fy1kaM" TargetMode="External" Id="rId149" /><Relationship Type="http://schemas.openxmlformats.org/officeDocument/2006/relationships/hyperlink" Target="https://www.google.com/maps/search/?api=1&amp;query=Adoleta%20Brinquedoteca%20SLZ&amp;query_place_id=ChIJm5LrB16N9gcRO48yrpu77wA" TargetMode="External" Id="rId150" /><Relationship Type="http://schemas.openxmlformats.org/officeDocument/2006/relationships/hyperlink" Target="https://www.google.com/maps/search/?api=1&amp;query=Alpha%20Arena%20Games&amp;query_place_id=ChIJq-7Nul6P9gcRyp8U7LIxkIs" TargetMode="External" Id="rId151" /><Relationship Type="http://schemas.openxmlformats.org/officeDocument/2006/relationships/hyperlink" Target="https://www.google.com/maps/search/?api=1&amp;query=Arcadian&amp;query_place_id=ChIJKQbT9TeT9gcRfqpIx081G0M" TargetMode="External" Id="rId152" /><Relationship Type="http://schemas.openxmlformats.org/officeDocument/2006/relationships/hyperlink" Target="https://www.google.com/maps/search/?api=1&amp;query=Bar%20Box&amp;query_place_id=ChIJH0Gl3fCP9gcRu8yr8-pQI3A" TargetMode="External" Id="rId153" /><Relationship Type="http://schemas.openxmlformats.org/officeDocument/2006/relationships/hyperlink" Target="https://www.google.com/maps/search/?api=1&amp;query=Bar%20Ponto%20de%20Fuga&amp;query_place_id=ChIJb0mkQxqP9gcR0jIUHo5rLFo" TargetMode="External" Id="rId154" /><Relationship Type="http://schemas.openxmlformats.org/officeDocument/2006/relationships/hyperlink" Target="https://www.google.com/maps/search/?api=1&amp;query=Bar%20da%20Helo&amp;query_place_id=ChIJm3PkBtyR9gcR6Aj7DLXys_w" TargetMode="External" Id="rId155" /><Relationship Type="http://schemas.openxmlformats.org/officeDocument/2006/relationships/hyperlink" Target="https://www.google.com/maps/search/?api=1&amp;query=Bar%20do%20Bira%20SLZ&amp;query_place_id=ChIJxZr4hB-Q9gcRqI2Gj9zvTXs" TargetMode="External" Id="rId156" /><Relationship Type="http://schemas.openxmlformats.org/officeDocument/2006/relationships/hyperlink" Target="https://www.google.com/maps/search/?api=1&amp;query=Bar%20do%20Seu%20Z%C3%A9&amp;query_place_id=ChIJ25wzsUKa9gcRWmrGUObttpE" TargetMode="External" Id="rId157" /><Relationship Type="http://schemas.openxmlformats.org/officeDocument/2006/relationships/hyperlink" Target="https://www.google.com/maps/search/?api=1&amp;query=Bar%20do%20Z%C3%A9&amp;query_place_id=ChIJ2cIzRhqP9gcRll69ETs77nM" TargetMode="External" Id="rId158" /><Relationship Type="http://schemas.openxmlformats.org/officeDocument/2006/relationships/hyperlink" Target="https://www.google.com/maps/search/?api=1&amp;query=BeToys%20Brinquedos&amp;query_place_id=ChIJPYCdggeN9gcR52LY52X6eZc" TargetMode="External" Id="rId159" /><Relationship Type="http://schemas.openxmlformats.org/officeDocument/2006/relationships/hyperlink" Target="https://www.google.com/maps/search/?api=1&amp;query=Benjamin%20Brinquedoskids&amp;query_place_id=ChIJaQ8vDSCP9gcRXwhYo9WJkQk" TargetMode="External" Id="rId160" /><Relationship Type="http://schemas.openxmlformats.org/officeDocument/2006/relationships/hyperlink" Target="https://www.google.com/maps/search/?api=1&amp;query=Big%20Joe%20Tabacaria%20Bar%20-%20Lagoa%20da%20Jansen&amp;query_place_id=ChIJT6wGLDCM9gcRA1e9VT15c6Y" TargetMode="External" Id="rId161" /><Relationship Type="http://schemas.openxmlformats.org/officeDocument/2006/relationships/hyperlink" Target="https://www.google.com/maps/search/?api=1&amp;query=Birosca%20dos%20Cum%C3%AA&amp;query_place_id=ChIJzzKoupiR9gcROQiFph9C2ro" TargetMode="External" Id="rId162" /><Relationship Type="http://schemas.openxmlformats.org/officeDocument/2006/relationships/hyperlink" Target="https://www.google.com/maps/search/?api=1&amp;query=Cantinho%20Doce%20Cohama&amp;query_place_id=ChIJp-5uoPiR9gcR-J6cSun50zc" TargetMode="External" Id="rId163" /><Relationship Type="http://schemas.openxmlformats.org/officeDocument/2006/relationships/hyperlink" Target="https://www.google.com/maps/search/?api=1&amp;query=Casa%20%2BBrincar&amp;query_place_id=ChIJ55x0AwCN9gcRT6qWg8uU8f4" TargetMode="External" Id="rId164" /><Relationship Type="http://schemas.openxmlformats.org/officeDocument/2006/relationships/hyperlink" Target="https://www.google.com/maps/search/?api=1&amp;query=Casa%20Vagalume&amp;query_place_id=ChIJAYJ_bVuN9gcRQg7JLdZOsqE" TargetMode="External" Id="rId165" /><Relationship Type="http://schemas.openxmlformats.org/officeDocument/2006/relationships/hyperlink" Target="https://www.google.com/maps/search/?api=1&amp;query=Casa%20de%20Brinquedo&amp;query_place_id=ChIJ5dgqcIKT9gcRe-38gcAPJ3s" TargetMode="External" Id="rId166" /><Relationship Type="http://schemas.openxmlformats.org/officeDocument/2006/relationships/hyperlink" Target="https://www.google.com/maps/search/?api=1&amp;query=Churrascaria%20Barriga%20Verde&amp;query_place_id=ChIJjYjQOCKS9gcR8_VD289nygc" TargetMode="External" Id="rId167" /><Relationship Type="http://schemas.openxmlformats.org/officeDocument/2006/relationships/hyperlink" Target="https://www.google.com/maps/search/?api=1&amp;query=Claudio%20Games%28EM%20BREVE%202024%20%29%20NOVA%20LOJA%20SINCE%202003&amp;query_place_id=ChIJoflM9MqR9gcRXi8dyXkeQdw" TargetMode="External" Id="rId168" /><Relationship Type="http://schemas.openxmlformats.org/officeDocument/2006/relationships/hyperlink" Target="https://www.google.com/maps/search/?api=1&amp;query=Clube%20da%20Crian%C3%A7a&amp;query_place_id=ChIJEdYHiiSO9gcRNLbvr8aq-94" TargetMode="External" Id="rId169" /><Relationship Type="http://schemas.openxmlformats.org/officeDocument/2006/relationships/hyperlink" Target="https://www.google.com/maps/search/?api=1&amp;query=Coyote%20Games&amp;query_place_id=ChIJ0bOqWOmP9gcRXRizku0ZiN0" TargetMode="External" Id="rId170" /><Relationship Type="http://schemas.openxmlformats.org/officeDocument/2006/relationships/hyperlink" Target="https://www.google.com/maps/search/?api=1&amp;query=Criolas%20Gril&amp;query_place_id=ChIJj9QTiduR9gcRLX5D_mZbLfk" TargetMode="External" Id="rId171" /><Relationship Type="http://schemas.openxmlformats.org/officeDocument/2006/relationships/hyperlink" Target="https://www.google.com/maps/search/?api=1&amp;query=Divertiteka&amp;query_place_id=ChIJF1lgI5SN9gcRunR2Ej8pAEg" TargetMode="External" Id="rId172" /><Relationship Type="http://schemas.openxmlformats.org/officeDocument/2006/relationships/hyperlink" Target="https://www.google.com/maps/search/?api=1&amp;query=Djanira%20Presentes&amp;query_place_id=ChIJJ06a0_yN9gcR7wHiG5eLwAs" TargetMode="External" Id="rId173" /><Relationship Type="http://schemas.openxmlformats.org/officeDocument/2006/relationships/hyperlink" Target="https://www.google.com/maps/search/?api=1&amp;query=FISIOFIT%20-%20Fisioterapia%2C%20Rpg%2C%20Pilates%2C%20Osteopatia&amp;query_place_id=ChIJCRE2G5eO9gcRql4E24nqkpQ" TargetMode="External" Id="rId174" /><Relationship Type="http://schemas.openxmlformats.org/officeDocument/2006/relationships/hyperlink" Target="https://www.google.com/maps/search/?api=1&amp;query=Havan%20S%C3%A3o%20Lu%C3%ADs&amp;query_place_id=ChIJ899k6AKT9gcRVCcpeMrUdoc" TargetMode="External" Id="rId175" /><Relationship Type="http://schemas.openxmlformats.org/officeDocument/2006/relationships/hyperlink" Target="https://www.google.com/maps/search/?api=1&amp;query=ILHA%20GAMES%20STUDIO&amp;query_place_id=ChIJuxDnf2OP9gcR1wYWWsfyTs4" TargetMode="External" Id="rId176" /><Relationship Type="http://schemas.openxmlformats.org/officeDocument/2006/relationships/hyperlink" Target="https://www.google.com/maps/search/?api=1&amp;query=JR%20Games%20e%20Inform%C3%A1tica&amp;query_place_id=ChIJG0-06TuS9gcRIgBefwZqdLY" TargetMode="External" Id="rId177" /><Relationship Type="http://schemas.openxmlformats.org/officeDocument/2006/relationships/hyperlink" Target="https://www.google.com/maps/search/?api=1&amp;query=Jogos%20Play&amp;query_place_id=ChIJw2djmViP9gcR6Mbidwwftik" TargetMode="External" Id="rId178" /><Relationship Type="http://schemas.openxmlformats.org/officeDocument/2006/relationships/hyperlink" Target="https://www.google.com/maps/search/?api=1&amp;query=K.O%20Cardstore&amp;query_place_id=ChIJZ4VIP1CT9gcRLQRZJbjIE8Q" TargetMode="External" Id="rId179" /><Relationship Type="http://schemas.openxmlformats.org/officeDocument/2006/relationships/hyperlink" Target="https://www.google.com/maps/search/?api=1&amp;query=Kalunga&amp;query_place_id=ChIJ_Z2nzoeR9gcR_JuFYSunXrE" TargetMode="External" Id="rId180" /><Relationship Type="http://schemas.openxmlformats.org/officeDocument/2006/relationships/hyperlink" Target="https://www.google.com/maps/search/?api=1&amp;query=Kalunga&amp;query_place_id=ChIJi2BYlTCP9gcRZmFqgRGoIrg" TargetMode="External" Id="rId181" /><Relationship Type="http://schemas.openxmlformats.org/officeDocument/2006/relationships/hyperlink" Target="https://www.google.com/maps/search/?api=1&amp;query=LOJAS%20WIKI%20-%20PC%E2%80%99s%2C%20notebook%E2%80%99s%20e%20celulares&amp;query_place_id=ChIJGz4yXgmR9gcRSJSFrE6y3Sk" TargetMode="External" Id="rId182" /><Relationship Type="http://schemas.openxmlformats.org/officeDocument/2006/relationships/hyperlink" Target="https://www.google.com/maps/search/?api=1&amp;query=Leitura&amp;query_place_id=ChIJEdYHiiSO9gcRsLO2OAity_8" TargetMode="External" Id="rId183" /><Relationship Type="http://schemas.openxmlformats.org/officeDocument/2006/relationships/hyperlink" Target="https://www.google.com/maps/search/?api=1&amp;query=Leitura%20Sao%20Luis%20Shopping&amp;query_place_id=ChIJd3VWAn6O9gcRrNntHLFg7VI" TargetMode="External" Id="rId184" /><Relationship Type="http://schemas.openxmlformats.org/officeDocument/2006/relationships/hyperlink" Target="https://www.google.com/maps/search/?api=1&amp;query=Leon%20Games&amp;query_place_id=ChIJoyaZBI6R9gcRJmATrDpHvHY" TargetMode="External" Id="rId185" /><Relationship Type="http://schemas.openxmlformats.org/officeDocument/2006/relationships/hyperlink" Target="https://www.google.com/maps/search/?api=1&amp;query=Loja%20de%20carinhos&amp;query_place_id=ChIJN15aTgCP9gcRqhvevH0S9EI" TargetMode="External" Id="rId186" /><Relationship Type="http://schemas.openxmlformats.org/officeDocument/2006/relationships/hyperlink" Target="https://www.google.com/maps/search/?api=1&amp;query=Lojas%20dos%20chineses&amp;query_place_id=ChIJf1TM906P9gcRhC1rMMVRec0" TargetMode="External" Id="rId187" /><Relationship Type="http://schemas.openxmlformats.org/officeDocument/2006/relationships/hyperlink" Target="https://www.google.com/maps/search/?api=1&amp;query=Ludo%20bar&amp;query_place_id=ChIJD_AkIuqP9gcRS0iQfgupyPo" TargetMode="External" Id="rId188" /><Relationship Type="http://schemas.openxmlformats.org/officeDocument/2006/relationships/hyperlink" Target="https://www.google.com/maps/search/?api=1&amp;query=Ludorama&amp;query_place_id=ChIJnbTgfgeS9gcRP8n5nhD7iWs" TargetMode="External" Id="rId189" /><Relationship Type="http://schemas.openxmlformats.org/officeDocument/2006/relationships/hyperlink" Target="https://www.google.com/maps/search/?api=1&amp;query=Ludotime%20-%20aluguel%20de%20jogos%20de%20tabuleiro&amp;query_place_id=ChIJkYFzpAWT9gcR4ZHFa9MyV4U" TargetMode="External" Id="rId190" /><Relationship Type="http://schemas.openxmlformats.org/officeDocument/2006/relationships/hyperlink" Target="https://www.google.com/maps/search/?api=1&amp;query=MAXIMUS%20GAMES&amp;query_place_id=ChIJC6AAbZ2P9gcRoAIUU5hi-Qk" TargetMode="External" Id="rId191" /><Relationship Type="http://schemas.openxmlformats.org/officeDocument/2006/relationships/hyperlink" Target="https://www.google.com/maps/search/?api=1&amp;query=Momentos%20Felizes_Buffet%20Infantil%20e%20Brinquedos&amp;query_place_id=ChIJ7yzA_VCQ9gcRdhiVsB8Om60" TargetMode="External" Id="rId192" /><Relationship Type="http://schemas.openxmlformats.org/officeDocument/2006/relationships/hyperlink" Target="https://www.google.com/maps/search/?api=1&amp;query=Na%20Praia%20Villa%20Food&amp;query_place_id=ChIJh2VbJIeN9gcRj0UgIMxnmo8" TargetMode="External" Id="rId193" /><Relationship Type="http://schemas.openxmlformats.org/officeDocument/2006/relationships/hyperlink" Target="https://www.google.com/maps/search/?api=1&amp;query=Nexus%20Card%20Games&amp;query_place_id=ChIJk_sxWACN9gcROBc9azPk-dA" TargetMode="External" Id="rId194" /><Relationship Type="http://schemas.openxmlformats.org/officeDocument/2006/relationships/hyperlink" Target="https://www.google.com/maps/search/?api=1&amp;query=PBKIDS%20.%20S%C3%83O%20LU%C3%8DS&amp;query_place_id=ChIJSeYQWseN9gcR5EWhEXyzih4" TargetMode="External" Id="rId195" /><Relationship Type="http://schemas.openxmlformats.org/officeDocument/2006/relationships/hyperlink" Target="https://www.google.com/maps/search/?api=1&amp;query=PV%20Toys%20Locadora%20de%20Brinquedo&amp;query_place_id=ChIJEcs_ECON9gcRmeIjXxkbzuU" TargetMode="External" Id="rId196" /><Relationship Type="http://schemas.openxmlformats.org/officeDocument/2006/relationships/hyperlink" Target="https://www.google.com/maps/search/?api=1&amp;query=Planet%20park&amp;query_place_id=ChIJFROnJgCP9gcR5I9kpZkhT2A" TargetMode="External" Id="rId197" /><Relationship Type="http://schemas.openxmlformats.org/officeDocument/2006/relationships/hyperlink" Target="https://www.google.com/maps/search/?api=1&amp;query=Ponto%20de%20fuga%20Gastrobar&amp;query_place_id=ChIJ90N4ZjKP9gcRyEGViFcePbs" TargetMode="External" Id="rId198" /><Relationship Type="http://schemas.openxmlformats.org/officeDocument/2006/relationships/hyperlink" Target="https://www.google.com/maps/search/?api=1&amp;query=Pule%20%26%20Brinque%20-%20Aluguel%20de%20brinquedos%20infantis%20para%20festas&amp;query_place_id=ChIJT4QZkwCX9gcRN9NWrbAr7Gc" TargetMode="External" Id="rId199" /><Relationship Type="http://schemas.openxmlformats.org/officeDocument/2006/relationships/hyperlink" Target="https://www.google.com/maps/search/?api=1&amp;query=Qu4tro&amp;query_place_id=ChIJmwx_aCeN9gcRnuK_aUxRJyU" TargetMode="External" Id="rId200" /><Relationship Type="http://schemas.openxmlformats.org/officeDocument/2006/relationships/hyperlink" Target="https://www.google.com/maps/search/?api=1&amp;query=RI%20HAPPY%20SHOPPING%20DA%20ILHA&amp;query_place_id=ChIJ_cdg7SSO9gcRmrBAsjB450A" TargetMode="External" Id="rId201" /><Relationship Type="http://schemas.openxmlformats.org/officeDocument/2006/relationships/hyperlink" Target="https://www.google.com/maps/search/?api=1&amp;query=RI%20HAPPY%20SHOPPING%20RIO%20ANIL&amp;query_place_id=ChIJ9ynJK7GR9gcRmdmJdeL95pg" TargetMode="External" Id="rId202" /><Relationship Type="http://schemas.openxmlformats.org/officeDocument/2006/relationships/hyperlink" Target="https://www.google.com/maps/search/?api=1&amp;query=RI%20HAPPY%20SHOPPING%20S%C3%83O%20LU%C3%8DS&amp;query_place_id=ChIJp6638TKM9gcRGTSt2WB_je4" TargetMode="External" Id="rId203" /><Relationship Type="http://schemas.openxmlformats.org/officeDocument/2006/relationships/hyperlink" Target="https://www.google.com/maps/search/?api=1&amp;query=Shopping%20da%20Ilha&amp;query_place_id=ChIJp9b1WCSO9gcRfrqopQWqASA" TargetMode="External" Id="rId204" /><Relationship Type="http://schemas.openxmlformats.org/officeDocument/2006/relationships/hyperlink" Target="https://www.google.com/maps/search/?api=1&amp;query=Stadium%20Sinuca%20Bar&amp;query_place_id=ChIJ0StUEEaN9gcRNvVUbmghOug" TargetMode="External" Id="rId205" /><Relationship Type="http://schemas.openxmlformats.org/officeDocument/2006/relationships/hyperlink" Target="https://www.google.com/maps/search/?api=1&amp;query=Stadium%20Sport%20Bar&amp;query_place_id=ChIJI6U5qj2S9gcR6hHWHfZXTb8" TargetMode="External" Id="rId206" /><Relationship Type="http://schemas.openxmlformats.org/officeDocument/2006/relationships/hyperlink" Target="https://www.google.com/maps/search/?api=1&amp;query=Steniogames&amp;query_place_id=ChIJPU76dW-a9gcRIUjMZw-9yL0" TargetMode="External" Id="rId207" /><Relationship Type="http://schemas.openxmlformats.org/officeDocument/2006/relationships/hyperlink" Target="https://www.google.com/maps/search/?api=1&amp;query=Studio%20Games%20S%C3%A3o%20Luis&amp;query_place_id=ChIJ-59d74eP9gcRwtjlwK_FRmI" TargetMode="External" Id="rId208" /><Relationship Type="http://schemas.openxmlformats.org/officeDocument/2006/relationships/hyperlink" Target="https://www.google.com/maps/search/?api=1&amp;query=TOON%20TOWN&amp;query_place_id=ChIJ4cxHITON9gcR28DfJER9bLM" TargetMode="External" Id="rId209" /><Relationship Type="http://schemas.openxmlformats.org/officeDocument/2006/relationships/hyperlink" Target="https://www.google.com/maps/search/?api=1&amp;query=Tear%20Store&amp;query_place_id=ChIJbR4fcvCN9gcRem3c3iqXjiM" TargetMode="External" Id="rId210" /><Relationship Type="http://schemas.openxmlformats.org/officeDocument/2006/relationships/hyperlink" Target="https://www.google.com/maps/search/?api=1&amp;query=Top%20Deck%20SLZ&amp;query_place_id=ChIJwwHtMgCR9gcRuCpWJwT7MnM" TargetMode="External" Id="rId211" /><Relationship Type="http://schemas.openxmlformats.org/officeDocument/2006/relationships/hyperlink" Target="https://www.google.com/maps/search/?api=1&amp;query=Ultra%20Games%20Park%20-%20Aluguel%20de%20Brinquedos%20em%20S%C3%A3o%20Lu%C3%ADs&amp;query_place_id=ChIJqcMfbJSR9gcRZdmEolmRSUw" TargetMode="External" Id="rId212" /><Relationship Type="http://schemas.openxmlformats.org/officeDocument/2006/relationships/hyperlink" Target="https://www.google.com/maps/search/?api=1&amp;query=Unidade%20D%20Gamer&amp;query_place_id=ChIJyXqDuUiP9gcRE1ctmlE0_-g" TargetMode="External" Id="rId213" /><Relationship Type="http://schemas.openxmlformats.org/officeDocument/2006/relationships/hyperlink" Target="https://www.google.com/maps/search/?api=1&amp;query=Villa%20Vegas&amp;query_place_id=ChIJkcc-t8eR9gcRDbgpFpoxng4" TargetMode="External" Id="rId214" /><Relationship Type="http://schemas.openxmlformats.org/officeDocument/2006/relationships/hyperlink" Target="https://www.google.com/maps/search/?api=1&amp;query=Viraventura&amp;query_place_id=ChIJ91jnxqCN9gcRF-nKOr7ePP8" TargetMode="External" Id="rId215" /><Relationship Type="http://schemas.openxmlformats.org/officeDocument/2006/relationships/hyperlink" Target="https://www.google.com/maps/search/?api=1&amp;query=Zastras%20S%C3%A3o%20Luis&amp;query_place_id=ChIJdwSwaKuP9gcRsjQilDYp6PY" TargetMode="External" Id="rId216" /><Relationship Type="http://schemas.openxmlformats.org/officeDocument/2006/relationships/hyperlink" Target="https://www.google.com/maps/search/?api=1&amp;query=103%20Games%20%26%20Eletr%C3%B4nicos&amp;query_place_id=ChIJdzGM0NrnhpQR60PoBjLfnGQ" TargetMode="External" Id="rId217" /><Relationship Type="http://schemas.openxmlformats.org/officeDocument/2006/relationships/hyperlink" Target="https://www.google.com/maps/search/?api=1&amp;query=Aldryon%20RPG&amp;query_place_id=ChIJKdXhPGvvhpQRufmyrVkb4RU" TargetMode="External" Id="rId218" /><Relationship Type="http://schemas.openxmlformats.org/officeDocument/2006/relationships/hyperlink" Target="https://www.google.com/maps/search/?api=1&amp;query=Anubis%20Games&amp;query_place_id=ChIJHa61aLjlhpQR0BqpEeLowC0" TargetMode="External" Id="rId219" /><Relationship Type="http://schemas.openxmlformats.org/officeDocument/2006/relationships/hyperlink" Target="https://www.google.com/maps/search/?api=1&amp;query=Avenida%20Presidente%20Vargas%205557&amp;query_place_id=ChIJzU-JkzfnhpQR1EnutE6ofdY" TargetMode="External" Id="rId220" /><Relationship Type="http://schemas.openxmlformats.org/officeDocument/2006/relationships/hyperlink" Target="https://www.google.com/maps/search/?api=1&amp;query=Baby%20Gym%20Campo%20Grande%20MS&amp;query_place_id=ChIJo5gDbIXvhpQRWiROtI8nHYI" TargetMode="External" Id="rId221" /><Relationship Type="http://schemas.openxmlformats.org/officeDocument/2006/relationships/hyperlink" Target="https://www.google.com/maps/search/?api=1&amp;query=Bar%20Portugal&amp;query_place_id=ChIJC5GIYQDnhpQRyje_l50N2Mk" TargetMode="External" Id="rId222" /><Relationship Type="http://schemas.openxmlformats.org/officeDocument/2006/relationships/hyperlink" Target="https://www.google.com/maps/search/?api=1&amp;query=BarZito&amp;query_place_id=ChIJ4U_Zh8DohpQRV1HsCB6b5WA" TargetMode="External" Id="rId223" /><Relationship Type="http://schemas.openxmlformats.org/officeDocument/2006/relationships/hyperlink" Target="https://www.google.com/maps/search/?api=1&amp;query=Basefire&amp;query_place_id=ChIJ61aSEfLlhpQRLgqFxVuC08o" TargetMode="External" Id="rId224" /><Relationship Type="http://schemas.openxmlformats.org/officeDocument/2006/relationships/hyperlink" Target="https://www.google.com/maps/search/?api=1&amp;query=Boards%20em%20Casa%20-%20Loca%C3%A7%C3%A3o%20de%20Jogos%20de%20Tabuleiro&amp;query_place_id=ChIJAZZH7afphpQR6juwbzUq9ic" TargetMode="External" Id="rId225" /><Relationship Type="http://schemas.openxmlformats.org/officeDocument/2006/relationships/hyperlink" Target="https://www.google.com/maps/search/?api=1&amp;query=Brinquedoteca%20Joy%20Kids&amp;query_place_id=ChIJ845mvEXnhpQRxfrSOd6O8Lo" TargetMode="External" Id="rId226" /><Relationship Type="http://schemas.openxmlformats.org/officeDocument/2006/relationships/hyperlink" Target="https://www.google.com/maps/search/?api=1&amp;query=Caf%C3%A9%20Teatro%20Galeria&amp;query_place_id=ChIJj114bQjnhpQRK0LWws6pHdQ" TargetMode="External" Id="rId227" /><Relationship Type="http://schemas.openxmlformats.org/officeDocument/2006/relationships/hyperlink" Target="https://www.google.com/maps/search/?api=1&amp;query=Casa%20L%C3%BAdica%20Campo%20Grande%20-%20Loja%20de%20Brinquedos%20Educativos&amp;query_place_id=ChIJs67sKkrphpQR_6KUaGwypy0" TargetMode="External" Id="rId228" /><Relationship Type="http://schemas.openxmlformats.org/officeDocument/2006/relationships/hyperlink" Target="https://www.google.com/maps/search/?api=1&amp;query=Casa%20Park%20Kids&amp;query_place_id=ChIJ38wbIY3phpQRX2JmMvNZTYY" TargetMode="External" Id="rId229" /><Relationship Type="http://schemas.openxmlformats.org/officeDocument/2006/relationships/hyperlink" Target="https://www.google.com/maps/search/?api=1&amp;query=Casa%20da%20Tia%20Paula%20-%20Brinquedoteca&amp;query_place_id=ChIJR7TrDNHphpQRQBMeDVgKQRU" TargetMode="External" Id="rId230" /><Relationship Type="http://schemas.openxmlformats.org/officeDocument/2006/relationships/hyperlink" Target="https://www.google.com/maps/search/?api=1&amp;query=Casinha%20Bar&amp;query_place_id=ChIJ32XBajrphpQR6bSVOgp6nlY" TargetMode="External" Id="rId231" /><Relationship Type="http://schemas.openxmlformats.org/officeDocument/2006/relationships/hyperlink" Target="https://www.google.com/maps/search/?api=1&amp;query=Caverna%20Board%20Games&amp;query_place_id=ChIJLczTCwDnhpQRBxX3z2r6ni4" TargetMode="External" Id="rId232" /><Relationship Type="http://schemas.openxmlformats.org/officeDocument/2006/relationships/hyperlink" Target="https://www.google.com/maps/search/?api=1&amp;query=Ciragandaia%20recrea%C3%A7%C3%A3o&amp;query_place_id=ChIJy0IabtXnhpQRaGdOTEqB25M" TargetMode="External" Id="rId233" /><Relationship Type="http://schemas.openxmlformats.org/officeDocument/2006/relationships/hyperlink" Target="https://www.google.com/maps/search/?api=1&amp;query=Coisa%20De%20Crian%C3%A7a&amp;query_place_id=ChIJp22rN6TvhpQR3SJbYsnbN0U" TargetMode="External" Id="rId234" /><Relationship Type="http://schemas.openxmlformats.org/officeDocument/2006/relationships/hyperlink" Target="https://www.google.com/maps/search/?api=1&amp;query=DINOSSAUROS%20RECREA%C3%87%C3%95ES%20E%20CENTRO%20DE%20APOIO%20PEDAG%C3%93GICO&amp;query_place_id=ChIJwcw51grohpQRmRYFh33O-9g" TargetMode="External" Id="rId235" /><Relationship Type="http://schemas.openxmlformats.org/officeDocument/2006/relationships/hyperlink" Target="https://www.google.com/maps/search/?api=1&amp;query=Deck%20Lab%20Game%20Store&amp;query_place_id=ChIJDQJ_J5zphpQRo01JmsrUHGQ" TargetMode="External" Id="rId236" /><Relationship Type="http://schemas.openxmlformats.org/officeDocument/2006/relationships/hyperlink" Target="https://www.google.com/maps/search/?api=1&amp;query=Deck%20Store&amp;query_place_id=ChIJmWEV9JrvhpQRH_gs4CW-RiY" TargetMode="External" Id="rId237" /><Relationship Type="http://schemas.openxmlformats.org/officeDocument/2006/relationships/hyperlink" Target="https://www.google.com/maps/search/?api=1&amp;query=Diverkids%20Presentes%20%7C%20Loja%20de%20Brinquedos%20%7C%20Campo%20Grande%20MS&amp;query_place_id=ChIJ616D9cvvhpQRbPPZ580dXG4" TargetMode="External" Id="rId238" /><Relationship Type="http://schemas.openxmlformats.org/officeDocument/2006/relationships/hyperlink" Target="https://www.google.com/maps/search/?api=1&amp;query=Dragons%20Animes&amp;query_place_id=ChIJQb1nkDznhpQRSluY8_dwHzg" TargetMode="External" Id="rId239" /><Relationship Type="http://schemas.openxmlformats.org/officeDocument/2006/relationships/hyperlink" Target="https://www.google.com/maps/search/?api=1&amp;query=DuoFisio%20-%20Fisioterapia%2C%20Pilates%20%2CRPG%20%2C%20Quiropraxia%20e%20Osteopatia.&amp;query_place_id=ChIJkS8my4LohpQRpMYWK5scvPg" TargetMode="External" Id="rId240" /><Relationship Type="http://schemas.openxmlformats.org/officeDocument/2006/relationships/hyperlink" Target="https://www.google.com/maps/search/?api=1&amp;query=Eden%20Beer%20-%20Cervejaria&amp;query_place_id=ChIJqZR3O9fnhpQRc_CmGUV7iWk" TargetMode="External" Id="rId241" /><Relationship Type="http://schemas.openxmlformats.org/officeDocument/2006/relationships/hyperlink" Target="https://www.google.com/maps/search/?api=1&amp;query=Falc%C3%A3o%20Games&amp;query_place_id=ChIJBXKfy4jnhpQRTfctOG9Vlmk" TargetMode="External" Id="rId242" /><Relationship Type="http://schemas.openxmlformats.org/officeDocument/2006/relationships/hyperlink" Target="https://www.google.com/maps/search/?api=1&amp;query=Grid%20Game%20Center%20-%20Campo%20Grande%20MS&amp;query_place_id=ChIJte_rSADphpQR4KnxdCZwpcY" TargetMode="External" Id="rId243" /><Relationship Type="http://schemas.openxmlformats.org/officeDocument/2006/relationships/hyperlink" Target="https://www.google.com/maps/search/?api=1&amp;query=Happy%20Kids%20Brinquedoteca&amp;query_place_id=ChIJb-fwV4XohpQRBvhhFEcIjcE" TargetMode="External" Id="rId244" /><Relationship Type="http://schemas.openxmlformats.org/officeDocument/2006/relationships/hyperlink" Target="https://www.google.com/maps/search/?api=1&amp;query=Hora%20da%20alegria%20pulapula%20%2B%20piscina%20de%20bolinha&amp;query_place_id=ChIJZcz6GHDlhpQR5NOd7i6JhRA" TargetMode="External" Id="rId245" /><Relationship Type="http://schemas.openxmlformats.org/officeDocument/2006/relationships/hyperlink" Target="https://www.google.com/maps/search/?api=1&amp;query=Joga%20Burger&amp;query_place_id=ChIJFXw-sPbohpQR5eMb1gcDtNs" TargetMode="External" Id="rId246" /><Relationship Type="http://schemas.openxmlformats.org/officeDocument/2006/relationships/hyperlink" Target="https://www.google.com/maps/search/?api=1&amp;query=Jogos%20Aurora&amp;query_place_id=ChIJ-VrxLhvnhpQR2mKesaDPzqk" TargetMode="External" Id="rId247" /><Relationship Type="http://schemas.openxmlformats.org/officeDocument/2006/relationships/hyperlink" Target="https://www.google.com/maps/search/?api=1&amp;query=Leitura%20Campo%20Grande&amp;query_place_id=ChIJq6qqTpXohpQRLq7PmpY9FV4" TargetMode="External" Id="rId248" /><Relationship Type="http://schemas.openxmlformats.org/officeDocument/2006/relationships/hyperlink" Target="https://www.google.com/maps/search/?api=1&amp;query=Lepetipola&amp;query_place_id=ChIJi3o774_phpQRX5CuhHxX2zc" TargetMode="External" Id="rId249" /><Relationship Type="http://schemas.openxmlformats.org/officeDocument/2006/relationships/hyperlink" Target="https://www.google.com/maps/search/?api=1&amp;query=MAGIC%20GAMES&amp;query_place_id=ChIJAR0X1w3mhpQRNkcz7rqI-_s" TargetMode="External" Id="rId250" /><Relationship Type="http://schemas.openxmlformats.org/officeDocument/2006/relationships/hyperlink" Target="https://www.google.com/maps/search/?api=1&amp;query=Meninus%20Games&amp;query_place_id=ChIJleY4oWfphpQRvVHngIcsHdk" TargetMode="External" Id="rId251" /><Relationship Type="http://schemas.openxmlformats.org/officeDocument/2006/relationships/hyperlink" Target="https://www.google.com/maps/search/?api=1&amp;query=Multiverso%20Tabuleiros%20-%20Aluguel%20de%20Jogos%20de%20Tabuleiro%20em%20Campo%20Grande&amp;query_place_id=ChIJDWxbmU7phpQRJ12eAtIDuLQ" TargetMode="External" Id="rId252" /><Relationship Type="http://schemas.openxmlformats.org/officeDocument/2006/relationships/hyperlink" Target="https://www.google.com/maps/search/?api=1&amp;query=Mundo%20CJ%20-%20Aluguel%20de%20Jogos%20de%20Tabuleiro&amp;query_place_id=ChIJn0T8FpvnhpQR19Mlnj2G2rQ" TargetMode="External" Id="rId253" /><Relationship Type="http://schemas.openxmlformats.org/officeDocument/2006/relationships/hyperlink" Target="https://www.google.com/maps/search/?api=1&amp;query=Mundo%20encantado%20brinquedos&amp;query_place_id=ChIJud1petjphpQRP-zWwQwiPgo" TargetMode="External" Id="rId254" /><Relationship Type="http://schemas.openxmlformats.org/officeDocument/2006/relationships/hyperlink" Target="https://www.google.com/maps/search/?api=1&amp;query=Mystical%20Space%20-%20Seu%20jogo%20come%C3%A7a%20aqui&amp;query_place_id=ChIJkb-xXLTohpQRV2uA3ZMrc-M" TargetMode="External" Id="rId255" /><Relationship Type="http://schemas.openxmlformats.org/officeDocument/2006/relationships/hyperlink" Target="https://www.google.com/maps/search/?api=1&amp;query=O%20Irland%C3%AAs%20Pub&amp;query_place_id=ChIJq8A4Sz3mhpQRP6uBTSScV6M" TargetMode="External" Id="rId256" /><Relationship Type="http://schemas.openxmlformats.org/officeDocument/2006/relationships/hyperlink" Target="https://www.google.com/maps/search/?api=1&amp;query=Pirlimpimpim%20Brinquedos&amp;query_place_id=ChIJt_x38pHohpQReRSrHC2YOgo" TargetMode="External" Id="rId257" /><Relationship Type="http://schemas.openxmlformats.org/officeDocument/2006/relationships/hyperlink" Target="https://www.google.com/maps/search/?api=1&amp;query=Play%20Games&amp;query_place_id=ChIJaX9ow6PvhpQRs_j2-_dt4y4" TargetMode="External" Id="rId258" /><Relationship Type="http://schemas.openxmlformats.org/officeDocument/2006/relationships/hyperlink" Target="https://www.google.com/maps/search/?api=1&amp;query=Play%20Games%20/%20Campo%20Grande-MS&amp;query_place_id=ChIJqQR_cdHphpQRKRAe24390ow" TargetMode="External" Id="rId259" /><Relationship Type="http://schemas.openxmlformats.org/officeDocument/2006/relationships/hyperlink" Target="https://www.google.com/maps/search/?api=1&amp;query=PokeDez%20Cards%20e%20Acess%C3%B3rios&amp;query_place_id=ChIJg5kpMQ_vhpQRPBmmZMk2ff8" TargetMode="External" Id="rId260" /><Relationship Type="http://schemas.openxmlformats.org/officeDocument/2006/relationships/hyperlink" Target="https://www.google.com/maps/search/?api=1&amp;query=QUINTAL%20SER%20CRIANCA&amp;query_place_id=ChIJ_zg_6ofohpQR3xcNh4iI9fw" TargetMode="External" Id="rId261" /><Relationship Type="http://schemas.openxmlformats.org/officeDocument/2006/relationships/hyperlink" Target="https://www.google.com/maps/search/?api=1&amp;query=Quiosque%20Afonso%20Pena&amp;query_place_id=ChIJfQi_DUHphpQR7dwrCi8EHaM" TargetMode="External" Id="rId262" /><Relationship Type="http://schemas.openxmlformats.org/officeDocument/2006/relationships/hyperlink" Target="https://www.google.com/maps/search/?api=1&amp;query=RI%20HAPPY%20CAMPO%20GRANDE&amp;query_place_id=ChIJcX0GuurohpQRsxIA5vn06HI" TargetMode="External" Id="rId263" /><Relationship Type="http://schemas.openxmlformats.org/officeDocument/2006/relationships/hyperlink" Target="https://www.google.com/maps/search/?api=1&amp;query=Retro%20Gamers%3A%20V%C3%ADdeo%20Games%20Concept&amp;query_place_id=ChIJ8VQodY3ohpQRjYawVc0O-7Y" TargetMode="External" Id="rId264" /><Relationship Type="http://schemas.openxmlformats.org/officeDocument/2006/relationships/hyperlink" Target="https://www.google.com/maps/search/?api=1&amp;query=Selma%20Collections%20%26%20Miniaturas&amp;query_place_id=ChIJiYLfumbnhpQRqg6aAt4c8OM" TargetMode="External" Id="rId265" /><Relationship Type="http://schemas.openxmlformats.org/officeDocument/2006/relationships/hyperlink" Target="https://www.google.com/maps/search/?api=1&amp;query=Shop%20Tudo%20Papelaria&amp;query_place_id=ChIJi2FlTiPmhpQR1n5cELoitYg" TargetMode="External" Id="rId266" /><Relationship Type="http://schemas.openxmlformats.org/officeDocument/2006/relationships/hyperlink" Target="https://www.google.com/maps/search/?api=1&amp;query=Sparta%20Games&amp;query_place_id=ChIJcaEgFGTvhpQRFFP1penRu8Y" TargetMode="External" Id="rId267" /><Relationship Type="http://schemas.openxmlformats.org/officeDocument/2006/relationships/hyperlink" Target="https://www.google.com/maps/search/?api=1&amp;query=Super%20Divertidoos&amp;query_place_id=ChIJ34rGmQbphpQRUxxSvEBAztw" TargetMode="External" Id="rId268" /><Relationship Type="http://schemas.openxmlformats.org/officeDocument/2006/relationships/hyperlink" Target="https://www.google.com/maps/search/?api=1&amp;query=TR8%20Jogos%20e%20Acess%C3%B3rios&amp;query_place_id=ChIJ-_ohMrTohpQR1luFD81Hkno" TargetMode="External" Id="rId269" /><Relationship Type="http://schemas.openxmlformats.org/officeDocument/2006/relationships/hyperlink" Target="https://www.google.com/maps/search/?api=1&amp;query=Tatu%20Bola%20Bar&amp;query_place_id=ChIJ47hgAMDphpQRJUVnUhW3wZs" TargetMode="External" Id="rId270" /><Relationship Type="http://schemas.openxmlformats.org/officeDocument/2006/relationships/hyperlink" Target="https://www.google.com/maps/search/?api=1&amp;query=Territorio%20Ristorante&amp;query_place_id=ChIJKQ77hZnohpQRX5uXtEyxA9k" TargetMode="External" Id="rId271" /><Relationship Type="http://schemas.openxmlformats.org/officeDocument/2006/relationships/hyperlink" Target="https://www.google.com/maps/search/?api=1&amp;query=V2%20Imports%20Camel%C3%B4dromo%20Box%20106%20games%20e%20Eletr%C3%B4nicos&amp;query_place_id=ChIJVRF6tXXnhpQRZIYV0HvJFfU" TargetMode="External" Id="rId272" /><Relationship Type="http://schemas.openxmlformats.org/officeDocument/2006/relationships/hyperlink" Target="https://www.google.com/maps/search/?api=1&amp;query=YouPlay%20Shopping%20Campo%20Grande&amp;query_place_id=ChIJ7Sfr2NXphpQR4bTZtqFiy3g" TargetMode="External" Id="rId273" /><Relationship Type="http://schemas.openxmlformats.org/officeDocument/2006/relationships/hyperlink" Target="https://www.google.com/maps/search/?api=1&amp;query=YuuP%21%20Play&amp;query_place_id=ChIJg3PocFrphpQRk4P4X525vxo" TargetMode="External" Id="rId274" /><Relationship Type="http://schemas.openxmlformats.org/officeDocument/2006/relationships/hyperlink" Target="https://www.google.com/maps/search/?api=1&amp;query=77%20Gastro%20Pub%20Restaurante%20e%20Lanchonete&amp;query_place_id=ChIJjQuJRD2xnZMRc4PT48sJtDg" TargetMode="External" Id="rId275" /><Relationship Type="http://schemas.openxmlformats.org/officeDocument/2006/relationships/hyperlink" Target="https://www.google.com/maps/search/?api=1&amp;query=Americanas&amp;query_place_id=ChIJKfNwfJSxnZMRfpBE1Onme6Y" TargetMode="External" Id="rId276" /><Relationship Type="http://schemas.openxmlformats.org/officeDocument/2006/relationships/hyperlink" Target="https://www.google.com/maps/search/?api=1&amp;query=Bar%20das%20%C3%81guas&amp;query_place_id=ChIJF_rDGxCxnZMR1w8Od1JIXUQ" TargetMode="External" Id="rId277" /><Relationship Type="http://schemas.openxmlformats.org/officeDocument/2006/relationships/hyperlink" Target="https://www.google.com/maps/search/?api=1&amp;query=Bar%20do%20Edgare&amp;query_place_id=ChIJpe2BhSOynZMRyriL0sE8wPg" TargetMode="External" Id="rId278" /><Relationship Type="http://schemas.openxmlformats.org/officeDocument/2006/relationships/hyperlink" Target="https://www.google.com/maps/search/?api=1&amp;query=Bear%20Brothers%20Cards%20And%20Games&amp;query_place_id=ChIJPYMeL3OxnZMRm-iPrOiCLD0" TargetMode="External" Id="rId279" /><Relationship Type="http://schemas.openxmlformats.org/officeDocument/2006/relationships/hyperlink" Target="https://www.google.com/maps/search/?api=1&amp;query=COPO%20LIMPO%20BIKE%20BEER&amp;query_place_id=ChIJm7oQx7yxnZMRqjI_taeZ_Rs" TargetMode="External" Id="rId280" /><Relationship Type="http://schemas.openxmlformats.org/officeDocument/2006/relationships/hyperlink" Target="https://www.google.com/maps/search/?api=1&amp;query=COPO%20SUJO%20BAR&amp;query_place_id=ChIJeRUCidixnZMRSuu2jX1qkLw" TargetMode="External" Id="rId281" /><Relationship Type="http://schemas.openxmlformats.org/officeDocument/2006/relationships/hyperlink" Target="https://www.google.com/maps/search/?api=1&amp;query=Caveira%20Cerveja&amp;query_place_id=ChIJHTa0LiOvnZMR_pUYlmBlUk4" TargetMode="External" Id="rId282" /><Relationship Type="http://schemas.openxmlformats.org/officeDocument/2006/relationships/hyperlink" Target="https://www.google.com/maps/search/?api=1&amp;query=Cervejaria%20LaCerva&amp;query_place_id=ChIJZ1nch_SxnZMROIdInVnj218" TargetMode="External" Id="rId283" /><Relationship Type="http://schemas.openxmlformats.org/officeDocument/2006/relationships/hyperlink" Target="https://www.google.com/maps/search/?api=1&amp;query=Cl%C3%ADnica%20FITS&amp;query_place_id=ChIJgVx_m4mxnZMRXou3icQTe48" TargetMode="External" Id="rId284" /><Relationship Type="http://schemas.openxmlformats.org/officeDocument/2006/relationships/hyperlink" Target="https://www.google.com/maps/search/?api=1&amp;query=Corona%20Snooker%20Bar&amp;query_place_id=ChIJWe2qPfiwnZMR6NwMKsS6EZQ" TargetMode="External" Id="rId285" /><Relationship Type="http://schemas.openxmlformats.org/officeDocument/2006/relationships/hyperlink" Target="https://www.google.com/maps/search/?api=1&amp;query=DeToys%20Kids%20e%20Tendas%20MT&amp;query_place_id=ChIJsfpqvX-6nZMRY4cjSABWOMg" TargetMode="External" Id="rId286" /><Relationship Type="http://schemas.openxmlformats.org/officeDocument/2006/relationships/hyperlink" Target="https://www.google.com/maps/search/?api=1&amp;query=Ditado%20Popular&amp;query_place_id=ChIJsYBuoY-xnZMRn-CbJ4ulFIU" TargetMode="External" Id="rId287" /><Relationship Type="http://schemas.openxmlformats.org/officeDocument/2006/relationships/hyperlink" Target="https://www.google.com/maps/search/?api=1&amp;query=Emp%C3%B3rio%20L%C3%BAdico&amp;query_place_id=ChIJr1FfnFCxnZMR0y11X_OoteA" TargetMode="External" Id="rId288" /><Relationship Type="http://schemas.openxmlformats.org/officeDocument/2006/relationships/hyperlink" Target="https://www.google.com/maps/search/?api=1&amp;query=Espa%C3%A7o%20Para%C3%ADso%20Kids&amp;query_place_id=ChIJD1UEYCaxnZMRbgRxsHBus30" TargetMode="External" Id="rId289" /><Relationship Type="http://schemas.openxmlformats.org/officeDocument/2006/relationships/hyperlink" Target="https://www.google.com/maps/search/?api=1&amp;query=Espa%C3%A7o%20Top%20Divers%C3%B5es&amp;query_place_id=ChIJxR_lcKexnZMRTLWMTXb9N0U" TargetMode="External" Id="rId290" /><Relationship Type="http://schemas.openxmlformats.org/officeDocument/2006/relationships/hyperlink" Target="https://www.google.com/maps/search/?api=1&amp;query=Espetinho%20do%20Pinho&amp;query_place_id=ChIJM8QTSbyznZMRePX9vtQ2u74" TargetMode="External" Id="rId291" /><Relationship Type="http://schemas.openxmlformats.org/officeDocument/2006/relationships/hyperlink" Target="https://www.google.com/maps/search/?api=1&amp;query=Esquininha%20Bar%20e%20Restaurante&amp;query_place_id=ChIJuYLZkyqunZMRsfbcRg2Rkqc" TargetMode="External" Id="rId292" /><Relationship Type="http://schemas.openxmlformats.org/officeDocument/2006/relationships/hyperlink" Target="https://www.google.com/maps/search/?api=1&amp;query=Farol%20Bar&amp;query_place_id=ChIJ92EHJs-xnZMRXXEzl9IzVBA" TargetMode="External" Id="rId293" /><Relationship Type="http://schemas.openxmlformats.org/officeDocument/2006/relationships/hyperlink" Target="https://www.google.com/maps/search/?api=1&amp;query=GGC%20-%20Grid%20Game%20Center%20-%20Shopping%20Esta%C3%A7%C3%A3o%20Cuiab%C3%A1%20MT&amp;query_place_id=ChIJvaDwqtaxnZMRUQ9d7__9NQU" TargetMode="External" Id="rId294" /><Relationship Type="http://schemas.openxmlformats.org/officeDocument/2006/relationships/hyperlink" Target="https://www.google.com/maps/search/?api=1&amp;query=Je%20Divers%C3%B5es&amp;query_place_id=ChIJz6YxkmOlnZMRXvlzUk0SiLQ" TargetMode="External" Id="rId295" /><Relationship Type="http://schemas.openxmlformats.org/officeDocument/2006/relationships/hyperlink" Target="https://www.google.com/maps/search/?api=1&amp;query=Ludoria%20Cuiabana&amp;query_place_id=ChIJkZq7FRaznZMR-qHvmCV-kIs" TargetMode="External" Id="rId296" /><Relationship Type="http://schemas.openxmlformats.org/officeDocument/2006/relationships/hyperlink" Target="https://www.google.com/maps/search/?api=1&amp;query=MT%20Figurinhas%20%26%20Cards&amp;query_place_id=ChIJaUVdt1CxnZMRdiQQYXjQgYs" TargetMode="External" Id="rId297" /><Relationship Type="http://schemas.openxmlformats.org/officeDocument/2006/relationships/hyperlink" Target="https://www.google.com/maps/search/?api=1&amp;query=Mario%20Rosa%20-%20Quiropraxia%20e%20RPG&amp;query_place_id=ChIJ2c96mKaznZMRwPkjJRz8nIU" TargetMode="External" Id="rId298" /><Relationship Type="http://schemas.openxmlformats.org/officeDocument/2006/relationships/hyperlink" Target="https://www.google.com/maps/search/?api=1&amp;query=Mister%20Game%20Drinks&amp;query_place_id=ChIJV-ILP3axnZMRXR-ujzUSeoM" TargetMode="External" Id="rId299" /><Relationship Type="http://schemas.openxmlformats.org/officeDocument/2006/relationships/hyperlink" Target="https://www.google.com/maps/search/?api=1&amp;query=Mordrade%20Card%20Shop%20%7C%20Card%20Games&amp;query_place_id=ChIJTYuVzPGvnZMRw44sFdDZiJs" TargetMode="External" Id="rId300" /><Relationship Type="http://schemas.openxmlformats.org/officeDocument/2006/relationships/hyperlink" Target="https://www.google.com/maps/search/?api=1&amp;query=Mundo%20Dos%20Playgrounds&amp;query_place_id=ChIJV12csB6vnZMRr7vaEXwfRnY" TargetMode="External" Id="rId301" /><Relationship Type="http://schemas.openxmlformats.org/officeDocument/2006/relationships/hyperlink" Target="https://www.google.com/maps/search/?api=1&amp;query=NEW%20GAMES%20CELL&amp;query_place_id=ChIJ5R9cFzaxnZMR_6N3XtvjafU" TargetMode="External" Id="rId302" /><Relationship Type="http://schemas.openxmlformats.org/officeDocument/2006/relationships/hyperlink" Target="https://www.google.com/maps/search/?api=1&amp;query=Nova%20Arctica&amp;query_place_id=ChIJa9TySIOxnZMRfCNC-iTiPpU" TargetMode="External" Id="rId303" /><Relationship Type="http://schemas.openxmlformats.org/officeDocument/2006/relationships/hyperlink" Target="https://www.google.com/maps/search/?api=1&amp;query=Nuun%20Garden&amp;query_place_id=ChIJo-Euu5GxnZMR0fCrl1hseKQ" TargetMode="External" Id="rId304" /><Relationship Type="http://schemas.openxmlformats.org/officeDocument/2006/relationships/hyperlink" Target="https://www.google.com/maps/search/?api=1&amp;query=POSTURA%20SEM%20DOR%20-%20Pilates%2C%20Fisioterapia%2C%20RPG%20Souchard%2C%20Treinamento%20Funcional&amp;query_place_id=ChIJOYrvIR-ynZMRvSyEqdAeNJY" TargetMode="External" Id="rId305" /><Relationship Type="http://schemas.openxmlformats.org/officeDocument/2006/relationships/hyperlink" Target="https://www.google.com/maps/search/?api=1&amp;query=PUB%2065&amp;query_place_id=ChIJH4a3-CWvnZMRgBuZ7SXd9Ek" TargetMode="External" Id="rId306" /><Relationship Type="http://schemas.openxmlformats.org/officeDocument/2006/relationships/hyperlink" Target="https://www.google.com/maps/search/?api=1&amp;query=Pilates%20%26%20RPG%20Fisioterapeuta%3A%20Izabella%20Amaral%20de%20Assis&amp;query_place_id=ChIJGblFlCeynZMRF_hZvjwxFHw" TargetMode="External" Id="rId307" /><Relationship Type="http://schemas.openxmlformats.org/officeDocument/2006/relationships/hyperlink" Target="https://www.google.com/maps/search/?api=1&amp;query=Poltrona%20Nerd%20-%20Bar%2C%20Games%20%26%20Burger&amp;query_place_id=ChIJARvKn9ixnZMR-qHHZX56vO4" TargetMode="External" Id="rId308" /><Relationship Type="http://schemas.openxmlformats.org/officeDocument/2006/relationships/hyperlink" Target="https://www.google.com/maps/search/?api=1&amp;query=Popular%20Geek%20-%20Colecion%C3%A1veis%20%7C%20Nerd%20%7C%20Games%20%7C%20Funko&amp;query_place_id=ChIJ0zqPqgaxnZMR7MKDk0M5WuA" TargetMode="External" Id="rId309" /><Relationship Type="http://schemas.openxmlformats.org/officeDocument/2006/relationships/hyperlink" Target="https://www.google.com/maps/search/?api=1&amp;query=Primula%20-%20Pilates%20%26%20RPG&amp;query_place_id=ChIJcT699EaxnZMRtogopeEELcM" TargetMode="External" Id="rId310" /><Relationship Type="http://schemas.openxmlformats.org/officeDocument/2006/relationships/hyperlink" Target="https://www.google.com/maps/search/?api=1&amp;query=R4GAMES%20-%20Loja%20de%20V%C3%ADdeo%20Game&amp;query_place_id=ChIJ_7It53SxnZMR5jQGel6QYpA" TargetMode="External" Id="rId311" /><Relationship Type="http://schemas.openxmlformats.org/officeDocument/2006/relationships/hyperlink" Target="https://www.google.com/maps/search/?api=1&amp;query=RG%20Games&amp;query_place_id=ChIJAduIQlexnZMRYetFcvIlvUg" TargetMode="External" Id="rId312" /><Relationship Type="http://schemas.openxmlformats.org/officeDocument/2006/relationships/hyperlink" Target="https://www.google.com/maps/search/?api=1&amp;query=RI%20HAPPY%20PANTANAL&amp;query_place_id=ChIJiQh2gaqxnZMRt-OlApHfz38" TargetMode="External" Id="rId313" /><Relationship Type="http://schemas.openxmlformats.org/officeDocument/2006/relationships/hyperlink" Target="https://www.google.com/maps/search/?api=1&amp;query=Real%20Brinquedos%20Av.%20Fernando%20Corr%C3%AAa&amp;query_place_id=ChIJP68pS8SxnZMRlpyXWcPOU3E" TargetMode="External" Id="rId314" /><Relationship Type="http://schemas.openxmlformats.org/officeDocument/2006/relationships/hyperlink" Target="https://www.google.com/maps/search/?api=1&amp;query=Rejane%20Caldas%20Pilates%20e%20RPG&amp;query_place_id=ChIJCxwjcNOznZMRWI5dfGfXE5E" TargetMode="External" Id="rId315" /><Relationship Type="http://schemas.openxmlformats.org/officeDocument/2006/relationships/hyperlink" Target="https://www.google.com/maps/search/?api=1&amp;query=Saloon%20Geek&amp;query_place_id=ChIJA5QM9SmznZMR4oyqem28VEI" TargetMode="External" Id="rId316" /><Relationship Type="http://schemas.openxmlformats.org/officeDocument/2006/relationships/hyperlink" Target="https://www.google.com/maps/search/?api=1&amp;query=Shopping%20Popular&amp;query_place_id=ChIJC8k-3ZSxnZMR-AaUmrnn5ek" TargetMode="External" Id="rId317" /><Relationship Type="http://schemas.openxmlformats.org/officeDocument/2006/relationships/hyperlink" Target="https://www.google.com/maps/search/?api=1&amp;query=Social%20Lounge%20Bar&amp;query_place_id=ChIJW5J2IESvnZMRjPcN_wuMHxw" TargetMode="External" Id="rId318" /><Relationship Type="http://schemas.openxmlformats.org/officeDocument/2006/relationships/hyperlink" Target="https://www.google.com/maps/search/?api=1&amp;query=Stop%20Game%20MT&amp;query_place_id=ChIJ8SI6Ur-xnZMROgZTG7dv0hY" TargetMode="External" Id="rId319" /><Relationship Type="http://schemas.openxmlformats.org/officeDocument/2006/relationships/hyperlink" Target="https://www.google.com/maps/search/?api=1&amp;query=Street%20Games&amp;query_place_id=ChIJQz1rdNKxnZMRK3eFsf0zTU8" TargetMode="External" Id="rId320" /><Relationship Type="http://schemas.openxmlformats.org/officeDocument/2006/relationships/hyperlink" Target="https://www.google.com/maps/search/?api=1&amp;query=Studio%20Leve&amp;query_place_id=ChIJCRYPCyaynZMRVzgrFLpODyg" TargetMode="External" Id="rId321" /><Relationship Type="http://schemas.openxmlformats.org/officeDocument/2006/relationships/hyperlink" Target="https://www.google.com/maps/search/?api=1&amp;query=Super%20Games%20store&amp;query_place_id=ChIJmzi9dZ2lnZMRrNnpun3IhRk" TargetMode="External" Id="rId322" /><Relationship Type="http://schemas.openxmlformats.org/officeDocument/2006/relationships/hyperlink" Target="https://www.google.com/maps/search/?api=1&amp;query=Tadeu%20Rock%20Bar&amp;query_place_id=ChIJN4vDZyaznZMR8SQZuXccxjM" TargetMode="External" Id="rId323" /><Relationship Type="http://schemas.openxmlformats.org/officeDocument/2006/relationships/hyperlink" Target="https://www.google.com/maps/search/?api=1&amp;query=Talavera%20Bar%20e%20Restaurante&amp;query_place_id=ChIJ4aUiztSznZMRl-1sYu-d79I" TargetMode="External" Id="rId324" /><Relationship Type="http://schemas.openxmlformats.org/officeDocument/2006/relationships/hyperlink" Target="https://www.google.com/maps/search/?api=1&amp;query=Tatehira%20Card%20Games%20%26%20Cyber%20Caf%C3%A9&amp;query_place_id=ChIJ8wtxLMSvnZMRyoW2i__eYGA" TargetMode="External" Id="rId325" /><Relationship Type="http://schemas.openxmlformats.org/officeDocument/2006/relationships/hyperlink" Target="https://www.google.com/maps/search/?api=1&amp;query=Tatu%20Bola%20Bar&amp;query_place_id=ChIJIfH6eY2xnZMRmxvqH0iQZEk" TargetMode="External" Id="rId326" /><Relationship Type="http://schemas.openxmlformats.org/officeDocument/2006/relationships/hyperlink" Target="https://www.google.com/maps/search/?api=1&amp;query=Taverna%20Corvo%20Negro&amp;query_place_id=ChIJCzg4tSyunZMRiRi_qyz9HXw" TargetMode="External" Id="rId327" /><Relationship Type="http://schemas.openxmlformats.org/officeDocument/2006/relationships/hyperlink" Target="https://www.google.com/maps/search/?api=1&amp;query=The%20Hookah%20Lounge%20Bar&amp;query_place_id=ChIJtaYJGpmvnZMRy-APw1Bxyaw" TargetMode="External" Id="rId328" /><Relationship Type="http://schemas.openxmlformats.org/officeDocument/2006/relationships/hyperlink" Target="https://www.google.com/maps/search/?api=1&amp;query=University%20Beer%20-%20Cuiab%C3%A1&amp;query_place_id=ChIJ2VZmPCKvnZMRjnyQxUS728k" TargetMode="External" Id="rId329" /><Relationship Type="http://schemas.openxmlformats.org/officeDocument/2006/relationships/hyperlink" Target="https://www.google.com/maps/search/?api=1&amp;query=Wow%20Park&amp;query_place_id=ChIJUevxmFaxnZMRt6UhE8iQrvo" TargetMode="External" Id="rId330" /><Relationship Type="http://schemas.openxmlformats.org/officeDocument/2006/relationships/hyperlink" Target="https://www.google.com/maps/search/?api=1&amp;query=Youplay%20Esta%C3%A7%C3%A3o%20Cuiab%C3%A1&amp;query_place_id=ChIJd9snKMqznZMRj6VpUHFgQyM" TargetMode="External" Id="rId331" /><Relationship Type="http://schemas.openxmlformats.org/officeDocument/2006/relationships/hyperlink" Target="https://www.google.com/maps/search/?api=1&amp;query=Zenaide%20Bar%20Cuiab%C3%A1&amp;query_place_id=ChIJUYE_1MKxnZMR7JCcXRmoz5w" TargetMode="External" Id="rId332" /><Relationship Type="http://schemas.openxmlformats.org/officeDocument/2006/relationships/hyperlink" Target="https://www.google.com/maps/search/?api=1&amp;query=Sport%20Play&amp;query_place_id=ChIJ3eWYRB_prAcRUm753rADOE8" TargetMode="External" Id="rId333" /><Relationship Type="http://schemas.openxmlformats.org/officeDocument/2006/relationships/hyperlink" Target="https://www.google.com/maps/search/?api=1&amp;query=Sonne%20Haus%20Hamb%C3%BArgueria&amp;query_place_id=ChIJU2L8NADdrAcRKkTMbkfH-wA" TargetMode="External" Id="rId334" /><Relationship Type="http://schemas.openxmlformats.org/officeDocument/2006/relationships/hyperlink" Target="https://www.google.com/maps/search/?api=1&amp;query=3R%20Games&amp;query_place_id=ChIJhe2rxenDrAcRUShNxuX6jqI" TargetMode="External" Id="rId335" /><Relationship Type="http://schemas.openxmlformats.org/officeDocument/2006/relationships/hyperlink" Target="https://www.google.com/maps/search/?api=1&amp;query=Arena%20Gamer%20PB&amp;query_place_id=ChIJDQ9TzKjDrAcRRG562PfeoZM" TargetMode="External" Id="rId336" /><Relationship Type="http://schemas.openxmlformats.org/officeDocument/2006/relationships/hyperlink" Target="https://www.google.com/maps/search/?api=1&amp;query=Arena%20Park&amp;query_place_id=ChIJY5xzLO3DrAcRJ8LTQmTUTHA" TargetMode="External" Id="rId337" /><Relationship Type="http://schemas.openxmlformats.org/officeDocument/2006/relationships/hyperlink" Target="https://www.google.com/maps/search/?api=1&amp;query=Atacad%C3%A3o%20Primos%20Importados&amp;query_place_id=ChIJAVORl_PnrAcRx8xIIwOZu2U" TargetMode="External" Id="rId338" /><Relationship Type="http://schemas.openxmlformats.org/officeDocument/2006/relationships/hyperlink" Target="https://www.google.com/maps/search/?api=1&amp;query=Atendimento%2024h%20V%C3%ADdeos%20e%20Jogos&amp;query_place_id=ChIJUTd2BQDprAcRRn2cH33kv2A" TargetMode="External" Id="rId339" /><Relationship Type="http://schemas.openxmlformats.org/officeDocument/2006/relationships/hyperlink" Target="https://www.google.com/maps/search/?api=1&amp;query=Atol%20Music%20Bar&amp;query_place_id=ChIJNzS82SPdrAcRk4vxcJatGqg" TargetMode="External" Id="rId340" /><Relationship Type="http://schemas.openxmlformats.org/officeDocument/2006/relationships/hyperlink" Target="https://www.google.com/maps/search/?api=1&amp;query=BK%20Brinkids%20-%20Shopping%20Pir%C3%A2mide%20-%20Piso%202&amp;query_place_id=ChIJvzZITZvdrAcRkTYal-oaFNI" TargetMode="External" Id="rId341" /><Relationship Type="http://schemas.openxmlformats.org/officeDocument/2006/relationships/hyperlink" Target="https://www.google.com/maps/search/?api=1&amp;query=Bar%20Seu%20Jo%C3%A3o&amp;query_place_id=ChIJPQudbqTdrAcR19w5OISwVmw" TargetMode="External" Id="rId342" /><Relationship Type="http://schemas.openxmlformats.org/officeDocument/2006/relationships/hyperlink" Target="https://www.google.com/maps/search/?api=1&amp;query=Bar%20da%20Clea&amp;query_place_id=ChIJJWXIN0HDrAcRh8jwRf6h2JA" TargetMode="External" Id="rId343" /><Relationship Type="http://schemas.openxmlformats.org/officeDocument/2006/relationships/hyperlink" Target="https://www.google.com/maps/search/?api=1&amp;query=Bar%20de%20Rock%20Jo%C3%A3o%20Pessoa%20-%20After%20Pub&amp;query_place_id=ChIJbR7YsaDdrAcRsIF-zv_Lht8" TargetMode="External" Id="rId344" /><Relationship Type="http://schemas.openxmlformats.org/officeDocument/2006/relationships/hyperlink" Target="https://www.google.com/maps/search/?api=1&amp;query=Big%20Play%20Park%20e%20Festas&amp;query_place_id=ChIJOf1aTh7drAcR_q9rpOutdPc" TargetMode="External" Id="rId345" /><Relationship Type="http://schemas.openxmlformats.org/officeDocument/2006/relationships/hyperlink" Target="https://www.google.com/maps/search/?api=1&amp;query=Birutinhas&amp;query_place_id=ChIJ1SLq34XDrAcRj-JYid77y5k" TargetMode="External" Id="rId346" /><Relationship Type="http://schemas.openxmlformats.org/officeDocument/2006/relationships/hyperlink" Target="https://www.google.com/maps/search/?api=1&amp;query=Brinkeduk%20JP&amp;query_place_id=ChIJN48t3aTCrAcRfy3WWkqmVqc" TargetMode="External" Id="rId347" /><Relationship Type="http://schemas.openxmlformats.org/officeDocument/2006/relationships/hyperlink" Target="https://www.google.com/maps/search/?api=1&amp;query=Brinquedos%20e%20Presentes%20-%20Estados&amp;query_place_id=ChIJUar1aVHdrAcRxAgXQs_cG0Q" TargetMode="External" Id="rId348" /><Relationship Type="http://schemas.openxmlformats.org/officeDocument/2006/relationships/hyperlink" Target="https://www.google.com/maps/search/?api=1&amp;query=Brinquedos%20e%20Presentes%20Tamba%C3%BA&amp;query_place_id=ChIJH1m6ryXdrAcRBgt4C40dxNM" TargetMode="External" Id="rId349" /><Relationship Type="http://schemas.openxmlformats.org/officeDocument/2006/relationships/hyperlink" Target="https://www.google.com/maps/search/?api=1&amp;query=Brinquedos%20e%20Travessuras&amp;query_place_id=ChIJvdcJ_uPdrAcRXZ6O1gwC2qM" TargetMode="External" Id="rId350" /><Relationship Type="http://schemas.openxmlformats.org/officeDocument/2006/relationships/hyperlink" Target="https://www.google.com/maps/search/?api=1&amp;query=Cacha%C3%A7aria%20Philip%C3%A9ia&amp;query_place_id=ChIJX8sdsuDnrAcR2VrbjDLMNuo" TargetMode="External" Id="rId351" /><Relationship Type="http://schemas.openxmlformats.org/officeDocument/2006/relationships/hyperlink" Target="https://www.google.com/maps/search/?api=1&amp;query=Castelo%20dos%20Mestres&amp;query_place_id=ChIJd5zin4vdrAcRH0y9xYoGIRo" TargetMode="External" Id="rId352" /><Relationship Type="http://schemas.openxmlformats.org/officeDocument/2006/relationships/hyperlink" Target="https://www.google.com/maps/search/?api=1&amp;query=Cayuca%20Brinquedos%20-%20Miramar&amp;query_place_id=ChIJX7Xzo1zdrAcRINbR27-sD8Q" TargetMode="External" Id="rId353" /><Relationship Type="http://schemas.openxmlformats.org/officeDocument/2006/relationships/hyperlink" Target="https://www.google.com/maps/search/?api=1&amp;query=Centr%C3%B4%20Bar&amp;query_place_id=ChIJ-ZBNu1XnrAcRFyaetmzP9Kk" TargetMode="External" Id="rId354" /><Relationship Type="http://schemas.openxmlformats.org/officeDocument/2006/relationships/hyperlink" Target="https://www.google.com/maps/search/?api=1&amp;query=Container%20Bar%20PB&amp;query_place_id=ChIJfTiOjzbprAcRFOvsHPTXTMA" TargetMode="External" Id="rId355" /><Relationship Type="http://schemas.openxmlformats.org/officeDocument/2006/relationships/hyperlink" Target="https://www.google.com/maps/search/?api=1&amp;query=Conv%C3%ADvio%20Bar%20Ltda&amp;query_place_id=ChIJQ6nNKiTdrAcRm-shYwAsn94" TargetMode="External" Id="rId356" /><Relationship Type="http://schemas.openxmlformats.org/officeDocument/2006/relationships/hyperlink" Target="https://www.google.com/maps/search/?api=1&amp;query=Covil%20do%20Calango&amp;query_place_id=ChIJYyAqHcDdrAcRkDDFCTn9gXY" TargetMode="External" Id="rId357" /><Relationship Type="http://schemas.openxmlformats.org/officeDocument/2006/relationships/hyperlink" Target="https://www.google.com/maps/search/?api=1&amp;query=Drink%27s%20Bar&amp;query_place_id=ChIJMduHtd3nrAcR-IWrao-y4B0" TargetMode="External" Id="rId358" /><Relationship Type="http://schemas.openxmlformats.org/officeDocument/2006/relationships/hyperlink" Target="https://www.google.com/maps/search/?api=1&amp;query=Esta%C3%A7%C3%A3o%20Ludens&amp;query_place_id=ChIJU0_rRZrDrAcRMOqNKqtNdJw" TargetMode="External" Id="rId359" /><Relationship Type="http://schemas.openxmlformats.org/officeDocument/2006/relationships/hyperlink" Target="https://www.google.com/maps/search/?api=1&amp;query=Franks%20the%20Cave%20Pub&amp;query_place_id=ChIJV2BuIgDDrAcRUHjaIDt2AT0" TargetMode="External" Id="rId360" /><Relationship Type="http://schemas.openxmlformats.org/officeDocument/2006/relationships/hyperlink" Target="https://www.google.com/maps/search/?api=1&amp;query=Game%20Station%20-%20Shopping%20Manaira&amp;query_place_id=ChIJDYRjwm3drAcRjcIBqg6cWZM" TargetMode="External" Id="rId361" /><Relationship Type="http://schemas.openxmlformats.org/officeDocument/2006/relationships/hyperlink" Target="https://www.google.com/maps/search/?api=1&amp;query=Gamers%20Electronic%20Shop&amp;query_place_id=ChIJX_VJwpvnrAcR2CqmSSJJbdE" TargetMode="External" Id="rId362" /><Relationship Type="http://schemas.openxmlformats.org/officeDocument/2006/relationships/hyperlink" Target="https://www.google.com/maps/search/?api=1&amp;query=Garden%20Maker%20-%20Brinquedoteca%20Educativa&amp;query_place_id=ChIJB1qBHwndrAcRMAIBxvMl3aI" TargetMode="External" Id="rId363" /><Relationship Type="http://schemas.openxmlformats.org/officeDocument/2006/relationships/hyperlink" Target="https://www.google.com/maps/search/?api=1&amp;query=General%20Store%20Galeria%20de%20lojas%2C%20Cafeteria%2C%20bar%20e%20eventos.&amp;query_place_id=ChIJK2QDA97nrAcRDT1xLv_WWSY" TargetMode="External" Id="rId364" /><Relationship Type="http://schemas.openxmlformats.org/officeDocument/2006/relationships/hyperlink" Target="https://www.google.com/maps/search/?api=1&amp;query=GeoMatrix&amp;query_place_id=ChIJL2fZgtjprAcRT_93T9zIO_g" TargetMode="External" Id="rId365" /><Relationship Type="http://schemas.openxmlformats.org/officeDocument/2006/relationships/hyperlink" Target="https://www.google.com/maps/search/?api=1&amp;query=Gr%C3%A3o-Mestre%20Luderia&amp;query_place_id=ChIJb0TXDUndrAcRi0y4ut782Hw" TargetMode="External" Id="rId366" /><Relationship Type="http://schemas.openxmlformats.org/officeDocument/2006/relationships/hyperlink" Target="https://www.google.com/maps/search/?api=1&amp;query=Havan%20Jo%C3%A3o%20Pessoa&amp;query_place_id=ChIJRxoXyZnDrAcR2H6PXKsakLE" TargetMode="External" Id="rId367" /><Relationship Type="http://schemas.openxmlformats.org/officeDocument/2006/relationships/hyperlink" Target="https://www.google.com/maps/search/?api=1&amp;query=Havana%20Gastrobar&amp;query_place_id=ChIJ4zsW753drAcR9XudiGBB9YY" TargetMode="External" Id="rId368" /><Relationship Type="http://schemas.openxmlformats.org/officeDocument/2006/relationships/hyperlink" Target="https://www.google.com/maps/search/?api=1&amp;query=Kalunga%20-%20Jo%C3%A3o%20Pessoa&amp;query_place_id=ChIJ_fTtlx_DrAcRgydgDKUjkHM" TargetMode="External" Id="rId369" /><Relationship Type="http://schemas.openxmlformats.org/officeDocument/2006/relationships/hyperlink" Target="https://www.google.com/maps/search/?api=1&amp;query=Kalunga%20-%20Mana%C3%ADra%20Shopping&amp;query_place_id=ChIJU0B1BtDdrAcRVEcFJDtFfOc" TargetMode="External" Id="rId370" /><Relationship Type="http://schemas.openxmlformats.org/officeDocument/2006/relationships/hyperlink" Target="https://www.google.com/maps/search/?api=1&amp;query=Livraria%20Leitura&amp;query_place_id=ChIJX03UZFjCrAcRoQGbkEmzAXg" TargetMode="External" Id="rId371" /><Relationship Type="http://schemas.openxmlformats.org/officeDocument/2006/relationships/hyperlink" Target="https://www.google.com/maps/search/?api=1&amp;query=Loja%20de%20Presentes%2C%20Brinquedos%20e%20Utilidades%20do%20Lar%20%7C%20Top%20Brasil%20Presentes&amp;query_place_id=ChIJewOopODnrAcRG7UA-VNlOx8" TargetMode="External" Id="rId372" /><Relationship Type="http://schemas.openxmlformats.org/officeDocument/2006/relationships/hyperlink" Target="https://www.google.com/maps/search/?api=1&amp;query=Mag%20Shopping%20Jo%C3%A3o%20Pessoa&amp;query_place_id=ChIJ9UCLEw7drAcRhuO_KhUP7qM" TargetMode="External" Id="rId373" /><Relationship Type="http://schemas.openxmlformats.org/officeDocument/2006/relationships/hyperlink" Target="https://www.google.com/maps/search/?api=1&amp;query=Messo%20Mix%20Eletr%C3%B4nicos%20e%20Importados&amp;query_place_id=ChIJnWWlmeDnrAcRPdxL9fD1e7o" TargetMode="External" Id="rId374" /><Relationship Type="http://schemas.openxmlformats.org/officeDocument/2006/relationships/hyperlink" Target="https://www.google.com/maps/search/?api=1&amp;query=Mokuzai%20caf%C3%A9%20e%20jogos&amp;query_place_id=ChIJMwO7YgDdrAcRiYUURL8xCls" TargetMode="External" Id="rId375" /><Relationship Type="http://schemas.openxmlformats.org/officeDocument/2006/relationships/hyperlink" Target="https://www.google.com/maps/search/?api=1&amp;query=Mundo%20Loki&amp;query_place_id=ChIJvare58HdrAcRXs97VKU8QA8" TargetMode="External" Id="rId376" /><Relationship Type="http://schemas.openxmlformats.org/officeDocument/2006/relationships/hyperlink" Target="https://www.google.com/maps/search/?api=1&amp;query=Mundo%20Nerd%20-%20Cards%20Pok%C3%A9mon%2C%20Universo%20Geek%20-%20Loja%20Geek&amp;query_place_id=ChIJ6Z1Gd2zdrAcRfu8-ixl29zs" TargetMode="External" Id="rId377" /><Relationship Type="http://schemas.openxmlformats.org/officeDocument/2006/relationships/hyperlink" Target="https://www.google.com/maps/search/?api=1&amp;query=Mundo%20da%20divers%C3%A3o%20Loca%C3%A7%C3%B5es%20de%20Brinquedos&amp;query_place_id=ChIJ85vQQj7CrAcR5VnMKrj0Vo0" TargetMode="External" Id="rId378" /><Relationship Type="http://schemas.openxmlformats.org/officeDocument/2006/relationships/hyperlink" Target="https://www.google.com/maps/search/?api=1&amp;query=Outb%C3%AAco%20-%20Geisel%20Lounge&amp;query_place_id=ChIJp5mdJBDprAcR5qui9SH62No" TargetMode="External" Id="rId379" /><Relationship Type="http://schemas.openxmlformats.org/officeDocument/2006/relationships/hyperlink" Target="https://www.google.com/maps/search/?api=1&amp;query=PB%20Kids&amp;query_place_id=ChIJ5b4QqJjdrAcRHfe4Jt4BP5g" TargetMode="External" Id="rId380" /><Relationship Type="http://schemas.openxmlformats.org/officeDocument/2006/relationships/hyperlink" Target="https://www.google.com/maps/search/?api=1&amp;query=Pacha%20Mama%20Pub&amp;query_place_id=ChIJ6yZj5OvdrAcR5vdrXD5GVzI" TargetMode="External" Id="rId381" /><Relationship Type="http://schemas.openxmlformats.org/officeDocument/2006/relationships/hyperlink" Target="https://www.google.com/maps/search/?api=1&amp;query=Parque%20Cabo%20Branco&amp;query_place_id=ChIJ0UmPntbCrAcR2x-4lXwJNF0" TargetMode="External" Id="rId382" /><Relationship Type="http://schemas.openxmlformats.org/officeDocument/2006/relationships/hyperlink" Target="https://www.google.com/maps/search/?api=1&amp;query=Planeta%20Imagin%C3%A1rio%20Manaira%20Shopping%20%7C%20Espa%C3%A7o%20Infantil%20e%20Festa%20de%20anivers%C3%A1rio%20em%20Jo%C3%A3o%20Pessoa&amp;query_place_id=ChIJqWiDvsXdrAcRHafyhLCELbE" TargetMode="External" Id="rId383" /><Relationship Type="http://schemas.openxmlformats.org/officeDocument/2006/relationships/hyperlink" Target="https://www.google.com/maps/search/?api=1&amp;query=Play%20safari%20kids&amp;query_place_id=ChIJAQrviwDdrAcR0dUjcslBHJ8" TargetMode="External" Id="rId384" /><Relationship Type="http://schemas.openxmlformats.org/officeDocument/2006/relationships/hyperlink" Target="https://www.google.com/maps/search/?api=1&amp;query=Prai%C3%B4%20Beach%20Club&amp;query_place_id=ChIJcbCZuYvDrAcRMvte0H3dO6Y" TargetMode="External" Id="rId385" /><Relationship Type="http://schemas.openxmlformats.org/officeDocument/2006/relationships/hyperlink" Target="https://www.google.com/maps/search/?api=1&amp;query=Psi%20Com%20Jogos%20%7C%20Loja%20de%20Jogos%20Educativos&amp;query_place_id=ChIJ3aUXP2rdrAcRamOHbgvNi1U" TargetMode="External" Id="rId386" /><Relationship Type="http://schemas.openxmlformats.org/officeDocument/2006/relationships/hyperlink" Target="https://www.google.com/maps/search/?api=1&amp;query=RI%20HAPPY%20MANA%C3%8DRA&amp;query_place_id=ChIJF9PByG3drAcRTTFx8ytTL_Q" TargetMode="External" Id="rId387" /><Relationship Type="http://schemas.openxmlformats.org/officeDocument/2006/relationships/hyperlink" Target="https://www.google.com/maps/search/?api=1&amp;query=RI%20HAPPY%20MANGABEIRA%20SHOPPING&amp;query_place_id=ChIJKY4P8vfCrAcRj_8Xi7hrzbE" TargetMode="External" Id="rId388" /><Relationship Type="http://schemas.openxmlformats.org/officeDocument/2006/relationships/hyperlink" Target="https://www.google.com/maps/search/?api=1&amp;query=Restaurante%20Reserve%20Garden%20-%20Jo%C3%A3o%20Pessoa&amp;query_place_id=ChIJbUnqnHPdrAcR42_sfoH2Zpo" TargetMode="External" Id="rId389" /><Relationship Type="http://schemas.openxmlformats.org/officeDocument/2006/relationships/hyperlink" Target="https://www.google.com/maps/search/?api=1&amp;query=Retro%20Round%20-%20Bar%20e%20Fliperama&amp;query_place_id=ChIJN3GsWgDdrAcReqslaEjTzeM" TargetMode="External" Id="rId390" /><Relationship Type="http://schemas.openxmlformats.org/officeDocument/2006/relationships/hyperlink" Target="https://www.google.com/maps/search/?api=1&amp;query=SEU%20BAR&amp;query_place_id=ChIJrw6iDoPdrAcRxuSSJlYpHwI" TargetMode="External" Id="rId391" /><Relationship Type="http://schemas.openxmlformats.org/officeDocument/2006/relationships/hyperlink" Target="https://www.google.com/maps/search/?api=1&amp;query=Sea%20Rooftop&amp;query_place_id=ChIJpb9UkAbdrAcRP8k6Wyl4HEg" TargetMode="External" Id="rId392" /><Relationship Type="http://schemas.openxmlformats.org/officeDocument/2006/relationships/hyperlink" Target="https://www.google.com/maps/search/?api=1&amp;query=Servi%C3%A7os%20Games&amp;query_place_id=ChIJSQ7pMgDorAcR2tW4krOfXOI" TargetMode="External" Id="rId393" /><Relationship Type="http://schemas.openxmlformats.org/officeDocument/2006/relationships/hyperlink" Target="https://www.google.com/maps/search/?api=1&amp;query=Shai%20Park%20Party&amp;query_place_id=ChIJLePgFDnDrAcR_69kPbknXfQ" TargetMode="External" Id="rId394" /><Relationship Type="http://schemas.openxmlformats.org/officeDocument/2006/relationships/hyperlink" Target="https://www.google.com/maps/search/?api=1&amp;query=Shopping%20Sul&amp;query_place_id=ChIJn4zFae3CrAcRIGE-q4gNIMA" TargetMode="External" Id="rId395" /><Relationship Type="http://schemas.openxmlformats.org/officeDocument/2006/relationships/hyperlink" Target="https://www.google.com/maps/search/?api=1&amp;query=Sky%20Rest%C3%B4%20Restaurante&amp;query_place_id=ChIJARMBEUDDrAcRWLqBPwF8cm8" TargetMode="External" Id="rId396" /><Relationship Type="http://schemas.openxmlformats.org/officeDocument/2006/relationships/hyperlink" Target="https://www.google.com/maps/search/?api=1&amp;query=Skybar%20Tour%20Gene%CC%80ve&amp;query_place_id=ChIJK3hKrK3DrAcRcj6xL3ehrrg" TargetMode="External" Id="rId397" /><Relationship Type="http://schemas.openxmlformats.org/officeDocument/2006/relationships/hyperlink" Target="https://www.google.com/maps/search/?api=1&amp;query=Sunset%20Na%20Praia&amp;query_place_id=ChIJmfVYW0zdrAcR67G2aBDpXCI" TargetMode="External" Id="rId398" /><Relationship Type="http://schemas.openxmlformats.org/officeDocument/2006/relationships/hyperlink" Target="https://www.google.com/maps/search/?api=1&amp;query=Super%20Games&amp;query_place_id=ChIJGX48aCPdrAcRGKdjxcowZII" TargetMode="External" Id="rId399" /><Relationship Type="http://schemas.openxmlformats.org/officeDocument/2006/relationships/hyperlink" Target="https://www.google.com/maps/search/?api=1&amp;query=Super%20Games%20Pir%C3%A2mide%20Shopping&amp;query_place_id=ChIJ60hdgwzdrAcR2pQumgexCZo" TargetMode="External" Id="rId400" /><Relationship Type="http://schemas.openxmlformats.org/officeDocument/2006/relationships/hyperlink" Target="https://www.google.com/maps/search/?api=1&amp;query=TABERNA%20GAMES&amp;query_place_id=ChIJOUFiKVTprAcRKmexVNh5B1Q" TargetMode="External" Id="rId401" /><Relationship Type="http://schemas.openxmlformats.org/officeDocument/2006/relationships/hyperlink" Target="https://www.google.com/maps/search/?api=1&amp;query=Taverna%20Mestre%20Ogro&amp;query_place_id=ChIJqQGLHGfnrAcR7cbxZrSPynE" TargetMode="External" Id="rId402" /><Relationship Type="http://schemas.openxmlformats.org/officeDocument/2006/relationships/hyperlink" Target="https://www.google.com/maps/search/?api=1&amp;query=Teck%20Games&amp;query_place_id=ChIJoVvy7ALnrAcRk0TFojnHe3o" TargetMode="External" Id="rId403" /><Relationship Type="http://schemas.openxmlformats.org/officeDocument/2006/relationships/hyperlink" Target="https://www.google.com/maps/search/?api=1&amp;query=Thiago%20%26%20Arione%20Games%20%26%20Assistencia%20T%C3%A9cnica&amp;query_place_id=ChIJi7nmsuDnrAcRL7YqefCGlzk" TargetMode="External" Id="rId404" /><Relationship Type="http://schemas.openxmlformats.org/officeDocument/2006/relationships/hyperlink" Target="https://www.google.com/maps/search/?api=1&amp;query=Tiffy%20Toys%20-%20Cabo%20Branco%20-%20Loja%20de%20Brinquedos%20em%20Jo%C3%A3o%20Pessoa&amp;query_place_id=ChIJdfQn3dHdrAcREWGvHlJbjkU" TargetMode="External" Id="rId405" /><Relationship Type="http://schemas.openxmlformats.org/officeDocument/2006/relationships/hyperlink" Target="https://www.google.com/maps/search/?api=1&amp;query=Toca%20Presentes&amp;query_place_id=ChIJKSMtNMPDrAcRdMFmLF0FKYA" TargetMode="External" Id="rId406" /><Relationship Type="http://schemas.openxmlformats.org/officeDocument/2006/relationships/hyperlink" Target="https://www.google.com/maps/search/?api=1&amp;query=Toinho%20games&amp;query_place_id=ChIJYfcfaFjCrAcRJyDjj-zjdYg" TargetMode="External" Id="rId407" /><Relationship Type="http://schemas.openxmlformats.org/officeDocument/2006/relationships/hyperlink" Target="https://www.google.com/maps/search/?api=1&amp;query=Turma%20do%20Jardim%20Brinquedoteca&amp;query_place_id=ChIJvRi2jWzdrAcRjX2hXYewzPM" TargetMode="External" Id="rId408" /><Relationship Type="http://schemas.openxmlformats.org/officeDocument/2006/relationships/hyperlink" Target="https://www.google.com/maps/search/?api=1&amp;query=Vida%20Toys%20Brinquedos%20-%20Unidade%20Shopping%20P%C3%A1tio%20Altiplano&amp;query_place_id=ChIJqfgNxtPCrAcROvivIK8e9DM" TargetMode="External" Id="rId409" /><Relationship Type="http://schemas.openxmlformats.org/officeDocument/2006/relationships/hyperlink" Target="https://www.google.com/maps/search/?api=1&amp;query=Vila%20do%20Porto&amp;query_place_id=ChIJYcRUxtznrAcRTqbfrezK69I" TargetMode="External" Id="rId410" /><Relationship Type="http://schemas.openxmlformats.org/officeDocument/2006/relationships/hyperlink" Target="https://www.google.com/maps/search/?api=1&amp;query=Vintage%2021%20-%20V21%20Bar%20e%20Restaurante&amp;query_place_id=ChIJUagRjwHdrAcRYyKvHiZxZ9A" TargetMode="External" Id="rId411" /><Relationship Type="http://schemas.openxmlformats.org/officeDocument/2006/relationships/hyperlink" Target="https://www.google.com/maps/search/?api=1&amp;query=Vip%20Games&amp;query_place_id=ChIJg7vckuDnrAcRvUcVzd2PRLw" TargetMode="External" Id="rId412" /><Relationship Type="http://schemas.openxmlformats.org/officeDocument/2006/relationships/hyperlink" Target="https://www.google.com/maps/search/?api=1&amp;query=Yolo%20Espa%C3%A7o%20Kids&amp;query_place_id=ChIJEeZTNgDdrAcRKqQj9P4dzl0" TargetMode="External" Id="rId413" /><Relationship Type="http://schemas.openxmlformats.org/officeDocument/2006/relationships/hyperlink" Target="https://www.google.com/maps/search/?api=1&amp;query=Zimbro%20Drinks%20e%20Tapas&amp;query_place_id=ChIJE3UXCQDdrAcRoymSMwbiNfs" TargetMode="External" Id="rId414" /><Relationship Type="http://schemas.openxmlformats.org/officeDocument/2006/relationships/hyperlink" Target="https://www.google.com/maps/search/?api=1&amp;query=100%25%20Drinks&amp;query_place_id=ChIJwYg3S2U3jgcR9ceqDLqsrg4" TargetMode="External" Id="rId415" /><Relationship Type="http://schemas.openxmlformats.org/officeDocument/2006/relationships/hyperlink" Target="https://www.google.com/maps/search/?api=1&amp;query=ALEGRIA%20DE%20BRINCAR&amp;query_place_id=ChIJceKTqssxjgcR0-gvjNnIKQw" TargetMode="External" Id="rId416" /><Relationship Type="http://schemas.openxmlformats.org/officeDocument/2006/relationships/hyperlink" Target="https://www.google.com/maps/search/?api=1&amp;query=AN%20GAMES&amp;query_place_id=ChIJEX85Lvg5jgcRQRphIoy9Q-k" TargetMode="External" Id="rId417" /><Relationship Type="http://schemas.openxmlformats.org/officeDocument/2006/relationships/hyperlink" Target="https://www.google.com/maps/search/?api=1&amp;query=Al%20Capone%20Pub%20Rock%20and%20Blues&amp;query_place_id=ChIJ0aeLBPc5jgcRSOCMeSe9lYI" TargetMode="External" Id="rId418" /><Relationship Type="http://schemas.openxmlformats.org/officeDocument/2006/relationships/hyperlink" Target="https://www.google.com/maps/search/?api=1&amp;query=Alberto%20Games&amp;query_place_id=ChIJlcgJwIA5jgcRrsd52w8J7TY" TargetMode="External" Id="rId419" /><Relationship Type="http://schemas.openxmlformats.org/officeDocument/2006/relationships/hyperlink" Target="https://www.google.com/maps/search/?api=1&amp;query=Ar%20Livre%20Espa%C3%A7o%20Cultural&amp;query_place_id=ChIJ4XrbM-U5jgcRzpUKkG6UZbk" TargetMode="External" Id="rId420" /><Relationship Type="http://schemas.openxmlformats.org/officeDocument/2006/relationships/hyperlink" Target="https://www.google.com/maps/search/?api=1&amp;query=Arena%20Game%20Shop&amp;query_place_id=ChIJQ1Cor745jgcRTrDBkoMKhb0" TargetMode="External" Id="rId421" /><Relationship Type="http://schemas.openxmlformats.org/officeDocument/2006/relationships/hyperlink" Target="https://www.google.com/maps/search/?api=1&amp;query=Bar%20do%20Rufino&amp;query_place_id=ChIJ9YyIwA05jgcRGqORn_eUcjg" TargetMode="External" Id="rId422" /><Relationship Type="http://schemas.openxmlformats.org/officeDocument/2006/relationships/hyperlink" Target="https://www.google.com/maps/search/?api=1&amp;query=Bar%20do%20jabes&amp;query_place_id=ChIJ_afj4h45jgcRcvD-8kClZ5k" TargetMode="External" Id="rId423" /><Relationship Type="http://schemas.openxmlformats.org/officeDocument/2006/relationships/hyperlink" Target="https://www.google.com/maps/search/?api=1&amp;query=Base%20Mix%20Pub&amp;query_place_id=ChIJzXgcbNA5jgcR4QMGXZVI9Vs" TargetMode="External" Id="rId424" /><Relationship Type="http://schemas.openxmlformats.org/officeDocument/2006/relationships/hyperlink" Target="https://www.google.com/maps/search/?api=1&amp;query=Bosque%20Meus%20Filhos&amp;query_place_id=ChIJcQDBEO45jgcRaQADNJsYV9E" TargetMode="External" Id="rId425" /><Relationship Type="http://schemas.openxmlformats.org/officeDocument/2006/relationships/hyperlink" Target="https://www.google.com/maps/search/?api=1&amp;query=Boteco%20do%20Z%C3%A9%20Original&amp;query_place_id=ChIJhW0cNQA5jgcRr6l312_8ZoM" TargetMode="External" Id="rId426" /><Relationship Type="http://schemas.openxmlformats.org/officeDocument/2006/relationships/hyperlink" Target="https://www.google.com/maps/search/?api=1&amp;query=Casa%20L%C3%BAdica%20%7C%20Loja%20de%20Brinquedos%20Educativos%20em%20Teresina&amp;query_place_id=ChIJYS2aTSQ5jgcRx_62zgl8w6k" TargetMode="External" Id="rId427" /><Relationship Type="http://schemas.openxmlformats.org/officeDocument/2006/relationships/hyperlink" Target="https://www.google.com/maps/search/?api=1&amp;query=Cassio%20Games&amp;query_place_id=ChIJBY98DHw3jgcRtH5iqYsnDLQ" TargetMode="External" Id="rId428" /><Relationship Type="http://schemas.openxmlformats.org/officeDocument/2006/relationships/hyperlink" Target="https://www.google.com/maps/search/?api=1&amp;query=Castelo%20da%20Alegria%20%7C%20Loja%20de%20Brinquedos&amp;query_place_id=ChIJGU_tMPA5jgcRNTMCDQiIXaU" TargetMode="External" Id="rId429" /><Relationship Type="http://schemas.openxmlformats.org/officeDocument/2006/relationships/hyperlink" Target="https://www.google.com/maps/search/?api=1&amp;query=DAM%20Autocentro&amp;query_place_id=ChIJCfT6F4YxjgcR3rYwlyiYW2E" TargetMode="External" Id="rId430" /><Relationship Type="http://schemas.openxmlformats.org/officeDocument/2006/relationships/hyperlink" Target="https://www.google.com/maps/search/?api=1&amp;query=Dinol%C3%A2ndia&amp;query_place_id=ChIJ_Y73NEM3jgcR5trTPurgMJQ" TargetMode="External" Id="rId431" /><Relationship Type="http://schemas.openxmlformats.org/officeDocument/2006/relationships/hyperlink" Target="https://www.google.com/maps/search/?api=1&amp;query=Dinol%C3%A2ndia&amp;query_place_id=ChIJqUoRc_k5jgcRBRyPCkIV1Aw" TargetMode="External" Id="rId432" /><Relationship Type="http://schemas.openxmlformats.org/officeDocument/2006/relationships/hyperlink" Target="https://www.google.com/maps/search/?api=1&amp;query=Dose%20Dupla&amp;query_place_id=ChIJYVD_KtU7jgcRNaX8KoKnup0" TargetMode="External" Id="rId433" /><Relationship Type="http://schemas.openxmlformats.org/officeDocument/2006/relationships/hyperlink" Target="https://www.google.com/maps/search/?api=1&amp;query=Erick%20Pipas&amp;query_place_id=ChIJg44a39c5jgcRH83Oj6lAmPA" TargetMode="External" Id="rId434" /><Relationship Type="http://schemas.openxmlformats.org/officeDocument/2006/relationships/hyperlink" Target="https://www.google.com/maps/search/?api=1&amp;query=Espa%C3%A7o%20Caramelles&amp;query_place_id=ChIJO23CtJA5jgcRB1ZMVm4R8Ak" TargetMode="External" Id="rId435" /><Relationship Type="http://schemas.openxmlformats.org/officeDocument/2006/relationships/hyperlink" Target="https://www.google.com/maps/search/?api=1&amp;query=Evaldo%20fest%20kids&amp;query_place_id=ChIJ_X6g0qYjjgcRTeedX4J8ttE" TargetMode="External" Id="rId436" /><Relationship Type="http://schemas.openxmlformats.org/officeDocument/2006/relationships/hyperlink" Target="https://www.google.com/maps/search/?api=1&amp;query=F%C3%A1brica%20de%20Sonhos%20Teresina%20%7C%20Loja%20de%20brinquedos%20em%20Teresina&amp;query_place_id=ChIJu8jE2P05jgcRrxeCQiJI-rM" TargetMode="External" Id="rId437" /><Relationship Type="http://schemas.openxmlformats.org/officeDocument/2006/relationships/hyperlink" Target="https://www.google.com/maps/search/?api=1&amp;query=Homo%20Ludicus&amp;query_place_id=ChIJn-wDAKQ7jgcREAU2aZNvXfQ" TargetMode="External" Id="rId438" /><Relationship Type="http://schemas.openxmlformats.org/officeDocument/2006/relationships/hyperlink" Target="https://www.google.com/maps/search/?api=1&amp;query=Hora%20de%20Brincar%20-%20Loca%C3%A7%C3%B5es%20de%20Brinquedos&amp;query_place_id=ChIJAbAwCQw5jgcRWJtm-FEp-Yc" TargetMode="External" Id="rId439" /><Relationship Type="http://schemas.openxmlformats.org/officeDocument/2006/relationships/hyperlink" Target="https://www.google.com/maps/search/?api=1&amp;query=Ibyza%20Drinks&amp;query_place_id=ChIJ4cVZEwA7jgcRg4VVDWxLnMg" TargetMode="External" Id="rId440" /><Relationship Type="http://schemas.openxmlformats.org/officeDocument/2006/relationships/hyperlink" Target="https://www.google.com/maps/search/?api=1&amp;query=Jac%20Play&amp;query_place_id=ChIJKYukDNg5jgcRiQLIusnD5Zo" TargetMode="External" Id="rId441" /><Relationship Type="http://schemas.openxmlformats.org/officeDocument/2006/relationships/hyperlink" Target="https://www.google.com/maps/search/?api=1&amp;query=Jo%C3%A3o%20Filho%20-%20GAMES&amp;query_place_id=ChIJlcpHapU9jgcRH8yYLpAWYPM" TargetMode="External" Id="rId442" /><Relationship Type="http://schemas.openxmlformats.org/officeDocument/2006/relationships/hyperlink" Target="https://www.google.com/maps/search/?api=1&amp;query=Kalunga%20-%20Shopping%20Rio%20Poty%20Teresina&amp;query_place_id=ChIJY-7nbpA5jgcRXO4WpkYMQ6c" TargetMode="External" Id="rId443" /><Relationship Type="http://schemas.openxmlformats.org/officeDocument/2006/relationships/hyperlink" Target="https://www.google.com/maps/search/?api=1&amp;query=Kids%20Play&amp;query_place_id=ChIJ25ZvZgc5jgcRWq0HXTW_Lvg" TargetMode="External" Id="rId444" /><Relationship Type="http://schemas.openxmlformats.org/officeDocument/2006/relationships/hyperlink" Target="https://www.google.com/maps/search/?api=1&amp;query=King%20Kobra&amp;query_place_id=ChIJi_WZAFs5jgcRrn9jyp3xFvQ" TargetMode="External" Id="rId445" /><Relationship Type="http://schemas.openxmlformats.org/officeDocument/2006/relationships/hyperlink" Target="https://www.google.com/maps/search/?api=1&amp;query=L2DMO&amp;query_place_id=ChIJuVCw0ikxjgcR7qe1DnLfDUA" TargetMode="External" Id="rId446" /><Relationship Type="http://schemas.openxmlformats.org/officeDocument/2006/relationships/hyperlink" Target="https://www.google.com/maps/search/?api=1&amp;query=LOCAR%20KIDS&amp;query_place_id=ChIJHVafOR45jgcR1Oc3v4rKSTM" TargetMode="External" Id="rId447" /><Relationship Type="http://schemas.openxmlformats.org/officeDocument/2006/relationships/hyperlink" Target="https://www.google.com/maps/search/?api=1&amp;query=Livraria%20Leitura%20-%20Shopping%20Rio%20Poty&amp;query_place_id=ChIJQRRllxM5jgcRACkIAXWKVxQ" TargetMode="External" Id="rId448" /><Relationship Type="http://schemas.openxmlformats.org/officeDocument/2006/relationships/hyperlink" Target="https://www.google.com/maps/search/?api=1&amp;query=Loja%20Margarida%20-%20Livraria%2C%20Papelaria%2C%20Gr%C3%A1fica%20e%20Caf%C3%A9&amp;query_place_id=ChIJzW8hTfM5jgcRYt5erv0SrJU" TargetMode="External" Id="rId449" /><Relationship Type="http://schemas.openxmlformats.org/officeDocument/2006/relationships/hyperlink" Target="https://www.google.com/maps/search/?api=1&amp;query=MEDUZZA%20-%20Bar%20and%20Cocktail&amp;query_place_id=ChIJ13tVZII7jgcRdhfcylICMFw" TargetMode="External" Id="rId450" /><Relationship Type="http://schemas.openxmlformats.org/officeDocument/2006/relationships/hyperlink" Target="https://www.google.com/maps/search/?api=1&amp;query=MM%20divers%C3%B5es&amp;query_place_id=ChIJk87KXwA5jgcRzPPjmcCTc74" TargetMode="External" Id="rId451" /><Relationship Type="http://schemas.openxmlformats.org/officeDocument/2006/relationships/hyperlink" Target="https://www.google.com/maps/search/?api=1&amp;query=MUXOXO%20BAR&amp;query_place_id=ChIJ94K9AAA5jgcRIvGaAXnIVK4" TargetMode="External" Id="rId452" /><Relationship Type="http://schemas.openxmlformats.org/officeDocument/2006/relationships/hyperlink" Target="https://www.google.com/maps/search/?api=1&amp;query=Mavelu%20Sports%20-%20Centro&amp;query_place_id=ChIJDSja6N45jgcR0ZocNu9D8Fs" TargetMode="External" Id="rId453" /><Relationship Type="http://schemas.openxmlformats.org/officeDocument/2006/relationships/hyperlink" Target="https://www.google.com/maps/search/?api=1&amp;query=O%20RECREIO%20VIAJANTE&amp;query_place_id=ChIJuygTCQAxjgcRonzlacVkrrM" TargetMode="External" Id="rId454" /><Relationship Type="http://schemas.openxmlformats.org/officeDocument/2006/relationships/hyperlink" Target="https://www.google.com/maps/search/?api=1&amp;query=Parque%20da%20Villa&amp;query_place_id=ChIJdzOP3us5jgcRDr2JMx1E9Ks" TargetMode="External" Id="rId455" /><Relationship Type="http://schemas.openxmlformats.org/officeDocument/2006/relationships/hyperlink" Target="https://www.google.com/maps/search/?api=1&amp;query=Paulo%20Games&amp;query_place_id=ChIJdTX4RXw3jgcRoOZ7vOYBZtA" TargetMode="External" Id="rId456" /><Relationship Type="http://schemas.openxmlformats.org/officeDocument/2006/relationships/hyperlink" Target="https://www.google.com/maps/search/?api=1&amp;query=Pegadas%20do%20Afeto%20Casa%20de%20Brincar&amp;query_place_id=ChIJOY3lKrk7jgcRiHOLrwitIuA" TargetMode="External" Id="rId457" /><Relationship Type="http://schemas.openxmlformats.org/officeDocument/2006/relationships/hyperlink" Target="https://www.google.com/maps/search/?api=1&amp;query=PlayBar&amp;query_place_id=ChIJ-1i4BAAxjgcR5proKKj9AB0" TargetMode="External" Id="rId458" /><Relationship Type="http://schemas.openxmlformats.org/officeDocument/2006/relationships/hyperlink" Target="https://www.google.com/maps/search/?api=1&amp;query=Playbox&amp;query_place_id=ChIJuV9fZdg5jgcRqeHy34--xFY" TargetMode="External" Id="rId459" /><Relationship Type="http://schemas.openxmlformats.org/officeDocument/2006/relationships/hyperlink" Target="https://www.google.com/maps/search/?api=1&amp;query=Playbrinque&amp;query_place_id=ChIJAzYqK4g7jgcRDcu9ARQCE30" TargetMode="External" Id="rId460" /><Relationship Type="http://schemas.openxmlformats.org/officeDocument/2006/relationships/hyperlink" Target="https://www.google.com/maps/search/?api=1&amp;query=Queen%20Pub%20%26%20Cine&amp;query_place_id=ChIJOZTdEYo3jgcRZIQY9bnZXZ8" TargetMode="External" Id="rId461" /><Relationship Type="http://schemas.openxmlformats.org/officeDocument/2006/relationships/hyperlink" Target="https://www.google.com/maps/search/?api=1&amp;query=Quintal%20Aroeira&amp;query_place_id=ChIJcwuROzM5jgcR11HeU67x_0E" TargetMode="External" Id="rId462" /><Relationship Type="http://schemas.openxmlformats.org/officeDocument/2006/relationships/hyperlink" Target="https://www.google.com/maps/search/?api=1&amp;query=Quintal%20Espa%C3%A7o%20de%20Brincar&amp;query_place_id=ChIJXV7o6bA5jgcRek4NhIxQ8zo" TargetMode="External" Id="rId463" /><Relationship Type="http://schemas.openxmlformats.org/officeDocument/2006/relationships/hyperlink" Target="https://www.google.com/maps/search/?api=1&amp;query=Quiosque%20Cajueiro&amp;query_place_id=ChIJl1es1PE5jgcRGHQEfrkZQvg" TargetMode="External" Id="rId464" /><Relationship Type="http://schemas.openxmlformats.org/officeDocument/2006/relationships/hyperlink" Target="https://www.google.com/maps/search/?api=1&amp;query=Quiosque%20Caneleiro&amp;query_place_id=ChIJn5YDDe45jgcR2FvO9zE2U8M" TargetMode="External" Id="rId465" /><Relationship Type="http://schemas.openxmlformats.org/officeDocument/2006/relationships/hyperlink" Target="https://www.google.com/maps/search/?api=1&amp;query=RI%20HAPPY%20Shopping%20Rio%20Poty&amp;query_place_id=ChIJy_d84Os5jgcRQ4hkx0QeDM8" TargetMode="External" Id="rId466" /><Relationship Type="http://schemas.openxmlformats.org/officeDocument/2006/relationships/hyperlink" Target="https://www.google.com/maps/search/?api=1&amp;query=RI%20HAPPY%20TERESINA%20SHOPPING&amp;query_place_id=ChIJKe8Wcvk5jgcRGKpWZE546SA" TargetMode="External" Id="rId467" /><Relationship Type="http://schemas.openxmlformats.org/officeDocument/2006/relationships/hyperlink" Target="https://www.google.com/maps/search/?api=1&amp;query=Rambeer%20FC&amp;query_place_id=ChIJ43pyG7A5jgcRDFoJi0zdaxo" TargetMode="External" Id="rId468" /><Relationship Type="http://schemas.openxmlformats.org/officeDocument/2006/relationships/hyperlink" Target="https://www.google.com/maps/search/?api=1&amp;query=Resenha%20Bar%20e%20Churrascaria&amp;query_place_id=ChIJNUG7NCA6jgcRAv7ubjdJixU" TargetMode="External" Id="rId469" /><Relationship Type="http://schemas.openxmlformats.org/officeDocument/2006/relationships/hyperlink" Target="https://www.google.com/maps/search/?api=1&amp;query=Revolution%20Games&amp;query_place_id=ChIJawS-Cnw3jgcRjWBtxc8ykc4" TargetMode="External" Id="rId470" /><Relationship Type="http://schemas.openxmlformats.org/officeDocument/2006/relationships/hyperlink" Target="https://www.google.com/maps/search/?api=1&amp;query=Riverside%20Shopping&amp;query_place_id=ChIJV8s1AvI5jgcRg-K6DIg_AiU" TargetMode="External" Id="rId471" /><Relationship Type="http://schemas.openxmlformats.org/officeDocument/2006/relationships/hyperlink" Target="https://www.google.com/maps/search/?api=1&amp;query=Roots%20Rock%20Pub&amp;query_place_id=ChIJZ9sRIiA5jgcRrIabkkmUgsA" TargetMode="External" Id="rId472" /><Relationship Type="http://schemas.openxmlformats.org/officeDocument/2006/relationships/hyperlink" Target="https://www.google.com/maps/search/?api=1&amp;query=SMART%26GAMES&amp;query_place_id=ChIJu8ytMKM5jgcRYag1mOLKqXc" TargetMode="External" Id="rId473" /><Relationship Type="http://schemas.openxmlformats.org/officeDocument/2006/relationships/hyperlink" Target="https://www.google.com/maps/search/?api=1&amp;query=Seu%20Z%C3%A9%20Restobar&amp;query_place_id=ChIJ8R92nss5jgcR-2Bdev-eRas" TargetMode="External" Id="rId474" /><Relationship Type="http://schemas.openxmlformats.org/officeDocument/2006/relationships/hyperlink" Target="https://www.google.com/maps/search/?api=1&amp;query=Sword%20Luderia&amp;query_place_id=ChIJWePpXgA3jgcRZG7Uw_oeB74" TargetMode="External" Id="rId475" /><Relationship Type="http://schemas.openxmlformats.org/officeDocument/2006/relationships/hyperlink" Target="https://www.google.com/maps/search/?api=1&amp;query=S%C3%93%20CONTROLES%20E%20GAMES%20-%20Loja%20de%20jogos%2C%20Videogames%20e%20acess%C3%B3rios%20para%20videogames%20em%20Teresina%20PI&amp;query_place_id=ChIJXQreloA5jgcRIkUUeNJG8Lw" TargetMode="External" Id="rId476" /><Relationship Type="http://schemas.openxmlformats.org/officeDocument/2006/relationships/hyperlink" Target="https://www.google.com/maps/search/?api=1&amp;query=Tio%20Dos%20Brinquedos&amp;query_place_id=ChIJsR1HqFcxjgcRxQAlU9mCmf4" TargetMode="External" Id="rId477" /><Relationship Type="http://schemas.openxmlformats.org/officeDocument/2006/relationships/hyperlink" Target="https://www.google.com/maps/search/?api=1&amp;query=Toinho%20Variedades%20Dirceu&amp;query_place_id=ChIJf7f3h44wjgcRxdRgy2zskq8" TargetMode="External" Id="rId478" /><Relationship Type="http://schemas.openxmlformats.org/officeDocument/2006/relationships/hyperlink" Target="https://www.google.com/maps/search/?api=1&amp;query=Urim%20%26%20Tumim%20-%20Aluguel%20de%20Jogos%20de%20Tabuleiro&amp;query_place_id=ChIJe9maHv03jgcRj0oKnQYXJfA" TargetMode="External" Id="rId479" /><Relationship Type="http://schemas.openxmlformats.org/officeDocument/2006/relationships/hyperlink" Target="https://www.google.com/maps/search/?api=1&amp;query=Viva%20Fisioterapia%20-%20Osteopatia%20-%20RPG%20-%20Pilates%20-%20Teresina%20-%20Cl%C3%ADnica%20de%20Fisioterapia&amp;query_place_id=ChIJbewKFIc5jgcRFh0x1jlZ4XQ" TargetMode="External" Id="rId480" /><Relationship Type="http://schemas.openxmlformats.org/officeDocument/2006/relationships/hyperlink" Target="https://www.google.com/maps/search/?api=1&amp;query=We%20All&amp;query_place_id=ChIJw5y9WcI5jgcRJebh_jZ5X0g" TargetMode="External" Id="rId481" /><Relationship Type="http://schemas.openxmlformats.org/officeDocument/2006/relationships/hyperlink" Target="https://www.google.com/maps/search/?api=1&amp;query=Xeque%20Mate%3A%20Restaurante%20e%20Jogos%20de%20Tabuleiro&amp;query_place_id=ChIJqUA_IaE5jgcRjnu2CBE7yTM" TargetMode="External" Id="rId482" /><Relationship Type="http://schemas.openxmlformats.org/officeDocument/2006/relationships/hyperlink" Target="https://www.google.com/maps/search/?api=1&amp;query=Zero%20Grau%20Choperia%20-%20Street.&amp;query_place_id=ChIJ9WS5kXc7jgcRKK9ZUGZXE0Q" TargetMode="External" Id="rId483" /><Relationship Type="http://schemas.openxmlformats.org/officeDocument/2006/relationships/hyperlink" Target="https://www.google.com/maps/search/?api=1&amp;query=outtime%20-%20loja%20nerd%20e%20geek&amp;query_place_id=ChIJg2Z3ZckxjgcRLTDHwxksHnA" TargetMode="External" Id="rId484" /><Relationship Type="http://schemas.openxmlformats.org/officeDocument/2006/relationships/hyperlink" Target="https://www.google.com/maps/search/?api=1&amp;query=294%20BAR%20%26%20RESTAURANTE&amp;query_place_id=ChIJoYYWG-b_sgcRG6QXSiGY3xM" TargetMode="External" Id="rId485" /><Relationship Type="http://schemas.openxmlformats.org/officeDocument/2006/relationships/hyperlink" Target="https://www.google.com/maps/search/?api=1&amp;query=AJ%20Games%20e%20Brinquedos&amp;query_place_id=ChIJKXmhK9CrswcRlsPXQsZ82yI" TargetMode="External" Id="rId486" /><Relationship Type="http://schemas.openxmlformats.org/officeDocument/2006/relationships/hyperlink" Target="https://www.google.com/maps/search/?api=1&amp;query=Andoleta&amp;query_place_id=ChIJl5U9-_r_sgcRp1LRg4HczkE" TargetMode="External" Id="rId487" /><Relationship Type="http://schemas.openxmlformats.org/officeDocument/2006/relationships/hyperlink" Target="https://www.google.com/maps/search/?api=1&amp;query=Arte%20de%20Brincar%20-%20Loca%C3%A7%C3%A3o%20de%20Brinquedos&amp;query_place_id=ChIJbdArbQCrswcRlphOen982KA" TargetMode="External" Id="rId488" /><Relationship Type="http://schemas.openxmlformats.org/officeDocument/2006/relationships/hyperlink" Target="https://www.google.com/maps/search/?api=1&amp;query=Bar%20do%20Ku%20-%20Ponta%20Negra&amp;query_place_id=ChIJwbktKQD_sgcRCOUJ46LthcU" TargetMode="External" Id="rId489" /><Relationship Type="http://schemas.openxmlformats.org/officeDocument/2006/relationships/hyperlink" Target="https://www.google.com/maps/search/?api=1&amp;query=Bar%20du%20Wi-Fi%20%F0%9F%9B%9C&amp;query_place_id=ChIJTfwY2SeqswcRiJ8IGhHXwBI" TargetMode="External" Id="rId490" /><Relationship Type="http://schemas.openxmlformats.org/officeDocument/2006/relationships/hyperlink" Target="https://www.google.com/maps/search/?api=1&amp;query=Bardallo%27s%20Comida%20%26%20Arte&amp;query_place_id=ChIJ0anVbzQHMHsRgsyyQ8LGKM4" TargetMode="External" Id="rId491" /><Relationship Type="http://schemas.openxmlformats.org/officeDocument/2006/relationships/hyperlink" Target="https://www.google.com/maps/search/?api=1&amp;query=Beco%20M%C3%A1gico%20Natal&amp;query_place_id=ChIJ9cHTelJVsgcRMIpoeRTXYFE" TargetMode="External" Id="rId492" /><Relationship Type="http://schemas.openxmlformats.org/officeDocument/2006/relationships/hyperlink" Target="https://www.google.com/maps/search/?api=1&amp;query=Brincar%20no%20Quintal%20%7C%20Contraturno%20Escolar%2C%20Col%C3%B4nia%20de%20F%C3%A9rias%20e%20Festinhas&amp;query_place_id=ChIJOcvSKQf_sgcRBVw9q-t-rcU" TargetMode="External" Id="rId493" /><Relationship Type="http://schemas.openxmlformats.org/officeDocument/2006/relationships/hyperlink" Target="https://www.google.com/maps/search/?api=1&amp;query=Brinquedoteca%20Popular%20Itinerante&amp;query_place_id=ChIJdXLIl_OpswcRwcKolyjNjLM" TargetMode="External" Id="rId494" /><Relationship Type="http://schemas.openxmlformats.org/officeDocument/2006/relationships/hyperlink" Target="https://www.google.com/maps/search/?api=1&amp;query=Brinquedotecar%20com%20Arte&amp;query_place_id=ChIJEYzN_pqpswcRO9nRwhg35Zg" TargetMode="External" Id="rId495" /><Relationship Type="http://schemas.openxmlformats.org/officeDocument/2006/relationships/hyperlink" Target="https://www.google.com/maps/search/?api=1&amp;query=Cabar%C3%A9&amp;query_place_id=ChIJXw5HhL-rswcRIBxUozDlTlI" TargetMode="External" Id="rId496" /><Relationship Type="http://schemas.openxmlformats.org/officeDocument/2006/relationships/hyperlink" Target="https://www.google.com/maps/search/?api=1&amp;query=Casa%20da%20Sinuca&amp;query_place_id=ChIJBUiYdKWqswcRBLyeERuzHUw" TargetMode="External" Id="rId497" /><Relationship Type="http://schemas.openxmlformats.org/officeDocument/2006/relationships/hyperlink" Target="https://www.google.com/maps/search/?api=1&amp;query=DOFAC%20Inform%C3%A1tica&amp;query_place_id=ChIJNZfKyBPpS4oRojZ7L2_fa0Q" TargetMode="External" Id="rId498" /><Relationship Type="http://schemas.openxmlformats.org/officeDocument/2006/relationships/hyperlink" Target="https://www.google.com/maps/search/?api=1&amp;query=Farol%20Bar%20e%20Restaurante&amp;query_place_id=ChIJ07uAB0EAswcRxg5bwXMJa9s" TargetMode="External" Id="rId499" /><Relationship Type="http://schemas.openxmlformats.org/officeDocument/2006/relationships/hyperlink" Target="https://www.google.com/maps/search/?api=1&amp;query=Forr%C3%B3%20com%20Turista&amp;query_place_id=ChIJQYWbMoFVsgcRPIS1rSg3X6E" TargetMode="External" Id="rId500" /><Relationship Type="http://schemas.openxmlformats.org/officeDocument/2006/relationships/hyperlink" Target="https://www.google.com/maps/search/?api=1&amp;query=F%C3%A1bula%20Brinquedos%20Educativos&amp;query_place_id=ChIJm9KV1Tj_sgcRBPgfLvT1u-k" TargetMode="External" Id="rId501" /><Relationship Type="http://schemas.openxmlformats.org/officeDocument/2006/relationships/hyperlink" Target="https://www.google.com/maps/search/?api=1&amp;query=Game%20Extreme&amp;query_place_id=ChIJ1XMv0xYAswcReTglE_i75DE" TargetMode="External" Id="rId502" /><Relationship Type="http://schemas.openxmlformats.org/officeDocument/2006/relationships/hyperlink" Target="https://www.google.com/maps/search/?api=1&amp;query=Game%20Station%20Natal%20Shopping&amp;query_place_id=ChIJe8aF0DP_sgcRRkGOX2jHvMk" TargetMode="External" Id="rId503" /><Relationship Type="http://schemas.openxmlformats.org/officeDocument/2006/relationships/hyperlink" Target="https://www.google.com/maps/search/?api=1&amp;query=Hobby%20Bar&amp;query_place_id=ChIJo8SwigUAswcR5HcYE6Aw4nU" TargetMode="External" Id="rId504" /><Relationship Type="http://schemas.openxmlformats.org/officeDocument/2006/relationships/hyperlink" Target="https://www.google.com/maps/search/?api=1&amp;query=Imp%C3%A9rio%20Gamer%20-%20Natal/RN&amp;query_place_id=ChIJ9bnWpaH4sgcRwZlibnpIPSI" TargetMode="External" Id="rId505" /><Relationship Type="http://schemas.openxmlformats.org/officeDocument/2006/relationships/hyperlink" Target="https://www.google.com/maps/search/?api=1&amp;query=Jplay%20Game%20house%20-%20Loja%20%C2%B9%20-%20Zona%20Norte&amp;query_place_id=ChIJ4QcE28WrswcRWIASXglKYXk" TargetMode="External" Id="rId506" /><Relationship Type="http://schemas.openxmlformats.org/officeDocument/2006/relationships/hyperlink" Target="https://www.google.com/maps/search/?api=1&amp;query=Juninho%20FF&amp;query_place_id=ChIJv6sZoA6rswcRqiFOGPI6k4M" TargetMode="External" Id="rId507" /><Relationship Type="http://schemas.openxmlformats.org/officeDocument/2006/relationships/hyperlink" Target="https://www.google.com/maps/search/?api=1&amp;query=Kalunga&amp;query_place_id=ChIJzfSIIQT_sgcRx98HUGGgte4" TargetMode="External" Id="rId508" /><Relationship Type="http://schemas.openxmlformats.org/officeDocument/2006/relationships/hyperlink" Target="https://www.google.com/maps/search/?api=1&amp;query=Ku&amp;query_place_id=ChIJXYD39_n_sgcRK0TETMcc1hQ" TargetMode="External" Id="rId509" /><Relationship Type="http://schemas.openxmlformats.org/officeDocument/2006/relationships/hyperlink" Target="https://www.google.com/maps/search/?api=1&amp;query=Livraria%20Leitura&amp;query_place_id=ChIJjR_UGX__sgcREg4QBgYfJJw" TargetMode="External" Id="rId510" /><Relationship Type="http://schemas.openxmlformats.org/officeDocument/2006/relationships/hyperlink" Target="https://www.google.com/maps/search/?api=1&amp;query=Magic%20Games&amp;query_place_id=ChIJ2_9lOAkAswcRQungTOiq-AU" TargetMode="External" Id="rId511" /><Relationship Type="http://schemas.openxmlformats.org/officeDocument/2006/relationships/hyperlink" Target="https://www.google.com/maps/search/?api=1&amp;query=Meu%20Barraco%20Boteco%20Bistr%C3%B4&amp;query_place_id=ChIJTzjjJ1tVsgcRvCcc-NlBmOM" TargetMode="External" Id="rId512" /><Relationship Type="http://schemas.openxmlformats.org/officeDocument/2006/relationships/hyperlink" Target="https://www.google.com/maps/search/?api=1&amp;query=Multiverse%20Geek&amp;query_place_id=ChIJy89b82__sgcRbKh3ONEMeE8" TargetMode="External" Id="rId513" /><Relationship Type="http://schemas.openxmlformats.org/officeDocument/2006/relationships/hyperlink" Target="https://www.google.com/maps/search/?api=1&amp;query=Mundo%20das%20Sinucas%20-%20Loja%201&amp;query_place_id=ChIJoQhH9KaqswcR7Tgn6Sa_Rsg" TargetMode="External" Id="rId514" /><Relationship Type="http://schemas.openxmlformats.org/officeDocument/2006/relationships/hyperlink" Target="https://www.google.com/maps/search/?api=1&amp;query=Natal%20Shopping&amp;query_place_id=ChIJj2AvPX__sgcRNr1SxD-1jdU" TargetMode="External" Id="rId515" /><Relationship Type="http://schemas.openxmlformats.org/officeDocument/2006/relationships/hyperlink" Target="https://www.google.com/maps/search/?api=1&amp;query=O%20MUNDO%20DAS%20SINUCAS%20LOJA%20II&amp;query_place_id=ChIJV0M0LgEBswcR8dAvh7gatpg" TargetMode="External" Id="rId516" /><Relationship Type="http://schemas.openxmlformats.org/officeDocument/2006/relationships/hyperlink" Target="https://www.google.com/maps/search/?api=1&amp;query=On%20Play%20Brinquedos&amp;query_place_id=ChIJ6dOi7ZxVsgcRhpGaocWcu3o" TargetMode="External" Id="rId517" /><Relationship Type="http://schemas.openxmlformats.org/officeDocument/2006/relationships/hyperlink" Target="https://www.google.com/maps/search/?api=1&amp;query=PC%20ML&amp;query_place_id=ChIJS57f-D8AswcRNeYmMDROVdw" TargetMode="External" Id="rId518" /><Relationship Type="http://schemas.openxmlformats.org/officeDocument/2006/relationships/hyperlink" Target="https://www.google.com/maps/search/?api=1&amp;query=Planeta%20Brincar%20-%20Cidade%20Jardim&amp;query_place_id=ChIJCxWT9Y7_sgcR8eMvn6pPZf4" TargetMode="External" Id="rId519" /><Relationship Type="http://schemas.openxmlformats.org/officeDocument/2006/relationships/hyperlink" Target="https://www.google.com/maps/search/?api=1&amp;query=Plug%20Matriz&amp;query_place_id=ChIJPW6-fPz_sgcRm7fEC1pFKis" TargetMode="External" Id="rId520" /><Relationship Type="http://schemas.openxmlformats.org/officeDocument/2006/relationships/hyperlink" Target="https://www.google.com/maps/search/?api=1&amp;query=Pl%C3%ADnio%20Games%20-%20Vendas%20e%20Assist%C3%AAncia%20T%C3%A9cnica%20em%20Playstation%2C%20Xbox%2C%20Nintendo%20e%20Controles&amp;query_place_id=ChIJRwPtsnMAswcR1B4ALHVdF5c" TargetMode="External" Id="rId521" /><Relationship Type="http://schemas.openxmlformats.org/officeDocument/2006/relationships/hyperlink" Target="https://www.google.com/maps/search/?api=1&amp;query=Qi%2B4%20Jogos%20Inteligentes&amp;query_place_id=ChIJkaqD3eT_sgcR_MysgZPZmB0" TargetMode="External" Id="rId522" /><Relationship Type="http://schemas.openxmlformats.org/officeDocument/2006/relationships/hyperlink" Target="https://www.google.com/maps/search/?api=1&amp;query=Rastap%C3%A9%20Casa%20de%20Forr%C3%B3&amp;query_place_id=ChIJdTIeWNH4sgcRCuNhFT5nl6U" TargetMode="External" Id="rId523" /><Relationship Type="http://schemas.openxmlformats.org/officeDocument/2006/relationships/hyperlink" Target="https://www.google.com/maps/search/?api=1&amp;query=Real%20Botequim%20Petr%C3%B3polis&amp;query_place_id=ChIJQ_ja4-gBswcRwGsm7jz3Wns" TargetMode="External" Id="rId524" /><Relationship Type="http://schemas.openxmlformats.org/officeDocument/2006/relationships/hyperlink" Target="https://www.google.com/maps/search/?api=1&amp;query=Rei%20das%20Sinucas&amp;query_place_id=ChIJ4VyVb6iqswcR0fe5AnfoF9I" TargetMode="External" Id="rId525" /><Relationship Type="http://schemas.openxmlformats.org/officeDocument/2006/relationships/hyperlink" Target="https://www.google.com/maps/search/?api=1&amp;query=Restaurante%20Pau%20Brasil&amp;query_place_id=ChIJp-sjPENVsgcRH4LPmRirmYs" TargetMode="External" Id="rId526" /><Relationship Type="http://schemas.openxmlformats.org/officeDocument/2006/relationships/hyperlink" Target="https://www.google.com/maps/search/?api=1&amp;query=Ri%20Happy&amp;query_place_id=ChIJcb6iVfr_sgcRGErKGpZqH_A" TargetMode="External" Id="rId527" /><Relationship Type="http://schemas.openxmlformats.org/officeDocument/2006/relationships/hyperlink" Target="https://www.google.com/maps/search/?api=1&amp;query=Ribeiro%20Games%20%26%20Acess%C3%B3rios&amp;query_place_id=ChIJXTiQvaurswcR6-9knn2nySU" TargetMode="External" Id="rId528" /><Relationship Type="http://schemas.openxmlformats.org/officeDocument/2006/relationships/hyperlink" Target="https://www.google.com/maps/search/?api=1&amp;query=Seu%20Chico%20Botequim&amp;query_place_id=ChIJf9yK4pL_sgcRFweYIPsVRb4" TargetMode="External" Id="rId529" /><Relationship Type="http://schemas.openxmlformats.org/officeDocument/2006/relationships/hyperlink" Target="https://www.google.com/maps/search/?api=1&amp;query=Shake%20Joy%20Natal&amp;query_place_id=ChIJl-eojvz_sgcRC5GMAwjKGyk" TargetMode="External" Id="rId530" /><Relationship Type="http://schemas.openxmlformats.org/officeDocument/2006/relationships/hyperlink" Target="https://www.google.com/maps/search/?api=1&amp;query=Tech%20Shop%20Games%20-%20Loja%20de%20Games%20e%20Inform%C3%A1tica&amp;query_place_id=ChIJ4RK-sA5VsgcRPuipY3twpbM" TargetMode="External" Id="rId531" /><Relationship Type="http://schemas.openxmlformats.org/officeDocument/2006/relationships/hyperlink" Target="https://www.google.com/maps/search/?api=1&amp;query=Torre%20do%20Papel%20-%20Geek%2C%20Cards%20e%20RPGs&amp;query_place_id=ChIJ3XfHkjH5sgcRl222urfYAjY" TargetMode="External" Id="rId532" /><Relationship Type="http://schemas.openxmlformats.org/officeDocument/2006/relationships/hyperlink" Target="https://www.google.com/maps/search/?api=1&amp;query=Turma%20da%20Mika&amp;query_place_id=ChIJMZ2Wye6rswcRv14hnLZChPU" TargetMode="External" Id="rId533" /><Relationship Type="http://schemas.openxmlformats.org/officeDocument/2006/relationships/hyperlink" Target="https://www.google.com/maps/search/?api=1&amp;query=Turno%20Extra%20Jogos%20de%20Mesa&amp;query_place_id=ChIJTXNbNLb_sgcR9gkUZh880X4" TargetMode="External" Id="rId534" /><Relationship Type="http://schemas.openxmlformats.org/officeDocument/2006/relationships/hyperlink" Target="https://www.google.com/maps/search/?api=1&amp;query=Ultra%20Loot%20Cards%20e%20Games&amp;query_place_id=ChIJZbiRJbNVsgcRc9e4RRxErmM" TargetMode="External" Id="rId535" /><Relationship Type="http://schemas.openxmlformats.org/officeDocument/2006/relationships/hyperlink" Target="https://www.google.com/maps/search/?api=1&amp;query=Vem%20pra%20Mesa%20Game%20Center&amp;query_place_id=ChIJ1S2JbVz_sgcRhJDPIt6lg5c" TargetMode="External" Id="rId536" /><Relationship Type="http://schemas.openxmlformats.org/officeDocument/2006/relationships/hyperlink" Target="https://www.google.com/maps/search/?api=1&amp;query=Via%20Direta%20Shopping&amp;query_place_id=ChIJYelljYv_sgcR4cy4I9xeAA4" TargetMode="External" Id="rId537" /><Relationship Type="http://schemas.openxmlformats.org/officeDocument/2006/relationships/hyperlink" Target="https://www.google.com/maps/search/?api=1&amp;query=Virtual%20Games&amp;query_place_id=ChIJoY6NAYL_sgcRlUz02gBueJQ" TargetMode="External" Id="rId538" /><Relationship Type="http://schemas.openxmlformats.org/officeDocument/2006/relationships/hyperlink" Target="https://www.google.com/maps/search/?api=1&amp;query=Viva%20Park%20Brasil&amp;query_place_id=ChIJs3KMi1L_sgcR3FpDrFqOqu8" TargetMode="External" Id="rId539" /><Relationship Type="http://schemas.openxmlformats.org/officeDocument/2006/relationships/hyperlink" Target="https://www.google.com/maps/search/?api=1&amp;query=Whiskrit%C3%B3rio%20Pub&amp;query_place_id=ChIJU_vAI0b_sgcREiMCfMLWJ2g" TargetMode="External" Id="rId540" /><Relationship Type="http://schemas.openxmlformats.org/officeDocument/2006/relationships/hyperlink" Target="https://www.google.com/maps/search/?api=1&amp;query=bonecas%20de%20pano%20da%20Edenize&amp;query_place_id=ChIJxQ3D0o1VsgcRCegpl_amhGY" TargetMode="External" Id="rId541" /><Relationship Type="http://schemas.openxmlformats.org/officeDocument/2006/relationships/hyperlink" Target="https://www.google.com/maps/search/?api=1&amp;query=%C3%81tma%20Rooftop&amp;query_place_id=ChIJhcrbTH__sgcRegJ2cHeEZH0" TargetMode="External" Id="rId542" /><Relationship Type="http://schemas.openxmlformats.org/officeDocument/2006/relationships/hyperlink" Target="https://www.google.com/maps/search/?api=1&amp;query=%C3%81valon%20-%20Experi%C3%AAncia%20Medieval%20-%20Restaurante%20%26%20Pub&amp;query_place_id=ChIJ_aHh-XoAswcRN6Xwp5r0PUg" TargetMode="External" Id="rId543" /><Relationship Type="http://schemas.openxmlformats.org/officeDocument/2006/relationships/hyperlink" Target="https://www.google.com/maps/search/?api=1&amp;query=%C3%94%20Bar%20Praia&amp;query_place_id=ChIJdTV6VcQBswcRK9cwh5WD8k4" TargetMode="External" Id="rId544" /><Relationship Type="http://schemas.openxmlformats.org/officeDocument/2006/relationships/hyperlink" Target="https://www.google.com/maps/search/?api=1&amp;query=%C3%94%20Bar%20Restaurante%20-%20Petr%C3%B3polis&amp;query_place_id=ChIJTcKDVjMBswcRta2QrtuNUYI" TargetMode="External" Id="rId545" /><Relationship Type="http://schemas.openxmlformats.org/officeDocument/2006/relationships/hyperlink" Target="https://www.google.com/maps/search/?api=1&amp;query=%C3%94%20Bar%20Restaurante%20-%20Ponta%20Negra&amp;query_place_id=ChIJgRbCvuD_sgcRLw8dgwonBKY" TargetMode="External" Id="rId546" /><Relationship Type="http://schemas.openxmlformats.org/officeDocument/2006/relationships/hyperlink" Target="https://www.google.com/maps/search/?api=1&amp;query=%C3%94%20Fuxico%20Bar&amp;query_place_id=ChIJy-GfgDD_sgcReW8fJ4aQBXs" TargetMode="External" Id="rId547" /><Relationship Type="http://schemas.openxmlformats.org/officeDocument/2006/relationships/hyperlink" Target="https://www.google.com/maps/search/?api=1&amp;query=%C3%94%20Pai%20Cozinha%20e%20Boteco&amp;query_place_id=ChIJJRq4ofP_sgcRRKgPX5ojq3M" TargetMode="External" Id="rId548" /><Relationship Type="http://schemas.openxmlformats.org/officeDocument/2006/relationships/hyperlink" Target="https://www.google.com/maps/search/?api=1&amp;query=Bimbi%20Play&amp;query_place_id=ChIJLSjL_AH5sgcRElnGctq6bWY" TargetMode="External" Id="rId549" /><Relationship Type="http://schemas.openxmlformats.org/officeDocument/2006/relationships/hyperlink" Target="https://www.google.com/maps/search/?api=1&amp;query=Divers%C3%A3o%20na%20Mesa%20-%20Aluguel%20de%20Jogos%20de%20Tabuleiro&amp;query_place_id=ChIJnXpytm35sgcR4Va4hKRdd_Y" TargetMode="External" Id="rId550" /><Relationship Type="http://schemas.openxmlformats.org/officeDocument/2006/relationships/hyperlink" Target="https://www.google.com/maps/search/?api=1&amp;query=Planeta%20Brincar&amp;query_place_id=ChIJ1cQoJ2r5sgcRtTeq8MWZmy8" TargetMode="External" Id="rId551" /><Relationship Type="http://schemas.openxmlformats.org/officeDocument/2006/relationships/hyperlink" Target="https://www.google.com/maps/search/?api=1&amp;query=Alambique%20Music%20Bar&amp;query_place_id=ChIJD8IR_iNDMpIR7pRWd6Co5JQ" TargetMode="External" Id="rId552" /><Relationship Type="http://schemas.openxmlformats.org/officeDocument/2006/relationships/hyperlink" Target="https://www.google.com/maps/search/?api=1&amp;query=Americanas&amp;query_place_id=ChIJmWr7BqhdMpIRp3q6iQ1b1r8" TargetMode="External" Id="rId553" /><Relationship Type="http://schemas.openxmlformats.org/officeDocument/2006/relationships/hyperlink" Target="https://www.google.com/maps/search/?api=1&amp;query=Anima%20Jump%20Park&amp;query_place_id=ChIJPSO2b69dMpIR8BM_IXrnjxg" TargetMode="External" Id="rId554" /><Relationship Type="http://schemas.openxmlformats.org/officeDocument/2006/relationships/hyperlink" Target="https://www.google.com/maps/search/?api=1&amp;query=Bar%20da%20Louvada%20-%20Porto%20Velho&amp;query_place_id=ChIJ9wOGxWtdMpIR9CyHzhLdK7U" TargetMode="External" Id="rId555" /><Relationship Type="http://schemas.openxmlformats.org/officeDocument/2006/relationships/hyperlink" Target="https://www.google.com/maps/search/?api=1&amp;query=Bee%27s%20Rocket%20-%20Pok%C3%A9mon%20Club&amp;query_place_id=ChIJN4eUcQBFMpIR1PQPEHy1SLg" TargetMode="External" Id="rId556" /><Relationship Type="http://schemas.openxmlformats.org/officeDocument/2006/relationships/hyperlink" Target="https://www.google.com/maps/search/?api=1&amp;query=CAMEL%C3%94%20DO%20HULK%20ACESS%C3%93RIOS&amp;query_place_id=ChIJe4XkImBdMpIRdQX8B7uXZuQ" TargetMode="External" Id="rId557" /><Relationship Type="http://schemas.openxmlformats.org/officeDocument/2006/relationships/hyperlink" Target="https://www.google.com/maps/search/?api=1&amp;query=Central%20Park%20loca%C3%A7%C3%B5es&amp;query_place_id=ChIJofyYgRxDMpIR1aS32fMPQzw" TargetMode="External" Id="rId558" /><Relationship Type="http://schemas.openxmlformats.org/officeDocument/2006/relationships/hyperlink" Target="https://www.google.com/maps/search/?api=1&amp;query=Creative%20Lan%20House%2C%20Gr%C3%A1fica%20R%C3%A1pida%2C%20Personalizados%2C%20Copiadora%2C%20Porto%20Impressos&amp;query_place_id=ChIJGcYBKD9bMpIRKkPHoF1DamA" TargetMode="External" Id="rId559" /><Relationship Type="http://schemas.openxmlformats.org/officeDocument/2006/relationships/hyperlink" Target="https://www.google.com/maps/search/?api=1&amp;query=Dan%20Divers%C3%B5es&amp;query_place_id=ChIJF5vKFjJDMpIRfM454LCXanI" TargetMode="External" Id="rId560" /><Relationship Type="http://schemas.openxmlformats.org/officeDocument/2006/relationships/hyperlink" Target="https://www.google.com/maps/search/?api=1&amp;query=Espa%C3%A7o%20Alternativo%20de%20Porto%20Velho&amp;query_place_id=ChIJeVHvPTlDMpIRKPx-_BKVNtQ" TargetMode="External" Id="rId561" /><Relationship Type="http://schemas.openxmlformats.org/officeDocument/2006/relationships/hyperlink" Target="https://www.google.com/maps/search/?api=1&amp;query=Forfun%20Club%20%26%20Store&amp;query_place_id=ChIJPX9w-9BcMpIRGuHLC2Bokno" TargetMode="External" Id="rId562" /><Relationship Type="http://schemas.openxmlformats.org/officeDocument/2006/relationships/hyperlink" Target="https://www.google.com/maps/search/?api=1&amp;query=Giga%20Kids&amp;query_place_id=ChIJad5tfa1cMpIReYGzcdDs-tE" TargetMode="External" Id="rId563" /><Relationship Type="http://schemas.openxmlformats.org/officeDocument/2006/relationships/hyperlink" Target="https://www.google.com/maps/search/?api=1&amp;query=HOG%20CYBER%20CAFE-%20House%20Of%20Gamers&amp;query_place_id=ChIJCaCJQjJdMpIRs9oyk55sC_o" TargetMode="External" Id="rId564" /><Relationship Type="http://schemas.openxmlformats.org/officeDocument/2006/relationships/hyperlink" Target="https://www.google.com/maps/search/?api=1&amp;query=Havan%20Porto%20Velho&amp;query_place_id=ChIJcczhkDVDMpIRHc2-kZBNycw" TargetMode="External" Id="rId565" /><Relationship Type="http://schemas.openxmlformats.org/officeDocument/2006/relationships/hyperlink" Target="https://www.google.com/maps/search/?api=1&amp;query=Hollywoodland%20Pub&amp;query_place_id=ChIJ2wPNoKddMpIRXDL-BhDhPcY" TargetMode="External" Id="rId566" /><Relationship Type="http://schemas.openxmlformats.org/officeDocument/2006/relationships/hyperlink" Target="https://www.google.com/maps/search/?api=1&amp;query=JR%20Gr%C3%A1fica%20R%C3%A1pida%20e%20Copiadora&amp;query_place_id=ChIJnXTWOm1bMpIR8PKv-GyPKeI" TargetMode="External" Id="rId567" /><Relationship Type="http://schemas.openxmlformats.org/officeDocument/2006/relationships/hyperlink" Target="https://www.google.com/maps/search/?api=1&amp;query=Kalunga%20-%20Porto%20Velho&amp;query_place_id=ChIJl04-ifFdMpIRyo0TBRDGjgs" TargetMode="External" Id="rId568" /><Relationship Type="http://schemas.openxmlformats.org/officeDocument/2006/relationships/hyperlink" Target="https://www.google.com/maps/search/?api=1&amp;query=LHPC%20Games&amp;query_place_id=ChIJizeSopZbMpIR7amBZH6GBDI" TargetMode="External" Id="rId569" /><Relationship Type="http://schemas.openxmlformats.org/officeDocument/2006/relationships/hyperlink" Target="https://www.google.com/maps/search/?api=1&amp;query=Lanna%20Brinquedos&amp;query_place_id=ChIJdcnTAtldMpIR3EL-fla78Og" TargetMode="External" Id="rId570" /><Relationship Type="http://schemas.openxmlformats.org/officeDocument/2006/relationships/hyperlink" Target="https://www.google.com/maps/search/?api=1&amp;query=Lf%20infl%C3%A1veis&amp;query_place_id=ChIJV4Gh7YBbMpIRkYmRfQ0SZ8o" TargetMode="External" Id="rId571" /><Relationship Type="http://schemas.openxmlformats.org/officeDocument/2006/relationships/hyperlink" Target="https://www.google.com/maps/search/?api=1&amp;query=Livraria%20Leitura%20Porto%20Velho&amp;query_place_id=ChIJad5tfa1cMpIRzG4iqpr0yI8" TargetMode="External" Id="rId572" /><Relationship Type="http://schemas.openxmlformats.org/officeDocument/2006/relationships/hyperlink" Target="https://www.google.com/maps/search/?api=1&amp;query=MEA%20SOLUCOES%20EM%20INFORMATICA%20%26%20CELULARES&amp;query_place_id=ChIJcR7EocRcMpIR7yRsYSrJHSY" TargetMode="External" Id="rId573" /><Relationship Type="http://schemas.openxmlformats.org/officeDocument/2006/relationships/hyperlink" Target="https://www.google.com/maps/search/?api=1&amp;query=Mary%20Janne%20Bar&amp;query_place_id=ChIJ93U0FNlcMpIR58xxQhIUess" TargetMode="External" Id="rId574" /><Relationship Type="http://schemas.openxmlformats.org/officeDocument/2006/relationships/hyperlink" Target="https://www.google.com/maps/search/?api=1&amp;query=Maternar%20e%20Brincar&amp;query_place_id=ChIJGfYibDNDMpIRHDhkwnRNmBc" TargetMode="External" Id="rId575" /><Relationship Type="http://schemas.openxmlformats.org/officeDocument/2006/relationships/hyperlink" Target="https://www.google.com/maps/search/?api=1&amp;query=Neo%20Zeen%20Cyber%20Lan&amp;query_place_id=ChIJ5ytVcmFcMpIRaaN80JSj0JM" TargetMode="External" Id="rId576" /><Relationship Type="http://schemas.openxmlformats.org/officeDocument/2006/relationships/hyperlink" Target="https://www.google.com/maps/search/?api=1&amp;query=Onyx%20Snooker%20Bar&amp;query_place_id=ChIJ4Zqy0mJbMpIRJpTc07jkgjo" TargetMode="External" Id="rId577" /><Relationship Type="http://schemas.openxmlformats.org/officeDocument/2006/relationships/hyperlink" Target="https://www.google.com/maps/search/?api=1&amp;query=Original%20Conveni%C3%AAncia%20Sul&amp;query_place_id=ChIJHdKkXFtcMpIRFdSolBRO3GQ" TargetMode="External" Id="rId578" /><Relationship Type="http://schemas.openxmlformats.org/officeDocument/2006/relationships/hyperlink" Target="https://www.google.com/maps/search/?api=1&amp;query=POWER%20GAMES%20INFORMATICA%20-%20VENDAS%20E%20ASSISTENCIA%20TECNICA&amp;query_place_id=ChIJCaVRkapEMpIRjzPq0gKV8eg" TargetMode="External" Id="rId579" /><Relationship Type="http://schemas.openxmlformats.org/officeDocument/2006/relationships/hyperlink" Target="https://www.google.com/maps/search/?api=1&amp;query=Park%20Sul&amp;query_place_id=ChIJAZcqFgBdMpIRltw0TvE8U5M" TargetMode="External" Id="rId580" /><Relationship Type="http://schemas.openxmlformats.org/officeDocument/2006/relationships/hyperlink" Target="https://www.google.com/maps/search/?api=1&amp;query=Park%20Sul%20PVH&amp;query_place_id=ChIJI0q7RDNdMpIR2fTwiVP_c-M" TargetMode="External" Id="rId581" /><Relationship Type="http://schemas.openxmlformats.org/officeDocument/2006/relationships/hyperlink" Target="https://www.google.com/maps/search/?api=1&amp;query=Planet%20Park&amp;query_place_id=ChIJSy7xgLJcMpIRipLTwzwPU3w" TargetMode="External" Id="rId582" /><Relationship Type="http://schemas.openxmlformats.org/officeDocument/2006/relationships/hyperlink" Target="https://www.google.com/maps/search/?api=1&amp;query=Pub%20Bar%20Informal&amp;query_place_id=ChIJMbKFl8NcMpIRo5zkyWGB8BM" TargetMode="External" Id="rId583" /><Relationship Type="http://schemas.openxmlformats.org/officeDocument/2006/relationships/hyperlink" Target="https://www.google.com/maps/search/?api=1&amp;query=Quiosque%20da%20sul&amp;query_place_id=ChIJFZqkv_xdMpIRvDfiA5KEZis" TargetMode="External" Id="rId584" /><Relationship Type="http://schemas.openxmlformats.org/officeDocument/2006/relationships/hyperlink" Target="https://www.google.com/maps/search/?api=1&amp;query=RI%20HAPPY%20PORTO%20VELHO&amp;query_place_id=ChIJwUt2F_NdMpIRivJWmU-KqXo" TargetMode="External" Id="rId585" /><Relationship Type="http://schemas.openxmlformats.org/officeDocument/2006/relationships/hyperlink" Target="https://www.google.com/maps/search/?api=1&amp;query=SPACE%20GAMER%20%26%20ESCOLA%20MEGAMENTE%20-%20LOJA%20E%20ESPA%C3%87O%20GAMER&amp;query_place_id=ChIJb4vvqcddMpIRA2Kkkv7eTGg" TargetMode="External" Id="rId586" /><Relationship Type="http://schemas.openxmlformats.org/officeDocument/2006/relationships/hyperlink" Target="https://www.google.com/maps/search/?api=1&amp;query=Socibra&amp;query_place_id=ChIJm3xrq8lcMpIR7DEbz8xF2P0" TargetMode="External" Id="rId587" /><Relationship Type="http://schemas.openxmlformats.org/officeDocument/2006/relationships/hyperlink" Target="https://www.google.com/maps/search/?api=1&amp;query=Strike364%20-%20Boliche%20%26%20Lounge%20Bar%20-%20Porto%20Velho&amp;query_place_id=ChIJCTbSUsVcMpIREnhUBIAW2JA" TargetMode="External" Id="rId588" /><Relationship Type="http://schemas.openxmlformats.org/officeDocument/2006/relationships/hyperlink" Target="https://www.google.com/maps/search/?api=1&amp;query=Sutil%20Gastrobeer&amp;query_place_id=ChIJ_f9s4YBdMpIRn_lSDk_00P8" TargetMode="External" Id="rId589" /><Relationship Type="http://schemas.openxmlformats.org/officeDocument/2006/relationships/hyperlink" Target="https://www.google.com/maps/search/?api=1&amp;query=S%C3%B3%20Games%20Cell%20Parts%20-%20Assist%C3%AAncia%20T%C3%A9cnica%20Apple&amp;query_place_id=ChIJiYZ3WWZcMpIRgKNI1baLPD4" TargetMode="External" Id="rId590" /><Relationship Type="http://schemas.openxmlformats.org/officeDocument/2006/relationships/hyperlink" Target="https://www.google.com/maps/search/?api=1&amp;query=Tacos%20Lounge%20Bar&amp;query_place_id=ChIJq_SRSCBdMpIRdWsaqYv33dQ" TargetMode="External" Id="rId591" /><Relationship Type="http://schemas.openxmlformats.org/officeDocument/2006/relationships/hyperlink" Target="https://www.google.com/maps/search/?api=1&amp;query=Toy%20Brazil&amp;query_place_id=ChIJA1mO9ddbMpIRL0v4xu7Euuo" TargetMode="External" Id="rId592" /><Relationship Type="http://schemas.openxmlformats.org/officeDocument/2006/relationships/hyperlink" Target="https://www.google.com/maps/search/?api=1&amp;query=Ukai%20-%20Aluguel%20de%20Brinquedos%20para%20o%20dia%20a%20dia&amp;query_place_id=ChIJAZ75nhbXxW8RjjpbdPYT_Z4" TargetMode="External" Id="rId593" /><Relationship Type="http://schemas.openxmlformats.org/officeDocument/2006/relationships/hyperlink" Target="https://www.google.com/maps/search/?api=1&amp;query=card%20ideal&amp;query_place_id=ChIJAQBJWMZcMpIR9ESAtZQwxFo" TargetMode="External" Id="rId594" /><Relationship Type="http://schemas.openxmlformats.org/officeDocument/2006/relationships/hyperlink" Target="https://www.google.com/maps/search/?api=1&amp;query=1001%20brinquedos%20e%20papelaria&amp;query_place_id=ChIJyTGQlRoFk40Rdizfin314QI" TargetMode="External" Id="rId595" /><Relationship Type="http://schemas.openxmlformats.org/officeDocument/2006/relationships/hyperlink" Target="https://www.google.com/maps/search/?api=1&amp;query=Americanas&amp;query_place_id=ChIJy8zlwXAGk40RDWouaz_oVoo" TargetMode="External" Id="rId596" /><Relationship Type="http://schemas.openxmlformats.org/officeDocument/2006/relationships/hyperlink" Target="https://www.google.com/maps/search/?api=1&amp;query=Ammy%20Store&amp;query_place_id=ChIJB7U1t_4Hk40Rfs1WgilyB5w" TargetMode="External" Id="rId597" /><Relationship Type="http://schemas.openxmlformats.org/officeDocument/2006/relationships/hyperlink" Target="https://www.google.com/maps/search/?api=1&amp;query=BLACK%20LOUNGE&amp;query_place_id=ChIJM3KLAwAFk40RVLVFywEvta8" TargetMode="External" Id="rId598" /><Relationship Type="http://schemas.openxmlformats.org/officeDocument/2006/relationships/hyperlink" Target="https://www.google.com/maps/search/?api=1&amp;query=Bar%20Brahma&amp;query_place_id=ChIJT_pXZR4Gk40RGOaKGr-1BVU" TargetMode="External" Id="rId599" /><Relationship Type="http://schemas.openxmlformats.org/officeDocument/2006/relationships/hyperlink" Target="https://www.google.com/maps/search/?api=1&amp;query=Bemol%20P%C3%A1tio%20Roraima%20Shopping&amp;query_place_id=ChIJqaTupWUPk40R1Huvx3XJQKo" TargetMode="External" Id="rId600" /><Relationship Type="http://schemas.openxmlformats.org/officeDocument/2006/relationships/hyperlink" Target="https://www.google.com/maps/search/?api=1&amp;query=Bilhar%20Boa%20Vista&amp;query_place_id=ChIJvUD2MiwEk40RRS3gHIDBlGQ" TargetMode="External" Id="rId601" /><Relationship Type="http://schemas.openxmlformats.org/officeDocument/2006/relationships/hyperlink" Target="https://www.google.com/maps/search/?api=1&amp;query=Bins%20bar&amp;query_place_id=ChIJwxyORgAHk40Rzc4dvSEI_MY" TargetMode="External" Id="rId602" /><Relationship Type="http://schemas.openxmlformats.org/officeDocument/2006/relationships/hyperlink" Target="https://www.google.com/maps/search/?api=1&amp;query=Charlie%20Alfa%20Caf%C3%A9%20%26%20Burger&amp;query_place_id=ChIJBZZ5ZmUJk40RvDu32DCviRI" TargetMode="External" Id="rId603" /><Relationship Type="http://schemas.openxmlformats.org/officeDocument/2006/relationships/hyperlink" Target="https://www.google.com/maps/search/?api=1&amp;query=Colegial%20Mega%20Store&amp;query_place_id=ChIJI790Nd8Fk40ROQOUNbs7IXw" TargetMode="External" Id="rId604" /><Relationship Type="http://schemas.openxmlformats.org/officeDocument/2006/relationships/hyperlink" Target="https://www.google.com/maps/search/?api=1&amp;query=Cris%20Variedades&amp;query_place_id=ChIJgXiqqO0Fk40R97pZyQsIez4" TargetMode="External" Id="rId605" /><Relationship Type="http://schemas.openxmlformats.org/officeDocument/2006/relationships/hyperlink" Target="https://www.google.com/maps/search/?api=1&amp;query=Elenda%20Games&amp;query_place_id=ChIJB_zo5UAFk40RKz8bUNhtO2Q" TargetMode="External" Id="rId606" /><Relationship Type="http://schemas.openxmlformats.org/officeDocument/2006/relationships/hyperlink" Target="https://www.google.com/maps/search/?api=1&amp;query=Elenda%20Games%20Alvorada%20-%20Filial&amp;query_place_id=ChIJy9pOFzAFk40RXZ1DcdoCKV0" TargetMode="External" Id="rId607" /><Relationship Type="http://schemas.openxmlformats.org/officeDocument/2006/relationships/hyperlink" Target="https://www.google.com/maps/search/?api=1&amp;query=Ensino%20e%20Afeto%20Brinquedos&amp;query_place_id=ChIJay9eGwAPk40RPwVNydQC4tM" TargetMode="External" Id="rId608" /><Relationship Type="http://schemas.openxmlformats.org/officeDocument/2006/relationships/hyperlink" Target="https://www.google.com/maps/search/?api=1&amp;query=Gamingtechbv&amp;query_place_id=ChIJRzrgF4cFk40RnT_HGVDoP9E" TargetMode="External" Id="rId609" /><Relationship Type="http://schemas.openxmlformats.org/officeDocument/2006/relationships/hyperlink" Target="https://www.google.com/maps/search/?api=1&amp;query=Inforprint%20Inform%C3%A1tica%20e%20Papelaria&amp;query_place_id=ChIJg4fh7tgFk40RT_1cdWmnmEE" TargetMode="External" Id="rId610" /><Relationship Type="http://schemas.openxmlformats.org/officeDocument/2006/relationships/hyperlink" Target="https://www.google.com/maps/search/?api=1&amp;query=Kiko%20Variedades&amp;query_place_id=ChIJkVeLdycFk40RBRBtgrK2ViI" TargetMode="External" Id="rId611" /><Relationship Type="http://schemas.openxmlformats.org/officeDocument/2006/relationships/hyperlink" Target="https://www.google.com/maps/search/?api=1&amp;query=MacuxiTCG&amp;query_place_id=ChIJf54Hr_cFk40RFym-hcaSM4k" TargetMode="External" Id="rId612" /><Relationship Type="http://schemas.openxmlformats.org/officeDocument/2006/relationships/hyperlink" Target="https://www.google.com/maps/search/?api=1&amp;query=Mania%20Games%20Technology&amp;query_place_id=ChIJuX7PULsFk40RW3zyoKu8ng4" TargetMode="External" Id="rId613" /><Relationship Type="http://schemas.openxmlformats.org/officeDocument/2006/relationships/hyperlink" Target="https://www.google.com/maps/search/?api=1&amp;query=Mimosa%20Geek&amp;query_place_id=ChIJnQ5RFfsFk40RBiwSV0NJNQk" TargetMode="External" Id="rId614" /><Relationship Type="http://schemas.openxmlformats.org/officeDocument/2006/relationships/hyperlink" Target="https://www.google.com/maps/search/?api=1&amp;query=Ogros%20Steak%20%26%20Burger%20-%20Ca%C3%A7ari&amp;query_place_id=ChIJBWC2mwwGk40RjbgH-QiuChQ" TargetMode="External" Id="rId615" /><Relationship Type="http://schemas.openxmlformats.org/officeDocument/2006/relationships/hyperlink" Target="https://www.google.com/maps/search/?api=1&amp;query=Podcast%20Coffee%20Pub&amp;query_place_id=ChIJS9rHTC4Jk40RgNL_Nues1oU" TargetMode="External" Id="rId616" /><Relationship Type="http://schemas.openxmlformats.org/officeDocument/2006/relationships/hyperlink" Target="https://www.google.com/maps/search/?api=1&amp;query=Pula%20Pula%20do%20Bilu&amp;query_place_id=ChIJ2Q-vdIoHk40RkWALvG2Z8sg" TargetMode="External" Id="rId617" /><Relationship Type="http://schemas.openxmlformats.org/officeDocument/2006/relationships/hyperlink" Target="https://www.google.com/maps/search/?api=1&amp;query=Roraima%20Mang%C3%A1s&amp;query_place_id=ChIJjdf6IgAFk40RarPfo8WgRPg" TargetMode="External" Id="rId618" /><Relationship Type="http://schemas.openxmlformats.org/officeDocument/2006/relationships/hyperlink" Target="https://www.google.com/maps/search/?api=1&amp;query=Seven%20Games%20RR&amp;query_place_id=ChIJ8VbDMiwEk40RzQJ0VIHWlKE" TargetMode="External" Id="rId619" /><Relationship Type="http://schemas.openxmlformats.org/officeDocument/2006/relationships/hyperlink" Target="https://www.google.com/maps/search/?api=1&amp;query=Style%20Geek%20Centro&amp;query_place_id=ChIJW4Rfhh4Hk40Rn9xq1cgWVus" TargetMode="External" Id="rId620" /><Relationship Type="http://schemas.openxmlformats.org/officeDocument/2006/relationships/hyperlink" Target="https://www.google.com/maps/search/?api=1&amp;query=Sukatinha%20Ataide%20Teive&amp;query_place_id=ChIJs7MDe6YFk40RYzQFlUwnPYw" TargetMode="External" Id="rId621" /><Relationship Type="http://schemas.openxmlformats.org/officeDocument/2006/relationships/hyperlink" Target="https://www.google.com/maps/search/?api=1&amp;query=Sukatinha%20Brinquedos&amp;query_place_id=ChIJ-ze0ZB4Gk40Rl-E6SQT03Ps" TargetMode="External" Id="rId622" /><Relationship Type="http://schemas.openxmlformats.org/officeDocument/2006/relationships/hyperlink" Target="https://www.google.com/maps/search/?api=1&amp;query=TidiPlay%20Jogos%20e%20Games&amp;query_place_id=ChIJsV5jFFoHk40RhlJyuhqYhfc" TargetMode="External" Id="rId623" /><Relationship Type="http://schemas.openxmlformats.org/officeDocument/2006/relationships/hyperlink" Target="https://www.google.com/maps/search/?api=1&amp;query=Zeca%20Formiga%20-%20Brinquedos&amp;query_place_id=ChIJx7e4SEkHk40R6zBFjMi-fi0" TargetMode="External" Id="rId624" /><Relationship Type="http://schemas.openxmlformats.org/officeDocument/2006/relationships/hyperlink" Target="https://www.google.com/maps/search/?api=1&amp;query=1&amp;query_place_id=ChIJqaN5u0exGgcRL91c0tFi9PE" TargetMode="External" Id="rId625" /><Relationship Type="http://schemas.openxmlformats.org/officeDocument/2006/relationships/hyperlink" Target="https://www.google.com/maps/search/?api=1&amp;query=A%20Fusao&amp;query_place_id=ChIJAQDcKpyzGgcRN1_G4Z0SAKU" TargetMode="External" Id="rId626" /><Relationship Type="http://schemas.openxmlformats.org/officeDocument/2006/relationships/hyperlink" Target="https://www.google.com/maps/search/?api=1&amp;query=Ag&amp;query_place_id=ChIJ_-9uwwSzGgcR7VGAawk4Pt8" TargetMode="External" Id="rId627" /><Relationship Type="http://schemas.openxmlformats.org/officeDocument/2006/relationships/hyperlink" Target="https://www.google.com/maps/search/?api=1&amp;query=Aracaju%20Boliche&amp;query_place_id=ChIJEeYKwVSxGgcRJjl5eKTDP3o" TargetMode="External" Id="rId628" /><Relationship Type="http://schemas.openxmlformats.org/officeDocument/2006/relationships/hyperlink" Target="https://www.google.com/maps/search/?api=1&amp;query=Arena%20Samba%20Clube&amp;query_place_id=ChIJS_Xa4hixGgcRNKbzrA5b9FI" TargetMode="External" Id="rId629" /><Relationship Type="http://schemas.openxmlformats.org/officeDocument/2006/relationships/hyperlink" Target="https://www.google.com/maps/search/?api=1&amp;query=Arte%20Em%20Cards&amp;query_place_id=ChIJr-agjM2zGgcRUxwiaZwGD04" TargetMode="External" Id="rId630" /><Relationship Type="http://schemas.openxmlformats.org/officeDocument/2006/relationships/hyperlink" Target="https://www.google.com/maps/search/?api=1&amp;query=Bar%20P%C3%A9%20Sujo&amp;query_place_id=ChIJwRnbrAOxGgcRvIBOQqkvZGo" TargetMode="External" Id="rId631" /><Relationship Type="http://schemas.openxmlformats.org/officeDocument/2006/relationships/hyperlink" Target="https://www.google.com/maps/search/?api=1&amp;query=Barreto%20Games%20%26%20Assist%C3%AAncia.&amp;query_place_id=ChIJyxR13o-zGgcR7PIPDruoLcY" TargetMode="External" Id="rId632" /><Relationship Type="http://schemas.openxmlformats.org/officeDocument/2006/relationships/hyperlink" Target="https://www.google.com/maps/search/?api=1&amp;query=Barzin&amp;query_place_id=ChIJvV7fJACzGgcRswrGvH4Z3-8" TargetMode="External" Id="rId633" /><Relationship Type="http://schemas.openxmlformats.org/officeDocument/2006/relationships/hyperlink" Target="https://www.google.com/maps/search/?api=1&amp;query=Boate%20Fantasy&amp;query_place_id=ChIJTYLx8_6zGgcRxg8Qd5MaBxU" TargetMode="External" Id="rId634" /><Relationship Type="http://schemas.openxmlformats.org/officeDocument/2006/relationships/hyperlink" Target="https://www.google.com/maps/search/?api=1&amp;query=Boteco%20To%20Chegando&amp;query_place_id=ChIJHbme0KezGgcRciMeiSr2Ees" TargetMode="External" Id="rId635" /><Relationship Type="http://schemas.openxmlformats.org/officeDocument/2006/relationships/hyperlink" Target="https://www.google.com/maps/search/?api=1&amp;query=Brinque%20Eventos&amp;query_place_id=ChIJLf-qy3CzGgcR31u5ZNwrZ7g" TargetMode="External" Id="rId636" /><Relationship Type="http://schemas.openxmlformats.org/officeDocument/2006/relationships/hyperlink" Target="https://www.google.com/maps/search/?api=1&amp;query=Cajucap&amp;query_place_id=ChIJtacvGS6zGgcR6mILAN2U66k" TargetMode="External" Id="rId637" /><Relationship Type="http://schemas.openxmlformats.org/officeDocument/2006/relationships/hyperlink" Target="https://www.google.com/maps/search/?api=1&amp;query=Casa%20Brincar&amp;query_place_id=ChIJb7g3J_CxGgcRguHCiQemj4U" TargetMode="External" Id="rId638" /><Relationship Type="http://schemas.openxmlformats.org/officeDocument/2006/relationships/hyperlink" Target="https://www.google.com/maps/search/?api=1&amp;query=Casa%20Gambiarra&amp;query_place_id=ChIJo-xBLuyzGgcRG3stqVCtZa8" TargetMode="External" Id="rId639" /><Relationship Type="http://schemas.openxmlformats.org/officeDocument/2006/relationships/hyperlink" Target="https://www.google.com/maps/search/?api=1&amp;query=Cidade%20Crian%C3%A7as&amp;query_place_id=ChIJY8FZRQCzGgcRdiGrfN2v4Zk" TargetMode="External" Id="rId640" /><Relationship Type="http://schemas.openxmlformats.org/officeDocument/2006/relationships/hyperlink" Target="https://www.google.com/maps/search/?api=1&amp;query=Clash%20Pub%20n%C2%B4%20Restaurant&amp;query_place_id=ChIJnXA4TxuzGgcRyHXSmuWUKqk" TargetMode="External" Id="rId641" /><Relationship Type="http://schemas.openxmlformats.org/officeDocument/2006/relationships/hyperlink" Target="https://www.google.com/maps/search/?api=1&amp;query=Complexo%20Pai%C3%B3%20Food%20park&amp;query_place_id=ChIJk1X7Y7CxGgcRdMz6b4WTfc0" TargetMode="External" Id="rId642" /><Relationship Type="http://schemas.openxmlformats.org/officeDocument/2006/relationships/hyperlink" Target="https://www.google.com/maps/search/?api=1&amp;query=Conecte%20Tudo&amp;query_place_id=ChIJxfqodPGzGgcRZ35wqWitP04" TargetMode="External" Id="rId643" /><Relationship Type="http://schemas.openxmlformats.org/officeDocument/2006/relationships/hyperlink" Target="https://www.google.com/maps/search/?api=1&amp;query=Cont%C3%AAiner%20Gastrobar&amp;query_place_id=ChIJjzJrOiSxGgcRrKRMI_PIO0I" TargetMode="External" Id="rId644" /><Relationship Type="http://schemas.openxmlformats.org/officeDocument/2006/relationships/hyperlink" Target="https://www.google.com/maps/search/?api=1&amp;query=Darin%20Choperia&amp;query_place_id=ChIJqwZBTMK3GgcRAfANg34K1a4" TargetMode="External" Id="rId645" /><Relationship Type="http://schemas.openxmlformats.org/officeDocument/2006/relationships/hyperlink" Target="https://www.google.com/maps/search/?api=1&amp;query=Duna%20Beach%20Club&amp;query_place_id=ChIJ9x8_RVKjGgcR2dJuzyt8N4I" TargetMode="External" Id="rId646" /><Relationship Type="http://schemas.openxmlformats.org/officeDocument/2006/relationships/hyperlink" Target="https://www.google.com/maps/search/?api=1&amp;query=Encanta%20Brinquedos&amp;query_place_id=ChIJU2O7Ds6xGgcR4QyZYEDOjC8" TargetMode="External" Id="rId647" /><Relationship Type="http://schemas.openxmlformats.org/officeDocument/2006/relationships/hyperlink" Target="https://www.google.com/maps/search/?api=1&amp;query=Equipaflexse&amp;query_place_id=ChIJ5TC2ycOxGgcRWgCYenuRUe8" TargetMode="External" Id="rId648" /><Relationship Type="http://schemas.openxmlformats.org/officeDocument/2006/relationships/hyperlink" Target="https://www.google.com/maps/search/?api=1&amp;query=Estacao%20Jogos&amp;query_place_id=ChIJL4dRqGGzGgcRPMR_LXvl-B8" TargetMode="External" Id="rId649" /><Relationship Type="http://schemas.openxmlformats.org/officeDocument/2006/relationships/hyperlink" Target="https://www.google.com/maps/search/?api=1&amp;query=Figueiredo&amp;query_place_id=ChIJDbC4GnCzGgcRLp_J-WQBHZI" TargetMode="External" Id="rId650" /><Relationship Type="http://schemas.openxmlformats.org/officeDocument/2006/relationships/hyperlink" Target="https://www.google.com/maps/search/?api=1&amp;query=Fl&amp;query_place_id=ChIJLbSfYTVNBQcRt4QDSomfglU" TargetMode="External" Id="rId651" /><Relationship Type="http://schemas.openxmlformats.org/officeDocument/2006/relationships/hyperlink" Target="https://www.google.com/maps/search/?api=1&amp;query=Frajola&amp;query_place_id=ChIJ8TTwiaazGgcRqhhXRMDd1PE" TargetMode="External" Id="rId652" /><Relationship Type="http://schemas.openxmlformats.org/officeDocument/2006/relationships/hyperlink" Target="https://www.google.com/maps/search/?api=1&amp;query=Game%20Station%20-%20Shopping%20RioMar%20Aracaju&amp;query_place_id=ChIJl-nNCfGzGgcRh2XJP5ca7ZM" TargetMode="External" Id="rId653" /><Relationship Type="http://schemas.openxmlformats.org/officeDocument/2006/relationships/hyperlink" Target="https://www.google.com/maps/search/?api=1&amp;query=Hitech%20Arena&amp;query_place_id=ChIJjwkSmKCzGgcRqkbyspDe4IE" TargetMode="External" Id="rId654" /><Relationship Type="http://schemas.openxmlformats.org/officeDocument/2006/relationships/hyperlink" Target="https://www.google.com/maps/search/?api=1&amp;query=Jogos%20Aju&amp;query_place_id=ChIJAWKaZByzGgcRZ-R91C0S2jE" TargetMode="External" Id="rId655" /><Relationship Type="http://schemas.openxmlformats.org/officeDocument/2006/relationships/hyperlink" Target="https://www.google.com/maps/search/?api=1&amp;query=Kalunga&amp;query_place_id=ChIJ843zZFWxGgcR54AcOzfbY7g" TargetMode="External" Id="rId656" /><Relationship Type="http://schemas.openxmlformats.org/officeDocument/2006/relationships/hyperlink" Target="https://www.google.com/maps/search/?api=1&amp;query=Kalunga&amp;query_place_id=ChIJzX1WHgCzGgcRBlcpf2oa-LM" TargetMode="External" Id="rId657" /><Relationship Type="http://schemas.openxmlformats.org/officeDocument/2006/relationships/hyperlink" Target="https://www.google.com/maps/search/?api=1&amp;query=Karaoke%20Em%20Las%20Vegas&amp;query_place_id=ChIJWQCoEiexGgcRXRm1IaoqrfM" TargetMode="External" Id="rId658" /><Relationship Type="http://schemas.openxmlformats.org/officeDocument/2006/relationships/hyperlink" Target="https://www.google.com/maps/search/?api=1&amp;query=Laguna&amp;query_place_id=ChIJyb5IkGaxGgcRVtpV-vdRgUg" TargetMode="External" Id="rId659" /><Relationship Type="http://schemas.openxmlformats.org/officeDocument/2006/relationships/hyperlink" Target="https://www.google.com/maps/search/?api=1&amp;query=LeoShadow%20Arena&amp;query_place_id=ChIJDf2Q65GzGgcRzl1kJ8mRYz0" TargetMode="External" Id="rId660" /><Relationship Type="http://schemas.openxmlformats.org/officeDocument/2006/relationships/hyperlink" Target="https://www.google.com/maps/search/?api=1&amp;query=Livraria%20Escariz%20-%20Shopping%20Jardins&amp;query_place_id=ChIJ____P8OzGgcRq0K191hXorA" TargetMode="External" Id="rId661" /><Relationship Type="http://schemas.openxmlformats.org/officeDocument/2006/relationships/hyperlink" Target="https://www.google.com/maps/search/?api=1&amp;query=Lounge%20Country%20Music%20Bar&amp;query_place_id=ChIJPdCD8dKzGgcRs4nUyOonrOs" TargetMode="External" Id="rId662" /><Relationship Type="http://schemas.openxmlformats.org/officeDocument/2006/relationships/hyperlink" Target="https://www.google.com/maps/search/?api=1&amp;query=MUNDO%20DOS%20ACESSORIOS&amp;query_place_id=ChIJDUvadU23GgcROX0k2cKyDpg" TargetMode="External" Id="rId663" /><Relationship Type="http://schemas.openxmlformats.org/officeDocument/2006/relationships/hyperlink" Target="https://www.google.com/maps/search/?api=1&amp;query=Malibu%20Bar&amp;query_place_id=ChIJXb-ofZazGgcRcDRJDnpKkQM" TargetMode="External" Id="rId664" /><Relationship Type="http://schemas.openxmlformats.org/officeDocument/2006/relationships/hyperlink" Target="https://www.google.com/maps/search/?api=1&amp;query=Mango%20Bar%20de%20Praia&amp;query_place_id=ChIJIzirfVKjGgcRtx8ekjEvnFk" TargetMode="External" Id="rId665" /><Relationship Type="http://schemas.openxmlformats.org/officeDocument/2006/relationships/hyperlink" Target="https://www.google.com/maps/search/?api=1&amp;query=Marcela%20Presentes&amp;query_place_id=ChIJVcCFrI2zGgcRrKwhtkZ-ysk" TargetMode="External" Id="rId666" /><Relationship Type="http://schemas.openxmlformats.org/officeDocument/2006/relationships/hyperlink" Target="https://www.google.com/maps/search/?api=1&amp;query=Misael%20fest%20kids%20loca%C3%A7%C3%A3o%20de%20brinquedos%20em%20Aracaju%2C%20aluguel%20de%20futebol%20de%20sab%C3%A3o%2C%20touro%20mec%C3%A2nico%20p%20festas%20e%20eventos&amp;query_place_id=ChIJ_2rRoVuxGgcRJ4HRTiX5Tpg" TargetMode="External" Id="rId667" /><Relationship Type="http://schemas.openxmlformats.org/officeDocument/2006/relationships/hyperlink" Target="https://www.google.com/maps/search/?api=1&amp;query=Multiverso%20Game%20Point&amp;query_place_id=ChIJa6-7T2uxGgcR4K-1owvXsuI" TargetMode="External" Id="rId668" /><Relationship Type="http://schemas.openxmlformats.org/officeDocument/2006/relationships/hyperlink" Target="https://www.google.com/maps/search/?api=1&amp;query=Nakamura%20Games&amp;query_place_id=ChIJ5yyvSiKxGgcRGRWdYwkSrIQ" TargetMode="External" Id="rId669" /><Relationship Type="http://schemas.openxmlformats.org/officeDocument/2006/relationships/hyperlink" Target="https://www.google.com/maps/search/?api=1&amp;query=Nanda%20brinquedos%20-%20Aluguel%20de%20Inflaveis%2C%20touro%20mecanico%2C%20futebol%20de%20sab%C3%A3o%2C%20tobog%C3%A3&amp;query_place_id=ChIJHzzj8P2xGgcRciRc3tdR4-8" TargetMode="External" Id="rId670" /><Relationship Type="http://schemas.openxmlformats.org/officeDocument/2006/relationships/hyperlink" Target="https://www.google.com/maps/search/?api=1&amp;query=Nyquist%20Games&amp;query_place_id=ChIJgUmct368AyERlF3sHZlR6xw" TargetMode="External" Id="rId671" /><Relationship Type="http://schemas.openxmlformats.org/officeDocument/2006/relationships/hyperlink" Target="https://www.google.com/maps/search/?api=1&amp;query=Oka%20Bar%20e%20Grelhados&amp;query_place_id=ChIJR39PWM2zGgcRPQ6Wpw0caMw" TargetMode="External" Id="rId672" /><Relationship Type="http://schemas.openxmlformats.org/officeDocument/2006/relationships/hyperlink" Target="https://www.google.com/maps/search/?api=1&amp;query=Pablo&amp;query_place_id=ChIJi0rYjBGjGgcRHpickZHxx3E" TargetMode="External" Id="rId673" /><Relationship Type="http://schemas.openxmlformats.org/officeDocument/2006/relationships/hyperlink" Target="https://www.google.com/maps/search/?api=1&amp;query=Para%20Jogadores&amp;query_place_id=ChIJ7fTY2q6zGgcRqiFbFwRNFjc" TargetMode="External" Id="rId674" /><Relationship Type="http://schemas.openxmlformats.org/officeDocument/2006/relationships/hyperlink" Target="https://www.google.com/maps/search/?api=1&amp;query=Paraiba&amp;query_place_id=ChIJv6qaRmazGgcRMXt_42QsQRM" TargetMode="External" Id="rId675" /><Relationship Type="http://schemas.openxmlformats.org/officeDocument/2006/relationships/hyperlink" Target="https://www.google.com/maps/search/?api=1&amp;query=Park%20M%C3%B3vel%20Aracaju&amp;query_place_id=ChIJ-SPl-qqxGgcRUbad116asGk" TargetMode="External" Id="rId676" /><Relationship Type="http://schemas.openxmlformats.org/officeDocument/2006/relationships/hyperlink" Target="https://www.google.com/maps/search/?api=1&amp;query=Parmezza&amp;query_place_id=ChIJwcpE2sCzGgcRo8zpg0eNwdA" TargetMode="External" Id="rId677" /><Relationship Type="http://schemas.openxmlformats.org/officeDocument/2006/relationships/hyperlink" Target="https://www.google.com/maps/search/?api=1&amp;query=Passarela%20do%20Caranguejo&amp;query_place_id=ChIJo0bSdyexGgcRr39yzcwxTD4" TargetMode="External" Id="rId678" /><Relationship Type="http://schemas.openxmlformats.org/officeDocument/2006/relationships/hyperlink" Target="https://www.google.com/maps/search/?api=1&amp;query=Pbkids&amp;query_place_id=ChIJF0HFVSSxGgcR8Iy5V5cSgyc" TargetMode="External" Id="rId679" /><Relationship Type="http://schemas.openxmlformats.org/officeDocument/2006/relationships/hyperlink" Target="https://www.google.com/maps/search/?api=1&amp;query=Pinokio&amp;query_place_id=ChIJq8joJI6zGgcRvThchmOSbpY" TargetMode="External" Id="rId680" /><Relationship Type="http://schemas.openxmlformats.org/officeDocument/2006/relationships/hyperlink" Target="https://www.google.com/maps/search/?api=1&amp;query=Play%20Games%20Aracaju%20%7C%20Parque%20Shopping&amp;query_place_id=ChIJk5_aLwCzGgcRm3096HT42cs" TargetMode="External" Id="rId681" /><Relationship Type="http://schemas.openxmlformats.org/officeDocument/2006/relationships/hyperlink" Target="https://www.google.com/maps/search/?api=1&amp;query=Prainha%20Bar&amp;query_place_id=ChIJU4hSt_ClGgcRvnH6N4d9Tj4" TargetMode="External" Id="rId682" /><Relationship Type="http://schemas.openxmlformats.org/officeDocument/2006/relationships/hyperlink" Target="https://www.google.com/maps/search/?api=1&amp;query=Pub%20baco&amp;query_place_id=ChIJ-czcxgOzGgcR56O579iIGkQ" TargetMode="External" Id="rId683" /><Relationship Type="http://schemas.openxmlformats.org/officeDocument/2006/relationships/hyperlink" Target="https://www.google.com/maps/search/?api=1&amp;query=Quiosque%20Sete&amp;query_place_id=ChIJ00Jd-wu7GgcRwx0cXe4FIys" TargetMode="External" Id="rId684" /><Relationship Type="http://schemas.openxmlformats.org/officeDocument/2006/relationships/hyperlink" Target="https://www.google.com/maps/search/?api=1&amp;query=RI%20HAPPY&amp;query_place_id=ChIJ____P8OzGgcRf8ATFKLjvpk" TargetMode="External" Id="rId685" /><Relationship Type="http://schemas.openxmlformats.org/officeDocument/2006/relationships/hyperlink" Target="https://www.google.com/maps/search/?api=1&amp;query=RPG%20Comando&amp;query_place_id=ChIJVdzA2r6xGgcRSlifGZ6sFcQ" TargetMode="External" Id="rId686" /><Relationship Type="http://schemas.openxmlformats.org/officeDocument/2006/relationships/hyperlink" Target="https://www.google.com/maps/search/?api=1&amp;query=Sandro%20games%20oficial&amp;query_place_id=ChIJWRzlpWmzGgcR_Jo6zSBwWGk" TargetMode="External" Id="rId687" /><Relationship Type="http://schemas.openxmlformats.org/officeDocument/2006/relationships/hyperlink" Target="https://www.google.com/maps/search/?api=1&amp;query=Sensi&amp;query_place_id=ChIJkymm2D6zGgcRBEcYP-feozQ" TargetMode="External" Id="rId688" /><Relationship Type="http://schemas.openxmlformats.org/officeDocument/2006/relationships/hyperlink" Target="https://www.google.com/maps/search/?api=1&amp;query=Tabuleiro%20do%20Acaraj%C3%A9&amp;query_place_id=ChIJU4Wj-2mzGgcR0Jw7mlyGN-Q" TargetMode="External" Id="rId689" /><Relationship Type="http://schemas.openxmlformats.org/officeDocument/2006/relationships/hyperlink" Target="https://www.google.com/maps/search/?api=1&amp;query=Tabulend%C3%A1rio%20-%20Jogos%20de%20Tabuleiro%20/%20Boardgames%20em%20Aracaju&amp;query_place_id=ChIJ7RCGLeuJf00RljVImieDL5Y" TargetMode="External" Id="rId690" /><Relationship Type="http://schemas.openxmlformats.org/officeDocument/2006/relationships/hyperlink" Target="https://www.google.com/maps/search/?api=1&amp;query=The%20Stones%20Authentic%20Pub&amp;query_place_id=ChIJB5IAPaCzGgcRrhUclhYN7Q8" TargetMode="External" Id="rId691" /><Relationship Type="http://schemas.openxmlformats.org/officeDocument/2006/relationships/hyperlink" Target="https://www.google.com/maps/search/?api=1&amp;query=Tia%20Coruja%20Espa%C3%A7o%20Recreativo&amp;query_place_id=ChIJxXEWfAmzGgcRMAK_lbCt138" TargetMode="External" Id="rId692" /><Relationship Type="http://schemas.openxmlformats.org/officeDocument/2006/relationships/hyperlink" Target="https://www.google.com/maps/search/?api=1&amp;query=Travessuras%20Kids%20Aracaju&amp;query_place_id=ChIJKQugRCexGgcRIGeGVYPb1cg" TargetMode="External" Id="rId693" /><Relationship Type="http://schemas.openxmlformats.org/officeDocument/2006/relationships/hyperlink" Target="https://www.google.com/maps/search/?api=1&amp;query=True%20King%27s%20Card%20Shop&amp;query_place_id=ChIJ13nDt46zGgcRRUaT9vaaEek" TargetMode="External" Id="rId694" /><Relationship Type="http://schemas.openxmlformats.org/officeDocument/2006/relationships/hyperlink" Target="https://www.google.com/maps/search/?api=1&amp;query=Vila%20Infantil&amp;query_place_id=ChIJU7S3QAC3GgcROfSoI3nutKU" TargetMode="External" Id="rId695" /><Relationship Type="http://schemas.openxmlformats.org/officeDocument/2006/relationships/hyperlink" Target="https://www.google.com/maps/search/?api=1&amp;query=Winterfell%20%28O%20Castelo%20do%20Norte%29&amp;query_place_id=ChIJm7QjrqizGgcR7JEGoWG0RuA" TargetMode="External" Id="rId696" /><Relationship Type="http://schemas.openxmlformats.org/officeDocument/2006/relationships/hyperlink" Target="https://www.google.com/maps/search/?api=1&amp;query=ZUK%20Bar%20e%20Restaurante&amp;query_place_id=ChIJjQGsRI6xGgcRXwOCfYmCy20" TargetMode="External" Id="rId697" /><Relationship Type="http://schemas.openxmlformats.org/officeDocument/2006/relationships/hyperlink" Target="https://www.google.com/maps/search/?api=1&amp;query=Zelldas&amp;query_place_id=ChIJN2CuXuSzGgcR1CZdzp1HYFg" TargetMode="External" Id="rId698" /><Relationship Type="http://schemas.openxmlformats.org/officeDocument/2006/relationships/hyperlink" Target="https://www.google.com/maps/search/?api=1&amp;query=%C3%82ncora%20Beach%20Club&amp;query_place_id=ChIJPVCtqhyxGgcRoF9lJSbbfGg" TargetMode="External" Id="rId699" /><Relationship Type="http://schemas.openxmlformats.org/officeDocument/2006/relationships/hyperlink" Target="https://www.google.com/maps/search/?api=1&amp;query=%C3%89%20Pra%20Brincar%20Circus%20Food%20ParK&amp;query_place_id=ChIJeTh9VdSzGgcRlHeThwYFh9c" TargetMode="External" Id="rId700" /><Relationship Type="http://schemas.openxmlformats.org/officeDocument/2006/relationships/hyperlink" Target="https://www.google.com/maps/search/?api=1&amp;query=ESPORTE%20NET&amp;query_place_id=ChIJM2mdl79NBQcRTG5dx_vBwOY" TargetMode="External" Id="rId701" /><Relationship Type="http://schemas.openxmlformats.org/officeDocument/2006/relationships/hyperlink" Target="https://www.google.com/maps/search/?api=1&amp;query=Jully%20Festas%2C%20Aluguel%20de%20Brinquedos%20Infl%C3%A1veis%20em%20Aracaju%2C%20Futebol%20de%20Sab%C3%A3o%2C%20Touro%20Mec%C3%A2nico%2C%20Tobog%C3%A3%2C%20Escorrega%E2%80%A6&amp;query_place_id=ChIJlf0bweWtGgcRGD25GVdiVF4" TargetMode="External" Id="rId702" /><Relationship Type="http://schemas.openxmlformats.org/officeDocument/2006/relationships/hyperlink" Target="https://www.google.com/maps/search/?api=1&amp;query=World%20Of%20Games&amp;query_place_id=ChIJjZAoSWazGgcRC0eKTbZyZp8" TargetMode="External" Id="rId703" /><Relationship Type="http://schemas.openxmlformats.org/officeDocument/2006/relationships/hyperlink" Target="https://www.google.com/maps/search/?api=1&amp;query=Loja%20Geek%20Of%20Thrones&amp;query_place_id=ChIJC0KRp9upGgcRKiF8-jF8FoY" TargetMode="External" Id="rId704" /><Relationship Type="http://schemas.openxmlformats.org/officeDocument/2006/relationships/hyperlink" Target="https://www.google.com/maps/search/?api=1&amp;query=A%20Social%20Bar&amp;query_place_id=ChIJS8UALzAxO5MRiP3eMKATJYI" TargetMode="External" Id="rId705" /><Relationship Type="http://schemas.openxmlformats.org/officeDocument/2006/relationships/hyperlink" Target="https://www.google.com/maps/search/?api=1&amp;query=AGROBAR%20PALMAS&amp;query_place_id=ChIJlcaoZADLJJMRdeVfwonWCGQ" TargetMode="External" Id="rId706" /><Relationship Type="http://schemas.openxmlformats.org/officeDocument/2006/relationships/hyperlink" Target="https://www.google.com/maps/search/?api=1&amp;query=Adoleta%20Brinquedos%20PMW&amp;query_place_id=ChIJl4G_d5g5O5MRjiApWZOPO4k" TargetMode="External" Id="rId707" /><Relationship Type="http://schemas.openxmlformats.org/officeDocument/2006/relationships/hyperlink" Target="https://www.google.com/maps/search/?api=1&amp;query=Ateli%C3%AA%20infantil%20Rabisqu%C3%AA&amp;query_place_id=ChIJc3fto_3NJJMRE_Ii3_BDhHw" TargetMode="External" Id="rId708" /><Relationship Type="http://schemas.openxmlformats.org/officeDocument/2006/relationships/hyperlink" Target="https://www.google.com/maps/search/?api=1&amp;query=BRINQUEDOTECA%20E%20RECREA%C3%87%C3%83O%20CORUJINHA&amp;query_place_id=ChIJseC8FHA0O5MRAQt7RmIvfDo" TargetMode="External" Id="rId709" /><Relationship Type="http://schemas.openxmlformats.org/officeDocument/2006/relationships/hyperlink" Target="https://www.google.com/maps/search/?api=1&amp;query=Bar%20do%20Bode&amp;query_place_id=ChIJk4_Eq2bLJJMRUmPEqJTdVMI" TargetMode="External" Id="rId710" /><Relationship Type="http://schemas.openxmlformats.org/officeDocument/2006/relationships/hyperlink" Target="https://www.google.com/maps/search/?api=1&amp;query=Baroi%20Info%20Games&amp;query_place_id=ChIJnXhD0zzNJJMRcEbo3WWxVZ4" TargetMode="External" Id="rId711" /><Relationship Type="http://schemas.openxmlformats.org/officeDocument/2006/relationships/hyperlink" Target="https://www.google.com/maps/search/?api=1&amp;query=Barzinho%20Pmw&amp;query_place_id=ChIJgQnlglY1O5MR3tvcNtZBaHg" TargetMode="External" Id="rId712" /><Relationship Type="http://schemas.openxmlformats.org/officeDocument/2006/relationships/hyperlink" Target="https://www.google.com/maps/search/?api=1&amp;query=Blackbird%20Est%C3%BAdio&amp;query_place_id=ChIJZbyw37_NJJMR1Up7qDV-pwM" TargetMode="External" Id="rId713" /><Relationship Type="http://schemas.openxmlformats.org/officeDocument/2006/relationships/hyperlink" Target="https://www.google.com/maps/search/?api=1&amp;query=Brinquedoteca%20e%20Recrea%C3%A7%C3%A3o%20Corujinha&amp;query_place_id=ChIJk_qnxNQ1O5MRRFSZ5WKAAh8" TargetMode="External" Id="rId714" /><Relationship Type="http://schemas.openxmlformats.org/officeDocument/2006/relationships/hyperlink" Target="https://www.google.com/maps/search/?api=1&amp;query=Brinquel%C3%A2ndia%20-%20Brinquedos%20%7C%20Festa%20%7C%20Fantasia%20%7C%20Artigos%20de%20%C3%A9poca&amp;query_place_id=ChIJC1fsQUPLJJMR68KUjtzhr7o" TargetMode="External" Id="rId715" /><Relationship Type="http://schemas.openxmlformats.org/officeDocument/2006/relationships/hyperlink" Target="https://www.google.com/maps/search/?api=1&amp;query=Bruna%20Games&amp;query_place_id=ChIJee9o10TLJJMRvcb5aYDSXKg" TargetMode="External" Id="rId716" /><Relationship Type="http://schemas.openxmlformats.org/officeDocument/2006/relationships/hyperlink" Target="https://www.google.com/maps/search/?api=1&amp;query=Butiquim%20Beach&amp;query_place_id=ChIJZW6NDQDJJJMRmA9GlMjTscw" TargetMode="External" Id="rId717" /><Relationship Type="http://schemas.openxmlformats.org/officeDocument/2006/relationships/hyperlink" Target="https://www.google.com/maps/search/?api=1&amp;query=CHAMPAGNE%20DRINK%27S&amp;query_place_id=ChIJYYZlpI4zO5MRoRzpx-6rwk8" TargetMode="External" Id="rId718" /><Relationship Type="http://schemas.openxmlformats.org/officeDocument/2006/relationships/hyperlink" Target="https://www.google.com/maps/search/?api=1&amp;query=CVI%20-%20Centro%20Vertebral%20Integrado%20-%20Fisioterapia%20-%20Quiropraxia%20-%20Escoliose%20-%20RPG&amp;query_place_id=ChIJTZ09lhs1O5MR-dGh24Q8ih0" TargetMode="External" Id="rId719" /><Relationship Type="http://schemas.openxmlformats.org/officeDocument/2006/relationships/hyperlink" Target="https://www.google.com/maps/search/?api=1&amp;query=Chopp%20Time&amp;query_place_id=ChIJq6pvfro0O5MRaX6vb6gID6w" TargetMode="External" Id="rId720" /><Relationship Type="http://schemas.openxmlformats.org/officeDocument/2006/relationships/hyperlink" Target="https://www.google.com/maps/search/?api=1&amp;query=Clinica%20Equilibrium%20de%20Fisioterapia&amp;query_place_id=ChIJnf2GyXrLJJMR5OUqKr8Paoo" TargetMode="External" Id="rId721" /><Relationship Type="http://schemas.openxmlformats.org/officeDocument/2006/relationships/hyperlink" Target="https://www.google.com/maps/search/?api=1&amp;query=Cl%C3%ADnica%20de%20Fisioterapia%20RPG%20e%20Reabilita%C3%A7%C3%A3o%20Pulmonar%20e%20Card%C3%ADaca%20-%20Cl%C3%ADnica%20FISIOCARE%20em%20Palmas%20-%20Tocantins&amp;query_place_id=ChIJQyYl2J01O5MR0S-vZGvIEcg" TargetMode="External" Id="rId722" /><Relationship Type="http://schemas.openxmlformats.org/officeDocument/2006/relationships/hyperlink" Target="https://www.google.com/maps/search/?api=1&amp;query=DBB%20Draft%20Beer%20Bar%20%7C%20Palmas&amp;query_place_id=ChIJD6pU3sI1O5MR3-mnzFCMjKs" TargetMode="External" Id="rId723" /><Relationship Type="http://schemas.openxmlformats.org/officeDocument/2006/relationships/hyperlink" Target="https://www.google.com/maps/search/?api=1&amp;query=Dr.%20Leonardo%20Passidonia%20-%20Fisioterapia%20RPG%20e%20Quiropraxia&amp;query_place_id=ChIJddmkG_o1O5MRDw_0GIGLZQ8" TargetMode="External" Id="rId724" /><Relationship Type="http://schemas.openxmlformats.org/officeDocument/2006/relationships/hyperlink" Target="https://www.google.com/maps/search/?api=1&amp;query=Duff%20beer%20bar&amp;query_place_id=ChIJk_mlvCEzO5MRytZI0qSQjZU" TargetMode="External" Id="rId725" /><Relationship Type="http://schemas.openxmlformats.org/officeDocument/2006/relationships/hyperlink" Target="https://www.google.com/maps/search/?api=1&amp;query=Enfant%20Brinquedoteca&amp;query_place_id=ChIJtxbh6bXLJJMRaxIJK5RoT7g" TargetMode="External" Id="rId726" /><Relationship Type="http://schemas.openxmlformats.org/officeDocument/2006/relationships/hyperlink" Target="https://www.google.com/maps/search/?api=1&amp;query=Escrit%C3%B3rio%20Bar%20%26%20Cozinha&amp;query_place_id=ChIJp9slMFTLJJMR9fhEQ1s-ask" TargetMode="External" Id="rId727" /><Relationship Type="http://schemas.openxmlformats.org/officeDocument/2006/relationships/hyperlink" Target="https://www.google.com/maps/search/?api=1&amp;query=Espa%C3%A7o%20Brincar%20%2B&amp;query_place_id=ChIJt_O6Om41O5MRilVZoUvTahY" TargetMode="External" Id="rId728" /><Relationship Type="http://schemas.openxmlformats.org/officeDocument/2006/relationships/hyperlink" Target="https://www.google.com/maps/search/?api=1&amp;query=Espa%C3%A7o%20Pimentinhas&amp;query_place_id=ChIJS0m9stE0O5MRZZrds--Sy2U" TargetMode="External" Id="rId729" /><Relationship Type="http://schemas.openxmlformats.org/officeDocument/2006/relationships/hyperlink" Target="https://www.google.com/maps/search/?api=1&amp;query=Gastrobar%20Bafafa&amp;query_place_id=ChIJKfLJ2CPLJJMRe5vcTS5SAwg" TargetMode="External" Id="rId730" /><Relationship Type="http://schemas.openxmlformats.org/officeDocument/2006/relationships/hyperlink" Target="https://www.google.com/maps/search/?api=1&amp;query=Gastrobar%20Bafafa&amp;query_place_id=ChIJxT1WkXHLJJMRbQPZghl-h8E" TargetMode="External" Id="rId731" /><Relationship Type="http://schemas.openxmlformats.org/officeDocument/2006/relationships/hyperlink" Target="https://www.google.com/maps/search/?api=1&amp;query=Jadymon%20Card%20Games&amp;query_place_id=ChIJGYrMRPs1O5MRhgEWc8zRMbM" TargetMode="External" Id="rId732" /><Relationship Type="http://schemas.openxmlformats.org/officeDocument/2006/relationships/hyperlink" Target="https://www.google.com/maps/search/?api=1&amp;query=Ka%20Games&amp;query_place_id=ChIJP4wgt2Y1O5MRN_WZZepJM0U" TargetMode="External" Id="rId733" /><Relationship Type="http://schemas.openxmlformats.org/officeDocument/2006/relationships/hyperlink" Target="https://www.google.com/maps/search/?api=1&amp;query=Kasa%20Do%20V%C3%ADdeo%20Game&amp;query_place_id=ChIJ37eo5lrLJJMRyOFtRDNz0vQ" TargetMode="External" Id="rId734" /><Relationship Type="http://schemas.openxmlformats.org/officeDocument/2006/relationships/hyperlink" Target="https://www.google.com/maps/search/?api=1&amp;query=Leitura&amp;query_place_id=ChIJCULrYBfLJJMRfe-N3Hcauro" TargetMode="External" Id="rId735" /><Relationship Type="http://schemas.openxmlformats.org/officeDocument/2006/relationships/hyperlink" Target="https://www.google.com/maps/search/?api=1&amp;query=Leo%20Brinquedoteca&amp;query_place_id=ChIJOQ-7ohbNJJMRKTCOnXaPoGE" TargetMode="External" Id="rId736" /><Relationship Type="http://schemas.openxmlformats.org/officeDocument/2006/relationships/hyperlink" Target="https://www.google.com/maps/search/?api=1&amp;query=Lorenzo%20-%20Cozinha%20%26%20Bar&amp;query_place_id=ChIJb-U1miDLJJMRpU5TphIwB1U" TargetMode="External" Id="rId737" /><Relationship Type="http://schemas.openxmlformats.org/officeDocument/2006/relationships/hyperlink" Target="https://www.google.com/maps/search/?api=1&amp;query=MiniHub%20-%20Espa%C3%A7o%20Infantil%20-%20Brinquedoteca&amp;query_place_id=ChIJQbrqaADNJJMROFw2nI7hmSs" TargetMode="External" Id="rId738" /><Relationship Type="http://schemas.openxmlformats.org/officeDocument/2006/relationships/hyperlink" Target="https://www.google.com/maps/search/?api=1&amp;query=Na%20Toca%20Brinquedos&amp;query_place_id=ChIJXXRBLkTNJJMRv6wTla5OgIg" TargetMode="External" Id="rId739" /><Relationship Type="http://schemas.openxmlformats.org/officeDocument/2006/relationships/hyperlink" Target="https://www.google.com/maps/search/?api=1&amp;query=NaToca%20Brinquedos%20-%20Aldeia%20Mall&amp;query_place_id=ChIJuT0U5ZXLJJMROy7IrE_1ooc" TargetMode="External" Id="rId740" /><Relationship Type="http://schemas.openxmlformats.org/officeDocument/2006/relationships/hyperlink" Target="https://www.google.com/maps/search/?api=1&amp;query=Nosso%20Artista%20Casa%20de%20Brincar&amp;query_place_id=ChIJTTm9mB7LJJMRpKIN_6DkDFg" TargetMode="External" Id="rId741" /><Relationship Type="http://schemas.openxmlformats.org/officeDocument/2006/relationships/hyperlink" Target="https://www.google.com/maps/search/?api=1&amp;query=Palmas%20Games&amp;query_place_id=ChIJXcCmIRsxO5MRkPK_yPPXJOY" TargetMode="External" Id="rId742" /><Relationship Type="http://schemas.openxmlformats.org/officeDocument/2006/relationships/hyperlink" Target="https://www.google.com/maps/search/?api=1&amp;query=Parquinho%20Infantil%20-%20Praia%20da%20Graciosa&amp;query_place_id=ChIJ0ya6dETLJJMRS91MHobYDeA" TargetMode="External" Id="rId743" /><Relationship Type="http://schemas.openxmlformats.org/officeDocument/2006/relationships/hyperlink" Target="https://www.google.com/maps/search/?api=1&amp;query=Parquinho%20infantil%20-%20Pra%C3%A7a%20dos%20Girass%C3%B3is&amp;query_place_id=ChIJWcnE40HLJJMRu2TEqP18OYA" TargetMode="External" Id="rId744" /><Relationship Type="http://schemas.openxmlformats.org/officeDocument/2006/relationships/hyperlink" Target="https://www.google.com/maps/search/?api=1&amp;query=Puerto%20Rico&amp;query_place_id=ChIJe6qJDarNJJMRwyYvIw18U9o" TargetMode="External" Id="rId745" /><Relationship Type="http://schemas.openxmlformats.org/officeDocument/2006/relationships/hyperlink" Target="https://www.google.com/maps/search/?api=1&amp;query=Q%20Legal%20Utilidades%20Lar&amp;query_place_id=ChIJQaQJoHDLJJMREmjvw7DxEP4" TargetMode="External" Id="rId746" /><Relationship Type="http://schemas.openxmlformats.org/officeDocument/2006/relationships/hyperlink" Target="https://www.google.com/maps/search/?api=1&amp;query=Quiosque%20Rio&amp;query_place_id=ChIJ0eisIebLJJMRgjIwa96NpMs" TargetMode="External" Id="rId747" /><Relationship Type="http://schemas.openxmlformats.org/officeDocument/2006/relationships/hyperlink" Target="https://www.google.com/maps/search/?api=1&amp;query=Renattinho_brand&amp;query_place_id=ChIJFSqGZnzLJJMRNj1qxUF3P30" TargetMode="External" Id="rId748" /><Relationship Type="http://schemas.openxmlformats.org/officeDocument/2006/relationships/hyperlink" Target="https://www.google.com/maps/search/?api=1&amp;query=Ri%20Happy%20-%20Capim%20Dourado&amp;query_place_id=ChIJlz6JnRfLJJMRWukbR0XIaTA" TargetMode="External" Id="rId749" /><Relationship Type="http://schemas.openxmlformats.org/officeDocument/2006/relationships/hyperlink" Target="https://www.google.com/maps/search/?api=1&amp;query=Seu%20Sergio%20Botequim&amp;query_place_id=ChIJUWDLCqjLJJMRhhHqnruysco" TargetMode="External" Id="rId750" /><Relationship Type="http://schemas.openxmlformats.org/officeDocument/2006/relationships/hyperlink" Target="https://www.google.com/maps/search/?api=1&amp;query=Show%20Bar&amp;query_place_id=ChIJ2fWZprvMJJMR5QleN14SN2o" TargetMode="External" Id="rId751" /><Relationship Type="http://schemas.openxmlformats.org/officeDocument/2006/relationships/hyperlink" Target="https://www.google.com/maps/search/?api=1&amp;query=Social%20bar%20clube&amp;query_place_id=ChIJj20SewDLJJMRK1Lonh6xLhE" TargetMode="External" Id="rId752" /><Relationship Type="http://schemas.openxmlformats.org/officeDocument/2006/relationships/hyperlink" Target="https://www.google.com/maps/search/?api=1&amp;query=Sunset%20Bar&amp;query_place_id=ChIJK9t-gc_NJJMRsuUvtcVjhY8" TargetMode="External" Id="rId753" /><Relationship Type="http://schemas.openxmlformats.org/officeDocument/2006/relationships/hyperlink" Target="https://www.google.com/maps/search/?api=1&amp;query=Tastro%20Gastrobar&amp;query_place_id=ChIJ54vNHFDLJJMRiE02_56Zzsc" TargetMode="External" Id="rId754" /><Relationship Type="http://schemas.openxmlformats.org/officeDocument/2006/relationships/hyperlink" Target="https://www.google.com/maps/search/?api=1&amp;query=Tindolel%C3%AA%20Brinquedoteca&amp;query_place_id=ChIJ--PB7yDLJJMRXM-qVTiMOmU" TargetMode="External" Id="rId755" /><Relationship Type="http://schemas.openxmlformats.org/officeDocument/2006/relationships/hyperlink" Target="https://www.google.com/maps/search/?api=1&amp;query=Up%20gastro%20bar&amp;query_place_id=ChIJTYUGdQDLJJMRMSyxS5KoHAs" TargetMode="External" Id="rId756" /><Relationship Type="http://schemas.openxmlformats.org/officeDocument/2006/relationships/hyperlink" Target="https://www.google.com/maps/search/?api=1&amp;query=Villa%20kids%20espa%C3%A7o%20recreativo&amp;query_place_id=ChIJwfTfS7XNJJMRGTAbFSdOke8" TargetMode="External" Id="rId757" /><Relationship Type="http://schemas.openxmlformats.org/officeDocument/2006/relationships/hyperlink" Target="https://www.google.com/maps/search/?api=1&amp;query=Vitoria%20Geek&amp;query_place_id=ChIJY0GN60bLJJMR4NHLWa5X6XM" TargetMode="External" Id="rId758" /><Relationship Type="http://schemas.openxmlformats.org/officeDocument/2006/relationships/hyperlink" Target="https://www.google.com/maps/search/?api=1&amp;query=Wow%20Park&amp;query_place_id=ChIJb_WlUZfLJJMRpOjEmO0BDH8" TargetMode="External" Id="rId759" /><Relationship Type="http://schemas.openxmlformats.org/officeDocument/2006/relationships/hyperlink" Target="https://www.google.com/maps/search/?api=1&amp;query=ALEXANDRE%20GAMES%20%26%20MANUTEN%C3%87%C3%83O&amp;query_place_id=ChIJx0dAuxQbbJIRxH8szrAawXE" TargetMode="External" Id="rId760" /><Relationship Type="http://schemas.openxmlformats.org/officeDocument/2006/relationships/hyperlink" Target="https://www.google.com/maps/search/?api=1&amp;query=Acerola%3A%20A%20Casa%20do%20Acy&amp;query_place_id=ChIJvXuPLAAFbJIRncOH-f4lasQ" TargetMode="External" Id="rId761" /><Relationship Type="http://schemas.openxmlformats.org/officeDocument/2006/relationships/hyperlink" Target="https://www.google.com/maps/search/?api=1&amp;query=Adoleta%20Parque&amp;query_place_id=ChIJgyCmIbMRbJIRxZ3gQGP9qAU" TargetMode="External" Id="rId762" /><Relationship Type="http://schemas.openxmlformats.org/officeDocument/2006/relationships/hyperlink" Target="https://www.google.com/maps/search/?api=1&amp;query=All%20Night%20Pub&amp;query_place_id=ChIJt_fbtsEabJIRaOqqmmvk4Zc" TargetMode="External" Id="rId763" /><Relationship Type="http://schemas.openxmlformats.org/officeDocument/2006/relationships/hyperlink" Target="https://www.google.com/maps/search/?api=1&amp;query=Amazon%20Bowling%20-%20Suma%C3%BAma%20Park%20Shopping%20%28Boliche%29&amp;query_place_id=ChIJvbx3v38ZbJIRhNniFWkbc0g" TargetMode="External" Id="rId764" /><Relationship Type="http://schemas.openxmlformats.org/officeDocument/2006/relationships/hyperlink" Target="https://www.google.com/maps/search/?api=1&amp;query=Arkana&amp;query_place_id=ChIJyVX2sZMbbJIRkCD6lfJ1baI" TargetMode="External" Id="rId765" /><Relationship Type="http://schemas.openxmlformats.org/officeDocument/2006/relationships/hyperlink" Target="https://www.google.com/maps/search/?api=1&amp;query=Aventura%20Cards%20by%20Mao%20TCG&amp;query_place_id=ChIJAao-fLQFbJIRV1arL20t6eQ" TargetMode="External" Id="rId766" /><Relationship Type="http://schemas.openxmlformats.org/officeDocument/2006/relationships/hyperlink" Target="https://www.google.com/maps/search/?api=1&amp;query=Bar%20do%20Meio%20-%20Manaus&amp;query_place_id=ChIJO0mzt-wabJIRFbqQTQP80N0" TargetMode="External" Id="rId767" /><Relationship Type="http://schemas.openxmlformats.org/officeDocument/2006/relationships/hyperlink" Target="https://www.google.com/maps/search/?api=1&amp;query=Beco%20M%C3%A1gico%20Manaus&amp;query_place_id=ChIJryYmaX0FbJIRY1Msjnb-rVE" TargetMode="External" Id="rId768" /><Relationship Type="http://schemas.openxmlformats.org/officeDocument/2006/relationships/hyperlink" Target="https://www.google.com/maps/search/?api=1&amp;query=Bilhar%20Bola%20Verde&amp;query_place_id=ChIJT9klwocPbJIRQ1xTQQfL66s" TargetMode="External" Id="rId769" /><Relationship Type="http://schemas.openxmlformats.org/officeDocument/2006/relationships/hyperlink" Target="https://www.google.com/maps/search/?api=1&amp;query=Brasa%20Espeto%20e%20Chopp&amp;query_place_id=ChIJvSPKJpgbbJIROsnBmBxPS30" TargetMode="External" Id="rId770" /><Relationship Type="http://schemas.openxmlformats.org/officeDocument/2006/relationships/hyperlink" Target="https://www.google.com/maps/search/?api=1&amp;query=Bravo%20Bar%20e%20Grelha&amp;query_place_id=ChIJ6WHUHN0bbJIRuk5nX9uCFJw" TargetMode="External" Id="rId771" /><Relationship Type="http://schemas.openxmlformats.org/officeDocument/2006/relationships/hyperlink" Target="https://www.google.com/maps/search/?api=1&amp;query=Brincandoteca%20Divers%C3%A3o%20e%20Festas&amp;query_place_id=ChIJKTXGlDcbbJIRziWc-_0NThQ" TargetMode="External" Id="rId772" /><Relationship Type="http://schemas.openxmlformats.org/officeDocument/2006/relationships/hyperlink" Target="https://www.google.com/maps/search/?api=1&amp;query=Caf%C3%A9%20Cartoon%20Animation&amp;query_place_id=ChIJ-RJZFQAbbJIRIU-dCP-2r_o" TargetMode="External" Id="rId773" /><Relationship Type="http://schemas.openxmlformats.org/officeDocument/2006/relationships/hyperlink" Target="https://www.google.com/maps/search/?api=1&amp;query=Cave%20Bar%20Manaus&amp;query_place_id=ChIJa14bXwgFbJIRiILPiJHIBY0" TargetMode="External" Id="rId774" /><Relationship Type="http://schemas.openxmlformats.org/officeDocument/2006/relationships/hyperlink" Target="https://www.google.com/maps/search/?api=1&amp;query=Choperia%20Brahma%20Manaus&amp;query_place_id=ChIJ0ct2uW4bbJIRce0lL7Xf4h0" TargetMode="External" Id="rId775" /><Relationship Type="http://schemas.openxmlformats.org/officeDocument/2006/relationships/hyperlink" Target="https://www.google.com/maps/search/?api=1&amp;query=C%C3%BApulla%20-%20Gastronom%C3%ADa%2C%20M%C3%BAsica%20%26%20Drinks&amp;query_place_id=ChIJK5StkrkFbJIRCQ3TypHHU6I" TargetMode="External" Id="rId776" /><Relationship Type="http://schemas.openxmlformats.org/officeDocument/2006/relationships/hyperlink" Target="https://www.google.com/maps/search/?api=1&amp;query=Dubai%20Adega%20%26%20Pub&amp;query_place_id=ChIJ90IDEAAFbJIR6c401jujMu4" TargetMode="External" Id="rId777" /><Relationship Type="http://schemas.openxmlformats.org/officeDocument/2006/relationships/hyperlink" Target="https://www.google.com/maps/search/?api=1&amp;query=FLORESTINHA%20PARK&amp;query_place_id=ChIJBWwuKaYabJIRoxMkesTAEmc" TargetMode="External" Id="rId778" /><Relationship Type="http://schemas.openxmlformats.org/officeDocument/2006/relationships/hyperlink" Target="https://www.google.com/maps/search/?api=1&amp;query=Game%20Center&amp;query_place_id=ChIJh8R0pn8FbJIRrG0Lag8Cp2s" TargetMode="External" Id="rId779" /><Relationship Type="http://schemas.openxmlformats.org/officeDocument/2006/relationships/hyperlink" Target="https://www.google.com/maps/search/?api=1&amp;query=Giardelli%20Bandeira&amp;query_place_id=ChIJO7LH1QwbbJIRctLpKjHqzGs" TargetMode="External" Id="rId780" /><Relationship Type="http://schemas.openxmlformats.org/officeDocument/2006/relationships/hyperlink" Target="https://www.google.com/maps/search/?api=1&amp;query=Goiaba%20Bar%20e%20Burguer&amp;query_place_id=ChIJU7GxgH0bbJIR8s7ilchscKY" TargetMode="External" Id="rId781" /><Relationship Type="http://schemas.openxmlformats.org/officeDocument/2006/relationships/hyperlink" Target="https://www.google.com/maps/search/?api=1&amp;query=Guilda%20Free%20fire%20recrutamento&amp;query_place_id=ChIJMaxN_-cdbJIRTm4DoUWT1wU" TargetMode="External" Id="rId782" /><Relationship Type="http://schemas.openxmlformats.org/officeDocument/2006/relationships/hyperlink" Target="https://www.google.com/maps/search/?api=1&amp;query=Importadora%20MM&amp;query_place_id=ChIJ8QPAEaEFbJIR3WhdsNGCB0E" TargetMode="External" Id="rId783" /><Relationship Type="http://schemas.openxmlformats.org/officeDocument/2006/relationships/hyperlink" Target="https://www.google.com/maps/search/?api=1&amp;query=Info%20Store%20Grande%20Circular&amp;query_place_id=ChIJi_f8EZwbbJIRYfbIVXOHPW0" TargetMode="External" Id="rId784" /><Relationship Type="http://schemas.openxmlformats.org/officeDocument/2006/relationships/hyperlink" Target="https://www.google.com/maps/search/?api=1&amp;query=JG%20GAMES&amp;query_place_id=ChIJXcXD0JAFbJIRQmdQjmspPjQ" TargetMode="External" Id="rId785" /><Relationship Type="http://schemas.openxmlformats.org/officeDocument/2006/relationships/hyperlink" Target="https://www.google.com/maps/search/?api=1&amp;query=KAZUMA%20GAMES&amp;query_place_id=ChIJpwS271sbbJIRDzSHeBJFQbg" TargetMode="External" Id="rId786" /><Relationship Type="http://schemas.openxmlformats.org/officeDocument/2006/relationships/hyperlink" Target="https://www.google.com/maps/search/?api=1&amp;query=KODI&amp;query_place_id=ChIJ7-8VP2UFbJIRs9TAU5HOOjY" TargetMode="External" Id="rId787" /><Relationship Type="http://schemas.openxmlformats.org/officeDocument/2006/relationships/hyperlink" Target="https://www.google.com/maps/search/?api=1&amp;query=Khalifa%20Pub&amp;query_place_id=ChIJ04_JYe8FbJIRb1BnycY8sWQ" TargetMode="External" Id="rId788" /><Relationship Type="http://schemas.openxmlformats.org/officeDocument/2006/relationships/hyperlink" Target="https://www.google.com/maps/search/?api=1&amp;query=Kixiki%20Bar&amp;query_place_id=ChIJX22MyDERbJIRsCqlEL7HtZ8" TargetMode="External" Id="rId789" /><Relationship Type="http://schemas.openxmlformats.org/officeDocument/2006/relationships/hyperlink" Target="https://www.google.com/maps/search/?api=1&amp;query=LOCANDO%20MEM%C3%93RIAS%20EVENTOS&amp;query_place_id=ChIJFRSO-88FbJIRJnTITUle7Fc" TargetMode="External" Id="rId790" /><Relationship Type="http://schemas.openxmlformats.org/officeDocument/2006/relationships/hyperlink" Target="https://www.google.com/maps/search/?api=1&amp;query=Lago%20Nerd%20Luderia%20-%20Jogos%20de%20Tabuleiro&amp;query_place_id=ChIJ105u2bcZbJIRW2QgRQzW4uk" TargetMode="External" Id="rId791" /><Relationship Type="http://schemas.openxmlformats.org/officeDocument/2006/relationships/hyperlink" Target="https://www.google.com/maps/search/?api=1&amp;query=Livraria%20Leitura%20Amazonas&amp;query_place_id=ChIJ5XUdKqYabJIRR6AMN_zwMQA" TargetMode="External" Id="rId792" /><Relationship Type="http://schemas.openxmlformats.org/officeDocument/2006/relationships/hyperlink" Target="https://www.google.com/maps/search/?api=1&amp;query=Locomotiva%20Brinquedos%20-%20Jo%C3%A3o%20Val%C3%A9rio%20-%20Nossa%20Senhora%20Das%20Gra%C3%A7as&amp;query_place_id=ChIJM0kf_VMFbJIR3npiNtCefVE" TargetMode="External" Id="rId793" /><Relationship Type="http://schemas.openxmlformats.org/officeDocument/2006/relationships/hyperlink" Target="https://www.google.com/maps/search/?api=1&amp;query=Loja%20Calabou%C3%A7o&amp;query_place_id=ChIJE1I36GEFbJIRMxvlDnsif8U" TargetMode="External" Id="rId794" /><Relationship Type="http://schemas.openxmlformats.org/officeDocument/2006/relationships/hyperlink" Target="https://www.google.com/maps/search/?api=1&amp;query=Loja%20Daisuki&amp;query_place_id=ChIJMZANeqQabJIRWOafgRjXIMM" TargetMode="External" Id="rId795" /><Relationship Type="http://schemas.openxmlformats.org/officeDocument/2006/relationships/hyperlink" Target="https://www.google.com/maps/search/?api=1&amp;query=Lua%20em%20Peda%C3%A7os&amp;query_place_id=ChIJQ7C1j-gRbJIRurIiymY9nfc" TargetMode="External" Id="rId796" /><Relationship Type="http://schemas.openxmlformats.org/officeDocument/2006/relationships/hyperlink" Target="https://www.google.com/maps/search/?api=1&amp;query=Lunar&amp;query_place_id=ChIJiU-vagARbJIRQhVHdRE-XRg" TargetMode="External" Id="rId797" /><Relationship Type="http://schemas.openxmlformats.org/officeDocument/2006/relationships/hyperlink" Target="https://www.google.com/maps/search/?api=1&amp;query=Meet%20Cozinha%20Bo%C3%AAmia&amp;query_place_id=ChIJ7dY1rZ4bbJIROoUugyZBFlk" TargetMode="External" Id="rId798" /><Relationship Type="http://schemas.openxmlformats.org/officeDocument/2006/relationships/hyperlink" Target="https://www.google.com/maps/search/?api=1&amp;query=Mercadia%20Game%20Store&amp;query_place_id=ChIJwSmuT9cFbJIR5I53d9m7HgE" TargetMode="External" Id="rId799" /><Relationship Type="http://schemas.openxmlformats.org/officeDocument/2006/relationships/hyperlink" Target="https://www.google.com/maps/search/?api=1&amp;query=Mimiso%20Arena%20Games&amp;query_place_id=ChIJpaSYMAAbbJIR8NzZUEQKuhE" TargetMode="External" Id="rId800" /><Relationship Type="http://schemas.openxmlformats.org/officeDocument/2006/relationships/hyperlink" Target="https://www.google.com/maps/search/?api=1&amp;query=Mizura%20Bar&amp;query_place_id=ChIJ5Q9iJKkbbJIRMy9iiArpzi8" TargetMode="External" Id="rId801" /><Relationship Type="http://schemas.openxmlformats.org/officeDocument/2006/relationships/hyperlink" Target="https://www.google.com/maps/search/?api=1&amp;query=Nuvem%20Nove%20-%20Vieiralves&amp;query_place_id=ChIJJQldSu4FbJIRWIMvn1k2aDw" TargetMode="External" Id="rId802" /><Relationship Type="http://schemas.openxmlformats.org/officeDocument/2006/relationships/hyperlink" Target="https://www.google.com/maps/search/?api=1&amp;query=O%20Condado&amp;query_place_id=ChIJcaceX2wQbJIRJUFgeSjK0II" TargetMode="External" Id="rId803" /><Relationship Type="http://schemas.openxmlformats.org/officeDocument/2006/relationships/hyperlink" Target="https://www.google.com/maps/search/?api=1&amp;query=Oliver%27Pub&amp;query_place_id=ChIJm0FBemIFbJIRZ2D-Iwf5YVU" TargetMode="External" Id="rId804" /><Relationship Type="http://schemas.openxmlformats.org/officeDocument/2006/relationships/hyperlink" Target="https://www.google.com/maps/search/?api=1&amp;query=Open%20-%20Bar%20%26%20Food&amp;query_place_id=ChIJI1hKPTYbbJIRhnlne4aiYdw" TargetMode="External" Id="rId805" /><Relationship Type="http://schemas.openxmlformats.org/officeDocument/2006/relationships/hyperlink" Target="https://www.google.com/maps/search/?api=1&amp;query=Or%C3%A1culo%20Tabletop%20Games%20Store%20-%20Alu%C3%ADsio%20Brasil%20-%20Japiim&amp;query_place_id=ChIJpxg9QwAFbJIRi3UNe7DkwH4" TargetMode="External" Id="rId806" /><Relationship Type="http://schemas.openxmlformats.org/officeDocument/2006/relationships/hyperlink" Target="https://www.google.com/maps/search/?api=1&amp;query=PBKIDS%20MANAUARA%20SHOPPING&amp;query_place_id=ChIJN_0BkrIabJIR81hZhnL6-uU" TargetMode="External" Id="rId807" /><Relationship Type="http://schemas.openxmlformats.org/officeDocument/2006/relationships/hyperlink" Target="https://www.google.com/maps/search/?api=1&amp;query=Player%20Food&amp;query_place_id=ChIJf1eUzsUbbJIROHClUemcirk" TargetMode="External" Id="rId808" /><Relationship Type="http://schemas.openxmlformats.org/officeDocument/2006/relationships/hyperlink" Target="https://www.google.com/maps/search/?api=1&amp;query=Player%20Games&amp;query_place_id=ChIJcwXuqGQFbJIRGz1gIKriRCA" TargetMode="External" Id="rId809" /><Relationship Type="http://schemas.openxmlformats.org/officeDocument/2006/relationships/hyperlink" Target="https://www.google.com/maps/search/?api=1&amp;query=Player%20Games&amp;query_place_id=ChIJg0IM1HgbbJIRlRhtjzrsm0M" TargetMode="External" Id="rId810" /><Relationship Type="http://schemas.openxmlformats.org/officeDocument/2006/relationships/hyperlink" Target="https://www.google.com/maps/search/?api=1&amp;query=Putiringa%20-%20Jogos%20de%20Tabuleiro&amp;query_place_id=ChIJJemnGQ0bbJIROuFyAZnZ_aA" TargetMode="External" Id="rId811" /><Relationship Type="http://schemas.openxmlformats.org/officeDocument/2006/relationships/hyperlink" Target="https://www.google.com/maps/search/?api=1&amp;query=Rei%20Da%20Variedade&amp;query_place_id=ChIJvVgFnn8FbJIRzAg0sGuOoKk" TargetMode="External" Id="rId812" /><Relationship Type="http://schemas.openxmlformats.org/officeDocument/2006/relationships/hyperlink" Target="https://www.google.com/maps/search/?api=1&amp;query=Retr%C3%B4%20Bar&amp;query_place_id=ChIJW2mX-zgbbJIR5cMrox3-3uc" TargetMode="External" Id="rId813" /><Relationship Type="http://schemas.openxmlformats.org/officeDocument/2006/relationships/hyperlink" Target="https://www.google.com/maps/search/?api=1&amp;query=Ri%20Happy&amp;query_place_id=ChIJIZqYx38ZbJIR3IKJjBB6oto" TargetMode="External" Id="rId814" /><Relationship Type="http://schemas.openxmlformats.org/officeDocument/2006/relationships/hyperlink" Target="https://www.google.com/maps/search/?api=1&amp;query=Saffa%20House&amp;query_place_id=ChIJlZWbJHUZbJIR0dZQUbkdOCM" TargetMode="External" Id="rId815" /><Relationship Type="http://schemas.openxmlformats.org/officeDocument/2006/relationships/hyperlink" Target="https://www.google.com/maps/search/?api=1&amp;query=Salom%C3%A9%20Bar%20-%20Vieiralves&amp;query_place_id=ChIJBddbm6wabJIRZ4YW-5O7Jek" TargetMode="External" Id="rId816" /><Relationship Type="http://schemas.openxmlformats.org/officeDocument/2006/relationships/hyperlink" Target="https://www.google.com/maps/search/?api=1&amp;query=Snoopy%20Bar&amp;query_place_id=ChIJmePvcAAFbJIRrsOpJwCGFzM" TargetMode="External" Id="rId817" /><Relationship Type="http://schemas.openxmlformats.org/officeDocument/2006/relationships/hyperlink" Target="https://www.google.com/maps/search/?api=1&amp;query=Sr.Ara%C3%BAjo%20Games%20AM%2C%20MUNDO%20DIGITAL%202%C2%BA&amp;query_place_id=ChIJ134HVggZbJIRql9MOMgzwxw" TargetMode="External" Id="rId818" /><Relationship Type="http://schemas.openxmlformats.org/officeDocument/2006/relationships/hyperlink" Target="https://www.google.com/maps/search/?api=1&amp;query=Taverna%20Nerd%20Comic%20Shop&amp;query_place_id=ChIJa7KqNmwFbJIRGaN10LCd-1I" TargetMode="External" Id="rId819" /><Relationship Type="http://schemas.openxmlformats.org/officeDocument/2006/relationships/hyperlink" Target="https://www.google.com/maps/search/?api=1&amp;query=Taverna%20do%20Drow&amp;query_place_id=ChIJNXpEAgIbbJIRFB1vTU4wGIk" TargetMode="External" Id="rId820" /><Relationship Type="http://schemas.openxmlformats.org/officeDocument/2006/relationships/hyperlink" Target="https://www.google.com/maps/search/?api=1&amp;query=Tetris%20Game%20Burger&amp;query_place_id=ChIJweOclBAQbJIRztG7ZblPNSk" TargetMode="External" Id="rId821" /><Relationship Type="http://schemas.openxmlformats.org/officeDocument/2006/relationships/hyperlink" Target="https://www.google.com/maps/search/?api=1&amp;query=Traveller%20Cards%20e%20Board%20Games&amp;query_place_id=ChIJQag-ogcRbJIRfG_9p8YDiC4" TargetMode="External" Id="rId822" /><Relationship Type="http://schemas.openxmlformats.org/officeDocument/2006/relationships/hyperlink" Target="https://www.google.com/maps/search/?api=1&amp;query=Uba%C3%BA%20Brinquedos%20Criativos&amp;query_place_id=ChIJDw-EeSsRbJIRkGQnagFlKoY" TargetMode="External" Id="rId823" /><Relationship Type="http://schemas.openxmlformats.org/officeDocument/2006/relationships/hyperlink" Target="https://www.google.com/maps/search/?api=1&amp;query=Vezzo%20-%20Doces%20e%20Jogos&amp;query_place_id=ChIJd5jnFQAFbJIRyaRaoNBV_hg" TargetMode="External" Id="rId824" /><Relationship Type="http://schemas.openxmlformats.org/officeDocument/2006/relationships/hyperlink" Target="https://www.google.com/maps/search/?api=1&amp;query=Videra%20Loja%20virtual&amp;query_place_id=ChIJdXWiLTcbbJIR5cUrgJEbr00" TargetMode="External" Id="rId825" /><Relationship Type="http://schemas.openxmlformats.org/officeDocument/2006/relationships/hyperlink" Target="https://www.google.com/maps/search/?api=1&amp;query=Vila%20Kids%20Manaus%20Laranjeiras&amp;query_place_id=ChIJJd43o_obbJIRDtnSxbICZWc" TargetMode="External" Id="rId826" /><Relationship Type="http://schemas.openxmlformats.org/officeDocument/2006/relationships/hyperlink" Target="https://www.google.com/maps/search/?api=1&amp;query=Vila%20kids%20Manaus%20Cidade%20Nova&amp;query_place_id=ChIJa-WTl2SE2CoRe4OkYu_mKIw" TargetMode="External" Id="rId827" /><Relationship Type="http://schemas.openxmlformats.org/officeDocument/2006/relationships/hyperlink" Target="https://www.google.com/maps/search/?api=1&amp;query=1Dado%20Mais10&amp;query_place_id=ChIJfxlyLBIbFgcRYAc9uQueREw" TargetMode="External" Id="rId828" /><Relationship Type="http://schemas.openxmlformats.org/officeDocument/2006/relationships/hyperlink" Target="https://www.google.com/maps/search/?api=1&amp;query=Aleat%C3%B3rios&amp;query_place_id=ChIJ6YktmHIbFgcRngrKlh64J4U" TargetMode="External" Id="rId829" /><Relationship Type="http://schemas.openxmlformats.org/officeDocument/2006/relationships/hyperlink" Target="https://www.google.com/maps/search/?api=1&amp;query=Alquimia%20Bar%20e%20Petiscaria&amp;query_place_id=ChIJpVPtCWYDFgcRM0ydkvWayJM" TargetMode="External" Id="rId830" /><Relationship Type="http://schemas.openxmlformats.org/officeDocument/2006/relationships/hyperlink" Target="https://www.google.com/maps/search/?api=1&amp;query=Aluguel%20de%20Brinquedos%20Salvador%20-%20Magic%20Day%20Kids&amp;query_place_id=ChIJF8PN3FjRek0RgesDgPMwU7s" TargetMode="External" Id="rId831" /><Relationship Type="http://schemas.openxmlformats.org/officeDocument/2006/relationships/hyperlink" Target="https://www.google.com/maps/search/?api=1&amp;query=Americanas&amp;query_place_id=ChIJq6rq9NkaFgcReIH_ahObdio" TargetMode="External" Id="rId832" /><Relationship Type="http://schemas.openxmlformats.org/officeDocument/2006/relationships/hyperlink" Target="https://www.google.com/maps/search/?api=1&amp;query=Aquarios&amp;query_place_id=ChIJn2pa3cIaFgcRGS4Vz8uBFw4" TargetMode="External" Id="rId833" /><Relationship Type="http://schemas.openxmlformats.org/officeDocument/2006/relationships/hyperlink" Target="https://www.google.com/maps/search/?api=1&amp;query=Arena%20CWG&amp;query_place_id=ChIJUcYeDRsFFgcRVSOtXbOWlDA" TargetMode="External" Id="rId834" /><Relationship Type="http://schemas.openxmlformats.org/officeDocument/2006/relationships/hyperlink" Target="https://www.google.com/maps/search/?api=1&amp;query=Axego%20Restaurante%20e%20Bar&amp;query_place_id=ChIJy9cVL-YEFgcRuA2kX5V6Zmc" TargetMode="External" Id="rId835" /><Relationship Type="http://schemas.openxmlformats.org/officeDocument/2006/relationships/hyperlink" Target="https://www.google.com/maps/search/?api=1&amp;query=Bahia%20Games&amp;query_place_id=ChIJI4Fkbz0bFgcRokxrQ1W40FI" TargetMode="External" Id="rId836" /><Relationship Type="http://schemas.openxmlformats.org/officeDocument/2006/relationships/hyperlink" Target="https://www.google.com/maps/search/?api=1&amp;query=Bar%20do%20Bahia&amp;query_place_id=ChIJ-QIvZAAbFgcRY2WevlvDf14" TargetMode="External" Id="rId837" /><Relationship Type="http://schemas.openxmlformats.org/officeDocument/2006/relationships/hyperlink" Target="https://www.google.com/maps/search/?api=1&amp;query=Bidu%C3%AD%20Brincar%20I%20Aluguel%20de%20Brinquedos%20L%C3%BAdicos%20e%20Educativos%20para%20Eventos%20em%20Salvador&amp;query_place_id=ChIJf9lODBL_BqARVSCAIS0qsl8" TargetMode="External" Id="rId838" /><Relationship Type="http://schemas.openxmlformats.org/officeDocument/2006/relationships/hyperlink" Target="https://www.google.com/maps/search/?api=1&amp;query=Blue%20Praia%20Bar&amp;query_place_id=ChIJRxQwAa0cFgcRmfDFfD6fH1k" TargetMode="External" Id="rId839" /><Relationship Type="http://schemas.openxmlformats.org/officeDocument/2006/relationships/hyperlink" Target="https://www.google.com/maps/search/?api=1&amp;query=Boar%20Games%20-%20Aluguel%2C%20Venda%20e%20Eventos%20de%20Jogos%20de%20Tabuleiro&amp;query_place_id=ChIJ-2rcJH4bFgcRPkW3X_tPP4Q" TargetMode="External" Id="rId840" /><Relationship Type="http://schemas.openxmlformats.org/officeDocument/2006/relationships/hyperlink" Target="https://www.google.com/maps/search/?api=1&amp;query=Brinkarr&amp;query_place_id=ChIJxUg67XIbFgcRkdXB_4Z9tuA" TargetMode="External" Id="rId841" /><Relationship Type="http://schemas.openxmlformats.org/officeDocument/2006/relationships/hyperlink" Target="https://www.google.com/maps/search/?api=1&amp;query=Brinkarr%20Shopping%20Paseo&amp;query_place_id=ChIJm3tSIRcbFgcR-kMvtfMhgPA" TargetMode="External" Id="rId842" /><Relationship Type="http://schemas.openxmlformats.org/officeDocument/2006/relationships/hyperlink" Target="https://www.google.com/maps/search/?api=1&amp;query=Brinki%20-%20Lu%20House&amp;query_place_id=ChIJ90X8JUgFFgcReIX_aB9CQU8" TargetMode="External" Id="rId843" /><Relationship Type="http://schemas.openxmlformats.org/officeDocument/2006/relationships/hyperlink" Target="https://www.google.com/maps/search/?api=1&amp;query=Brinquedoteca%20Casinha%20Feliz&amp;query_place_id=ChIJo4eHYEoRFgcRhg4vtzfqNwA" TargetMode="External" Id="rId844" /><Relationship Type="http://schemas.openxmlformats.org/officeDocument/2006/relationships/hyperlink" Target="https://www.google.com/maps/search/?api=1&amp;query=Brinquedoteca%20e%20Playland%20Aprende%20e%20Diverte&amp;query_place_id=ChIJe7ryVAARFgcRr8Fu5J7At7Q" TargetMode="External" Id="rId845" /><Relationship Type="http://schemas.openxmlformats.org/officeDocument/2006/relationships/hyperlink" Target="https://www.google.com/maps/search/?api=1&amp;query=Brothers%20Games%20Inform%C3%A1tica&amp;query_place_id=ChIJoWVGf8AFFgcRPhADBEAJkKQ" TargetMode="External" Id="rId846" /><Relationship Type="http://schemas.openxmlformats.org/officeDocument/2006/relationships/hyperlink" Target="https://www.google.com/maps/search/?api=1&amp;query=CasadoGamer&amp;query_place_id=ChIJiUmqX5wbFgcRXN1MqVacj28" TargetMode="External" Id="rId847" /><Relationship Type="http://schemas.openxmlformats.org/officeDocument/2006/relationships/hyperlink" Target="https://www.google.com/maps/search/?api=1&amp;query=Cau%20Botequim&amp;query_place_id=ChIJp5i51JobFgcRRsvpeAHuyg8" TargetMode="External" Id="rId848" /><Relationship Type="http://schemas.openxmlformats.org/officeDocument/2006/relationships/hyperlink" Target="https://www.google.com/maps/search/?api=1&amp;query=Cc%20Games%20e%20Inform%C3%A1tica&amp;query_place_id=ChIJC2aGJPwQFgcRvo_o38trvU0" TargetMode="External" Id="rId849" /><Relationship Type="http://schemas.openxmlformats.org/officeDocument/2006/relationships/hyperlink" Target="https://www.google.com/maps/search/?api=1&amp;query=Copito%20Bar&amp;query_place_id=ChIJ8ZWHFlEDFgcR_tBMX9trpaw" TargetMode="External" Id="rId850" /><Relationship Type="http://schemas.openxmlformats.org/officeDocument/2006/relationships/hyperlink" Target="https://www.google.com/maps/search/?api=1&amp;query=Cuco%20Bistr%C3%B4&amp;query_place_id=ChIJV41wnOgEFgcRs6E0pj4rRo8" TargetMode="External" Id="rId851" /><Relationship Type="http://schemas.openxmlformats.org/officeDocument/2006/relationships/hyperlink" Target="https://www.google.com/maps/search/?api=1&amp;query=FIRE%20-%20Games%20e%20Festa%20Gamer&amp;query_place_id=ChIJ1wYyoJwbFgcRGp5ymEMevGw" TargetMode="External" Id="rId852" /><Relationship Type="http://schemas.openxmlformats.org/officeDocument/2006/relationships/hyperlink" Target="https://www.google.com/maps/search/?api=1&amp;query=Free%20Snooker%20e%20Esportes%20Ltda&amp;query_place_id=ChIJyQBT2mQbFgcRQI1jt_Rh8k4" TargetMode="External" Id="rId853" /><Relationship Type="http://schemas.openxmlformats.org/officeDocument/2006/relationships/hyperlink" Target="https://www.google.com/maps/search/?api=1&amp;query=Game%20Station&amp;query_place_id=ChIJwSZdhRwbFgcRLKgYBABeJEQ" TargetMode="External" Id="rId854" /><Relationship Type="http://schemas.openxmlformats.org/officeDocument/2006/relationships/hyperlink" Target="https://www.google.com/maps/search/?api=1&amp;query=Gamep%C3%B3litan&amp;query_place_id=ChIJ_YOROK8QFgcR4-vk3gUcjaw" TargetMode="External" Id="rId855" /><Relationship Type="http://schemas.openxmlformats.org/officeDocument/2006/relationships/hyperlink" Target="https://www.google.com/maps/search/?api=1&amp;query=Inova%20Distribuidora&amp;query_place_id=ChIJJ94z1ekFFgcR-Ew-PNxjByM" TargetMode="External" Id="rId856" /><Relationship Type="http://schemas.openxmlformats.org/officeDocument/2006/relationships/hyperlink" Target="https://www.google.com/maps/search/?api=1&amp;query=Invasion%20BG&amp;query_place_id=ChIJd3SdTfYFFgcRo-JG2l_0Rzo" TargetMode="External" Id="rId857" /><Relationship Type="http://schemas.openxmlformats.org/officeDocument/2006/relationships/hyperlink" Target="https://www.google.com/maps/search/?api=1&amp;query=Kalunga&amp;query_place_id=ChIJYVdfURsbFgcRF6AYERR6dVg" TargetMode="External" Id="rId858" /><Relationship Type="http://schemas.openxmlformats.org/officeDocument/2006/relationships/hyperlink" Target="https://www.google.com/maps/search/?api=1&amp;query=Kalunga%20-%20Salvador%20Shopping&amp;query_place_id=ChIJYVdfURsbFgcRWPhO1JJLzqs" TargetMode="External" Id="rId859" /><Relationship Type="http://schemas.openxmlformats.org/officeDocument/2006/relationships/hyperlink" Target="https://www.google.com/maps/search/?api=1&amp;query=Kalunga%20-%20Shopping%20Bela%20Vista&amp;query_place_id=ChIJhQTP0IEEFgcR3-G9G0bqe5k" TargetMode="External" Id="rId860" /><Relationship Type="http://schemas.openxmlformats.org/officeDocument/2006/relationships/hyperlink" Target="https://www.google.com/maps/search/?api=1&amp;query=LR%20Games%20-%20Especialista%20em%20Desbloqueio%20de%20Switch&amp;query_place_id=ChIJWaZ0iVobFgcRHQqoOsbwU7A" TargetMode="External" Id="rId861" /><Relationship Type="http://schemas.openxmlformats.org/officeDocument/2006/relationships/hyperlink" Target="https://www.google.com/maps/search/?api=1&amp;query=Le%20Biscuit&amp;query_place_id=ChIJPVTMANgaFgcR5D-tNJZzeDw" TargetMode="External" Id="rId862" /><Relationship Type="http://schemas.openxmlformats.org/officeDocument/2006/relationships/hyperlink" Target="https://www.google.com/maps/search/?api=1&amp;query=Leroy%20Merlin%20Salvador&amp;query_place_id=ChIJ7bsDLF8bFgcRtY4gf368ffE" TargetMode="External" Id="rId863" /><Relationship Type="http://schemas.openxmlformats.org/officeDocument/2006/relationships/hyperlink" Target="https://www.google.com/maps/search/?api=1&amp;query=Little%20Club%20Park%20-%20Aluguel%20de%20Brinquedos&amp;query_place_id=ChIJL7lZWgAFFgcR318v2vNFS5c" TargetMode="External" Id="rId864" /><Relationship Type="http://schemas.openxmlformats.org/officeDocument/2006/relationships/hyperlink" Target="https://www.google.com/maps/search/?api=1&amp;query=Loktoy%20Salvador&amp;query_place_id=ChIJS7YOEIQbFgcRxAt3neMOX-s" TargetMode="External" Id="rId865" /><Relationship Type="http://schemas.openxmlformats.org/officeDocument/2006/relationships/hyperlink" Target="https://www.google.com/maps/search/?api=1&amp;query=Marcos%20Brito%20Game%20Designer&amp;query_place_id=ChIJnaSy0Z0bFgcREAL6m7PrajA" TargetMode="External" Id="rId866" /><Relationship Type="http://schemas.openxmlformats.org/officeDocument/2006/relationships/hyperlink" Target="https://www.google.com/maps/search/?api=1&amp;query=Mariba%C2%B4s%20Gastrobar&amp;query_place_id=ChIJlxQaoWgRFgcRsFdTNAsIgAI" TargetMode="External" Id="rId867" /><Relationship Type="http://schemas.openxmlformats.org/officeDocument/2006/relationships/hyperlink" Target="https://www.google.com/maps/search/?api=1&amp;query=Mundo%20Color%C3%AA%20-%20Aluguel%20de%20Brinquedos&amp;query_place_id=ChIJw-9MRWYbFgcR-HRrfEVbZEY" TargetMode="External" Id="rId868" /><Relationship Type="http://schemas.openxmlformats.org/officeDocument/2006/relationships/hyperlink" Target="https://www.google.com/maps/search/?api=1&amp;query=Mundo%20Gira%20Brinquedos&amp;query_place_id=ChIJ1U_4x5oRFgcRNXdAsLSoQ9I" TargetMode="External" Id="rId869" /><Relationship Type="http://schemas.openxmlformats.org/officeDocument/2006/relationships/hyperlink" Target="https://www.google.com/maps/search/?api=1&amp;query=O%20Point%20Bar%20e%20Restaurante&amp;query_place_id=ChIJ69NiyWcbFgcRkmjCNEZ2L78" TargetMode="External" Id="rId870" /><Relationship Type="http://schemas.openxmlformats.org/officeDocument/2006/relationships/hyperlink" Target="https://www.google.com/maps/search/?api=1&amp;query=O%20cravinho&amp;query_place_id=ChIJf3BfGeYEFgcRMXlpd77HbEI" TargetMode="External" Id="rId871" /><Relationship Type="http://schemas.openxmlformats.org/officeDocument/2006/relationships/hyperlink" Target="https://www.google.com/maps/search/?api=1&amp;query=PBKIDS&amp;query_place_id=ChIJucDXDigbFgcRPnD2qqxJnA4" TargetMode="External" Id="rId872" /><Relationship Type="http://schemas.openxmlformats.org/officeDocument/2006/relationships/hyperlink" Target="https://www.google.com/maps/search/?api=1&amp;query=Pinus%20Jogos%20e%20Brinquedos%20de%20Madeira&amp;query_place_id=ChIJf1BUo98bFgcRDe7TudKllvs" TargetMode="External" Id="rId873" /><Relationship Type="http://schemas.openxmlformats.org/officeDocument/2006/relationships/hyperlink" Target="https://www.google.com/maps/search/?api=1&amp;query=Planeta%20Crian%C3%A7a&amp;query_place_id=ChIJiw_ahBobFgcRLpTyL_kozko" TargetMode="External" Id="rId874" /><Relationship Type="http://schemas.openxmlformats.org/officeDocument/2006/relationships/hyperlink" Target="https://www.google.com/maps/search/?api=1&amp;query=Planeta%20Imagin%C3%A1rio%20Salvador&amp;query_place_id=ChIJve6DexsbFgcRJ06Jd6O_psI" TargetMode="External" Id="rId875" /><Relationship Type="http://schemas.openxmlformats.org/officeDocument/2006/relationships/hyperlink" Target="https://www.google.com/maps/search/?api=1&amp;query=Planeta%20Imagin%C3%A1rio%20Shopping%20Bela%20Vista%20%7C%20Espa%C3%A7o%20Infantil%20e%20Festa%20de%20anivers%C3%A1rio%20em%20Salvador&amp;query_place_id=ChIJj_3s-xUbFgcRGuWhTp0NOzA" TargetMode="External" Id="rId876" /><Relationship Type="http://schemas.openxmlformats.org/officeDocument/2006/relationships/hyperlink" Target="https://www.google.com/maps/search/?api=1&amp;query=Planeta%20Imagin%C3%A1rio%20Shopping%20da%20Bahia%20%7C%20Espa%C3%A7o%20Infantil%20e%20Festa%20de%20anivers%C3%A1rio%20em%20Salvador&amp;query_place_id=ChIJ8U69QGsbFgcRYe1Sl8ehYNc" TargetMode="External" Id="rId877" /><Relationship Type="http://schemas.openxmlformats.org/officeDocument/2006/relationships/hyperlink" Target="https://www.google.com/maps/search/?api=1&amp;query=PlayGround%20Game%20Store&amp;query_place_id=ChIJRwi-IMcEFgcR2QL8OciGdQ0" TargetMode="External" Id="rId878" /><Relationship Type="http://schemas.openxmlformats.org/officeDocument/2006/relationships/hyperlink" Target="https://www.google.com/maps/search/?api=1&amp;query=Ponte%20A%C3%A9rea%20Bar&amp;query_place_id=ChIJC9M07ZobFgcRGE8occQY_kw" TargetMode="External" Id="rId879" /><Relationship Type="http://schemas.openxmlformats.org/officeDocument/2006/relationships/hyperlink" Target="https://www.google.com/maps/search/?api=1&amp;query=Purgat%C3%B3rio%20Bar&amp;query_place_id=ChIJt3cLxtobFgcRNKs3FUd9_Js" TargetMode="External" Id="rId880" /><Relationship Type="http://schemas.openxmlformats.org/officeDocument/2006/relationships/hyperlink" Target="https://www.google.com/maps/search/?api=1&amp;query=Quintal%20dos%20Brinquedos&amp;query_place_id=ChIJb9OniUUbFgcRAPVDD2gHRIo" TargetMode="External" Id="rId881" /><Relationship Type="http://schemas.openxmlformats.org/officeDocument/2006/relationships/hyperlink" Target="https://www.google.com/maps/search/?api=1&amp;query=RGR%20Distribuidora&amp;query_place_id=ChIJlRLzrLgEFgcRpiceTD5Zevw" TargetMode="External" Id="rId882" /><Relationship Type="http://schemas.openxmlformats.org/officeDocument/2006/relationships/hyperlink" Target="https://www.google.com/maps/search/?api=1&amp;query=RI%20HAPPY&amp;query_place_id=ChIJicQUYhsbFgcRKZ8hS0AXVrU" TargetMode="External" Id="rId883" /><Relationship Type="http://schemas.openxmlformats.org/officeDocument/2006/relationships/hyperlink" Target="https://www.google.com/maps/search/?api=1&amp;query=SANTOLIC&amp;query_place_id=ChIJH6oXyRobFgcR82Mn8XWzR4E" TargetMode="External" Id="rId884" /><Relationship Type="http://schemas.openxmlformats.org/officeDocument/2006/relationships/hyperlink" Target="https://www.google.com/maps/search/?api=1&amp;query=SYSTECHinfo&amp;query_place_id=ChIJ4wtfShIbFgcRgInCYY_gpYM" TargetMode="External" Id="rId885" /><Relationship Type="http://schemas.openxmlformats.org/officeDocument/2006/relationships/hyperlink" Target="https://www.google.com/maps/search/?api=1&amp;query=Salvador%20Brinquedos%20-%20Aluguel%20de%20brinquedos%20infl%C3%A1veis&amp;query_place_id=ChIJMWXllGcbFgcR-wtedrpqLCg" TargetMode="External" Id="rId886" /><Relationship Type="http://schemas.openxmlformats.org/officeDocument/2006/relationships/hyperlink" Target="https://www.google.com/maps/search/?api=1&amp;query=Salvador%20Poker%20House&amp;query_place_id=ChIJgQRsmIEbFgcRMhCb-tF5If8" TargetMode="External" Id="rId887" /><Relationship Type="http://schemas.openxmlformats.org/officeDocument/2006/relationships/hyperlink" Target="https://www.google.com/maps/search/?api=1&amp;query=Shopping%20Bela%20Vista&amp;query_place_id=ChIJ0Zdy3dkaFgcRqzWIKS9USSQ" TargetMode="External" Id="rId888" /><Relationship Type="http://schemas.openxmlformats.org/officeDocument/2006/relationships/hyperlink" Target="https://www.google.com/maps/search/?api=1&amp;query=Snooker%20Bahia&amp;query_place_id=ChIJ9ZjObj0bFgcR1F4ySVpVVPM" TargetMode="External" Id="rId889" /><Relationship Type="http://schemas.openxmlformats.org/officeDocument/2006/relationships/hyperlink" Target="https://www.google.com/maps/search/?api=1&amp;query=Soft%20%26%20Games&amp;query_place_id=ChIJV1s3wNMaFgcRYPQGS1HoO9Y" TargetMode="External" Id="rId890" /><Relationship Type="http://schemas.openxmlformats.org/officeDocument/2006/relationships/hyperlink" Target="https://www.google.com/maps/search/?api=1&amp;query=S%C3%A3o%20Jogue&amp;query_place_id=ChIJoTlvBfMbFgcRHvuCKHBQrXQ" TargetMode="External" Id="rId891" /><Relationship Type="http://schemas.openxmlformats.org/officeDocument/2006/relationships/hyperlink" Target="https://www.google.com/maps/search/?api=1&amp;query=S%C3%A3o%20Jogue%20-%20Paralela&amp;query_place_id=ChIJ-UmVDcEXFgcRnbCBRUGrDVs" TargetMode="External" Id="rId892" /><Relationship Type="http://schemas.openxmlformats.org/officeDocument/2006/relationships/hyperlink" Target="https://www.google.com/maps/search/?api=1&amp;query=Vitoria%20Tendtudo%20Sussuarana&amp;query_place_id=ChIJAVLe6JMbFgcRvIe90u-2hr4" TargetMode="External" Id="rId893" /><Relationship Type="http://schemas.openxmlformats.org/officeDocument/2006/relationships/hyperlink" Target="https://www.google.com/maps/search/?api=1&amp;query=Vix%20Games%20Aluguel%20de%20Brinquedos&amp;query_place_id=ChIJ91iE_UsbFgcRIoJGpNT8QNg" TargetMode="External" Id="rId894" /><Relationship Type="http://schemas.openxmlformats.org/officeDocument/2006/relationships/hyperlink" Target="https://www.google.com/maps/search/?api=1&amp;query=Youplay&amp;query_place_id=ChIJedKasEEbFgcR2vHfZOmKeIM" TargetMode="External" Id="rId895" /><Relationship Type="http://schemas.openxmlformats.org/officeDocument/2006/relationships/hyperlink" Target="https://www.google.com/maps/search/?api=1&amp;query=Zaccaria%20Bar&amp;query_place_id=ChIJ1yKEPW0bFgcRUl0zJhFHXi8" TargetMode="External" Id="rId896" /><Relationship Type="http://schemas.openxmlformats.org/officeDocument/2006/relationships/hyperlink" Target="https://www.google.com/maps/search/?api=1&amp;query=aMai&amp;query_place_id=ChIJeXUX0GkFFgcRRW31KrJ6cgk" TargetMode="External" Id="rId897" /><Relationship Type="http://schemas.openxmlformats.org/officeDocument/2006/relationships/hyperlink" Target="https://www.google.com/maps/search/?api=1&amp;query=Game%20House%20SK&amp;query_place_id=ChIJu_Xu7PpLxwcRc40wGJaXD_0" TargetMode="External" Id="rId898" /><Relationship Type="http://schemas.openxmlformats.org/officeDocument/2006/relationships/hyperlink" Target="https://www.google.com/maps/search/?api=1&amp;query=Jogai%20tabuleiria%20-%20Jogos%20de%20tabuleiro&amp;query_place_id=ChIJTauec15bxwcRgonUqiXj7JE" TargetMode="External" Id="rId899" /><Relationship Type="http://schemas.openxmlformats.org/officeDocument/2006/relationships/hyperlink" Target="https://www.google.com/maps/search/?api=1&amp;query=Sakura%20Colecion%C3%A1veis%20Eus%C3%A9bio&amp;query_place_id=ChIJp8fL_CUIwQER-smXmhAbjio" TargetMode="External" Id="rId900" /><Relationship Type="http://schemas.openxmlformats.org/officeDocument/2006/relationships/hyperlink" Target="https://www.google.com/maps/search/?api=1&amp;query=5%20Elementos%20Pub&amp;query_place_id=ChIJV8yzqgFJxwcRqDgn1Lyax0w" TargetMode="External" Id="rId901" /><Relationship Type="http://schemas.openxmlformats.org/officeDocument/2006/relationships/hyperlink" Target="https://www.google.com/maps/search/?api=1&amp;query=Alenca%27s%20Bar&amp;query_place_id=ChIJaQfYmHVJxwcRwP03Rz5uB34" TargetMode="External" Id="rId902" /><Relationship Type="http://schemas.openxmlformats.org/officeDocument/2006/relationships/hyperlink" Target="https://www.google.com/maps/search/?api=1&amp;query=Balboa%27s%20Hobby%20Games&amp;query_place_id=ChIJ0yXbI35IxwcR0_jLi-uINUU" TargetMode="External" Id="rId903" /><Relationship Type="http://schemas.openxmlformats.org/officeDocument/2006/relationships/hyperlink" Target="https://www.google.com/maps/search/?api=1&amp;query=Boliche%20Game%20Station%20Riomar%20Fortaleza&amp;query_place_id=ChIJhfCGPXFHxwcRF-NFOui-kNI" TargetMode="External" Id="rId904" /><Relationship Type="http://schemas.openxmlformats.org/officeDocument/2006/relationships/hyperlink" Target="https://www.google.com/maps/search/?api=1&amp;query=Boteco%20do%20Lee&amp;query_place_id=ChIJeStPwXhIxwcRXHhsO3zZkJE" TargetMode="External" Id="rId905" /><Relationship Type="http://schemas.openxmlformats.org/officeDocument/2006/relationships/hyperlink" Target="https://www.google.com/maps/search/?api=1&amp;query=Brewstone%20Pub&amp;query_place_id=ChIJe1iLyWZFxwcR4ImPe1kk3X4" TargetMode="External" Id="rId906" /><Relationship Type="http://schemas.openxmlformats.org/officeDocument/2006/relationships/hyperlink" Target="https://www.google.com/maps/search/?api=1&amp;query=Budega%20dos%20Pinh%C3%B5es&amp;query_place_id=ChIJQwYitFpIxwcRashOOoet3vw" TargetMode="External" Id="rId907" /><Relationship Type="http://schemas.openxmlformats.org/officeDocument/2006/relationships/hyperlink" Target="https://www.google.com/maps/search/?api=1&amp;query=Bulls%20Beer%20House%20-%20Aldeota&amp;query_place_id=ChIJh-lSvU1JxwcRq5PPhBwnPqs" TargetMode="External" Id="rId908" /><Relationship Type="http://schemas.openxmlformats.org/officeDocument/2006/relationships/hyperlink" Target="https://www.google.com/maps/search/?api=1&amp;query=Bulls%20Beer%20House%20Parquel%C3%A2ndia&amp;query_place_id=ChIJm94Ev3VJxwcRq_ePxagvOtI" TargetMode="External" Id="rId909" /><Relationship Type="http://schemas.openxmlformats.org/officeDocument/2006/relationships/hyperlink" Target="https://www.google.com/maps/search/?api=1&amp;query=Cal%C3%A7adinha%20Bar&amp;query_place_id=ChIJ-R-E1YBJxwcRCCLaw0rd9ZI" TargetMode="External" Id="rId910" /><Relationship Type="http://schemas.openxmlformats.org/officeDocument/2006/relationships/hyperlink" Target="https://www.google.com/maps/search/?api=1&amp;query=Casa%20L%C3%BAdica%20Fortaleza%20%7C%20Brinquedos%20Educativos%2C%20Inteligentes%20e%20Mobili%C3%A1rio%20Infantil&amp;query_place_id=ChIJ5ZEd4ydJxwcR1kf_zfHv9RQ" TargetMode="External" Id="rId911" /><Relationship Type="http://schemas.openxmlformats.org/officeDocument/2006/relationships/hyperlink" Target="https://www.google.com/maps/search/?api=1&amp;query=Casa%20de%20Brinquedos%3A%20Brinquedos%2C%20Jogos%20e%20Divers%C3%A3o%20para%20Crian%C3%A7as%20em%20Fortaleza.&amp;query_place_id=ChIJW-6v5ntJxwcRHtk7AWID5E8" TargetMode="External" Id="rId912" /><Relationship Type="http://schemas.openxmlformats.org/officeDocument/2006/relationships/hyperlink" Target="https://www.google.com/maps/search/?api=1&amp;query=City%20Game%20Locadora&amp;query_place_id=ChIJHTxWLOtOxwcRjzMfL9ObZog" TargetMode="External" Id="rId913" /><Relationship Type="http://schemas.openxmlformats.org/officeDocument/2006/relationships/hyperlink" Target="https://www.google.com/maps/search/?api=1&amp;query=Clube%20das%20Estrelinhas%20-%20Shopping%20Iguatemi%20Bosque&amp;query_place_id=ChIJ8dNtKIJFxwcRsKbBC_Tjyfg" TargetMode="External" Id="rId914" /><Relationship Type="http://schemas.openxmlformats.org/officeDocument/2006/relationships/hyperlink" Target="https://www.google.com/maps/search/?api=1&amp;query=Clube%20das%20Estrelinhas%20Boulevard&amp;query_place_id=ChIJqYAh1TNGxwcRHvEpBrqoZ4g" TargetMode="External" Id="rId915" /><Relationship Type="http://schemas.openxmlformats.org/officeDocument/2006/relationships/hyperlink" Target="https://www.google.com/maps/search/?api=1&amp;query=Clubinho%20a%20Todo%20Vapor&amp;query_place_id=ChIJfTThv4pJxwcR45RwVv0b_74" TargetMode="External" Id="rId916" /><Relationship Type="http://schemas.openxmlformats.org/officeDocument/2006/relationships/hyperlink" Target="https://www.google.com/maps/search/?api=1&amp;query=Covil%20Rock%27n%20Bar&amp;query_place_id=ChIJS2kasyZMxwcRpyIGuPSO8i0" TargetMode="External" Id="rId917" /><Relationship Type="http://schemas.openxmlformats.org/officeDocument/2006/relationships/hyperlink" Target="https://www.google.com/maps/search/?api=1&amp;query=Day%20Play%20Galeria%20de%20Brincar&amp;query_place_id=ChIJhdXHS1pJxwcR7n94rZyhnl4" TargetMode="External" Id="rId918" /><Relationship Type="http://schemas.openxmlformats.org/officeDocument/2006/relationships/hyperlink" Target="https://www.google.com/maps/search/?api=1&amp;query=De%20V%C3%B3isse%20Bar%20e%20Karaok%C3%AA&amp;query_place_id=ChIJO3X9MZdJxwcRybEDjhHjbqg" TargetMode="External" Id="rId919" /><Relationship Type="http://schemas.openxmlformats.org/officeDocument/2006/relationships/hyperlink" Target="https://www.google.com/maps/search/?api=1&amp;query=Dominaria%20Cards%20%26%20Games&amp;query_place_id=ChIJQURqeMZJxwcR95O-XLbS2mk" TargetMode="External" Id="rId920" /><Relationship Type="http://schemas.openxmlformats.org/officeDocument/2006/relationships/hyperlink" Target="https://www.google.com/maps/search/?api=1&amp;query=Donkey%20Head%20Cervejaria&amp;query_place_id=ChIJV5El87lJxwcR3z8VHy1nysg" TargetMode="External" Id="rId921" /><Relationship Type="http://schemas.openxmlformats.org/officeDocument/2006/relationships/hyperlink" Target="https://www.google.com/maps/search/?api=1&amp;query=Eco%20Clube%20Jardim&amp;query_place_id=ChIJRQA8lWxHxwcR0-5-QOMK8sg" TargetMode="External" Id="rId922" /><Relationship Type="http://schemas.openxmlformats.org/officeDocument/2006/relationships/hyperlink" Target="https://www.google.com/maps/search/?api=1&amp;query=Esconderijo%20Rock%20Pub&amp;query_place_id=ChIJUcPbfstJxwcRJlR3ZIBFMtY" TargetMode="External" Id="rId923" /><Relationship Type="http://schemas.openxmlformats.org/officeDocument/2006/relationships/hyperlink" Target="https://www.google.com/maps/search/?api=1&amp;query=Espa%C3%A7o%20Mais%20Inf%C3%A2ncia%20do%20Estado%20do%20Cear%C3%A1&amp;query_place_id=ChIJhdkowF5IxwcRkKj40Z7HqLM" TargetMode="External" Id="rId924" /><Relationship Type="http://schemas.openxmlformats.org/officeDocument/2006/relationships/hyperlink" Target="https://www.google.com/maps/search/?api=1&amp;query=Eu%20Quero%20Saber%20Brinquedos%20Inteligentes&amp;query_place_id=ChIJ8w4EBYlIxwcRygbgrjihtr0" TargetMode="External" Id="rId925" /><Relationship Type="http://schemas.openxmlformats.org/officeDocument/2006/relationships/hyperlink" Target="https://www.google.com/maps/search/?api=1&amp;query=Fada%20Madrinha%20Loca%C3%A7%C3%A3o%20de%20Brinquedos&amp;query_place_id=ChIJa8c6S8ZIxwcRVlVKn1apExA" TargetMode="External" Id="rId926" /><Relationship Type="http://schemas.openxmlformats.org/officeDocument/2006/relationships/hyperlink" Target="https://www.google.com/maps/search/?api=1&amp;query=Fort%20Tudo%20%7C%20Artigos%20de%20Decora%C3%A7%C3%A3o%2C%20Brinquedos%2C%20Utilidades%2C%20Beb%C3%AA%2C%20Ca%C3%A7a%20e%20Pesca%20em%20Fortaleza&amp;query_place_id=ChIJ3dFu-KtJxwcR_qIwvUJ2cIE" TargetMode="External" Id="rId927" /><Relationship Type="http://schemas.openxmlformats.org/officeDocument/2006/relationships/hyperlink" Target="https://www.google.com/maps/search/?api=1&amp;query=Fuzu%C3%AA%20Bar&amp;query_place_id=ChIJA23daMBJxwcRyJ__MnwOXjw" TargetMode="External" Id="rId928" /><Relationship Type="http://schemas.openxmlformats.org/officeDocument/2006/relationships/hyperlink" Target="https://www.google.com/maps/search/?api=1&amp;query=Game%20%26%20Steak&amp;query_place_id=ChIJa6y5bxtLxwcRdE7i7-Gk8lo" TargetMode="External" Id="rId929" /><Relationship Type="http://schemas.openxmlformats.org/officeDocument/2006/relationships/hyperlink" Target="https://www.google.com/maps/search/?api=1&amp;query=Game%20Station%20%7C%20Shopping%20RioMar%20Fortaleza&amp;query_place_id=ChIJqYAh1TNGxwcRmyIPj0gMwpE" TargetMode="External" Id="rId930" /><Relationship Type="http://schemas.openxmlformats.org/officeDocument/2006/relationships/hyperlink" Target="https://www.google.com/maps/search/?api=1&amp;query=Game%20mania&amp;query_place_id=ChIJf7M23upJxwcR2zCGv181EBs" TargetMode="External" Id="rId931" /><Relationship Type="http://schemas.openxmlformats.org/officeDocument/2006/relationships/hyperlink" Target="https://www.google.com/maps/search/?api=1&amp;query=Games%20bar&amp;query_place_id=ChIJsTy8gUxLxwcRCKRfkhIP8zM" TargetMode="External" Id="rId932" /><Relationship Type="http://schemas.openxmlformats.org/officeDocument/2006/relationships/hyperlink" Target="https://www.google.com/maps/search/?api=1&amp;query=Gandaia%20Bar%20%26%20Club&amp;query_place_id=ChIJqzuhQH5JxwcRxmNVkvhqaEU" TargetMode="External" Id="rId933" /><Relationship Type="http://schemas.openxmlformats.org/officeDocument/2006/relationships/hyperlink" Target="https://www.google.com/maps/search/?api=1&amp;query=Geek%20Barra&amp;query_place_id=ChIJ9QktIwBLxwcRxh5o-yafmc4" TargetMode="External" Id="rId934" /><Relationship Type="http://schemas.openxmlformats.org/officeDocument/2006/relationships/hyperlink" Target="https://www.google.com/maps/search/?api=1&amp;query=Geek%20Bunker%20Burger%20%28Parquel%C3%A2ndia%29&amp;query_place_id=ChIJIXxKE9ZJxwcRJJN63tNslYg" TargetMode="External" Id="rId935" /><Relationship Type="http://schemas.openxmlformats.org/officeDocument/2006/relationships/hyperlink" Target="https://www.google.com/maps/search/?api=1&amp;query=Gibiteria%20Fanzine&amp;query_place_id=ChIJK9YInqtJxwcRvHZnQSx0hqI" TargetMode="External" Id="rId936" /><Relationship Type="http://schemas.openxmlformats.org/officeDocument/2006/relationships/hyperlink" Target="https://www.google.com/maps/search/?api=1&amp;query=Go%20Bigger%20Park%20-%20Shopping%20Iguatemi%20Bosque&amp;query_place_id=ChIJVXcKAFpJxwcRUd58mOS5Chc" TargetMode="External" Id="rId937" /><Relationship Type="http://schemas.openxmlformats.org/officeDocument/2006/relationships/hyperlink" Target="https://www.google.com/maps/search/?api=1&amp;query=Go%20Bigger%20Park%20-%20Shopping%20Riomar%20Fortaleza&amp;query_place_id=ChIJv5HSkZNHxwcRylr_AIYwo1E" TargetMode="External" Id="rId938" /><Relationship Type="http://schemas.openxmlformats.org/officeDocument/2006/relationships/hyperlink" Target="https://www.google.com/maps/search/?api=1&amp;query=House%20Garden%20Pub%20em%20fortaleza&amp;query_place_id=ChIJ_x3iYcVJxwcROtpOHRWpQwY" TargetMode="External" Id="rId939" /><Relationship Type="http://schemas.openxmlformats.org/officeDocument/2006/relationships/hyperlink" Target="https://www.google.com/maps/search/?api=1&amp;query=Impacto%20Game%20Store&amp;query_place_id=ChIJrwA8RSpMxwcRgAAzTLpu0fo" TargetMode="External" Id="rId940" /><Relationship Type="http://schemas.openxmlformats.org/officeDocument/2006/relationships/hyperlink" Target="https://www.google.com/maps/search/?api=1&amp;query=InfoRed%20distribuidora%20de%20produtos%20de%20inform%C3%A1tica%2C%20atacadista%20de%20produtos%20gamer%20e%20fornecedor%20de%20eletr%C3%B4nicos&amp;query_place_id=ChIJm9__7XBNxwcRKXldb7eugVw" TargetMode="External" Id="rId941" /><Relationship Type="http://schemas.openxmlformats.org/officeDocument/2006/relationships/hyperlink" Target="https://www.google.com/maps/search/?api=1&amp;query=J%26C%20Variedades&amp;query_place_id=ChIJsaGsnyFJxwcR0z4ffLpjNGc" TargetMode="External" Id="rId942" /><Relationship Type="http://schemas.openxmlformats.org/officeDocument/2006/relationships/hyperlink" Target="https://www.google.com/maps/search/?api=1&amp;query=JRGAMES&amp;query_place_id=ChIJpd6kO-xIxwcRDV3Ucwnw_oc" TargetMode="External" Id="rId943" /><Relationship Type="http://schemas.openxmlformats.org/officeDocument/2006/relationships/hyperlink" Target="https://www.google.com/maps/search/?api=1&amp;query=Kingmaker%20Boardgames&amp;query_place_id=ChIJlTAVLhZJxwcRCuaHGtXrDcs" TargetMode="External" Id="rId944" /><Relationship Type="http://schemas.openxmlformats.org/officeDocument/2006/relationships/hyperlink" Target="https://www.google.com/maps/search/?api=1&amp;query=Loc%20Fest%20-%20Loca%C3%A7%C3%A3o%20de%20brinquedos&amp;query_place_id=ChIJ4ZrqWABNxwcRZpkHkF2e_tE" TargetMode="External" Id="rId945" /><Relationship Type="http://schemas.openxmlformats.org/officeDocument/2006/relationships/hyperlink" Target="https://www.google.com/maps/search/?api=1&amp;query=Loucos%20por%20Games%20-%20Messejana%20-%20PS4%2C%20PS5%2C%20Xbox%2C%20Nintendo%2C%20PC%20Gamer%2C%20Assist%C3%AAncia%20T%C3%A9cnica%20Videogames%20e%20Pc%20Gamer.&amp;query_place_id=ChIJ__-_Hu1PxwcRP9BFqxzYghQ" TargetMode="External" Id="rId946" /><Relationship Type="http://schemas.openxmlformats.org/officeDocument/2006/relationships/hyperlink" Target="https://www.google.com/maps/search/?api=1&amp;query=Loucos%20por%20Games%20-%20North%20Shopping%20Bezerra%20-%20PS4%2C%20PS5%2C%20Xbox%2C%20Nintendo%2C%20PC%20Gamer%2C%20Assist%C3%AAncia%20T%C3%A9cnica%20Videogames%20e%20Pc%20Gamer.&amp;query_place_id=ChIJZaPxBvRJxwcRZDfjrzdCKc8" TargetMode="External" Id="rId947" /><Relationship Type="http://schemas.openxmlformats.org/officeDocument/2006/relationships/hyperlink" Target="https://www.google.com/maps/search/?api=1&amp;query=Loucos%20por%20Games%20-%20North%20Shopping%20Joquei%20-%20PS4%2C%20PS5%2C%20Xbox%2C%20Nintendo%2C%20PC%20Gamer%2C%20Assist%C3%AAncia%20T%C3%A9cnica%20Videogames%20e%20Pc%20Gamer.&amp;query_place_id=ChIJhz6MIwtNxwcRmCh0D8IgkVM" TargetMode="External" Id="rId948" /><Relationship Type="http://schemas.openxmlformats.org/officeDocument/2006/relationships/hyperlink" Target="https://www.google.com/maps/search/?api=1&amp;query=Loucos%20por%20Games%20-%20Riomar%20Kennedy%20-%20PS4%2C%20PS5%2C%20Xbox%2C%20Nintendo%2C%20PC%20Gamer%2C%20Assist%C3%AAncia%20T%C3%A9cnica%20Videogames%20e%20Pc%20Gamer.&amp;query_place_id=ChIJ0y9ONzVJxwcRuceoosBZVJE" TargetMode="External" Id="rId949" /><Relationship Type="http://schemas.openxmlformats.org/officeDocument/2006/relationships/hyperlink" Target="https://www.google.com/maps/search/?api=1&amp;query=Loucos%20por%20Games%20-%20Via%20Sul%20Shopping%20-PS4%2C%20PS5%2C%20Xbox%2C%20Nintendo%2C%20PC%20Gamer%2C%20Assist%C3%AAncia%20T%C3%A9cnica%20Videogames%20e%20Pc%20Gamer.&amp;query_place_id=ChIJf8ySSKpHxwcR0Vki78LwTtM" TargetMode="External" Id="rId950" /><Relationship Type="http://schemas.openxmlformats.org/officeDocument/2006/relationships/hyperlink" Target="https://www.google.com/maps/search/?api=1&amp;query=Lupus%20Bier&amp;query_place_id=ChIJvfzMDUhIxwcREnXd7Xo9uFE" TargetMode="External" Id="rId951" /><Relationship Type="http://schemas.openxmlformats.org/officeDocument/2006/relationships/hyperlink" Target="https://www.google.com/maps/search/?api=1&amp;query=Mans%C3%A3o%20Toretto&amp;query_place_id=ChIJzwRtwSFPxwcRXRop3SGwhLo" TargetMode="External" Id="rId952" /><Relationship Type="http://schemas.openxmlformats.org/officeDocument/2006/relationships/hyperlink" Target="https://www.google.com/maps/search/?api=1&amp;query=Master%20Poker&amp;query_place_id=ChIJjYPfGjJNxwcR-wzaCcZ25VA" TargetMode="External" Id="rId953" /><Relationship Type="http://schemas.openxmlformats.org/officeDocument/2006/relationships/hyperlink" Target="https://www.google.com/maps/search/?api=1&amp;query=Mestre%20Sussa&amp;query_place_id=ChIJ2e6AJgBJxwcRN3zE9-WnEmc" TargetMode="External" Id="rId954" /><Relationship Type="http://schemas.openxmlformats.org/officeDocument/2006/relationships/hyperlink" Target="https://www.google.com/maps/search/?api=1&amp;query=Mezuz%C3%A1&amp;query_place_id=ChIJN-RCGj1FxwcRjMgvUvzIM0A" TargetMode="External" Id="rId955" /><Relationship Type="http://schemas.openxmlformats.org/officeDocument/2006/relationships/hyperlink" Target="https://www.google.com/maps/search/?api=1&amp;query=Nerds%20a%20Bordo&amp;query_place_id=ChIJs03GzbBPxwcRoVDXbnq6vJs" TargetMode="External" Id="rId956" /><Relationship Type="http://schemas.openxmlformats.org/officeDocument/2006/relationships/hyperlink" Target="https://www.google.com/maps/search/?api=1&amp;query=Neuda%20Papelaria%20e%20Variedades&amp;query_place_id=ChIJ4eEA6MFIxwcRUyttEYq0Hq0" TargetMode="External" Id="rId957" /><Relationship Type="http://schemas.openxmlformats.org/officeDocument/2006/relationships/hyperlink" Target="https://www.google.com/maps/search/?api=1&amp;query=Nomads%20Pub%20e%20Food&amp;query_place_id=ChIJdfwwiENJxwcR5ptlmQyTrGE" TargetMode="External" Id="rId958" /><Relationship Type="http://schemas.openxmlformats.org/officeDocument/2006/relationships/hyperlink" Target="https://www.google.com/maps/search/?api=1&amp;query=Piadaria%20%7C%20O%20Melhor%20Show%20De%20Humor%20Em%20Fortaleza&amp;query_place_id=ChIJL4qPsG9IxwcRKaSEJ1sxOjQ" TargetMode="External" Id="rId959" /><Relationship Type="http://schemas.openxmlformats.org/officeDocument/2006/relationships/hyperlink" Target="https://www.google.com/maps/search/?api=1&amp;query=Pirata%20Bar&amp;query_place_id=ChIJNVZ9yppJxwcRlYALJc5T0j4" TargetMode="External" Id="rId960" /><Relationship Type="http://schemas.openxmlformats.org/officeDocument/2006/relationships/hyperlink" Target="https://www.google.com/maps/search/?api=1&amp;query=Poppe%20Games%20%7C%20Loja%20de%20Videogames%20e%20Artigos%20de%20Jogos&amp;query_place_id=ChIJN1CQUH5JxwcR5RJbouX65_Y" TargetMode="External" Id="rId961" /><Relationship Type="http://schemas.openxmlformats.org/officeDocument/2006/relationships/hyperlink" Target="https://www.google.com/maps/search/?api=1&amp;query=Power%20Games%20FILIAL%20-%20W.Soares&amp;query_place_id=ChIJQ16a-_RFxwcRHvNLAXXnKHo" TargetMode="External" Id="rId962" /><Relationship Type="http://schemas.openxmlformats.org/officeDocument/2006/relationships/hyperlink" Target="https://www.google.com/maps/search/?api=1&amp;query=Power%20Games%20Matriz&amp;query_place_id=ChIJvw-FWIlFxwcRSDuLMm65KxI" TargetMode="External" Id="rId963" /><Relationship Type="http://schemas.openxmlformats.org/officeDocument/2006/relationships/hyperlink" Target="https://www.google.com/maps/search/?api=1&amp;query=R.v%20brinquedos&amp;query_place_id=ChIJy9s6rA1JxwcR2ZFE4y9mcpU" TargetMode="External" Id="rId964" /><Relationship Type="http://schemas.openxmlformats.org/officeDocument/2006/relationships/hyperlink" Target="https://www.google.com/maps/search/?api=1&amp;query=RI%20HAPPY%20IGUATEMI%20FORTALEZA&amp;query_place_id=ChIJtUyQw6ZIxwcRFQVmvfG7eMM" TargetMode="External" Id="rId965" /><Relationship Type="http://schemas.openxmlformats.org/officeDocument/2006/relationships/hyperlink" Target="https://www.google.com/maps/search/?api=1&amp;query=RPG%20A%20Queda%20de%20Agatha&amp;query_place_id=ChIJTwniujxHxwcR5sSBECd-9dU" TargetMode="External" Id="rId966" /><Relationship Type="http://schemas.openxmlformats.org/officeDocument/2006/relationships/hyperlink" Target="https://www.google.com/maps/search/?api=1&amp;query=Radar%20Pub&amp;query_place_id=ChIJbw_kz8pJxwcRpkQDVPNJ9Vc" TargetMode="External" Id="rId967" /><Relationship Type="http://schemas.openxmlformats.org/officeDocument/2006/relationships/hyperlink" Target="https://www.google.com/maps/search/?api=1&amp;query=Reboot%20Comic%20Store&amp;query_place_id=ChIJIyD7-BpJxwcRujtPCyXsw3A" TargetMode="External" Id="rId968" /><Relationship Type="http://schemas.openxmlformats.org/officeDocument/2006/relationships/hyperlink" Target="https://www.google.com/maps/search/?api=1&amp;query=Redzone%20Cards%20e%20Games&amp;query_place_id=ChIJg8nBQmtJxwcRNmLMketFjys" TargetMode="External" Id="rId969" /><Relationship Type="http://schemas.openxmlformats.org/officeDocument/2006/relationships/hyperlink" Target="https://www.google.com/maps/search/?api=1&amp;query=Sentinela%20Boardgames&amp;query_place_id=ChIJs8NH6jtPxwcRYsvQ8e4vGiI" TargetMode="External" Id="rId970" /><Relationship Type="http://schemas.openxmlformats.org/officeDocument/2006/relationships/hyperlink" Target="https://www.google.com/maps/search/?api=1&amp;query=Shark%20Games&amp;query_place_id=ChIJnxsnImNIxwcRr4T3wONrZIA" TargetMode="External" Id="rId971" /><Relationship Type="http://schemas.openxmlformats.org/officeDocument/2006/relationships/hyperlink" Target="https://www.google.com/maps/search/?api=1&amp;query=Shark%20Games&amp;query_place_id=ChIJvSrPaZ5JxwcRKAsZMUurQhA" TargetMode="External" Id="rId972" /><Relationship Type="http://schemas.openxmlformats.org/officeDocument/2006/relationships/hyperlink" Target="https://www.google.com/maps/search/?api=1&amp;query=Smart%20Games&amp;query_place_id=ChIJDzdBh7JJxwcRrLtzKCo6J4Y" TargetMode="External" Id="rId973" /><Relationship Type="http://schemas.openxmlformats.org/officeDocument/2006/relationships/hyperlink" Target="https://www.google.com/maps/search/?api=1&amp;query=SpellCard&amp;query_place_id=ChIJ224aM91JxwcRE9nLHao0irc" TargetMode="External" Id="rId974" /><Relationship Type="http://schemas.openxmlformats.org/officeDocument/2006/relationships/hyperlink" Target="https://www.google.com/maps/search/?api=1&amp;query=Studio%20Games%20Iguatemi%20Bosque%20Fortaleza&amp;query_place_id=ChIJs9icn11JxwcR2ZrJkI7U5NY" TargetMode="External" Id="rId975" /><Relationship Type="http://schemas.openxmlformats.org/officeDocument/2006/relationships/hyperlink" Target="https://www.google.com/maps/search/?api=1&amp;query=Teresa%20%26%20Jorge&amp;query_place_id=ChIJa167XkRIxwcRFu9G7Nd2xuM" TargetMode="External" Id="rId976" /><Relationship Type="http://schemas.openxmlformats.org/officeDocument/2006/relationships/hyperlink" Target="https://www.google.com/maps/search/?api=1&amp;query=The%20Bar%20Pub&amp;query_place_id=ChIJea5nFhBMxwcRXf17ok7s7bI" TargetMode="External" Id="rId977" /><Relationship Type="http://schemas.openxmlformats.org/officeDocument/2006/relationships/hyperlink" Target="https://www.google.com/maps/search/?api=1&amp;query=Turatti%20-%20Gastrobar%20%26%20Parrilla&amp;query_place_id=ChIJjTrTRHlIxwcRTHfNOCvZF5s" TargetMode="External" Id="rId978" /><Relationship Type="http://schemas.openxmlformats.org/officeDocument/2006/relationships/hyperlink" Target="https://www.google.com/maps/search/?api=1&amp;query=Upar%20Computadores%20%7C%20PCs%20de%20Alta%20Performance%20%26%20Exclusividades&amp;query_place_id=ChIJq5bsnkRNxwcR4RDMjUeQ5aw" TargetMode="External" Id="rId979" /><Relationship Type="http://schemas.openxmlformats.org/officeDocument/2006/relationships/hyperlink" Target="https://www.google.com/maps/search/?api=1&amp;query=Vibe%20085&amp;query_place_id=ChIJceg5KdRJxwcRBFwPu0TYhnQ" TargetMode="External" Id="rId980" /><Relationship Type="http://schemas.openxmlformats.org/officeDocument/2006/relationships/hyperlink" Target="https://www.google.com/maps/search/?api=1&amp;query=Z%C3%BAque%20Drink%20Bar&amp;query_place_id=ChIJM_ctIM1JxwcRcOGW8qOfTtY" TargetMode="External" Id="rId981" /><Relationship Type="http://schemas.openxmlformats.org/officeDocument/2006/relationships/hyperlink" Target="https://www.google.com/maps/search/?api=1&amp;query=jogo%20iracema&amp;query_place_id=ChIJnaxY_-VJxwcRIFqOxIx5a74" TargetMode="External" Id="rId982" /><Relationship Type="http://schemas.openxmlformats.org/officeDocument/2006/relationships/hyperlink" Target="https://www.google.com/maps/search/?api=1&amp;query=Up%20Servi%C3%A7os%20E%20Games&amp;query_place_id=ChIJ541nyd1JxwcRNzn2zaGyLWI" TargetMode="External" Id="rId983" /><Relationship Type="http://schemas.openxmlformats.org/officeDocument/2006/relationships/hyperlink" Target="https://www.google.com/maps/search/?api=1&amp;query=Hack%20Cards%26Games&amp;query_place_id=ChIJtVrjGWdNxwcRpE1jKUW2pyw" TargetMode="External" Id="rId984" /><Relationship Type="http://schemas.openxmlformats.org/officeDocument/2006/relationships/hyperlink" Target="https://www.google.com/maps/search/?api=1&amp;query=60%20Minutos%20Escape%20Game%20-%20P%C3%ADer%2021&amp;query_place_id=ChIJufQc34syWpMRI_AHegkG710" TargetMode="External" Id="rId985" /><Relationship Type="http://schemas.openxmlformats.org/officeDocument/2006/relationships/hyperlink" Target="https://www.google.com/maps/search/?api=1&amp;query=Aben%C3%A7oado%20Bar%20-%20Asa%20Norte&amp;query_place_id=ChIJKdc2sYI7WpMRJUTFTu557nQ" TargetMode="External" Id="rId986" /><Relationship Type="http://schemas.openxmlformats.org/officeDocument/2006/relationships/hyperlink" Target="https://www.google.com/maps/search/?api=1&amp;query=Allkasu%E2%80%99s&amp;query_place_id=ChIJPd_-_gczWpMRVQe72rvmckk" TargetMode="External" Id="rId987" /><Relationship Type="http://schemas.openxmlformats.org/officeDocument/2006/relationships/hyperlink" Target="https://www.google.com/maps/search/?api=1&amp;query=Ambar&amp;query_place_id=ChIJa1itPgA7WpMR1OICzGUoO98" TargetMode="External" Id="rId988" /><Relationship Type="http://schemas.openxmlformats.org/officeDocument/2006/relationships/hyperlink" Target="https://www.google.com/maps/search/?api=1&amp;query=Arcane%20Arena&amp;query_place_id=ChIJ7bh3K2gzWpMRJaIgDmlUIyw" TargetMode="External" Id="rId989" /><Relationship Type="http://schemas.openxmlformats.org/officeDocument/2006/relationships/hyperlink" Target="https://www.google.com/maps/search/?api=1&amp;query=BEM%20ALUGU%C3%89IS%20-%20Video%20Games%2C%20Boardgames%20e%20eletr%C3%B4nicos&amp;query_place_id=ChIJK47VO3wzWpMRn9vTU1jaads" TargetMode="External" Id="rId990" /><Relationship Type="http://schemas.openxmlformats.org/officeDocument/2006/relationships/hyperlink" Target="https://www.google.com/maps/search/?api=1&amp;query=Bar%20Responsa&amp;query_place_id=ChIJuXujxmc7WpMRkdodghUQ-8w" TargetMode="External" Id="rId991" /><Relationship Type="http://schemas.openxmlformats.org/officeDocument/2006/relationships/hyperlink" Target="https://www.google.com/maps/search/?api=1&amp;query=Bota%20na%20Mesa&amp;query_place_id=ChIJVUxc-QszWpMRaaJf7BRvWjo" TargetMode="External" Id="rId992" /><Relationship Type="http://schemas.openxmlformats.org/officeDocument/2006/relationships/hyperlink" Target="https://www.google.com/maps/search/?api=1&amp;query=Boteco%20Sabi%C3%A1&amp;query_place_id=ChIJkWsin4o7WpMRXoxagkRfwBY" TargetMode="External" Id="rId993" /><Relationship Type="http://schemas.openxmlformats.org/officeDocument/2006/relationships/hyperlink" Target="https://www.google.com/maps/search/?api=1&amp;query=Carcassonne%20Pub&amp;query_place_id=ChIJ534KOao7WpMRZ6NS_UuEtY4" TargetMode="External" Id="rId994" /><Relationship Type="http://schemas.openxmlformats.org/officeDocument/2006/relationships/hyperlink" Target="https://www.google.com/maps/search/?api=1&amp;query=Dark%20Ice%20Empire&amp;query_place_id=ChIJt5vEfAg7WpMR7aQc3PsRum0" TargetMode="External" Id="rId995" /><Relationship Type="http://schemas.openxmlformats.org/officeDocument/2006/relationships/hyperlink" Target="https://www.google.com/maps/search/?api=1&amp;query=Deboche%21%20Bar&amp;query_place_id=ChIJt50cXnQ7WpMRjlTp98nT91o" TargetMode="External" Id="rId996" /><Relationship Type="http://schemas.openxmlformats.org/officeDocument/2006/relationships/hyperlink" Target="https://www.google.com/maps/search/?api=1&amp;query=Deck%20Bar%20Bras%C3%ADlia&amp;query_place_id=ChIJi5I3UykyWpMRHg2HCU7nIxc" TargetMode="External" Id="rId997" /><Relationship Type="http://schemas.openxmlformats.org/officeDocument/2006/relationships/hyperlink" Target="https://www.google.com/maps/search/?api=1&amp;query=Eskenta%20Bar&amp;query_place_id=ChIJFbO-RLA7WpMR2B5tBP4ZbIE" TargetMode="External" Id="rId998" /><Relationship Type="http://schemas.openxmlformats.org/officeDocument/2006/relationships/hyperlink" Target="https://www.google.com/maps/search/?api=1&amp;query=FORTAL%C3%9ADICA%20-%20BURGERS%20%26%20JOGOS&amp;query_place_id=ChIJyXjE650xWpMRJL-J6QbGkt4" TargetMode="External" Id="rId999" /><Relationship Type="http://schemas.openxmlformats.org/officeDocument/2006/relationships/hyperlink" Target="https://www.google.com/maps/search/?api=1&amp;query=Fase%20de%20Manuten%C3%A7%C3%A3o&amp;query_place_id=ChIJFWjO2AIzWpMRj9SrTwVLlQY" TargetMode="External" Id="rId1000" /><Relationship Type="http://schemas.openxmlformats.org/officeDocument/2006/relationships/hyperlink" Target="https://www.google.com/maps/search/?api=1&amp;query=Five%20Sport%20Bar&amp;query_place_id=ChIJZeZwdS0zWpMR5GY3-FLKTzI" TargetMode="External" Id="rId1001" /><Relationship Type="http://schemas.openxmlformats.org/officeDocument/2006/relationships/hyperlink" Target="https://www.google.com/maps/search/?api=1&amp;query=Game%20on%20Board&amp;query_place_id=ChIJAX_vMigzWpMReKd3r4qK7nk" TargetMode="External" Id="rId1002" /><Relationship Type="http://schemas.openxmlformats.org/officeDocument/2006/relationships/hyperlink" Target="https://www.google.com/maps/search/?api=1&amp;query=Games&amp;query_place_id=ChIJm4MGYtgxWpMRnX8U36Dff8A" TargetMode="External" Id="rId1003" /><Relationship Type="http://schemas.openxmlformats.org/officeDocument/2006/relationships/hyperlink" Target="https://www.google.com/maps/search/?api=1&amp;query=Gruta%20BSB&amp;query_place_id=ChIJ172cu2U7WpMR-GxnGmUHCkc" TargetMode="External" Id="rId1004" /><Relationship Type="http://schemas.openxmlformats.org/officeDocument/2006/relationships/hyperlink" Target="https://www.google.com/maps/search/?api=1&amp;query=IVV%20Swinebar%20-%20O%20melhor%20Bar%20de%20Vinhos%20de%20Bras%C3%ADlia&amp;query_place_id=ChIJVVUlNYg5WpMRTj-SOZnBqjo" TargetMode="External" Id="rId1005" /><Relationship Type="http://schemas.openxmlformats.org/officeDocument/2006/relationships/hyperlink" Target="https://www.google.com/maps/search/?api=1&amp;query=Inside%20Games&amp;query_place_id=ChIJdUv4La46WpMRnBvNknmOqWo" TargetMode="External" Id="rId1006" /><Relationship Type="http://schemas.openxmlformats.org/officeDocument/2006/relationships/hyperlink" Target="https://www.google.com/maps/search/?api=1&amp;query=Javali%20jogos&amp;query_place_id=ChIJvV5UnYQzWpMRnrmkZtF6lB4" TargetMode="External" Id="rId1007" /><Relationship Type="http://schemas.openxmlformats.org/officeDocument/2006/relationships/hyperlink" Target="https://www.google.com/maps/search/?api=1&amp;query=Loja%20de%20Jogos%20-%20Asgard&amp;query_place_id=ChIJzdFNP3AyWpMRH2P6HEuhE-I" TargetMode="External" Id="rId1008" /><Relationship Type="http://schemas.openxmlformats.org/officeDocument/2006/relationships/hyperlink" Target="https://www.google.com/maps/search/?api=1&amp;query=Loja%20de%20Jogos%20-%20Fortaleza%20Jogos&amp;query_place_id=ChIJU6yV-SgxWpMRFNG15fHv0H0" TargetMode="External" Id="rId1009" /><Relationship Type="http://schemas.openxmlformats.org/officeDocument/2006/relationships/hyperlink" Target="https://www.google.com/maps/search/?api=1&amp;query=London%20Street&amp;query_place_id=ChIJbVvyIio6WpMRnBnUmy1pzn0" TargetMode="External" Id="rId1010" /><Relationship Type="http://schemas.openxmlformats.org/officeDocument/2006/relationships/hyperlink" Target="https://www.google.com/maps/search/?api=1&amp;query=Loop%20Gamelab&amp;query_place_id=ChIJB4pD0AEzWpMRFwENrAJmWwQ" TargetMode="External" Id="rId1011" /><Relationship Type="http://schemas.openxmlformats.org/officeDocument/2006/relationships/hyperlink" Target="https://www.google.com/maps/search/?api=1&amp;query=Luderion%20Jogos&amp;query_place_id=ChIJjx1cbu_NW5MRoO9MdnYOVOs" TargetMode="External" Id="rId1012" /><Relationship Type="http://schemas.openxmlformats.org/officeDocument/2006/relationships/hyperlink" Target="https://www.google.com/maps/search/?api=1&amp;query=Ludocando&amp;query_place_id=ChIJRcG14YMlWpMR9go04dPbNic" TargetMode="External" Id="rId1013" /><Relationship Type="http://schemas.openxmlformats.org/officeDocument/2006/relationships/hyperlink" Target="https://www.google.com/maps/search/?api=1&amp;query=Ludoteca%20BGC&amp;query_place_id=ChIJ15nLgwAwWpMRY1whwD29ZSo" TargetMode="External" Id="rId1014" /><Relationship Type="http://schemas.openxmlformats.org/officeDocument/2006/relationships/hyperlink" Target="https://www.google.com/maps/search/?api=1&amp;query=Master%20Gaming%20Point&amp;query_place_id=ChIJobf5VwA7WpMR0thbS61BFqc" TargetMode="External" Id="rId1015" /><Relationship Type="http://schemas.openxmlformats.org/officeDocument/2006/relationships/hyperlink" Target="https://www.google.com/maps/search/?api=1&amp;query=Mercado%20RPG&amp;query_place_id=ChIJxe7p5Eo7WpMRd0sHLko77kU" TargetMode="External" Id="rId1016" /><Relationship Type="http://schemas.openxmlformats.org/officeDocument/2006/relationships/hyperlink" Target="https://www.google.com/maps/search/?api=1&amp;query=O%20Duque&amp;query_place_id=ChIJOzSifSlBWpMRU7vav8j_rqU" TargetMode="External" Id="rId1017" /><Relationship Type="http://schemas.openxmlformats.org/officeDocument/2006/relationships/hyperlink" Target="https://www.google.com/maps/search/?api=1&amp;query=Ordin%C3%A1rio%20Bar%20e%20M%C3%BAsica&amp;query_place_id=ChIJz3z3lJA7WpMRaC_nQ3vL700" TargetMode="External" Id="rId1018" /><Relationship Type="http://schemas.openxmlformats.org/officeDocument/2006/relationships/hyperlink" Target="https://www.google.com/maps/search/?api=1&amp;query=Orgutal%20Casa%20de%20Jogos&amp;query_place_id=ChIJye7AnK07WpMRC94S9hM95Y4" TargetMode="External" Id="rId1019" /><Relationship Type="http://schemas.openxmlformats.org/officeDocument/2006/relationships/hyperlink" Target="https://www.google.com/maps/search/?api=1&amp;query=Quadrado%20ao%20Cubo&amp;query_place_id=ChIJgZzxubI7WpMRXg4ZeAainQc" TargetMode="External" Id="rId1020" /><Relationship Type="http://schemas.openxmlformats.org/officeDocument/2006/relationships/hyperlink" Target="https://www.google.com/maps/search/?api=1&amp;query=Ref%C3%BAgio%20L%C3%BAdico&amp;query_place_id=ChIJq2VyFsQzWpMRUAhbckp2F98" TargetMode="External" Id="rId1021" /><Relationship Type="http://schemas.openxmlformats.org/officeDocument/2006/relationships/hyperlink" Target="https://www.google.com/maps/search/?api=1&amp;query=Rep%C3%BAblica%20Ludovico&amp;query_place_id=ChIJbY1Qc90zWpMRLdrHxi9QMko" TargetMode="External" Id="rId1022" /><Relationship Type="http://schemas.openxmlformats.org/officeDocument/2006/relationships/hyperlink" Target="https://www.google.com/maps/search/?api=1&amp;query=Smash%20n%27%20Play&amp;query_place_id=ChIJ5RFkSY47WpMRCG6WKccnLKU" TargetMode="External" Id="rId1023" /><Relationship Type="http://schemas.openxmlformats.org/officeDocument/2006/relationships/hyperlink" Target="https://www.google.com/maps/search/?api=1&amp;query=TAVERNA%20DOS%20GAMES%20-%20Loja%20de%20Video%20Game&amp;query_place_id=ChIJ85OcFlgwWpMRk4N7_rQjh5A" TargetMode="External" Id="rId1024" /><Relationship Type="http://schemas.openxmlformats.org/officeDocument/2006/relationships/hyperlink" Target="https://www.google.com/maps/search/?api=1&amp;query=Tem%20Mesa%20-%20Pizza%20%26%20Luderia&amp;query_place_id=ChIJa0CP91MzWpMRz6oEQwlR2TA" TargetMode="External" Id="rId1025" /><Relationship Type="http://schemas.openxmlformats.org/officeDocument/2006/relationships/hyperlink" Target="https://www.google.com/maps/search/?api=1&amp;query=Toca%20do%20Tabuleiro&amp;query_place_id=ChIJk7PCx-07WpMRpKWoFqgjTgs" TargetMode="External" Id="rId1026" /><Relationship Type="http://schemas.openxmlformats.org/officeDocument/2006/relationships/hyperlink" Target="https://www.google.com/maps/search/?api=1&amp;query=Utopia%20Games%20%26%20Food&amp;query_place_id=ChIJN8BZeb85WpMRgVKT05caxB4" TargetMode="External" Id="rId1027" /><Relationship Type="http://schemas.openxmlformats.org/officeDocument/2006/relationships/hyperlink" Target="https://www.google.com/maps/search/?api=1&amp;query=Vikings%20Pub%20Bras%C3%ADlia&amp;query_place_id=ChIJI7bCDpQ7WpMRmZwtGVIS-F0" TargetMode="External" Id="rId1028" /><Relationship Type="http://schemas.openxmlformats.org/officeDocument/2006/relationships/hyperlink" Target="https://www.google.com/maps/search/?api=1&amp;query=Villa%20Carioca&amp;query_place_id=ChIJKze4kT0yWpMRzQ0IfeASwaw" TargetMode="External" Id="rId1029" /><Relationship Type="http://schemas.openxmlformats.org/officeDocument/2006/relationships/hyperlink" Target="https://www.google.com/maps/search/?api=1&amp;query=War%20com%20Poesia&amp;query_place_id=ChIJB1ry_y87WpMRw2f81Ze-5ls" TargetMode="External" Id="rId1030" /><Relationship Type="http://schemas.openxmlformats.org/officeDocument/2006/relationships/hyperlink" Target="https://www.google.com/maps/search/?api=1&amp;query=game%20food&amp;query_place_id=ChIJOUXU1akzWpMRC7rrq4o9GZc" TargetMode="External" Id="rId1031" /><Relationship Type="http://schemas.openxmlformats.org/officeDocument/2006/relationships/hyperlink" Target="https://www.google.com/maps/search/?api=1&amp;query=Mesa%20%26%20Dados%20RPG&amp;query_place_id=ChIJCQjbhkDWASUR619JgvbzdFs" TargetMode="External" Id="rId1032" /><Relationship Type="http://schemas.openxmlformats.org/officeDocument/2006/relationships/hyperlink" Target="https://www.google.com/maps/search/?api=1&amp;query=A%20Rainha%20dos%20Dados&amp;query_place_id=ChIJ7XGi3xIXuAARiTdzjnTSM8Q" TargetMode="External" Id="rId1033" /><Relationship Type="http://schemas.openxmlformats.org/officeDocument/2006/relationships/hyperlink" Target="https://www.google.com/maps/search/?api=1&amp;query=Aventura%20Kids%20Vila%20Velha&amp;query_place_id=ChIJ7Sv8cqUXuAARMny_wRPKWhU" TargetMode="External" Id="rId1034" /><Relationship Type="http://schemas.openxmlformats.org/officeDocument/2006/relationships/hyperlink" Target="https://www.google.com/maps/search/?api=1&amp;query=Caf%C3%A9%20Geek%20Cafeteria%20e%20Ludoteca&amp;query_place_id=ChIJfyav9YI9uAARjwbBqcRm2_k" TargetMode="External" Id="rId1035" /><Relationship Type="http://schemas.openxmlformats.org/officeDocument/2006/relationships/hyperlink" Target="https://www.google.com/maps/search/?api=1&amp;query=Vila%20Geek&amp;query_place_id=ChIJqZUpBqMVuAAR6sqHOUcnhvM" TargetMode="External" Id="rId1036" /><Relationship Type="http://schemas.openxmlformats.org/officeDocument/2006/relationships/hyperlink" Target="https://www.google.com/maps/search/?api=1&amp;query=Anti-Her%C3%B3is%20Cybercaf%C3%A9%20e%20Lan%20house&amp;query_place_id=ChIJx-vbBdg9uAARWjmMZo-VINc" TargetMode="External" Id="rId1037" /><Relationship Type="http://schemas.openxmlformats.org/officeDocument/2006/relationships/hyperlink" Target="https://www.google.com/maps/search/?api=1&amp;query=Bar%20do%20Neyber&amp;query_place_id=ChIJCY91HGM9uAARECrUoDabkFQ" TargetMode="External" Id="rId1038" /><Relationship Type="http://schemas.openxmlformats.org/officeDocument/2006/relationships/hyperlink" Target="https://www.google.com/maps/search/?api=1&amp;query=Brizz&amp;query_place_id=ChIJX8AjE9MXuAARraNMq0LyWBo" TargetMode="External" Id="rId1039" /><Relationship Type="http://schemas.openxmlformats.org/officeDocument/2006/relationships/hyperlink" Target="https://www.google.com/maps/search/?api=1&amp;query=Cafezinho%20Games%20%28somente%20jogos%20de%20tabuleiro%29&amp;query_place_id=ChIJJSXMmvYXuAAR1_m2nqHu9zw" TargetMode="External" Id="rId1040" /><Relationship Type="http://schemas.openxmlformats.org/officeDocument/2006/relationships/hyperlink" Target="https://www.google.com/maps/search/?api=1&amp;query=Casa%20L%C3%BAdica%20%7C%20Loja%20de%20Brinquedos%20Educativos%20em%20Vit%C3%B3ria&amp;query_place_id=ChIJb-fajK4ZuAARk8mlcefRJo8" TargetMode="External" Id="rId1041" /><Relationship Type="http://schemas.openxmlformats.org/officeDocument/2006/relationships/hyperlink" Target="https://www.google.com/maps/search/?api=1&amp;query=Casa%20Santa%20Clara&amp;query_place_id=ChIJs1mLEhwYuAARLMxt9ng_Oqk" TargetMode="External" Id="rId1042" /><Relationship Type="http://schemas.openxmlformats.org/officeDocument/2006/relationships/hyperlink" Target="https://www.google.com/maps/search/?api=1&amp;query=Cear%C3%A1%20Bar&amp;query_place_id=ChIJu2kflnA9uAARY6aEDfbxSxA" TargetMode="External" Id="rId1043" /><Relationship Type="http://schemas.openxmlformats.org/officeDocument/2006/relationships/hyperlink" Target="https://www.google.com/maps/search/?api=1&amp;query=Centro%20do%20Com%C3%A9rcio%20de%20Caf%C3%A9%20de%20Vit%C3%B3ria&amp;query_place_id=ChIJe9qE7c4XuAAR3bEbHvHhR7o" TargetMode="External" Id="rId1044" /><Relationship Type="http://schemas.openxmlformats.org/officeDocument/2006/relationships/hyperlink" Target="https://www.google.com/maps/search/?api=1&amp;query=Di%20DomDom%20Botequim&amp;query_place_id=ChIJBfOSr-0XuAAR3EM-0LoG9OA" TargetMode="External" Id="rId1045" /><Relationship Type="http://schemas.openxmlformats.org/officeDocument/2006/relationships/hyperlink" Target="https://www.google.com/maps/search/?api=1&amp;query=Divino%20Botequim&amp;query_place_id=ChIJK-KwI_QXuAARh6EVVuDf3_8" TargetMode="External" Id="rId1046" /><Relationship Type="http://schemas.openxmlformats.org/officeDocument/2006/relationships/hyperlink" Target="https://www.google.com/maps/search/?api=1&amp;query=Espa%C3%A7o%20brincar&amp;query_place_id=ChIJP2CYyeE9uAARml4aA07Xs_M" TargetMode="External" Id="rId1047" /><Relationship Type="http://schemas.openxmlformats.org/officeDocument/2006/relationships/hyperlink" Target="https://www.google.com/maps/search/?api=1&amp;query=Game%20Point%20-%20Shopping%20Vit%C3%B3ria&amp;query_place_id=ChIJ8UAbVQAXuAAR0qU-Q5RO4OU" TargetMode="External" Id="rId1048" /><Relationship Type="http://schemas.openxmlformats.org/officeDocument/2006/relationships/hyperlink" Target="https://www.google.com/maps/search/?api=1&amp;query=Ilha%20Kids%20Cerimonial&amp;query_place_id=ChIJ3dMuwxEYuAAReJwMiszmqBg" TargetMode="External" Id="rId1049" /><Relationship Type="http://schemas.openxmlformats.org/officeDocument/2006/relationships/hyperlink" Target="https://www.google.com/maps/search/?api=1&amp;query=Jardim%20dos%20Brinquedos&amp;query_place_id=ChIJBfbHGBAXuAARabgxg4BssgQ" TargetMode="External" Id="rId1050" /><Relationship Type="http://schemas.openxmlformats.org/officeDocument/2006/relationships/hyperlink" Target="https://www.google.com/maps/search/?api=1&amp;query=Jardim%20dos%20Brinquedos&amp;query_place_id=ChIJGwVljPkXuAARP7bicxRAsY0" TargetMode="External" Id="rId1051" /><Relationship Type="http://schemas.openxmlformats.org/officeDocument/2006/relationships/hyperlink" Target="https://www.google.com/maps/search/?api=1&amp;query=Kalunga%20-%20Vit%C3%B3ria&amp;query_place_id=ChIJI4n9c7gXuAARZJf6Au4DxZo" TargetMode="External" Id="rId1052" /><Relationship Type="http://schemas.openxmlformats.org/officeDocument/2006/relationships/hyperlink" Target="https://www.google.com/maps/search/?api=1&amp;query=LOS%20FEIM&amp;query_place_id=ChIJtc4YN_sXuAARte3zvMSx6_A" TargetMode="External" Id="rId1053" /><Relationship Type="http://schemas.openxmlformats.org/officeDocument/2006/relationships/hyperlink" Target="https://www.google.com/maps/search/?api=1&amp;query=La%20Dolina%20-%20Restaurante%20Argentino%20Vit%C3%B3ria&amp;query_place_id=ChIJWwwVphAYuAARpbFNtMj5MqA" TargetMode="External" Id="rId1054" /><Relationship Type="http://schemas.openxmlformats.org/officeDocument/2006/relationships/hyperlink" Target="https://www.google.com/maps/search/?api=1&amp;query=Level%201%20Games&amp;query_place_id=ChIJm7OxcRAXuAAREcnuTC-9PtQ" TargetMode="External" Id="rId1055" /><Relationship Type="http://schemas.openxmlformats.org/officeDocument/2006/relationships/hyperlink" Target="https://www.google.com/maps/search/?api=1&amp;query=L%C3%AA%20Fiesta%20Brinquedos%20%2C%20Inflaveis%20e%20Recrea%C3%A7ao&amp;query_place_id=ChIJEfNOc4UZuAARnwoxzE7NVto" TargetMode="External" Id="rId1056" /><Relationship Type="http://schemas.openxmlformats.org/officeDocument/2006/relationships/hyperlink" Target="https://www.google.com/maps/search/?api=1&amp;query=MR%20Games&amp;query_place_id=ChIJ9_R9fMQXuAAROpd9sDcyE9k" TargetMode="External" Id="rId1057" /><Relationship Type="http://schemas.openxmlformats.org/officeDocument/2006/relationships/hyperlink" Target="https://www.google.com/maps/search/?api=1&amp;query=Machado%20Games&amp;query_place_id=ChIJ7_r9xnMZuAARN1VAw1KnCcI" TargetMode="External" Id="rId1058" /><Relationship Type="http://schemas.openxmlformats.org/officeDocument/2006/relationships/hyperlink" Target="https://www.google.com/maps/search/?api=1&amp;query=Marina%20Presentes&amp;query_place_id=ChIJtwmvCcMXuAARJ_wLc4DM6IY" TargetMode="External" Id="rId1059" /><Relationship Type="http://schemas.openxmlformats.org/officeDocument/2006/relationships/hyperlink" Target="https://www.google.com/maps/search/?api=1&amp;query=Mario%20Games%20e%20Celulares&amp;query_place_id=ChIJ9_R9fMQXuAARxW6KKJ-e1AU" TargetMode="External" Id="rId1060" /><Relationship Type="http://schemas.openxmlformats.org/officeDocument/2006/relationships/hyperlink" Target="https://www.google.com/maps/search/?api=1&amp;query=Marketplace%20Imports%20%28Mp%20Imports%29&amp;query_place_id=ChIJkfiNabA9uAARmmUoUR2X6Rk" TargetMode="External" Id="rId1061" /><Relationship Type="http://schemas.openxmlformats.org/officeDocument/2006/relationships/hyperlink" Target="https://www.google.com/maps/search/?api=1&amp;query=Megamente%20Jogos%20e%20Brinquedos%20Educativos&amp;query_place_id=ChIJjXHndTsXuAARJ4EYkNCPOD8" TargetMode="External" Id="rId1062" /><Relationship Type="http://schemas.openxmlformats.org/officeDocument/2006/relationships/hyperlink" Target="https://www.google.com/maps/search/?api=1&amp;query=Mistura%27s%20Bar&amp;query_place_id=ChIJebdtaBEYuAARnYPV_a2bTAg" TargetMode="External" Id="rId1063" /><Relationship Type="http://schemas.openxmlformats.org/officeDocument/2006/relationships/hyperlink" Target="https://www.google.com/maps/search/?api=1&amp;query=Mito%20Games%20LTDA&amp;query_place_id=ChIJI00DNeIXuAAR6zsaUxQnV5s" TargetMode="External" Id="rId1064" /><Relationship Type="http://schemas.openxmlformats.org/officeDocument/2006/relationships/hyperlink" Target="https://www.google.com/maps/search/?api=1&amp;query=Mundo%20Geek%20Vitoria&amp;query_place_id=ChIJr_hM6WQXuAARt-tsDdE1B7U" TargetMode="External" Id="rId1065" /><Relationship Type="http://schemas.openxmlformats.org/officeDocument/2006/relationships/hyperlink" Target="https://www.google.com/maps/search/?api=1&amp;query=Na%20Brinca&amp;query_place_id=ChIJux41d-0XuAARkgK2rHhtX5Y" TargetMode="External" Id="rId1066" /><Relationship Type="http://schemas.openxmlformats.org/officeDocument/2006/relationships/hyperlink" Target="https://www.google.com/maps/search/?api=1&amp;query=Pal%C3%A1cio%20dos%20Brinquedos&amp;query_place_id=ChIJd50u8ZcXuAAR8XOv3fVgCr8" TargetMode="External" Id="rId1067" /><Relationship Type="http://schemas.openxmlformats.org/officeDocument/2006/relationships/hyperlink" Target="https://www.google.com/maps/search/?api=1&amp;query=Power%20Games&amp;query_place_id=ChIJwdTqoR8YuAARAAa5RuP5_dM" TargetMode="External" Id="rId1068" /><Relationship Type="http://schemas.openxmlformats.org/officeDocument/2006/relationships/hyperlink" Target="https://www.google.com/maps/search/?api=1&amp;query=Pra%20Brincar%20Brinquedoteca&amp;query_place_id=ChIJRW0tKfAXuAARxELYUzaZNSg" TargetMode="External" Id="rId1069" /><Relationship Type="http://schemas.openxmlformats.org/officeDocument/2006/relationships/hyperlink" Target="https://www.google.com/maps/search/?api=1&amp;query=Quero%20Quero%20Brinquedos&amp;query_place_id=ChIJu1ycbBwYuAAR4VoapgwGSBY" TargetMode="External" Id="rId1070" /><Relationship Type="http://schemas.openxmlformats.org/officeDocument/2006/relationships/hyperlink" Target="https://www.google.com/maps/search/?api=1&amp;query=Radical%20Kids&amp;query_place_id=ChIJE9WkF7kXuAARoy_5zF3Wves" TargetMode="External" Id="rId1071" /><Relationship Type="http://schemas.openxmlformats.org/officeDocument/2006/relationships/hyperlink" Target="https://www.google.com/maps/search/?api=1&amp;query=Recanto%20Gastrobar&amp;query_place_id=ChIJm40OVMUXuAARB7Z_w_teJvk" TargetMode="External" Id="rId1072" /><Relationship Type="http://schemas.openxmlformats.org/officeDocument/2006/relationships/hyperlink" Target="https://www.google.com/maps/search/?api=1&amp;query=Sabor%20da%20Cacha%C3%A7a&amp;query_place_id=ChIJPZpkAPUXuAARLwMHgUMEB1k" TargetMode="External" Id="rId1073" /><Relationship Type="http://schemas.openxmlformats.org/officeDocument/2006/relationships/hyperlink" Target="https://www.google.com/maps/search/?api=1&amp;query=Sonho%20de%20Brincar%20-%20Brinquedoteca&amp;query_place_id=ChIJu0jcwX09uAARPf5TuhkqM-4" TargetMode="External" Id="rId1074" /><Relationship Type="http://schemas.openxmlformats.org/officeDocument/2006/relationships/hyperlink" Target="https://www.google.com/maps/search/?api=1&amp;query=Superkids%20Brinquedos&amp;query_place_id=ChIJf2QubrgXuAARQgoocE_Vf-c" TargetMode="External" Id="rId1075" /><Relationship Type="http://schemas.openxmlformats.org/officeDocument/2006/relationships/hyperlink" Target="https://www.google.com/maps/search/?api=1&amp;query=Taberna%20Geek%20%E2%80%93%20Card%20Games%2C%20TCG%20e%20Eventos%20em%20Vit%C3%B3ria&amp;query_place_id=ChIJP-rZBxoYuAARoABHZZgnnY8" TargetMode="External" Id="rId1076" /><Relationship Type="http://schemas.openxmlformats.org/officeDocument/2006/relationships/hyperlink" Target="https://www.google.com/maps/search/?api=1&amp;query=Take%20Kids&amp;query_place_id=ChIJq6qqc7gXuAARk5_TNS69xkk" TargetMode="External" Id="rId1077" /><Relationship Type="http://schemas.openxmlformats.org/officeDocument/2006/relationships/hyperlink" Target="https://www.google.com/maps/search/?api=1&amp;query=Taverna%20dos%20Jogos&amp;query_place_id=ChIJKTRza_0ZuAAR4hrMAsvsb2I" TargetMode="External" Id="rId1078" /><Relationship Type="http://schemas.openxmlformats.org/officeDocument/2006/relationships/hyperlink" Target="https://www.google.com/maps/search/?api=1&amp;query=Tecmania%20Vit%C3%B3ria&amp;query_place_id=ChIJ2REefzUXuAAR4zpTvPrWZhw" TargetMode="External" Id="rId1079" /><Relationship Type="http://schemas.openxmlformats.org/officeDocument/2006/relationships/hyperlink" Target="https://www.google.com/maps/search/?api=1&amp;query=Vem%20Brincar%20Brinquedoteca&amp;query_place_id=ChIJffwleigXuAAR-LDVO9VgcnY" TargetMode="External" Id="rId1080" /><Relationship Type="http://schemas.openxmlformats.org/officeDocument/2006/relationships/hyperlink" Target="https://www.google.com/maps/search/?api=1&amp;query=Vila%20Geek%20Vit%C3%B3ria&amp;query_place_id=ChIJbbYt8cwZuAAR2YTmcGXhsRw" TargetMode="External" Id="rId1081" /><Relationship Type="http://schemas.openxmlformats.org/officeDocument/2006/relationships/hyperlink" Target="https://www.google.com/maps/search/?api=1&amp;query=Vit%C3%B3ria%20Games&amp;query_place_id=ChIJ2Rw1_KI9uAARzFm94YVkElk" TargetMode="External" Id="rId1082" /><Relationship Type="http://schemas.openxmlformats.org/officeDocument/2006/relationships/hyperlink" Target="https://www.google.com/maps/search/?api=1&amp;query=Z%C3%A9%20Capixaba%20%7C%20Bar%20e%20Petiscaria&amp;query_place_id=ChIJk-C69g4ZuAARgEm4NIoIraE" TargetMode="External" Id="rId1083" /><Relationship Type="http://schemas.openxmlformats.org/officeDocument/2006/relationships/hyperlink" Target="https://www.google.com/maps/search/?api=1&amp;query=Japan%20Conection%20World&amp;query_place_id=ChIJ58EnqTflXpMRL5u66xGsCAU" TargetMode="External" Id="rId1084" /><Relationship Type="http://schemas.openxmlformats.org/officeDocument/2006/relationships/hyperlink" Target="https://www.google.com/maps/search/?api=1&amp;query=RPG%20Alforts&amp;query_place_id=ChIJGbkGXUL3XpMRfX0hiruyMDQ" TargetMode="External" Id="rId1085" /><Relationship Type="http://schemas.openxmlformats.org/officeDocument/2006/relationships/hyperlink" Target="https://www.google.com/maps/search/?api=1&amp;query=Solo%20Sagrado%20Cards%20-%20Yugioh%20Pokemon%20Jogos%20Tabuleiro%20Manga&amp;query_place_id=ChIJsT8pxUPxXpMReGQSBqX-LSI" TargetMode="External" Id="rId1086" /><Relationship Type="http://schemas.openxmlformats.org/officeDocument/2006/relationships/hyperlink" Target="https://www.google.com/maps/search/?api=1&amp;query=Xerife%20Board%20Games%20-%20Aluguel%20de%20Jogos%20de%20Tabuleiro&amp;query_place_id=ChIJL4AmPTr7XpMRKeZpbdZE0QU" TargetMode="External" Id="rId1087" /><Relationship Type="http://schemas.openxmlformats.org/officeDocument/2006/relationships/hyperlink" Target="https://www.google.com/maps/search/?api=1&amp;query=Orgos%20Miniaturas&amp;query_place_id=ChIJO7ePgVvzXpMRwnd9y7O_-Yc" TargetMode="External" Id="rId1088" /><Relationship Type="http://schemas.openxmlformats.org/officeDocument/2006/relationships/hyperlink" Target="https://www.google.com/maps/search/?api=1&amp;query=Ambi%C3%AAncia%20Bar&amp;query_place_id=ChIJT4G03CjxXpMRkQxq_K4L87M" TargetMode="External" Id="rId1089" /><Relationship Type="http://schemas.openxmlformats.org/officeDocument/2006/relationships/hyperlink" Target="https://www.google.com/maps/search/?api=1&amp;query=BLEND%20GASTROBAR&amp;query_place_id=ChIJ_Wf3l1fxXpMRCqXUHjbIQC8" TargetMode="External" Id="rId1090" /><Relationship Type="http://schemas.openxmlformats.org/officeDocument/2006/relationships/hyperlink" Target="https://www.google.com/maps/search/?api=1&amp;query=Bacon%20Arcano&amp;query_place_id=ChIJLR49WfHxXpMRrSDkf1ExRR4" TargetMode="External" Id="rId1091" /><Relationship Type="http://schemas.openxmlformats.org/officeDocument/2006/relationships/hyperlink" Target="https://www.google.com/maps/search/?api=1&amp;query=Bar%20Dod%C3%B4&amp;query_place_id=ChIJtW-uiPf1XpMRjkYsEmwif28" TargetMode="External" Id="rId1092" /><Relationship Type="http://schemas.openxmlformats.org/officeDocument/2006/relationships/hyperlink" Target="https://www.google.com/maps/search/?api=1&amp;query=Bar%20Rio&amp;query_place_id=ChIJea2r-VvxXpMRKeP-EcBdmSQ" TargetMode="External" Id="rId1093" /><Relationship Type="http://schemas.openxmlformats.org/officeDocument/2006/relationships/hyperlink" Target="https://www.google.com/maps/search/?api=1&amp;query=Bilhar%20Cidade&amp;query_place_id=ChIJvT1MC_L2XpMRCR2DAPE81YM" TargetMode="External" Id="rId1094" /><Relationship Type="http://schemas.openxmlformats.org/officeDocument/2006/relationships/hyperlink" Target="https://www.google.com/maps/search/?api=1&amp;query=Board%20Game%20Barato%20-%20Jogos%20de%20Tabuleiro&amp;query_place_id=ChIJzfCiDjLxXpMR1ssGD0_sMw4" TargetMode="External" Id="rId1095" /><Relationship Type="http://schemas.openxmlformats.org/officeDocument/2006/relationships/hyperlink" Target="https://www.google.com/maps/search/?api=1&amp;query=Boteco%20Posto%2015&amp;query_place_id=ChIJi4oNal_xXpMRfnhV-QVbTdA" TargetMode="External" Id="rId1096" /><Relationship Type="http://schemas.openxmlformats.org/officeDocument/2006/relationships/hyperlink" Target="https://www.google.com/maps/search/?api=1&amp;query=Brewtopia%20Tap%20Bar&amp;query_place_id=ChIJW5bkOgHxXpMRH9pj0WSmXFQ" TargetMode="External" Id="rId1097" /><Relationship Type="http://schemas.openxmlformats.org/officeDocument/2006/relationships/hyperlink" Target="https://www.google.com/maps/search/?api=1&amp;query=Casa%20da%20Pra%C3%A7a%20-%20Espa%C3%A7o%20Recreativo&amp;query_place_id=ChIJDw_EL632XpMRedK6TAD2nTI" TargetMode="External" Id="rId1098" /><Relationship Type="http://schemas.openxmlformats.org/officeDocument/2006/relationships/hyperlink" Target="https://www.google.com/maps/search/?api=1&amp;query=Cine%20Games&amp;query_place_id=ChIJr6qqsmnxXpMRferkB7-_NP8" TargetMode="External" Id="rId1099" /><Relationship Type="http://schemas.openxmlformats.org/officeDocument/2006/relationships/hyperlink" Target="https://www.google.com/maps/search/?api=1&amp;query=Cirand%C3%AA%20Club%20-%20Brinquedoteca%20e%20Festas%20Infantis%20-%20Piso%20G1%20Goi%C3%A2nia%20Shopping&amp;query_place_id=ChIJ-fG3ziHxXpMR2l4W06mI1Vk" TargetMode="External" Id="rId1100" /><Relationship Type="http://schemas.openxmlformats.org/officeDocument/2006/relationships/hyperlink" Target="https://www.google.com/maps/search/?api=1&amp;query=Copacabana%20Lounge%20Bar&amp;query_place_id=ChIJWRylvXL3XpMREA7Nyo1s64A" TargetMode="External" Id="rId1101" /><Relationship Type="http://schemas.openxmlformats.org/officeDocument/2006/relationships/hyperlink" Target="https://www.google.com/maps/search/?api=1&amp;query=Domus%20Board%20Games%20-%20Aluguel%20de%20jogos%20de%20tabuleiro&amp;query_place_id=ChIJDTeCBpPzXpMRVZqZdNeockg" TargetMode="External" Id="rId1102" /><Relationship Type="http://schemas.openxmlformats.org/officeDocument/2006/relationships/hyperlink" Target="https://www.google.com/maps/search/?api=1&amp;query=Don%20Guina%20Pub&amp;query_place_id=ChIJFboDVlbwXpMRjksTUmPvX6k" TargetMode="External" Id="rId1103" /><Relationship Type="http://schemas.openxmlformats.org/officeDocument/2006/relationships/hyperlink" Target="https://www.google.com/maps/search/?api=1&amp;query=Eduque%20Brinquedos&amp;query_place_id=ChIJHSp7iEfxXpMRVtA99lT7tUk" TargetMode="External" Id="rId1104" /><Relationship Type="http://schemas.openxmlformats.org/officeDocument/2006/relationships/hyperlink" Target="https://www.google.com/maps/search/?api=1&amp;query=Faturando%20com%20rpg&amp;query_place_id=ChIJzy5cbGL1XpMRFoZpuRA5QII" TargetMode="External" Id="rId1105" /><Relationship Type="http://schemas.openxmlformats.org/officeDocument/2006/relationships/hyperlink" Target="https://www.google.com/maps/search/?api=1&amp;query=Fire%20games&amp;query_place_id=ChIJ28YWgrb1XpMRMv6SpzX6y9s" TargetMode="External" Id="rId1106" /><Relationship Type="http://schemas.openxmlformats.org/officeDocument/2006/relationships/hyperlink" Target="https://www.google.com/maps/search/?api=1&amp;query=Fubanga%20Bar&amp;query_place_id=ChIJ1UKbj57xXpMRnbe9e_tWVXc" TargetMode="External" Id="rId1107" /><Relationship Type="http://schemas.openxmlformats.org/officeDocument/2006/relationships/hyperlink" Target="https://www.google.com/maps/search/?api=1&amp;query=GamerSurvivall&amp;query_place_id=ChIJVa4pFt7zXpMRsc2v1w_5XYc" TargetMode="External" Id="rId1108" /><Relationship Type="http://schemas.openxmlformats.org/officeDocument/2006/relationships/hyperlink" Target="https://www.google.com/maps/search/?api=1&amp;query=Garagem%20Board%20Game&amp;query_place_id=ChIJQa_8W7f3XpMR16MqXb3u21Q" TargetMode="External" Id="rId1109" /><Relationship Type="http://schemas.openxmlformats.org/officeDocument/2006/relationships/hyperlink" Target="https://www.google.com/maps/search/?api=1&amp;query=Gl%C3%B3ria%20Bar%20e%20Restaurante&amp;query_place_id=ChIJZWDZbmnxXpMR8y0dVNL5DRI" TargetMode="External" Id="rId1110" /><Relationship Type="http://schemas.openxmlformats.org/officeDocument/2006/relationships/hyperlink" Target="https://www.google.com/maps/search/?api=1&amp;query=Guerra%20Games&amp;query_place_id=ChIJq6rqcQf0XpMRvbIPAPinCfU" TargetMode="External" Id="rId1111" /><Relationship Type="http://schemas.openxmlformats.org/officeDocument/2006/relationships/hyperlink" Target="https://www.google.com/maps/search/?api=1&amp;query=Guilda%20Dos%20Jogos%20-%20Jogos%20de%20Tabuleiro&amp;query_place_id=ChIJ3_UG5sHxXpMRSp0s6aJUNZs" TargetMode="External" Id="rId1112" /><Relationship Type="http://schemas.openxmlformats.org/officeDocument/2006/relationships/hyperlink" Target="https://www.google.com/maps/search/?api=1&amp;query=Life%20Pub&amp;query_place_id=ChIJXX7OJ_rzXpMRCLrNjvDLFIY" TargetMode="External" Id="rId1113" /><Relationship Type="http://schemas.openxmlformats.org/officeDocument/2006/relationships/hyperlink" Target="https://www.google.com/maps/search/?api=1&amp;query=Livraria%20Leitura&amp;query_place_id=ChIJs20TRCXxXpMRTlY5fzlGHFY" TargetMode="External" Id="rId1114" /><Relationship Type="http://schemas.openxmlformats.org/officeDocument/2006/relationships/hyperlink" Target="https://www.google.com/maps/search/?api=1&amp;query=Loja%20Life%20Games&amp;query_place_id=ChIJz8V7Ga3zXpMRP5m_dQimpZY" TargetMode="External" Id="rId1115" /><Relationship Type="http://schemas.openxmlformats.org/officeDocument/2006/relationships/hyperlink" Target="https://www.google.com/maps/search/?api=1&amp;query=LudoNorte%20-%20Jogos%20de%20Tabuleiro&amp;query_place_id=ChIJj9-M-7L1XpMR7EXrwZ8hQoY" TargetMode="External" Id="rId1116" /><Relationship Type="http://schemas.openxmlformats.org/officeDocument/2006/relationships/hyperlink" Target="https://www.google.com/maps/search/?api=1&amp;query=Ludoteca%20Club&amp;query_place_id=ChIJoYv18631XpMRRuQ1YPAdNho" TargetMode="External" Id="rId1117" /><Relationship Type="http://schemas.openxmlformats.org/officeDocument/2006/relationships/hyperlink" Target="https://www.google.com/maps/search/?api=1&amp;query=Ludris%20Casa%20de%20Boardgames&amp;query_place_id=ChIJhSTdlebzXpMRf01LEaFa--8" TargetMode="External" Id="rId1118" /><Relationship Type="http://schemas.openxmlformats.org/officeDocument/2006/relationships/hyperlink" Target="https://www.google.com/maps/search/?api=1&amp;query=Luiz%20Caf%C3%A9%20Conceito&amp;query_place_id=ChIJLfQ9WePzXpMRQbICGdEx91A" TargetMode="External" Id="rId1119" /><Relationship Type="http://schemas.openxmlformats.org/officeDocument/2006/relationships/hyperlink" Target="https://www.google.com/maps/search/?api=1&amp;query=MARIO%20GAMES&amp;query_place_id=ChIJXXKw4GLxXpMRKvxFi_qgAFw" TargetMode="External" Id="rId1120" /><Relationship Type="http://schemas.openxmlformats.org/officeDocument/2006/relationships/hyperlink" Target="https://www.google.com/maps/search/?api=1&amp;query=MOEMA%20Sunset%20and%20Night&amp;query_place_id=ChIJYXJlOcfxXpMR0JppZVJkSa4" TargetMode="External" Id="rId1121" /><Relationship Type="http://schemas.openxmlformats.org/officeDocument/2006/relationships/hyperlink" Target="https://www.google.com/maps/search/?api=1&amp;query=Mais%20Uma%20Mesa%20RPG&amp;query_place_id=ChIJiddkAN_zXpMRamo8ROrdmZw" TargetMode="External" Id="rId1122" /><Relationship Type="http://schemas.openxmlformats.org/officeDocument/2006/relationships/hyperlink" Target="https://www.google.com/maps/search/?api=1&amp;query=Mandrake%20Comic%20Shop&amp;query_place_id=ChIJ4xUr8iTxXpMRQ9f2GO5RGAI" TargetMode="External" Id="rId1123" /><Relationship Type="http://schemas.openxmlformats.org/officeDocument/2006/relationships/hyperlink" Target="https://www.google.com/maps/search/?api=1&amp;query=Melhor%20Quintal%20-%20Brinquedoteca%20e%20Espa%C3%A7o%20Infantil&amp;query_place_id=ChIJk7mYt4TxXpMRbJ00zDYXB5E" TargetMode="External" Id="rId1124" /><Relationship Type="http://schemas.openxmlformats.org/officeDocument/2006/relationships/hyperlink" Target="https://www.google.com/maps/search/?api=1&amp;query=Mundo%20Girafa%20Brinquedos&amp;query_place_id=ChIJXVVVLTnxXpMRByNuMFiFypM" TargetMode="External" Id="rId1125" /><Relationship Type="http://schemas.openxmlformats.org/officeDocument/2006/relationships/hyperlink" Target="https://www.google.com/maps/search/?api=1&amp;query=Mythos%20TCG&amp;query_place_id=ChIJl6FRe0zxXpMRzTecnTZJjHI" TargetMode="External" Id="rId1126" /><Relationship Type="http://schemas.openxmlformats.org/officeDocument/2006/relationships/hyperlink" Target="https://www.google.com/maps/search/?api=1&amp;query=Na%20Xinxa%20Bar&amp;query_place_id=ChIJS93ziN7xXpMRKkaDRp988o0" TargetMode="External" Id="rId1127" /><Relationship Type="http://schemas.openxmlformats.org/officeDocument/2006/relationships/hyperlink" Target="https://www.google.com/maps/search/?api=1&amp;query=Nitroxx%20Games&amp;query_place_id=ChIJp_9nKvvwXpMRHgJXGPtBPIo" TargetMode="External" Id="rId1128" /><Relationship Type="http://schemas.openxmlformats.org/officeDocument/2006/relationships/hyperlink" Target="https://www.google.com/maps/search/?api=1&amp;query=Officina%20Cervejaria&amp;query_place_id=ChIJ0TT3ceDwXpMRKCGU55EzK_0" TargetMode="External" Id="rId1129" /><Relationship Type="http://schemas.openxmlformats.org/officeDocument/2006/relationships/hyperlink" Target="https://www.google.com/maps/search/?api=1&amp;query=Paladins%20Games%20Store&amp;query_place_id=ChIJ89uEICDxXpMRdaEvN0XiWK0" TargetMode="External" Id="rId1130" /><Relationship Type="http://schemas.openxmlformats.org/officeDocument/2006/relationships/hyperlink" Target="https://www.google.com/maps/search/?api=1&amp;query=Planet%20games&amp;query_place_id=ChIJIWtBxwf0XpMRr8gIsppriLg" TargetMode="External" Id="rId1131" /><Relationship Type="http://schemas.openxmlformats.org/officeDocument/2006/relationships/hyperlink" Target="https://www.google.com/maps/search/?api=1&amp;query=Play%20Jogos%20%26%20Brinquedos%20-%20Sinuca%20em%20Goi%C3%A2nia%20-%20Bilhar%20em%20Goi%C3%A2nia%20-%20Taco%20-%20Pinpolim%20-%20Xadrez&amp;query_place_id=ChIJaeJg_T3xXpMRocZQEDZSdK8" TargetMode="External" Id="rId1132" /><Relationship Type="http://schemas.openxmlformats.org/officeDocument/2006/relationships/hyperlink" Target="https://www.google.com/maps/search/?api=1&amp;query=Playn%27joy%20Toyteca%20Brinquedos&amp;query_place_id=ChIJRVvvBMX2XpMRiSJiRcjnVL4" TargetMode="External" Id="rId1133" /><Relationship Type="http://schemas.openxmlformats.org/officeDocument/2006/relationships/hyperlink" Target="https://www.google.com/maps/search/?api=1&amp;query=Primo%20Games&amp;query_place_id=ChIJ3Z1tm_j1XpMRtMNMJofeUaA" TargetMode="External" Id="rId1134" /><Relationship Type="http://schemas.openxmlformats.org/officeDocument/2006/relationships/hyperlink" Target="https://www.google.com/maps/search/?api=1&amp;query=Quadradim&amp;query_place_id=ChIJ-WilTLrxXpMR3CWtiv8EXr8" TargetMode="External" Id="rId1135" /><Relationship Type="http://schemas.openxmlformats.org/officeDocument/2006/relationships/hyperlink" Target="https://www.google.com/maps/search/?api=1&amp;query=Recreio%20Bar&amp;query_place_id=ChIJUczSoXHxXpMRZz37gbu9jdY" TargetMode="External" Id="rId1136" /><Relationship Type="http://schemas.openxmlformats.org/officeDocument/2006/relationships/hyperlink" Target="https://www.google.com/maps/search/?api=1&amp;query=Reino%20L%C3%BAdico%20-%20Aluguel%20de%20Jogos%20de%20Tabuleiro&amp;query_place_id=ChIJX0sGb3bxXpMRIGplcKaQaeQ" TargetMode="External" Id="rId1137" /><Relationship Type="http://schemas.openxmlformats.org/officeDocument/2006/relationships/hyperlink" Target="https://www.google.com/maps/search/?api=1&amp;query=Ri%20Happy%20Shopping%20Flamboyant&amp;query_place_id=ChIJqSx3FFPwXpMRtKEEGUlVxv0" TargetMode="External" Id="rId1138" /><Relationship Type="http://schemas.openxmlformats.org/officeDocument/2006/relationships/hyperlink" Target="https://www.google.com/maps/search/?api=1&amp;query=Rock%20And%20Axe%20Geek%20Store&amp;query_place_id=ChIJr9taRxP3XpMRMWejEKnwePQ" TargetMode="External" Id="rId1139" /><Relationship Type="http://schemas.openxmlformats.org/officeDocument/2006/relationships/hyperlink" Target="https://www.google.com/maps/search/?api=1&amp;query=Saccaria%20Verano&amp;query_place_id=ChIJb2X0HnrxXpMRSENFdvlkqg0" TargetMode="External" Id="rId1140" /><Relationship Type="http://schemas.openxmlformats.org/officeDocument/2006/relationships/hyperlink" Target="https://www.google.com/maps/search/?api=1&amp;query=Seven%20Lounge%20%26%20Drinks&amp;query_place_id=ChIJgUKowfr3XpMRX3vcF1yQFQw" TargetMode="External" Id="rId1141" /><Relationship Type="http://schemas.openxmlformats.org/officeDocument/2006/relationships/hyperlink" Target="https://www.google.com/maps/search/?api=1&amp;query=Shiva%20alt-bar&amp;query_place_id=ChIJ-Z-kfFrxXpMRGgTyoZn1whc" TargetMode="External" Id="rId1142" /><Relationship Type="http://schemas.openxmlformats.org/officeDocument/2006/relationships/hyperlink" Target="https://www.google.com/maps/search/?api=1&amp;query=Social%20Poker%20Club&amp;query_place_id=ChIJIatE26PxXpMRuvB9jdm85cw" TargetMode="External" Id="rId1143" /><Relationship Type="http://schemas.openxmlformats.org/officeDocument/2006/relationships/hyperlink" Target="https://www.google.com/maps/search/?api=1&amp;query=Storm%20Acess%C3%B3rios&amp;query_place_id=ChIJveqgLrLzXpMRCdIw_IiqVBA" TargetMode="External" Id="rId1144" /><Relationship Type="http://schemas.openxmlformats.org/officeDocument/2006/relationships/hyperlink" Target="https://www.google.com/maps/search/?api=1&amp;query=Talism%C3%A3%20Board%20Games&amp;query_place_id=ChIJJ3wfdDyLXpMRmWw2LP3gJC8" TargetMode="External" Id="rId1145" /><Relationship Type="http://schemas.openxmlformats.org/officeDocument/2006/relationships/hyperlink" Target="https://www.google.com/maps/search/?api=1&amp;query=Taverna%20Com%20Dado&amp;query_place_id=ChIJVZgGqW7xXpMRM85YSmupFnE" TargetMode="External" Id="rId1146" /><Relationship Type="http://schemas.openxmlformats.org/officeDocument/2006/relationships/hyperlink" Target="https://www.google.com/maps/search/?api=1&amp;query=Turno%2042&amp;query_place_id=ChIJAUSDHR3xXpMRlqsVb58UP_4" TargetMode="External" Id="rId1147" /><Relationship Type="http://schemas.openxmlformats.org/officeDocument/2006/relationships/hyperlink" Target="https://www.google.com/maps/search/?api=1&amp;query=Vikings%20Pub&amp;query_place_id=ChIJUXkmHEzxXpMRCx4KIF5DQCw" TargetMode="External" Id="rId1148" /><Relationship Type="http://schemas.openxmlformats.org/officeDocument/2006/relationships/hyperlink" Target="https://www.google.com/maps/search/?api=1&amp;query=Villa%20Gyn%20Gastrobar&amp;query_place_id=ChIJo81PYQDzXpMReJ5i2SGE0bU" TargetMode="External" Id="rId1149" /><Relationship Type="http://schemas.openxmlformats.org/officeDocument/2006/relationships/hyperlink" Target="https://www.google.com/maps/search/?api=1&amp;query=Yolo%20Beer%20Garden&amp;query_place_id=ChIJ4-UGzLPxXpMR4o0cj80Rw8Y" TargetMode="External" Id="rId1150" /><Relationship Type="http://schemas.openxmlformats.org/officeDocument/2006/relationships/hyperlink" Target="https://www.google.com/maps/search/?api=1&amp;query=4%2B%20Poker%20Friends&amp;query_place_id=ChIJX4KXW4dgXpMRRorL_x1ZbPQ" TargetMode="External" Id="rId1151" /><Relationship Type="http://schemas.openxmlformats.org/officeDocument/2006/relationships/hyperlink" Target="https://www.google.com/maps/search/?api=1&amp;query=Abelha%20Lunar%20Brinquedos&amp;query_place_id=ChIJD5tSQNebpgARQ1brfo_AqeM" TargetMode="External" Id="rId1152" /><Relationship Type="http://schemas.openxmlformats.org/officeDocument/2006/relationships/hyperlink" Target="https://www.google.com/maps/search/?api=1&amp;query=Alipep%C3%AA&amp;query_place_id=ChIJcdm9wXWXpgAR0WDRlPxZB_A" TargetMode="External" Id="rId1153" /><Relationship Type="http://schemas.openxmlformats.org/officeDocument/2006/relationships/hyperlink" Target="https://www.google.com/maps/search/?api=1&amp;query=Arcade%20Save%20Point&amp;query_place_id=ChIJ2eMCGACRpgARoWEjX5VaIkI" TargetMode="External" Id="rId1154" /><Relationship Type="http://schemas.openxmlformats.org/officeDocument/2006/relationships/hyperlink" Target="https://www.google.com/maps/search/?api=1&amp;query=BH%20Games&amp;query_place_id=ChIJDTIXkfuZpgAR4Wd-CrQu2Ik" TargetMode="External" Id="rId1155" /><Relationship Type="http://schemas.openxmlformats.org/officeDocument/2006/relationships/hyperlink" Target="https://www.google.com/maps/search/?api=1&amp;query=Bar%20Tem%C3%A1tico%20de%20Santa%20Tereza&amp;query_place_id=ChIJRxPaYy6apgAR61kI-FK0Ujo" TargetMode="External" Id="rId1156" /><Relationship Type="http://schemas.openxmlformats.org/officeDocument/2006/relationships/hyperlink" Target="https://www.google.com/maps/search/?api=1&amp;query=Bar%20e%20Museu%20Clube%20da%20Esquina&amp;query_place_id=ChIJpYaUHSmapgARMjmnnlc8BzY" TargetMode="External" Id="rId1157" /><Relationship Type="http://schemas.openxmlformats.org/officeDocument/2006/relationships/hyperlink" Target="https://www.google.com/maps/search/?api=1&amp;query=BarDo%20Folk&amp;query_place_id=ChIJIdEQTRqZpgARvN5wtO8sEkI" TargetMode="External" Id="rId1158" /><Relationship Type="http://schemas.openxmlformats.org/officeDocument/2006/relationships/hyperlink" Target="https://www.google.com/maps/search/?api=1&amp;query=Bardo%20Mago&amp;query_place_id=ChIJRcWOaPabpgARDvX2Bad0qb0" TargetMode="External" Id="rId1159" /><Relationship Type="http://schemas.openxmlformats.org/officeDocument/2006/relationships/hyperlink" Target="https://www.google.com/maps/search/?api=1&amp;query=Brech%C3%B3%20L%C3%BAdico&amp;query_place_id=ChIJVVWJxOaZpgARwOi0SIWndOw" TargetMode="External" Id="rId1160" /><Relationship Type="http://schemas.openxmlformats.org/officeDocument/2006/relationships/hyperlink" Target="https://www.google.com/maps/search/?api=1&amp;query=Brinquedol%C3%A2ndia%20Casa%20de%20Brincar&amp;query_place_id=ChIJ_fSU_we_pgARXrRXapfLc9k" TargetMode="External" Id="rId1161" /><Relationship Type="http://schemas.openxmlformats.org/officeDocument/2006/relationships/hyperlink" Target="https://www.google.com/maps/search/?api=1&amp;query=Casa%20do%20Sol%20Origem&amp;query_place_id=ChIJmcHoW8i9pgARhLWOdJWH1oQ" TargetMode="External" Id="rId1162" /><Relationship Type="http://schemas.openxmlformats.org/officeDocument/2006/relationships/hyperlink" Target="https://www.google.com/maps/search/?api=1&amp;query=Casa%20do%20Xadrez&amp;query_place_id=ChIJv9yXsQ2XpgARjZJ5mLcQUwg" TargetMode="External" Id="rId1163" /><Relationship Type="http://schemas.openxmlformats.org/officeDocument/2006/relationships/hyperlink" Target="https://www.google.com/maps/search/?api=1&amp;query=Clube%20Mineiro%20de%20Wargames%3A%20Warhammer%2C%20Age%20of%20Sigmar%2C%20One%20Page%20Rules%2C%20Senhor%20dos%20An%C3%A9is%2C%20FrostGrave%20e%20muito%20mais.&amp;query_place_id=ChIJQ-UyX32bpgARJcyelgu6UGk" TargetMode="External" Id="rId1164" /><Relationship Type="http://schemas.openxmlformats.org/officeDocument/2006/relationships/hyperlink" Target="https://www.google.com/maps/search/?api=1&amp;query=Comdado%20Bar%20e%20Jogos&amp;query_place_id=ChIJpzB8zc2XpgARoJTUu90J6Pw" TargetMode="External" Id="rId1165" /><Relationship Type="http://schemas.openxmlformats.org/officeDocument/2006/relationships/hyperlink" Target="https://www.google.com/maps/search/?api=1&amp;query=DayTrade%20Magic&amp;query_place_id=ChIJbUrly6CZpgARus1v7UATQH8" TargetMode="External" Id="rId1166" /><Relationship Type="http://schemas.openxmlformats.org/officeDocument/2006/relationships/hyperlink" Target="https://www.google.com/maps/search/?api=1&amp;query=Dimens%C3%A3o%20Alternativa&amp;query_place_id=ChIJccry2YO9pgARysaQPaSV1JI" TargetMode="External" Id="rId1167" /><Relationship Type="http://schemas.openxmlformats.org/officeDocument/2006/relationships/hyperlink" Target="https://www.google.com/maps/search/?api=1&amp;query=Elite%20Games%20BH&amp;query_place_id=ChIJAVe-obmWpgARQx8-GQoKutU" TargetMode="External" Id="rId1168" /><Relationship Type="http://schemas.openxmlformats.org/officeDocument/2006/relationships/hyperlink" Target="https://www.google.com/maps/search/?api=1&amp;query=Espa%C3%A7o%20Infantil%20Novo%20Mundo&amp;query_place_id=ChIJFRVdVIyXpgARbXnj-5lyzQU" TargetMode="External" Id="rId1169" /><Relationship Type="http://schemas.openxmlformats.org/officeDocument/2006/relationships/hyperlink" Target="https://www.google.com/maps/search/?api=1&amp;query=Espa%C3%A7o%20kids%20Castelo%20-%20Cervejaria%20Charada&amp;query_place_id=ChIJZWDb5Z6RpgAR0_0FUine3uw" TargetMode="External" Id="rId1170" /><Relationship Type="http://schemas.openxmlformats.org/officeDocument/2006/relationships/hyperlink" Target="https://www.google.com/maps/search/?api=1&amp;query=GOAT%20Gaming%20Center%20-%20Savassi&amp;query_place_id=ChIJcX0lfMqZpgARuKbpRaIZPtI" TargetMode="External" Id="rId1171" /><Relationship Type="http://schemas.openxmlformats.org/officeDocument/2006/relationships/hyperlink" Target="https://www.google.com/maps/search/?api=1&amp;query=Game%20X&amp;query_place_id=ChIJw_XYxmaZpgARvqB0k8rFBs8" TargetMode="External" Id="rId1172" /><Relationship Type="http://schemas.openxmlformats.org/officeDocument/2006/relationships/hyperlink" Target="https://www.google.com/maps/search/?api=1&amp;query=Garagem%20do%20Nerd&amp;query_place_id=ChIJsUAT-dObpgARCT2C5QpnVKU" TargetMode="External" Id="rId1173" /><Relationship Type="http://schemas.openxmlformats.org/officeDocument/2006/relationships/hyperlink" Target="https://www.google.com/maps/search/?api=1&amp;query=Hango%20jogos&amp;query_place_id=ChIJT0SWTE6RpgARR_MPTjPyxTk" TargetMode="External" Id="rId1174" /><Relationship Type="http://schemas.openxmlformats.org/officeDocument/2006/relationships/hyperlink" Target="https://www.google.com/maps/search/?api=1&amp;query=JogArtClub%20%E2%80%A2%20Comes%20%26%20Jogas&amp;query_place_id=ChIJ03bxSvSXpgARB1Fujm1ryEA" TargetMode="External" Id="rId1175" /><Relationship Type="http://schemas.openxmlformats.org/officeDocument/2006/relationships/hyperlink" Target="https://www.google.com/maps/search/?api=1&amp;query=Kair%C3%B3s%20Ludo%20-%20Aluguel%20de%20jogos%20de%20tabuleiro%20em%20BH&amp;query_place_id=ChIJPUgkC_KXpgARgDePGmyys7o" TargetMode="External" Id="rId1176" /><Relationship Type="http://schemas.openxmlformats.org/officeDocument/2006/relationships/hyperlink" Target="https://www.google.com/maps/search/?api=1&amp;query=Kinde%20Brinquedos%20%7C%20Mangabeiras&amp;query_place_id=ChIJM0tqs8-ZpgARGlhNEPVUppw" TargetMode="External" Id="rId1177" /><Relationship Type="http://schemas.openxmlformats.org/officeDocument/2006/relationships/hyperlink" Target="https://www.google.com/maps/search/?api=1&amp;query=La%20Tabuleria&amp;query_place_id=ChIJ-17ZQDG9pgARc-AxpXmaNRU" TargetMode="External" Id="rId1178" /><Relationship Type="http://schemas.openxmlformats.org/officeDocument/2006/relationships/hyperlink" Target="https://www.google.com/maps/search/?api=1&amp;query=Lab&amp;query_place_id=ChIJ5SH6_rOZpgARgv-J4IeBREE" TargetMode="External" Id="rId1179" /><Relationship Type="http://schemas.openxmlformats.org/officeDocument/2006/relationships/hyperlink" Target="https://www.google.com/maps/search/?api=1&amp;query=Leil%C3%A3o%20Arena%20TCG&amp;query_place_id=ChIJG2bis6ubpgARjLEhwGk-mVw" TargetMode="External" Id="rId1180" /><Relationship Type="http://schemas.openxmlformats.org/officeDocument/2006/relationships/hyperlink" Target="https://www.google.com/maps/search/?api=1&amp;query=Leitura%20Shopping%20Cidade&amp;query_place_id=ChIJ58LFouOZpgAReibzuoi1XIk" TargetMode="External" Id="rId1181" /><Relationship Type="http://schemas.openxmlformats.org/officeDocument/2006/relationships/hyperlink" Target="https://www.google.com/maps/search/?api=1&amp;query=Ludo%203D&amp;query_place_id=ChIJS8UKmRubpgARAQYQ48_VuI8" TargetMode="External" Id="rId1182" /><Relationship Type="http://schemas.openxmlformats.org/officeDocument/2006/relationships/hyperlink" Target="https://www.google.com/maps/search/?api=1&amp;query=LudoCaf%C3%A9&amp;query_place_id=ChIJx5jr3zGXpgARQGx9eX7TDmY" TargetMode="External" Id="rId1183" /><Relationship Type="http://schemas.openxmlformats.org/officeDocument/2006/relationships/hyperlink" Target="https://www.google.com/maps/search/?api=1&amp;query=MK%20Games%20BH&amp;query_place_id=ChIJW3LzC-OZpgARnd4gdGxlzeA" TargetMode="External" Id="rId1184" /><Relationship Type="http://schemas.openxmlformats.org/officeDocument/2006/relationships/hyperlink" Target="https://www.google.com/maps/search/?api=1&amp;query=MUNDO%20DOS%20GAMES&amp;query_place_id=ChIJBWgPzv6ZpgAR6hEFczprqRk" TargetMode="External" Id="rId1185" /><Relationship Type="http://schemas.openxmlformats.org/officeDocument/2006/relationships/hyperlink" Target="https://www.google.com/maps/search/?api=1&amp;query=Mesa%20de%20jogos%20de%20tabuleiro&amp;query_place_id=ChIJodgIpnqXpgARiTbkZYfHB9o" TargetMode="External" Id="rId1186" /><Relationship Type="http://schemas.openxmlformats.org/officeDocument/2006/relationships/hyperlink" Target="https://www.google.com/maps/search/?api=1&amp;query=Mito%20Bar%20BH%20-%20Balada%2C%20bar%20e%20drinks&amp;query_place_id=ChIJy51zYEeZpgAR-ST-UpK6GA4" TargetMode="External" Id="rId1187" /><Relationship Type="http://schemas.openxmlformats.org/officeDocument/2006/relationships/hyperlink" Target="https://www.google.com/maps/search/?api=1&amp;query=Mont%C3%AA%20Bar%20-%20Restaurante&amp;query_place_id=ChIJXRMT-d-ZpgARapyUC5yN3m0" TargetMode="External" Id="rId1188" /><Relationship Type="http://schemas.openxmlformats.org/officeDocument/2006/relationships/hyperlink" Target="https://www.google.com/maps/search/?api=1&amp;query=Night%20Market%20Rooftop&amp;query_place_id=ChIJM_zceu-XpgARkfDo0DCceHA" TargetMode="External" Id="rId1189" /><Relationship Type="http://schemas.openxmlformats.org/officeDocument/2006/relationships/hyperlink" Target="https://www.google.com/maps/search/?api=1&amp;query=No%20Alto&amp;query_place_id=ChIJ2bVpVxSZpgARJ6TLzxDckaQ" TargetMode="External" Id="rId1190" /><Relationship Type="http://schemas.openxmlformats.org/officeDocument/2006/relationships/hyperlink" Target="https://www.google.com/maps/search/?api=1&amp;query=Oficina%20do%20Playtest%20BH&amp;query_place_id=ChIJCVsmhT6XpgARdaE5zOOuAWU" TargetMode="External" Id="rId1191" /><Relationship Type="http://schemas.openxmlformats.org/officeDocument/2006/relationships/hyperlink" Target="https://www.google.com/maps/search/?api=1&amp;query=Parque%20Caracol%20-%20Divers%C3%A3o%20segura%20e%20monitorada%20para%20crian%C3%A7as%20-%20Anivers%C3%A1rios%20-%20Col%C3%B4nia%20de%20F%C3%A9rias&amp;query_place_id=ChIJm3lMHrVq7CoRrFLoe_3wu8Q" TargetMode="External" Id="rId1192" /><Relationship Type="http://schemas.openxmlformats.org/officeDocument/2006/relationships/hyperlink" Target="https://www.google.com/maps/search/?api=1&amp;query=Planeta%20Imagin%C3%A1rio%20Diamond%20Mall%20%7C%20Espa%C3%A7o%20Infantil%20e%20Festa%20de%20anivers%C3%A1rio%20em%20Belo%20Horizonte&amp;query_place_id=ChIJxVeOxGCXpgARk7P_E6851uA" TargetMode="External" Id="rId1193" /><Relationship Type="http://schemas.openxmlformats.org/officeDocument/2006/relationships/hyperlink" Target="https://www.google.com/maps/search/?api=1&amp;query=Play%20Bar%20e%20Restaurante%20em%20Estoril&amp;query_place_id=ChIJsxD8EoOXpgARA1AxkcJynPk" TargetMode="External" Id="rId1194" /><Relationship Type="http://schemas.openxmlformats.org/officeDocument/2006/relationships/hyperlink" Target="https://www.google.com/maps/search/?api=1&amp;query=Pok%C3%A9mon-BH&amp;query_place_id=ChIJk2cz0P6ZpgARHSBEfc5JVdg" TargetMode="External" Id="rId1195" /><Relationship Type="http://schemas.openxmlformats.org/officeDocument/2006/relationships/hyperlink" Target="https://www.google.com/maps/search/?api=1&amp;query=Prisma%20Collections%20%7C%20Funko%20Pop%21%20%7C%20Anime%20Figure%20%7C%20Action%20Figure%20%7C%20Carta%20Pok%C3%A9mon%20em%20Belo%20Horizonte&amp;query_place_id=ChIJd2aN_Y-bpgARdRZf1OnJQKE" TargetMode="External" Id="rId1196" /><Relationship Type="http://schemas.openxmlformats.org/officeDocument/2006/relationships/hyperlink" Target="https://www.google.com/maps/search/?api=1&amp;query=QUINTAL&amp;query_place_id=ChIJJW4oKu-XpgARz0DiRk9njnk" TargetMode="External" Id="rId1197" /><Relationship Type="http://schemas.openxmlformats.org/officeDocument/2006/relationships/hyperlink" Target="https://www.google.com/maps/search/?api=1&amp;query=Quintal%20da%20Play&amp;query_place_id=ChIJ0zpzagaXpgARk5hQnsq4YmU" TargetMode="External" Id="rId1198" /><Relationship Type="http://schemas.openxmlformats.org/officeDocument/2006/relationships/hyperlink" Target="https://www.google.com/maps/search/?api=1&amp;query=RPG%20VENDA%20ATACADISTA&amp;query_place_id=ChIJHRqnsI2ZpgARvAr4gsrTa94" TargetMode="External" Id="rId1199" /><Relationship Type="http://schemas.openxmlformats.org/officeDocument/2006/relationships/hyperlink" Target="https://www.google.com/maps/search/?api=1&amp;query=Redentor%20Bar&amp;query_place_id=ChIJ7bVC4tmZpgARViK85gXU6OM" TargetMode="External" Id="rId1200" /><Relationship Type="http://schemas.openxmlformats.org/officeDocument/2006/relationships/hyperlink" Target="https://www.google.com/maps/search/?api=1&amp;query=Rooftop%20Games&amp;query_place_id=ChIJd3ynKDCbpgARrK9b9Ya4nG8" TargetMode="External" Id="rId1201" /><Relationship Type="http://schemas.openxmlformats.org/officeDocument/2006/relationships/hyperlink" Target="https://www.google.com/maps/search/?api=1&amp;query=Rust%20Music%20Bar&amp;query_place_id=ChIJfeidF--XpgARKeL_7aduyKE" TargetMode="External" Id="rId1202" /><Relationship Type="http://schemas.openxmlformats.org/officeDocument/2006/relationships/hyperlink" Target="https://www.google.com/maps/search/?api=1&amp;query=SMILE%20RECREA%C3%87%C3%94ES%20%7C%20Loca%C3%A7%C3%A3o%20de%20brinquedos%20e%20Recrea%C3%A7%C3%A3o%20infantil%20BH&amp;query_place_id=ChIJUxnUuJ-WpgAROa_q4X_wM9w" TargetMode="External" Id="rId1203" /><Relationship Type="http://schemas.openxmlformats.org/officeDocument/2006/relationships/hyperlink" Target="https://www.google.com/maps/search/?api=1&amp;query=Savassi%20Games&amp;query_place_id=ChIJwaTDkNuZpgARtBvCnEZjrUY" TargetMode="External" Id="rId1204" /><Relationship Type="http://schemas.openxmlformats.org/officeDocument/2006/relationships/hyperlink" Target="https://www.google.com/maps/search/?api=1&amp;query=Shelf%20Bar%20e%20Jogos&amp;query_place_id=ChIJ6ZLMZw-XpgAR_OR6SwY5xKo" TargetMode="External" Id="rId1205" /><Relationship Type="http://schemas.openxmlformats.org/officeDocument/2006/relationships/hyperlink" Target="https://www.google.com/maps/search/?api=1&amp;query=Stone%20Games&amp;query_place_id=ChIJieP16UCZpgAR8zqQEUSe5oM" TargetMode="External" Id="rId1206" /><Relationship Type="http://schemas.openxmlformats.org/officeDocument/2006/relationships/hyperlink" Target="https://www.google.com/maps/search/?api=1&amp;query=Stop%20TCG&amp;query_place_id=ChIJaX8_A5-RpgARjGibZKdZR1I" TargetMode="External" Id="rId1207" /><Relationship Type="http://schemas.openxmlformats.org/officeDocument/2006/relationships/hyperlink" Target="https://www.google.com/maps/search/?api=1&amp;query=Taberna%20Sant%C3%AA&amp;query_place_id=ChIJ-TwfHyaapgARy0qIc8g0r28" TargetMode="External" Id="rId1208" /><Relationship Type="http://schemas.openxmlformats.org/officeDocument/2006/relationships/hyperlink" Target="https://www.google.com/maps/search/?api=1&amp;query=Taberna%20dos%20Games&amp;query_place_id=ChIJIcauleSZpgARDghXUEZX9gI" TargetMode="External" Id="rId1209" /><Relationship Type="http://schemas.openxmlformats.org/officeDocument/2006/relationships/hyperlink" Target="https://www.google.com/maps/search/?api=1&amp;query=Tagarela%20Espa%C3%A7o%20Kids&amp;query_place_id=ChIJz2hpPQCXpgARuHvKunkXCXw" TargetMode="External" Id="rId1210" /><Relationship Type="http://schemas.openxmlformats.org/officeDocument/2006/relationships/hyperlink" Target="https://www.google.com/maps/search/?api=1&amp;query=Totus%20Ludus&amp;query_place_id=ChIJz539XYObpgARV5NhbSNRRHM" TargetMode="External" Id="rId1211" /><Relationship Type="http://schemas.openxmlformats.org/officeDocument/2006/relationships/hyperlink" Target="https://www.google.com/maps/search/?api=1&amp;query=Traquitana%20Brinquedos&amp;query_place_id=ChIJ9Qto49CZpgARtXGsIsbCTsM" TargetMode="External" Id="rId1212" /><Relationship Type="http://schemas.openxmlformats.org/officeDocument/2006/relationships/hyperlink" Target="https://www.google.com/maps/search/?api=1&amp;query=UGCardShop&amp;query_place_id=ChIJKURw7A2apgARheRIbSu9Pgo" TargetMode="External" Id="rId1213" /><Relationship Type="http://schemas.openxmlformats.org/officeDocument/2006/relationships/hyperlink" Target="https://www.google.com/maps/search/?api=1&amp;query=VAULT%20of%20cards&amp;query_place_id=ChIJrRfqRPSRpgARWfVpA_8eK7E" TargetMode="External" Id="rId1214" /><Relationship Type="http://schemas.openxmlformats.org/officeDocument/2006/relationships/hyperlink" Target="https://www.google.com/maps/search/?api=1&amp;query=Versus%201a1&amp;query_place_id=ChIJj_MRuFqZpgARtdn9AwGCoos" TargetMode="External" Id="rId1215" /><Relationship Type="http://schemas.openxmlformats.org/officeDocument/2006/relationships/hyperlink" Target="https://www.google.com/maps/search/?api=1&amp;query=Vespa%20TCG%20Card%20Store&amp;query_place_id=ChIJM71EkmeXpgAR-81Om8EYtkE" TargetMode="External" Id="rId1216" /><Relationship Type="http://schemas.openxmlformats.org/officeDocument/2006/relationships/hyperlink" Target="https://www.google.com/maps/search/?api=1&amp;query=Wow%20Park&amp;query_place_id=ChIJj-Seu2yXpgAR1Jezj-Ci0gE" TargetMode="External" Id="rId1217" /><Relationship Type="http://schemas.openxmlformats.org/officeDocument/2006/relationships/hyperlink" Target="https://www.google.com/maps/search/?api=1&amp;query=Xadrez%20de%20Contato&amp;query_place_id=ChIJf1undfOXpgARipUxXU72-2A" TargetMode="External" Id="rId1218" /><Relationship Type="http://schemas.openxmlformats.org/officeDocument/2006/relationships/hyperlink" Target="https://www.google.com/maps/search/?api=1&amp;query=Yakan&amp;query_place_id=ChIJNYmxsPeZpgARS_lAUcErAFI" TargetMode="External" Id="rId1219" /><Relationship Type="http://schemas.openxmlformats.org/officeDocument/2006/relationships/hyperlink" Target="https://www.google.com/maps/search/?api=1&amp;query=ZEUS%20GAMES%20BH&amp;query_place_id=ChIJtwr4B2uapgARmoNuWVdPSUY" TargetMode="External" Id="rId1220" /><Relationship Type="http://schemas.openxmlformats.org/officeDocument/2006/relationships/hyperlink" Target="https://www.google.com/maps/search/?api=1&amp;query=vila%20l%C3%BAdica&amp;query_place_id=ChIJAQAUxWGXpgARFPNWGvphNQA" TargetMode="External" Id="rId1221" /><Relationship Type="http://schemas.openxmlformats.org/officeDocument/2006/relationships/hyperlink" Target="https://www.google.com/maps/search/?api=1&amp;query=Massula%20Nerd%20House&amp;query_place_id=ChIJK-IiTfuVpgARx8rVtqv8c3g" TargetMode="External" Id="rId1222" /><Relationship Type="http://schemas.openxmlformats.org/officeDocument/2006/relationships/hyperlink" Target="https://www.google.com/maps/search/?api=1&amp;query=%C3%94%20Bar%20Lounge%20%26%20Drinkeria&amp;query_place_id=ChIJ2bENOdqVpgARP1bHlg0ofLc" TargetMode="External" Id="rId1223" /><Relationship Type="http://schemas.openxmlformats.org/officeDocument/2006/relationships/hyperlink" Target="https://www.google.com/maps/search/?api=1&amp;query=Tress%20Color%C3%AA&amp;query_place_id=ChIJi_B5ORw3C4wR08fK74ipWno" TargetMode="External" Id="rId1224" /><Relationship Type="http://schemas.openxmlformats.org/officeDocument/2006/relationships/hyperlink" Target="https://www.google.com/maps/search/?api=1&amp;query=FANTASY%20GAMES%20-%20Assist%C3%AAncia%20T%C3%A9cnica%20Especializada&amp;query_place_id=ChIJ_1Yngo-LpJIRj6otOv7kRn8" TargetMode="External" Id="rId1225" /><Relationship Type="http://schemas.openxmlformats.org/officeDocument/2006/relationships/hyperlink" Target="https://www.google.com/maps/search/?api=1&amp;query=Best%20Drinks%20Openbar%20%28servi%C3%A7o%20de%20barman%29&amp;query_place_id=ChIJESrJVzaPpJIRfH9fLUFSekE" TargetMode="External" Id="rId1226" /><Relationship Type="http://schemas.openxmlformats.org/officeDocument/2006/relationships/hyperlink" Target="https://www.google.com/maps/search/?api=1&amp;query=Black%20Dog%20English%20Pub&amp;query_place_id=ChIJ8zoioqaOpJIRCvez_jo03LM" TargetMode="External" Id="rId1227" /><Relationship Type="http://schemas.openxmlformats.org/officeDocument/2006/relationships/hyperlink" Target="https://www.google.com/maps/search/?api=1&amp;query=Bosque%20Sport%20Bar%20%26%20Bowling%20%281%C2%B0%20andar%29&amp;query_place_id=ChIJj81KlDuKpJIRlI03TiX35f8" TargetMode="External" Id="rId1228" /><Relationship Type="http://schemas.openxmlformats.org/officeDocument/2006/relationships/hyperlink" Target="https://www.google.com/maps/search/?api=1&amp;query=Caf%C3%A9%20com%20Arte&amp;query_place_id=ChIJVTxYRTyPpJIRj9XZhG0JL3A" TargetMode="External" Id="rId1229" /><Relationship Type="http://schemas.openxmlformats.org/officeDocument/2006/relationships/hyperlink" Target="https://www.google.com/maps/search/?api=1&amp;query=Casa%20Marqu%C3%AAs&amp;query_place_id=ChIJgaC1OmqLpJIRawUQHELJQ-E" TargetMode="External" Id="rId1230" /><Relationship Type="http://schemas.openxmlformats.org/officeDocument/2006/relationships/hyperlink" Target="https://www.google.com/maps/search/?api=1&amp;query=Cosanostra%20Caf%C3%A9&amp;query_place_id=ChIJR-oYj4WOpJIRpgRsogKVGyo" TargetMode="External" Id="rId1231" /><Relationship Type="http://schemas.openxmlformats.org/officeDocument/2006/relationships/hyperlink" Target="https://www.google.com/maps/search/?api=1&amp;query=EXP%20CARD%20STORE&amp;query_place_id=ChIJiY9zEsyNpJIR_mfO_JdbZqY" TargetMode="External" Id="rId1232" /><Relationship Type="http://schemas.openxmlformats.org/officeDocument/2006/relationships/hyperlink" Target="https://www.google.com/maps/search/?api=1&amp;query=Exp%20Card%20Store&amp;query_place_id=ChIJW6B6GACPpJIRB--XoYN1boE" TargetMode="External" Id="rId1233" /><Relationship Type="http://schemas.openxmlformats.org/officeDocument/2006/relationships/hyperlink" Target="https://www.google.com/maps/search/?api=1&amp;query=GAME%20HOUSE%20BEL%C3%89M&amp;query_place_id=ChIJxxdXpZCPpJIRXqtxBwCGhgY" TargetMode="External" Id="rId1234" /><Relationship Type="http://schemas.openxmlformats.org/officeDocument/2006/relationships/hyperlink" Target="https://www.google.com/maps/search/?api=1&amp;query=Golden%20Plaza%20Bel%C3%A9m&amp;query_place_id=ChIJJ2XK6HiPpJIR-mKfVXU1D3A" TargetMode="External" Id="rId1235" /><Relationship Type="http://schemas.openxmlformats.org/officeDocument/2006/relationships/hyperlink" Target="https://www.google.com/maps/search/?api=1&amp;query=Havan%20Bel%C3%A9m&amp;query_place_id=ChIJsaXZ49VhpJIRfjecsk0yPHA" TargetMode="External" Id="rId1236" /><Relationship Type="http://schemas.openxmlformats.org/officeDocument/2006/relationships/hyperlink" Target="https://www.google.com/maps/search/?api=1&amp;query=Hey%21%20Hero%20Geek%20Store&amp;query_place_id=ChIJFfONwXGLpJIRBoRsNv3aQfI" TargetMode="External" Id="rId1237" /><Relationship Type="http://schemas.openxmlformats.org/officeDocument/2006/relationships/hyperlink" Target="https://www.google.com/maps/search/?api=1&amp;query=J%20M%20Games&amp;query_place_id=ChIJyW-C2YuOpJIRrMyg3yhcl5E" TargetMode="External" Id="rId1238" /><Relationship Type="http://schemas.openxmlformats.org/officeDocument/2006/relationships/hyperlink" Target="https://www.google.com/maps/search/?api=1&amp;query=Kalunga&amp;query_place_id=ChIJhfLWgNqLpJIRsVFNlpfDC14" TargetMode="External" Id="rId1239" /><Relationship Type="http://schemas.openxmlformats.org/officeDocument/2006/relationships/hyperlink" Target="https://www.google.com/maps/search/?api=1&amp;query=Kawaii%20Club&amp;query_place_id=ChIJfZbfeGSOpJIRWbpDnrXD7oo" TargetMode="External" Id="rId1240" /><Relationship Type="http://schemas.openxmlformats.org/officeDocument/2006/relationships/hyperlink" Target="https://www.google.com/maps/search/?api=1&amp;query=Lendarios%20da%20Amaz%C3%B4nia&amp;query_place_id=ChIJKXRG06qLpJIR4TaiC3Not9U" TargetMode="External" Id="rId1241" /><Relationship Type="http://schemas.openxmlformats.org/officeDocument/2006/relationships/hyperlink" Target="https://www.google.com/maps/search/?api=1&amp;query=Livraria%20Leitura&amp;query_place_id=ChIJF_QTmouOpJIRg7FX5pqL7xQ" TargetMode="External" Id="rId1242" /><Relationship Type="http://schemas.openxmlformats.org/officeDocument/2006/relationships/hyperlink" Target="https://www.google.com/maps/search/?api=1&amp;query=Loja%20de%20Brinquedos%20da%20Alice&amp;query_place_id=ChIJ6dpuPeiLpJIR8PJ20jZ5U-k" TargetMode="External" Id="rId1243" /><Relationship Type="http://schemas.openxmlformats.org/officeDocument/2006/relationships/hyperlink" Target="https://www.google.com/maps/search/?api=1&amp;query=Lontra%20Oriental%20Card%20Games%20TCG&amp;query_place_id=ChIJJVS7kJGJpJIRg5mWMBLgzr4" TargetMode="External" Id="rId1244" /><Relationship Type="http://schemas.openxmlformats.org/officeDocument/2006/relationships/hyperlink" Target="https://www.google.com/maps/search/?api=1&amp;query=Ludamigos%20-%20Jogos%20de%20tabuleiro&amp;query_place_id=ChIJy4yXvUOLpJIRoATvyfXMr5o" TargetMode="External" Id="rId1245" /><Relationship Type="http://schemas.openxmlformats.org/officeDocument/2006/relationships/hyperlink" Target="https://www.google.com/maps/search/?api=1&amp;query=Ludorim%20Boardgames%20-%20Jogos%20de%20Tabuleiro&amp;query_place_id=ChIJVRustamNpJIRE4QX47Z1-vw" TargetMode="External" Id="rId1246" /><Relationship Type="http://schemas.openxmlformats.org/officeDocument/2006/relationships/hyperlink" Target="https://www.google.com/maps/search/?api=1&amp;query=Ludoteca%20Sidequest&amp;query_place_id=ChIJ-97tiEeNpJIRb_eV7a-sxBs" TargetMode="External" Id="rId1247" /><Relationship Type="http://schemas.openxmlformats.org/officeDocument/2006/relationships/hyperlink" Target="https://www.google.com/maps/search/?api=1&amp;query=Mago%20Jogos&amp;query_place_id=ChIJMYNbjXyOpJIRWBmqMSlEcBQ" TargetMode="External" Id="rId1248" /><Relationship Type="http://schemas.openxmlformats.org/officeDocument/2006/relationships/hyperlink" Target="https://www.google.com/maps/search/?api=1&amp;query=Manga%20Jamb%C3%BA&amp;query_place_id=ChIJndA-gWmPpJIRAh93GDKlu_M" TargetMode="External" Id="rId1249" /><Relationship Type="http://schemas.openxmlformats.org/officeDocument/2006/relationships/hyperlink" Target="https://www.google.com/maps/search/?api=1&amp;query=Martins%20Loja%20de%20Variedades%20O%20Rei%20dos%20Brinquedos&amp;query_place_id=ChIJVe4Y9ziPpJIR4LDvs8gUPlc" TargetMode="External" Id="rId1250" /><Relationship Type="http://schemas.openxmlformats.org/officeDocument/2006/relationships/hyperlink" Target="https://www.google.com/maps/search/?api=1&amp;query=Mestre%20Dos%20Games%20E%20Tecnologia&amp;query_place_id=ChIJeVxl1I5hpJIRPDXL-aFbMFw" TargetMode="External" Id="rId1251" /><Relationship Type="http://schemas.openxmlformats.org/officeDocument/2006/relationships/hyperlink" Target="https://www.google.com/maps/search/?api=1&amp;query=Nerdices%20%7C%20A%20sua%20loja%20geek%20em%20Bel%C3%A9m&amp;query_place_id=ChIJ9arjXI5-L4kRvQ_arqNVNG0" TargetMode="External" Id="rId1252" /><Relationship Type="http://schemas.openxmlformats.org/officeDocument/2006/relationships/hyperlink" Target="https://www.google.com/maps/search/?api=1&amp;query=Oriental%20Video%20e%20Game&amp;query_place_id=ChIJv3fk2nqOpJIRhyuz_OgElJg" TargetMode="External" Id="rId1253" /><Relationship Type="http://schemas.openxmlformats.org/officeDocument/2006/relationships/hyperlink" Target="https://www.google.com/maps/search/?api=1&amp;query=PIXXELS%20Gamer%20Club%C2%AE%EF%B8%8E&amp;query_place_id=ChIJ6S1J8O2JpJIRCNzqFrfvwfE" TargetMode="External" Id="rId1254" /><Relationship Type="http://schemas.openxmlformats.org/officeDocument/2006/relationships/hyperlink" Target="https://www.google.com/maps/search/?api=1&amp;query=Pixito%20Bar%20e%20Restaurante&amp;query_place_id=ChIJ1zTXTX2OpJIRqhcdf0Myv4E" TargetMode="External" Id="rId1255" /><Relationship Type="http://schemas.openxmlformats.org/officeDocument/2006/relationships/hyperlink" Target="https://www.google.com/maps/search/?api=1&amp;query=Play%20Action%20Games%20-%20Loja%20de%20games%20em%20bel%C3%A9m&amp;query_place_id=ChIJQ-IrKgmLpJIRuWxTFSFu_hk" TargetMode="External" Id="rId1256" /><Relationship Type="http://schemas.openxmlformats.org/officeDocument/2006/relationships/hyperlink" Target="https://www.google.com/maps/search/?api=1&amp;query=Play%20Games&amp;query_place_id=ChIJ-ZF-kTuKpJIRNW1TcmIqv1w" TargetMode="External" Id="rId1257" /><Relationship Type="http://schemas.openxmlformats.org/officeDocument/2006/relationships/hyperlink" Target="https://www.google.com/maps/search/?api=1&amp;query=QG%20Nemesis&amp;query_place_id=ChIJ7V4PGvOPpJIRdHptSa-eYUM" TargetMode="External" Id="rId1258" /><Relationship Type="http://schemas.openxmlformats.org/officeDocument/2006/relationships/hyperlink" Target="https://www.google.com/maps/search/?api=1&amp;query=RI%20HAPPY%20BOULEVARD%20BEL%C3%89M&amp;query_place_id=ChIJqe-m85eOpJIRwd3mPdxnMqI" TargetMode="External" Id="rId1259" /><Relationship Type="http://schemas.openxmlformats.org/officeDocument/2006/relationships/hyperlink" Target="https://www.google.com/maps/search/?api=1&amp;query=RI%20HAPPY%20PARQUE%20BEL%C3%89M&amp;query_place_id=ChIJG9hiyNdhpJIREHBjZ0m6veA" TargetMode="External" Id="rId1260" /><Relationship Type="http://schemas.openxmlformats.org/officeDocument/2006/relationships/hyperlink" Target="https://www.google.com/maps/search/?api=1&amp;query=RI%20HAPPY%20SHOPPING%20BOSQUE%20GR%C3%83O%20PAR%C3%81&amp;query_place_id=ChIJDWRYjTuKpJIRdvTtgJ7t764" TargetMode="External" Id="rId1261" /><Relationship Type="http://schemas.openxmlformats.org/officeDocument/2006/relationships/hyperlink" Target="https://www.google.com/maps/search/?api=1&amp;query=Smart%20Geek%20Brasil&amp;query_place_id=ChIJFQHtdQ6LpJIR2TFPBl5fXys" TargetMode="External" Id="rId1262" /><Relationship Type="http://schemas.openxmlformats.org/officeDocument/2006/relationships/hyperlink" Target="https://www.google.com/maps/search/?api=1&amp;query=Studio%20Pub&amp;query_place_id=ChIJ_WVZGImOpJIRH46_kCo4X3Q" TargetMode="External" Id="rId1263" /><Relationship Type="http://schemas.openxmlformats.org/officeDocument/2006/relationships/hyperlink" Target="https://www.google.com/maps/search/?api=1&amp;query=Supra%20Cards&amp;query_place_id=ChIJB3QNOfeLpJIRXZnnxwGI70M" TargetMode="External" Id="rId1264" /><Relationship Type="http://schemas.openxmlformats.org/officeDocument/2006/relationships/hyperlink" Target="https://www.google.com/maps/search/?api=1&amp;query=The%20Vault%20Pub&amp;query_place_id=ChIJX5zANwCNpJIRqolsTPu6P7E" TargetMode="External" Id="rId1265" /><Relationship Type="http://schemas.openxmlformats.org/officeDocument/2006/relationships/hyperlink" Target="https://www.google.com/maps/search/?api=1&amp;query=Tsunami%20Games&amp;query_place_id=ChIJxxbPw4uOpJIRWWSrQJ2cQiU" TargetMode="External" Id="rId1266" /><Relationship Type="http://schemas.openxmlformats.org/officeDocument/2006/relationships/hyperlink" Target="https://www.google.com/maps/search/?api=1&amp;query=Tsunami%20Games%20%26%20Inform%C3%A1tica&amp;query_place_id=ChIJxdjX24uOpJIR8qZK9s7LF4s" TargetMode="External" Id="rId1267" /><Relationship Type="http://schemas.openxmlformats.org/officeDocument/2006/relationships/hyperlink" Target="https://www.google.com/maps/search/?api=1&amp;query=Universo%20Geek%20Store&amp;query_place_id=ChIJfTUN-duJpJIRgfzVfddwDHY" TargetMode="External" Id="rId1268" /><Relationship Type="http://schemas.openxmlformats.org/officeDocument/2006/relationships/hyperlink" Target="https://www.google.com/maps/search/?api=1&amp;query=Via%20Bella%20Games%20Inform%C3%A1tica&amp;query_place_id=ChIJudT16IuOpJIRfxPVGu_j4a4" TargetMode="External" Id="rId1269" /><Relationship Type="http://schemas.openxmlformats.org/officeDocument/2006/relationships/hyperlink" Target="https://www.google.com/maps/search/?api=1&amp;query=Loja%20dos%20games&amp;query_place_id=ChIJATzw3kMVqwcRdQoRnaNMsVE" TargetMode="External" Id="rId1270" /><Relationship Type="http://schemas.openxmlformats.org/officeDocument/2006/relationships/hyperlink" Target="https://www.google.com/maps/search/?api=1&amp;query=Imp%C3%A9rio%20dos%20Games&amp;query_place_id=ChIJXTlPZ08aqwcRxSWVMwAP0ug" TargetMode="External" Id="rId1271" /><Relationship Type="http://schemas.openxmlformats.org/officeDocument/2006/relationships/hyperlink" Target="https://www.google.com/maps/search/?api=1&amp;query=Mochila%20Geek&amp;query_place_id=ChIJJ216gWsbqwcRgjCwj5wYp-0" TargetMode="External" Id="rId1272" /><Relationship Type="http://schemas.openxmlformats.org/officeDocument/2006/relationships/hyperlink" Target="https://www.google.com/maps/search/?api=1&amp;query=Comida&amp;query_place_id=ChIJH5hULdrjqgcRjMaQ4fnIRks" TargetMode="External" Id="rId1273" /><Relationship Type="http://schemas.openxmlformats.org/officeDocument/2006/relationships/hyperlink" Target="https://www.google.com/maps/search/?api=1&amp;query=Unigames%20Guararapes&amp;query_place_id=ChIJq6qRzLnhqgcRSK28MQl1DPU" TargetMode="External" Id="rId1274" /><Relationship Type="http://schemas.openxmlformats.org/officeDocument/2006/relationships/hyperlink" Target="https://www.google.com/maps/search/?api=1&amp;query=UNIGAMES%20PATTEO&amp;query_place_id=ChIJ-wTWYac9qwcRyXowXrwQI8U" TargetMode="External" Id="rId1275" /><Relationship Type="http://schemas.openxmlformats.org/officeDocument/2006/relationships/hyperlink" Target="https://www.google.com/maps/search/?api=1&amp;query=Wow%20Park&amp;query_place_id=ChIJE3oF2OA9qwcRkNEcl3b78kQ" TargetMode="External" Id="rId1276" /><Relationship Type="http://schemas.openxmlformats.org/officeDocument/2006/relationships/hyperlink" Target="https://www.google.com/maps/search/?api=1&amp;query=Torres%20do%20Drag%C3%A3o&amp;query_place_id=ChIJhWa9WcY9qwcRWkOkmgNvWfM" TargetMode="External" Id="rId1277" /><Relationship Type="http://schemas.openxmlformats.org/officeDocument/2006/relationships/hyperlink" Target="https://www.google.com/maps/search/?api=1&amp;query=Arc%C3%A1dia%20Tabuleria&amp;query_place_id=ChIJMROk5FIZqwcRrJpuhpd_n5M" TargetMode="External" Id="rId1278" /><Relationship Type="http://schemas.openxmlformats.org/officeDocument/2006/relationships/hyperlink" Target="https://www.google.com/maps/search/?api=1&amp;query=Atacado%20Dos%20Presentes%20Imbiribeira&amp;query_place_id=ChIJp6m9aU4eqwcRhgeJI1PPzxU" TargetMode="External" Id="rId1279" /><Relationship Type="http://schemas.openxmlformats.org/officeDocument/2006/relationships/hyperlink" Target="https://www.google.com/maps/search/?api=1&amp;query=Atacad%C3%A3o%20Mec%20Papelaria%20-%20Rosarinho&amp;query_place_id=ChIJP0EE_bcZqwcRhwh4EoxwUdM" TargetMode="External" Id="rId1280" /><Relationship Type="http://schemas.openxmlformats.org/officeDocument/2006/relationships/hyperlink" Target="https://www.google.com/maps/search/?api=1&amp;query=Bakamoon%20Comic%20Store&amp;query_place_id=ChIJKy8Z1LgYqwcRbOLwDj1qVfY" TargetMode="External" Id="rId1281" /><Relationship Type="http://schemas.openxmlformats.org/officeDocument/2006/relationships/hyperlink" Target="https://www.google.com/maps/search/?api=1&amp;query=Bar%20Real%20Botequim&amp;query_place_id=ChIJJ4U2TqcZqwcRg83OBm1F2s4" TargetMode="External" Id="rId1282" /><Relationship Type="http://schemas.openxmlformats.org/officeDocument/2006/relationships/hyperlink" Target="https://www.google.com/maps/search/?api=1&amp;query=Brinque%20e%20pule&amp;query_place_id=ChIJ9-2dZkIZqwcRZ0yWqnsR3no" TargetMode="External" Id="rId1283" /><Relationship Type="http://schemas.openxmlformats.org/officeDocument/2006/relationships/hyperlink" Target="https://www.google.com/maps/search/?api=1&amp;query=Brinquedoteca%20do%20Pedro&amp;query_place_id=ChIJN6oPbgAZqwcRaaXGaDZXc8Y" TargetMode="External" Id="rId1284" /><Relationship Type="http://schemas.openxmlformats.org/officeDocument/2006/relationships/hyperlink" Target="https://www.google.com/maps/search/?api=1&amp;query=Casa%20das%20Asas%20-%20Centro%20Recreativo&amp;query_place_id=ChIJj8Y1lOMYqwcRERhqqJ-Z7Kw" TargetMode="External" Id="rId1285" /><Relationship Type="http://schemas.openxmlformats.org/officeDocument/2006/relationships/hyperlink" Target="https://www.google.com/maps/search/?api=1&amp;query=Casa%20de%20Magalh%C3%A3es&amp;query_place_id=ChIJZwp6WwAZqwcR43Z9WcQDRWM" TargetMode="External" Id="rId1286" /><Relationship Type="http://schemas.openxmlformats.org/officeDocument/2006/relationships/hyperlink" Target="https://www.google.com/maps/search/?api=1&amp;query=Caverna%20do%20Drag%C3%A3o%20Card%20Shop&amp;query_place_id=ChIJU7q_hVEfqwcRxNkeHJ-woKI" TargetMode="External" Id="rId1287" /><Relationship Type="http://schemas.openxmlformats.org/officeDocument/2006/relationships/hyperlink" Target="https://www.google.com/maps/search/?api=1&amp;query=Cervejaria%20Alphaiate&amp;query_place_id=ChIJP6KsrQ0fqwcR9u4OgDX-5hI" TargetMode="External" Id="rId1288" /><Relationship Type="http://schemas.openxmlformats.org/officeDocument/2006/relationships/hyperlink" Target="https://www.google.com/maps/search/?api=1&amp;query=Cia%20do%20Chopp&amp;query_place_id=ChIJnabFB6cfqwcR4oimvbaJMMA" TargetMode="External" Id="rId1289" /><Relationship Type="http://schemas.openxmlformats.org/officeDocument/2006/relationships/hyperlink" Target="https://www.google.com/maps/search/?api=1&amp;query=Criativa%20-%20Loja%20de%20Brinquedos%20em%20Recife&amp;query_place_id=ChIJ_WS-gXIZqwcRJEm1exfeYNw" TargetMode="External" Id="rId1290" /><Relationship Type="http://schemas.openxmlformats.org/officeDocument/2006/relationships/hyperlink" Target="https://www.google.com/maps/search/?api=1&amp;query=Discord%20org&amp;query_place_id=ChIJmUA2GCsZqwcR00G4pRI6toI" TargetMode="External" Id="rId1291" /><Relationship Type="http://schemas.openxmlformats.org/officeDocument/2006/relationships/hyperlink" Target="https://www.google.com/maps/search/?api=1&amp;query=Dom%20Medieval&amp;query_place_id=ChIJQ06rn-UdqwcR9yTGZOOYmjA" TargetMode="External" Id="rId1292" /><Relationship Type="http://schemas.openxmlformats.org/officeDocument/2006/relationships/hyperlink" Target="https://www.google.com/maps/search/?api=1&amp;query=Doutor%20Game&amp;query_place_id=ChIJrU2D9bkYqwcRMw5QIH_W93Y" TargetMode="External" Id="rId1293" /><Relationship Type="http://schemas.openxmlformats.org/officeDocument/2006/relationships/hyperlink" Target="https://www.google.com/maps/search/?api=1&amp;query=Downtown%20Beer%20Garden&amp;query_place_id=ChIJ5bFbLc8ZqwcRalbDDUkO7p8" TargetMode="External" Id="rId1294" /><Relationship Type="http://schemas.openxmlformats.org/officeDocument/2006/relationships/hyperlink" Target="https://www.google.com/maps/search/?api=1&amp;query=Escrit%C3%B3rio%20-%20Zona%20Sul&amp;query_place_id=ChIJ8y_w50oeqwcRwp-aASX2r4A" TargetMode="External" Id="rId1295" /><Relationship Type="http://schemas.openxmlformats.org/officeDocument/2006/relationships/hyperlink" Target="https://www.google.com/maps/search/?api=1&amp;query=GAMER%20PRO%20Info%20-%20Inform%C3%A1tica%20e%20Assist%C3%AAncia%20T%C3%A9cnica&amp;query_place_id=ChIJP0M935EZqwcRWkubiD8IYU8" TargetMode="External" Id="rId1296" /><Relationship Type="http://schemas.openxmlformats.org/officeDocument/2006/relationships/hyperlink" Target="https://www.google.com/maps/search/?api=1&amp;query=Game%20Station%20-%20Shopping%20Recife&amp;query_place_id=ChIJNeYc0h4fqwcR4F0JqfKlFeI" TargetMode="External" Id="rId1297" /><Relationship Type="http://schemas.openxmlformats.org/officeDocument/2006/relationships/hyperlink" Target="https://www.google.com/maps/search/?api=1&amp;query=Game%20Station%20-%20Shopping%20RioMar%20Recife&amp;query_place_id=ChIJk41d7DsfqwcR5-mZtALjDGI" TargetMode="External" Id="rId1298" /><Relationship Type="http://schemas.openxmlformats.org/officeDocument/2006/relationships/hyperlink" Target="https://www.google.com/maps/search/?api=1&amp;query=GameBox%20-%20RioMar%20Recife&amp;query_place_id=ChIJ_a-TajsfqwcRYx_m7yVBtUg" TargetMode="External" Id="rId1299" /><Relationship Type="http://schemas.openxmlformats.org/officeDocument/2006/relationships/hyperlink" Target="https://www.google.com/maps/search/?api=1&amp;query=Geek%20Shop%20Brasil&amp;query_place_id=ChIJNZezaecZqwcRheMGrY5Eh20" TargetMode="External" Id="rId1300" /><Relationship Type="http://schemas.openxmlformats.org/officeDocument/2006/relationships/hyperlink" Target="https://www.google.com/maps/search/?api=1&amp;query=Jockey%20365&amp;query_place_id=ChIJ83EOLSQZqwcRbNJHkspUwnE" TargetMode="External" Id="rId1301" /><Relationship Type="http://schemas.openxmlformats.org/officeDocument/2006/relationships/hyperlink" Target="https://www.google.com/maps/search/?api=1&amp;query=L.B%20GAMES&amp;query_place_id=ChIJ3aOySD8fqwcRM5jPRigh9jk" TargetMode="External" Id="rId1302" /><Relationship Type="http://schemas.openxmlformats.org/officeDocument/2006/relationships/hyperlink" Target="https://www.google.com/maps/search/?api=1&amp;query=LH%20Divers%C3%B5es&amp;query_place_id=ChIJN_24eQsbqwcRWk9e9dTgoBw" TargetMode="External" Id="rId1303" /><Relationship Type="http://schemas.openxmlformats.org/officeDocument/2006/relationships/hyperlink" Target="https://www.google.com/maps/search/?api=1&amp;query=Leitura&amp;query_place_id=ChIJ929zA30YqwcRdDva32rB9ig" TargetMode="External" Id="rId1304" /><Relationship Type="http://schemas.openxmlformats.org/officeDocument/2006/relationships/hyperlink" Target="https://www.google.com/maps/search/?api=1&amp;query=Livraria%20Jaqueira%20-%20Recife%20Antigo&amp;query_place_id=ChIJP6MeE30ZqwcRNAIuKWEntrA" TargetMode="External" Id="rId1305" /><Relationship Type="http://schemas.openxmlformats.org/officeDocument/2006/relationships/hyperlink" Target="https://www.google.com/maps/search/?api=1&amp;query=Loja%20UltraCombo%20Games&amp;query_place_id=ChIJO2IblLgZqwcRLC2EATBjs64" TargetMode="External" Id="rId1306" /><Relationship Type="http://schemas.openxmlformats.org/officeDocument/2006/relationships/hyperlink" Target="https://www.google.com/maps/search/?api=1&amp;query=Magic%20Center%20Recife&amp;query_place_id=ChIJeSyfsJEYqwcR69zU77zoFkE" TargetMode="External" Id="rId1307" /><Relationship Type="http://schemas.openxmlformats.org/officeDocument/2006/relationships/hyperlink" Target="https://www.google.com/maps/search/?api=1&amp;query=Mano%27s%20Games&amp;query_place_id=ChIJV6LiHPcYqwcRlz0JRjCWbnE" TargetMode="External" Id="rId1308" /><Relationship Type="http://schemas.openxmlformats.org/officeDocument/2006/relationships/hyperlink" Target="https://www.google.com/maps/search/?api=1&amp;query=Mesa%20RPG&amp;query_place_id=ChIJoc8aVEcZqwcRMQnI0iA1_XY" TargetMode="External" Id="rId1309" /><Relationship Type="http://schemas.openxmlformats.org/officeDocument/2006/relationships/hyperlink" Target="https://www.google.com/maps/search/?api=1&amp;query=Nala%20Land%20-%20Bar%20de%20Jogos%20de%20Tabuleiro%20em%20Recife&amp;query_place_id=ChIJRUjwU66WoGgRzc9yJU7jkwM" TargetMode="External" Id="rId1310" /><Relationship Type="http://schemas.openxmlformats.org/officeDocument/2006/relationships/hyperlink" Target="https://www.google.com/maps/search/?api=1&amp;query=Novo%20Quintal&amp;query_place_id=ChIJHQadifgfqwcRMtLRsq7O1bc" TargetMode="External" Id="rId1311" /><Relationship Type="http://schemas.openxmlformats.org/officeDocument/2006/relationships/hyperlink" Target="https://www.google.com/maps/search/?api=1&amp;query=PBKIDS&amp;query_place_id=ChIJO3EbYq0fqwcRk3TM-RXuhhk" TargetMode="External" Id="rId1312" /><Relationship Type="http://schemas.openxmlformats.org/officeDocument/2006/relationships/hyperlink" Target="https://www.google.com/maps/search/?api=1&amp;query=Pajubar&amp;query_place_id=ChIJjYdacBcZqwcR3kbkOLQuT_o" TargetMode="External" Id="rId1313" /><Relationship Type="http://schemas.openxmlformats.org/officeDocument/2006/relationships/hyperlink" Target="https://www.google.com/maps/search/?api=1&amp;query=Pina%20Cocktails%20%26%20Co.&amp;query_place_id=ChIJVVVVVYXzsXoRPJOHUKGUwWU" TargetMode="External" Id="rId1314" /><Relationship Type="http://schemas.openxmlformats.org/officeDocument/2006/relationships/hyperlink" Target="https://www.google.com/maps/search/?api=1&amp;query=Pok%C3%A9polis&amp;query_place_id=ChIJMaFxK48ZqwcRfYAxY_t-IXk" TargetMode="External" Id="rId1315" /><Relationship Type="http://schemas.openxmlformats.org/officeDocument/2006/relationships/hyperlink" Target="https://www.google.com/maps/search/?api=1&amp;query=Ponto%20Cego%20speakeasy&amp;query_place_id=ChIJm2v18fYfqwcRmHi09LuUyBc" TargetMode="External" Id="rId1316" /><Relationship Type="http://schemas.openxmlformats.org/officeDocument/2006/relationships/hyperlink" Target="https://www.google.com/maps/search/?api=1&amp;query=Pyro%20Geek%20Store%20-%20Loja%20Geek&amp;query_place_id=ChIJ-duHVp-ExIsR5QYbFeGBcLU" TargetMode="External" Id="rId1317" /><Relationship Type="http://schemas.openxmlformats.org/officeDocument/2006/relationships/hyperlink" Target="https://www.google.com/maps/search/?api=1&amp;query=QBGEEK&amp;query_place_id=ChIJa3u7y6YZqwcRNXudThA0wVc" TargetMode="External" Id="rId1318" /><Relationship Type="http://schemas.openxmlformats.org/officeDocument/2006/relationships/hyperlink" Target="https://www.google.com/maps/search/?api=1&amp;query=Queridas%20do%20Conclave&amp;query_place_id=ChIJe0N9xM0ZqwcRe7ntDSz_BM0" TargetMode="External" Id="rId1319" /><Relationship Type="http://schemas.openxmlformats.org/officeDocument/2006/relationships/hyperlink" Target="https://www.google.com/maps/search/?api=1&amp;query=RI%20HAPPY%20RIOMAR%20RECIFE&amp;query_place_id=ChIJf06WlTsfqwcRvkLnJVJ6nX0" TargetMode="External" Id="rId1320" /><Relationship Type="http://schemas.openxmlformats.org/officeDocument/2006/relationships/hyperlink" Target="https://www.google.com/maps/search/?api=1&amp;query=RPG%20%26%20Coffee&amp;query_place_id=ChIJT2cQ8WwfqwcRt0YgYzfsFlY" TargetMode="External" Id="rId1321" /><Relationship Type="http://schemas.openxmlformats.org/officeDocument/2006/relationships/hyperlink" Target="https://www.google.com/maps/search/?api=1&amp;query=Recanto%20Paraibano&amp;query_place_id=ChIJmb0wSqoZqwcRS3ocCVfIk4s" TargetMode="External" Id="rId1322" /><Relationship Type="http://schemas.openxmlformats.org/officeDocument/2006/relationships/hyperlink" Target="https://www.google.com/maps/search/?api=1&amp;query=Restaurante%20Mustang&amp;query_place_id=ChIJ5yXUBMEYqwcRMuu9OjuN7KU" TargetMode="External" Id="rId1323" /><Relationship Type="http://schemas.openxmlformats.org/officeDocument/2006/relationships/hyperlink" Target="https://www.google.com/maps/search/?api=1&amp;query=Rock%20%26%20Ribs%20Lounge%20Pub%20-%20Marco%20Zero%20-%20Recife/PE&amp;query_place_id=ChIJ3Qar76QYqwcRaFzRzabxg4Q" TargetMode="External" Id="rId1324" /><Relationship Type="http://schemas.openxmlformats.org/officeDocument/2006/relationships/hyperlink" Target="https://www.google.com/maps/search/?api=1&amp;query=STOCK%20NEW%20IMPORTS&amp;query_place_id=ChIJu9zbOwcZqwcRuW4zJLqI_2g" TargetMode="External" Id="rId1325" /><Relationship Type="http://schemas.openxmlformats.org/officeDocument/2006/relationships/hyperlink" Target="https://www.google.com/maps/search/?api=1&amp;query=Seu%20Tito%20Praia&amp;query_place_id=ChIJA3GXW2cfqwcRSOpl9Tt9cYc" TargetMode="External" Id="rId1326" /><Relationship Type="http://schemas.openxmlformats.org/officeDocument/2006/relationships/hyperlink" Target="https://www.google.com/maps/search/?api=1&amp;query=Shopping%20RioMar%20Recife&amp;query_place_id=ChIJRXxg7DsfqwcRTWwjGuZLtPk" TargetMode="External" Id="rId1327" /><Relationship Type="http://schemas.openxmlformats.org/officeDocument/2006/relationships/hyperlink" Target="https://www.google.com/maps/search/?api=1&amp;query=Shopping%20Tacaruna&amp;query_place_id=ChIJjxyfc30YqwcRXfWTGZIjF0o" TargetMode="External" Id="rId1328" /><Relationship Type="http://schemas.openxmlformats.org/officeDocument/2006/relationships/hyperlink" Target="https://www.google.com/maps/search/?api=1&amp;query=SpellGuard&amp;query_place_id=ChIJwQMnTB0fqwcR0HnwKiEoY7Q" TargetMode="External" Id="rId1329" /><Relationship Type="http://schemas.openxmlformats.org/officeDocument/2006/relationships/hyperlink" Target="https://www.google.com/maps/search/?api=1&amp;query=Tatu%20Bola&amp;query_place_id=ChIJ_Yjne1AfqwcRSAxdewiBAPU" TargetMode="External" Id="rId1330" /><Relationship Type="http://schemas.openxmlformats.org/officeDocument/2006/relationships/hyperlink" Target="https://www.google.com/maps/search/?api=1&amp;query=TechPrime%20Eletr%C3%B4nica&amp;query_place_id=ChIJh8fyHboYqwcRqcV2HDW3gRE" TargetMode="External" Id="rId1331" /><Relationship Type="http://schemas.openxmlformats.org/officeDocument/2006/relationships/hyperlink" Target="https://www.google.com/maps/search/?api=1&amp;query=Techno%20Space%20Inform%C3%A1tica&amp;query_place_id=ChIJ_4j0ObcfqwcRyYZH2o5RAKw" TargetMode="External" Id="rId1332" /><Relationship Type="http://schemas.openxmlformats.org/officeDocument/2006/relationships/hyperlink" Target="https://www.google.com/maps/search/?api=1&amp;query=Tem%20Asterisco%3F&amp;query_place_id=ChIJFb8Ap7MZqwcRzUPEAgW_A84" TargetMode="External" Id="rId1333" /><Relationship Type="http://schemas.openxmlformats.org/officeDocument/2006/relationships/hyperlink" Target="https://www.google.com/maps/search/?api=1&amp;query=Top%20Games&amp;query_place_id=ChIJeUSEjrkYqwcRl3gXQXsmECQ" TargetMode="External" Id="rId1334" /><Relationship Type="http://schemas.openxmlformats.org/officeDocument/2006/relationships/hyperlink" Target="https://www.google.com/maps/search/?api=1&amp;query=Top%20Games%20-%20Shopping%20Plaza%20Casa%20Forte&amp;query_place_id=ChIJhea7H1MZqwcRqVxPaqvCs1k" TargetMode="External" Id="rId1335" /><Relationship Type="http://schemas.openxmlformats.org/officeDocument/2006/relationships/hyperlink" Target="https://www.google.com/maps/search/?api=1&amp;query=Trade%20Games&amp;query_place_id=ChIJt8GjZMcYqwcRUtE5E44Yhwg" TargetMode="External" Id="rId1336" /><Relationship Type="http://schemas.openxmlformats.org/officeDocument/2006/relationships/hyperlink" Target="https://www.google.com/maps/search/?api=1&amp;query=UNIGAMES&amp;query_place_id=ChIJSTIV-KIfqwcROAjEHdlnidY" TargetMode="External" Id="rId1337" /><Relationship Type="http://schemas.openxmlformats.org/officeDocument/2006/relationships/hyperlink" Target="https://www.google.com/maps/search/?api=1&amp;query=UNIGAMES%20TACARUNA&amp;query_place_id=ChIJlcJzpK0ZqwcRsxKaaA1uaek" TargetMode="External" Id="rId1338" /><Relationship Type="http://schemas.openxmlformats.org/officeDocument/2006/relationships/hyperlink" Target="https://www.google.com/maps/search/?api=1&amp;query=Uniao%20Dos%20Games&amp;query_place_id=ChIJUy7C57UYqwcRp40EuKppzF8" TargetMode="External" Id="rId1339" /><Relationship Type="http://schemas.openxmlformats.org/officeDocument/2006/relationships/hyperlink" Target="https://www.google.com/maps/search/?api=1&amp;query=Youplay%20Shopping%20Recife&amp;query_place_id=ChIJE1uDVQAfqwcR8E6Bbo8iIBw" TargetMode="External" Id="rId1340" /><Relationship Type="http://schemas.openxmlformats.org/officeDocument/2006/relationships/hyperlink" Target="https://www.google.com/maps/search/?api=1&amp;query=Zastras%20Brinquedos%20Recife&amp;query_place_id=ChIJDSBqInUfqwcRe0yieFgjJdk" TargetMode="External" Id="rId1341" /><Relationship Type="http://schemas.openxmlformats.org/officeDocument/2006/relationships/hyperlink" Target="https://www.google.com/maps/search/?api=1&amp;query=Zepelim%20Brinquedos%20Educativos%20%7C%20Atendimento%20Online%20e%20Presencial&amp;query_place_id=ChIJl1RpPPAYqwcRUGyGuluwiOg" TargetMode="External" Id="rId1342" /><Relationship Type="http://schemas.openxmlformats.org/officeDocument/2006/relationships/hyperlink" Target="https://www.google.com/maps/search/?api=1&amp;query=purswitch&amp;query_place_id=ChIJR9bJ1qMZqwcRmad51wY1iL8" TargetMode="External" Id="rId1343" /><Relationship Type="http://schemas.openxmlformats.org/officeDocument/2006/relationships/hyperlink" Target="https://www.google.com/maps/search/?api=1&amp;query=AC%20Games&amp;query_place_id=ChIJtUtmZB3l3JQRYb3sZEFlMXI" TargetMode="External" Id="rId1344" /><Relationship Type="http://schemas.openxmlformats.org/officeDocument/2006/relationships/hyperlink" Target="https://www.google.com/maps/search/?api=1&amp;query=Alba%20-%20Caf%C3%A9%20e%20jogos%20de%20tabuleiro&amp;query_place_id=ChIJV5xi80_l3JQRyRgvZvdRi8I" TargetMode="External" Id="rId1345" /><Relationship Type="http://schemas.openxmlformats.org/officeDocument/2006/relationships/hyperlink" Target="https://www.google.com/maps/search/?api=1&amp;query=Al%C3%A7ap%C3%A3o%20Jogos&amp;query_place_id=ChIJ3ekLtDjl3JQRHwtNgmINgLo" TargetMode="External" Id="rId1346" /><Relationship Type="http://schemas.openxmlformats.org/officeDocument/2006/relationships/hyperlink" Target="https://www.google.com/maps/search/?api=1&amp;query=Arena%20Cajuru&amp;query_place_id=ChIJ0Q_qUPzl3JQRGum2ROsTfJk" TargetMode="External" Id="rId1347" /><Relationship Type="http://schemas.openxmlformats.org/officeDocument/2006/relationships/hyperlink" Target="https://www.google.com/maps/search/?api=1&amp;query=Ateli%C3%AA%20de%20Entusiasmo&amp;query_place_id=ChIJj10jK6Pl3JQR1fK0UarOy8E" TargetMode="External" Id="rId1348" /><Relationship Type="http://schemas.openxmlformats.org/officeDocument/2006/relationships/hyperlink" Target="https://www.google.com/maps/search/?api=1&amp;query=Bar%20Nacional&amp;query_place_id=ChIJDb1WBDHl3JQRE3il9usJErc" TargetMode="External" Id="rId1349" /><Relationship Type="http://schemas.openxmlformats.org/officeDocument/2006/relationships/hyperlink" Target="https://www.google.com/maps/search/?api=1&amp;query=Bergamotta%20Bar&amp;query_place_id=ChIJ_7to5Jzl3JQRZdb28N6CLVs" TargetMode="External" Id="rId1350" /><Relationship Type="http://schemas.openxmlformats.org/officeDocument/2006/relationships/hyperlink" Target="https://www.google.com/maps/search/?api=1&amp;query=BoardZ%20Game%20Pub&amp;query_place_id=ChIJY_lqHVLl3JQRvDHacOMDKuc" TargetMode="External" Id="rId1351" /><Relationship Type="http://schemas.openxmlformats.org/officeDocument/2006/relationships/hyperlink" Target="https://www.google.com/maps/search/?api=1&amp;query=Borba%20Games%20%7C%20Venda%20e%20Aluguel%20de%20Jogos%20de%20Tabuleiros&amp;query_place_id=ChIJcT2Umb7j3JQR7939BdNxnFE" TargetMode="External" Id="rId1352" /><Relationship Type="http://schemas.openxmlformats.org/officeDocument/2006/relationships/hyperlink" Target="https://www.google.com/maps/search/?api=1&amp;query=Brasil%20Games&amp;query_place_id=ChIJLVw9dV3j3JQRrIogSaHoM-c" TargetMode="External" Id="rId1353" /><Relationship Type="http://schemas.openxmlformats.org/officeDocument/2006/relationships/hyperlink" Target="https://www.google.com/maps/search/?api=1&amp;query=Calm%20Mind%20Store&amp;query_place_id=ChIJn_RCCGr73JQROuAqzsXWvBg" TargetMode="External" Id="rId1354" /><Relationship Type="http://schemas.openxmlformats.org/officeDocument/2006/relationships/hyperlink" Target="https://www.google.com/maps/search/?api=1&amp;query=Capim%20Le%C3%A3o%20Bar%20e%20Brasa&amp;query_place_id=ChIJfcwjgdTj3JQRPpna5z6uVMo" TargetMode="External" Id="rId1355" /><Relationship Type="http://schemas.openxmlformats.org/officeDocument/2006/relationships/hyperlink" Target="https://www.google.com/maps/search/?api=1&amp;query=Casa%20Meeple%20-%20Aluguel%20de%20Jogos%20de%20Tabuleiro&amp;query_place_id=ChIJlaSMln_j3JQRaMmW9Ztt91c" TargetMode="External" Id="rId1356" /><Relationship Type="http://schemas.openxmlformats.org/officeDocument/2006/relationships/hyperlink" Target="https://www.google.com/maps/search/?api=1&amp;query=Casa%20Poppis%20Bacacheri&amp;query_place_id=ChIJM90xWKLn3JQRB2OE4FWRd8Q" TargetMode="External" Id="rId1357" /><Relationship Type="http://schemas.openxmlformats.org/officeDocument/2006/relationships/hyperlink" Target="https://www.google.com/maps/search/?api=1&amp;query=Casa%20Poppis%20Sede%20Tarum%C3%A3&amp;query_place_id=ChIJl5wzqEDl3JQRqPtA-5kBbfA" TargetMode="External" Id="rId1358" /><Relationship Type="http://schemas.openxmlformats.org/officeDocument/2006/relationships/hyperlink" Target="https://www.google.com/maps/search/?api=1&amp;query=Cidadela%20Card%20Games&amp;query_place_id=ChIJZaTDQ_7n3JQRkEOI_veMDEM" TargetMode="External" Id="rId1359" /><Relationship Type="http://schemas.openxmlformats.org/officeDocument/2006/relationships/hyperlink" Target="https://www.google.com/maps/search/?api=1&amp;query=Clube%20de%20Xadrez%20de%20Curitiba&amp;query_place_id=ChIJdbHA1mzk3JQR6og5NL_0zss" TargetMode="External" Id="rId1360" /><Relationship Type="http://schemas.openxmlformats.org/officeDocument/2006/relationships/hyperlink" Target="https://www.google.com/maps/search/?api=1&amp;query=Color%20Geek%20TCG%20%28%20Loja%20e%20escrit%C3%B3rio%29&amp;query_place_id=ChIJ9dvEFhDl3JQRG18RpIu6HwM" TargetMode="External" Id="rId1361" /><Relationship Type="http://schemas.openxmlformats.org/officeDocument/2006/relationships/hyperlink" Target="https://www.google.com/maps/search/?api=1&amp;query=C%C3%A9u%20Bar&amp;query_place_id=ChIJ7ycoaQDj3JQRS-3QAygTO9k" TargetMode="External" Id="rId1362" /><Relationship Type="http://schemas.openxmlformats.org/officeDocument/2006/relationships/hyperlink" Target="https://www.google.com/maps/search/?api=1&amp;query=Dexter%20Boardgames%20e%20TCG%20-%20Loja%20Virtual&amp;query_place_id=ChIJR86F0NDl3JQR7VY64mnQmro" TargetMode="External" Id="rId1363" /><Relationship Type="http://schemas.openxmlformats.org/officeDocument/2006/relationships/hyperlink" Target="https://www.google.com/maps/search/?api=1&amp;query=Divert%20Park&amp;query_place_id=ChIJ3z364LHl3JQR-btxLnKX1NI" TargetMode="External" Id="rId1364" /><Relationship Type="http://schemas.openxmlformats.org/officeDocument/2006/relationships/hyperlink" Target="https://www.google.com/maps/search/?api=1&amp;query=Divert%20Park&amp;query_place_id=ChIJVS6u59Hl3JQRZFEKCH3XTIY" TargetMode="External" Id="rId1365" /><Relationship Type="http://schemas.openxmlformats.org/officeDocument/2006/relationships/hyperlink" Target="https://www.google.com/maps/search/?api=1&amp;query=Divert%20Park&amp;query_place_id=ChIJ_fp5KiXl3JQR7yJOlYxRF18" TargetMode="External" Id="rId1366" /><Relationship Type="http://schemas.openxmlformats.org/officeDocument/2006/relationships/hyperlink" Target="https://www.google.com/maps/search/?api=1&amp;query=Divert%20Park%20Shopping%20Barig%C3%BCi&amp;query_place_id=ChIJu4zP6qPj3JQRYARny7xxYeA" TargetMode="External" Id="rId1367" /><Relationship Type="http://schemas.openxmlformats.org/officeDocument/2006/relationships/hyperlink" Target="https://www.google.com/maps/search/?api=1&amp;query=Dona%20Madalena%20Bar&amp;query_place_id=ChIJ5bdxaujl3JQR2pc7NoimJXg" TargetMode="External" Id="rId1368" /><Relationship Type="http://schemas.openxmlformats.org/officeDocument/2006/relationships/hyperlink" Target="https://www.google.com/maps/search/?api=1&amp;query=Donkey%20Kong%20Games&amp;query_place_id=ChIJU1Fzv23k3JQRcTMPX2STXfs" TargetMode="External" Id="rId1369" /><Relationship Type="http://schemas.openxmlformats.org/officeDocument/2006/relationships/hyperlink" Target="https://www.google.com/maps/search/?api=1&amp;query=ELKUBO%20TCG&amp;query_place_id=ChIJqZVYvf3l3JQR3-qY-A9Eor4" TargetMode="External" Id="rId1370" /><Relationship Type="http://schemas.openxmlformats.org/officeDocument/2006/relationships/hyperlink" Target="https://www.google.com/maps/search/?api=1&amp;query=Eleucards%20-%20Hobby%20Store&amp;query_place_id=ChIJz3_DIkjl3JQRt5LRvGkn6T0" TargetMode="External" Id="rId1371" /><Relationship Type="http://schemas.openxmlformats.org/officeDocument/2006/relationships/hyperlink" Target="https://www.google.com/maps/search/?api=1&amp;query=Espi%C3%A3o%20Games&amp;query_place_id=ChIJeZDmeBzj3JQRpoWPbG-p7ek" TargetMode="External" Id="rId1372" /><Relationship Type="http://schemas.openxmlformats.org/officeDocument/2006/relationships/hyperlink" Target="https://www.google.com/maps/search/?api=1&amp;query=Esta%C3%A7%C3%A3o%20Games%20Curitiba&amp;query_place_id=ChIJocsYG1Tl3JQR9Vyr3FONktI" TargetMode="External" Id="rId1373" /><Relationship Type="http://schemas.openxmlformats.org/officeDocument/2006/relationships/hyperlink" Target="https://www.google.com/maps/search/?api=1&amp;query=Flor%20de%20Brasa%20Bar&amp;query_place_id=ChIJkVQwWgDl3JQRY43w0FYGnRA" TargetMode="External" Id="rId1374" /><Relationship Type="http://schemas.openxmlformats.org/officeDocument/2006/relationships/hyperlink" Target="https://www.google.com/maps/search/?api=1&amp;query=Fora%20da%20Caixa%20-%20Biblioteca%20de%20Jogos%20de%20Mesa&amp;query_place_id=ChIJHaOH0obj3JQRjGKYgAfmeWo" TargetMode="External" Id="rId1375" /><Relationship Type="http://schemas.openxmlformats.org/officeDocument/2006/relationships/hyperlink" Target="https://www.google.com/maps/search/?api=1&amp;query=Geek%20Burguer&amp;query_place_id=ChIJ0ftSGFzw3JQRtoakn1mqyOs" TargetMode="External" Id="rId1376" /><Relationship Type="http://schemas.openxmlformats.org/officeDocument/2006/relationships/hyperlink" Target="https://www.google.com/maps/search/?api=1&amp;query=Gigg%27s%20Bar&amp;query_place_id=ChIJ5_tqly7l3JQR2NYsjBTaaFg" TargetMode="External" Id="rId1377" /><Relationship Type="http://schemas.openxmlformats.org/officeDocument/2006/relationships/hyperlink" Target="https://www.google.com/maps/search/?api=1&amp;query=Gladiators%20TCG&amp;query_place_id=ChIJNX-kYeLl3JQRMPKjRM5duAg" TargetMode="External" Id="rId1378" /><Relationship Type="http://schemas.openxmlformats.org/officeDocument/2006/relationships/hyperlink" Target="https://www.google.com/maps/search/?api=1&amp;query=Itiban%20Comics%20Shop&amp;query_place_id=ChIJlSKV4mXk3JQRuyHdf-UFbuY" TargetMode="External" Id="rId1379" /><Relationship Type="http://schemas.openxmlformats.org/officeDocument/2006/relationships/hyperlink" Target="https://www.google.com/maps/search/?api=1&amp;query=James%20Bar%20e%20Garden&amp;query_place_id=ChIJi-dKvorj3JQRXctwoAzT6Sg" TargetMode="External" Id="rId1380" /><Relationship Type="http://schemas.openxmlformats.org/officeDocument/2006/relationships/hyperlink" Target="https://www.google.com/maps/search/?api=1&amp;query=Joyjoy%20Caf%C3%A9&amp;query_place_id=ChIJOczn8z7l3JQRNBEL_ZJ3iQo" TargetMode="External" Id="rId1381" /><Relationship Type="http://schemas.openxmlformats.org/officeDocument/2006/relationships/hyperlink" Target="https://www.google.com/maps/search/?api=1&amp;query=Kanavial&amp;query_place_id=ChIJSQjJjoPk3JQR_knQkeCaPOM" TargetMode="External" Id="rId1382" /><Relationship Type="http://schemas.openxmlformats.org/officeDocument/2006/relationships/hyperlink" Target="https://www.google.com/maps/search/?api=1&amp;query=Lima%20Hobbies&amp;query_place_id=ChIJv7RU7Wjk3JQRSisu6WmZ5Ws" TargetMode="External" Id="rId1383" /><Relationship Type="http://schemas.openxmlformats.org/officeDocument/2006/relationships/hyperlink" Target="https://www.google.com/maps/search/?api=1&amp;query=Manafix%20Grading%20System&amp;query_place_id=ChIJYbv1mQDj3JQRqO0bfrEP9p4" TargetMode="External" Id="rId1384" /><Relationship Type="http://schemas.openxmlformats.org/officeDocument/2006/relationships/hyperlink" Target="https://www.google.com/maps/search/?api=1&amp;query=Meruru&amp;query_place_id=ChIJ_beygtnl3JQRGVpHZhzQkPE" TargetMode="External" Id="rId1385" /><Relationship Type="http://schemas.openxmlformats.org/officeDocument/2006/relationships/hyperlink" Target="https://www.google.com/maps/search/?api=1&amp;query=Milla%20Chess&amp;query_place_id=ChIJUWlgXM_73JQRPplZFh-VsnM" TargetMode="External" Id="rId1386" /><Relationship Type="http://schemas.openxmlformats.org/officeDocument/2006/relationships/hyperlink" Target="https://www.google.com/maps/search/?api=1&amp;query=O%20Garra%20Planet&amp;query_place_id=ChIJ0c6qZgDl3JQRwXJYg0A7EzA" TargetMode="External" Id="rId1387" /><Relationship Type="http://schemas.openxmlformats.org/officeDocument/2006/relationships/hyperlink" Target="https://www.google.com/maps/search/?api=1&amp;query=O%20Gat%C3%A3o%20Jogos&amp;query_place_id=ChIJLwJRHfP93JQRwsN6fIcfeNg" TargetMode="External" Id="rId1388" /><Relationship Type="http://schemas.openxmlformats.org/officeDocument/2006/relationships/hyperlink" Target="https://www.google.com/maps/search/?api=1&amp;query=Paladino%20Hobbies&amp;query_place_id=ChIJK5Dhtunj3JQRniPWHB3haDU" TargetMode="External" Id="rId1389" /><Relationship Type="http://schemas.openxmlformats.org/officeDocument/2006/relationships/hyperlink" Target="https://www.google.com/maps/search/?api=1&amp;query=Paradoja%20Karaok%C3%AA%20Bar&amp;query_place_id=ChIJo9by2BHk3JQRAMpZT0ukf2w" TargetMode="External" Id="rId1390" /><Relationship Type="http://schemas.openxmlformats.org/officeDocument/2006/relationships/hyperlink" Target="https://www.google.com/maps/search/?api=1&amp;query=Parque%20MikeWood&amp;query_place_id=ChIJf0xOjxHl3JQRT1CUGUUunHc" TargetMode="External" Id="rId1391" /><Relationship Type="http://schemas.openxmlformats.org/officeDocument/2006/relationships/hyperlink" Target="https://www.google.com/maps/search/?api=1&amp;query=Planeta%20Games&amp;query_place_id=ChIJTdymzWTm3JQRSjlSLQyY1ts" TargetMode="External" Id="rId1392" /><Relationship Type="http://schemas.openxmlformats.org/officeDocument/2006/relationships/hyperlink" Target="https://www.google.com/maps/search/?api=1&amp;query=Quintal%20Brincante%20-%20Gastronomia&amp;query_place_id=ChIJI0xonYzn3JQRaPSqX_zQ9yA" TargetMode="External" Id="rId1393" /><Relationship Type="http://schemas.openxmlformats.org/officeDocument/2006/relationships/hyperlink" Target="https://www.google.com/maps/search/?api=1&amp;query=RaXaKuKa%20Jogos%20%26%20Desafios%20Cognitivos&amp;query_place_id=ChIJvdKeBx7n3JQRxBzRBy23XWM" TargetMode="External" Id="rId1394" /><Relationship Type="http://schemas.openxmlformats.org/officeDocument/2006/relationships/hyperlink" Target="https://www.google.com/maps/search/?api=1&amp;query=Rua%20Pub&amp;query_place_id=ChIJ9Z4ywrTl3JQRlvEPayNbGyI" TargetMode="External" Id="rId1395" /><Relationship Type="http://schemas.openxmlformats.org/officeDocument/2006/relationships/hyperlink" Target="https://www.google.com/maps/search/?api=1&amp;query=Ru%C3%ADna%20Bar&amp;query_place_id=ChIJMVseeVzj3JQRf9QL83-tDXo" TargetMode="External" Id="rId1396" /><Relationship Type="http://schemas.openxmlformats.org/officeDocument/2006/relationships/hyperlink" Target="https://www.google.com/maps/search/?api=1&amp;query=Start%20Games%20Curitiba&amp;query_place_id=ChIJv_pNE3Pl3JQRCVM-2vFQX6s" TargetMode="External" Id="rId1397" /><Relationship Type="http://schemas.openxmlformats.org/officeDocument/2006/relationships/hyperlink" Target="https://www.google.com/maps/search/?api=1&amp;query=Summoner%20Hobbies%20Store&amp;query_place_id=ChIJez7NYAz93JQR-C-WwGlQGKQ" TargetMode="External" Id="rId1398" /><Relationship Type="http://schemas.openxmlformats.org/officeDocument/2006/relationships/hyperlink" Target="https://www.google.com/maps/search/?api=1&amp;query=Taverna%20Game%20House&amp;query_place_id=ChIJc66HomXk3JQRNl28jz_VsPc" TargetMode="External" Id="rId1399" /><Relationship Type="http://schemas.openxmlformats.org/officeDocument/2006/relationships/hyperlink" Target="https://www.google.com/maps/search/?api=1&amp;query=Taverna%20do%20Drag%C3%A3o&amp;query_place_id=ChIJVfHvi8nl3JQRJZrmTr65g_k" TargetMode="External" Id="rId1400" /><Relationship Type="http://schemas.openxmlformats.org/officeDocument/2006/relationships/hyperlink" Target="https://www.google.com/maps/search/?api=1&amp;query=Toca%20do%20Corvo&amp;query_place_id=ChIJtbZhvbzl3JQRIy6JuRK2AWQ" TargetMode="External" Id="rId1401" /><Relationship Type="http://schemas.openxmlformats.org/officeDocument/2006/relationships/hyperlink" Target="https://www.google.com/maps/search/?api=1&amp;query=Toka%20Brinquedos%20%26%20Colecion%C3%A1veis&amp;query_place_id=ChIJ4UTOWgrj3JQRsm3e18EhfHA" TargetMode="External" Id="rId1402" /><Relationship Type="http://schemas.openxmlformats.org/officeDocument/2006/relationships/hyperlink" Target="https://www.google.com/maps/search/?api=1&amp;query=Tropas%20Polares%20-%20Associa%C3%A7%C3%A3o%20de%20Tabletop%20Games%20%26%20Miniaturismo&amp;query_place_id=ChIJE-mLUmDk3JQR7SwYcySFa70" TargetMode="External" Id="rId1403" /><Relationship Type="http://schemas.openxmlformats.org/officeDocument/2006/relationships/hyperlink" Target="https://www.google.com/maps/search/?api=1&amp;query=UniDanit%C3%AA%20BrincaLab&amp;query_place_id=ChIJhUtqognj3JQRpVZ3Ea0kmSc" TargetMode="External" Id="rId1404" /><Relationship Type="http://schemas.openxmlformats.org/officeDocument/2006/relationships/hyperlink" Target="https://www.google.com/maps/search/?api=1&amp;query=Vila%20Celta%20Hobby%20Store%20-%20Jogos%20e%20Caf%C3%A9&amp;query_place_id=ChIJ1wjBJD7k3JQRQi7trfp_0aQ" TargetMode="External" Id="rId1405" /><Relationship Type="http://schemas.openxmlformats.org/officeDocument/2006/relationships/hyperlink" Target="https://www.google.com/maps/search/?api=1&amp;query=Vila%20Vil%C3%B4%20Brinquedoteca&amp;query_place_id=ChIJa3nvk47j3JQR2yMtZEUhr6I" TargetMode="External" Id="rId1406" /><Relationship Type="http://schemas.openxmlformats.org/officeDocument/2006/relationships/hyperlink" Target="https://www.google.com/maps/search/?api=1&amp;query=Vila%20Yamon&amp;query_place_id=ChIJ4z4bZErk3JQR9-2D2OsTxXE" TargetMode="External" Id="rId1407" /><Relationship Type="http://schemas.openxmlformats.org/officeDocument/2006/relationships/hyperlink" Target="https://www.google.com/maps/search/?api=1&amp;query=Vitto%20Bar&amp;query_place_id=ChIJfV821Q_k3JQR1kx_9tjVhps" TargetMode="External" Id="rId1408" /><Relationship Type="http://schemas.openxmlformats.org/officeDocument/2006/relationships/hyperlink" Target="https://www.google.com/maps/search/?api=1&amp;query=We%20Are%20Bastards&amp;query_place_id=ChIJQ6V_jnjk3JQR7PJen5oxpus" TargetMode="External" Id="rId1409" /><Relationship Type="http://schemas.openxmlformats.org/officeDocument/2006/relationships/hyperlink" Target="https://www.google.com/maps/search/?api=1&amp;query=WeCaos%20RPG%20Hobby%20Store&amp;query_place_id=ChIJpyf58vL93JQRzjPTFDFE4xg" TargetMode="External" Id="rId1410" /><Relationship Type="http://schemas.openxmlformats.org/officeDocument/2006/relationships/hyperlink" Target="https://www.google.com/maps/search/?api=1&amp;query=Wit%20Bar&amp;query_place_id=ChIJM6Fg-wbl3JQRakSiXMfjWSI" TargetMode="External" Id="rId1411" /><Relationship Type="http://schemas.openxmlformats.org/officeDocument/2006/relationships/hyperlink" Target="https://www.google.com/maps/search/?api=1&amp;query=XPlace%20Games&amp;query_place_id=ChIJm6MFYxXk3JQRdlRAZV1Dtt4" TargetMode="External" Id="rId1412" /><Relationship Type="http://schemas.openxmlformats.org/officeDocument/2006/relationships/hyperlink" Target="https://www.google.com/maps/search/?api=1&amp;query=tcgBR&amp;query_place_id=ChIJuXaHIdPl3JQRVmUY3vFFg0M" TargetMode="External" Id="rId1413" /><Relationship Type="http://schemas.openxmlformats.org/officeDocument/2006/relationships/hyperlink" Target="https://www.google.com/maps/search/?api=1&amp;query=PsZ3D&amp;query_place_id=ChIJld4etAH_3JQRw27WmOOZBgE" TargetMode="External" Id="rId1414" /><Relationship Type="http://schemas.openxmlformats.org/officeDocument/2006/relationships/hyperlink" Target="https://www.google.com/maps/search/?api=1&amp;query=Modo%20Avi%C3%A3o%20Board%20Games&amp;query_place_id=ChIJrcZiZzfx3JQRojjx3qhX5xc" TargetMode="External" Id="rId1415" /><Relationship Type="http://schemas.openxmlformats.org/officeDocument/2006/relationships/hyperlink" Target="https://www.google.com/maps/search/?api=1&amp;query=SJPlay%20Board%20Games%20%28Aluguel%20de%20Jogos%20de%20Tabuleiro%20em%20S%C3%A3o%20Jos%C3%A9%20dos%20Pinhais%29&amp;query_place_id=ChIJ_S4eaAzx3JQRmGn0sZGSqts" TargetMode="External" Id="rId1416" /><Relationship Type="http://schemas.openxmlformats.org/officeDocument/2006/relationships/hyperlink" Target="https://www.google.com/maps/search/?api=1&amp;query=Bar%20Do%20K.B.%20Ludo&amp;query_place_id=ChIJ7UwihgtwmQARd_GtVTEV5Zw" TargetMode="External" Id="rId1417" /><Relationship Type="http://schemas.openxmlformats.org/officeDocument/2006/relationships/hyperlink" Target="https://www.google.com/maps/search/?api=1&amp;query=Taverna%20Real&amp;query_place_id=ChIJ6Y5FEwB7mQAR5keMO8bZwbQ" TargetMode="External" Id="rId1418" /><Relationship Type="http://schemas.openxmlformats.org/officeDocument/2006/relationships/hyperlink" Target="https://www.google.com/maps/search/?api=1&amp;query=Taverna%20de%20Avalon%20Geek%20Store&amp;query_place_id=ChIJwfCNegCPmQARqfRes6rIOB4" TargetMode="External" Id="rId1419" /><Relationship Type="http://schemas.openxmlformats.org/officeDocument/2006/relationships/hyperlink" Target="https://www.google.com/maps/search/?api=1&amp;query=%C3%81pice%20L%C3%BAdico%20-%20Aluguel%20de%20Jogos%20de%20Tabuleiro%20em%20Mesquita&amp;query_place_id=ChIJsRiZZzJnmQARnGdvsJXmUNA" TargetMode="External" Id="rId1420" /><Relationship Type="http://schemas.openxmlformats.org/officeDocument/2006/relationships/hyperlink" Target="https://www.google.com/maps/search/?api=1&amp;query=Bubble%20Planet%20-%20Lanchonete%20e%20Cardgames&amp;query_place_id=ChIJGTvSWgCDmQARyu8hVg-kaSw" TargetMode="External" Id="rId1421" /><Relationship Type="http://schemas.openxmlformats.org/officeDocument/2006/relationships/hyperlink" Target="https://www.google.com/maps/search/?api=1&amp;query=Mana%20Tap%20Jogos&amp;query_place_id=ChIJfQ_RV2CDmQARVhMDnz-4tkk" TargetMode="External" Id="rId1422" /><Relationship Type="http://schemas.openxmlformats.org/officeDocument/2006/relationships/hyperlink" Target="https://www.google.com/maps/search/?api=1&amp;query=Nikiti%20Jogos&amp;query_place_id=ChIJ-ZRKtFiDmQARX4W1txy7eik" TargetMode="External" Id="rId1423" /><Relationship Type="http://schemas.openxmlformats.org/officeDocument/2006/relationships/hyperlink" Target="https://www.google.com/maps/search/?api=1&amp;query=O%20Parkinho&amp;query_place_id=ChIJ9US9YkeDmQARfO1od1YlSTg" TargetMode="External" Id="rId1424" /><Relationship Type="http://schemas.openxmlformats.org/officeDocument/2006/relationships/hyperlink" Target="https://www.google.com/maps/search/?api=1&amp;query=Planeta%20Luna&amp;query_place_id=ChIJ3edR3omDmQARhTv5mrIPZBc" TargetMode="External" Id="rId1425" /><Relationship Type="http://schemas.openxmlformats.org/officeDocument/2006/relationships/hyperlink" Target="https://www.google.com/maps/search/?api=1&amp;query=Player%202%20-%20Jogos%20de%20Tabuleiro%20e%20Videogame%20Retr%C3%B4&amp;query_place_id=ChIJvXtOFNqDmQARo9nf7HpT6Z4" TargetMode="External" Id="rId1426" /><Relationship Type="http://schemas.openxmlformats.org/officeDocument/2006/relationships/hyperlink" Target="https://www.google.com/maps/search/?api=1&amp;query=TabuBox&amp;query_place_id=ChIJOdAUZq-DmQARu61xEf_bpYI" TargetMode="External" Id="rId1427" /><Relationship Type="http://schemas.openxmlformats.org/officeDocument/2006/relationships/hyperlink" Target="https://www.google.com/maps/search/?api=1&amp;query=TabuClub&amp;query_place_id=ChIJOcVssmeDmQARZZrnWu2mnwA" TargetMode="External" Id="rId1428" /><Relationship Type="http://schemas.openxmlformats.org/officeDocument/2006/relationships/hyperlink" Target="https://www.google.com/maps/search/?api=1&amp;query=TabuLoja&amp;query_place_id=ChIJl4L7Lg2DmQAR4gBZHrupFC4" TargetMode="External" Id="rId1429" /><Relationship Type="http://schemas.openxmlformats.org/officeDocument/2006/relationships/hyperlink" Target="https://www.google.com/maps/search/?api=1&amp;query=Tholarian&amp;query_place_id=ChIJZ3iFPVmDmQARXFklBGwdbKk" TargetMode="External" Id="rId1430" /><Relationship Type="http://schemas.openxmlformats.org/officeDocument/2006/relationships/hyperlink" Target="https://www.google.com/maps/search/?api=1&amp;query=AKASHI%20STORE&amp;query_place_id=ChIJGzciRv1_mQARl1GVt7Hdw4U" TargetMode="External" Id="rId1431" /><Relationship Type="http://schemas.openxmlformats.org/officeDocument/2006/relationships/hyperlink" Target="https://www.google.com/maps/search/?api=1&amp;query=ANCIENT%20GAMES&amp;query_place_id=ChIJvW6OLYR_mQARfQmlE90hmt0" TargetMode="External" Id="rId1432" /><Relationship Type="http://schemas.openxmlformats.org/officeDocument/2006/relationships/hyperlink" Target="https://www.google.com/maps/search/?api=1&amp;query=Alegria%20de%20Brincar%20Brinquedos%20Educativos&amp;query_place_id=ChIJ47rkJ0XVmwARcl-kg5FuLUI" TargetMode="External" Id="rId1433" /><Relationship Type="http://schemas.openxmlformats.org/officeDocument/2006/relationships/hyperlink" Target="https://www.google.com/maps/search/?api=1&amp;query=Animasom%20Rio%20Sul&amp;query_place_id=ChIJU8Q58vh_mQAR86pZ53Z6QLs" TargetMode="External" Id="rId1434" /><Relationship Type="http://schemas.openxmlformats.org/officeDocument/2006/relationships/hyperlink" Target="https://www.google.com/maps/search/?api=1&amp;query=Animasom%20Shopping%20Tijuca&amp;query_place_id=ChIJt8b5P-5_mQARMF3KkPx6yTg" TargetMode="External" Id="rId1435" /><Relationship Type="http://schemas.openxmlformats.org/officeDocument/2006/relationships/hyperlink" Target="https://www.google.com/maps/search/?api=1&amp;query=Arcadia%20Games&amp;query_place_id=ChIJAWisXifZmwARK6etc2ICR9Y" TargetMode="External" Id="rId1436" /><Relationship Type="http://schemas.openxmlformats.org/officeDocument/2006/relationships/hyperlink" Target="https://www.google.com/maps/search/?api=1&amp;query=Arte%20de%20Brincar%20Brinquedos%20Educativos&amp;query_place_id=ChIJbUJ2AoF_mQARMJs1lDL2CjU" TargetMode="External" Id="rId1437" /><Relationship Type="http://schemas.openxmlformats.org/officeDocument/2006/relationships/hyperlink" Target="https://www.google.com/maps/search/?api=1&amp;query=Bar_Cana%20Grill&amp;query_place_id=ChIJx6BlvFt-mQARDvzi7hFvAXo" TargetMode="External" Id="rId1438" /><Relationship Type="http://schemas.openxmlformats.org/officeDocument/2006/relationships/hyperlink" Target="https://www.google.com/maps/search/?api=1&amp;query=Big%20Ben%20Pub%20-%20Karaok%C3%AA%20com%20Banda%20ao%20Vivo&amp;query_place_id=ChIJwSnOffJ_mQARFbsV9hiPZck" TargetMode="External" Id="rId1439" /><Relationship Type="http://schemas.openxmlformats.org/officeDocument/2006/relationships/hyperlink" Target="https://www.google.com/maps/search/?api=1&amp;query=Bolsa%20do%20Infinito&amp;query_place_id=ChIJA7jlA899mQARAEFLCN4b2oI" TargetMode="External" Id="rId1440" /><Relationship Type="http://schemas.openxmlformats.org/officeDocument/2006/relationships/hyperlink" Target="https://www.google.com/maps/search/?api=1&amp;query=Boss%20TCG&amp;query_place_id=ChIJp-Hp2KrpmwAREut6OjbYMwI" TargetMode="External" Id="rId1441" /><Relationship Type="http://schemas.openxmlformats.org/officeDocument/2006/relationships/hyperlink" Target="https://www.google.com/maps/search/?api=1&amp;query=Bruno%20Poke%20Cartas&amp;query_place_id=ChIJVVVVKEZ7mQARHOE7roNlDKE" TargetMode="External" Id="rId1442" /><Relationship Type="http://schemas.openxmlformats.org/officeDocument/2006/relationships/hyperlink" Target="https://www.google.com/maps/search/?api=1&amp;query=CARDS%20OF%20PARADISE&amp;query_place_id=ChIJP3B-ZrJkmQARg8kuYENy-5c" TargetMode="External" Id="rId1443" /><Relationship Type="http://schemas.openxmlformats.org/officeDocument/2006/relationships/hyperlink" Target="https://www.google.com/maps/search/?api=1&amp;query=CLE%20-%20Caf%C3%A9%2C%20Livros%20e%20Encontros.&amp;query_place_id=ChIJS3QJmLfnmwARfo9xEtSqhSM" TargetMode="External" Id="rId1444" /><Relationship Type="http://schemas.openxmlformats.org/officeDocument/2006/relationships/hyperlink" Target="https://www.google.com/maps/search/?api=1&amp;query=Caf%C3%A9%20e%20Bar%20Selo%20de%20Ouro&amp;query_place_id=ChIJnfiDY4F_mQARPebd-EdUPEw" TargetMode="External" Id="rId1445" /><Relationship Type="http://schemas.openxmlformats.org/officeDocument/2006/relationships/hyperlink" Target="https://www.google.com/maps/search/?api=1&amp;query=Champions%20League%20Trolol%C3%B3&amp;query_place_id=ChIJeytAVo19mQARL1KMkvFrpok" TargetMode="External" Id="rId1446" /><Relationship Type="http://schemas.openxmlformats.org/officeDocument/2006/relationships/hyperlink" Target="https://www.google.com/maps/search/?api=1&amp;query=Collect%20%26%20Play&amp;query_place_id=ChIJ5W8sTkvbmwARQQDleg06Rcs" TargetMode="External" Id="rId1447" /><Relationship Type="http://schemas.openxmlformats.org/officeDocument/2006/relationships/hyperlink" Target="https://www.google.com/maps/search/?api=1&amp;query=Dadomaniacos%20-%20Loja%20Online%20de%20Aluguel%20de%20Jogos%20de%20Tabuleiro&amp;query_place_id=ChIJ87vEIV9_mQARJytOMifw8z8" TargetMode="External" Id="rId1448" /><Relationship Type="http://schemas.openxmlformats.org/officeDocument/2006/relationships/hyperlink" Target="https://www.google.com/maps/search/?api=1&amp;query=Dom%20Luderia&amp;query_place_id=ChIJZU59azp9mQAR8Eb3G_GlySg" TargetMode="External" Id="rId1449" /><Relationship Type="http://schemas.openxmlformats.org/officeDocument/2006/relationships/hyperlink" Target="https://www.google.com/maps/search/?api=1&amp;query=Donna%20Gastrobar&amp;query_place_id=ChIJk4ZqIH1_mQARrByPymrpe7E" TargetMode="External" Id="rId1450" /><Relationship Type="http://schemas.openxmlformats.org/officeDocument/2006/relationships/hyperlink" Target="https://www.google.com/maps/search/?api=1&amp;query=ESPORTS%20TROLOL%C3%93&amp;query_place_id=ChIJh5wJOwB7mQAR6ka_WwntZiA" TargetMode="External" Id="rId1451" /><Relationship Type="http://schemas.openxmlformats.org/officeDocument/2006/relationships/hyperlink" Target="https://www.google.com/maps/search/?api=1&amp;query=Falha%20Cr%C3%ADtica&amp;query_place_id=ChIJpUjfFEDRmwAR8UuxTzeqlKY" TargetMode="External" Id="rId1452" /><Relationship Type="http://schemas.openxmlformats.org/officeDocument/2006/relationships/hyperlink" Target="https://www.google.com/maps/search/?api=1&amp;query=Fan%20Games&amp;query_place_id=ChIJhQ1Ksl1_mQARKDcGcKyiysE" TargetMode="External" Id="rId1453" /><Relationship Type="http://schemas.openxmlformats.org/officeDocument/2006/relationships/hyperlink" Target="https://www.google.com/maps/search/?api=1&amp;query=GOOD%20GAM%C3%8B&amp;query_place_id=ChIJNZEzHZfhmwARJ9z8yFGQ9TY" TargetMode="External" Id="rId1454" /><Relationship Type="http://schemas.openxmlformats.org/officeDocument/2006/relationships/hyperlink" Target="https://www.google.com/maps/search/?api=1&amp;query=Game%20Of%20Boards&amp;query_place_id=ChIJu1yUroF_mQAR7qxqAfxKSw4" TargetMode="External" Id="rId1455" /><Relationship Type="http://schemas.openxmlformats.org/officeDocument/2006/relationships/hyperlink" Target="https://www.google.com/maps/search/?api=1&amp;query=Gamel%C3%A2ndia&amp;query_place_id=ChIJ-Ycyz4V_mQARA1w6hmRwoYs" TargetMode="External" Id="rId1456" /><Relationship Type="http://schemas.openxmlformats.org/officeDocument/2006/relationships/hyperlink" Target="https://www.google.com/maps/search/?api=1&amp;query=Gamel%C3%A2ndia&amp;query_place_id=ChIJB8cDIEV_mQARrPUJZvnve2I" TargetMode="External" Id="rId1457" /><Relationship Type="http://schemas.openxmlformats.org/officeDocument/2006/relationships/hyperlink" Target="https://www.google.com/maps/search/?api=1&amp;query=Games%20Xbox%20vendas&amp;query_place_id=ChIJdxW77h3ZmwARRryMjduYQU0" TargetMode="External" Id="rId1458" /><Relationship Type="http://schemas.openxmlformats.org/officeDocument/2006/relationships/hyperlink" Target="https://www.google.com/maps/search/?api=1&amp;query=Geek%20Beer%20Commerce&amp;query_place_id=ChIJ-Zxhm_N_mQARzLleIr1gixE" TargetMode="External" Id="rId1459" /><Relationship Type="http://schemas.openxmlformats.org/officeDocument/2006/relationships/hyperlink" Target="https://www.google.com/maps/search/?api=1&amp;query=Geek%20Shop%20Loja%20de%20Pok%C3%A9mon%20TCG&amp;query_place_id=ChIJteQewk18mQARfLqshn97qxQ" TargetMode="External" Id="rId1460" /><Relationship Type="http://schemas.openxmlformats.org/officeDocument/2006/relationships/hyperlink" Target="https://www.google.com/maps/search/?api=1&amp;query=Global%20Backgammon&amp;query_place_id=ChIJzaqb2dnbmwARBSzP3Jg42m8" TargetMode="External" Id="rId1461" /><Relationship Type="http://schemas.openxmlformats.org/officeDocument/2006/relationships/hyperlink" Target="https://www.google.com/maps/search/?api=1&amp;query=Goblin%20Hero%20Store&amp;query_place_id=ChIJ_20ww0LZmwARHjZmY0uwR9I" TargetMode="External" Id="rId1462" /><Relationship Type="http://schemas.openxmlformats.org/officeDocument/2006/relationships/hyperlink" Target="https://www.google.com/maps/search/?api=1&amp;query=In%20Bar%20Ludus%20Garage&amp;query_place_id=ChIJU1AIvR3ZmwARX3zXn0JdzWg" TargetMode="External" Id="rId1463" /><Relationship Type="http://schemas.openxmlformats.org/officeDocument/2006/relationships/hyperlink" Target="https://www.google.com/maps/search/?api=1&amp;query=Jiraya%20Games%20-%20Animes%20%26%20Colecion%C3%A1veis&amp;query_place_id=ChIJacpesF1_mQARYkxnwkecPwQ" TargetMode="External" Id="rId1464" /><Relationship Type="http://schemas.openxmlformats.org/officeDocument/2006/relationships/hyperlink" Target="https://www.google.com/maps/search/?api=1&amp;query=Ladainha%20Bar&amp;query_place_id=ChIJF4zaPgB_mQAR60Ft_vBzjy8" TargetMode="External" Id="rId1465" /><Relationship Type="http://schemas.openxmlformats.org/officeDocument/2006/relationships/hyperlink" Target="https://www.google.com/maps/search/?api=1&amp;query=Luderia%20Carioca&amp;query_place_id=ChIJ90Gs_9rVmwAReA7MnIyPLTE" TargetMode="External" Id="rId1466" /><Relationship Type="http://schemas.openxmlformats.org/officeDocument/2006/relationships/hyperlink" Target="https://www.google.com/maps/search/?api=1&amp;query=Luderia%20Carioca&amp;query_place_id=ChIJKxJKAE9_mQARtFODs33OfmA" TargetMode="External" Id="rId1467" /><Relationship Type="http://schemas.openxmlformats.org/officeDocument/2006/relationships/hyperlink" Target="https://www.google.com/maps/search/?api=1&amp;query=Ludonexo%20-%20Aluguel%20de%20Jogos%20de%20Tabuleiro%20%7C%20On-line&amp;query_place_id=ChIJ4a_799PVmwARYNOCwgXazhE" TargetMode="External" Id="rId1468" /><Relationship Type="http://schemas.openxmlformats.org/officeDocument/2006/relationships/hyperlink" Target="https://www.google.com/maps/search/?api=1&amp;query=Ludus%20BG&amp;query_place_id=ChIJscjzQYPZmwARU5u5vAHiPMk" TargetMode="External" Id="rId1469" /><Relationship Type="http://schemas.openxmlformats.org/officeDocument/2006/relationships/hyperlink" Target="https://www.google.com/maps/search/?api=1&amp;query=Ludusversum&amp;query_place_id=ChIJiYiKvXLZmwARfdAar5rQ-yo" TargetMode="External" Id="rId1470" /><Relationship Type="http://schemas.openxmlformats.org/officeDocument/2006/relationships/hyperlink" Target="https://www.google.com/maps/search/?api=1&amp;query=Magic%20Store%20Brasil&amp;query_place_id=ChIJYzHxUhR-mQARpqVtYD9th0c" TargetMode="External" Id="rId1471" /><Relationship Type="http://schemas.openxmlformats.org/officeDocument/2006/relationships/hyperlink" Target="https://www.google.com/maps/search/?api=1&amp;query=Metr%C3%B3polis%20Quadrinhos&amp;query_place_id=ChIJoeQuwKR9mQAR1JAwaMPE_cE" TargetMode="External" Id="rId1472" /><Relationship Type="http://schemas.openxmlformats.org/officeDocument/2006/relationships/hyperlink" Target="https://www.google.com/maps/search/?api=1&amp;query=Mu%20Drow&amp;query_place_id=ChIJY3LS28djmQAR0OprvQN43hY" TargetMode="External" Id="rId1473" /><Relationship Type="http://schemas.openxmlformats.org/officeDocument/2006/relationships/hyperlink" Target="https://www.google.com/maps/search/?api=1&amp;query=Mundo%20M%C3%A1gico%20Store&amp;query_place_id=ChIJGYdpMY-BmQARDlBzJxdvyv0" TargetMode="External" Id="rId1474" /><Relationship Type="http://schemas.openxmlformats.org/officeDocument/2006/relationships/hyperlink" Target="https://www.google.com/maps/search/?api=1&amp;query=Perito%20dos%20Cachimbos&amp;query_place_id=ChIJ26MBBF9_mQAR0-kuIE0HkXE" TargetMode="External" Id="rId1475" /><Relationship Type="http://schemas.openxmlformats.org/officeDocument/2006/relationships/hyperlink" Target="https://www.google.com/maps/search/?api=1&amp;query=Planeta%20dos%20Games&amp;query_place_id=ChIJmVSogGB_mQARDPgisDzxnhw" TargetMode="External" Id="rId1476" /><Relationship Type="http://schemas.openxmlformats.org/officeDocument/2006/relationships/hyperlink" Target="https://www.google.com/maps/search/?api=1&amp;query=Play%20Games%20156&amp;query_place_id=ChIJTf-5Vgt_mQAR7vMwKeg0jFA" TargetMode="External" Id="rId1477" /><Relationship Type="http://schemas.openxmlformats.org/officeDocument/2006/relationships/hyperlink" Target="https://www.google.com/maps/search/?api=1&amp;query=Point%20HQ&amp;query_place_id=ChIJR027YxB-mQARNQF8yHujAtI" TargetMode="External" Id="rId1478" /><Relationship Type="http://schemas.openxmlformats.org/officeDocument/2006/relationships/hyperlink" Target="https://www.google.com/maps/search/?api=1&amp;query=Portal%20Rio&amp;query_place_id=ChIJQ1LOD11_mQARhRZgDPbKygk" TargetMode="External" Id="rId1479" /><Relationship Type="http://schemas.openxmlformats.org/officeDocument/2006/relationships/hyperlink" Target="https://www.google.com/maps/search/?api=1&amp;query=Quintal%20de%20Casa%20Brinquedoteca%20e%20Recrea%C3%A7%C3%A3o&amp;query_place_id=ChIJmbgFPD55mQAR-cPX8PTm0y4" TargetMode="External" Id="rId1480" /><Relationship Type="http://schemas.openxmlformats.org/officeDocument/2006/relationships/hyperlink" Target="https://www.google.com/maps/search/?api=1&amp;query=RED%20jogos&amp;query_place_id=ChIJ1SAzAGF_mQARQgP-yrPBxbQ" TargetMode="External" Id="rId1481" /><Relationship Type="http://schemas.openxmlformats.org/officeDocument/2006/relationships/hyperlink" Target="https://www.google.com/maps/search/?api=1&amp;query=Rio%20Games&amp;query_place_id=ChIJVVXxbmF_mQARw6gi7RmipBk" TargetMode="External" Id="rId1482" /><Relationship Type="http://schemas.openxmlformats.org/officeDocument/2006/relationships/hyperlink" Target="https://www.google.com/maps/search/?api=1&amp;query=Soninha%20Brinquedos%20-%20Aluguel%20de%20Brinquedos%20no%20Rio%20de%20Janeiro&amp;query_place_id=ChIJ-bqxGV5_mQARoXiwMmZvhz4" TargetMode="External" Id="rId1483" /><Relationship Type="http://schemas.openxmlformats.org/officeDocument/2006/relationships/hyperlink" Target="https://www.google.com/maps/search/?api=1&amp;query=Surreal%20Bar&amp;query_place_id=ChIJHaviguR_mQARMpllfmRArXI" TargetMode="External" Id="rId1484" /><Relationship Type="http://schemas.openxmlformats.org/officeDocument/2006/relationships/hyperlink" Target="https://www.google.com/maps/search/?api=1&amp;query=Tempo%20de%20Recreio%20-%20Recrea%C3%A7%C3%A3o%20Infantil&amp;query_place_id=ChIJ3-T7JvJ_mQARD0h22gP-q1M" TargetMode="External" Id="rId1485" /><Relationship Type="http://schemas.openxmlformats.org/officeDocument/2006/relationships/hyperlink" Target="https://www.google.com/maps/search/?api=1&amp;query=The%20Maze&amp;query_place_id=ChIJuZ1Ic4N_mQARIx6FfT_KSqg" TargetMode="External" Id="rId1486" /><Relationship Type="http://schemas.openxmlformats.org/officeDocument/2006/relationships/hyperlink" Target="https://www.google.com/maps/search/?api=1&amp;query=Tiratela%20Ludus%20%7C%20Aluguel%20de%20jogos%20de%20tabuleiro&amp;query_place_id=ChIJv0v--orjmwARkmEpYSeGHyQ" TargetMode="External" Id="rId1487" /><Relationship Type="http://schemas.openxmlformats.org/officeDocument/2006/relationships/hyperlink" Target="https://www.google.com/maps/search/?api=1&amp;query=Universal%20Card%20Shop%20-%20Downtown%20Barra&amp;query_place_id=ChIJUwuKe0TRmwARHR_JRwG9Nwk" TargetMode="External" Id="rId1488" /><Relationship Type="http://schemas.openxmlformats.org/officeDocument/2006/relationships/hyperlink" Target="https://www.google.com/maps/search/?api=1&amp;query=Vinoteca%20do%20Visconde%20Restaurante&amp;query_place_id=ChIJ_cv0FwB_mQARkbW8bdLx99w" TargetMode="External" Id="rId1489" /><Relationship Type="http://schemas.openxmlformats.org/officeDocument/2006/relationships/hyperlink" Target="https://www.google.com/maps/search/?api=1&amp;query=XT%20Gold%20Inform%C3%A1tica%20e%20Games&amp;query_place_id=ChIJn-IBfmB_mQAR9tVYCLZRsaM" TargetMode="External" Id="rId1490" /><Relationship Type="http://schemas.openxmlformats.org/officeDocument/2006/relationships/hyperlink" Target="https://www.google.com/maps/search/?api=1&amp;query=Xadrez%20Botticelli%20/%20Jaehrig%20/%20Chess%20King&amp;query_place_id=ChIJcSAAO0nhmwARkq55-ID_q2I" TargetMode="External" Id="rId1491" /><Relationship Type="http://schemas.openxmlformats.org/officeDocument/2006/relationships/hyperlink" Target="https://www.google.com/maps/search/?api=1&amp;query=YouPlay&amp;query_place_id=ChIJ76ZKiYJ_mQAR2KMozJoLqjM" TargetMode="External" Id="rId1492" /><Relationship Type="http://schemas.openxmlformats.org/officeDocument/2006/relationships/hyperlink" Target="https://www.google.com/maps/search/?api=1&amp;query=Zard%20Point&amp;query_place_id=ChIJVQecU2vjmwARwo0mrICHMHo" TargetMode="External" Id="rId1493" /><Relationship Type="http://schemas.openxmlformats.org/officeDocument/2006/relationships/hyperlink" Target="https://www.google.com/maps/search/?api=1&amp;query=Jogakito&amp;query_place_id=ChIJt9Pld5NxGZURC2SdYCIU4WE" TargetMode="External" Id="rId1494" /><Relationship Type="http://schemas.openxmlformats.org/officeDocument/2006/relationships/hyperlink" Target="https://www.google.com/maps/search/?api=1&amp;query=Tartaleiro%20Board%20Games&amp;query_place_id=ChIJgdgE5CRzGZURnSZMmKHgiJ8" TargetMode="External" Id="rId1495" /><Relationship Type="http://schemas.openxmlformats.org/officeDocument/2006/relationships/hyperlink" Target="https://www.google.com/maps/search/?api=1&amp;query=T%C3%A1vola%20do%20Drag%C3%A3o&amp;query_place_id=ChIJt8ijl0pzGZURTCdPBQTRHF8" TargetMode="External" Id="rId1496" /><Relationship Type="http://schemas.openxmlformats.org/officeDocument/2006/relationships/hyperlink" Target="https://www.google.com/maps/search/?api=1&amp;query=Masmorra&amp;query_place_id=ChIJRcoj20fVG5URBISzTJ70bH0" TargetMode="External" Id="rId1497" /><Relationship Type="http://schemas.openxmlformats.org/officeDocument/2006/relationships/hyperlink" Target="https://www.google.com/maps/search/?api=1&amp;query=Alcatraz%20Bar%20Porto%20Alegre&amp;query_place_id=ChIJJdZzNAB5GZURkYcyBk7x9OE" TargetMode="External" Id="rId1498" /><Relationship Type="http://schemas.openxmlformats.org/officeDocument/2006/relationships/hyperlink" Target="https://www.google.com/maps/search/?api=1&amp;query=Arcadea%20Gaming%20Pub&amp;query_place_id=ChIJHSDPTgF5GZURKmSqKITyoGM" TargetMode="External" Id="rId1499" /><Relationship Type="http://schemas.openxmlformats.org/officeDocument/2006/relationships/hyperlink" Target="https://www.google.com/maps/search/?api=1&amp;query=B%26B%20Games&amp;query_place_id=ChIJMyZxrKuDGZURY4QmuB42th4" TargetMode="External" Id="rId1500" /><Relationship Type="http://schemas.openxmlformats.org/officeDocument/2006/relationships/hyperlink" Target="https://www.google.com/maps/search/?api=1&amp;query=BeB%20Games%20Shop&amp;query_place_id=ChIJ4d68w215GZURtJ7UClWQ4o4" TargetMode="External" Id="rId1501" /><Relationship Type="http://schemas.openxmlformats.org/officeDocument/2006/relationships/hyperlink" Target="https://www.google.com/maps/search/?api=1&amp;query=Bowlerama%20-%20Diner%20%26%20Bowling&amp;query_place_id=ChIJs3tUWmt4GZURXTAqKYmY9UM" TargetMode="External" Id="rId1502" /><Relationship Type="http://schemas.openxmlformats.org/officeDocument/2006/relationships/hyperlink" Target="https://www.google.com/maps/search/?api=1&amp;query=Capivara%20de%20A%C3%A7o&amp;query_place_id=ChIJNTkeVMx3GZURiLQ2djcIwaI" TargetMode="External" Id="rId1503" /><Relationship Type="http://schemas.openxmlformats.org/officeDocument/2006/relationships/hyperlink" Target="https://www.google.com/maps/search/?api=1&amp;query=Capone%20Drinkeria&amp;query_place_id=ChIJG7V5grN5GZUR3u7aU9P43Hw" TargetMode="External" Id="rId1504" /><Relationship Type="http://schemas.openxmlformats.org/officeDocument/2006/relationships/hyperlink" Target="https://www.google.com/maps/search/?api=1&amp;query=Casa%20L%C3%BAdica%20%7C%20Loja%20de%20Brinquedos%20Educativos%20em%20Porto%20Alegre%20-%20Zona%20Sul&amp;query_place_id=ChIJ4TDIw5iDGZURIJBiOafxUPw" TargetMode="External" Id="rId1505" /><Relationship Type="http://schemas.openxmlformats.org/officeDocument/2006/relationships/hyperlink" Target="https://www.google.com/maps/search/?api=1&amp;query=Casa%20de%20Cultura%20Mario%20Quintana%20%28CCMQ%29&amp;query_place_id=ChIJt1KJ1xN5GZURehW5fkSmbgI" TargetMode="External" Id="rId1506" /><Relationship Type="http://schemas.openxmlformats.org/officeDocument/2006/relationships/hyperlink" Target="https://www.google.com/maps/search/?api=1&amp;query=Casa%20do%20Xadrez%20Porto%20Alegre&amp;query_place_id=ChIJt6eeMB95GZURSew3ja0AxJA" TargetMode="External" Id="rId1507" /><Relationship Type="http://schemas.openxmlformats.org/officeDocument/2006/relationships/hyperlink" Target="https://www.google.com/maps/search/?api=1&amp;query=Casa%20l%C3%BAdica%20shopping%20Iguatemi&amp;query_place_id=ChIJT1C0IqZ3GZURdYjywA4k4Kg" TargetMode="External" Id="rId1508" /><Relationship Type="http://schemas.openxmlformats.org/officeDocument/2006/relationships/hyperlink" Target="https://www.google.com/maps/search/?api=1&amp;query=Centro%20Cultural%20Vila%20Flores&amp;query_place_id=ChIJR5SRYbt5GZURvDnVjioF-mE" TargetMode="External" Id="rId1509" /><Relationship Type="http://schemas.openxmlformats.org/officeDocument/2006/relationships/hyperlink" Target="https://www.google.com/maps/search/?api=1&amp;query=Checkpoint%20Games&amp;query_place_id=ChIJN76CzJ53GZURfenXtnLLbOw" TargetMode="External" Id="rId1510" /><Relationship Type="http://schemas.openxmlformats.org/officeDocument/2006/relationships/hyperlink" Target="https://www.google.com/maps/search/?api=1&amp;query=Checkpoint%20Games%20Total&amp;query_place_id=ChIJi1Cdehp5GZUR6TD0jnD1iq8" TargetMode="External" Id="rId1511" /><Relationship Type="http://schemas.openxmlformats.org/officeDocument/2006/relationships/hyperlink" Target="https://www.google.com/maps/search/?api=1&amp;query=Chipp%27s%20Bar&amp;query_place_id=ChIJT-p-do55GZUR4JhRfa3uWVM" TargetMode="External" Id="rId1512" /><Relationship Type="http://schemas.openxmlformats.org/officeDocument/2006/relationships/hyperlink" Target="https://www.google.com/maps/search/?api=1&amp;query=DM%20Games&amp;query_place_id=ChIJMaUOsUCCGZUR5eX8QrUL7Io" TargetMode="External" Id="rId1513" /><Relationship Type="http://schemas.openxmlformats.org/officeDocument/2006/relationships/hyperlink" Target="https://www.google.com/maps/search/?api=1&amp;query=Dream%20Halls%20%28Shandalar%29&amp;query_place_id=ChIJq6p-rQh5GZUR7QzURRGwfwA" TargetMode="External" Id="rId1514" /><Relationship Type="http://schemas.openxmlformats.org/officeDocument/2006/relationships/hyperlink" Target="https://www.google.com/maps/search/?api=1&amp;query=Dry%20Moments%20%26%20Drinks&amp;query_place_id=ChIJ-YI0GoB5GZURaHx2Zjct0HA" TargetMode="External" Id="rId1515" /><Relationship Type="http://schemas.openxmlformats.org/officeDocument/2006/relationships/hyperlink" Target="https://www.google.com/maps/search/?api=1&amp;query=FM%20games&amp;query_place_id=ChIJZeaWMGaCGZURbQaAIwBfxus" TargetMode="External" Id="rId1516" /><Relationship Type="http://schemas.openxmlformats.org/officeDocument/2006/relationships/hyperlink" Target="https://www.google.com/maps/search/?api=1&amp;query=Guava%20-%20Poa&amp;query_place_id=ChIJQRxxxV15GZURLYiqREJXY3k" TargetMode="External" Id="rId1517" /><Relationship Type="http://schemas.openxmlformats.org/officeDocument/2006/relationships/hyperlink" Target="https://www.google.com/maps/search/?api=1&amp;query=HEX%20Board%20Game%20Caf%C3%A9&amp;query_place_id=ChIJcRvp0r15GZURj1bFNF3n5jw" TargetMode="External" Id="rId1518" /><Relationship Type="http://schemas.openxmlformats.org/officeDocument/2006/relationships/hyperlink" Target="https://www.google.com/maps/search/?api=1&amp;query=Hidden%20BrewPub&amp;query_place_id=ChIJT7pnzXqCGZUROMEoKA8AW-w" TargetMode="External" Id="rId1519" /><Relationship Type="http://schemas.openxmlformats.org/officeDocument/2006/relationships/hyperlink" Target="https://www.google.com/maps/search/?api=1&amp;query=Horda%20Nerd&amp;query_place_id=ChIJSTDJiAV5GZURG0iVNFCTGGM" TargetMode="External" Id="rId1520" /><Relationship Type="http://schemas.openxmlformats.org/officeDocument/2006/relationships/hyperlink" Target="https://www.google.com/maps/search/?api=1&amp;query=Ilus%C3%B5es%20Industriais&amp;query_place_id=ChIJV8oXhgV5GZURziXuQ4QUGCg" TargetMode="External" Id="rId1521" /><Relationship Type="http://schemas.openxmlformats.org/officeDocument/2006/relationships/hyperlink" Target="https://www.google.com/maps/search/?api=1&amp;query=Ilus%C3%B5es%20Industriais%20Bourbon%20Country&amp;query_place_id=ChIJE1UxnhN3GZURqblAoNB7yfo" TargetMode="External" Id="rId1522" /><Relationship Type="http://schemas.openxmlformats.org/officeDocument/2006/relationships/hyperlink" Target="https://www.google.com/maps/search/?api=1&amp;query=Jogos%20Boole&amp;query_place_id=ChIJW5h5saN4GZURamqMy4PvK1U" TargetMode="External" Id="rId1523" /><Relationship Type="http://schemas.openxmlformats.org/officeDocument/2006/relationships/hyperlink" Target="https://www.google.com/maps/search/?api=1&amp;query=Jogos%20Fant%C3%A1sticos%20e%20Onde%20Habitam%20-%20Aluguel%20de%20Jogos%20de%20Tabuleiro%20em%20Porto%20Alegre&amp;query_place_id=ChIJmyUFzQt5GZURq_vc-kMrlGI" TargetMode="External" Id="rId1524" /><Relationship Type="http://schemas.openxmlformats.org/officeDocument/2006/relationships/hyperlink" Target="https://www.google.com/maps/search/?api=1&amp;query=LS%20Gamestore&amp;query_place_id=ChIJi8IQud95GZURGnZXARGazCw" TargetMode="External" Id="rId1525" /><Relationship Type="http://schemas.openxmlformats.org/officeDocument/2006/relationships/hyperlink" Target="https://www.google.com/maps/search/?api=1&amp;query=Livraria%20Leitura&amp;query_place_id=ChIJLQoG2xF5GZUR4YH8-IRYoRs" TargetMode="External" Id="rId1526" /><Relationship Type="http://schemas.openxmlformats.org/officeDocument/2006/relationships/hyperlink" Target="https://www.google.com/maps/search/?api=1&amp;query=Ludoteca%20B%C3%A1sica&amp;query_place_id=ChIJeQSBxIB5GZURF_5nVdRIpoA" TargetMode="External" Id="rId1527" /><Relationship Type="http://schemas.openxmlformats.org/officeDocument/2006/relationships/hyperlink" Target="https://www.google.com/maps/search/?api=1&amp;query=MTG%20Magic%20Combo&amp;query_place_id=ChIJc5Ngqb93GZURsXxqn5PFaUQ" TargetMode="External" Id="rId1528" /><Relationship Type="http://schemas.openxmlformats.org/officeDocument/2006/relationships/hyperlink" Target="https://www.google.com/maps/search/?api=1&amp;query=Mestre%20Misto&amp;query_place_id=ChIJIWGq8Xt5GZURuK5FW6xiwjw" TargetMode="External" Id="rId1529" /><Relationship Type="http://schemas.openxmlformats.org/officeDocument/2006/relationships/hyperlink" Target="https://www.google.com/maps/search/?api=1&amp;query=Mint%20%26%20Hood%20Card%20Games&amp;query_place_id=ChIJkbDJNsB5GZURMq9njXiOzvg" TargetMode="External" Id="rId1530" /><Relationship Type="http://schemas.openxmlformats.org/officeDocument/2006/relationships/hyperlink" Target="https://www.google.com/maps/search/?api=1&amp;query=Mulligan%20Resto%20Pub&amp;query_place_id=ChIJ376o2QMrCgEREW6UPr-oVV0" TargetMode="External" Id="rId1531" /><Relationship Type="http://schemas.openxmlformats.org/officeDocument/2006/relationships/hyperlink" Target="https://www.google.com/maps/search/?api=1&amp;query=Multiverso%20Cultura%20Geek&amp;query_place_id=ChIJlXnY2-95GZUR4OAvG0UtQnU" TargetMode="External" Id="rId1532" /><Relationship Type="http://schemas.openxmlformats.org/officeDocument/2006/relationships/hyperlink" Target="https://www.google.com/maps/search/?api=1&amp;query=Nerdz&amp;query_place_id=ChIJc6LYVAd5GZURtPeFIuwNdAg" TargetMode="External" Id="rId1533" /><Relationship Type="http://schemas.openxmlformats.org/officeDocument/2006/relationships/hyperlink" Target="https://www.google.com/maps/search/?api=1&amp;query=Nerdz%20Cards&amp;query_place_id=ChIJ5zKpvKN5GZUR6AxgANEs1ak" TargetMode="External" Id="rId1534" /><Relationship Type="http://schemas.openxmlformats.org/officeDocument/2006/relationships/hyperlink" Target="https://www.google.com/maps/search/?api=1&amp;query=Ninkasi%20Bar&amp;query_place_id=ChIJ14EN8Kd5GZURHBv4V9HsGDw" TargetMode="External" Id="rId1535" /><Relationship Type="http://schemas.openxmlformats.org/officeDocument/2006/relationships/hyperlink" Target="https://www.google.com/maps/search/?api=1&amp;query=Paladino%20Geek&amp;query_place_id=ChIJTXQ20_mDGZURZvGm6v61Yhg" TargetMode="External" Id="rId1536" /><Relationship Type="http://schemas.openxmlformats.org/officeDocument/2006/relationships/hyperlink" Target="https://www.google.com/maps/search/?api=1&amp;query=Pimponeta%20Brinquedoteca&amp;query_place_id=ChIJNUqwIxR5GZUR0IdZDZeBNuc" TargetMode="External" Id="rId1537" /><Relationship Type="http://schemas.openxmlformats.org/officeDocument/2006/relationships/hyperlink" Target="https://www.google.com/maps/search/?api=1&amp;query=Porto%20Carioca%20Bar&amp;query_place_id=ChIJ1TsfDQB5GZURgF65pRWt-ZI" TargetMode="External" Id="rId1538" /><Relationship Type="http://schemas.openxmlformats.org/officeDocument/2006/relationships/hyperlink" Target="https://www.google.com/maps/search/?api=1&amp;query=Pulo%20do%20Gato%20Quintal%20de%20Inf%C3%A2ncias&amp;query_place_id=ChIJ33-Qz-Z5GZURZOEE6W88OkI" TargetMode="External" Id="rId1539" /><Relationship Type="http://schemas.openxmlformats.org/officeDocument/2006/relationships/hyperlink" Target="https://www.google.com/maps/search/?api=1&amp;query=RI%20HAPPY&amp;query_place_id=ChIJsQAebvp4GZURq9U8W7FqO1c" TargetMode="External" Id="rId1540" /><Relationship Type="http://schemas.openxmlformats.org/officeDocument/2006/relationships/hyperlink" Target="https://www.google.com/maps/search/?api=1&amp;query=Sapo%20Balseiro&amp;query_place_id=ChIJV3qt0E15GZURrImpTTdxeUs" TargetMode="External" Id="rId1541" /><Relationship Type="http://schemas.openxmlformats.org/officeDocument/2006/relationships/hyperlink" Target="https://www.google.com/maps/search/?api=1&amp;query=Shamrock%20Irish%20Pub&amp;query_place_id=ChIJyfRSWFJ4GZURDqHy6jeJrS0" TargetMode="External" Id="rId1542" /><Relationship Type="http://schemas.openxmlformats.org/officeDocument/2006/relationships/hyperlink" Target="https://www.google.com/maps/search/?api=1&amp;query=Superlegal&amp;query_place_id=ChIJSwgnWpl3GZUR0DOqz6-HiHk" TargetMode="External" Id="rId1543" /><Relationship Type="http://schemas.openxmlformats.org/officeDocument/2006/relationships/hyperlink" Target="https://www.google.com/maps/search/?api=1&amp;query=Superlegal%20Brinquedos&amp;query_place_id=ChIJvfck8qB4GZURXlox7bJj4PA" TargetMode="External" Id="rId1544" /><Relationship Type="http://schemas.openxmlformats.org/officeDocument/2006/relationships/hyperlink" Target="https://www.google.com/maps/search/?api=1&amp;query=Superlegal%20Brinquedos%20Shopping%20Total&amp;query_place_id=ChIJd0pkf695GZURLtfDyRQIo14" TargetMode="External" Id="rId1545" /><Relationship Type="http://schemas.openxmlformats.org/officeDocument/2006/relationships/hyperlink" Target="https://www.google.com/maps/search/?api=1&amp;query=Tondin%20Games&amp;query_place_id=ChIJMxLojXp3GZURO6vAFudn0Xk" TargetMode="External" Id="rId1546" /><Relationship Type="http://schemas.openxmlformats.org/officeDocument/2006/relationships/hyperlink" Target="https://www.google.com/maps/search/?api=1&amp;query=Tutatis%20Loja%20de%20Quadrinhos&amp;query_place_id=ChIJT4CT4mF3GZURrHdnW8nzVuE" TargetMode="External" Id="rId1547" /><Relationship Type="http://schemas.openxmlformats.org/officeDocument/2006/relationships/hyperlink" Target="https://www.google.com/maps/search/?api=1&amp;query=Twin%20Games&amp;query_place_id=ChIJ0wN_xE15GZUR6XmCUCQxtnU" TargetMode="External" Id="rId1548" /><Relationship Type="http://schemas.openxmlformats.org/officeDocument/2006/relationships/hyperlink" Target="https://www.google.com/maps/search/?api=1&amp;query=ViraLua%20Ess%C3%AAncia%20dos%20Brinquedos&amp;query_place_id=ChIJEbwbSLR5GZURBPqQavE4h3U" TargetMode="External" Id="rId1549" /><Relationship Type="http://schemas.openxmlformats.org/officeDocument/2006/relationships/hyperlink" Target="https://www.google.com/maps/search/?api=1&amp;query=V%C3%ADdeo%20Game%20Porto%20Alegre&amp;query_place_id=ChIJQZTAXgh5GZUREobgHwJtGJ4" TargetMode="External" Id="rId1550" /><Relationship Type="http://schemas.openxmlformats.org/officeDocument/2006/relationships/hyperlink" Target="https://www.google.com/maps/search/?api=1&amp;query=Weiss%20British%20Pub&amp;query_place_id=ChIJCUw8d9J5GZURs0u7s4lBAJM" TargetMode="External" Id="rId1551" /><Relationship Type="http://schemas.openxmlformats.org/officeDocument/2006/relationships/hyperlink" Target="https://www.google.com/maps/search/?api=1&amp;query=Wow%20Park&amp;query_place_id=ChIJqfBIGO55GZURH4uUeRPp95E" TargetMode="External" Id="rId1552" /><Relationship Type="http://schemas.openxmlformats.org/officeDocument/2006/relationships/hyperlink" Target="https://www.google.com/maps/search/?api=1&amp;query=Arena%20Prime&amp;query_place_id=ChIJ2Sc515M7J5UR5rrpbv-hoo0" TargetMode="External" Id="rId1553" /><Relationship Type="http://schemas.openxmlformats.org/officeDocument/2006/relationships/hyperlink" Target="https://www.google.com/maps/search/?api=1&amp;query=Atelier%20Alfredo%20Larre%20Jogos%20de%20Tabuleiro&amp;query_place_id=ChIJpdHXvOJBJ5UR0psgDWi1jJc" TargetMode="External" Id="rId1554" /><Relationship Type="http://schemas.openxmlformats.org/officeDocument/2006/relationships/hyperlink" Target="https://www.google.com/maps/search/?api=1&amp;query=Balb%C3%BArdia%20Cervejeira%20Florian%C3%B3polis&amp;query_place_id=ChIJKa_5PSU3J5URLBsCWtRR0NA" TargetMode="External" Id="rId1555" /><Relationship Type="http://schemas.openxmlformats.org/officeDocument/2006/relationships/hyperlink" Target="https://www.google.com/maps/search/?api=1&amp;query=Ber%C3%A7%C3%A1rio%20M%C3%A1gico%20Florian%C3%B3polis&amp;query_place_id=ChIJWZCzZhA5J5URlScOX13XlWs" TargetMode="External" Id="rId1556" /><Relationship Type="http://schemas.openxmlformats.org/officeDocument/2006/relationships/hyperlink" Target="https://www.google.com/maps/search/?api=1&amp;query=Bola%208%20Snooker%20Bar&amp;query_place_id=ChIJJfvd9QBCJ5URPtgaiscfj5Y" TargetMode="External" Id="rId1557" /><Relationship Type="http://schemas.openxmlformats.org/officeDocument/2006/relationships/hyperlink" Target="https://www.google.com/maps/search/?api=1&amp;query=Box%20117%20-%20BRINQUEDOS&amp;query_place_id=ChIJ-4RQ4kk5J5URdwADbX8za7M" TargetMode="External" Id="rId1558" /><Relationship Type="http://schemas.openxmlformats.org/officeDocument/2006/relationships/hyperlink" Target="https://www.google.com/maps/search/?api=1&amp;query=Brinkidiss&amp;query_place_id=ChIJQ40ebT1JJ5URTdocEku1P0I" TargetMode="External" Id="rId1559" /><Relationship Type="http://schemas.openxmlformats.org/officeDocument/2006/relationships/hyperlink" Target="https://www.google.com/maps/search/?api=1&amp;query=Brinquedoteca%20Mam%C3%A3e%20Ursa&amp;query_place_id=ChIJUyXE3OBDJ5UR-QHJbZzz4K0" TargetMode="External" Id="rId1560" /><Relationship Type="http://schemas.openxmlformats.org/officeDocument/2006/relationships/hyperlink" Target="https://www.google.com/maps/search/?api=1&amp;query=Bro%20Cave%20Pub&amp;query_place_id=ChIJBQtM0iE4J5URe_WL07Pj8V4" TargetMode="External" Id="rId1561" /><Relationship Type="http://schemas.openxmlformats.org/officeDocument/2006/relationships/hyperlink" Target="https://www.google.com/maps/search/?api=1&amp;query=CCG%20Floripa&amp;query_place_id=ChIJawIVeV0JM0oR5BtnD_poQeA" TargetMode="External" Id="rId1562" /><Relationship Type="http://schemas.openxmlformats.org/officeDocument/2006/relationships/hyperlink" Target="https://www.google.com/maps/search/?api=1&amp;query=CNeutral%20RPG%20e%20Hobbies&amp;query_place_id=ChIJ5y2CaytJJ5UR84Op92X8Xgg" TargetMode="External" Id="rId1563" /><Relationship Type="http://schemas.openxmlformats.org/officeDocument/2006/relationships/hyperlink" Target="https://www.google.com/maps/search/?api=1&amp;query=Cartas%20%26%20Dados&amp;query_place_id=ChIJp0AUDQA5J5URHwCOSienHRQ" TargetMode="External" Id="rId1564" /><Relationship Type="http://schemas.openxmlformats.org/officeDocument/2006/relationships/hyperlink" Target="https://www.google.com/maps/search/?api=1&amp;query=Casa%20Viva%20-%20Espa%C3%A7o%20de%20criar%2C%20brincar%20e%20crescer&amp;query_place_id=ChIJ7xACdt49J5URt9-_cQ61tdk" TargetMode="External" Id="rId1565" /><Relationship Type="http://schemas.openxmlformats.org/officeDocument/2006/relationships/hyperlink" Target="https://www.google.com/maps/search/?api=1&amp;query=Chef%20on%20Play&amp;query_place_id=ChIJc3F7ka83J5URQZ1XTl-_iak" TargetMode="External" Id="rId1566" /><Relationship Type="http://schemas.openxmlformats.org/officeDocument/2006/relationships/hyperlink" Target="https://www.google.com/maps/search/?api=1&amp;query=Decathlon%20Florian%C3%B3polis&amp;query_place_id=ChIJ74urMl5HJ5URF27-9sgc7Ao" TargetMode="External" Id="rId1567" /><Relationship Type="http://schemas.openxmlformats.org/officeDocument/2006/relationships/hyperlink" Target="https://www.google.com/maps/search/?api=1&amp;query=Divert%20Park&amp;query_place_id=ChIJ26SG9CA5J5UR8CyxhDBJaAE" TargetMode="External" Id="rId1568" /><Relationship Type="http://schemas.openxmlformats.org/officeDocument/2006/relationships/hyperlink" Target="https://www.google.com/maps/search/?api=1&amp;query=Divert%20Park&amp;query_place_id=ChIJJ2Bk1e05J5URgRq0pvu0Z5Q" TargetMode="External" Id="rId1569" /><Relationship Type="http://schemas.openxmlformats.org/officeDocument/2006/relationships/hyperlink" Target="https://www.google.com/maps/search/?api=1&amp;query=Dragon%C2%B4s%20House%20Hobby%20Store&amp;query_place_id=ChIJ7ZioVfU3J5URMq3PGrI4mFw" TargetMode="External" Id="rId1570" /><Relationship Type="http://schemas.openxmlformats.org/officeDocument/2006/relationships/hyperlink" Target="https://www.google.com/maps/search/?api=1&amp;query=Elemental%20Geek&amp;query_place_id=ChIJ_Qdle005J5URXK4SqE4NiOY" TargetMode="External" Id="rId1571" /><Relationship Type="http://schemas.openxmlformats.org/officeDocument/2006/relationships/hyperlink" Target="https://www.google.com/maps/search/?api=1&amp;query=EscapeOne&amp;query_place_id=ChIJd_LpVCE5J5URwaNhjdU8a8A" TargetMode="External" Id="rId1572" /><Relationship Type="http://schemas.openxmlformats.org/officeDocument/2006/relationships/hyperlink" Target="https://www.google.com/maps/search/?api=1&amp;query=Fant%C3%A1stico%20Mundo%20Delazer&amp;query_place_id=ChIJRZ1kzSY5J5URgZH5yMJ2sCw" TargetMode="External" Id="rId1573" /><Relationship Type="http://schemas.openxmlformats.org/officeDocument/2006/relationships/hyperlink" Target="https://www.google.com/maps/search/?api=1&amp;query=Fenix%20GZ&amp;query_place_id=ChIJVVXlRCE4J5URyV8l3c_i4L8" TargetMode="External" Id="rId1574" /><Relationship Type="http://schemas.openxmlformats.org/officeDocument/2006/relationships/hyperlink" Target="https://www.google.com/maps/search/?api=1&amp;query=Game%20Mania&amp;query_place_id=ChIJ5cVikgzL2JQRfcOg3KSl_DA" TargetMode="External" Id="rId1575" /><Relationship Type="http://schemas.openxmlformats.org/officeDocument/2006/relationships/hyperlink" Target="https://www.google.com/maps/search/?api=1&amp;query=Game%20Mania&amp;query_place_id=ChIJ62cIJ6A4J5URgMYeNA2aqJY" TargetMode="External" Id="rId1576" /><Relationship Type="http://schemas.openxmlformats.org/officeDocument/2006/relationships/hyperlink" Target="https://www.google.com/maps/search/?api=1&amp;query=Game%20Mania&amp;query_place_id=ChIJk3dvafk4J5URzKOq9gwfq40" TargetMode="External" Id="rId1577" /><Relationship Type="http://schemas.openxmlformats.org/officeDocument/2006/relationships/hyperlink" Target="https://www.google.com/maps/search/?api=1&amp;query=Hang%20Out%20%E2%80%A2%20Gastro%20Pub&amp;query_place_id=ChIJ4R43YPk4J5URIRNVcgKOVs4" TargetMode="External" Id="rId1578" /><Relationship Type="http://schemas.openxmlformats.org/officeDocument/2006/relationships/hyperlink" Target="https://www.google.com/maps/search/?api=1&amp;query=Hercilia%20Bar&amp;query_place_id=ChIJLzitJQA5J5URunMVHSxrSq0" TargetMode="External" Id="rId1579" /><Relationship Type="http://schemas.openxmlformats.org/officeDocument/2006/relationships/hyperlink" Target="https://www.google.com/maps/search/?api=1&amp;query=Honeys%20Board%20Games%20-%20Aluguel%20de%20Jogos%20de%20Tabuleiro&amp;query_place_id=ChIJY6jHpII7J5URz-TdE62Igr4" TargetMode="External" Id="rId1580" /><Relationship Type="http://schemas.openxmlformats.org/officeDocument/2006/relationships/hyperlink" Target="https://www.google.com/maps/search/?api=1&amp;query=Insight%20Caf%C3%A9%20Bar&amp;query_place_id=ChIJNdQTUDM5J5URykOnBaZkPMI" TargetMode="External" Id="rId1581" /><Relationship Type="http://schemas.openxmlformats.org/officeDocument/2006/relationships/hyperlink" Target="https://www.google.com/maps/search/?api=1&amp;query=Jogoteka&amp;query_place_id=ChIJNVQ5QaVDJ5URKr7f3iismtY" TargetMode="External" Id="rId1582" /><Relationship Type="http://schemas.openxmlformats.org/officeDocument/2006/relationships/hyperlink" Target="https://www.google.com/maps/search/?api=1&amp;query=Jungle%20Park%20Floripa&amp;query_place_id=ChIJE3_jwpM7J5URmnTFbXoEf_g" TargetMode="External" Id="rId1583" /><Relationship Type="http://schemas.openxmlformats.org/officeDocument/2006/relationships/hyperlink" Target="https://www.google.com/maps/search/?api=1&amp;query=Liquorice%20Gastro%20Pub&amp;query_place_id=ChIJPfwZORY4J5URU37akK_YC5c" TargetMode="External" Id="rId1584" /><Relationship Type="http://schemas.openxmlformats.org/officeDocument/2006/relationships/hyperlink" Target="https://www.google.com/maps/search/?api=1&amp;query=Ludique%20Brinquedoteca&amp;query_place_id=ChIJlcd23aQ5J5URTLDMAG1QSa8" TargetMode="External" Id="rId1585" /><Relationship Type="http://schemas.openxmlformats.org/officeDocument/2006/relationships/hyperlink" Target="https://www.google.com/maps/search/?api=1&amp;query=Man%20Cave%20Store%20-%20Unidade%20Florian%C3%B3polis&amp;query_place_id=ChIJp4Zlq9g3J5URVXYuSAopakc" TargetMode="External" Id="rId1586" /><Relationship Type="http://schemas.openxmlformats.org/officeDocument/2006/relationships/hyperlink" Target="https://www.google.com/maps/search/?api=1&amp;query=Mar%C3%A9%20de%20Jogos&amp;query_place_id=ChIJn2Kr8VhDJ5URitVmcmBml7U" TargetMode="External" Id="rId1587" /><Relationship Type="http://schemas.openxmlformats.org/officeDocument/2006/relationships/hyperlink" Target="https://www.google.com/maps/search/?api=1&amp;query=Nerdz%20Cards%20Floripa&amp;query_place_id=ChIJm5mbNH45J5UREKQRJ27HXdM" TargetMode="External" Id="rId1588" /><Relationship Type="http://schemas.openxmlformats.org/officeDocument/2006/relationships/hyperlink" Target="https://www.google.com/maps/search/?api=1&amp;query=Nyx%20Bar%20e%20Hamburgueria&amp;query_place_id=ChIJb3N90JM5J5UR6pzUGpoBUpo" TargetMode="External" Id="rId1589" /><Relationship Type="http://schemas.openxmlformats.org/officeDocument/2006/relationships/hyperlink" Target="https://www.google.com/maps/search/?api=1&amp;query=Oficina%20do%20Aprendiz&amp;query_place_id=ChIJgVZnH7c7J5UROVfXrmJSWl0" TargetMode="External" Id="rId1590" /><Relationship Type="http://schemas.openxmlformats.org/officeDocument/2006/relationships/hyperlink" Target="https://www.google.com/maps/search/?api=1&amp;query=Origens%20Espa%C3%A7o%20Recreativo&amp;query_place_id=ChIJMWkyk6RBJ5UR2WWx0rTuv3E" TargetMode="External" Id="rId1591" /><Relationship Type="http://schemas.openxmlformats.org/officeDocument/2006/relationships/hyperlink" Target="https://www.google.com/maps/search/?api=1&amp;query=Parlenda%20Brinquedos%20Educativos%20Santa%20M%C3%B4nica&amp;query_place_id=ChIJcXMvWLw5J5URMi14sXDeTsw" TargetMode="External" Id="rId1592" /><Relationship Type="http://schemas.openxmlformats.org/officeDocument/2006/relationships/hyperlink" Target="https://www.google.com/maps/search/?api=1&amp;query=Passeio%20Kids%20Primavera&amp;query_place_id=ChIJ4cYKt4RHJ5URSASH1VXTK8c" TargetMode="External" Id="rId1593" /><Relationship Type="http://schemas.openxmlformats.org/officeDocument/2006/relationships/hyperlink" Target="https://www.google.com/maps/search/?api=1&amp;query=Play%20Zen%20Kids%20%E2%80%A2%20Floripa&amp;query_place_id=ChIJyb86ys1rJ5URHZWHomWe-nc" TargetMode="External" Id="rId1594" /><Relationship Type="http://schemas.openxmlformats.org/officeDocument/2006/relationships/hyperlink" Target="https://www.google.com/maps/search/?api=1&amp;query=Ref%C3%BAgio%20Floripa&amp;query_place_id=ChIJ4b2SSrM3J5URkj_5Y-whCXQ" TargetMode="External" Id="rId1595" /><Relationship Type="http://schemas.openxmlformats.org/officeDocument/2006/relationships/hyperlink" Target="https://www.google.com/maps/search/?api=1&amp;query=Tabuleiro%20Viajante&amp;query_place_id=ChIJhej1ia83J5URA3lrBNoiQGs" TargetMode="External" Id="rId1596" /><Relationship Type="http://schemas.openxmlformats.org/officeDocument/2006/relationships/hyperlink" Target="https://www.google.com/maps/search/?api=1&amp;query=Toca%20da%20Lilica%20Caf%C3%A9%20Brincante&amp;query_place_id=ChIJaYPlHHw3J5URGi3OzFGbBrE" TargetMode="External" Id="rId1597" /><Relationship Type="http://schemas.openxmlformats.org/officeDocument/2006/relationships/hyperlink" Target="https://www.google.com/maps/search/?api=1&amp;query=Wooden%20Tap%20Beer&amp;query_place_id=ChIJF-HFyiI4J5URURwP515flQo" TargetMode="External" Id="rId1598" /><Relationship Type="http://schemas.openxmlformats.org/officeDocument/2006/relationships/hyperlink" Target="https://www.google.com/maps/search/?api=1&amp;query=World%20Games&amp;query_place_id=ChIJSRvZCyQ4J5URqYmD8UBSHUg" TargetMode="External" Id="rId1599" /><Relationship Type="http://schemas.openxmlformats.org/officeDocument/2006/relationships/hyperlink" Target="https://www.google.com/maps/search/?api=1&amp;query=Wow%20Park&amp;query_place_id=ChIJzxa3ji5HJ5URs8WzxbtamQ4" TargetMode="External" Id="rId1600" /><Relationship Type="http://schemas.openxmlformats.org/officeDocument/2006/relationships/hyperlink" Target="https://www.google.com/maps/search/?api=1&amp;query=gris%20caf%C3%A9%2C%20bar%20e%20mirante&amp;query_place_id=ChIJXVyMzcs5J5URj-PLz3bxVBs" TargetMode="External" Id="rId1601" /><Relationship Type="http://schemas.openxmlformats.org/officeDocument/2006/relationships/hyperlink" Target="https://www.google.com/maps/search/?api=1&amp;query=BRINCADICA%20BRINQUEDOTECA%20e%20CONTRATURNO&amp;query_place_id=ChIJZyPjxFc3J5URCNnFhJDfz20" TargetMode="External" Id="rId1602" /><Relationship Type="http://schemas.openxmlformats.org/officeDocument/2006/relationships/hyperlink" Target="https://www.google.com/maps/search/?api=1&amp;query=Caverna%20do%20Coelho%20%7C%20Aluguel%20de%20Jogos%20de%20Tabuleiro&amp;query_place_id=ChIJoSChlA1JJ5URNj9RlBZxa6U" TargetMode="External" Id="rId1603" /><Relationship Type="http://schemas.openxmlformats.org/officeDocument/2006/relationships/hyperlink" Target="https://www.google.com/maps/search/?api=1&amp;query=Cineplay-%20Restaurante%20e%20Jogos&amp;query_place_id=ChIJJz8-gcY3J5URYdZrEXdHaAk" TargetMode="External" Id="rId1604" /><Relationship Type="http://schemas.openxmlformats.org/officeDocument/2006/relationships/hyperlink" Target="https://www.google.com/maps/search/?api=1&amp;query=Covil%20da%20Lua&amp;query_place_id=ChIJnfbkPSE2J5URRbMRHhT13r8" TargetMode="External" Id="rId1605" /><Relationship Type="http://schemas.openxmlformats.org/officeDocument/2006/relationships/hyperlink" Target="https://www.google.com/maps/search/?api=1&amp;query=De%20Casa%20Boardgames&amp;query_place_id=ChIJ186St8s5J5URi82koubWJyU" TargetMode="External" Id="rId1606" /><Relationship Type="http://schemas.openxmlformats.org/officeDocument/2006/relationships/hyperlink" Target="https://www.google.com/maps/search/?api=1&amp;query=Loja%20Game%20e%20Cia%20-%20Inform%C3%A1tica&amp;query_place_id=ChIJK8OwZi82J5UR5WnZNxqg1zQ" TargetMode="External" Id="rId1607" /><Relationship Type="http://schemas.openxmlformats.org/officeDocument/2006/relationships/hyperlink" Target="https://www.google.com/maps/search/?api=1&amp;query=Man%20Cave%20Store%20-%20Unidade%20S%C3%A3o%20Jos%C3%A9&amp;query_place_id=ChIJuanmlmRJJ5URc1VBwA_dbEY" TargetMode="External" Id="rId1608" /><Relationship Type="http://schemas.openxmlformats.org/officeDocument/2006/relationships/hyperlink" Target="https://www.google.com/maps/search/?api=1&amp;query=Man%C3%A9%20L%C3%BAdico&amp;query_place_id=ChIJjVg0h1BJJ5UR656inTUt6ac" TargetMode="External" Id="rId1609" /><Relationship Type="http://schemas.openxmlformats.org/officeDocument/2006/relationships/hyperlink" Target="https://www.google.com/maps/search/?api=1&amp;query=Offline%20Club%20-%20Aluguel%20de%20Jogos&amp;query_place_id=ChIJOV7SZY9JJ5URac0ZlEu2HYo" TargetMode="External" Id="rId1610" /><Relationship Type="http://schemas.openxmlformats.org/officeDocument/2006/relationships/hyperlink" Target="https://www.google.com/maps/search/?api=1&amp;query=Play%20Up%20Kids%20-%20Contraturno%20e%20Brinquedoteca&amp;query_place_id=ChIJK3WLgIJJJ5UR0l6znL1hD4w" TargetMode="External" Id="rId1611" /><Relationship Type="http://schemas.openxmlformats.org/officeDocument/2006/relationships/hyperlink" Target="https://www.google.com/maps/search/?api=1&amp;query=Prime%20Games%20Shopping%20Itagua%C3%A7u&amp;query_place_id=ChIJISNOxQxJJ5UR1zgCl3TFoYM" TargetMode="External" Id="rId1612" /><Relationship Type="http://schemas.openxmlformats.org/officeDocument/2006/relationships/hyperlink" Target="https://www.google.com/maps/search/?api=1&amp;query=Storm%20Card%20Games&amp;query_place_id=ChIJnT4SINE3J5UR9ZzTUW8OnwM" TargetMode="External" Id="rId1613" /><Relationship Type="http://schemas.openxmlformats.org/officeDocument/2006/relationships/hyperlink" Target="https://www.google.com/maps/search/?api=1&amp;query=Taberna%20dos%20Her%C3%B3is&amp;query_place_id=ChIJYaaRQxY3J5URP4z5l1MMX6c" TargetMode="External" Id="rId1614" /><Relationship Type="http://schemas.openxmlformats.org/officeDocument/2006/relationships/hyperlink" Target="https://www.google.com/maps/search/?api=1&amp;query=Dungeon%20Games%20Store%20-%20Hamb%C3%BArgueria%2C%20TCG%20%26%20Board%20Games&amp;query_place_id=ChIJiZJ_DnIDz5QRaVafFCXGkUE" TargetMode="External" Id="rId1615" /><Relationship Type="http://schemas.openxmlformats.org/officeDocument/2006/relationships/hyperlink" Target="https://www.google.com/maps/search/?api=1&amp;query=Cabo%20de%20Guerra%20Jogos&amp;query_place_id=ChIJgQ8cOR-gVyYR79Nr8ppdhEw" TargetMode="External" Id="rId1616" /><Relationship Type="http://schemas.openxmlformats.org/officeDocument/2006/relationships/hyperlink" Target="https://www.google.com/maps/search/?api=1&amp;query=Vaca%20Voadora%20Jogos&amp;query_place_id=ChIJlStZGcJVzpQRxJQ6eTrWC84" TargetMode="External" Id="rId1617" /><Relationship Type="http://schemas.openxmlformats.org/officeDocument/2006/relationships/hyperlink" Target="https://www.google.com/maps/search/?api=1&amp;query=Vidabgames&amp;query_place_id=ChIJlQWSbbYHz5QRnKXlq0UOMGk" TargetMode="External" Id="rId1618" /><Relationship Type="http://schemas.openxmlformats.org/officeDocument/2006/relationships/hyperlink" Target="https://www.google.com/maps/search/?api=1&amp;query=Covil%20Game%20Bar&amp;query_place_id=ChIJ7_DDAlH1zpQRJVJ0UHnItH8" TargetMode="External" Id="rId1619" /><Relationship Type="http://schemas.openxmlformats.org/officeDocument/2006/relationships/hyperlink" Target="https://www.google.com/maps/search/?api=1&amp;query=Bravo%20Jogos%20%7C%20Loja%20de%20Jogos%20de%20Tabuleiro&amp;query_place_id=ChIJ__9TTnxCzpQRwVSzrOijkRY" TargetMode="External" Id="rId1620" /><Relationship Type="http://schemas.openxmlformats.org/officeDocument/2006/relationships/hyperlink" Target="https://www.google.com/maps/search/?api=1&amp;query=Place%20Games&amp;query_place_id=ChIJkWsGmd1czpQRGLydxc29vbw" TargetMode="External" Id="rId1621" /><Relationship Type="http://schemas.openxmlformats.org/officeDocument/2006/relationships/hyperlink" Target="https://www.google.com/maps/search/?api=1&amp;query=ALUGUEL%20DE%20BRINQUEDOS%20PARA%20FESTAS%2C%20MESAS%20E%20CADEIRAS&amp;query_place_id=ChIJYTweKpBZzpQR1MoMaynUGOY" TargetMode="External" Id="rId1622" /><Relationship Type="http://schemas.openxmlformats.org/officeDocument/2006/relationships/hyperlink" Target="https://www.google.com/maps/search/?api=1&amp;query=Akagami%20Card%20Games%20e%20Colecion%C3%A1veis&amp;query_place_id=ChIJmeoX-RpZzpQR4joLam_WngM" TargetMode="External" Id="rId1623" /><Relationship Type="http://schemas.openxmlformats.org/officeDocument/2006/relationships/hyperlink" Target="https://www.google.com/maps/search/?api=1&amp;query=Anime%20Rock%20Club&amp;query_place_id=ChIJIY43GQ5ZzpQRhs5RQNSLS7Y" TargetMode="External" Id="rId1624" /><Relationship Type="http://schemas.openxmlformats.org/officeDocument/2006/relationships/hyperlink" Target="https://www.google.com/maps/search/?api=1&amp;query=Arcade%2080%20-%20Game%20Lounge&amp;query_place_id=ChIJyzOdkZBnzpQRgrkQrV8p52s" TargetMode="External" Id="rId1625" /><Relationship Type="http://schemas.openxmlformats.org/officeDocument/2006/relationships/hyperlink" Target="https://www.google.com/maps/search/?api=1&amp;query=Arcade%20Haus%20-%20Santo%20Amaro&amp;query_place_id=ChIJ65egMZRRzpQR4fanDyj9Dl4" TargetMode="External" Id="rId1626" /><Relationship Type="http://schemas.openxmlformats.org/officeDocument/2006/relationships/hyperlink" Target="https://www.google.com/maps/search/?api=1&amp;query=Arcade%20Haus%20-%20Tatuap%C3%A9&amp;query_place_id=ChIJoXwLEp1fzpQR4DU1dGki6VQ" TargetMode="External" Id="rId1627" /><Relationship Type="http://schemas.openxmlformats.org/officeDocument/2006/relationships/hyperlink" Target="https://www.google.com/maps/search/?api=1&amp;query=Arena%20BG%20%7C%20Jogos%20de%20Tabuleiro%20%7C%20Hamburgueria&amp;query_place_id=ChIJYTHwWgBbzpQRFenbJdM5cxU" TargetMode="External" Id="rId1628" /><Relationship Type="http://schemas.openxmlformats.org/officeDocument/2006/relationships/hyperlink" Target="https://www.google.com/maps/search/?api=1&amp;query=Barba%20Games&amp;query_place_id=ChIJP8bhwsRZzpQRO4LP-se7Y6k" TargetMode="External" Id="rId1629" /><Relationship Type="http://schemas.openxmlformats.org/officeDocument/2006/relationships/hyperlink" Target="https://www.google.com/maps/search/?api=1&amp;query=Bario%20Bar%20-%20Pinheiros&amp;query_place_id=ChIJG7Rd97lXzpQRkRPRs-orliI" TargetMode="External" Id="rId1630" /><Relationship Type="http://schemas.openxmlformats.org/officeDocument/2006/relationships/hyperlink" Target="https://www.google.com/maps/search/?api=1&amp;query=Bario%20Bar%20-%20Santo%20Amaro&amp;query_place_id=ChIJwUN2GSxRzpQR3UiUaRbic6s" TargetMode="External" Id="rId1631" /><Relationship Type="http://schemas.openxmlformats.org/officeDocument/2006/relationships/hyperlink" Target="https://www.google.com/maps/search/?api=1&amp;query=Bario%20Bar%20-%20Tatuap%C3%A9&amp;query_place_id=ChIJs7acMQBfzpQR_Kvok08mGAo" TargetMode="External" Id="rId1632" /><Relationship Type="http://schemas.openxmlformats.org/officeDocument/2006/relationships/hyperlink" Target="https://www.google.com/maps/search/?api=1&amp;query=Bazar%20de%20Bagd%C3%A1&amp;query_place_id=ChIJRcspZi_2zpQRgrUD3Gommbc" TargetMode="External" Id="rId1633" /><Relationship Type="http://schemas.openxmlformats.org/officeDocument/2006/relationships/hyperlink" Target="https://www.google.com/maps/search/?api=1&amp;query=Berserkrjogos&amp;query_place_id=ChIJq3IYM2VZzpQRi5svNs0EGg0" TargetMode="External" Id="rId1634" /><Relationship Type="http://schemas.openxmlformats.org/officeDocument/2006/relationships/hyperlink" Target="https://www.google.com/maps/search/?api=1&amp;query=Blend%20Bar&amp;query_place_id=ChIJfXYIkbVQzpQR_yzJGmbIchY" TargetMode="External" Id="rId1635" /><Relationship Type="http://schemas.openxmlformats.org/officeDocument/2006/relationships/hyperlink" Target="https://www.google.com/maps/search/?api=1&amp;query=Bodogami%20Restaurante%20e%20Cafeteria&amp;query_place_id=ChIJKeHwNv5ZzpQRlmzx9rCTWdM" TargetMode="External" Id="rId1636" /><Relationship Type="http://schemas.openxmlformats.org/officeDocument/2006/relationships/hyperlink" Target="https://www.google.com/maps/search/?api=1&amp;query=Caff%C3%A8%20Boardgames%20-%20Jogos%20e%20Tabuleiros%20%F0%9F%8E%B2%20%E2%98%95%EF%B8%8F&amp;query_place_id=ChIJ12nmpudbzpQR2nKy8UViS0Q" TargetMode="External" Id="rId1637" /><Relationship Type="http://schemas.openxmlformats.org/officeDocument/2006/relationships/hyperlink" Target="https://www.google.com/maps/search/?api=1&amp;query=Cartola%20Luderia%20Bar&amp;query_place_id=ChIJrT_EWwBZzpQRGAZzptZbtsY" TargetMode="External" Id="rId1638" /><Relationship Type="http://schemas.openxmlformats.org/officeDocument/2006/relationships/hyperlink" Target="https://www.google.com/maps/search/?api=1&amp;query=Castelos%20Bar%20%26%20Boardgames&amp;query_place_id=ChIJbZRHQPRfzpQRz97-ZOg0yXA" TargetMode="External" Id="rId1639" /><Relationship Type="http://schemas.openxmlformats.org/officeDocument/2006/relationships/hyperlink" Target="https://www.google.com/maps/search/?api=1&amp;query=Clube%20do%20Jacar%C3%A9%20Itaim%20-%20Brinquedos%20Educativos%20e%20Brinquedoteca&amp;query_place_id=ChIJ3f1Q4k5XzpQRxXbCl46NthA" TargetMode="External" Id="rId1640" /><Relationship Type="http://schemas.openxmlformats.org/officeDocument/2006/relationships/hyperlink" Target="https://www.google.com/maps/search/?api=1&amp;query=Clube%20do%20Jacar%C3%A9%20Jardins%20-%20Brinquedos%20Educativos%20e%20Brinquedoteca&amp;query_place_id=ChIJ5Y6lk2tZzpQR4cX6YPqm-_Y" TargetMode="External" Id="rId1641" /><Relationship Type="http://schemas.openxmlformats.org/officeDocument/2006/relationships/hyperlink" Target="https://www.google.com/maps/search/?api=1&amp;query=Clube%20do%20Jacar%C3%A9%20Santana%20-%20Brinquedos%20Educativos%2C%20Jogos%2C%20Livros%20e%20Brinquedoteca&amp;query_place_id=ChIJ50EwkwD3zpQRzbm57--WeqE" TargetMode="External" Id="rId1642" /><Relationship Type="http://schemas.openxmlformats.org/officeDocument/2006/relationships/hyperlink" Target="https://www.google.com/maps/search/?api=1&amp;query=Coletivo%20Geek&amp;query_place_id=ChIJF9j3OCRbzpQRkk74_QtOk_0" TargetMode="External" Id="rId1643" /><Relationship Type="http://schemas.openxmlformats.org/officeDocument/2006/relationships/hyperlink" Target="https://www.google.com/maps/search/?api=1&amp;query=Comix%20Book%20Shop%20-%20Consola%C3%A7%C3%A3o&amp;query_place_id=ChIJncQmhSxYzpQR_HPl3Gz3GrU" TargetMode="External" Id="rId1644" /><Relationship Type="http://schemas.openxmlformats.org/officeDocument/2006/relationships/hyperlink" Target="https://www.google.com/maps/search/?api=1&amp;query=Cruzeiros%20Bar&amp;query_place_id=ChIJp8b-UQpYzpQR22M2OZdxqqs" TargetMode="External" Id="rId1645" /><Relationship Type="http://schemas.openxmlformats.org/officeDocument/2006/relationships/hyperlink" Target="https://www.google.com/maps/search/?api=1&amp;query=Domain%20Games&amp;query_place_id=ChIJ3SSHFIVZzpQROFCQyQ174H0" TargetMode="External" Id="rId1646" /><Relationship Type="http://schemas.openxmlformats.org/officeDocument/2006/relationships/hyperlink" Target="https://www.google.com/maps/search/?api=1&amp;query=Dominaria%20Cards%20%26%20Games&amp;query_place_id=ChIJ5fezD7BZzpQRrccO-Yml3V0" TargetMode="External" Id="rId1647" /><Relationship Type="http://schemas.openxmlformats.org/officeDocument/2006/relationships/hyperlink" Target="https://www.google.com/maps/search/?api=1&amp;query=Dragon%20Toys%20Colecion%C3%A1veis&amp;query_place_id=ChIJORJxE81ZzpQRNp35MpSMmYM" TargetMode="External" Id="rId1648" /><Relationship Type="http://schemas.openxmlformats.org/officeDocument/2006/relationships/hyperlink" Target="https://www.google.com/maps/search/?api=1&amp;query=Dream%20Up%20TCG&amp;query_place_id=ChIJb4eJJP1bzpQRx71OQ_oLMGA" TargetMode="External" Id="rId1649" /><Relationship Type="http://schemas.openxmlformats.org/officeDocument/2006/relationships/hyperlink" Target="https://www.google.com/maps/search/?api=1&amp;query=Duel%20Shop%20Games&amp;query_place_id=ChIJ9SkRAaNZzpQRvKN5crM-sQk" TargetMode="External" Id="rId1650" /><Relationship Type="http://schemas.openxmlformats.org/officeDocument/2006/relationships/hyperlink" Target="https://www.google.com/maps/search/?api=1&amp;query=Dutch%20Food%20%26%20Beer&amp;query_place_id=ChIJtQep4oVfzpQRkRevLLB5zK8" TargetMode="External" Id="rId1651" /><Relationship Type="http://schemas.openxmlformats.org/officeDocument/2006/relationships/hyperlink" Target="https://www.google.com/maps/search/?api=1&amp;query=Encounter%20%7C%20Jogos%20de%20Tabuleiro%20%7C%20Board%20Games&amp;query_place_id=ChIJZz29dnVXzpQRvRh7_YKyUN4" TargetMode="External" Id="rId1652" /><Relationship Type="http://schemas.openxmlformats.org/officeDocument/2006/relationships/hyperlink" Target="https://www.google.com/maps/search/?api=1&amp;query=Epic%20Game&amp;query_place_id=ChIJN3xqoKlZzpQR-64Cv9fqOdo" TargetMode="External" Id="rId1653" /><Relationship Type="http://schemas.openxmlformats.org/officeDocument/2006/relationships/hyperlink" Target="https://www.google.com/maps/search/?api=1&amp;query=Expresso%20Board%20Games%20%7C%20Jogos%20de%20Tabuleiro%20-%20Board%20Games%2C%20Card%20Games%20%26%20Acess%C3%B3rios&amp;query_place_id=ChIJXbP37X1RzpQRZPCh6OsX9IM" TargetMode="External" Id="rId1654" /><Relationship Type="http://schemas.openxmlformats.org/officeDocument/2006/relationships/hyperlink" Target="https://www.google.com/maps/search/?api=1&amp;query=Fan%20Hour%20Games%20and%20Burgers&amp;query_place_id=ChIJ_aN4OAxXzpQR0UH63sAeVCA" TargetMode="External" Id="rId1655" /><Relationship Type="http://schemas.openxmlformats.org/officeDocument/2006/relationships/hyperlink" Target="https://www.google.com/maps/search/?api=1&amp;query=Finnegan%27s%20Pub&amp;query_place_id=ChIJzftMuYNXzpQRN2JwEZPp1DQ" TargetMode="External" Id="rId1656" /><Relationship Type="http://schemas.openxmlformats.org/officeDocument/2006/relationships/hyperlink" Target="https://www.google.com/maps/search/?api=1&amp;query=Flow%20Games%20-%20Burgers%2C%20Cards%20%26%20Comunidade&amp;query_place_id=ChIJa3UsDhRczpQRPPSuDl6acO8" TargetMode="External" Id="rId1657" /><Relationship Type="http://schemas.openxmlformats.org/officeDocument/2006/relationships/hyperlink" Target="https://www.google.com/maps/search/?api=1&amp;query=Good%20Game%20E-Sports%20Bar&amp;query_place_id=ChIJU4gvvaJXzpQR1SPX6E4t1jQ" TargetMode="External" Id="rId1658" /><Relationship Type="http://schemas.openxmlformats.org/officeDocument/2006/relationships/hyperlink" Target="https://www.google.com/maps/search/?api=1&amp;query=Heavy%20House&amp;query_place_id=ChIJ8yllCuBXzpQRSLqthbvqDKQ" TargetMode="External" Id="rId1659" /><Relationship Type="http://schemas.openxmlformats.org/officeDocument/2006/relationships/hyperlink" Target="https://www.google.com/maps/search/?api=1&amp;query=Hotyugioh%20Cards%20%26%20Toys&amp;query_place_id=ChIJYWaY5qhZzpQRmmO3L2JjaoE" TargetMode="External" Id="rId1660" /><Relationship Type="http://schemas.openxmlformats.org/officeDocument/2006/relationships/hyperlink" Target="https://www.google.com/maps/search/?api=1&amp;query=Itabuleiros&amp;query_place_id=ChIJw81FIxpdzpQRPUHcMmebUY0" TargetMode="External" Id="rId1661" /><Relationship Type="http://schemas.openxmlformats.org/officeDocument/2006/relationships/hyperlink" Target="https://www.google.com/maps/search/?api=1&amp;query=Jogasampa&amp;query_place_id=ChIJn7uU0RNbzpQRI4GI9KHOo_s" TargetMode="External" Id="rId1662" /><Relationship Type="http://schemas.openxmlformats.org/officeDocument/2006/relationships/hyperlink" Target="https://www.google.com/maps/search/?api=1&amp;query=Jogos%20Bonitos&amp;query_place_id=ChIJdfJPFaVRzpQRy3NieWEkGLo" TargetMode="External" Id="rId1663" /><Relationship Type="http://schemas.openxmlformats.org/officeDocument/2006/relationships/hyperlink" Target="https://www.google.com/maps/search/?api=1&amp;query=Lendario%20Card%20Games&amp;query_place_id=ChIJBWiCAwBfzpQR3y8JZajZyuI" TargetMode="External" Id="rId1664" /><Relationship Type="http://schemas.openxmlformats.org/officeDocument/2006/relationships/hyperlink" Target="https://www.google.com/maps/search/?api=1&amp;query=Lend%C3%A1rio%20Game%20Bar&amp;query_place_id=ChIJO8W2hThfzpQRjeWplqhAyKQ" TargetMode="External" Id="rId1665" /><Relationship Type="http://schemas.openxmlformats.org/officeDocument/2006/relationships/hyperlink" Target="https://www.google.com/maps/search/?api=1&amp;query=Loca%20Tabuleiro&amp;query_place_id=ChIJA9zBb5D3zpQRrh4mcYWHBRI" TargetMode="External" Id="rId1666" /><Relationship Type="http://schemas.openxmlformats.org/officeDocument/2006/relationships/hyperlink" Target="https://www.google.com/maps/search/?api=1&amp;query=LudoStation&amp;query_place_id=ChIJwxy21gBRzpQR_H0EEtBoaqw" TargetMode="External" Id="rId1667" /><Relationship Type="http://schemas.openxmlformats.org/officeDocument/2006/relationships/hyperlink" Target="https://www.google.com/maps/search/?api=1&amp;query=Ludoverso&amp;query_place_id=ChIJ5a8Oem5XzpQRsTG-a8fQi0I" TargetMode="External" Id="rId1668" /><Relationship Type="http://schemas.openxmlformats.org/officeDocument/2006/relationships/hyperlink" Target="https://www.google.com/maps/search/?api=1&amp;query=Ludus%20Luderia&amp;query_place_id=ChIJTaG5ALpZzpQRUDErQ-RkfTs" TargetMode="External" Id="rId1669" /><Relationship Type="http://schemas.openxmlformats.org/officeDocument/2006/relationships/hyperlink" Target="https://www.google.com/maps/search/?api=1&amp;query=Lumic%C3%A1%20Vila%20de%20Brincar&amp;query_place_id=ChIJ7TPg_5dZzpQRfmEpVxwhF_k" TargetMode="External" Id="rId1670" /><Relationship Type="http://schemas.openxmlformats.org/officeDocument/2006/relationships/hyperlink" Target="https://www.google.com/maps/search/?api=1&amp;query=L%C3%A9gola%20Board%20Games&amp;query_place_id=ChIJEbaEK_X1zpQR5zMLUPhrkUE" TargetMode="External" Id="rId1671" /><Relationship Type="http://schemas.openxmlformats.org/officeDocument/2006/relationships/hyperlink" Target="https://www.google.com/maps/search/?api=1&amp;query=MTG%20Cards%20Games&amp;query_place_id=ChIJAfog1rL5zpQRrkw6_F9zX3k" TargetMode="External" Id="rId1672" /><Relationship Type="http://schemas.openxmlformats.org/officeDocument/2006/relationships/hyperlink" Target="https://www.google.com/maps/search/?api=1&amp;query=MainDeck%20Card%20Games%20e%20Acess%C3%B3rios&amp;query_place_id=ChIJH_2Y3hhZzpQRugQWaocGzpU" TargetMode="External" Id="rId1673" /><Relationship Type="http://schemas.openxmlformats.org/officeDocument/2006/relationships/hyperlink" Target="https://www.google.com/maps/search/?api=1&amp;query=Meca%20dos%20Jogos%20-%20Loja%20de%20Boardgames%21&amp;query_place_id=ChIJEXWGxDD5zpQRc6mmlhKeyuI" TargetMode="External" Id="rId1674" /><Relationship Type="http://schemas.openxmlformats.org/officeDocument/2006/relationships/hyperlink" Target="https://www.google.com/maps/search/?api=1&amp;query=Mtg%20Brasil&amp;query_place_id=ChIJmSJuo3f4zpQRDHjNYLgkD6E" TargetMode="External" Id="rId1675" /><Relationship Type="http://schemas.openxmlformats.org/officeDocument/2006/relationships/hyperlink" Target="https://www.google.com/maps/search/?api=1&amp;query=My%20Fucking%20Comedy%20Club&amp;query_place_id=ChIJn-dZ8xxZzpQR0Fk7YSpK4aU" TargetMode="External" Id="rId1676" /><Relationship Type="http://schemas.openxmlformats.org/officeDocument/2006/relationships/hyperlink" Target="https://www.google.com/maps/search/?api=1&amp;query=Nerdev%20-%20Jogos%20de%20Tabuleiro&amp;query_place_id=ChIJyY3PwpX7zpQRxfkKlHJ59Jk" TargetMode="External" Id="rId1677" /><Relationship Type="http://schemas.openxmlformats.org/officeDocument/2006/relationships/hyperlink" Target="https://www.google.com/maps/search/?api=1&amp;query=Nerdforge&amp;query_place_id=ChIJST8r-n9bzpQRA5qbMN8HZ1w" TargetMode="External" Id="rId1678" /><Relationship Type="http://schemas.openxmlformats.org/officeDocument/2006/relationships/hyperlink" Target="https://www.google.com/maps/search/?api=1&amp;query=Newstation%20SP&amp;query_place_id=ChIJGw1wLolZzpQRZGdr_DjXmUE" TargetMode="External" Id="rId1679" /><Relationship Type="http://schemas.openxmlformats.org/officeDocument/2006/relationships/hyperlink" Target="https://www.google.com/maps/search/?api=1&amp;query=O%20Pasquim%20Bar%20e%20Prosa%20Mercado%20Municipal&amp;query_place_id=ChIJSzrB53BZzpQRxrFNk8rwMkU" TargetMode="External" Id="rId1680" /><Relationship Type="http://schemas.openxmlformats.org/officeDocument/2006/relationships/hyperlink" Target="https://www.google.com/maps/search/?api=1&amp;query=Omniverse&amp;query_place_id=ChIJE43rt29ZzpQRnvADt6pXfto" TargetMode="External" Id="rId1681" /><Relationship Type="http://schemas.openxmlformats.org/officeDocument/2006/relationships/hyperlink" Target="https://www.google.com/maps/search/?api=1&amp;query=PARTISANS%20PUB&amp;query_place_id=ChIJK4DoYZxXzpQRrag7bYI86KM" TargetMode="External" Id="rId1682" /><Relationship Type="http://schemas.openxmlformats.org/officeDocument/2006/relationships/hyperlink" Target="https://www.google.com/maps/search/?api=1&amp;query=Pac-Deck%20%7C%20Loja%20de%20Card%20Games%20e%20acess%C3%B3rios%20%28TCG%29&amp;query_place_id=ChIJrVmMsgNbzpQR1TR-vMoDB2s" TargetMode="External" Id="rId1683" /><Relationship Type="http://schemas.openxmlformats.org/officeDocument/2006/relationships/hyperlink" Target="https://www.google.com/maps/search/?api=1&amp;query=Pittas%20Board%20Games%20%7C%20Jogos%20de%20Tabuleiro&amp;query_place_id=ChIJo-6lZMlezpQRmgUpUPfmRIs" TargetMode="External" Id="rId1684" /><Relationship Type="http://schemas.openxmlformats.org/officeDocument/2006/relationships/hyperlink" Target="https://www.google.com/maps/search/?api=1&amp;query=Play%20Easy&amp;query_place_id=ChIJNcHw7jNYzpQRKRHPOrb4jEw" TargetMode="External" Id="rId1685" /><Relationship Type="http://schemas.openxmlformats.org/officeDocument/2006/relationships/hyperlink" Target="https://www.google.com/maps/search/?api=1&amp;query=Point%20da%20Amizade&amp;query_place_id=ChIJ0zYc8D9RzpQReJKcEHzxZrM" TargetMode="External" Id="rId1686" /><Relationship Type="http://schemas.openxmlformats.org/officeDocument/2006/relationships/hyperlink" Target="https://www.google.com/maps/search/?api=1&amp;query=Polar%20Jogos&amp;query_place_id=ChIJO7xc2qZbzpQRfyZR6yK538I" TargetMode="External" Id="rId1687" /><Relationship Type="http://schemas.openxmlformats.org/officeDocument/2006/relationships/hyperlink" Target="https://www.google.com/maps/search/?api=1&amp;query=Polvo%20Ludoteca&amp;query_place_id=ChIJZeLd3Nn3zpQRUACWDZ_zURE" TargetMode="External" Id="rId1688" /><Relationship Type="http://schemas.openxmlformats.org/officeDocument/2006/relationships/hyperlink" Target="https://www.google.com/maps/search/?api=1&amp;query=PopHaus%20-%20Tatuap%C3%A9&amp;query_place_id=ChIJVSU8VJlfzpQRUKpj8DVvpVg" TargetMode="External" Id="rId1689" /><Relationship Type="http://schemas.openxmlformats.org/officeDocument/2006/relationships/hyperlink" Target="https://www.google.com/maps/search/?api=1&amp;query=Quiz%20Eventos&amp;query_place_id=ChIJxdfaXGNZzpQRhb1uhFqtZGU" TargetMode="External" Id="rId1690" /><Relationship Type="http://schemas.openxmlformats.org/officeDocument/2006/relationships/hyperlink" Target="https://www.google.com/maps/search/?api=1&amp;query=Shinozaki&amp;query_place_id=ChIJe9btJaFZzpQRAGxgBZnQ7LA" TargetMode="External" Id="rId1691" /><Relationship Type="http://schemas.openxmlformats.org/officeDocument/2006/relationships/hyperlink" Target="https://www.google.com/maps/search/?api=1&amp;query=Spellbox&amp;query_place_id=ChIJG1R0tatQzpQRweiB3piW95s" TargetMode="External" Id="rId1692" /><Relationship Type="http://schemas.openxmlformats.org/officeDocument/2006/relationships/hyperlink" Target="https://www.google.com/maps/search/?api=1&amp;query=Taverna%20Medieval&amp;query_place_id=ChIJP-6DqydazpQRu-n58Xh30HU" TargetMode="External" Id="rId1693" /><Relationship Type="http://schemas.openxmlformats.org/officeDocument/2006/relationships/hyperlink" Target="https://www.google.com/maps/search/?api=1&amp;query=The%20Blue%20Pub&amp;query_place_id=ChIJldDb9bdZzpQRGCliHfXqlY4" TargetMode="External" Id="rId1694" /><Relationship Type="http://schemas.openxmlformats.org/officeDocument/2006/relationships/hyperlink" Target="https://www.google.com/maps/search/?api=1&amp;query=The%20Blue%20Pub%20-%20Itaim&amp;query_place_id=ChIJw-d4GUJXzpQR6eIiaPq4ses" TargetMode="External" Id="rId1695" /><Relationship Type="http://schemas.openxmlformats.org/officeDocument/2006/relationships/hyperlink" Target="https://www.google.com/maps/search/?api=1&amp;query=Thutti%20Jogos&amp;query_place_id=ChIJQSTYYLVVzpQRYvXUW9v8NhU" TargetMode="External" Id="rId1696" /><Relationship Type="http://schemas.openxmlformats.org/officeDocument/2006/relationships/hyperlink" Target="https://www.google.com/maps/search/?api=1&amp;query=Tubaleria%20-%20Clube%20de%20Jogos%20de%20Tabuleiro%20e%20Hamburgueria&amp;query_place_id=ChIJsU5BAwBRzpQRAgLVvqg68os" TargetMode="External" Id="rId1697" /><Relationship Type="http://schemas.openxmlformats.org/officeDocument/2006/relationships/hyperlink" Target="https://www.google.com/maps/search/?api=1&amp;query=UZ%20Games&amp;query_place_id=ChIJCx56LglXzpQRjsVd_C36FN4" TargetMode="External" Id="rId1698" /><Relationship Type="http://schemas.openxmlformats.org/officeDocument/2006/relationships/hyperlink" Target="https://www.google.com/maps/search/?api=1&amp;query=Visga%20Jogos%20Aluguel%20de%20Jogos%20de%20Tabuleiro&amp;query_place_id=ChIJb5S1-l_J9QkR2Vc6LTSknZo" TargetMode="External" Id="rId1699" /><Relationship Type="http://schemas.openxmlformats.org/officeDocument/2006/relationships/hyperlink" Target="https://www.google.com/maps/search/?api=1&amp;query=XPlace&amp;query_place_id=ChIJi5zbZadgzpQRIYeuK_eqQio" TargetMode="External" Id="rId1700" /><Relationship Type="http://schemas.openxmlformats.org/officeDocument/2006/relationships/hyperlink" Target="https://www.google.com/maps/search/?api=1&amp;query=sheep%20toys&amp;query_place_id=ChIJKXD-OZlZzpQRfcjYR9ZCqak" TargetMode="External" Id="rId1701" /><Relationship Type="http://schemas.openxmlformats.org/officeDocument/2006/relationships/hyperlink" Target="https://www.google.com/maps/search/?api=1&amp;query=Taverna%3A%20Game%20%26%20Caf%C3%A9&amp;query_place_id=ChIJpZbpu_zVBQcRuPFD4K5R8Co" TargetMode="External" Id="rId1702" /><Relationship Type="http://schemas.openxmlformats.org/officeDocument/2006/relationships/hyperlink" Target="https://www.google.com/maps/search/?api=1&amp;query=Brinquedoteca%20Sonho%20de%20Crian%C3%A7a&amp;query_place_id=ChIJOxz30nqrOQcRX7Hke7sTIqQ" TargetMode="External" Id="rId1703" /><Relationship Type="http://schemas.openxmlformats.org/officeDocument/2006/relationships/hyperlink" Target="https://www.google.com/maps/search/?api=1&amp;query=BatePapo&amp;query_place_id=ChIJV3s2yaE7RgcRE85rRfLI7Zg" TargetMode="External" Id="rId1704" /><Relationship Type="http://schemas.openxmlformats.org/officeDocument/2006/relationships/hyperlink" Target="https://www.google.com/maps/search/?api=1&amp;query=Toca%20do%20Lobo%20-%20Locadora%20de%20Jogos%20L%C3%BAdicos&amp;query_place_id=ChIJKUt41jAltgARthoxe_e-_pY" TargetMode="External" Id="rId1705" /><Relationship Type="http://schemas.openxmlformats.org/officeDocument/2006/relationships/hyperlink" Target="https://www.google.com/maps/search/?api=1&amp;query=Loja%20Fantasma%20Card%20Game%20Center&amp;query_place_id=ChIJlR3mn93bYZMRP6xg5L4vg_M" TargetMode="External" Id="rId1706" /><Relationship Type="http://schemas.openxmlformats.org/officeDocument/2006/relationships/hyperlink" Target="https://www.google.com/maps/search/?api=1&amp;query=TABLE%20GAMES%20%28Burgers%29&amp;query_place_id=ChIJq92vt8sxpJQR-lNNTdp0RLQ" TargetMode="External" Id="rId1707" /><Relationship Type="http://schemas.openxmlformats.org/officeDocument/2006/relationships/hyperlink" Target="https://www.google.com/maps/search/?api=1&amp;query=Mestre%20dos%20Jogos%20LudoBar&amp;query_place_id=ChIJCdEZv21PpJQRg6vLc_9tIcc" TargetMode="External" Id="rId1708" /><Relationship Type="http://schemas.openxmlformats.org/officeDocument/2006/relationships/hyperlink" Target="https://www.google.com/maps/search/?api=1&amp;query=BoardGame%20in%20Box&amp;query_place_id=ChIJzcQ9t_ND65QRqkeUm-aANaE" TargetMode="External" Id="rId1709" /><Relationship Type="http://schemas.openxmlformats.org/officeDocument/2006/relationships/hyperlink" Target="https://www.google.com/maps/search/?api=1&amp;query=Armaz%C3%A9m%20dos%20Jogos&amp;query_place_id=ChIJaWBHOg21lwARHT8gg8Y7xEg" TargetMode="External" Id="rId1710" /><Relationship Type="http://schemas.openxmlformats.org/officeDocument/2006/relationships/hyperlink" Target="https://www.google.com/maps/search/?api=1&amp;query=Beer%20%26%20Boards&amp;query_place_id=ChIJO9bPE0GdEZURRD6c41YpCRI" TargetMode="External" Id="rId1711" /><Relationship Type="http://schemas.openxmlformats.org/officeDocument/2006/relationships/hyperlink" Target="https://www.google.com/maps/search/?api=1&amp;query=Stop%20Games&amp;query_place_id=ChIJqUbogQucEZURHO-GUHAfDs4" TargetMode="External" Id="rId1712" /><Relationship Type="http://schemas.openxmlformats.org/officeDocument/2006/relationships/hyperlink" Target="https://www.google.com/maps/search/?api=1&amp;query=Loja%20Happy%20Nerd&amp;query_place_id=ChIJN40KG6z645QR2XQSR2syQMY" TargetMode="External" Id="rId1713" /><Relationship Type="http://schemas.openxmlformats.org/officeDocument/2006/relationships/hyperlink" Target="https://www.google.com/maps/search/?api=1&amp;query=Gr%C3%A3omestre%20Boards%20%26%20Brew&amp;query_place_id=ChIJbd5rjOCx3pQRXkBpFSLvsOk" TargetMode="External" Id="rId1714" /><Relationship Type="http://schemas.openxmlformats.org/officeDocument/2006/relationships/hyperlink" Target="https://www.google.com/maps/search/?api=1&amp;query=Ludonave%20-%20Jogos%20e%20Drinks&amp;query_place_id=ChIJJe6LbmTP2JQRekuDVD0eEVA" TargetMode="External" Id="rId1715" /><Relationship Type="http://schemas.openxmlformats.org/officeDocument/2006/relationships/hyperlink" Target="https://www.google.com/maps/search/?api=1&amp;query=House%20Rules%20Ludobar&amp;query_place_id=ChIJ73mEeqQdzpQRKti9DbyjiWM" TargetMode="External" Id="rId1716" /><Relationship Type="http://schemas.openxmlformats.org/officeDocument/2006/relationships/hyperlink" Target="https://www.google.com/maps/search/?api=1&amp;query=Geex%20Hobby%20Store&amp;query_place_id=ChIJkVYmMsr1k5QR0TGqAKCrN7g" TargetMode="External" Id="rId1717" /><Relationship Type="http://schemas.openxmlformats.org/officeDocument/2006/relationships/hyperlink" Target="https://www.google.com/maps/search/?api=1&amp;query=Coala%20Games%20Locadora%20de%20Jogos%20de%20Tabuleiro&amp;query_place_id=ChIJ-emmf1YDzpQRC8b--AztRFM" TargetMode="External" Id="rId1718" /><Relationship Type="http://schemas.openxmlformats.org/officeDocument/2006/relationships/hyperlink" Target="https://www.google.com/maps/search/?api=1&amp;query=Ludum&amp;query_place_id=ChIJ10i8IRlTvJQR06hMJvl7yms" TargetMode="External" Id="rId1719" /><Relationship Type="http://schemas.openxmlformats.org/officeDocument/2006/relationships/hyperlink" Target="https://www.google.com/maps/search/?api=1&amp;query=PlayCards&amp;query_place_id=ChIJ5xTjWy-zvZQRuKHrl2Evgl4" TargetMode="External" Id="rId1720" /><Relationship Type="http://schemas.openxmlformats.org/officeDocument/2006/relationships/hyperlink" Target="https://www.google.com/maps/search/?api=1&amp;query=Bardos%20Game%20Store&amp;query_place_id=ChIJfbpAYqzLyZQRNv5blbdB9Kk" TargetMode="External" Id="rId17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22" customWidth="1" min="4" max="4"/>
    <col width="6" customWidth="1" min="5" max="5"/>
    <col width="26" customWidth="1" min="6" max="6"/>
    <col width="16" customWidth="1" min="7" max="7"/>
    <col width="10" customWidth="1" min="8" max="8"/>
    <col width="22" customWidth="1" min="9" max="9"/>
    <col width="40" customWidth="1" min="10" max="10"/>
    <col width="60" customWidth="1" min="11" max="11"/>
    <col width="28" customWidth="1" min="12" max="12"/>
    <col width="12" customWidth="1" min="13" max="13"/>
  </cols>
  <sheetData>
    <row r="1">
      <c r="A1" s="1" t="inlineStr">
        <is>
          <t>Base de sorteio do Bloco A: uma linha por estabelecimento candidato</t>
        </is>
      </c>
    </row>
    <row r="2" ht="40" customHeight="1">
      <c r="A2" s="2" t="inlineStr">
        <is>
          <t>Número aleatório</t>
        </is>
      </c>
      <c r="B2" s="2" t="inlineStr">
        <is>
          <t>place_id</t>
        </is>
      </c>
      <c r="C2" s="2" t="inlineStr">
        <is>
          <t>Nome</t>
        </is>
      </c>
      <c r="D2" s="2" t="inlineStr">
        <is>
          <t>Município</t>
        </is>
      </c>
      <c r="E2" s="2" t="inlineStr">
        <is>
          <t>UF</t>
        </is>
      </c>
      <c r="F2" s="2" t="inlineStr">
        <is>
          <t>Nível REGIC 2018</t>
        </is>
      </c>
      <c r="G2" s="2" t="inlineStr">
        <is>
          <t>Estrato</t>
        </is>
      </c>
      <c r="H2" s="2" t="inlineStr">
        <is>
          <t>Ordem no estrato</t>
        </is>
      </c>
      <c r="I2" s="2" t="inlineStr">
        <is>
          <t>Chave de sorteio</t>
        </is>
      </c>
      <c r="J2" s="2" t="inlineStr">
        <is>
          <t>Link do Google Maps</t>
        </is>
      </c>
      <c r="K2" s="2" t="inlineStr">
        <is>
          <t>Endereço</t>
        </is>
      </c>
      <c r="L2" s="2" t="inlineStr">
        <is>
          <t>Capitais da busca</t>
        </is>
      </c>
      <c r="M2" s="2" t="inlineStr">
        <is>
          <t>Nº de termos que acharam</t>
        </is>
      </c>
    </row>
    <row r="3">
      <c r="A3" s="3">
        <f>RAND()</f>
        <v/>
      </c>
      <c r="B3" s="4" t="inlineStr">
        <is>
          <t>ChIJ0caB7AeNf5ERLJd-Yw-Nbrw</t>
        </is>
      </c>
      <c r="C3" s="4" t="inlineStr">
        <is>
          <t>1000 Presentes Vip</t>
        </is>
      </c>
      <c r="D3" s="4" t="inlineStr">
        <is>
          <t>Rio Branco</t>
        </is>
      </c>
      <c r="E3" s="4" t="inlineStr">
        <is>
          <t>AC</t>
        </is>
      </c>
      <c r="F3" s="4" t="inlineStr">
        <is>
          <t>Capitais Regionais C</t>
        </is>
      </c>
      <c r="G3" s="4" t="inlineStr">
        <is>
          <t>Capital regional</t>
        </is>
      </c>
      <c r="H3" s="5">
        <f>IF(G3="fora do recorte","",SUMPRODUCT(($G$3:$G$1723=G3)*($A$3:$A$1723&lt;=A3)))</f>
        <v/>
      </c>
      <c r="I3" s="4">
        <f>IF(H3="","",G3&amp;"|"&amp;H3)</f>
        <v/>
      </c>
      <c r="J3" s="4" t="inlineStr">
        <is>
          <t>https://www.google.com/maps/search/?api=1&amp;query=1000%20Presentes%20Vip&amp;query_place_id=ChIJ0caB7AeNf5ERLJd-Yw-Nbrw</t>
        </is>
      </c>
      <c r="K3" s="4" t="inlineStr">
        <is>
          <t>Av. Ceará, 877 - Base, Rio Branco - AC, 69905-066, Brasil</t>
        </is>
      </c>
      <c r="L3" s="4" t="inlineStr">
        <is>
          <t>Rio Branco</t>
        </is>
      </c>
      <c r="M3" s="5" t="n">
        <v>1</v>
      </c>
    </row>
    <row r="4">
      <c r="A4" s="3">
        <f>RAND()</f>
        <v/>
      </c>
      <c r="B4" s="4" t="inlineStr">
        <is>
          <t>ChIJO4YACEqNf5ERKIsRlaX-8-M</t>
        </is>
      </c>
      <c r="C4" s="4" t="inlineStr">
        <is>
          <t>Acre Importações</t>
        </is>
      </c>
      <c r="D4" s="4" t="inlineStr">
        <is>
          <t>Rio Branco</t>
        </is>
      </c>
      <c r="E4" s="4" t="inlineStr">
        <is>
          <t>AC</t>
        </is>
      </c>
      <c r="F4" s="4" t="inlineStr">
        <is>
          <t>Capitais Regionais C</t>
        </is>
      </c>
      <c r="G4" s="4" t="inlineStr">
        <is>
          <t>Capital regional</t>
        </is>
      </c>
      <c r="H4" s="5">
        <f>IF(G4="fora do recorte","",SUMPRODUCT(($G$3:$G$1723=G4)*($A$3:$A$1723&lt;=A4)))</f>
        <v/>
      </c>
      <c r="I4" s="4">
        <f>IF(H4="","",G4&amp;"|"&amp;H4)</f>
        <v/>
      </c>
      <c r="J4" s="4" t="inlineStr">
        <is>
          <t>https://www.google.com/maps/search/?api=1&amp;query=Acre%20Importa%C3%A7%C3%B5es&amp;query_place_id=ChIJO4YACEqNf5ERKIsRlaX-8-M</t>
        </is>
      </c>
      <c r="K4" s="4" t="inlineStr">
        <is>
          <t>R. Quintino Bocaiuva, 1621 - Bosque, Rio Branco - AC, 69900-070 - Bosque, Rio Branco - AC, 69900-526, Brasil</t>
        </is>
      </c>
      <c r="L4" s="4" t="inlineStr">
        <is>
          <t>Rio Branco</t>
        </is>
      </c>
      <c r="M4" s="5" t="n">
        <v>1</v>
      </c>
    </row>
    <row r="5">
      <c r="A5" s="3">
        <f>RAND()</f>
        <v/>
      </c>
      <c r="B5" s="4" t="inlineStr">
        <is>
          <t>ChIJT1ogVfKNf5ERX_7DdpLnx8o</t>
        </is>
      </c>
      <c r="C5" s="4" t="inlineStr">
        <is>
          <t>Actions Geek</t>
        </is>
      </c>
      <c r="D5" s="4" t="inlineStr">
        <is>
          <t>Rio Branco</t>
        </is>
      </c>
      <c r="E5" s="4" t="inlineStr">
        <is>
          <t>AC</t>
        </is>
      </c>
      <c r="F5" s="4" t="inlineStr">
        <is>
          <t>Capitais Regionais C</t>
        </is>
      </c>
      <c r="G5" s="4" t="inlineStr">
        <is>
          <t>Capital regional</t>
        </is>
      </c>
      <c r="H5" s="5">
        <f>IF(G5="fora do recorte","",SUMPRODUCT(($G$3:$G$1723=G5)*($A$3:$A$1723&lt;=A5)))</f>
        <v/>
      </c>
      <c r="I5" s="4">
        <f>IF(H5="","",G5&amp;"|"&amp;H5)</f>
        <v/>
      </c>
      <c r="J5" s="4" t="inlineStr">
        <is>
          <t>https://www.google.com/maps/search/?api=1&amp;query=Actions%20Geek&amp;query_place_id=ChIJT1ogVfKNf5ERX_7DdpLnx8o</t>
        </is>
      </c>
      <c r="K5" s="4" t="inlineStr">
        <is>
          <t>R. Cedro, 117 - Novo Horizonte, Rio Branco - AC, 69921-120, Brasil</t>
        </is>
      </c>
      <c r="L5" s="4" t="inlineStr">
        <is>
          <t>Rio Branco</t>
        </is>
      </c>
      <c r="M5" s="5" t="n">
        <v>3</v>
      </c>
    </row>
    <row r="6">
      <c r="A6" s="3">
        <f>RAND()</f>
        <v/>
      </c>
      <c r="B6" s="4" t="inlineStr">
        <is>
          <t>ChIJeSqczFWMf5ER4mlOg6vDcT0</t>
        </is>
      </c>
      <c r="C6" s="4" t="inlineStr">
        <is>
          <t>Americanas</t>
        </is>
      </c>
      <c r="D6" s="4" t="inlineStr">
        <is>
          <t>Rio Branco</t>
        </is>
      </c>
      <c r="E6" s="4" t="inlineStr">
        <is>
          <t>AC</t>
        </is>
      </c>
      <c r="F6" s="4" t="inlineStr">
        <is>
          <t>Capitais Regionais C</t>
        </is>
      </c>
      <c r="G6" s="4" t="inlineStr">
        <is>
          <t>Capital regional</t>
        </is>
      </c>
      <c r="H6" s="5">
        <f>IF(G6="fora do recorte","",SUMPRODUCT(($G$3:$G$1723=G6)*($A$3:$A$1723&lt;=A6)))</f>
        <v/>
      </c>
      <c r="I6" s="4">
        <f>IF(H6="","",G6&amp;"|"&amp;H6)</f>
        <v/>
      </c>
      <c r="J6" s="4" t="inlineStr">
        <is>
          <t>https://www.google.com/maps/search/?api=1&amp;query=Americanas&amp;query_place_id=ChIJeSqczFWMf5ER4mlOg6vDcT0</t>
        </is>
      </c>
      <c r="K6" s="4" t="inlineStr">
        <is>
          <t>Via Verde Shopping - Estr. da Floresta, 2320 - Floresta Sul, Rio Branco - AC, 69914-220, Brasil</t>
        </is>
      </c>
      <c r="L6" s="4" t="inlineStr">
        <is>
          <t>Rio Branco</t>
        </is>
      </c>
      <c r="M6" s="5" t="n">
        <v>1</v>
      </c>
    </row>
    <row r="7">
      <c r="A7" s="3">
        <f>RAND()</f>
        <v/>
      </c>
      <c r="B7" s="4" t="inlineStr">
        <is>
          <t>ChIJm0XoJSyNf5ERmuz9HqoT63A</t>
        </is>
      </c>
      <c r="C7" s="4" t="inlineStr">
        <is>
          <t>Americanas</t>
        </is>
      </c>
      <c r="D7" s="4" t="inlineStr">
        <is>
          <t>Rio Branco</t>
        </is>
      </c>
      <c r="E7" s="4" t="inlineStr">
        <is>
          <t>AC</t>
        </is>
      </c>
      <c r="F7" s="4" t="inlineStr">
        <is>
          <t>Capitais Regionais C</t>
        </is>
      </c>
      <c r="G7" s="4" t="inlineStr">
        <is>
          <t>Capital regional</t>
        </is>
      </c>
      <c r="H7" s="5">
        <f>IF(G7="fora do recorte","",SUMPRODUCT(($G$3:$G$1723=G7)*($A$3:$A$1723&lt;=A7)))</f>
        <v/>
      </c>
      <c r="I7" s="4">
        <f>IF(H7="","",G7&amp;"|"&amp;H7)</f>
        <v/>
      </c>
      <c r="J7" s="4" t="inlineStr">
        <is>
          <t>https://www.google.com/maps/search/?api=1&amp;query=Americanas&amp;query_place_id=ChIJm0XoJSyNf5ERmuz9HqoT63A</t>
        </is>
      </c>
      <c r="K7" s="4" t="inlineStr">
        <is>
          <t>Av. Getúlio Vargas, 1348 - Bosque, Rio Branco - AC, 69940-046, Brasil</t>
        </is>
      </c>
      <c r="L7" s="4" t="inlineStr">
        <is>
          <t>Rio Branco</t>
        </is>
      </c>
      <c r="M7" s="5" t="n">
        <v>1</v>
      </c>
    </row>
    <row r="8">
      <c r="A8" s="3">
        <f>RAND()</f>
        <v/>
      </c>
      <c r="B8" s="4" t="inlineStr">
        <is>
          <t>ChIJdc9EPmmNf5ERNz1jV9lDnJw</t>
        </is>
      </c>
      <c r="C8" s="4" t="inlineStr">
        <is>
          <t>Brincando com Nelinha</t>
        </is>
      </c>
      <c r="D8" s="4" t="inlineStr">
        <is>
          <t>Rio Branco</t>
        </is>
      </c>
      <c r="E8" s="4" t="inlineStr">
        <is>
          <t>AC</t>
        </is>
      </c>
      <c r="F8" s="4" t="inlineStr">
        <is>
          <t>Capitais Regionais C</t>
        </is>
      </c>
      <c r="G8" s="4" t="inlineStr">
        <is>
          <t>Capital regional</t>
        </is>
      </c>
      <c r="H8" s="5">
        <f>IF(G8="fora do recorte","",SUMPRODUCT(($G$3:$G$1723=G8)*($A$3:$A$1723&lt;=A8)))</f>
        <v/>
      </c>
      <c r="I8" s="4">
        <f>IF(H8="","",G8&amp;"|"&amp;H8)</f>
        <v/>
      </c>
      <c r="J8" s="4" t="inlineStr">
        <is>
          <t>https://www.google.com/maps/search/?api=1&amp;query=Brincando%20com%20Nelinha&amp;query_place_id=ChIJdc9EPmmNf5ERNz1jV9lDnJw</t>
        </is>
      </c>
      <c r="K8" s="4" t="inlineStr">
        <is>
          <t>R. São Pedro, 113 - Sobral, Rio Branco - AC, 69911-180, Brasil</t>
        </is>
      </c>
      <c r="L8" s="4" t="inlineStr">
        <is>
          <t>Rio Branco</t>
        </is>
      </c>
      <c r="M8" s="5" t="n">
        <v>2</v>
      </c>
    </row>
    <row r="9">
      <c r="A9" s="3">
        <f>RAND()</f>
        <v/>
      </c>
      <c r="B9" s="4" t="inlineStr">
        <is>
          <t>ChIJE9IvPYqNf5ERNjv4F--VtDw</t>
        </is>
      </c>
      <c r="C9" s="4" t="inlineStr">
        <is>
          <t>Cantinho Eletrônico, papelaria, artigo de presente e Lan house</t>
        </is>
      </c>
      <c r="D9" s="4" t="inlineStr">
        <is>
          <t>Rio Branco</t>
        </is>
      </c>
      <c r="E9" s="4" t="inlineStr">
        <is>
          <t>AC</t>
        </is>
      </c>
      <c r="F9" s="4" t="inlineStr">
        <is>
          <t>Capitais Regionais C</t>
        </is>
      </c>
      <c r="G9" s="4" t="inlineStr">
        <is>
          <t>Capital regional</t>
        </is>
      </c>
      <c r="H9" s="5">
        <f>IF(G9="fora do recorte","",SUMPRODUCT(($G$3:$G$1723=G9)*($A$3:$A$1723&lt;=A9)))</f>
        <v/>
      </c>
      <c r="I9" s="4">
        <f>IF(H9="","",G9&amp;"|"&amp;H9)</f>
        <v/>
      </c>
      <c r="J9" s="4" t="inlineStr">
        <is>
          <t>https://www.google.com/maps/search/?api=1&amp;query=Cantinho%20Eletr%C3%B4nico%2C%20papelaria%2C%20artigo%20de%20presente%20e%20Lan%20house&amp;query_place_id=ChIJE9IvPYqNf5ERNjv4F--VtDw</t>
        </is>
      </c>
      <c r="K9" s="4" t="inlineStr">
        <is>
          <t>Tv. Judia, 944 - Santa Inês, Rio Branco - AC, 69907-758, Brasil</t>
        </is>
      </c>
      <c r="L9" s="4" t="inlineStr">
        <is>
          <t>Rio Branco</t>
        </is>
      </c>
      <c r="M9" s="5" t="n">
        <v>1</v>
      </c>
    </row>
    <row r="10">
      <c r="A10" s="3">
        <f>RAND()</f>
        <v/>
      </c>
      <c r="B10" s="4" t="inlineStr">
        <is>
          <t>ChIJlx060F6Mf5ERsHd3kI2Kz50</t>
        </is>
      </c>
      <c r="C10" s="4" t="inlineStr">
        <is>
          <t>Casa de Brinquedo</t>
        </is>
      </c>
      <c r="D10" s="4" t="inlineStr">
        <is>
          <t>Rio Branco</t>
        </is>
      </c>
      <c r="E10" s="4" t="inlineStr">
        <is>
          <t>AC</t>
        </is>
      </c>
      <c r="F10" s="4" t="inlineStr">
        <is>
          <t>Capitais Regionais C</t>
        </is>
      </c>
      <c r="G10" s="4" t="inlineStr">
        <is>
          <t>Capital regional</t>
        </is>
      </c>
      <c r="H10" s="5">
        <f>IF(G10="fora do recorte","",SUMPRODUCT(($G$3:$G$1723=G10)*($A$3:$A$1723&lt;=A10)))</f>
        <v/>
      </c>
      <c r="I10" s="4">
        <f>IF(H10="","",G10&amp;"|"&amp;H10)</f>
        <v/>
      </c>
      <c r="J10" s="4" t="inlineStr">
        <is>
          <t>https://www.google.com/maps/search/?api=1&amp;query=Casa%20de%20Brinquedo&amp;query_place_id=ChIJlx060F6Mf5ERsHd3kI2Kz50</t>
        </is>
      </c>
      <c r="K10" s="4" t="inlineStr">
        <is>
          <t>Av. Nações Unidas, 357 - José Augusto, Rio Branco - AC, 69900-721, Brasil</t>
        </is>
      </c>
      <c r="L10" s="4" t="inlineStr">
        <is>
          <t>Rio Branco</t>
        </is>
      </c>
      <c r="M10" s="5" t="n">
        <v>2</v>
      </c>
    </row>
    <row r="11">
      <c r="A11" s="3">
        <f>RAND()</f>
        <v/>
      </c>
      <c r="B11" s="4" t="inlineStr">
        <is>
          <t>ChIJORUoEuqNf5ERmSLGJ7D3BUI</t>
        </is>
      </c>
      <c r="C11" s="4" t="inlineStr">
        <is>
          <t>Decks &amp; Dungeons</t>
        </is>
      </c>
      <c r="D11" s="4" t="inlineStr">
        <is>
          <t>Rio Branco</t>
        </is>
      </c>
      <c r="E11" s="4" t="inlineStr">
        <is>
          <t>AC</t>
        </is>
      </c>
      <c r="F11" s="4" t="inlineStr">
        <is>
          <t>Capitais Regionais C</t>
        </is>
      </c>
      <c r="G11" s="4" t="inlineStr">
        <is>
          <t>Capital regional</t>
        </is>
      </c>
      <c r="H11" s="5">
        <f>IF(G11="fora do recorte","",SUMPRODUCT(($G$3:$G$1723=G11)*($A$3:$A$1723&lt;=A11)))</f>
        <v/>
      </c>
      <c r="I11" s="4">
        <f>IF(H11="","",G11&amp;"|"&amp;H11)</f>
        <v/>
      </c>
      <c r="J11" s="4" t="inlineStr">
        <is>
          <t>https://www.google.com/maps/search/?api=1&amp;query=Decks%20%26%20Dungeons&amp;query_place_id=ChIJORUoEuqNf5ERmSLGJ7D3BUI</t>
        </is>
      </c>
      <c r="K11" s="4" t="inlineStr">
        <is>
          <t>R. das Rosas, 229 - Jardim Primavera, Rio Branco - AC, 69919-602, Brasil</t>
        </is>
      </c>
      <c r="L11" s="4" t="inlineStr">
        <is>
          <t>Rio Branco</t>
        </is>
      </c>
      <c r="M11" s="5" t="n">
        <v>2</v>
      </c>
    </row>
    <row r="12">
      <c r="A12" s="3">
        <f>RAND()</f>
        <v/>
      </c>
      <c r="B12" s="4" t="inlineStr">
        <is>
          <t>ChIJz2CeJ3SMf5ER2iBb01SF_as</t>
        </is>
      </c>
      <c r="C12" s="4" t="inlineStr">
        <is>
          <t>Duda Presentes</t>
        </is>
      </c>
      <c r="D12" s="4" t="inlineStr">
        <is>
          <t>Rio Branco</t>
        </is>
      </c>
      <c r="E12" s="4" t="inlineStr">
        <is>
          <t>AC</t>
        </is>
      </c>
      <c r="F12" s="4" t="inlineStr">
        <is>
          <t>Capitais Regionais C</t>
        </is>
      </c>
      <c r="G12" s="4" t="inlineStr">
        <is>
          <t>Capital regional</t>
        </is>
      </c>
      <c r="H12" s="5">
        <f>IF(G12="fora do recorte","",SUMPRODUCT(($G$3:$G$1723=G12)*($A$3:$A$1723&lt;=A12)))</f>
        <v/>
      </c>
      <c r="I12" s="4">
        <f>IF(H12="","",G12&amp;"|"&amp;H12)</f>
        <v/>
      </c>
      <c r="J12" s="4" t="inlineStr">
        <is>
          <t>https://www.google.com/maps/search/?api=1&amp;query=Duda%20Presentes&amp;query_place_id=ChIJz2CeJ3SMf5ER2iBb01SF_as</t>
        </is>
      </c>
      <c r="K12" s="4" t="inlineStr">
        <is>
          <t>Av. Antônio da Rocha Viana, 4275 - Vila Nova, Rio Branco - AC, 69921-084, Brasil</t>
        </is>
      </c>
      <c r="L12" s="4" t="inlineStr">
        <is>
          <t>Rio Branco</t>
        </is>
      </c>
      <c r="M12" s="5" t="n">
        <v>1</v>
      </c>
    </row>
    <row r="13">
      <c r="A13" s="3">
        <f>RAND()</f>
        <v/>
      </c>
      <c r="B13" s="4" t="inlineStr">
        <is>
          <t>ChIJ_fuVrJCNf5ER5VwqwmDWOQ0</t>
        </is>
      </c>
      <c r="C13" s="4" t="inlineStr">
        <is>
          <t>Emporium Nerd</t>
        </is>
      </c>
      <c r="D13" s="4" t="inlineStr">
        <is>
          <t>Rio Branco</t>
        </is>
      </c>
      <c r="E13" s="4" t="inlineStr">
        <is>
          <t>AC</t>
        </is>
      </c>
      <c r="F13" s="4" t="inlineStr">
        <is>
          <t>Capitais Regionais C</t>
        </is>
      </c>
      <c r="G13" s="4" t="inlineStr">
        <is>
          <t>Capital regional</t>
        </is>
      </c>
      <c r="H13" s="5">
        <f>IF(G13="fora do recorte","",SUMPRODUCT(($G$3:$G$1723=G13)*($A$3:$A$1723&lt;=A13)))</f>
        <v/>
      </c>
      <c r="I13" s="4">
        <f>IF(H13="","",G13&amp;"|"&amp;H13)</f>
        <v/>
      </c>
      <c r="J13" s="4" t="inlineStr">
        <is>
          <t>https://www.google.com/maps/search/?api=1&amp;query=Emporium%20Nerd&amp;query_place_id=ChIJ_fuVrJCNf5ER5VwqwmDWOQ0</t>
        </is>
      </c>
      <c r="K13" s="4" t="inlineStr">
        <is>
          <t>R. Seis de Agosto, 931 - 6 de Agosto, Rio Branco - AC, 69905-684, Brasil</t>
        </is>
      </c>
      <c r="L13" s="4" t="inlineStr">
        <is>
          <t>Rio Branco</t>
        </is>
      </c>
      <c r="M13" s="5" t="n">
        <v>2</v>
      </c>
    </row>
    <row r="14">
      <c r="A14" s="3">
        <f>RAND()</f>
        <v/>
      </c>
      <c r="B14" s="4" t="inlineStr">
        <is>
          <t>ChIJr7mTWeSNf5ER7u2wlBtUMq8</t>
        </is>
      </c>
      <c r="C14" s="4" t="inlineStr">
        <is>
          <t>Fox Games - Via Verde Shopping - Floresta Sul</t>
        </is>
      </c>
      <c r="D14" s="4" t="inlineStr">
        <is>
          <t>Rio Branco</t>
        </is>
      </c>
      <c r="E14" s="4" t="inlineStr">
        <is>
          <t>AC</t>
        </is>
      </c>
      <c r="F14" s="4" t="inlineStr">
        <is>
          <t>Capitais Regionais C</t>
        </is>
      </c>
      <c r="G14" s="4" t="inlineStr">
        <is>
          <t>Capital regional</t>
        </is>
      </c>
      <c r="H14" s="5">
        <f>IF(G14="fora do recorte","",SUMPRODUCT(($G$3:$G$1723=G14)*($A$3:$A$1723&lt;=A14)))</f>
        <v/>
      </c>
      <c r="I14" s="4">
        <f>IF(H14="","",G14&amp;"|"&amp;H14)</f>
        <v/>
      </c>
      <c r="J14" s="4" t="inlineStr">
        <is>
          <t>https://www.google.com/maps/search/?api=1&amp;query=Fox%20Games%20-%20Via%20Verde%20Shopping%20-%20Floresta%20Sul&amp;query_place_id=ChIJr7mTWeSNf5ER7u2wlBtUMq8</t>
        </is>
      </c>
      <c r="K14" s="4" t="inlineStr">
        <is>
          <t>Estr. da Floresta, 2320 - Pi 1 - Floresta Sul, Rio Branco - AC, 69912-443, Brasil</t>
        </is>
      </c>
      <c r="L14" s="4" t="inlineStr">
        <is>
          <t>Rio Branco</t>
        </is>
      </c>
      <c r="M14" s="5" t="n">
        <v>1</v>
      </c>
    </row>
    <row r="15">
      <c r="A15" s="3">
        <f>RAND()</f>
        <v/>
      </c>
      <c r="B15" s="4" t="inlineStr">
        <is>
          <t>ChIJVS7xJ3aNf5ERC-4KJwU5WyQ</t>
        </is>
      </c>
      <c r="C15" s="4" t="inlineStr">
        <is>
          <t>Geek_store.a</t>
        </is>
      </c>
      <c r="D15" s="4" t="inlineStr">
        <is>
          <t>Rio Branco</t>
        </is>
      </c>
      <c r="E15" s="4" t="inlineStr">
        <is>
          <t>AC</t>
        </is>
      </c>
      <c r="F15" s="4" t="inlineStr">
        <is>
          <t>Capitais Regionais C</t>
        </is>
      </c>
      <c r="G15" s="4" t="inlineStr">
        <is>
          <t>Capital regional</t>
        </is>
      </c>
      <c r="H15" s="5">
        <f>IF(G15="fora do recorte","",SUMPRODUCT(($G$3:$G$1723=G15)*($A$3:$A$1723&lt;=A15)))</f>
        <v/>
      </c>
      <c r="I15" s="4">
        <f>IF(H15="","",G15&amp;"|"&amp;H15)</f>
        <v/>
      </c>
      <c r="J15" s="4" t="inlineStr">
        <is>
          <t>https://www.google.com/maps/search/?api=1&amp;query=Geek_store.a&amp;query_place_id=ChIJVS7xJ3aNf5ERC-4KJwU5WyQ</t>
        </is>
      </c>
      <c r="K15" s="4" t="inlineStr">
        <is>
          <t>Rua Amazonas, 51 - Aviário, Rio Branco - AC, 69905-074, Brasil</t>
        </is>
      </c>
      <c r="L15" s="4" t="inlineStr">
        <is>
          <t>Rio Branco</t>
        </is>
      </c>
      <c r="M15" s="5" t="n">
        <v>1</v>
      </c>
    </row>
    <row r="16">
      <c r="A16" s="3">
        <f>RAND()</f>
        <v/>
      </c>
      <c r="B16" s="4" t="inlineStr">
        <is>
          <t>ChIJdxw4r3sdPoERpY-NVje3vx4</t>
        </is>
      </c>
      <c r="C16" s="4" t="inlineStr">
        <is>
          <t>Hora da Diversão Brinquedos</t>
        </is>
      </c>
      <c r="D16" s="4" t="inlineStr">
        <is>
          <t>Rio Branco</t>
        </is>
      </c>
      <c r="E16" s="4" t="inlineStr">
        <is>
          <t>AC</t>
        </is>
      </c>
      <c r="F16" s="4" t="inlineStr">
        <is>
          <t>Capitais Regionais C</t>
        </is>
      </c>
      <c r="G16" s="4" t="inlineStr">
        <is>
          <t>Capital regional</t>
        </is>
      </c>
      <c r="H16" s="5">
        <f>IF(G16="fora do recorte","",SUMPRODUCT(($G$3:$G$1723=G16)*($A$3:$A$1723&lt;=A16)))</f>
        <v/>
      </c>
      <c r="I16" s="4">
        <f>IF(H16="","",G16&amp;"|"&amp;H16)</f>
        <v/>
      </c>
      <c r="J16" s="4" t="inlineStr">
        <is>
          <t>https://www.google.com/maps/search/?api=1&amp;query=Hora%20da%20Divers%C3%A3o%20Brinquedos&amp;query_place_id=ChIJdxw4r3sdPoERpY-NVje3vx4</t>
        </is>
      </c>
      <c r="K16" s="4" t="inlineStr">
        <is>
          <t>R. Sapolândia, 60 - Santa Quitéria, Rio Branco - AC, 69918-802, Brasil</t>
        </is>
      </c>
      <c r="L16" s="4" t="inlineStr">
        <is>
          <t>Rio Branco</t>
        </is>
      </c>
      <c r="M16" s="5" t="n">
        <v>1</v>
      </c>
    </row>
    <row r="17">
      <c r="A17" s="3">
        <f>RAND()</f>
        <v/>
      </c>
      <c r="B17" s="4" t="inlineStr">
        <is>
          <t>ChIJ4fA6DUuNf5ER_yWsCSvWV2M</t>
        </is>
      </c>
      <c r="C17" s="4" t="inlineStr">
        <is>
          <t>Jogos offline</t>
        </is>
      </c>
      <c r="D17" s="4" t="inlineStr">
        <is>
          <t>Rio Branco</t>
        </is>
      </c>
      <c r="E17" s="4" t="inlineStr">
        <is>
          <t>AC</t>
        </is>
      </c>
      <c r="F17" s="4" t="inlineStr">
        <is>
          <t>Capitais Regionais C</t>
        </is>
      </c>
      <c r="G17" s="4" t="inlineStr">
        <is>
          <t>Capital regional</t>
        </is>
      </c>
      <c r="H17" s="5">
        <f>IF(G17="fora do recorte","",SUMPRODUCT(($G$3:$G$1723=G17)*($A$3:$A$1723&lt;=A17)))</f>
        <v/>
      </c>
      <c r="I17" s="4">
        <f>IF(H17="","",G17&amp;"|"&amp;H17)</f>
        <v/>
      </c>
      <c r="J17" s="4" t="inlineStr">
        <is>
          <t>https://www.google.com/maps/search/?api=1&amp;query=Jogos%20offline&amp;query_place_id=ChIJ4fA6DUuNf5ER_yWsCSvWV2M</t>
        </is>
      </c>
      <c r="K17" s="4" t="inlineStr">
        <is>
          <t>R. Dama da Noite, 908 - Jardim Tropical, Rio Branco - AC, 69901-248, Brasil</t>
        </is>
      </c>
      <c r="L17" s="4" t="inlineStr">
        <is>
          <t>Rio Branco</t>
        </is>
      </c>
      <c r="M17" s="5" t="n">
        <v>5</v>
      </c>
    </row>
    <row r="18">
      <c r="A18" s="3">
        <f>RAND()</f>
        <v/>
      </c>
      <c r="B18" s="4" t="inlineStr">
        <is>
          <t>ChIJAST9A1qMf5ERea7KiThIpxo</t>
        </is>
      </c>
      <c r="C18" s="4" t="inlineStr">
        <is>
          <t>Junior Games</t>
        </is>
      </c>
      <c r="D18" s="4" t="inlineStr">
        <is>
          <t>Rio Branco</t>
        </is>
      </c>
      <c r="E18" s="4" t="inlineStr">
        <is>
          <t>AC</t>
        </is>
      </c>
      <c r="F18" s="4" t="inlineStr">
        <is>
          <t>Capitais Regionais C</t>
        </is>
      </c>
      <c r="G18" s="4" t="inlineStr">
        <is>
          <t>Capital regional</t>
        </is>
      </c>
      <c r="H18" s="5">
        <f>IF(G18="fora do recorte","",SUMPRODUCT(($G$3:$G$1723=G18)*($A$3:$A$1723&lt;=A18)))</f>
        <v/>
      </c>
      <c r="I18" s="4">
        <f>IF(H18="","",G18&amp;"|"&amp;H18)</f>
        <v/>
      </c>
      <c r="J18" s="4" t="inlineStr">
        <is>
          <t>https://www.google.com/maps/search/?api=1&amp;query=Junior%20Games&amp;query_place_id=ChIJAST9A1qMf5ERea7KiThIpxo</t>
        </is>
      </c>
      <c r="K18" s="4" t="inlineStr">
        <is>
          <t>Posto Parati - R. Isaura Parente, 434 - sala" 2 - Bosque, Rio Branco - AC, 69900-900, Brasil</t>
        </is>
      </c>
      <c r="L18" s="4" t="inlineStr">
        <is>
          <t>Rio Branco</t>
        </is>
      </c>
      <c r="M18" s="5" t="n">
        <v>4</v>
      </c>
    </row>
    <row r="19">
      <c r="A19" s="3">
        <f>RAND()</f>
        <v/>
      </c>
      <c r="B19" s="4" t="inlineStr">
        <is>
          <t>ChIJO5-CuLWPf5ERy2-W_UmDFps</t>
        </is>
      </c>
      <c r="C19" s="4" t="inlineStr">
        <is>
          <t>LOJA DUO</t>
        </is>
      </c>
      <c r="D19" s="4" t="inlineStr">
        <is>
          <t>Rio Branco</t>
        </is>
      </c>
      <c r="E19" s="4" t="inlineStr">
        <is>
          <t>AC</t>
        </is>
      </c>
      <c r="F19" s="4" t="inlineStr">
        <is>
          <t>Capitais Regionais C</t>
        </is>
      </c>
      <c r="G19" s="4" t="inlineStr">
        <is>
          <t>Capital regional</t>
        </is>
      </c>
      <c r="H19" s="5">
        <f>IF(G19="fora do recorte","",SUMPRODUCT(($G$3:$G$1723=G19)*($A$3:$A$1723&lt;=A19)))</f>
        <v/>
      </c>
      <c r="I19" s="4">
        <f>IF(H19="","",G19&amp;"|"&amp;H19)</f>
        <v/>
      </c>
      <c r="J19" s="4" t="inlineStr">
        <is>
          <t>https://www.google.com/maps/search/?api=1&amp;query=LOJA%20DUO&amp;query_place_id=ChIJO5-CuLWPf5ERy2-W_UmDFps</t>
        </is>
      </c>
      <c r="K19" s="4" t="inlineStr">
        <is>
          <t>Estr. do Calafate, 3683 - Sl 2 - Calafete, Rio Branco - AC, 69914-320, Brasil</t>
        </is>
      </c>
      <c r="L19" s="4" t="inlineStr">
        <is>
          <t>Rio Branco</t>
        </is>
      </c>
      <c r="M19" s="5" t="n">
        <v>1</v>
      </c>
    </row>
    <row r="20">
      <c r="A20" s="3">
        <f>RAND()</f>
        <v/>
      </c>
      <c r="B20" s="4" t="inlineStr">
        <is>
          <t>ChIJQ72BFMCNf5ERIZ0dJqpCcvA</t>
        </is>
      </c>
      <c r="C20" s="4" t="inlineStr">
        <is>
          <t>LOJÃO DA CHINA</t>
        </is>
      </c>
      <c r="D20" s="4" t="inlineStr">
        <is>
          <t>Rio Branco</t>
        </is>
      </c>
      <c r="E20" s="4" t="inlineStr">
        <is>
          <t>AC</t>
        </is>
      </c>
      <c r="F20" s="4" t="inlineStr">
        <is>
          <t>Capitais Regionais C</t>
        </is>
      </c>
      <c r="G20" s="4" t="inlineStr">
        <is>
          <t>Capital regional</t>
        </is>
      </c>
      <c r="H20" s="5">
        <f>IF(G20="fora do recorte","",SUMPRODUCT(($G$3:$G$1723=G20)*($A$3:$A$1723&lt;=A20)))</f>
        <v/>
      </c>
      <c r="I20" s="4">
        <f>IF(H20="","",G20&amp;"|"&amp;H20)</f>
        <v/>
      </c>
      <c r="J20" s="4" t="inlineStr">
        <is>
          <t>https://www.google.com/maps/search/?api=1&amp;query=LOJ%C3%83O%20DA%20CHINA&amp;query_place_id=ChIJQ72BFMCNf5ERIZ0dJqpCcvA</t>
        </is>
      </c>
      <c r="K20" s="4" t="inlineStr">
        <is>
          <t>R. Mal. Deodoro, 170 - Centro, Rio Branco - AC, 69900-068, Brasil</t>
        </is>
      </c>
      <c r="L20" s="4" t="inlineStr">
        <is>
          <t>Rio Branco</t>
        </is>
      </c>
      <c r="M20" s="5" t="n">
        <v>1</v>
      </c>
    </row>
    <row r="21">
      <c r="A21" s="3">
        <f>RAND()</f>
        <v/>
      </c>
      <c r="B21" s="4" t="inlineStr">
        <is>
          <t>ChIJB0LBiVeMf5ERNOwFrRIjAMk</t>
        </is>
      </c>
      <c r="C21" s="4" t="inlineStr">
        <is>
          <t>Livraria El Shaday</t>
        </is>
      </c>
      <c r="D21" s="4" t="inlineStr">
        <is>
          <t>Rio Branco</t>
        </is>
      </c>
      <c r="E21" s="4" t="inlineStr">
        <is>
          <t>AC</t>
        </is>
      </c>
      <c r="F21" s="4" t="inlineStr">
        <is>
          <t>Capitais Regionais C</t>
        </is>
      </c>
      <c r="G21" s="4" t="inlineStr">
        <is>
          <t>Capital regional</t>
        </is>
      </c>
      <c r="H21" s="5">
        <f>IF(G21="fora do recorte","",SUMPRODUCT(($G$3:$G$1723=G21)*($A$3:$A$1723&lt;=A21)))</f>
        <v/>
      </c>
      <c r="I21" s="4">
        <f>IF(H21="","",G21&amp;"|"&amp;H21)</f>
        <v/>
      </c>
      <c r="J21" s="4" t="inlineStr">
        <is>
          <t>https://www.google.com/maps/search/?api=1&amp;query=Livraria%20El%20Shaday&amp;query_place_id=ChIJB0LBiVeMf5ERNOwFrRIjAMk</t>
        </is>
      </c>
      <c r="K21" s="4" t="inlineStr">
        <is>
          <t>Av. Nações Unidas, 336 - Bosque, Rio Branco - AC, 69900-715, Brasil</t>
        </is>
      </c>
      <c r="L21" s="4" t="inlineStr">
        <is>
          <t>Rio Branco</t>
        </is>
      </c>
      <c r="M21" s="5" t="n">
        <v>1</v>
      </c>
    </row>
    <row r="22">
      <c r="A22" s="3">
        <f>RAND()</f>
        <v/>
      </c>
      <c r="B22" s="4" t="inlineStr">
        <is>
          <t>ChIJq6cAXlSMf5ERHNPzTDUIk_Q</t>
        </is>
      </c>
      <c r="C22" s="4" t="inlineStr">
        <is>
          <t>Livraria Paim</t>
        </is>
      </c>
      <c r="D22" s="4" t="inlineStr">
        <is>
          <t>Rio Branco</t>
        </is>
      </c>
      <c r="E22" s="4" t="inlineStr">
        <is>
          <t>AC</t>
        </is>
      </c>
      <c r="F22" s="4" t="inlineStr">
        <is>
          <t>Capitais Regionais C</t>
        </is>
      </c>
      <c r="G22" s="4" t="inlineStr">
        <is>
          <t>Capital regional</t>
        </is>
      </c>
      <c r="H22" s="5">
        <f>IF(G22="fora do recorte","",SUMPRODUCT(($G$3:$G$1723=G22)*($A$3:$A$1723&lt;=A22)))</f>
        <v/>
      </c>
      <c r="I22" s="4">
        <f>IF(H22="","",G22&amp;"|"&amp;H22)</f>
        <v/>
      </c>
      <c r="J22" s="4" t="inlineStr">
        <is>
          <t>https://www.google.com/maps/search/?api=1&amp;query=Livraria%20Paim&amp;query_place_id=ChIJq6cAXlSMf5ERHNPzTDUIk_Q</t>
        </is>
      </c>
      <c r="K22" s="4" t="inlineStr">
        <is>
          <t>R. Rio Grande do Sul, 182 - Centro, Rio Branco - AC, 69900-092, Brasil</t>
        </is>
      </c>
      <c r="L22" s="4" t="inlineStr">
        <is>
          <t>Rio Branco</t>
        </is>
      </c>
      <c r="M22" s="5" t="n">
        <v>1</v>
      </c>
    </row>
    <row r="23">
      <c r="A23" s="3">
        <f>RAND()</f>
        <v/>
      </c>
      <c r="B23" s="4" t="inlineStr">
        <is>
          <t>ChIJZXKvt7ONf5ERFYb60yHYl6s</t>
        </is>
      </c>
      <c r="C23" s="4" t="inlineStr">
        <is>
          <t>Luddu Us Play</t>
        </is>
      </c>
      <c r="D23" s="4" t="inlineStr">
        <is>
          <t>Rio Branco</t>
        </is>
      </c>
      <c r="E23" s="4" t="inlineStr">
        <is>
          <t>AC</t>
        </is>
      </c>
      <c r="F23" s="4" t="inlineStr">
        <is>
          <t>Capitais Regionais C</t>
        </is>
      </c>
      <c r="G23" s="4" t="inlineStr">
        <is>
          <t>Capital regional</t>
        </is>
      </c>
      <c r="H23" s="5">
        <f>IF(G23="fora do recorte","",SUMPRODUCT(($G$3:$G$1723=G23)*($A$3:$A$1723&lt;=A23)))</f>
        <v/>
      </c>
      <c r="I23" s="4">
        <f>IF(H23="","",G23&amp;"|"&amp;H23)</f>
        <v/>
      </c>
      <c r="J23" s="4" t="inlineStr">
        <is>
          <t>https://www.google.com/maps/search/?api=1&amp;query=Luddu%20Us%20Play&amp;query_place_id=ChIJZXKvt7ONf5ERFYb60yHYl6s</t>
        </is>
      </c>
      <c r="K23" s="4" t="inlineStr">
        <is>
          <t>R. São Marcos, 54 - Casa 2 - Isaura Parente, Rio Branco - AC, 69918-274, Brasil</t>
        </is>
      </c>
      <c r="L23" s="4" t="inlineStr">
        <is>
          <t>Rio Branco</t>
        </is>
      </c>
      <c r="M23" s="5" t="n">
        <v>8</v>
      </c>
    </row>
    <row r="24">
      <c r="A24" s="3">
        <f>RAND()</f>
        <v/>
      </c>
      <c r="B24" s="4" t="inlineStr">
        <is>
          <t>ChIJ2UKjW1iMf5ERByyrivOQGSY</t>
        </is>
      </c>
      <c r="C24" s="4" t="inlineStr">
        <is>
          <t>Mundo Kids</t>
        </is>
      </c>
      <c r="D24" s="4" t="inlineStr">
        <is>
          <t>Rio Branco</t>
        </is>
      </c>
      <c r="E24" s="4" t="inlineStr">
        <is>
          <t>AC</t>
        </is>
      </c>
      <c r="F24" s="4" t="inlineStr">
        <is>
          <t>Capitais Regionais C</t>
        </is>
      </c>
      <c r="G24" s="4" t="inlineStr">
        <is>
          <t>Capital regional</t>
        </is>
      </c>
      <c r="H24" s="5">
        <f>IF(G24="fora do recorte","",SUMPRODUCT(($G$3:$G$1723=G24)*($A$3:$A$1723&lt;=A24)))</f>
        <v/>
      </c>
      <c r="I24" s="4">
        <f>IF(H24="","",G24&amp;"|"&amp;H24)</f>
        <v/>
      </c>
      <c r="J24" s="4" t="inlineStr">
        <is>
          <t>https://www.google.com/maps/search/?api=1&amp;query=Mundo%20Kids&amp;query_place_id=ChIJ2UKjW1iMf5ERByyrivOQGSY</t>
        </is>
      </c>
      <c r="K24" s="4" t="inlineStr">
        <is>
          <t>R. Quintino Bocaiuva, 1572 - Bosque, Rio Branco - AC, 69909-400, Brasil</t>
        </is>
      </c>
      <c r="L24" s="4" t="inlineStr">
        <is>
          <t>Rio Branco</t>
        </is>
      </c>
      <c r="M24" s="5" t="n">
        <v>3</v>
      </c>
    </row>
    <row r="25">
      <c r="A25" s="3">
        <f>RAND()</f>
        <v/>
      </c>
      <c r="B25" s="4" t="inlineStr">
        <is>
          <t>ChIJlYRHP5aNf5ERekyVRHNgmV0</t>
        </is>
      </c>
      <c r="C25" s="4" t="inlineStr">
        <is>
          <t>Plebeu Games e Informática - Rua Isaura Parente, Rio Branco - AC</t>
        </is>
      </c>
      <c r="D25" s="4" t="inlineStr">
        <is>
          <t>Rio Branco</t>
        </is>
      </c>
      <c r="E25" s="4" t="inlineStr">
        <is>
          <t>AC</t>
        </is>
      </c>
      <c r="F25" s="4" t="inlineStr">
        <is>
          <t>Capitais Regionais C</t>
        </is>
      </c>
      <c r="G25" s="4" t="inlineStr">
        <is>
          <t>Capital regional</t>
        </is>
      </c>
      <c r="H25" s="5">
        <f>IF(G25="fora do recorte","",SUMPRODUCT(($G$3:$G$1723=G25)*($A$3:$A$1723&lt;=A25)))</f>
        <v/>
      </c>
      <c r="I25" s="4">
        <f>IF(H25="","",G25&amp;"|"&amp;H25)</f>
        <v/>
      </c>
      <c r="J25" s="4" t="inlineStr">
        <is>
          <t>https://www.google.com/maps/search/?api=1&amp;query=Plebeu%20Games%20e%20Inform%C3%A1tica%20-%20Rua%20Isaura%20Parente%2C%20Rio%20Branco%20-%20AC&amp;query_place_id=ChIJlYRHP5aNf5ERekyVRHNgmV0</t>
        </is>
      </c>
      <c r="K25" s="4" t="inlineStr">
        <is>
          <t>R. Isaura Parente, 409 - Bosque, Rio Branco - AC, 69900-490, Brasil</t>
        </is>
      </c>
      <c r="L25" s="4" t="inlineStr">
        <is>
          <t>Rio Branco</t>
        </is>
      </c>
      <c r="M25" s="5" t="n">
        <v>6</v>
      </c>
    </row>
    <row r="26">
      <c r="A26" s="3">
        <f>RAND()</f>
        <v/>
      </c>
      <c r="B26" s="4" t="inlineStr">
        <is>
          <t>ChIJlU5Lu-WNf5ERecngwP4r_zA</t>
        </is>
      </c>
      <c r="C26" s="4" t="inlineStr">
        <is>
          <t>Tem de Tudo</t>
        </is>
      </c>
      <c r="D26" s="4" t="inlineStr">
        <is>
          <t>Rio Branco</t>
        </is>
      </c>
      <c r="E26" s="4" t="inlineStr">
        <is>
          <t>AC</t>
        </is>
      </c>
      <c r="F26" s="4" t="inlineStr">
        <is>
          <t>Capitais Regionais C</t>
        </is>
      </c>
      <c r="G26" s="4" t="inlineStr">
        <is>
          <t>Capital regional</t>
        </is>
      </c>
      <c r="H26" s="5">
        <f>IF(G26="fora do recorte","",SUMPRODUCT(($G$3:$G$1723=G26)*($A$3:$A$1723&lt;=A26)))</f>
        <v/>
      </c>
      <c r="I26" s="4">
        <f>IF(H26="","",G26&amp;"|"&amp;H26)</f>
        <v/>
      </c>
      <c r="J26" s="4" t="inlineStr">
        <is>
          <t>https://www.google.com/maps/search/?api=1&amp;query=Tem%20de%20Tudo&amp;query_place_id=ChIJlU5Lu-WNf5ERecngwP4r_zA</t>
        </is>
      </c>
      <c r="K26" s="4" t="inlineStr">
        <is>
          <t>R. Quintino Bocaiuva - Centro, Rio Branco - AC, 69900-000, Brasil</t>
        </is>
      </c>
      <c r="L26" s="4" t="inlineStr">
        <is>
          <t>Rio Branco</t>
        </is>
      </c>
      <c r="M26" s="5" t="n">
        <v>1</v>
      </c>
    </row>
    <row r="27">
      <c r="A27" s="3">
        <f>RAND()</f>
        <v/>
      </c>
      <c r="B27" s="4" t="inlineStr">
        <is>
          <t>ChIJK8ljwOWNf5ERjBqIzYMZ6_4</t>
        </is>
      </c>
      <c r="C27" s="4" t="inlineStr">
        <is>
          <t>Tenpo Mokuzai</t>
        </is>
      </c>
      <c r="D27" s="4" t="inlineStr">
        <is>
          <t>Rio Branco</t>
        </is>
      </c>
      <c r="E27" s="4" t="inlineStr">
        <is>
          <t>AC</t>
        </is>
      </c>
      <c r="F27" s="4" t="inlineStr">
        <is>
          <t>Capitais Regionais C</t>
        </is>
      </c>
      <c r="G27" s="4" t="inlineStr">
        <is>
          <t>Capital regional</t>
        </is>
      </c>
      <c r="H27" s="5">
        <f>IF(G27="fora do recorte","",SUMPRODUCT(($G$3:$G$1723=G27)*($A$3:$A$1723&lt;=A27)))</f>
        <v/>
      </c>
      <c r="I27" s="4">
        <f>IF(H27="","",G27&amp;"|"&amp;H27)</f>
        <v/>
      </c>
      <c r="J27" s="4" t="inlineStr">
        <is>
          <t>https://www.google.com/maps/search/?api=1&amp;query=Tenpo%20Mokuzai&amp;query_place_id=ChIJK8ljwOWNf5ERjBqIzYMZ6_4</t>
        </is>
      </c>
      <c r="K27" s="4" t="inlineStr">
        <is>
          <t>Aquiri Shopping - loja 3100 - Centro, Rio Branco - AC, 69900-076, Brasil</t>
        </is>
      </c>
      <c r="L27" s="4" t="inlineStr">
        <is>
          <t>Rio Branco</t>
        </is>
      </c>
      <c r="M27" s="5" t="n">
        <v>1</v>
      </c>
    </row>
    <row r="28">
      <c r="A28" s="3">
        <f>RAND()</f>
        <v/>
      </c>
      <c r="B28" s="4" t="inlineStr">
        <is>
          <t>ChIJWfLFPACNf5ERl7JPOFwf5iI</t>
        </is>
      </c>
      <c r="C28" s="4" t="inlineStr">
        <is>
          <t>WE LOVE GASTROBAR</t>
        </is>
      </c>
      <c r="D28" s="4" t="inlineStr">
        <is>
          <t>Rio Branco</t>
        </is>
      </c>
      <c r="E28" s="4" t="inlineStr">
        <is>
          <t>AC</t>
        </is>
      </c>
      <c r="F28" s="4" t="inlineStr">
        <is>
          <t>Capitais Regionais C</t>
        </is>
      </c>
      <c r="G28" s="4" t="inlineStr">
        <is>
          <t>Capital regional</t>
        </is>
      </c>
      <c r="H28" s="5">
        <f>IF(G28="fora do recorte","",SUMPRODUCT(($G$3:$G$1723=G28)*($A$3:$A$1723&lt;=A28)))</f>
        <v/>
      </c>
      <c r="I28" s="4">
        <f>IF(H28="","",G28&amp;"|"&amp;H28)</f>
        <v/>
      </c>
      <c r="J28" s="4" t="inlineStr">
        <is>
          <t>https://www.google.com/maps/search/?api=1&amp;query=WE%20LOVE%20GASTROBAR&amp;query_place_id=ChIJWfLFPACNf5ERl7JPOFwf5iI</t>
        </is>
      </c>
      <c r="K28" s="4" t="inlineStr">
        <is>
          <t>Av. Getúlio Vargas, 2598 - Bosque, Rio Branco - AC, 69900-589, Brasil</t>
        </is>
      </c>
      <c r="L28" s="4" t="inlineStr">
        <is>
          <t>Rio Branco</t>
        </is>
      </c>
      <c r="M28" s="5" t="n">
        <v>1</v>
      </c>
    </row>
    <row r="29">
      <c r="A29" s="3">
        <f>RAND()</f>
        <v/>
      </c>
      <c r="B29" s="4" t="inlineStr">
        <is>
          <t>ChIJ8Sm3w0FJAQcRBgwyl8PaDn8</t>
        </is>
      </c>
      <c r="C29" s="4" t="inlineStr">
        <is>
          <t>AL RPG CLUB</t>
        </is>
      </c>
      <c r="D29" s="4" t="inlineStr">
        <is>
          <t>Maceió</t>
        </is>
      </c>
      <c r="E29" s="4" t="inlineStr">
        <is>
          <t>AL</t>
        </is>
      </c>
      <c r="F29" s="4" t="inlineStr">
        <is>
          <t>Capitais Regionais A</t>
        </is>
      </c>
      <c r="G29" s="4" t="inlineStr">
        <is>
          <t>Capital regional</t>
        </is>
      </c>
      <c r="H29" s="5">
        <f>IF(G29="fora do recorte","",SUMPRODUCT(($G$3:$G$1723=G29)*($A$3:$A$1723&lt;=A29)))</f>
        <v/>
      </c>
      <c r="I29" s="4">
        <f>IF(H29="","",G29&amp;"|"&amp;H29)</f>
        <v/>
      </c>
      <c r="J29" s="4" t="inlineStr">
        <is>
          <t>https://www.google.com/maps/search/?api=1&amp;query=AL%20RPG%20CLUB&amp;query_place_id=ChIJ8Sm3w0FJAQcRBgwyl8PaDn8</t>
        </is>
      </c>
      <c r="K29" s="4" t="inlineStr">
        <is>
          <t>R. Alm. Tamandaré, 59 - Prado, Maceió - AL, 57010-030, Brasil</t>
        </is>
      </c>
      <c r="L29" s="4" t="inlineStr">
        <is>
          <t>Maceió</t>
        </is>
      </c>
      <c r="M29" s="5" t="n">
        <v>6</v>
      </c>
    </row>
    <row r="30">
      <c r="A30" s="3">
        <f>RAND()</f>
        <v/>
      </c>
      <c r="B30" s="4" t="inlineStr">
        <is>
          <t>ChIJPct5IgBJAQcR9w9rrtalizI</t>
        </is>
      </c>
      <c r="C30" s="4" t="inlineStr">
        <is>
          <t>Agario PATA Candy Crush - Unidade Clima Bom</t>
        </is>
      </c>
      <c r="D30" s="4" t="inlineStr">
        <is>
          <t>Maceió</t>
        </is>
      </c>
      <c r="E30" s="4" t="inlineStr">
        <is>
          <t>AL</t>
        </is>
      </c>
      <c r="F30" s="4" t="inlineStr">
        <is>
          <t>Capitais Regionais A</t>
        </is>
      </c>
      <c r="G30" s="4" t="inlineStr">
        <is>
          <t>Capital regional</t>
        </is>
      </c>
      <c r="H30" s="5">
        <f>IF(G30="fora do recorte","",SUMPRODUCT(($G$3:$G$1723=G30)*($A$3:$A$1723&lt;=A30)))</f>
        <v/>
      </c>
      <c r="I30" s="4">
        <f>IF(H30="","",G30&amp;"|"&amp;H30)</f>
        <v/>
      </c>
      <c r="J30" s="4" t="inlineStr">
        <is>
          <t>https://www.google.com/maps/search/?api=1&amp;query=Agario%20PATA%20Candy%20Crush%20-%20Unidade%20Clima%20Bom&amp;query_place_id=ChIJPct5IgBJAQcR9w9rrtalizI</t>
        </is>
      </c>
      <c r="K30" s="4" t="inlineStr">
        <is>
          <t>Tabuleiro do Martins, Maceió - AL, 57037-630, Brasil</t>
        </is>
      </c>
      <c r="L30" s="4" t="inlineStr">
        <is>
          <t>Maceió</t>
        </is>
      </c>
      <c r="M30" s="5" t="n">
        <v>2</v>
      </c>
    </row>
    <row r="31">
      <c r="A31" s="3">
        <f>RAND()</f>
        <v/>
      </c>
      <c r="B31" s="4" t="inlineStr">
        <is>
          <t>ChIJ8dcQZ7FFAQcRIpBxBkNQlK0</t>
        </is>
      </c>
      <c r="C31" s="4" t="inlineStr">
        <is>
          <t>Alagoana Choperia</t>
        </is>
      </c>
      <c r="D31" s="4" t="inlineStr">
        <is>
          <t>Maceió</t>
        </is>
      </c>
      <c r="E31" s="4" t="inlineStr">
        <is>
          <t>AL</t>
        </is>
      </c>
      <c r="F31" s="4" t="inlineStr">
        <is>
          <t>Capitais Regionais A</t>
        </is>
      </c>
      <c r="G31" s="4" t="inlineStr">
        <is>
          <t>Capital regional</t>
        </is>
      </c>
      <c r="H31" s="5">
        <f>IF(G31="fora do recorte","",SUMPRODUCT(($G$3:$G$1723=G31)*($A$3:$A$1723&lt;=A31)))</f>
        <v/>
      </c>
      <c r="I31" s="4">
        <f>IF(H31="","",G31&amp;"|"&amp;H31)</f>
        <v/>
      </c>
      <c r="J31" s="4" t="inlineStr">
        <is>
          <t>https://www.google.com/maps/search/?api=1&amp;query=Alagoana%20Choperia&amp;query_place_id=ChIJ8dcQZ7FFAQcRIpBxBkNQlK0</t>
        </is>
      </c>
      <c r="K31" s="4" t="inlineStr">
        <is>
          <t>Rua Deputado Luiz Gonzaga Coutinho, 125 - Jatiúca, Maceió - AL, 57036-110, Brasil</t>
        </is>
      </c>
      <c r="L31" s="4" t="inlineStr">
        <is>
          <t>Maceió</t>
        </is>
      </c>
      <c r="M31" s="5" t="n">
        <v>1</v>
      </c>
    </row>
    <row r="32">
      <c r="A32" s="3">
        <f>RAND()</f>
        <v/>
      </c>
      <c r="B32" s="4" t="inlineStr">
        <is>
          <t>ChIJ0UnfCd9FAQcRp1aI_6g-sjw</t>
        </is>
      </c>
      <c r="C32" s="4" t="inlineStr">
        <is>
          <t>Amostradinho Petiscaria</t>
        </is>
      </c>
      <c r="D32" s="4" t="inlineStr">
        <is>
          <t>Maceió</t>
        </is>
      </c>
      <c r="E32" s="4" t="inlineStr">
        <is>
          <t>AL</t>
        </is>
      </c>
      <c r="F32" s="4" t="inlineStr">
        <is>
          <t>Capitais Regionais A</t>
        </is>
      </c>
      <c r="G32" s="4" t="inlineStr">
        <is>
          <t>Capital regional</t>
        </is>
      </c>
      <c r="H32" s="5">
        <f>IF(G32="fora do recorte","",SUMPRODUCT(($G$3:$G$1723=G32)*($A$3:$A$1723&lt;=A32)))</f>
        <v/>
      </c>
      <c r="I32" s="4">
        <f>IF(H32="","",G32&amp;"|"&amp;H32)</f>
        <v/>
      </c>
      <c r="J32" s="4" t="inlineStr">
        <is>
          <t>https://www.google.com/maps/search/?api=1&amp;query=Amostradinho%20Petiscaria&amp;query_place_id=ChIJ0UnfCd9FAQcRp1aI_6g-sjw</t>
        </is>
      </c>
      <c r="K32" s="4" t="inlineStr">
        <is>
          <t>R. José Cabral Acioli, 262 - Jatiúca, Maceió - AL, 57035-677, Brasil</t>
        </is>
      </c>
      <c r="L32" s="4" t="inlineStr">
        <is>
          <t>Maceió</t>
        </is>
      </c>
      <c r="M32" s="5" t="n">
        <v>1</v>
      </c>
    </row>
    <row r="33">
      <c r="A33" s="3">
        <f>RAND()</f>
        <v/>
      </c>
      <c r="B33" s="4" t="inlineStr">
        <is>
          <t>ChIJKR4CBMVJAQcRCWkNZFf5weI</t>
        </is>
      </c>
      <c r="C33" s="4" t="inlineStr">
        <is>
          <t>Arcade XP AL</t>
        </is>
      </c>
      <c r="D33" s="4" t="inlineStr">
        <is>
          <t>Maceió</t>
        </is>
      </c>
      <c r="E33" s="4" t="inlineStr">
        <is>
          <t>AL</t>
        </is>
      </c>
      <c r="F33" s="4" t="inlineStr">
        <is>
          <t>Capitais Regionais A</t>
        </is>
      </c>
      <c r="G33" s="4" t="inlineStr">
        <is>
          <t>Capital regional</t>
        </is>
      </c>
      <c r="H33" s="5">
        <f>IF(G33="fora do recorte","",SUMPRODUCT(($G$3:$G$1723=G33)*($A$3:$A$1723&lt;=A33)))</f>
        <v/>
      </c>
      <c r="I33" s="4">
        <f>IF(H33="","",G33&amp;"|"&amp;H33)</f>
        <v/>
      </c>
      <c r="J33" s="4" t="inlineStr">
        <is>
          <t>https://www.google.com/maps/search/?api=1&amp;query=Arcade%20XP%20AL&amp;query_place_id=ChIJKR4CBMVJAQcRCWkNZFf5weI</t>
        </is>
      </c>
      <c r="K33" s="4" t="inlineStr">
        <is>
          <t>Av. Menino Marcelo, 3800 - Cidade Universitária, Maceió - AL, 57073-900, Brasil</t>
        </is>
      </c>
      <c r="L33" s="4" t="inlineStr">
        <is>
          <t>Maceió</t>
        </is>
      </c>
      <c r="M33" s="5" t="n">
        <v>1</v>
      </c>
    </row>
    <row r="34">
      <c r="A34" s="3">
        <f>RAND()</f>
        <v/>
      </c>
      <c r="B34" s="4" t="inlineStr">
        <is>
          <t>ChIJY6JdnnlFAQcRmACLHD2xHfk</t>
        </is>
      </c>
      <c r="C34" s="4" t="inlineStr">
        <is>
          <t>Atacadao</t>
        </is>
      </c>
      <c r="D34" s="4" t="inlineStr">
        <is>
          <t>Maceió</t>
        </is>
      </c>
      <c r="E34" s="4" t="inlineStr">
        <is>
          <t>AL</t>
        </is>
      </c>
      <c r="F34" s="4" t="inlineStr">
        <is>
          <t>Capitais Regionais A</t>
        </is>
      </c>
      <c r="G34" s="4" t="inlineStr">
        <is>
          <t>Capital regional</t>
        </is>
      </c>
      <c r="H34" s="5">
        <f>IF(G34="fora do recorte","",SUMPRODUCT(($G$3:$G$1723=G34)*($A$3:$A$1723&lt;=A34)))</f>
        <v/>
      </c>
      <c r="I34" s="4">
        <f>IF(H34="","",G34&amp;"|"&amp;H34)</f>
        <v/>
      </c>
      <c r="J34" s="4" t="inlineStr">
        <is>
          <t>https://www.google.com/maps/search/?api=1&amp;query=Atacadao&amp;query_place_id=ChIJY6JdnnlFAQcRmACLHD2xHfk</t>
        </is>
      </c>
      <c r="K34" s="4" t="inlineStr">
        <is>
          <t>R. Barão de Atalaia, 324 B - Poço, Maceió - AL, 57020-510, Brasil</t>
        </is>
      </c>
      <c r="L34" s="4" t="inlineStr">
        <is>
          <t>Maceió</t>
        </is>
      </c>
      <c r="M34" s="5" t="n">
        <v>3</v>
      </c>
    </row>
    <row r="35">
      <c r="A35" s="3">
        <f>RAND()</f>
        <v/>
      </c>
      <c r="B35" s="4" t="inlineStr">
        <is>
          <t>ChIJDXFDTH5FAQcRQj00dGQCNyo</t>
        </is>
      </c>
      <c r="C35" s="4" t="inlineStr">
        <is>
          <t>Atacadão Boa Vista</t>
        </is>
      </c>
      <c r="D35" s="4" t="inlineStr">
        <is>
          <t>Maceió</t>
        </is>
      </c>
      <c r="E35" s="4" t="inlineStr">
        <is>
          <t>AL</t>
        </is>
      </c>
      <c r="F35" s="4" t="inlineStr">
        <is>
          <t>Capitais Regionais A</t>
        </is>
      </c>
      <c r="G35" s="4" t="inlineStr">
        <is>
          <t>Capital regional</t>
        </is>
      </c>
      <c r="H35" s="5">
        <f>IF(G35="fora do recorte","",SUMPRODUCT(($G$3:$G$1723=G35)*($A$3:$A$1723&lt;=A35)))</f>
        <v/>
      </c>
      <c r="I35" s="4">
        <f>IF(H35="","",G35&amp;"|"&amp;H35)</f>
        <v/>
      </c>
      <c r="J35" s="4" t="inlineStr">
        <is>
          <t>https://www.google.com/maps/search/?api=1&amp;query=Atacad%C3%A3o%20Boa%20Vista&amp;query_place_id=ChIJDXFDTH5FAQcRQj00dGQCNyo</t>
        </is>
      </c>
      <c r="K35" s="4" t="inlineStr">
        <is>
          <t>R. Boa Vista, 243 - Centro, Maceió - AL, 57020-110, Brasil</t>
        </is>
      </c>
      <c r="L35" s="4" t="inlineStr">
        <is>
          <t>Maceió</t>
        </is>
      </c>
      <c r="M35" s="5" t="n">
        <v>1</v>
      </c>
    </row>
    <row r="36">
      <c r="A36" s="3">
        <f>RAND()</f>
        <v/>
      </c>
      <c r="B36" s="4" t="inlineStr">
        <is>
          <t>ChIJLQLZ06VFAQcRnwRlxv3ZCco</t>
        </is>
      </c>
      <c r="C36" s="4" t="inlineStr">
        <is>
          <t>Babasom Rock Bar</t>
        </is>
      </c>
      <c r="D36" s="4" t="inlineStr">
        <is>
          <t>Maceió</t>
        </is>
      </c>
      <c r="E36" s="4" t="inlineStr">
        <is>
          <t>AL</t>
        </is>
      </c>
      <c r="F36" s="4" t="inlineStr">
        <is>
          <t>Capitais Regionais A</t>
        </is>
      </c>
      <c r="G36" s="4" t="inlineStr">
        <is>
          <t>Capital regional</t>
        </is>
      </c>
      <c r="H36" s="5">
        <f>IF(G36="fora do recorte","",SUMPRODUCT(($G$3:$G$1723=G36)*($A$3:$A$1723&lt;=A36)))</f>
        <v/>
      </c>
      <c r="I36" s="4">
        <f>IF(H36="","",G36&amp;"|"&amp;H36)</f>
        <v/>
      </c>
      <c r="J36" s="4" t="inlineStr">
        <is>
          <t>https://www.google.com/maps/search/?api=1&amp;query=Babasom%20Rock%20Bar&amp;query_place_id=ChIJLQLZ06VFAQcRnwRlxv3ZCco</t>
        </is>
      </c>
      <c r="K36" s="4" t="inlineStr">
        <is>
          <t>R. Pres. Agostinho da Silva Neves, 19 - Poço, Maceió - AL, 57025-245, Brasil</t>
        </is>
      </c>
      <c r="L36" s="4" t="inlineStr">
        <is>
          <t>Maceió</t>
        </is>
      </c>
      <c r="M36" s="5" t="n">
        <v>2</v>
      </c>
    </row>
    <row r="37">
      <c r="A37" s="3">
        <f>RAND()</f>
        <v/>
      </c>
      <c r="B37" s="4" t="inlineStr">
        <is>
          <t>ChIJMxRFUN9GAQcROREhqJLRvn4</t>
        </is>
      </c>
      <c r="C37" s="4" t="inlineStr">
        <is>
          <t>Barraca Bar Brasil</t>
        </is>
      </c>
      <c r="D37" s="4" t="inlineStr">
        <is>
          <t>Maceió</t>
        </is>
      </c>
      <c r="E37" s="4" t="inlineStr">
        <is>
          <t>AL</t>
        </is>
      </c>
      <c r="F37" s="4" t="inlineStr">
        <is>
          <t>Capitais Regionais A</t>
        </is>
      </c>
      <c r="G37" s="4" t="inlineStr">
        <is>
          <t>Capital regional</t>
        </is>
      </c>
      <c r="H37" s="5">
        <f>IF(G37="fora do recorte","",SUMPRODUCT(($G$3:$G$1723=G37)*($A$3:$A$1723&lt;=A37)))</f>
        <v/>
      </c>
      <c r="I37" s="4">
        <f>IF(H37="","",G37&amp;"|"&amp;H37)</f>
        <v/>
      </c>
      <c r="J37" s="4" t="inlineStr">
        <is>
          <t>https://www.google.com/maps/search/?api=1&amp;query=Barraca%20Bar%20Brasil&amp;query_place_id=ChIJMxRFUN9GAQcROREhqJLRvn4</t>
        </is>
      </c>
      <c r="K37" s="4" t="inlineStr">
        <is>
          <t>R. da Praia, 62 - Guaxuma, Maceió - AL, 57038-750, Brasil</t>
        </is>
      </c>
      <c r="L37" s="4" t="inlineStr">
        <is>
          <t>Maceió</t>
        </is>
      </c>
      <c r="M37" s="5" t="n">
        <v>2</v>
      </c>
    </row>
    <row r="38">
      <c r="A38" s="3">
        <f>RAND()</f>
        <v/>
      </c>
      <c r="B38" s="4" t="inlineStr">
        <is>
          <t>ChIJ05Qc1D5HAQcReP-gIxXnoC4</t>
        </is>
      </c>
      <c r="C38" s="4" t="inlineStr">
        <is>
          <t>Beta Pedagógico</t>
        </is>
      </c>
      <c r="D38" s="4" t="inlineStr">
        <is>
          <t>Maceió</t>
        </is>
      </c>
      <c r="E38" s="4" t="inlineStr">
        <is>
          <t>AL</t>
        </is>
      </c>
      <c r="F38" s="4" t="inlineStr">
        <is>
          <t>Capitais Regionais A</t>
        </is>
      </c>
      <c r="G38" s="4" t="inlineStr">
        <is>
          <t>Capital regional</t>
        </is>
      </c>
      <c r="H38" s="5">
        <f>IF(G38="fora do recorte","",SUMPRODUCT(($G$3:$G$1723=G38)*($A$3:$A$1723&lt;=A38)))</f>
        <v/>
      </c>
      <c r="I38" s="4">
        <f>IF(H38="","",G38&amp;"|"&amp;H38)</f>
        <v/>
      </c>
      <c r="J38" s="4" t="inlineStr">
        <is>
          <t>https://www.google.com/maps/search/?api=1&amp;query=Beta%20Pedag%C3%B3gico&amp;query_place_id=ChIJ05Qc1D5HAQcReP-gIxXnoC4</t>
        </is>
      </c>
      <c r="K38" s="4" t="inlineStr">
        <is>
          <t>R. Nilo Moraes Amorim, 41 - Antares, Maceió - AL, 57048-041, Brasil</t>
        </is>
      </c>
      <c r="L38" s="4" t="inlineStr">
        <is>
          <t>Maceió</t>
        </is>
      </c>
      <c r="M38" s="5" t="n">
        <v>1</v>
      </c>
    </row>
    <row r="39">
      <c r="A39" s="3">
        <f>RAND()</f>
        <v/>
      </c>
      <c r="B39" s="4" t="inlineStr">
        <is>
          <t>ChIJC24tQaxFAQcR3D9VwZ1opYA</t>
        </is>
      </c>
      <c r="C39" s="4" t="inlineStr">
        <is>
          <t>Blackout Informática e Lan House</t>
        </is>
      </c>
      <c r="D39" s="4" t="inlineStr">
        <is>
          <t>Maceió</t>
        </is>
      </c>
      <c r="E39" s="4" t="inlineStr">
        <is>
          <t>AL</t>
        </is>
      </c>
      <c r="F39" s="4" t="inlineStr">
        <is>
          <t>Capitais Regionais A</t>
        </is>
      </c>
      <c r="G39" s="4" t="inlineStr">
        <is>
          <t>Capital regional</t>
        </is>
      </c>
      <c r="H39" s="5">
        <f>IF(G39="fora do recorte","",SUMPRODUCT(($G$3:$G$1723=G39)*($A$3:$A$1723&lt;=A39)))</f>
        <v/>
      </c>
      <c r="I39" s="4">
        <f>IF(H39="","",G39&amp;"|"&amp;H39)</f>
        <v/>
      </c>
      <c r="J39" s="4" t="inlineStr">
        <is>
          <t>https://www.google.com/maps/search/?api=1&amp;query=Blackout%20Inform%C3%A1tica%20e%20Lan%20House&amp;query_place_id=ChIJC24tQaxFAQcR3D9VwZ1opYA</t>
        </is>
      </c>
      <c r="K39" s="4" t="inlineStr">
        <is>
          <t>R. Delegado Nataniel Ferreira da Silva, 102 - Poço, Maceió - AL, 57025-030, Brasil</t>
        </is>
      </c>
      <c r="L39" s="4" t="inlineStr">
        <is>
          <t>Maceió</t>
        </is>
      </c>
      <c r="M39" s="5" t="n">
        <v>1</v>
      </c>
    </row>
    <row r="40">
      <c r="A40" s="3">
        <f>RAND()</f>
        <v/>
      </c>
      <c r="B40" s="4" t="inlineStr">
        <is>
          <t>ChIJPxbr071FAQcROLAjKHLWfFs</t>
        </is>
      </c>
      <c r="C40" s="4" t="inlineStr">
        <is>
          <t>Blue Games &amp; Informática</t>
        </is>
      </c>
      <c r="D40" s="4" t="inlineStr">
        <is>
          <t>Maceió</t>
        </is>
      </c>
      <c r="E40" s="4" t="inlineStr">
        <is>
          <t>AL</t>
        </is>
      </c>
      <c r="F40" s="4" t="inlineStr">
        <is>
          <t>Capitais Regionais A</t>
        </is>
      </c>
      <c r="G40" s="4" t="inlineStr">
        <is>
          <t>Capital regional</t>
        </is>
      </c>
      <c r="H40" s="5">
        <f>IF(G40="fora do recorte","",SUMPRODUCT(($G$3:$G$1723=G40)*($A$3:$A$1723&lt;=A40)))</f>
        <v/>
      </c>
      <c r="I40" s="4">
        <f>IF(H40="","",G40&amp;"|"&amp;H40)</f>
        <v/>
      </c>
      <c r="J40" s="4" t="inlineStr">
        <is>
          <t>https://www.google.com/maps/search/?api=1&amp;query=Blue%20Games%20%26%20Inform%C3%A1tica&amp;query_place_id=ChIJPxbr071FAQcROLAjKHLWfFs</t>
        </is>
      </c>
      <c r="K40" s="4" t="inlineStr">
        <is>
          <t>R. José Cabral Acioli, n° 475 - Lj 06 - Jatiúca, Maceió - AL, 57035-677, Brasil</t>
        </is>
      </c>
      <c r="L40" s="4" t="inlineStr">
        <is>
          <t>Maceió</t>
        </is>
      </c>
      <c r="M40" s="5" t="n">
        <v>6</v>
      </c>
    </row>
    <row r="41">
      <c r="A41" s="3">
        <f>RAND()</f>
        <v/>
      </c>
      <c r="B41" s="4" t="inlineStr">
        <is>
          <t>ChIJp-dR7yJJAQcR3Zd3n8wplxA</t>
        </is>
      </c>
      <c r="C41" s="4" t="inlineStr">
        <is>
          <t>Boate Night Drinks - Cabaré</t>
        </is>
      </c>
      <c r="D41" s="4" t="inlineStr">
        <is>
          <t>Maceió</t>
        </is>
      </c>
      <c r="E41" s="4" t="inlineStr">
        <is>
          <t>AL</t>
        </is>
      </c>
      <c r="F41" s="4" t="inlineStr">
        <is>
          <t>Capitais Regionais A</t>
        </is>
      </c>
      <c r="G41" s="4" t="inlineStr">
        <is>
          <t>Capital regional</t>
        </is>
      </c>
      <c r="H41" s="5">
        <f>IF(G41="fora do recorte","",SUMPRODUCT(($G$3:$G$1723=G41)*($A$3:$A$1723&lt;=A41)))</f>
        <v/>
      </c>
      <c r="I41" s="4">
        <f>IF(H41="","",G41&amp;"|"&amp;H41)</f>
        <v/>
      </c>
      <c r="J41" s="4" t="inlineStr">
        <is>
          <t>https://www.google.com/maps/search/?api=1&amp;query=Boate%20Night%20Drinks%20-%20Cabar%C3%A9&amp;query_place_id=ChIJp-dR7yJJAQcR3Zd3n8wplxA</t>
        </is>
      </c>
      <c r="K41" s="4" t="inlineStr">
        <is>
          <t>R. Rosa Cruz, 6 - Santos Dumont, Maceió - AL, 57075-585, Brasil</t>
        </is>
      </c>
      <c r="L41" s="4" t="inlineStr">
        <is>
          <t>Maceió</t>
        </is>
      </c>
      <c r="M41" s="5" t="n">
        <v>1</v>
      </c>
    </row>
    <row r="42">
      <c r="A42" s="3">
        <f>RAND()</f>
        <v/>
      </c>
      <c r="B42" s="4" t="inlineStr">
        <is>
          <t>ChIJjyJtYo9PAQcRLo1vHfDoqFs</t>
        </is>
      </c>
      <c r="C42" s="4" t="inlineStr">
        <is>
          <t>Bombar &amp; Galeteria</t>
        </is>
      </c>
      <c r="D42" s="4" t="inlineStr">
        <is>
          <t>Maceió</t>
        </is>
      </c>
      <c r="E42" s="4" t="inlineStr">
        <is>
          <t>AL</t>
        </is>
      </c>
      <c r="F42" s="4" t="inlineStr">
        <is>
          <t>Capitais Regionais A</t>
        </is>
      </c>
      <c r="G42" s="4" t="inlineStr">
        <is>
          <t>Capital regional</t>
        </is>
      </c>
      <c r="H42" s="5">
        <f>IF(G42="fora do recorte","",SUMPRODUCT(($G$3:$G$1723=G42)*($A$3:$A$1723&lt;=A42)))</f>
        <v/>
      </c>
      <c r="I42" s="4">
        <f>IF(H42="","",G42&amp;"|"&amp;H42)</f>
        <v/>
      </c>
      <c r="J42" s="4" t="inlineStr">
        <is>
          <t>https://www.google.com/maps/search/?api=1&amp;query=Bombar%20%26%20Galeteria&amp;query_place_id=ChIJjyJtYo9PAQcRLo1vHfDoqFs</t>
        </is>
      </c>
      <c r="K42" s="4" t="inlineStr">
        <is>
          <t>R. Álvaro Marinho, 728 - Prado, Maceió - AL, 57010-050, Brasil</t>
        </is>
      </c>
      <c r="L42" s="4" t="inlineStr">
        <is>
          <t>Maceió</t>
        </is>
      </c>
      <c r="M42" s="5" t="n">
        <v>1</v>
      </c>
    </row>
    <row r="43">
      <c r="A43" s="3">
        <f>RAND()</f>
        <v/>
      </c>
      <c r="B43" s="4" t="inlineStr">
        <is>
          <t>ChIJYy1yoZNIAQcRNRKueux1Vyo</t>
        </is>
      </c>
      <c r="C43" s="4" t="inlineStr">
        <is>
          <t>Boteco Fama</t>
        </is>
      </c>
      <c r="D43" s="4" t="inlineStr">
        <is>
          <t>Maceió</t>
        </is>
      </c>
      <c r="E43" s="4" t="inlineStr">
        <is>
          <t>AL</t>
        </is>
      </c>
      <c r="F43" s="4" t="inlineStr">
        <is>
          <t>Capitais Regionais A</t>
        </is>
      </c>
      <c r="G43" s="4" t="inlineStr">
        <is>
          <t>Capital regional</t>
        </is>
      </c>
      <c r="H43" s="5">
        <f>IF(G43="fora do recorte","",SUMPRODUCT(($G$3:$G$1723=G43)*($A$3:$A$1723&lt;=A43)))</f>
        <v/>
      </c>
      <c r="I43" s="4">
        <f>IF(H43="","",G43&amp;"|"&amp;H43)</f>
        <v/>
      </c>
      <c r="J43" s="4" t="inlineStr">
        <is>
          <t>https://www.google.com/maps/search/?api=1&amp;query=Boteco%20Fama&amp;query_place_id=ChIJYy1yoZNIAQcRNRKueux1Vyo</t>
        </is>
      </c>
      <c r="K43" s="4" t="inlineStr">
        <is>
          <t>Av. Sebastião Corrêia da Rocha, 471 - Tabuleiro do Martins, Maceió - AL, 57061-410, Brasil</t>
        </is>
      </c>
      <c r="L43" s="4" t="inlineStr">
        <is>
          <t>Maceió</t>
        </is>
      </c>
      <c r="M43" s="5" t="n">
        <v>1</v>
      </c>
    </row>
    <row r="44">
      <c r="A44" s="3">
        <f>RAND()</f>
        <v/>
      </c>
      <c r="B44" s="4" t="inlineStr">
        <is>
          <t>ChIJv8fLWrpFAQcR9gefi-E5QxA</t>
        </is>
      </c>
      <c r="C44" s="4" t="inlineStr">
        <is>
          <t>Boteco da Bola | Bar e Restaurante em Maceió</t>
        </is>
      </c>
      <c r="D44" s="4" t="inlineStr">
        <is>
          <t>Maceió</t>
        </is>
      </c>
      <c r="E44" s="4" t="inlineStr">
        <is>
          <t>AL</t>
        </is>
      </c>
      <c r="F44" s="4" t="inlineStr">
        <is>
          <t>Capitais Regionais A</t>
        </is>
      </c>
      <c r="G44" s="4" t="inlineStr">
        <is>
          <t>Capital regional</t>
        </is>
      </c>
      <c r="H44" s="5">
        <f>IF(G44="fora do recorte","",SUMPRODUCT(($G$3:$G$1723=G44)*($A$3:$A$1723&lt;=A44)))</f>
        <v/>
      </c>
      <c r="I44" s="4">
        <f>IF(H44="","",G44&amp;"|"&amp;H44)</f>
        <v/>
      </c>
      <c r="J44" s="4" t="inlineStr">
        <is>
          <t>https://www.google.com/maps/search/?api=1&amp;query=Boteco%20da%20Bola%20%7C%20Bar%20e%20Restaurante%20em%20Macei%C3%B3&amp;query_place_id=ChIJv8fLWrpFAQcR9gefi-E5QxA</t>
        </is>
      </c>
      <c r="K44" s="4" t="inlineStr">
        <is>
          <t>R. Profa. Maria Esther da Costa Barros, 306 - Jatiúca, Maceió - AL, 57036-840, Brasil</t>
        </is>
      </c>
      <c r="L44" s="4" t="inlineStr">
        <is>
          <t>Maceió</t>
        </is>
      </c>
      <c r="M44" s="5" t="n">
        <v>1</v>
      </c>
    </row>
    <row r="45">
      <c r="A45" s="3">
        <f>RAND()</f>
        <v/>
      </c>
      <c r="B45" s="4" t="inlineStr">
        <is>
          <t>ChIJS8rfcspFAQcRiEwqDU3paXo</t>
        </is>
      </c>
      <c r="C45" s="4" t="inlineStr">
        <is>
          <t>Botequim da Poica</t>
        </is>
      </c>
      <c r="D45" s="4" t="inlineStr">
        <is>
          <t>Maceió</t>
        </is>
      </c>
      <c r="E45" s="4" t="inlineStr">
        <is>
          <t>AL</t>
        </is>
      </c>
      <c r="F45" s="4" t="inlineStr">
        <is>
          <t>Capitais Regionais A</t>
        </is>
      </c>
      <c r="G45" s="4" t="inlineStr">
        <is>
          <t>Capital regional</t>
        </is>
      </c>
      <c r="H45" s="5">
        <f>IF(G45="fora do recorte","",SUMPRODUCT(($G$3:$G$1723=G45)*($A$3:$A$1723&lt;=A45)))</f>
        <v/>
      </c>
      <c r="I45" s="4">
        <f>IF(H45="","",G45&amp;"|"&amp;H45)</f>
        <v/>
      </c>
      <c r="J45" s="4" t="inlineStr">
        <is>
          <t>https://www.google.com/maps/search/?api=1&amp;query=Botequim%20da%20Poica&amp;query_place_id=ChIJS8rfcspFAQcRiEwqDU3paXo</t>
        </is>
      </c>
      <c r="K45" s="4" t="inlineStr">
        <is>
          <t>R. Sen. Rui Palmeira, 34 - Ponta Verde, Maceió - AL, 57035-250, Brasil</t>
        </is>
      </c>
      <c r="L45" s="4" t="inlineStr">
        <is>
          <t>Maceió</t>
        </is>
      </c>
      <c r="M45" s="5" t="n">
        <v>1</v>
      </c>
    </row>
    <row r="46">
      <c r="A46" s="3">
        <f>RAND()</f>
        <v/>
      </c>
      <c r="B46" s="4" t="inlineStr">
        <is>
          <t>ChIJEfaZjehHAQcR2k1ZOn1NkyM</t>
        </is>
      </c>
      <c r="C46" s="4" t="inlineStr">
        <is>
          <t>Brincadeira de criança - Aluguel de brinquedos</t>
        </is>
      </c>
      <c r="D46" s="4" t="inlineStr">
        <is>
          <t>Maceió</t>
        </is>
      </c>
      <c r="E46" s="4" t="inlineStr">
        <is>
          <t>AL</t>
        </is>
      </c>
      <c r="F46" s="4" t="inlineStr">
        <is>
          <t>Capitais Regionais A</t>
        </is>
      </c>
      <c r="G46" s="4" t="inlineStr">
        <is>
          <t>Capital regional</t>
        </is>
      </c>
      <c r="H46" s="5">
        <f>IF(G46="fora do recorte","",SUMPRODUCT(($G$3:$G$1723=G46)*($A$3:$A$1723&lt;=A46)))</f>
        <v/>
      </c>
      <c r="I46" s="4">
        <f>IF(H46="","",G46&amp;"|"&amp;H46)</f>
        <v/>
      </c>
      <c r="J46" s="4" t="inlineStr">
        <is>
          <t>https://www.google.com/maps/search/?api=1&amp;query=Brincadeira%20de%20crian%C3%A7a%20-%20Aluguel%20de%20brinquedos&amp;query_place_id=ChIJEfaZjehHAQcR2k1ZOn1NkyM</t>
        </is>
      </c>
      <c r="K46" s="4" t="inlineStr">
        <is>
          <t>R. Olavo Bilac - São Jorge, Maceió - AL, 57025-650, Brasil</t>
        </is>
      </c>
      <c r="L46" s="4" t="inlineStr">
        <is>
          <t>Maceió</t>
        </is>
      </c>
      <c r="M46" s="5" t="n">
        <v>1</v>
      </c>
    </row>
    <row r="47">
      <c r="A47" s="3">
        <f>RAND()</f>
        <v/>
      </c>
      <c r="B47" s="4" t="inlineStr">
        <is>
          <t>ChIJoXOYsrxFAQcR_AYapa5hV8k</t>
        </is>
      </c>
      <c r="C47" s="4" t="inlineStr">
        <is>
          <t>BrinqueLazer</t>
        </is>
      </c>
      <c r="D47" s="4" t="inlineStr">
        <is>
          <t>Maceió</t>
        </is>
      </c>
      <c r="E47" s="4" t="inlineStr">
        <is>
          <t>AL</t>
        </is>
      </c>
      <c r="F47" s="4" t="inlineStr">
        <is>
          <t>Capitais Regionais A</t>
        </is>
      </c>
      <c r="G47" s="4" t="inlineStr">
        <is>
          <t>Capital regional</t>
        </is>
      </c>
      <c r="H47" s="5">
        <f>IF(G47="fora do recorte","",SUMPRODUCT(($G$3:$G$1723=G47)*($A$3:$A$1723&lt;=A47)))</f>
        <v/>
      </c>
      <c r="I47" s="4">
        <f>IF(H47="","",G47&amp;"|"&amp;H47)</f>
        <v/>
      </c>
      <c r="J47" s="4" t="inlineStr">
        <is>
          <t>https://www.google.com/maps/search/?api=1&amp;query=BrinqueLazer&amp;query_place_id=ChIJoXOYsrxFAQcR_AYapa5hV8k</t>
        </is>
      </c>
      <c r="K47" s="4" t="inlineStr">
        <is>
          <t>Av. Dr. Júlio Marques Luz, 1657 - Jatiúca, Maceió - AL, 57035-700, Brasil</t>
        </is>
      </c>
      <c r="L47" s="4" t="inlineStr">
        <is>
          <t>Maceió</t>
        </is>
      </c>
      <c r="M47" s="5" t="n">
        <v>4</v>
      </c>
    </row>
    <row r="48">
      <c r="A48" s="3">
        <f>RAND()</f>
        <v/>
      </c>
      <c r="B48" s="4" t="inlineStr">
        <is>
          <t>ChIJG9OXnepFAQcRrkVLt1ivtFE</t>
        </is>
      </c>
      <c r="C48" s="4" t="inlineStr">
        <is>
          <t>Brinquedolandia</t>
        </is>
      </c>
      <c r="D48" s="4" t="inlineStr">
        <is>
          <t>Maceió</t>
        </is>
      </c>
      <c r="E48" s="4" t="inlineStr">
        <is>
          <t>AL</t>
        </is>
      </c>
      <c r="F48" s="4" t="inlineStr">
        <is>
          <t>Capitais Regionais A</t>
        </is>
      </c>
      <c r="G48" s="4" t="inlineStr">
        <is>
          <t>Capital regional</t>
        </is>
      </c>
      <c r="H48" s="5">
        <f>IF(G48="fora do recorte","",SUMPRODUCT(($G$3:$G$1723=G48)*($A$3:$A$1723&lt;=A48)))</f>
        <v/>
      </c>
      <c r="I48" s="4">
        <f>IF(H48="","",G48&amp;"|"&amp;H48)</f>
        <v/>
      </c>
      <c r="J48" s="4" t="inlineStr">
        <is>
          <t>https://www.google.com/maps/search/?api=1&amp;query=Brinquedolandia&amp;query_place_id=ChIJG9OXnepFAQcRrkVLt1ivtFE</t>
        </is>
      </c>
      <c r="K48" s="4" t="inlineStr">
        <is>
          <t>Av. Silvio Carlos Viana, 634 - Ponta Verde, Maceió - AL, 57035-160, Brasil</t>
        </is>
      </c>
      <c r="L48" s="4" t="inlineStr">
        <is>
          <t>Maceió</t>
        </is>
      </c>
      <c r="M48" s="5" t="n">
        <v>1</v>
      </c>
    </row>
    <row r="49">
      <c r="A49" s="3">
        <f>RAND()</f>
        <v/>
      </c>
      <c r="B49" s="4" t="inlineStr">
        <is>
          <t>ChIJzy7aZ3pFAQcRPpJiEcMgEGM</t>
        </is>
      </c>
      <c r="C49" s="4" t="inlineStr">
        <is>
          <t>Casa Kids Brinquedoteca</t>
        </is>
      </c>
      <c r="D49" s="4" t="inlineStr">
        <is>
          <t>Maceió</t>
        </is>
      </c>
      <c r="E49" s="4" t="inlineStr">
        <is>
          <t>AL</t>
        </is>
      </c>
      <c r="F49" s="4" t="inlineStr">
        <is>
          <t>Capitais Regionais A</t>
        </is>
      </c>
      <c r="G49" s="4" t="inlineStr">
        <is>
          <t>Capital regional</t>
        </is>
      </c>
      <c r="H49" s="5">
        <f>IF(G49="fora do recorte","",SUMPRODUCT(($G$3:$G$1723=G49)*($A$3:$A$1723&lt;=A49)))</f>
        <v/>
      </c>
      <c r="I49" s="4">
        <f>IF(H49="","",G49&amp;"|"&amp;H49)</f>
        <v/>
      </c>
      <c r="J49" s="4" t="inlineStr">
        <is>
          <t>https://www.google.com/maps/search/?api=1&amp;query=Casa%20Kids%20Brinquedoteca&amp;query_place_id=ChIJzy7aZ3pFAQcRPpJiEcMgEGM</t>
        </is>
      </c>
      <c r="K49" s="4" t="inlineStr">
        <is>
          <t>Rua Paulina Maria de Mendonça, nº 303 - Mangabeiras, Maceió - AL, 57035-557, Brasil</t>
        </is>
      </c>
      <c r="L49" s="4" t="inlineStr">
        <is>
          <t>Maceió</t>
        </is>
      </c>
      <c r="M49" s="5" t="n">
        <v>1</v>
      </c>
    </row>
    <row r="50">
      <c r="A50" s="3">
        <f>RAND()</f>
        <v/>
      </c>
      <c r="B50" s="4" t="inlineStr">
        <is>
          <t>ChIJHa_Z51lIAQcRFmRsEsFgfg4</t>
        </is>
      </c>
      <c r="C50" s="4" t="inlineStr">
        <is>
          <t>Casa Loterica Zebrinha</t>
        </is>
      </c>
      <c r="D50" s="4" t="inlineStr">
        <is>
          <t>Maceió</t>
        </is>
      </c>
      <c r="E50" s="4" t="inlineStr">
        <is>
          <t>AL</t>
        </is>
      </c>
      <c r="F50" s="4" t="inlineStr">
        <is>
          <t>Capitais Regionais A</t>
        </is>
      </c>
      <c r="G50" s="4" t="inlineStr">
        <is>
          <t>Capital regional</t>
        </is>
      </c>
      <c r="H50" s="5">
        <f>IF(G50="fora do recorte","",SUMPRODUCT(($G$3:$G$1723=G50)*($A$3:$A$1723&lt;=A50)))</f>
        <v/>
      </c>
      <c r="I50" s="4">
        <f>IF(H50="","",G50&amp;"|"&amp;H50)</f>
        <v/>
      </c>
      <c r="J50" s="4" t="inlineStr">
        <is>
          <t>https://www.google.com/maps/search/?api=1&amp;query=Casa%20Loterica%20Zebrinha&amp;query_place_id=ChIJHa_Z51lIAQcRFmRsEsFgfg4</t>
        </is>
      </c>
      <c r="K50" s="4" t="inlineStr">
        <is>
          <t>Rua Dr. Eurico Ayres, 35 - Tabuleiro do Martins, Maceió - AL, 57061-050, Brasil</t>
        </is>
      </c>
      <c r="L50" s="4" t="inlineStr">
        <is>
          <t>Maceió</t>
        </is>
      </c>
      <c r="M50" s="5" t="n">
        <v>1</v>
      </c>
    </row>
    <row r="51">
      <c r="A51" s="3">
        <f>RAND()</f>
        <v/>
      </c>
      <c r="B51" s="4" t="inlineStr">
        <is>
          <t>ChIJzf0e5GdFAQcRfkS0E5O8q2A</t>
        </is>
      </c>
      <c r="C51" s="4" t="inlineStr">
        <is>
          <t>Casa da cultura Nerd</t>
        </is>
      </c>
      <c r="D51" s="4" t="inlineStr">
        <is>
          <t>Maceió</t>
        </is>
      </c>
      <c r="E51" s="4" t="inlineStr">
        <is>
          <t>AL</t>
        </is>
      </c>
      <c r="F51" s="4" t="inlineStr">
        <is>
          <t>Capitais Regionais A</t>
        </is>
      </c>
      <c r="G51" s="4" t="inlineStr">
        <is>
          <t>Capital regional</t>
        </is>
      </c>
      <c r="H51" s="5">
        <f>IF(G51="fora do recorte","",SUMPRODUCT(($G$3:$G$1723=G51)*($A$3:$A$1723&lt;=A51)))</f>
        <v/>
      </c>
      <c r="I51" s="4">
        <f>IF(H51="","",G51&amp;"|"&amp;H51)</f>
        <v/>
      </c>
      <c r="J51" s="4" t="inlineStr">
        <is>
          <t>https://www.google.com/maps/search/?api=1&amp;query=Casa%20da%20cultura%20Nerd&amp;query_place_id=ChIJzf0e5GdFAQcRfkS0E5O8q2A</t>
        </is>
      </c>
      <c r="K51" s="4" t="inlineStr">
        <is>
          <t>R. Santos Pacheco, 28A - Centro, Maceió - AL, 57020-290, Brasil</t>
        </is>
      </c>
      <c r="L51" s="4" t="inlineStr">
        <is>
          <t>Maceió</t>
        </is>
      </c>
      <c r="M51" s="5" t="n">
        <v>1</v>
      </c>
    </row>
    <row r="52">
      <c r="A52" s="3">
        <f>RAND()</f>
        <v/>
      </c>
      <c r="B52" s="4" t="inlineStr">
        <is>
          <t>ChIJhx1Q-qlFAQcRGzL7mShoJHk</t>
        </is>
      </c>
      <c r="C52" s="4" t="inlineStr">
        <is>
          <t>Clube do Pirata</t>
        </is>
      </c>
      <c r="D52" s="4" t="inlineStr">
        <is>
          <t>Maceió</t>
        </is>
      </c>
      <c r="E52" s="4" t="inlineStr">
        <is>
          <t>AL</t>
        </is>
      </c>
      <c r="F52" s="4" t="inlineStr">
        <is>
          <t>Capitais Regionais A</t>
        </is>
      </c>
      <c r="G52" s="4" t="inlineStr">
        <is>
          <t>Capital regional</t>
        </is>
      </c>
      <c r="H52" s="5">
        <f>IF(G52="fora do recorte","",SUMPRODUCT(($G$3:$G$1723=G52)*($A$3:$A$1723&lt;=A52)))</f>
        <v/>
      </c>
      <c r="I52" s="4">
        <f>IF(H52="","",G52&amp;"|"&amp;H52)</f>
        <v/>
      </c>
      <c r="J52" s="4" t="inlineStr">
        <is>
          <t>https://www.google.com/maps/search/?api=1&amp;query=Clube%20do%20Pirata&amp;query_place_id=ChIJhx1Q-qlFAQcRGzL7mShoJHk</t>
        </is>
      </c>
      <c r="K52" s="4" t="inlineStr">
        <is>
          <t>Av. Silvio Carlos Viana, 28 - Ponta Verde, Maceió - AL, 57035-160, Brasil</t>
        </is>
      </c>
      <c r="L52" s="4" t="inlineStr">
        <is>
          <t>Maceió</t>
        </is>
      </c>
      <c r="M52" s="5" t="n">
        <v>1</v>
      </c>
    </row>
    <row r="53">
      <c r="A53" s="3">
        <f>RAND()</f>
        <v/>
      </c>
      <c r="B53" s="4" t="inlineStr">
        <is>
          <t>ChIJL6JzyLZFAQcRIkqx0kVHb0g</t>
        </is>
      </c>
      <c r="C53" s="4" t="inlineStr">
        <is>
          <t>Conversa Botequim</t>
        </is>
      </c>
      <c r="D53" s="4" t="inlineStr">
        <is>
          <t>Maceió</t>
        </is>
      </c>
      <c r="E53" s="4" t="inlineStr">
        <is>
          <t>AL</t>
        </is>
      </c>
      <c r="F53" s="4" t="inlineStr">
        <is>
          <t>Capitais Regionais A</t>
        </is>
      </c>
      <c r="G53" s="4" t="inlineStr">
        <is>
          <t>Capital regional</t>
        </is>
      </c>
      <c r="H53" s="5">
        <f>IF(G53="fora do recorte","",SUMPRODUCT(($G$3:$G$1723=G53)*($A$3:$A$1723&lt;=A53)))</f>
        <v/>
      </c>
      <c r="I53" s="4">
        <f>IF(H53="","",G53&amp;"|"&amp;H53)</f>
        <v/>
      </c>
      <c r="J53" s="4" t="inlineStr">
        <is>
          <t>https://www.google.com/maps/search/?api=1&amp;query=Conversa%20Botequim&amp;query_place_id=ChIJL6JzyLZFAQcRIkqx0kVHb0g</t>
        </is>
      </c>
      <c r="K53" s="4" t="inlineStr">
        <is>
          <t>Av. Empresário Carlos da Silva Nogueira, 334 - Jatiúca, Maceió - AL, 57036-540, Brasil</t>
        </is>
      </c>
      <c r="L53" s="4" t="inlineStr">
        <is>
          <t>Maceió</t>
        </is>
      </c>
      <c r="M53" s="5" t="n">
        <v>1</v>
      </c>
    </row>
    <row r="54">
      <c r="A54" s="3">
        <f>RAND()</f>
        <v/>
      </c>
      <c r="B54" s="4" t="inlineStr">
        <is>
          <t>ChIJZ4TBj5NFAQcRJjXB1Dh2VE0</t>
        </is>
      </c>
      <c r="C54" s="4" t="inlineStr">
        <is>
          <t>DKPA</t>
        </is>
      </c>
      <c r="D54" s="4" t="inlineStr">
        <is>
          <t>Maceió</t>
        </is>
      </c>
      <c r="E54" s="4" t="inlineStr">
        <is>
          <t>AL</t>
        </is>
      </c>
      <c r="F54" s="4" t="inlineStr">
        <is>
          <t>Capitais Regionais A</t>
        </is>
      </c>
      <c r="G54" s="4" t="inlineStr">
        <is>
          <t>Capital regional</t>
        </is>
      </c>
      <c r="H54" s="5">
        <f>IF(G54="fora do recorte","",SUMPRODUCT(($G$3:$G$1723=G54)*($A$3:$A$1723&lt;=A54)))</f>
        <v/>
      </c>
      <c r="I54" s="4">
        <f>IF(H54="","",G54&amp;"|"&amp;H54)</f>
        <v/>
      </c>
      <c r="J54" s="4" t="inlineStr">
        <is>
          <t>https://www.google.com/maps/search/?api=1&amp;query=DKPA&amp;query_place_id=ChIJZ4TBj5NFAQcRJjXB1Dh2VE0</t>
        </is>
      </c>
      <c r="K54" s="4" t="inlineStr">
        <is>
          <t>Centro, Maceió - AL, 57020-070, Brasil</t>
        </is>
      </c>
      <c r="L54" s="4" t="inlineStr">
        <is>
          <t>Maceió</t>
        </is>
      </c>
      <c r="M54" s="5" t="n">
        <v>1</v>
      </c>
    </row>
    <row r="55">
      <c r="A55" s="3">
        <f>RAND()</f>
        <v/>
      </c>
      <c r="B55" s="4" t="inlineStr">
        <is>
          <t>ChIJ_12HTYdPAQcRHgk1LSYJNy4</t>
        </is>
      </c>
      <c r="C55" s="4" t="inlineStr">
        <is>
          <t>Daniel Games</t>
        </is>
      </c>
      <c r="D55" s="4" t="inlineStr">
        <is>
          <t>Maceió</t>
        </is>
      </c>
      <c r="E55" s="4" t="inlineStr">
        <is>
          <t>AL</t>
        </is>
      </c>
      <c r="F55" s="4" t="inlineStr">
        <is>
          <t>Capitais Regionais A</t>
        </is>
      </c>
      <c r="G55" s="4" t="inlineStr">
        <is>
          <t>Capital regional</t>
        </is>
      </c>
      <c r="H55" s="5">
        <f>IF(G55="fora do recorte","",SUMPRODUCT(($G$3:$G$1723=G55)*($A$3:$A$1723&lt;=A55)))</f>
        <v/>
      </c>
      <c r="I55" s="4">
        <f>IF(H55="","",G55&amp;"|"&amp;H55)</f>
        <v/>
      </c>
      <c r="J55" s="4" t="inlineStr">
        <is>
          <t>https://www.google.com/maps/search/?api=1&amp;query=Daniel%20Games&amp;query_place_id=ChIJ_12HTYdPAQcRHgk1LSYJNy4</t>
        </is>
      </c>
      <c r="K55" s="4" t="inlineStr">
        <is>
          <t>Rua do Livramento, 180 - Centro, Maceió - AL, 57020-030, Brasil</t>
        </is>
      </c>
      <c r="L55" s="4" t="inlineStr">
        <is>
          <t>Maceió</t>
        </is>
      </c>
      <c r="M55" s="5" t="n">
        <v>1</v>
      </c>
    </row>
    <row r="56">
      <c r="A56" s="3">
        <f>RAND()</f>
        <v/>
      </c>
      <c r="B56" s="4" t="inlineStr">
        <is>
          <t>ChIJw-doo6hHAQcRoGALoSReksg</t>
        </is>
      </c>
      <c r="C56" s="4" t="inlineStr">
        <is>
          <t>Distrito Sport Bar</t>
        </is>
      </c>
      <c r="D56" s="4" t="inlineStr">
        <is>
          <t>Maceió</t>
        </is>
      </c>
      <c r="E56" s="4" t="inlineStr">
        <is>
          <t>AL</t>
        </is>
      </c>
      <c r="F56" s="4" t="inlineStr">
        <is>
          <t>Capitais Regionais A</t>
        </is>
      </c>
      <c r="G56" s="4" t="inlineStr">
        <is>
          <t>Capital regional</t>
        </is>
      </c>
      <c r="H56" s="5">
        <f>IF(G56="fora do recorte","",SUMPRODUCT(($G$3:$G$1723=G56)*($A$3:$A$1723&lt;=A56)))</f>
        <v/>
      </c>
      <c r="I56" s="4">
        <f>IF(H56="","",G56&amp;"|"&amp;H56)</f>
        <v/>
      </c>
      <c r="J56" s="4" t="inlineStr">
        <is>
          <t>https://www.google.com/maps/search/?api=1&amp;query=Distrito%20Sport%20Bar&amp;query_place_id=ChIJw-doo6hHAQcRoGALoSReksg</t>
        </is>
      </c>
      <c r="K56" s="4" t="inlineStr">
        <is>
          <t>R. Lourival de Águiar Pessoa, 393 - B - Serraria, Maceió - AL, 57046-770, Brasil</t>
        </is>
      </c>
      <c r="L56" s="4" t="inlineStr">
        <is>
          <t>Maceió</t>
        </is>
      </c>
      <c r="M56" s="5" t="n">
        <v>1</v>
      </c>
    </row>
    <row r="57">
      <c r="A57" s="3">
        <f>RAND()</f>
        <v/>
      </c>
      <c r="B57" s="4" t="inlineStr">
        <is>
          <t>ChIJOcN4oDFFAQcRp-WhVJN7cKQ</t>
        </is>
      </c>
      <c r="C57" s="4" t="inlineStr">
        <is>
          <t>Divert Kids - Creche Escola</t>
        </is>
      </c>
      <c r="D57" s="4" t="inlineStr">
        <is>
          <t>Maceió</t>
        </is>
      </c>
      <c r="E57" s="4" t="inlineStr">
        <is>
          <t>AL</t>
        </is>
      </c>
      <c r="F57" s="4" t="inlineStr">
        <is>
          <t>Capitais Regionais A</t>
        </is>
      </c>
      <c r="G57" s="4" t="inlineStr">
        <is>
          <t>Capital regional</t>
        </is>
      </c>
      <c r="H57" s="5">
        <f>IF(G57="fora do recorte","",SUMPRODUCT(($G$3:$G$1723=G57)*($A$3:$A$1723&lt;=A57)))</f>
        <v/>
      </c>
      <c r="I57" s="4">
        <f>IF(H57="","",G57&amp;"|"&amp;H57)</f>
        <v/>
      </c>
      <c r="J57" s="4" t="inlineStr">
        <is>
          <t>https://www.google.com/maps/search/?api=1&amp;query=Divert%20Kids%20-%20Creche%20Escola&amp;query_place_id=ChIJOcN4oDFFAQcRp-WhVJN7cKQ</t>
        </is>
      </c>
      <c r="K57" s="4" t="inlineStr">
        <is>
          <t>R. Pedro Américo, 1076 - Poço, Maceió - AL, 57030-580, Brasil</t>
        </is>
      </c>
      <c r="L57" s="4" t="inlineStr">
        <is>
          <t>Maceió</t>
        </is>
      </c>
      <c r="M57" s="5" t="n">
        <v>1</v>
      </c>
    </row>
    <row r="58">
      <c r="A58" s="3">
        <f>RAND()</f>
        <v/>
      </c>
      <c r="B58" s="4" t="inlineStr">
        <is>
          <t>ChIJbTxXJ-xIAQcRhmA-5RC2zdU</t>
        </is>
      </c>
      <c r="C58" s="4" t="inlineStr">
        <is>
          <t>Domingos Bar &amp; Churrascaria</t>
        </is>
      </c>
      <c r="D58" s="4" t="inlineStr">
        <is>
          <t>Maceió</t>
        </is>
      </c>
      <c r="E58" s="4" t="inlineStr">
        <is>
          <t>AL</t>
        </is>
      </c>
      <c r="F58" s="4" t="inlineStr">
        <is>
          <t>Capitais Regionais A</t>
        </is>
      </c>
      <c r="G58" s="4" t="inlineStr">
        <is>
          <t>Capital regional</t>
        </is>
      </c>
      <c r="H58" s="5">
        <f>IF(G58="fora do recorte","",SUMPRODUCT(($G$3:$G$1723=G58)*($A$3:$A$1723&lt;=A58)))</f>
        <v/>
      </c>
      <c r="I58" s="4">
        <f>IF(H58="","",G58&amp;"|"&amp;H58)</f>
        <v/>
      </c>
      <c r="J58" s="4" t="inlineStr">
        <is>
          <t>https://www.google.com/maps/search/?api=1&amp;query=Domingos%20Bar%20%26%20Churrascaria&amp;query_place_id=ChIJbTxXJ-xIAQcRhmA-5RC2zdU</t>
        </is>
      </c>
      <c r="K58" s="4" t="inlineStr">
        <is>
          <t>Rua Gilberto Vieria Leite, 105 - Tabuleiro do Martins, Maceió - AL, 57060-080, Brasil</t>
        </is>
      </c>
      <c r="L58" s="4" t="inlineStr">
        <is>
          <t>Maceió</t>
        </is>
      </c>
      <c r="M58" s="5" t="n">
        <v>2</v>
      </c>
    </row>
    <row r="59">
      <c r="A59" s="3">
        <f>RAND()</f>
        <v/>
      </c>
      <c r="B59" s="4" t="inlineStr">
        <is>
          <t>ChIJZxn0yQlFAQcRVb5vmSqaNOw</t>
        </is>
      </c>
      <c r="C59" s="4" t="inlineStr">
        <is>
          <t>Dona Moça Restaurante</t>
        </is>
      </c>
      <c r="D59" s="4" t="inlineStr">
        <is>
          <t>Maceió</t>
        </is>
      </c>
      <c r="E59" s="4" t="inlineStr">
        <is>
          <t>AL</t>
        </is>
      </c>
      <c r="F59" s="4" t="inlineStr">
        <is>
          <t>Capitais Regionais A</t>
        </is>
      </c>
      <c r="G59" s="4" t="inlineStr">
        <is>
          <t>Capital regional</t>
        </is>
      </c>
      <c r="H59" s="5">
        <f>IF(G59="fora do recorte","",SUMPRODUCT(($G$3:$G$1723=G59)*($A$3:$A$1723&lt;=A59)))</f>
        <v/>
      </c>
      <c r="I59" s="4">
        <f>IF(H59="","",G59&amp;"|"&amp;H59)</f>
        <v/>
      </c>
      <c r="J59" s="4" t="inlineStr">
        <is>
          <t>https://www.google.com/maps/search/?api=1&amp;query=Dona%20Mo%C3%A7a%20Restaurante&amp;query_place_id=ChIJZxn0yQlFAQcRVb5vmSqaNOw</t>
        </is>
      </c>
      <c r="K59" s="4" t="inlineStr">
        <is>
          <t>R. Júlio Plech Filho, 1300 - Ponta da Terra, Maceió - AL, 57030-540, Brasil</t>
        </is>
      </c>
      <c r="L59" s="4" t="inlineStr">
        <is>
          <t>Maceió</t>
        </is>
      </c>
      <c r="M59" s="5" t="n">
        <v>1</v>
      </c>
    </row>
    <row r="60">
      <c r="A60" s="3">
        <f>RAND()</f>
        <v/>
      </c>
      <c r="B60" s="4" t="inlineStr">
        <is>
          <t>ChIJTzXegbBFAQcRqOFAITIzAIM</t>
        </is>
      </c>
      <c r="C60" s="4" t="inlineStr">
        <is>
          <t>El Lugar Bar</t>
        </is>
      </c>
      <c r="D60" s="4" t="inlineStr">
        <is>
          <t>Maceió</t>
        </is>
      </c>
      <c r="E60" s="4" t="inlineStr">
        <is>
          <t>AL</t>
        </is>
      </c>
      <c r="F60" s="4" t="inlineStr">
        <is>
          <t>Capitais Regionais A</t>
        </is>
      </c>
      <c r="G60" s="4" t="inlineStr">
        <is>
          <t>Capital regional</t>
        </is>
      </c>
      <c r="H60" s="5">
        <f>IF(G60="fora do recorte","",SUMPRODUCT(($G$3:$G$1723=G60)*($A$3:$A$1723&lt;=A60)))</f>
        <v/>
      </c>
      <c r="I60" s="4">
        <f>IF(H60="","",G60&amp;"|"&amp;H60)</f>
        <v/>
      </c>
      <c r="J60" s="4" t="inlineStr">
        <is>
          <t>https://www.google.com/maps/search/?api=1&amp;query=El%20Lugar%20Bar&amp;query_place_id=ChIJTzXegbBFAQcRqOFAITIzAIM</t>
        </is>
      </c>
      <c r="K60" s="4" t="inlineStr">
        <is>
          <t>R. Dr. Sadi Carvalho, 05 - Jatiúca, Maceió - AL, 57036-160, Brasil</t>
        </is>
      </c>
      <c r="L60" s="4" t="inlineStr">
        <is>
          <t>Maceió</t>
        </is>
      </c>
      <c r="M60" s="5" t="n">
        <v>2</v>
      </c>
    </row>
    <row r="61">
      <c r="A61" s="3">
        <f>RAND()</f>
        <v/>
      </c>
      <c r="B61" s="4" t="inlineStr">
        <is>
          <t>ChIJVwjVEFxIAQcRmMyYF-hi56Q</t>
        </is>
      </c>
      <c r="C61" s="4" t="inlineStr">
        <is>
          <t>Encontro dos Amigos</t>
        </is>
      </c>
      <c r="D61" s="4" t="inlineStr">
        <is>
          <t>Maceió</t>
        </is>
      </c>
      <c r="E61" s="4" t="inlineStr">
        <is>
          <t>AL</t>
        </is>
      </c>
      <c r="F61" s="4" t="inlineStr">
        <is>
          <t>Capitais Regionais A</t>
        </is>
      </c>
      <c r="G61" s="4" t="inlineStr">
        <is>
          <t>Capital regional</t>
        </is>
      </c>
      <c r="H61" s="5">
        <f>IF(G61="fora do recorte","",SUMPRODUCT(($G$3:$G$1723=G61)*($A$3:$A$1723&lt;=A61)))</f>
        <v/>
      </c>
      <c r="I61" s="4">
        <f>IF(H61="","",G61&amp;"|"&amp;H61)</f>
        <v/>
      </c>
      <c r="J61" s="4" t="inlineStr">
        <is>
          <t>https://www.google.com/maps/search/?api=1&amp;query=Encontro%20dos%20Amigos&amp;query_place_id=ChIJVwjVEFxIAQcRmMyYF-hi56Q</t>
        </is>
      </c>
      <c r="K61" s="4" t="inlineStr">
        <is>
          <t>Por Trás do 5° Distrito - R. Pedrosa, 390 - Tabuleiro do Martins, Maceió - AL, 57081-510, Brasil</t>
        </is>
      </c>
      <c r="L61" s="4" t="inlineStr">
        <is>
          <t>Maceió</t>
        </is>
      </c>
      <c r="M61" s="5" t="n">
        <v>2</v>
      </c>
    </row>
    <row r="62">
      <c r="A62" s="3">
        <f>RAND()</f>
        <v/>
      </c>
      <c r="B62" s="4" t="inlineStr">
        <is>
          <t>ChIJFWfGKoVFAQcRg1XFksJceM8</t>
        </is>
      </c>
      <c r="C62" s="4" t="inlineStr">
        <is>
          <t>Estaiada Choperia &amp; Drinkeria</t>
        </is>
      </c>
      <c r="D62" s="4" t="inlineStr">
        <is>
          <t>Maceió</t>
        </is>
      </c>
      <c r="E62" s="4" t="inlineStr">
        <is>
          <t>AL</t>
        </is>
      </c>
      <c r="F62" s="4" t="inlineStr">
        <is>
          <t>Capitais Regionais A</t>
        </is>
      </c>
      <c r="G62" s="4" t="inlineStr">
        <is>
          <t>Capital regional</t>
        </is>
      </c>
      <c r="H62" s="5">
        <f>IF(G62="fora do recorte","",SUMPRODUCT(($G$3:$G$1723=G62)*($A$3:$A$1723&lt;=A62)))</f>
        <v/>
      </c>
      <c r="I62" s="4">
        <f>IF(H62="","",G62&amp;"|"&amp;H62)</f>
        <v/>
      </c>
      <c r="J62" s="4" t="inlineStr">
        <is>
          <t>https://www.google.com/maps/search/?api=1&amp;query=Estaiada%20Choperia%20%26%20Drinkeria&amp;query_place_id=ChIJFWfGKoVFAQcRg1XFksJceM8</t>
        </is>
      </c>
      <c r="K62" s="4" t="inlineStr">
        <is>
          <t>R. Sen. Rui Palmeira, 82 - Ponta Verde, Maceió - AL, 57035-250, Brasil</t>
        </is>
      </c>
      <c r="L62" s="4" t="inlineStr">
        <is>
          <t>Maceió</t>
        </is>
      </c>
      <c r="M62" s="5" t="n">
        <v>1</v>
      </c>
    </row>
    <row r="63">
      <c r="A63" s="3">
        <f>RAND()</f>
        <v/>
      </c>
      <c r="B63" s="4" t="inlineStr">
        <is>
          <t>ChIJe0EtdLFFAQcRuWhZCvcN_kk</t>
        </is>
      </c>
      <c r="C63" s="4" t="inlineStr">
        <is>
          <t>Fantástica Fábrica de Diversão - Salão de Festa e Brinquedoteca</t>
        </is>
      </c>
      <c r="D63" s="4" t="inlineStr">
        <is>
          <t>Maceió</t>
        </is>
      </c>
      <c r="E63" s="4" t="inlineStr">
        <is>
          <t>AL</t>
        </is>
      </c>
      <c r="F63" s="4" t="inlineStr">
        <is>
          <t>Capitais Regionais A</t>
        </is>
      </c>
      <c r="G63" s="4" t="inlineStr">
        <is>
          <t>Capital regional</t>
        </is>
      </c>
      <c r="H63" s="5">
        <f>IF(G63="fora do recorte","",SUMPRODUCT(($G$3:$G$1723=G63)*($A$3:$A$1723&lt;=A63)))</f>
        <v/>
      </c>
      <c r="I63" s="4">
        <f>IF(H63="","",G63&amp;"|"&amp;H63)</f>
        <v/>
      </c>
      <c r="J63" s="4" t="inlineStr">
        <is>
          <t>https://www.google.com/maps/search/?api=1&amp;query=Fant%C3%A1stica%20F%C3%A1brica%20de%20Divers%C3%A3o%20-%20Sal%C3%A3o%20de%20Festa%20e%20Brinquedoteca&amp;query_place_id=ChIJe0EtdLFFAQcRuWhZCvcN_kk</t>
        </is>
      </c>
      <c r="K63" s="4" t="inlineStr">
        <is>
          <t>Lot. Pratagy - Av. Empresário Carlos da Silva Nogueira, 648 A - quadra d 16 - Jatiúca, Maceió - AL, 57036-540, Brasil</t>
        </is>
      </c>
      <c r="L63" s="4" t="inlineStr">
        <is>
          <t>Maceió</t>
        </is>
      </c>
      <c r="M63" s="5" t="n">
        <v>1</v>
      </c>
    </row>
    <row r="64">
      <c r="A64" s="3">
        <f>RAND()</f>
        <v/>
      </c>
      <c r="B64" s="4" t="inlineStr">
        <is>
          <t>ChIJ25Hb_fNIAQcR3B7zZiGGEi8</t>
        </is>
      </c>
      <c r="C64" s="4" t="inlineStr">
        <is>
          <t>Feirinha do Tabuleiro</t>
        </is>
      </c>
      <c r="D64" s="4" t="inlineStr">
        <is>
          <t>Maceió</t>
        </is>
      </c>
      <c r="E64" s="4" t="inlineStr">
        <is>
          <t>AL</t>
        </is>
      </c>
      <c r="F64" s="4" t="inlineStr">
        <is>
          <t>Capitais Regionais A</t>
        </is>
      </c>
      <c r="G64" s="4" t="inlineStr">
        <is>
          <t>Capital regional</t>
        </is>
      </c>
      <c r="H64" s="5">
        <f>IF(G64="fora do recorte","",SUMPRODUCT(($G$3:$G$1723=G64)*($A$3:$A$1723&lt;=A64)))</f>
        <v/>
      </c>
      <c r="I64" s="4">
        <f>IF(H64="","",G64&amp;"|"&amp;H64)</f>
        <v/>
      </c>
      <c r="J64" s="4" t="inlineStr">
        <is>
          <t>https://www.google.com/maps/search/?api=1&amp;query=Feirinha%20do%20Tabuleiro&amp;query_place_id=ChIJ25Hb_fNIAQcR3B7zZiGGEi8</t>
        </is>
      </c>
      <c r="K64" s="4" t="inlineStr">
        <is>
          <t>84 - Av. Maceió, 50 - Tabuleiro do Martins, Maceió - AL, 57061-110, Brasil</t>
        </is>
      </c>
      <c r="L64" s="4" t="inlineStr">
        <is>
          <t>Maceió</t>
        </is>
      </c>
      <c r="M64" s="5" t="n">
        <v>3</v>
      </c>
    </row>
    <row r="65">
      <c r="A65" s="3">
        <f>RAND()</f>
        <v/>
      </c>
      <c r="B65" s="4" t="inlineStr">
        <is>
          <t>ChIJw6_9ovVIAQcR5EHqCEkSgC4</t>
        </is>
      </c>
      <c r="C65" s="4" t="inlineStr">
        <is>
          <t>Fire Paintball</t>
        </is>
      </c>
      <c r="D65" s="4" t="inlineStr">
        <is>
          <t>Maceió</t>
        </is>
      </c>
      <c r="E65" s="4" t="inlineStr">
        <is>
          <t>AL</t>
        </is>
      </c>
      <c r="F65" s="4" t="inlineStr">
        <is>
          <t>Capitais Regionais A</t>
        </is>
      </c>
      <c r="G65" s="4" t="inlineStr">
        <is>
          <t>Capital regional</t>
        </is>
      </c>
      <c r="H65" s="5">
        <f>IF(G65="fora do recorte","",SUMPRODUCT(($G$3:$G$1723=G65)*($A$3:$A$1723&lt;=A65)))</f>
        <v/>
      </c>
      <c r="I65" s="4">
        <f>IF(H65="","",G65&amp;"|"&amp;H65)</f>
        <v/>
      </c>
      <c r="J65" s="4" t="inlineStr">
        <is>
          <t>https://www.google.com/maps/search/?api=1&amp;query=Fire%20Paintball&amp;query_place_id=ChIJw6_9ovVIAQcR5EHqCEkSgC4</t>
        </is>
      </c>
      <c r="K65" s="4" t="inlineStr">
        <is>
          <t>Av. Durval de Góes Monteiro, 5148 - E - Tabuleiro do Martins, Maceió - AL, 57061-000, Brasil</t>
        </is>
      </c>
      <c r="L65" s="4" t="inlineStr">
        <is>
          <t>Maceió</t>
        </is>
      </c>
      <c r="M65" s="5" t="n">
        <v>2</v>
      </c>
    </row>
    <row r="66">
      <c r="A66" s="3">
        <f>RAND()</f>
        <v/>
      </c>
      <c r="B66" s="4" t="inlineStr">
        <is>
          <t>ChIJfSQNreJJAQcR6NgXUUHgDnM</t>
        </is>
      </c>
      <c r="C66" s="4" t="inlineStr">
        <is>
          <t>Fênix Games</t>
        </is>
      </c>
      <c r="D66" s="4" t="inlineStr">
        <is>
          <t>Maceió</t>
        </is>
      </c>
      <c r="E66" s="4" t="inlineStr">
        <is>
          <t>AL</t>
        </is>
      </c>
      <c r="F66" s="4" t="inlineStr">
        <is>
          <t>Capitais Regionais A</t>
        </is>
      </c>
      <c r="G66" s="4" t="inlineStr">
        <is>
          <t>Capital regional</t>
        </is>
      </c>
      <c r="H66" s="5">
        <f>IF(G66="fora do recorte","",SUMPRODUCT(($G$3:$G$1723=G66)*($A$3:$A$1723&lt;=A66)))</f>
        <v/>
      </c>
      <c r="I66" s="4">
        <f>IF(H66="","",G66&amp;"|"&amp;H66)</f>
        <v/>
      </c>
      <c r="J66" s="4" t="inlineStr">
        <is>
          <t>https://www.google.com/maps/search/?api=1&amp;query=F%C3%AAnix%20Games&amp;query_place_id=ChIJfSQNreJJAQcR6NgXUUHgDnM</t>
        </is>
      </c>
      <c r="K66" s="4" t="inlineStr">
        <is>
          <t>Feirinha do - Tabuleiro do Martins, Maceió - AL, 57061-110, Brasil</t>
        </is>
      </c>
      <c r="L66" s="4" t="inlineStr">
        <is>
          <t>Maceió</t>
        </is>
      </c>
      <c r="M66" s="5" t="n">
        <v>2</v>
      </c>
    </row>
    <row r="67">
      <c r="A67" s="3">
        <f>RAND()</f>
        <v/>
      </c>
      <c r="B67" s="4" t="inlineStr">
        <is>
          <t>ChIJA7N9Wc5FAQcRVkg5NfmQvwE</t>
        </is>
      </c>
      <c r="C67" s="4" t="inlineStr">
        <is>
          <t>Game Station - Maceió Shopping</t>
        </is>
      </c>
      <c r="D67" s="4" t="inlineStr">
        <is>
          <t>Maceió</t>
        </is>
      </c>
      <c r="E67" s="4" t="inlineStr">
        <is>
          <t>AL</t>
        </is>
      </c>
      <c r="F67" s="4" t="inlineStr">
        <is>
          <t>Capitais Regionais A</t>
        </is>
      </c>
      <c r="G67" s="4" t="inlineStr">
        <is>
          <t>Capital regional</t>
        </is>
      </c>
      <c r="H67" s="5">
        <f>IF(G67="fora do recorte","",SUMPRODUCT(($G$3:$G$1723=G67)*($A$3:$A$1723&lt;=A67)))</f>
        <v/>
      </c>
      <c r="I67" s="4">
        <f>IF(H67="","",G67&amp;"|"&amp;H67)</f>
        <v/>
      </c>
      <c r="J67" s="4" t="inlineStr">
        <is>
          <t>https://www.google.com/maps/search/?api=1&amp;query=Game%20Station%20-%20Macei%C3%B3%20Shopping&amp;query_place_id=ChIJA7N9Wc5FAQcRVkg5NfmQvwE</t>
        </is>
      </c>
      <c r="K67" s="4" t="inlineStr">
        <is>
          <t>Shopping Maceió - Av. Comendador Gustavo Paiva, 2990 - 2º Piso, Loja 277 - Mangabeiras, Maceió - AL, 57031-530, Brasil</t>
        </is>
      </c>
      <c r="L67" s="4" t="inlineStr">
        <is>
          <t>Maceió</t>
        </is>
      </c>
      <c r="M67" s="5" t="n">
        <v>1</v>
      </c>
    </row>
    <row r="68">
      <c r="A68" s="3">
        <f>RAND()</f>
        <v/>
      </c>
      <c r="B68" s="4" t="inlineStr">
        <is>
          <t>ChIJqUF-J7FFAQcRkGihIryuA2o</t>
        </is>
      </c>
      <c r="C68" s="4" t="inlineStr">
        <is>
          <t>Game Store</t>
        </is>
      </c>
      <c r="D68" s="4" t="inlineStr">
        <is>
          <t>Maceió</t>
        </is>
      </c>
      <c r="E68" s="4" t="inlineStr">
        <is>
          <t>AL</t>
        </is>
      </c>
      <c r="F68" s="4" t="inlineStr">
        <is>
          <t>Capitais Regionais A</t>
        </is>
      </c>
      <c r="G68" s="4" t="inlineStr">
        <is>
          <t>Capital regional</t>
        </is>
      </c>
      <c r="H68" s="5">
        <f>IF(G68="fora do recorte","",SUMPRODUCT(($G$3:$G$1723=G68)*($A$3:$A$1723&lt;=A68)))</f>
        <v/>
      </c>
      <c r="I68" s="4">
        <f>IF(H68="","",G68&amp;"|"&amp;H68)</f>
        <v/>
      </c>
      <c r="J68" s="4" t="inlineStr">
        <is>
          <t>https://www.google.com/maps/search/?api=1&amp;query=Game%20Store&amp;query_place_id=ChIJqUF-J7FFAQcRkGihIryuA2o</t>
        </is>
      </c>
      <c r="K68" s="4" t="inlineStr">
        <is>
          <t>R. Sen. Firmino de Vasconcelos, 784 - Ponta da Terra, Maceió - AL, 57030-680, Brasil</t>
        </is>
      </c>
      <c r="L68" s="4" t="inlineStr">
        <is>
          <t>Maceió</t>
        </is>
      </c>
      <c r="M68" s="5" t="n">
        <v>5</v>
      </c>
    </row>
    <row r="69">
      <c r="A69" s="3">
        <f>RAND()</f>
        <v/>
      </c>
      <c r="B69" s="4" t="inlineStr">
        <is>
          <t>ChIJgZEe0LZJAQcRLT0lGFQ0NtE</t>
        </is>
      </c>
      <c r="C69" s="4" t="inlineStr">
        <is>
          <t>Geeks Mcz</t>
        </is>
      </c>
      <c r="D69" s="4" t="inlineStr">
        <is>
          <t>Maceió</t>
        </is>
      </c>
      <c r="E69" s="4" t="inlineStr">
        <is>
          <t>AL</t>
        </is>
      </c>
      <c r="F69" s="4" t="inlineStr">
        <is>
          <t>Capitais Regionais A</t>
        </is>
      </c>
      <c r="G69" s="4" t="inlineStr">
        <is>
          <t>Capital regional</t>
        </is>
      </c>
      <c r="H69" s="5">
        <f>IF(G69="fora do recorte","",SUMPRODUCT(($G$3:$G$1723=G69)*($A$3:$A$1723&lt;=A69)))</f>
        <v/>
      </c>
      <c r="I69" s="4">
        <f>IF(H69="","",G69&amp;"|"&amp;H69)</f>
        <v/>
      </c>
      <c r="J69" s="4" t="inlineStr">
        <is>
          <t>https://www.google.com/maps/search/?api=1&amp;query=Geeks%20Mcz&amp;query_place_id=ChIJgZEe0LZJAQcRLT0lGFQ0NtE</t>
        </is>
      </c>
      <c r="K69" s="4" t="inlineStr">
        <is>
          <t>Av. Ver. Dário Marsíglia, 159 b - Tabuleiro do Martins, Maceió - AL, 57081-015, Brasil</t>
        </is>
      </c>
      <c r="L69" s="4" t="inlineStr">
        <is>
          <t>Maceió</t>
        </is>
      </c>
      <c r="M69" s="5" t="n">
        <v>2</v>
      </c>
    </row>
    <row r="70">
      <c r="A70" s="3">
        <f>RAND()</f>
        <v/>
      </c>
      <c r="B70" s="4" t="inlineStr">
        <is>
          <t>ChIJY9IHdwZFAQcRjhyoOb544w0</t>
        </is>
      </c>
      <c r="C70" s="4" t="inlineStr">
        <is>
          <t>Gravity PUB (Studio &amp; Karaokê)</t>
        </is>
      </c>
      <c r="D70" s="4" t="inlineStr">
        <is>
          <t>Maceió</t>
        </is>
      </c>
      <c r="E70" s="4" t="inlineStr">
        <is>
          <t>AL</t>
        </is>
      </c>
      <c r="F70" s="4" t="inlineStr">
        <is>
          <t>Capitais Regionais A</t>
        </is>
      </c>
      <c r="G70" s="4" t="inlineStr">
        <is>
          <t>Capital regional</t>
        </is>
      </c>
      <c r="H70" s="5">
        <f>IF(G70="fora do recorte","",SUMPRODUCT(($G$3:$G$1723=G70)*($A$3:$A$1723&lt;=A70)))</f>
        <v/>
      </c>
      <c r="I70" s="4">
        <f>IF(H70="","",G70&amp;"|"&amp;H70)</f>
        <v/>
      </c>
      <c r="J70" s="4" t="inlineStr">
        <is>
          <t>https://www.google.com/maps/search/?api=1&amp;query=Gravity%20PUB%20%28Studio%20%26%20Karaok%C3%AA%29&amp;query_place_id=ChIJY9IHdwZFAQcRjhyoOb544w0</t>
        </is>
      </c>
      <c r="K70" s="4" t="inlineStr">
        <is>
          <t>Av. Dom Antônio Brandão, 17 - Farol, Maceió - AL, 57051-190, Brasil</t>
        </is>
      </c>
      <c r="L70" s="4" t="inlineStr">
        <is>
          <t>Maceió</t>
        </is>
      </c>
      <c r="M70" s="5" t="n">
        <v>2</v>
      </c>
    </row>
    <row r="71">
      <c r="A71" s="3">
        <f>RAND()</f>
        <v/>
      </c>
      <c r="B71" s="4" t="inlineStr">
        <is>
          <t>ChIJVRviVQQ-AQcRORsVuGhA5tA</t>
        </is>
      </c>
      <c r="C71" s="4" t="inlineStr">
        <is>
          <t>Hibiscus Beach Club</t>
        </is>
      </c>
      <c r="D71" s="4" t="inlineStr">
        <is>
          <t>Maceió</t>
        </is>
      </c>
      <c r="E71" s="4" t="inlineStr">
        <is>
          <t>AL</t>
        </is>
      </c>
      <c r="F71" s="4" t="inlineStr">
        <is>
          <t>Capitais Regionais A</t>
        </is>
      </c>
      <c r="G71" s="4" t="inlineStr">
        <is>
          <t>Capital regional</t>
        </is>
      </c>
      <c r="H71" s="5">
        <f>IF(G71="fora do recorte","",SUMPRODUCT(($G$3:$G$1723=G71)*($A$3:$A$1723&lt;=A71)))</f>
        <v/>
      </c>
      <c r="I71" s="4">
        <f>IF(H71="","",G71&amp;"|"&amp;H71)</f>
        <v/>
      </c>
      <c r="J71" s="4" t="inlineStr">
        <is>
          <t>https://www.google.com/maps/search/?api=1&amp;query=Hibiscus%20Beach%20Club&amp;query_place_id=ChIJVRviVQQ-AQcRORsVuGhA5tA</t>
        </is>
      </c>
      <c r="K71" s="4" t="inlineStr">
        <is>
          <t>Residencial Angra de Ipioca - AL-101 - Ipioca, Maceió - AL, 57039-705, Brasil</t>
        </is>
      </c>
      <c r="L71" s="4" t="inlineStr">
        <is>
          <t>Maceió</t>
        </is>
      </c>
      <c r="M71" s="5" t="n">
        <v>1</v>
      </c>
    </row>
    <row r="72">
      <c r="A72" s="3">
        <f>RAND()</f>
        <v/>
      </c>
      <c r="B72" s="4" t="inlineStr">
        <is>
          <t>ChIJ55uPE2FFAQcRpLA-yMFn20s</t>
        </is>
      </c>
      <c r="C72" s="4" t="inlineStr">
        <is>
          <t>Hokutou</t>
        </is>
      </c>
      <c r="D72" s="4" t="inlineStr">
        <is>
          <t>Maceió</t>
        </is>
      </c>
      <c r="E72" s="4" t="inlineStr">
        <is>
          <t>AL</t>
        </is>
      </c>
      <c r="F72" s="4" t="inlineStr">
        <is>
          <t>Capitais Regionais A</t>
        </is>
      </c>
      <c r="G72" s="4" t="inlineStr">
        <is>
          <t>Capital regional</t>
        </is>
      </c>
      <c r="H72" s="5">
        <f>IF(G72="fora do recorte","",SUMPRODUCT(($G$3:$G$1723=G72)*($A$3:$A$1723&lt;=A72)))</f>
        <v/>
      </c>
      <c r="I72" s="4">
        <f>IF(H72="","",G72&amp;"|"&amp;H72)</f>
        <v/>
      </c>
      <c r="J72" s="4" t="inlineStr">
        <is>
          <t>https://www.google.com/maps/search/?api=1&amp;query=Hokutou&amp;query_place_id=ChIJ55uPE2FFAQcRpLA-yMFn20s</t>
        </is>
      </c>
      <c r="K72" s="4" t="inlineStr">
        <is>
          <t>Av. Walter Ananias, 1424 - Poço, Maceió - AL, 57025-510, Brasil</t>
        </is>
      </c>
      <c r="L72" s="4" t="inlineStr">
        <is>
          <t>Maceió</t>
        </is>
      </c>
      <c r="M72" s="5" t="n">
        <v>3</v>
      </c>
    </row>
    <row r="73">
      <c r="A73" s="3">
        <f>RAND()</f>
        <v/>
      </c>
      <c r="B73" s="4" t="inlineStr">
        <is>
          <t>ChIJ6Yn7M71FAQcRM-u_TrNWSkQ</t>
        </is>
      </c>
      <c r="C73" s="4" t="inlineStr">
        <is>
          <t>HomeVR</t>
        </is>
      </c>
      <c r="D73" s="4" t="inlineStr">
        <is>
          <t>Maceió</t>
        </is>
      </c>
      <c r="E73" s="4" t="inlineStr">
        <is>
          <t>AL</t>
        </is>
      </c>
      <c r="F73" s="4" t="inlineStr">
        <is>
          <t>Capitais Regionais A</t>
        </is>
      </c>
      <c r="G73" s="4" t="inlineStr">
        <is>
          <t>Capital regional</t>
        </is>
      </c>
      <c r="H73" s="5">
        <f>IF(G73="fora do recorte","",SUMPRODUCT(($G$3:$G$1723=G73)*($A$3:$A$1723&lt;=A73)))</f>
        <v/>
      </c>
      <c r="I73" s="4">
        <f>IF(H73="","",G73&amp;"|"&amp;H73)</f>
        <v/>
      </c>
      <c r="J73" s="4" t="inlineStr">
        <is>
          <t>https://www.google.com/maps/search/?api=1&amp;query=HomeVR&amp;query_place_id=ChIJ6Yn7M71FAQcRM-u_TrNWSkQ</t>
        </is>
      </c>
      <c r="K73" s="4" t="inlineStr">
        <is>
          <t>Av. Dr. Júlio Marques Luz, 1599 - Jatiúca, Maceió - AL, 57035-700, Brasil</t>
        </is>
      </c>
      <c r="L73" s="4" t="inlineStr">
        <is>
          <t>Maceió</t>
        </is>
      </c>
      <c r="M73" s="5" t="n">
        <v>14</v>
      </c>
    </row>
    <row r="74">
      <c r="A74" s="3">
        <f>RAND()</f>
        <v/>
      </c>
      <c r="B74" s="4" t="inlineStr">
        <is>
          <t>ChIJ-0GPaGtFAQcRrV5hGAXFnFA</t>
        </is>
      </c>
      <c r="C74" s="4" t="inlineStr">
        <is>
          <t>Jesse James</t>
        </is>
      </c>
      <c r="D74" s="4" t="inlineStr">
        <is>
          <t>Maceió</t>
        </is>
      </c>
      <c r="E74" s="4" t="inlineStr">
        <is>
          <t>AL</t>
        </is>
      </c>
      <c r="F74" s="4" t="inlineStr">
        <is>
          <t>Capitais Regionais A</t>
        </is>
      </c>
      <c r="G74" s="4" t="inlineStr">
        <is>
          <t>Capital regional</t>
        </is>
      </c>
      <c r="H74" s="5">
        <f>IF(G74="fora do recorte","",SUMPRODUCT(($G$3:$G$1723=G74)*($A$3:$A$1723&lt;=A74)))</f>
        <v/>
      </c>
      <c r="I74" s="4">
        <f>IF(H74="","",G74&amp;"|"&amp;H74)</f>
        <v/>
      </c>
      <c r="J74" s="4" t="inlineStr">
        <is>
          <t>https://www.google.com/maps/search/?api=1&amp;query=Jesse%20James&amp;query_place_id=ChIJ-0GPaGtFAQcRrV5hGAXFnFA</t>
        </is>
      </c>
      <c r="K74" s="4" t="inlineStr">
        <is>
          <t>Av. Prof. Vital Barbosa, 379 - Ponta Verde, Maceió - AL, 57035-400, Brasil</t>
        </is>
      </c>
      <c r="L74" s="4" t="inlineStr">
        <is>
          <t>Maceió</t>
        </is>
      </c>
      <c r="M74" s="5" t="n">
        <v>2</v>
      </c>
    </row>
    <row r="75">
      <c r="A75" s="3">
        <f>RAND()</f>
        <v/>
      </c>
      <c r="B75" s="4" t="inlineStr">
        <is>
          <t>ChIJAdQ97DFJAQcR4CxMsMI5Qe4</t>
        </is>
      </c>
      <c r="C75" s="4" t="inlineStr">
        <is>
          <t>Kalunga</t>
        </is>
      </c>
      <c r="D75" s="4" t="inlineStr">
        <is>
          <t>Maceió</t>
        </is>
      </c>
      <c r="E75" s="4" t="inlineStr">
        <is>
          <t>AL</t>
        </is>
      </c>
      <c r="F75" s="4" t="inlineStr">
        <is>
          <t>Capitais Regionais A</t>
        </is>
      </c>
      <c r="G75" s="4" t="inlineStr">
        <is>
          <t>Capital regional</t>
        </is>
      </c>
      <c r="H75" s="5">
        <f>IF(G75="fora do recorte","",SUMPRODUCT(($G$3:$G$1723=G75)*($A$3:$A$1723&lt;=A75)))</f>
        <v/>
      </c>
      <c r="I75" s="4">
        <f>IF(H75="","",G75&amp;"|"&amp;H75)</f>
        <v/>
      </c>
      <c r="J75" s="4" t="inlineStr">
        <is>
          <t>https://www.google.com/maps/search/?api=1&amp;query=Kalunga&amp;query_place_id=ChIJAdQ97DFJAQcR4CxMsMI5Qe4</t>
        </is>
      </c>
      <c r="K75" s="4" t="inlineStr">
        <is>
          <t>Av. Menino Marcelo, 3800 - Cidade Universitária, Maceió - AL, 57073-470, Brasil</t>
        </is>
      </c>
      <c r="L75" s="4" t="inlineStr">
        <is>
          <t>Maceió</t>
        </is>
      </c>
      <c r="M75" s="5" t="n">
        <v>2</v>
      </c>
    </row>
    <row r="76">
      <c r="A76" s="3">
        <f>RAND()</f>
        <v/>
      </c>
      <c r="B76" s="4" t="inlineStr">
        <is>
          <t>ChIJL4mbQcBFAQcRtJiMU33FNL0</t>
        </is>
      </c>
      <c r="C76" s="4" t="inlineStr">
        <is>
          <t>Kalunga</t>
        </is>
      </c>
      <c r="D76" s="4" t="inlineStr">
        <is>
          <t>Maceió</t>
        </is>
      </c>
      <c r="E76" s="4" t="inlineStr">
        <is>
          <t>AL</t>
        </is>
      </c>
      <c r="F76" s="4" t="inlineStr">
        <is>
          <t>Capitais Regionais A</t>
        </is>
      </c>
      <c r="G76" s="4" t="inlineStr">
        <is>
          <t>Capital regional</t>
        </is>
      </c>
      <c r="H76" s="5">
        <f>IF(G76="fora do recorte","",SUMPRODUCT(($G$3:$G$1723=G76)*($A$3:$A$1723&lt;=A76)))</f>
        <v/>
      </c>
      <c r="I76" s="4">
        <f>IF(H76="","",G76&amp;"|"&amp;H76)</f>
        <v/>
      </c>
      <c r="J76" s="4" t="inlineStr">
        <is>
          <t>https://www.google.com/maps/search/?api=1&amp;query=Kalunga&amp;query_place_id=ChIJL4mbQcBFAQcRtJiMU33FNL0</t>
        </is>
      </c>
      <c r="K76" s="4" t="inlineStr">
        <is>
          <t>Av. Comendador Gustavo Paiva, 5.945 Parque Shopping - Cruz das Almas, Maceió - AL, 57038-000, Brasil</t>
        </is>
      </c>
      <c r="L76" s="4" t="inlineStr">
        <is>
          <t>Maceió</t>
        </is>
      </c>
      <c r="M76" s="5" t="n">
        <v>2</v>
      </c>
    </row>
    <row r="77">
      <c r="A77" s="3">
        <f>RAND()</f>
        <v/>
      </c>
      <c r="B77" s="4" t="inlineStr">
        <is>
          <t>ChIJhxAvwPNFAQcRuvI0KbGpHGc</t>
        </is>
      </c>
      <c r="C77" s="4" t="inlineStr">
        <is>
          <t>Karlota's Festas Infantis</t>
        </is>
      </c>
      <c r="D77" s="4" t="inlineStr">
        <is>
          <t>Maceió</t>
        </is>
      </c>
      <c r="E77" s="4" t="inlineStr">
        <is>
          <t>AL</t>
        </is>
      </c>
      <c r="F77" s="4" t="inlineStr">
        <is>
          <t>Capitais Regionais A</t>
        </is>
      </c>
      <c r="G77" s="4" t="inlineStr">
        <is>
          <t>Capital regional</t>
        </is>
      </c>
      <c r="H77" s="5">
        <f>IF(G77="fora do recorte","",SUMPRODUCT(($G$3:$G$1723=G77)*($A$3:$A$1723&lt;=A77)))</f>
        <v/>
      </c>
      <c r="I77" s="4">
        <f>IF(H77="","",G77&amp;"|"&amp;H77)</f>
        <v/>
      </c>
      <c r="J77" s="4" t="inlineStr">
        <is>
          <t>https://www.google.com/maps/search/?api=1&amp;query=Karlota%27s%20Festas%20Infantis&amp;query_place_id=ChIJhxAvwPNFAQcRuvI0KbGpHGc</t>
        </is>
      </c>
      <c r="K77" s="4" t="inlineStr">
        <is>
          <t>R. Dez de Novembro, 286 - Pitanguinha, Maceió - AL, 57052-220, Brasil</t>
        </is>
      </c>
      <c r="L77" s="4" t="inlineStr">
        <is>
          <t>Maceió</t>
        </is>
      </c>
      <c r="M77" s="5" t="n">
        <v>1</v>
      </c>
    </row>
    <row r="78">
      <c r="A78" s="3">
        <f>RAND()</f>
        <v/>
      </c>
      <c r="B78" s="4" t="inlineStr">
        <is>
          <t>ChIJnzobOaVFAQcRthw3Am75yMo</t>
        </is>
      </c>
      <c r="C78" s="4" t="inlineStr">
        <is>
          <t>KidsZone Maceio</t>
        </is>
      </c>
      <c r="D78" s="4" t="inlineStr">
        <is>
          <t>Maceió</t>
        </is>
      </c>
      <c r="E78" s="4" t="inlineStr">
        <is>
          <t>AL</t>
        </is>
      </c>
      <c r="F78" s="4" t="inlineStr">
        <is>
          <t>Capitais Regionais A</t>
        </is>
      </c>
      <c r="G78" s="4" t="inlineStr">
        <is>
          <t>Capital regional</t>
        </is>
      </c>
      <c r="H78" s="5">
        <f>IF(G78="fora do recorte","",SUMPRODUCT(($G$3:$G$1723=G78)*($A$3:$A$1723&lt;=A78)))</f>
        <v/>
      </c>
      <c r="I78" s="4">
        <f>IF(H78="","",G78&amp;"|"&amp;H78)</f>
        <v/>
      </c>
      <c r="J78" s="4" t="inlineStr">
        <is>
          <t>https://www.google.com/maps/search/?api=1&amp;query=KidsZone%20Maceio&amp;query_place_id=ChIJnzobOaVFAQcRthw3Am75yMo</t>
        </is>
      </c>
      <c r="K78" s="4" t="inlineStr">
        <is>
          <t>R. Comerc. José Pontes de Magalhães, 63 - Jatiúca, Maceió - AL, 57036-250, Brasil</t>
        </is>
      </c>
      <c r="L78" s="4" t="inlineStr">
        <is>
          <t>Maceió</t>
        </is>
      </c>
      <c r="M78" s="5" t="n">
        <v>1</v>
      </c>
    </row>
    <row r="79">
      <c r="A79" s="3">
        <f>RAND()</f>
        <v/>
      </c>
      <c r="B79" s="4" t="inlineStr">
        <is>
          <t>ChIJDUoU8QlJAQcR5J807Tuy3gY</t>
        </is>
      </c>
      <c r="C79" s="4" t="inlineStr">
        <is>
          <t>Latin House Maceió</t>
        </is>
      </c>
      <c r="D79" s="4" t="inlineStr">
        <is>
          <t>Maceió</t>
        </is>
      </c>
      <c r="E79" s="4" t="inlineStr">
        <is>
          <t>AL</t>
        </is>
      </c>
      <c r="F79" s="4" t="inlineStr">
        <is>
          <t>Capitais Regionais A</t>
        </is>
      </c>
      <c r="G79" s="4" t="inlineStr">
        <is>
          <t>Capital regional</t>
        </is>
      </c>
      <c r="H79" s="5">
        <f>IF(G79="fora do recorte","",SUMPRODUCT(($G$3:$G$1723=G79)*($A$3:$A$1723&lt;=A79)))</f>
        <v/>
      </c>
      <c r="I79" s="4">
        <f>IF(H79="","",G79&amp;"|"&amp;H79)</f>
        <v/>
      </c>
      <c r="J79" s="4" t="inlineStr">
        <is>
          <t>https://www.google.com/maps/search/?api=1&amp;query=Latin%20House%20Macei%C3%B3&amp;query_place_id=ChIJDUoU8QlJAQcR5J807Tuy3gY</t>
        </is>
      </c>
      <c r="K79" s="4" t="inlineStr">
        <is>
          <t>Av. Menino Marcelo, 134 - Tabuleiro do Martins, Maceió - AL, 57081-385, Brasil</t>
        </is>
      </c>
      <c r="L79" s="4" t="inlineStr">
        <is>
          <t>Maceió</t>
        </is>
      </c>
      <c r="M79" s="5" t="n">
        <v>3</v>
      </c>
    </row>
    <row r="80">
      <c r="A80" s="3">
        <f>RAND()</f>
        <v/>
      </c>
      <c r="B80" s="4" t="inlineStr">
        <is>
          <t>ChIJIbX9jH9GAQcRct6b3MT3qGA</t>
        </is>
      </c>
      <c r="C80" s="4" t="inlineStr">
        <is>
          <t>Leitura</t>
        </is>
      </c>
      <c r="D80" s="4" t="inlineStr">
        <is>
          <t>Maceió</t>
        </is>
      </c>
      <c r="E80" s="4" t="inlineStr">
        <is>
          <t>AL</t>
        </is>
      </c>
      <c r="F80" s="4" t="inlineStr">
        <is>
          <t>Capitais Regionais A</t>
        </is>
      </c>
      <c r="G80" s="4" t="inlineStr">
        <is>
          <t>Capital regional</t>
        </is>
      </c>
      <c r="H80" s="5">
        <f>IF(G80="fora do recorte","",SUMPRODUCT(($G$3:$G$1723=G80)*($A$3:$A$1723&lt;=A80)))</f>
        <v/>
      </c>
      <c r="I80" s="4">
        <f>IF(H80="","",G80&amp;"|"&amp;H80)</f>
        <v/>
      </c>
      <c r="J80" s="4" t="inlineStr">
        <is>
          <t>https://www.google.com/maps/search/?api=1&amp;query=Leitura&amp;query_place_id=ChIJIbX9jH9GAQcRct6b3MT3qGA</t>
        </is>
      </c>
      <c r="K80" s="4" t="inlineStr">
        <is>
          <t>Av. Comendador Gustavo Paiva, 5.945 - Cruz das Almas, Maceió - AL, 57038-000, Brasil</t>
        </is>
      </c>
      <c r="L80" s="4" t="inlineStr">
        <is>
          <t>Maceió</t>
        </is>
      </c>
      <c r="M80" s="5" t="n">
        <v>3</v>
      </c>
    </row>
    <row r="81">
      <c r="A81" s="3">
        <f>RAND()</f>
        <v/>
      </c>
      <c r="B81" s="4" t="inlineStr">
        <is>
          <t>ChIJdXfavr5FAQcR6q9DZfBV3bM</t>
        </is>
      </c>
      <c r="C81" s="4" t="inlineStr">
        <is>
          <t>Livraria leitura</t>
        </is>
      </c>
      <c r="D81" s="4" t="inlineStr">
        <is>
          <t>Maceió</t>
        </is>
      </c>
      <c r="E81" s="4" t="inlineStr">
        <is>
          <t>AL</t>
        </is>
      </c>
      <c r="F81" s="4" t="inlineStr">
        <is>
          <t>Capitais Regionais A</t>
        </is>
      </c>
      <c r="G81" s="4" t="inlineStr">
        <is>
          <t>Capital regional</t>
        </is>
      </c>
      <c r="H81" s="5">
        <f>IF(G81="fora do recorte","",SUMPRODUCT(($G$3:$G$1723=G81)*($A$3:$A$1723&lt;=A81)))</f>
        <v/>
      </c>
      <c r="I81" s="4">
        <f>IF(H81="","",G81&amp;"|"&amp;H81)</f>
        <v/>
      </c>
      <c r="J81" s="4" t="inlineStr">
        <is>
          <t>https://www.google.com/maps/search/?api=1&amp;query=Livraria%20leitura&amp;query_place_id=ChIJdXfavr5FAQcR6q9DZfBV3bM</t>
        </is>
      </c>
      <c r="K81" s="4" t="inlineStr">
        <is>
          <t>Av. Comendador Gustavo Paiva, 2990 - Mangabeiras, Maceió - AL, 57031-530, Brasil</t>
        </is>
      </c>
      <c r="L81" s="4" t="inlineStr">
        <is>
          <t>Maceió</t>
        </is>
      </c>
      <c r="M81" s="5" t="n">
        <v>1</v>
      </c>
    </row>
    <row r="82">
      <c r="A82" s="3">
        <f>RAND()</f>
        <v/>
      </c>
      <c r="B82" s="4" t="inlineStr">
        <is>
          <t>ChIJ6eF2ec1FAQcRFbBMOaeT_zQ</t>
        </is>
      </c>
      <c r="C82" s="4" t="inlineStr">
        <is>
          <t>Loja Online RPG Taverna de Ferro</t>
        </is>
      </c>
      <c r="D82" s="4" t="inlineStr">
        <is>
          <t>Maceió</t>
        </is>
      </c>
      <c r="E82" s="4" t="inlineStr">
        <is>
          <t>AL</t>
        </is>
      </c>
      <c r="F82" s="4" t="inlineStr">
        <is>
          <t>Capitais Regionais A</t>
        </is>
      </c>
      <c r="G82" s="4" t="inlineStr">
        <is>
          <t>Capital regional</t>
        </is>
      </c>
      <c r="H82" s="5">
        <f>IF(G82="fora do recorte","",SUMPRODUCT(($G$3:$G$1723=G82)*($A$3:$A$1723&lt;=A82)))</f>
        <v/>
      </c>
      <c r="I82" s="4">
        <f>IF(H82="","",G82&amp;"|"&amp;H82)</f>
        <v/>
      </c>
      <c r="J82" s="4" t="inlineStr">
        <is>
          <t>https://www.google.com/maps/search/?api=1&amp;query=Loja%20Online%20RPG%20Taverna%20de%20Ferro&amp;query_place_id=ChIJ6eF2ec1FAQcRFbBMOaeT_zQ</t>
        </is>
      </c>
      <c r="K82" s="4" t="inlineStr">
        <is>
          <t>R. Rio Largo, 92 - Cruz das Almas, Maceió - AL, 57038-470, Brasil</t>
        </is>
      </c>
      <c r="L82" s="4" t="inlineStr">
        <is>
          <t>Maceió</t>
        </is>
      </c>
      <c r="M82" s="5" t="n">
        <v>1</v>
      </c>
    </row>
    <row r="83">
      <c r="A83" s="3">
        <f>RAND()</f>
        <v/>
      </c>
      <c r="B83" s="4" t="inlineStr">
        <is>
          <t>ChIJO_Cy3alFAQcR4u2an4gX-mw</t>
        </is>
      </c>
      <c r="C83" s="4" t="inlineStr">
        <is>
          <t>Lopana</t>
        </is>
      </c>
      <c r="D83" s="4" t="inlineStr">
        <is>
          <t>Maceió</t>
        </is>
      </c>
      <c r="E83" s="4" t="inlineStr">
        <is>
          <t>AL</t>
        </is>
      </c>
      <c r="F83" s="4" t="inlineStr">
        <is>
          <t>Capitais Regionais A</t>
        </is>
      </c>
      <c r="G83" s="4" t="inlineStr">
        <is>
          <t>Capital regional</t>
        </is>
      </c>
      <c r="H83" s="5">
        <f>IF(G83="fora do recorte","",SUMPRODUCT(($G$3:$G$1723=G83)*($A$3:$A$1723&lt;=A83)))</f>
        <v/>
      </c>
      <c r="I83" s="4">
        <f>IF(H83="","",G83&amp;"|"&amp;H83)</f>
        <v/>
      </c>
      <c r="J83" s="4" t="inlineStr">
        <is>
          <t>https://www.google.com/maps/search/?api=1&amp;query=Lopana&amp;query_place_id=ChIJO_Cy3alFAQcR4u2an4gX-mw</t>
        </is>
      </c>
      <c r="K83" s="4" t="inlineStr">
        <is>
          <t>Av. Silvio Carlos Viana, 27 - Ponta Verde, Maceió - AL, 57035-160, Brasil</t>
        </is>
      </c>
      <c r="L83" s="4" t="inlineStr">
        <is>
          <t>Maceió</t>
        </is>
      </c>
      <c r="M83" s="5" t="n">
        <v>1</v>
      </c>
    </row>
    <row r="84">
      <c r="A84" s="3">
        <f>RAND()</f>
        <v/>
      </c>
      <c r="B84" s="4" t="inlineStr">
        <is>
          <t>ChIJc4z0GXBFAQcRGn5YSC0gnbo</t>
        </is>
      </c>
      <c r="C84" s="4" t="inlineStr">
        <is>
          <t>Lorde Nelson Rest Pub - Bar de Metal 🤘</t>
        </is>
      </c>
      <c r="D84" s="4" t="inlineStr">
        <is>
          <t>Maceió</t>
        </is>
      </c>
      <c r="E84" s="4" t="inlineStr">
        <is>
          <t>AL</t>
        </is>
      </c>
      <c r="F84" s="4" t="inlineStr">
        <is>
          <t>Capitais Regionais A</t>
        </is>
      </c>
      <c r="G84" s="4" t="inlineStr">
        <is>
          <t>Capital regional</t>
        </is>
      </c>
      <c r="H84" s="5">
        <f>IF(G84="fora do recorte","",SUMPRODUCT(($G$3:$G$1723=G84)*($A$3:$A$1723&lt;=A84)))</f>
        <v/>
      </c>
      <c r="I84" s="4">
        <f>IF(H84="","",G84&amp;"|"&amp;H84)</f>
        <v/>
      </c>
      <c r="J84" s="4" t="inlineStr">
        <is>
          <t>https://www.google.com/maps/search/?api=1&amp;query=Lorde%20Nelson%20Rest%20Pub%20-%20Bar%20de%20Metal%20%F0%9F%A4%98&amp;query_place_id=ChIJc4z0GXBFAQcRGn5YSC0gnbo</t>
        </is>
      </c>
      <c r="K84" s="4" t="inlineStr">
        <is>
          <t>R. Silvério Jorge, 241 - Jaraguá, Maceió - AL, 57022-050, Brasil</t>
        </is>
      </c>
      <c r="L84" s="4" t="inlineStr">
        <is>
          <t>Maceió</t>
        </is>
      </c>
      <c r="M84" s="5" t="n">
        <v>3</v>
      </c>
    </row>
    <row r="85">
      <c r="A85" s="3">
        <f>RAND()</f>
        <v/>
      </c>
      <c r="B85" s="4" t="inlineStr">
        <is>
          <t>ChIJq5XJzgk3AQcR3Aumtapg7C8</t>
        </is>
      </c>
      <c r="C85" s="4" t="inlineStr">
        <is>
          <t>Ludoteco</t>
        </is>
      </c>
      <c r="D85" s="4" t="inlineStr">
        <is>
          <t>Maceió</t>
        </is>
      </c>
      <c r="E85" s="4" t="inlineStr">
        <is>
          <t>AL</t>
        </is>
      </c>
      <c r="F85" s="4" t="inlineStr">
        <is>
          <t>Capitais Regionais A</t>
        </is>
      </c>
      <c r="G85" s="4" t="inlineStr">
        <is>
          <t>Capital regional</t>
        </is>
      </c>
      <c r="H85" s="5">
        <f>IF(G85="fora do recorte","",SUMPRODUCT(($G$3:$G$1723=G85)*($A$3:$A$1723&lt;=A85)))</f>
        <v/>
      </c>
      <c r="I85" s="4">
        <f>IF(H85="","",G85&amp;"|"&amp;H85)</f>
        <v/>
      </c>
      <c r="J85" s="4" t="inlineStr">
        <is>
          <t>https://www.google.com/maps/search/?api=1&amp;query=Ludoteco&amp;query_place_id=ChIJq5XJzgk3AQcR3Aumtapg7C8</t>
        </is>
      </c>
      <c r="K85" s="4" t="inlineStr">
        <is>
          <t>Av. Frei Damião de Bozano, 310 - Cidade Universitária, Maceió - AL, 57073-610, Brasil</t>
        </is>
      </c>
      <c r="L85" s="4" t="inlineStr">
        <is>
          <t>Maceió</t>
        </is>
      </c>
      <c r="M85" s="5" t="n">
        <v>5</v>
      </c>
    </row>
    <row r="86">
      <c r="A86" s="3">
        <f>RAND()</f>
        <v/>
      </c>
      <c r="B86" s="4" t="inlineStr">
        <is>
          <t>ChIJs_8kBd85AQcRwvacwfAzcvM</t>
        </is>
      </c>
      <c r="C86" s="4" t="inlineStr">
        <is>
          <t>Lz</t>
        </is>
      </c>
      <c r="D86" s="4" t="inlineStr">
        <is>
          <t>Maceió</t>
        </is>
      </c>
      <c r="E86" s="4" t="inlineStr">
        <is>
          <t>AL</t>
        </is>
      </c>
      <c r="F86" s="4" t="inlineStr">
        <is>
          <t>Capitais Regionais A</t>
        </is>
      </c>
      <c r="G86" s="4" t="inlineStr">
        <is>
          <t>Capital regional</t>
        </is>
      </c>
      <c r="H86" s="5">
        <f>IF(G86="fora do recorte","",SUMPRODUCT(($G$3:$G$1723=G86)*($A$3:$A$1723&lt;=A86)))</f>
        <v/>
      </c>
      <c r="I86" s="4">
        <f>IF(H86="","",G86&amp;"|"&amp;H86)</f>
        <v/>
      </c>
      <c r="J86" s="4" t="inlineStr">
        <is>
          <t>https://www.google.com/maps/search/?api=1&amp;query=Lz&amp;query_place_id=ChIJs_8kBd85AQcRwvacwfAzcvM</t>
        </is>
      </c>
      <c r="K86" s="4" t="inlineStr">
        <is>
          <t>Rua Radialista Alves correia, 52 - B - Benedito Bentes, Maceió - AL, 57084-648, Brasil</t>
        </is>
      </c>
      <c r="L86" s="4" t="inlineStr">
        <is>
          <t>Maceió</t>
        </is>
      </c>
      <c r="M86" s="5" t="n">
        <v>1</v>
      </c>
    </row>
    <row r="87">
      <c r="A87" s="3">
        <f>RAND()</f>
        <v/>
      </c>
      <c r="B87" s="4" t="inlineStr">
        <is>
          <t>ChIJE4n21clFAQcR9QtjLnimTd8</t>
        </is>
      </c>
      <c r="C87" s="4" t="inlineStr">
        <is>
          <t>Maikai</t>
        </is>
      </c>
      <c r="D87" s="4" t="inlineStr">
        <is>
          <t>Maceió</t>
        </is>
      </c>
      <c r="E87" s="4" t="inlineStr">
        <is>
          <t>AL</t>
        </is>
      </c>
      <c r="F87" s="4" t="inlineStr">
        <is>
          <t>Capitais Regionais A</t>
        </is>
      </c>
      <c r="G87" s="4" t="inlineStr">
        <is>
          <t>Capital regional</t>
        </is>
      </c>
      <c r="H87" s="5">
        <f>IF(G87="fora do recorte","",SUMPRODUCT(($G$3:$G$1723=G87)*($A$3:$A$1723&lt;=A87)))</f>
        <v/>
      </c>
      <c r="I87" s="4">
        <f>IF(H87="","",G87&amp;"|"&amp;H87)</f>
        <v/>
      </c>
      <c r="J87" s="4" t="inlineStr">
        <is>
          <t>https://www.google.com/maps/search/?api=1&amp;query=Maikai&amp;query_place_id=ChIJE4n21clFAQcR9QtjLnimTd8</t>
        </is>
      </c>
      <c r="K87" s="4" t="inlineStr">
        <is>
          <t>Av. Eng. Paulo Brandão Nogueira, 540 - Jatiúca, Maceió - AL, 57036-540, Brasil</t>
        </is>
      </c>
      <c r="L87" s="4" t="inlineStr">
        <is>
          <t>Maceió</t>
        </is>
      </c>
      <c r="M87" s="5" t="n">
        <v>1</v>
      </c>
    </row>
    <row r="88">
      <c r="A88" s="3">
        <f>RAND()</f>
        <v/>
      </c>
      <c r="B88" s="4" t="inlineStr">
        <is>
          <t>ChIJnXkS431FAQcROUxKASeZrKk</t>
        </is>
      </c>
      <c r="C88" s="4" t="inlineStr">
        <is>
          <t>Matrix Games</t>
        </is>
      </c>
      <c r="D88" s="4" t="inlineStr">
        <is>
          <t>Maceió</t>
        </is>
      </c>
      <c r="E88" s="4" t="inlineStr">
        <is>
          <t>AL</t>
        </is>
      </c>
      <c r="F88" s="4" t="inlineStr">
        <is>
          <t>Capitais Regionais A</t>
        </is>
      </c>
      <c r="G88" s="4" t="inlineStr">
        <is>
          <t>Capital regional</t>
        </is>
      </c>
      <c r="H88" s="5">
        <f>IF(G88="fora do recorte","",SUMPRODUCT(($G$3:$G$1723=G88)*($A$3:$A$1723&lt;=A88)))</f>
        <v/>
      </c>
      <c r="I88" s="4">
        <f>IF(H88="","",G88&amp;"|"&amp;H88)</f>
        <v/>
      </c>
      <c r="J88" s="4" t="inlineStr">
        <is>
          <t>https://www.google.com/maps/search/?api=1&amp;query=Matrix%20Games&amp;query_place_id=ChIJnXkS431FAQcROUxKASeZrKk</t>
        </is>
      </c>
      <c r="K88" s="4" t="inlineStr">
        <is>
          <t>Rua do Livramento, 245 - Sl 10 - Centro, Maceió - AL, 57020-030, Brasil</t>
        </is>
      </c>
      <c r="L88" s="4" t="inlineStr">
        <is>
          <t>Maceió</t>
        </is>
      </c>
      <c r="M88" s="5" t="n">
        <v>6</v>
      </c>
    </row>
    <row r="89">
      <c r="A89" s="3">
        <f>RAND()</f>
        <v/>
      </c>
      <c r="B89" s="4" t="inlineStr">
        <is>
          <t>ChIJT7cPKnxFAQcRg2W4bSnQKLE</t>
        </is>
      </c>
      <c r="C89" s="4" t="inlineStr">
        <is>
          <t>Matriz Game</t>
        </is>
      </c>
      <c r="D89" s="4" t="inlineStr">
        <is>
          <t>Maceió</t>
        </is>
      </c>
      <c r="E89" s="4" t="inlineStr">
        <is>
          <t>AL</t>
        </is>
      </c>
      <c r="F89" s="4" t="inlineStr">
        <is>
          <t>Capitais Regionais A</t>
        </is>
      </c>
      <c r="G89" s="4" t="inlineStr">
        <is>
          <t>Capital regional</t>
        </is>
      </c>
      <c r="H89" s="5">
        <f>IF(G89="fora do recorte","",SUMPRODUCT(($G$3:$G$1723=G89)*($A$3:$A$1723&lt;=A89)))</f>
        <v/>
      </c>
      <c r="I89" s="4">
        <f>IF(H89="","",G89&amp;"|"&amp;H89)</f>
        <v/>
      </c>
      <c r="J89" s="4" t="inlineStr">
        <is>
          <t>https://www.google.com/maps/search/?api=1&amp;query=Matriz%20Game&amp;query_place_id=ChIJT7cPKnxFAQcRg2W4bSnQKLE</t>
        </is>
      </c>
      <c r="K89" s="4" t="inlineStr">
        <is>
          <t>Rua do Livramento, 2 - Centro, Maceió - AL, 57020-030, Brasil</t>
        </is>
      </c>
      <c r="L89" s="4" t="inlineStr">
        <is>
          <t>Maceió</t>
        </is>
      </c>
      <c r="M89" s="5" t="n">
        <v>2</v>
      </c>
    </row>
    <row r="90">
      <c r="A90" s="3">
        <f>RAND()</f>
        <v/>
      </c>
      <c r="B90" s="4" t="inlineStr">
        <is>
          <t>ChIJyZEDO2ZIAQcRJXz4rw1Sf1E</t>
        </is>
      </c>
      <c r="C90" s="4" t="inlineStr">
        <is>
          <t>Megapixel gráfica rápida</t>
        </is>
      </c>
      <c r="D90" s="4" t="inlineStr">
        <is>
          <t>Maceió</t>
        </is>
      </c>
      <c r="E90" s="4" t="inlineStr">
        <is>
          <t>AL</t>
        </is>
      </c>
      <c r="F90" s="4" t="inlineStr">
        <is>
          <t>Capitais Regionais A</t>
        </is>
      </c>
      <c r="G90" s="4" t="inlineStr">
        <is>
          <t>Capital regional</t>
        </is>
      </c>
      <c r="H90" s="5">
        <f>IF(G90="fora do recorte","",SUMPRODUCT(($G$3:$G$1723=G90)*($A$3:$A$1723&lt;=A90)))</f>
        <v/>
      </c>
      <c r="I90" s="4">
        <f>IF(H90="","",G90&amp;"|"&amp;H90)</f>
        <v/>
      </c>
      <c r="J90" s="4" t="inlineStr">
        <is>
          <t>https://www.google.com/maps/search/?api=1&amp;query=Megapixel%20gr%C3%A1fica%20r%C3%A1pida&amp;query_place_id=ChIJyZEDO2ZIAQcRJXz4rw1Sf1E</t>
        </is>
      </c>
      <c r="K90" s="4" t="inlineStr">
        <is>
          <t>Av. Francisco Afonso de Melo, 254 - Santa Lúcia, Maceió - AL, 57082-065, Brasil</t>
        </is>
      </c>
      <c r="L90" s="4" t="inlineStr">
        <is>
          <t>Maceió</t>
        </is>
      </c>
      <c r="M90" s="5" t="n">
        <v>1</v>
      </c>
    </row>
    <row r="91">
      <c r="A91" s="3">
        <f>RAND()</f>
        <v/>
      </c>
      <c r="B91" s="4" t="inlineStr">
        <is>
          <t>ChIJfbK0zIpFAQcRcHb7WtfE01E</t>
        </is>
      </c>
      <c r="C91" s="4" t="inlineStr">
        <is>
          <t>Mininice Brinquedos</t>
        </is>
      </c>
      <c r="D91" s="4" t="inlineStr">
        <is>
          <t>Maceió</t>
        </is>
      </c>
      <c r="E91" s="4" t="inlineStr">
        <is>
          <t>AL</t>
        </is>
      </c>
      <c r="F91" s="4" t="inlineStr">
        <is>
          <t>Capitais Regionais A</t>
        </is>
      </c>
      <c r="G91" s="4" t="inlineStr">
        <is>
          <t>Capital regional</t>
        </is>
      </c>
      <c r="H91" s="5">
        <f>IF(G91="fora do recorte","",SUMPRODUCT(($G$3:$G$1723=G91)*($A$3:$A$1723&lt;=A91)))</f>
        <v/>
      </c>
      <c r="I91" s="4">
        <f>IF(H91="","",G91&amp;"|"&amp;H91)</f>
        <v/>
      </c>
      <c r="J91" s="4" t="inlineStr">
        <is>
          <t>https://www.google.com/maps/search/?api=1&amp;query=Mininice%20Brinquedos&amp;query_place_id=ChIJfbK0zIpFAQcRcHb7WtfE01E</t>
        </is>
      </c>
      <c r="K91" s="4" t="inlineStr">
        <is>
          <t>Av. Dr. Antônio Gomes de Barros, 546 - Jatiúca, Maceió - AL, 57035-700, Brasil</t>
        </is>
      </c>
      <c r="L91" s="4" t="inlineStr">
        <is>
          <t>Maceió</t>
        </is>
      </c>
      <c r="M91" s="5" t="n">
        <v>1</v>
      </c>
    </row>
    <row r="92">
      <c r="A92" s="3">
        <f>RAND()</f>
        <v/>
      </c>
      <c r="B92" s="4" t="inlineStr">
        <is>
          <t>ChIJFwbfbrdFAQcRpl7Uf70zEK8</t>
        </is>
      </c>
      <c r="C92" s="4" t="inlineStr">
        <is>
          <t>Multibrinque Maceió - Aluguel de Brinquedos e Acessórios para o dia a dia</t>
        </is>
      </c>
      <c r="D92" s="4" t="inlineStr">
        <is>
          <t>Maceió</t>
        </is>
      </c>
      <c r="E92" s="4" t="inlineStr">
        <is>
          <t>AL</t>
        </is>
      </c>
      <c r="F92" s="4" t="inlineStr">
        <is>
          <t>Capitais Regionais A</t>
        </is>
      </c>
      <c r="G92" s="4" t="inlineStr">
        <is>
          <t>Capital regional</t>
        </is>
      </c>
      <c r="H92" s="5">
        <f>IF(G92="fora do recorte","",SUMPRODUCT(($G$3:$G$1723=G92)*($A$3:$A$1723&lt;=A92)))</f>
        <v/>
      </c>
      <c r="I92" s="4">
        <f>IF(H92="","",G92&amp;"|"&amp;H92)</f>
        <v/>
      </c>
      <c r="J92" s="4" t="inlineStr">
        <is>
          <t>https://www.google.com/maps/search/?api=1&amp;query=Multibrinque%20Macei%C3%B3%20-%20Aluguel%20de%20Brinquedos%20e%20Acess%C3%B3rios%20para%20o%20dia%20a%20dia&amp;query_place_id=ChIJFwbfbrdFAQcRpl7Uf70zEK8</t>
        </is>
      </c>
      <c r="K92" s="4" t="inlineStr">
        <is>
          <t>R. Antônia Alves Carvalho Leite, 1118 A - Jatiúca, Maceió - AL, 57036-040, Brasil</t>
        </is>
      </c>
      <c r="L92" s="4" t="inlineStr">
        <is>
          <t>Maceió</t>
        </is>
      </c>
      <c r="M92" s="5" t="n">
        <v>1</v>
      </c>
    </row>
    <row r="93">
      <c r="A93" s="3">
        <f>RAND()</f>
        <v/>
      </c>
      <c r="B93" s="4" t="inlineStr">
        <is>
          <t>ChIJQ1Dw__NIAQcRNXJJQxaP7EM</t>
        </is>
      </c>
      <c r="C93" s="4" t="inlineStr">
        <is>
          <t>Mundo do Real</t>
        </is>
      </c>
      <c r="D93" s="4" t="inlineStr">
        <is>
          <t>Maceió</t>
        </is>
      </c>
      <c r="E93" s="4" t="inlineStr">
        <is>
          <t>AL</t>
        </is>
      </c>
      <c r="F93" s="4" t="inlineStr">
        <is>
          <t>Capitais Regionais A</t>
        </is>
      </c>
      <c r="G93" s="4" t="inlineStr">
        <is>
          <t>Capital regional</t>
        </is>
      </c>
      <c r="H93" s="5">
        <f>IF(G93="fora do recorte","",SUMPRODUCT(($G$3:$G$1723=G93)*($A$3:$A$1723&lt;=A93)))</f>
        <v/>
      </c>
      <c r="I93" s="4">
        <f>IF(H93="","",G93&amp;"|"&amp;H93)</f>
        <v/>
      </c>
      <c r="J93" s="4" t="inlineStr">
        <is>
          <t>https://www.google.com/maps/search/?api=1&amp;query=Mundo%20do%20Real&amp;query_place_id=ChIJQ1Dw__NIAQcRNXJJQxaP7EM</t>
        </is>
      </c>
      <c r="K93" s="4" t="inlineStr">
        <is>
          <t>Av. Maceió, 876 - Tabuleiro do Martins, Maceió - AL, 57061-110, Brasil</t>
        </is>
      </c>
      <c r="L93" s="4" t="inlineStr">
        <is>
          <t>Maceió</t>
        </is>
      </c>
      <c r="M93" s="5" t="n">
        <v>4</v>
      </c>
    </row>
    <row r="94">
      <c r="A94" s="3">
        <f>RAND()</f>
        <v/>
      </c>
      <c r="B94" s="4" t="inlineStr">
        <is>
          <t>ChIJPzFX2EVFAQcRERBfWGSTHis</t>
        </is>
      </c>
      <c r="C94" s="4" t="inlineStr">
        <is>
          <t>Mundo kids aluguel de brinquedos</t>
        </is>
      </c>
      <c r="D94" s="4" t="inlineStr">
        <is>
          <t>Maceió</t>
        </is>
      </c>
      <c r="E94" s="4" t="inlineStr">
        <is>
          <t>AL</t>
        </is>
      </c>
      <c r="F94" s="4" t="inlineStr">
        <is>
          <t>Capitais Regionais A</t>
        </is>
      </c>
      <c r="G94" s="4" t="inlineStr">
        <is>
          <t>Capital regional</t>
        </is>
      </c>
      <c r="H94" s="5">
        <f>IF(G94="fora do recorte","",SUMPRODUCT(($G$3:$G$1723=G94)*($A$3:$A$1723&lt;=A94)))</f>
        <v/>
      </c>
      <c r="I94" s="4">
        <f>IF(H94="","",G94&amp;"|"&amp;H94)</f>
        <v/>
      </c>
      <c r="J94" s="4" t="inlineStr">
        <is>
          <t>https://www.google.com/maps/search/?api=1&amp;query=Mundo%20kids%20aluguel%20de%20brinquedos&amp;query_place_id=ChIJPzFX2EVFAQcRERBfWGSTHis</t>
        </is>
      </c>
      <c r="K94" s="4" t="inlineStr">
        <is>
          <t>R. São Jorge, 63 - Barro Duro, Maceió - AL, 57045-620, Brasil</t>
        </is>
      </c>
      <c r="L94" s="4" t="inlineStr">
        <is>
          <t>Maceió</t>
        </is>
      </c>
      <c r="M94" s="5" t="n">
        <v>1</v>
      </c>
    </row>
    <row r="95">
      <c r="A95" s="3">
        <f>RAND()</f>
        <v/>
      </c>
      <c r="B95" s="4" t="inlineStr">
        <is>
          <t>ChIJU-tU3o5FAQcRJiJmUu_0Uas</t>
        </is>
      </c>
      <c r="C95" s="4" t="inlineStr">
        <is>
          <t>NLV Variedades</t>
        </is>
      </c>
      <c r="D95" s="4" t="inlineStr">
        <is>
          <t>Maceió</t>
        </is>
      </c>
      <c r="E95" s="4" t="inlineStr">
        <is>
          <t>AL</t>
        </is>
      </c>
      <c r="F95" s="4" t="inlineStr">
        <is>
          <t>Capitais Regionais A</t>
        </is>
      </c>
      <c r="G95" s="4" t="inlineStr">
        <is>
          <t>Capital regional</t>
        </is>
      </c>
      <c r="H95" s="5">
        <f>IF(G95="fora do recorte","",SUMPRODUCT(($G$3:$G$1723=G95)*($A$3:$A$1723&lt;=A95)))</f>
        <v/>
      </c>
      <c r="I95" s="4">
        <f>IF(H95="","",G95&amp;"|"&amp;H95)</f>
        <v/>
      </c>
      <c r="J95" s="4" t="inlineStr">
        <is>
          <t>https://www.google.com/maps/search/?api=1&amp;query=NLV%20Variedades&amp;query_place_id=ChIJU-tU3o5FAQcRJiJmUu_0Uas</t>
        </is>
      </c>
      <c r="K95" s="4" t="inlineStr">
        <is>
          <t>Av. Rui Barbosa, número 34 - Cruz das Almas, Maceió - AL, 57038-166, Brasil</t>
        </is>
      </c>
      <c r="L95" s="4" t="inlineStr">
        <is>
          <t>Maceió</t>
        </is>
      </c>
      <c r="M95" s="5" t="n">
        <v>1</v>
      </c>
    </row>
    <row r="96">
      <c r="A96" s="3">
        <f>RAND()</f>
        <v/>
      </c>
      <c r="B96" s="4" t="inlineStr">
        <is>
          <t>ChIJJ3R-xc1FAQcRabKnPzkG8Gs</t>
        </is>
      </c>
      <c r="C96" s="4" t="inlineStr">
        <is>
          <t>O Espetão - Snooker Bar &amp; Restaurante</t>
        </is>
      </c>
      <c r="D96" s="4" t="inlineStr">
        <is>
          <t>Maceió</t>
        </is>
      </c>
      <c r="E96" s="4" t="inlineStr">
        <is>
          <t>AL</t>
        </is>
      </c>
      <c r="F96" s="4" t="inlineStr">
        <is>
          <t>Capitais Regionais A</t>
        </is>
      </c>
      <c r="G96" s="4" t="inlineStr">
        <is>
          <t>Capital regional</t>
        </is>
      </c>
      <c r="H96" s="5">
        <f>IF(G96="fora do recorte","",SUMPRODUCT(($G$3:$G$1723=G96)*($A$3:$A$1723&lt;=A96)))</f>
        <v/>
      </c>
      <c r="I96" s="4">
        <f>IF(H96="","",G96&amp;"|"&amp;H96)</f>
        <v/>
      </c>
      <c r="J96" s="4" t="inlineStr">
        <is>
          <t>https://www.google.com/maps/search/?api=1&amp;query=O%20Espet%C3%A3o%20-%20Snooker%20Bar%20%26%20Restaurante&amp;query_place_id=ChIJJ3R-xc1FAQcRabKnPzkG8Gs</t>
        </is>
      </c>
      <c r="K96" s="4" t="inlineStr">
        <is>
          <t>Rua da churrascaria Sal e Brasa, Em frente ao Barbearia MCZ - R. Prof. Ernâni de Figueiredo Magalhães, S/N - Cruz das Almas, Maceió - AL, 57038-155, Brasil</t>
        </is>
      </c>
      <c r="L96" s="4" t="inlineStr">
        <is>
          <t>Maceió</t>
        </is>
      </c>
      <c r="M96" s="5" t="n">
        <v>1</v>
      </c>
    </row>
    <row r="97">
      <c r="A97" s="3">
        <f>RAND()</f>
        <v/>
      </c>
      <c r="B97" s="4" t="inlineStr">
        <is>
          <t>ChIJ4c7C9AdFAQcRpeS0b9XNDsY</t>
        </is>
      </c>
      <c r="C97" s="4" t="inlineStr">
        <is>
          <t>Orla Praia Pajuçara</t>
        </is>
      </c>
      <c r="D97" s="4" t="inlineStr">
        <is>
          <t>Maceió</t>
        </is>
      </c>
      <c r="E97" s="4" t="inlineStr">
        <is>
          <t>AL</t>
        </is>
      </c>
      <c r="F97" s="4" t="inlineStr">
        <is>
          <t>Capitais Regionais A</t>
        </is>
      </c>
      <c r="G97" s="4" t="inlineStr">
        <is>
          <t>Capital regional</t>
        </is>
      </c>
      <c r="H97" s="5">
        <f>IF(G97="fora do recorte","",SUMPRODUCT(($G$3:$G$1723=G97)*($A$3:$A$1723&lt;=A97)))</f>
        <v/>
      </c>
      <c r="I97" s="4">
        <f>IF(H97="","",G97&amp;"|"&amp;H97)</f>
        <v/>
      </c>
      <c r="J97" s="4" t="inlineStr">
        <is>
          <t>https://www.google.com/maps/search/?api=1&amp;query=Orla%20Praia%20Paju%C3%A7ara&amp;query_place_id=ChIJ4c7C9AdFAQcRpeS0b9XNDsY</t>
        </is>
      </c>
      <c r="K97" s="4" t="inlineStr">
        <is>
          <t>Av. Silvio Carlos Viana, 254 - Pajuçara, Maceió - AL, 57035-160, Brasil</t>
        </is>
      </c>
      <c r="L97" s="4" t="inlineStr">
        <is>
          <t>Maceió</t>
        </is>
      </c>
      <c r="M97" s="5" t="n">
        <v>1</v>
      </c>
    </row>
    <row r="98">
      <c r="A98" s="3">
        <f>RAND()</f>
        <v/>
      </c>
      <c r="B98" s="4" t="inlineStr">
        <is>
          <t>ChIJsy-eNH5FAQcRzqAvmCAJZ8c</t>
        </is>
      </c>
      <c r="C98" s="4" t="inlineStr">
        <is>
          <t>PH Maceió - Atacado</t>
        </is>
      </c>
      <c r="D98" s="4" t="inlineStr">
        <is>
          <t>Maceió</t>
        </is>
      </c>
      <c r="E98" s="4" t="inlineStr">
        <is>
          <t>AL</t>
        </is>
      </c>
      <c r="F98" s="4" t="inlineStr">
        <is>
          <t>Capitais Regionais A</t>
        </is>
      </c>
      <c r="G98" s="4" t="inlineStr">
        <is>
          <t>Capital regional</t>
        </is>
      </c>
      <c r="H98" s="5">
        <f>IF(G98="fora do recorte","",SUMPRODUCT(($G$3:$G$1723=G98)*($A$3:$A$1723&lt;=A98)))</f>
        <v/>
      </c>
      <c r="I98" s="4">
        <f>IF(H98="","",G98&amp;"|"&amp;H98)</f>
        <v/>
      </c>
      <c r="J98" s="4" t="inlineStr">
        <is>
          <t>https://www.google.com/maps/search/?api=1&amp;query=PH%20Macei%C3%B3%20-%20Atacado&amp;query_place_id=ChIJsy-eNH5FAQcRzqAvmCAJZ8c</t>
        </is>
      </c>
      <c r="K98" s="4" t="inlineStr">
        <is>
          <t>R. da Alegria, 231 - Centro, Maceió - AL, 57020-320, Brasil</t>
        </is>
      </c>
      <c r="L98" s="4" t="inlineStr">
        <is>
          <t>Maceió</t>
        </is>
      </c>
      <c r="M98" s="5" t="n">
        <v>2</v>
      </c>
    </row>
    <row r="99">
      <c r="A99" s="3">
        <f>RAND()</f>
        <v/>
      </c>
      <c r="B99" s="4" t="inlineStr">
        <is>
          <t>ChIJs880fdVFAQcRDJ85vbEBgSg</t>
        </is>
      </c>
      <c r="C99" s="4" t="inlineStr">
        <is>
          <t>Parque Shopping Maceió</t>
        </is>
      </c>
      <c r="D99" s="4" t="inlineStr">
        <is>
          <t>Maceió</t>
        </is>
      </c>
      <c r="E99" s="4" t="inlineStr">
        <is>
          <t>AL</t>
        </is>
      </c>
      <c r="F99" s="4" t="inlineStr">
        <is>
          <t>Capitais Regionais A</t>
        </is>
      </c>
      <c r="G99" s="4" t="inlineStr">
        <is>
          <t>Capital regional</t>
        </is>
      </c>
      <c r="H99" s="5">
        <f>IF(G99="fora do recorte","",SUMPRODUCT(($G$3:$G$1723=G99)*($A$3:$A$1723&lt;=A99)))</f>
        <v/>
      </c>
      <c r="I99" s="4">
        <f>IF(H99="","",G99&amp;"|"&amp;H99)</f>
        <v/>
      </c>
      <c r="J99" s="4" t="inlineStr">
        <is>
          <t>https://www.google.com/maps/search/?api=1&amp;query=Parque%20Shopping%20Macei%C3%B3&amp;query_place_id=ChIJs880fdVFAQcRDJ85vbEBgSg</t>
        </is>
      </c>
      <c r="K99" s="4" t="inlineStr">
        <is>
          <t>Av. Comendador Gustavo Paiva, 5945 - Cruz das Almas, Maceió - AL, 57038-000, Brasil</t>
        </is>
      </c>
      <c r="L99" s="4" t="inlineStr">
        <is>
          <t>Maceió</t>
        </is>
      </c>
      <c r="M99" s="5" t="n">
        <v>3</v>
      </c>
    </row>
    <row r="100">
      <c r="A100" s="3">
        <f>RAND()</f>
        <v/>
      </c>
      <c r="B100" s="4" t="inlineStr">
        <is>
          <t>ChIJpcKKOGxFAQcRVh3q4zQHX2U</t>
        </is>
      </c>
      <c r="C100" s="4" t="inlineStr">
        <is>
          <t>Parquinho - O Mundo de João e Maria</t>
        </is>
      </c>
      <c r="D100" s="4" t="inlineStr">
        <is>
          <t>Maceió</t>
        </is>
      </c>
      <c r="E100" s="4" t="inlineStr">
        <is>
          <t>AL</t>
        </is>
      </c>
      <c r="F100" s="4" t="inlineStr">
        <is>
          <t>Capitais Regionais A</t>
        </is>
      </c>
      <c r="G100" s="4" t="inlineStr">
        <is>
          <t>Capital regional</t>
        </is>
      </c>
      <c r="H100" s="5">
        <f>IF(G100="fora do recorte","",SUMPRODUCT(($G$3:$G$1723=G100)*($A$3:$A$1723&lt;=A100)))</f>
        <v/>
      </c>
      <c r="I100" s="4">
        <f>IF(H100="","",G100&amp;"|"&amp;H100)</f>
        <v/>
      </c>
      <c r="J100" s="4" t="inlineStr">
        <is>
          <t>https://www.google.com/maps/search/?api=1&amp;query=Parquinho%20-%20O%20Mundo%20de%20Jo%C3%A3o%20e%20Maria&amp;query_place_id=ChIJpcKKOGxFAQcRVh3q4zQHX2U</t>
        </is>
      </c>
      <c r="K100" s="4" t="inlineStr">
        <is>
          <t>Vizinho à praça de alimentação - Av. Comendador Gustavo Paiva, 5945 - Lj 3053, 3° piso - Cruz das Almas, Maceió - AL, 57038-000, Brasil</t>
        </is>
      </c>
      <c r="L100" s="4" t="inlineStr">
        <is>
          <t>Maceió</t>
        </is>
      </c>
      <c r="M100" s="5" t="n">
        <v>1</v>
      </c>
    </row>
    <row r="101">
      <c r="A101" s="3">
        <f>RAND()</f>
        <v/>
      </c>
      <c r="B101" s="4" t="inlineStr">
        <is>
          <t>ChIJ-5chtYBPAQcRN4Sg3nCqlZg</t>
        </is>
      </c>
      <c r="C101" s="4" t="inlineStr">
        <is>
          <t>Paulo Games</t>
        </is>
      </c>
      <c r="D101" s="4" t="inlineStr">
        <is>
          <t>Maceió</t>
        </is>
      </c>
      <c r="E101" s="4" t="inlineStr">
        <is>
          <t>AL</t>
        </is>
      </c>
      <c r="F101" s="4" t="inlineStr">
        <is>
          <t>Capitais Regionais A</t>
        </is>
      </c>
      <c r="G101" s="4" t="inlineStr">
        <is>
          <t>Capital regional</t>
        </is>
      </c>
      <c r="H101" s="5">
        <f>IF(G101="fora do recorte","",SUMPRODUCT(($G$3:$G$1723=G101)*($A$3:$A$1723&lt;=A101)))</f>
        <v/>
      </c>
      <c r="I101" s="4">
        <f>IF(H101="","",G101&amp;"|"&amp;H101)</f>
        <v/>
      </c>
      <c r="J101" s="4" t="inlineStr">
        <is>
          <t>https://www.google.com/maps/search/?api=1&amp;query=Paulo%20Games&amp;query_place_id=ChIJ-5chtYBPAQcRN4Sg3nCqlZg</t>
        </is>
      </c>
      <c r="K101" s="4" t="inlineStr">
        <is>
          <t>Shopping Popular Nossa Senhora de Fátima, Box 209, Próximo ao Teatro Deodoro - R. Barão de Maceió, S/N - Centro, Maceió - AL, 57020-360, Brasil</t>
        </is>
      </c>
      <c r="L101" s="4" t="inlineStr">
        <is>
          <t>Maceió</t>
        </is>
      </c>
      <c r="M101" s="5" t="n">
        <v>1</v>
      </c>
    </row>
    <row r="102">
      <c r="A102" s="3">
        <f>RAND()</f>
        <v/>
      </c>
      <c r="B102" s="4" t="inlineStr">
        <is>
          <t>ChIJe0C4Xy5HAQcRytrRQJpZuEg</t>
        </is>
      </c>
      <c r="C102" s="4" t="inlineStr">
        <is>
          <t>Play Games / Maceió-AL</t>
        </is>
      </c>
      <c r="D102" s="4" t="inlineStr">
        <is>
          <t>Maceió</t>
        </is>
      </c>
      <c r="E102" s="4" t="inlineStr">
        <is>
          <t>AL</t>
        </is>
      </c>
      <c r="F102" s="4" t="inlineStr">
        <is>
          <t>Capitais Regionais A</t>
        </is>
      </c>
      <c r="G102" s="4" t="inlineStr">
        <is>
          <t>Capital regional</t>
        </is>
      </c>
      <c r="H102" s="5">
        <f>IF(G102="fora do recorte","",SUMPRODUCT(($G$3:$G$1723=G102)*($A$3:$A$1723&lt;=A102)))</f>
        <v/>
      </c>
      <c r="I102" s="4">
        <f>IF(H102="","",G102&amp;"|"&amp;H102)</f>
        <v/>
      </c>
      <c r="J102" s="4" t="inlineStr">
        <is>
          <t>https://www.google.com/maps/search/?api=1&amp;query=Play%20Games%20/%20Macei%C3%B3-AL&amp;query_place_id=ChIJe0C4Xy5HAQcRytrRQJpZuEg</t>
        </is>
      </c>
      <c r="K102" s="4" t="inlineStr">
        <is>
          <t>Av. Comendador Gustavo Paiva, 5945 - Loja 3031 - Cruz das Almas, Maceió - AL, 57038-000, Brasil</t>
        </is>
      </c>
      <c r="L102" s="4" t="inlineStr">
        <is>
          <t>Maceió</t>
        </is>
      </c>
      <c r="M102" s="5" t="n">
        <v>10</v>
      </c>
    </row>
    <row r="103">
      <c r="A103" s="3">
        <f>RAND()</f>
        <v/>
      </c>
      <c r="B103" s="4" t="inlineStr">
        <is>
          <t>ChIJm3gtAgtFAQcR0tE5OIh7HnA</t>
        </is>
      </c>
      <c r="C103" s="4" t="inlineStr">
        <is>
          <t>Psicojogos</t>
        </is>
      </c>
      <c r="D103" s="4" t="inlineStr">
        <is>
          <t>Maceió</t>
        </is>
      </c>
      <c r="E103" s="4" t="inlineStr">
        <is>
          <t>AL</t>
        </is>
      </c>
      <c r="F103" s="4" t="inlineStr">
        <is>
          <t>Capitais Regionais A</t>
        </is>
      </c>
      <c r="G103" s="4" t="inlineStr">
        <is>
          <t>Capital regional</t>
        </is>
      </c>
      <c r="H103" s="5">
        <f>IF(G103="fora do recorte","",SUMPRODUCT(($G$3:$G$1723=G103)*($A$3:$A$1723&lt;=A103)))</f>
        <v/>
      </c>
      <c r="I103" s="4">
        <f>IF(H103="","",G103&amp;"|"&amp;H103)</f>
        <v/>
      </c>
      <c r="J103" s="4" t="inlineStr">
        <is>
          <t>https://www.google.com/maps/search/?api=1&amp;query=Psicojogos&amp;query_place_id=ChIJm3gtAgtFAQcR0tE5OIh7HnA</t>
        </is>
      </c>
      <c r="K103" s="4" t="inlineStr">
        <is>
          <t>Av. Dr. Antônio Gomes de Barros, 1560 - Lj 2 - Jatiúca, Maceió - AL, 57036-000, Brasil</t>
        </is>
      </c>
      <c r="L103" s="4" t="inlineStr">
        <is>
          <t>Maceió</t>
        </is>
      </c>
      <c r="M103" s="5" t="n">
        <v>2</v>
      </c>
    </row>
    <row r="104">
      <c r="A104" s="3">
        <f>RAND()</f>
        <v/>
      </c>
      <c r="B104" s="4" t="inlineStr">
        <is>
          <t>ChIJlfZ5m9VFAQcR2q4Jz5leh_I</t>
        </is>
      </c>
      <c r="C104" s="4" t="inlineStr">
        <is>
          <t>RI HAPPY PARQUE SHOPPING MACEIÓ</t>
        </is>
      </c>
      <c r="D104" s="4" t="inlineStr">
        <is>
          <t>Maceió</t>
        </is>
      </c>
      <c r="E104" s="4" t="inlineStr">
        <is>
          <t>AL</t>
        </is>
      </c>
      <c r="F104" s="4" t="inlineStr">
        <is>
          <t>Capitais Regionais A</t>
        </is>
      </c>
      <c r="G104" s="4" t="inlineStr">
        <is>
          <t>Capital regional</t>
        </is>
      </c>
      <c r="H104" s="5">
        <f>IF(G104="fora do recorte","",SUMPRODUCT(($G$3:$G$1723=G104)*($A$3:$A$1723&lt;=A104)))</f>
        <v/>
      </c>
      <c r="I104" s="4">
        <f>IF(H104="","",G104&amp;"|"&amp;H104)</f>
        <v/>
      </c>
      <c r="J104" s="4" t="inlineStr">
        <is>
          <t>https://www.google.com/maps/search/?api=1&amp;query=RI%20HAPPY%20PARQUE%20SHOPPING%20MACEI%C3%93&amp;query_place_id=ChIJlfZ5m9VFAQcR2q4Jz5leh_I</t>
        </is>
      </c>
      <c r="K104" s="4" t="inlineStr">
        <is>
          <t>Av. Comendador Gustavo Paiva, 5945 - Piso 2 - Cruz das Almas, Maceió - AL, 57038-000, Brasil</t>
        </is>
      </c>
      <c r="L104" s="4" t="inlineStr">
        <is>
          <t>Maceió</t>
        </is>
      </c>
      <c r="M104" s="5" t="n">
        <v>2</v>
      </c>
    </row>
    <row r="105">
      <c r="A105" s="3">
        <f>RAND()</f>
        <v/>
      </c>
      <c r="B105" s="4" t="inlineStr">
        <is>
          <t>ChIJARBcJC1GAQcRbnEXpL1UqG8</t>
        </is>
      </c>
      <c r="C105" s="4" t="inlineStr">
        <is>
          <t>RI HAPPY PÁTIO MACEIÓ</t>
        </is>
      </c>
      <c r="D105" s="4" t="inlineStr">
        <is>
          <t>Maceió</t>
        </is>
      </c>
      <c r="E105" s="4" t="inlineStr">
        <is>
          <t>AL</t>
        </is>
      </c>
      <c r="F105" s="4" t="inlineStr">
        <is>
          <t>Capitais Regionais A</t>
        </is>
      </c>
      <c r="G105" s="4" t="inlineStr">
        <is>
          <t>Capital regional</t>
        </is>
      </c>
      <c r="H105" s="5">
        <f>IF(G105="fora do recorte","",SUMPRODUCT(($G$3:$G$1723=G105)*($A$3:$A$1723&lt;=A105)))</f>
        <v/>
      </c>
      <c r="I105" s="4">
        <f>IF(H105="","",G105&amp;"|"&amp;H105)</f>
        <v/>
      </c>
      <c r="J105" s="4" t="inlineStr">
        <is>
          <t>https://www.google.com/maps/search/?api=1&amp;query=RI%20HAPPY%20P%C3%81TIO%20MACEI%C3%93&amp;query_place_id=ChIJARBcJC1GAQcRbnEXpL1UqG8</t>
        </is>
      </c>
      <c r="K105" s="4" t="inlineStr">
        <is>
          <t>Av. Menino Marcelo, 3800 - loja número 10 - Cidade Universitária, Maceió - AL, 57081-385, Brasil</t>
        </is>
      </c>
      <c r="L105" s="4" t="inlineStr">
        <is>
          <t>Maceió</t>
        </is>
      </c>
      <c r="M105" s="5" t="n">
        <v>3</v>
      </c>
    </row>
    <row r="106">
      <c r="A106" s="3">
        <f>RAND()</f>
        <v/>
      </c>
      <c r="B106" s="4" t="inlineStr">
        <is>
          <t>ChIJ3SukOn9PAQcRb_Lb03rPwwY</t>
        </is>
      </c>
      <c r="C106" s="4" t="inlineStr">
        <is>
          <t>RPG de Mesa Paga - TD Santos</t>
        </is>
      </c>
      <c r="D106" s="4" t="inlineStr">
        <is>
          <t>Maceió</t>
        </is>
      </c>
      <c r="E106" s="4" t="inlineStr">
        <is>
          <t>AL</t>
        </is>
      </c>
      <c r="F106" s="4" t="inlineStr">
        <is>
          <t>Capitais Regionais A</t>
        </is>
      </c>
      <c r="G106" s="4" t="inlineStr">
        <is>
          <t>Capital regional</t>
        </is>
      </c>
      <c r="H106" s="5">
        <f>IF(G106="fora do recorte","",SUMPRODUCT(($G$3:$G$1723=G106)*($A$3:$A$1723&lt;=A106)))</f>
        <v/>
      </c>
      <c r="I106" s="4">
        <f>IF(H106="","",G106&amp;"|"&amp;H106)</f>
        <v/>
      </c>
      <c r="J106" s="4" t="inlineStr">
        <is>
          <t>https://www.google.com/maps/search/?api=1&amp;query=RPG%20de%20Mesa%20Paga%20-%20TD%20Santos&amp;query_place_id=ChIJ3SukOn9PAQcRb_Lb03rPwwY</t>
        </is>
      </c>
      <c r="K106" s="4" t="inlineStr">
        <is>
          <t>R. Dr. Virgílio Guedes, 1142B - Ponta Grossa, Maceió - AL, 57014-002, Brasil</t>
        </is>
      </c>
      <c r="L106" s="4" t="inlineStr">
        <is>
          <t>Maceió</t>
        </is>
      </c>
      <c r="M106" s="5" t="n">
        <v>4</v>
      </c>
    </row>
    <row r="107">
      <c r="A107" s="3">
        <f>RAND()</f>
        <v/>
      </c>
      <c r="B107" s="4" t="inlineStr">
        <is>
          <t>ChIJp-xYQFVEAQcRWUVppzNA8wo</t>
        </is>
      </c>
      <c r="C107" s="4" t="inlineStr">
        <is>
          <t>Restaurante Barrica's</t>
        </is>
      </c>
      <c r="D107" s="4" t="inlineStr">
        <is>
          <t>Maceió</t>
        </is>
      </c>
      <c r="E107" s="4" t="inlineStr">
        <is>
          <t>AL</t>
        </is>
      </c>
      <c r="F107" s="4" t="inlineStr">
        <is>
          <t>Capitais Regionais A</t>
        </is>
      </c>
      <c r="G107" s="4" t="inlineStr">
        <is>
          <t>Capital regional</t>
        </is>
      </c>
      <c r="H107" s="5">
        <f>IF(G107="fora do recorte","",SUMPRODUCT(($G$3:$G$1723=G107)*($A$3:$A$1723&lt;=A107)))</f>
        <v/>
      </c>
      <c r="I107" s="4">
        <f>IF(H107="","",G107&amp;"|"&amp;H107)</f>
        <v/>
      </c>
      <c r="J107" s="4" t="inlineStr">
        <is>
          <t>https://www.google.com/maps/search/?api=1&amp;query=Restaurante%20Barrica%27s&amp;query_place_id=ChIJp-xYQFVEAQcRWUVppzNA8wo</t>
        </is>
      </c>
      <c r="K107" s="4" t="inlineStr">
        <is>
          <t>Av. Álvaro Otacílio, 39 - Ponta Verde, Maceió - AL, 57035-180, Brasil</t>
        </is>
      </c>
      <c r="L107" s="4" t="inlineStr">
        <is>
          <t>Maceió</t>
        </is>
      </c>
      <c r="M107" s="5" t="n">
        <v>1</v>
      </c>
    </row>
    <row r="108">
      <c r="A108" s="3">
        <f>RAND()</f>
        <v/>
      </c>
      <c r="B108" s="4" t="inlineStr">
        <is>
          <t>ChIJ4Y7M96dFAQcRgd3v2p5uqUM</t>
        </is>
      </c>
      <c r="C108" s="4" t="inlineStr">
        <is>
          <t>Restaurante Casa de Mainha | Self Service | Pajuçara</t>
        </is>
      </c>
      <c r="D108" s="4" t="inlineStr">
        <is>
          <t>Maceió</t>
        </is>
      </c>
      <c r="E108" s="4" t="inlineStr">
        <is>
          <t>AL</t>
        </is>
      </c>
      <c r="F108" s="4" t="inlineStr">
        <is>
          <t>Capitais Regionais A</t>
        </is>
      </c>
      <c r="G108" s="4" t="inlineStr">
        <is>
          <t>Capital regional</t>
        </is>
      </c>
      <c r="H108" s="5">
        <f>IF(G108="fora do recorte","",SUMPRODUCT(($G$3:$G$1723=G108)*($A$3:$A$1723&lt;=A108)))</f>
        <v/>
      </c>
      <c r="I108" s="4">
        <f>IF(H108="","",G108&amp;"|"&amp;H108)</f>
        <v/>
      </c>
      <c r="J108" s="4" t="inlineStr">
        <is>
          <t>https://www.google.com/maps/search/?api=1&amp;query=Restaurante%20Casa%20de%20Mainha%20%7C%20Self%20Service%20%7C%20Paju%C3%A7ara&amp;query_place_id=ChIJ4Y7M96dFAQcRgd3v2p5uqUM</t>
        </is>
      </c>
      <c r="K108" s="4" t="inlineStr">
        <is>
          <t>R. Eng. Demócrito Sarmento Barroca, 80 - Pajuçara, Maceió - AL, 57030-500, Brasil</t>
        </is>
      </c>
      <c r="L108" s="4" t="inlineStr">
        <is>
          <t>Maceió</t>
        </is>
      </c>
      <c r="M108" s="5" t="n">
        <v>1</v>
      </c>
    </row>
    <row r="109">
      <c r="A109" s="3">
        <f>RAND()</f>
        <v/>
      </c>
      <c r="B109" s="4" t="inlineStr">
        <is>
          <t>ChIJGZqe4nFFAQcROKyoXPArrvM</t>
        </is>
      </c>
      <c r="C109" s="4" t="inlineStr">
        <is>
          <t>Rex Bar</t>
        </is>
      </c>
      <c r="D109" s="4" t="inlineStr">
        <is>
          <t>Maceió</t>
        </is>
      </c>
      <c r="E109" s="4" t="inlineStr">
        <is>
          <t>AL</t>
        </is>
      </c>
      <c r="F109" s="4" t="inlineStr">
        <is>
          <t>Capitais Regionais A</t>
        </is>
      </c>
      <c r="G109" s="4" t="inlineStr">
        <is>
          <t>Capital regional</t>
        </is>
      </c>
      <c r="H109" s="5">
        <f>IF(G109="fora do recorte","",SUMPRODUCT(($G$3:$G$1723=G109)*($A$3:$A$1723&lt;=A109)))</f>
        <v/>
      </c>
      <c r="I109" s="4">
        <f>IF(H109="","",G109&amp;"|"&amp;H109)</f>
        <v/>
      </c>
      <c r="J109" s="4" t="inlineStr">
        <is>
          <t>https://www.google.com/maps/search/?api=1&amp;query=Rex%20Bar&amp;query_place_id=ChIJGZqe4nFFAQcROKyoXPArrvM</t>
        </is>
      </c>
      <c r="K109" s="4" t="inlineStr">
        <is>
          <t>R. Sá e Albuquerque, 674 - Jaraguá, Maceió - AL, 57022-180, Brasil</t>
        </is>
      </c>
      <c r="L109" s="4" t="inlineStr">
        <is>
          <t>Maceió</t>
        </is>
      </c>
      <c r="M109" s="5" t="n">
        <v>3</v>
      </c>
    </row>
    <row r="110">
      <c r="A110" s="3">
        <f>RAND()</f>
        <v/>
      </c>
      <c r="B110" s="4" t="inlineStr">
        <is>
          <t>ChIJy62vrLtFAQcRdSucKKus09I</t>
        </is>
      </c>
      <c r="C110" s="4" t="inlineStr">
        <is>
          <t>Sanduba do Careca</t>
        </is>
      </c>
      <c r="D110" s="4" t="inlineStr">
        <is>
          <t>Maceió</t>
        </is>
      </c>
      <c r="E110" s="4" t="inlineStr">
        <is>
          <t>AL</t>
        </is>
      </c>
      <c r="F110" s="4" t="inlineStr">
        <is>
          <t>Capitais Regionais A</t>
        </is>
      </c>
      <c r="G110" s="4" t="inlineStr">
        <is>
          <t>Capital regional</t>
        </is>
      </c>
      <c r="H110" s="5">
        <f>IF(G110="fora do recorte","",SUMPRODUCT(($G$3:$G$1723=G110)*($A$3:$A$1723&lt;=A110)))</f>
        <v/>
      </c>
      <c r="I110" s="4">
        <f>IF(H110="","",G110&amp;"|"&amp;H110)</f>
        <v/>
      </c>
      <c r="J110" s="4" t="inlineStr">
        <is>
          <t>https://www.google.com/maps/search/?api=1&amp;query=Sanduba%20do%20Careca&amp;query_place_id=ChIJy62vrLtFAQcRdSucKKus09I</t>
        </is>
      </c>
      <c r="K110" s="4" t="inlineStr">
        <is>
          <t>Av. Empresário Carlos da Silva Nogueira, 495 - Jatiúca, Maceió - AL, 57036-540, Brasil</t>
        </is>
      </c>
      <c r="L110" s="4" t="inlineStr">
        <is>
          <t>Maceió</t>
        </is>
      </c>
      <c r="M110" s="5" t="n">
        <v>1</v>
      </c>
    </row>
    <row r="111">
      <c r="A111" s="3">
        <f>RAND()</f>
        <v/>
      </c>
      <c r="B111" s="4" t="inlineStr">
        <is>
          <t>ChIJ9a-eQBdIAQcRHr8QcRDyw4s</t>
        </is>
      </c>
      <c r="C111" s="4" t="inlineStr">
        <is>
          <t>Shopping Pátio Maceió</t>
        </is>
      </c>
      <c r="D111" s="4" t="inlineStr">
        <is>
          <t>Maceió</t>
        </is>
      </c>
      <c r="E111" s="4" t="inlineStr">
        <is>
          <t>AL</t>
        </is>
      </c>
      <c r="F111" s="4" t="inlineStr">
        <is>
          <t>Capitais Regionais A</t>
        </is>
      </c>
      <c r="G111" s="4" t="inlineStr">
        <is>
          <t>Capital regional</t>
        </is>
      </c>
      <c r="H111" s="5">
        <f>IF(G111="fora do recorte","",SUMPRODUCT(($G$3:$G$1723=G111)*($A$3:$A$1723&lt;=A111)))</f>
        <v/>
      </c>
      <c r="I111" s="4">
        <f>IF(H111="","",G111&amp;"|"&amp;H111)</f>
        <v/>
      </c>
      <c r="J111" s="4" t="inlineStr">
        <is>
          <t>https://www.google.com/maps/search/?api=1&amp;query=Shopping%20P%C3%A1tio%20Macei%C3%B3&amp;query_place_id=ChIJ9a-eQBdIAQcRHr8QcRDyw4s</t>
        </is>
      </c>
      <c r="K111" s="4" t="inlineStr">
        <is>
          <t>Av. Menino Marcelo, 3800 - Cidade Universitária, Maceió - AL, 57073-900, Brasil</t>
        </is>
      </c>
      <c r="L111" s="4" t="inlineStr">
        <is>
          <t>Maceió</t>
        </is>
      </c>
      <c r="M111" s="5" t="n">
        <v>1</v>
      </c>
    </row>
    <row r="112">
      <c r="A112" s="3">
        <f>RAND()</f>
        <v/>
      </c>
      <c r="B112" s="4" t="inlineStr">
        <is>
          <t>ChIJa2IS9T5JAQcRhLCVnkXC7aw</t>
        </is>
      </c>
      <c r="C112" s="4" t="inlineStr">
        <is>
          <t>Sonic games</t>
        </is>
      </c>
      <c r="D112" s="4" t="inlineStr">
        <is>
          <t>Maceió</t>
        </is>
      </c>
      <c r="E112" s="4" t="inlineStr">
        <is>
          <t>AL</t>
        </is>
      </c>
      <c r="F112" s="4" t="inlineStr">
        <is>
          <t>Capitais Regionais A</t>
        </is>
      </c>
      <c r="G112" s="4" t="inlineStr">
        <is>
          <t>Capital regional</t>
        </is>
      </c>
      <c r="H112" s="5">
        <f>IF(G112="fora do recorte","",SUMPRODUCT(($G$3:$G$1723=G112)*($A$3:$A$1723&lt;=A112)))</f>
        <v/>
      </c>
      <c r="I112" s="4">
        <f>IF(H112="","",G112&amp;"|"&amp;H112)</f>
        <v/>
      </c>
      <c r="J112" s="4" t="inlineStr">
        <is>
          <t>https://www.google.com/maps/search/?api=1&amp;query=Sonic%20games&amp;query_place_id=ChIJa2IS9T5JAQcRhLCVnkXC7aw</t>
        </is>
      </c>
      <c r="K112" s="4" t="inlineStr">
        <is>
          <t>Av. Maceió - Tabuleiro do Martins, Maceió - AL, 57061-060, Brasil</t>
        </is>
      </c>
      <c r="L112" s="4" t="inlineStr">
        <is>
          <t>Maceió</t>
        </is>
      </c>
      <c r="M112" s="5" t="n">
        <v>6</v>
      </c>
    </row>
    <row r="113">
      <c r="A113" s="3">
        <f>RAND()</f>
        <v/>
      </c>
      <c r="B113" s="4" t="inlineStr">
        <is>
          <t>ChIJiXqBkbBFAQcRVHmnIQ2w9mI</t>
        </is>
      </c>
      <c r="C113" s="4" t="inlineStr">
        <is>
          <t>Tapanacê Beer Truck</t>
        </is>
      </c>
      <c r="D113" s="4" t="inlineStr">
        <is>
          <t>Maceió</t>
        </is>
      </c>
      <c r="E113" s="4" t="inlineStr">
        <is>
          <t>AL</t>
        </is>
      </c>
      <c r="F113" s="4" t="inlineStr">
        <is>
          <t>Capitais Regionais A</t>
        </is>
      </c>
      <c r="G113" s="4" t="inlineStr">
        <is>
          <t>Capital regional</t>
        </is>
      </c>
      <c r="H113" s="5">
        <f>IF(G113="fora do recorte","",SUMPRODUCT(($G$3:$G$1723=G113)*($A$3:$A$1723&lt;=A113)))</f>
        <v/>
      </c>
      <c r="I113" s="4">
        <f>IF(H113="","",G113&amp;"|"&amp;H113)</f>
        <v/>
      </c>
      <c r="J113" s="4" t="inlineStr">
        <is>
          <t>https://www.google.com/maps/search/?api=1&amp;query=Tapanac%C3%AA%20Beer%20Truck&amp;query_place_id=ChIJiXqBkbBFAQcRVHmnIQ2w9mI</t>
        </is>
      </c>
      <c r="K113" s="4" t="inlineStr">
        <is>
          <t>Tapanacê Beer Truck Praça Denis Agra - R. Aprígio Francisco de Souza, S/N - Poço, Maceió - AL, 57025-280, Brasil</t>
        </is>
      </c>
      <c r="L113" s="4" t="inlineStr">
        <is>
          <t>Maceió</t>
        </is>
      </c>
      <c r="M113" s="5" t="n">
        <v>1</v>
      </c>
    </row>
    <row r="114">
      <c r="A114" s="3">
        <f>RAND()</f>
        <v/>
      </c>
      <c r="B114" s="4" t="inlineStr">
        <is>
          <t>ChIJL48M4dNFAQcRst9EFDPtboU</t>
        </is>
      </c>
      <c r="C114" s="4" t="inlineStr">
        <is>
          <t>Terra Média Geek Store</t>
        </is>
      </c>
      <c r="D114" s="4" t="inlineStr">
        <is>
          <t>Maceió</t>
        </is>
      </c>
      <c r="E114" s="4" t="inlineStr">
        <is>
          <t>AL</t>
        </is>
      </c>
      <c r="F114" s="4" t="inlineStr">
        <is>
          <t>Capitais Regionais A</t>
        </is>
      </c>
      <c r="G114" s="4" t="inlineStr">
        <is>
          <t>Capital regional</t>
        </is>
      </c>
      <c r="H114" s="5">
        <f>IF(G114="fora do recorte","",SUMPRODUCT(($G$3:$G$1723=G114)*($A$3:$A$1723&lt;=A114)))</f>
        <v/>
      </c>
      <c r="I114" s="4">
        <f>IF(H114="","",G114&amp;"|"&amp;H114)</f>
        <v/>
      </c>
      <c r="J114" s="4" t="inlineStr">
        <is>
          <t>https://www.google.com/maps/search/?api=1&amp;query=Terra%20M%C3%A9dia%20Geek%20Store&amp;query_place_id=ChIJL48M4dNFAQcRst9EFDPtboU</t>
        </is>
      </c>
      <c r="K114" s="4" t="inlineStr">
        <is>
          <t>R. Clementino do Monte, 58 - Farol, Maceió - AL, 57055-612, Brasil</t>
        </is>
      </c>
      <c r="L114" s="4" t="inlineStr">
        <is>
          <t>Maceió</t>
        </is>
      </c>
      <c r="M114" s="5" t="n">
        <v>9</v>
      </c>
    </row>
    <row r="115">
      <c r="A115" s="3">
        <f>RAND()</f>
        <v/>
      </c>
      <c r="B115" s="4" t="inlineStr">
        <is>
          <t>ChIJSVSutgFFAQcR3LfVG2MNiFU</t>
        </is>
      </c>
      <c r="C115" s="4" t="inlineStr">
        <is>
          <t>The Public House</t>
        </is>
      </c>
      <c r="D115" s="4" t="inlineStr">
        <is>
          <t>Maceió</t>
        </is>
      </c>
      <c r="E115" s="4" t="inlineStr">
        <is>
          <t>AL</t>
        </is>
      </c>
      <c r="F115" s="4" t="inlineStr">
        <is>
          <t>Capitais Regionais A</t>
        </is>
      </c>
      <c r="G115" s="4" t="inlineStr">
        <is>
          <t>Capital regional</t>
        </is>
      </c>
      <c r="H115" s="5">
        <f>IF(G115="fora do recorte","",SUMPRODUCT(($G$3:$G$1723=G115)*($A$3:$A$1723&lt;=A115)))</f>
        <v/>
      </c>
      <c r="I115" s="4">
        <f>IF(H115="","",G115&amp;"|"&amp;H115)</f>
        <v/>
      </c>
      <c r="J115" s="4" t="inlineStr">
        <is>
          <t>https://www.google.com/maps/search/?api=1&amp;query=The%20Public%20House&amp;query_place_id=ChIJSVSutgFFAQcR3LfVG2MNiFU</t>
        </is>
      </c>
      <c r="K115" s="4" t="inlineStr">
        <is>
          <t>Edf. Time - R. Durval Guimarães, 532 - Lj 7 - Ponta Verde, Maceió - AL, 57035-060, Brasil</t>
        </is>
      </c>
      <c r="L115" s="4" t="inlineStr">
        <is>
          <t>Maceió</t>
        </is>
      </c>
      <c r="M115" s="5" t="n">
        <v>1</v>
      </c>
    </row>
    <row r="116">
      <c r="A116" s="3">
        <f>RAND()</f>
        <v/>
      </c>
      <c r="B116" s="4" t="inlineStr">
        <is>
          <t>ChIJP1G0Fq1FAQcRKpLXpZdnQNM</t>
        </is>
      </c>
      <c r="C116" s="4" t="inlineStr">
        <is>
          <t>To You Presentes - Jatiúca</t>
        </is>
      </c>
      <c r="D116" s="4" t="inlineStr">
        <is>
          <t>Maceió</t>
        </is>
      </c>
      <c r="E116" s="4" t="inlineStr">
        <is>
          <t>AL</t>
        </is>
      </c>
      <c r="F116" s="4" t="inlineStr">
        <is>
          <t>Capitais Regionais A</t>
        </is>
      </c>
      <c r="G116" s="4" t="inlineStr">
        <is>
          <t>Capital regional</t>
        </is>
      </c>
      <c r="H116" s="5">
        <f>IF(G116="fora do recorte","",SUMPRODUCT(($G$3:$G$1723=G116)*($A$3:$A$1723&lt;=A116)))</f>
        <v/>
      </c>
      <c r="I116" s="4">
        <f>IF(H116="","",G116&amp;"|"&amp;H116)</f>
        <v/>
      </c>
      <c r="J116" s="4" t="inlineStr">
        <is>
          <t>https://www.google.com/maps/search/?api=1&amp;query=To%20You%20Presentes%20-%20Jati%C3%BAca&amp;query_place_id=ChIJP1G0Fq1FAQcRKpLXpZdnQNM</t>
        </is>
      </c>
      <c r="K116" s="4" t="inlineStr">
        <is>
          <t>R. Profa. Maria Esther da Costa Barros, 109 - Jatiúca, Maceió - AL, 57035-180, Brasil</t>
        </is>
      </c>
      <c r="L116" s="4" t="inlineStr">
        <is>
          <t>Maceió</t>
        </is>
      </c>
      <c r="M116" s="5" t="n">
        <v>1</v>
      </c>
    </row>
    <row r="117">
      <c r="A117" s="3">
        <f>RAND()</f>
        <v/>
      </c>
      <c r="B117" s="4" t="inlineStr">
        <is>
          <t>ChIJcaXZtIBPAQcRIq7oaEIAdHc</t>
        </is>
      </c>
      <c r="C117" s="4" t="inlineStr">
        <is>
          <t>Wanderson</t>
        </is>
      </c>
      <c r="D117" s="4" t="inlineStr">
        <is>
          <t>Maceió</t>
        </is>
      </c>
      <c r="E117" s="4" t="inlineStr">
        <is>
          <t>AL</t>
        </is>
      </c>
      <c r="F117" s="4" t="inlineStr">
        <is>
          <t>Capitais Regionais A</t>
        </is>
      </c>
      <c r="G117" s="4" t="inlineStr">
        <is>
          <t>Capital regional</t>
        </is>
      </c>
      <c r="H117" s="5">
        <f>IF(G117="fora do recorte","",SUMPRODUCT(($G$3:$G$1723=G117)*($A$3:$A$1723&lt;=A117)))</f>
        <v/>
      </c>
      <c r="I117" s="4">
        <f>IF(H117="","",G117&amp;"|"&amp;H117)</f>
        <v/>
      </c>
      <c r="J117" s="4" t="inlineStr">
        <is>
          <t>https://www.google.com/maps/search/?api=1&amp;query=Wanderson&amp;query_place_id=ChIJcaXZtIBPAQcRIq7oaEIAdHc</t>
        </is>
      </c>
      <c r="K117" s="4" t="inlineStr">
        <is>
          <t>galeria sagrado coração de jesus - R. Santa Luzia, sala 02 - Tabuleiro do Martins, Maceió - AL, 57060-150, Brasil</t>
        </is>
      </c>
      <c r="L117" s="4" t="inlineStr">
        <is>
          <t>Maceió</t>
        </is>
      </c>
      <c r="M117" s="5" t="n">
        <v>6</v>
      </c>
    </row>
    <row r="118">
      <c r="A118" s="3">
        <f>RAND()</f>
        <v/>
      </c>
      <c r="B118" s="4" t="inlineStr">
        <is>
          <t>ChIJnyqy8QHhYY0RIHJp_Ofb4v8</t>
        </is>
      </c>
      <c r="C118" s="4" t="inlineStr">
        <is>
          <t>4 Fun Geek Store</t>
        </is>
      </c>
      <c r="D118" s="4" t="inlineStr">
        <is>
          <t>Macapá</t>
        </is>
      </c>
      <c r="E118" s="4" t="inlineStr">
        <is>
          <t>AP</t>
        </is>
      </c>
      <c r="F118" s="4" t="inlineStr">
        <is>
          <t>Capitais Regionais C</t>
        </is>
      </c>
      <c r="G118" s="4" t="inlineStr">
        <is>
          <t>Capital regional</t>
        </is>
      </c>
      <c r="H118" s="5">
        <f>IF(G118="fora do recorte","",SUMPRODUCT(($G$3:$G$1723=G118)*($A$3:$A$1723&lt;=A118)))</f>
        <v/>
      </c>
      <c r="I118" s="4">
        <f>IF(H118="","",G118&amp;"|"&amp;H118)</f>
        <v/>
      </c>
      <c r="J118" s="4" t="inlineStr">
        <is>
          <t>https://www.google.com/maps/search/?api=1&amp;query=4%20Fun%20Geek%20Store&amp;query_place_id=ChIJnyqy8QHhYY0RIHJp_Ofb4v8</t>
        </is>
      </c>
      <c r="K118" s="4" t="inlineStr">
        <is>
          <t>Acelino de Leão, 1503 - Buritizal, Macapá - AP, 68901-092, Brasil</t>
        </is>
      </c>
      <c r="L118" s="4" t="inlineStr">
        <is>
          <t>Macapá</t>
        </is>
      </c>
      <c r="M118" s="5" t="n">
        <v>12</v>
      </c>
    </row>
    <row r="119">
      <c r="A119" s="3">
        <f>RAND()</f>
        <v/>
      </c>
      <c r="B119" s="4" t="inlineStr">
        <is>
          <t>ChIJKfGDY2vhYY0RweefbOXSwhg</t>
        </is>
      </c>
      <c r="C119" s="4" t="inlineStr">
        <is>
          <t>ARKD BAR</t>
        </is>
      </c>
      <c r="D119" s="4" t="inlineStr">
        <is>
          <t>Macapá</t>
        </is>
      </c>
      <c r="E119" s="4" t="inlineStr">
        <is>
          <t>AP</t>
        </is>
      </c>
      <c r="F119" s="4" t="inlineStr">
        <is>
          <t>Capitais Regionais C</t>
        </is>
      </c>
      <c r="G119" s="4" t="inlineStr">
        <is>
          <t>Capital regional</t>
        </is>
      </c>
      <c r="H119" s="5">
        <f>IF(G119="fora do recorte","",SUMPRODUCT(($G$3:$G$1723=G119)*($A$3:$A$1723&lt;=A119)))</f>
        <v/>
      </c>
      <c r="I119" s="4">
        <f>IF(H119="","",G119&amp;"|"&amp;H119)</f>
        <v/>
      </c>
      <c r="J119" s="4" t="inlineStr">
        <is>
          <t>https://www.google.com/maps/search/?api=1&amp;query=ARKD%20BAR&amp;query_place_id=ChIJKfGDY2vhYY0RweefbOXSwhg</t>
        </is>
      </c>
      <c r="K119" s="4" t="inlineStr">
        <is>
          <t>R. Paraná, 640F - Santa Rita, Macapá - AP, 68901-260, Brasil</t>
        </is>
      </c>
      <c r="L119" s="4" t="inlineStr">
        <is>
          <t>Macapá</t>
        </is>
      </c>
      <c r="M119" s="5" t="n">
        <v>3</v>
      </c>
    </row>
    <row r="120">
      <c r="A120" s="3">
        <f>RAND()</f>
        <v/>
      </c>
      <c r="B120" s="4" t="inlineStr">
        <is>
          <t>ChIJR0RVu7PhYY0RHoVScsHyiNU</t>
        </is>
      </c>
      <c r="C120" s="4" t="inlineStr">
        <is>
          <t>Arena Underground Games</t>
        </is>
      </c>
      <c r="D120" s="4" t="inlineStr">
        <is>
          <t>Macapá</t>
        </is>
      </c>
      <c r="E120" s="4" t="inlineStr">
        <is>
          <t>AP</t>
        </is>
      </c>
      <c r="F120" s="4" t="inlineStr">
        <is>
          <t>Capitais Regionais C</t>
        </is>
      </c>
      <c r="G120" s="4" t="inlineStr">
        <is>
          <t>Capital regional</t>
        </is>
      </c>
      <c r="H120" s="5">
        <f>IF(G120="fora do recorte","",SUMPRODUCT(($G$3:$G$1723=G120)*($A$3:$A$1723&lt;=A120)))</f>
        <v/>
      </c>
      <c r="I120" s="4">
        <f>IF(H120="","",G120&amp;"|"&amp;H120)</f>
        <v/>
      </c>
      <c r="J120" s="4" t="inlineStr">
        <is>
          <t>https://www.google.com/maps/search/?api=1&amp;query=Arena%20Underground%20Games&amp;query_place_id=ChIJR0RVu7PhYY0RHoVScsHyiNU</t>
        </is>
      </c>
      <c r="K120" s="4" t="inlineStr">
        <is>
          <t>R. Gen. Rondon, 1467 - Centro, Macapá - AP, 68900-082, Brasil</t>
        </is>
      </c>
      <c r="L120" s="4" t="inlineStr">
        <is>
          <t>Macapá</t>
        </is>
      </c>
      <c r="M120" s="5" t="n">
        <v>5</v>
      </c>
    </row>
    <row r="121">
      <c r="A121" s="3">
        <f>RAND()</f>
        <v/>
      </c>
      <c r="B121" s="4" t="inlineStr">
        <is>
          <t>ChIJI7SPyj7hYY0RVShAzLrI4_8</t>
        </is>
      </c>
      <c r="C121" s="4" t="inlineStr">
        <is>
          <t>BAR DO VILA</t>
        </is>
      </c>
      <c r="D121" s="4" t="inlineStr">
        <is>
          <t>Macapá</t>
        </is>
      </c>
      <c r="E121" s="4" t="inlineStr">
        <is>
          <t>AP</t>
        </is>
      </c>
      <c r="F121" s="4" t="inlineStr">
        <is>
          <t>Capitais Regionais C</t>
        </is>
      </c>
      <c r="G121" s="4" t="inlineStr">
        <is>
          <t>Capital regional</t>
        </is>
      </c>
      <c r="H121" s="5">
        <f>IF(G121="fora do recorte","",SUMPRODUCT(($G$3:$G$1723=G121)*($A$3:$A$1723&lt;=A121)))</f>
        <v/>
      </c>
      <c r="I121" s="4">
        <f>IF(H121="","",G121&amp;"|"&amp;H121)</f>
        <v/>
      </c>
      <c r="J121" s="4" t="inlineStr">
        <is>
          <t>https://www.google.com/maps/search/?api=1&amp;query=BAR%20DO%20VILA&amp;query_place_id=ChIJI7SPyj7hYY0RVShAzLrI4_8</t>
        </is>
      </c>
      <c r="K121" s="4" t="inlineStr">
        <is>
          <t>Av. Mendonça Furtado, 586 - Central, Macapá - AP, 68900-060, Brasil</t>
        </is>
      </c>
      <c r="L121" s="4" t="inlineStr">
        <is>
          <t>Macapá</t>
        </is>
      </c>
      <c r="M121" s="5" t="n">
        <v>2</v>
      </c>
    </row>
    <row r="122">
      <c r="A122" s="3">
        <f>RAND()</f>
        <v/>
      </c>
      <c r="B122" s="4" t="inlineStr">
        <is>
          <t>ChIJB9LscRrhYY0Ri9A2rtfN0JA</t>
        </is>
      </c>
      <c r="C122" s="4" t="inlineStr">
        <is>
          <t>Bar Cajueiro</t>
        </is>
      </c>
      <c r="D122" s="4" t="inlineStr">
        <is>
          <t>Macapá</t>
        </is>
      </c>
      <c r="E122" s="4" t="inlineStr">
        <is>
          <t>AP</t>
        </is>
      </c>
      <c r="F122" s="4" t="inlineStr">
        <is>
          <t>Capitais Regionais C</t>
        </is>
      </c>
      <c r="G122" s="4" t="inlineStr">
        <is>
          <t>Capital regional</t>
        </is>
      </c>
      <c r="H122" s="5">
        <f>IF(G122="fora do recorte","",SUMPRODUCT(($G$3:$G$1723=G122)*($A$3:$A$1723&lt;=A122)))</f>
        <v/>
      </c>
      <c r="I122" s="4">
        <f>IF(H122="","",G122&amp;"|"&amp;H122)</f>
        <v/>
      </c>
      <c r="J122" s="4" t="inlineStr">
        <is>
          <t>https://www.google.com/maps/search/?api=1&amp;query=Bar%20Cajueiro&amp;query_place_id=ChIJB9LscRrhYY0Ri9A2rtfN0JA</t>
        </is>
      </c>
      <c r="K122" s="4" t="inlineStr">
        <is>
          <t>Av. Pres. Vargas, 2089 - Central, Macapá - AP, 68900-070, Brasil</t>
        </is>
      </c>
      <c r="L122" s="4" t="inlineStr">
        <is>
          <t>Macapá</t>
        </is>
      </c>
      <c r="M122" s="5" t="n">
        <v>1</v>
      </c>
    </row>
    <row r="123">
      <c r="A123" s="3">
        <f>RAND()</f>
        <v/>
      </c>
      <c r="B123" s="4" t="inlineStr">
        <is>
          <t>ChIJkRDxW0rhYY0RTxZqNbVbQs8</t>
        </is>
      </c>
      <c r="C123" s="4" t="inlineStr">
        <is>
          <t>Bar Du Pedro</t>
        </is>
      </c>
      <c r="D123" s="4" t="inlineStr">
        <is>
          <t>Macapá</t>
        </is>
      </c>
      <c r="E123" s="4" t="inlineStr">
        <is>
          <t>AP</t>
        </is>
      </c>
      <c r="F123" s="4" t="inlineStr">
        <is>
          <t>Capitais Regionais C</t>
        </is>
      </c>
      <c r="G123" s="4" t="inlineStr">
        <is>
          <t>Capital regional</t>
        </is>
      </c>
      <c r="H123" s="5">
        <f>IF(G123="fora do recorte","",SUMPRODUCT(($G$3:$G$1723=G123)*($A$3:$A$1723&lt;=A123)))</f>
        <v/>
      </c>
      <c r="I123" s="4">
        <f>IF(H123="","",G123&amp;"|"&amp;H123)</f>
        <v/>
      </c>
      <c r="J123" s="4" t="inlineStr">
        <is>
          <t>https://www.google.com/maps/search/?api=1&amp;query=Bar%20Du%20Pedro&amp;query_place_id=ChIJkRDxW0rhYY0RTxZqNbVbQs8</t>
        </is>
      </c>
      <c r="K123" s="4" t="inlineStr">
        <is>
          <t>Av. Antônio Coelho de Carvalho, 38 - Central, Macapá - AP, 68900-015, Brasil</t>
        </is>
      </c>
      <c r="L123" s="4" t="inlineStr">
        <is>
          <t>Macapá</t>
        </is>
      </c>
      <c r="M123" s="5" t="n">
        <v>2</v>
      </c>
    </row>
    <row r="124">
      <c r="A124" s="3">
        <f>RAND()</f>
        <v/>
      </c>
      <c r="B124" s="4" t="inlineStr">
        <is>
          <t>ChIJb5ySLqfhYY0R8iLN1uFJCcU</t>
        </is>
      </c>
      <c r="C124" s="4" t="inlineStr">
        <is>
          <t>Bar do Urso</t>
        </is>
      </c>
      <c r="D124" s="4" t="inlineStr">
        <is>
          <t>Macapá</t>
        </is>
      </c>
      <c r="E124" s="4" t="inlineStr">
        <is>
          <t>AP</t>
        </is>
      </c>
      <c r="F124" s="4" t="inlineStr">
        <is>
          <t>Capitais Regionais C</t>
        </is>
      </c>
      <c r="G124" s="4" t="inlineStr">
        <is>
          <t>Capital regional</t>
        </is>
      </c>
      <c r="H124" s="5">
        <f>IF(G124="fora do recorte","",SUMPRODUCT(($G$3:$G$1723=G124)*($A$3:$A$1723&lt;=A124)))</f>
        <v/>
      </c>
      <c r="I124" s="4">
        <f>IF(H124="","",G124&amp;"|"&amp;H124)</f>
        <v/>
      </c>
      <c r="J124" s="4" t="inlineStr">
        <is>
          <t>https://www.google.com/maps/search/?api=1&amp;query=Bar%20do%20Urso&amp;query_place_id=ChIJb5ySLqfhYY0R8iLN1uFJCcU</t>
        </is>
      </c>
      <c r="K124" s="4" t="inlineStr">
        <is>
          <t>R. Odilardo Silva, 2300 - Trem, Macapá - AP, 68900-151, Brasil</t>
        </is>
      </c>
      <c r="L124" s="4" t="inlineStr">
        <is>
          <t>Macapá</t>
        </is>
      </c>
      <c r="M124" s="5" t="n">
        <v>2</v>
      </c>
    </row>
    <row r="125">
      <c r="A125" s="3">
        <f>RAND()</f>
        <v/>
      </c>
      <c r="B125" s="4" t="inlineStr">
        <is>
          <t>ChIJJ-SKMwDhYY0R1QRcLa9qyzE</t>
        </is>
      </c>
      <c r="C125" s="4" t="inlineStr">
        <is>
          <t>Billiards Bar</t>
        </is>
      </c>
      <c r="D125" s="4" t="inlineStr">
        <is>
          <t>Macapá</t>
        </is>
      </c>
      <c r="E125" s="4" t="inlineStr">
        <is>
          <t>AP</t>
        </is>
      </c>
      <c r="F125" s="4" t="inlineStr">
        <is>
          <t>Capitais Regionais C</t>
        </is>
      </c>
      <c r="G125" s="4" t="inlineStr">
        <is>
          <t>Capital regional</t>
        </is>
      </c>
      <c r="H125" s="5">
        <f>IF(G125="fora do recorte","",SUMPRODUCT(($G$3:$G$1723=G125)*($A$3:$A$1723&lt;=A125)))</f>
        <v/>
      </c>
      <c r="I125" s="4">
        <f>IF(H125="","",G125&amp;"|"&amp;H125)</f>
        <v/>
      </c>
      <c r="J125" s="4" t="inlineStr">
        <is>
          <t>https://www.google.com/maps/search/?api=1&amp;query=Billiards%20Bar&amp;query_place_id=ChIJJ-SKMwDhYY0R1QRcLa9qyzE</t>
        </is>
      </c>
      <c r="K125" s="4" t="inlineStr">
        <is>
          <t>R. Hamilton Silva, 2969 - Trem, Macapá - AP, 68901-140, Brasil</t>
        </is>
      </c>
      <c r="L125" s="4" t="inlineStr">
        <is>
          <t>Macapá</t>
        </is>
      </c>
      <c r="M125" s="5" t="n">
        <v>2</v>
      </c>
    </row>
    <row r="126">
      <c r="A126" s="3">
        <f>RAND()</f>
        <v/>
      </c>
      <c r="B126" s="4" t="inlineStr">
        <is>
          <t>ChIJbSfwVQDhYY0Rx5aY3a7TZzQ</t>
        </is>
      </c>
      <c r="C126" s="4" t="inlineStr">
        <is>
          <t>Board House - Jogos de Tabuleiro</t>
        </is>
      </c>
      <c r="D126" s="4" t="inlineStr">
        <is>
          <t>Macapá</t>
        </is>
      </c>
      <c r="E126" s="4" t="inlineStr">
        <is>
          <t>AP</t>
        </is>
      </c>
      <c r="F126" s="4" t="inlineStr">
        <is>
          <t>Capitais Regionais C</t>
        </is>
      </c>
      <c r="G126" s="4" t="inlineStr">
        <is>
          <t>Capital regional</t>
        </is>
      </c>
      <c r="H126" s="5">
        <f>IF(G126="fora do recorte","",SUMPRODUCT(($G$3:$G$1723=G126)*($A$3:$A$1723&lt;=A126)))</f>
        <v/>
      </c>
      <c r="I126" s="4">
        <f>IF(H126="","",G126&amp;"|"&amp;H126)</f>
        <v/>
      </c>
      <c r="J126" s="4" t="inlineStr">
        <is>
          <t>https://www.google.com/maps/search/?api=1&amp;query=Board%20House%20-%20Jogos%20de%20Tabuleiro&amp;query_place_id=ChIJbSfwVQDhYY0Rx5aY3a7TZzQ</t>
        </is>
      </c>
      <c r="K126" s="4" t="inlineStr">
        <is>
          <t>Av. Desidério Antônio Coelho, 1189 - Trem, Macapá - AP, 68901-080, Brasil</t>
        </is>
      </c>
      <c r="L126" s="4" t="inlineStr">
        <is>
          <t>Macapá</t>
        </is>
      </c>
      <c r="M126" s="5" t="n">
        <v>12</v>
      </c>
    </row>
    <row r="127">
      <c r="A127" s="3">
        <f>RAND()</f>
        <v/>
      </c>
      <c r="B127" s="4" t="inlineStr">
        <is>
          <t>ChIJB_gogvfhYY0Rakpj0BQUbTI</t>
        </is>
      </c>
      <c r="C127" s="4" t="inlineStr">
        <is>
          <t>Brinquedoteca Brincar e aprender</t>
        </is>
      </c>
      <c r="D127" s="4" t="inlineStr">
        <is>
          <t>Macapá</t>
        </is>
      </c>
      <c r="E127" s="4" t="inlineStr">
        <is>
          <t>AP</t>
        </is>
      </c>
      <c r="F127" s="4" t="inlineStr">
        <is>
          <t>Capitais Regionais C</t>
        </is>
      </c>
      <c r="G127" s="4" t="inlineStr">
        <is>
          <t>Capital regional</t>
        </is>
      </c>
      <c r="H127" s="5">
        <f>IF(G127="fora do recorte","",SUMPRODUCT(($G$3:$G$1723=G127)*($A$3:$A$1723&lt;=A127)))</f>
        <v/>
      </c>
      <c r="I127" s="4">
        <f>IF(H127="","",G127&amp;"|"&amp;H127)</f>
        <v/>
      </c>
      <c r="J127" s="4" t="inlineStr">
        <is>
          <t>https://www.google.com/maps/search/?api=1&amp;query=Brinquedoteca%20Brincar%20e%20aprender&amp;query_place_id=ChIJB_gogvfhYY0Rakpj0BQUbTI</t>
        </is>
      </c>
      <c r="K127" s="4" t="inlineStr">
        <is>
          <t>R. José Luís Barata, 332 - Jardim Marco Zero, Macapá - AP, 68903-364, Brasil</t>
        </is>
      </c>
      <c r="L127" s="4" t="inlineStr">
        <is>
          <t>Macapá</t>
        </is>
      </c>
      <c r="M127" s="5" t="n">
        <v>1</v>
      </c>
    </row>
    <row r="128">
      <c r="A128" s="3">
        <f>RAND()</f>
        <v/>
      </c>
      <c r="B128" s="4" t="inlineStr">
        <is>
          <t>ChIJtQemUefnYY0RBM5_s0hukys</t>
        </is>
      </c>
      <c r="C128" s="4" t="inlineStr">
        <is>
          <t>C.A Play Games</t>
        </is>
      </c>
      <c r="D128" s="4" t="inlineStr">
        <is>
          <t>Macapá</t>
        </is>
      </c>
      <c r="E128" s="4" t="inlineStr">
        <is>
          <t>AP</t>
        </is>
      </c>
      <c r="F128" s="4" t="inlineStr">
        <is>
          <t>Capitais Regionais C</t>
        </is>
      </c>
      <c r="G128" s="4" t="inlineStr">
        <is>
          <t>Capital regional</t>
        </is>
      </c>
      <c r="H128" s="5">
        <f>IF(G128="fora do recorte","",SUMPRODUCT(($G$3:$G$1723=G128)*($A$3:$A$1723&lt;=A128)))</f>
        <v/>
      </c>
      <c r="I128" s="4">
        <f>IF(H128="","",G128&amp;"|"&amp;H128)</f>
        <v/>
      </c>
      <c r="J128" s="4" t="inlineStr">
        <is>
          <t>https://www.google.com/maps/search/?api=1&amp;query=C.A%20Play%20Games&amp;query_place_id=ChIJtQemUefnYY0RBM5_s0hukys</t>
        </is>
      </c>
      <c r="K128" s="4" t="inlineStr">
        <is>
          <t>Av. Álvaro Carvalho Barbosa - Novo Horizonte, Macapá - AP, 68909-812, Brasil</t>
        </is>
      </c>
      <c r="L128" s="4" t="inlineStr">
        <is>
          <t>Macapá</t>
        </is>
      </c>
      <c r="M128" s="5" t="n">
        <v>3</v>
      </c>
    </row>
    <row r="129">
      <c r="A129" s="3">
        <f>RAND()</f>
        <v/>
      </c>
      <c r="B129" s="4" t="inlineStr">
        <is>
          <t>ChIJ____SAbhYY0RQ4c3KWejXXo</t>
        </is>
      </c>
      <c r="C129" s="4" t="inlineStr">
        <is>
          <t>CAVERNA - COLLECTIBLE STORE</t>
        </is>
      </c>
      <c r="D129" s="4" t="inlineStr">
        <is>
          <t>Macapá</t>
        </is>
      </c>
      <c r="E129" s="4" t="inlineStr">
        <is>
          <t>AP</t>
        </is>
      </c>
      <c r="F129" s="4" t="inlineStr">
        <is>
          <t>Capitais Regionais C</t>
        </is>
      </c>
      <c r="G129" s="4" t="inlineStr">
        <is>
          <t>Capital regional</t>
        </is>
      </c>
      <c r="H129" s="5">
        <f>IF(G129="fora do recorte","",SUMPRODUCT(($G$3:$G$1723=G129)*($A$3:$A$1723&lt;=A129)))</f>
        <v/>
      </c>
      <c r="I129" s="4">
        <f>IF(H129="","",G129&amp;"|"&amp;H129)</f>
        <v/>
      </c>
      <c r="J129" s="4" t="inlineStr">
        <is>
          <t>https://www.google.com/maps/search/?api=1&amp;query=CAVERNA%20-%20COLLECTIBLE%20STORE&amp;query_place_id=ChIJ____SAbhYY0RQ4c3KWejXXo</t>
        </is>
      </c>
      <c r="K129" s="4" t="inlineStr">
        <is>
          <t>Av. Ernestino Borges, 994f - Julião Ramos, Macapá - AP, 68908-198, Brasil</t>
        </is>
      </c>
      <c r="L129" s="4" t="inlineStr">
        <is>
          <t>Macapá</t>
        </is>
      </c>
      <c r="M129" s="5" t="n">
        <v>1</v>
      </c>
    </row>
    <row r="130">
      <c r="A130" s="3">
        <f>RAND()</f>
        <v/>
      </c>
      <c r="B130" s="4" t="inlineStr">
        <is>
          <t>ChIJk-w24F0fnpIRQE5x0l1Uy0c</t>
        </is>
      </c>
      <c r="C130" s="4" t="inlineStr">
        <is>
          <t>Espaço Criança Brinquedoteca &amp; Play Park</t>
        </is>
      </c>
      <c r="D130" s="4" t="inlineStr">
        <is>
          <t>Macapá</t>
        </is>
      </c>
      <c r="E130" s="4" t="inlineStr">
        <is>
          <t>AP</t>
        </is>
      </c>
      <c r="F130" s="4" t="inlineStr">
        <is>
          <t>Capitais Regionais C</t>
        </is>
      </c>
      <c r="G130" s="4" t="inlineStr">
        <is>
          <t>Capital regional</t>
        </is>
      </c>
      <c r="H130" s="5">
        <f>IF(G130="fora do recorte","",SUMPRODUCT(($G$3:$G$1723=G130)*($A$3:$A$1723&lt;=A130)))</f>
        <v/>
      </c>
      <c r="I130" s="4">
        <f>IF(H130="","",G130&amp;"|"&amp;H130)</f>
        <v/>
      </c>
      <c r="J130" s="4" t="inlineStr">
        <is>
          <t>https://www.google.com/maps/search/?api=1&amp;query=Espa%C3%A7o%20Crian%C3%A7a%20Brinquedoteca%20%26%20Play%20Park&amp;query_place_id=ChIJk-w24F0fnpIRQE5x0l1Uy0c</t>
        </is>
      </c>
      <c r="K130" s="4" t="inlineStr">
        <is>
          <t>Rodovia Juscelino Kubitschek, 2141 - Jardim Equatorial, Macapá - AP, 68903-419, Brasil</t>
        </is>
      </c>
      <c r="L130" s="4" t="inlineStr">
        <is>
          <t>Macapá</t>
        </is>
      </c>
      <c r="M130" s="5" t="n">
        <v>1</v>
      </c>
    </row>
    <row r="131">
      <c r="A131" s="3">
        <f>RAND()</f>
        <v/>
      </c>
      <c r="B131" s="4" t="inlineStr">
        <is>
          <t>ChIJlX7nbiPhYY0RJJY1JafeCfg</t>
        </is>
      </c>
      <c r="C131" s="4" t="inlineStr">
        <is>
          <t>Gegê Gastro-Bar</t>
        </is>
      </c>
      <c r="D131" s="4" t="inlineStr">
        <is>
          <t>Macapá</t>
        </is>
      </c>
      <c r="E131" s="4" t="inlineStr">
        <is>
          <t>AP</t>
        </is>
      </c>
      <c r="F131" s="4" t="inlineStr">
        <is>
          <t>Capitais Regionais C</t>
        </is>
      </c>
      <c r="G131" s="4" t="inlineStr">
        <is>
          <t>Capital regional</t>
        </is>
      </c>
      <c r="H131" s="5">
        <f>IF(G131="fora do recorte","",SUMPRODUCT(($G$3:$G$1723=G131)*($A$3:$A$1723&lt;=A131)))</f>
        <v/>
      </c>
      <c r="I131" s="4">
        <f>IF(H131="","",G131&amp;"|"&amp;H131)</f>
        <v/>
      </c>
      <c r="J131" s="4" t="inlineStr">
        <is>
          <t>https://www.google.com/maps/search/?api=1&amp;query=Geg%C3%AA%20Gastro-Bar&amp;query_place_id=ChIJlX7nbiPhYY0RJJY1JafeCfg</t>
        </is>
      </c>
      <c r="K131" s="4" t="inlineStr">
        <is>
          <t>R. do Canal, 3837 - Jardim Equatorial, Macapá - AP, 68903-015, Brasil</t>
        </is>
      </c>
      <c r="L131" s="4" t="inlineStr">
        <is>
          <t>Macapá</t>
        </is>
      </c>
      <c r="M131" s="5" t="n">
        <v>1</v>
      </c>
    </row>
    <row r="132">
      <c r="A132" s="3">
        <f>RAND()</f>
        <v/>
      </c>
      <c r="B132" s="4" t="inlineStr">
        <is>
          <t>ChIJce_iUyrhYY0R2ys9OHsXuCM</t>
        </is>
      </c>
      <c r="C132" s="4" t="inlineStr">
        <is>
          <t>Infinity TCG</t>
        </is>
      </c>
      <c r="D132" s="4" t="inlineStr">
        <is>
          <t>Macapá</t>
        </is>
      </c>
      <c r="E132" s="4" t="inlineStr">
        <is>
          <t>AP</t>
        </is>
      </c>
      <c r="F132" s="4" t="inlineStr">
        <is>
          <t>Capitais Regionais C</t>
        </is>
      </c>
      <c r="G132" s="4" t="inlineStr">
        <is>
          <t>Capital regional</t>
        </is>
      </c>
      <c r="H132" s="5">
        <f>IF(G132="fora do recorte","",SUMPRODUCT(($G$3:$G$1723=G132)*($A$3:$A$1723&lt;=A132)))</f>
        <v/>
      </c>
      <c r="I132" s="4">
        <f>IF(H132="","",G132&amp;"|"&amp;H132)</f>
        <v/>
      </c>
      <c r="J132" s="4" t="inlineStr">
        <is>
          <t>https://www.google.com/maps/search/?api=1&amp;query=Infinity%20TCG&amp;query_place_id=ChIJce_iUyrhYY0R2ys9OHsXuCM</t>
        </is>
      </c>
      <c r="K132" s="4" t="inlineStr">
        <is>
          <t>Av. Desidério Antônio Coelho, 903 - Trem, Macapá - AP, 68901-080, Brasil</t>
        </is>
      </c>
      <c r="L132" s="4" t="inlineStr">
        <is>
          <t>Macapá</t>
        </is>
      </c>
      <c r="M132" s="5" t="n">
        <v>2</v>
      </c>
    </row>
    <row r="133">
      <c r="A133" s="3">
        <f>RAND()</f>
        <v/>
      </c>
      <c r="B133" s="4" t="inlineStr">
        <is>
          <t>ChIJu8UNtRvhYY0R8iv23rNIXZg</t>
        </is>
      </c>
      <c r="C133" s="4" t="inlineStr">
        <is>
          <t>Inforgame Produtos Eletrônicos</t>
        </is>
      </c>
      <c r="D133" s="4" t="inlineStr">
        <is>
          <t>Macapá</t>
        </is>
      </c>
      <c r="E133" s="4" t="inlineStr">
        <is>
          <t>AP</t>
        </is>
      </c>
      <c r="F133" s="4" t="inlineStr">
        <is>
          <t>Capitais Regionais C</t>
        </is>
      </c>
      <c r="G133" s="4" t="inlineStr">
        <is>
          <t>Capital regional</t>
        </is>
      </c>
      <c r="H133" s="5">
        <f>IF(G133="fora do recorte","",SUMPRODUCT(($G$3:$G$1723=G133)*($A$3:$A$1723&lt;=A133)))</f>
        <v/>
      </c>
      <c r="I133" s="4">
        <f>IF(H133="","",G133&amp;"|"&amp;H133)</f>
        <v/>
      </c>
      <c r="J133" s="4" t="inlineStr">
        <is>
          <t>https://www.google.com/maps/search/?api=1&amp;query=Inforgame%20Produtos%20Eletr%C3%B4nicos&amp;query_place_id=ChIJu8UNtRvhYY0R8iv23rNIXZg</t>
        </is>
      </c>
      <c r="K133" s="4" t="inlineStr">
        <is>
          <t>Av. Profa. Cora de Carvalho, 1439 - Central, Macapá - AP, 68900-040, Brasil</t>
        </is>
      </c>
      <c r="L133" s="4" t="inlineStr">
        <is>
          <t>Macapá</t>
        </is>
      </c>
      <c r="M133" s="5" t="n">
        <v>2</v>
      </c>
    </row>
    <row r="134">
      <c r="A134" s="3">
        <f>RAND()</f>
        <v/>
      </c>
      <c r="B134" s="4" t="inlineStr">
        <is>
          <t>ChIJZZUHbgDhYY0R9jUdPGJQZbI</t>
        </is>
      </c>
      <c r="C134" s="4" t="inlineStr">
        <is>
          <t>Lajes Barber Club</t>
        </is>
      </c>
      <c r="D134" s="4" t="inlineStr">
        <is>
          <t>Macapá</t>
        </is>
      </c>
      <c r="E134" s="4" t="inlineStr">
        <is>
          <t>AP</t>
        </is>
      </c>
      <c r="F134" s="4" t="inlineStr">
        <is>
          <t>Capitais Regionais C</t>
        </is>
      </c>
      <c r="G134" s="4" t="inlineStr">
        <is>
          <t>Capital regional</t>
        </is>
      </c>
      <c r="H134" s="5">
        <f>IF(G134="fora do recorte","",SUMPRODUCT(($G$3:$G$1723=G134)*($A$3:$A$1723&lt;=A134)))</f>
        <v/>
      </c>
      <c r="I134" s="4">
        <f>IF(H134="","",G134&amp;"|"&amp;H134)</f>
        <v/>
      </c>
      <c r="J134" s="4" t="inlineStr">
        <is>
          <t>https://www.google.com/maps/search/?api=1&amp;query=Lajes%20Barber%20Club&amp;query_place_id=ChIJZZUHbgDhYY0R9jUdPGJQZbI</t>
        </is>
      </c>
      <c r="K134" s="4" t="inlineStr">
        <is>
          <t>R. Leopoldo Machado, 2447 - Centro, Macapá - AP, 68900-067, Brasil</t>
        </is>
      </c>
      <c r="L134" s="4" t="inlineStr">
        <is>
          <t>Macapá</t>
        </is>
      </c>
      <c r="M134" s="5" t="n">
        <v>1</v>
      </c>
    </row>
    <row r="135">
      <c r="A135" s="3">
        <f>RAND()</f>
        <v/>
      </c>
      <c r="B135" s="4" t="inlineStr">
        <is>
          <t>ChIJv2wtG6zhYY0R1xTfcbsaSZA</t>
        </is>
      </c>
      <c r="C135" s="4" t="inlineStr">
        <is>
          <t>Lajes Macapá</t>
        </is>
      </c>
      <c r="D135" s="4" t="inlineStr">
        <is>
          <t>Macapá</t>
        </is>
      </c>
      <c r="E135" s="4" t="inlineStr">
        <is>
          <t>AP</t>
        </is>
      </c>
      <c r="F135" s="4" t="inlineStr">
        <is>
          <t>Capitais Regionais C</t>
        </is>
      </c>
      <c r="G135" s="4" t="inlineStr">
        <is>
          <t>Capital regional</t>
        </is>
      </c>
      <c r="H135" s="5">
        <f>IF(G135="fora do recorte","",SUMPRODUCT(($G$3:$G$1723=G135)*($A$3:$A$1723&lt;=A135)))</f>
        <v/>
      </c>
      <c r="I135" s="4">
        <f>IF(H135="","",G135&amp;"|"&amp;H135)</f>
        <v/>
      </c>
      <c r="J135" s="4" t="inlineStr">
        <is>
          <t>https://www.google.com/maps/search/?api=1&amp;query=Lajes%20Macap%C3%A1&amp;query_place_id=ChIJv2wtG6zhYY0R1xTfcbsaSZA</t>
        </is>
      </c>
      <c r="K135" s="4" t="inlineStr">
        <is>
          <t>R. Leopoldo Machado - Trem, Macapá - AP, 68901-130, Brasil</t>
        </is>
      </c>
      <c r="L135" s="4" t="inlineStr">
        <is>
          <t>Macapá</t>
        </is>
      </c>
      <c r="M135" s="5" t="n">
        <v>1</v>
      </c>
    </row>
    <row r="136">
      <c r="A136" s="3">
        <f>RAND()</f>
        <v/>
      </c>
      <c r="B136" s="4" t="inlineStr">
        <is>
          <t>ChIJD91JKhEenpIRqEibzcYLto8</t>
        </is>
      </c>
      <c r="C136" s="4" t="inlineStr">
        <is>
          <t>Leitura</t>
        </is>
      </c>
      <c r="D136" s="4" t="inlineStr">
        <is>
          <t>Macapá</t>
        </is>
      </c>
      <c r="E136" s="4" t="inlineStr">
        <is>
          <t>AP</t>
        </is>
      </c>
      <c r="F136" s="4" t="inlineStr">
        <is>
          <t>Capitais Regionais C</t>
        </is>
      </c>
      <c r="G136" s="4" t="inlineStr">
        <is>
          <t>Capital regional</t>
        </is>
      </c>
      <c r="H136" s="5">
        <f>IF(G136="fora do recorte","",SUMPRODUCT(($G$3:$G$1723=G136)*($A$3:$A$1723&lt;=A136)))</f>
        <v/>
      </c>
      <c r="I136" s="4">
        <f>IF(H136="","",G136&amp;"|"&amp;H136)</f>
        <v/>
      </c>
      <c r="J136" s="4" t="inlineStr">
        <is>
          <t>https://www.google.com/maps/search/?api=1&amp;query=Leitura&amp;query_place_id=ChIJD91JKhEenpIRqEibzcYLto8</t>
        </is>
      </c>
      <c r="K136" s="4" t="inlineStr">
        <is>
          <t>Amapá Garden Shopping - Rod. Josmar Chaves Pinto - Universidade, Macapá - AP, 68903-419, Brasil</t>
        </is>
      </c>
      <c r="L136" s="4" t="inlineStr">
        <is>
          <t>Macapá</t>
        </is>
      </c>
      <c r="M136" s="5" t="n">
        <v>1</v>
      </c>
    </row>
    <row r="137">
      <c r="A137" s="3">
        <f>RAND()</f>
        <v/>
      </c>
      <c r="B137" s="4" t="inlineStr">
        <is>
          <t>ChIJu0RxYZbhYY0RQjos4linbLY</t>
        </is>
      </c>
      <c r="C137" s="4" t="inlineStr">
        <is>
          <t>Leo Games</t>
        </is>
      </c>
      <c r="D137" s="4" t="inlineStr">
        <is>
          <t>Macapá</t>
        </is>
      </c>
      <c r="E137" s="4" t="inlineStr">
        <is>
          <t>AP</t>
        </is>
      </c>
      <c r="F137" s="4" t="inlineStr">
        <is>
          <t>Capitais Regionais C</t>
        </is>
      </c>
      <c r="G137" s="4" t="inlineStr">
        <is>
          <t>Capital regional</t>
        </is>
      </c>
      <c r="H137" s="5">
        <f>IF(G137="fora do recorte","",SUMPRODUCT(($G$3:$G$1723=G137)*($A$3:$A$1723&lt;=A137)))</f>
        <v/>
      </c>
      <c r="I137" s="4">
        <f>IF(H137="","",G137&amp;"|"&amp;H137)</f>
        <v/>
      </c>
      <c r="J137" s="4" t="inlineStr">
        <is>
          <t>https://www.google.com/maps/search/?api=1&amp;query=Leo%20Games&amp;query_place_id=ChIJu0RxYZbhYY0RQjos4linbLY</t>
        </is>
      </c>
      <c r="K137" s="4" t="inlineStr">
        <is>
          <t>R. Tiradentes, 755 - Sl 2 - Central, Macapá - AP, 68900-098, Brasil</t>
        </is>
      </c>
      <c r="L137" s="4" t="inlineStr">
        <is>
          <t>Macapá</t>
        </is>
      </c>
      <c r="M137" s="5" t="n">
        <v>6</v>
      </c>
    </row>
    <row r="138">
      <c r="A138" s="3">
        <f>RAND()</f>
        <v/>
      </c>
      <c r="B138" s="4" t="inlineStr">
        <is>
          <t>ChIJWSYSTAbhYY0R6eakNIGfTyM</t>
        </is>
      </c>
      <c r="C138" s="4" t="inlineStr">
        <is>
          <t>Magazine Fortaleza Kids</t>
        </is>
      </c>
      <c r="D138" s="4" t="inlineStr">
        <is>
          <t>Macapá</t>
        </is>
      </c>
      <c r="E138" s="4" t="inlineStr">
        <is>
          <t>AP</t>
        </is>
      </c>
      <c r="F138" s="4" t="inlineStr">
        <is>
          <t>Capitais Regionais C</t>
        </is>
      </c>
      <c r="G138" s="4" t="inlineStr">
        <is>
          <t>Capital regional</t>
        </is>
      </c>
      <c r="H138" s="5">
        <f>IF(G138="fora do recorte","",SUMPRODUCT(($G$3:$G$1723=G138)*($A$3:$A$1723&lt;=A138)))</f>
        <v/>
      </c>
      <c r="I138" s="4">
        <f>IF(H138="","",G138&amp;"|"&amp;H138)</f>
        <v/>
      </c>
      <c r="J138" s="4" t="inlineStr">
        <is>
          <t>https://www.google.com/maps/search/?api=1&amp;query=Magazine%20Fortaleza%20Kids&amp;query_place_id=ChIJWSYSTAbhYY0R6eakNIGfTyM</t>
        </is>
      </c>
      <c r="K138" s="4" t="inlineStr">
        <is>
          <t>Macapá Shopping - R. Leopoldo Machado, 2334 - Central, Macapá - AP, 68900-067, Brasil</t>
        </is>
      </c>
      <c r="L138" s="4" t="inlineStr">
        <is>
          <t>Macapá</t>
        </is>
      </c>
      <c r="M138" s="5" t="n">
        <v>1</v>
      </c>
    </row>
    <row r="139">
      <c r="A139" s="3">
        <f>RAND()</f>
        <v/>
      </c>
      <c r="B139" s="4" t="inlineStr">
        <is>
          <t>ChIJWQOhHWvhYY0RPdlAV_VRTKc</t>
        </is>
      </c>
      <c r="C139" s="4" t="inlineStr">
        <is>
          <t>Pro Game</t>
        </is>
      </c>
      <c r="D139" s="4" t="inlineStr">
        <is>
          <t>Macapá</t>
        </is>
      </c>
      <c r="E139" s="4" t="inlineStr">
        <is>
          <t>AP</t>
        </is>
      </c>
      <c r="F139" s="4" t="inlineStr">
        <is>
          <t>Capitais Regionais C</t>
        </is>
      </c>
      <c r="G139" s="4" t="inlineStr">
        <is>
          <t>Capital regional</t>
        </is>
      </c>
      <c r="H139" s="5">
        <f>IF(G139="fora do recorte","",SUMPRODUCT(($G$3:$G$1723=G139)*($A$3:$A$1723&lt;=A139)))</f>
        <v/>
      </c>
      <c r="I139" s="4">
        <f>IF(H139="","",G139&amp;"|"&amp;H139)</f>
        <v/>
      </c>
      <c r="J139" s="4" t="inlineStr">
        <is>
          <t>https://www.google.com/maps/search/?api=1&amp;query=Pro%20Game&amp;query_place_id=ChIJWQOhHWvhYY0RPdlAV_VRTKc</t>
        </is>
      </c>
      <c r="K139" s="4" t="inlineStr">
        <is>
          <t>R. Tiradentes, 795 - Centro, Macapá - AP, 68900-098, Brasil</t>
        </is>
      </c>
      <c r="L139" s="4" t="inlineStr">
        <is>
          <t>Macapá</t>
        </is>
      </c>
      <c r="M139" s="5" t="n">
        <v>4</v>
      </c>
    </row>
    <row r="140">
      <c r="A140" s="3">
        <f>RAND()</f>
        <v/>
      </c>
      <c r="B140" s="4" t="inlineStr">
        <is>
          <t>ChIJT3Ud_BThYY0RDxgj9z24HY8</t>
        </is>
      </c>
      <c r="C140" s="4" t="inlineStr">
        <is>
          <t>Reabilitare Fisioterapia Especializada</t>
        </is>
      </c>
      <c r="D140" s="4" t="inlineStr">
        <is>
          <t>Macapá</t>
        </is>
      </c>
      <c r="E140" s="4" t="inlineStr">
        <is>
          <t>AP</t>
        </is>
      </c>
      <c r="F140" s="4" t="inlineStr">
        <is>
          <t>Capitais Regionais C</t>
        </is>
      </c>
      <c r="G140" s="4" t="inlineStr">
        <is>
          <t>Capital regional</t>
        </is>
      </c>
      <c r="H140" s="5">
        <f>IF(G140="fora do recorte","",SUMPRODUCT(($G$3:$G$1723=G140)*($A$3:$A$1723&lt;=A140)))</f>
        <v/>
      </c>
      <c r="I140" s="4">
        <f>IF(H140="","",G140&amp;"|"&amp;H140)</f>
        <v/>
      </c>
      <c r="J140" s="4" t="inlineStr">
        <is>
          <t>https://www.google.com/maps/search/?api=1&amp;query=Reabilitare%20Fisioterapia%20Especializada&amp;query_place_id=ChIJT3Ud_BThYY0RDxgj9z24HY8</t>
        </is>
      </c>
      <c r="K140" s="4" t="inlineStr">
        <is>
          <t>Av. Fab, 2557 - Santa Rita, Macapá - AP, 68901-259, Brasil</t>
        </is>
      </c>
      <c r="L140" s="4" t="inlineStr">
        <is>
          <t>Macapá</t>
        </is>
      </c>
      <c r="M140" s="5" t="n">
        <v>1</v>
      </c>
    </row>
    <row r="141">
      <c r="A141" s="3">
        <f>RAND()</f>
        <v/>
      </c>
      <c r="B141" s="4" t="inlineStr">
        <is>
          <t>ChIJv_K76-LgYY0RtrLQsaziXTs</t>
        </is>
      </c>
      <c r="C141" s="4" t="inlineStr">
        <is>
          <t>Saint Collection - Cartas de Pokémon, Cards Colecionáveis, Figurinha Copa e TCG em Macapá</t>
        </is>
      </c>
      <c r="D141" s="4" t="inlineStr">
        <is>
          <t>Macapá</t>
        </is>
      </c>
      <c r="E141" s="4" t="inlineStr">
        <is>
          <t>AP</t>
        </is>
      </c>
      <c r="F141" s="4" t="inlineStr">
        <is>
          <t>Capitais Regionais C</t>
        </is>
      </c>
      <c r="G141" s="4" t="inlineStr">
        <is>
          <t>Capital regional</t>
        </is>
      </c>
      <c r="H141" s="5">
        <f>IF(G141="fora do recorte","",SUMPRODUCT(($G$3:$G$1723=G141)*($A$3:$A$1723&lt;=A141)))</f>
        <v/>
      </c>
      <c r="I141" s="4">
        <f>IF(H141="","",G141&amp;"|"&amp;H141)</f>
        <v/>
      </c>
      <c r="J141" s="4" t="inlineStr">
        <is>
          <t>https://www.google.com/maps/search/?api=1&amp;query=Saint%20Collection%20-%20Cartas%20de%20Pok%C3%A9mon%2C%20Cards%20Colecion%C3%A1veis%2C%20Figurinha%20Copa%20e%20TCG%20em%20Macap%C3%A1&amp;query_place_id=ChIJv_K76-LgYY0RtrLQsaziXTs</t>
        </is>
      </c>
      <c r="K141" s="4" t="inlineStr">
        <is>
          <t>Av. Pres. Vargas, 341 - Central, Macapá - AP, 68900-070, Brasil</t>
        </is>
      </c>
      <c r="L141" s="4" t="inlineStr">
        <is>
          <t>Macapá</t>
        </is>
      </c>
      <c r="M141" s="5" t="n">
        <v>6</v>
      </c>
    </row>
    <row r="142">
      <c r="A142" s="3">
        <f>RAND()</f>
        <v/>
      </c>
      <c r="B142" s="4" t="inlineStr">
        <is>
          <t>ChIJv0yHrjfnYY0Ray_j0S-ur7A</t>
        </is>
      </c>
      <c r="C142" s="4" t="inlineStr">
        <is>
          <t>Servinorte games</t>
        </is>
      </c>
      <c r="D142" s="4" t="inlineStr">
        <is>
          <t>Macapá</t>
        </is>
      </c>
      <c r="E142" s="4" t="inlineStr">
        <is>
          <t>AP</t>
        </is>
      </c>
      <c r="F142" s="4" t="inlineStr">
        <is>
          <t>Capitais Regionais C</t>
        </is>
      </c>
      <c r="G142" s="4" t="inlineStr">
        <is>
          <t>Capital regional</t>
        </is>
      </c>
      <c r="H142" s="5">
        <f>IF(G142="fora do recorte","",SUMPRODUCT(($G$3:$G$1723=G142)*($A$3:$A$1723&lt;=A142)))</f>
        <v/>
      </c>
      <c r="I142" s="4">
        <f>IF(H142="","",G142&amp;"|"&amp;H142)</f>
        <v/>
      </c>
      <c r="J142" s="4" t="inlineStr">
        <is>
          <t>https://www.google.com/maps/search/?api=1&amp;query=Servinorte%20games&amp;query_place_id=ChIJv0yHrjfnYY0Ray_j0S-ur7A</t>
        </is>
      </c>
      <c r="K142" s="4" t="inlineStr">
        <is>
          <t>R. Tiradentes, 752 - Centro, Macapá - AP, 68900-098, Brasil</t>
        </is>
      </c>
      <c r="L142" s="4" t="inlineStr">
        <is>
          <t>Macapá</t>
        </is>
      </c>
      <c r="M142" s="5" t="n">
        <v>2</v>
      </c>
    </row>
    <row r="143">
      <c r="A143" s="3">
        <f>RAND()</f>
        <v/>
      </c>
      <c r="B143" s="4" t="inlineStr">
        <is>
          <t>ChIJv2ALXnvjYY0RgXYKXsOV0xI</t>
        </is>
      </c>
      <c r="C143" s="4" t="inlineStr">
        <is>
          <t>Seu Botequim</t>
        </is>
      </c>
      <c r="D143" s="4" t="inlineStr">
        <is>
          <t>Macapá</t>
        </is>
      </c>
      <c r="E143" s="4" t="inlineStr">
        <is>
          <t>AP</t>
        </is>
      </c>
      <c r="F143" s="4" t="inlineStr">
        <is>
          <t>Capitais Regionais C</t>
        </is>
      </c>
      <c r="G143" s="4" t="inlineStr">
        <is>
          <t>Capital regional</t>
        </is>
      </c>
      <c r="H143" s="5">
        <f>IF(G143="fora do recorte","",SUMPRODUCT(($G$3:$G$1723=G143)*($A$3:$A$1723&lt;=A143)))</f>
        <v/>
      </c>
      <c r="I143" s="4">
        <f>IF(H143="","",G143&amp;"|"&amp;H143)</f>
        <v/>
      </c>
      <c r="J143" s="4" t="inlineStr">
        <is>
          <t>https://www.google.com/maps/search/?api=1&amp;query=Seu%20Botequim&amp;query_place_id=ChIJv2ALXnvjYY0RgXYKXsOV0xI</t>
        </is>
      </c>
      <c r="K143" s="4" t="inlineStr">
        <is>
          <t>R. Odilardo Silva, 2119 - Central, Macapá - AP, 68900-151, Brasil</t>
        </is>
      </c>
      <c r="L143" s="4" t="inlineStr">
        <is>
          <t>Macapá</t>
        </is>
      </c>
      <c r="M143" s="5" t="n">
        <v>1</v>
      </c>
    </row>
    <row r="144">
      <c r="A144" s="3">
        <f>RAND()</f>
        <v/>
      </c>
      <c r="B144" s="4" t="inlineStr">
        <is>
          <t>ChIJWdoRdIPhYY0RVPqi7sBUDtA</t>
        </is>
      </c>
      <c r="C144" s="4" t="inlineStr">
        <is>
          <t>Studio D&amp;T Fisioterapia e Quiropraxia</t>
        </is>
      </c>
      <c r="D144" s="4" t="inlineStr">
        <is>
          <t>Macapá</t>
        </is>
      </c>
      <c r="E144" s="4" t="inlineStr">
        <is>
          <t>AP</t>
        </is>
      </c>
      <c r="F144" s="4" t="inlineStr">
        <is>
          <t>Capitais Regionais C</t>
        </is>
      </c>
      <c r="G144" s="4" t="inlineStr">
        <is>
          <t>Capital regional</t>
        </is>
      </c>
      <c r="H144" s="5">
        <f>IF(G144="fora do recorte","",SUMPRODUCT(($G$3:$G$1723=G144)*($A$3:$A$1723&lt;=A144)))</f>
        <v/>
      </c>
      <c r="I144" s="4">
        <f>IF(H144="","",G144&amp;"|"&amp;H144)</f>
        <v/>
      </c>
      <c r="J144" s="4" t="inlineStr">
        <is>
          <t>https://www.google.com/maps/search/?api=1&amp;query=Studio%20D%26T%20Fisioterapia%20e%20Quiropraxia&amp;query_place_id=ChIJWdoRdIPhYY0RVPqi7sBUDtA</t>
        </is>
      </c>
      <c r="K144" s="4" t="inlineStr">
        <is>
          <t>Av. 13 de Setembro, 562 - Trem, Macapá - AP, 68901-112, Brasil</t>
        </is>
      </c>
      <c r="L144" s="4" t="inlineStr">
        <is>
          <t>Macapá</t>
        </is>
      </c>
      <c r="M144" s="5" t="n">
        <v>1</v>
      </c>
    </row>
    <row r="145">
      <c r="A145" s="3">
        <f>RAND()</f>
        <v/>
      </c>
      <c r="B145" s="4" t="inlineStr">
        <is>
          <t>ChIJ_aoJowXhYY0RexhM2OIROCU</t>
        </is>
      </c>
      <c r="C145" s="4" t="inlineStr">
        <is>
          <t>Taberna pub</t>
        </is>
      </c>
      <c r="D145" s="4" t="inlineStr">
        <is>
          <t>Macapá</t>
        </is>
      </c>
      <c r="E145" s="4" t="inlineStr">
        <is>
          <t>AP</t>
        </is>
      </c>
      <c r="F145" s="4" t="inlineStr">
        <is>
          <t>Capitais Regionais C</t>
        </is>
      </c>
      <c r="G145" s="4" t="inlineStr">
        <is>
          <t>Capital regional</t>
        </is>
      </c>
      <c r="H145" s="5">
        <f>IF(G145="fora do recorte","",SUMPRODUCT(($G$3:$G$1723=G145)*($A$3:$A$1723&lt;=A145)))</f>
        <v/>
      </c>
      <c r="I145" s="4">
        <f>IF(H145="","",G145&amp;"|"&amp;H145)</f>
        <v/>
      </c>
      <c r="J145" s="4" t="inlineStr">
        <is>
          <t>https://www.google.com/maps/search/?api=1&amp;query=Taberna%20pub&amp;query_place_id=ChIJ_aoJowXhYY0RexhM2OIROCU</t>
        </is>
      </c>
      <c r="K145" s="4" t="inlineStr">
        <is>
          <t>Av. Padre Júlio Maria Lombaerd, 3646 - Central, Macapá - AP, 68901-283, Brasil</t>
        </is>
      </c>
      <c r="L145" s="4" t="inlineStr">
        <is>
          <t>Macapá</t>
        </is>
      </c>
      <c r="M145" s="5" t="n">
        <v>2</v>
      </c>
    </row>
    <row r="146">
      <c r="A146" s="3">
        <f>RAND()</f>
        <v/>
      </c>
      <c r="B146" s="4" t="inlineStr">
        <is>
          <t>ChIJhUqpPe3nYY0RoXzwAvFh7HU</t>
        </is>
      </c>
      <c r="C146" s="4" t="inlineStr">
        <is>
          <t>Tabuleiroca</t>
        </is>
      </c>
      <c r="D146" s="4" t="inlineStr">
        <is>
          <t>Macapá</t>
        </is>
      </c>
      <c r="E146" s="4" t="inlineStr">
        <is>
          <t>AP</t>
        </is>
      </c>
      <c r="F146" s="4" t="inlineStr">
        <is>
          <t>Capitais Regionais C</t>
        </is>
      </c>
      <c r="G146" s="4" t="inlineStr">
        <is>
          <t>Capital regional</t>
        </is>
      </c>
      <c r="H146" s="5">
        <f>IF(G146="fora do recorte","",SUMPRODUCT(($G$3:$G$1723=G146)*($A$3:$A$1723&lt;=A146)))</f>
        <v/>
      </c>
      <c r="I146" s="4">
        <f>IF(H146="","",G146&amp;"|"&amp;H146)</f>
        <v/>
      </c>
      <c r="J146" s="4" t="inlineStr">
        <is>
          <t>https://www.google.com/maps/search/?api=1&amp;query=Tabuleiroca&amp;query_place_id=ChIJhUqpPe3nYY0RoXzwAvFh7HU</t>
        </is>
      </c>
      <c r="K146" s="4" t="inlineStr">
        <is>
          <t>Rua Vila dos Oliveiras, 471 E - Pedrinhas, Macapá - AP, 68903-121, Brasil</t>
        </is>
      </c>
      <c r="L146" s="4" t="inlineStr">
        <is>
          <t>Macapá</t>
        </is>
      </c>
      <c r="M146" s="5" t="n">
        <v>8</v>
      </c>
    </row>
    <row r="147">
      <c r="A147" s="3">
        <f>RAND()</f>
        <v/>
      </c>
      <c r="B147" s="4" t="inlineStr">
        <is>
          <t>ChIJU6yWSf3gYY0RsPQhZgRzVmA</t>
        </is>
      </c>
      <c r="C147" s="4" t="inlineStr">
        <is>
          <t>Top Game Games</t>
        </is>
      </c>
      <c r="D147" s="4" t="inlineStr">
        <is>
          <t>Macapá</t>
        </is>
      </c>
      <c r="E147" s="4" t="inlineStr">
        <is>
          <t>AP</t>
        </is>
      </c>
      <c r="F147" s="4" t="inlineStr">
        <is>
          <t>Capitais Regionais C</t>
        </is>
      </c>
      <c r="G147" s="4" t="inlineStr">
        <is>
          <t>Capital regional</t>
        </is>
      </c>
      <c r="H147" s="5">
        <f>IF(G147="fora do recorte","",SUMPRODUCT(($G$3:$G$1723=G147)*($A$3:$A$1723&lt;=A147)))</f>
        <v/>
      </c>
      <c r="I147" s="4">
        <f>IF(H147="","",G147&amp;"|"&amp;H147)</f>
        <v/>
      </c>
      <c r="J147" s="4" t="inlineStr">
        <is>
          <t>https://www.google.com/maps/search/?api=1&amp;query=Top%20Game%20Games&amp;query_place_id=ChIJU6yWSf3gYY0RsPQhZgRzVmA</t>
        </is>
      </c>
      <c r="K147" s="4" t="inlineStr">
        <is>
          <t>R. Tiradentes, 795 - Central, Macapá - AP, 68900-098, Brasil</t>
        </is>
      </c>
      <c r="L147" s="4" t="inlineStr">
        <is>
          <t>Macapá</t>
        </is>
      </c>
      <c r="M147" s="5" t="n">
        <v>7</v>
      </c>
    </row>
    <row r="148">
      <c r="A148" s="3">
        <f>RAND()</f>
        <v/>
      </c>
      <c r="B148" s="4" t="inlineStr">
        <is>
          <t>ChIJa3o_ohPhYY0R62l0kundIn4</t>
        </is>
      </c>
      <c r="C148" s="4" t="inlineStr">
        <is>
          <t>Treta Club</t>
        </is>
      </c>
      <c r="D148" s="4" t="inlineStr">
        <is>
          <t>Macapá</t>
        </is>
      </c>
      <c r="E148" s="4" t="inlineStr">
        <is>
          <t>AP</t>
        </is>
      </c>
      <c r="F148" s="4" t="inlineStr">
        <is>
          <t>Capitais Regionais C</t>
        </is>
      </c>
      <c r="G148" s="4" t="inlineStr">
        <is>
          <t>Capital regional</t>
        </is>
      </c>
      <c r="H148" s="5">
        <f>IF(G148="fora do recorte","",SUMPRODUCT(($G$3:$G$1723=G148)*($A$3:$A$1723&lt;=A148)))</f>
        <v/>
      </c>
      <c r="I148" s="4">
        <f>IF(H148="","",G148&amp;"|"&amp;H148)</f>
        <v/>
      </c>
      <c r="J148" s="4" t="inlineStr">
        <is>
          <t>https://www.google.com/maps/search/?api=1&amp;query=Treta%20Club&amp;query_place_id=ChIJa3o_ohPhYY0R62l0kundIn4</t>
        </is>
      </c>
      <c r="K148" s="4" t="inlineStr">
        <is>
          <t>Av. Pres. Vargas, 2467 - Santa Rita, Macapá - AP, 68901-262, Brasil</t>
        </is>
      </c>
      <c r="L148" s="4" t="inlineStr">
        <is>
          <t>Macapá</t>
        </is>
      </c>
      <c r="M148" s="5" t="n">
        <v>2</v>
      </c>
    </row>
    <row r="149">
      <c r="A149" s="3">
        <f>RAND()</f>
        <v/>
      </c>
      <c r="B149" s="4" t="inlineStr">
        <is>
          <t>ChIJkWTo6uLgYY0RMAORtzsC4FU</t>
        </is>
      </c>
      <c r="C149" s="4" t="inlineStr">
        <is>
          <t>Villa Nova Shopping</t>
        </is>
      </c>
      <c r="D149" s="4" t="inlineStr">
        <is>
          <t>Macapá</t>
        </is>
      </c>
      <c r="E149" s="4" t="inlineStr">
        <is>
          <t>AP</t>
        </is>
      </c>
      <c r="F149" s="4" t="inlineStr">
        <is>
          <t>Capitais Regionais C</t>
        </is>
      </c>
      <c r="G149" s="4" t="inlineStr">
        <is>
          <t>Capital regional</t>
        </is>
      </c>
      <c r="H149" s="5">
        <f>IF(G149="fora do recorte","",SUMPRODUCT(($G$3:$G$1723=G149)*($A$3:$A$1723&lt;=A149)))</f>
        <v/>
      </c>
      <c r="I149" s="4">
        <f>IF(H149="","",G149&amp;"|"&amp;H149)</f>
        <v/>
      </c>
      <c r="J149" s="4" t="inlineStr">
        <is>
          <t>https://www.google.com/maps/search/?api=1&amp;query=Villa%20Nova%20Shopping&amp;query_place_id=ChIJkWTo6uLgYY0RMAORtzsC4FU</t>
        </is>
      </c>
      <c r="K149" s="4" t="inlineStr">
        <is>
          <t>Av. Pres. Vargas, 341 - Centro, Macapá - AP, 68900-070, Brasil</t>
        </is>
      </c>
      <c r="L149" s="4" t="inlineStr">
        <is>
          <t>Macapá</t>
        </is>
      </c>
      <c r="M149" s="5" t="n">
        <v>1</v>
      </c>
    </row>
    <row r="150">
      <c r="A150" s="3">
        <f>RAND()</f>
        <v/>
      </c>
      <c r="B150" s="4" t="inlineStr">
        <is>
          <t>ChIJOTGZVvyQ9gcRDNXzjH9fHls</t>
        </is>
      </c>
      <c r="C150" s="4" t="inlineStr">
        <is>
          <t>Action Games</t>
        </is>
      </c>
      <c r="D150" s="4" t="inlineStr">
        <is>
          <t>São José de Ribamar</t>
        </is>
      </c>
      <c r="E150" s="4" t="inlineStr">
        <is>
          <t>MA</t>
        </is>
      </c>
      <c r="F150" s="4" t="inlineStr">
        <is>
          <t>Capitais Regionais A</t>
        </is>
      </c>
      <c r="G150" s="4" t="inlineStr">
        <is>
          <t>Capital regional</t>
        </is>
      </c>
      <c r="H150" s="5">
        <f>IF(G150="fora do recorte","",SUMPRODUCT(($G$3:$G$1723=G150)*($A$3:$A$1723&lt;=A150)))</f>
        <v/>
      </c>
      <c r="I150" s="4">
        <f>IF(H150="","",G150&amp;"|"&amp;H150)</f>
        <v/>
      </c>
      <c r="J150" s="4" t="inlineStr">
        <is>
          <t>https://www.google.com/maps/search/?api=1&amp;query=Action%20Games&amp;query_place_id=ChIJOTGZVvyQ9gcRDNXzjH9fHls</t>
        </is>
      </c>
      <c r="K150" s="4" t="inlineStr">
        <is>
          <t>Rua Trinta e Um jardim aracagy 3 - Cohatrac, São José de Ribamar - MA, 65120-755, Brasil</t>
        </is>
      </c>
      <c r="L150" s="4" t="inlineStr">
        <is>
          <t>São Luís</t>
        </is>
      </c>
      <c r="M150" s="5" t="n">
        <v>3</v>
      </c>
    </row>
    <row r="151">
      <c r="A151" s="3">
        <f>RAND()</f>
        <v/>
      </c>
      <c r="B151" s="4" t="inlineStr">
        <is>
          <t>ChIJE91FzOyR9gcRLHn_-Fy1kaM</t>
        </is>
      </c>
      <c r="C151" s="4" t="inlineStr">
        <is>
          <t>O Mundo Divertido - Brinquedoteca</t>
        </is>
      </c>
      <c r="D151" s="4" t="inlineStr">
        <is>
          <t>São José de Ribamar</t>
        </is>
      </c>
      <c r="E151" s="4" t="inlineStr">
        <is>
          <t>MA</t>
        </is>
      </c>
      <c r="F151" s="4" t="inlineStr">
        <is>
          <t>Capitais Regionais A</t>
        </is>
      </c>
      <c r="G151" s="4" t="inlineStr">
        <is>
          <t>Capital regional</t>
        </is>
      </c>
      <c r="H151" s="5">
        <f>IF(G151="fora do recorte","",SUMPRODUCT(($G$3:$G$1723=G151)*($A$3:$A$1723&lt;=A151)))</f>
        <v/>
      </c>
      <c r="I151" s="4">
        <f>IF(H151="","",G151&amp;"|"&amp;H151)</f>
        <v/>
      </c>
      <c r="J151" s="4" t="inlineStr">
        <is>
          <t>https://www.google.com/maps/search/?api=1&amp;query=O%20Mundo%20Divertido%20-%20Brinquedoteca&amp;query_place_id=ChIJE91FzOyR9gcRLHn_-Fy1kaM</t>
        </is>
      </c>
      <c r="K151" s="4" t="inlineStr">
        <is>
          <t>Av. Contorno Sul, 50 b - Cohatrac V, São José de Ribamar - MA, 65110-000, Brasil</t>
        </is>
      </c>
      <c r="L151" s="4" t="inlineStr">
        <is>
          <t>São Luís</t>
        </is>
      </c>
      <c r="M151" s="5" t="n">
        <v>1</v>
      </c>
    </row>
    <row r="152">
      <c r="A152" s="3">
        <f>RAND()</f>
        <v/>
      </c>
      <c r="B152" s="4" t="inlineStr">
        <is>
          <t>ChIJm5LrB16N9gcRO48yrpu77wA</t>
        </is>
      </c>
      <c r="C152" s="4" t="inlineStr">
        <is>
          <t>Adoleta Brinquedoteca SLZ</t>
        </is>
      </c>
      <c r="D152" s="4" t="inlineStr">
        <is>
          <t>São Luís</t>
        </is>
      </c>
      <c r="E152" s="4" t="inlineStr">
        <is>
          <t>MA</t>
        </is>
      </c>
      <c r="F152" s="4" t="inlineStr">
        <is>
          <t>Capitais Regionais A</t>
        </is>
      </c>
      <c r="G152" s="4" t="inlineStr">
        <is>
          <t>Capital regional</t>
        </is>
      </c>
      <c r="H152" s="5">
        <f>IF(G152="fora do recorte","",SUMPRODUCT(($G$3:$G$1723=G152)*($A$3:$A$1723&lt;=A152)))</f>
        <v/>
      </c>
      <c r="I152" s="4">
        <f>IF(H152="","",G152&amp;"|"&amp;H152)</f>
        <v/>
      </c>
      <c r="J152" s="4" t="inlineStr">
        <is>
          <t>https://www.google.com/maps/search/?api=1&amp;query=Adoleta%20Brinquedoteca%20SLZ&amp;query_place_id=ChIJm5LrB16N9gcRO48yrpu77wA</t>
        </is>
      </c>
      <c r="K152" s="4" t="inlineStr">
        <is>
          <t>R. Gerânios, 2 - Ponta D'areia, São Luís - MA, 65077-550, Brasil</t>
        </is>
      </c>
      <c r="L152" s="4" t="inlineStr">
        <is>
          <t>São Luís</t>
        </is>
      </c>
      <c r="M152" s="5" t="n">
        <v>1</v>
      </c>
    </row>
    <row r="153">
      <c r="A153" s="3">
        <f>RAND()</f>
        <v/>
      </c>
      <c r="B153" s="4" t="inlineStr">
        <is>
          <t>ChIJq-7Nul6P9gcRyp8U7LIxkIs</t>
        </is>
      </c>
      <c r="C153" s="4" t="inlineStr">
        <is>
          <t>Alpha Arena Games</t>
        </is>
      </c>
      <c r="D153" s="4" t="inlineStr">
        <is>
          <t>São Luís</t>
        </is>
      </c>
      <c r="E153" s="4" t="inlineStr">
        <is>
          <t>MA</t>
        </is>
      </c>
      <c r="F153" s="4" t="inlineStr">
        <is>
          <t>Capitais Regionais A</t>
        </is>
      </c>
      <c r="G153" s="4" t="inlineStr">
        <is>
          <t>Capital regional</t>
        </is>
      </c>
      <c r="H153" s="5">
        <f>IF(G153="fora do recorte","",SUMPRODUCT(($G$3:$G$1723=G153)*($A$3:$A$1723&lt;=A153)))</f>
        <v/>
      </c>
      <c r="I153" s="4">
        <f>IF(H153="","",G153&amp;"|"&amp;H153)</f>
        <v/>
      </c>
      <c r="J153" s="4" t="inlineStr">
        <is>
          <t>https://www.google.com/maps/search/?api=1&amp;query=Alpha%20Arena%20Games&amp;query_place_id=ChIJq-7Nul6P9gcRyp8U7LIxkIs</t>
        </is>
      </c>
      <c r="K153" s="4" t="inlineStr">
        <is>
          <t>Av. Gov. Luís Rocha, 1939 - Monte Castelo, São Luís - MA, 65037-270, Brasil</t>
        </is>
      </c>
      <c r="L153" s="4" t="inlineStr">
        <is>
          <t>São Luís</t>
        </is>
      </c>
      <c r="M153" s="5" t="n">
        <v>1</v>
      </c>
    </row>
    <row r="154">
      <c r="A154" s="3">
        <f>RAND()</f>
        <v/>
      </c>
      <c r="B154" s="4" t="inlineStr">
        <is>
          <t>ChIJKQbT9TeT9gcRfqpIx081G0M</t>
        </is>
      </c>
      <c r="C154" s="4" t="inlineStr">
        <is>
          <t>Arcadian</t>
        </is>
      </c>
      <c r="D154" s="4" t="inlineStr">
        <is>
          <t>São Luís</t>
        </is>
      </c>
      <c r="E154" s="4" t="inlineStr">
        <is>
          <t>MA</t>
        </is>
      </c>
      <c r="F154" s="4" t="inlineStr">
        <is>
          <t>Capitais Regionais A</t>
        </is>
      </c>
      <c r="G154" s="4" t="inlineStr">
        <is>
          <t>Capital regional</t>
        </is>
      </c>
      <c r="H154" s="5">
        <f>IF(G154="fora do recorte","",SUMPRODUCT(($G$3:$G$1723=G154)*($A$3:$A$1723&lt;=A154)))</f>
        <v/>
      </c>
      <c r="I154" s="4">
        <f>IF(H154="","",G154&amp;"|"&amp;H154)</f>
        <v/>
      </c>
      <c r="J154" s="4" t="inlineStr">
        <is>
          <t>https://www.google.com/maps/search/?api=1&amp;query=Arcadian&amp;query_place_id=ChIJKQbT9TeT9gcRfqpIx081G0M</t>
        </is>
      </c>
      <c r="K154" s="4" t="inlineStr">
        <is>
          <t>R. Um, quadra B - casa 12 - Olho D'agua, São Luís - MA, 65067-351, Brasil</t>
        </is>
      </c>
      <c r="L154" s="4" t="inlineStr">
        <is>
          <t>São Luís</t>
        </is>
      </c>
      <c r="M154" s="5" t="n">
        <v>8</v>
      </c>
    </row>
    <row r="155">
      <c r="A155" s="3">
        <f>RAND()</f>
        <v/>
      </c>
      <c r="B155" s="4" t="inlineStr">
        <is>
          <t>ChIJH0Gl3fCP9gcRu8yr8-pQI3A</t>
        </is>
      </c>
      <c r="C155" s="4" t="inlineStr">
        <is>
          <t>Bar Box</t>
        </is>
      </c>
      <c r="D155" s="4" t="inlineStr">
        <is>
          <t>São Luís</t>
        </is>
      </c>
      <c r="E155" s="4" t="inlineStr">
        <is>
          <t>MA</t>
        </is>
      </c>
      <c r="F155" s="4" t="inlineStr">
        <is>
          <t>Capitais Regionais A</t>
        </is>
      </c>
      <c r="G155" s="4" t="inlineStr">
        <is>
          <t>Capital regional</t>
        </is>
      </c>
      <c r="H155" s="5">
        <f>IF(G155="fora do recorte","",SUMPRODUCT(($G$3:$G$1723=G155)*($A$3:$A$1723&lt;=A155)))</f>
        <v/>
      </c>
      <c r="I155" s="4">
        <f>IF(H155="","",G155&amp;"|"&amp;H155)</f>
        <v/>
      </c>
      <c r="J155" s="4" t="inlineStr">
        <is>
          <t>https://www.google.com/maps/search/?api=1&amp;query=Bar%20Box&amp;query_place_id=ChIJH0Gl3fCP9gcRu8yr8-pQI3A</t>
        </is>
      </c>
      <c r="K155" s="4" t="inlineStr">
        <is>
          <t>Dr. Jackson Kepler Lago - Ponta D'areia, São Luís - MA, Brasil</t>
        </is>
      </c>
      <c r="L155" s="4" t="inlineStr">
        <is>
          <t>São Luís</t>
        </is>
      </c>
      <c r="M155" s="5" t="n">
        <v>1</v>
      </c>
    </row>
    <row r="156">
      <c r="A156" s="3">
        <f>RAND()</f>
        <v/>
      </c>
      <c r="B156" s="4" t="inlineStr">
        <is>
          <t>ChIJb0mkQxqP9gcR0jIUHo5rLFo</t>
        </is>
      </c>
      <c r="C156" s="4" t="inlineStr">
        <is>
          <t>Bar Ponto de Fuga</t>
        </is>
      </c>
      <c r="D156" s="4" t="inlineStr">
        <is>
          <t>São Luís</t>
        </is>
      </c>
      <c r="E156" s="4" t="inlineStr">
        <is>
          <t>MA</t>
        </is>
      </c>
      <c r="F156" s="4" t="inlineStr">
        <is>
          <t>Capitais Regionais A</t>
        </is>
      </c>
      <c r="G156" s="4" t="inlineStr">
        <is>
          <t>Capital regional</t>
        </is>
      </c>
      <c r="H156" s="5">
        <f>IF(G156="fora do recorte","",SUMPRODUCT(($G$3:$G$1723=G156)*($A$3:$A$1723&lt;=A156)))</f>
        <v/>
      </c>
      <c r="I156" s="4">
        <f>IF(H156="","",G156&amp;"|"&amp;H156)</f>
        <v/>
      </c>
      <c r="J156" s="4" t="inlineStr">
        <is>
          <t>https://www.google.com/maps/search/?api=1&amp;query=Bar%20Ponto%20de%20Fuga&amp;query_place_id=ChIJb0mkQxqP9gcR0jIUHo5rLFo</t>
        </is>
      </c>
      <c r="K156" s="4" t="inlineStr">
        <is>
          <t>Av. Rui Barbosa, 61 - Centro, São Luís - MA, 65026-100, Brasil</t>
        </is>
      </c>
      <c r="L156" s="4" t="inlineStr">
        <is>
          <t>São Luís</t>
        </is>
      </c>
      <c r="M156" s="5" t="n">
        <v>1</v>
      </c>
    </row>
    <row r="157">
      <c r="A157" s="3">
        <f>RAND()</f>
        <v/>
      </c>
      <c r="B157" s="4" t="inlineStr">
        <is>
          <t>ChIJm3PkBtyR9gcR6Aj7DLXys_w</t>
        </is>
      </c>
      <c r="C157" s="4" t="inlineStr">
        <is>
          <t>Bar da Helo</t>
        </is>
      </c>
      <c r="D157" s="4" t="inlineStr">
        <is>
          <t>São Luís</t>
        </is>
      </c>
      <c r="E157" s="4" t="inlineStr">
        <is>
          <t>MA</t>
        </is>
      </c>
      <c r="F157" s="4" t="inlineStr">
        <is>
          <t>Capitais Regionais A</t>
        </is>
      </c>
      <c r="G157" s="4" t="inlineStr">
        <is>
          <t>Capital regional</t>
        </is>
      </c>
      <c r="H157" s="5">
        <f>IF(G157="fora do recorte","",SUMPRODUCT(($G$3:$G$1723=G157)*($A$3:$A$1723&lt;=A157)))</f>
        <v/>
      </c>
      <c r="I157" s="4">
        <f>IF(H157="","",G157&amp;"|"&amp;H157)</f>
        <v/>
      </c>
      <c r="J157" s="4" t="inlineStr">
        <is>
          <t>https://www.google.com/maps/search/?api=1&amp;query=Bar%20da%20Helo&amp;query_place_id=ChIJm3PkBtyR9gcR6Aj7DLXys_w</t>
        </is>
      </c>
      <c r="K157" s="4" t="inlineStr">
        <is>
          <t>R. 3, 5 - Turu, São Luís - MA, 65052-050, Brasil</t>
        </is>
      </c>
      <c r="L157" s="4" t="inlineStr">
        <is>
          <t>São Luís</t>
        </is>
      </c>
      <c r="M157" s="5" t="n">
        <v>1</v>
      </c>
    </row>
    <row r="158">
      <c r="A158" s="3">
        <f>RAND()</f>
        <v/>
      </c>
      <c r="B158" s="4" t="inlineStr">
        <is>
          <t>ChIJxZr4hB-Q9gcRqI2Gj9zvTXs</t>
        </is>
      </c>
      <c r="C158" s="4" t="inlineStr">
        <is>
          <t>Bar do Bira SLZ</t>
        </is>
      </c>
      <c r="D158" s="4" t="inlineStr">
        <is>
          <t>São Luís</t>
        </is>
      </c>
      <c r="E158" s="4" t="inlineStr">
        <is>
          <t>MA</t>
        </is>
      </c>
      <c r="F158" s="4" t="inlineStr">
        <is>
          <t>Capitais Regionais A</t>
        </is>
      </c>
      <c r="G158" s="4" t="inlineStr">
        <is>
          <t>Capital regional</t>
        </is>
      </c>
      <c r="H158" s="5">
        <f>IF(G158="fora do recorte","",SUMPRODUCT(($G$3:$G$1723=G158)*($A$3:$A$1723&lt;=A158)))</f>
        <v/>
      </c>
      <c r="I158" s="4">
        <f>IF(H158="","",G158&amp;"|"&amp;H158)</f>
        <v/>
      </c>
      <c r="J158" s="4" t="inlineStr">
        <is>
          <t>https://www.google.com/maps/search/?api=1&amp;query=Bar%20do%20Bira%20SLZ&amp;query_place_id=ChIJxZr4hB-Q9gcRqI2Gj9zvTXs</t>
        </is>
      </c>
      <c r="K158" s="4" t="inlineStr">
        <is>
          <t>Av. Edson Brandão, 659 - Cutim, São Luís - MA, 65045-380, Brasil</t>
        </is>
      </c>
      <c r="L158" s="4" t="inlineStr">
        <is>
          <t>São Luís</t>
        </is>
      </c>
      <c r="M158" s="5" t="n">
        <v>1</v>
      </c>
    </row>
    <row r="159">
      <c r="A159" s="3">
        <f>RAND()</f>
        <v/>
      </c>
      <c r="B159" s="4" t="inlineStr">
        <is>
          <t>ChIJ25wzsUKa9gcRWmrGUObttpE</t>
        </is>
      </c>
      <c r="C159" s="4" t="inlineStr">
        <is>
          <t>Bar do Seu Zé</t>
        </is>
      </c>
      <c r="D159" s="4" t="inlineStr">
        <is>
          <t>São Luís</t>
        </is>
      </c>
      <c r="E159" s="4" t="inlineStr">
        <is>
          <t>MA</t>
        </is>
      </c>
      <c r="F159" s="4" t="inlineStr">
        <is>
          <t>Capitais Regionais A</t>
        </is>
      </c>
      <c r="G159" s="4" t="inlineStr">
        <is>
          <t>Capital regional</t>
        </is>
      </c>
      <c r="H159" s="5">
        <f>IF(G159="fora do recorte","",SUMPRODUCT(($G$3:$G$1723=G159)*($A$3:$A$1723&lt;=A159)))</f>
        <v/>
      </c>
      <c r="I159" s="4">
        <f>IF(H159="","",G159&amp;"|"&amp;H159)</f>
        <v/>
      </c>
      <c r="J159" s="4" t="inlineStr">
        <is>
          <t>https://www.google.com/maps/search/?api=1&amp;query=Bar%20do%20Seu%20Z%C3%A9&amp;query_place_id=ChIJ25wzsUKa9gcRWmrGUObttpE</t>
        </is>
      </c>
      <c r="K159" s="4" t="inlineStr">
        <is>
          <t>757 - Av. Principal Jardim Amẻrica, 719 - Cidade Operária, São Luís - MA, 65058-294, Brasil</t>
        </is>
      </c>
      <c r="L159" s="4" t="inlineStr">
        <is>
          <t>São Luís</t>
        </is>
      </c>
      <c r="M159" s="5" t="n">
        <v>1</v>
      </c>
    </row>
    <row r="160">
      <c r="A160" s="3">
        <f>RAND()</f>
        <v/>
      </c>
      <c r="B160" s="4" t="inlineStr">
        <is>
          <t>ChIJ2cIzRhqP9gcRll69ETs77nM</t>
        </is>
      </c>
      <c r="C160" s="4" t="inlineStr">
        <is>
          <t>Bar do Zé</t>
        </is>
      </c>
      <c r="D160" s="4" t="inlineStr">
        <is>
          <t>São Luís</t>
        </is>
      </c>
      <c r="E160" s="4" t="inlineStr">
        <is>
          <t>MA</t>
        </is>
      </c>
      <c r="F160" s="4" t="inlineStr">
        <is>
          <t>Capitais Regionais A</t>
        </is>
      </c>
      <c r="G160" s="4" t="inlineStr">
        <is>
          <t>Capital regional</t>
        </is>
      </c>
      <c r="H160" s="5">
        <f>IF(G160="fora do recorte","",SUMPRODUCT(($G$3:$G$1723=G160)*($A$3:$A$1723&lt;=A160)))</f>
        <v/>
      </c>
      <c r="I160" s="4">
        <f>IF(H160="","",G160&amp;"|"&amp;H160)</f>
        <v/>
      </c>
      <c r="J160" s="4" t="inlineStr">
        <is>
          <t>https://www.google.com/maps/search/?api=1&amp;query=Bar%20do%20Z%C3%A9&amp;query_place_id=ChIJ2cIzRhqP9gcRll69ETs77nM</t>
        </is>
      </c>
      <c r="K160" s="4" t="inlineStr">
        <is>
          <t>R. Lúcio Mendonça, 60 - Me. Deus, São Luís - MA, 65026-030, Brasil</t>
        </is>
      </c>
      <c r="L160" s="4" t="inlineStr">
        <is>
          <t>São Luís</t>
        </is>
      </c>
      <c r="M160" s="5" t="n">
        <v>1</v>
      </c>
    </row>
    <row r="161">
      <c r="A161" s="3">
        <f>RAND()</f>
        <v/>
      </c>
      <c r="B161" s="4" t="inlineStr">
        <is>
          <t>ChIJPYCdggeN9gcR52LY52X6eZc</t>
        </is>
      </c>
      <c r="C161" s="4" t="inlineStr">
        <is>
          <t>BeToys Brinquedos</t>
        </is>
      </c>
      <c r="D161" s="4" t="inlineStr">
        <is>
          <t>São Luís</t>
        </is>
      </c>
      <c r="E161" s="4" t="inlineStr">
        <is>
          <t>MA</t>
        </is>
      </c>
      <c r="F161" s="4" t="inlineStr">
        <is>
          <t>Capitais Regionais A</t>
        </is>
      </c>
      <c r="G161" s="4" t="inlineStr">
        <is>
          <t>Capital regional</t>
        </is>
      </c>
      <c r="H161" s="5">
        <f>IF(G161="fora do recorte","",SUMPRODUCT(($G$3:$G$1723=G161)*($A$3:$A$1723&lt;=A161)))</f>
        <v/>
      </c>
      <c r="I161" s="4">
        <f>IF(H161="","",G161&amp;"|"&amp;H161)</f>
        <v/>
      </c>
      <c r="J161" s="4" t="inlineStr">
        <is>
          <t>https://www.google.com/maps/search/?api=1&amp;query=BeToys%20Brinquedos&amp;query_place_id=ChIJPYCdggeN9gcR52LY52X6eZc</t>
        </is>
      </c>
      <c r="K161" s="4" t="inlineStr">
        <is>
          <t>Golden Shopping Calhau - Av. dos Holandeses, 200 - Calhau, São Luís - MA, 65071-380, Brasil</t>
        </is>
      </c>
      <c r="L161" s="4" t="inlineStr">
        <is>
          <t>São Luís</t>
        </is>
      </c>
      <c r="M161" s="5" t="n">
        <v>1</v>
      </c>
    </row>
    <row r="162">
      <c r="A162" s="3">
        <f>RAND()</f>
        <v/>
      </c>
      <c r="B162" s="4" t="inlineStr">
        <is>
          <t>ChIJaQ8vDSCP9gcRXwhYo9WJkQk</t>
        </is>
      </c>
      <c r="C162" s="4" t="inlineStr">
        <is>
          <t>Benjamin Brinquedoskids</t>
        </is>
      </c>
      <c r="D162" s="4" t="inlineStr">
        <is>
          <t>São Luís</t>
        </is>
      </c>
      <c r="E162" s="4" t="inlineStr">
        <is>
          <t>MA</t>
        </is>
      </c>
      <c r="F162" s="4" t="inlineStr">
        <is>
          <t>Capitais Regionais A</t>
        </is>
      </c>
      <c r="G162" s="4" t="inlineStr">
        <is>
          <t>Capital regional</t>
        </is>
      </c>
      <c r="H162" s="5">
        <f>IF(G162="fora do recorte","",SUMPRODUCT(($G$3:$G$1723=G162)*($A$3:$A$1723&lt;=A162)))</f>
        <v/>
      </c>
      <c r="I162" s="4">
        <f>IF(H162="","",G162&amp;"|"&amp;H162)</f>
        <v/>
      </c>
      <c r="J162" s="4" t="inlineStr">
        <is>
          <t>https://www.google.com/maps/search/?api=1&amp;query=Benjamin%20Brinquedoskids&amp;query_place_id=ChIJaQ8vDSCP9gcRXwhYo9WJkQk</t>
        </is>
      </c>
      <c r="K162" s="4" t="inlineStr">
        <is>
          <t>R. Nossa Sra. Aparecida - Areinha, São Luís - MA, 65032-540, Brasil</t>
        </is>
      </c>
      <c r="L162" s="4" t="inlineStr">
        <is>
          <t>São Luís</t>
        </is>
      </c>
      <c r="M162" s="5" t="n">
        <v>1</v>
      </c>
    </row>
    <row r="163">
      <c r="A163" s="3">
        <f>RAND()</f>
        <v/>
      </c>
      <c r="B163" s="4" t="inlineStr">
        <is>
          <t>ChIJT6wGLDCM9gcRA1e9VT15c6Y</t>
        </is>
      </c>
      <c r="C163" s="4" t="inlineStr">
        <is>
          <t>Big Joe Tabacaria Bar - Lagoa da Jansen</t>
        </is>
      </c>
      <c r="D163" s="4" t="inlineStr">
        <is>
          <t>São Luís</t>
        </is>
      </c>
      <c r="E163" s="4" t="inlineStr">
        <is>
          <t>MA</t>
        </is>
      </c>
      <c r="F163" s="4" t="inlineStr">
        <is>
          <t>Capitais Regionais A</t>
        </is>
      </c>
      <c r="G163" s="4" t="inlineStr">
        <is>
          <t>Capital regional</t>
        </is>
      </c>
      <c r="H163" s="5">
        <f>IF(G163="fora do recorte","",SUMPRODUCT(($G$3:$G$1723=G163)*($A$3:$A$1723&lt;=A163)))</f>
        <v/>
      </c>
      <c r="I163" s="4">
        <f>IF(H163="","",G163&amp;"|"&amp;H163)</f>
        <v/>
      </c>
      <c r="J163" s="4" t="inlineStr">
        <is>
          <t>https://www.google.com/maps/search/?api=1&amp;query=Big%20Joe%20Tabacaria%20Bar%20-%20Lagoa%20da%20Jansen&amp;query_place_id=ChIJT6wGLDCM9gcRA1e9VT15c6Y</t>
        </is>
      </c>
      <c r="K163" s="4" t="inlineStr">
        <is>
          <t>R. Anturius, 1 - Jardim Renascença, São Luís - MA, 65075-450, Brasil</t>
        </is>
      </c>
      <c r="L163" s="4" t="inlineStr">
        <is>
          <t>São Luís</t>
        </is>
      </c>
      <c r="M163" s="5" t="n">
        <v>1</v>
      </c>
    </row>
    <row r="164">
      <c r="A164" s="3">
        <f>RAND()</f>
        <v/>
      </c>
      <c r="B164" s="4" t="inlineStr">
        <is>
          <t>ChIJzzKoupiR9gcROQiFph9C2ro</t>
        </is>
      </c>
      <c r="C164" s="4" t="inlineStr">
        <is>
          <t>Birosca dos Cumê</t>
        </is>
      </c>
      <c r="D164" s="4" t="inlineStr">
        <is>
          <t>São Luís</t>
        </is>
      </c>
      <c r="E164" s="4" t="inlineStr">
        <is>
          <t>MA</t>
        </is>
      </c>
      <c r="F164" s="4" t="inlineStr">
        <is>
          <t>Capitais Regionais A</t>
        </is>
      </c>
      <c r="G164" s="4" t="inlineStr">
        <is>
          <t>Capital regional</t>
        </is>
      </c>
      <c r="H164" s="5">
        <f>IF(G164="fora do recorte","",SUMPRODUCT(($G$3:$G$1723=G164)*($A$3:$A$1723&lt;=A164)))</f>
        <v/>
      </c>
      <c r="I164" s="4">
        <f>IF(H164="","",G164&amp;"|"&amp;H164)</f>
        <v/>
      </c>
      <c r="J164" s="4" t="inlineStr">
        <is>
          <t>https://www.google.com/maps/search/?api=1&amp;query=Birosca%20dos%20Cum%C3%AA&amp;query_place_id=ChIJzzKoupiR9gcROQiFph9C2ro</t>
        </is>
      </c>
      <c r="K164" s="4" t="inlineStr">
        <is>
          <t>Av. Contôrno Leste, 11 - Cohatrac III, São Luís - MA, 65054-709, Brasil</t>
        </is>
      </c>
      <c r="L164" s="4" t="inlineStr">
        <is>
          <t>São Luís</t>
        </is>
      </c>
      <c r="M164" s="5" t="n">
        <v>1</v>
      </c>
    </row>
    <row r="165">
      <c r="A165" s="3">
        <f>RAND()</f>
        <v/>
      </c>
      <c r="B165" s="4" t="inlineStr">
        <is>
          <t>ChIJp-5uoPiR9gcR-J6cSun50zc</t>
        </is>
      </c>
      <c r="C165" s="4" t="inlineStr">
        <is>
          <t>Cantinho Doce Cohama</t>
        </is>
      </c>
      <c r="D165" s="4" t="inlineStr">
        <is>
          <t>São Luís</t>
        </is>
      </c>
      <c r="E165" s="4" t="inlineStr">
        <is>
          <t>MA</t>
        </is>
      </c>
      <c r="F165" s="4" t="inlineStr">
        <is>
          <t>Capitais Regionais A</t>
        </is>
      </c>
      <c r="G165" s="4" t="inlineStr">
        <is>
          <t>Capital regional</t>
        </is>
      </c>
      <c r="H165" s="5">
        <f>IF(G165="fora do recorte","",SUMPRODUCT(($G$3:$G$1723=G165)*($A$3:$A$1723&lt;=A165)))</f>
        <v/>
      </c>
      <c r="I165" s="4">
        <f>IF(H165="","",G165&amp;"|"&amp;H165)</f>
        <v/>
      </c>
      <c r="J165" s="4" t="inlineStr">
        <is>
          <t>https://www.google.com/maps/search/?api=1&amp;query=Cantinho%20Doce%20Cohama&amp;query_place_id=ChIJp-5uoPiR9gcR-J6cSun50zc</t>
        </is>
      </c>
      <c r="K165" s="4" t="inlineStr">
        <is>
          <t>Av. Daniel de La Touche, 11 - Cohama, São Luís - MA, 65073-212, Brasil</t>
        </is>
      </c>
      <c r="L165" s="4" t="inlineStr">
        <is>
          <t>São Luís</t>
        </is>
      </c>
      <c r="M165" s="5" t="n">
        <v>1</v>
      </c>
    </row>
    <row r="166">
      <c r="A166" s="3">
        <f>RAND()</f>
        <v/>
      </c>
      <c r="B166" s="4" t="inlineStr">
        <is>
          <t>ChIJ55x0AwCN9gcRT6qWg8uU8f4</t>
        </is>
      </c>
      <c r="C166" s="4" t="inlineStr">
        <is>
          <t>Casa +Brincar</t>
        </is>
      </c>
      <c r="D166" s="4" t="inlineStr">
        <is>
          <t>São Luís</t>
        </is>
      </c>
      <c r="E166" s="4" t="inlineStr">
        <is>
          <t>MA</t>
        </is>
      </c>
      <c r="F166" s="4" t="inlineStr">
        <is>
          <t>Capitais Regionais A</t>
        </is>
      </c>
      <c r="G166" s="4" t="inlineStr">
        <is>
          <t>Capital regional</t>
        </is>
      </c>
      <c r="H166" s="5">
        <f>IF(G166="fora do recorte","",SUMPRODUCT(($G$3:$G$1723=G166)*($A$3:$A$1723&lt;=A166)))</f>
        <v/>
      </c>
      <c r="I166" s="4">
        <f>IF(H166="","",G166&amp;"|"&amp;H166)</f>
        <v/>
      </c>
      <c r="J166" s="4" t="inlineStr">
        <is>
          <t>https://www.google.com/maps/search/?api=1&amp;query=Casa%20%2BBrincar&amp;query_place_id=ChIJ55x0AwCN9gcRT6qWg8uU8f4</t>
        </is>
      </c>
      <c r="K166" s="4" t="inlineStr">
        <is>
          <t>Av. dos Sambaquis, 26 - 24 - Jardim Renascença, São Luís - MA, 65071-810, Brasil</t>
        </is>
      </c>
      <c r="L166" s="4" t="inlineStr">
        <is>
          <t>São Luís</t>
        </is>
      </c>
      <c r="M166" s="5" t="n">
        <v>1</v>
      </c>
    </row>
    <row r="167">
      <c r="A167" s="3">
        <f>RAND()</f>
        <v/>
      </c>
      <c r="B167" s="4" t="inlineStr">
        <is>
          <t>ChIJAYJ_bVuN9gcRQg7JLdZOsqE</t>
        </is>
      </c>
      <c r="C167" s="4" t="inlineStr">
        <is>
          <t>Casa Vagalume</t>
        </is>
      </c>
      <c r="D167" s="4" t="inlineStr">
        <is>
          <t>São Luís</t>
        </is>
      </c>
      <c r="E167" s="4" t="inlineStr">
        <is>
          <t>MA</t>
        </is>
      </c>
      <c r="F167" s="4" t="inlineStr">
        <is>
          <t>Capitais Regionais A</t>
        </is>
      </c>
      <c r="G167" s="4" t="inlineStr">
        <is>
          <t>Capital regional</t>
        </is>
      </c>
      <c r="H167" s="5">
        <f>IF(G167="fora do recorte","",SUMPRODUCT(($G$3:$G$1723=G167)*($A$3:$A$1723&lt;=A167)))</f>
        <v/>
      </c>
      <c r="I167" s="4">
        <f>IF(H167="","",G167&amp;"|"&amp;H167)</f>
        <v/>
      </c>
      <c r="J167" s="4" t="inlineStr">
        <is>
          <t>https://www.google.com/maps/search/?api=1&amp;query=Casa%20Vagalume&amp;query_place_id=ChIJAYJ_bVuN9gcRQg7JLdZOsqE</t>
        </is>
      </c>
      <c r="K167" s="4" t="inlineStr">
        <is>
          <t>R. Garoupas, 39 - Calhau, São Luís - MA, 65071-643, Brasil</t>
        </is>
      </c>
      <c r="L167" s="4" t="inlineStr">
        <is>
          <t>São Luís</t>
        </is>
      </c>
      <c r="M167" s="5" t="n">
        <v>1</v>
      </c>
    </row>
    <row r="168">
      <c r="A168" s="3">
        <f>RAND()</f>
        <v/>
      </c>
      <c r="B168" s="4" t="inlineStr">
        <is>
          <t>ChIJ5dgqcIKT9gcRe-38gcAPJ3s</t>
        </is>
      </c>
      <c r="C168" s="4" t="inlineStr">
        <is>
          <t>Casa de Brinquedo</t>
        </is>
      </c>
      <c r="D168" s="4" t="inlineStr">
        <is>
          <t>São Luís</t>
        </is>
      </c>
      <c r="E168" s="4" t="inlineStr">
        <is>
          <t>MA</t>
        </is>
      </c>
      <c r="F168" s="4" t="inlineStr">
        <is>
          <t>Capitais Regionais A</t>
        </is>
      </c>
      <c r="G168" s="4" t="inlineStr">
        <is>
          <t>Capital regional</t>
        </is>
      </c>
      <c r="H168" s="5">
        <f>IF(G168="fora do recorte","",SUMPRODUCT(($G$3:$G$1723=G168)*($A$3:$A$1723&lt;=A168)))</f>
        <v/>
      </c>
      <c r="I168" s="4">
        <f>IF(H168="","",G168&amp;"|"&amp;H168)</f>
        <v/>
      </c>
      <c r="J168" s="4" t="inlineStr">
        <is>
          <t>https://www.google.com/maps/search/?api=1&amp;query=Casa%20de%20Brinquedo&amp;query_place_id=ChIJ5dgqcIKT9gcRe-38gcAPJ3s</t>
        </is>
      </c>
      <c r="K168" s="4" t="inlineStr">
        <is>
          <t>Ed. Comercial Bandeiras Plazza - Av. dos Holandeses, Lj 21 - Olho D'agua, São Luís - MA, 65065-180, Brasil</t>
        </is>
      </c>
      <c r="L168" s="4" t="inlineStr">
        <is>
          <t>São Luís</t>
        </is>
      </c>
      <c r="M168" s="5" t="n">
        <v>1</v>
      </c>
    </row>
    <row r="169">
      <c r="A169" s="3">
        <f>RAND()</f>
        <v/>
      </c>
      <c r="B169" s="4" t="inlineStr">
        <is>
          <t>ChIJjYjQOCKS9gcR8_VD289nygc</t>
        </is>
      </c>
      <c r="C169" s="4" t="inlineStr">
        <is>
          <t>Churrascaria Barriga Verde</t>
        </is>
      </c>
      <c r="D169" s="4" t="inlineStr">
        <is>
          <t>São Luís</t>
        </is>
      </c>
      <c r="E169" s="4" t="inlineStr">
        <is>
          <t>MA</t>
        </is>
      </c>
      <c r="F169" s="4" t="inlineStr">
        <is>
          <t>Capitais Regionais A</t>
        </is>
      </c>
      <c r="G169" s="4" t="inlineStr">
        <is>
          <t>Capital regional</t>
        </is>
      </c>
      <c r="H169" s="5">
        <f>IF(G169="fora do recorte","",SUMPRODUCT(($G$3:$G$1723=G169)*($A$3:$A$1723&lt;=A169)))</f>
        <v/>
      </c>
      <c r="I169" s="4">
        <f>IF(H169="","",G169&amp;"|"&amp;H169)</f>
        <v/>
      </c>
      <c r="J169" s="4" t="inlineStr">
        <is>
          <t>https://www.google.com/maps/search/?api=1&amp;query=Churrascaria%20Barriga%20Verde&amp;query_place_id=ChIJjYjQOCKS9gcR8_VD289nygc</t>
        </is>
      </c>
      <c r="K169" s="4" t="inlineStr">
        <is>
          <t>Av. São Luís Rei de França, 13 - Turu, São Luís - MA, 65066-460, Brasil</t>
        </is>
      </c>
      <c r="L169" s="4" t="inlineStr">
        <is>
          <t>São Luís</t>
        </is>
      </c>
      <c r="M169" s="5" t="n">
        <v>1</v>
      </c>
    </row>
    <row r="170">
      <c r="A170" s="3">
        <f>RAND()</f>
        <v/>
      </c>
      <c r="B170" s="4" t="inlineStr">
        <is>
          <t>ChIJoflM9MqR9gcRXi8dyXkeQdw</t>
        </is>
      </c>
      <c r="C170" s="4" t="inlineStr">
        <is>
          <t>Claudio Games(EM BREVE 2024 ) NOVA LOJA SINCE 2003</t>
        </is>
      </c>
      <c r="D170" s="4" t="inlineStr">
        <is>
          <t>São Luís</t>
        </is>
      </c>
      <c r="E170" s="4" t="inlineStr">
        <is>
          <t>MA</t>
        </is>
      </c>
      <c r="F170" s="4" t="inlineStr">
        <is>
          <t>Capitais Regionais A</t>
        </is>
      </c>
      <c r="G170" s="4" t="inlineStr">
        <is>
          <t>Capital regional</t>
        </is>
      </c>
      <c r="H170" s="5">
        <f>IF(G170="fora do recorte","",SUMPRODUCT(($G$3:$G$1723=G170)*($A$3:$A$1723&lt;=A170)))</f>
        <v/>
      </c>
      <c r="I170" s="4">
        <f>IF(H170="","",G170&amp;"|"&amp;H170)</f>
        <v/>
      </c>
      <c r="J170" s="4" t="inlineStr">
        <is>
          <t>https://www.google.com/maps/search/?api=1&amp;query=Claudio%20Games%28EM%20BREVE%202024%20%29%20NOVA%20LOJA%20SINCE%202003&amp;query_place_id=ChIJoflM9MqR9gcRXi8dyXkeQdw</t>
        </is>
      </c>
      <c r="K170" s="4" t="inlineStr">
        <is>
          <t>R. das Mangueiras, 279 - Centro, São Luís - MA, 65010-360, Brasil</t>
        </is>
      </c>
      <c r="L170" s="4" t="inlineStr">
        <is>
          <t>São Luís</t>
        </is>
      </c>
      <c r="M170" s="5" t="n">
        <v>1</v>
      </c>
    </row>
    <row r="171">
      <c r="A171" s="3">
        <f>RAND()</f>
        <v/>
      </c>
      <c r="B171" s="4" t="inlineStr">
        <is>
          <t>ChIJEdYHiiSO9gcRNLbvr8aq-94</t>
        </is>
      </c>
      <c r="C171" s="4" t="inlineStr">
        <is>
          <t>Clube da Criança</t>
        </is>
      </c>
      <c r="D171" s="4" t="inlineStr">
        <is>
          <t>São Luís</t>
        </is>
      </c>
      <c r="E171" s="4" t="inlineStr">
        <is>
          <t>MA</t>
        </is>
      </c>
      <c r="F171" s="4" t="inlineStr">
        <is>
          <t>Capitais Regionais A</t>
        </is>
      </c>
      <c r="G171" s="4" t="inlineStr">
        <is>
          <t>Capital regional</t>
        </is>
      </c>
      <c r="H171" s="5">
        <f>IF(G171="fora do recorte","",SUMPRODUCT(($G$3:$G$1723=G171)*($A$3:$A$1723&lt;=A171)))</f>
        <v/>
      </c>
      <c r="I171" s="4">
        <f>IF(H171="","",G171&amp;"|"&amp;H171)</f>
        <v/>
      </c>
      <c r="J171" s="4" t="inlineStr">
        <is>
          <t>https://www.google.com/maps/search/?api=1&amp;query=Clube%20da%20Crian%C3%A7a&amp;query_place_id=ChIJEdYHiiSO9gcRNLbvr8aq-94</t>
        </is>
      </c>
      <c r="K171" s="4" t="inlineStr">
        <is>
          <t>Av. Daniel de La Touche, 987 - Lj 308B - Cohama, São Luís - MA, 65074-115, Brasil</t>
        </is>
      </c>
      <c r="L171" s="4" t="inlineStr">
        <is>
          <t>São Luís</t>
        </is>
      </c>
      <c r="M171" s="5" t="n">
        <v>1</v>
      </c>
    </row>
    <row r="172">
      <c r="A172" s="3">
        <f>RAND()</f>
        <v/>
      </c>
      <c r="B172" s="4" t="inlineStr">
        <is>
          <t>ChIJ0bOqWOmP9gcRXRizku0ZiN0</t>
        </is>
      </c>
      <c r="C172" s="4" t="inlineStr">
        <is>
          <t>Coyote Games</t>
        </is>
      </c>
      <c r="D172" s="4" t="inlineStr">
        <is>
          <t>São Luís</t>
        </is>
      </c>
      <c r="E172" s="4" t="inlineStr">
        <is>
          <t>MA</t>
        </is>
      </c>
      <c r="F172" s="4" t="inlineStr">
        <is>
          <t>Capitais Regionais A</t>
        </is>
      </c>
      <c r="G172" s="4" t="inlineStr">
        <is>
          <t>Capital regional</t>
        </is>
      </c>
      <c r="H172" s="5">
        <f>IF(G172="fora do recorte","",SUMPRODUCT(($G$3:$G$1723=G172)*($A$3:$A$1723&lt;=A172)))</f>
        <v/>
      </c>
      <c r="I172" s="4">
        <f>IF(H172="","",G172&amp;"|"&amp;H172)</f>
        <v/>
      </c>
      <c r="J172" s="4" t="inlineStr">
        <is>
          <t>https://www.google.com/maps/search/?api=1&amp;query=Coyote%20Games&amp;query_place_id=ChIJ0bOqWOmP9gcRXRizku0ZiN0</t>
        </is>
      </c>
      <c r="K172" s="4" t="inlineStr">
        <is>
          <t>R. das Flôres - Centro, São Luís - MA, 65010-230, Brasil</t>
        </is>
      </c>
      <c r="L172" s="4" t="inlineStr">
        <is>
          <t>São Luís</t>
        </is>
      </c>
      <c r="M172" s="5" t="n">
        <v>2</v>
      </c>
    </row>
    <row r="173">
      <c r="A173" s="3">
        <f>RAND()</f>
        <v/>
      </c>
      <c r="B173" s="4" t="inlineStr">
        <is>
          <t>ChIJj9QTiduR9gcRLX5D_mZbLfk</t>
        </is>
      </c>
      <c r="C173" s="4" t="inlineStr">
        <is>
          <t>Criolas Gril</t>
        </is>
      </c>
      <c r="D173" s="4" t="inlineStr">
        <is>
          <t>São Luís</t>
        </is>
      </c>
      <c r="E173" s="4" t="inlineStr">
        <is>
          <t>MA</t>
        </is>
      </c>
      <c r="F173" s="4" t="inlineStr">
        <is>
          <t>Capitais Regionais A</t>
        </is>
      </c>
      <c r="G173" s="4" t="inlineStr">
        <is>
          <t>Capital regional</t>
        </is>
      </c>
      <c r="H173" s="5">
        <f>IF(G173="fora do recorte","",SUMPRODUCT(($G$3:$G$1723=G173)*($A$3:$A$1723&lt;=A173)))</f>
        <v/>
      </c>
      <c r="I173" s="4">
        <f>IF(H173="","",G173&amp;"|"&amp;H173)</f>
        <v/>
      </c>
      <c r="J173" s="4" t="inlineStr">
        <is>
          <t>https://www.google.com/maps/search/?api=1&amp;query=Criolas%20Gril&amp;query_place_id=ChIJj9QTiduR9gcRLX5D_mZbLfk</t>
        </is>
      </c>
      <c r="K173" s="4" t="inlineStr">
        <is>
          <t>R. Aririzal, 15a - Cohama, São Luís - MA, 65066-265, Brasil</t>
        </is>
      </c>
      <c r="L173" s="4" t="inlineStr">
        <is>
          <t>São Luís</t>
        </is>
      </c>
      <c r="M173" s="5" t="n">
        <v>1</v>
      </c>
    </row>
    <row r="174">
      <c r="A174" s="3">
        <f>RAND()</f>
        <v/>
      </c>
      <c r="B174" s="4" t="inlineStr">
        <is>
          <t>ChIJF1lgI5SN9gcRunR2Ej8pAEg</t>
        </is>
      </c>
      <c r="C174" s="4" t="inlineStr">
        <is>
          <t>Divertiteka</t>
        </is>
      </c>
      <c r="D174" s="4" t="inlineStr">
        <is>
          <t>São Luís</t>
        </is>
      </c>
      <c r="E174" s="4" t="inlineStr">
        <is>
          <t>MA</t>
        </is>
      </c>
      <c r="F174" s="4" t="inlineStr">
        <is>
          <t>Capitais Regionais A</t>
        </is>
      </c>
      <c r="G174" s="4" t="inlineStr">
        <is>
          <t>Capital regional</t>
        </is>
      </c>
      <c r="H174" s="5">
        <f>IF(G174="fora do recorte","",SUMPRODUCT(($G$3:$G$1723=G174)*($A$3:$A$1723&lt;=A174)))</f>
        <v/>
      </c>
      <c r="I174" s="4">
        <f>IF(H174="","",G174&amp;"|"&amp;H174)</f>
        <v/>
      </c>
      <c r="J174" s="4" t="inlineStr">
        <is>
          <t>https://www.google.com/maps/search/?api=1&amp;query=Divertiteka&amp;query_place_id=ChIJF1lgI5SN9gcRunR2Ej8pAEg</t>
        </is>
      </c>
      <c r="K174" s="4" t="inlineStr">
        <is>
          <t>Quintas do Calhau, São Luís - MA, 65075-380, Brasil</t>
        </is>
      </c>
      <c r="L174" s="4" t="inlineStr">
        <is>
          <t>São Luís</t>
        </is>
      </c>
      <c r="M174" s="5" t="n">
        <v>1</v>
      </c>
    </row>
    <row r="175">
      <c r="A175" s="3">
        <f>RAND()</f>
        <v/>
      </c>
      <c r="B175" s="4" t="inlineStr">
        <is>
          <t>ChIJJ06a0_yN9gcR7wHiG5eLwAs</t>
        </is>
      </c>
      <c r="C175" s="4" t="inlineStr">
        <is>
          <t>Djanira Presentes</t>
        </is>
      </c>
      <c r="D175" s="4" t="inlineStr">
        <is>
          <t>São Luís</t>
        </is>
      </c>
      <c r="E175" s="4" t="inlineStr">
        <is>
          <t>MA</t>
        </is>
      </c>
      <c r="F175" s="4" t="inlineStr">
        <is>
          <t>Capitais Regionais A</t>
        </is>
      </c>
      <c r="G175" s="4" t="inlineStr">
        <is>
          <t>Capital regional</t>
        </is>
      </c>
      <c r="H175" s="5">
        <f>IF(G175="fora do recorte","",SUMPRODUCT(($G$3:$G$1723=G175)*($A$3:$A$1723&lt;=A175)))</f>
        <v/>
      </c>
      <c r="I175" s="4">
        <f>IF(H175="","",G175&amp;"|"&amp;H175)</f>
        <v/>
      </c>
      <c r="J175" s="4" t="inlineStr">
        <is>
          <t>https://www.google.com/maps/search/?api=1&amp;query=Djanira%20Presentes&amp;query_place_id=ChIJJ06a0_yN9gcR7wHiG5eLwAs</t>
        </is>
      </c>
      <c r="K175" s="4" t="inlineStr">
        <is>
          <t>Rua do Arame, 13 - Vinhais, São Luís - MA, 65070-820, Brasil</t>
        </is>
      </c>
      <c r="L175" s="4" t="inlineStr">
        <is>
          <t>São Luís</t>
        </is>
      </c>
      <c r="M175" s="5" t="n">
        <v>1</v>
      </c>
    </row>
    <row r="176">
      <c r="A176" s="3">
        <f>RAND()</f>
        <v/>
      </c>
      <c r="B176" s="4" t="inlineStr">
        <is>
          <t>ChIJCRE2G5eO9gcRql4E24nqkpQ</t>
        </is>
      </c>
      <c r="C176" s="4" t="inlineStr">
        <is>
          <t>FISIOFIT - Fisioterapia, Rpg, Pilates, Osteopatia</t>
        </is>
      </c>
      <c r="D176" s="4" t="inlineStr">
        <is>
          <t>São Luís</t>
        </is>
      </c>
      <c r="E176" s="4" t="inlineStr">
        <is>
          <t>MA</t>
        </is>
      </c>
      <c r="F176" s="4" t="inlineStr">
        <is>
          <t>Capitais Regionais A</t>
        </is>
      </c>
      <c r="G176" s="4" t="inlineStr">
        <is>
          <t>Capital regional</t>
        </is>
      </c>
      <c r="H176" s="5">
        <f>IF(G176="fora do recorte","",SUMPRODUCT(($G$3:$G$1723=G176)*($A$3:$A$1723&lt;=A176)))</f>
        <v/>
      </c>
      <c r="I176" s="4">
        <f>IF(H176="","",G176&amp;"|"&amp;H176)</f>
        <v/>
      </c>
      <c r="J176" s="4" t="inlineStr">
        <is>
          <t>https://www.google.com/maps/search/?api=1&amp;query=FISIOFIT%20-%20Fisioterapia%2C%20Rpg%2C%20Pilates%2C%20Osteopatia&amp;query_place_id=ChIJCRE2G5eO9gcRql4E24nqkpQ</t>
        </is>
      </c>
      <c r="K176" s="4" t="inlineStr">
        <is>
          <t>Rua das Paparaubas casa 25 quadra 05 loja 03 - atrás da panificadora - Jardim Sao Francisco, São Luís - MA, 65076-000, Brasil</t>
        </is>
      </c>
      <c r="L176" s="4" t="inlineStr">
        <is>
          <t>São Luís</t>
        </is>
      </c>
      <c r="M176" s="5" t="n">
        <v>1</v>
      </c>
    </row>
    <row r="177">
      <c r="A177" s="3">
        <f>RAND()</f>
        <v/>
      </c>
      <c r="B177" s="4" t="inlineStr">
        <is>
          <t>ChIJ899k6AKT9gcRVCcpeMrUdoc</t>
        </is>
      </c>
      <c r="C177" s="4" t="inlineStr">
        <is>
          <t>Havan São Luís</t>
        </is>
      </c>
      <c r="D177" s="4" t="inlineStr">
        <is>
          <t>São Luís</t>
        </is>
      </c>
      <c r="E177" s="4" t="inlineStr">
        <is>
          <t>MA</t>
        </is>
      </c>
      <c r="F177" s="4" t="inlineStr">
        <is>
          <t>Capitais Regionais A</t>
        </is>
      </c>
      <c r="G177" s="4" t="inlineStr">
        <is>
          <t>Capital regional</t>
        </is>
      </c>
      <c r="H177" s="5">
        <f>IF(G177="fora do recorte","",SUMPRODUCT(($G$3:$G$1723=G177)*($A$3:$A$1723&lt;=A177)))</f>
        <v/>
      </c>
      <c r="I177" s="4">
        <f>IF(H177="","",G177&amp;"|"&amp;H177)</f>
        <v/>
      </c>
      <c r="J177" s="4" t="inlineStr">
        <is>
          <t>https://www.google.com/maps/search/?api=1&amp;query=Havan%20S%C3%A3o%20Lu%C3%ADs&amp;query_place_id=ChIJ899k6AKT9gcRVCcpeMrUdoc</t>
        </is>
      </c>
      <c r="K177" s="4" t="inlineStr">
        <is>
          <t>Av. Daniel de La Touche, 2 - Cohama, São Luís - MA, 65074-115, Brasil</t>
        </is>
      </c>
      <c r="L177" s="4" t="inlineStr">
        <is>
          <t>São Luís</t>
        </is>
      </c>
      <c r="M177" s="5" t="n">
        <v>1</v>
      </c>
    </row>
    <row r="178">
      <c r="A178" s="3">
        <f>RAND()</f>
        <v/>
      </c>
      <c r="B178" s="4" t="inlineStr">
        <is>
          <t>ChIJuxDnf2OP9gcR1wYWWsfyTs4</t>
        </is>
      </c>
      <c r="C178" s="4" t="inlineStr">
        <is>
          <t>ILHA GAMES STUDIO</t>
        </is>
      </c>
      <c r="D178" s="4" t="inlineStr">
        <is>
          <t>São Luís</t>
        </is>
      </c>
      <c r="E178" s="4" t="inlineStr">
        <is>
          <t>MA</t>
        </is>
      </c>
      <c r="F178" s="4" t="inlineStr">
        <is>
          <t>Capitais Regionais A</t>
        </is>
      </c>
      <c r="G178" s="4" t="inlineStr">
        <is>
          <t>Capital regional</t>
        </is>
      </c>
      <c r="H178" s="5">
        <f>IF(G178="fora do recorte","",SUMPRODUCT(($G$3:$G$1723=G178)*($A$3:$A$1723&lt;=A178)))</f>
        <v/>
      </c>
      <c r="I178" s="4">
        <f>IF(H178="","",G178&amp;"|"&amp;H178)</f>
        <v/>
      </c>
      <c r="J178" s="4" t="inlineStr">
        <is>
          <t>https://www.google.com/maps/search/?api=1&amp;query=ILHA%20GAMES%20STUDIO&amp;query_place_id=ChIJuxDnf2OP9gcR1wYWWsfyTs4</t>
        </is>
      </c>
      <c r="K178" s="4" t="inlineStr">
        <is>
          <t>Rua Isaac Martins Barrocas, 132 - Centro, São Luís - MA, 65010-590, Brasil</t>
        </is>
      </c>
      <c r="L178" s="4" t="inlineStr">
        <is>
          <t>São Luís</t>
        </is>
      </c>
      <c r="M178" s="5" t="n">
        <v>2</v>
      </c>
    </row>
    <row r="179">
      <c r="A179" s="3">
        <f>RAND()</f>
        <v/>
      </c>
      <c r="B179" s="4" t="inlineStr">
        <is>
          <t>ChIJG0-06TuS9gcRIgBefwZqdLY</t>
        </is>
      </c>
      <c r="C179" s="4" t="inlineStr">
        <is>
          <t>JR Games e Informática</t>
        </is>
      </c>
      <c r="D179" s="4" t="inlineStr">
        <is>
          <t>São Luís</t>
        </is>
      </c>
      <c r="E179" s="4" t="inlineStr">
        <is>
          <t>MA</t>
        </is>
      </c>
      <c r="F179" s="4" t="inlineStr">
        <is>
          <t>Capitais Regionais A</t>
        </is>
      </c>
      <c r="G179" s="4" t="inlineStr">
        <is>
          <t>Capital regional</t>
        </is>
      </c>
      <c r="H179" s="5">
        <f>IF(G179="fora do recorte","",SUMPRODUCT(($G$3:$G$1723=G179)*($A$3:$A$1723&lt;=A179)))</f>
        <v/>
      </c>
      <c r="I179" s="4">
        <f>IF(H179="","",G179&amp;"|"&amp;H179)</f>
        <v/>
      </c>
      <c r="J179" s="4" t="inlineStr">
        <is>
          <t>https://www.google.com/maps/search/?api=1&amp;query=JR%20Games%20e%20Inform%C3%A1tica&amp;query_place_id=ChIJG0-06TuS9gcRIgBefwZqdLY</t>
        </is>
      </c>
      <c r="K179" s="4" t="inlineStr">
        <is>
          <t>Rua Dezenove, N° 30A, Habitacional Turu - Turu, São Luís - MA, 65065-830, Brasil</t>
        </is>
      </c>
      <c r="L179" s="4" t="inlineStr">
        <is>
          <t>São Luís</t>
        </is>
      </c>
      <c r="M179" s="5" t="n">
        <v>3</v>
      </c>
    </row>
    <row r="180">
      <c r="A180" s="3">
        <f>RAND()</f>
        <v/>
      </c>
      <c r="B180" s="4" t="inlineStr">
        <is>
          <t>ChIJw2djmViP9gcR6Mbidwwftik</t>
        </is>
      </c>
      <c r="C180" s="4" t="inlineStr">
        <is>
          <t>Jogos Play</t>
        </is>
      </c>
      <c r="D180" s="4" t="inlineStr">
        <is>
          <t>São Luís</t>
        </is>
      </c>
      <c r="E180" s="4" t="inlineStr">
        <is>
          <t>MA</t>
        </is>
      </c>
      <c r="F180" s="4" t="inlineStr">
        <is>
          <t>Capitais Regionais A</t>
        </is>
      </c>
      <c r="G180" s="4" t="inlineStr">
        <is>
          <t>Capital regional</t>
        </is>
      </c>
      <c r="H180" s="5">
        <f>IF(G180="fora do recorte","",SUMPRODUCT(($G$3:$G$1723=G180)*($A$3:$A$1723&lt;=A180)))</f>
        <v/>
      </c>
      <c r="I180" s="4">
        <f>IF(H180="","",G180&amp;"|"&amp;H180)</f>
        <v/>
      </c>
      <c r="J180" s="4" t="inlineStr">
        <is>
          <t>https://www.google.com/maps/search/?api=1&amp;query=Jogos%20Play&amp;query_place_id=ChIJw2djmViP9gcR6Mbidwwftik</t>
        </is>
      </c>
      <c r="K180" s="4" t="inlineStr">
        <is>
          <t>R. Alm. Tamandaré - Vila Palmeira, São Luís - MA, 65045-040, Brasil</t>
        </is>
      </c>
      <c r="L180" s="4" t="inlineStr">
        <is>
          <t>São Luís</t>
        </is>
      </c>
      <c r="M180" s="5" t="n">
        <v>2</v>
      </c>
    </row>
    <row r="181">
      <c r="A181" s="3">
        <f>RAND()</f>
        <v/>
      </c>
      <c r="B181" s="4" t="inlineStr">
        <is>
          <t>ChIJZ4VIP1CT9gcRLQRZJbjIE8Q</t>
        </is>
      </c>
      <c r="C181" s="4" t="inlineStr">
        <is>
          <t>K.O Cardstore</t>
        </is>
      </c>
      <c r="D181" s="4" t="inlineStr">
        <is>
          <t>São Luís</t>
        </is>
      </c>
      <c r="E181" s="4" t="inlineStr">
        <is>
          <t>MA</t>
        </is>
      </c>
      <c r="F181" s="4" t="inlineStr">
        <is>
          <t>Capitais Regionais A</t>
        </is>
      </c>
      <c r="G181" s="4" t="inlineStr">
        <is>
          <t>Capital regional</t>
        </is>
      </c>
      <c r="H181" s="5">
        <f>IF(G181="fora do recorte","",SUMPRODUCT(($G$3:$G$1723=G181)*($A$3:$A$1723&lt;=A181)))</f>
        <v/>
      </c>
      <c r="I181" s="4">
        <f>IF(H181="","",G181&amp;"|"&amp;H181)</f>
        <v/>
      </c>
      <c r="J181" s="4" t="inlineStr">
        <is>
          <t>https://www.google.com/maps/search/?api=1&amp;query=K.O%20Cardstore&amp;query_place_id=ChIJZ4VIP1CT9gcRLQRZJbjIE8Q</t>
        </is>
      </c>
      <c r="K181" s="4" t="inlineStr">
        <is>
          <t>R. V Onze, 5 - Olho D'agua, São Luís - MA, 65073-030, Brasil</t>
        </is>
      </c>
      <c r="L181" s="4" t="inlineStr">
        <is>
          <t>São Luís</t>
        </is>
      </c>
      <c r="M181" s="5" t="n">
        <v>1</v>
      </c>
    </row>
    <row r="182">
      <c r="A182" s="3">
        <f>RAND()</f>
        <v/>
      </c>
      <c r="B182" s="4" t="inlineStr">
        <is>
          <t>ChIJ_Z2nzoeR9gcR_JuFYSunXrE</t>
        </is>
      </c>
      <c r="C182" s="4" t="inlineStr">
        <is>
          <t>Kalunga</t>
        </is>
      </c>
      <c r="D182" s="4" t="inlineStr">
        <is>
          <t>São Luís</t>
        </is>
      </c>
      <c r="E182" s="4" t="inlineStr">
        <is>
          <t>MA</t>
        </is>
      </c>
      <c r="F182" s="4" t="inlineStr">
        <is>
          <t>Capitais Regionais A</t>
        </is>
      </c>
      <c r="G182" s="4" t="inlineStr">
        <is>
          <t>Capital regional</t>
        </is>
      </c>
      <c r="H182" s="5">
        <f>IF(G182="fora do recorte","",SUMPRODUCT(($G$3:$G$1723=G182)*($A$3:$A$1723&lt;=A182)))</f>
        <v/>
      </c>
      <c r="I182" s="4">
        <f>IF(H182="","",G182&amp;"|"&amp;H182)</f>
        <v/>
      </c>
      <c r="J182" s="4" t="inlineStr">
        <is>
          <t>https://www.google.com/maps/search/?api=1&amp;query=Kalunga&amp;query_place_id=ChIJ_Z2nzoeR9gcR_JuFYSunXrE</t>
        </is>
      </c>
      <c r="K182" s="4" t="inlineStr">
        <is>
          <t>Rio Anil Shopping - Av. São Luís Rei de França, 8 - Lj 1083A - Turu, São Luís - MA, 65065-470, Brasil</t>
        </is>
      </c>
      <c r="L182" s="4" t="inlineStr">
        <is>
          <t>São Luís</t>
        </is>
      </c>
      <c r="M182" s="5" t="n">
        <v>1</v>
      </c>
    </row>
    <row r="183">
      <c r="A183" s="3">
        <f>RAND()</f>
        <v/>
      </c>
      <c r="B183" s="4" t="inlineStr">
        <is>
          <t>ChIJi2BYlTCP9gcRZmFqgRGoIrg</t>
        </is>
      </c>
      <c r="C183" s="4" t="inlineStr">
        <is>
          <t>Kalunga</t>
        </is>
      </c>
      <c r="D183" s="4" t="inlineStr">
        <is>
          <t>São Luís</t>
        </is>
      </c>
      <c r="E183" s="4" t="inlineStr">
        <is>
          <t>MA</t>
        </is>
      </c>
      <c r="F183" s="4" t="inlineStr">
        <is>
          <t>Capitais Regionais A</t>
        </is>
      </c>
      <c r="G183" s="4" t="inlineStr">
        <is>
          <t>Capital regional</t>
        </is>
      </c>
      <c r="H183" s="5">
        <f>IF(G183="fora do recorte","",SUMPRODUCT(($G$3:$G$1723=G183)*($A$3:$A$1723&lt;=A183)))</f>
        <v/>
      </c>
      <c r="I183" s="4">
        <f>IF(H183="","",G183&amp;"|"&amp;H183)</f>
        <v/>
      </c>
      <c r="J183" s="4" t="inlineStr">
        <is>
          <t>https://www.google.com/maps/search/?api=1&amp;query=Kalunga&amp;query_place_id=ChIJi2BYlTCP9gcRZmFqgRGoIrg</t>
        </is>
      </c>
      <c r="K183" s="4" t="inlineStr">
        <is>
          <t>Av. Daniel de La Touche, 987 - Lj 313 I - Cohama, São Luís - MA, 65074-115, Brasil</t>
        </is>
      </c>
      <c r="L183" s="4" t="inlineStr">
        <is>
          <t>São Luís</t>
        </is>
      </c>
      <c r="M183" s="5" t="n">
        <v>1</v>
      </c>
    </row>
    <row r="184">
      <c r="A184" s="3">
        <f>RAND()</f>
        <v/>
      </c>
      <c r="B184" s="4" t="inlineStr">
        <is>
          <t>ChIJGz4yXgmR9gcRSJSFrE6y3Sk</t>
        </is>
      </c>
      <c r="C184" s="4" t="inlineStr">
        <is>
          <t>LOJAS WIKI - PC’s, notebook’s e celulares</t>
        </is>
      </c>
      <c r="D184" s="4" t="inlineStr">
        <is>
          <t>São Luís</t>
        </is>
      </c>
      <c r="E184" s="4" t="inlineStr">
        <is>
          <t>MA</t>
        </is>
      </c>
      <c r="F184" s="4" t="inlineStr">
        <is>
          <t>Capitais Regionais A</t>
        </is>
      </c>
      <c r="G184" s="4" t="inlineStr">
        <is>
          <t>Capital regional</t>
        </is>
      </c>
      <c r="H184" s="5">
        <f>IF(G184="fora do recorte","",SUMPRODUCT(($G$3:$G$1723=G184)*($A$3:$A$1723&lt;=A184)))</f>
        <v/>
      </c>
      <c r="I184" s="4">
        <f>IF(H184="","",G184&amp;"|"&amp;H184)</f>
        <v/>
      </c>
      <c r="J184" s="4" t="inlineStr">
        <is>
          <t>https://www.google.com/maps/search/?api=1&amp;query=LOJAS%20WIKI%20-%20PC%E2%80%99s%2C%20notebook%E2%80%99s%20e%20celulares&amp;query_place_id=ChIJGz4yXgmR9gcRSJSFrE6y3Sk</t>
        </is>
      </c>
      <c r="K184" s="4" t="inlineStr">
        <is>
          <t>Av. Jerônimo de Albuquerque, 02 - COHAB Anil I, São Luís - MA, 65050-175, Brasil</t>
        </is>
      </c>
      <c r="L184" s="4" t="inlineStr">
        <is>
          <t>São Luís</t>
        </is>
      </c>
      <c r="M184" s="5" t="n">
        <v>1</v>
      </c>
    </row>
    <row r="185">
      <c r="A185" s="3">
        <f>RAND()</f>
        <v/>
      </c>
      <c r="B185" s="4" t="inlineStr">
        <is>
          <t>ChIJEdYHiiSO9gcRsLO2OAity_8</t>
        </is>
      </c>
      <c r="C185" s="4" t="inlineStr">
        <is>
          <t>Leitura</t>
        </is>
      </c>
      <c r="D185" s="4" t="inlineStr">
        <is>
          <t>São Luís</t>
        </is>
      </c>
      <c r="E185" s="4" t="inlineStr">
        <is>
          <t>MA</t>
        </is>
      </c>
      <c r="F185" s="4" t="inlineStr">
        <is>
          <t>Capitais Regionais A</t>
        </is>
      </c>
      <c r="G185" s="4" t="inlineStr">
        <is>
          <t>Capital regional</t>
        </is>
      </c>
      <c r="H185" s="5">
        <f>IF(G185="fora do recorte","",SUMPRODUCT(($G$3:$G$1723=G185)*($A$3:$A$1723&lt;=A185)))</f>
        <v/>
      </c>
      <c r="I185" s="4">
        <f>IF(H185="","",G185&amp;"|"&amp;H185)</f>
        <v/>
      </c>
      <c r="J185" s="4" t="inlineStr">
        <is>
          <t>https://www.google.com/maps/search/?api=1&amp;query=Leitura&amp;query_place_id=ChIJEdYHiiSO9gcRsLO2OAity_8</t>
        </is>
      </c>
      <c r="K185" s="4" t="inlineStr">
        <is>
          <t>Av. Daniel de La Touche, 987 - Bequimão, São Luís - MA, 65074-115, Brasil</t>
        </is>
      </c>
      <c r="L185" s="4" t="inlineStr">
        <is>
          <t>São Luís</t>
        </is>
      </c>
      <c r="M185" s="5" t="n">
        <v>2</v>
      </c>
    </row>
    <row r="186">
      <c r="A186" s="3">
        <f>RAND()</f>
        <v/>
      </c>
      <c r="B186" s="4" t="inlineStr">
        <is>
          <t>ChIJd3VWAn6O9gcRrNntHLFg7VI</t>
        </is>
      </c>
      <c r="C186" s="4" t="inlineStr">
        <is>
          <t>Leitura Sao Luis Shopping</t>
        </is>
      </c>
      <c r="D186" s="4" t="inlineStr">
        <is>
          <t>São Luís</t>
        </is>
      </c>
      <c r="E186" s="4" t="inlineStr">
        <is>
          <t>MA</t>
        </is>
      </c>
      <c r="F186" s="4" t="inlineStr">
        <is>
          <t>Capitais Regionais A</t>
        </is>
      </c>
      <c r="G186" s="4" t="inlineStr">
        <is>
          <t>Capital regional</t>
        </is>
      </c>
      <c r="H186" s="5">
        <f>IF(G186="fora do recorte","",SUMPRODUCT(($G$3:$G$1723=G186)*($A$3:$A$1723&lt;=A186)))</f>
        <v/>
      </c>
      <c r="I186" s="4">
        <f>IF(H186="","",G186&amp;"|"&amp;H186)</f>
        <v/>
      </c>
      <c r="J186" s="4" t="inlineStr">
        <is>
          <t>https://www.google.com/maps/search/?api=1&amp;query=Leitura%20Sao%20Luis%20Shopping&amp;query_place_id=ChIJd3VWAn6O9gcRrNntHLFg7VI</t>
        </is>
      </c>
      <c r="K186" s="4" t="inlineStr">
        <is>
          <t>São Luís Shopping - Jaracaty, São Luís - MA, 65076-820, Brasil</t>
        </is>
      </c>
      <c r="L186" s="4" t="inlineStr">
        <is>
          <t>São Luís</t>
        </is>
      </c>
      <c r="M186" s="5" t="n">
        <v>1</v>
      </c>
    </row>
    <row r="187">
      <c r="A187" s="3">
        <f>RAND()</f>
        <v/>
      </c>
      <c r="B187" s="4" t="inlineStr">
        <is>
          <t>ChIJoyaZBI6R9gcRJmATrDpHvHY</t>
        </is>
      </c>
      <c r="C187" s="4" t="inlineStr">
        <is>
          <t>Leon Games</t>
        </is>
      </c>
      <c r="D187" s="4" t="inlineStr">
        <is>
          <t>São Luís</t>
        </is>
      </c>
      <c r="E187" s="4" t="inlineStr">
        <is>
          <t>MA</t>
        </is>
      </c>
      <c r="F187" s="4" t="inlineStr">
        <is>
          <t>Capitais Regionais A</t>
        </is>
      </c>
      <c r="G187" s="4" t="inlineStr">
        <is>
          <t>Capital regional</t>
        </is>
      </c>
      <c r="H187" s="5">
        <f>IF(G187="fora do recorte","",SUMPRODUCT(($G$3:$G$1723=G187)*($A$3:$A$1723&lt;=A187)))</f>
        <v/>
      </c>
      <c r="I187" s="4">
        <f>IF(H187="","",G187&amp;"|"&amp;H187)</f>
        <v/>
      </c>
      <c r="J187" s="4" t="inlineStr">
        <is>
          <t>https://www.google.com/maps/search/?api=1&amp;query=Leon%20Games&amp;query_place_id=ChIJoyaZBI6R9gcRJmATrDpHvHY</t>
        </is>
      </c>
      <c r="K187" s="4" t="inlineStr">
        <is>
          <t>R. Retiro Natal - Monte Castelo, São Luís - MA, 65031-540, Brasil</t>
        </is>
      </c>
      <c r="L187" s="4" t="inlineStr">
        <is>
          <t>São Luís</t>
        </is>
      </c>
      <c r="M187" s="5" t="n">
        <v>2</v>
      </c>
    </row>
    <row r="188">
      <c r="A188" s="3">
        <f>RAND()</f>
        <v/>
      </c>
      <c r="B188" s="4" t="inlineStr">
        <is>
          <t>ChIJN15aTgCP9gcRqhvevH0S9EI</t>
        </is>
      </c>
      <c r="C188" s="4" t="inlineStr">
        <is>
          <t>Loja de carinhos</t>
        </is>
      </c>
      <c r="D188" s="4" t="inlineStr">
        <is>
          <t>São Luís</t>
        </is>
      </c>
      <c r="E188" s="4" t="inlineStr">
        <is>
          <t>MA</t>
        </is>
      </c>
      <c r="F188" s="4" t="inlineStr">
        <is>
          <t>Capitais Regionais A</t>
        </is>
      </c>
      <c r="G188" s="4" t="inlineStr">
        <is>
          <t>Capital regional</t>
        </is>
      </c>
      <c r="H188" s="5">
        <f>IF(G188="fora do recorte","",SUMPRODUCT(($G$3:$G$1723=G188)*($A$3:$A$1723&lt;=A188)))</f>
        <v/>
      </c>
      <c r="I188" s="4">
        <f>IF(H188="","",G188&amp;"|"&amp;H188)</f>
        <v/>
      </c>
      <c r="J188" s="4" t="inlineStr">
        <is>
          <t>https://www.google.com/maps/search/?api=1&amp;query=Loja%20de%20carinhos&amp;query_place_id=ChIJN15aTgCP9gcRqhvevH0S9EI</t>
        </is>
      </c>
      <c r="K188" s="4" t="inlineStr">
        <is>
          <t>Rua Grande - Centro, São Luís - MA, 65066-640, Brasil</t>
        </is>
      </c>
      <c r="L188" s="4" t="inlineStr">
        <is>
          <t>São Luís</t>
        </is>
      </c>
      <c r="M188" s="5" t="n">
        <v>1</v>
      </c>
    </row>
    <row r="189">
      <c r="A189" s="3">
        <f>RAND()</f>
        <v/>
      </c>
      <c r="B189" s="4" t="inlineStr">
        <is>
          <t>ChIJf1TM906P9gcRhC1rMMVRec0</t>
        </is>
      </c>
      <c r="C189" s="4" t="inlineStr">
        <is>
          <t>Lojas dos chineses</t>
        </is>
      </c>
      <c r="D189" s="4" t="inlineStr">
        <is>
          <t>São Luís</t>
        </is>
      </c>
      <c r="E189" s="4" t="inlineStr">
        <is>
          <t>MA</t>
        </is>
      </c>
      <c r="F189" s="4" t="inlineStr">
        <is>
          <t>Capitais Regionais A</t>
        </is>
      </c>
      <c r="G189" s="4" t="inlineStr">
        <is>
          <t>Capital regional</t>
        </is>
      </c>
      <c r="H189" s="5">
        <f>IF(G189="fora do recorte","",SUMPRODUCT(($G$3:$G$1723=G189)*($A$3:$A$1723&lt;=A189)))</f>
        <v/>
      </c>
      <c r="I189" s="4">
        <f>IF(H189="","",G189&amp;"|"&amp;H189)</f>
        <v/>
      </c>
      <c r="J189" s="4" t="inlineStr">
        <is>
          <t>https://www.google.com/maps/search/?api=1&amp;query=Lojas%20dos%20chineses&amp;query_place_id=ChIJf1TM906P9gcRhC1rMMVRec0</t>
        </is>
      </c>
      <c r="K189" s="4" t="inlineStr">
        <is>
          <t>R. Dr. Carlos Vasconcelos, 2 - Monte Castelo, São Luís - MA, 65025-001, Brasil</t>
        </is>
      </c>
      <c r="L189" s="4" t="inlineStr">
        <is>
          <t>São Luís</t>
        </is>
      </c>
      <c r="M189" s="5" t="n">
        <v>1</v>
      </c>
    </row>
    <row r="190">
      <c r="A190" s="3">
        <f>RAND()</f>
        <v/>
      </c>
      <c r="B190" s="4" t="inlineStr">
        <is>
          <t>ChIJD_AkIuqP9gcRS0iQfgupyPo</t>
        </is>
      </c>
      <c r="C190" s="4" t="inlineStr">
        <is>
          <t>Ludo bar</t>
        </is>
      </c>
      <c r="D190" s="4" t="inlineStr">
        <is>
          <t>São Luís</t>
        </is>
      </c>
      <c r="E190" s="4" t="inlineStr">
        <is>
          <t>MA</t>
        </is>
      </c>
      <c r="F190" s="4" t="inlineStr">
        <is>
          <t>Capitais Regionais A</t>
        </is>
      </c>
      <c r="G190" s="4" t="inlineStr">
        <is>
          <t>Capital regional</t>
        </is>
      </c>
      <c r="H190" s="5">
        <f>IF(G190="fora do recorte","",SUMPRODUCT(($G$3:$G$1723=G190)*($A$3:$A$1723&lt;=A190)))</f>
        <v/>
      </c>
      <c r="I190" s="4">
        <f>IF(H190="","",G190&amp;"|"&amp;H190)</f>
        <v/>
      </c>
      <c r="J190" s="4" t="inlineStr">
        <is>
          <t>https://www.google.com/maps/search/?api=1&amp;query=Ludo%20bar&amp;query_place_id=ChIJD_AkIuqP9gcRS0iQfgupyPo</t>
        </is>
      </c>
      <c r="K190" s="4" t="inlineStr">
        <is>
          <t>Rua Jansen Muller, 12 - Centro, São Luís - MA, 65020-290, Brasil</t>
        </is>
      </c>
      <c r="L190" s="4" t="inlineStr">
        <is>
          <t>São Luís</t>
        </is>
      </c>
      <c r="M190" s="5" t="n">
        <v>1</v>
      </c>
    </row>
    <row r="191">
      <c r="A191" s="3">
        <f>RAND()</f>
        <v/>
      </c>
      <c r="B191" s="4" t="inlineStr">
        <is>
          <t>ChIJnbTgfgeS9gcRP8n5nhD7iWs</t>
        </is>
      </c>
      <c r="C191" s="4" t="inlineStr">
        <is>
          <t>Ludorama</t>
        </is>
      </c>
      <c r="D191" s="4" t="inlineStr">
        <is>
          <t>São Luís</t>
        </is>
      </c>
      <c r="E191" s="4" t="inlineStr">
        <is>
          <t>MA</t>
        </is>
      </c>
      <c r="F191" s="4" t="inlineStr">
        <is>
          <t>Capitais Regionais A</t>
        </is>
      </c>
      <c r="G191" s="4" t="inlineStr">
        <is>
          <t>Capital regional</t>
        </is>
      </c>
      <c r="H191" s="5">
        <f>IF(G191="fora do recorte","",SUMPRODUCT(($G$3:$G$1723=G191)*($A$3:$A$1723&lt;=A191)))</f>
        <v/>
      </c>
      <c r="I191" s="4">
        <f>IF(H191="","",G191&amp;"|"&amp;H191)</f>
        <v/>
      </c>
      <c r="J191" s="4" t="inlineStr">
        <is>
          <t>https://www.google.com/maps/search/?api=1&amp;query=Ludorama&amp;query_place_id=ChIJnbTgfgeS9gcRP8n5nhD7iWs</t>
        </is>
      </c>
      <c r="K191" s="4" t="inlineStr">
        <is>
          <t>R. dos Bicudos, 8 - Jardim Renascença, São Luís - MA, 65075-090, Brasil</t>
        </is>
      </c>
      <c r="L191" s="4" t="inlineStr">
        <is>
          <t>São Luís</t>
        </is>
      </c>
      <c r="M191" s="5" t="n">
        <v>14</v>
      </c>
    </row>
    <row r="192">
      <c r="A192" s="3">
        <f>RAND()</f>
        <v/>
      </c>
      <c r="B192" s="4" t="inlineStr">
        <is>
          <t>ChIJkYFzpAWT9gcR4ZHFa9MyV4U</t>
        </is>
      </c>
      <c r="C192" s="4" t="inlineStr">
        <is>
          <t>Ludotime - aluguel de jogos de tabuleiro</t>
        </is>
      </c>
      <c r="D192" s="4" t="inlineStr">
        <is>
          <t>São Luís</t>
        </is>
      </c>
      <c r="E192" s="4" t="inlineStr">
        <is>
          <t>MA</t>
        </is>
      </c>
      <c r="F192" s="4" t="inlineStr">
        <is>
          <t>Capitais Regionais A</t>
        </is>
      </c>
      <c r="G192" s="4" t="inlineStr">
        <is>
          <t>Capital regional</t>
        </is>
      </c>
      <c r="H192" s="5">
        <f>IF(G192="fora do recorte","",SUMPRODUCT(($G$3:$G$1723=G192)*($A$3:$A$1723&lt;=A192)))</f>
        <v/>
      </c>
      <c r="I192" s="4">
        <f>IF(H192="","",G192&amp;"|"&amp;H192)</f>
        <v/>
      </c>
      <c r="J192" s="4" t="inlineStr">
        <is>
          <t>https://www.google.com/maps/search/?api=1&amp;query=Ludotime%20-%20aluguel%20de%20jogos%20de%20tabuleiro&amp;query_place_id=ChIJkYFzpAWT9gcR4ZHFa9MyV4U</t>
        </is>
      </c>
      <c r="K192" s="4" t="inlineStr">
        <is>
          <t>R. 11, 15 - Araçagy, São Luís - MA, 65000-000, Brasil</t>
        </is>
      </c>
      <c r="L192" s="4" t="inlineStr">
        <is>
          <t>São Luís</t>
        </is>
      </c>
      <c r="M192" s="5" t="n">
        <v>9</v>
      </c>
    </row>
    <row r="193">
      <c r="A193" s="3">
        <f>RAND()</f>
        <v/>
      </c>
      <c r="B193" s="4" t="inlineStr">
        <is>
          <t>ChIJC6AAbZ2P9gcRoAIUU5hi-Qk</t>
        </is>
      </c>
      <c r="C193" s="4" t="inlineStr">
        <is>
          <t>MAXIMUS GAMES</t>
        </is>
      </c>
      <c r="D193" s="4" t="inlineStr">
        <is>
          <t>São Luís</t>
        </is>
      </c>
      <c r="E193" s="4" t="inlineStr">
        <is>
          <t>MA</t>
        </is>
      </c>
      <c r="F193" s="4" t="inlineStr">
        <is>
          <t>Capitais Regionais A</t>
        </is>
      </c>
      <c r="G193" s="4" t="inlineStr">
        <is>
          <t>Capital regional</t>
        </is>
      </c>
      <c r="H193" s="5">
        <f>IF(G193="fora do recorte","",SUMPRODUCT(($G$3:$G$1723=G193)*($A$3:$A$1723&lt;=A193)))</f>
        <v/>
      </c>
      <c r="I193" s="4">
        <f>IF(H193="","",G193&amp;"|"&amp;H193)</f>
        <v/>
      </c>
      <c r="J193" s="4" t="inlineStr">
        <is>
          <t>https://www.google.com/maps/search/?api=1&amp;query=MAXIMUS%20GAMES&amp;query_place_id=ChIJC6AAbZ2P9gcRoAIUU5hi-Qk</t>
        </is>
      </c>
      <c r="K193" s="4" t="inlineStr">
        <is>
          <t>Travessa da Rua 9, 35L - São Francisco, São Luís - MA, 65076-690, Brasil</t>
        </is>
      </c>
      <c r="L193" s="4" t="inlineStr">
        <is>
          <t>São Luís</t>
        </is>
      </c>
      <c r="M193" s="5" t="n">
        <v>1</v>
      </c>
    </row>
    <row r="194">
      <c r="A194" s="3">
        <f>RAND()</f>
        <v/>
      </c>
      <c r="B194" s="4" t="inlineStr">
        <is>
          <t>ChIJ7yzA_VCQ9gcRdhiVsB8Om60</t>
        </is>
      </c>
      <c r="C194" s="4" t="inlineStr">
        <is>
          <t>Momentos Felizes_Buffet Infantil e Brinquedos</t>
        </is>
      </c>
      <c r="D194" s="4" t="inlineStr">
        <is>
          <t>São Luís</t>
        </is>
      </c>
      <c r="E194" s="4" t="inlineStr">
        <is>
          <t>MA</t>
        </is>
      </c>
      <c r="F194" s="4" t="inlineStr">
        <is>
          <t>Capitais Regionais A</t>
        </is>
      </c>
      <c r="G194" s="4" t="inlineStr">
        <is>
          <t>Capital regional</t>
        </is>
      </c>
      <c r="H194" s="5">
        <f>IF(G194="fora do recorte","",SUMPRODUCT(($G$3:$G$1723=G194)*($A$3:$A$1723&lt;=A194)))</f>
        <v/>
      </c>
      <c r="I194" s="4">
        <f>IF(H194="","",G194&amp;"|"&amp;H194)</f>
        <v/>
      </c>
      <c r="J194" s="4" t="inlineStr">
        <is>
          <t>https://www.google.com/maps/search/?api=1&amp;query=Momentos%20Felizes_Buffet%20Infantil%20e%20Brinquedos&amp;query_place_id=ChIJ7yzA_VCQ9gcRdhiVsB8Om60</t>
        </is>
      </c>
      <c r="K194" s="4" t="inlineStr">
        <is>
          <t>R. Dez, 19C - Cohab Anil I, São Luís - MA, 65053-060, Brasil</t>
        </is>
      </c>
      <c r="L194" s="4" t="inlineStr">
        <is>
          <t>São Luís</t>
        </is>
      </c>
      <c r="M194" s="5" t="n">
        <v>1</v>
      </c>
    </row>
    <row r="195">
      <c r="A195" s="3">
        <f>RAND()</f>
        <v/>
      </c>
      <c r="B195" s="4" t="inlineStr">
        <is>
          <t>ChIJh2VbJIeN9gcRj0UgIMxnmo8</t>
        </is>
      </c>
      <c r="C195" s="4" t="inlineStr">
        <is>
          <t>Na Praia Villa Food</t>
        </is>
      </c>
      <c r="D195" s="4" t="inlineStr">
        <is>
          <t>São Luís</t>
        </is>
      </c>
      <c r="E195" s="4" t="inlineStr">
        <is>
          <t>MA</t>
        </is>
      </c>
      <c r="F195" s="4" t="inlineStr">
        <is>
          <t>Capitais Regionais A</t>
        </is>
      </c>
      <c r="G195" s="4" t="inlineStr">
        <is>
          <t>Capital regional</t>
        </is>
      </c>
      <c r="H195" s="5">
        <f>IF(G195="fora do recorte","",SUMPRODUCT(($G$3:$G$1723=G195)*($A$3:$A$1723&lt;=A195)))</f>
        <v/>
      </c>
      <c r="I195" s="4">
        <f>IF(H195="","",G195&amp;"|"&amp;H195)</f>
        <v/>
      </c>
      <c r="J195" s="4" t="inlineStr">
        <is>
          <t>https://www.google.com/maps/search/?api=1&amp;query=Na%20Praia%20Villa%20Food&amp;query_place_id=ChIJh2VbJIeN9gcRj0UgIMxnmo8</t>
        </is>
      </c>
      <c r="K195" s="4" t="inlineStr">
        <is>
          <t>Av. Litorânea, 9 - Parque Atlantico, São Luís - MA, 65071-377, Brasil</t>
        </is>
      </c>
      <c r="L195" s="4" t="inlineStr">
        <is>
          <t>São Luís</t>
        </is>
      </c>
      <c r="M195" s="5" t="n">
        <v>1</v>
      </c>
    </row>
    <row r="196">
      <c r="A196" s="3">
        <f>RAND()</f>
        <v/>
      </c>
      <c r="B196" s="4" t="inlineStr">
        <is>
          <t>ChIJk_sxWACN9gcROBc9azPk-dA</t>
        </is>
      </c>
      <c r="C196" s="4" t="inlineStr">
        <is>
          <t>Nexus Card Games</t>
        </is>
      </c>
      <c r="D196" s="4" t="inlineStr">
        <is>
          <t>São Luís</t>
        </is>
      </c>
      <c r="E196" s="4" t="inlineStr">
        <is>
          <t>MA</t>
        </is>
      </c>
      <c r="F196" s="4" t="inlineStr">
        <is>
          <t>Capitais Regionais A</t>
        </is>
      </c>
      <c r="G196" s="4" t="inlineStr">
        <is>
          <t>Capital regional</t>
        </is>
      </c>
      <c r="H196" s="5">
        <f>IF(G196="fora do recorte","",SUMPRODUCT(($G$3:$G$1723=G196)*($A$3:$A$1723&lt;=A196)))</f>
        <v/>
      </c>
      <c r="I196" s="4">
        <f>IF(H196="","",G196&amp;"|"&amp;H196)</f>
        <v/>
      </c>
      <c r="J196" s="4" t="inlineStr">
        <is>
          <t>https://www.google.com/maps/search/?api=1&amp;query=Nexus%20Card%20Games&amp;query_place_id=ChIJk_sxWACN9gcROBc9azPk-dA</t>
        </is>
      </c>
      <c r="K196" s="4" t="inlineStr">
        <is>
          <t>R. Duque Bacelar, 3 - Recanto dos Nobres, São Luís - MA, 65074-261, Brasil</t>
        </is>
      </c>
      <c r="L196" s="4" t="inlineStr">
        <is>
          <t>Natal; São Luís</t>
        </is>
      </c>
      <c r="M196" s="5" t="n">
        <v>6</v>
      </c>
    </row>
    <row r="197">
      <c r="A197" s="3">
        <f>RAND()</f>
        <v/>
      </c>
      <c r="B197" s="4" t="inlineStr">
        <is>
          <t>ChIJSeYQWseN9gcR5EWhEXyzih4</t>
        </is>
      </c>
      <c r="C197" s="4" t="inlineStr">
        <is>
          <t>PBKIDS . SÃO LUÍS</t>
        </is>
      </c>
      <c r="D197" s="4" t="inlineStr">
        <is>
          <t>São Luís</t>
        </is>
      </c>
      <c r="E197" s="4" t="inlineStr">
        <is>
          <t>MA</t>
        </is>
      </c>
      <c r="F197" s="4" t="inlineStr">
        <is>
          <t>Capitais Regionais A</t>
        </is>
      </c>
      <c r="G197" s="4" t="inlineStr">
        <is>
          <t>Capital regional</t>
        </is>
      </c>
      <c r="H197" s="5">
        <f>IF(G197="fora do recorte","",SUMPRODUCT(($G$3:$G$1723=G197)*($A$3:$A$1723&lt;=A197)))</f>
        <v/>
      </c>
      <c r="I197" s="4">
        <f>IF(H197="","",G197&amp;"|"&amp;H197)</f>
        <v/>
      </c>
      <c r="J197" s="4" t="inlineStr">
        <is>
          <t>https://www.google.com/maps/search/?api=1&amp;query=PBKIDS%20.%20S%C3%83O%20LU%C3%8DS&amp;query_place_id=ChIJSeYQWseN9gcR5EWhEXyzih4</t>
        </is>
      </c>
      <c r="K197" s="4" t="inlineStr">
        <is>
          <t>Av. dos Holandeses, 5 - Calhau, São Luís - MA, 65071-380, Brasil</t>
        </is>
      </c>
      <c r="L197" s="4" t="inlineStr">
        <is>
          <t>São Luís</t>
        </is>
      </c>
      <c r="M197" s="5" t="n">
        <v>1</v>
      </c>
    </row>
    <row r="198">
      <c r="A198" s="3">
        <f>RAND()</f>
        <v/>
      </c>
      <c r="B198" s="4" t="inlineStr">
        <is>
          <t>ChIJEcs_ECON9gcRmeIjXxkbzuU</t>
        </is>
      </c>
      <c r="C198" s="4" t="inlineStr">
        <is>
          <t>PV Toys Locadora de Brinquedo</t>
        </is>
      </c>
      <c r="D198" s="4" t="inlineStr">
        <is>
          <t>São Luís</t>
        </is>
      </c>
      <c r="E198" s="4" t="inlineStr">
        <is>
          <t>MA</t>
        </is>
      </c>
      <c r="F198" s="4" t="inlineStr">
        <is>
          <t>Capitais Regionais A</t>
        </is>
      </c>
      <c r="G198" s="4" t="inlineStr">
        <is>
          <t>Capital regional</t>
        </is>
      </c>
      <c r="H198" s="5">
        <f>IF(G198="fora do recorte","",SUMPRODUCT(($G$3:$G$1723=G198)*($A$3:$A$1723&lt;=A198)))</f>
        <v/>
      </c>
      <c r="I198" s="4">
        <f>IF(H198="","",G198&amp;"|"&amp;H198)</f>
        <v/>
      </c>
      <c r="J198" s="4" t="inlineStr">
        <is>
          <t>https://www.google.com/maps/search/?api=1&amp;query=PV%20Toys%20Locadora%20de%20Brinquedo&amp;query_place_id=ChIJEcs_ECON9gcRmeIjXxkbzuU</t>
        </is>
      </c>
      <c r="K198" s="4" t="inlineStr">
        <is>
          <t>Avenida Colares Moreira, Centro Comercial Atlanta Center - Loja 18 - Jardim Renascença, São Luís - MA, 65075-441, Brasil</t>
        </is>
      </c>
      <c r="L198" s="4" t="inlineStr">
        <is>
          <t>São Luís</t>
        </is>
      </c>
      <c r="M198" s="5" t="n">
        <v>1</v>
      </c>
    </row>
    <row r="199">
      <c r="A199" s="3">
        <f>RAND()</f>
        <v/>
      </c>
      <c r="B199" s="4" t="inlineStr">
        <is>
          <t>ChIJFROnJgCP9gcR5I9kpZkhT2A</t>
        </is>
      </c>
      <c r="C199" s="4" t="inlineStr">
        <is>
          <t>Planet park</t>
        </is>
      </c>
      <c r="D199" s="4" t="inlineStr">
        <is>
          <t>São Luís</t>
        </is>
      </c>
      <c r="E199" s="4" t="inlineStr">
        <is>
          <t>MA</t>
        </is>
      </c>
      <c r="F199" s="4" t="inlineStr">
        <is>
          <t>Capitais Regionais A</t>
        </is>
      </c>
      <c r="G199" s="4" t="inlineStr">
        <is>
          <t>Capital regional</t>
        </is>
      </c>
      <c r="H199" s="5">
        <f>IF(G199="fora do recorte","",SUMPRODUCT(($G$3:$G$1723=G199)*($A$3:$A$1723&lt;=A199)))</f>
        <v/>
      </c>
      <c r="I199" s="4">
        <f>IF(H199="","",G199&amp;"|"&amp;H199)</f>
        <v/>
      </c>
      <c r="J199" s="4" t="inlineStr">
        <is>
          <t>https://www.google.com/maps/search/?api=1&amp;query=Planet%20park&amp;query_place_id=ChIJFROnJgCP9gcR5I9kpZkhT2A</t>
        </is>
      </c>
      <c r="K199" s="4" t="inlineStr">
        <is>
          <t>Av. Daniel de La Touche, 987 - Bequimão, São Luís - MA, 65074-115, Brasil</t>
        </is>
      </c>
      <c r="L199" s="4" t="inlineStr">
        <is>
          <t>São Luís</t>
        </is>
      </c>
      <c r="M199" s="5" t="n">
        <v>1</v>
      </c>
    </row>
    <row r="200">
      <c r="A200" s="3">
        <f>RAND()</f>
        <v/>
      </c>
      <c r="B200" s="4" t="inlineStr">
        <is>
          <t>ChIJ90N4ZjKP9gcRyEGViFcePbs</t>
        </is>
      </c>
      <c r="C200" s="4" t="inlineStr">
        <is>
          <t>Ponto de fuga Gastrobar</t>
        </is>
      </c>
      <c r="D200" s="4" t="inlineStr">
        <is>
          <t>São Luís</t>
        </is>
      </c>
      <c r="E200" s="4" t="inlineStr">
        <is>
          <t>MA</t>
        </is>
      </c>
      <c r="F200" s="4" t="inlineStr">
        <is>
          <t>Capitais Regionais A</t>
        </is>
      </c>
      <c r="G200" s="4" t="inlineStr">
        <is>
          <t>Capital regional</t>
        </is>
      </c>
      <c r="H200" s="5">
        <f>IF(G200="fora do recorte","",SUMPRODUCT(($G$3:$G$1723=G200)*($A$3:$A$1723&lt;=A200)))</f>
        <v/>
      </c>
      <c r="I200" s="4">
        <f>IF(H200="","",G200&amp;"|"&amp;H200)</f>
        <v/>
      </c>
      <c r="J200" s="4" t="inlineStr">
        <is>
          <t>https://www.google.com/maps/search/?api=1&amp;query=Ponto%20de%20fuga%20Gastrobar&amp;query_place_id=ChIJ90N4ZjKP9gcRyEGViFcePbs</t>
        </is>
      </c>
      <c r="K200" s="4" t="inlineStr">
        <is>
          <t>R. Ademar de Barros, 291 - segundo andar - Fatima, São Luís - MA, 65030-030, Brasil</t>
        </is>
      </c>
      <c r="L200" s="4" t="inlineStr">
        <is>
          <t>São Luís</t>
        </is>
      </c>
      <c r="M200" s="5" t="n">
        <v>1</v>
      </c>
    </row>
    <row r="201">
      <c r="A201" s="3">
        <f>RAND()</f>
        <v/>
      </c>
      <c r="B201" s="4" t="inlineStr">
        <is>
          <t>ChIJT4QZkwCX9gcRN9NWrbAr7Gc</t>
        </is>
      </c>
      <c r="C201" s="4" t="inlineStr">
        <is>
          <t>Pule &amp; Brinque - Aluguel de brinquedos infantis para festas</t>
        </is>
      </c>
      <c r="D201" s="4" t="inlineStr">
        <is>
          <t>São Luís</t>
        </is>
      </c>
      <c r="E201" s="4" t="inlineStr">
        <is>
          <t>MA</t>
        </is>
      </c>
      <c r="F201" s="4" t="inlineStr">
        <is>
          <t>Capitais Regionais A</t>
        </is>
      </c>
      <c r="G201" s="4" t="inlineStr">
        <is>
          <t>Capital regional</t>
        </is>
      </c>
      <c r="H201" s="5">
        <f>IF(G201="fora do recorte","",SUMPRODUCT(($G$3:$G$1723=G201)*($A$3:$A$1723&lt;=A201)))</f>
        <v/>
      </c>
      <c r="I201" s="4">
        <f>IF(H201="","",G201&amp;"|"&amp;H201)</f>
        <v/>
      </c>
      <c r="J201" s="4" t="inlineStr">
        <is>
          <t>https://www.google.com/maps/search/?api=1&amp;query=Pule%20%26%20Brinque%20-%20Aluguel%20de%20brinquedos%20infantis%20para%20festas&amp;query_place_id=ChIJT4QZkwCX9gcRN9NWrbAr7Gc</t>
        </is>
      </c>
      <c r="K201" s="4" t="inlineStr">
        <is>
          <t>Av. Dois, quadra 11, 23 - Conj. Hab. Turu, São Luís - MA, 65066-710, Brasil</t>
        </is>
      </c>
      <c r="L201" s="4" t="inlineStr">
        <is>
          <t>São Luís</t>
        </is>
      </c>
      <c r="M201" s="5" t="n">
        <v>1</v>
      </c>
    </row>
    <row r="202">
      <c r="A202" s="3">
        <f>RAND()</f>
        <v/>
      </c>
      <c r="B202" s="4" t="inlineStr">
        <is>
          <t>ChIJmwx_aCeN9gcRnuK_aUxRJyU</t>
        </is>
      </c>
      <c r="C202" s="4" t="inlineStr">
        <is>
          <t>Qu4tro</t>
        </is>
      </c>
      <c r="D202" s="4" t="inlineStr">
        <is>
          <t>São Luís</t>
        </is>
      </c>
      <c r="E202" s="4" t="inlineStr">
        <is>
          <t>MA</t>
        </is>
      </c>
      <c r="F202" s="4" t="inlineStr">
        <is>
          <t>Capitais Regionais A</t>
        </is>
      </c>
      <c r="G202" s="4" t="inlineStr">
        <is>
          <t>Capital regional</t>
        </is>
      </c>
      <c r="H202" s="5">
        <f>IF(G202="fora do recorte","",SUMPRODUCT(($G$3:$G$1723=G202)*($A$3:$A$1723&lt;=A202)))</f>
        <v/>
      </c>
      <c r="I202" s="4">
        <f>IF(H202="","",G202&amp;"|"&amp;H202)</f>
        <v/>
      </c>
      <c r="J202" s="4" t="inlineStr">
        <is>
          <t>https://www.google.com/maps/search/?api=1&amp;query=Qu4tro&amp;query_place_id=ChIJmwx_aCeN9gcRnuK_aUxRJyU</t>
        </is>
      </c>
      <c r="K202" s="4" t="inlineStr">
        <is>
          <t>Avenida Ivan Loureiro, número 04, loja 17 - Champs Mall Península - Ponta D'areia, São Luís - MA, 65077-558, Brasil</t>
        </is>
      </c>
      <c r="L202" s="4" t="inlineStr">
        <is>
          <t>São Luís</t>
        </is>
      </c>
      <c r="M202" s="5" t="n">
        <v>2</v>
      </c>
    </row>
    <row r="203">
      <c r="A203" s="3">
        <f>RAND()</f>
        <v/>
      </c>
      <c r="B203" s="4" t="inlineStr">
        <is>
          <t>ChIJ_cdg7SSO9gcRmrBAsjB450A</t>
        </is>
      </c>
      <c r="C203" s="4" t="inlineStr">
        <is>
          <t>RI HAPPY SHOPPING DA ILHA</t>
        </is>
      </c>
      <c r="D203" s="4" t="inlineStr">
        <is>
          <t>São Luís</t>
        </is>
      </c>
      <c r="E203" s="4" t="inlineStr">
        <is>
          <t>MA</t>
        </is>
      </c>
      <c r="F203" s="4" t="inlineStr">
        <is>
          <t>Capitais Regionais A</t>
        </is>
      </c>
      <c r="G203" s="4" t="inlineStr">
        <is>
          <t>Capital regional</t>
        </is>
      </c>
      <c r="H203" s="5">
        <f>IF(G203="fora do recorte","",SUMPRODUCT(($G$3:$G$1723=G203)*($A$3:$A$1723&lt;=A203)))</f>
        <v/>
      </c>
      <c r="I203" s="4">
        <f>IF(H203="","",G203&amp;"|"&amp;H203)</f>
        <v/>
      </c>
      <c r="J203" s="4" t="inlineStr">
        <is>
          <t>https://www.google.com/maps/search/?api=1&amp;query=RI%20HAPPY%20SHOPPING%20DA%20ILHA&amp;query_place_id=ChIJ_cdg7SSO9gcRmrBAsjB450A</t>
        </is>
      </c>
      <c r="K203" s="4" t="inlineStr">
        <is>
          <t>Av. Daniel de La Touche, 987 - Loja 205 - Maranhão Novo, São Luís - MA, 65074-115, Brasil</t>
        </is>
      </c>
      <c r="L203" s="4" t="inlineStr">
        <is>
          <t>São Luís</t>
        </is>
      </c>
      <c r="M203" s="5" t="n">
        <v>2</v>
      </c>
    </row>
    <row r="204">
      <c r="A204" s="3">
        <f>RAND()</f>
        <v/>
      </c>
      <c r="B204" s="4" t="inlineStr">
        <is>
          <t>ChIJ9ynJK7GR9gcRmdmJdeL95pg</t>
        </is>
      </c>
      <c r="C204" s="4" t="inlineStr">
        <is>
          <t>RI HAPPY SHOPPING RIO ANIL</t>
        </is>
      </c>
      <c r="D204" s="4" t="inlineStr">
        <is>
          <t>São Luís</t>
        </is>
      </c>
      <c r="E204" s="4" t="inlineStr">
        <is>
          <t>MA</t>
        </is>
      </c>
      <c r="F204" s="4" t="inlineStr">
        <is>
          <t>Capitais Regionais A</t>
        </is>
      </c>
      <c r="G204" s="4" t="inlineStr">
        <is>
          <t>Capital regional</t>
        </is>
      </c>
      <c r="H204" s="5">
        <f>IF(G204="fora do recorte","",SUMPRODUCT(($G$3:$G$1723=G204)*($A$3:$A$1723&lt;=A204)))</f>
        <v/>
      </c>
      <c r="I204" s="4">
        <f>IF(H204="","",G204&amp;"|"&amp;H204)</f>
        <v/>
      </c>
      <c r="J204" s="4" t="inlineStr">
        <is>
          <t>https://www.google.com/maps/search/?api=1&amp;query=RI%20HAPPY%20SHOPPING%20RIO%20ANIL&amp;query_place_id=ChIJ9ynJK7GR9gcRmdmJdeL95pg</t>
        </is>
      </c>
      <c r="K204" s="4" t="inlineStr">
        <is>
          <t>Av. São Luís Rei de França, 8 - Turu, São Luís - MA, 65065-470, Brasil</t>
        </is>
      </c>
      <c r="L204" s="4" t="inlineStr">
        <is>
          <t>São Luís</t>
        </is>
      </c>
      <c r="M204" s="5" t="n">
        <v>1</v>
      </c>
    </row>
    <row r="205">
      <c r="A205" s="3">
        <f>RAND()</f>
        <v/>
      </c>
      <c r="B205" s="4" t="inlineStr">
        <is>
          <t>ChIJp6638TKM9gcRGTSt2WB_je4</t>
        </is>
      </c>
      <c r="C205" s="4" t="inlineStr">
        <is>
          <t>RI HAPPY SHOPPING SÃO LUÍS</t>
        </is>
      </c>
      <c r="D205" s="4" t="inlineStr">
        <is>
          <t>São Luís</t>
        </is>
      </c>
      <c r="E205" s="4" t="inlineStr">
        <is>
          <t>MA</t>
        </is>
      </c>
      <c r="F205" s="4" t="inlineStr">
        <is>
          <t>Capitais Regionais A</t>
        </is>
      </c>
      <c r="G205" s="4" t="inlineStr">
        <is>
          <t>Capital regional</t>
        </is>
      </c>
      <c r="H205" s="5">
        <f>IF(G205="fora do recorte","",SUMPRODUCT(($G$3:$G$1723=G205)*($A$3:$A$1723&lt;=A205)))</f>
        <v/>
      </c>
      <c r="I205" s="4">
        <f>IF(H205="","",G205&amp;"|"&amp;H205)</f>
        <v/>
      </c>
      <c r="J205" s="4" t="inlineStr">
        <is>
          <t>https://www.google.com/maps/search/?api=1&amp;query=RI%20HAPPY%20SHOPPING%20S%C3%83O%20LU%C3%8DS&amp;query_place_id=ChIJp6638TKM9gcRGTSt2WB_je4</t>
        </is>
      </c>
      <c r="K205" s="4" t="inlineStr">
        <is>
          <t>Av. Prof. Carlos Cunha, 1000 - Jaracaty, São Luís - MA, 65076-820, Brasil</t>
        </is>
      </c>
      <c r="L205" s="4" t="inlineStr">
        <is>
          <t>São Luís</t>
        </is>
      </c>
      <c r="M205" s="5" t="n">
        <v>1</v>
      </c>
    </row>
    <row r="206">
      <c r="A206" s="3">
        <f>RAND()</f>
        <v/>
      </c>
      <c r="B206" s="4" t="inlineStr">
        <is>
          <t>ChIJp9b1WCSO9gcRfrqopQWqASA</t>
        </is>
      </c>
      <c r="C206" s="4" t="inlineStr">
        <is>
          <t>Shopping da Ilha</t>
        </is>
      </c>
      <c r="D206" s="4" t="inlineStr">
        <is>
          <t>São Luís</t>
        </is>
      </c>
      <c r="E206" s="4" t="inlineStr">
        <is>
          <t>MA</t>
        </is>
      </c>
      <c r="F206" s="4" t="inlineStr">
        <is>
          <t>Capitais Regionais A</t>
        </is>
      </c>
      <c r="G206" s="4" t="inlineStr">
        <is>
          <t>Capital regional</t>
        </is>
      </c>
      <c r="H206" s="5">
        <f>IF(G206="fora do recorte","",SUMPRODUCT(($G$3:$G$1723=G206)*($A$3:$A$1723&lt;=A206)))</f>
        <v/>
      </c>
      <c r="I206" s="4">
        <f>IF(H206="","",G206&amp;"|"&amp;H206)</f>
        <v/>
      </c>
      <c r="J206" s="4" t="inlineStr">
        <is>
          <t>https://www.google.com/maps/search/?api=1&amp;query=Shopping%20da%20Ilha&amp;query_place_id=ChIJp9b1WCSO9gcRfrqopQWqASA</t>
        </is>
      </c>
      <c r="K206" s="4" t="inlineStr">
        <is>
          <t>Av. Daniel de La Touche, 987 - Cohama, São Luís - MA, 65061-901, Brasil</t>
        </is>
      </c>
      <c r="L206" s="4" t="inlineStr">
        <is>
          <t>São Luís</t>
        </is>
      </c>
      <c r="M206" s="5" t="n">
        <v>3</v>
      </c>
    </row>
    <row r="207">
      <c r="A207" s="3">
        <f>RAND()</f>
        <v/>
      </c>
      <c r="B207" s="4" t="inlineStr">
        <is>
          <t>ChIJ0StUEEaN9gcRNvVUbmghOug</t>
        </is>
      </c>
      <c r="C207" s="4" t="inlineStr">
        <is>
          <t>Stadium Sinuca Bar</t>
        </is>
      </c>
      <c r="D207" s="4" t="inlineStr">
        <is>
          <t>São Luís</t>
        </is>
      </c>
      <c r="E207" s="4" t="inlineStr">
        <is>
          <t>MA</t>
        </is>
      </c>
      <c r="F207" s="4" t="inlineStr">
        <is>
          <t>Capitais Regionais A</t>
        </is>
      </c>
      <c r="G207" s="4" t="inlineStr">
        <is>
          <t>Capital regional</t>
        </is>
      </c>
      <c r="H207" s="5">
        <f>IF(G207="fora do recorte","",SUMPRODUCT(($G$3:$G$1723=G207)*($A$3:$A$1723&lt;=A207)))</f>
        <v/>
      </c>
      <c r="I207" s="4">
        <f>IF(H207="","",G207&amp;"|"&amp;H207)</f>
        <v/>
      </c>
      <c r="J207" s="4" t="inlineStr">
        <is>
          <t>https://www.google.com/maps/search/?api=1&amp;query=Stadium%20Sinuca%20Bar&amp;query_place_id=ChIJ0StUEEaN9gcRNvVUbmghOug</t>
        </is>
      </c>
      <c r="K207" s="4" t="inlineStr">
        <is>
          <t>Centro Comercial Costa Esmeralda - Av. dos Holandeses, 6 - Olho D'agua, São Luís - MA, 65065-180, Brasil</t>
        </is>
      </c>
      <c r="L207" s="4" t="inlineStr">
        <is>
          <t>São Luís</t>
        </is>
      </c>
      <c r="M207" s="5" t="n">
        <v>1</v>
      </c>
    </row>
    <row r="208">
      <c r="A208" s="3">
        <f>RAND()</f>
        <v/>
      </c>
      <c r="B208" s="4" t="inlineStr">
        <is>
          <t>ChIJI6U5qj2S9gcR6hHWHfZXTb8</t>
        </is>
      </c>
      <c r="C208" s="4" t="inlineStr">
        <is>
          <t>Stadium Sport Bar</t>
        </is>
      </c>
      <c r="D208" s="4" t="inlineStr">
        <is>
          <t>São Luís</t>
        </is>
      </c>
      <c r="E208" s="4" t="inlineStr">
        <is>
          <t>MA</t>
        </is>
      </c>
      <c r="F208" s="4" t="inlineStr">
        <is>
          <t>Capitais Regionais A</t>
        </is>
      </c>
      <c r="G208" s="4" t="inlineStr">
        <is>
          <t>Capital regional</t>
        </is>
      </c>
      <c r="H208" s="5">
        <f>IF(G208="fora do recorte","",SUMPRODUCT(($G$3:$G$1723=G208)*($A$3:$A$1723&lt;=A208)))</f>
        <v/>
      </c>
      <c r="I208" s="4">
        <f>IF(H208="","",G208&amp;"|"&amp;H208)</f>
        <v/>
      </c>
      <c r="J208" s="4" t="inlineStr">
        <is>
          <t>https://www.google.com/maps/search/?api=1&amp;query=Stadium%20Sport%20Bar&amp;query_place_id=ChIJI6U5qj2S9gcR6hHWHfZXTb8</t>
        </is>
      </c>
      <c r="K208" s="4" t="inlineStr">
        <is>
          <t>R. H, 585-837 - Jardim Eldorado, São Luís - MA, 65066-620, Brasil</t>
        </is>
      </c>
      <c r="L208" s="4" t="inlineStr">
        <is>
          <t>São Luís</t>
        </is>
      </c>
      <c r="M208" s="5" t="n">
        <v>1</v>
      </c>
    </row>
    <row r="209">
      <c r="A209" s="3">
        <f>RAND()</f>
        <v/>
      </c>
      <c r="B209" s="4" t="inlineStr">
        <is>
          <t>ChIJPU76dW-a9gcRIUjMZw-9yL0</t>
        </is>
      </c>
      <c r="C209" s="4" t="inlineStr">
        <is>
          <t>Steniogames</t>
        </is>
      </c>
      <c r="D209" s="4" t="inlineStr">
        <is>
          <t>São Luís</t>
        </is>
      </c>
      <c r="E209" s="4" t="inlineStr">
        <is>
          <t>MA</t>
        </is>
      </c>
      <c r="F209" s="4" t="inlineStr">
        <is>
          <t>Capitais Regionais A</t>
        </is>
      </c>
      <c r="G209" s="4" t="inlineStr">
        <is>
          <t>Capital regional</t>
        </is>
      </c>
      <c r="H209" s="5">
        <f>IF(G209="fora do recorte","",SUMPRODUCT(($G$3:$G$1723=G209)*($A$3:$A$1723&lt;=A209)))</f>
        <v/>
      </c>
      <c r="I209" s="4">
        <f>IF(H209="","",G209&amp;"|"&amp;H209)</f>
        <v/>
      </c>
      <c r="J209" s="4" t="inlineStr">
        <is>
          <t>https://www.google.com/maps/search/?api=1&amp;query=Steniogames&amp;query_place_id=ChIJPU76dW-a9gcRIUjMZw-9yL0</t>
        </is>
      </c>
      <c r="K209" s="4" t="inlineStr">
        <is>
          <t>praça do viva - Unidade 205 - R. 205 NE, casa 59 - Cidade Operária, São Luís - MA, 65058-135, Brasil</t>
        </is>
      </c>
      <c r="L209" s="4" t="inlineStr">
        <is>
          <t>São Luís</t>
        </is>
      </c>
      <c r="M209" s="5" t="n">
        <v>1</v>
      </c>
    </row>
    <row r="210">
      <c r="A210" s="3">
        <f>RAND()</f>
        <v/>
      </c>
      <c r="B210" s="4" t="inlineStr">
        <is>
          <t>ChIJ-59d74eP9gcRwtjlwK_FRmI</t>
        </is>
      </c>
      <c r="C210" s="4" t="inlineStr">
        <is>
          <t>Studio Games São Luis</t>
        </is>
      </c>
      <c r="D210" s="4" t="inlineStr">
        <is>
          <t>São Luís</t>
        </is>
      </c>
      <c r="E210" s="4" t="inlineStr">
        <is>
          <t>MA</t>
        </is>
      </c>
      <c r="F210" s="4" t="inlineStr">
        <is>
          <t>Capitais Regionais A</t>
        </is>
      </c>
      <c r="G210" s="4" t="inlineStr">
        <is>
          <t>Capital regional</t>
        </is>
      </c>
      <c r="H210" s="5">
        <f>IF(G210="fora do recorte","",SUMPRODUCT(($G$3:$G$1723=G210)*($A$3:$A$1723&lt;=A210)))</f>
        <v/>
      </c>
      <c r="I210" s="4">
        <f>IF(H210="","",G210&amp;"|"&amp;H210)</f>
        <v/>
      </c>
      <c r="J210" s="4" t="inlineStr">
        <is>
          <t>https://www.google.com/maps/search/?api=1&amp;query=Studio%20Games%20S%C3%A3o%20Luis&amp;query_place_id=ChIJ-59d74eP9gcRwtjlwK_FRmI</t>
        </is>
      </c>
      <c r="K210" s="4" t="inlineStr">
        <is>
          <t>Av. Daniel de La Touche, 987 - Cohama, São Luís - MA, 65074-115, Brasil</t>
        </is>
      </c>
      <c r="L210" s="4" t="inlineStr">
        <is>
          <t>São Luís</t>
        </is>
      </c>
      <c r="M210" s="5" t="n">
        <v>8</v>
      </c>
    </row>
    <row r="211">
      <c r="A211" s="3">
        <f>RAND()</f>
        <v/>
      </c>
      <c r="B211" s="4" t="inlineStr">
        <is>
          <t>ChIJ4cxHITON9gcR28DfJER9bLM</t>
        </is>
      </c>
      <c r="C211" s="4" t="inlineStr">
        <is>
          <t>TOON TOWN</t>
        </is>
      </c>
      <c r="D211" s="4" t="inlineStr">
        <is>
          <t>São Luís</t>
        </is>
      </c>
      <c r="E211" s="4" t="inlineStr">
        <is>
          <t>MA</t>
        </is>
      </c>
      <c r="F211" s="4" t="inlineStr">
        <is>
          <t>Capitais Regionais A</t>
        </is>
      </c>
      <c r="G211" s="4" t="inlineStr">
        <is>
          <t>Capital regional</t>
        </is>
      </c>
      <c r="H211" s="5">
        <f>IF(G211="fora do recorte","",SUMPRODUCT(($G$3:$G$1723=G211)*($A$3:$A$1723&lt;=A211)))</f>
        <v/>
      </c>
      <c r="I211" s="4">
        <f>IF(H211="","",G211&amp;"|"&amp;H211)</f>
        <v/>
      </c>
      <c r="J211" s="4" t="inlineStr">
        <is>
          <t>https://www.google.com/maps/search/?api=1&amp;query=TOON%20TOWN&amp;query_place_id=ChIJ4cxHITON9gcR28DfJER9bLM</t>
        </is>
      </c>
      <c r="K211" s="4" t="inlineStr">
        <is>
          <t>Av. Pres. Juscelino Kubitscheck, 13 - Quintas do Calhau, São Luís - MA, 65072-005, Brasil</t>
        </is>
      </c>
      <c r="L211" s="4" t="inlineStr">
        <is>
          <t>São Luís</t>
        </is>
      </c>
      <c r="M211" s="5" t="n">
        <v>1</v>
      </c>
    </row>
    <row r="212">
      <c r="A212" s="3">
        <f>RAND()</f>
        <v/>
      </c>
      <c r="B212" s="4" t="inlineStr">
        <is>
          <t>ChIJbR4fcvCN9gcRem3c3iqXjiM</t>
        </is>
      </c>
      <c r="C212" s="4" t="inlineStr">
        <is>
          <t>Tear Store</t>
        </is>
      </c>
      <c r="D212" s="4" t="inlineStr">
        <is>
          <t>São Luís</t>
        </is>
      </c>
      <c r="E212" s="4" t="inlineStr">
        <is>
          <t>MA</t>
        </is>
      </c>
      <c r="F212" s="4" t="inlineStr">
        <is>
          <t>Capitais Regionais A</t>
        </is>
      </c>
      <c r="G212" s="4" t="inlineStr">
        <is>
          <t>Capital regional</t>
        </is>
      </c>
      <c r="H212" s="5">
        <f>IF(G212="fora do recorte","",SUMPRODUCT(($G$3:$G$1723=G212)*($A$3:$A$1723&lt;=A212)))</f>
        <v/>
      </c>
      <c r="I212" s="4">
        <f>IF(H212="","",G212&amp;"|"&amp;H212)</f>
        <v/>
      </c>
      <c r="J212" s="4" t="inlineStr">
        <is>
          <t>https://www.google.com/maps/search/?api=1&amp;query=Tear%20Store&amp;query_place_id=ChIJbR4fcvCN9gcRem3c3iqXjiM</t>
        </is>
      </c>
      <c r="K212" s="4" t="inlineStr">
        <is>
          <t>R. Tiracambu, 08 - Calhau, São Luís - MA, 65071-650, Brasil</t>
        </is>
      </c>
      <c r="L212" s="4" t="inlineStr">
        <is>
          <t>São Luís</t>
        </is>
      </c>
      <c r="M212" s="5" t="n">
        <v>1</v>
      </c>
    </row>
    <row r="213">
      <c r="A213" s="3">
        <f>RAND()</f>
        <v/>
      </c>
      <c r="B213" s="4" t="inlineStr">
        <is>
          <t>ChIJwwHtMgCR9gcRuCpWJwT7MnM</t>
        </is>
      </c>
      <c r="C213" s="4" t="inlineStr">
        <is>
          <t>Top Deck SLZ</t>
        </is>
      </c>
      <c r="D213" s="4" t="inlineStr">
        <is>
          <t>São Luís</t>
        </is>
      </c>
      <c r="E213" s="4" t="inlineStr">
        <is>
          <t>MA</t>
        </is>
      </c>
      <c r="F213" s="4" t="inlineStr">
        <is>
          <t>Capitais Regionais A</t>
        </is>
      </c>
      <c r="G213" s="4" t="inlineStr">
        <is>
          <t>Capital regional</t>
        </is>
      </c>
      <c r="H213" s="5">
        <f>IF(G213="fora do recorte","",SUMPRODUCT(($G$3:$G$1723=G213)*($A$3:$A$1723&lt;=A213)))</f>
        <v/>
      </c>
      <c r="I213" s="4">
        <f>IF(H213="","",G213&amp;"|"&amp;H213)</f>
        <v/>
      </c>
      <c r="J213" s="4" t="inlineStr">
        <is>
          <t>https://www.google.com/maps/search/?api=1&amp;query=Top%20Deck%20SLZ&amp;query_place_id=ChIJwwHtMgCR9gcRuCpWJwT7MnM</t>
        </is>
      </c>
      <c r="K213" s="4" t="inlineStr">
        <is>
          <t>Cohama, São Luís - MA, 65070-290, Brasil</t>
        </is>
      </c>
      <c r="L213" s="4" t="inlineStr">
        <is>
          <t>São Luís</t>
        </is>
      </c>
      <c r="M213" s="5" t="n">
        <v>2</v>
      </c>
    </row>
    <row r="214">
      <c r="A214" s="3">
        <f>RAND()</f>
        <v/>
      </c>
      <c r="B214" s="4" t="inlineStr">
        <is>
          <t>ChIJqcMfbJSR9gcRZdmEolmRSUw</t>
        </is>
      </c>
      <c r="C214" s="4" t="inlineStr">
        <is>
          <t>Ultra Games Park - Aluguel de Brinquedos em São Luís</t>
        </is>
      </c>
      <c r="D214" s="4" t="inlineStr">
        <is>
          <t>São Luís</t>
        </is>
      </c>
      <c r="E214" s="4" t="inlineStr">
        <is>
          <t>MA</t>
        </is>
      </c>
      <c r="F214" s="4" t="inlineStr">
        <is>
          <t>Capitais Regionais A</t>
        </is>
      </c>
      <c r="G214" s="4" t="inlineStr">
        <is>
          <t>Capital regional</t>
        </is>
      </c>
      <c r="H214" s="5">
        <f>IF(G214="fora do recorte","",SUMPRODUCT(($G$3:$G$1723=G214)*($A$3:$A$1723&lt;=A214)))</f>
        <v/>
      </c>
      <c r="I214" s="4">
        <f>IF(H214="","",G214&amp;"|"&amp;H214)</f>
        <v/>
      </c>
      <c r="J214" s="4" t="inlineStr">
        <is>
          <t>https://www.google.com/maps/search/?api=1&amp;query=Ultra%20Games%20Park%20-%20Aluguel%20de%20Brinquedos%20em%20S%C3%A3o%20Lu%C3%ADs&amp;query_place_id=ChIJqcMfbJSR9gcRZdmEolmRSUw</t>
        </is>
      </c>
      <c r="K214" s="4" t="inlineStr">
        <is>
          <t>Av. Um - Alto do Turu, São Luís - MA, 65110-000, Brasil</t>
        </is>
      </c>
      <c r="L214" s="4" t="inlineStr">
        <is>
          <t>São Luís</t>
        </is>
      </c>
      <c r="M214" s="5" t="n">
        <v>1</v>
      </c>
    </row>
    <row r="215">
      <c r="A215" s="3">
        <f>RAND()</f>
        <v/>
      </c>
      <c r="B215" s="4" t="inlineStr">
        <is>
          <t>ChIJyXqDuUiP9gcRE1ctmlE0_-g</t>
        </is>
      </c>
      <c r="C215" s="4" t="inlineStr">
        <is>
          <t>Unidade D Gamer</t>
        </is>
      </c>
      <c r="D215" s="4" t="inlineStr">
        <is>
          <t>São Luís</t>
        </is>
      </c>
      <c r="E215" s="4" t="inlineStr">
        <is>
          <t>MA</t>
        </is>
      </c>
      <c r="F215" s="4" t="inlineStr">
        <is>
          <t>Capitais Regionais A</t>
        </is>
      </c>
      <c r="G215" s="4" t="inlineStr">
        <is>
          <t>Capital regional</t>
        </is>
      </c>
      <c r="H215" s="5">
        <f>IF(G215="fora do recorte","",SUMPRODUCT(($G$3:$G$1723=G215)*($A$3:$A$1723&lt;=A215)))</f>
        <v/>
      </c>
      <c r="I215" s="4">
        <f>IF(H215="","",G215&amp;"|"&amp;H215)</f>
        <v/>
      </c>
      <c r="J215" s="4" t="inlineStr">
        <is>
          <t>https://www.google.com/maps/search/?api=1&amp;query=Unidade%20D%20Gamer&amp;query_place_id=ChIJyXqDuUiP9gcRE1ctmlE0_-g</t>
        </is>
      </c>
      <c r="K215" s="4" t="inlineStr">
        <is>
          <t>Av. dos Expedicionários - Apeadouro, São Luís - MA, 65040-120, Brasil</t>
        </is>
      </c>
      <c r="L215" s="4" t="inlineStr">
        <is>
          <t>São Luís</t>
        </is>
      </c>
      <c r="M215" s="5" t="n">
        <v>2</v>
      </c>
    </row>
    <row r="216">
      <c r="A216" s="3">
        <f>RAND()</f>
        <v/>
      </c>
      <c r="B216" s="4" t="inlineStr">
        <is>
          <t>ChIJkcc-t8eR9gcRDbgpFpoxng4</t>
        </is>
      </c>
      <c r="C216" s="4" t="inlineStr">
        <is>
          <t>Villa Vegas</t>
        </is>
      </c>
      <c r="D216" s="4" t="inlineStr">
        <is>
          <t>São Luís</t>
        </is>
      </c>
      <c r="E216" s="4" t="inlineStr">
        <is>
          <t>MA</t>
        </is>
      </c>
      <c r="F216" s="4" t="inlineStr">
        <is>
          <t>Capitais Regionais A</t>
        </is>
      </c>
      <c r="G216" s="4" t="inlineStr">
        <is>
          <t>Capital regional</t>
        </is>
      </c>
      <c r="H216" s="5">
        <f>IF(G216="fora do recorte","",SUMPRODUCT(($G$3:$G$1723=G216)*($A$3:$A$1723&lt;=A216)))</f>
        <v/>
      </c>
      <c r="I216" s="4">
        <f>IF(H216="","",G216&amp;"|"&amp;H216)</f>
        <v/>
      </c>
      <c r="J216" s="4" t="inlineStr">
        <is>
          <t>https://www.google.com/maps/search/?api=1&amp;query=Villa%20Vegas&amp;query_place_id=ChIJkcc-t8eR9gcRDbgpFpoxng4</t>
        </is>
      </c>
      <c r="K216" s="4" t="inlineStr">
        <is>
          <t>R. Aririzal, 800 - Cohama, São Luís - MA, 65066-620, Brasil</t>
        </is>
      </c>
      <c r="L216" s="4" t="inlineStr">
        <is>
          <t>São Luís</t>
        </is>
      </c>
      <c r="M216" s="5" t="n">
        <v>1</v>
      </c>
    </row>
    <row r="217">
      <c r="A217" s="3">
        <f>RAND()</f>
        <v/>
      </c>
      <c r="B217" s="4" t="inlineStr">
        <is>
          <t>ChIJ91jnxqCN9gcRF-nKOr7ePP8</t>
        </is>
      </c>
      <c r="C217" s="4" t="inlineStr">
        <is>
          <t>Viraventura</t>
        </is>
      </c>
      <c r="D217" s="4" t="inlineStr">
        <is>
          <t>São Luís</t>
        </is>
      </c>
      <c r="E217" s="4" t="inlineStr">
        <is>
          <t>MA</t>
        </is>
      </c>
      <c r="F217" s="4" t="inlineStr">
        <is>
          <t>Capitais Regionais A</t>
        </is>
      </c>
      <c r="G217" s="4" t="inlineStr">
        <is>
          <t>Capital regional</t>
        </is>
      </c>
      <c r="H217" s="5">
        <f>IF(G217="fora do recorte","",SUMPRODUCT(($G$3:$G$1723=G217)*($A$3:$A$1723&lt;=A217)))</f>
        <v/>
      </c>
      <c r="I217" s="4">
        <f>IF(H217="","",G217&amp;"|"&amp;H217)</f>
        <v/>
      </c>
      <c r="J217" s="4" t="inlineStr">
        <is>
          <t>https://www.google.com/maps/search/?api=1&amp;query=Viraventura&amp;query_place_id=ChIJ91jnxqCN9gcRF-nKOr7ePP8</t>
        </is>
      </c>
      <c r="K217" s="4" t="inlineStr">
        <is>
          <t>Av. Dr Jackson Kleper, laville - mall, São Luís - MA, 65077-355, Brasil</t>
        </is>
      </c>
      <c r="L217" s="4" t="inlineStr">
        <is>
          <t>São Luís</t>
        </is>
      </c>
      <c r="M217" s="5" t="n">
        <v>1</v>
      </c>
    </row>
    <row r="218">
      <c r="A218" s="3">
        <f>RAND()</f>
        <v/>
      </c>
      <c r="B218" s="4" t="inlineStr">
        <is>
          <t>ChIJdwSwaKuP9gcRsjQilDYp6PY</t>
        </is>
      </c>
      <c r="C218" s="4" t="inlineStr">
        <is>
          <t>Zastras São Luis</t>
        </is>
      </c>
      <c r="D218" s="4" t="inlineStr">
        <is>
          <t>São Luís</t>
        </is>
      </c>
      <c r="E218" s="4" t="inlineStr">
        <is>
          <t>MA</t>
        </is>
      </c>
      <c r="F218" s="4" t="inlineStr">
        <is>
          <t>Capitais Regionais A</t>
        </is>
      </c>
      <c r="G218" s="4" t="inlineStr">
        <is>
          <t>Capital regional</t>
        </is>
      </c>
      <c r="H218" s="5">
        <f>IF(G218="fora do recorte","",SUMPRODUCT(($G$3:$G$1723=G218)*($A$3:$A$1723&lt;=A218)))</f>
        <v/>
      </c>
      <c r="I218" s="4">
        <f>IF(H218="","",G218&amp;"|"&amp;H218)</f>
        <v/>
      </c>
      <c r="J218" s="4" t="inlineStr">
        <is>
          <t>https://www.google.com/maps/search/?api=1&amp;query=Zastras%20S%C3%A3o%20Luis&amp;query_place_id=ChIJdwSwaKuP9gcRsjQilDYp6PY</t>
        </is>
      </c>
      <c r="K218" s="4" t="inlineStr">
        <is>
          <t>Shopping - Av. Prof. Carlos Cunha, 1000 - Jaracaty, São Luís - MA, 65076-907, Brasil</t>
        </is>
      </c>
      <c r="L218" s="4" t="inlineStr">
        <is>
          <t>São Luís</t>
        </is>
      </c>
      <c r="M218" s="5" t="n">
        <v>1</v>
      </c>
    </row>
    <row r="219">
      <c r="A219" s="3">
        <f>RAND()</f>
        <v/>
      </c>
      <c r="B219" s="4" t="inlineStr">
        <is>
          <t>ChIJdzGM0NrnhpQR60PoBjLfnGQ</t>
        </is>
      </c>
      <c r="C219" s="4" t="inlineStr">
        <is>
          <t>103 Games &amp; Eletrônicos</t>
        </is>
      </c>
      <c r="D219" s="4" t="inlineStr">
        <is>
          <t>Campo Grande</t>
        </is>
      </c>
      <c r="E219" s="4" t="inlineStr">
        <is>
          <t>MS</t>
        </is>
      </c>
      <c r="F219" s="4" t="inlineStr">
        <is>
          <t>Capitais Regionais A</t>
        </is>
      </c>
      <c r="G219" s="4" t="inlineStr">
        <is>
          <t>Capital regional</t>
        </is>
      </c>
      <c r="H219" s="5">
        <f>IF(G219="fora do recorte","",SUMPRODUCT(($G$3:$G$1723=G219)*($A$3:$A$1723&lt;=A219)))</f>
        <v/>
      </c>
      <c r="I219" s="4">
        <f>IF(H219="","",G219&amp;"|"&amp;H219)</f>
        <v/>
      </c>
      <c r="J219" s="4" t="inlineStr">
        <is>
          <t>https://www.google.com/maps/search/?api=1&amp;query=103%20Games%20%26%20Eletr%C3%B4nicos&amp;query_place_id=ChIJdzGM0NrnhpQR60PoBjLfnGQ</t>
        </is>
      </c>
      <c r="K219" s="4" t="inlineStr">
        <is>
          <t>Av. Noroeste, 5089 - Centro, Campo Grande - MS, 79002-011, Brasil</t>
        </is>
      </c>
      <c r="L219" s="4" t="inlineStr">
        <is>
          <t>Campo Grande</t>
        </is>
      </c>
      <c r="M219" s="5" t="n">
        <v>1</v>
      </c>
    </row>
    <row r="220">
      <c r="A220" s="3">
        <f>RAND()</f>
        <v/>
      </c>
      <c r="B220" s="4" t="inlineStr">
        <is>
          <t>ChIJKdXhPGvvhpQRufmyrVkb4RU</t>
        </is>
      </c>
      <c r="C220" s="4" t="inlineStr">
        <is>
          <t>Aldryon RPG</t>
        </is>
      </c>
      <c r="D220" s="4" t="inlineStr">
        <is>
          <t>Campo Grande</t>
        </is>
      </c>
      <c r="E220" s="4" t="inlineStr">
        <is>
          <t>MS</t>
        </is>
      </c>
      <c r="F220" s="4" t="inlineStr">
        <is>
          <t>Capitais Regionais A</t>
        </is>
      </c>
      <c r="G220" s="4" t="inlineStr">
        <is>
          <t>Capital regional</t>
        </is>
      </c>
      <c r="H220" s="5">
        <f>IF(G220="fora do recorte","",SUMPRODUCT(($G$3:$G$1723=G220)*($A$3:$A$1723&lt;=A220)))</f>
        <v/>
      </c>
      <c r="I220" s="4">
        <f>IF(H220="","",G220&amp;"|"&amp;H220)</f>
        <v/>
      </c>
      <c r="J220" s="4" t="inlineStr">
        <is>
          <t>https://www.google.com/maps/search/?api=1&amp;query=Aldryon%20RPG&amp;query_place_id=ChIJKdXhPGvvhpQRufmyrVkb4RU</t>
        </is>
      </c>
      <c r="K220" s="4" t="inlineStr">
        <is>
          <t>R. Cel. Bento - Vila Vilas Boas, Campo Grande - MS, 79051-110, Brasil</t>
        </is>
      </c>
      <c r="L220" s="4" t="inlineStr">
        <is>
          <t>Campo Grande</t>
        </is>
      </c>
      <c r="M220" s="5" t="n">
        <v>1</v>
      </c>
    </row>
    <row r="221">
      <c r="A221" s="3">
        <f>RAND()</f>
        <v/>
      </c>
      <c r="B221" s="4" t="inlineStr">
        <is>
          <t>ChIJHa61aLjlhpQR0BqpEeLowC0</t>
        </is>
      </c>
      <c r="C221" s="4" t="inlineStr">
        <is>
          <t>Anubis Games</t>
        </is>
      </c>
      <c r="D221" s="4" t="inlineStr">
        <is>
          <t>Campo Grande</t>
        </is>
      </c>
      <c r="E221" s="4" t="inlineStr">
        <is>
          <t>MS</t>
        </is>
      </c>
      <c r="F221" s="4" t="inlineStr">
        <is>
          <t>Capitais Regionais A</t>
        </is>
      </c>
      <c r="G221" s="4" t="inlineStr">
        <is>
          <t>Capital regional</t>
        </is>
      </c>
      <c r="H221" s="5">
        <f>IF(G221="fora do recorte","",SUMPRODUCT(($G$3:$G$1723=G221)*($A$3:$A$1723&lt;=A221)))</f>
        <v/>
      </c>
      <c r="I221" s="4">
        <f>IF(H221="","",G221&amp;"|"&amp;H221)</f>
        <v/>
      </c>
      <c r="J221" s="4" t="inlineStr">
        <is>
          <t>https://www.google.com/maps/search/?api=1&amp;query=Anubis%20Games&amp;query_place_id=ChIJHa61aLjlhpQR0BqpEeLowC0</t>
        </is>
      </c>
      <c r="K221" s="4" t="inlineStr">
        <is>
          <t>Av. Ezequiel Ferreira Lima, 1478 - Guanandi II, Campo Grande - MS, 79082-161, Brasil</t>
        </is>
      </c>
      <c r="L221" s="4" t="inlineStr">
        <is>
          <t>Campo Grande</t>
        </is>
      </c>
      <c r="M221" s="5" t="n">
        <v>2</v>
      </c>
    </row>
    <row r="222">
      <c r="A222" s="3">
        <f>RAND()</f>
        <v/>
      </c>
      <c r="B222" s="4" t="inlineStr">
        <is>
          <t>ChIJzU-JkzfnhpQR1EnutE6ofdY</t>
        </is>
      </c>
      <c r="C222" s="4" t="inlineStr">
        <is>
          <t>Avenida Presidente Vargas 5557</t>
        </is>
      </c>
      <c r="D222" s="4" t="inlineStr">
        <is>
          <t>Campo Grande</t>
        </is>
      </c>
      <c r="E222" s="4" t="inlineStr">
        <is>
          <t>MS</t>
        </is>
      </c>
      <c r="F222" s="4" t="inlineStr">
        <is>
          <t>Capitais Regionais A</t>
        </is>
      </c>
      <c r="G222" s="4" t="inlineStr">
        <is>
          <t>Capital regional</t>
        </is>
      </c>
      <c r="H222" s="5">
        <f>IF(G222="fora do recorte","",SUMPRODUCT(($G$3:$G$1723=G222)*($A$3:$A$1723&lt;=A222)))</f>
        <v/>
      </c>
      <c r="I222" s="4">
        <f>IF(H222="","",G222&amp;"|"&amp;H222)</f>
        <v/>
      </c>
      <c r="J222" s="4" t="inlineStr">
        <is>
          <t>https://www.google.com/maps/search/?api=1&amp;query=Avenida%20Presidente%20Vargas%205557&amp;query_place_id=ChIJzU-JkzfnhpQR1EnutE6ofdY</t>
        </is>
      </c>
      <c r="K222" s="4" t="inlineStr">
        <is>
          <t>AV Presidente Vargas - Av. Duque de Caxias, N 834 - Vila Sobrinho, Campo Grande - MS, 79100-670, Brasil</t>
        </is>
      </c>
      <c r="L222" s="4" t="inlineStr">
        <is>
          <t>Campo Grande</t>
        </is>
      </c>
      <c r="M222" s="5" t="n">
        <v>1</v>
      </c>
    </row>
    <row r="223">
      <c r="A223" s="3">
        <f>RAND()</f>
        <v/>
      </c>
      <c r="B223" s="4" t="inlineStr">
        <is>
          <t>ChIJo5gDbIXvhpQRWiROtI8nHYI</t>
        </is>
      </c>
      <c r="C223" s="4" t="inlineStr">
        <is>
          <t>Baby Gym Campo Grande MS</t>
        </is>
      </c>
      <c r="D223" s="4" t="inlineStr">
        <is>
          <t>Campo Grande</t>
        </is>
      </c>
      <c r="E223" s="4" t="inlineStr">
        <is>
          <t>MS</t>
        </is>
      </c>
      <c r="F223" s="4" t="inlineStr">
        <is>
          <t>Capitais Regionais A</t>
        </is>
      </c>
      <c r="G223" s="4" t="inlineStr">
        <is>
          <t>Capital regional</t>
        </is>
      </c>
      <c r="H223" s="5">
        <f>IF(G223="fora do recorte","",SUMPRODUCT(($G$3:$G$1723=G223)*($A$3:$A$1723&lt;=A223)))</f>
        <v/>
      </c>
      <c r="I223" s="4">
        <f>IF(H223="","",G223&amp;"|"&amp;H223)</f>
        <v/>
      </c>
      <c r="J223" s="4" t="inlineStr">
        <is>
          <t>https://www.google.com/maps/search/?api=1&amp;query=Baby%20Gym%20Campo%20Grande%20MS&amp;query_place_id=ChIJo5gDbIXvhpQRWiROtI8nHYI</t>
        </is>
      </c>
      <c r="K223" s="4" t="inlineStr">
        <is>
          <t>R. São Remo, 462 - Vila Vilas Boas, Campo Grande - MS, 79051-230, Brasil</t>
        </is>
      </c>
      <c r="L223" s="4" t="inlineStr">
        <is>
          <t>Campo Grande</t>
        </is>
      </c>
      <c r="M223" s="5" t="n">
        <v>1</v>
      </c>
    </row>
    <row r="224">
      <c r="A224" s="3">
        <f>RAND()</f>
        <v/>
      </c>
      <c r="B224" s="4" t="inlineStr">
        <is>
          <t>ChIJC5GIYQDnhpQRyje_l50N2Mk</t>
        </is>
      </c>
      <c r="C224" s="4" t="inlineStr">
        <is>
          <t>Bar Portugal</t>
        </is>
      </c>
      <c r="D224" s="4" t="inlineStr">
        <is>
          <t>Campo Grande</t>
        </is>
      </c>
      <c r="E224" s="4" t="inlineStr">
        <is>
          <t>MS</t>
        </is>
      </c>
      <c r="F224" s="4" t="inlineStr">
        <is>
          <t>Capitais Regionais A</t>
        </is>
      </c>
      <c r="G224" s="4" t="inlineStr">
        <is>
          <t>Capital regional</t>
        </is>
      </c>
      <c r="H224" s="5">
        <f>IF(G224="fora do recorte","",SUMPRODUCT(($G$3:$G$1723=G224)*($A$3:$A$1723&lt;=A224)))</f>
        <v/>
      </c>
      <c r="I224" s="4">
        <f>IF(H224="","",G224&amp;"|"&amp;H224)</f>
        <v/>
      </c>
      <c r="J224" s="4" t="inlineStr">
        <is>
          <t>https://www.google.com/maps/search/?api=1&amp;query=Bar%20Portugal&amp;query_place_id=ChIJC5GIYQDnhpQRyje_l50N2Mk</t>
        </is>
      </c>
      <c r="K224" s="4" t="inlineStr">
        <is>
          <t>Av. das Bandeiras, 92 - Vila Carvalho, Campo Grande - MS, 79005-620, Brasil</t>
        </is>
      </c>
      <c r="L224" s="4" t="inlineStr">
        <is>
          <t>Campo Grande</t>
        </is>
      </c>
      <c r="M224" s="5" t="n">
        <v>1</v>
      </c>
    </row>
    <row r="225">
      <c r="A225" s="3">
        <f>RAND()</f>
        <v/>
      </c>
      <c r="B225" s="4" t="inlineStr">
        <is>
          <t>ChIJ4U_Zh8DohpQRV1HsCB6b5WA</t>
        </is>
      </c>
      <c r="C225" s="4" t="inlineStr">
        <is>
          <t>BarZito</t>
        </is>
      </c>
      <c r="D225" s="4" t="inlineStr">
        <is>
          <t>Campo Grande</t>
        </is>
      </c>
      <c r="E225" s="4" t="inlineStr">
        <is>
          <t>MS</t>
        </is>
      </c>
      <c r="F225" s="4" t="inlineStr">
        <is>
          <t>Capitais Regionais A</t>
        </is>
      </c>
      <c r="G225" s="4" t="inlineStr">
        <is>
          <t>Capital regional</t>
        </is>
      </c>
      <c r="H225" s="5">
        <f>IF(G225="fora do recorte","",SUMPRODUCT(($G$3:$G$1723=G225)*($A$3:$A$1723&lt;=A225)))</f>
        <v/>
      </c>
      <c r="I225" s="4">
        <f>IF(H225="","",G225&amp;"|"&amp;H225)</f>
        <v/>
      </c>
      <c r="J225" s="4" t="inlineStr">
        <is>
          <t>https://www.google.com/maps/search/?api=1&amp;query=BarZito&amp;query_place_id=ChIJ4U_Zh8DohpQRV1HsCB6b5WA</t>
        </is>
      </c>
      <c r="K225" s="4" t="inlineStr">
        <is>
          <t>Av. Arquiteto Rubens Gil de Camillo, 142 - Chácara Cachoeira, Campo Grande - MS, 79040-901, Brasil</t>
        </is>
      </c>
      <c r="L225" s="4" t="inlineStr">
        <is>
          <t>Campo Grande</t>
        </is>
      </c>
      <c r="M225" s="5" t="n">
        <v>1</v>
      </c>
    </row>
    <row r="226">
      <c r="A226" s="3">
        <f>RAND()</f>
        <v/>
      </c>
      <c r="B226" s="4" t="inlineStr">
        <is>
          <t>ChIJ61aSEfLlhpQRLgqFxVuC08o</t>
        </is>
      </c>
      <c r="C226" s="4" t="inlineStr">
        <is>
          <t>Basefire</t>
        </is>
      </c>
      <c r="D226" s="4" t="inlineStr">
        <is>
          <t>Campo Grande</t>
        </is>
      </c>
      <c r="E226" s="4" t="inlineStr">
        <is>
          <t>MS</t>
        </is>
      </c>
      <c r="F226" s="4" t="inlineStr">
        <is>
          <t>Capitais Regionais A</t>
        </is>
      </c>
      <c r="G226" s="4" t="inlineStr">
        <is>
          <t>Capital regional</t>
        </is>
      </c>
      <c r="H226" s="5">
        <f>IF(G226="fora do recorte","",SUMPRODUCT(($G$3:$G$1723=G226)*($A$3:$A$1723&lt;=A226)))</f>
        <v/>
      </c>
      <c r="I226" s="4">
        <f>IF(H226="","",G226&amp;"|"&amp;H226)</f>
        <v/>
      </c>
      <c r="J226" s="4" t="inlineStr">
        <is>
          <t>https://www.google.com/maps/search/?api=1&amp;query=Basefire&amp;query_place_id=ChIJ61aSEfLlhpQRLgqFxVuC08o</t>
        </is>
      </c>
      <c r="K226" s="4" t="inlineStr">
        <is>
          <t>R. Antônio Luís de Freitas, 169 - Jardim Taruma, Campo Grande - MS, 79097-260, Brasil</t>
        </is>
      </c>
      <c r="L226" s="4" t="inlineStr">
        <is>
          <t>Campo Grande</t>
        </is>
      </c>
      <c r="M226" s="5" t="n">
        <v>2</v>
      </c>
    </row>
    <row r="227">
      <c r="A227" s="3">
        <f>RAND()</f>
        <v/>
      </c>
      <c r="B227" s="4" t="inlineStr">
        <is>
          <t>ChIJAZZH7afphpQR6juwbzUq9ic</t>
        </is>
      </c>
      <c r="C227" s="4" t="inlineStr">
        <is>
          <t>Boards em Casa - Locação de Jogos de Tabuleiro</t>
        </is>
      </c>
      <c r="D227" s="4" t="inlineStr">
        <is>
          <t>Campo Grande</t>
        </is>
      </c>
      <c r="E227" s="4" t="inlineStr">
        <is>
          <t>MS</t>
        </is>
      </c>
      <c r="F227" s="4" t="inlineStr">
        <is>
          <t>Capitais Regionais A</t>
        </is>
      </c>
      <c r="G227" s="4" t="inlineStr">
        <is>
          <t>Capital regional</t>
        </is>
      </c>
      <c r="H227" s="5">
        <f>IF(G227="fora do recorte","",SUMPRODUCT(($G$3:$G$1723=G227)*($A$3:$A$1723&lt;=A227)))</f>
        <v/>
      </c>
      <c r="I227" s="4">
        <f>IF(H227="","",G227&amp;"|"&amp;H227)</f>
        <v/>
      </c>
      <c r="J227" s="4" t="inlineStr">
        <is>
          <t>https://www.google.com/maps/search/?api=1&amp;query=Boards%20em%20Casa%20-%20Loca%C3%A7%C3%A3o%20de%20Jogos%20de%20Tabuleiro&amp;query_place_id=ChIJAZZH7afphpQR6juwbzUq9ic</t>
        </is>
      </c>
      <c r="K227" s="4" t="inlineStr">
        <is>
          <t>R. Barão de Melgaço, 177 - Centro, Campo Grande - MS, 79002-090, Brasil</t>
        </is>
      </c>
      <c r="L227" s="4" t="inlineStr">
        <is>
          <t>Campo Grande</t>
        </is>
      </c>
      <c r="M227" s="5" t="n">
        <v>3</v>
      </c>
    </row>
    <row r="228">
      <c r="A228" s="3">
        <f>RAND()</f>
        <v/>
      </c>
      <c r="B228" s="4" t="inlineStr">
        <is>
          <t>ChIJ845mvEXnhpQRxfrSOd6O8Lo</t>
        </is>
      </c>
      <c r="C228" s="4" t="inlineStr">
        <is>
          <t>Brinquedoteca Joy Kids</t>
        </is>
      </c>
      <c r="D228" s="4" t="inlineStr">
        <is>
          <t>Campo Grande</t>
        </is>
      </c>
      <c r="E228" s="4" t="inlineStr">
        <is>
          <t>MS</t>
        </is>
      </c>
      <c r="F228" s="4" t="inlineStr">
        <is>
          <t>Capitais Regionais A</t>
        </is>
      </c>
      <c r="G228" s="4" t="inlineStr">
        <is>
          <t>Capital regional</t>
        </is>
      </c>
      <c r="H228" s="5">
        <f>IF(G228="fora do recorte","",SUMPRODUCT(($G$3:$G$1723=G228)*($A$3:$A$1723&lt;=A228)))</f>
        <v/>
      </c>
      <c r="I228" s="4">
        <f>IF(H228="","",G228&amp;"|"&amp;H228)</f>
        <v/>
      </c>
      <c r="J228" s="4" t="inlineStr">
        <is>
          <t>https://www.google.com/maps/search/?api=1&amp;query=Brinquedoteca%20Joy%20Kids&amp;query_place_id=ChIJ845mvEXnhpQRxfrSOd6O8Lo</t>
        </is>
      </c>
      <c r="K228" s="4" t="inlineStr">
        <is>
          <t>Esquina com a Tamoio - R. Sen. Queirós, 315 - Jardim Leblon, Campo Grande - MS, 79092-265, Brasil</t>
        </is>
      </c>
      <c r="L228" s="4" t="inlineStr">
        <is>
          <t>Campo Grande</t>
        </is>
      </c>
      <c r="M228" s="5" t="n">
        <v>1</v>
      </c>
    </row>
    <row r="229">
      <c r="A229" s="3">
        <f>RAND()</f>
        <v/>
      </c>
      <c r="B229" s="4" t="inlineStr">
        <is>
          <t>ChIJj114bQjnhpQRK0LWws6pHdQ</t>
        </is>
      </c>
      <c r="C229" s="4" t="inlineStr">
        <is>
          <t>Café Teatro Galeria</t>
        </is>
      </c>
      <c r="D229" s="4" t="inlineStr">
        <is>
          <t>Campo Grande</t>
        </is>
      </c>
      <c r="E229" s="4" t="inlineStr">
        <is>
          <t>MS</t>
        </is>
      </c>
      <c r="F229" s="4" t="inlineStr">
        <is>
          <t>Capitais Regionais A</t>
        </is>
      </c>
      <c r="G229" s="4" t="inlineStr">
        <is>
          <t>Capital regional</t>
        </is>
      </c>
      <c r="H229" s="5">
        <f>IF(G229="fora do recorte","",SUMPRODUCT(($G$3:$G$1723=G229)*($A$3:$A$1723&lt;=A229)))</f>
        <v/>
      </c>
      <c r="I229" s="4">
        <f>IF(H229="","",G229&amp;"|"&amp;H229)</f>
        <v/>
      </c>
      <c r="J229" s="4" t="inlineStr">
        <is>
          <t>https://www.google.com/maps/search/?api=1&amp;query=Caf%C3%A9%20Teatro%20Galeria&amp;query_place_id=ChIJj114bQjnhpQRK0LWws6pHdQ</t>
        </is>
      </c>
      <c r="K229" s="4" t="inlineStr">
        <is>
          <t>R. Barão de Melgaço, 177 - Centro, Campo Grande - MS, 79002-090, Brasil</t>
        </is>
      </c>
      <c r="L229" s="4" t="inlineStr">
        <is>
          <t>Campo Grande</t>
        </is>
      </c>
      <c r="M229" s="5" t="n">
        <v>1</v>
      </c>
    </row>
    <row r="230">
      <c r="A230" s="3">
        <f>RAND()</f>
        <v/>
      </c>
      <c r="B230" s="4" t="inlineStr">
        <is>
          <t>ChIJs67sKkrphpQR_6KUaGwypy0</t>
        </is>
      </c>
      <c r="C230" s="4" t="inlineStr">
        <is>
          <t>Casa Lúdica Campo Grande - Loja de Brinquedos Educativos</t>
        </is>
      </c>
      <c r="D230" s="4" t="inlineStr">
        <is>
          <t>Campo Grande</t>
        </is>
      </c>
      <c r="E230" s="4" t="inlineStr">
        <is>
          <t>MS</t>
        </is>
      </c>
      <c r="F230" s="4" t="inlineStr">
        <is>
          <t>Capitais Regionais A</t>
        </is>
      </c>
      <c r="G230" s="4" t="inlineStr">
        <is>
          <t>Capital regional</t>
        </is>
      </c>
      <c r="H230" s="5">
        <f>IF(G230="fora do recorte","",SUMPRODUCT(($G$3:$G$1723=G230)*($A$3:$A$1723&lt;=A230)))</f>
        <v/>
      </c>
      <c r="I230" s="4">
        <f>IF(H230="","",G230&amp;"|"&amp;H230)</f>
        <v/>
      </c>
      <c r="J230" s="4" t="inlineStr">
        <is>
          <t>https://www.google.com/maps/search/?api=1&amp;query=Casa%20L%C3%BAdica%20Campo%20Grande%20-%20Loja%20de%20Brinquedos%20Educativos&amp;query_place_id=ChIJs67sKkrphpQR_6KUaGwypy0</t>
        </is>
      </c>
      <c r="K230" s="4" t="inlineStr">
        <is>
          <t>R. Eduardo Santos Pereira, 1330 - Sl 3 - São Francisco, Campo Grande - MS, 79010-030, Brasil</t>
        </is>
      </c>
      <c r="L230" s="4" t="inlineStr">
        <is>
          <t>Campo Grande</t>
        </is>
      </c>
      <c r="M230" s="5" t="n">
        <v>2</v>
      </c>
    </row>
    <row r="231">
      <c r="A231" s="3">
        <f>RAND()</f>
        <v/>
      </c>
      <c r="B231" s="4" t="inlineStr">
        <is>
          <t>ChIJ38wbIY3phpQRX2JmMvNZTYY</t>
        </is>
      </c>
      <c r="C231" s="4" t="inlineStr">
        <is>
          <t>Casa Park Kids</t>
        </is>
      </c>
      <c r="D231" s="4" t="inlineStr">
        <is>
          <t>Campo Grande</t>
        </is>
      </c>
      <c r="E231" s="4" t="inlineStr">
        <is>
          <t>MS</t>
        </is>
      </c>
      <c r="F231" s="4" t="inlineStr">
        <is>
          <t>Capitais Regionais A</t>
        </is>
      </c>
      <c r="G231" s="4" t="inlineStr">
        <is>
          <t>Capital regional</t>
        </is>
      </c>
      <c r="H231" s="5">
        <f>IF(G231="fora do recorte","",SUMPRODUCT(($G$3:$G$1723=G231)*($A$3:$A$1723&lt;=A231)))</f>
        <v/>
      </c>
      <c r="I231" s="4">
        <f>IF(H231="","",G231&amp;"|"&amp;H231)</f>
        <v/>
      </c>
      <c r="J231" s="4" t="inlineStr">
        <is>
          <t>https://www.google.com/maps/search/?api=1&amp;query=Casa%20Park%20Kids&amp;query_place_id=ChIJ38wbIY3phpQRX2JmMvNZTYY</t>
        </is>
      </c>
      <c r="K231" s="4" t="inlineStr">
        <is>
          <t>Av. Carlinda Pereira Contar, de - Contar, 2115 - Jardim Veraneio, Campo Grande - MS, 79037-200, Brasil</t>
        </is>
      </c>
      <c r="L231" s="4" t="inlineStr">
        <is>
          <t>Campo Grande</t>
        </is>
      </c>
      <c r="M231" s="5" t="n">
        <v>1</v>
      </c>
    </row>
    <row r="232">
      <c r="A232" s="3">
        <f>RAND()</f>
        <v/>
      </c>
      <c r="B232" s="4" t="inlineStr">
        <is>
          <t>ChIJR7TrDNHphpQRQBMeDVgKQRU</t>
        </is>
      </c>
      <c r="C232" s="4" t="inlineStr">
        <is>
          <t>Casa da Tia Paula - Brinquedoteca</t>
        </is>
      </c>
      <c r="D232" s="4" t="inlineStr">
        <is>
          <t>Campo Grande</t>
        </is>
      </c>
      <c r="E232" s="4" t="inlineStr">
        <is>
          <t>MS</t>
        </is>
      </c>
      <c r="F232" s="4" t="inlineStr">
        <is>
          <t>Capitais Regionais A</t>
        </is>
      </c>
      <c r="G232" s="4" t="inlineStr">
        <is>
          <t>Capital regional</t>
        </is>
      </c>
      <c r="H232" s="5">
        <f>IF(G232="fora do recorte","",SUMPRODUCT(($G$3:$G$1723=G232)*($A$3:$A$1723&lt;=A232)))</f>
        <v/>
      </c>
      <c r="I232" s="4">
        <f>IF(H232="","",G232&amp;"|"&amp;H232)</f>
        <v/>
      </c>
      <c r="J232" s="4" t="inlineStr">
        <is>
          <t>https://www.google.com/maps/search/?api=1&amp;query=Casa%20da%20Tia%20Paula%20-%20Brinquedoteca&amp;query_place_id=ChIJR7TrDNHphpQRQBMeDVgKQRU</t>
        </is>
      </c>
      <c r="K232" s="4" t="inlineStr">
        <is>
          <t>Av. Cônsul Assaf Trad - Shopping Bosque dos Ipês, Campo Grande - MS, 79035-490, Brasil</t>
        </is>
      </c>
      <c r="L232" s="4" t="inlineStr">
        <is>
          <t>Campo Grande</t>
        </is>
      </c>
      <c r="M232" s="5" t="n">
        <v>1</v>
      </c>
    </row>
    <row r="233">
      <c r="A233" s="3">
        <f>RAND()</f>
        <v/>
      </c>
      <c r="B233" s="4" t="inlineStr">
        <is>
          <t>ChIJ32XBajrphpQR6bSVOgp6nlY</t>
        </is>
      </c>
      <c r="C233" s="4" t="inlineStr">
        <is>
          <t>Casinha Bar</t>
        </is>
      </c>
      <c r="D233" s="4" t="inlineStr">
        <is>
          <t>Campo Grande</t>
        </is>
      </c>
      <c r="E233" s="4" t="inlineStr">
        <is>
          <t>MS</t>
        </is>
      </c>
      <c r="F233" s="4" t="inlineStr">
        <is>
          <t>Capitais Regionais A</t>
        </is>
      </c>
      <c r="G233" s="4" t="inlineStr">
        <is>
          <t>Capital regional</t>
        </is>
      </c>
      <c r="H233" s="5">
        <f>IF(G233="fora do recorte","",SUMPRODUCT(($G$3:$G$1723=G233)*($A$3:$A$1723&lt;=A233)))</f>
        <v/>
      </c>
      <c r="I233" s="4">
        <f>IF(H233="","",G233&amp;"|"&amp;H233)</f>
        <v/>
      </c>
      <c r="J233" s="4" t="inlineStr">
        <is>
          <t>https://www.google.com/maps/search/?api=1&amp;query=Casinha%20Bar&amp;query_place_id=ChIJ32XBajrphpQR6bSVOgp6nlY</t>
        </is>
      </c>
      <c r="K233" s="4" t="inlineStr">
        <is>
          <t>R. Frederico Soares, 357 - Santa Fe, Campo Grande - MS, 79021-250, Brasil</t>
        </is>
      </c>
      <c r="L233" s="4" t="inlineStr">
        <is>
          <t>Campo Grande</t>
        </is>
      </c>
      <c r="M233" s="5" t="n">
        <v>1</v>
      </c>
    </row>
    <row r="234">
      <c r="A234" s="3">
        <f>RAND()</f>
        <v/>
      </c>
      <c r="B234" s="4" t="inlineStr">
        <is>
          <t>ChIJLczTCwDnhpQRBxX3z2r6ni4</t>
        </is>
      </c>
      <c r="C234" s="4" t="inlineStr">
        <is>
          <t>Caverna Board Games</t>
        </is>
      </c>
      <c r="D234" s="4" t="inlineStr">
        <is>
          <t>Campo Grande</t>
        </is>
      </c>
      <c r="E234" s="4" t="inlineStr">
        <is>
          <t>MS</t>
        </is>
      </c>
      <c r="F234" s="4" t="inlineStr">
        <is>
          <t>Capitais Regionais A</t>
        </is>
      </c>
      <c r="G234" s="4" t="inlineStr">
        <is>
          <t>Capital regional</t>
        </is>
      </c>
      <c r="H234" s="5">
        <f>IF(G234="fora do recorte","",SUMPRODUCT(($G$3:$G$1723=G234)*($A$3:$A$1723&lt;=A234)))</f>
        <v/>
      </c>
      <c r="I234" s="4">
        <f>IF(H234="","",G234&amp;"|"&amp;H234)</f>
        <v/>
      </c>
      <c r="J234" s="4" t="inlineStr">
        <is>
          <t>https://www.google.com/maps/search/?api=1&amp;query=Caverna%20Board%20Games&amp;query_place_id=ChIJLczTCwDnhpQRBxX3z2r6ni4</t>
        </is>
      </c>
      <c r="K234" s="4" t="inlineStr">
        <is>
          <t>R. Sen. Queirós, 370 - Jardim Leblon, Campo Grande - MS, 79092-265, Brasil</t>
        </is>
      </c>
      <c r="L234" s="4" t="inlineStr">
        <is>
          <t>Boa Vista; Campo Grande</t>
        </is>
      </c>
      <c r="M234" s="5" t="n">
        <v>12</v>
      </c>
    </row>
    <row r="235">
      <c r="A235" s="3">
        <f>RAND()</f>
        <v/>
      </c>
      <c r="B235" s="4" t="inlineStr">
        <is>
          <t>ChIJy0IabtXnhpQRaGdOTEqB25M</t>
        </is>
      </c>
      <c r="C235" s="4" t="inlineStr">
        <is>
          <t>Ciragandaia recreação</t>
        </is>
      </c>
      <c r="D235" s="4" t="inlineStr">
        <is>
          <t>Campo Grande</t>
        </is>
      </c>
      <c r="E235" s="4" t="inlineStr">
        <is>
          <t>MS</t>
        </is>
      </c>
      <c r="F235" s="4" t="inlineStr">
        <is>
          <t>Capitais Regionais A</t>
        </is>
      </c>
      <c r="G235" s="4" t="inlineStr">
        <is>
          <t>Capital regional</t>
        </is>
      </c>
      <c r="H235" s="5">
        <f>IF(G235="fora do recorte","",SUMPRODUCT(($G$3:$G$1723=G235)*($A$3:$A$1723&lt;=A235)))</f>
        <v/>
      </c>
      <c r="I235" s="4">
        <f>IF(H235="","",G235&amp;"|"&amp;H235)</f>
        <v/>
      </c>
      <c r="J235" s="4" t="inlineStr">
        <is>
          <t>https://www.google.com/maps/search/?api=1&amp;query=Ciragandaia%20recrea%C3%A7%C3%A3o&amp;query_place_id=ChIJy0IabtXnhpQRaGdOTEqB25M</t>
        </is>
      </c>
      <c r="K235" s="4" t="inlineStr">
        <is>
          <t>Campo Grande, MS, 79000-000, Brasil</t>
        </is>
      </c>
      <c r="L235" s="4" t="inlineStr">
        <is>
          <t>Campo Grande</t>
        </is>
      </c>
      <c r="M235" s="5" t="n">
        <v>1</v>
      </c>
    </row>
    <row r="236">
      <c r="A236" s="3">
        <f>RAND()</f>
        <v/>
      </c>
      <c r="B236" s="4" t="inlineStr">
        <is>
          <t>ChIJp22rN6TvhpQR3SJbYsnbN0U</t>
        </is>
      </c>
      <c r="C236" s="4" t="inlineStr">
        <is>
          <t>Coisa De Criança</t>
        </is>
      </c>
      <c r="D236" s="4" t="inlineStr">
        <is>
          <t>Campo Grande</t>
        </is>
      </c>
      <c r="E236" s="4" t="inlineStr">
        <is>
          <t>MS</t>
        </is>
      </c>
      <c r="F236" s="4" t="inlineStr">
        <is>
          <t>Capitais Regionais A</t>
        </is>
      </c>
      <c r="G236" s="4" t="inlineStr">
        <is>
          <t>Capital regional</t>
        </is>
      </c>
      <c r="H236" s="5">
        <f>IF(G236="fora do recorte","",SUMPRODUCT(($G$3:$G$1723=G236)*($A$3:$A$1723&lt;=A236)))</f>
        <v/>
      </c>
      <c r="I236" s="4">
        <f>IF(H236="","",G236&amp;"|"&amp;H236)</f>
        <v/>
      </c>
      <c r="J236" s="4" t="inlineStr">
        <is>
          <t>https://www.google.com/maps/search/?api=1&amp;query=Coisa%20De%20Crian%C3%A7a&amp;query_place_id=ChIJp22rN6TvhpQR3SJbYsnbN0U</t>
        </is>
      </c>
      <c r="K236" s="4" t="inlineStr">
        <is>
          <t>R. Spipe Calarge, 1673 - Vila Carlota, Campo Grande - MS, 79051-560, Brasil</t>
        </is>
      </c>
      <c r="L236" s="4" t="inlineStr">
        <is>
          <t>Campo Grande</t>
        </is>
      </c>
      <c r="M236" s="5" t="n">
        <v>1</v>
      </c>
    </row>
    <row r="237">
      <c r="A237" s="3">
        <f>RAND()</f>
        <v/>
      </c>
      <c r="B237" s="4" t="inlineStr">
        <is>
          <t>ChIJwcw51grohpQRmRYFh33O-9g</t>
        </is>
      </c>
      <c r="C237" s="4" t="inlineStr">
        <is>
          <t>DINOSSAUROS RECREAÇÕES E CENTRO DE APOIO PEDAGÓGICO</t>
        </is>
      </c>
      <c r="D237" s="4" t="inlineStr">
        <is>
          <t>Campo Grande</t>
        </is>
      </c>
      <c r="E237" s="4" t="inlineStr">
        <is>
          <t>MS</t>
        </is>
      </c>
      <c r="F237" s="4" t="inlineStr">
        <is>
          <t>Capitais Regionais A</t>
        </is>
      </c>
      <c r="G237" s="4" t="inlineStr">
        <is>
          <t>Capital regional</t>
        </is>
      </c>
      <c r="H237" s="5">
        <f>IF(G237="fora do recorte","",SUMPRODUCT(($G$3:$G$1723=G237)*($A$3:$A$1723&lt;=A237)))</f>
        <v/>
      </c>
      <c r="I237" s="4">
        <f>IF(H237="","",G237&amp;"|"&amp;H237)</f>
        <v/>
      </c>
      <c r="J237" s="4" t="inlineStr">
        <is>
          <t>https://www.google.com/maps/search/?api=1&amp;query=DINOSSAUROS%20RECREA%C3%87%C3%95ES%20E%20CENTRO%20DE%20APOIO%20PEDAG%C3%93GICO&amp;query_place_id=ChIJwcw51grohpQRmRYFh33O-9g</t>
        </is>
      </c>
      <c r="K237" s="4" t="inlineStr">
        <is>
          <t>R. Tietinga, 8 - Conj. Res. Octavio Pecora, Campo Grande - MS, 79012-190, Brasil</t>
        </is>
      </c>
      <c r="L237" s="4" t="inlineStr">
        <is>
          <t>Campo Grande</t>
        </is>
      </c>
      <c r="M237" s="5" t="n">
        <v>1</v>
      </c>
    </row>
    <row r="238">
      <c r="A238" s="3">
        <f>RAND()</f>
        <v/>
      </c>
      <c r="B238" s="4" t="inlineStr">
        <is>
          <t>ChIJDQJ_J5zphpQRo01JmsrUHGQ</t>
        </is>
      </c>
      <c r="C238" s="4" t="inlineStr">
        <is>
          <t>Deck Lab Game Store</t>
        </is>
      </c>
      <c r="D238" s="4" t="inlineStr">
        <is>
          <t>Campo Grande</t>
        </is>
      </c>
      <c r="E238" s="4" t="inlineStr">
        <is>
          <t>MS</t>
        </is>
      </c>
      <c r="F238" s="4" t="inlineStr">
        <is>
          <t>Capitais Regionais A</t>
        </is>
      </c>
      <c r="G238" s="4" t="inlineStr">
        <is>
          <t>Capital regional</t>
        </is>
      </c>
      <c r="H238" s="5">
        <f>IF(G238="fora do recorte","",SUMPRODUCT(($G$3:$G$1723=G238)*($A$3:$A$1723&lt;=A238)))</f>
        <v/>
      </c>
      <c r="I238" s="4">
        <f>IF(H238="","",G238&amp;"|"&amp;H238)</f>
        <v/>
      </c>
      <c r="J238" s="4" t="inlineStr">
        <is>
          <t>https://www.google.com/maps/search/?api=1&amp;query=Deck%20Lab%20Game%20Store&amp;query_place_id=ChIJDQJ_J5zphpQRo01JmsrUHGQ</t>
        </is>
      </c>
      <c r="K238" s="4" t="inlineStr">
        <is>
          <t>R. 13 de Junho, 85 - Centro, Campo Grande - MS, 79002-420, Brasil</t>
        </is>
      </c>
      <c r="L238" s="4" t="inlineStr">
        <is>
          <t>Campo Grande</t>
        </is>
      </c>
      <c r="M238" s="5" t="n">
        <v>14</v>
      </c>
    </row>
    <row r="239">
      <c r="A239" s="3">
        <f>RAND()</f>
        <v/>
      </c>
      <c r="B239" s="4" t="inlineStr">
        <is>
          <t>ChIJmWEV9JrvhpQRH_gs4CW-RiY</t>
        </is>
      </c>
      <c r="C239" s="4" t="inlineStr">
        <is>
          <t>Deck Store</t>
        </is>
      </c>
      <c r="D239" s="4" t="inlineStr">
        <is>
          <t>Campo Grande</t>
        </is>
      </c>
      <c r="E239" s="4" t="inlineStr">
        <is>
          <t>MS</t>
        </is>
      </c>
      <c r="F239" s="4" t="inlineStr">
        <is>
          <t>Capitais Regionais A</t>
        </is>
      </c>
      <c r="G239" s="4" t="inlineStr">
        <is>
          <t>Capital regional</t>
        </is>
      </c>
      <c r="H239" s="5">
        <f>IF(G239="fora do recorte","",SUMPRODUCT(($G$3:$G$1723=G239)*($A$3:$A$1723&lt;=A239)))</f>
        <v/>
      </c>
      <c r="I239" s="4">
        <f>IF(H239="","",G239&amp;"|"&amp;H239)</f>
        <v/>
      </c>
      <c r="J239" s="4" t="inlineStr">
        <is>
          <t>https://www.google.com/maps/search/?api=1&amp;query=Deck%20Store&amp;query_place_id=ChIJmWEV9JrvhpQRH_gs4CW-RiY</t>
        </is>
      </c>
      <c r="K239" s="4" t="inlineStr">
        <is>
          <t>R. Epitácio Pessoa, 740 - Sl 5 - Vila Vilas Boas, Campo Grande - MS, 79051-090, Brasil</t>
        </is>
      </c>
      <c r="L239" s="4" t="inlineStr">
        <is>
          <t>Campo Grande</t>
        </is>
      </c>
      <c r="M239" s="5" t="n">
        <v>6</v>
      </c>
    </row>
    <row r="240">
      <c r="A240" s="3">
        <f>RAND()</f>
        <v/>
      </c>
      <c r="B240" s="4" t="inlineStr">
        <is>
          <t>ChIJ616D9cvvhpQRbPPZ580dXG4</t>
        </is>
      </c>
      <c r="C240" s="4" t="inlineStr">
        <is>
          <t>Diverkids Presentes | Loja de Brinquedos | Campo Grande MS</t>
        </is>
      </c>
      <c r="D240" s="4" t="inlineStr">
        <is>
          <t>Campo Grande</t>
        </is>
      </c>
      <c r="E240" s="4" t="inlineStr">
        <is>
          <t>MS</t>
        </is>
      </c>
      <c r="F240" s="4" t="inlineStr">
        <is>
          <t>Capitais Regionais A</t>
        </is>
      </c>
      <c r="G240" s="4" t="inlineStr">
        <is>
          <t>Capital regional</t>
        </is>
      </c>
      <c r="H240" s="5">
        <f>IF(G240="fora do recorte","",SUMPRODUCT(($G$3:$G$1723=G240)*($A$3:$A$1723&lt;=A240)))</f>
        <v/>
      </c>
      <c r="I240" s="4">
        <f>IF(H240="","",G240&amp;"|"&amp;H240)</f>
        <v/>
      </c>
      <c r="J240" s="4" t="inlineStr">
        <is>
          <t>https://www.google.com/maps/search/?api=1&amp;query=Diverkids%20Presentes%20%7C%20Loja%20de%20Brinquedos%20%7C%20Campo%20Grande%20MS&amp;query_place_id=ChIJ616D9cvvhpQRbPPZ580dXG4</t>
        </is>
      </c>
      <c r="K240" s="4" t="inlineStr">
        <is>
          <t>R. Pontalina, 280 - Universitário, Campo Grande - MS, 79060-540, Brasil</t>
        </is>
      </c>
      <c r="L240" s="4" t="inlineStr">
        <is>
          <t>Campo Grande</t>
        </is>
      </c>
      <c r="M240" s="5" t="n">
        <v>1</v>
      </c>
    </row>
    <row r="241">
      <c r="A241" s="3">
        <f>RAND()</f>
        <v/>
      </c>
      <c r="B241" s="4" t="inlineStr">
        <is>
          <t>ChIJQb1nkDznhpQRSluY8_dwHzg</t>
        </is>
      </c>
      <c r="C241" s="4" t="inlineStr">
        <is>
          <t>Dragons Animes</t>
        </is>
      </c>
      <c r="D241" s="4" t="inlineStr">
        <is>
          <t>Campo Grande</t>
        </is>
      </c>
      <c r="E241" s="4" t="inlineStr">
        <is>
          <t>MS</t>
        </is>
      </c>
      <c r="F241" s="4" t="inlineStr">
        <is>
          <t>Capitais Regionais A</t>
        </is>
      </c>
      <c r="G241" s="4" t="inlineStr">
        <is>
          <t>Capital regional</t>
        </is>
      </c>
      <c r="H241" s="5">
        <f>IF(G241="fora do recorte","",SUMPRODUCT(($G$3:$G$1723=G241)*($A$3:$A$1723&lt;=A241)))</f>
        <v/>
      </c>
      <c r="I241" s="4">
        <f>IF(H241="","",G241&amp;"|"&amp;H241)</f>
        <v/>
      </c>
      <c r="J241" s="4" t="inlineStr">
        <is>
          <t>https://www.google.com/maps/search/?api=1&amp;query=Dragons%20Animes&amp;query_place_id=ChIJQb1nkDznhpQRSluY8_dwHzg</t>
        </is>
      </c>
      <c r="K241" s="4" t="inlineStr">
        <is>
          <t>R. Albert Sabin, 1030 - Vila Belo Horizonte, Campo Grande - MS, 79090-160, Brasil</t>
        </is>
      </c>
      <c r="L241" s="4" t="inlineStr">
        <is>
          <t>Campo Grande</t>
        </is>
      </c>
      <c r="M241" s="5" t="n">
        <v>1</v>
      </c>
    </row>
    <row r="242">
      <c r="A242" s="3">
        <f>RAND()</f>
        <v/>
      </c>
      <c r="B242" s="4" t="inlineStr">
        <is>
          <t>ChIJkS8my4LohpQRpMYWK5scvPg</t>
        </is>
      </c>
      <c r="C242" s="4" t="inlineStr">
        <is>
          <t>DuoFisio - Fisioterapia, Pilates ,RPG , Quiropraxia e Osteopatia.</t>
        </is>
      </c>
      <c r="D242" s="4" t="inlineStr">
        <is>
          <t>Campo Grande</t>
        </is>
      </c>
      <c r="E242" s="4" t="inlineStr">
        <is>
          <t>MS</t>
        </is>
      </c>
      <c r="F242" s="4" t="inlineStr">
        <is>
          <t>Capitais Regionais A</t>
        </is>
      </c>
      <c r="G242" s="4" t="inlineStr">
        <is>
          <t>Capital regional</t>
        </is>
      </c>
      <c r="H242" s="5">
        <f>IF(G242="fora do recorte","",SUMPRODUCT(($G$3:$G$1723=G242)*($A$3:$A$1723&lt;=A242)))</f>
        <v/>
      </c>
      <c r="I242" s="4">
        <f>IF(H242="","",G242&amp;"|"&amp;H242)</f>
        <v/>
      </c>
      <c r="J242" s="4" t="inlineStr">
        <is>
          <t>https://www.google.com/maps/search/?api=1&amp;query=DuoFisio%20-%20Fisioterapia%2C%20Pilates%20%2CRPG%20%2C%20Quiropraxia%20e%20Osteopatia.&amp;query_place_id=ChIJkS8my4LohpQRpMYWK5scvPg</t>
        </is>
      </c>
      <c r="K242" s="4" t="inlineStr">
        <is>
          <t>R. Abrão Júlio Rahe, 611 - Centro, Campo Grande - MS, 79010-010, Brasil</t>
        </is>
      </c>
      <c r="L242" s="4" t="inlineStr">
        <is>
          <t>Campo Grande</t>
        </is>
      </c>
      <c r="M242" s="5" t="n">
        <v>1</v>
      </c>
    </row>
    <row r="243">
      <c r="A243" s="3">
        <f>RAND()</f>
        <v/>
      </c>
      <c r="B243" s="4" t="inlineStr">
        <is>
          <t>ChIJqZR3O9fnhpQRc_CmGUV7iWk</t>
        </is>
      </c>
      <c r="C243" s="4" t="inlineStr">
        <is>
          <t>Eden Beer - Cervejaria</t>
        </is>
      </c>
      <c r="D243" s="4" t="inlineStr">
        <is>
          <t>Campo Grande</t>
        </is>
      </c>
      <c r="E243" s="4" t="inlineStr">
        <is>
          <t>MS</t>
        </is>
      </c>
      <c r="F243" s="4" t="inlineStr">
        <is>
          <t>Capitais Regionais A</t>
        </is>
      </c>
      <c r="G243" s="4" t="inlineStr">
        <is>
          <t>Capital regional</t>
        </is>
      </c>
      <c r="H243" s="5">
        <f>IF(G243="fora do recorte","",SUMPRODUCT(($G$3:$G$1723=G243)*($A$3:$A$1723&lt;=A243)))</f>
        <v/>
      </c>
      <c r="I243" s="4">
        <f>IF(H243="","",G243&amp;"|"&amp;H243)</f>
        <v/>
      </c>
      <c r="J243" s="4" t="inlineStr">
        <is>
          <t>https://www.google.com/maps/search/?api=1&amp;query=Eden%20Beer%20-%20Cervejaria&amp;query_place_id=ChIJqZR3O9fnhpQRc_CmGUV7iWk</t>
        </is>
      </c>
      <c r="K243" s="4" t="inlineStr">
        <is>
          <t>Av. Mato Grosso, 68 - Centro, Campo Grande - MS, 79002-231, Brasil</t>
        </is>
      </c>
      <c r="L243" s="4" t="inlineStr">
        <is>
          <t>Campo Grande</t>
        </is>
      </c>
      <c r="M243" s="5" t="n">
        <v>2</v>
      </c>
    </row>
    <row r="244">
      <c r="A244" s="3">
        <f>RAND()</f>
        <v/>
      </c>
      <c r="B244" s="4" t="inlineStr">
        <is>
          <t>ChIJBXKfy4jnhpQRTfctOG9Vlmk</t>
        </is>
      </c>
      <c r="C244" s="4" t="inlineStr">
        <is>
          <t>Falcão Games</t>
        </is>
      </c>
      <c r="D244" s="4" t="inlineStr">
        <is>
          <t>Campo Grande</t>
        </is>
      </c>
      <c r="E244" s="4" t="inlineStr">
        <is>
          <t>MS</t>
        </is>
      </c>
      <c r="F244" s="4" t="inlineStr">
        <is>
          <t>Capitais Regionais A</t>
        </is>
      </c>
      <c r="G244" s="4" t="inlineStr">
        <is>
          <t>Capital regional</t>
        </is>
      </c>
      <c r="H244" s="5">
        <f>IF(G244="fora do recorte","",SUMPRODUCT(($G$3:$G$1723=G244)*($A$3:$A$1723&lt;=A244)))</f>
        <v/>
      </c>
      <c r="I244" s="4">
        <f>IF(H244="","",G244&amp;"|"&amp;H244)</f>
        <v/>
      </c>
      <c r="J244" s="4" t="inlineStr">
        <is>
          <t>https://www.google.com/maps/search/?api=1&amp;query=Falc%C3%A3o%20Games&amp;query_place_id=ChIJBXKfy4jnhpQRTfctOG9Vlmk</t>
        </is>
      </c>
      <c r="K244" s="4" t="inlineStr">
        <is>
          <t>R. Rui Barbosa, 1710 - Vila Gloria, Campo Grande - MS, 79004-441, Brasil</t>
        </is>
      </c>
      <c r="L244" s="4" t="inlineStr">
        <is>
          <t>Campo Grande</t>
        </is>
      </c>
      <c r="M244" s="5" t="n">
        <v>1</v>
      </c>
    </row>
    <row r="245">
      <c r="A245" s="3">
        <f>RAND()</f>
        <v/>
      </c>
      <c r="B245" s="4" t="inlineStr">
        <is>
          <t>ChIJte_rSADphpQR4KnxdCZwpcY</t>
        </is>
      </c>
      <c r="C245" s="4" t="inlineStr">
        <is>
          <t>Grid Game Center - Campo Grande MS</t>
        </is>
      </c>
      <c r="D245" s="4" t="inlineStr">
        <is>
          <t>Campo Grande</t>
        </is>
      </c>
      <c r="E245" s="4" t="inlineStr">
        <is>
          <t>MS</t>
        </is>
      </c>
      <c r="F245" s="4" t="inlineStr">
        <is>
          <t>Capitais Regionais A</t>
        </is>
      </c>
      <c r="G245" s="4" t="inlineStr">
        <is>
          <t>Capital regional</t>
        </is>
      </c>
      <c r="H245" s="5">
        <f>IF(G245="fora do recorte","",SUMPRODUCT(($G$3:$G$1723=G245)*($A$3:$A$1723&lt;=A245)))</f>
        <v/>
      </c>
      <c r="I245" s="4">
        <f>IF(H245="","",G245&amp;"|"&amp;H245)</f>
        <v/>
      </c>
      <c r="J245" s="4" t="inlineStr">
        <is>
          <t>https://www.google.com/maps/search/?api=1&amp;query=Grid%20Game%20Center%20-%20Campo%20Grande%20MS&amp;query_place_id=ChIJte_rSADphpQR4KnxdCZwpcY</t>
        </is>
      </c>
      <c r="K245" s="4" t="inlineStr">
        <is>
          <t>R. Joaquim Murtinho, 1679 - Itanhangá Park, Campo Grande - MS, 79003-020, Brasil</t>
        </is>
      </c>
      <c r="L245" s="4" t="inlineStr">
        <is>
          <t>Campo Grande</t>
        </is>
      </c>
      <c r="M245" s="5" t="n">
        <v>1</v>
      </c>
    </row>
    <row r="246">
      <c r="A246" s="3">
        <f>RAND()</f>
        <v/>
      </c>
      <c r="B246" s="4" t="inlineStr">
        <is>
          <t>ChIJb-fwV4XohpQRBvhhFEcIjcE</t>
        </is>
      </c>
      <c r="C246" s="4" t="inlineStr">
        <is>
          <t>Happy Kids Brinquedoteca</t>
        </is>
      </c>
      <c r="D246" s="4" t="inlineStr">
        <is>
          <t>Campo Grande</t>
        </is>
      </c>
      <c r="E246" s="4" t="inlineStr">
        <is>
          <t>MS</t>
        </is>
      </c>
      <c r="F246" s="4" t="inlineStr">
        <is>
          <t>Capitais Regionais A</t>
        </is>
      </c>
      <c r="G246" s="4" t="inlineStr">
        <is>
          <t>Capital regional</t>
        </is>
      </c>
      <c r="H246" s="5">
        <f>IF(G246="fora do recorte","",SUMPRODUCT(($G$3:$G$1723=G246)*($A$3:$A$1723&lt;=A246)))</f>
        <v/>
      </c>
      <c r="I246" s="4">
        <f>IF(H246="","",G246&amp;"|"&amp;H246)</f>
        <v/>
      </c>
      <c r="J246" s="4" t="inlineStr">
        <is>
          <t>https://www.google.com/maps/search/?api=1&amp;query=Happy%20Kids%20Brinquedoteca&amp;query_place_id=ChIJb-fwV4XohpQRBvhhFEcIjcE</t>
        </is>
      </c>
      <c r="K246" s="4" t="inlineStr">
        <is>
          <t>R. das Garças, 1600 - Centro, Campo Grande - MS, 79020-180, Brasil</t>
        </is>
      </c>
      <c r="L246" s="4" t="inlineStr">
        <is>
          <t>Campo Grande</t>
        </is>
      </c>
      <c r="M246" s="5" t="n">
        <v>1</v>
      </c>
    </row>
    <row r="247">
      <c r="A247" s="3">
        <f>RAND()</f>
        <v/>
      </c>
      <c r="B247" s="4" t="inlineStr">
        <is>
          <t>ChIJZcz6GHDlhpQR5NOd7i6JhRA</t>
        </is>
      </c>
      <c r="C247" s="4" t="inlineStr">
        <is>
          <t>Hora da alegria pulapula + piscina de bolinha</t>
        </is>
      </c>
      <c r="D247" s="4" t="inlineStr">
        <is>
          <t>Campo Grande</t>
        </is>
      </c>
      <c r="E247" s="4" t="inlineStr">
        <is>
          <t>MS</t>
        </is>
      </c>
      <c r="F247" s="4" t="inlineStr">
        <is>
          <t>Capitais Regionais A</t>
        </is>
      </c>
      <c r="G247" s="4" t="inlineStr">
        <is>
          <t>Capital regional</t>
        </is>
      </c>
      <c r="H247" s="5">
        <f>IF(G247="fora do recorte","",SUMPRODUCT(($G$3:$G$1723=G247)*($A$3:$A$1723&lt;=A247)))</f>
        <v/>
      </c>
      <c r="I247" s="4">
        <f>IF(H247="","",G247&amp;"|"&amp;H247)</f>
        <v/>
      </c>
      <c r="J247" s="4" t="inlineStr">
        <is>
          <t>https://www.google.com/maps/search/?api=1&amp;query=Hora%20da%20alegria%20pulapula%20%2B%20piscina%20de%20bolinha&amp;query_place_id=ChIJZcz6GHDlhpQR5NOd7i6JhRA</t>
        </is>
      </c>
      <c r="K247" s="4" t="inlineStr">
        <is>
          <t>R. José Antônio Saraíva - Jardim Los Angeles, Campo Grande - MS, 79073-248, Brasil</t>
        </is>
      </c>
      <c r="L247" s="4" t="inlineStr">
        <is>
          <t>Campo Grande</t>
        </is>
      </c>
      <c r="M247" s="5" t="n">
        <v>1</v>
      </c>
    </row>
    <row r="248">
      <c r="A248" s="3">
        <f>RAND()</f>
        <v/>
      </c>
      <c r="B248" s="4" t="inlineStr">
        <is>
          <t>ChIJFXw-sPbohpQR5eMb1gcDtNs</t>
        </is>
      </c>
      <c r="C248" s="4" t="inlineStr">
        <is>
          <t>Joga Burger</t>
        </is>
      </c>
      <c r="D248" s="4" t="inlineStr">
        <is>
          <t>Campo Grande</t>
        </is>
      </c>
      <c r="E248" s="4" t="inlineStr">
        <is>
          <t>MS</t>
        </is>
      </c>
      <c r="F248" s="4" t="inlineStr">
        <is>
          <t>Capitais Regionais A</t>
        </is>
      </c>
      <c r="G248" s="4" t="inlineStr">
        <is>
          <t>Capital regional</t>
        </is>
      </c>
      <c r="H248" s="5">
        <f>IF(G248="fora do recorte","",SUMPRODUCT(($G$3:$G$1723=G248)*($A$3:$A$1723&lt;=A248)))</f>
        <v/>
      </c>
      <c r="I248" s="4">
        <f>IF(H248="","",G248&amp;"|"&amp;H248)</f>
        <v/>
      </c>
      <c r="J248" s="4" t="inlineStr">
        <is>
          <t>https://www.google.com/maps/search/?api=1&amp;query=Joga%20Burger&amp;query_place_id=ChIJFXw-sPbohpQR5eMb1gcDtNs</t>
        </is>
      </c>
      <c r="K248" s="4" t="inlineStr">
        <is>
          <t>Av. Nelly Martins, 76 - Portal Itayara, Campo Grande - MS, 79032-295, Brasil</t>
        </is>
      </c>
      <c r="L248" s="4" t="inlineStr">
        <is>
          <t>Campo Grande</t>
        </is>
      </c>
      <c r="M248" s="5" t="n">
        <v>7</v>
      </c>
    </row>
    <row r="249">
      <c r="A249" s="3">
        <f>RAND()</f>
        <v/>
      </c>
      <c r="B249" s="4" t="inlineStr">
        <is>
          <t>ChIJ-VrxLhvnhpQR2mKesaDPzqk</t>
        </is>
      </c>
      <c r="C249" s="4" t="inlineStr">
        <is>
          <t>Jogos Aurora</t>
        </is>
      </c>
      <c r="D249" s="4" t="inlineStr">
        <is>
          <t>Campo Grande</t>
        </is>
      </c>
      <c r="E249" s="4" t="inlineStr">
        <is>
          <t>MS</t>
        </is>
      </c>
      <c r="F249" s="4" t="inlineStr">
        <is>
          <t>Capitais Regionais A</t>
        </is>
      </c>
      <c r="G249" s="4" t="inlineStr">
        <is>
          <t>Capital regional</t>
        </is>
      </c>
      <c r="H249" s="5">
        <f>IF(G249="fora do recorte","",SUMPRODUCT(($G$3:$G$1723=G249)*($A$3:$A$1723&lt;=A249)))</f>
        <v/>
      </c>
      <c r="I249" s="4">
        <f>IF(H249="","",G249&amp;"|"&amp;H249)</f>
        <v/>
      </c>
      <c r="J249" s="4" t="inlineStr">
        <is>
          <t>https://www.google.com/maps/search/?api=1&amp;query=Jogos%20Aurora&amp;query_place_id=ChIJ-VrxLhvnhpQR2mKesaDPzqk</t>
        </is>
      </c>
      <c r="K249" s="4" t="inlineStr">
        <is>
          <t>Av. Afonso Pena, segundo piso, sala 109 - Centro, Campo Grande - MS, 79118-737, Brasil</t>
        </is>
      </c>
      <c r="L249" s="4" t="inlineStr">
        <is>
          <t>Campo Grande</t>
        </is>
      </c>
      <c r="M249" s="5" t="n">
        <v>3</v>
      </c>
    </row>
    <row r="250">
      <c r="A250" s="3">
        <f>RAND()</f>
        <v/>
      </c>
      <c r="B250" s="4" t="inlineStr">
        <is>
          <t>ChIJq6qqTpXohpQRLq7PmpY9FV4</t>
        </is>
      </c>
      <c r="C250" s="4" t="inlineStr">
        <is>
          <t>Leitura Campo Grande</t>
        </is>
      </c>
      <c r="D250" s="4" t="inlineStr">
        <is>
          <t>Campo Grande</t>
        </is>
      </c>
      <c r="E250" s="4" t="inlineStr">
        <is>
          <t>MS</t>
        </is>
      </c>
      <c r="F250" s="4" t="inlineStr">
        <is>
          <t>Capitais Regionais A</t>
        </is>
      </c>
      <c r="G250" s="4" t="inlineStr">
        <is>
          <t>Capital regional</t>
        </is>
      </c>
      <c r="H250" s="5">
        <f>IF(G250="fora do recorte","",SUMPRODUCT(($G$3:$G$1723=G250)*($A$3:$A$1723&lt;=A250)))</f>
        <v/>
      </c>
      <c r="I250" s="4">
        <f>IF(H250="","",G250&amp;"|"&amp;H250)</f>
        <v/>
      </c>
      <c r="J250" s="4" t="inlineStr">
        <is>
          <t>https://www.google.com/maps/search/?api=1&amp;query=Leitura%20Campo%20Grande&amp;query_place_id=ChIJq6qqTpXohpQRLq7PmpY9FV4</t>
        </is>
      </c>
      <c r="K250" s="4" t="inlineStr">
        <is>
          <t>Av. Afonso Pena, 4909 - Santa Fe, Campo Grande - MS, 79031-900, Brasil</t>
        </is>
      </c>
      <c r="L250" s="4" t="inlineStr">
        <is>
          <t>Campo Grande</t>
        </is>
      </c>
      <c r="M250" s="5" t="n">
        <v>7</v>
      </c>
    </row>
    <row r="251">
      <c r="A251" s="3">
        <f>RAND()</f>
        <v/>
      </c>
      <c r="B251" s="4" t="inlineStr">
        <is>
          <t>ChIJi3o774_phpQRX5CuhHxX2zc</t>
        </is>
      </c>
      <c r="C251" s="4" t="inlineStr">
        <is>
          <t>Lepetipola</t>
        </is>
      </c>
      <c r="D251" s="4" t="inlineStr">
        <is>
          <t>Campo Grande</t>
        </is>
      </c>
      <c r="E251" s="4" t="inlineStr">
        <is>
          <t>MS</t>
        </is>
      </c>
      <c r="F251" s="4" t="inlineStr">
        <is>
          <t>Capitais Regionais A</t>
        </is>
      </c>
      <c r="G251" s="4" t="inlineStr">
        <is>
          <t>Capital regional</t>
        </is>
      </c>
      <c r="H251" s="5">
        <f>IF(G251="fora do recorte","",SUMPRODUCT(($G$3:$G$1723=G251)*($A$3:$A$1723&lt;=A251)))</f>
        <v/>
      </c>
      <c r="I251" s="4">
        <f>IF(H251="","",G251&amp;"|"&amp;H251)</f>
        <v/>
      </c>
      <c r="J251" s="4" t="inlineStr">
        <is>
          <t>https://www.google.com/maps/search/?api=1&amp;query=Lepetipola&amp;query_place_id=ChIJi3o774_phpQRX5CuhHxX2zc</t>
        </is>
      </c>
      <c r="K251" s="4" t="inlineStr">
        <is>
          <t>R. Gen. Paulo Xavier, 161 - Cidade Jardim, Campo Grande - MS, 79040-540, Brasil</t>
        </is>
      </c>
      <c r="L251" s="4" t="inlineStr">
        <is>
          <t>Campo Grande</t>
        </is>
      </c>
      <c r="M251" s="5" t="n">
        <v>1</v>
      </c>
    </row>
    <row r="252">
      <c r="A252" s="3">
        <f>RAND()</f>
        <v/>
      </c>
      <c r="B252" s="4" t="inlineStr">
        <is>
          <t>ChIJAR0X1w3mhpQRNkcz7rqI-_s</t>
        </is>
      </c>
      <c r="C252" s="4" t="inlineStr">
        <is>
          <t>MAGIC GAMES</t>
        </is>
      </c>
      <c r="D252" s="4" t="inlineStr">
        <is>
          <t>Campo Grande</t>
        </is>
      </c>
      <c r="E252" s="4" t="inlineStr">
        <is>
          <t>MS</t>
        </is>
      </c>
      <c r="F252" s="4" t="inlineStr">
        <is>
          <t>Capitais Regionais A</t>
        </is>
      </c>
      <c r="G252" s="4" t="inlineStr">
        <is>
          <t>Capital regional</t>
        </is>
      </c>
      <c r="H252" s="5">
        <f>IF(G252="fora do recorte","",SUMPRODUCT(($G$3:$G$1723=G252)*($A$3:$A$1723&lt;=A252)))</f>
        <v/>
      </c>
      <c r="I252" s="4">
        <f>IF(H252="","",G252&amp;"|"&amp;H252)</f>
        <v/>
      </c>
      <c r="J252" s="4" t="inlineStr">
        <is>
          <t>https://www.google.com/maps/search/?api=1&amp;query=MAGIC%20GAMES&amp;query_place_id=ChIJAR0X1w3mhpQRNkcz7rqI-_s</t>
        </is>
      </c>
      <c r="K252" s="4" t="inlineStr">
        <is>
          <t>R. Quitanda - Jardim Joquei Club, Campo Grande - MS, 79080-105, Brasil</t>
        </is>
      </c>
      <c r="L252" s="4" t="inlineStr">
        <is>
          <t>Campo Grande</t>
        </is>
      </c>
      <c r="M252" s="5" t="n">
        <v>1</v>
      </c>
    </row>
    <row r="253">
      <c r="A253" s="3">
        <f>RAND()</f>
        <v/>
      </c>
      <c r="B253" s="4" t="inlineStr">
        <is>
          <t>ChIJleY4oWfphpQRvVHngIcsHdk</t>
        </is>
      </c>
      <c r="C253" s="4" t="inlineStr">
        <is>
          <t>Meninus Games</t>
        </is>
      </c>
      <c r="D253" s="4" t="inlineStr">
        <is>
          <t>Campo Grande</t>
        </is>
      </c>
      <c r="E253" s="4" t="inlineStr">
        <is>
          <t>MS</t>
        </is>
      </c>
      <c r="F253" s="4" t="inlineStr">
        <is>
          <t>Capitais Regionais A</t>
        </is>
      </c>
      <c r="G253" s="4" t="inlineStr">
        <is>
          <t>Capital regional</t>
        </is>
      </c>
      <c r="H253" s="5">
        <f>IF(G253="fora do recorte","",SUMPRODUCT(($G$3:$G$1723=G253)*($A$3:$A$1723&lt;=A253)))</f>
        <v/>
      </c>
      <c r="I253" s="4">
        <f>IF(H253="","",G253&amp;"|"&amp;H253)</f>
        <v/>
      </c>
      <c r="J253" s="4" t="inlineStr">
        <is>
          <t>https://www.google.com/maps/search/?api=1&amp;query=Meninus%20Games&amp;query_place_id=ChIJleY4oWfphpQRvVHngIcsHdk</t>
        </is>
      </c>
      <c r="K253" s="4" t="inlineStr">
        <is>
          <t>R. Marquês de Lavradio, 626 - Sl 04 - Jardim Sao Lourenco, Campo Grande - MS, 79041-340, Brasil</t>
        </is>
      </c>
      <c r="L253" s="4" t="inlineStr">
        <is>
          <t>Campo Grande</t>
        </is>
      </c>
      <c r="M253" s="5" t="n">
        <v>6</v>
      </c>
    </row>
    <row r="254">
      <c r="A254" s="3">
        <f>RAND()</f>
        <v/>
      </c>
      <c r="B254" s="4" t="inlineStr">
        <is>
          <t>ChIJDWxbmU7phpQRJ12eAtIDuLQ</t>
        </is>
      </c>
      <c r="C254" s="4" t="inlineStr">
        <is>
          <t>Multiverso Tabuleiros - Aluguel de Jogos de Tabuleiro em Campo Grande</t>
        </is>
      </c>
      <c r="D254" s="4" t="inlineStr">
        <is>
          <t>Campo Grande</t>
        </is>
      </c>
      <c r="E254" s="4" t="inlineStr">
        <is>
          <t>MS</t>
        </is>
      </c>
      <c r="F254" s="4" t="inlineStr">
        <is>
          <t>Capitais Regionais A</t>
        </is>
      </c>
      <c r="G254" s="4" t="inlineStr">
        <is>
          <t>Capital regional</t>
        </is>
      </c>
      <c r="H254" s="5">
        <f>IF(G254="fora do recorte","",SUMPRODUCT(($G$3:$G$1723=G254)*($A$3:$A$1723&lt;=A254)))</f>
        <v/>
      </c>
      <c r="I254" s="4">
        <f>IF(H254="","",G254&amp;"|"&amp;H254)</f>
        <v/>
      </c>
      <c r="J254" s="4" t="inlineStr">
        <is>
          <t>https://www.google.com/maps/search/?api=1&amp;query=Multiverso%20Tabuleiros%20-%20Aluguel%20de%20Jogos%20de%20Tabuleiro%20em%20Campo%20Grande&amp;query_place_id=ChIJDWxbmU7phpQRJ12eAtIDuLQ</t>
        </is>
      </c>
      <c r="K254" s="4" t="inlineStr">
        <is>
          <t>R. Sebastião Lima, 1388 - Jardim Sao Bento, Campo Grande - MS, 79004-600, Brasil</t>
        </is>
      </c>
      <c r="L254" s="4" t="inlineStr">
        <is>
          <t>Boa Vista; Campo Grande; Maceió; Rio Branco</t>
        </is>
      </c>
      <c r="M254" s="5" t="n">
        <v>14</v>
      </c>
    </row>
    <row r="255">
      <c r="A255" s="3">
        <f>RAND()</f>
        <v/>
      </c>
      <c r="B255" s="4" t="inlineStr">
        <is>
          <t>ChIJn0T8FpvnhpQR19Mlnj2G2rQ</t>
        </is>
      </c>
      <c r="C255" s="4" t="inlineStr">
        <is>
          <t>Mundo CJ - Aluguel de Jogos de Tabuleiro</t>
        </is>
      </c>
      <c r="D255" s="4" t="inlineStr">
        <is>
          <t>Campo Grande</t>
        </is>
      </c>
      <c r="E255" s="4" t="inlineStr">
        <is>
          <t>MS</t>
        </is>
      </c>
      <c r="F255" s="4" t="inlineStr">
        <is>
          <t>Capitais Regionais A</t>
        </is>
      </c>
      <c r="G255" s="4" t="inlineStr">
        <is>
          <t>Capital regional</t>
        </is>
      </c>
      <c r="H255" s="5">
        <f>IF(G255="fora do recorte","",SUMPRODUCT(($G$3:$G$1723=G255)*($A$3:$A$1723&lt;=A255)))</f>
        <v/>
      </c>
      <c r="I255" s="4">
        <f>IF(H255="","",G255&amp;"|"&amp;H255)</f>
        <v/>
      </c>
      <c r="J255" s="4" t="inlineStr">
        <is>
          <t>https://www.google.com/maps/search/?api=1&amp;query=Mundo%20CJ%20-%20Aluguel%20de%20Jogos%20de%20Tabuleiro&amp;query_place_id=ChIJn0T8FpvnhpQR19Mlnj2G2rQ</t>
        </is>
      </c>
      <c r="K255" s="4" t="inlineStr">
        <is>
          <t>R. Barão de Mauá, 300 - Santo Antonio, Campo Grande - MS, 79100-630, Brasil</t>
        </is>
      </c>
      <c r="L255" s="4" t="inlineStr">
        <is>
          <t>Campo Grande</t>
        </is>
      </c>
      <c r="M255" s="5" t="n">
        <v>2</v>
      </c>
    </row>
    <row r="256">
      <c r="A256" s="3">
        <f>RAND()</f>
        <v/>
      </c>
      <c r="B256" s="4" t="inlineStr">
        <is>
          <t>ChIJud1petjphpQRP-zWwQwiPgo</t>
        </is>
      </c>
      <c r="C256" s="4" t="inlineStr">
        <is>
          <t>Mundo encantado brinquedos</t>
        </is>
      </c>
      <c r="D256" s="4" t="inlineStr">
        <is>
          <t>Campo Grande</t>
        </is>
      </c>
      <c r="E256" s="4" t="inlineStr">
        <is>
          <t>MS</t>
        </is>
      </c>
      <c r="F256" s="4" t="inlineStr">
        <is>
          <t>Capitais Regionais A</t>
        </is>
      </c>
      <c r="G256" s="4" t="inlineStr">
        <is>
          <t>Capital regional</t>
        </is>
      </c>
      <c r="H256" s="5">
        <f>IF(G256="fora do recorte","",SUMPRODUCT(($G$3:$G$1723=G256)*($A$3:$A$1723&lt;=A256)))</f>
        <v/>
      </c>
      <c r="I256" s="4">
        <f>IF(H256="","",G256&amp;"|"&amp;H256)</f>
        <v/>
      </c>
      <c r="J256" s="4" t="inlineStr">
        <is>
          <t>https://www.google.com/maps/search/?api=1&amp;query=Mundo%20encantado%20brinquedos&amp;query_place_id=ChIJud1petjphpQRP-zWwQwiPgo</t>
        </is>
      </c>
      <c r="K256" s="4" t="inlineStr">
        <is>
          <t>R. Júlio Prestes, 1269 - Nova Lima, Campo Grande - MS, 79017-024, Brasil</t>
        </is>
      </c>
      <c r="L256" s="4" t="inlineStr">
        <is>
          <t>Campo Grande</t>
        </is>
      </c>
      <c r="M256" s="5" t="n">
        <v>1</v>
      </c>
    </row>
    <row r="257">
      <c r="A257" s="3">
        <f>RAND()</f>
        <v/>
      </c>
      <c r="B257" s="4" t="inlineStr">
        <is>
          <t>ChIJkb-xXLTohpQRV2uA3ZMrc-M</t>
        </is>
      </c>
      <c r="C257" s="4" t="inlineStr">
        <is>
          <t>Mystical Space - Seu jogo começa aqui</t>
        </is>
      </c>
      <c r="D257" s="4" t="inlineStr">
        <is>
          <t>Campo Grande</t>
        </is>
      </c>
      <c r="E257" s="4" t="inlineStr">
        <is>
          <t>MS</t>
        </is>
      </c>
      <c r="F257" s="4" t="inlineStr">
        <is>
          <t>Capitais Regionais A</t>
        </is>
      </c>
      <c r="G257" s="4" t="inlineStr">
        <is>
          <t>Capital regional</t>
        </is>
      </c>
      <c r="H257" s="5">
        <f>IF(G257="fora do recorte","",SUMPRODUCT(($G$3:$G$1723=G257)*($A$3:$A$1723&lt;=A257)))</f>
        <v/>
      </c>
      <c r="I257" s="4">
        <f>IF(H257="","",G257&amp;"|"&amp;H257)</f>
        <v/>
      </c>
      <c r="J257" s="4" t="inlineStr">
        <is>
          <t>https://www.google.com/maps/search/?api=1&amp;query=Mystical%20Space%20-%20Seu%20jogo%20come%C3%A7a%20aqui&amp;query_place_id=ChIJkb-xXLTohpQRV2uA3ZMrc-M</t>
        </is>
      </c>
      <c r="K257" s="4" t="inlineStr">
        <is>
          <t>Av. Três Barras, 17 - Vila Vilas Boas, Campo Grande - MS, 79051-290, Brasil</t>
        </is>
      </c>
      <c r="L257" s="4" t="inlineStr">
        <is>
          <t>Campo Grande</t>
        </is>
      </c>
      <c r="M257" s="5" t="n">
        <v>12</v>
      </c>
    </row>
    <row r="258">
      <c r="A258" s="3">
        <f>RAND()</f>
        <v/>
      </c>
      <c r="B258" s="4" t="inlineStr">
        <is>
          <t>ChIJq8A4Sz3mhpQRP6uBTSScV6M</t>
        </is>
      </c>
      <c r="C258" s="4" t="inlineStr">
        <is>
          <t>O Irlandês Pub</t>
        </is>
      </c>
      <c r="D258" s="4" t="inlineStr">
        <is>
          <t>Campo Grande</t>
        </is>
      </c>
      <c r="E258" s="4" t="inlineStr">
        <is>
          <t>MS</t>
        </is>
      </c>
      <c r="F258" s="4" t="inlineStr">
        <is>
          <t>Capitais Regionais A</t>
        </is>
      </c>
      <c r="G258" s="4" t="inlineStr">
        <is>
          <t>Capital regional</t>
        </is>
      </c>
      <c r="H258" s="5">
        <f>IF(G258="fora do recorte","",SUMPRODUCT(($G$3:$G$1723=G258)*($A$3:$A$1723&lt;=A258)))</f>
        <v/>
      </c>
      <c r="I258" s="4">
        <f>IF(H258="","",G258&amp;"|"&amp;H258)</f>
        <v/>
      </c>
      <c r="J258" s="4" t="inlineStr">
        <is>
          <t>https://www.google.com/maps/search/?api=1&amp;query=O%20Irland%C3%AAs%20Pub&amp;query_place_id=ChIJq8A4Sz3mhpQRP6uBTSScV6M</t>
        </is>
      </c>
      <c r="K258" s="4" t="inlineStr">
        <is>
          <t>R. Oceano Atlântico, 115 - Chácara Cachoeira, Campo Grande - MS, 79040-020, Brasil</t>
        </is>
      </c>
      <c r="L258" s="4" t="inlineStr">
        <is>
          <t>Campo Grande</t>
        </is>
      </c>
      <c r="M258" s="5" t="n">
        <v>1</v>
      </c>
    </row>
    <row r="259">
      <c r="A259" s="3">
        <f>RAND()</f>
        <v/>
      </c>
      <c r="B259" s="4" t="inlineStr">
        <is>
          <t>ChIJt_x38pHohpQReRSrHC2YOgo</t>
        </is>
      </c>
      <c r="C259" s="4" t="inlineStr">
        <is>
          <t>Pirlimpimpim Brinquedos</t>
        </is>
      </c>
      <c r="D259" s="4" t="inlineStr">
        <is>
          <t>Campo Grande</t>
        </is>
      </c>
      <c r="E259" s="4" t="inlineStr">
        <is>
          <t>MS</t>
        </is>
      </c>
      <c r="F259" s="4" t="inlineStr">
        <is>
          <t>Capitais Regionais A</t>
        </is>
      </c>
      <c r="G259" s="4" t="inlineStr">
        <is>
          <t>Capital regional</t>
        </is>
      </c>
      <c r="H259" s="5">
        <f>IF(G259="fora do recorte","",SUMPRODUCT(($G$3:$G$1723=G259)*($A$3:$A$1723&lt;=A259)))</f>
        <v/>
      </c>
      <c r="I259" s="4">
        <f>IF(H259="","",G259&amp;"|"&amp;H259)</f>
        <v/>
      </c>
      <c r="J259" s="4" t="inlineStr">
        <is>
          <t>https://www.google.com/maps/search/?api=1&amp;query=Pirlimpimpim%20Brinquedos&amp;query_place_id=ChIJt_x38pHohpQReRSrHC2YOgo</t>
        </is>
      </c>
      <c r="K259" s="4" t="inlineStr">
        <is>
          <t>Av. Ceará, 1768 - Santa Fe, Campo Grande - MS, 79021-000, Brasil</t>
        </is>
      </c>
      <c r="L259" s="4" t="inlineStr">
        <is>
          <t>Campo Grande</t>
        </is>
      </c>
      <c r="M259" s="5" t="n">
        <v>1</v>
      </c>
    </row>
    <row r="260">
      <c r="A260" s="3">
        <f>RAND()</f>
        <v/>
      </c>
      <c r="B260" s="4" t="inlineStr">
        <is>
          <t>ChIJaX9ow6PvhpQRs_j2-_dt4y4</t>
        </is>
      </c>
      <c r="C260" s="4" t="inlineStr">
        <is>
          <t>Play Games</t>
        </is>
      </c>
      <c r="D260" s="4" t="inlineStr">
        <is>
          <t>Campo Grande</t>
        </is>
      </c>
      <c r="E260" s="4" t="inlineStr">
        <is>
          <t>MS</t>
        </is>
      </c>
      <c r="F260" s="4" t="inlineStr">
        <is>
          <t>Capitais Regionais A</t>
        </is>
      </c>
      <c r="G260" s="4" t="inlineStr">
        <is>
          <t>Capital regional</t>
        </is>
      </c>
      <c r="H260" s="5">
        <f>IF(G260="fora do recorte","",SUMPRODUCT(($G$3:$G$1723=G260)*($A$3:$A$1723&lt;=A260)))</f>
        <v/>
      </c>
      <c r="I260" s="4">
        <f>IF(H260="","",G260&amp;"|"&amp;H260)</f>
        <v/>
      </c>
      <c r="J260" s="4" t="inlineStr">
        <is>
          <t>https://www.google.com/maps/search/?api=1&amp;query=Play%20Games&amp;query_place_id=ChIJaX9ow6PvhpQRs_j2-_dt4y4</t>
        </is>
      </c>
      <c r="K260" s="4" t="inlineStr">
        <is>
          <t>R. Sizuo Nakazato, 1429 - Jardim Itamaraca, Campo Grande - MS, 79062-140, Brasil</t>
        </is>
      </c>
      <c r="L260" s="4" t="inlineStr">
        <is>
          <t>Campo Grande</t>
        </is>
      </c>
      <c r="M260" s="5" t="n">
        <v>1</v>
      </c>
    </row>
    <row r="261">
      <c r="A261" s="3">
        <f>RAND()</f>
        <v/>
      </c>
      <c r="B261" s="4" t="inlineStr">
        <is>
          <t>ChIJqQR_cdHphpQRKRAe24390ow</t>
        </is>
      </c>
      <c r="C261" s="4" t="inlineStr">
        <is>
          <t>Play Games / Campo Grande-MS</t>
        </is>
      </c>
      <c r="D261" s="4" t="inlineStr">
        <is>
          <t>Campo Grande</t>
        </is>
      </c>
      <c r="E261" s="4" t="inlineStr">
        <is>
          <t>MS</t>
        </is>
      </c>
      <c r="F261" s="4" t="inlineStr">
        <is>
          <t>Capitais Regionais A</t>
        </is>
      </c>
      <c r="G261" s="4" t="inlineStr">
        <is>
          <t>Capital regional</t>
        </is>
      </c>
      <c r="H261" s="5">
        <f>IF(G261="fora do recorte","",SUMPRODUCT(($G$3:$G$1723=G261)*($A$3:$A$1723&lt;=A261)))</f>
        <v/>
      </c>
      <c r="I261" s="4">
        <f>IF(H261="","",G261&amp;"|"&amp;H261)</f>
        <v/>
      </c>
      <c r="J261" s="4" t="inlineStr">
        <is>
          <t>https://www.google.com/maps/search/?api=1&amp;query=Play%20Games%20/%20Campo%20Grande-MS&amp;query_place_id=ChIJqQR_cdHphpQRKRAe24390ow</t>
        </is>
      </c>
      <c r="K261" s="4" t="inlineStr">
        <is>
          <t>Avenida Cônsul Assaf - Tradicional Shopping - Bosque dos Ipês, N° 4796 - Loja 216 - Coronel Antonino, Campo Grande - MS, 79013-545, Brasil</t>
        </is>
      </c>
      <c r="L261" s="4" t="inlineStr">
        <is>
          <t>Campo Grande</t>
        </is>
      </c>
      <c r="M261" s="5" t="n">
        <v>4</v>
      </c>
    </row>
    <row r="262">
      <c r="A262" s="3">
        <f>RAND()</f>
        <v/>
      </c>
      <c r="B262" s="4" t="inlineStr">
        <is>
          <t>ChIJg5kpMQ_vhpQRPBmmZMk2ff8</t>
        </is>
      </c>
      <c r="C262" s="4" t="inlineStr">
        <is>
          <t>PokeDez Cards e Acessórios</t>
        </is>
      </c>
      <c r="D262" s="4" t="inlineStr">
        <is>
          <t>Campo Grande</t>
        </is>
      </c>
      <c r="E262" s="4" t="inlineStr">
        <is>
          <t>MS</t>
        </is>
      </c>
      <c r="F262" s="4" t="inlineStr">
        <is>
          <t>Capitais Regionais A</t>
        </is>
      </c>
      <c r="G262" s="4" t="inlineStr">
        <is>
          <t>Capital regional</t>
        </is>
      </c>
      <c r="H262" s="5">
        <f>IF(G262="fora do recorte","",SUMPRODUCT(($G$3:$G$1723=G262)*($A$3:$A$1723&lt;=A262)))</f>
        <v/>
      </c>
      <c r="I262" s="4">
        <f>IF(H262="","",G262&amp;"|"&amp;H262)</f>
        <v/>
      </c>
      <c r="J262" s="4" t="inlineStr">
        <is>
          <t>https://www.google.com/maps/search/?api=1&amp;query=PokeDez%20Cards%20e%20Acess%C3%B3rios&amp;query_place_id=ChIJg5kpMQ_vhpQRPBmmZMk2ff8</t>
        </is>
      </c>
      <c r="K262" s="4" t="inlineStr">
        <is>
          <t>R. Barão de Melgaço, 571 - Sl 1 e 2 Terreo - Centro, Campo Grande - MS, 79002-080, Brasil</t>
        </is>
      </c>
      <c r="L262" s="4" t="inlineStr">
        <is>
          <t>Campo Grande</t>
        </is>
      </c>
      <c r="M262" s="5" t="n">
        <v>3</v>
      </c>
    </row>
    <row r="263">
      <c r="A263" s="3">
        <f>RAND()</f>
        <v/>
      </c>
      <c r="B263" s="4" t="inlineStr">
        <is>
          <t>ChIJ_zg_6ofohpQR3xcNh4iI9fw</t>
        </is>
      </c>
      <c r="C263" s="4" t="inlineStr">
        <is>
          <t>QUINTAL SER CRIANCA</t>
        </is>
      </c>
      <c r="D263" s="4" t="inlineStr">
        <is>
          <t>Campo Grande</t>
        </is>
      </c>
      <c r="E263" s="4" t="inlineStr">
        <is>
          <t>MS</t>
        </is>
      </c>
      <c r="F263" s="4" t="inlineStr">
        <is>
          <t>Capitais Regionais A</t>
        </is>
      </c>
      <c r="G263" s="4" t="inlineStr">
        <is>
          <t>Capital regional</t>
        </is>
      </c>
      <c r="H263" s="5">
        <f>IF(G263="fora do recorte","",SUMPRODUCT(($G$3:$G$1723=G263)*($A$3:$A$1723&lt;=A263)))</f>
        <v/>
      </c>
      <c r="I263" s="4">
        <f>IF(H263="","",G263&amp;"|"&amp;H263)</f>
        <v/>
      </c>
      <c r="J263" s="4" t="inlineStr">
        <is>
          <t>https://www.google.com/maps/search/?api=1&amp;query=QUINTAL%20SER%20CRIANCA&amp;query_place_id=ChIJ_zg_6ofohpQR3xcNh4iI9fw</t>
        </is>
      </c>
      <c r="K263" s="4" t="inlineStr">
        <is>
          <t>Av. Mato Grosso, 1567 - Centro - Centro, Campo Grande - MS, 79002-231, Brasil</t>
        </is>
      </c>
      <c r="L263" s="4" t="inlineStr">
        <is>
          <t>Campo Grande</t>
        </is>
      </c>
      <c r="M263" s="5" t="n">
        <v>1</v>
      </c>
    </row>
    <row r="264">
      <c r="A264" s="3">
        <f>RAND()</f>
        <v/>
      </c>
      <c r="B264" s="4" t="inlineStr">
        <is>
          <t>ChIJfQi_DUHphpQR7dwrCi8EHaM</t>
        </is>
      </c>
      <c r="C264" s="4" t="inlineStr">
        <is>
          <t>Quiosque Afonso Pena</t>
        </is>
      </c>
      <c r="D264" s="4" t="inlineStr">
        <is>
          <t>Campo Grande</t>
        </is>
      </c>
      <c r="E264" s="4" t="inlineStr">
        <is>
          <t>MS</t>
        </is>
      </c>
      <c r="F264" s="4" t="inlineStr">
        <is>
          <t>Capitais Regionais A</t>
        </is>
      </c>
      <c r="G264" s="4" t="inlineStr">
        <is>
          <t>Capital regional</t>
        </is>
      </c>
      <c r="H264" s="5">
        <f>IF(G264="fora do recorte","",SUMPRODUCT(($G$3:$G$1723=G264)*($A$3:$A$1723&lt;=A264)))</f>
        <v/>
      </c>
      <c r="I264" s="4">
        <f>IF(H264="","",G264&amp;"|"&amp;H264)</f>
        <v/>
      </c>
      <c r="J264" s="4" t="inlineStr">
        <is>
          <t>https://www.google.com/maps/search/?api=1&amp;query=Quiosque%20Afonso%20Pena&amp;query_place_id=ChIJfQi_DUHphpQR7dwrCi8EHaM</t>
        </is>
      </c>
      <c r="K264" s="4" t="inlineStr">
        <is>
          <t>Rua Dr. Mário Édson de Barros, 64 - Chácara Cachoeira, Campo Grande - MS, 79040-041, Brasil</t>
        </is>
      </c>
      <c r="L264" s="4" t="inlineStr">
        <is>
          <t>Campo Grande</t>
        </is>
      </c>
      <c r="M264" s="5" t="n">
        <v>1</v>
      </c>
    </row>
    <row r="265">
      <c r="A265" s="3">
        <f>RAND()</f>
        <v/>
      </c>
      <c r="B265" s="4" t="inlineStr">
        <is>
          <t>ChIJcX0GuurohpQRsxIA5vn06HI</t>
        </is>
      </c>
      <c r="C265" s="4" t="inlineStr">
        <is>
          <t>RI HAPPY CAMPO GRANDE</t>
        </is>
      </c>
      <c r="D265" s="4" t="inlineStr">
        <is>
          <t>Campo Grande</t>
        </is>
      </c>
      <c r="E265" s="4" t="inlineStr">
        <is>
          <t>MS</t>
        </is>
      </c>
      <c r="F265" s="4" t="inlineStr">
        <is>
          <t>Capitais Regionais A</t>
        </is>
      </c>
      <c r="G265" s="4" t="inlineStr">
        <is>
          <t>Capital regional</t>
        </is>
      </c>
      <c r="H265" s="5">
        <f>IF(G265="fora do recorte","",SUMPRODUCT(($G$3:$G$1723=G265)*($A$3:$A$1723&lt;=A265)))</f>
        <v/>
      </c>
      <c r="I265" s="4">
        <f>IF(H265="","",G265&amp;"|"&amp;H265)</f>
        <v/>
      </c>
      <c r="J265" s="4" t="inlineStr">
        <is>
          <t>https://www.google.com/maps/search/?api=1&amp;query=RI%20HAPPY%20CAMPO%20GRANDE&amp;query_place_id=ChIJcX0GuurohpQRsxIA5vn06HI</t>
        </is>
      </c>
      <c r="K265" s="4" t="inlineStr">
        <is>
          <t>Av. Afonso Pena, 4909 - Loja 107 - Piso afonso pena - Santa Fe, Campo Grande - MS, 79031-900, Brasil</t>
        </is>
      </c>
      <c r="L265" s="4" t="inlineStr">
        <is>
          <t>Campo Grande</t>
        </is>
      </c>
      <c r="M265" s="5" t="n">
        <v>2</v>
      </c>
    </row>
    <row r="266">
      <c r="A266" s="3">
        <f>RAND()</f>
        <v/>
      </c>
      <c r="B266" s="4" t="inlineStr">
        <is>
          <t>ChIJ8VQodY3ohpQRjYawVc0O-7Y</t>
        </is>
      </c>
      <c r="C266" s="4" t="inlineStr">
        <is>
          <t>Retro Gamers: Vídeo Games Concept</t>
        </is>
      </c>
      <c r="D266" s="4" t="inlineStr">
        <is>
          <t>Campo Grande</t>
        </is>
      </c>
      <c r="E266" s="4" t="inlineStr">
        <is>
          <t>MS</t>
        </is>
      </c>
      <c r="F266" s="4" t="inlineStr">
        <is>
          <t>Capitais Regionais A</t>
        </is>
      </c>
      <c r="G266" s="4" t="inlineStr">
        <is>
          <t>Capital regional</t>
        </is>
      </c>
      <c r="H266" s="5">
        <f>IF(G266="fora do recorte","",SUMPRODUCT(($G$3:$G$1723=G266)*($A$3:$A$1723&lt;=A266)))</f>
        <v/>
      </c>
      <c r="I266" s="4">
        <f>IF(H266="","",G266&amp;"|"&amp;H266)</f>
        <v/>
      </c>
      <c r="J266" s="4" t="inlineStr">
        <is>
          <t>https://www.google.com/maps/search/?api=1&amp;query=Retro%20Gamers%3A%20V%C3%ADdeo%20Games%20Concept&amp;query_place_id=ChIJ8VQodY3ohpQRjYawVc0O-7Y</t>
        </is>
      </c>
      <c r="K266" s="4" t="inlineStr">
        <is>
          <t>R. Antônio Maria Coelho, 4919 - Santa Fe, Campo Grande - MS, 79021-170, Brasil</t>
        </is>
      </c>
      <c r="L266" s="4" t="inlineStr">
        <is>
          <t>Campo Grande</t>
        </is>
      </c>
      <c r="M266" s="5" t="n">
        <v>1</v>
      </c>
    </row>
    <row r="267">
      <c r="A267" s="3">
        <f>RAND()</f>
        <v/>
      </c>
      <c r="B267" s="4" t="inlineStr">
        <is>
          <t>ChIJiYLfumbnhpQRqg6aAt4c8OM</t>
        </is>
      </c>
      <c r="C267" s="4" t="inlineStr">
        <is>
          <t>Selma Collections &amp; Miniaturas</t>
        </is>
      </c>
      <c r="D267" s="4" t="inlineStr">
        <is>
          <t>Campo Grande</t>
        </is>
      </c>
      <c r="E267" s="4" t="inlineStr">
        <is>
          <t>MS</t>
        </is>
      </c>
      <c r="F267" s="4" t="inlineStr">
        <is>
          <t>Capitais Regionais A</t>
        </is>
      </c>
      <c r="G267" s="4" t="inlineStr">
        <is>
          <t>Capital regional</t>
        </is>
      </c>
      <c r="H267" s="5">
        <f>IF(G267="fora do recorte","",SUMPRODUCT(($G$3:$G$1723=G267)*($A$3:$A$1723&lt;=A267)))</f>
        <v/>
      </c>
      <c r="I267" s="4">
        <f>IF(H267="","",G267&amp;"|"&amp;H267)</f>
        <v/>
      </c>
      <c r="J267" s="4" t="inlineStr">
        <is>
          <t>https://www.google.com/maps/search/?api=1&amp;query=Selma%20Collections%20%26%20Miniaturas&amp;query_place_id=ChIJiYLfumbnhpQRqg6aAt4c8OM</t>
        </is>
      </c>
      <c r="K267" s="4" t="inlineStr">
        <is>
          <t>Rua 14 de Julho, 3351 - Lj 03 e 04 - Centro, Campo Grande - MS, 79002-333, Brasil</t>
        </is>
      </c>
      <c r="L267" s="4" t="inlineStr">
        <is>
          <t>Campo Grande</t>
        </is>
      </c>
      <c r="M267" s="5" t="n">
        <v>1</v>
      </c>
    </row>
    <row r="268">
      <c r="A268" s="3">
        <f>RAND()</f>
        <v/>
      </c>
      <c r="B268" s="4" t="inlineStr">
        <is>
          <t>ChIJi2FlTiPmhpQR1n5cELoitYg</t>
        </is>
      </c>
      <c r="C268" s="4" t="inlineStr">
        <is>
          <t>Shop Tudo Papelaria</t>
        </is>
      </c>
      <c r="D268" s="4" t="inlineStr">
        <is>
          <t>Campo Grande</t>
        </is>
      </c>
      <c r="E268" s="4" t="inlineStr">
        <is>
          <t>MS</t>
        </is>
      </c>
      <c r="F268" s="4" t="inlineStr">
        <is>
          <t>Capitais Regionais A</t>
        </is>
      </c>
      <c r="G268" s="4" t="inlineStr">
        <is>
          <t>Capital regional</t>
        </is>
      </c>
      <c r="H268" s="5">
        <f>IF(G268="fora do recorte","",SUMPRODUCT(($G$3:$G$1723=G268)*($A$3:$A$1723&lt;=A268)))</f>
        <v/>
      </c>
      <c r="I268" s="4">
        <f>IF(H268="","",G268&amp;"|"&amp;H268)</f>
        <v/>
      </c>
      <c r="J268" s="4" t="inlineStr">
        <is>
          <t>https://www.google.com/maps/search/?api=1&amp;query=Shop%20Tudo%20Papelaria&amp;query_place_id=ChIJi2FlTiPmhpQR1n5cELoitYg</t>
        </is>
      </c>
      <c r="K268" s="4" t="inlineStr">
        <is>
          <t>R. Dom Aquino, 1248 - Centro, Campo Grande - MS, 79002-180, Brasil</t>
        </is>
      </c>
      <c r="L268" s="4" t="inlineStr">
        <is>
          <t>Campo Grande</t>
        </is>
      </c>
      <c r="M268" s="5" t="n">
        <v>1</v>
      </c>
    </row>
    <row r="269">
      <c r="A269" s="3">
        <f>RAND()</f>
        <v/>
      </c>
      <c r="B269" s="4" t="inlineStr">
        <is>
          <t>ChIJcaEgFGTvhpQRFFP1penRu8Y</t>
        </is>
      </c>
      <c r="C269" s="4" t="inlineStr">
        <is>
          <t>Sparta Games</t>
        </is>
      </c>
      <c r="D269" s="4" t="inlineStr">
        <is>
          <t>Campo Grande</t>
        </is>
      </c>
      <c r="E269" s="4" t="inlineStr">
        <is>
          <t>MS</t>
        </is>
      </c>
      <c r="F269" s="4" t="inlineStr">
        <is>
          <t>Capitais Regionais A</t>
        </is>
      </c>
      <c r="G269" s="4" t="inlineStr">
        <is>
          <t>Capital regional</t>
        </is>
      </c>
      <c r="H269" s="5">
        <f>IF(G269="fora do recorte","",SUMPRODUCT(($G$3:$G$1723=G269)*($A$3:$A$1723&lt;=A269)))</f>
        <v/>
      </c>
      <c r="I269" s="4">
        <f>IF(H269="","",G269&amp;"|"&amp;H269)</f>
        <v/>
      </c>
      <c r="J269" s="4" t="inlineStr">
        <is>
          <t>https://www.google.com/maps/search/?api=1&amp;query=Sparta%20Games&amp;query_place_id=ChIJcaEgFGTvhpQRFFP1penRu8Y</t>
        </is>
      </c>
      <c r="K269" s="4" t="inlineStr">
        <is>
          <t>R. Frederico Fellini, 31 - Res. Betaville, Campo Grande - MS, 79060-332, Brasil</t>
        </is>
      </c>
      <c r="L269" s="4" t="inlineStr">
        <is>
          <t>Campo Grande</t>
        </is>
      </c>
      <c r="M269" s="5" t="n">
        <v>1</v>
      </c>
    </row>
    <row r="270">
      <c r="A270" s="3">
        <f>RAND()</f>
        <v/>
      </c>
      <c r="B270" s="4" t="inlineStr">
        <is>
          <t>ChIJ34rGmQbphpQRUxxSvEBAztw</t>
        </is>
      </c>
      <c r="C270" s="4" t="inlineStr">
        <is>
          <t>Super Divertidoos</t>
        </is>
      </c>
      <c r="D270" s="4" t="inlineStr">
        <is>
          <t>Campo Grande</t>
        </is>
      </c>
      <c r="E270" s="4" t="inlineStr">
        <is>
          <t>MS</t>
        </is>
      </c>
      <c r="F270" s="4" t="inlineStr">
        <is>
          <t>Capitais Regionais A</t>
        </is>
      </c>
      <c r="G270" s="4" t="inlineStr">
        <is>
          <t>Capital regional</t>
        </is>
      </c>
      <c r="H270" s="5">
        <f>IF(G270="fora do recorte","",SUMPRODUCT(($G$3:$G$1723=G270)*($A$3:$A$1723&lt;=A270)))</f>
        <v/>
      </c>
      <c r="I270" s="4">
        <f>IF(H270="","",G270&amp;"|"&amp;H270)</f>
        <v/>
      </c>
      <c r="J270" s="4" t="inlineStr">
        <is>
          <t>https://www.google.com/maps/search/?api=1&amp;query=Super%20Divertidoos&amp;query_place_id=ChIJ34rGmQbphpQRUxxSvEBAztw</t>
        </is>
      </c>
      <c r="K270" s="4" t="inlineStr">
        <is>
          <t>R. Dr. Arthur Jorge, 2022 - Monte Castelo, Campo Grande - MS, 79010-060, Brasil</t>
        </is>
      </c>
      <c r="L270" s="4" t="inlineStr">
        <is>
          <t>Campo Grande</t>
        </is>
      </c>
      <c r="M270" s="5" t="n">
        <v>1</v>
      </c>
    </row>
    <row r="271">
      <c r="A271" s="3">
        <f>RAND()</f>
        <v/>
      </c>
      <c r="B271" s="4" t="inlineStr">
        <is>
          <t>ChIJ-_ohMrTohpQR1luFD81Hkno</t>
        </is>
      </c>
      <c r="C271" s="4" t="inlineStr">
        <is>
          <t>TR8 Jogos e Acessórios</t>
        </is>
      </c>
      <c r="D271" s="4" t="inlineStr">
        <is>
          <t>Campo Grande</t>
        </is>
      </c>
      <c r="E271" s="4" t="inlineStr">
        <is>
          <t>MS</t>
        </is>
      </c>
      <c r="F271" s="4" t="inlineStr">
        <is>
          <t>Capitais Regionais A</t>
        </is>
      </c>
      <c r="G271" s="4" t="inlineStr">
        <is>
          <t>Capital regional</t>
        </is>
      </c>
      <c r="H271" s="5">
        <f>IF(G271="fora do recorte","",SUMPRODUCT(($G$3:$G$1723=G271)*($A$3:$A$1723&lt;=A271)))</f>
        <v/>
      </c>
      <c r="I271" s="4">
        <f>IF(H271="","",G271&amp;"|"&amp;H271)</f>
        <v/>
      </c>
      <c r="J271" s="4" t="inlineStr">
        <is>
          <t>https://www.google.com/maps/search/?api=1&amp;query=TR8%20Jogos%20e%20Acess%C3%B3rios&amp;query_place_id=ChIJ-_ohMrTohpQR1luFD81Hkno</t>
        </is>
      </c>
      <c r="K271" s="4" t="inlineStr">
        <is>
          <t>Av. Eduardo Elias Zahran, 2757 - Vila Antonio Vendas, Campo Grande - MS, 79003-000, Brasil</t>
        </is>
      </c>
      <c r="L271" s="4" t="inlineStr">
        <is>
          <t>Campo Grande</t>
        </is>
      </c>
      <c r="M271" s="5" t="n">
        <v>2</v>
      </c>
    </row>
    <row r="272">
      <c r="A272" s="3">
        <f>RAND()</f>
        <v/>
      </c>
      <c r="B272" s="4" t="inlineStr">
        <is>
          <t>ChIJ47hgAMDphpQRJUVnUhW3wZs</t>
        </is>
      </c>
      <c r="C272" s="4" t="inlineStr">
        <is>
          <t>Tatu Bola Bar</t>
        </is>
      </c>
      <c r="D272" s="4" t="inlineStr">
        <is>
          <t>Campo Grande</t>
        </is>
      </c>
      <c r="E272" s="4" t="inlineStr">
        <is>
          <t>MS</t>
        </is>
      </c>
      <c r="F272" s="4" t="inlineStr">
        <is>
          <t>Capitais Regionais A</t>
        </is>
      </c>
      <c r="G272" s="4" t="inlineStr">
        <is>
          <t>Capital regional</t>
        </is>
      </c>
      <c r="H272" s="5">
        <f>IF(G272="fora do recorte","",SUMPRODUCT(($G$3:$G$1723=G272)*($A$3:$A$1723&lt;=A272)))</f>
        <v/>
      </c>
      <c r="I272" s="4">
        <f>IF(H272="","",G272&amp;"|"&amp;H272)</f>
        <v/>
      </c>
      <c r="J272" s="4" t="inlineStr">
        <is>
          <t>https://www.google.com/maps/search/?api=1&amp;query=Tatu%20Bola%20Bar&amp;query_place_id=ChIJ47hgAMDphpQRJUVnUhW3wZs</t>
        </is>
      </c>
      <c r="K272" s="4" t="inlineStr">
        <is>
          <t>R. Espírito Santo, 851 - Jardim dos Estados, Campo Grande - MS, 79321-788, Brasil</t>
        </is>
      </c>
      <c r="L272" s="4" t="inlineStr">
        <is>
          <t>Campo Grande</t>
        </is>
      </c>
      <c r="M272" s="5" t="n">
        <v>2</v>
      </c>
    </row>
    <row r="273">
      <c r="A273" s="3">
        <f>RAND()</f>
        <v/>
      </c>
      <c r="B273" s="4" t="inlineStr">
        <is>
          <t>ChIJKQ77hZnohpQRX5uXtEyxA9k</t>
        </is>
      </c>
      <c r="C273" s="4" t="inlineStr">
        <is>
          <t>Territorio Ristorante</t>
        </is>
      </c>
      <c r="D273" s="4" t="inlineStr">
        <is>
          <t>Campo Grande</t>
        </is>
      </c>
      <c r="E273" s="4" t="inlineStr">
        <is>
          <t>MS</t>
        </is>
      </c>
      <c r="F273" s="4" t="inlineStr">
        <is>
          <t>Capitais Regionais A</t>
        </is>
      </c>
      <c r="G273" s="4" t="inlineStr">
        <is>
          <t>Capital regional</t>
        </is>
      </c>
      <c r="H273" s="5">
        <f>IF(G273="fora do recorte","",SUMPRODUCT(($G$3:$G$1723=G273)*($A$3:$A$1723&lt;=A273)))</f>
        <v/>
      </c>
      <c r="I273" s="4">
        <f>IF(H273="","",G273&amp;"|"&amp;H273)</f>
        <v/>
      </c>
      <c r="J273" s="4" t="inlineStr">
        <is>
          <t>https://www.google.com/maps/search/?api=1&amp;query=Territorio%20Ristorante&amp;query_place_id=ChIJKQ77hZnohpQRX5uXtEyxA9k</t>
        </is>
      </c>
      <c r="K273" s="4" t="inlineStr">
        <is>
          <t>R. Euclides da Cunha, 485 - Centro, Campo Grande - MS, 79020-230, Brasil</t>
        </is>
      </c>
      <c r="L273" s="4" t="inlineStr">
        <is>
          <t>Campo Grande</t>
        </is>
      </c>
      <c r="M273" s="5" t="n">
        <v>1</v>
      </c>
    </row>
    <row r="274">
      <c r="A274" s="3">
        <f>RAND()</f>
        <v/>
      </c>
      <c r="B274" s="4" t="inlineStr">
        <is>
          <t>ChIJVRF6tXXnhpQRZIYV0HvJFfU</t>
        </is>
      </c>
      <c r="C274" s="4" t="inlineStr">
        <is>
          <t>V2 Imports Camelôdromo Box 106 games e Eletrônicos</t>
        </is>
      </c>
      <c r="D274" s="4" t="inlineStr">
        <is>
          <t>Campo Grande</t>
        </is>
      </c>
      <c r="E274" s="4" t="inlineStr">
        <is>
          <t>MS</t>
        </is>
      </c>
      <c r="F274" s="4" t="inlineStr">
        <is>
          <t>Capitais Regionais A</t>
        </is>
      </c>
      <c r="G274" s="4" t="inlineStr">
        <is>
          <t>Capital regional</t>
        </is>
      </c>
      <c r="H274" s="5">
        <f>IF(G274="fora do recorte","",SUMPRODUCT(($G$3:$G$1723=G274)*($A$3:$A$1723&lt;=A274)))</f>
        <v/>
      </c>
      <c r="I274" s="4">
        <f>IF(H274="","",G274&amp;"|"&amp;H274)</f>
        <v/>
      </c>
      <c r="J274" s="4" t="inlineStr">
        <is>
          <t>https://www.google.com/maps/search/?api=1&amp;query=V2%20Imports%20Camel%C3%B4dromo%20Box%20106%20games%20e%20Eletr%C3%B4nicos&amp;query_place_id=ChIJVRF6tXXnhpQRZIYV0HvJFfU</t>
        </is>
      </c>
      <c r="K274" s="4" t="inlineStr">
        <is>
          <t>Av. Noroeste, 5199 - BOX 106 - Centro, Campo Grande - MS, 79002-011, Brasil</t>
        </is>
      </c>
      <c r="L274" s="4" t="inlineStr">
        <is>
          <t>Campo Grande</t>
        </is>
      </c>
      <c r="M274" s="5" t="n">
        <v>1</v>
      </c>
    </row>
    <row r="275">
      <c r="A275" s="3">
        <f>RAND()</f>
        <v/>
      </c>
      <c r="B275" s="4" t="inlineStr">
        <is>
          <t>ChIJ7Sfr2NXphpQR4bTZtqFiy3g</t>
        </is>
      </c>
      <c r="C275" s="4" t="inlineStr">
        <is>
          <t>YouPlay Shopping Campo Grande</t>
        </is>
      </c>
      <c r="D275" s="4" t="inlineStr">
        <is>
          <t>Campo Grande</t>
        </is>
      </c>
      <c r="E275" s="4" t="inlineStr">
        <is>
          <t>MS</t>
        </is>
      </c>
      <c r="F275" s="4" t="inlineStr">
        <is>
          <t>Capitais Regionais A</t>
        </is>
      </c>
      <c r="G275" s="4" t="inlineStr">
        <is>
          <t>Capital regional</t>
        </is>
      </c>
      <c r="H275" s="5">
        <f>IF(G275="fora do recorte","",SUMPRODUCT(($G$3:$G$1723=G275)*($A$3:$A$1723&lt;=A275)))</f>
        <v/>
      </c>
      <c r="I275" s="4">
        <f>IF(H275="","",G275&amp;"|"&amp;H275)</f>
        <v/>
      </c>
      <c r="J275" s="4" t="inlineStr">
        <is>
          <t>https://www.google.com/maps/search/?api=1&amp;query=YouPlay%20Shopping%20Campo%20Grande&amp;query_place_id=ChIJ7Sfr2NXphpQR4bTZtqFiy3g</t>
        </is>
      </c>
      <c r="K275" s="4" t="inlineStr">
        <is>
          <t>Av. Afonso Pena, 4909 - Santa Fe, Campo Grande - MS, 79031-900, Brasil</t>
        </is>
      </c>
      <c r="L275" s="4" t="inlineStr">
        <is>
          <t>Campo Grande</t>
        </is>
      </c>
      <c r="M275" s="5" t="n">
        <v>1</v>
      </c>
    </row>
    <row r="276">
      <c r="A276" s="3">
        <f>RAND()</f>
        <v/>
      </c>
      <c r="B276" s="4" t="inlineStr">
        <is>
          <t>ChIJg3PocFrphpQRk4P4X525vxo</t>
        </is>
      </c>
      <c r="C276" s="4" t="inlineStr">
        <is>
          <t>YuuP! Play</t>
        </is>
      </c>
      <c r="D276" s="4" t="inlineStr">
        <is>
          <t>Campo Grande</t>
        </is>
      </c>
      <c r="E276" s="4" t="inlineStr">
        <is>
          <t>MS</t>
        </is>
      </c>
      <c r="F276" s="4" t="inlineStr">
        <is>
          <t>Capitais Regionais A</t>
        </is>
      </c>
      <c r="G276" s="4" t="inlineStr">
        <is>
          <t>Capital regional</t>
        </is>
      </c>
      <c r="H276" s="5">
        <f>IF(G276="fora do recorte","",SUMPRODUCT(($G$3:$G$1723=G276)*($A$3:$A$1723&lt;=A276)))</f>
        <v/>
      </c>
      <c r="I276" s="4">
        <f>IF(H276="","",G276&amp;"|"&amp;H276)</f>
        <v/>
      </c>
      <c r="J276" s="4" t="inlineStr">
        <is>
          <t>https://www.google.com/maps/search/?api=1&amp;query=YuuP%21%20Play&amp;query_place_id=ChIJg3PocFrphpQRk4P4X525vxo</t>
        </is>
      </c>
      <c r="K276" s="4" t="inlineStr">
        <is>
          <t>Av. Afonso Pena, 4909 - Santa Fe, Campo Grande - MS, 79031-900, Brasil</t>
        </is>
      </c>
      <c r="L276" s="4" t="inlineStr">
        <is>
          <t>Campo Grande</t>
        </is>
      </c>
      <c r="M276" s="5" t="n">
        <v>1</v>
      </c>
    </row>
    <row r="277">
      <c r="A277" s="3">
        <f>RAND()</f>
        <v/>
      </c>
      <c r="B277" s="4" t="inlineStr">
        <is>
          <t>ChIJjQuJRD2xnZMRc4PT48sJtDg</t>
        </is>
      </c>
      <c r="C277" s="4" t="inlineStr">
        <is>
          <t>77 Gastro Pub Restaurante e Lanchonete</t>
        </is>
      </c>
      <c r="D277" s="4" t="inlineStr">
        <is>
          <t>Cuiabá</t>
        </is>
      </c>
      <c r="E277" s="4" t="inlineStr">
        <is>
          <t>MT</t>
        </is>
      </c>
      <c r="F277" s="4" t="inlineStr">
        <is>
          <t>Capitais Regionais A</t>
        </is>
      </c>
      <c r="G277" s="4" t="inlineStr">
        <is>
          <t>Capital regional</t>
        </is>
      </c>
      <c r="H277" s="5">
        <f>IF(G277="fora do recorte","",SUMPRODUCT(($G$3:$G$1723=G277)*($A$3:$A$1723&lt;=A277)))</f>
        <v/>
      </c>
      <c r="I277" s="4">
        <f>IF(H277="","",G277&amp;"|"&amp;H277)</f>
        <v/>
      </c>
      <c r="J277" s="4" t="inlineStr">
        <is>
          <t>https://www.google.com/maps/search/?api=1&amp;query=77%20Gastro%20Pub%20Restaurante%20e%20Lanchonete&amp;query_place_id=ChIJjQuJRD2xnZMRc4PT48sJtDg</t>
        </is>
      </c>
      <c r="K277" s="4" t="inlineStr">
        <is>
          <t>Av. Érico Preza, 13 - Jardim Itália, Cuiabá - MT, 78060-758, Brasil</t>
        </is>
      </c>
      <c r="L277" s="4" t="inlineStr">
        <is>
          <t>Cuiabá</t>
        </is>
      </c>
      <c r="M277" s="5" t="n">
        <v>1</v>
      </c>
    </row>
    <row r="278">
      <c r="A278" s="3">
        <f>RAND()</f>
        <v/>
      </c>
      <c r="B278" s="4" t="inlineStr">
        <is>
          <t>ChIJKfNwfJSxnZMRfpBE1Onme6Y</t>
        </is>
      </c>
      <c r="C278" s="4" t="inlineStr">
        <is>
          <t>Americanas</t>
        </is>
      </c>
      <c r="D278" s="4" t="inlineStr">
        <is>
          <t>Cuiabá</t>
        </is>
      </c>
      <c r="E278" s="4" t="inlineStr">
        <is>
          <t>MT</t>
        </is>
      </c>
      <c r="F278" s="4" t="inlineStr">
        <is>
          <t>Capitais Regionais A</t>
        </is>
      </c>
      <c r="G278" s="4" t="inlineStr">
        <is>
          <t>Capital regional</t>
        </is>
      </c>
      <c r="H278" s="5">
        <f>IF(G278="fora do recorte","",SUMPRODUCT(($G$3:$G$1723=G278)*($A$3:$A$1723&lt;=A278)))</f>
        <v/>
      </c>
      <c r="I278" s="4">
        <f>IF(H278="","",G278&amp;"|"&amp;H278)</f>
        <v/>
      </c>
      <c r="J278" s="4" t="inlineStr">
        <is>
          <t>https://www.google.com/maps/search/?api=1&amp;query=Americanas&amp;query_place_id=ChIJKfNwfJSxnZMRfpBE1Onme6Y</t>
        </is>
      </c>
      <c r="K278" s="4" t="inlineStr">
        <is>
          <t>R. Joaquim Murtinho, 196 - Centro Norte, Cuiabá - MT, 78005-290, Brasil</t>
        </is>
      </c>
      <c r="L278" s="4" t="inlineStr">
        <is>
          <t>Cuiabá</t>
        </is>
      </c>
      <c r="M278" s="5" t="n">
        <v>1</v>
      </c>
    </row>
    <row r="279">
      <c r="A279" s="3">
        <f>RAND()</f>
        <v/>
      </c>
      <c r="B279" s="4" t="inlineStr">
        <is>
          <t>ChIJF_rDGxCxnZMR1w8Od1JIXUQ</t>
        </is>
      </c>
      <c r="C279" s="4" t="inlineStr">
        <is>
          <t>Bar das Águas</t>
        </is>
      </c>
      <c r="D279" s="4" t="inlineStr">
        <is>
          <t>Cuiabá</t>
        </is>
      </c>
      <c r="E279" s="4" t="inlineStr">
        <is>
          <t>MT</t>
        </is>
      </c>
      <c r="F279" s="4" t="inlineStr">
        <is>
          <t>Capitais Regionais A</t>
        </is>
      </c>
      <c r="G279" s="4" t="inlineStr">
        <is>
          <t>Capital regional</t>
        </is>
      </c>
      <c r="H279" s="5">
        <f>IF(G279="fora do recorte","",SUMPRODUCT(($G$3:$G$1723=G279)*($A$3:$A$1723&lt;=A279)))</f>
        <v/>
      </c>
      <c r="I279" s="4">
        <f>IF(H279="","",G279&amp;"|"&amp;H279)</f>
        <v/>
      </c>
      <c r="J279" s="4" t="inlineStr">
        <is>
          <t>https://www.google.com/maps/search/?api=1&amp;query=Bar%20das%20%C3%81guas&amp;query_place_id=ChIJF_rDGxCxnZMR1w8Od1JIXUQ</t>
        </is>
      </c>
      <c r="K279" s="4" t="inlineStr">
        <is>
          <t>Av. Hermina Torquarto da Silva - Centro Político Administrativo, Cuiabá - MT, 78048-250, Brasil</t>
        </is>
      </c>
      <c r="L279" s="4" t="inlineStr">
        <is>
          <t>Cuiabá</t>
        </is>
      </c>
      <c r="M279" s="5" t="n">
        <v>1</v>
      </c>
    </row>
    <row r="280">
      <c r="A280" s="3">
        <f>RAND()</f>
        <v/>
      </c>
      <c r="B280" s="4" t="inlineStr">
        <is>
          <t>ChIJpe2BhSOynZMRyriL0sE8wPg</t>
        </is>
      </c>
      <c r="C280" s="4" t="inlineStr">
        <is>
          <t>Bar do Edgare</t>
        </is>
      </c>
      <c r="D280" s="4" t="inlineStr">
        <is>
          <t>Cuiabá</t>
        </is>
      </c>
      <c r="E280" s="4" t="inlineStr">
        <is>
          <t>MT</t>
        </is>
      </c>
      <c r="F280" s="4" t="inlineStr">
        <is>
          <t>Capitais Regionais A</t>
        </is>
      </c>
      <c r="G280" s="4" t="inlineStr">
        <is>
          <t>Capital regional</t>
        </is>
      </c>
      <c r="H280" s="5">
        <f>IF(G280="fora do recorte","",SUMPRODUCT(($G$3:$G$1723=G280)*($A$3:$A$1723&lt;=A280)))</f>
        <v/>
      </c>
      <c r="I280" s="4">
        <f>IF(H280="","",G280&amp;"|"&amp;H280)</f>
        <v/>
      </c>
      <c r="J280" s="4" t="inlineStr">
        <is>
          <t>https://www.google.com/maps/search/?api=1&amp;query=Bar%20do%20Edgare&amp;query_place_id=ChIJpe2BhSOynZMRyriL0sE8wPg</t>
        </is>
      </c>
      <c r="K280" s="4" t="inlineStr">
        <is>
          <t>Rua Traçaia, 280 - Jardim Primavera, Cuiabá - MT, 78030-200, Brasil</t>
        </is>
      </c>
      <c r="L280" s="4" t="inlineStr">
        <is>
          <t>Cuiabá</t>
        </is>
      </c>
      <c r="M280" s="5" t="n">
        <v>1</v>
      </c>
    </row>
    <row r="281">
      <c r="A281" s="3">
        <f>RAND()</f>
        <v/>
      </c>
      <c r="B281" s="4" t="inlineStr">
        <is>
          <t>ChIJPYMeL3OxnZMRm-iPrOiCLD0</t>
        </is>
      </c>
      <c r="C281" s="4" t="inlineStr">
        <is>
          <t>Bear Brothers Cards And Games</t>
        </is>
      </c>
      <c r="D281" s="4" t="inlineStr">
        <is>
          <t>Cuiabá</t>
        </is>
      </c>
      <c r="E281" s="4" t="inlineStr">
        <is>
          <t>MT</t>
        </is>
      </c>
      <c r="F281" s="4" t="inlineStr">
        <is>
          <t>Capitais Regionais A</t>
        </is>
      </c>
      <c r="G281" s="4" t="inlineStr">
        <is>
          <t>Capital regional</t>
        </is>
      </c>
      <c r="H281" s="5">
        <f>IF(G281="fora do recorte","",SUMPRODUCT(($G$3:$G$1723=G281)*($A$3:$A$1723&lt;=A281)))</f>
        <v/>
      </c>
      <c r="I281" s="4">
        <f>IF(H281="","",G281&amp;"|"&amp;H281)</f>
        <v/>
      </c>
      <c r="J281" s="4" t="inlineStr">
        <is>
          <t>https://www.google.com/maps/search/?api=1&amp;query=Bear%20Brothers%20Cards%20And%20Games&amp;query_place_id=ChIJPYMeL3OxnZMRm-iPrOiCLD0</t>
        </is>
      </c>
      <c r="K281" s="4" t="inlineStr">
        <is>
          <t>Rua Desembargador Trigo de Loureiro, 694 - Consil, Cuiabá - MT, 78048-455, Brasil</t>
        </is>
      </c>
      <c r="L281" s="4" t="inlineStr">
        <is>
          <t>Cuiabá</t>
        </is>
      </c>
      <c r="M281" s="5" t="n">
        <v>2</v>
      </c>
    </row>
    <row r="282">
      <c r="A282" s="3">
        <f>RAND()</f>
        <v/>
      </c>
      <c r="B282" s="4" t="inlineStr">
        <is>
          <t>ChIJm7oQx7yxnZMRqjI_taeZ_Rs</t>
        </is>
      </c>
      <c r="C282" s="4" t="inlineStr">
        <is>
          <t>COPO LIMPO BIKE BEER</t>
        </is>
      </c>
      <c r="D282" s="4" t="inlineStr">
        <is>
          <t>Cuiabá</t>
        </is>
      </c>
      <c r="E282" s="4" t="inlineStr">
        <is>
          <t>MT</t>
        </is>
      </c>
      <c r="F282" s="4" t="inlineStr">
        <is>
          <t>Capitais Regionais A</t>
        </is>
      </c>
      <c r="G282" s="4" t="inlineStr">
        <is>
          <t>Capital regional</t>
        </is>
      </c>
      <c r="H282" s="5">
        <f>IF(G282="fora do recorte","",SUMPRODUCT(($G$3:$G$1723=G282)*($A$3:$A$1723&lt;=A282)))</f>
        <v/>
      </c>
      <c r="I282" s="4">
        <f>IF(H282="","",G282&amp;"|"&amp;H282)</f>
        <v/>
      </c>
      <c r="J282" s="4" t="inlineStr">
        <is>
          <t>https://www.google.com/maps/search/?api=1&amp;query=COPO%20LIMPO%20BIKE%20BEER&amp;query_place_id=ChIJm7oQx7yxnZMRqjI_taeZ_Rs</t>
        </is>
      </c>
      <c r="K282" s="4" t="inlineStr">
        <is>
          <t>Av. dos Florais - Ribeirão do Lipa, Cuiabá - MT, 78049-414, Brasil</t>
        </is>
      </c>
      <c r="L282" s="4" t="inlineStr">
        <is>
          <t>Cuiabá</t>
        </is>
      </c>
      <c r="M282" s="5" t="n">
        <v>1</v>
      </c>
    </row>
    <row r="283">
      <c r="A283" s="3">
        <f>RAND()</f>
        <v/>
      </c>
      <c r="B283" s="4" t="inlineStr">
        <is>
          <t>ChIJeRUCidixnZMRSuu2jX1qkLw</t>
        </is>
      </c>
      <c r="C283" s="4" t="inlineStr">
        <is>
          <t>COPO SUJO BAR</t>
        </is>
      </c>
      <c r="D283" s="4" t="inlineStr">
        <is>
          <t>Cuiabá</t>
        </is>
      </c>
      <c r="E283" s="4" t="inlineStr">
        <is>
          <t>MT</t>
        </is>
      </c>
      <c r="F283" s="4" t="inlineStr">
        <is>
          <t>Capitais Regionais A</t>
        </is>
      </c>
      <c r="G283" s="4" t="inlineStr">
        <is>
          <t>Capital regional</t>
        </is>
      </c>
      <c r="H283" s="5">
        <f>IF(G283="fora do recorte","",SUMPRODUCT(($G$3:$G$1723=G283)*($A$3:$A$1723&lt;=A283)))</f>
        <v/>
      </c>
      <c r="I283" s="4">
        <f>IF(H283="","",G283&amp;"|"&amp;H283)</f>
        <v/>
      </c>
      <c r="J283" s="4" t="inlineStr">
        <is>
          <t>https://www.google.com/maps/search/?api=1&amp;query=COPO%20SUJO%20BAR&amp;query_place_id=ChIJeRUCidixnZMRSuu2jX1qkLw</t>
        </is>
      </c>
      <c r="K283" s="4" t="inlineStr">
        <is>
          <t>Av. Gov. Jose Fragelli, 423 - Jardim Paulista, Cuiabá - MT, 78065-345, Brasil</t>
        </is>
      </c>
      <c r="L283" s="4" t="inlineStr">
        <is>
          <t>Cuiabá</t>
        </is>
      </c>
      <c r="M283" s="5" t="n">
        <v>2</v>
      </c>
    </row>
    <row r="284">
      <c r="A284" s="3">
        <f>RAND()</f>
        <v/>
      </c>
      <c r="B284" s="4" t="inlineStr">
        <is>
          <t>ChIJHTa0LiOvnZMR_pUYlmBlUk4</t>
        </is>
      </c>
      <c r="C284" s="4" t="inlineStr">
        <is>
          <t>Caveira Cerveja</t>
        </is>
      </c>
      <c r="D284" s="4" t="inlineStr">
        <is>
          <t>Cuiabá</t>
        </is>
      </c>
      <c r="E284" s="4" t="inlineStr">
        <is>
          <t>MT</t>
        </is>
      </c>
      <c r="F284" s="4" t="inlineStr">
        <is>
          <t>Capitais Regionais A</t>
        </is>
      </c>
      <c r="G284" s="4" t="inlineStr">
        <is>
          <t>Capital regional</t>
        </is>
      </c>
      <c r="H284" s="5">
        <f>IF(G284="fora do recorte","",SUMPRODUCT(($G$3:$G$1723=G284)*($A$3:$A$1723&lt;=A284)))</f>
        <v/>
      </c>
      <c r="I284" s="4">
        <f>IF(H284="","",G284&amp;"|"&amp;H284)</f>
        <v/>
      </c>
      <c r="J284" s="4" t="inlineStr">
        <is>
          <t>https://www.google.com/maps/search/?api=1&amp;query=Caveira%20Cerveja&amp;query_place_id=ChIJHTa0LiOvnZMR_pUYlmBlUk4</t>
        </is>
      </c>
      <c r="K284" s="4" t="inlineStr">
        <is>
          <t>via principal 1, 173 - Jardim Universitario, Cuiabá - MT, 78075-610, Brasil</t>
        </is>
      </c>
      <c r="L284" s="4" t="inlineStr">
        <is>
          <t>Cuiabá</t>
        </is>
      </c>
      <c r="M284" s="5" t="n">
        <v>1</v>
      </c>
    </row>
    <row r="285">
      <c r="A285" s="3">
        <f>RAND()</f>
        <v/>
      </c>
      <c r="B285" s="4" t="inlineStr">
        <is>
          <t>ChIJZ1nch_SxnZMROIdInVnj218</t>
        </is>
      </c>
      <c r="C285" s="4" t="inlineStr">
        <is>
          <t>Cervejaria LaCerva</t>
        </is>
      </c>
      <c r="D285" s="4" t="inlineStr">
        <is>
          <t>Cuiabá</t>
        </is>
      </c>
      <c r="E285" s="4" t="inlineStr">
        <is>
          <t>MT</t>
        </is>
      </c>
      <c r="F285" s="4" t="inlineStr">
        <is>
          <t>Capitais Regionais A</t>
        </is>
      </c>
      <c r="G285" s="4" t="inlineStr">
        <is>
          <t>Capital regional</t>
        </is>
      </c>
      <c r="H285" s="5">
        <f>IF(G285="fora do recorte","",SUMPRODUCT(($G$3:$G$1723=G285)*($A$3:$A$1723&lt;=A285)))</f>
        <v/>
      </c>
      <c r="I285" s="4">
        <f>IF(H285="","",G285&amp;"|"&amp;H285)</f>
        <v/>
      </c>
      <c r="J285" s="4" t="inlineStr">
        <is>
          <t>https://www.google.com/maps/search/?api=1&amp;query=Cervejaria%20LaCerva&amp;query_place_id=ChIJZ1nch_SxnZMROIdInVnj218</t>
        </is>
      </c>
      <c r="K285" s="4" t="inlineStr">
        <is>
          <t>Avenida das Torres nr 775 - Santa Cruz II, Cuiabá - MT, 78077-001, Brasil</t>
        </is>
      </c>
      <c r="L285" s="4" t="inlineStr">
        <is>
          <t>Cuiabá</t>
        </is>
      </c>
      <c r="M285" s="5" t="n">
        <v>2</v>
      </c>
    </row>
    <row r="286">
      <c r="A286" s="3">
        <f>RAND()</f>
        <v/>
      </c>
      <c r="B286" s="4" t="inlineStr">
        <is>
          <t>ChIJgVx_m4mxnZMRXou3icQTe48</t>
        </is>
      </c>
      <c r="C286" s="4" t="inlineStr">
        <is>
          <t>Clínica FITS</t>
        </is>
      </c>
      <c r="D286" s="4" t="inlineStr">
        <is>
          <t>Cuiabá</t>
        </is>
      </c>
      <c r="E286" s="4" t="inlineStr">
        <is>
          <t>MT</t>
        </is>
      </c>
      <c r="F286" s="4" t="inlineStr">
        <is>
          <t>Capitais Regionais A</t>
        </is>
      </c>
      <c r="G286" s="4" t="inlineStr">
        <is>
          <t>Capital regional</t>
        </is>
      </c>
      <c r="H286" s="5">
        <f>IF(G286="fora do recorte","",SUMPRODUCT(($G$3:$G$1723=G286)*($A$3:$A$1723&lt;=A286)))</f>
        <v/>
      </c>
      <c r="I286" s="4">
        <f>IF(H286="","",G286&amp;"|"&amp;H286)</f>
        <v/>
      </c>
      <c r="J286" s="4" t="inlineStr">
        <is>
          <t>https://www.google.com/maps/search/?api=1&amp;query=Cl%C3%ADnica%20FITS&amp;query_place_id=ChIJgVx_m4mxnZMRXou3icQTe48</t>
        </is>
      </c>
      <c r="K286" s="4" t="inlineStr">
        <is>
          <t>R. Alm. Pedro Álvares Cabral, 181 - Jardim Cuiaba, Cuiabá - MT, 78043-210, Brasil</t>
        </is>
      </c>
      <c r="L286" s="4" t="inlineStr">
        <is>
          <t>Cuiabá</t>
        </is>
      </c>
      <c r="M286" s="5" t="n">
        <v>1</v>
      </c>
    </row>
    <row r="287">
      <c r="A287" s="3">
        <f>RAND()</f>
        <v/>
      </c>
      <c r="B287" s="4" t="inlineStr">
        <is>
          <t>ChIJWe2qPfiwnZMR6NwMKsS6EZQ</t>
        </is>
      </c>
      <c r="C287" s="4" t="inlineStr">
        <is>
          <t>Corona Snooker Bar</t>
        </is>
      </c>
      <c r="D287" s="4" t="inlineStr">
        <is>
          <t>Cuiabá</t>
        </is>
      </c>
      <c r="E287" s="4" t="inlineStr">
        <is>
          <t>MT</t>
        </is>
      </c>
      <c r="F287" s="4" t="inlineStr">
        <is>
          <t>Capitais Regionais A</t>
        </is>
      </c>
      <c r="G287" s="4" t="inlineStr">
        <is>
          <t>Capital regional</t>
        </is>
      </c>
      <c r="H287" s="5">
        <f>IF(G287="fora do recorte","",SUMPRODUCT(($G$3:$G$1723=G287)*($A$3:$A$1723&lt;=A287)))</f>
        <v/>
      </c>
      <c r="I287" s="4">
        <f>IF(H287="","",G287&amp;"|"&amp;H287)</f>
        <v/>
      </c>
      <c r="J287" s="4" t="inlineStr">
        <is>
          <t>https://www.google.com/maps/search/?api=1&amp;query=Corona%20Snooker%20Bar&amp;query_place_id=ChIJWe2qPfiwnZMR6NwMKsS6EZQ</t>
        </is>
      </c>
      <c r="K287" s="4" t="inlineStr">
        <is>
          <t>Av. Djalma Ferreira de Souza, 1 - Morada do Ouro, Cuiabá - MT, 78053-121, Brasil</t>
        </is>
      </c>
      <c r="L287" s="4" t="inlineStr">
        <is>
          <t>Cuiabá</t>
        </is>
      </c>
      <c r="M287" s="5" t="n">
        <v>1</v>
      </c>
    </row>
    <row r="288">
      <c r="A288" s="3">
        <f>RAND()</f>
        <v/>
      </c>
      <c r="B288" s="4" t="inlineStr">
        <is>
          <t>ChIJsfpqvX-6nZMRY4cjSABWOMg</t>
        </is>
      </c>
      <c r="C288" s="4" t="inlineStr">
        <is>
          <t>DeToys Kids e Tendas MT</t>
        </is>
      </c>
      <c r="D288" s="4" t="inlineStr">
        <is>
          <t>Cuiabá</t>
        </is>
      </c>
      <c r="E288" s="4" t="inlineStr">
        <is>
          <t>MT</t>
        </is>
      </c>
      <c r="F288" s="4" t="inlineStr">
        <is>
          <t>Capitais Regionais A</t>
        </is>
      </c>
      <c r="G288" s="4" t="inlineStr">
        <is>
          <t>Capital regional</t>
        </is>
      </c>
      <c r="H288" s="5">
        <f>IF(G288="fora do recorte","",SUMPRODUCT(($G$3:$G$1723=G288)*($A$3:$A$1723&lt;=A288)))</f>
        <v/>
      </c>
      <c r="I288" s="4">
        <f>IF(H288="","",G288&amp;"|"&amp;H288)</f>
        <v/>
      </c>
      <c r="J288" s="4" t="inlineStr">
        <is>
          <t>https://www.google.com/maps/search/?api=1&amp;query=DeToys%20Kids%20e%20Tendas%20MT&amp;query_place_id=ChIJsfpqvX-6nZMRY4cjSABWOMg</t>
        </is>
      </c>
      <c r="K288" s="4" t="inlineStr">
        <is>
          <t>Av. Gov. Dante Martins de Oliveira, 3400 - Barracão Azul - Carumbé, Cuiabá - MT, 78055-508, Brasil</t>
        </is>
      </c>
      <c r="L288" s="4" t="inlineStr">
        <is>
          <t>Cuiabá</t>
        </is>
      </c>
      <c r="M288" s="5" t="n">
        <v>1</v>
      </c>
    </row>
    <row r="289">
      <c r="A289" s="3">
        <f>RAND()</f>
        <v/>
      </c>
      <c r="B289" s="4" t="inlineStr">
        <is>
          <t>ChIJsYBuoY-xnZMRn-CbJ4ulFIU</t>
        </is>
      </c>
      <c r="C289" s="4" t="inlineStr">
        <is>
          <t>Ditado Popular</t>
        </is>
      </c>
      <c r="D289" s="4" t="inlineStr">
        <is>
          <t>Cuiabá</t>
        </is>
      </c>
      <c r="E289" s="4" t="inlineStr">
        <is>
          <t>MT</t>
        </is>
      </c>
      <c r="F289" s="4" t="inlineStr">
        <is>
          <t>Capitais Regionais A</t>
        </is>
      </c>
      <c r="G289" s="4" t="inlineStr">
        <is>
          <t>Capital regional</t>
        </is>
      </c>
      <c r="H289" s="5">
        <f>IF(G289="fora do recorte","",SUMPRODUCT(($G$3:$G$1723=G289)*($A$3:$A$1723&lt;=A289)))</f>
        <v/>
      </c>
      <c r="I289" s="4">
        <f>IF(H289="","",G289&amp;"|"&amp;H289)</f>
        <v/>
      </c>
      <c r="J289" s="4" t="inlineStr">
        <is>
          <t>https://www.google.com/maps/search/?api=1&amp;query=Ditado%20Popular&amp;query_place_id=ChIJsYBuoY-xnZMRn-CbJ4ulFIU</t>
        </is>
      </c>
      <c r="K289" s="4" t="inlineStr">
        <is>
          <t>R. Sen. Vilas Bôas, 89 - Popular, Cuiabá - MT, 78045-360, Brasil</t>
        </is>
      </c>
      <c r="L289" s="4" t="inlineStr">
        <is>
          <t>Cuiabá</t>
        </is>
      </c>
      <c r="M289" s="5" t="n">
        <v>2</v>
      </c>
    </row>
    <row r="290">
      <c r="A290" s="3">
        <f>RAND()</f>
        <v/>
      </c>
      <c r="B290" s="4" t="inlineStr">
        <is>
          <t>ChIJr1FfnFCxnZMR0y11X_OoteA</t>
        </is>
      </c>
      <c r="C290" s="4" t="inlineStr">
        <is>
          <t>Empório Lúdico</t>
        </is>
      </c>
      <c r="D290" s="4" t="inlineStr">
        <is>
          <t>Cuiabá</t>
        </is>
      </c>
      <c r="E290" s="4" t="inlineStr">
        <is>
          <t>MT</t>
        </is>
      </c>
      <c r="F290" s="4" t="inlineStr">
        <is>
          <t>Capitais Regionais A</t>
        </is>
      </c>
      <c r="G290" s="4" t="inlineStr">
        <is>
          <t>Capital regional</t>
        </is>
      </c>
      <c r="H290" s="5">
        <f>IF(G290="fora do recorte","",SUMPRODUCT(($G$3:$G$1723=G290)*($A$3:$A$1723&lt;=A290)))</f>
        <v/>
      </c>
      <c r="I290" s="4">
        <f>IF(H290="","",G290&amp;"|"&amp;H290)</f>
        <v/>
      </c>
      <c r="J290" s="4" t="inlineStr">
        <is>
          <t>https://www.google.com/maps/search/?api=1&amp;query=Emp%C3%B3rio%20L%C3%BAdico&amp;query_place_id=ChIJr1FfnFCxnZMR0y11X_OoteA</t>
        </is>
      </c>
      <c r="K290" s="4" t="inlineStr">
        <is>
          <t>3 piso ao lado da Americanas - Av. Brasília, 1461 - Jardim das Américas, Cuiabá - MT, 78060-601, Brasil</t>
        </is>
      </c>
      <c r="L290" s="4" t="inlineStr">
        <is>
          <t>Cuiabá</t>
        </is>
      </c>
      <c r="M290" s="5" t="n">
        <v>5</v>
      </c>
    </row>
    <row r="291">
      <c r="A291" s="3">
        <f>RAND()</f>
        <v/>
      </c>
      <c r="B291" s="4" t="inlineStr">
        <is>
          <t>ChIJD1UEYCaxnZMRbgRxsHBus30</t>
        </is>
      </c>
      <c r="C291" s="4" t="inlineStr">
        <is>
          <t>Espaço Paraíso Kids</t>
        </is>
      </c>
      <c r="D291" s="4" t="inlineStr">
        <is>
          <t>Cuiabá</t>
        </is>
      </c>
      <c r="E291" s="4" t="inlineStr">
        <is>
          <t>MT</t>
        </is>
      </c>
      <c r="F291" s="4" t="inlineStr">
        <is>
          <t>Capitais Regionais A</t>
        </is>
      </c>
      <c r="G291" s="4" t="inlineStr">
        <is>
          <t>Capital regional</t>
        </is>
      </c>
      <c r="H291" s="5">
        <f>IF(G291="fora do recorte","",SUMPRODUCT(($G$3:$G$1723=G291)*($A$3:$A$1723&lt;=A291)))</f>
        <v/>
      </c>
      <c r="I291" s="4">
        <f>IF(H291="","",G291&amp;"|"&amp;H291)</f>
        <v/>
      </c>
      <c r="J291" s="4" t="inlineStr">
        <is>
          <t>https://www.google.com/maps/search/?api=1&amp;query=Espa%C3%A7o%20Para%C3%ADso%20Kids&amp;query_place_id=ChIJD1UEYCaxnZMRbgRxsHBus30</t>
        </is>
      </c>
      <c r="K291" s="4" t="inlineStr">
        <is>
          <t>Rodoviaria Parque, Cuiabá - MT, 78048-000, Brasil</t>
        </is>
      </c>
      <c r="L291" s="4" t="inlineStr">
        <is>
          <t>Cuiabá</t>
        </is>
      </c>
      <c r="M291" s="5" t="n">
        <v>1</v>
      </c>
    </row>
    <row r="292">
      <c r="A292" s="3">
        <f>RAND()</f>
        <v/>
      </c>
      <c r="B292" s="4" t="inlineStr">
        <is>
          <t>ChIJxR_lcKexnZMRTLWMTXb9N0U</t>
        </is>
      </c>
      <c r="C292" s="4" t="inlineStr">
        <is>
          <t>Espaço Top Diversões</t>
        </is>
      </c>
      <c r="D292" s="4" t="inlineStr">
        <is>
          <t>Cuiabá</t>
        </is>
      </c>
      <c r="E292" s="4" t="inlineStr">
        <is>
          <t>MT</t>
        </is>
      </c>
      <c r="F292" s="4" t="inlineStr">
        <is>
          <t>Capitais Regionais A</t>
        </is>
      </c>
      <c r="G292" s="4" t="inlineStr">
        <is>
          <t>Capital regional</t>
        </is>
      </c>
      <c r="H292" s="5">
        <f>IF(G292="fora do recorte","",SUMPRODUCT(($G$3:$G$1723=G292)*($A$3:$A$1723&lt;=A292)))</f>
        <v/>
      </c>
      <c r="I292" s="4">
        <f>IF(H292="","",G292&amp;"|"&amp;H292)</f>
        <v/>
      </c>
      <c r="J292" s="4" t="inlineStr">
        <is>
          <t>https://www.google.com/maps/search/?api=1&amp;query=Espa%C3%A7o%20Top%20Divers%C3%B5es&amp;query_place_id=ChIJxR_lcKexnZMRTLWMTXb9N0U</t>
        </is>
      </c>
      <c r="K292" s="4" t="inlineStr">
        <is>
          <t>R. Princesa Leopoldina, 6 - Morada dos Nobres, Cuiabá - MT, 78068-015, Brasil</t>
        </is>
      </c>
      <c r="L292" s="4" t="inlineStr">
        <is>
          <t>Cuiabá</t>
        </is>
      </c>
      <c r="M292" s="5" t="n">
        <v>1</v>
      </c>
    </row>
    <row r="293">
      <c r="A293" s="3">
        <f>RAND()</f>
        <v/>
      </c>
      <c r="B293" s="4" t="inlineStr">
        <is>
          <t>ChIJM8QTSbyznZMRePX9vtQ2u74</t>
        </is>
      </c>
      <c r="C293" s="4" t="inlineStr">
        <is>
          <t>Espetinho do Pinho</t>
        </is>
      </c>
      <c r="D293" s="4" t="inlineStr">
        <is>
          <t>Cuiabá</t>
        </is>
      </c>
      <c r="E293" s="4" t="inlineStr">
        <is>
          <t>MT</t>
        </is>
      </c>
      <c r="F293" s="4" t="inlineStr">
        <is>
          <t>Capitais Regionais A</t>
        </is>
      </c>
      <c r="G293" s="4" t="inlineStr">
        <is>
          <t>Capital regional</t>
        </is>
      </c>
      <c r="H293" s="5">
        <f>IF(G293="fora do recorte","",SUMPRODUCT(($G$3:$G$1723=G293)*($A$3:$A$1723&lt;=A293)))</f>
        <v/>
      </c>
      <c r="I293" s="4">
        <f>IF(H293="","",G293&amp;"|"&amp;H293)</f>
        <v/>
      </c>
      <c r="J293" s="4" t="inlineStr">
        <is>
          <t>https://www.google.com/maps/search/?api=1&amp;query=Espetinho%20do%20Pinho&amp;query_place_id=ChIJM8QTSbyznZMRePX9vtQ2u74</t>
        </is>
      </c>
      <c r="K293" s="4" t="inlineStr">
        <is>
          <t>Rua Canadá, 385 - Santa Rosa, Cuiabá - MT, 78040-050, Brasil</t>
        </is>
      </c>
      <c r="L293" s="4" t="inlineStr">
        <is>
          <t>Cuiabá</t>
        </is>
      </c>
      <c r="M293" s="5" t="n">
        <v>1</v>
      </c>
    </row>
    <row r="294">
      <c r="A294" s="3">
        <f>RAND()</f>
        <v/>
      </c>
      <c r="B294" s="4" t="inlineStr">
        <is>
          <t>ChIJuYLZkyqunZMRsfbcRg2Rkqc</t>
        </is>
      </c>
      <c r="C294" s="4" t="inlineStr">
        <is>
          <t>Esquininha Bar e Restaurante</t>
        </is>
      </c>
      <c r="D294" s="4" t="inlineStr">
        <is>
          <t>Cuiabá</t>
        </is>
      </c>
      <c r="E294" s="4" t="inlineStr">
        <is>
          <t>MT</t>
        </is>
      </c>
      <c r="F294" s="4" t="inlineStr">
        <is>
          <t>Capitais Regionais A</t>
        </is>
      </c>
      <c r="G294" s="4" t="inlineStr">
        <is>
          <t>Capital regional</t>
        </is>
      </c>
      <c r="H294" s="5">
        <f>IF(G294="fora do recorte","",SUMPRODUCT(($G$3:$G$1723=G294)*($A$3:$A$1723&lt;=A294)))</f>
        <v/>
      </c>
      <c r="I294" s="4">
        <f>IF(H294="","",G294&amp;"|"&amp;H294)</f>
        <v/>
      </c>
      <c r="J294" s="4" t="inlineStr">
        <is>
          <t>https://www.google.com/maps/search/?api=1&amp;query=Esquininha%20Bar%20e%20Restaurante&amp;query_place_id=ChIJuYLZkyqunZMRsfbcRg2Rkqc</t>
        </is>
      </c>
      <c r="K294" s="4" t="inlineStr">
        <is>
          <t>R. Generoso Ciríaco Maciel, 16 - Jardim Petropolis, Cuiabá - MT, 78070-050, Brasil</t>
        </is>
      </c>
      <c r="L294" s="4" t="inlineStr">
        <is>
          <t>Cuiabá</t>
        </is>
      </c>
      <c r="M294" s="5" t="n">
        <v>2</v>
      </c>
    </row>
    <row r="295">
      <c r="A295" s="3">
        <f>RAND()</f>
        <v/>
      </c>
      <c r="B295" s="4" t="inlineStr">
        <is>
          <t>ChIJ92EHJs-xnZMRXXEzl9IzVBA</t>
        </is>
      </c>
      <c r="C295" s="4" t="inlineStr">
        <is>
          <t>Farol Bar</t>
        </is>
      </c>
      <c r="D295" s="4" t="inlineStr">
        <is>
          <t>Cuiabá</t>
        </is>
      </c>
      <c r="E295" s="4" t="inlineStr">
        <is>
          <t>MT</t>
        </is>
      </c>
      <c r="F295" s="4" t="inlineStr">
        <is>
          <t>Capitais Regionais A</t>
        </is>
      </c>
      <c r="G295" s="4" t="inlineStr">
        <is>
          <t>Capital regional</t>
        </is>
      </c>
      <c r="H295" s="5">
        <f>IF(G295="fora do recorte","",SUMPRODUCT(($G$3:$G$1723=G295)*($A$3:$A$1723&lt;=A295)))</f>
        <v/>
      </c>
      <c r="I295" s="4">
        <f>IF(H295="","",G295&amp;"|"&amp;H295)</f>
        <v/>
      </c>
      <c r="J295" s="4" t="inlineStr">
        <is>
          <t>https://www.google.com/maps/search/?api=1&amp;query=Farol%20Bar&amp;query_place_id=ChIJ92EHJs-xnZMRXXEzl9IzVBA</t>
        </is>
      </c>
      <c r="K295" s="4" t="inlineStr">
        <is>
          <t>Av. Dom Bosco, 1704 - Goiabeiras, Cuiabá - MT, 78032-065, Brasil</t>
        </is>
      </c>
      <c r="L295" s="4" t="inlineStr">
        <is>
          <t>Cuiabá</t>
        </is>
      </c>
      <c r="M295" s="5" t="n">
        <v>2</v>
      </c>
    </row>
    <row r="296">
      <c r="A296" s="3">
        <f>RAND()</f>
        <v/>
      </c>
      <c r="B296" s="4" t="inlineStr">
        <is>
          <t>ChIJvaDwqtaxnZMRUQ9d7__9NQU</t>
        </is>
      </c>
      <c r="C296" s="4" t="inlineStr">
        <is>
          <t>GGC - Grid Game Center - Shopping Estação Cuiabá MT</t>
        </is>
      </c>
      <c r="D296" s="4" t="inlineStr">
        <is>
          <t>Cuiabá</t>
        </is>
      </c>
      <c r="E296" s="4" t="inlineStr">
        <is>
          <t>MT</t>
        </is>
      </c>
      <c r="F296" s="4" t="inlineStr">
        <is>
          <t>Capitais Regionais A</t>
        </is>
      </c>
      <c r="G296" s="4" t="inlineStr">
        <is>
          <t>Capital regional</t>
        </is>
      </c>
      <c r="H296" s="5">
        <f>IF(G296="fora do recorte","",SUMPRODUCT(($G$3:$G$1723=G296)*($A$3:$A$1723&lt;=A296)))</f>
        <v/>
      </c>
      <c r="I296" s="4">
        <f>IF(H296="","",G296&amp;"|"&amp;H296)</f>
        <v/>
      </c>
      <c r="J296" s="4" t="inlineStr">
        <is>
          <t>https://www.google.com/maps/search/?api=1&amp;query=GGC%20-%20Grid%20Game%20Center%20-%20Shopping%20Esta%C3%A7%C3%A3o%20Cuiab%C3%A1%20MT&amp;query_place_id=ChIJvaDwqtaxnZMRUQ9d7__9NQU</t>
        </is>
      </c>
      <c r="K296" s="4" t="inlineStr">
        <is>
          <t>COND SHOP ESTACAO CUIABA - Av. Miguel Sutil, 9300 - Lj SECG002B - Jardim das Américas, Cuiabá - MT, 78040-365, Brasil</t>
        </is>
      </c>
      <c r="L296" s="4" t="inlineStr">
        <is>
          <t>Cuiabá</t>
        </is>
      </c>
      <c r="M296" s="5" t="n">
        <v>4</v>
      </c>
    </row>
    <row r="297">
      <c r="A297" s="3">
        <f>RAND()</f>
        <v/>
      </c>
      <c r="B297" s="4" t="inlineStr">
        <is>
          <t>ChIJz6YxkmOlnZMRXvlzUk0SiLQ</t>
        </is>
      </c>
      <c r="C297" s="4" t="inlineStr">
        <is>
          <t>Je Diversões</t>
        </is>
      </c>
      <c r="D297" s="4" t="inlineStr">
        <is>
          <t>Cuiabá</t>
        </is>
      </c>
      <c r="E297" s="4" t="inlineStr">
        <is>
          <t>MT</t>
        </is>
      </c>
      <c r="F297" s="4" t="inlineStr">
        <is>
          <t>Capitais Regionais A</t>
        </is>
      </c>
      <c r="G297" s="4" t="inlineStr">
        <is>
          <t>Capital regional</t>
        </is>
      </c>
      <c r="H297" s="5">
        <f>IF(G297="fora do recorte","",SUMPRODUCT(($G$3:$G$1723=G297)*($A$3:$A$1723&lt;=A297)))</f>
        <v/>
      </c>
      <c r="I297" s="4">
        <f>IF(H297="","",G297&amp;"|"&amp;H297)</f>
        <v/>
      </c>
      <c r="J297" s="4" t="inlineStr">
        <is>
          <t>https://www.google.com/maps/search/?api=1&amp;query=Je%20Divers%C3%B5es&amp;query_place_id=ChIJz6YxkmOlnZMRXvlzUk0SiLQ</t>
        </is>
      </c>
      <c r="K297" s="4" t="inlineStr">
        <is>
          <t>Av. Secundária IV, 7 - Qd.77 - Tijucal, Cuiabá - MT, 78088-200, Brasil</t>
        </is>
      </c>
      <c r="L297" s="4" t="inlineStr">
        <is>
          <t>Cuiabá</t>
        </is>
      </c>
      <c r="M297" s="5" t="n">
        <v>1</v>
      </c>
    </row>
    <row r="298">
      <c r="A298" s="3">
        <f>RAND()</f>
        <v/>
      </c>
      <c r="B298" s="4" t="inlineStr">
        <is>
          <t>ChIJkZq7FRaznZMR-qHvmCV-kIs</t>
        </is>
      </c>
      <c r="C298" s="4" t="inlineStr">
        <is>
          <t>Ludoria Cuiabana</t>
        </is>
      </c>
      <c r="D298" s="4" t="inlineStr">
        <is>
          <t>Cuiabá</t>
        </is>
      </c>
      <c r="E298" s="4" t="inlineStr">
        <is>
          <t>MT</t>
        </is>
      </c>
      <c r="F298" s="4" t="inlineStr">
        <is>
          <t>Capitais Regionais A</t>
        </is>
      </c>
      <c r="G298" s="4" t="inlineStr">
        <is>
          <t>Capital regional</t>
        </is>
      </c>
      <c r="H298" s="5">
        <f>IF(G298="fora do recorte","",SUMPRODUCT(($G$3:$G$1723=G298)*($A$3:$A$1723&lt;=A298)))</f>
        <v/>
      </c>
      <c r="I298" s="4">
        <f>IF(H298="","",G298&amp;"|"&amp;H298)</f>
        <v/>
      </c>
      <c r="J298" s="4" t="inlineStr">
        <is>
          <t>https://www.google.com/maps/search/?api=1&amp;query=Ludoria%20Cuiabana&amp;query_place_id=ChIJkZq7FRaznZMR-qHvmCV-kIs</t>
        </is>
      </c>
      <c r="K298" s="4" t="inlineStr">
        <is>
          <t>Av. Jose Monteiro de Figueiredo, 500 - Duque de Caxias, Cuiabá - MT, 78043-300, Brasil</t>
        </is>
      </c>
      <c r="L298" s="4" t="inlineStr">
        <is>
          <t>Cuiabá</t>
        </is>
      </c>
      <c r="M298" s="5" t="n">
        <v>13</v>
      </c>
    </row>
    <row r="299">
      <c r="A299" s="3">
        <f>RAND()</f>
        <v/>
      </c>
      <c r="B299" s="4" t="inlineStr">
        <is>
          <t>ChIJaUVdt1CxnZMRdiQQYXjQgYs</t>
        </is>
      </c>
      <c r="C299" s="4" t="inlineStr">
        <is>
          <t>MT Figurinhas &amp; Cards</t>
        </is>
      </c>
      <c r="D299" s="4" t="inlineStr">
        <is>
          <t>Cuiabá</t>
        </is>
      </c>
      <c r="E299" s="4" t="inlineStr">
        <is>
          <t>MT</t>
        </is>
      </c>
      <c r="F299" s="4" t="inlineStr">
        <is>
          <t>Capitais Regionais A</t>
        </is>
      </c>
      <c r="G299" s="4" t="inlineStr">
        <is>
          <t>Capital regional</t>
        </is>
      </c>
      <c r="H299" s="5">
        <f>IF(G299="fora do recorte","",SUMPRODUCT(($G$3:$G$1723=G299)*($A$3:$A$1723&lt;=A299)))</f>
        <v/>
      </c>
      <c r="I299" s="4">
        <f>IF(H299="","",G299&amp;"|"&amp;H299)</f>
        <v/>
      </c>
      <c r="J299" s="4" t="inlineStr">
        <is>
          <t>https://www.google.com/maps/search/?api=1&amp;query=MT%20Figurinhas%20%26%20Cards&amp;query_place_id=ChIJaUVdt1CxnZMRdiQQYXjQgYs</t>
        </is>
      </c>
      <c r="K299" s="4" t="inlineStr">
        <is>
          <t>R. A, Quadra 03 - Lote 24 - Primeiro de Março, Cuiabá - MT, 78058-602, Brasil</t>
        </is>
      </c>
      <c r="L299" s="4" t="inlineStr">
        <is>
          <t>Cuiabá</t>
        </is>
      </c>
      <c r="M299" s="5" t="n">
        <v>1</v>
      </c>
    </row>
    <row r="300">
      <c r="A300" s="3">
        <f>RAND()</f>
        <v/>
      </c>
      <c r="B300" s="4" t="inlineStr">
        <is>
          <t>ChIJ2c96mKaznZMRwPkjJRz8nIU</t>
        </is>
      </c>
      <c r="C300" s="4" t="inlineStr">
        <is>
          <t>Mario Rosa - Quiropraxia e RPG</t>
        </is>
      </c>
      <c r="D300" s="4" t="inlineStr">
        <is>
          <t>Cuiabá</t>
        </is>
      </c>
      <c r="E300" s="4" t="inlineStr">
        <is>
          <t>MT</t>
        </is>
      </c>
      <c r="F300" s="4" t="inlineStr">
        <is>
          <t>Capitais Regionais A</t>
        </is>
      </c>
      <c r="G300" s="4" t="inlineStr">
        <is>
          <t>Capital regional</t>
        </is>
      </c>
      <c r="H300" s="5">
        <f>IF(G300="fora do recorte","",SUMPRODUCT(($G$3:$G$1723=G300)*($A$3:$A$1723&lt;=A300)))</f>
        <v/>
      </c>
      <c r="I300" s="4">
        <f>IF(H300="","",G300&amp;"|"&amp;H300)</f>
        <v/>
      </c>
      <c r="J300" s="4" t="inlineStr">
        <is>
          <t>https://www.google.com/maps/search/?api=1&amp;query=Mario%20Rosa%20-%20Quiropraxia%20e%20RPG&amp;query_place_id=ChIJ2c96mKaznZMRwPkjJRz8nIU</t>
        </is>
      </c>
      <c r="K300" s="4" t="inlineStr">
        <is>
          <t>R. das Violetas, 303 - Jardim Cuiaba, Cuiabá - MT, 78043-142, Brasil</t>
        </is>
      </c>
      <c r="L300" s="4" t="inlineStr">
        <is>
          <t>Cuiabá</t>
        </is>
      </c>
      <c r="M300" s="5" t="n">
        <v>1</v>
      </c>
    </row>
    <row r="301">
      <c r="A301" s="3">
        <f>RAND()</f>
        <v/>
      </c>
      <c r="B301" s="4" t="inlineStr">
        <is>
          <t>ChIJV-ILP3axnZMRXR-ujzUSeoM</t>
        </is>
      </c>
      <c r="C301" s="4" t="inlineStr">
        <is>
          <t>Mister Game Drinks</t>
        </is>
      </c>
      <c r="D301" s="4" t="inlineStr">
        <is>
          <t>Cuiabá</t>
        </is>
      </c>
      <c r="E301" s="4" t="inlineStr">
        <is>
          <t>MT</t>
        </is>
      </c>
      <c r="F301" s="4" t="inlineStr">
        <is>
          <t>Capitais Regionais A</t>
        </is>
      </c>
      <c r="G301" s="4" t="inlineStr">
        <is>
          <t>Capital regional</t>
        </is>
      </c>
      <c r="H301" s="5">
        <f>IF(G301="fora do recorte","",SUMPRODUCT(($G$3:$G$1723=G301)*($A$3:$A$1723&lt;=A301)))</f>
        <v/>
      </c>
      <c r="I301" s="4">
        <f>IF(H301="","",G301&amp;"|"&amp;H301)</f>
        <v/>
      </c>
      <c r="J301" s="4" t="inlineStr">
        <is>
          <t>https://www.google.com/maps/search/?api=1&amp;query=Mister%20Game%20Drinks&amp;query_place_id=ChIJV-ILP3axnZMRXR-ujzUSeoM</t>
        </is>
      </c>
      <c r="K301" s="4" t="inlineStr">
        <is>
          <t>R. canario da terra, 15 - Morada da Serra, Cuiabá - MT, 78058-208, Brasil</t>
        </is>
      </c>
      <c r="L301" s="4" t="inlineStr">
        <is>
          <t>Cuiabá</t>
        </is>
      </c>
      <c r="M301" s="5" t="n">
        <v>2</v>
      </c>
    </row>
    <row r="302">
      <c r="A302" s="3">
        <f>RAND()</f>
        <v/>
      </c>
      <c r="B302" s="4" t="inlineStr">
        <is>
          <t>ChIJTYuVzPGvnZMRw44sFdDZiJs</t>
        </is>
      </c>
      <c r="C302" s="4" t="inlineStr">
        <is>
          <t>Mordrade Card Shop | Card Games</t>
        </is>
      </c>
      <c r="D302" s="4" t="inlineStr">
        <is>
          <t>Cuiabá</t>
        </is>
      </c>
      <c r="E302" s="4" t="inlineStr">
        <is>
          <t>MT</t>
        </is>
      </c>
      <c r="F302" s="4" t="inlineStr">
        <is>
          <t>Capitais Regionais A</t>
        </is>
      </c>
      <c r="G302" s="4" t="inlineStr">
        <is>
          <t>Capital regional</t>
        </is>
      </c>
      <c r="H302" s="5">
        <f>IF(G302="fora do recorte","",SUMPRODUCT(($G$3:$G$1723=G302)*($A$3:$A$1723&lt;=A302)))</f>
        <v/>
      </c>
      <c r="I302" s="4">
        <f>IF(H302="","",G302&amp;"|"&amp;H302)</f>
        <v/>
      </c>
      <c r="J302" s="4" t="inlineStr">
        <is>
          <t>https://www.google.com/maps/search/?api=1&amp;query=Mordrade%20Card%20Shop%20%7C%20Card%20Games&amp;query_place_id=ChIJTYuVzPGvnZMRw44sFdDZiJs</t>
        </is>
      </c>
      <c r="K302" s="4" t="inlineStr">
        <is>
          <t>Av. Gen. Mello, 2410 - Primeiro Andar - Campo Velho, Cuiabá - MT, 78065-290, Brasil</t>
        </is>
      </c>
      <c r="L302" s="4" t="inlineStr">
        <is>
          <t>Cuiabá</t>
        </is>
      </c>
      <c r="M302" s="5" t="n">
        <v>1</v>
      </c>
    </row>
    <row r="303">
      <c r="A303" s="3">
        <f>RAND()</f>
        <v/>
      </c>
      <c r="B303" s="4" t="inlineStr">
        <is>
          <t>ChIJV12csB6vnZMRr7vaEXwfRnY</t>
        </is>
      </c>
      <c r="C303" s="4" t="inlineStr">
        <is>
          <t>Mundo Dos Playgrounds</t>
        </is>
      </c>
      <c r="D303" s="4" t="inlineStr">
        <is>
          <t>Cuiabá</t>
        </is>
      </c>
      <c r="E303" s="4" t="inlineStr">
        <is>
          <t>MT</t>
        </is>
      </c>
      <c r="F303" s="4" t="inlineStr">
        <is>
          <t>Capitais Regionais A</t>
        </is>
      </c>
      <c r="G303" s="4" t="inlineStr">
        <is>
          <t>Capital regional</t>
        </is>
      </c>
      <c r="H303" s="5">
        <f>IF(G303="fora do recorte","",SUMPRODUCT(($G$3:$G$1723=G303)*($A$3:$A$1723&lt;=A303)))</f>
        <v/>
      </c>
      <c r="I303" s="4">
        <f>IF(H303="","",G303&amp;"|"&amp;H303)</f>
        <v/>
      </c>
      <c r="J303" s="4" t="inlineStr">
        <is>
          <t>https://www.google.com/maps/search/?api=1&amp;query=Mundo%20Dos%20Playgrounds&amp;query_place_id=ChIJV12csB6vnZMRr7vaEXwfRnY</t>
        </is>
      </c>
      <c r="K303" s="4" t="inlineStr">
        <is>
          <t>Rua 3, 200 78090-593 - Sala B - Jardim Comodoro, Cuiabá - MT, 78090-593, Brasil</t>
        </is>
      </c>
      <c r="L303" s="4" t="inlineStr">
        <is>
          <t>Cuiabá</t>
        </is>
      </c>
      <c r="M303" s="5" t="n">
        <v>1</v>
      </c>
    </row>
    <row r="304">
      <c r="A304" s="3">
        <f>RAND()</f>
        <v/>
      </c>
      <c r="B304" s="4" t="inlineStr">
        <is>
          <t>ChIJ5R9cFzaxnZMR_6N3XtvjafU</t>
        </is>
      </c>
      <c r="C304" s="4" t="inlineStr">
        <is>
          <t>NEW GAMES CELL</t>
        </is>
      </c>
      <c r="D304" s="4" t="inlineStr">
        <is>
          <t>Cuiabá</t>
        </is>
      </c>
      <c r="E304" s="4" t="inlineStr">
        <is>
          <t>MT</t>
        </is>
      </c>
      <c r="F304" s="4" t="inlineStr">
        <is>
          <t>Capitais Regionais A</t>
        </is>
      </c>
      <c r="G304" s="4" t="inlineStr">
        <is>
          <t>Capital regional</t>
        </is>
      </c>
      <c r="H304" s="5">
        <f>IF(G304="fora do recorte","",SUMPRODUCT(($G$3:$G$1723=G304)*($A$3:$A$1723&lt;=A304)))</f>
        <v/>
      </c>
      <c r="I304" s="4">
        <f>IF(H304="","",G304&amp;"|"&amp;H304)</f>
        <v/>
      </c>
      <c r="J304" s="4" t="inlineStr">
        <is>
          <t>https://www.google.com/maps/search/?api=1&amp;query=NEW%20GAMES%20CELL&amp;query_place_id=ChIJ5R9cFzaxnZMR_6N3XtvjafU</t>
        </is>
      </c>
      <c r="K304" s="4" t="inlineStr">
        <is>
          <t>shopping popular - Av. Tenente Coronel Duarte, Box 222, 274, 275, 384, 445 - Dom Aquino, Cuiabá - MT, 78015-500, Brasil</t>
        </is>
      </c>
      <c r="L304" s="4" t="inlineStr">
        <is>
          <t>Cuiabá</t>
        </is>
      </c>
      <c r="M304" s="5" t="n">
        <v>1</v>
      </c>
    </row>
    <row r="305">
      <c r="A305" s="3">
        <f>RAND()</f>
        <v/>
      </c>
      <c r="B305" s="4" t="inlineStr">
        <is>
          <t>ChIJa9TySIOxnZMRfCNC-iTiPpU</t>
        </is>
      </c>
      <c r="C305" s="4" t="inlineStr">
        <is>
          <t>Nova Arctica</t>
        </is>
      </c>
      <c r="D305" s="4" t="inlineStr">
        <is>
          <t>Cuiabá</t>
        </is>
      </c>
      <c r="E305" s="4" t="inlineStr">
        <is>
          <t>MT</t>
        </is>
      </c>
      <c r="F305" s="4" t="inlineStr">
        <is>
          <t>Capitais Regionais A</t>
        </is>
      </c>
      <c r="G305" s="4" t="inlineStr">
        <is>
          <t>Capital regional</t>
        </is>
      </c>
      <c r="H305" s="5">
        <f>IF(G305="fora do recorte","",SUMPRODUCT(($G$3:$G$1723=G305)*($A$3:$A$1723&lt;=A305)))</f>
        <v/>
      </c>
      <c r="I305" s="4">
        <f>IF(H305="","",G305&amp;"|"&amp;H305)</f>
        <v/>
      </c>
      <c r="J305" s="4" t="inlineStr">
        <is>
          <t>https://www.google.com/maps/search/?api=1&amp;query=Nova%20Arctica&amp;query_place_id=ChIJa9TySIOxnZMRfCNC-iTiPpU</t>
        </is>
      </c>
      <c r="K305" s="4" t="inlineStr">
        <is>
          <t>Avenida Erico - Goncalves - Preza Filho, 362 - Jardim Itália, Cuiabá - MT, 78060-758, Brasil</t>
        </is>
      </c>
      <c r="L305" s="4" t="inlineStr">
        <is>
          <t>Cuiabá</t>
        </is>
      </c>
      <c r="M305" s="5" t="n">
        <v>1</v>
      </c>
    </row>
    <row r="306">
      <c r="A306" s="3">
        <f>RAND()</f>
        <v/>
      </c>
      <c r="B306" s="4" t="inlineStr">
        <is>
          <t>ChIJo-Euu5GxnZMR0fCrl1hseKQ</t>
        </is>
      </c>
      <c r="C306" s="4" t="inlineStr">
        <is>
          <t>Nuun Garden</t>
        </is>
      </c>
      <c r="D306" s="4" t="inlineStr">
        <is>
          <t>Cuiabá</t>
        </is>
      </c>
      <c r="E306" s="4" t="inlineStr">
        <is>
          <t>MT</t>
        </is>
      </c>
      <c r="F306" s="4" t="inlineStr">
        <is>
          <t>Capitais Regionais A</t>
        </is>
      </c>
      <c r="G306" s="4" t="inlineStr">
        <is>
          <t>Capital regional</t>
        </is>
      </c>
      <c r="H306" s="5">
        <f>IF(G306="fora do recorte","",SUMPRODUCT(($G$3:$G$1723=G306)*($A$3:$A$1723&lt;=A306)))</f>
        <v/>
      </c>
      <c r="I306" s="4">
        <f>IF(H306="","",G306&amp;"|"&amp;H306)</f>
        <v/>
      </c>
      <c r="J306" s="4" t="inlineStr">
        <is>
          <t>https://www.google.com/maps/search/?api=1&amp;query=Nuun%20Garden&amp;query_place_id=ChIJo-Euu5GxnZMR0fCrl1hseKQ</t>
        </is>
      </c>
      <c r="K306" s="4" t="inlineStr">
        <is>
          <t>Rua 24 de Outubro, 370 - Centro Norte, Cuiabá - MT, 78005-330, Brasil</t>
        </is>
      </c>
      <c r="L306" s="4" t="inlineStr">
        <is>
          <t>Cuiabá</t>
        </is>
      </c>
      <c r="M306" s="5" t="n">
        <v>1</v>
      </c>
    </row>
    <row r="307">
      <c r="A307" s="3">
        <f>RAND()</f>
        <v/>
      </c>
      <c r="B307" s="4" t="inlineStr">
        <is>
          <t>ChIJOYrvIR-ynZMRvSyEqdAeNJY</t>
        </is>
      </c>
      <c r="C307" s="4" t="inlineStr">
        <is>
          <t>POSTURA SEM DOR - Pilates, Fisioterapia, RPG Souchard, Treinamento Funcional</t>
        </is>
      </c>
      <c r="D307" s="4" t="inlineStr">
        <is>
          <t>Cuiabá</t>
        </is>
      </c>
      <c r="E307" s="4" t="inlineStr">
        <is>
          <t>MT</t>
        </is>
      </c>
      <c r="F307" s="4" t="inlineStr">
        <is>
          <t>Capitais Regionais A</t>
        </is>
      </c>
      <c r="G307" s="4" t="inlineStr">
        <is>
          <t>Capital regional</t>
        </is>
      </c>
      <c r="H307" s="5">
        <f>IF(G307="fora do recorte","",SUMPRODUCT(($G$3:$G$1723=G307)*($A$3:$A$1723&lt;=A307)))</f>
        <v/>
      </c>
      <c r="I307" s="4">
        <f>IF(H307="","",G307&amp;"|"&amp;H307)</f>
        <v/>
      </c>
      <c r="J307" s="4" t="inlineStr">
        <is>
          <t>https://www.google.com/maps/search/?api=1&amp;query=POSTURA%20SEM%20DOR%20-%20Pilates%2C%20Fisioterapia%2C%20RPG%20Souchard%2C%20Treinamento%20Funcional&amp;query_place_id=ChIJOYrvIR-ynZMRvSyEqdAeNJY</t>
        </is>
      </c>
      <c r="K307" s="4" t="inlineStr">
        <is>
          <t>Av. Sen. Filinto Müller, 263 - Popular, Cuiabá - MT, 78040-030, Brasil</t>
        </is>
      </c>
      <c r="L307" s="4" t="inlineStr">
        <is>
          <t>Cuiabá</t>
        </is>
      </c>
      <c r="M307" s="5" t="n">
        <v>1</v>
      </c>
    </row>
    <row r="308">
      <c r="A308" s="3">
        <f>RAND()</f>
        <v/>
      </c>
      <c r="B308" s="4" t="inlineStr">
        <is>
          <t>ChIJH4a3-CWvnZMRgBuZ7SXd9Ek</t>
        </is>
      </c>
      <c r="C308" s="4" t="inlineStr">
        <is>
          <t>PUB 65</t>
        </is>
      </c>
      <c r="D308" s="4" t="inlineStr">
        <is>
          <t>Cuiabá</t>
        </is>
      </c>
      <c r="E308" s="4" t="inlineStr">
        <is>
          <t>MT</t>
        </is>
      </c>
      <c r="F308" s="4" t="inlineStr">
        <is>
          <t>Capitais Regionais A</t>
        </is>
      </c>
      <c r="G308" s="4" t="inlineStr">
        <is>
          <t>Capital regional</t>
        </is>
      </c>
      <c r="H308" s="5">
        <f>IF(G308="fora do recorte","",SUMPRODUCT(($G$3:$G$1723=G308)*($A$3:$A$1723&lt;=A308)))</f>
        <v/>
      </c>
      <c r="I308" s="4">
        <f>IF(H308="","",G308&amp;"|"&amp;H308)</f>
        <v/>
      </c>
      <c r="J308" s="4" t="inlineStr">
        <is>
          <t>https://www.google.com/maps/search/?api=1&amp;query=PUB%2065&amp;query_place_id=ChIJH4a3-CWvnZMRgBuZ7SXd9Ek</t>
        </is>
      </c>
      <c r="K308" s="4" t="inlineStr">
        <is>
          <t>Av. Itaparica - Coophema, Cuiabá - MT, 78085-100, Brasil</t>
        </is>
      </c>
      <c r="L308" s="4" t="inlineStr">
        <is>
          <t>Cuiabá</t>
        </is>
      </c>
      <c r="M308" s="5" t="n">
        <v>1</v>
      </c>
    </row>
    <row r="309">
      <c r="A309" s="3">
        <f>RAND()</f>
        <v/>
      </c>
      <c r="B309" s="4" t="inlineStr">
        <is>
          <t>ChIJGblFlCeynZMRF_hZvjwxFHw</t>
        </is>
      </c>
      <c r="C309" s="4" t="inlineStr">
        <is>
          <t>Pilates &amp; RPG Fisioterapeuta: Izabella Amaral de Assis</t>
        </is>
      </c>
      <c r="D309" s="4" t="inlineStr">
        <is>
          <t>Cuiabá</t>
        </is>
      </c>
      <c r="E309" s="4" t="inlineStr">
        <is>
          <t>MT</t>
        </is>
      </c>
      <c r="F309" s="4" t="inlineStr">
        <is>
          <t>Capitais Regionais A</t>
        </is>
      </c>
      <c r="G309" s="4" t="inlineStr">
        <is>
          <t>Capital regional</t>
        </is>
      </c>
      <c r="H309" s="5">
        <f>IF(G309="fora do recorte","",SUMPRODUCT(($G$3:$G$1723=G309)*($A$3:$A$1723&lt;=A309)))</f>
        <v/>
      </c>
      <c r="I309" s="4">
        <f>IF(H309="","",G309&amp;"|"&amp;H309)</f>
        <v/>
      </c>
      <c r="J309" s="4" t="inlineStr">
        <is>
          <t>https://www.google.com/maps/search/?api=1&amp;query=Pilates%20%26%20RPG%20Fisioterapeuta%3A%20Izabella%20Amaral%20de%20Assis&amp;query_place_id=ChIJGblFlCeynZMRF_hZvjwxFHw</t>
        </is>
      </c>
      <c r="K309" s="4" t="inlineStr">
        <is>
          <t>Rua Dos Girassóis, 39 Jardim Cuiabá - Goiabeiras, Cuiabá - MT, 78043-132, Brasil</t>
        </is>
      </c>
      <c r="L309" s="4" t="inlineStr">
        <is>
          <t>Cuiabá</t>
        </is>
      </c>
      <c r="M309" s="5" t="n">
        <v>1</v>
      </c>
    </row>
    <row r="310">
      <c r="A310" s="3">
        <f>RAND()</f>
        <v/>
      </c>
      <c r="B310" s="4" t="inlineStr">
        <is>
          <t>ChIJARvKn9ixnZMR-qHHZX56vO4</t>
        </is>
      </c>
      <c r="C310" s="4" t="inlineStr">
        <is>
          <t>Poltrona Nerd - Bar, Games &amp; Burger</t>
        </is>
      </c>
      <c r="D310" s="4" t="inlineStr">
        <is>
          <t>Cuiabá</t>
        </is>
      </c>
      <c r="E310" s="4" t="inlineStr">
        <is>
          <t>MT</t>
        </is>
      </c>
      <c r="F310" s="4" t="inlineStr">
        <is>
          <t>Capitais Regionais A</t>
        </is>
      </c>
      <c r="G310" s="4" t="inlineStr">
        <is>
          <t>Capital regional</t>
        </is>
      </c>
      <c r="H310" s="5">
        <f>IF(G310="fora do recorte","",SUMPRODUCT(($G$3:$G$1723=G310)*($A$3:$A$1723&lt;=A310)))</f>
        <v/>
      </c>
      <c r="I310" s="4">
        <f>IF(H310="","",G310&amp;"|"&amp;H310)</f>
        <v/>
      </c>
      <c r="J310" s="4" t="inlineStr">
        <is>
          <t>https://www.google.com/maps/search/?api=1&amp;query=Poltrona%20Nerd%20-%20Bar%2C%20Games%20%26%20Burger&amp;query_place_id=ChIJARvKn9ixnZMR-qHHZX56vO4</t>
        </is>
      </c>
      <c r="K310" s="4" t="inlineStr">
        <is>
          <t>R. Managua, 132 - Jardim das Américas, Cuiabá - MT, 78060-604, Brasil</t>
        </is>
      </c>
      <c r="L310" s="4" t="inlineStr">
        <is>
          <t>Cuiabá</t>
        </is>
      </c>
      <c r="M310" s="5" t="n">
        <v>8</v>
      </c>
    </row>
    <row r="311">
      <c r="A311" s="3">
        <f>RAND()</f>
        <v/>
      </c>
      <c r="B311" s="4" t="inlineStr">
        <is>
          <t>ChIJ0zqPqgaxnZMR7MKDk0M5WuA</t>
        </is>
      </c>
      <c r="C311" s="4" t="inlineStr">
        <is>
          <t>Popular Geek - Colecionáveis | Nerd | Games | Funko</t>
        </is>
      </c>
      <c r="D311" s="4" t="inlineStr">
        <is>
          <t>Cuiabá</t>
        </is>
      </c>
      <c r="E311" s="4" t="inlineStr">
        <is>
          <t>MT</t>
        </is>
      </c>
      <c r="F311" s="4" t="inlineStr">
        <is>
          <t>Capitais Regionais A</t>
        </is>
      </c>
      <c r="G311" s="4" t="inlineStr">
        <is>
          <t>Capital regional</t>
        </is>
      </c>
      <c r="H311" s="5">
        <f>IF(G311="fora do recorte","",SUMPRODUCT(($G$3:$G$1723=G311)*($A$3:$A$1723&lt;=A311)))</f>
        <v/>
      </c>
      <c r="I311" s="4">
        <f>IF(H311="","",G311&amp;"|"&amp;H311)</f>
        <v/>
      </c>
      <c r="J311" s="4" t="inlineStr">
        <is>
          <t>https://www.google.com/maps/search/?api=1&amp;query=Popular%20Geek%20-%20Colecion%C3%A1veis%20%7C%20Nerd%20%7C%20Games%20%7C%20Funko&amp;query_place_id=ChIJ0zqPqgaxnZMR7MKDk0M5WuA</t>
        </is>
      </c>
      <c r="K311" s="4" t="inlineStr">
        <is>
          <t>Shopping Popular - Av. Manoel José de Arruda, 207 - Box C17 - Dom Aquino, Cuiabá - MT, 78005-500, Brasil</t>
        </is>
      </c>
      <c r="L311" s="4" t="inlineStr">
        <is>
          <t>Cuiabá</t>
        </is>
      </c>
      <c r="M311" s="5" t="n">
        <v>3</v>
      </c>
    </row>
    <row r="312">
      <c r="A312" s="3">
        <f>RAND()</f>
        <v/>
      </c>
      <c r="B312" s="4" t="inlineStr">
        <is>
          <t>ChIJcT699EaxnZMRtogopeEELcM</t>
        </is>
      </c>
      <c r="C312" s="4" t="inlineStr">
        <is>
          <t>Primula - Pilates &amp; RPG</t>
        </is>
      </c>
      <c r="D312" s="4" t="inlineStr">
        <is>
          <t>Cuiabá</t>
        </is>
      </c>
      <c r="E312" s="4" t="inlineStr">
        <is>
          <t>MT</t>
        </is>
      </c>
      <c r="F312" s="4" t="inlineStr">
        <is>
          <t>Capitais Regionais A</t>
        </is>
      </c>
      <c r="G312" s="4" t="inlineStr">
        <is>
          <t>Capital regional</t>
        </is>
      </c>
      <c r="H312" s="5">
        <f>IF(G312="fora do recorte","",SUMPRODUCT(($G$3:$G$1723=G312)*($A$3:$A$1723&lt;=A312)))</f>
        <v/>
      </c>
      <c r="I312" s="4">
        <f>IF(H312="","",G312&amp;"|"&amp;H312)</f>
        <v/>
      </c>
      <c r="J312" s="4" t="inlineStr">
        <is>
          <t>https://www.google.com/maps/search/?api=1&amp;query=Primula%20-%20Pilates%20%26%20RPG&amp;query_place_id=ChIJcT699EaxnZMRtogopeEELcM</t>
        </is>
      </c>
      <c r="K312" s="4" t="inlineStr">
        <is>
          <t>R. Topázio, 170 - Bosque da Saude, Cuiabá - MT, 78060-594, Brasil</t>
        </is>
      </c>
      <c r="L312" s="4" t="inlineStr">
        <is>
          <t>Cuiabá</t>
        </is>
      </c>
      <c r="M312" s="5" t="n">
        <v>1</v>
      </c>
    </row>
    <row r="313">
      <c r="A313" s="3">
        <f>RAND()</f>
        <v/>
      </c>
      <c r="B313" s="4" t="inlineStr">
        <is>
          <t>ChIJ_7It53SxnZMR5jQGel6QYpA</t>
        </is>
      </c>
      <c r="C313" s="4" t="inlineStr">
        <is>
          <t>R4GAMES - Loja de Vídeo Game</t>
        </is>
      </c>
      <c r="D313" s="4" t="inlineStr">
        <is>
          <t>Cuiabá</t>
        </is>
      </c>
      <c r="E313" s="4" t="inlineStr">
        <is>
          <t>MT</t>
        </is>
      </c>
      <c r="F313" s="4" t="inlineStr">
        <is>
          <t>Capitais Regionais A</t>
        </is>
      </c>
      <c r="G313" s="4" t="inlineStr">
        <is>
          <t>Capital regional</t>
        </is>
      </c>
      <c r="H313" s="5">
        <f>IF(G313="fora do recorte","",SUMPRODUCT(($G$3:$G$1723=G313)*($A$3:$A$1723&lt;=A313)))</f>
        <v/>
      </c>
      <c r="I313" s="4">
        <f>IF(H313="","",G313&amp;"|"&amp;H313)</f>
        <v/>
      </c>
      <c r="J313" s="4" t="inlineStr">
        <is>
          <t>https://www.google.com/maps/search/?api=1&amp;query=R4GAMES%20-%20Loja%20de%20V%C3%ADdeo%20Game&amp;query_place_id=ChIJ_7It53SxnZMR5jQGel6QYpA</t>
        </is>
      </c>
      <c r="K313" s="4" t="inlineStr">
        <is>
          <t>Shopping Feirão dos Importados - Loja e Assistência Técnica no - Av. XV de Novembro, 851 - Box 49 - Subsolo - Porto, Cuiabá - MT, 78025-032, Brasil</t>
        </is>
      </c>
      <c r="L313" s="4" t="inlineStr">
        <is>
          <t>Cuiabá</t>
        </is>
      </c>
      <c r="M313" s="5" t="n">
        <v>3</v>
      </c>
    </row>
    <row r="314">
      <c r="A314" s="3">
        <f>RAND()</f>
        <v/>
      </c>
      <c r="B314" s="4" t="inlineStr">
        <is>
          <t>ChIJAduIQlexnZMRYetFcvIlvUg</t>
        </is>
      </c>
      <c r="C314" s="4" t="inlineStr">
        <is>
          <t>RG Games</t>
        </is>
      </c>
      <c r="D314" s="4" t="inlineStr">
        <is>
          <t>Cuiabá</t>
        </is>
      </c>
      <c r="E314" s="4" t="inlineStr">
        <is>
          <t>MT</t>
        </is>
      </c>
      <c r="F314" s="4" t="inlineStr">
        <is>
          <t>Capitais Regionais A</t>
        </is>
      </c>
      <c r="G314" s="4" t="inlineStr">
        <is>
          <t>Capital regional</t>
        </is>
      </c>
      <c r="H314" s="5">
        <f>IF(G314="fora do recorte","",SUMPRODUCT(($G$3:$G$1723=G314)*($A$3:$A$1723&lt;=A314)))</f>
        <v/>
      </c>
      <c r="I314" s="4">
        <f>IF(H314="","",G314&amp;"|"&amp;H314)</f>
        <v/>
      </c>
      <c r="J314" s="4" t="inlineStr">
        <is>
          <t>https://www.google.com/maps/search/?api=1&amp;query=RG%20Games&amp;query_place_id=ChIJAduIQlexnZMRYetFcvIlvUg</t>
        </is>
      </c>
      <c r="K314" s="4" t="inlineStr">
        <is>
          <t>Av. Historiador Rubens de Mendonça, 10 - 208 - Morada da Serra, Cuiabá - MT, 78057-620, Brasil</t>
        </is>
      </c>
      <c r="L314" s="4" t="inlineStr">
        <is>
          <t>Cuiabá</t>
        </is>
      </c>
      <c r="M314" s="5" t="n">
        <v>1</v>
      </c>
    </row>
    <row r="315">
      <c r="A315" s="3">
        <f>RAND()</f>
        <v/>
      </c>
      <c r="B315" s="4" t="inlineStr">
        <is>
          <t>ChIJiQh2gaqxnZMRt-OlApHfz38</t>
        </is>
      </c>
      <c r="C315" s="4" t="inlineStr">
        <is>
          <t>RI HAPPY PANTANAL</t>
        </is>
      </c>
      <c r="D315" s="4" t="inlineStr">
        <is>
          <t>Cuiabá</t>
        </is>
      </c>
      <c r="E315" s="4" t="inlineStr">
        <is>
          <t>MT</t>
        </is>
      </c>
      <c r="F315" s="4" t="inlineStr">
        <is>
          <t>Capitais Regionais A</t>
        </is>
      </c>
      <c r="G315" s="4" t="inlineStr">
        <is>
          <t>Capital regional</t>
        </is>
      </c>
      <c r="H315" s="5">
        <f>IF(G315="fora do recorte","",SUMPRODUCT(($G$3:$G$1723=G315)*($A$3:$A$1723&lt;=A315)))</f>
        <v/>
      </c>
      <c r="I315" s="4">
        <f>IF(H315="","",G315&amp;"|"&amp;H315)</f>
        <v/>
      </c>
      <c r="J315" s="4" t="inlineStr">
        <is>
          <t>https://www.google.com/maps/search/?api=1&amp;query=RI%20HAPPY%20PANTANAL&amp;query_place_id=ChIJiQh2gaqxnZMRt-OlApHfz38</t>
        </is>
      </c>
      <c r="K315" s="4" t="inlineStr">
        <is>
          <t>Avenida Historiador Rubens de Mendonça, 3300 - ESC 206 - Bosque da Saúde, Cuiabá - MT, 78050-000, Brasil</t>
        </is>
      </c>
      <c r="L315" s="4" t="inlineStr">
        <is>
          <t>Cuiabá</t>
        </is>
      </c>
      <c r="M315" s="5" t="n">
        <v>1</v>
      </c>
    </row>
    <row r="316">
      <c r="A316" s="3">
        <f>RAND()</f>
        <v/>
      </c>
      <c r="B316" s="4" t="inlineStr">
        <is>
          <t>ChIJP68pS8SxnZMRlpyXWcPOU3E</t>
        </is>
      </c>
      <c r="C316" s="4" t="inlineStr">
        <is>
          <t>Real Brinquedos Av. Fernando Corrêa</t>
        </is>
      </c>
      <c r="D316" s="4" t="inlineStr">
        <is>
          <t>Cuiabá</t>
        </is>
      </c>
      <c r="E316" s="4" t="inlineStr">
        <is>
          <t>MT</t>
        </is>
      </c>
      <c r="F316" s="4" t="inlineStr">
        <is>
          <t>Capitais Regionais A</t>
        </is>
      </c>
      <c r="G316" s="4" t="inlineStr">
        <is>
          <t>Capital regional</t>
        </is>
      </c>
      <c r="H316" s="5">
        <f>IF(G316="fora do recorte","",SUMPRODUCT(($G$3:$G$1723=G316)*($A$3:$A$1723&lt;=A316)))</f>
        <v/>
      </c>
      <c r="I316" s="4">
        <f>IF(H316="","",G316&amp;"|"&amp;H316)</f>
        <v/>
      </c>
      <c r="J316" s="4" t="inlineStr">
        <is>
          <t>https://www.google.com/maps/search/?api=1&amp;query=Real%20Brinquedos%20Av.%20Fernando%20Corr%C3%AAa&amp;query_place_id=ChIJP68pS8SxnZMRlpyXWcPOU3E</t>
        </is>
      </c>
      <c r="K316" s="4" t="inlineStr">
        <is>
          <t>Av. Fernando Corrêa da Costa, 629 - Areão, Cuiabá - MT, 78010-400, Brasil</t>
        </is>
      </c>
      <c r="L316" s="4" t="inlineStr">
        <is>
          <t>Cuiabá</t>
        </is>
      </c>
      <c r="M316" s="5" t="n">
        <v>1</v>
      </c>
    </row>
    <row r="317">
      <c r="A317" s="3">
        <f>RAND()</f>
        <v/>
      </c>
      <c r="B317" s="4" t="inlineStr">
        <is>
          <t>ChIJCxwjcNOznZMRWI5dfGfXE5E</t>
        </is>
      </c>
      <c r="C317" s="4" t="inlineStr">
        <is>
          <t>Rejane Caldas Pilates e RPG</t>
        </is>
      </c>
      <c r="D317" s="4" t="inlineStr">
        <is>
          <t>Cuiabá</t>
        </is>
      </c>
      <c r="E317" s="4" t="inlineStr">
        <is>
          <t>MT</t>
        </is>
      </c>
      <c r="F317" s="4" t="inlineStr">
        <is>
          <t>Capitais Regionais A</t>
        </is>
      </c>
      <c r="G317" s="4" t="inlineStr">
        <is>
          <t>Capital regional</t>
        </is>
      </c>
      <c r="H317" s="5">
        <f>IF(G317="fora do recorte","",SUMPRODUCT(($G$3:$G$1723=G317)*($A$3:$A$1723&lt;=A317)))</f>
        <v/>
      </c>
      <c r="I317" s="4">
        <f>IF(H317="","",G317&amp;"|"&amp;H317)</f>
        <v/>
      </c>
      <c r="J317" s="4" t="inlineStr">
        <is>
          <t>https://www.google.com/maps/search/?api=1&amp;query=Rejane%20Caldas%20Pilates%20e%20RPG&amp;query_place_id=ChIJCxwjcNOznZMRWI5dfGfXE5E</t>
        </is>
      </c>
      <c r="K317" s="4" t="inlineStr">
        <is>
          <t>R. Itália, 100 - Santa Rosa, Cuiabá - MT, 78040-240, Brasil</t>
        </is>
      </c>
      <c r="L317" s="4" t="inlineStr">
        <is>
          <t>Cuiabá</t>
        </is>
      </c>
      <c r="M317" s="5" t="n">
        <v>1</v>
      </c>
    </row>
    <row r="318">
      <c r="A318" s="3">
        <f>RAND()</f>
        <v/>
      </c>
      <c r="B318" s="4" t="inlineStr">
        <is>
          <t>ChIJA5QM9SmznZMR4oyqem28VEI</t>
        </is>
      </c>
      <c r="C318" s="4" t="inlineStr">
        <is>
          <t>Saloon Geek</t>
        </is>
      </c>
      <c r="D318" s="4" t="inlineStr">
        <is>
          <t>Cuiabá</t>
        </is>
      </c>
      <c r="E318" s="4" t="inlineStr">
        <is>
          <t>MT</t>
        </is>
      </c>
      <c r="F318" s="4" t="inlineStr">
        <is>
          <t>Capitais Regionais A</t>
        </is>
      </c>
      <c r="G318" s="4" t="inlineStr">
        <is>
          <t>Capital regional</t>
        </is>
      </c>
      <c r="H318" s="5">
        <f>IF(G318="fora do recorte","",SUMPRODUCT(($G$3:$G$1723=G318)*($A$3:$A$1723&lt;=A318)))</f>
        <v/>
      </c>
      <c r="I318" s="4">
        <f>IF(H318="","",G318&amp;"|"&amp;H318)</f>
        <v/>
      </c>
      <c r="J318" s="4" t="inlineStr">
        <is>
          <t>https://www.google.com/maps/search/?api=1&amp;query=Saloon%20Geek&amp;query_place_id=ChIJA5QM9SmznZMR4oyqem28VEI</t>
        </is>
      </c>
      <c r="K318" s="4" t="inlineStr">
        <is>
          <t>ao lado da Lupo, Goiabeiras Shopping - Av. Jose Monteiro de Figueiredo, 500 - 1° piso - Duque de Caxias, Cuiabá - MT, 78043-300, Brasil</t>
        </is>
      </c>
      <c r="L318" s="4" t="inlineStr">
        <is>
          <t>Cuiabá</t>
        </is>
      </c>
      <c r="M318" s="5" t="n">
        <v>1</v>
      </c>
    </row>
    <row r="319">
      <c r="A319" s="3">
        <f>RAND()</f>
        <v/>
      </c>
      <c r="B319" s="4" t="inlineStr">
        <is>
          <t>ChIJC8k-3ZSxnZMR-AaUmrnn5ek</t>
        </is>
      </c>
      <c r="C319" s="4" t="inlineStr">
        <is>
          <t>Shopping Popular</t>
        </is>
      </c>
      <c r="D319" s="4" t="inlineStr">
        <is>
          <t>Cuiabá</t>
        </is>
      </c>
      <c r="E319" s="4" t="inlineStr">
        <is>
          <t>MT</t>
        </is>
      </c>
      <c r="F319" s="4" t="inlineStr">
        <is>
          <t>Capitais Regionais A</t>
        </is>
      </c>
      <c r="G319" s="4" t="inlineStr">
        <is>
          <t>Capital regional</t>
        </is>
      </c>
      <c r="H319" s="5">
        <f>IF(G319="fora do recorte","",SUMPRODUCT(($G$3:$G$1723=G319)*($A$3:$A$1723&lt;=A319)))</f>
        <v/>
      </c>
      <c r="I319" s="4">
        <f>IF(H319="","",G319&amp;"|"&amp;H319)</f>
        <v/>
      </c>
      <c r="J319" s="4" t="inlineStr">
        <is>
          <t>https://www.google.com/maps/search/?api=1&amp;query=Shopping%20Popular&amp;query_place_id=ChIJC8k-3ZSxnZMR-AaUmrnn5ek</t>
        </is>
      </c>
      <c r="K319" s="4" t="inlineStr">
        <is>
          <t>Av. Manoel José de Arruda, 207 - Dom Aquino, Cuiabá - MT, 78005-500, Brasil</t>
        </is>
      </c>
      <c r="L319" s="4" t="inlineStr">
        <is>
          <t>Cuiabá</t>
        </is>
      </c>
      <c r="M319" s="5" t="n">
        <v>2</v>
      </c>
    </row>
    <row r="320">
      <c r="A320" s="3">
        <f>RAND()</f>
        <v/>
      </c>
      <c r="B320" s="4" t="inlineStr">
        <is>
          <t>ChIJW5J2IESvnZMRjPcN_wuMHxw</t>
        </is>
      </c>
      <c r="C320" s="4" t="inlineStr">
        <is>
          <t>Social Lounge Bar</t>
        </is>
      </c>
      <c r="D320" s="4" t="inlineStr">
        <is>
          <t>Cuiabá</t>
        </is>
      </c>
      <c r="E320" s="4" t="inlineStr">
        <is>
          <t>MT</t>
        </is>
      </c>
      <c r="F320" s="4" t="inlineStr">
        <is>
          <t>Capitais Regionais A</t>
        </is>
      </c>
      <c r="G320" s="4" t="inlineStr">
        <is>
          <t>Capital regional</t>
        </is>
      </c>
      <c r="H320" s="5">
        <f>IF(G320="fora do recorte","",SUMPRODUCT(($G$3:$G$1723=G320)*($A$3:$A$1723&lt;=A320)))</f>
        <v/>
      </c>
      <c r="I320" s="4">
        <f>IF(H320="","",G320&amp;"|"&amp;H320)</f>
        <v/>
      </c>
      <c r="J320" s="4" t="inlineStr">
        <is>
          <t>https://www.google.com/maps/search/?api=1&amp;query=Social%20Lounge%20Bar&amp;query_place_id=ChIJW5J2IESvnZMRjPcN_wuMHxw</t>
        </is>
      </c>
      <c r="K320" s="4" t="inlineStr">
        <is>
          <t>av - R. Jorn. Roberto Jaques Brunini, 09 - Jardim Europa, Cuiabá - MT, 78065-400, Brasil</t>
        </is>
      </c>
      <c r="L320" s="4" t="inlineStr">
        <is>
          <t>Cuiabá</t>
        </is>
      </c>
      <c r="M320" s="5" t="n">
        <v>2</v>
      </c>
    </row>
    <row r="321">
      <c r="A321" s="3">
        <f>RAND()</f>
        <v/>
      </c>
      <c r="B321" s="4" t="inlineStr">
        <is>
          <t>ChIJ8SI6Ur-xnZMROgZTG7dv0hY</t>
        </is>
      </c>
      <c r="C321" s="4" t="inlineStr">
        <is>
          <t>Stop Game MT</t>
        </is>
      </c>
      <c r="D321" s="4" t="inlineStr">
        <is>
          <t>Cuiabá</t>
        </is>
      </c>
      <c r="E321" s="4" t="inlineStr">
        <is>
          <t>MT</t>
        </is>
      </c>
      <c r="F321" s="4" t="inlineStr">
        <is>
          <t>Capitais Regionais A</t>
        </is>
      </c>
      <c r="G321" s="4" t="inlineStr">
        <is>
          <t>Capital regional</t>
        </is>
      </c>
      <c r="H321" s="5">
        <f>IF(G321="fora do recorte","",SUMPRODUCT(($G$3:$G$1723=G321)*($A$3:$A$1723&lt;=A321)))</f>
        <v/>
      </c>
      <c r="I321" s="4">
        <f>IF(H321="","",G321&amp;"|"&amp;H321)</f>
        <v/>
      </c>
      <c r="J321" s="4" t="inlineStr">
        <is>
          <t>https://www.google.com/maps/search/?api=1&amp;query=Stop%20Game%20MT&amp;query_place_id=ChIJ8SI6Ur-xnZMROgZTG7dv0hY</t>
        </is>
      </c>
      <c r="K321" s="4" t="inlineStr">
        <is>
          <t>Shopping popular - Terceiro, Cuiabá - MT, 78015-900, Brasil</t>
        </is>
      </c>
      <c r="L321" s="4" t="inlineStr">
        <is>
          <t>Cuiabá</t>
        </is>
      </c>
      <c r="M321" s="5" t="n">
        <v>3</v>
      </c>
    </row>
    <row r="322">
      <c r="A322" s="3">
        <f>RAND()</f>
        <v/>
      </c>
      <c r="B322" s="4" t="inlineStr">
        <is>
          <t>ChIJQz1rdNKxnZMRK3eFsf0zTU8</t>
        </is>
      </c>
      <c r="C322" s="4" t="inlineStr">
        <is>
          <t>Street Games</t>
        </is>
      </c>
      <c r="D322" s="4" t="inlineStr">
        <is>
          <t>Cuiabá</t>
        </is>
      </c>
      <c r="E322" s="4" t="inlineStr">
        <is>
          <t>MT</t>
        </is>
      </c>
      <c r="F322" s="4" t="inlineStr">
        <is>
          <t>Capitais Regionais A</t>
        </is>
      </c>
      <c r="G322" s="4" t="inlineStr">
        <is>
          <t>Capital regional</t>
        </is>
      </c>
      <c r="H322" s="5">
        <f>IF(G322="fora do recorte","",SUMPRODUCT(($G$3:$G$1723=G322)*($A$3:$A$1723&lt;=A322)))</f>
        <v/>
      </c>
      <c r="I322" s="4">
        <f>IF(H322="","",G322&amp;"|"&amp;H322)</f>
        <v/>
      </c>
      <c r="J322" s="4" t="inlineStr">
        <is>
          <t>https://www.google.com/maps/search/?api=1&amp;query=Street%20Games&amp;query_place_id=ChIJQz1rdNKxnZMRK3eFsf0zTU8</t>
        </is>
      </c>
      <c r="K322" s="4" t="inlineStr">
        <is>
          <t>Rua - Shopping Popular - Av. Manoel José de Arruda, 207 - Dom Aquino, Cuiabá - MT, 78015-000, Brasil</t>
        </is>
      </c>
      <c r="L322" s="4" t="inlineStr">
        <is>
          <t>Cuiabá</t>
        </is>
      </c>
      <c r="M322" s="5" t="n">
        <v>3</v>
      </c>
    </row>
    <row r="323">
      <c r="A323" s="3">
        <f>RAND()</f>
        <v/>
      </c>
      <c r="B323" s="4" t="inlineStr">
        <is>
          <t>ChIJCRYPCyaynZMRVzgrFLpODyg</t>
        </is>
      </c>
      <c r="C323" s="4" t="inlineStr">
        <is>
          <t>Studio Leve</t>
        </is>
      </c>
      <c r="D323" s="4" t="inlineStr">
        <is>
          <t>Cuiabá</t>
        </is>
      </c>
      <c r="E323" s="4" t="inlineStr">
        <is>
          <t>MT</t>
        </is>
      </c>
      <c r="F323" s="4" t="inlineStr">
        <is>
          <t>Capitais Regionais A</t>
        </is>
      </c>
      <c r="G323" s="4" t="inlineStr">
        <is>
          <t>Capital regional</t>
        </is>
      </c>
      <c r="H323" s="5">
        <f>IF(G323="fora do recorte","",SUMPRODUCT(($G$3:$G$1723=G323)*($A$3:$A$1723&lt;=A323)))</f>
        <v/>
      </c>
      <c r="I323" s="4">
        <f>IF(H323="","",G323&amp;"|"&amp;H323)</f>
        <v/>
      </c>
      <c r="J323" s="4" t="inlineStr">
        <is>
          <t>https://www.google.com/maps/search/?api=1&amp;query=Studio%20Leve&amp;query_place_id=ChIJCRYPCyaynZMRVzgrFLpODyg</t>
        </is>
      </c>
      <c r="K323" s="4" t="inlineStr">
        <is>
          <t>Rua: das Orquídeas, 74 - Jardim Cuiaba, Cuiabá - MT, 78043-148, Brasil</t>
        </is>
      </c>
      <c r="L323" s="4" t="inlineStr">
        <is>
          <t>Cuiabá</t>
        </is>
      </c>
      <c r="M323" s="5" t="n">
        <v>1</v>
      </c>
    </row>
    <row r="324">
      <c r="A324" s="3">
        <f>RAND()</f>
        <v/>
      </c>
      <c r="B324" s="4" t="inlineStr">
        <is>
          <t>ChIJmzi9dZ2lnZMRrNnpun3IhRk</t>
        </is>
      </c>
      <c r="C324" s="4" t="inlineStr">
        <is>
          <t>Super Games store</t>
        </is>
      </c>
      <c r="D324" s="4" t="inlineStr">
        <is>
          <t>Cuiabá</t>
        </is>
      </c>
      <c r="E324" s="4" t="inlineStr">
        <is>
          <t>MT</t>
        </is>
      </c>
      <c r="F324" s="4" t="inlineStr">
        <is>
          <t>Capitais Regionais A</t>
        </is>
      </c>
      <c r="G324" s="4" t="inlineStr">
        <is>
          <t>Capital regional</t>
        </is>
      </c>
      <c r="H324" s="5">
        <f>IF(G324="fora do recorte","",SUMPRODUCT(($G$3:$G$1723=G324)*($A$3:$A$1723&lt;=A324)))</f>
        <v/>
      </c>
      <c r="I324" s="4">
        <f>IF(H324="","",G324&amp;"|"&amp;H324)</f>
        <v/>
      </c>
      <c r="J324" s="4" t="inlineStr">
        <is>
          <t>https://www.google.com/maps/search/?api=1&amp;query=Super%20Games%20store&amp;query_place_id=ChIJmzi9dZ2lnZMRrNnpun3IhRk</t>
        </is>
      </c>
      <c r="K324" s="4" t="inlineStr">
        <is>
          <t>Av. Espigão, 425 - Tijucal, Cuiabá - MT, 78088-000, Brasil</t>
        </is>
      </c>
      <c r="L324" s="4" t="inlineStr">
        <is>
          <t>Cuiabá</t>
        </is>
      </c>
      <c r="M324" s="5" t="n">
        <v>1</v>
      </c>
    </row>
    <row r="325">
      <c r="A325" s="3">
        <f>RAND()</f>
        <v/>
      </c>
      <c r="B325" s="4" t="inlineStr">
        <is>
          <t>ChIJN4vDZyaznZMR8SQZuXccxjM</t>
        </is>
      </c>
      <c r="C325" s="4" t="inlineStr">
        <is>
          <t>Tadeu Rock Bar</t>
        </is>
      </c>
      <c r="D325" s="4" t="inlineStr">
        <is>
          <t>Cuiabá</t>
        </is>
      </c>
      <c r="E325" s="4" t="inlineStr">
        <is>
          <t>MT</t>
        </is>
      </c>
      <c r="F325" s="4" t="inlineStr">
        <is>
          <t>Capitais Regionais A</t>
        </is>
      </c>
      <c r="G325" s="4" t="inlineStr">
        <is>
          <t>Capital regional</t>
        </is>
      </c>
      <c r="H325" s="5">
        <f>IF(G325="fora do recorte","",SUMPRODUCT(($G$3:$G$1723=G325)*($A$3:$A$1723&lt;=A325)))</f>
        <v/>
      </c>
      <c r="I325" s="4">
        <f>IF(H325="","",G325&amp;"|"&amp;H325)</f>
        <v/>
      </c>
      <c r="J325" s="4" t="inlineStr">
        <is>
          <t>https://www.google.com/maps/search/?api=1&amp;query=Tadeu%20Rock%20Bar&amp;query_place_id=ChIJN4vDZyaznZMR8SQZuXccxjM</t>
        </is>
      </c>
      <c r="K325" s="4" t="inlineStr">
        <is>
          <t>Santa Rosa, Cuiabá - MT, 78158-720, Brasil</t>
        </is>
      </c>
      <c r="L325" s="4" t="inlineStr">
        <is>
          <t>Cuiabá</t>
        </is>
      </c>
      <c r="M325" s="5" t="n">
        <v>2</v>
      </c>
    </row>
    <row r="326">
      <c r="A326" s="3">
        <f>RAND()</f>
        <v/>
      </c>
      <c r="B326" s="4" t="inlineStr">
        <is>
          <t>ChIJ4aUiztSznZMRl-1sYu-d79I</t>
        </is>
      </c>
      <c r="C326" s="4" t="inlineStr">
        <is>
          <t>Talavera Bar e Restaurante</t>
        </is>
      </c>
      <c r="D326" s="4" t="inlineStr">
        <is>
          <t>Cuiabá</t>
        </is>
      </c>
      <c r="E326" s="4" t="inlineStr">
        <is>
          <t>MT</t>
        </is>
      </c>
      <c r="F326" s="4" t="inlineStr">
        <is>
          <t>Capitais Regionais A</t>
        </is>
      </c>
      <c r="G326" s="4" t="inlineStr">
        <is>
          <t>Capital regional</t>
        </is>
      </c>
      <c r="H326" s="5">
        <f>IF(G326="fora do recorte","",SUMPRODUCT(($G$3:$G$1723=G326)*($A$3:$A$1723&lt;=A326)))</f>
        <v/>
      </c>
      <c r="I326" s="4">
        <f>IF(H326="","",G326&amp;"|"&amp;H326)</f>
        <v/>
      </c>
      <c r="J326" s="4" t="inlineStr">
        <is>
          <t>https://www.google.com/maps/search/?api=1&amp;query=Talavera%20Bar%20e%20Restaurante&amp;query_place_id=ChIJ4aUiztSznZMRl-1sYu-d79I</t>
        </is>
      </c>
      <c r="K326" s="4" t="inlineStr">
        <is>
          <t>Av. José Rodrigues do Prado, 40 - Santa Rosa, Cuiabá - MT, 78040-350, Brasil</t>
        </is>
      </c>
      <c r="L326" s="4" t="inlineStr">
        <is>
          <t>Cuiabá</t>
        </is>
      </c>
      <c r="M326" s="5" t="n">
        <v>1</v>
      </c>
    </row>
    <row r="327">
      <c r="A327" s="3">
        <f>RAND()</f>
        <v/>
      </c>
      <c r="B327" s="4" t="inlineStr">
        <is>
          <t>ChIJ8wtxLMSvnZMRyoW2i__eYGA</t>
        </is>
      </c>
      <c r="C327" s="4" t="inlineStr">
        <is>
          <t>Tatehira Card Games &amp; Cyber Café</t>
        </is>
      </c>
      <c r="D327" s="4" t="inlineStr">
        <is>
          <t>Cuiabá</t>
        </is>
      </c>
      <c r="E327" s="4" t="inlineStr">
        <is>
          <t>MT</t>
        </is>
      </c>
      <c r="F327" s="4" t="inlineStr">
        <is>
          <t>Capitais Regionais A</t>
        </is>
      </c>
      <c r="G327" s="4" t="inlineStr">
        <is>
          <t>Capital regional</t>
        </is>
      </c>
      <c r="H327" s="5">
        <f>IF(G327="fora do recorte","",SUMPRODUCT(($G$3:$G$1723=G327)*($A$3:$A$1723&lt;=A327)))</f>
        <v/>
      </c>
      <c r="I327" s="4">
        <f>IF(H327="","",G327&amp;"|"&amp;H327)</f>
        <v/>
      </c>
      <c r="J327" s="4" t="inlineStr">
        <is>
          <t>https://www.google.com/maps/search/?api=1&amp;query=Tatehira%20Card%20Games%20%26%20Cyber%20Caf%C3%A9&amp;query_place_id=ChIJ8wtxLMSvnZMRyoW2i__eYGA</t>
        </is>
      </c>
      <c r="K327" s="4" t="inlineStr">
        <is>
          <t>Av. Fernando Corrêa da Costa, 4620-A - Jardim Alencastro, Cuiabá - MT, 78085-000, Brasil</t>
        </is>
      </c>
      <c r="L327" s="4" t="inlineStr">
        <is>
          <t>Cuiabá</t>
        </is>
      </c>
      <c r="M327" s="5" t="n">
        <v>6</v>
      </c>
    </row>
    <row r="328">
      <c r="A328" s="3">
        <f>RAND()</f>
        <v/>
      </c>
      <c r="B328" s="4" t="inlineStr">
        <is>
          <t>ChIJIfH6eY2xnZMRmxvqH0iQZEk</t>
        </is>
      </c>
      <c r="C328" s="4" t="inlineStr">
        <is>
          <t>Tatu Bola Bar</t>
        </is>
      </c>
      <c r="D328" s="4" t="inlineStr">
        <is>
          <t>Cuiabá</t>
        </is>
      </c>
      <c r="E328" s="4" t="inlineStr">
        <is>
          <t>MT</t>
        </is>
      </c>
      <c r="F328" s="4" t="inlineStr">
        <is>
          <t>Capitais Regionais A</t>
        </is>
      </c>
      <c r="G328" s="4" t="inlineStr">
        <is>
          <t>Capital regional</t>
        </is>
      </c>
      <c r="H328" s="5">
        <f>IF(G328="fora do recorte","",SUMPRODUCT(($G$3:$G$1723=G328)*($A$3:$A$1723&lt;=A328)))</f>
        <v/>
      </c>
      <c r="I328" s="4">
        <f>IF(H328="","",G328&amp;"|"&amp;H328)</f>
        <v/>
      </c>
      <c r="J328" s="4" t="inlineStr">
        <is>
          <t>https://www.google.com/maps/search/?api=1&amp;query=Tatu%20Bola%20Bar&amp;query_place_id=ChIJIfH6eY2xnZMRmxvqH0iQZEk</t>
        </is>
      </c>
      <c r="K328" s="4" t="inlineStr">
        <is>
          <t>R. Sen. Vilas Bôas, 48 - Popular, Cuiabá - MT, 78045-430, Brasil</t>
        </is>
      </c>
      <c r="L328" s="4" t="inlineStr">
        <is>
          <t>Cuiabá</t>
        </is>
      </c>
      <c r="M328" s="5" t="n">
        <v>2</v>
      </c>
    </row>
    <row r="329">
      <c r="A329" s="3">
        <f>RAND()</f>
        <v/>
      </c>
      <c r="B329" s="4" t="inlineStr">
        <is>
          <t>ChIJCzg4tSyunZMRiRi_qyz9HXw</t>
        </is>
      </c>
      <c r="C329" s="4" t="inlineStr">
        <is>
          <t>Taverna Corvo Negro</t>
        </is>
      </c>
      <c r="D329" s="4" t="inlineStr">
        <is>
          <t>Cuiabá</t>
        </is>
      </c>
      <c r="E329" s="4" t="inlineStr">
        <is>
          <t>MT</t>
        </is>
      </c>
      <c r="F329" s="4" t="inlineStr">
        <is>
          <t>Capitais Regionais A</t>
        </is>
      </c>
      <c r="G329" s="4" t="inlineStr">
        <is>
          <t>Capital regional</t>
        </is>
      </c>
      <c r="H329" s="5">
        <f>IF(G329="fora do recorte","",SUMPRODUCT(($G$3:$G$1723=G329)*($A$3:$A$1723&lt;=A329)))</f>
        <v/>
      </c>
      <c r="I329" s="4">
        <f>IF(H329="","",G329&amp;"|"&amp;H329)</f>
        <v/>
      </c>
      <c r="J329" s="4" t="inlineStr">
        <is>
          <t>https://www.google.com/maps/search/?api=1&amp;query=Taverna%20Corvo%20Negro&amp;query_place_id=ChIJCzg4tSyunZMRiRi_qyz9HXw</t>
        </is>
      </c>
      <c r="K329" s="4" t="inlineStr">
        <is>
          <t>R. Samatra, 49 - Jardim Shangri-lá, Cuiabá - MT, 78070-170, Brasil</t>
        </is>
      </c>
      <c r="L329" s="4" t="inlineStr">
        <is>
          <t>Cuiabá</t>
        </is>
      </c>
      <c r="M329" s="5" t="n">
        <v>5</v>
      </c>
    </row>
    <row r="330">
      <c r="A330" s="3">
        <f>RAND()</f>
        <v/>
      </c>
      <c r="B330" s="4" t="inlineStr">
        <is>
          <t>ChIJtaYJGpmvnZMRy-APw1Bxyaw</t>
        </is>
      </c>
      <c r="C330" s="4" t="inlineStr">
        <is>
          <t>The Hookah Lounge Bar</t>
        </is>
      </c>
      <c r="D330" s="4" t="inlineStr">
        <is>
          <t>Cuiabá</t>
        </is>
      </c>
      <c r="E330" s="4" t="inlineStr">
        <is>
          <t>MT</t>
        </is>
      </c>
      <c r="F330" s="4" t="inlineStr">
        <is>
          <t>Capitais Regionais A</t>
        </is>
      </c>
      <c r="G330" s="4" t="inlineStr">
        <is>
          <t>Capital regional</t>
        </is>
      </c>
      <c r="H330" s="5">
        <f>IF(G330="fora do recorte","",SUMPRODUCT(($G$3:$G$1723=G330)*($A$3:$A$1723&lt;=A330)))</f>
        <v/>
      </c>
      <c r="I330" s="4">
        <f>IF(H330="","",G330&amp;"|"&amp;H330)</f>
        <v/>
      </c>
      <c r="J330" s="4" t="inlineStr">
        <is>
          <t>https://www.google.com/maps/search/?api=1&amp;query=The%20Hookah%20Lounge%20Bar&amp;query_place_id=ChIJtaYJGpmvnZMRy-APw1Bxyaw</t>
        </is>
      </c>
      <c r="K330" s="4" t="inlineStr">
        <is>
          <t>Av. Manoel José de Arruda, 30 - Grande Terceiro, Cuiabá - MT, 78065-700, Brasil</t>
        </is>
      </c>
      <c r="L330" s="4" t="inlineStr">
        <is>
          <t>Cuiabá</t>
        </is>
      </c>
      <c r="M330" s="5" t="n">
        <v>1</v>
      </c>
    </row>
    <row r="331">
      <c r="A331" s="3">
        <f>RAND()</f>
        <v/>
      </c>
      <c r="B331" s="4" t="inlineStr">
        <is>
          <t>ChIJ2VZmPCKvnZMRjnyQxUS728k</t>
        </is>
      </c>
      <c r="C331" s="4" t="inlineStr">
        <is>
          <t>University Beer - Cuiabá</t>
        </is>
      </c>
      <c r="D331" s="4" t="inlineStr">
        <is>
          <t>Cuiabá</t>
        </is>
      </c>
      <c r="E331" s="4" t="inlineStr">
        <is>
          <t>MT</t>
        </is>
      </c>
      <c r="F331" s="4" t="inlineStr">
        <is>
          <t>Capitais Regionais A</t>
        </is>
      </c>
      <c r="G331" s="4" t="inlineStr">
        <is>
          <t>Capital regional</t>
        </is>
      </c>
      <c r="H331" s="5">
        <f>IF(G331="fora do recorte","",SUMPRODUCT(($G$3:$G$1723=G331)*($A$3:$A$1723&lt;=A331)))</f>
        <v/>
      </c>
      <c r="I331" s="4">
        <f>IF(H331="","",G331&amp;"|"&amp;H331)</f>
        <v/>
      </c>
      <c r="J331" s="4" t="inlineStr">
        <is>
          <t>https://www.google.com/maps/search/?api=1&amp;query=University%20Beer%20-%20Cuiab%C3%A1&amp;query_place_id=ChIJ2VZmPCKvnZMRjnyQxUS728k</t>
        </is>
      </c>
      <c r="K331" s="4" t="inlineStr">
        <is>
          <t>R. Jorn. Roberto Jaques Brunini, 16 - Jardim Paulista, Cuiabá - MT, 78065-400, Brasil</t>
        </is>
      </c>
      <c r="L331" s="4" t="inlineStr">
        <is>
          <t>Cuiabá</t>
        </is>
      </c>
      <c r="M331" s="5" t="n">
        <v>2</v>
      </c>
    </row>
    <row r="332">
      <c r="A332" s="3">
        <f>RAND()</f>
        <v/>
      </c>
      <c r="B332" s="4" t="inlineStr">
        <is>
          <t>ChIJUevxmFaxnZMRt6UhE8iQrvo</t>
        </is>
      </c>
      <c r="C332" s="4" t="inlineStr">
        <is>
          <t>Wow Park</t>
        </is>
      </c>
      <c r="D332" s="4" t="inlineStr">
        <is>
          <t>Cuiabá</t>
        </is>
      </c>
      <c r="E332" s="4" t="inlineStr">
        <is>
          <t>MT</t>
        </is>
      </c>
      <c r="F332" s="4" t="inlineStr">
        <is>
          <t>Capitais Regionais A</t>
        </is>
      </c>
      <c r="G332" s="4" t="inlineStr">
        <is>
          <t>Capital regional</t>
        </is>
      </c>
      <c r="H332" s="5">
        <f>IF(G332="fora do recorte","",SUMPRODUCT(($G$3:$G$1723=G332)*($A$3:$A$1723&lt;=A332)))</f>
        <v/>
      </c>
      <c r="I332" s="4">
        <f>IF(H332="","",G332&amp;"|"&amp;H332)</f>
        <v/>
      </c>
      <c r="J332" s="4" t="inlineStr">
        <is>
          <t>https://www.google.com/maps/search/?api=1&amp;query=Wow%20Park&amp;query_place_id=ChIJUevxmFaxnZMRt6UhE8iQrvo</t>
        </is>
      </c>
      <c r="K332" s="4" t="inlineStr">
        <is>
          <t>Av. Jose Monteiro de Figueiredo, 500 - Loja 226 Piso 2 - Duque de Caxias, Cuiabá - MT, 78043-300, Brasil</t>
        </is>
      </c>
      <c r="L332" s="4" t="inlineStr">
        <is>
          <t>Cuiabá</t>
        </is>
      </c>
      <c r="M332" s="5" t="n">
        <v>1</v>
      </c>
    </row>
    <row r="333">
      <c r="A333" s="3">
        <f>RAND()</f>
        <v/>
      </c>
      <c r="B333" s="4" t="inlineStr">
        <is>
          <t>ChIJd9snKMqznZMRj6VpUHFgQyM</t>
        </is>
      </c>
      <c r="C333" s="4" t="inlineStr">
        <is>
          <t>Youplay Estação Cuiabá</t>
        </is>
      </c>
      <c r="D333" s="4" t="inlineStr">
        <is>
          <t>Cuiabá</t>
        </is>
      </c>
      <c r="E333" s="4" t="inlineStr">
        <is>
          <t>MT</t>
        </is>
      </c>
      <c r="F333" s="4" t="inlineStr">
        <is>
          <t>Capitais Regionais A</t>
        </is>
      </c>
      <c r="G333" s="4" t="inlineStr">
        <is>
          <t>Capital regional</t>
        </is>
      </c>
      <c r="H333" s="5">
        <f>IF(G333="fora do recorte","",SUMPRODUCT(($G$3:$G$1723=G333)*($A$3:$A$1723&lt;=A333)))</f>
        <v/>
      </c>
      <c r="I333" s="4">
        <f>IF(H333="","",G333&amp;"|"&amp;H333)</f>
        <v/>
      </c>
      <c r="J333" s="4" t="inlineStr">
        <is>
          <t>https://www.google.com/maps/search/?api=1&amp;query=Youplay%20Esta%C3%A7%C3%A3o%20Cuiab%C3%A1&amp;query_place_id=ChIJd9snKMqznZMRj6VpUHFgQyM</t>
        </is>
      </c>
      <c r="K333" s="4" t="inlineStr">
        <is>
          <t>SHOPPING ESTAÇÃO CUIABÁ - Av. Miguel Sutil, 9300 - Piso L3 - Santa Rosa, Cuiabá - MT, 78040-365, Brasil</t>
        </is>
      </c>
      <c r="L333" s="4" t="inlineStr">
        <is>
          <t>Cuiabá</t>
        </is>
      </c>
      <c r="M333" s="5" t="n">
        <v>1</v>
      </c>
    </row>
    <row r="334">
      <c r="A334" s="3">
        <f>RAND()</f>
        <v/>
      </c>
      <c r="B334" s="4" t="inlineStr">
        <is>
          <t>ChIJUYE_1MKxnZMR7JCcXRmoz5w</t>
        </is>
      </c>
      <c r="C334" s="4" t="inlineStr">
        <is>
          <t>Zenaide Bar Cuiabá</t>
        </is>
      </c>
      <c r="D334" s="4" t="inlineStr">
        <is>
          <t>Cuiabá</t>
        </is>
      </c>
      <c r="E334" s="4" t="inlineStr">
        <is>
          <t>MT</t>
        </is>
      </c>
      <c r="F334" s="4" t="inlineStr">
        <is>
          <t>Capitais Regionais A</t>
        </is>
      </c>
      <c r="G334" s="4" t="inlineStr">
        <is>
          <t>Capital regional</t>
        </is>
      </c>
      <c r="H334" s="5">
        <f>IF(G334="fora do recorte","",SUMPRODUCT(($G$3:$G$1723=G334)*($A$3:$A$1723&lt;=A334)))</f>
        <v/>
      </c>
      <c r="I334" s="4">
        <f>IF(H334="","",G334&amp;"|"&amp;H334)</f>
        <v/>
      </c>
      <c r="J334" s="4" t="inlineStr">
        <is>
          <t>https://www.google.com/maps/search/?api=1&amp;query=Zenaide%20Bar%20Cuiab%C3%A1&amp;query_place_id=ChIJUYE_1MKxnZMR7JCcXRmoz5w</t>
        </is>
      </c>
      <c r="K334" s="4" t="inlineStr">
        <is>
          <t>Pantanal Shopping - Av. Historiador Rubens de Mendonça, 3300 - Jardim Aclimacao, Cuiabá - MT, 78020-250, Brasil</t>
        </is>
      </c>
      <c r="L334" s="4" t="inlineStr">
        <is>
          <t>Cuiabá</t>
        </is>
      </c>
      <c r="M334" s="5" t="n">
        <v>2</v>
      </c>
    </row>
    <row r="335">
      <c r="A335" s="3">
        <f>RAND()</f>
        <v/>
      </c>
      <c r="B335" s="4" t="inlineStr">
        <is>
          <t>ChIJ3eWYRB_prAcRUm753rADOE8</t>
        </is>
      </c>
      <c r="C335" s="4" t="inlineStr">
        <is>
          <t>Sport Play</t>
        </is>
      </c>
      <c r="D335" s="4" t="inlineStr">
        <is>
          <t>Bayeux</t>
        </is>
      </c>
      <c r="E335" s="4" t="inlineStr">
        <is>
          <t>PB</t>
        </is>
      </c>
      <c r="F335" s="4" t="inlineStr">
        <is>
          <t>Capitais Regionais A</t>
        </is>
      </c>
      <c r="G335" s="4" t="inlineStr">
        <is>
          <t>Capital regional</t>
        </is>
      </c>
      <c r="H335" s="5">
        <f>IF(G335="fora do recorte","",SUMPRODUCT(($G$3:$G$1723=G335)*($A$3:$A$1723&lt;=A335)))</f>
        <v/>
      </c>
      <c r="I335" s="4">
        <f>IF(H335="","",G335&amp;"|"&amp;H335)</f>
        <v/>
      </c>
      <c r="J335" s="4" t="inlineStr">
        <is>
          <t>https://www.google.com/maps/search/?api=1&amp;query=Sport%20Play&amp;query_place_id=ChIJ3eWYRB_prAcRUm753rADOE8</t>
        </is>
      </c>
      <c r="K335" s="4" t="inlineStr">
        <is>
          <t>Rua: Genival Guedes, 724 - Mario Andreazza, Bayeux - PB, 58309-700, Brasil</t>
        </is>
      </c>
      <c r="L335" s="4" t="inlineStr">
        <is>
          <t>João Pessoa</t>
        </is>
      </c>
      <c r="M335" s="5" t="n">
        <v>2</v>
      </c>
    </row>
    <row r="336">
      <c r="A336" s="3">
        <f>RAND()</f>
        <v/>
      </c>
      <c r="B336" s="4" t="inlineStr">
        <is>
          <t>ChIJU2L8NADdrAcRKkTMbkfH-wA</t>
        </is>
      </c>
      <c r="C336" s="4" t="inlineStr">
        <is>
          <t>Sonne Haus Hambúrgueria</t>
        </is>
      </c>
      <c r="D336" s="4" t="inlineStr">
        <is>
          <t>Cabedelo</t>
        </is>
      </c>
      <c r="E336" s="4" t="inlineStr">
        <is>
          <t>PB</t>
        </is>
      </c>
      <c r="F336" s="4" t="inlineStr">
        <is>
          <t>Capitais Regionais A</t>
        </is>
      </c>
      <c r="G336" s="4" t="inlineStr">
        <is>
          <t>Capital regional</t>
        </is>
      </c>
      <c r="H336" s="5">
        <f>IF(G336="fora do recorte","",SUMPRODUCT(($G$3:$G$1723=G336)*($A$3:$A$1723&lt;=A336)))</f>
        <v/>
      </c>
      <c r="I336" s="4">
        <f>IF(H336="","",G336&amp;"|"&amp;H336)</f>
        <v/>
      </c>
      <c r="J336" s="4" t="inlineStr">
        <is>
          <t>https://www.google.com/maps/search/?api=1&amp;query=Sonne%20Haus%20Hamb%C3%BArgueria&amp;query_place_id=ChIJU2L8NADdrAcRKkTMbkfH-wA</t>
        </is>
      </c>
      <c r="K336" s="4" t="inlineStr">
        <is>
          <t>R. José Bartolomeu Cabral, 40 - Jardim America, Cabedelo - PB, 58035-320, Brasil</t>
        </is>
      </c>
      <c r="L336" s="4" t="inlineStr">
        <is>
          <t>João Pessoa</t>
        </is>
      </c>
      <c r="M336" s="5" t="n">
        <v>1</v>
      </c>
    </row>
    <row r="337">
      <c r="A337" s="3">
        <f>RAND()</f>
        <v/>
      </c>
      <c r="B337" s="4" t="inlineStr">
        <is>
          <t>ChIJhe2rxenDrAcRUShNxuX6jqI</t>
        </is>
      </c>
      <c r="C337" s="4" t="inlineStr">
        <is>
          <t>3R Games</t>
        </is>
      </c>
      <c r="D337" s="4" t="inlineStr">
        <is>
          <t>João Pessoa</t>
        </is>
      </c>
      <c r="E337" s="4" t="inlineStr">
        <is>
          <t>PB</t>
        </is>
      </c>
      <c r="F337" s="4" t="inlineStr">
        <is>
          <t>Capitais Regionais A</t>
        </is>
      </c>
      <c r="G337" s="4" t="inlineStr">
        <is>
          <t>Capital regional</t>
        </is>
      </c>
      <c r="H337" s="5">
        <f>IF(G337="fora do recorte","",SUMPRODUCT(($G$3:$G$1723=G337)*($A$3:$A$1723&lt;=A337)))</f>
        <v/>
      </c>
      <c r="I337" s="4">
        <f>IF(H337="","",G337&amp;"|"&amp;H337)</f>
        <v/>
      </c>
      <c r="J337" s="4" t="inlineStr">
        <is>
          <t>https://www.google.com/maps/search/?api=1&amp;query=3R%20Games&amp;query_place_id=ChIJhe2rxenDrAcRUShNxuX6jqI</t>
        </is>
      </c>
      <c r="K337" s="4" t="inlineStr">
        <is>
          <t>R. Orlando Falcone de Oliveira, 1789 - Portal do Sol, João Pessoa - PB, 58046-528, Brasil</t>
        </is>
      </c>
      <c r="L337" s="4" t="inlineStr">
        <is>
          <t>João Pessoa</t>
        </is>
      </c>
      <c r="M337" s="5" t="n">
        <v>1</v>
      </c>
    </row>
    <row r="338">
      <c r="A338" s="3">
        <f>RAND()</f>
        <v/>
      </c>
      <c r="B338" s="4" t="inlineStr">
        <is>
          <t>ChIJDQ9TzKjDrAcRRG562PfeoZM</t>
        </is>
      </c>
      <c r="C338" s="4" t="inlineStr">
        <is>
          <t>Arena Gamer PB</t>
        </is>
      </c>
      <c r="D338" s="4" t="inlineStr">
        <is>
          <t>João Pessoa</t>
        </is>
      </c>
      <c r="E338" s="4" t="inlineStr">
        <is>
          <t>PB</t>
        </is>
      </c>
      <c r="F338" s="4" t="inlineStr">
        <is>
          <t>Capitais Regionais A</t>
        </is>
      </c>
      <c r="G338" s="4" t="inlineStr">
        <is>
          <t>Capital regional</t>
        </is>
      </c>
      <c r="H338" s="5">
        <f>IF(G338="fora do recorte","",SUMPRODUCT(($G$3:$G$1723=G338)*($A$3:$A$1723&lt;=A338)))</f>
        <v/>
      </c>
      <c r="I338" s="4">
        <f>IF(H338="","",G338&amp;"|"&amp;H338)</f>
        <v/>
      </c>
      <c r="J338" s="4" t="inlineStr">
        <is>
          <t>https://www.google.com/maps/search/?api=1&amp;query=Arena%20Gamer%20PB&amp;query_place_id=ChIJDQ9TzKjDrAcRRG562PfeoZM</t>
        </is>
      </c>
      <c r="K338" s="4" t="inlineStr">
        <is>
          <t>R. Etelvina Macedo de Mendonça - Torre, João Pessoa - PB, 58033-455, Brasil</t>
        </is>
      </c>
      <c r="L338" s="4" t="inlineStr">
        <is>
          <t>João Pessoa</t>
        </is>
      </c>
      <c r="M338" s="5" t="n">
        <v>1</v>
      </c>
    </row>
    <row r="339">
      <c r="A339" s="3">
        <f>RAND()</f>
        <v/>
      </c>
      <c r="B339" s="4" t="inlineStr">
        <is>
          <t>ChIJY5xzLO3DrAcRJ8LTQmTUTHA</t>
        </is>
      </c>
      <c r="C339" s="4" t="inlineStr">
        <is>
          <t>Arena Park</t>
        </is>
      </c>
      <c r="D339" s="4" t="inlineStr">
        <is>
          <t>João Pessoa</t>
        </is>
      </c>
      <c r="E339" s="4" t="inlineStr">
        <is>
          <t>PB</t>
        </is>
      </c>
      <c r="F339" s="4" t="inlineStr">
        <is>
          <t>Capitais Regionais A</t>
        </is>
      </c>
      <c r="G339" s="4" t="inlineStr">
        <is>
          <t>Capital regional</t>
        </is>
      </c>
      <c r="H339" s="5">
        <f>IF(G339="fora do recorte","",SUMPRODUCT(($G$3:$G$1723=G339)*($A$3:$A$1723&lt;=A339)))</f>
        <v/>
      </c>
      <c r="I339" s="4">
        <f>IF(H339="","",G339&amp;"|"&amp;H339)</f>
        <v/>
      </c>
      <c r="J339" s="4" t="inlineStr">
        <is>
          <t>https://www.google.com/maps/search/?api=1&amp;query=Arena%20Park&amp;query_place_id=ChIJY5xzLO3DrAcRJ8LTQmTUTHA</t>
        </is>
      </c>
      <c r="K339" s="4" t="inlineStr">
        <is>
          <t>R. Orlando di Cavalcanti Villar, 40 - Altiplano Cabo Branco, João Pessoa - PB, 58046-075, Brasil</t>
        </is>
      </c>
      <c r="L339" s="4" t="inlineStr">
        <is>
          <t>João Pessoa</t>
        </is>
      </c>
      <c r="M339" s="5" t="n">
        <v>1</v>
      </c>
    </row>
    <row r="340">
      <c r="A340" s="3">
        <f>RAND()</f>
        <v/>
      </c>
      <c r="B340" s="4" t="inlineStr">
        <is>
          <t>ChIJAVORl_PnrAcRx8xIIwOZu2U</t>
        </is>
      </c>
      <c r="C340" s="4" t="inlineStr">
        <is>
          <t>Atacadão Primos Importados</t>
        </is>
      </c>
      <c r="D340" s="4" t="inlineStr">
        <is>
          <t>João Pessoa</t>
        </is>
      </c>
      <c r="E340" s="4" t="inlineStr">
        <is>
          <t>PB</t>
        </is>
      </c>
      <c r="F340" s="4" t="inlineStr">
        <is>
          <t>Capitais Regionais A</t>
        </is>
      </c>
      <c r="G340" s="4" t="inlineStr">
        <is>
          <t>Capital regional</t>
        </is>
      </c>
      <c r="H340" s="5">
        <f>IF(G340="fora do recorte","",SUMPRODUCT(($G$3:$G$1723=G340)*($A$3:$A$1723&lt;=A340)))</f>
        <v/>
      </c>
      <c r="I340" s="4">
        <f>IF(H340="","",G340&amp;"|"&amp;H340)</f>
        <v/>
      </c>
      <c r="J340" s="4" t="inlineStr">
        <is>
          <t>https://www.google.com/maps/search/?api=1&amp;query=Atacad%C3%A3o%20Primos%20Importados&amp;query_place_id=ChIJAVORl_PnrAcRx8xIIwOZu2U</t>
        </is>
      </c>
      <c r="K340" s="4" t="inlineStr">
        <is>
          <t>Av. Mandacarú, 305 - Cidade Padre Ze, João Pessoa - PB, 58025-760, Brasil</t>
        </is>
      </c>
      <c r="L340" s="4" t="inlineStr">
        <is>
          <t>João Pessoa</t>
        </is>
      </c>
      <c r="M340" s="5" t="n">
        <v>1</v>
      </c>
    </row>
    <row r="341">
      <c r="A341" s="3">
        <f>RAND()</f>
        <v/>
      </c>
      <c r="B341" s="4" t="inlineStr">
        <is>
          <t>ChIJUTd2BQDprAcRRn2cH33kv2A</t>
        </is>
      </c>
      <c r="C341" s="4" t="inlineStr">
        <is>
          <t>Atendimento 24h Vídeos e Jogos</t>
        </is>
      </c>
      <c r="D341" s="4" t="inlineStr">
        <is>
          <t>João Pessoa</t>
        </is>
      </c>
      <c r="E341" s="4" t="inlineStr">
        <is>
          <t>PB</t>
        </is>
      </c>
      <c r="F341" s="4" t="inlineStr">
        <is>
          <t>Capitais Regionais A</t>
        </is>
      </c>
      <c r="G341" s="4" t="inlineStr">
        <is>
          <t>Capital regional</t>
        </is>
      </c>
      <c r="H341" s="5">
        <f>IF(G341="fora do recorte","",SUMPRODUCT(($G$3:$G$1723=G341)*($A$3:$A$1723&lt;=A341)))</f>
        <v/>
      </c>
      <c r="I341" s="4">
        <f>IF(H341="","",G341&amp;"|"&amp;H341)</f>
        <v/>
      </c>
      <c r="J341" s="4" t="inlineStr">
        <is>
          <t>https://www.google.com/maps/search/?api=1&amp;query=Atendimento%2024h%20V%C3%ADdeos%20e%20Jogos&amp;query_place_id=ChIJUTd2BQDprAcRRn2cH33kv2A</t>
        </is>
      </c>
      <c r="K341" s="4" t="inlineStr">
        <is>
          <t>R. Morise de Miranda Gusmão, 980 - Cristo Redentor, João Pessoa - PB, 58070-540, Brasil</t>
        </is>
      </c>
      <c r="L341" s="4" t="inlineStr">
        <is>
          <t>João Pessoa</t>
        </is>
      </c>
      <c r="M341" s="5" t="n">
        <v>4</v>
      </c>
    </row>
    <row r="342">
      <c r="A342" s="3">
        <f>RAND()</f>
        <v/>
      </c>
      <c r="B342" s="4" t="inlineStr">
        <is>
          <t>ChIJNzS82SPdrAcRk4vxcJatGqg</t>
        </is>
      </c>
      <c r="C342" s="4" t="inlineStr">
        <is>
          <t>Atol Music Bar</t>
        </is>
      </c>
      <c r="D342" s="4" t="inlineStr">
        <is>
          <t>João Pessoa</t>
        </is>
      </c>
      <c r="E342" s="4" t="inlineStr">
        <is>
          <t>PB</t>
        </is>
      </c>
      <c r="F342" s="4" t="inlineStr">
        <is>
          <t>Capitais Regionais A</t>
        </is>
      </c>
      <c r="G342" s="4" t="inlineStr">
        <is>
          <t>Capital regional</t>
        </is>
      </c>
      <c r="H342" s="5">
        <f>IF(G342="fora do recorte","",SUMPRODUCT(($G$3:$G$1723=G342)*($A$3:$A$1723&lt;=A342)))</f>
        <v/>
      </c>
      <c r="I342" s="4">
        <f>IF(H342="","",G342&amp;"|"&amp;H342)</f>
        <v/>
      </c>
      <c r="J342" s="4" t="inlineStr">
        <is>
          <t>https://www.google.com/maps/search/?api=1&amp;query=Atol%20Music%20Bar&amp;query_place_id=ChIJNzS82SPdrAcRk4vxcJatGqg</t>
        </is>
      </c>
      <c r="K342" s="4" t="inlineStr">
        <is>
          <t>R. Coração de Jesus, 138 - Tambaú, João Pessoa - PB, 58039-070, Brasil</t>
        </is>
      </c>
      <c r="L342" s="4" t="inlineStr">
        <is>
          <t>João Pessoa</t>
        </is>
      </c>
      <c r="M342" s="5" t="n">
        <v>1</v>
      </c>
    </row>
    <row r="343">
      <c r="A343" s="3">
        <f>RAND()</f>
        <v/>
      </c>
      <c r="B343" s="4" t="inlineStr">
        <is>
          <t>ChIJvzZITZvdrAcRkTYal-oaFNI</t>
        </is>
      </c>
      <c r="C343" s="4" t="inlineStr">
        <is>
          <t>BK Brinkids - Shopping Pirâmide - Piso 2</t>
        </is>
      </c>
      <c r="D343" s="4" t="inlineStr">
        <is>
          <t>João Pessoa</t>
        </is>
      </c>
      <c r="E343" s="4" t="inlineStr">
        <is>
          <t>PB</t>
        </is>
      </c>
      <c r="F343" s="4" t="inlineStr">
        <is>
          <t>Capitais Regionais A</t>
        </is>
      </c>
      <c r="G343" s="4" t="inlineStr">
        <is>
          <t>Capital regional</t>
        </is>
      </c>
      <c r="H343" s="5">
        <f>IF(G343="fora do recorte","",SUMPRODUCT(($G$3:$G$1723=G343)*($A$3:$A$1723&lt;=A343)))</f>
        <v/>
      </c>
      <c r="I343" s="4">
        <f>IF(H343="","",G343&amp;"|"&amp;H343)</f>
        <v/>
      </c>
      <c r="J343" s="4" t="inlineStr">
        <is>
          <t>https://www.google.com/maps/search/?api=1&amp;query=BK%20Brinkids%20-%20Shopping%20Pir%C3%A2mide%20-%20Piso%202&amp;query_place_id=ChIJvzZITZvdrAcRkTYal-oaFNI</t>
        </is>
      </c>
      <c r="K343" s="4" t="inlineStr">
        <is>
          <t>Av. Antônio Lira, 300 - Tambaú, João Pessoa - PB, 58039-050, Brasil</t>
        </is>
      </c>
      <c r="L343" s="4" t="inlineStr">
        <is>
          <t>João Pessoa</t>
        </is>
      </c>
      <c r="M343" s="5" t="n">
        <v>1</v>
      </c>
    </row>
    <row r="344">
      <c r="A344" s="3">
        <f>RAND()</f>
        <v/>
      </c>
      <c r="B344" s="4" t="inlineStr">
        <is>
          <t>ChIJPQudbqTdrAcR19w5OISwVmw</t>
        </is>
      </c>
      <c r="C344" s="4" t="inlineStr">
        <is>
          <t>Bar Seu João</t>
        </is>
      </c>
      <c r="D344" s="4" t="inlineStr">
        <is>
          <t>João Pessoa</t>
        </is>
      </c>
      <c r="E344" s="4" t="inlineStr">
        <is>
          <t>PB</t>
        </is>
      </c>
      <c r="F344" s="4" t="inlineStr">
        <is>
          <t>Capitais Regionais A</t>
        </is>
      </c>
      <c r="G344" s="4" t="inlineStr">
        <is>
          <t>Capital regional</t>
        </is>
      </c>
      <c r="H344" s="5">
        <f>IF(G344="fora do recorte","",SUMPRODUCT(($G$3:$G$1723=G344)*($A$3:$A$1723&lt;=A344)))</f>
        <v/>
      </c>
      <c r="I344" s="4">
        <f>IF(H344="","",G344&amp;"|"&amp;H344)</f>
        <v/>
      </c>
      <c r="J344" s="4" t="inlineStr">
        <is>
          <t>https://www.google.com/maps/search/?api=1&amp;query=Bar%20Seu%20Jo%C3%A3o&amp;query_place_id=ChIJPQudbqTdrAcR19w5OISwVmw</t>
        </is>
      </c>
      <c r="K344" s="4" t="inlineStr">
        <is>
          <t>R. Fernando Luiz Henriques Dos Santos, 1501 - Lj 02 - Jardim Oceania, João Pessoa - PB, 58037-050, Brasil</t>
        </is>
      </c>
      <c r="L344" s="4" t="inlineStr">
        <is>
          <t>João Pessoa</t>
        </is>
      </c>
      <c r="M344" s="5" t="n">
        <v>1</v>
      </c>
    </row>
    <row r="345">
      <c r="A345" s="3">
        <f>RAND()</f>
        <v/>
      </c>
      <c r="B345" s="4" t="inlineStr">
        <is>
          <t>ChIJJWXIN0HDrAcRh8jwRf6h2JA</t>
        </is>
      </c>
      <c r="C345" s="4" t="inlineStr">
        <is>
          <t>Bar da Clea</t>
        </is>
      </c>
      <c r="D345" s="4" t="inlineStr">
        <is>
          <t>João Pessoa</t>
        </is>
      </c>
      <c r="E345" s="4" t="inlineStr">
        <is>
          <t>PB</t>
        </is>
      </c>
      <c r="F345" s="4" t="inlineStr">
        <is>
          <t>Capitais Regionais A</t>
        </is>
      </c>
      <c r="G345" s="4" t="inlineStr">
        <is>
          <t>Capital regional</t>
        </is>
      </c>
      <c r="H345" s="5">
        <f>IF(G345="fora do recorte","",SUMPRODUCT(($G$3:$G$1723=G345)*($A$3:$A$1723&lt;=A345)))</f>
        <v/>
      </c>
      <c r="I345" s="4">
        <f>IF(H345="","",G345&amp;"|"&amp;H345)</f>
        <v/>
      </c>
      <c r="J345" s="4" t="inlineStr">
        <is>
          <t>https://www.google.com/maps/search/?api=1&amp;query=Bar%20da%20Clea&amp;query_place_id=ChIJJWXIN0HDrAcRh8jwRf6h2JA</t>
        </is>
      </c>
      <c r="K345" s="4" t="inlineStr">
        <is>
          <t>Praça Abdon Milanez - Conj. Pres. Castelo Branco I, João Pessoa - PB, 58033-455, Brasil</t>
        </is>
      </c>
      <c r="L345" s="4" t="inlineStr">
        <is>
          <t>João Pessoa</t>
        </is>
      </c>
      <c r="M345" s="5" t="n">
        <v>1</v>
      </c>
    </row>
    <row r="346">
      <c r="A346" s="3">
        <f>RAND()</f>
        <v/>
      </c>
      <c r="B346" s="4" t="inlineStr">
        <is>
          <t>ChIJbR7YsaDdrAcRsIF-zv_Lht8</t>
        </is>
      </c>
      <c r="C346" s="4" t="inlineStr">
        <is>
          <t>Bar de Rock João Pessoa - After Pub</t>
        </is>
      </c>
      <c r="D346" s="4" t="inlineStr">
        <is>
          <t>João Pessoa</t>
        </is>
      </c>
      <c r="E346" s="4" t="inlineStr">
        <is>
          <t>PB</t>
        </is>
      </c>
      <c r="F346" s="4" t="inlineStr">
        <is>
          <t>Capitais Regionais A</t>
        </is>
      </c>
      <c r="G346" s="4" t="inlineStr">
        <is>
          <t>Capital regional</t>
        </is>
      </c>
      <c r="H346" s="5">
        <f>IF(G346="fora do recorte","",SUMPRODUCT(($G$3:$G$1723=G346)*($A$3:$A$1723&lt;=A346)))</f>
        <v/>
      </c>
      <c r="I346" s="4">
        <f>IF(H346="","",G346&amp;"|"&amp;H346)</f>
        <v/>
      </c>
      <c r="J346" s="4" t="inlineStr">
        <is>
          <t>https://www.google.com/maps/search/?api=1&amp;query=Bar%20de%20Rock%20Jo%C3%A3o%20Pessoa%20-%20After%20Pub&amp;query_place_id=ChIJbR7YsaDdrAcRsIF-zv_Lht8</t>
        </is>
      </c>
      <c r="K346" s="4" t="inlineStr">
        <is>
          <t>Av. Izidro Gomes, 63 - Tambaú, João Pessoa - PB, 58039-160, Brasil</t>
        </is>
      </c>
      <c r="L346" s="4" t="inlineStr">
        <is>
          <t>João Pessoa</t>
        </is>
      </c>
      <c r="M346" s="5" t="n">
        <v>1</v>
      </c>
    </row>
    <row r="347">
      <c r="A347" s="3">
        <f>RAND()</f>
        <v/>
      </c>
      <c r="B347" s="4" t="inlineStr">
        <is>
          <t>ChIJOf1aTh7drAcR_q9rpOutdPc</t>
        </is>
      </c>
      <c r="C347" s="4" t="inlineStr">
        <is>
          <t>Big Play Park e Festas</t>
        </is>
      </c>
      <c r="D347" s="4" t="inlineStr">
        <is>
          <t>João Pessoa</t>
        </is>
      </c>
      <c r="E347" s="4" t="inlineStr">
        <is>
          <t>PB</t>
        </is>
      </c>
      <c r="F347" s="4" t="inlineStr">
        <is>
          <t>Capitais Regionais A</t>
        </is>
      </c>
      <c r="G347" s="4" t="inlineStr">
        <is>
          <t>Capital regional</t>
        </is>
      </c>
      <c r="H347" s="5">
        <f>IF(G347="fora do recorte","",SUMPRODUCT(($G$3:$G$1723=G347)*($A$3:$A$1723&lt;=A347)))</f>
        <v/>
      </c>
      <c r="I347" s="4">
        <f>IF(H347="","",G347&amp;"|"&amp;H347)</f>
        <v/>
      </c>
      <c r="J347" s="4" t="inlineStr">
        <is>
          <t>https://www.google.com/maps/search/?api=1&amp;query=Big%20Play%20Park%20e%20Festas&amp;query_place_id=ChIJOf1aTh7drAcR_q9rpOutdPc</t>
        </is>
      </c>
      <c r="K347" s="4" t="inlineStr">
        <is>
          <t>Av. Antônio Lira, 300 - 2ª Andar - Tambaú, João Pessoa - PB, 58039-050, Brasil</t>
        </is>
      </c>
      <c r="L347" s="4" t="inlineStr">
        <is>
          <t>João Pessoa</t>
        </is>
      </c>
      <c r="M347" s="5" t="n">
        <v>1</v>
      </c>
    </row>
    <row r="348">
      <c r="A348" s="3">
        <f>RAND()</f>
        <v/>
      </c>
      <c r="B348" s="4" t="inlineStr">
        <is>
          <t>ChIJ1SLq34XDrAcRj-JYid77y5k</t>
        </is>
      </c>
      <c r="C348" s="4" t="inlineStr">
        <is>
          <t>Birutinhas</t>
        </is>
      </c>
      <c r="D348" s="4" t="inlineStr">
        <is>
          <t>João Pessoa</t>
        </is>
      </c>
      <c r="E348" s="4" t="inlineStr">
        <is>
          <t>PB</t>
        </is>
      </c>
      <c r="F348" s="4" t="inlineStr">
        <is>
          <t>Capitais Regionais A</t>
        </is>
      </c>
      <c r="G348" s="4" t="inlineStr">
        <is>
          <t>Capital regional</t>
        </is>
      </c>
      <c r="H348" s="5">
        <f>IF(G348="fora do recorte","",SUMPRODUCT(($G$3:$G$1723=G348)*($A$3:$A$1723&lt;=A348)))</f>
        <v/>
      </c>
      <c r="I348" s="4">
        <f>IF(H348="","",G348&amp;"|"&amp;H348)</f>
        <v/>
      </c>
      <c r="J348" s="4" t="inlineStr">
        <is>
          <t>https://www.google.com/maps/search/?api=1&amp;query=Birutinhas&amp;query_place_id=ChIJ1SLq34XDrAcRj-JYid77y5k</t>
        </is>
      </c>
      <c r="K348" s="4" t="inlineStr">
        <is>
          <t>R. Orlando di Cavalcanti Villar, 40 - Sl 01 - Altiplano Cabo Branco, João Pessoa - PB, 58046-075, Brasil</t>
        </is>
      </c>
      <c r="L348" s="4" t="inlineStr">
        <is>
          <t>João Pessoa</t>
        </is>
      </c>
      <c r="M348" s="5" t="n">
        <v>1</v>
      </c>
    </row>
    <row r="349">
      <c r="A349" s="3">
        <f>RAND()</f>
        <v/>
      </c>
      <c r="B349" s="4" t="inlineStr">
        <is>
          <t>ChIJN48t3aTCrAcRfy3WWkqmVqc</t>
        </is>
      </c>
      <c r="C349" s="4" t="inlineStr">
        <is>
          <t>Brinkeduk JP</t>
        </is>
      </c>
      <c r="D349" s="4" t="inlineStr">
        <is>
          <t>João Pessoa</t>
        </is>
      </c>
      <c r="E349" s="4" t="inlineStr">
        <is>
          <t>PB</t>
        </is>
      </c>
      <c r="F349" s="4" t="inlineStr">
        <is>
          <t>Capitais Regionais A</t>
        </is>
      </c>
      <c r="G349" s="4" t="inlineStr">
        <is>
          <t>Capital regional</t>
        </is>
      </c>
      <c r="H349" s="5">
        <f>IF(G349="fora do recorte","",SUMPRODUCT(($G$3:$G$1723=G349)*($A$3:$A$1723&lt;=A349)))</f>
        <v/>
      </c>
      <c r="I349" s="4">
        <f>IF(H349="","",G349&amp;"|"&amp;H349)</f>
        <v/>
      </c>
      <c r="J349" s="4" t="inlineStr">
        <is>
          <t>https://www.google.com/maps/search/?api=1&amp;query=Brinkeduk%20JP&amp;query_place_id=ChIJN48t3aTCrAcRfy3WWkqmVqc</t>
        </is>
      </c>
      <c r="K349" s="4" t="inlineStr">
        <is>
          <t>Rua João Ramalho Leite, 466 - Castelo Branco, João Pessoa - PB, 58057-305, Brasil</t>
        </is>
      </c>
      <c r="L349" s="4" t="inlineStr">
        <is>
          <t>João Pessoa</t>
        </is>
      </c>
      <c r="M349" s="5" t="n">
        <v>1</v>
      </c>
    </row>
    <row r="350">
      <c r="A350" s="3">
        <f>RAND()</f>
        <v/>
      </c>
      <c r="B350" s="4" t="inlineStr">
        <is>
          <t>ChIJUar1aVHdrAcRxAgXQs_cG0Q</t>
        </is>
      </c>
      <c r="C350" s="4" t="inlineStr">
        <is>
          <t>Brinquedos e Presentes - Estados</t>
        </is>
      </c>
      <c r="D350" s="4" t="inlineStr">
        <is>
          <t>João Pessoa</t>
        </is>
      </c>
      <c r="E350" s="4" t="inlineStr">
        <is>
          <t>PB</t>
        </is>
      </c>
      <c r="F350" s="4" t="inlineStr">
        <is>
          <t>Capitais Regionais A</t>
        </is>
      </c>
      <c r="G350" s="4" t="inlineStr">
        <is>
          <t>Capital regional</t>
        </is>
      </c>
      <c r="H350" s="5">
        <f>IF(G350="fora do recorte","",SUMPRODUCT(($G$3:$G$1723=G350)*($A$3:$A$1723&lt;=A350)))</f>
        <v/>
      </c>
      <c r="I350" s="4">
        <f>IF(H350="","",G350&amp;"|"&amp;H350)</f>
        <v/>
      </c>
      <c r="J350" s="4" t="inlineStr">
        <is>
          <t>https://www.google.com/maps/search/?api=1&amp;query=Brinquedos%20e%20Presentes%20-%20Estados&amp;query_place_id=ChIJUar1aVHdrAcRxAgXQs_cG0Q</t>
        </is>
      </c>
      <c r="K350" s="4" t="inlineStr">
        <is>
          <t>Av. Maranhão, 109 - Estados, João Pessoa - PB, 58030-261, Brasil</t>
        </is>
      </c>
      <c r="L350" s="4" t="inlineStr">
        <is>
          <t>João Pessoa</t>
        </is>
      </c>
      <c r="M350" s="5" t="n">
        <v>1</v>
      </c>
    </row>
    <row r="351">
      <c r="A351" s="3">
        <f>RAND()</f>
        <v/>
      </c>
      <c r="B351" s="4" t="inlineStr">
        <is>
          <t>ChIJH1m6ryXdrAcRBgt4C40dxNM</t>
        </is>
      </c>
      <c r="C351" s="4" t="inlineStr">
        <is>
          <t>Brinquedos e Presentes Tambaú</t>
        </is>
      </c>
      <c r="D351" s="4" t="inlineStr">
        <is>
          <t>João Pessoa</t>
        </is>
      </c>
      <c r="E351" s="4" t="inlineStr">
        <is>
          <t>PB</t>
        </is>
      </c>
      <c r="F351" s="4" t="inlineStr">
        <is>
          <t>Capitais Regionais A</t>
        </is>
      </c>
      <c r="G351" s="4" t="inlineStr">
        <is>
          <t>Capital regional</t>
        </is>
      </c>
      <c r="H351" s="5">
        <f>IF(G351="fora do recorte","",SUMPRODUCT(($G$3:$G$1723=G351)*($A$3:$A$1723&lt;=A351)))</f>
        <v/>
      </c>
      <c r="I351" s="4">
        <f>IF(H351="","",G351&amp;"|"&amp;H351)</f>
        <v/>
      </c>
      <c r="J351" s="4" t="inlineStr">
        <is>
          <t>https://www.google.com/maps/search/?api=1&amp;query=Brinquedos%20e%20Presentes%20Tamba%C3%BA&amp;query_place_id=ChIJH1m6ryXdrAcRBgt4C40dxNM</t>
        </is>
      </c>
      <c r="K351" s="4" t="inlineStr">
        <is>
          <t>Av. Profa. Maria Sales, 554 - Tambaú, João Pessoa - PB, 58039-130, Brasil</t>
        </is>
      </c>
      <c r="L351" s="4" t="inlineStr">
        <is>
          <t>João Pessoa</t>
        </is>
      </c>
      <c r="M351" s="5" t="n">
        <v>1</v>
      </c>
    </row>
    <row r="352">
      <c r="A352" s="3">
        <f>RAND()</f>
        <v/>
      </c>
      <c r="B352" s="4" t="inlineStr">
        <is>
          <t>ChIJvdcJ_uPdrAcRXZ6O1gwC2qM</t>
        </is>
      </c>
      <c r="C352" s="4" t="inlineStr">
        <is>
          <t>Brinquedos e Travessuras</t>
        </is>
      </c>
      <c r="D352" s="4" t="inlineStr">
        <is>
          <t>João Pessoa</t>
        </is>
      </c>
      <c r="E352" s="4" t="inlineStr">
        <is>
          <t>PB</t>
        </is>
      </c>
      <c r="F352" s="4" t="inlineStr">
        <is>
          <t>Capitais Regionais A</t>
        </is>
      </c>
      <c r="G352" s="4" t="inlineStr">
        <is>
          <t>Capital regional</t>
        </is>
      </c>
      <c r="H352" s="5">
        <f>IF(G352="fora do recorte","",SUMPRODUCT(($G$3:$G$1723=G352)*($A$3:$A$1723&lt;=A352)))</f>
        <v/>
      </c>
      <c r="I352" s="4">
        <f>IF(H352="","",G352&amp;"|"&amp;H352)</f>
        <v/>
      </c>
      <c r="J352" s="4" t="inlineStr">
        <is>
          <t>https://www.google.com/maps/search/?api=1&amp;query=Brinquedos%20e%20Travessuras&amp;query_place_id=ChIJvdcJ_uPdrAcRXZ6O1gwC2qM</t>
        </is>
      </c>
      <c r="K352" s="4" t="inlineStr">
        <is>
          <t>R. Bacharel José de Oliveira Curchatuz, 850 - Jardim Oceania, João Pessoa - PB, 58037-432, Brasil</t>
        </is>
      </c>
      <c r="L352" s="4" t="inlineStr">
        <is>
          <t>João Pessoa</t>
        </is>
      </c>
      <c r="M352" s="5" t="n">
        <v>4</v>
      </c>
    </row>
    <row r="353">
      <c r="A353" s="3">
        <f>RAND()</f>
        <v/>
      </c>
      <c r="B353" s="4" t="inlineStr">
        <is>
          <t>ChIJX8sdsuDnrAcR2VrbjDLMNuo</t>
        </is>
      </c>
      <c r="C353" s="4" t="inlineStr">
        <is>
          <t>Cachaçaria Philipéia</t>
        </is>
      </c>
      <c r="D353" s="4" t="inlineStr">
        <is>
          <t>João Pessoa</t>
        </is>
      </c>
      <c r="E353" s="4" t="inlineStr">
        <is>
          <t>PB</t>
        </is>
      </c>
      <c r="F353" s="4" t="inlineStr">
        <is>
          <t>Capitais Regionais A</t>
        </is>
      </c>
      <c r="G353" s="4" t="inlineStr">
        <is>
          <t>Capital regional</t>
        </is>
      </c>
      <c r="H353" s="5">
        <f>IF(G353="fora do recorte","",SUMPRODUCT(($G$3:$G$1723=G353)*($A$3:$A$1723&lt;=A353)))</f>
        <v/>
      </c>
      <c r="I353" s="4">
        <f>IF(H353="","",G353&amp;"|"&amp;H353)</f>
        <v/>
      </c>
      <c r="J353" s="4" t="inlineStr">
        <is>
          <t>https://www.google.com/maps/search/?api=1&amp;query=Cacha%C3%A7aria%20Philip%C3%A9ia&amp;query_place_id=ChIJX8sdsuDnrAcR2VrbjDLMNuo</t>
        </is>
      </c>
      <c r="K353" s="4" t="inlineStr">
        <is>
          <t>R. Braz Florentino, 2 - Centro, João Pessoa - PB, 58010-750, Brasil</t>
        </is>
      </c>
      <c r="L353" s="4" t="inlineStr">
        <is>
          <t>João Pessoa</t>
        </is>
      </c>
      <c r="M353" s="5" t="n">
        <v>1</v>
      </c>
    </row>
    <row r="354">
      <c r="A354" s="3">
        <f>RAND()</f>
        <v/>
      </c>
      <c r="B354" s="4" t="inlineStr">
        <is>
          <t>ChIJd5zin4vdrAcRH0y9xYoGIRo</t>
        </is>
      </c>
      <c r="C354" s="4" t="inlineStr">
        <is>
          <t>Castelo dos Mestres</t>
        </is>
      </c>
      <c r="D354" s="4" t="inlineStr">
        <is>
          <t>João Pessoa</t>
        </is>
      </c>
      <c r="E354" s="4" t="inlineStr">
        <is>
          <t>PB</t>
        </is>
      </c>
      <c r="F354" s="4" t="inlineStr">
        <is>
          <t>Capitais Regionais A</t>
        </is>
      </c>
      <c r="G354" s="4" t="inlineStr">
        <is>
          <t>Capital regional</t>
        </is>
      </c>
      <c r="H354" s="5">
        <f>IF(G354="fora do recorte","",SUMPRODUCT(($G$3:$G$1723=G354)*($A$3:$A$1723&lt;=A354)))</f>
        <v/>
      </c>
      <c r="I354" s="4">
        <f>IF(H354="","",G354&amp;"|"&amp;H354)</f>
        <v/>
      </c>
      <c r="J354" s="4" t="inlineStr">
        <is>
          <t>https://www.google.com/maps/search/?api=1&amp;query=Castelo%20dos%20Mestres&amp;query_place_id=ChIJd5zin4vdrAcRH0y9xYoGIRo</t>
        </is>
      </c>
      <c r="K354" s="4" t="inlineStr">
        <is>
          <t>Av. Piauí, 595 - loja 06 - Estados, João Pessoa - PB, 58030-030, Brasil</t>
        </is>
      </c>
      <c r="L354" s="4" t="inlineStr">
        <is>
          <t>João Pessoa</t>
        </is>
      </c>
      <c r="M354" s="5" t="n">
        <v>3</v>
      </c>
    </row>
    <row r="355">
      <c r="A355" s="3">
        <f>RAND()</f>
        <v/>
      </c>
      <c r="B355" s="4" t="inlineStr">
        <is>
          <t>ChIJX7Xzo1zdrAcRINbR27-sD8Q</t>
        </is>
      </c>
      <c r="C355" s="4" t="inlineStr">
        <is>
          <t>Cayuca Brinquedos - Miramar</t>
        </is>
      </c>
      <c r="D355" s="4" t="inlineStr">
        <is>
          <t>João Pessoa</t>
        </is>
      </c>
      <c r="E355" s="4" t="inlineStr">
        <is>
          <t>PB</t>
        </is>
      </c>
      <c r="F355" s="4" t="inlineStr">
        <is>
          <t>Capitais Regionais A</t>
        </is>
      </c>
      <c r="G355" s="4" t="inlineStr">
        <is>
          <t>Capital regional</t>
        </is>
      </c>
      <c r="H355" s="5">
        <f>IF(G355="fora do recorte","",SUMPRODUCT(($G$3:$G$1723=G355)*($A$3:$A$1723&lt;=A355)))</f>
        <v/>
      </c>
      <c r="I355" s="4">
        <f>IF(H355="","",G355&amp;"|"&amp;H355)</f>
        <v/>
      </c>
      <c r="J355" s="4" t="inlineStr">
        <is>
          <t>https://www.google.com/maps/search/?api=1&amp;query=Cayuca%20Brinquedos%20-%20Miramar&amp;query_place_id=ChIJX7Xzo1zdrAcRINbR27-sD8Q</t>
        </is>
      </c>
      <c r="K355" s="4" t="inlineStr">
        <is>
          <t>Empresarial Oliver Cruz - R. Pref. José Leite, 474 - Lj 5 - Miramar, João Pessoa - PB, 58032-101, Brasil</t>
        </is>
      </c>
      <c r="L355" s="4" t="inlineStr">
        <is>
          <t>João Pessoa</t>
        </is>
      </c>
      <c r="M355" s="5" t="n">
        <v>2</v>
      </c>
    </row>
    <row r="356">
      <c r="A356" s="3">
        <f>RAND()</f>
        <v/>
      </c>
      <c r="B356" s="4" t="inlineStr">
        <is>
          <t>ChIJ-ZBNu1XnrAcRFyaetmzP9Kk</t>
        </is>
      </c>
      <c r="C356" s="4" t="inlineStr">
        <is>
          <t>Centrô Bar</t>
        </is>
      </c>
      <c r="D356" s="4" t="inlineStr">
        <is>
          <t>João Pessoa</t>
        </is>
      </c>
      <c r="E356" s="4" t="inlineStr">
        <is>
          <t>PB</t>
        </is>
      </c>
      <c r="F356" s="4" t="inlineStr">
        <is>
          <t>Capitais Regionais A</t>
        </is>
      </c>
      <c r="G356" s="4" t="inlineStr">
        <is>
          <t>Capital regional</t>
        </is>
      </c>
      <c r="H356" s="5">
        <f>IF(G356="fora do recorte","",SUMPRODUCT(($G$3:$G$1723=G356)*($A$3:$A$1723&lt;=A356)))</f>
        <v/>
      </c>
      <c r="I356" s="4">
        <f>IF(H356="","",G356&amp;"|"&amp;H356)</f>
        <v/>
      </c>
      <c r="J356" s="4" t="inlineStr">
        <is>
          <t>https://www.google.com/maps/search/?api=1&amp;query=Centr%C3%B4%20Bar&amp;query_place_id=ChIJ-ZBNu1XnrAcRFyaetmzP9Kk</t>
        </is>
      </c>
      <c r="K356" s="4" t="inlineStr">
        <is>
          <t>Praça Antenor Navarro, 53 - Varadouro, João Pessoa - PB, 58010-480, Brasil</t>
        </is>
      </c>
      <c r="L356" s="4" t="inlineStr">
        <is>
          <t>João Pessoa</t>
        </is>
      </c>
      <c r="M356" s="5" t="n">
        <v>1</v>
      </c>
    </row>
    <row r="357">
      <c r="A357" s="3">
        <f>RAND()</f>
        <v/>
      </c>
      <c r="B357" s="4" t="inlineStr">
        <is>
          <t>ChIJfTiOjzbprAcRFOvsHPTXTMA</t>
        </is>
      </c>
      <c r="C357" s="4" t="inlineStr">
        <is>
          <t>Container Bar PB</t>
        </is>
      </c>
      <c r="D357" s="4" t="inlineStr">
        <is>
          <t>João Pessoa</t>
        </is>
      </c>
      <c r="E357" s="4" t="inlineStr">
        <is>
          <t>PB</t>
        </is>
      </c>
      <c r="F357" s="4" t="inlineStr">
        <is>
          <t>Capitais Regionais A</t>
        </is>
      </c>
      <c r="G357" s="4" t="inlineStr">
        <is>
          <t>Capital regional</t>
        </is>
      </c>
      <c r="H357" s="5">
        <f>IF(G357="fora do recorte","",SUMPRODUCT(($G$3:$G$1723=G357)*($A$3:$A$1723&lt;=A357)))</f>
        <v/>
      </c>
      <c r="I357" s="4">
        <f>IF(H357="","",G357&amp;"|"&amp;H357)</f>
        <v/>
      </c>
      <c r="J357" s="4" t="inlineStr">
        <is>
          <t>https://www.google.com/maps/search/?api=1&amp;query=Container%20Bar%20PB&amp;query_place_id=ChIJfTiOjzbprAcRFOvsHPTXTMA</t>
        </is>
      </c>
      <c r="K357" s="4" t="inlineStr">
        <is>
          <t>R. Abelardo Targino da Fonseca, 127 - Cuiá, João Pessoa - PB, 58077-038, Brasil</t>
        </is>
      </c>
      <c r="L357" s="4" t="inlineStr">
        <is>
          <t>João Pessoa</t>
        </is>
      </c>
      <c r="M357" s="5" t="n">
        <v>1</v>
      </c>
    </row>
    <row r="358">
      <c r="A358" s="3">
        <f>RAND()</f>
        <v/>
      </c>
      <c r="B358" s="4" t="inlineStr">
        <is>
          <t>ChIJQ6nNKiTdrAcRm-shYwAsn94</t>
        </is>
      </c>
      <c r="C358" s="4" t="inlineStr">
        <is>
          <t>Convívio Bar Ltda</t>
        </is>
      </c>
      <c r="D358" s="4" t="inlineStr">
        <is>
          <t>João Pessoa</t>
        </is>
      </c>
      <c r="E358" s="4" t="inlineStr">
        <is>
          <t>PB</t>
        </is>
      </c>
      <c r="F358" s="4" t="inlineStr">
        <is>
          <t>Capitais Regionais A</t>
        </is>
      </c>
      <c r="G358" s="4" t="inlineStr">
        <is>
          <t>Capital regional</t>
        </is>
      </c>
      <c r="H358" s="5">
        <f>IF(G358="fora do recorte","",SUMPRODUCT(($G$3:$G$1723=G358)*($A$3:$A$1723&lt;=A358)))</f>
        <v/>
      </c>
      <c r="I358" s="4">
        <f>IF(H358="","",G358&amp;"|"&amp;H358)</f>
        <v/>
      </c>
      <c r="J358" s="4" t="inlineStr">
        <is>
          <t>https://www.google.com/maps/search/?api=1&amp;query=Conv%C3%ADvio%20Bar%20Ltda&amp;query_place_id=ChIJQ6nNKiTdrAcRm-shYwAsn94</t>
        </is>
      </c>
      <c r="K358" s="4" t="inlineStr">
        <is>
          <t>Av. Antônio Lira, 106 - Tambaú, João Pessoa - PB, 58039-050, Brasil</t>
        </is>
      </c>
      <c r="L358" s="4" t="inlineStr">
        <is>
          <t>João Pessoa</t>
        </is>
      </c>
      <c r="M358" s="5" t="n">
        <v>2</v>
      </c>
    </row>
    <row r="359">
      <c r="A359" s="3">
        <f>RAND()</f>
        <v/>
      </c>
      <c r="B359" s="4" t="inlineStr">
        <is>
          <t>ChIJYyAqHcDdrAcRkDDFCTn9gXY</t>
        </is>
      </c>
      <c r="C359" s="4" t="inlineStr">
        <is>
          <t>Covil do Calango</t>
        </is>
      </c>
      <c r="D359" s="4" t="inlineStr">
        <is>
          <t>João Pessoa</t>
        </is>
      </c>
      <c r="E359" s="4" t="inlineStr">
        <is>
          <t>PB</t>
        </is>
      </c>
      <c r="F359" s="4" t="inlineStr">
        <is>
          <t>Capitais Regionais A</t>
        </is>
      </c>
      <c r="G359" s="4" t="inlineStr">
        <is>
          <t>Capital regional</t>
        </is>
      </c>
      <c r="H359" s="5">
        <f>IF(G359="fora do recorte","",SUMPRODUCT(($G$3:$G$1723=G359)*($A$3:$A$1723&lt;=A359)))</f>
        <v/>
      </c>
      <c r="I359" s="4">
        <f>IF(H359="","",G359&amp;"|"&amp;H359)</f>
        <v/>
      </c>
      <c r="J359" s="4" t="inlineStr">
        <is>
          <t>https://www.google.com/maps/search/?api=1&amp;query=Covil%20do%20Calango&amp;query_place_id=ChIJYyAqHcDdrAcRkDDFCTn9gXY</t>
        </is>
      </c>
      <c r="K359" s="4" t="inlineStr">
        <is>
          <t>Av. Júlia Freire, 1129 - Torre, João Pessoa - PB, 58040-040, Brasil</t>
        </is>
      </c>
      <c r="L359" s="4" t="inlineStr">
        <is>
          <t>João Pessoa</t>
        </is>
      </c>
      <c r="M359" s="5" t="n">
        <v>6</v>
      </c>
    </row>
    <row r="360">
      <c r="A360" s="3">
        <f>RAND()</f>
        <v/>
      </c>
      <c r="B360" s="4" t="inlineStr">
        <is>
          <t>ChIJMduHtd3nrAcR-IWrao-y4B0</t>
        </is>
      </c>
      <c r="C360" s="4" t="inlineStr">
        <is>
          <t>Drink's Bar</t>
        </is>
      </c>
      <c r="D360" s="4" t="inlineStr">
        <is>
          <t>João Pessoa</t>
        </is>
      </c>
      <c r="E360" s="4" t="inlineStr">
        <is>
          <t>PB</t>
        </is>
      </c>
      <c r="F360" s="4" t="inlineStr">
        <is>
          <t>Capitais Regionais A</t>
        </is>
      </c>
      <c r="G360" s="4" t="inlineStr">
        <is>
          <t>Capital regional</t>
        </is>
      </c>
      <c r="H360" s="5">
        <f>IF(G360="fora do recorte","",SUMPRODUCT(($G$3:$G$1723=G360)*($A$3:$A$1723&lt;=A360)))</f>
        <v/>
      </c>
      <c r="I360" s="4">
        <f>IF(H360="","",G360&amp;"|"&amp;H360)</f>
        <v/>
      </c>
      <c r="J360" s="4" t="inlineStr">
        <is>
          <t>https://www.google.com/maps/search/?api=1&amp;query=Drink%27s%20Bar&amp;query_place_id=ChIJMduHtd3nrAcR-IWrao-y4B0</t>
        </is>
      </c>
      <c r="K360" s="4" t="inlineStr">
        <is>
          <t>R. da Areia, 390 - Varadouro, João Pessoa - PB, 58010-695, Brasil</t>
        </is>
      </c>
      <c r="L360" s="4" t="inlineStr">
        <is>
          <t>João Pessoa</t>
        </is>
      </c>
      <c r="M360" s="5" t="n">
        <v>2</v>
      </c>
    </row>
    <row r="361">
      <c r="A361" s="3">
        <f>RAND()</f>
        <v/>
      </c>
      <c r="B361" s="4" t="inlineStr">
        <is>
          <t>ChIJU0_rRZrDrAcRMOqNKqtNdJw</t>
        </is>
      </c>
      <c r="C361" s="4" t="inlineStr">
        <is>
          <t>Estação Ludens</t>
        </is>
      </c>
      <c r="D361" s="4" t="inlineStr">
        <is>
          <t>João Pessoa</t>
        </is>
      </c>
      <c r="E361" s="4" t="inlineStr">
        <is>
          <t>PB</t>
        </is>
      </c>
      <c r="F361" s="4" t="inlineStr">
        <is>
          <t>Capitais Regionais A</t>
        </is>
      </c>
      <c r="G361" s="4" t="inlineStr">
        <is>
          <t>Capital regional</t>
        </is>
      </c>
      <c r="H361" s="5">
        <f>IF(G361="fora do recorte","",SUMPRODUCT(($G$3:$G$1723=G361)*($A$3:$A$1723&lt;=A361)))</f>
        <v/>
      </c>
      <c r="I361" s="4">
        <f>IF(H361="","",G361&amp;"|"&amp;H361)</f>
        <v/>
      </c>
      <c r="J361" s="4" t="inlineStr">
        <is>
          <t>https://www.google.com/maps/search/?api=1&amp;query=Esta%C3%A7%C3%A3o%20Ludens&amp;query_place_id=ChIJU0_rRZrDrAcRMOqNKqtNdJw</t>
        </is>
      </c>
      <c r="K361" s="4" t="inlineStr">
        <is>
          <t>R. Administrador José Silva Perruci, 110 - Lot. Cidade Universitaria, João Pessoa - PB, 58052-283, Brasil</t>
        </is>
      </c>
      <c r="L361" s="4" t="inlineStr">
        <is>
          <t>João Pessoa</t>
        </is>
      </c>
      <c r="M361" s="5" t="n">
        <v>2</v>
      </c>
    </row>
    <row r="362">
      <c r="A362" s="3">
        <f>RAND()</f>
        <v/>
      </c>
      <c r="B362" s="4" t="inlineStr">
        <is>
          <t>ChIJV2BuIgDDrAcRUHjaIDt2AT0</t>
        </is>
      </c>
      <c r="C362" s="4" t="inlineStr">
        <is>
          <t>Franks the Cave Pub</t>
        </is>
      </c>
      <c r="D362" s="4" t="inlineStr">
        <is>
          <t>João Pessoa</t>
        </is>
      </c>
      <c r="E362" s="4" t="inlineStr">
        <is>
          <t>PB</t>
        </is>
      </c>
      <c r="F362" s="4" t="inlineStr">
        <is>
          <t>Capitais Regionais A</t>
        </is>
      </c>
      <c r="G362" s="4" t="inlineStr">
        <is>
          <t>Capital regional</t>
        </is>
      </c>
      <c r="H362" s="5">
        <f>IF(G362="fora do recorte","",SUMPRODUCT(($G$3:$G$1723=G362)*($A$3:$A$1723&lt;=A362)))</f>
        <v/>
      </c>
      <c r="I362" s="4">
        <f>IF(H362="","",G362&amp;"|"&amp;H362)</f>
        <v/>
      </c>
      <c r="J362" s="4" t="inlineStr">
        <is>
          <t>https://www.google.com/maps/search/?api=1&amp;query=Franks%20the%20Cave%20Pub&amp;query_place_id=ChIJV2BuIgDDrAcRUHjaIDt2AT0</t>
        </is>
      </c>
      <c r="K362" s="4" t="inlineStr">
        <is>
          <t>R. Rejane Freire Correia, 1040 - Jardim Cidade Universitária, João Pessoa - PB, 58052-197, Brasil</t>
        </is>
      </c>
      <c r="L362" s="4" t="inlineStr">
        <is>
          <t>João Pessoa</t>
        </is>
      </c>
      <c r="M362" s="5" t="n">
        <v>1</v>
      </c>
    </row>
    <row r="363">
      <c r="A363" s="3">
        <f>RAND()</f>
        <v/>
      </c>
      <c r="B363" s="4" t="inlineStr">
        <is>
          <t>ChIJDYRjwm3drAcRjcIBqg6cWZM</t>
        </is>
      </c>
      <c r="C363" s="4" t="inlineStr">
        <is>
          <t>Game Station - Shopping Manaira</t>
        </is>
      </c>
      <c r="D363" s="4" t="inlineStr">
        <is>
          <t>João Pessoa</t>
        </is>
      </c>
      <c r="E363" s="4" t="inlineStr">
        <is>
          <t>PB</t>
        </is>
      </c>
      <c r="F363" s="4" t="inlineStr">
        <is>
          <t>Capitais Regionais A</t>
        </is>
      </c>
      <c r="G363" s="4" t="inlineStr">
        <is>
          <t>Capital regional</t>
        </is>
      </c>
      <c r="H363" s="5">
        <f>IF(G363="fora do recorte","",SUMPRODUCT(($G$3:$G$1723=G363)*($A$3:$A$1723&lt;=A363)))</f>
        <v/>
      </c>
      <c r="I363" s="4">
        <f>IF(H363="","",G363&amp;"|"&amp;H363)</f>
        <v/>
      </c>
      <c r="J363" s="4" t="inlineStr">
        <is>
          <t>https://www.google.com/maps/search/?api=1&amp;query=Game%20Station%20-%20Shopping%20Manaira&amp;query_place_id=ChIJDYRjwm3drAcRjcIBqg6cWZM</t>
        </is>
      </c>
      <c r="K363" s="4" t="inlineStr">
        <is>
          <t>Av. Gov. Flávio Ribeiro Coutinho, 805 - Manaíra, João Pessoa - PB, 58037-900, Brasil</t>
        </is>
      </c>
      <c r="L363" s="4" t="inlineStr">
        <is>
          <t>João Pessoa</t>
        </is>
      </c>
      <c r="M363" s="5" t="n">
        <v>1</v>
      </c>
    </row>
    <row r="364">
      <c r="A364" s="3">
        <f>RAND()</f>
        <v/>
      </c>
      <c r="B364" s="4" t="inlineStr">
        <is>
          <t>ChIJX_VJwpvnrAcR2CqmSSJJbdE</t>
        </is>
      </c>
      <c r="C364" s="4" t="inlineStr">
        <is>
          <t>Gamers Electronic Shop</t>
        </is>
      </c>
      <c r="D364" s="4" t="inlineStr">
        <is>
          <t>João Pessoa</t>
        </is>
      </c>
      <c r="E364" s="4" t="inlineStr">
        <is>
          <t>PB</t>
        </is>
      </c>
      <c r="F364" s="4" t="inlineStr">
        <is>
          <t>Capitais Regionais A</t>
        </is>
      </c>
      <c r="G364" s="4" t="inlineStr">
        <is>
          <t>Capital regional</t>
        </is>
      </c>
      <c r="H364" s="5">
        <f>IF(G364="fora do recorte","",SUMPRODUCT(($G$3:$G$1723=G364)*($A$3:$A$1723&lt;=A364)))</f>
        <v/>
      </c>
      <c r="I364" s="4">
        <f>IF(H364="","",G364&amp;"|"&amp;H364)</f>
        <v/>
      </c>
      <c r="J364" s="4" t="inlineStr">
        <is>
          <t>https://www.google.com/maps/search/?api=1&amp;query=Gamers%20Electronic%20Shop&amp;query_place_id=ChIJX_VJwpvnrAcR2CqmSSJJbdE</t>
        </is>
      </c>
      <c r="K364" s="4" t="inlineStr">
        <is>
          <t>Av. Beaurepaire Rohan, 66-100 - Centro, João Pessoa - PB, 58010-080, Brasil</t>
        </is>
      </c>
      <c r="L364" s="4" t="inlineStr">
        <is>
          <t>João Pessoa</t>
        </is>
      </c>
      <c r="M364" s="5" t="n">
        <v>3</v>
      </c>
    </row>
    <row r="365">
      <c r="A365" s="3">
        <f>RAND()</f>
        <v/>
      </c>
      <c r="B365" s="4" t="inlineStr">
        <is>
          <t>ChIJB1qBHwndrAcRMAIBxvMl3aI</t>
        </is>
      </c>
      <c r="C365" s="4" t="inlineStr">
        <is>
          <t>Garden Maker - Brinquedoteca Educativa</t>
        </is>
      </c>
      <c r="D365" s="4" t="inlineStr">
        <is>
          <t>João Pessoa</t>
        </is>
      </c>
      <c r="E365" s="4" t="inlineStr">
        <is>
          <t>PB</t>
        </is>
      </c>
      <c r="F365" s="4" t="inlineStr">
        <is>
          <t>Capitais Regionais A</t>
        </is>
      </c>
      <c r="G365" s="4" t="inlineStr">
        <is>
          <t>Capital regional</t>
        </is>
      </c>
      <c r="H365" s="5">
        <f>IF(G365="fora do recorte","",SUMPRODUCT(($G$3:$G$1723=G365)*($A$3:$A$1723&lt;=A365)))</f>
        <v/>
      </c>
      <c r="I365" s="4">
        <f>IF(H365="","",G365&amp;"|"&amp;H365)</f>
        <v/>
      </c>
      <c r="J365" s="4" t="inlineStr">
        <is>
          <t>https://www.google.com/maps/search/?api=1&amp;query=Garden%20Maker%20-%20Brinquedoteca%20Educativa&amp;query_place_id=ChIJB1qBHwndrAcRMAIBxvMl3aI</t>
        </is>
      </c>
      <c r="K365" s="4" t="inlineStr">
        <is>
          <t>Mezanino Superior Externo - no TechneMall - R. Cassimiro de Abreu, 56 - Sala 16A - Brisamar, João Pessoa - PB, 58033-330, Brasil</t>
        </is>
      </c>
      <c r="L365" s="4" t="inlineStr">
        <is>
          <t>João Pessoa</t>
        </is>
      </c>
      <c r="M365" s="5" t="n">
        <v>1</v>
      </c>
    </row>
    <row r="366">
      <c r="A366" s="3">
        <f>RAND()</f>
        <v/>
      </c>
      <c r="B366" s="4" t="inlineStr">
        <is>
          <t>ChIJK2QDA97nrAcRDT1xLv_WWSY</t>
        </is>
      </c>
      <c r="C366" s="4" t="inlineStr">
        <is>
          <t>General Store Galeria de lojas, Cafeteria, bar e eventos.</t>
        </is>
      </c>
      <c r="D366" s="4" t="inlineStr">
        <is>
          <t>João Pessoa</t>
        </is>
      </c>
      <c r="E366" s="4" t="inlineStr">
        <is>
          <t>PB</t>
        </is>
      </c>
      <c r="F366" s="4" t="inlineStr">
        <is>
          <t>Capitais Regionais A</t>
        </is>
      </c>
      <c r="G366" s="4" t="inlineStr">
        <is>
          <t>Capital regional</t>
        </is>
      </c>
      <c r="H366" s="5">
        <f>IF(G366="fora do recorte","",SUMPRODUCT(($G$3:$G$1723=G366)*($A$3:$A$1723&lt;=A366)))</f>
        <v/>
      </c>
      <c r="I366" s="4">
        <f>IF(H366="","",G366&amp;"|"&amp;H366)</f>
        <v/>
      </c>
      <c r="J366" s="4" t="inlineStr">
        <is>
          <t>https://www.google.com/maps/search/?api=1&amp;query=General%20Store%20Galeria%20de%20lojas%2C%20Cafeteria%2C%20bar%20e%20eventos.&amp;query_place_id=ChIJK2QDA97nrAcRDT1xLv_WWSY</t>
        </is>
      </c>
      <c r="K366" s="4" t="inlineStr">
        <is>
          <t>Av. Gen. Osório, 152 - Centro, João Pessoa - PB, 58010-780, Brasil</t>
        </is>
      </c>
      <c r="L366" s="4" t="inlineStr">
        <is>
          <t>João Pessoa</t>
        </is>
      </c>
      <c r="M366" s="5" t="n">
        <v>1</v>
      </c>
    </row>
    <row r="367">
      <c r="A367" s="3">
        <f>RAND()</f>
        <v/>
      </c>
      <c r="B367" s="4" t="inlineStr">
        <is>
          <t>ChIJL2fZgtjprAcRT_93T9zIO_g</t>
        </is>
      </c>
      <c r="C367" s="4" t="inlineStr">
        <is>
          <t>GeoMatrix</t>
        </is>
      </c>
      <c r="D367" s="4" t="inlineStr">
        <is>
          <t>João Pessoa</t>
        </is>
      </c>
      <c r="E367" s="4" t="inlineStr">
        <is>
          <t>PB</t>
        </is>
      </c>
      <c r="F367" s="4" t="inlineStr">
        <is>
          <t>Capitais Regionais A</t>
        </is>
      </c>
      <c r="G367" s="4" t="inlineStr">
        <is>
          <t>Capital regional</t>
        </is>
      </c>
      <c r="H367" s="5">
        <f>IF(G367="fora do recorte","",SUMPRODUCT(($G$3:$G$1723=G367)*($A$3:$A$1723&lt;=A367)))</f>
        <v/>
      </c>
      <c r="I367" s="4">
        <f>IF(H367="","",G367&amp;"|"&amp;H367)</f>
        <v/>
      </c>
      <c r="J367" s="4" t="inlineStr">
        <is>
          <t>https://www.google.com/maps/search/?api=1&amp;query=GeoMatrix&amp;query_place_id=ChIJL2fZgtjprAcRT_93T9zIO_g</t>
        </is>
      </c>
      <c r="K367" s="4" t="inlineStr">
        <is>
          <t>Av. Gen. Osório, 200 - Centro, João Pessoa - PB, 58010-780, Brasil</t>
        </is>
      </c>
      <c r="L367" s="4" t="inlineStr">
        <is>
          <t>João Pessoa</t>
        </is>
      </c>
      <c r="M367" s="5" t="n">
        <v>1</v>
      </c>
    </row>
    <row r="368">
      <c r="A368" s="3">
        <f>RAND()</f>
        <v/>
      </c>
      <c r="B368" s="4" t="inlineStr">
        <is>
          <t>ChIJb0TXDUndrAcRi0y4ut782Hw</t>
        </is>
      </c>
      <c r="C368" s="4" t="inlineStr">
        <is>
          <t>Grão-Mestre Luderia</t>
        </is>
      </c>
      <c r="D368" s="4" t="inlineStr">
        <is>
          <t>João Pessoa</t>
        </is>
      </c>
      <c r="E368" s="4" t="inlineStr">
        <is>
          <t>PB</t>
        </is>
      </c>
      <c r="F368" s="4" t="inlineStr">
        <is>
          <t>Capitais Regionais A</t>
        </is>
      </c>
      <c r="G368" s="4" t="inlineStr">
        <is>
          <t>Capital regional</t>
        </is>
      </c>
      <c r="H368" s="5">
        <f>IF(G368="fora do recorte","",SUMPRODUCT(($G$3:$G$1723=G368)*($A$3:$A$1723&lt;=A368)))</f>
        <v/>
      </c>
      <c r="I368" s="4">
        <f>IF(H368="","",G368&amp;"|"&amp;H368)</f>
        <v/>
      </c>
      <c r="J368" s="4" t="inlineStr">
        <is>
          <t>https://www.google.com/maps/search/?api=1&amp;query=Gr%C3%A3o-Mestre%20Luderia&amp;query_place_id=ChIJb0TXDUndrAcRi0y4ut782Hw</t>
        </is>
      </c>
      <c r="K368" s="4" t="inlineStr">
        <is>
          <t>R. Antônio Gama, 669 - Expedicionários, João Pessoa - PB, 58041-110, Brasil</t>
        </is>
      </c>
      <c r="L368" s="4" t="inlineStr">
        <is>
          <t>João Pessoa</t>
        </is>
      </c>
      <c r="M368" s="5" t="n">
        <v>14</v>
      </c>
    </row>
    <row r="369">
      <c r="A369" s="3">
        <f>RAND()</f>
        <v/>
      </c>
      <c r="B369" s="4" t="inlineStr">
        <is>
          <t>ChIJRxoXyZnDrAcR2H6PXKsakLE</t>
        </is>
      </c>
      <c r="C369" s="4" t="inlineStr">
        <is>
          <t>Havan João Pessoa</t>
        </is>
      </c>
      <c r="D369" s="4" t="inlineStr">
        <is>
          <t>João Pessoa</t>
        </is>
      </c>
      <c r="E369" s="4" t="inlineStr">
        <is>
          <t>PB</t>
        </is>
      </c>
      <c r="F369" s="4" t="inlineStr">
        <is>
          <t>Capitais Regionais A</t>
        </is>
      </c>
      <c r="G369" s="4" t="inlineStr">
        <is>
          <t>Capital regional</t>
        </is>
      </c>
      <c r="H369" s="5">
        <f>IF(G369="fora do recorte","",SUMPRODUCT(($G$3:$G$1723=G369)*($A$3:$A$1723&lt;=A369)))</f>
        <v/>
      </c>
      <c r="I369" s="4">
        <f>IF(H369="","",G369&amp;"|"&amp;H369)</f>
        <v/>
      </c>
      <c r="J369" s="4" t="inlineStr">
        <is>
          <t>https://www.google.com/maps/search/?api=1&amp;query=Havan%20Jo%C3%A3o%20Pessoa&amp;query_place_id=ChIJRxoXyZnDrAcR2H6PXKsakLE</t>
        </is>
      </c>
      <c r="K369" s="4" t="inlineStr">
        <is>
          <t>R. Diógenes Chianca, S/N - Água Fria, João Pessoa - PB, 58053-000, Brasil</t>
        </is>
      </c>
      <c r="L369" s="4" t="inlineStr">
        <is>
          <t>João Pessoa</t>
        </is>
      </c>
      <c r="M369" s="5" t="n">
        <v>1</v>
      </c>
    </row>
    <row r="370">
      <c r="A370" s="3">
        <f>RAND()</f>
        <v/>
      </c>
      <c r="B370" s="4" t="inlineStr">
        <is>
          <t>ChIJ4zsW753drAcR9XudiGBB9YY</t>
        </is>
      </c>
      <c r="C370" s="4" t="inlineStr">
        <is>
          <t>Havana Gastrobar</t>
        </is>
      </c>
      <c r="D370" s="4" t="inlineStr">
        <is>
          <t>João Pessoa</t>
        </is>
      </c>
      <c r="E370" s="4" t="inlineStr">
        <is>
          <t>PB</t>
        </is>
      </c>
      <c r="F370" s="4" t="inlineStr">
        <is>
          <t>Capitais Regionais A</t>
        </is>
      </c>
      <c r="G370" s="4" t="inlineStr">
        <is>
          <t>Capital regional</t>
        </is>
      </c>
      <c r="H370" s="5">
        <f>IF(G370="fora do recorte","",SUMPRODUCT(($G$3:$G$1723=G370)*($A$3:$A$1723&lt;=A370)))</f>
        <v/>
      </c>
      <c r="I370" s="4">
        <f>IF(H370="","",G370&amp;"|"&amp;H370)</f>
        <v/>
      </c>
      <c r="J370" s="4" t="inlineStr">
        <is>
          <t>https://www.google.com/maps/search/?api=1&amp;query=Havana%20Gastrobar&amp;query_place_id=ChIJ4zsW753drAcR9XudiGBB9YY</t>
        </is>
      </c>
      <c r="K370" s="4" t="inlineStr">
        <is>
          <t>R. Nossa Sra. dos Navegantes, 1053 - Tambaú, João Pessoa - PB, 58039-111, Brasil</t>
        </is>
      </c>
      <c r="L370" s="4" t="inlineStr">
        <is>
          <t>João Pessoa</t>
        </is>
      </c>
      <c r="M370" s="5" t="n">
        <v>2</v>
      </c>
    </row>
    <row r="371">
      <c r="A371" s="3">
        <f>RAND()</f>
        <v/>
      </c>
      <c r="B371" s="4" t="inlineStr">
        <is>
          <t>ChIJ_fTtlx_DrAcRgydgDKUjkHM</t>
        </is>
      </c>
      <c r="C371" s="4" t="inlineStr">
        <is>
          <t>Kalunga - João Pessoa</t>
        </is>
      </c>
      <c r="D371" s="4" t="inlineStr">
        <is>
          <t>João Pessoa</t>
        </is>
      </c>
      <c r="E371" s="4" t="inlineStr">
        <is>
          <t>PB</t>
        </is>
      </c>
      <c r="F371" s="4" t="inlineStr">
        <is>
          <t>Capitais Regionais A</t>
        </is>
      </c>
      <c r="G371" s="4" t="inlineStr">
        <is>
          <t>Capital regional</t>
        </is>
      </c>
      <c r="H371" s="5">
        <f>IF(G371="fora do recorte","",SUMPRODUCT(($G$3:$G$1723=G371)*($A$3:$A$1723&lt;=A371)))</f>
        <v/>
      </c>
      <c r="I371" s="4">
        <f>IF(H371="","",G371&amp;"|"&amp;H371)</f>
        <v/>
      </c>
      <c r="J371" s="4" t="inlineStr">
        <is>
          <t>https://www.google.com/maps/search/?api=1&amp;query=Kalunga%20-%20Jo%C3%A3o%20Pessoa&amp;query_place_id=ChIJ_fTtlx_DrAcRgydgDKUjkHM</t>
        </is>
      </c>
      <c r="K371" s="4" t="inlineStr">
        <is>
          <t>Av. Hilton Souto Maior, 3901 - Mangabeira, João Pessoa - PB, 58055-018, Brasil</t>
        </is>
      </c>
      <c r="L371" s="4" t="inlineStr">
        <is>
          <t>João Pessoa</t>
        </is>
      </c>
      <c r="M371" s="5" t="n">
        <v>1</v>
      </c>
    </row>
    <row r="372">
      <c r="A372" s="3">
        <f>RAND()</f>
        <v/>
      </c>
      <c r="B372" s="4" t="inlineStr">
        <is>
          <t>ChIJU0B1BtDdrAcRVEcFJDtFfOc</t>
        </is>
      </c>
      <c r="C372" s="4" t="inlineStr">
        <is>
          <t>Kalunga - Manaíra Shopping</t>
        </is>
      </c>
      <c r="D372" s="4" t="inlineStr">
        <is>
          <t>João Pessoa</t>
        </is>
      </c>
      <c r="E372" s="4" t="inlineStr">
        <is>
          <t>PB</t>
        </is>
      </c>
      <c r="F372" s="4" t="inlineStr">
        <is>
          <t>Capitais Regionais A</t>
        </is>
      </c>
      <c r="G372" s="4" t="inlineStr">
        <is>
          <t>Capital regional</t>
        </is>
      </c>
      <c r="H372" s="5">
        <f>IF(G372="fora do recorte","",SUMPRODUCT(($G$3:$G$1723=G372)*($A$3:$A$1723&lt;=A372)))</f>
        <v/>
      </c>
      <c r="I372" s="4">
        <f>IF(H372="","",G372&amp;"|"&amp;H372)</f>
        <v/>
      </c>
      <c r="J372" s="4" t="inlineStr">
        <is>
          <t>https://www.google.com/maps/search/?api=1&amp;query=Kalunga%20-%20Mana%C3%ADra%20Shopping&amp;query_place_id=ChIJU0B1BtDdrAcRVEcFJDtFfOc</t>
        </is>
      </c>
      <c r="K372" s="4" t="inlineStr">
        <is>
          <t>Shopping - R. Manoel Arruda Cavalcante, 805 - Manaíra, João Pessoa - PB, 58037-900, Brasil</t>
        </is>
      </c>
      <c r="L372" s="4" t="inlineStr">
        <is>
          <t>João Pessoa</t>
        </is>
      </c>
      <c r="M372" s="5" t="n">
        <v>1</v>
      </c>
    </row>
    <row r="373">
      <c r="A373" s="3">
        <f>RAND()</f>
        <v/>
      </c>
      <c r="B373" s="4" t="inlineStr">
        <is>
          <t>ChIJX03UZFjCrAcRoQGbkEmzAXg</t>
        </is>
      </c>
      <c r="C373" s="4" t="inlineStr">
        <is>
          <t>Livraria Leitura</t>
        </is>
      </c>
      <c r="D373" s="4" t="inlineStr">
        <is>
          <t>João Pessoa</t>
        </is>
      </c>
      <c r="E373" s="4" t="inlineStr">
        <is>
          <t>PB</t>
        </is>
      </c>
      <c r="F373" s="4" t="inlineStr">
        <is>
          <t>Capitais Regionais A</t>
        </is>
      </c>
      <c r="G373" s="4" t="inlineStr">
        <is>
          <t>Capital regional</t>
        </is>
      </c>
      <c r="H373" s="5">
        <f>IF(G373="fora do recorte","",SUMPRODUCT(($G$3:$G$1723=G373)*($A$3:$A$1723&lt;=A373)))</f>
        <v/>
      </c>
      <c r="I373" s="4">
        <f>IF(H373="","",G373&amp;"|"&amp;H373)</f>
        <v/>
      </c>
      <c r="J373" s="4" t="inlineStr">
        <is>
          <t>https://www.google.com/maps/search/?api=1&amp;query=Livraria%20Leitura&amp;query_place_id=ChIJX03UZFjCrAcRoQGbkEmzAXg</t>
        </is>
      </c>
      <c r="K373" s="4" t="inlineStr">
        <is>
          <t>Av. Hilton Souto Maior - Mangabeira, João Pessoa - PB, 58055-018, Brasil</t>
        </is>
      </c>
      <c r="L373" s="4" t="inlineStr">
        <is>
          <t>João Pessoa</t>
        </is>
      </c>
      <c r="M373" s="5" t="n">
        <v>3</v>
      </c>
    </row>
    <row r="374">
      <c r="A374" s="3">
        <f>RAND()</f>
        <v/>
      </c>
      <c r="B374" s="4" t="inlineStr">
        <is>
          <t>ChIJewOopODnrAcRG7UA-VNlOx8</t>
        </is>
      </c>
      <c r="C374" s="4" t="inlineStr">
        <is>
          <t>Loja de Presentes, Brinquedos e Utilidades do Lar | Top Brasil Presentes</t>
        </is>
      </c>
      <c r="D374" s="4" t="inlineStr">
        <is>
          <t>João Pessoa</t>
        </is>
      </c>
      <c r="E374" s="4" t="inlineStr">
        <is>
          <t>PB</t>
        </is>
      </c>
      <c r="F374" s="4" t="inlineStr">
        <is>
          <t>Capitais Regionais A</t>
        </is>
      </c>
      <c r="G374" s="4" t="inlineStr">
        <is>
          <t>Capital regional</t>
        </is>
      </c>
      <c r="H374" s="5">
        <f>IF(G374="fora do recorte","",SUMPRODUCT(($G$3:$G$1723=G374)*($A$3:$A$1723&lt;=A374)))</f>
        <v/>
      </c>
      <c r="I374" s="4">
        <f>IF(H374="","",G374&amp;"|"&amp;H374)</f>
        <v/>
      </c>
      <c r="J374" s="4" t="inlineStr">
        <is>
          <t>https://www.google.com/maps/search/?api=1&amp;query=Loja%20de%20Presentes%2C%20Brinquedos%20e%20Utilidades%20do%20Lar%20%7C%20Top%20Brasil%20Presentes&amp;query_place_id=ChIJewOopODnrAcRG7UA-VNlOx8</t>
        </is>
      </c>
      <c r="K374" s="4" t="inlineStr">
        <is>
          <t>R. Duque de Caxias, 275 - Centro, João Pessoa - PB, 58010-820, Brasil</t>
        </is>
      </c>
      <c r="L374" s="4" t="inlineStr">
        <is>
          <t>João Pessoa</t>
        </is>
      </c>
      <c r="M374" s="5" t="n">
        <v>1</v>
      </c>
    </row>
    <row r="375">
      <c r="A375" s="3">
        <f>RAND()</f>
        <v/>
      </c>
      <c r="B375" s="4" t="inlineStr">
        <is>
          <t>ChIJ9UCLEw7drAcRhuO_KhUP7qM</t>
        </is>
      </c>
      <c r="C375" s="4" t="inlineStr">
        <is>
          <t>Mag Shopping João Pessoa</t>
        </is>
      </c>
      <c r="D375" s="4" t="inlineStr">
        <is>
          <t>João Pessoa</t>
        </is>
      </c>
      <c r="E375" s="4" t="inlineStr">
        <is>
          <t>PB</t>
        </is>
      </c>
      <c r="F375" s="4" t="inlineStr">
        <is>
          <t>Capitais Regionais A</t>
        </is>
      </c>
      <c r="G375" s="4" t="inlineStr">
        <is>
          <t>Capital regional</t>
        </is>
      </c>
      <c r="H375" s="5">
        <f>IF(G375="fora do recorte","",SUMPRODUCT(($G$3:$G$1723=G375)*($A$3:$A$1723&lt;=A375)))</f>
        <v/>
      </c>
      <c r="I375" s="4">
        <f>IF(H375="","",G375&amp;"|"&amp;H375)</f>
        <v/>
      </c>
      <c r="J375" s="4" t="inlineStr">
        <is>
          <t>https://www.google.com/maps/search/?api=1&amp;query=Mag%20Shopping%20Jo%C3%A3o%20Pessoa&amp;query_place_id=ChIJ9UCLEw7drAcRhuO_KhUP7qM</t>
        </is>
      </c>
      <c r="K375" s="4" t="inlineStr">
        <is>
          <t>Av. Gov. Flávio Ribeiro Coutinho, 115 - Manaíra, João Pessoa - PB, 58037-000, Brasil</t>
        </is>
      </c>
      <c r="L375" s="4" t="inlineStr">
        <is>
          <t>João Pessoa</t>
        </is>
      </c>
      <c r="M375" s="5" t="n">
        <v>1</v>
      </c>
    </row>
    <row r="376">
      <c r="A376" s="3">
        <f>RAND()</f>
        <v/>
      </c>
      <c r="B376" s="4" t="inlineStr">
        <is>
          <t>ChIJnWWlmeDnrAcRPdxL9fD1e7o</t>
        </is>
      </c>
      <c r="C376" s="4" t="inlineStr">
        <is>
          <t>Messo Mix Eletrônicos e Importados</t>
        </is>
      </c>
      <c r="D376" s="4" t="inlineStr">
        <is>
          <t>João Pessoa</t>
        </is>
      </c>
      <c r="E376" s="4" t="inlineStr">
        <is>
          <t>PB</t>
        </is>
      </c>
      <c r="F376" s="4" t="inlineStr">
        <is>
          <t>Capitais Regionais A</t>
        </is>
      </c>
      <c r="G376" s="4" t="inlineStr">
        <is>
          <t>Capital regional</t>
        </is>
      </c>
      <c r="H376" s="5">
        <f>IF(G376="fora do recorte","",SUMPRODUCT(($G$3:$G$1723=G376)*($A$3:$A$1723&lt;=A376)))</f>
        <v/>
      </c>
      <c r="I376" s="4">
        <f>IF(H376="","",G376&amp;"|"&amp;H376)</f>
        <v/>
      </c>
      <c r="J376" s="4" t="inlineStr">
        <is>
          <t>https://www.google.com/maps/search/?api=1&amp;query=Messo%20Mix%20Eletr%C3%B4nicos%20e%20Importados&amp;query_place_id=ChIJnWWlmeDnrAcRPdxL9fD1e7o</t>
        </is>
      </c>
      <c r="K376" s="4" t="inlineStr">
        <is>
          <t>Av. Dois de Fevereiro, 1030 - Varjão, João Pessoa - PB, 58070-000, Brasil</t>
        </is>
      </c>
      <c r="L376" s="4" t="inlineStr">
        <is>
          <t>João Pessoa</t>
        </is>
      </c>
      <c r="M376" s="5" t="n">
        <v>2</v>
      </c>
    </row>
    <row r="377">
      <c r="A377" s="3">
        <f>RAND()</f>
        <v/>
      </c>
      <c r="B377" s="4" t="inlineStr">
        <is>
          <t>ChIJMwO7YgDdrAcRiYUURL8xCls</t>
        </is>
      </c>
      <c r="C377" s="4" t="inlineStr">
        <is>
          <t>Mokuzai café e jogos</t>
        </is>
      </c>
      <c r="D377" s="4" t="inlineStr">
        <is>
          <t>João Pessoa</t>
        </is>
      </c>
      <c r="E377" s="4" t="inlineStr">
        <is>
          <t>PB</t>
        </is>
      </c>
      <c r="F377" s="4" t="inlineStr">
        <is>
          <t>Capitais Regionais A</t>
        </is>
      </c>
      <c r="G377" s="4" t="inlineStr">
        <is>
          <t>Capital regional</t>
        </is>
      </c>
      <c r="H377" s="5">
        <f>IF(G377="fora do recorte","",SUMPRODUCT(($G$3:$G$1723=G377)*($A$3:$A$1723&lt;=A377)))</f>
        <v/>
      </c>
      <c r="I377" s="4">
        <f>IF(H377="","",G377&amp;"|"&amp;H377)</f>
        <v/>
      </c>
      <c r="J377" s="4" t="inlineStr">
        <is>
          <t>https://www.google.com/maps/search/?api=1&amp;query=Mokuzai%20caf%C3%A9%20e%20jogos&amp;query_place_id=ChIJMwO7YgDdrAcRiYUURL8xCls</t>
        </is>
      </c>
      <c r="K377" s="4" t="inlineStr">
        <is>
          <t>R. Funcionário Odon Almeida, 271 - Mangabeira, João Pessoa - PB, 58058-520, Brasil</t>
        </is>
      </c>
      <c r="L377" s="4" t="inlineStr">
        <is>
          <t>João Pessoa</t>
        </is>
      </c>
      <c r="M377" s="5" t="n">
        <v>9</v>
      </c>
    </row>
    <row r="378">
      <c r="A378" s="3">
        <f>RAND()</f>
        <v/>
      </c>
      <c r="B378" s="4" t="inlineStr">
        <is>
          <t>ChIJvare58HdrAcRXs97VKU8QA8</t>
        </is>
      </c>
      <c r="C378" s="4" t="inlineStr">
        <is>
          <t>Mundo Loki</t>
        </is>
      </c>
      <c r="D378" s="4" t="inlineStr">
        <is>
          <t>João Pessoa</t>
        </is>
      </c>
      <c r="E378" s="4" t="inlineStr">
        <is>
          <t>PB</t>
        </is>
      </c>
      <c r="F378" s="4" t="inlineStr">
        <is>
          <t>Capitais Regionais A</t>
        </is>
      </c>
      <c r="G378" s="4" t="inlineStr">
        <is>
          <t>Capital regional</t>
        </is>
      </c>
      <c r="H378" s="5">
        <f>IF(G378="fora do recorte","",SUMPRODUCT(($G$3:$G$1723=G378)*($A$3:$A$1723&lt;=A378)))</f>
        <v/>
      </c>
      <c r="I378" s="4">
        <f>IF(H378="","",G378&amp;"|"&amp;H378)</f>
        <v/>
      </c>
      <c r="J378" s="4" t="inlineStr">
        <is>
          <t>https://www.google.com/maps/search/?api=1&amp;query=Mundo%20Loki&amp;query_place_id=ChIJvare58HdrAcRXs97VKU8QA8</t>
        </is>
      </c>
      <c r="K378" s="4" t="inlineStr">
        <is>
          <t>R. Maj. Álvaro Monteiro - Lot. Maj. Barros, João Pessoa - PB, 58028-270, Brasil</t>
        </is>
      </c>
      <c r="L378" s="4" t="inlineStr">
        <is>
          <t>João Pessoa</t>
        </is>
      </c>
      <c r="M378" s="5" t="n">
        <v>1</v>
      </c>
    </row>
    <row r="379">
      <c r="A379" s="3">
        <f>RAND()</f>
        <v/>
      </c>
      <c r="B379" s="4" t="inlineStr">
        <is>
          <t>ChIJ6Z1Gd2zdrAcRfu8-ixl29zs</t>
        </is>
      </c>
      <c r="C379" s="4" t="inlineStr">
        <is>
          <t>Mundo Nerd - Cards Pokémon, Universo Geek - Loja Geek</t>
        </is>
      </c>
      <c r="D379" s="4" t="inlineStr">
        <is>
          <t>João Pessoa</t>
        </is>
      </c>
      <c r="E379" s="4" t="inlineStr">
        <is>
          <t>PB</t>
        </is>
      </c>
      <c r="F379" s="4" t="inlineStr">
        <is>
          <t>Capitais Regionais A</t>
        </is>
      </c>
      <c r="G379" s="4" t="inlineStr">
        <is>
          <t>Capital regional</t>
        </is>
      </c>
      <c r="H379" s="5">
        <f>IF(G379="fora do recorte","",SUMPRODUCT(($G$3:$G$1723=G379)*($A$3:$A$1723&lt;=A379)))</f>
        <v/>
      </c>
      <c r="I379" s="4">
        <f>IF(H379="","",G379&amp;"|"&amp;H379)</f>
        <v/>
      </c>
      <c r="J379" s="4" t="inlineStr">
        <is>
          <t>https://www.google.com/maps/search/?api=1&amp;query=Mundo%20Nerd%20-%20Cards%20Pok%C3%A9mon%2C%20Universo%20Geek%20-%20Loja%20Geek&amp;query_place_id=ChIJ6Z1Gd2zdrAcRfu8-ixl29zs</t>
        </is>
      </c>
      <c r="K379" s="4" t="inlineStr">
        <is>
          <t>R. Severino Nicolau de Melo, 302 - Jardim Oceania, João Pessoa - PB, 58037-700, Brasil</t>
        </is>
      </c>
      <c r="L379" s="4" t="inlineStr">
        <is>
          <t>João Pessoa</t>
        </is>
      </c>
      <c r="M379" s="5" t="n">
        <v>2</v>
      </c>
    </row>
    <row r="380">
      <c r="A380" s="3">
        <f>RAND()</f>
        <v/>
      </c>
      <c r="B380" s="4" t="inlineStr">
        <is>
          <t>ChIJ85vQQj7CrAcR5VnMKrj0Vo0</t>
        </is>
      </c>
      <c r="C380" s="4" t="inlineStr">
        <is>
          <t>Mundo da diversão Locações de Brinquedos</t>
        </is>
      </c>
      <c r="D380" s="4" t="inlineStr">
        <is>
          <t>João Pessoa</t>
        </is>
      </c>
      <c r="E380" s="4" t="inlineStr">
        <is>
          <t>PB</t>
        </is>
      </c>
      <c r="F380" s="4" t="inlineStr">
        <is>
          <t>Capitais Regionais A</t>
        </is>
      </c>
      <c r="G380" s="4" t="inlineStr">
        <is>
          <t>Capital regional</t>
        </is>
      </c>
      <c r="H380" s="5">
        <f>IF(G380="fora do recorte","",SUMPRODUCT(($G$3:$G$1723=G380)*($A$3:$A$1723&lt;=A380)))</f>
        <v/>
      </c>
      <c r="I380" s="4">
        <f>IF(H380="","",G380&amp;"|"&amp;H380)</f>
        <v/>
      </c>
      <c r="J380" s="4" t="inlineStr">
        <is>
          <t>https://www.google.com/maps/search/?api=1&amp;query=Mundo%20da%20divers%C3%A3o%20Loca%C3%A7%C3%B5es%20de%20Brinquedos&amp;query_place_id=ChIJ85vQQj7CrAcR5VnMKrj0Vo0</t>
        </is>
      </c>
      <c r="K380" s="4" t="inlineStr">
        <is>
          <t>Osorio Muniz Brito Brasil - Mangabeira, João Pessoa - PB, 58056-100, Brasil</t>
        </is>
      </c>
      <c r="L380" s="4" t="inlineStr">
        <is>
          <t>João Pessoa</t>
        </is>
      </c>
      <c r="M380" s="5" t="n">
        <v>1</v>
      </c>
    </row>
    <row r="381">
      <c r="A381" s="3">
        <f>RAND()</f>
        <v/>
      </c>
      <c r="B381" s="4" t="inlineStr">
        <is>
          <t>ChIJp5mdJBDprAcR5qui9SH62No</t>
        </is>
      </c>
      <c r="C381" s="4" t="inlineStr">
        <is>
          <t>Outbêco - Geisel Lounge</t>
        </is>
      </c>
      <c r="D381" s="4" t="inlineStr">
        <is>
          <t>João Pessoa</t>
        </is>
      </c>
      <c r="E381" s="4" t="inlineStr">
        <is>
          <t>PB</t>
        </is>
      </c>
      <c r="F381" s="4" t="inlineStr">
        <is>
          <t>Capitais Regionais A</t>
        </is>
      </c>
      <c r="G381" s="4" t="inlineStr">
        <is>
          <t>Capital regional</t>
        </is>
      </c>
      <c r="H381" s="5">
        <f>IF(G381="fora do recorte","",SUMPRODUCT(($G$3:$G$1723=G381)*($A$3:$A$1723&lt;=A381)))</f>
        <v/>
      </c>
      <c r="I381" s="4">
        <f>IF(H381="","",G381&amp;"|"&amp;H381)</f>
        <v/>
      </c>
      <c r="J381" s="4" t="inlineStr">
        <is>
          <t>https://www.google.com/maps/search/?api=1&amp;query=Outb%C3%AAco%20-%20Geisel%20Lounge&amp;query_place_id=ChIJp5mdJBDprAcR5qui9SH62No</t>
        </is>
      </c>
      <c r="K381" s="4" t="inlineStr">
        <is>
          <t>R. Irmã Maria Evangelie, 17 - Ernesto Geisel, João Pessoa - PB, 58075-280, Brasil</t>
        </is>
      </c>
      <c r="L381" s="4" t="inlineStr">
        <is>
          <t>João Pessoa</t>
        </is>
      </c>
      <c r="M381" s="5" t="n">
        <v>1</v>
      </c>
    </row>
    <row r="382">
      <c r="A382" s="3">
        <f>RAND()</f>
        <v/>
      </c>
      <c r="B382" s="4" t="inlineStr">
        <is>
          <t>ChIJ5b4QqJjdrAcRHfe4Jt4BP5g</t>
        </is>
      </c>
      <c r="C382" s="4" t="inlineStr">
        <is>
          <t>PB Kids</t>
        </is>
      </c>
      <c r="D382" s="4" t="inlineStr">
        <is>
          <t>João Pessoa</t>
        </is>
      </c>
      <c r="E382" s="4" t="inlineStr">
        <is>
          <t>PB</t>
        </is>
      </c>
      <c r="F382" s="4" t="inlineStr">
        <is>
          <t>Capitais Regionais A</t>
        </is>
      </c>
      <c r="G382" s="4" t="inlineStr">
        <is>
          <t>Capital regional</t>
        </is>
      </c>
      <c r="H382" s="5">
        <f>IF(G382="fora do recorte","",SUMPRODUCT(($G$3:$G$1723=G382)*($A$3:$A$1723&lt;=A382)))</f>
        <v/>
      </c>
      <c r="I382" s="4">
        <f>IF(H382="","",G382&amp;"|"&amp;H382)</f>
        <v/>
      </c>
      <c r="J382" s="4" t="inlineStr">
        <is>
          <t>https://www.google.com/maps/search/?api=1&amp;query=PB%20Kids&amp;query_place_id=ChIJ5b4QqJjdrAcRHfe4Jt4BP5g</t>
        </is>
      </c>
      <c r="K382" s="4" t="inlineStr">
        <is>
          <t>Av. Acre, 215 - Estados, João Pessoa - PB, 58030-230, Brasil</t>
        </is>
      </c>
      <c r="L382" s="4" t="inlineStr">
        <is>
          <t>João Pessoa</t>
        </is>
      </c>
      <c r="M382" s="5" t="n">
        <v>1</v>
      </c>
    </row>
    <row r="383">
      <c r="A383" s="3">
        <f>RAND()</f>
        <v/>
      </c>
      <c r="B383" s="4" t="inlineStr">
        <is>
          <t>ChIJ6yZj5OvdrAcR5vdrXD5GVzI</t>
        </is>
      </c>
      <c r="C383" s="4" t="inlineStr">
        <is>
          <t>Pacha Mama Pub</t>
        </is>
      </c>
      <c r="D383" s="4" t="inlineStr">
        <is>
          <t>João Pessoa</t>
        </is>
      </c>
      <c r="E383" s="4" t="inlineStr">
        <is>
          <t>PB</t>
        </is>
      </c>
      <c r="F383" s="4" t="inlineStr">
        <is>
          <t>Capitais Regionais A</t>
        </is>
      </c>
      <c r="G383" s="4" t="inlineStr">
        <is>
          <t>Capital regional</t>
        </is>
      </c>
      <c r="H383" s="5">
        <f>IF(G383="fora do recorte","",SUMPRODUCT(($G$3:$G$1723=G383)*($A$3:$A$1723&lt;=A383)))</f>
        <v/>
      </c>
      <c r="I383" s="4">
        <f>IF(H383="","",G383&amp;"|"&amp;H383)</f>
        <v/>
      </c>
      <c r="J383" s="4" t="inlineStr">
        <is>
          <t>https://www.google.com/maps/search/?api=1&amp;query=Pacha%20Mama%20Pub&amp;query_place_id=ChIJ6yZj5OvdrAcR5vdrXD5GVzI</t>
        </is>
      </c>
      <c r="K383" s="4" t="inlineStr">
        <is>
          <t>R. Dep. Geraldo Mariz, 510 - Miramar, João Pessoa - PB, 58043-006, Brasil</t>
        </is>
      </c>
      <c r="L383" s="4" t="inlineStr">
        <is>
          <t>João Pessoa</t>
        </is>
      </c>
      <c r="M383" s="5" t="n">
        <v>1</v>
      </c>
    </row>
    <row r="384">
      <c r="A384" s="3">
        <f>RAND()</f>
        <v/>
      </c>
      <c r="B384" s="4" t="inlineStr">
        <is>
          <t>ChIJ0UmPntbCrAcR2x-4lXwJNF0</t>
        </is>
      </c>
      <c r="C384" s="4" t="inlineStr">
        <is>
          <t>Parque Cabo Branco</t>
        </is>
      </c>
      <c r="D384" s="4" t="inlineStr">
        <is>
          <t>João Pessoa</t>
        </is>
      </c>
      <c r="E384" s="4" t="inlineStr">
        <is>
          <t>PB</t>
        </is>
      </c>
      <c r="F384" s="4" t="inlineStr">
        <is>
          <t>Capitais Regionais A</t>
        </is>
      </c>
      <c r="G384" s="4" t="inlineStr">
        <is>
          <t>Capital regional</t>
        </is>
      </c>
      <c r="H384" s="5">
        <f>IF(G384="fora do recorte","",SUMPRODUCT(($G$3:$G$1723=G384)*($A$3:$A$1723&lt;=A384)))</f>
        <v/>
      </c>
      <c r="I384" s="4">
        <f>IF(H384="","",G384&amp;"|"&amp;H384)</f>
        <v/>
      </c>
      <c r="J384" s="4" t="inlineStr">
        <is>
          <t>https://www.google.com/maps/search/?api=1&amp;query=Parque%20Cabo%20Branco&amp;query_place_id=ChIJ0UmPntbCrAcR2x-4lXwJNF0</t>
        </is>
      </c>
      <c r="K384" s="4" t="inlineStr">
        <is>
          <t>Av. Cabo Branco, 2492 - Cabo Branco, João Pessoa - PB, 58045-010, Brasil</t>
        </is>
      </c>
      <c r="L384" s="4" t="inlineStr">
        <is>
          <t>João Pessoa</t>
        </is>
      </c>
      <c r="M384" s="5" t="n">
        <v>1</v>
      </c>
    </row>
    <row r="385">
      <c r="A385" s="3">
        <f>RAND()</f>
        <v/>
      </c>
      <c r="B385" s="4" t="inlineStr">
        <is>
          <t>ChIJqWiDvsXdrAcRHafyhLCELbE</t>
        </is>
      </c>
      <c r="C385" s="4" t="inlineStr">
        <is>
          <t>Planeta Imaginário Manaira Shopping | Espaço Infantil e Festa de aniversário em João Pessoa</t>
        </is>
      </c>
      <c r="D385" s="4" t="inlineStr">
        <is>
          <t>João Pessoa</t>
        </is>
      </c>
      <c r="E385" s="4" t="inlineStr">
        <is>
          <t>PB</t>
        </is>
      </c>
      <c r="F385" s="4" t="inlineStr">
        <is>
          <t>Capitais Regionais A</t>
        </is>
      </c>
      <c r="G385" s="4" t="inlineStr">
        <is>
          <t>Capital regional</t>
        </is>
      </c>
      <c r="H385" s="5">
        <f>IF(G385="fora do recorte","",SUMPRODUCT(($G$3:$G$1723=G385)*($A$3:$A$1723&lt;=A385)))</f>
        <v/>
      </c>
      <c r="I385" s="4">
        <f>IF(H385="","",G385&amp;"|"&amp;H385)</f>
        <v/>
      </c>
      <c r="J385" s="4" t="inlineStr">
        <is>
          <t>https://www.google.com/maps/search/?api=1&amp;query=Planeta%20Imagin%C3%A1rio%20Manaira%20Shopping%20%7C%20Espa%C3%A7o%20Infantil%20e%20Festa%20de%20anivers%C3%A1rio%20em%20Jo%C3%A3o%20Pessoa&amp;query_place_id=ChIJqWiDvsXdrAcRHafyhLCELbE</t>
        </is>
      </c>
      <c r="K385" s="4" t="inlineStr">
        <is>
          <t>Ao Ao lado do Outback - R. Manoel Arruda Cavalcante, 805 - Piso 2 - Manaíra, João Pessoa - PB, 58033-455, Brasil</t>
        </is>
      </c>
      <c r="L385" s="4" t="inlineStr">
        <is>
          <t>João Pessoa</t>
        </is>
      </c>
      <c r="M385" s="5" t="n">
        <v>1</v>
      </c>
    </row>
    <row r="386">
      <c r="A386" s="3">
        <f>RAND()</f>
        <v/>
      </c>
      <c r="B386" s="4" t="inlineStr">
        <is>
          <t>ChIJAQrviwDdrAcR0dUjcslBHJ8</t>
        </is>
      </c>
      <c r="C386" s="4" t="inlineStr">
        <is>
          <t>Play safari kids</t>
        </is>
      </c>
      <c r="D386" s="4" t="inlineStr">
        <is>
          <t>João Pessoa</t>
        </is>
      </c>
      <c r="E386" s="4" t="inlineStr">
        <is>
          <t>PB</t>
        </is>
      </c>
      <c r="F386" s="4" t="inlineStr">
        <is>
          <t>Capitais Regionais A</t>
        </is>
      </c>
      <c r="G386" s="4" t="inlineStr">
        <is>
          <t>Capital regional</t>
        </is>
      </c>
      <c r="H386" s="5">
        <f>IF(G386="fora do recorte","",SUMPRODUCT(($G$3:$G$1723=G386)*($A$3:$A$1723&lt;=A386)))</f>
        <v/>
      </c>
      <c r="I386" s="4">
        <f>IF(H386="","",G386&amp;"|"&amp;H386)</f>
        <v/>
      </c>
      <c r="J386" s="4" t="inlineStr">
        <is>
          <t>https://www.google.com/maps/search/?api=1&amp;query=Play%20safari%20kids&amp;query_place_id=ChIJAQrviwDdrAcR0dUjcslBHJ8</t>
        </is>
      </c>
      <c r="K386" s="4" t="inlineStr">
        <is>
          <t>Mangabeira shopping 1°piso Manaira shopping - Térreo - Mangabeira, João Pessoa - PB, 58055-018, Brasil</t>
        </is>
      </c>
      <c r="L386" s="4" t="inlineStr">
        <is>
          <t>João Pessoa</t>
        </is>
      </c>
      <c r="M386" s="5" t="n">
        <v>1</v>
      </c>
    </row>
    <row r="387">
      <c r="A387" s="3">
        <f>RAND()</f>
        <v/>
      </c>
      <c r="B387" s="4" t="inlineStr">
        <is>
          <t>ChIJcbCZuYvDrAcRMvte0H3dO6Y</t>
        </is>
      </c>
      <c r="C387" s="4" t="inlineStr">
        <is>
          <t>Praiô Beach Club</t>
        </is>
      </c>
      <c r="D387" s="4" t="inlineStr">
        <is>
          <t>João Pessoa</t>
        </is>
      </c>
      <c r="E387" s="4" t="inlineStr">
        <is>
          <t>PB</t>
        </is>
      </c>
      <c r="F387" s="4" t="inlineStr">
        <is>
          <t>Capitais Regionais A</t>
        </is>
      </c>
      <c r="G387" s="4" t="inlineStr">
        <is>
          <t>Capital regional</t>
        </is>
      </c>
      <c r="H387" s="5">
        <f>IF(G387="fora do recorte","",SUMPRODUCT(($G$3:$G$1723=G387)*($A$3:$A$1723&lt;=A387)))</f>
        <v/>
      </c>
      <c r="I387" s="4">
        <f>IF(H387="","",G387&amp;"|"&amp;H387)</f>
        <v/>
      </c>
      <c r="J387" s="4" t="inlineStr">
        <is>
          <t>https://www.google.com/maps/search/?api=1&amp;query=Prai%C3%B4%20Beach%20Club&amp;query_place_id=ChIJcbCZuYvDrAcRMvte0H3dO6Y</t>
        </is>
      </c>
      <c r="K387" s="4" t="inlineStr">
        <is>
          <t>Av dos pescadores em - frente ao n 36 - Ponta do Seixas, João Pessoa - PB, 58033-455, Brasil</t>
        </is>
      </c>
      <c r="L387" s="4" t="inlineStr">
        <is>
          <t>João Pessoa</t>
        </is>
      </c>
      <c r="M387" s="5" t="n">
        <v>1</v>
      </c>
    </row>
    <row r="388">
      <c r="A388" s="3">
        <f>RAND()</f>
        <v/>
      </c>
      <c r="B388" s="4" t="inlineStr">
        <is>
          <t>ChIJ3aUXP2rdrAcRamOHbgvNi1U</t>
        </is>
      </c>
      <c r="C388" s="4" t="inlineStr">
        <is>
          <t>Psi Com Jogos | Loja de Jogos Educativos</t>
        </is>
      </c>
      <c r="D388" s="4" t="inlineStr">
        <is>
          <t>João Pessoa</t>
        </is>
      </c>
      <c r="E388" s="4" t="inlineStr">
        <is>
          <t>PB</t>
        </is>
      </c>
      <c r="F388" s="4" t="inlineStr">
        <is>
          <t>Capitais Regionais A</t>
        </is>
      </c>
      <c r="G388" s="4" t="inlineStr">
        <is>
          <t>Capital regional</t>
        </is>
      </c>
      <c r="H388" s="5">
        <f>IF(G388="fora do recorte","",SUMPRODUCT(($G$3:$G$1723=G388)*($A$3:$A$1723&lt;=A388)))</f>
        <v/>
      </c>
      <c r="I388" s="4">
        <f>IF(H388="","",G388&amp;"|"&amp;H388)</f>
        <v/>
      </c>
      <c r="J388" s="4" t="inlineStr">
        <is>
          <t>https://www.google.com/maps/search/?api=1&amp;query=Psi%20Com%20Jogos%20%7C%20Loja%20de%20Jogos%20Educativos&amp;query_place_id=ChIJ3aUXP2rdrAcRamOHbgvNi1U</t>
        </is>
      </c>
      <c r="K388" s="4" t="inlineStr">
        <is>
          <t>Av. Pres. Epitácio Pessoa, 2400 - sala 1 - Estados, João Pessoa - PB, 58042-006, Brasil</t>
        </is>
      </c>
      <c r="L388" s="4" t="inlineStr">
        <is>
          <t>João Pessoa</t>
        </is>
      </c>
      <c r="M388" s="5" t="n">
        <v>4</v>
      </c>
    </row>
    <row r="389">
      <c r="A389" s="3">
        <f>RAND()</f>
        <v/>
      </c>
      <c r="B389" s="4" t="inlineStr">
        <is>
          <t>ChIJF9PByG3drAcRTTFx8ytTL_Q</t>
        </is>
      </c>
      <c r="C389" s="4" t="inlineStr">
        <is>
          <t>RI HAPPY MANAÍRA</t>
        </is>
      </c>
      <c r="D389" s="4" t="inlineStr">
        <is>
          <t>João Pessoa</t>
        </is>
      </c>
      <c r="E389" s="4" t="inlineStr">
        <is>
          <t>PB</t>
        </is>
      </c>
      <c r="F389" s="4" t="inlineStr">
        <is>
          <t>Capitais Regionais A</t>
        </is>
      </c>
      <c r="G389" s="4" t="inlineStr">
        <is>
          <t>Capital regional</t>
        </is>
      </c>
      <c r="H389" s="5">
        <f>IF(G389="fora do recorte","",SUMPRODUCT(($G$3:$G$1723=G389)*($A$3:$A$1723&lt;=A389)))</f>
        <v/>
      </c>
      <c r="I389" s="4">
        <f>IF(H389="","",G389&amp;"|"&amp;H389)</f>
        <v/>
      </c>
      <c r="J389" s="4" t="inlineStr">
        <is>
          <t>https://www.google.com/maps/search/?api=1&amp;query=RI%20HAPPY%20MANA%C3%8DRA&amp;query_place_id=ChIJF9PByG3drAcRTTFx8ytTL_Q</t>
        </is>
      </c>
      <c r="K389" s="4" t="inlineStr">
        <is>
          <t>S2-041 - Av. Gov. Flávio Ribeiro Coutinho, 220 - Loja S2-040 e - Manaíra, João Pessoa - PB, 58037-900, Brasil</t>
        </is>
      </c>
      <c r="L389" s="4" t="inlineStr">
        <is>
          <t>João Pessoa</t>
        </is>
      </c>
      <c r="M389" s="5" t="n">
        <v>1</v>
      </c>
    </row>
    <row r="390">
      <c r="A390" s="3">
        <f>RAND()</f>
        <v/>
      </c>
      <c r="B390" s="4" t="inlineStr">
        <is>
          <t>ChIJKY4P8vfCrAcRj_8Xi7hrzbE</t>
        </is>
      </c>
      <c r="C390" s="4" t="inlineStr">
        <is>
          <t>RI HAPPY MANGABEIRA SHOPPING</t>
        </is>
      </c>
      <c r="D390" s="4" t="inlineStr">
        <is>
          <t>João Pessoa</t>
        </is>
      </c>
      <c r="E390" s="4" t="inlineStr">
        <is>
          <t>PB</t>
        </is>
      </c>
      <c r="F390" s="4" t="inlineStr">
        <is>
          <t>Capitais Regionais A</t>
        </is>
      </c>
      <c r="G390" s="4" t="inlineStr">
        <is>
          <t>Capital regional</t>
        </is>
      </c>
      <c r="H390" s="5">
        <f>IF(G390="fora do recorte","",SUMPRODUCT(($G$3:$G$1723=G390)*($A$3:$A$1723&lt;=A390)))</f>
        <v/>
      </c>
      <c r="I390" s="4">
        <f>IF(H390="","",G390&amp;"|"&amp;H390)</f>
        <v/>
      </c>
      <c r="J390" s="4" t="inlineStr">
        <is>
          <t>https://www.google.com/maps/search/?api=1&amp;query=RI%20HAPPY%20MANGABEIRA%20SHOPPING&amp;query_place_id=ChIJKY4P8vfCrAcRj_8Xi7hrzbE</t>
        </is>
      </c>
      <c r="K390" s="4" t="inlineStr">
        <is>
          <t>Avenida Hílton Souto Maior, 1 - S/N ÂNCORA, 03 - 1º PAVIMENTO - Mangabeira, João Pessoa - PB, 58055-018, Brasil</t>
        </is>
      </c>
      <c r="L390" s="4" t="inlineStr">
        <is>
          <t>João Pessoa</t>
        </is>
      </c>
      <c r="M390" s="5" t="n">
        <v>2</v>
      </c>
    </row>
    <row r="391">
      <c r="A391" s="3">
        <f>RAND()</f>
        <v/>
      </c>
      <c r="B391" s="4" t="inlineStr">
        <is>
          <t>ChIJbUnqnHPdrAcR42_sfoH2Zpo</t>
        </is>
      </c>
      <c r="C391" s="4" t="inlineStr">
        <is>
          <t>Restaurante Reserve Garden - João Pessoa</t>
        </is>
      </c>
      <c r="D391" s="4" t="inlineStr">
        <is>
          <t>João Pessoa</t>
        </is>
      </c>
      <c r="E391" s="4" t="inlineStr">
        <is>
          <t>PB</t>
        </is>
      </c>
      <c r="F391" s="4" t="inlineStr">
        <is>
          <t>Capitais Regionais A</t>
        </is>
      </c>
      <c r="G391" s="4" t="inlineStr">
        <is>
          <t>Capital regional</t>
        </is>
      </c>
      <c r="H391" s="5">
        <f>IF(G391="fora do recorte","",SUMPRODUCT(($G$3:$G$1723=G391)*($A$3:$A$1723&lt;=A391)))</f>
        <v/>
      </c>
      <c r="I391" s="4">
        <f>IF(H391="","",G391&amp;"|"&amp;H391)</f>
        <v/>
      </c>
      <c r="J391" s="4" t="inlineStr">
        <is>
          <t>https://www.google.com/maps/search/?api=1&amp;query=Restaurante%20Reserve%20Garden%20-%20Jo%C3%A3o%20Pessoa&amp;query_place_id=ChIJbUnqnHPdrAcR42_sfoH2Zpo</t>
        </is>
      </c>
      <c r="K391" s="4" t="inlineStr">
        <is>
          <t>Av. Euzely Fabrício de Souza, 304 - Manaíra, João Pessoa - PB, 58038-410, Brasil</t>
        </is>
      </c>
      <c r="L391" s="4" t="inlineStr">
        <is>
          <t>João Pessoa</t>
        </is>
      </c>
      <c r="M391" s="5" t="n">
        <v>1</v>
      </c>
    </row>
    <row r="392">
      <c r="A392" s="3">
        <f>RAND()</f>
        <v/>
      </c>
      <c r="B392" s="4" t="inlineStr">
        <is>
          <t>ChIJN3GsWgDdrAcReqslaEjTzeM</t>
        </is>
      </c>
      <c r="C392" s="4" t="inlineStr">
        <is>
          <t>Retro Round - Bar e Fliperama</t>
        </is>
      </c>
      <c r="D392" s="4" t="inlineStr">
        <is>
          <t>João Pessoa</t>
        </is>
      </c>
      <c r="E392" s="4" t="inlineStr">
        <is>
          <t>PB</t>
        </is>
      </c>
      <c r="F392" s="4" t="inlineStr">
        <is>
          <t>Capitais Regionais A</t>
        </is>
      </c>
      <c r="G392" s="4" t="inlineStr">
        <is>
          <t>Capital regional</t>
        </is>
      </c>
      <c r="H392" s="5">
        <f>IF(G392="fora do recorte","",SUMPRODUCT(($G$3:$G$1723=G392)*($A$3:$A$1723&lt;=A392)))</f>
        <v/>
      </c>
      <c r="I392" s="4">
        <f>IF(H392="","",G392&amp;"|"&amp;H392)</f>
        <v/>
      </c>
      <c r="J392" s="4" t="inlineStr">
        <is>
          <t>https://www.google.com/maps/search/?api=1&amp;query=Retro%20Round%20-%20Bar%20e%20Fliperama&amp;query_place_id=ChIJN3GsWgDdrAcReqslaEjTzeM</t>
        </is>
      </c>
      <c r="K392" s="4" t="inlineStr">
        <is>
          <t>Av. Sen. Ruy Carneiro, 648 - Manaíra, João Pessoa - PB, 58032-101, Brasil</t>
        </is>
      </c>
      <c r="L392" s="4" t="inlineStr">
        <is>
          <t>João Pessoa</t>
        </is>
      </c>
      <c r="M392" s="5" t="n">
        <v>5</v>
      </c>
    </row>
    <row r="393">
      <c r="A393" s="3">
        <f>RAND()</f>
        <v/>
      </c>
      <c r="B393" s="4" t="inlineStr">
        <is>
          <t>ChIJrw6iDoPdrAcRxuSSJlYpHwI</t>
        </is>
      </c>
      <c r="C393" s="4" t="inlineStr">
        <is>
          <t>SEU BAR</t>
        </is>
      </c>
      <c r="D393" s="4" t="inlineStr">
        <is>
          <t>João Pessoa</t>
        </is>
      </c>
      <c r="E393" s="4" t="inlineStr">
        <is>
          <t>PB</t>
        </is>
      </c>
      <c r="F393" s="4" t="inlineStr">
        <is>
          <t>Capitais Regionais A</t>
        </is>
      </c>
      <c r="G393" s="4" t="inlineStr">
        <is>
          <t>Capital regional</t>
        </is>
      </c>
      <c r="H393" s="5">
        <f>IF(G393="fora do recorte","",SUMPRODUCT(($G$3:$G$1723=G393)*($A$3:$A$1723&lt;=A393)))</f>
        <v/>
      </c>
      <c r="I393" s="4">
        <f>IF(H393="","",G393&amp;"|"&amp;H393)</f>
        <v/>
      </c>
      <c r="J393" s="4" t="inlineStr">
        <is>
          <t>https://www.google.com/maps/search/?api=1&amp;query=SEU%20BAR&amp;query_place_id=ChIJrw6iDoPdrAcRxuSSJlYpHwI</t>
        </is>
      </c>
      <c r="K393" s="4" t="inlineStr">
        <is>
          <t>Av. Guarabira - Manaíra, João Pessoa - PB, 58038-142, Brasil</t>
        </is>
      </c>
      <c r="L393" s="4" t="inlineStr">
        <is>
          <t>João Pessoa</t>
        </is>
      </c>
      <c r="M393" s="5" t="n">
        <v>1</v>
      </c>
    </row>
    <row r="394">
      <c r="A394" s="3">
        <f>RAND()</f>
        <v/>
      </c>
      <c r="B394" s="4" t="inlineStr">
        <is>
          <t>ChIJpb9UkAbdrAcRP8k6Wyl4HEg</t>
        </is>
      </c>
      <c r="C394" s="4" t="inlineStr">
        <is>
          <t>Sea Rooftop</t>
        </is>
      </c>
      <c r="D394" s="4" t="inlineStr">
        <is>
          <t>João Pessoa</t>
        </is>
      </c>
      <c r="E394" s="4" t="inlineStr">
        <is>
          <t>PB</t>
        </is>
      </c>
      <c r="F394" s="4" t="inlineStr">
        <is>
          <t>Capitais Regionais A</t>
        </is>
      </c>
      <c r="G394" s="4" t="inlineStr">
        <is>
          <t>Capital regional</t>
        </is>
      </c>
      <c r="H394" s="5">
        <f>IF(G394="fora do recorte","",SUMPRODUCT(($G$3:$G$1723=G394)*($A$3:$A$1723&lt;=A394)))</f>
        <v/>
      </c>
      <c r="I394" s="4">
        <f>IF(H394="","",G394&amp;"|"&amp;H394)</f>
        <v/>
      </c>
      <c r="J394" s="4" t="inlineStr">
        <is>
          <t>https://www.google.com/maps/search/?api=1&amp;query=Sea%20Rooftop&amp;query_place_id=ChIJpb9UkAbdrAcRP8k6Wyl4HEg</t>
        </is>
      </c>
      <c r="K394" s="4" t="inlineStr">
        <is>
          <t>Rooftop Oceana Atlântico Hotel - Av. Gov. Argemiro de Figueiredo, 2100 - Bessa, João Pessoa - PB, 58037-030, Brasil</t>
        </is>
      </c>
      <c r="L394" s="4" t="inlineStr">
        <is>
          <t>João Pessoa</t>
        </is>
      </c>
      <c r="M394" s="5" t="n">
        <v>1</v>
      </c>
    </row>
    <row r="395">
      <c r="A395" s="3">
        <f>RAND()</f>
        <v/>
      </c>
      <c r="B395" s="4" t="inlineStr">
        <is>
          <t>ChIJSQ7pMgDorAcR2tW4krOfXOI</t>
        </is>
      </c>
      <c r="C395" s="4" t="inlineStr">
        <is>
          <t>Serviços Games</t>
        </is>
      </c>
      <c r="D395" s="4" t="inlineStr">
        <is>
          <t>João Pessoa</t>
        </is>
      </c>
      <c r="E395" s="4" t="inlineStr">
        <is>
          <t>PB</t>
        </is>
      </c>
      <c r="F395" s="4" t="inlineStr">
        <is>
          <t>Capitais Regionais A</t>
        </is>
      </c>
      <c r="G395" s="4" t="inlineStr">
        <is>
          <t>Capital regional</t>
        </is>
      </c>
      <c r="H395" s="5">
        <f>IF(G395="fora do recorte","",SUMPRODUCT(($G$3:$G$1723=G395)*($A$3:$A$1723&lt;=A395)))</f>
        <v/>
      </c>
      <c r="I395" s="4">
        <f>IF(H395="","",G395&amp;"|"&amp;H395)</f>
        <v/>
      </c>
      <c r="J395" s="4" t="inlineStr">
        <is>
          <t>https://www.google.com/maps/search/?api=1&amp;query=Servi%C3%A7os%20Games&amp;query_place_id=ChIJSQ7pMgDorAcR2tW4krOfXOI</t>
        </is>
      </c>
      <c r="K395" s="4" t="inlineStr">
        <is>
          <t>604-686 - Av. Carneiro da Cunha - Torre, João Pessoa - PB, 58040-243, Brasil</t>
        </is>
      </c>
      <c r="L395" s="4" t="inlineStr">
        <is>
          <t>João Pessoa</t>
        </is>
      </c>
      <c r="M395" s="5" t="n">
        <v>1</v>
      </c>
    </row>
    <row r="396">
      <c r="A396" s="3">
        <f>RAND()</f>
        <v/>
      </c>
      <c r="B396" s="4" t="inlineStr">
        <is>
          <t>ChIJLePgFDnDrAcR_69kPbknXfQ</t>
        </is>
      </c>
      <c r="C396" s="4" t="inlineStr">
        <is>
          <t>Shai Park Party</t>
        </is>
      </c>
      <c r="D396" s="4" t="inlineStr">
        <is>
          <t>João Pessoa</t>
        </is>
      </c>
      <c r="E396" s="4" t="inlineStr">
        <is>
          <t>PB</t>
        </is>
      </c>
      <c r="F396" s="4" t="inlineStr">
        <is>
          <t>Capitais Regionais A</t>
        </is>
      </c>
      <c r="G396" s="4" t="inlineStr">
        <is>
          <t>Capital regional</t>
        </is>
      </c>
      <c r="H396" s="5">
        <f>IF(G396="fora do recorte","",SUMPRODUCT(($G$3:$G$1723=G396)*($A$3:$A$1723&lt;=A396)))</f>
        <v/>
      </c>
      <c r="I396" s="4">
        <f>IF(H396="","",G396&amp;"|"&amp;H396)</f>
        <v/>
      </c>
      <c r="J396" s="4" t="inlineStr">
        <is>
          <t>https://www.google.com/maps/search/?api=1&amp;query=Shai%20Park%20Party&amp;query_place_id=ChIJLePgFDnDrAcR_69kPbknXfQ</t>
        </is>
      </c>
      <c r="K396" s="4" t="inlineStr">
        <is>
          <t>R. Empresário João Rodrigues Alves, 900 - Anatólia, João Pessoa - PB, 58052-005, Brasil</t>
        </is>
      </c>
      <c r="L396" s="4" t="inlineStr">
        <is>
          <t>João Pessoa</t>
        </is>
      </c>
      <c r="M396" s="5" t="n">
        <v>1</v>
      </c>
    </row>
    <row r="397">
      <c r="A397" s="3">
        <f>RAND()</f>
        <v/>
      </c>
      <c r="B397" s="4" t="inlineStr">
        <is>
          <t>ChIJn4zFae3CrAcRIGE-q4gNIMA</t>
        </is>
      </c>
      <c r="C397" s="4" t="inlineStr">
        <is>
          <t>Shopping Sul</t>
        </is>
      </c>
      <c r="D397" s="4" t="inlineStr">
        <is>
          <t>João Pessoa</t>
        </is>
      </c>
      <c r="E397" s="4" t="inlineStr">
        <is>
          <t>PB</t>
        </is>
      </c>
      <c r="F397" s="4" t="inlineStr">
        <is>
          <t>Capitais Regionais A</t>
        </is>
      </c>
      <c r="G397" s="4" t="inlineStr">
        <is>
          <t>Capital regional</t>
        </is>
      </c>
      <c r="H397" s="5">
        <f>IF(G397="fora do recorte","",SUMPRODUCT(($G$3:$G$1723=G397)*($A$3:$A$1723&lt;=A397)))</f>
        <v/>
      </c>
      <c r="I397" s="4">
        <f>IF(H397="","",G397&amp;"|"&amp;H397)</f>
        <v/>
      </c>
      <c r="J397" s="4" t="inlineStr">
        <is>
          <t>https://www.google.com/maps/search/?api=1&amp;query=Shopping%20Sul&amp;query_place_id=ChIJn4zFae3CrAcRIGE-q4gNIMA</t>
        </is>
      </c>
      <c r="K397" s="4" t="inlineStr">
        <is>
          <t>R. Bancário Sérgio Guerra, 900 - Anatólia, João Pessoa - PB, 58051-255, Brasil</t>
        </is>
      </c>
      <c r="L397" s="4" t="inlineStr">
        <is>
          <t>João Pessoa</t>
        </is>
      </c>
      <c r="M397" s="5" t="n">
        <v>1</v>
      </c>
    </row>
    <row r="398">
      <c r="A398" s="3">
        <f>RAND()</f>
        <v/>
      </c>
      <c r="B398" s="4" t="inlineStr">
        <is>
          <t>ChIJARMBEUDDrAcRWLqBPwF8cm8</t>
        </is>
      </c>
      <c r="C398" s="4" t="inlineStr">
        <is>
          <t>Sky Restô Restaurante</t>
        </is>
      </c>
      <c r="D398" s="4" t="inlineStr">
        <is>
          <t>João Pessoa</t>
        </is>
      </c>
      <c r="E398" s="4" t="inlineStr">
        <is>
          <t>PB</t>
        </is>
      </c>
      <c r="F398" s="4" t="inlineStr">
        <is>
          <t>Capitais Regionais A</t>
        </is>
      </c>
      <c r="G398" s="4" t="inlineStr">
        <is>
          <t>Capital regional</t>
        </is>
      </c>
      <c r="H398" s="5">
        <f>IF(G398="fora do recorte","",SUMPRODUCT(($G$3:$G$1723=G398)*($A$3:$A$1723&lt;=A398)))</f>
        <v/>
      </c>
      <c r="I398" s="4">
        <f>IF(H398="","",G398&amp;"|"&amp;H398)</f>
        <v/>
      </c>
      <c r="J398" s="4" t="inlineStr">
        <is>
          <t>https://www.google.com/maps/search/?api=1&amp;query=Sky%20Rest%C3%B4%20Restaurante&amp;query_place_id=ChIJARMBEUDDrAcRWLqBPwF8cm8</t>
        </is>
      </c>
      <c r="K398" s="4" t="inlineStr">
        <is>
          <t>Rua Maria das Dores Souza 81 - Andar 45, 58046-095 - Altiplano Cabo Branco, João Pessoa - PB, 58046-095, Brasil</t>
        </is>
      </c>
      <c r="L398" s="4" t="inlineStr">
        <is>
          <t>João Pessoa</t>
        </is>
      </c>
      <c r="M398" s="5" t="n">
        <v>1</v>
      </c>
    </row>
    <row r="399">
      <c r="A399" s="3">
        <f>RAND()</f>
        <v/>
      </c>
      <c r="B399" s="4" t="inlineStr">
        <is>
          <t>ChIJK3hKrK3DrAcRcj6xL3ehrrg</t>
        </is>
      </c>
      <c r="C399" s="4" t="inlineStr">
        <is>
          <t>Skybar Tour Genève</t>
        </is>
      </c>
      <c r="D399" s="4" t="inlineStr">
        <is>
          <t>João Pessoa</t>
        </is>
      </c>
      <c r="E399" s="4" t="inlineStr">
        <is>
          <t>PB</t>
        </is>
      </c>
      <c r="F399" s="4" t="inlineStr">
        <is>
          <t>Capitais Regionais A</t>
        </is>
      </c>
      <c r="G399" s="4" t="inlineStr">
        <is>
          <t>Capital regional</t>
        </is>
      </c>
      <c r="H399" s="5">
        <f>IF(G399="fora do recorte","",SUMPRODUCT(($G$3:$G$1723=G399)*($A$3:$A$1723&lt;=A399)))</f>
        <v/>
      </c>
      <c r="I399" s="4">
        <f>IF(H399="","",G399&amp;"|"&amp;H399)</f>
        <v/>
      </c>
      <c r="J399" s="4" t="inlineStr">
        <is>
          <t>https://www.google.com/maps/search/?api=1&amp;query=Skybar%20Tour%20Gene%CC%80ve&amp;query_place_id=ChIJK3hKrK3DrAcRcj6xL3ehrrg</t>
        </is>
      </c>
      <c r="K399" s="4" t="inlineStr">
        <is>
          <t>R. Maria das Dores Souza, 81 - And 44 - Altiplano Cabo Branco, João Pessoa - PB, 58046-095, Brasil</t>
        </is>
      </c>
      <c r="L399" s="4" t="inlineStr">
        <is>
          <t>João Pessoa</t>
        </is>
      </c>
      <c r="M399" s="5" t="n">
        <v>1</v>
      </c>
    </row>
    <row r="400">
      <c r="A400" s="3">
        <f>RAND()</f>
        <v/>
      </c>
      <c r="B400" s="4" t="inlineStr">
        <is>
          <t>ChIJmfVYW0zdrAcR67G2aBDpXCI</t>
        </is>
      </c>
      <c r="C400" s="4" t="inlineStr">
        <is>
          <t>Sunset Na Praia</t>
        </is>
      </c>
      <c r="D400" s="4" t="inlineStr">
        <is>
          <t>João Pessoa</t>
        </is>
      </c>
      <c r="E400" s="4" t="inlineStr">
        <is>
          <t>PB</t>
        </is>
      </c>
      <c r="F400" s="4" t="inlineStr">
        <is>
          <t>Capitais Regionais A</t>
        </is>
      </c>
      <c r="G400" s="4" t="inlineStr">
        <is>
          <t>Capital regional</t>
        </is>
      </c>
      <c r="H400" s="5">
        <f>IF(G400="fora do recorte","",SUMPRODUCT(($G$3:$G$1723=G400)*($A$3:$A$1723&lt;=A400)))</f>
        <v/>
      </c>
      <c r="I400" s="4">
        <f>IF(H400="","",G400&amp;"|"&amp;H400)</f>
        <v/>
      </c>
      <c r="J400" s="4" t="inlineStr">
        <is>
          <t>https://www.google.com/maps/search/?api=1&amp;query=Sunset%20Na%20Praia&amp;query_place_id=ChIJmfVYW0zdrAcR67G2aBDpXCI</t>
        </is>
      </c>
      <c r="K400" s="4" t="inlineStr">
        <is>
          <t>Av. Gov. Argemiro de Figueiredo, 840/102 - Jardim Oceania, João Pessoa - PB, 58037-030, Brasil</t>
        </is>
      </c>
      <c r="L400" s="4" t="inlineStr">
        <is>
          <t>João Pessoa</t>
        </is>
      </c>
      <c r="M400" s="5" t="n">
        <v>1</v>
      </c>
    </row>
    <row r="401">
      <c r="A401" s="3">
        <f>RAND()</f>
        <v/>
      </c>
      <c r="B401" s="4" t="inlineStr">
        <is>
          <t>ChIJGX48aCPdrAcRGKdjxcowZII</t>
        </is>
      </c>
      <c r="C401" s="4" t="inlineStr">
        <is>
          <t>Super Games</t>
        </is>
      </c>
      <c r="D401" s="4" t="inlineStr">
        <is>
          <t>João Pessoa</t>
        </is>
      </c>
      <c r="E401" s="4" t="inlineStr">
        <is>
          <t>PB</t>
        </is>
      </c>
      <c r="F401" s="4" t="inlineStr">
        <is>
          <t>Capitais Regionais A</t>
        </is>
      </c>
      <c r="G401" s="4" t="inlineStr">
        <is>
          <t>Capital regional</t>
        </is>
      </c>
      <c r="H401" s="5">
        <f>IF(G401="fora do recorte","",SUMPRODUCT(($G$3:$G$1723=G401)*($A$3:$A$1723&lt;=A401)))</f>
        <v/>
      </c>
      <c r="I401" s="4">
        <f>IF(H401="","",G401&amp;"|"&amp;H401)</f>
        <v/>
      </c>
      <c r="J401" s="4" t="inlineStr">
        <is>
          <t>https://www.google.com/maps/search/?api=1&amp;query=Super%20Games&amp;query_place_id=ChIJGX48aCPdrAcRGKdjxcowZII</t>
        </is>
      </c>
      <c r="K401" s="4" t="inlineStr">
        <is>
          <t>Condomínio Empresarial Kairos - Av. Sen. Ruy Carneiro, 525 - Tambaú, João Pessoa - PB, 58039-181, Brasil</t>
        </is>
      </c>
      <c r="L401" s="4" t="inlineStr">
        <is>
          <t>João Pessoa</t>
        </is>
      </c>
      <c r="M401" s="5" t="n">
        <v>2</v>
      </c>
    </row>
    <row r="402">
      <c r="A402" s="3">
        <f>RAND()</f>
        <v/>
      </c>
      <c r="B402" s="4" t="inlineStr">
        <is>
          <t>ChIJ60hdgwzdrAcR2pQumgexCZo</t>
        </is>
      </c>
      <c r="C402" s="4" t="inlineStr">
        <is>
          <t>Super Games Pirâmide Shopping</t>
        </is>
      </c>
      <c r="D402" s="4" t="inlineStr">
        <is>
          <t>João Pessoa</t>
        </is>
      </c>
      <c r="E402" s="4" t="inlineStr">
        <is>
          <t>PB</t>
        </is>
      </c>
      <c r="F402" s="4" t="inlineStr">
        <is>
          <t>Capitais Regionais A</t>
        </is>
      </c>
      <c r="G402" s="4" t="inlineStr">
        <is>
          <t>Capital regional</t>
        </is>
      </c>
      <c r="H402" s="5">
        <f>IF(G402="fora do recorte","",SUMPRODUCT(($G$3:$G$1723=G402)*($A$3:$A$1723&lt;=A402)))</f>
        <v/>
      </c>
      <c r="I402" s="4">
        <f>IF(H402="","",G402&amp;"|"&amp;H402)</f>
        <v/>
      </c>
      <c r="J402" s="4" t="inlineStr">
        <is>
          <t>https://www.google.com/maps/search/?api=1&amp;query=Super%20Games%20Pir%C3%A2mide%20Shopping&amp;query_place_id=ChIJ60hdgwzdrAcR2pQumgexCZo</t>
        </is>
      </c>
      <c r="K402" s="4" t="inlineStr">
        <is>
          <t>Av. Antônio Lira, 300 - Térreo, Loja 1 e 2 - Tambaú, João Pessoa - PB, 58039-050, Brasil</t>
        </is>
      </c>
      <c r="L402" s="4" t="inlineStr">
        <is>
          <t>João Pessoa</t>
        </is>
      </c>
      <c r="M402" s="5" t="n">
        <v>1</v>
      </c>
    </row>
    <row r="403">
      <c r="A403" s="3">
        <f>RAND()</f>
        <v/>
      </c>
      <c r="B403" s="4" t="inlineStr">
        <is>
          <t>ChIJOUFiKVTprAcRKmexVNh5B1Q</t>
        </is>
      </c>
      <c r="C403" s="4" t="inlineStr">
        <is>
          <t>TABERNA GAMES</t>
        </is>
      </c>
      <c r="D403" s="4" t="inlineStr">
        <is>
          <t>João Pessoa</t>
        </is>
      </c>
      <c r="E403" s="4" t="inlineStr">
        <is>
          <t>PB</t>
        </is>
      </c>
      <c r="F403" s="4" t="inlineStr">
        <is>
          <t>Capitais Regionais A</t>
        </is>
      </c>
      <c r="G403" s="4" t="inlineStr">
        <is>
          <t>Capital regional</t>
        </is>
      </c>
      <c r="H403" s="5">
        <f>IF(G403="fora do recorte","",SUMPRODUCT(($G$3:$G$1723=G403)*($A$3:$A$1723&lt;=A403)))</f>
        <v/>
      </c>
      <c r="I403" s="4">
        <f>IF(H403="","",G403&amp;"|"&amp;H403)</f>
        <v/>
      </c>
      <c r="J403" s="4" t="inlineStr">
        <is>
          <t>https://www.google.com/maps/search/?api=1&amp;query=TABERNA%20GAMES&amp;query_place_id=ChIJOUFiKVTprAcRKmexVNh5B1Q</t>
        </is>
      </c>
      <c r="K403" s="4" t="inlineStr">
        <is>
          <t>R. Clóvis Santana do Rosário - Lot. Jardim Itabaiana, João Pessoa - PB, 58071-686, Brasil</t>
        </is>
      </c>
      <c r="L403" s="4" t="inlineStr">
        <is>
          <t>João Pessoa</t>
        </is>
      </c>
      <c r="M403" s="5" t="n">
        <v>1</v>
      </c>
    </row>
    <row r="404">
      <c r="A404" s="3">
        <f>RAND()</f>
        <v/>
      </c>
      <c r="B404" s="4" t="inlineStr">
        <is>
          <t>ChIJqQGLHGfnrAcR7cbxZrSPynE</t>
        </is>
      </c>
      <c r="C404" s="4" t="inlineStr">
        <is>
          <t>Taverna Mestre Ogro</t>
        </is>
      </c>
      <c r="D404" s="4" t="inlineStr">
        <is>
          <t>João Pessoa</t>
        </is>
      </c>
      <c r="E404" s="4" t="inlineStr">
        <is>
          <t>PB</t>
        </is>
      </c>
      <c r="F404" s="4" t="inlineStr">
        <is>
          <t>Capitais Regionais A</t>
        </is>
      </c>
      <c r="G404" s="4" t="inlineStr">
        <is>
          <t>Capital regional</t>
        </is>
      </c>
      <c r="H404" s="5">
        <f>IF(G404="fora do recorte","",SUMPRODUCT(($G$3:$G$1723=G404)*($A$3:$A$1723&lt;=A404)))</f>
        <v/>
      </c>
      <c r="I404" s="4">
        <f>IF(H404="","",G404&amp;"|"&amp;H404)</f>
        <v/>
      </c>
      <c r="J404" s="4" t="inlineStr">
        <is>
          <t>https://www.google.com/maps/search/?api=1&amp;query=Taverna%20Mestre%20Ogro&amp;query_place_id=ChIJqQGLHGfnrAcR7cbxZrSPynE</t>
        </is>
      </c>
      <c r="K404" s="4" t="inlineStr">
        <is>
          <t>R. Alfredo José Athaíde, 189 - ap106 - Alto do Céu, João Pessoa - PB, 58027-740, Brasil</t>
        </is>
      </c>
      <c r="L404" s="4" t="inlineStr">
        <is>
          <t>João Pessoa</t>
        </is>
      </c>
      <c r="M404" s="5" t="n">
        <v>2</v>
      </c>
    </row>
    <row r="405">
      <c r="A405" s="3">
        <f>RAND()</f>
        <v/>
      </c>
      <c r="B405" s="4" t="inlineStr">
        <is>
          <t>ChIJoVvy7ALnrAcRk0TFojnHe3o</t>
        </is>
      </c>
      <c r="C405" s="4" t="inlineStr">
        <is>
          <t>Teck Games</t>
        </is>
      </c>
      <c r="D405" s="4" t="inlineStr">
        <is>
          <t>João Pessoa</t>
        </is>
      </c>
      <c r="E405" s="4" t="inlineStr">
        <is>
          <t>PB</t>
        </is>
      </c>
      <c r="F405" s="4" t="inlineStr">
        <is>
          <t>Capitais Regionais A</t>
        </is>
      </c>
      <c r="G405" s="4" t="inlineStr">
        <is>
          <t>Capital regional</t>
        </is>
      </c>
      <c r="H405" s="5">
        <f>IF(G405="fora do recorte","",SUMPRODUCT(($G$3:$G$1723=G405)*($A$3:$A$1723&lt;=A405)))</f>
        <v/>
      </c>
      <c r="I405" s="4">
        <f>IF(H405="","",G405&amp;"|"&amp;H405)</f>
        <v/>
      </c>
      <c r="J405" s="4" t="inlineStr">
        <is>
          <t>https://www.google.com/maps/search/?api=1&amp;query=Teck%20Games&amp;query_place_id=ChIJoVvy7ALnrAcRk0TFojnHe3o</t>
        </is>
      </c>
      <c r="K405" s="4" t="inlineStr">
        <is>
          <t>R. Des. Souto Maior, 288 - Centro, João Pessoa - PB, 58013-190, Brasil</t>
        </is>
      </c>
      <c r="L405" s="4" t="inlineStr">
        <is>
          <t>João Pessoa</t>
        </is>
      </c>
      <c r="M405" s="5" t="n">
        <v>2</v>
      </c>
    </row>
    <row r="406">
      <c r="A406" s="3">
        <f>RAND()</f>
        <v/>
      </c>
      <c r="B406" s="4" t="inlineStr">
        <is>
          <t>ChIJi7nmsuDnrAcRL7YqefCGlzk</t>
        </is>
      </c>
      <c r="C406" s="4" t="inlineStr">
        <is>
          <t>Thiago &amp; Arione Games &amp; Assistencia Técnica</t>
        </is>
      </c>
      <c r="D406" s="4" t="inlineStr">
        <is>
          <t>João Pessoa</t>
        </is>
      </c>
      <c r="E406" s="4" t="inlineStr">
        <is>
          <t>PB</t>
        </is>
      </c>
      <c r="F406" s="4" t="inlineStr">
        <is>
          <t>Capitais Regionais A</t>
        </is>
      </c>
      <c r="G406" s="4" t="inlineStr">
        <is>
          <t>Capital regional</t>
        </is>
      </c>
      <c r="H406" s="5">
        <f>IF(G406="fora do recorte","",SUMPRODUCT(($G$3:$G$1723=G406)*($A$3:$A$1723&lt;=A406)))</f>
        <v/>
      </c>
      <c r="I406" s="4">
        <f>IF(H406="","",G406&amp;"|"&amp;H406)</f>
        <v/>
      </c>
      <c r="J406" s="4" t="inlineStr">
        <is>
          <t>https://www.google.com/maps/search/?api=1&amp;query=Thiago%20%26%20Arione%20Games%20%26%20Assistencia%20T%C3%A9cnica&amp;query_place_id=ChIJi7nmsuDnrAcRL7YqefCGlzk</t>
        </is>
      </c>
      <c r="K406" s="4" t="inlineStr">
        <is>
          <t>Av. Dom Pedro II, 292 - Centro, João Pessoa - PB, 58013-420, Brasil</t>
        </is>
      </c>
      <c r="L406" s="4" t="inlineStr">
        <is>
          <t>João Pessoa</t>
        </is>
      </c>
      <c r="M406" s="5" t="n">
        <v>3</v>
      </c>
    </row>
    <row r="407">
      <c r="A407" s="3">
        <f>RAND()</f>
        <v/>
      </c>
      <c r="B407" s="4" t="inlineStr">
        <is>
          <t>ChIJdfQn3dHdrAcREWGvHlJbjkU</t>
        </is>
      </c>
      <c r="C407" s="4" t="inlineStr">
        <is>
          <t>Tiffy Toys - Cabo Branco - Loja de Brinquedos em João Pessoa</t>
        </is>
      </c>
      <c r="D407" s="4" t="inlineStr">
        <is>
          <t>João Pessoa</t>
        </is>
      </c>
      <c r="E407" s="4" t="inlineStr">
        <is>
          <t>PB</t>
        </is>
      </c>
      <c r="F407" s="4" t="inlineStr">
        <is>
          <t>Capitais Regionais A</t>
        </is>
      </c>
      <c r="G407" s="4" t="inlineStr">
        <is>
          <t>Capital regional</t>
        </is>
      </c>
      <c r="H407" s="5">
        <f>IF(G407="fora do recorte","",SUMPRODUCT(($G$3:$G$1723=G407)*($A$3:$A$1723&lt;=A407)))</f>
        <v/>
      </c>
      <c r="I407" s="4">
        <f>IF(H407="","",G407&amp;"|"&amp;H407)</f>
        <v/>
      </c>
      <c r="J407" s="4" t="inlineStr">
        <is>
          <t>https://www.google.com/maps/search/?api=1&amp;query=Tiffy%20Toys%20-%20Cabo%20Branco%20-%20Loja%20de%20Brinquedos%20em%20Jo%C3%A3o%20Pessoa&amp;query_place_id=ChIJdfQn3dHdrAcREWGvHlJbjkU</t>
        </is>
      </c>
      <c r="K407" s="4" t="inlineStr">
        <is>
          <t>Loja 2: - Av. Cairu, 222 - Loja nº 103, Akrópolis - Cabo Branco, João Pessoa - PB, 58045-100, Brasil</t>
        </is>
      </c>
      <c r="L407" s="4" t="inlineStr">
        <is>
          <t>João Pessoa</t>
        </is>
      </c>
      <c r="M407" s="5" t="n">
        <v>1</v>
      </c>
    </row>
    <row r="408">
      <c r="A408" s="3">
        <f>RAND()</f>
        <v/>
      </c>
      <c r="B408" s="4" t="inlineStr">
        <is>
          <t>ChIJKSMtNMPDrAcRdMFmLF0FKYA</t>
        </is>
      </c>
      <c r="C408" s="4" t="inlineStr">
        <is>
          <t>Toca Presentes</t>
        </is>
      </c>
      <c r="D408" s="4" t="inlineStr">
        <is>
          <t>João Pessoa</t>
        </is>
      </c>
      <c r="E408" s="4" t="inlineStr">
        <is>
          <t>PB</t>
        </is>
      </c>
      <c r="F408" s="4" t="inlineStr">
        <is>
          <t>Capitais Regionais A</t>
        </is>
      </c>
      <c r="G408" s="4" t="inlineStr">
        <is>
          <t>Capital regional</t>
        </is>
      </c>
      <c r="H408" s="5">
        <f>IF(G408="fora do recorte","",SUMPRODUCT(($G$3:$G$1723=G408)*($A$3:$A$1723&lt;=A408)))</f>
        <v/>
      </c>
      <c r="I408" s="4">
        <f>IF(H408="","",G408&amp;"|"&amp;H408)</f>
        <v/>
      </c>
      <c r="J408" s="4" t="inlineStr">
        <is>
          <t>https://www.google.com/maps/search/?api=1&amp;query=Toca%20Presentes&amp;query_place_id=ChIJKSMtNMPDrAcRdMFmLF0FKYA</t>
        </is>
      </c>
      <c r="K408" s="4" t="inlineStr">
        <is>
          <t>Av. Min. José Américo de Almeida, 954 - Torre, João Pessoa - PB, 58040-300, Brasil</t>
        </is>
      </c>
      <c r="L408" s="4" t="inlineStr">
        <is>
          <t>João Pessoa</t>
        </is>
      </c>
      <c r="M408" s="5" t="n">
        <v>2</v>
      </c>
    </row>
    <row r="409">
      <c r="A409" s="3">
        <f>RAND()</f>
        <v/>
      </c>
      <c r="B409" s="4" t="inlineStr">
        <is>
          <t>ChIJYfcfaFjCrAcRJyDjj-zjdYg</t>
        </is>
      </c>
      <c r="C409" s="4" t="inlineStr">
        <is>
          <t>Toinho games</t>
        </is>
      </c>
      <c r="D409" s="4" t="inlineStr">
        <is>
          <t>João Pessoa</t>
        </is>
      </c>
      <c r="E409" s="4" t="inlineStr">
        <is>
          <t>PB</t>
        </is>
      </c>
      <c r="F409" s="4" t="inlineStr">
        <is>
          <t>Capitais Regionais A</t>
        </is>
      </c>
      <c r="G409" s="4" t="inlineStr">
        <is>
          <t>Capital regional</t>
        </is>
      </c>
      <c r="H409" s="5">
        <f>IF(G409="fora do recorte","",SUMPRODUCT(($G$3:$G$1723=G409)*($A$3:$A$1723&lt;=A409)))</f>
        <v/>
      </c>
      <c r="I409" s="4">
        <f>IF(H409="","",G409&amp;"|"&amp;H409)</f>
        <v/>
      </c>
      <c r="J409" s="4" t="inlineStr">
        <is>
          <t>https://www.google.com/maps/search/?api=1&amp;query=Toinho%20games&amp;query_place_id=ChIJYfcfaFjCrAcRJyDjj-zjdYg</t>
        </is>
      </c>
      <c r="K409" s="4" t="inlineStr">
        <is>
          <t>R. Administrador Manoel Ângelo de Oliveira, 1 - Mangabeira VII, João Pessoa - PB, 58058-200, Brasil</t>
        </is>
      </c>
      <c r="L409" s="4" t="inlineStr">
        <is>
          <t>João Pessoa</t>
        </is>
      </c>
      <c r="M409" s="5" t="n">
        <v>5</v>
      </c>
    </row>
    <row r="410">
      <c r="A410" s="3">
        <f>RAND()</f>
        <v/>
      </c>
      <c r="B410" s="4" t="inlineStr">
        <is>
          <t>ChIJvRi2jWzdrAcRjX2hXYewzPM</t>
        </is>
      </c>
      <c r="C410" s="4" t="inlineStr">
        <is>
          <t>Turma do Jardim Brinquedoteca</t>
        </is>
      </c>
      <c r="D410" s="4" t="inlineStr">
        <is>
          <t>João Pessoa</t>
        </is>
      </c>
      <c r="E410" s="4" t="inlineStr">
        <is>
          <t>PB</t>
        </is>
      </c>
      <c r="F410" s="4" t="inlineStr">
        <is>
          <t>Capitais Regionais A</t>
        </is>
      </c>
      <c r="G410" s="4" t="inlineStr">
        <is>
          <t>Capital regional</t>
        </is>
      </c>
      <c r="H410" s="5">
        <f>IF(G410="fora do recorte","",SUMPRODUCT(($G$3:$G$1723=G410)*($A$3:$A$1723&lt;=A410)))</f>
        <v/>
      </c>
      <c r="I410" s="4">
        <f>IF(H410="","",G410&amp;"|"&amp;H410)</f>
        <v/>
      </c>
      <c r="J410" s="4" t="inlineStr">
        <is>
          <t>https://www.google.com/maps/search/?api=1&amp;query=Turma%20do%20Jardim%20Brinquedoteca&amp;query_place_id=ChIJvRi2jWzdrAcRjX2hXYewzPM</t>
        </is>
      </c>
      <c r="K410" s="4" t="inlineStr">
        <is>
          <t>Mag Shopping - Av. Gov. Flávio Ribeiro Coutinho, 115 - Lot. Oceania II, João Pessoa - PB, 58037-000, Brasil</t>
        </is>
      </c>
      <c r="L410" s="4" t="inlineStr">
        <is>
          <t>João Pessoa</t>
        </is>
      </c>
      <c r="M410" s="5" t="n">
        <v>1</v>
      </c>
    </row>
    <row r="411">
      <c r="A411" s="3">
        <f>RAND()</f>
        <v/>
      </c>
      <c r="B411" s="4" t="inlineStr">
        <is>
          <t>ChIJqfgNxtPCrAcROvivIK8e9DM</t>
        </is>
      </c>
      <c r="C411" s="4" t="inlineStr">
        <is>
          <t>Vida Toys Brinquedos - Unidade Shopping Pátio Altiplano</t>
        </is>
      </c>
      <c r="D411" s="4" t="inlineStr">
        <is>
          <t>João Pessoa</t>
        </is>
      </c>
      <c r="E411" s="4" t="inlineStr">
        <is>
          <t>PB</t>
        </is>
      </c>
      <c r="F411" s="4" t="inlineStr">
        <is>
          <t>Capitais Regionais A</t>
        </is>
      </c>
      <c r="G411" s="4" t="inlineStr">
        <is>
          <t>Capital regional</t>
        </is>
      </c>
      <c r="H411" s="5">
        <f>IF(G411="fora do recorte","",SUMPRODUCT(($G$3:$G$1723=G411)*($A$3:$A$1723&lt;=A411)))</f>
        <v/>
      </c>
      <c r="I411" s="4">
        <f>IF(H411="","",G411&amp;"|"&amp;H411)</f>
        <v/>
      </c>
      <c r="J411" s="4" t="inlineStr">
        <is>
          <t>https://www.google.com/maps/search/?api=1&amp;query=Vida%20Toys%20Brinquedos%20-%20Unidade%20Shopping%20P%C3%A1tio%20Altiplano&amp;query_place_id=ChIJqfgNxtPCrAcROvivIK8e9DM</t>
        </is>
      </c>
      <c r="K411" s="4" t="inlineStr">
        <is>
          <t>Shopping Altiplano - R. Poe. Targino Teixeira, 251 - Loja 51 - Piso L1 - Térreo - Altiplano Cabo Branco, João Pessoa - PB, 58046-090, Brasil</t>
        </is>
      </c>
      <c r="L411" s="4" t="inlineStr">
        <is>
          <t>João Pessoa</t>
        </is>
      </c>
      <c r="M411" s="5" t="n">
        <v>6</v>
      </c>
    </row>
    <row r="412">
      <c r="A412" s="3">
        <f>RAND()</f>
        <v/>
      </c>
      <c r="B412" s="4" t="inlineStr">
        <is>
          <t>ChIJYcRUxtznrAcRTqbfrezK69I</t>
        </is>
      </c>
      <c r="C412" s="4" t="inlineStr">
        <is>
          <t>Vila do Porto</t>
        </is>
      </c>
      <c r="D412" s="4" t="inlineStr">
        <is>
          <t>João Pessoa</t>
        </is>
      </c>
      <c r="E412" s="4" t="inlineStr">
        <is>
          <t>PB</t>
        </is>
      </c>
      <c r="F412" s="4" t="inlineStr">
        <is>
          <t>Capitais Regionais A</t>
        </is>
      </c>
      <c r="G412" s="4" t="inlineStr">
        <is>
          <t>Capital regional</t>
        </is>
      </c>
      <c r="H412" s="5">
        <f>IF(G412="fora do recorte","",SUMPRODUCT(($G$3:$G$1723=G412)*($A$3:$A$1723&lt;=A412)))</f>
        <v/>
      </c>
      <c r="I412" s="4">
        <f>IF(H412="","",G412&amp;"|"&amp;H412)</f>
        <v/>
      </c>
      <c r="J412" s="4" t="inlineStr">
        <is>
          <t>https://www.google.com/maps/search/?api=1&amp;query=Vila%20do%20Porto&amp;query_place_id=ChIJYcRUxtznrAcRTqbfrezK69I</t>
        </is>
      </c>
      <c r="K412" s="4" t="inlineStr">
        <is>
          <t>Praça São Frei Pedro Golçalves, 8 - Varadouro, João Pessoa - PB, 58010-480, Brasil</t>
        </is>
      </c>
      <c r="L412" s="4" t="inlineStr">
        <is>
          <t>João Pessoa</t>
        </is>
      </c>
      <c r="M412" s="5" t="n">
        <v>1</v>
      </c>
    </row>
    <row r="413">
      <c r="A413" s="3">
        <f>RAND()</f>
        <v/>
      </c>
      <c r="B413" s="4" t="inlineStr">
        <is>
          <t>ChIJUagRjwHdrAcRYyKvHiZxZ9A</t>
        </is>
      </c>
      <c r="C413" s="4" t="inlineStr">
        <is>
          <t>Vintage 21 - V21 Bar e Restaurante</t>
        </is>
      </c>
      <c r="D413" s="4" t="inlineStr">
        <is>
          <t>João Pessoa</t>
        </is>
      </c>
      <c r="E413" s="4" t="inlineStr">
        <is>
          <t>PB</t>
        </is>
      </c>
      <c r="F413" s="4" t="inlineStr">
        <is>
          <t>Capitais Regionais A</t>
        </is>
      </c>
      <c r="G413" s="4" t="inlineStr">
        <is>
          <t>Capital regional</t>
        </is>
      </c>
      <c r="H413" s="5">
        <f>IF(G413="fora do recorte","",SUMPRODUCT(($G$3:$G$1723=G413)*($A$3:$A$1723&lt;=A413)))</f>
        <v/>
      </c>
      <c r="I413" s="4">
        <f>IF(H413="","",G413&amp;"|"&amp;H413)</f>
        <v/>
      </c>
      <c r="J413" s="4" t="inlineStr">
        <is>
          <t>https://www.google.com/maps/search/?api=1&amp;query=Vintage%2021%20-%20V21%20Bar%20e%20Restaurante&amp;query_place_id=ChIJUagRjwHdrAcRYyKvHiZxZ9A</t>
        </is>
      </c>
      <c r="K413" s="4" t="inlineStr">
        <is>
          <t>Av. Fernando Luiz Henriques dos Santos, 1776 - Jardim Oceania, João Pessoa - PB, 58037-051, Brasil</t>
        </is>
      </c>
      <c r="L413" s="4" t="inlineStr">
        <is>
          <t>João Pessoa</t>
        </is>
      </c>
      <c r="M413" s="5" t="n">
        <v>1</v>
      </c>
    </row>
    <row r="414">
      <c r="A414" s="3">
        <f>RAND()</f>
        <v/>
      </c>
      <c r="B414" s="4" t="inlineStr">
        <is>
          <t>ChIJg7vckuDnrAcRvUcVzd2PRLw</t>
        </is>
      </c>
      <c r="C414" s="4" t="inlineStr">
        <is>
          <t>Vip Games</t>
        </is>
      </c>
      <c r="D414" s="4" t="inlineStr">
        <is>
          <t>João Pessoa</t>
        </is>
      </c>
      <c r="E414" s="4" t="inlineStr">
        <is>
          <t>PB</t>
        </is>
      </c>
      <c r="F414" s="4" t="inlineStr">
        <is>
          <t>Capitais Regionais A</t>
        </is>
      </c>
      <c r="G414" s="4" t="inlineStr">
        <is>
          <t>Capital regional</t>
        </is>
      </c>
      <c r="H414" s="5">
        <f>IF(G414="fora do recorte","",SUMPRODUCT(($G$3:$G$1723=G414)*($A$3:$A$1723&lt;=A414)))</f>
        <v/>
      </c>
      <c r="I414" s="4">
        <f>IF(H414="","",G414&amp;"|"&amp;H414)</f>
        <v/>
      </c>
      <c r="J414" s="4" t="inlineStr">
        <is>
          <t>https://www.google.com/maps/search/?api=1&amp;query=Vip%20Games&amp;query_place_id=ChIJg7vckuDnrAcRvUcVzd2PRLw</t>
        </is>
      </c>
      <c r="K414" s="4" t="inlineStr">
        <is>
          <t>R. Duque de Caxias, 312 - Centro, João Pessoa - PB, 58010-820, Brasil</t>
        </is>
      </c>
      <c r="L414" s="4" t="inlineStr">
        <is>
          <t>João Pessoa</t>
        </is>
      </c>
      <c r="M414" s="5" t="n">
        <v>1</v>
      </c>
    </row>
    <row r="415">
      <c r="A415" s="3">
        <f>RAND()</f>
        <v/>
      </c>
      <c r="B415" s="4" t="inlineStr">
        <is>
          <t>ChIJEeZTNgDdrAcRKqQj9P4dzl0</t>
        </is>
      </c>
      <c r="C415" s="4" t="inlineStr">
        <is>
          <t>Yolo Espaço Kids</t>
        </is>
      </c>
      <c r="D415" s="4" t="inlineStr">
        <is>
          <t>João Pessoa</t>
        </is>
      </c>
      <c r="E415" s="4" t="inlineStr">
        <is>
          <t>PB</t>
        </is>
      </c>
      <c r="F415" s="4" t="inlineStr">
        <is>
          <t>Capitais Regionais A</t>
        </is>
      </c>
      <c r="G415" s="4" t="inlineStr">
        <is>
          <t>Capital regional</t>
        </is>
      </c>
      <c r="H415" s="5">
        <f>IF(G415="fora do recorte","",SUMPRODUCT(($G$3:$G$1723=G415)*($A$3:$A$1723&lt;=A415)))</f>
        <v/>
      </c>
      <c r="I415" s="4">
        <f>IF(H415="","",G415&amp;"|"&amp;H415)</f>
        <v/>
      </c>
      <c r="J415" s="4" t="inlineStr">
        <is>
          <t>https://www.google.com/maps/search/?api=1&amp;query=Yolo%20Espa%C3%A7o%20Kids&amp;query_place_id=ChIJEeZTNgDdrAcRKqQj9P4dzl0</t>
        </is>
      </c>
      <c r="K415" s="4" t="inlineStr">
        <is>
          <t>Rua Prefeito Joaquim Gonçalves de Assis, 50 - Jardim Oceania, João Pessoa - PB, 58037-645, Brasil</t>
        </is>
      </c>
      <c r="L415" s="4" t="inlineStr">
        <is>
          <t>João Pessoa</t>
        </is>
      </c>
      <c r="M415" s="5" t="n">
        <v>1</v>
      </c>
    </row>
    <row r="416">
      <c r="A416" s="3">
        <f>RAND()</f>
        <v/>
      </c>
      <c r="B416" s="4" t="inlineStr">
        <is>
          <t>ChIJE3UXCQDdrAcRoymSMwbiNfs</t>
        </is>
      </c>
      <c r="C416" s="4" t="inlineStr">
        <is>
          <t>Zimbro Drinks e Tapas</t>
        </is>
      </c>
      <c r="D416" s="4" t="inlineStr">
        <is>
          <t>João Pessoa</t>
        </is>
      </c>
      <c r="E416" s="4" t="inlineStr">
        <is>
          <t>PB</t>
        </is>
      </c>
      <c r="F416" s="4" t="inlineStr">
        <is>
          <t>Capitais Regionais A</t>
        </is>
      </c>
      <c r="G416" s="4" t="inlineStr">
        <is>
          <t>Capital regional</t>
        </is>
      </c>
      <c r="H416" s="5">
        <f>IF(G416="fora do recorte","",SUMPRODUCT(($G$3:$G$1723=G416)*($A$3:$A$1723&lt;=A416)))</f>
        <v/>
      </c>
      <c r="I416" s="4">
        <f>IF(H416="","",G416&amp;"|"&amp;H416)</f>
        <v/>
      </c>
      <c r="J416" s="4" t="inlineStr">
        <is>
          <t>https://www.google.com/maps/search/?api=1&amp;query=Zimbro%20Drinks%20e%20Tapas&amp;query_place_id=ChIJE3UXCQDdrAcRoymSMwbiNfs</t>
        </is>
      </c>
      <c r="K416" s="4" t="inlineStr">
        <is>
          <t>R. Joaquim Avundano, 43 - Miramar, João Pessoa - PB, 58043-020, Brasil</t>
        </is>
      </c>
      <c r="L416" s="4" t="inlineStr">
        <is>
          <t>João Pessoa</t>
        </is>
      </c>
      <c r="M416" s="5" t="n">
        <v>1</v>
      </c>
    </row>
    <row r="417">
      <c r="A417" s="3">
        <f>RAND()</f>
        <v/>
      </c>
      <c r="B417" s="4" t="inlineStr">
        <is>
          <t>ChIJwYg3S2U3jgcR9ceqDLqsrg4</t>
        </is>
      </c>
      <c r="C417" s="4" t="inlineStr">
        <is>
          <t>100% Drinks</t>
        </is>
      </c>
      <c r="D417" s="4" t="inlineStr">
        <is>
          <t>Teresina</t>
        </is>
      </c>
      <c r="E417" s="4" t="inlineStr">
        <is>
          <t>PI</t>
        </is>
      </c>
      <c r="F417" s="4" t="inlineStr">
        <is>
          <t>Capitais Regionais A</t>
        </is>
      </c>
      <c r="G417" s="4" t="inlineStr">
        <is>
          <t>Capital regional</t>
        </is>
      </c>
      <c r="H417" s="5">
        <f>IF(G417="fora do recorte","",SUMPRODUCT(($G$3:$G$1723=G417)*($A$3:$A$1723&lt;=A417)))</f>
        <v/>
      </c>
      <c r="I417" s="4">
        <f>IF(H417="","",G417&amp;"|"&amp;H417)</f>
        <v/>
      </c>
      <c r="J417" s="4" t="inlineStr">
        <is>
          <t>https://www.google.com/maps/search/?api=1&amp;query=100%25%20Drinks&amp;query_place_id=ChIJwYg3S2U3jgcR9ceqDLqsrg4</t>
        </is>
      </c>
      <c r="K417" s="4" t="inlineStr">
        <is>
          <t>R. São Pedro, 905 - Centro (Sul), Teresina - PI, 64001-260, Brasil</t>
        </is>
      </c>
      <c r="L417" s="4" t="inlineStr">
        <is>
          <t>Teresina</t>
        </is>
      </c>
      <c r="M417" s="5" t="n">
        <v>1</v>
      </c>
    </row>
    <row r="418">
      <c r="A418" s="3">
        <f>RAND()</f>
        <v/>
      </c>
      <c r="B418" s="4" t="inlineStr">
        <is>
          <t>ChIJceKTqssxjgcR0-gvjNnIKQw</t>
        </is>
      </c>
      <c r="C418" s="4" t="inlineStr">
        <is>
          <t>ALEGRIA DE BRINCAR</t>
        </is>
      </c>
      <c r="D418" s="4" t="inlineStr">
        <is>
          <t>Teresina</t>
        </is>
      </c>
      <c r="E418" s="4" t="inlineStr">
        <is>
          <t>PI</t>
        </is>
      </c>
      <c r="F418" s="4" t="inlineStr">
        <is>
          <t>Capitais Regionais A</t>
        </is>
      </c>
      <c r="G418" s="4" t="inlineStr">
        <is>
          <t>Capital regional</t>
        </is>
      </c>
      <c r="H418" s="5">
        <f>IF(G418="fora do recorte","",SUMPRODUCT(($G$3:$G$1723=G418)*($A$3:$A$1723&lt;=A418)))</f>
        <v/>
      </c>
      <c r="I418" s="4">
        <f>IF(H418="","",G418&amp;"|"&amp;H418)</f>
        <v/>
      </c>
      <c r="J418" s="4" t="inlineStr">
        <is>
          <t>https://www.google.com/maps/search/?api=1&amp;query=ALEGRIA%20DE%20BRINCAR&amp;query_place_id=ChIJceKTqssxjgcR0-gvjNnIKQw</t>
        </is>
      </c>
      <c r="K418" s="4" t="inlineStr">
        <is>
          <t>Q. 206, casa 18 - Dirceu 2, Teresina - PI, 64078-150, Brasil</t>
        </is>
      </c>
      <c r="L418" s="4" t="inlineStr">
        <is>
          <t>Teresina</t>
        </is>
      </c>
      <c r="M418" s="5" t="n">
        <v>1</v>
      </c>
    </row>
    <row r="419">
      <c r="A419" s="3">
        <f>RAND()</f>
        <v/>
      </c>
      <c r="B419" s="4" t="inlineStr">
        <is>
          <t>ChIJEX85Lvg5jgcRQRphIoy9Q-k</t>
        </is>
      </c>
      <c r="C419" s="4" t="inlineStr">
        <is>
          <t>AN GAMES</t>
        </is>
      </c>
      <c r="D419" s="4" t="inlineStr">
        <is>
          <t>Teresina</t>
        </is>
      </c>
      <c r="E419" s="4" t="inlineStr">
        <is>
          <t>PI</t>
        </is>
      </c>
      <c r="F419" s="4" t="inlineStr">
        <is>
          <t>Capitais Regionais A</t>
        </is>
      </c>
      <c r="G419" s="4" t="inlineStr">
        <is>
          <t>Capital regional</t>
        </is>
      </c>
      <c r="H419" s="5">
        <f>IF(G419="fora do recorte","",SUMPRODUCT(($G$3:$G$1723=G419)*($A$3:$A$1723&lt;=A419)))</f>
        <v/>
      </c>
      <c r="I419" s="4">
        <f>IF(H419="","",G419&amp;"|"&amp;H419)</f>
        <v/>
      </c>
      <c r="J419" s="4" t="inlineStr">
        <is>
          <t>https://www.google.com/maps/search/?api=1&amp;query=AN%20GAMES&amp;query_place_id=ChIJEX85Lvg5jgcRQRphIoy9Q-k</t>
        </is>
      </c>
      <c r="K419" s="4" t="inlineStr">
        <is>
          <t>R. Tersandro Paz, 2129 - Sl 103 - Centro (Sul), Teresina - PI, 64015-015, Brasil</t>
        </is>
      </c>
      <c r="L419" s="4" t="inlineStr">
        <is>
          <t>Teresina</t>
        </is>
      </c>
      <c r="M419" s="5" t="n">
        <v>6</v>
      </c>
    </row>
    <row r="420">
      <c r="A420" s="3">
        <f>RAND()</f>
        <v/>
      </c>
      <c r="B420" s="4" t="inlineStr">
        <is>
          <t>ChIJ0aeLBPc5jgcRSOCMeSe9lYI</t>
        </is>
      </c>
      <c r="C420" s="4" t="inlineStr">
        <is>
          <t>Al Capone Pub Rock and Blues</t>
        </is>
      </c>
      <c r="D420" s="4" t="inlineStr">
        <is>
          <t>Teresina</t>
        </is>
      </c>
      <c r="E420" s="4" t="inlineStr">
        <is>
          <t>PI</t>
        </is>
      </c>
      <c r="F420" s="4" t="inlineStr">
        <is>
          <t>Capitais Regionais A</t>
        </is>
      </c>
      <c r="G420" s="4" t="inlineStr">
        <is>
          <t>Capital regional</t>
        </is>
      </c>
      <c r="H420" s="5">
        <f>IF(G420="fora do recorte","",SUMPRODUCT(($G$3:$G$1723=G420)*($A$3:$A$1723&lt;=A420)))</f>
        <v/>
      </c>
      <c r="I420" s="4">
        <f>IF(H420="","",G420&amp;"|"&amp;H420)</f>
        <v/>
      </c>
      <c r="J420" s="4" t="inlineStr">
        <is>
          <t>https://www.google.com/maps/search/?api=1&amp;query=Al%20Capone%20Pub%20Rock%20and%20Blues&amp;query_place_id=ChIJ0aeLBPc5jgcRSOCMeSe9lYI</t>
        </is>
      </c>
      <c r="K420" s="4" t="inlineStr">
        <is>
          <t>R. Visc. da Parnaíba, 1081 - Ininga, Teresina - PI, 64049-570, Brasil</t>
        </is>
      </c>
      <c r="L420" s="4" t="inlineStr">
        <is>
          <t>Teresina</t>
        </is>
      </c>
      <c r="M420" s="5" t="n">
        <v>2</v>
      </c>
    </row>
    <row r="421">
      <c r="A421" s="3">
        <f>RAND()</f>
        <v/>
      </c>
      <c r="B421" s="4" t="inlineStr">
        <is>
          <t>ChIJlcgJwIA5jgcRrsd52w8J7TY</t>
        </is>
      </c>
      <c r="C421" s="4" t="inlineStr">
        <is>
          <t>Alberto Games</t>
        </is>
      </c>
      <c r="D421" s="4" t="inlineStr">
        <is>
          <t>Teresina</t>
        </is>
      </c>
      <c r="E421" s="4" t="inlineStr">
        <is>
          <t>PI</t>
        </is>
      </c>
      <c r="F421" s="4" t="inlineStr">
        <is>
          <t>Capitais Regionais A</t>
        </is>
      </c>
      <c r="G421" s="4" t="inlineStr">
        <is>
          <t>Capital regional</t>
        </is>
      </c>
      <c r="H421" s="5">
        <f>IF(G421="fora do recorte","",SUMPRODUCT(($G$3:$G$1723=G421)*($A$3:$A$1723&lt;=A421)))</f>
        <v/>
      </c>
      <c r="I421" s="4">
        <f>IF(H421="","",G421&amp;"|"&amp;H421)</f>
        <v/>
      </c>
      <c r="J421" s="4" t="inlineStr">
        <is>
          <t>https://www.google.com/maps/search/?api=1&amp;query=Alberto%20Games&amp;query_place_id=ChIJlcgJwIA5jgcRrsd52w8J7TY</t>
        </is>
      </c>
      <c r="K421" s="4" t="inlineStr">
        <is>
          <t>R. Areolino de Abreu, 1392 - Lj 02 - Centro (Sul), Teresina - PI, 64000-180, Brasil</t>
        </is>
      </c>
      <c r="L421" s="4" t="inlineStr">
        <is>
          <t>Teresina</t>
        </is>
      </c>
      <c r="M421" s="5" t="n">
        <v>5</v>
      </c>
    </row>
    <row r="422">
      <c r="A422" s="3">
        <f>RAND()</f>
        <v/>
      </c>
      <c r="B422" s="4" t="inlineStr">
        <is>
          <t>ChIJ4XrbM-U5jgcRzpUKkG6UZbk</t>
        </is>
      </c>
      <c r="C422" s="4" t="inlineStr">
        <is>
          <t>Ar Livre Espaço Cultural</t>
        </is>
      </c>
      <c r="D422" s="4" t="inlineStr">
        <is>
          <t>Teresina</t>
        </is>
      </c>
      <c r="E422" s="4" t="inlineStr">
        <is>
          <t>PI</t>
        </is>
      </c>
      <c r="F422" s="4" t="inlineStr">
        <is>
          <t>Capitais Regionais A</t>
        </is>
      </c>
      <c r="G422" s="4" t="inlineStr">
        <is>
          <t>Capital regional</t>
        </is>
      </c>
      <c r="H422" s="5">
        <f>IF(G422="fora do recorte","",SUMPRODUCT(($G$3:$G$1723=G422)*($A$3:$A$1723&lt;=A422)))</f>
        <v/>
      </c>
      <c r="I422" s="4">
        <f>IF(H422="","",G422&amp;"|"&amp;H422)</f>
        <v/>
      </c>
      <c r="J422" s="4" t="inlineStr">
        <is>
          <t>https://www.google.com/maps/search/?api=1&amp;query=Ar%20Livre%20Espa%C3%A7o%20Cultural&amp;query_place_id=ChIJ4XrbM-U5jgcRzpUKkG6UZbk</t>
        </is>
      </c>
      <c r="K422" s="4" t="inlineStr">
        <is>
          <t>Av. Mar. Castelo Branco, 39 - Cabral, Teresina - PI, 64001-685, Brasil</t>
        </is>
      </c>
      <c r="L422" s="4" t="inlineStr">
        <is>
          <t>Teresina</t>
        </is>
      </c>
      <c r="M422" s="5" t="n">
        <v>1</v>
      </c>
    </row>
    <row r="423">
      <c r="A423" s="3">
        <f>RAND()</f>
        <v/>
      </c>
      <c r="B423" s="4" t="inlineStr">
        <is>
          <t>ChIJQ1Cor745jgcRTrDBkoMKhb0</t>
        </is>
      </c>
      <c r="C423" s="4" t="inlineStr">
        <is>
          <t>Arena Game Shop</t>
        </is>
      </c>
      <c r="D423" s="4" t="inlineStr">
        <is>
          <t>Teresina</t>
        </is>
      </c>
      <c r="E423" s="4" t="inlineStr">
        <is>
          <t>PI</t>
        </is>
      </c>
      <c r="F423" s="4" t="inlineStr">
        <is>
          <t>Capitais Regionais A</t>
        </is>
      </c>
      <c r="G423" s="4" t="inlineStr">
        <is>
          <t>Capital regional</t>
        </is>
      </c>
      <c r="H423" s="5">
        <f>IF(G423="fora do recorte","",SUMPRODUCT(($G$3:$G$1723=G423)*($A$3:$A$1723&lt;=A423)))</f>
        <v/>
      </c>
      <c r="I423" s="4">
        <f>IF(H423="","",G423&amp;"|"&amp;H423)</f>
        <v/>
      </c>
      <c r="J423" s="4" t="inlineStr">
        <is>
          <t>https://www.google.com/maps/search/?api=1&amp;query=Arena%20Game%20Shop&amp;query_place_id=ChIJQ1Cor745jgcRTrDBkoMKhb0</t>
        </is>
      </c>
      <c r="K423" s="4" t="inlineStr">
        <is>
          <t>R. Otávio Falcão, 2042 - Primavera, Teresina - PI, 64002-590, Brasil</t>
        </is>
      </c>
      <c r="L423" s="4" t="inlineStr">
        <is>
          <t>Teresina</t>
        </is>
      </c>
      <c r="M423" s="5" t="n">
        <v>7</v>
      </c>
    </row>
    <row r="424">
      <c r="A424" s="3">
        <f>RAND()</f>
        <v/>
      </c>
      <c r="B424" s="4" t="inlineStr">
        <is>
          <t>ChIJ9YyIwA05jgcRGqORn_eUcjg</t>
        </is>
      </c>
      <c r="C424" s="4" t="inlineStr">
        <is>
          <t>Bar do Rufino</t>
        </is>
      </c>
      <c r="D424" s="4" t="inlineStr">
        <is>
          <t>Teresina</t>
        </is>
      </c>
      <c r="E424" s="4" t="inlineStr">
        <is>
          <t>PI</t>
        </is>
      </c>
      <c r="F424" s="4" t="inlineStr">
        <is>
          <t>Capitais Regionais A</t>
        </is>
      </c>
      <c r="G424" s="4" t="inlineStr">
        <is>
          <t>Capital regional</t>
        </is>
      </c>
      <c r="H424" s="5">
        <f>IF(G424="fora do recorte","",SUMPRODUCT(($G$3:$G$1723=G424)*($A$3:$A$1723&lt;=A424)))</f>
        <v/>
      </c>
      <c r="I424" s="4">
        <f>IF(H424="","",G424&amp;"|"&amp;H424)</f>
        <v/>
      </c>
      <c r="J424" s="4" t="inlineStr">
        <is>
          <t>https://www.google.com/maps/search/?api=1&amp;query=Bar%20do%20Rufino&amp;query_place_id=ChIJ9YyIwA05jgcRGqORn_eUcjg</t>
        </is>
      </c>
      <c r="K424" s="4" t="inlineStr">
        <is>
          <t>Rua Heloneida Reinaldo, 1100 - Ininga, Teresina - PI, 64049-750, Brasil</t>
        </is>
      </c>
      <c r="L424" s="4" t="inlineStr">
        <is>
          <t>Teresina</t>
        </is>
      </c>
      <c r="M424" s="5" t="n">
        <v>1</v>
      </c>
    </row>
    <row r="425">
      <c r="A425" s="3">
        <f>RAND()</f>
        <v/>
      </c>
      <c r="B425" s="4" t="inlineStr">
        <is>
          <t>ChIJ_afj4h45jgcRcvD-8kClZ5k</t>
        </is>
      </c>
      <c r="C425" s="4" t="inlineStr">
        <is>
          <t>Bar do jabes</t>
        </is>
      </c>
      <c r="D425" s="4" t="inlineStr">
        <is>
          <t>Teresina</t>
        </is>
      </c>
      <c r="E425" s="4" t="inlineStr">
        <is>
          <t>PI</t>
        </is>
      </c>
      <c r="F425" s="4" t="inlineStr">
        <is>
          <t>Capitais Regionais A</t>
        </is>
      </c>
      <c r="G425" s="4" t="inlineStr">
        <is>
          <t>Capital regional</t>
        </is>
      </c>
      <c r="H425" s="5">
        <f>IF(G425="fora do recorte","",SUMPRODUCT(($G$3:$G$1723=G425)*($A$3:$A$1723&lt;=A425)))</f>
        <v/>
      </c>
      <c r="I425" s="4">
        <f>IF(H425="","",G425&amp;"|"&amp;H425)</f>
        <v/>
      </c>
      <c r="J425" s="4" t="inlineStr">
        <is>
          <t>https://www.google.com/maps/search/?api=1&amp;query=Bar%20do%20jabes&amp;query_place_id=ChIJ_afj4h45jgcRcvD-8kClZ5k</t>
        </is>
      </c>
      <c r="K425" s="4" t="inlineStr">
        <is>
          <t>R. Dezenove de Novembro, 4827 - Alto Alegre, Teresina - PI, 64009-240, Brasil</t>
        </is>
      </c>
      <c r="L425" s="4" t="inlineStr">
        <is>
          <t>Teresina</t>
        </is>
      </c>
      <c r="M425" s="5" t="n">
        <v>1</v>
      </c>
    </row>
    <row r="426">
      <c r="A426" s="3">
        <f>RAND()</f>
        <v/>
      </c>
      <c r="B426" s="4" t="inlineStr">
        <is>
          <t>ChIJzXgcbNA5jgcR4QMGXZVI9Vs</t>
        </is>
      </c>
      <c r="C426" s="4" t="inlineStr">
        <is>
          <t>Base Mix Pub</t>
        </is>
      </c>
      <c r="D426" s="4" t="inlineStr">
        <is>
          <t>Teresina</t>
        </is>
      </c>
      <c r="E426" s="4" t="inlineStr">
        <is>
          <t>PI</t>
        </is>
      </c>
      <c r="F426" s="4" t="inlineStr">
        <is>
          <t>Capitais Regionais A</t>
        </is>
      </c>
      <c r="G426" s="4" t="inlineStr">
        <is>
          <t>Capital regional</t>
        </is>
      </c>
      <c r="H426" s="5">
        <f>IF(G426="fora do recorte","",SUMPRODUCT(($G$3:$G$1723=G426)*($A$3:$A$1723&lt;=A426)))</f>
        <v/>
      </c>
      <c r="I426" s="4">
        <f>IF(H426="","",G426&amp;"|"&amp;H426)</f>
        <v/>
      </c>
      <c r="J426" s="4" t="inlineStr">
        <is>
          <t>https://www.google.com/maps/search/?api=1&amp;query=Base%20Mix%20Pub&amp;query_place_id=ChIJzXgcbNA5jgcR4QMGXZVI9Vs</t>
        </is>
      </c>
      <c r="K426" s="4" t="inlineStr">
        <is>
          <t>R. Tiradentes, 1503 - Centro (Norte), Teresina - PI, 64000-380, Brasil</t>
        </is>
      </c>
      <c r="L426" s="4" t="inlineStr">
        <is>
          <t>Teresina</t>
        </is>
      </c>
      <c r="M426" s="5" t="n">
        <v>1</v>
      </c>
    </row>
    <row r="427">
      <c r="A427" s="3">
        <f>RAND()</f>
        <v/>
      </c>
      <c r="B427" s="4" t="inlineStr">
        <is>
          <t>ChIJcQDBEO45jgcRaQADNJsYV9E</t>
        </is>
      </c>
      <c r="C427" s="4" t="inlineStr">
        <is>
          <t>Bosque Meus Filhos</t>
        </is>
      </c>
      <c r="D427" s="4" t="inlineStr">
        <is>
          <t>Teresina</t>
        </is>
      </c>
      <c r="E427" s="4" t="inlineStr">
        <is>
          <t>PI</t>
        </is>
      </c>
      <c r="F427" s="4" t="inlineStr">
        <is>
          <t>Capitais Regionais A</t>
        </is>
      </c>
      <c r="G427" s="4" t="inlineStr">
        <is>
          <t>Capital regional</t>
        </is>
      </c>
      <c r="H427" s="5">
        <f>IF(G427="fora do recorte","",SUMPRODUCT(($G$3:$G$1723=G427)*($A$3:$A$1723&lt;=A427)))</f>
        <v/>
      </c>
      <c r="I427" s="4">
        <f>IF(H427="","",G427&amp;"|"&amp;H427)</f>
        <v/>
      </c>
      <c r="J427" s="4" t="inlineStr">
        <is>
          <t>https://www.google.com/maps/search/?api=1&amp;query=Bosque%20Meus%20Filhos&amp;query_place_id=ChIJcQDBEO45jgcRaQADNJsYV9E</t>
        </is>
      </c>
      <c r="K427" s="4" t="inlineStr">
        <is>
          <t>Av. Raul Lopes, 2355 - Fátima, Teresina - PI, 64046-010, Brasil</t>
        </is>
      </c>
      <c r="L427" s="4" t="inlineStr">
        <is>
          <t>Teresina</t>
        </is>
      </c>
      <c r="M427" s="5" t="n">
        <v>1</v>
      </c>
    </row>
    <row r="428">
      <c r="A428" s="3">
        <f>RAND()</f>
        <v/>
      </c>
      <c r="B428" s="4" t="inlineStr">
        <is>
          <t>ChIJhW0cNQA5jgcRr6l312_8ZoM</t>
        </is>
      </c>
      <c r="C428" s="4" t="inlineStr">
        <is>
          <t>Boteco do Zé Original</t>
        </is>
      </c>
      <c r="D428" s="4" t="inlineStr">
        <is>
          <t>Teresina</t>
        </is>
      </c>
      <c r="E428" s="4" t="inlineStr">
        <is>
          <t>PI</t>
        </is>
      </c>
      <c r="F428" s="4" t="inlineStr">
        <is>
          <t>Capitais Regionais A</t>
        </is>
      </c>
      <c r="G428" s="4" t="inlineStr">
        <is>
          <t>Capital regional</t>
        </is>
      </c>
      <c r="H428" s="5">
        <f>IF(G428="fora do recorte","",SUMPRODUCT(($G$3:$G$1723=G428)*($A$3:$A$1723&lt;=A428)))</f>
        <v/>
      </c>
      <c r="I428" s="4">
        <f>IF(H428="","",G428&amp;"|"&amp;H428)</f>
        <v/>
      </c>
      <c r="J428" s="4" t="inlineStr">
        <is>
          <t>https://www.google.com/maps/search/?api=1&amp;query=Boteco%20do%20Z%C3%A9%20Original&amp;query_place_id=ChIJhW0cNQA5jgcRr6l312_8ZoM</t>
        </is>
      </c>
      <c r="K428" s="4" t="inlineStr">
        <is>
          <t>Rua Professor Joca Vieira, 1401 - Fátima, Teresina - PI, 64049-514, Brasil</t>
        </is>
      </c>
      <c r="L428" s="4" t="inlineStr">
        <is>
          <t>Teresina</t>
        </is>
      </c>
      <c r="M428" s="5" t="n">
        <v>2</v>
      </c>
    </row>
    <row r="429">
      <c r="A429" s="3">
        <f>RAND()</f>
        <v/>
      </c>
      <c r="B429" s="4" t="inlineStr">
        <is>
          <t>ChIJYS2aTSQ5jgcRx_62zgl8w6k</t>
        </is>
      </c>
      <c r="C429" s="4" t="inlineStr">
        <is>
          <t>Casa Lúdica | Loja de Brinquedos Educativos em Teresina</t>
        </is>
      </c>
      <c r="D429" s="4" t="inlineStr">
        <is>
          <t>Teresina</t>
        </is>
      </c>
      <c r="E429" s="4" t="inlineStr">
        <is>
          <t>PI</t>
        </is>
      </c>
      <c r="F429" s="4" t="inlineStr">
        <is>
          <t>Capitais Regionais A</t>
        </is>
      </c>
      <c r="G429" s="4" t="inlineStr">
        <is>
          <t>Capital regional</t>
        </is>
      </c>
      <c r="H429" s="5">
        <f>IF(G429="fora do recorte","",SUMPRODUCT(($G$3:$G$1723=G429)*($A$3:$A$1723&lt;=A429)))</f>
        <v/>
      </c>
      <c r="I429" s="4">
        <f>IF(H429="","",G429&amp;"|"&amp;H429)</f>
        <v/>
      </c>
      <c r="J429" s="4" t="inlineStr">
        <is>
          <t>https://www.google.com/maps/search/?api=1&amp;query=Casa%20L%C3%BAdica%20%7C%20Loja%20de%20Brinquedos%20Educativos%20em%20Teresina&amp;query_place_id=ChIJYS2aTSQ5jgcRx_62zgl8w6k</t>
        </is>
      </c>
      <c r="K429" s="4" t="inlineStr">
        <is>
          <t>Av. Nossa Sra. de Fátima, 1050 - Fátima, Teresina - PI, 64049-290, Brasil</t>
        </is>
      </c>
      <c r="L429" s="4" t="inlineStr">
        <is>
          <t>Teresina</t>
        </is>
      </c>
      <c r="M429" s="5" t="n">
        <v>1</v>
      </c>
    </row>
    <row r="430">
      <c r="A430" s="3">
        <f>RAND()</f>
        <v/>
      </c>
      <c r="B430" s="4" t="inlineStr">
        <is>
          <t>ChIJBY98DHw3jgcRtH5iqYsnDLQ</t>
        </is>
      </c>
      <c r="C430" s="4" t="inlineStr">
        <is>
          <t>Cassio Games</t>
        </is>
      </c>
      <c r="D430" s="4" t="inlineStr">
        <is>
          <t>Teresina</t>
        </is>
      </c>
      <c r="E430" s="4" t="inlineStr">
        <is>
          <t>PI</t>
        </is>
      </c>
      <c r="F430" s="4" t="inlineStr">
        <is>
          <t>Capitais Regionais A</t>
        </is>
      </c>
      <c r="G430" s="4" t="inlineStr">
        <is>
          <t>Capital regional</t>
        </is>
      </c>
      <c r="H430" s="5">
        <f>IF(G430="fora do recorte","",SUMPRODUCT(($G$3:$G$1723=G430)*($A$3:$A$1723&lt;=A430)))</f>
        <v/>
      </c>
      <c r="I430" s="4">
        <f>IF(H430="","",G430&amp;"|"&amp;H430)</f>
        <v/>
      </c>
      <c r="J430" s="4" t="inlineStr">
        <is>
          <t>https://www.google.com/maps/search/?api=1&amp;query=Cassio%20Games&amp;query_place_id=ChIJBY98DHw3jgcRtH5iqYsnDLQ</t>
        </is>
      </c>
      <c r="K430" s="4" t="inlineStr">
        <is>
          <t>Shopping da Cidade - R. Areolino de Abreu, 300 - Box 59 - Centro (Sul), Teresina - PI, 64000-180, Brasil</t>
        </is>
      </c>
      <c r="L430" s="4" t="inlineStr">
        <is>
          <t>Teresina</t>
        </is>
      </c>
      <c r="M430" s="5" t="n">
        <v>3</v>
      </c>
    </row>
    <row r="431">
      <c r="A431" s="3">
        <f>RAND()</f>
        <v/>
      </c>
      <c r="B431" s="4" t="inlineStr">
        <is>
          <t>ChIJGU_tMPA5jgcRNTMCDQiIXaU</t>
        </is>
      </c>
      <c r="C431" s="4" t="inlineStr">
        <is>
          <t>Castelo da Alegria | Loja de Brinquedos</t>
        </is>
      </c>
      <c r="D431" s="4" t="inlineStr">
        <is>
          <t>Teresina</t>
        </is>
      </c>
      <c r="E431" s="4" t="inlineStr">
        <is>
          <t>PI</t>
        </is>
      </c>
      <c r="F431" s="4" t="inlineStr">
        <is>
          <t>Capitais Regionais A</t>
        </is>
      </c>
      <c r="G431" s="4" t="inlineStr">
        <is>
          <t>Capital regional</t>
        </is>
      </c>
      <c r="H431" s="5">
        <f>IF(G431="fora do recorte","",SUMPRODUCT(($G$3:$G$1723=G431)*($A$3:$A$1723&lt;=A431)))</f>
        <v/>
      </c>
      <c r="I431" s="4">
        <f>IF(H431="","",G431&amp;"|"&amp;H431)</f>
        <v/>
      </c>
      <c r="J431" s="4" t="inlineStr">
        <is>
          <t>https://www.google.com/maps/search/?api=1&amp;query=Castelo%20da%20Alegria%20%7C%20Loja%20de%20Brinquedos&amp;query_place_id=ChIJGU_tMPA5jgcRNTMCDQiIXaU</t>
        </is>
      </c>
      <c r="K431" s="4" t="inlineStr">
        <is>
          <t>Av. Nossa Sra. de Fátima, 1287 - Fátima, Teresina - PI, 64049-528, Brasil</t>
        </is>
      </c>
      <c r="L431" s="4" t="inlineStr">
        <is>
          <t>Teresina</t>
        </is>
      </c>
      <c r="M431" s="5" t="n">
        <v>2</v>
      </c>
    </row>
    <row r="432">
      <c r="A432" s="3">
        <f>RAND()</f>
        <v/>
      </c>
      <c r="B432" s="4" t="inlineStr">
        <is>
          <t>ChIJCfT6F4YxjgcR3rYwlyiYW2E</t>
        </is>
      </c>
      <c r="C432" s="4" t="inlineStr">
        <is>
          <t>DAM Autocentro</t>
        </is>
      </c>
      <c r="D432" s="4" t="inlineStr">
        <is>
          <t>Teresina</t>
        </is>
      </c>
      <c r="E432" s="4" t="inlineStr">
        <is>
          <t>PI</t>
        </is>
      </c>
      <c r="F432" s="4" t="inlineStr">
        <is>
          <t>Capitais Regionais A</t>
        </is>
      </c>
      <c r="G432" s="4" t="inlineStr">
        <is>
          <t>Capital regional</t>
        </is>
      </c>
      <c r="H432" s="5">
        <f>IF(G432="fora do recorte","",SUMPRODUCT(($G$3:$G$1723=G432)*($A$3:$A$1723&lt;=A432)))</f>
        <v/>
      </c>
      <c r="I432" s="4">
        <f>IF(H432="","",G432&amp;"|"&amp;H432)</f>
        <v/>
      </c>
      <c r="J432" s="4" t="inlineStr">
        <is>
          <t>https://www.google.com/maps/search/?api=1&amp;query=DAM%20Autocentro&amp;query_place_id=ChIJCfT6F4YxjgcR3rYwlyiYW2E</t>
        </is>
      </c>
      <c r="K432" s="4" t="inlineStr">
        <is>
          <t>Alphaville Teresina - Qd-AY Lt-08 Subsolo-01 - Novo Uruguai, Teresina - PI, 64091-215, Brasil</t>
        </is>
      </c>
      <c r="L432" s="4" t="inlineStr">
        <is>
          <t>Teresina</t>
        </is>
      </c>
      <c r="M432" s="5" t="n">
        <v>1</v>
      </c>
    </row>
    <row r="433">
      <c r="A433" s="3">
        <f>RAND()</f>
        <v/>
      </c>
      <c r="B433" s="4" t="inlineStr">
        <is>
          <t>ChIJ_Y73NEM3jgcR5trTPurgMJQ</t>
        </is>
      </c>
      <c r="C433" s="4" t="inlineStr">
        <is>
          <t>Dinolândia</t>
        </is>
      </c>
      <c r="D433" s="4" t="inlineStr">
        <is>
          <t>Teresina</t>
        </is>
      </c>
      <c r="E433" s="4" t="inlineStr">
        <is>
          <t>PI</t>
        </is>
      </c>
      <c r="F433" s="4" t="inlineStr">
        <is>
          <t>Capitais Regionais A</t>
        </is>
      </c>
      <c r="G433" s="4" t="inlineStr">
        <is>
          <t>Capital regional</t>
        </is>
      </c>
      <c r="H433" s="5">
        <f>IF(G433="fora do recorte","",SUMPRODUCT(($G$3:$G$1723=G433)*($A$3:$A$1723&lt;=A433)))</f>
        <v/>
      </c>
      <c r="I433" s="4">
        <f>IF(H433="","",G433&amp;"|"&amp;H433)</f>
        <v/>
      </c>
      <c r="J433" s="4" t="inlineStr">
        <is>
          <t>https://www.google.com/maps/search/?api=1&amp;query=Dinol%C3%A2ndia&amp;query_place_id=ChIJ_Y73NEM3jgcR5trTPurgMJQ</t>
        </is>
      </c>
      <c r="K433" s="4" t="inlineStr">
        <is>
          <t>Av. Dom Severino, 2750 - Fátima, Teresina - PI, 64051-160, Brasil</t>
        </is>
      </c>
      <c r="L433" s="4" t="inlineStr">
        <is>
          <t>Teresina</t>
        </is>
      </c>
      <c r="M433" s="5" t="n">
        <v>1</v>
      </c>
    </row>
    <row r="434">
      <c r="A434" s="3">
        <f>RAND()</f>
        <v/>
      </c>
      <c r="B434" s="4" t="inlineStr">
        <is>
          <t>ChIJqUoRc_k5jgcRBRyPCkIV1Aw</t>
        </is>
      </c>
      <c r="C434" s="4" t="inlineStr">
        <is>
          <t>Dinolândia</t>
        </is>
      </c>
      <c r="D434" s="4" t="inlineStr">
        <is>
          <t>Teresina</t>
        </is>
      </c>
      <c r="E434" s="4" t="inlineStr">
        <is>
          <t>PI</t>
        </is>
      </c>
      <c r="F434" s="4" t="inlineStr">
        <is>
          <t>Capitais Regionais A</t>
        </is>
      </c>
      <c r="G434" s="4" t="inlineStr">
        <is>
          <t>Capital regional</t>
        </is>
      </c>
      <c r="H434" s="5">
        <f>IF(G434="fora do recorte","",SUMPRODUCT(($G$3:$G$1723=G434)*($A$3:$A$1723&lt;=A434)))</f>
        <v/>
      </c>
      <c r="I434" s="4">
        <f>IF(H434="","",G434&amp;"|"&amp;H434)</f>
        <v/>
      </c>
      <c r="J434" s="4" t="inlineStr">
        <is>
          <t>https://www.google.com/maps/search/?api=1&amp;query=Dinol%C3%A2ndia&amp;query_place_id=ChIJqUoRc_k5jgcRBRyPCkIV1Aw</t>
        </is>
      </c>
      <c r="K434" s="4" t="inlineStr">
        <is>
          <t>Av. Raul Lopes, 1000 - Lj 181/2/3 - Noivos, Teresina - PI, 64046-902, Brasil</t>
        </is>
      </c>
      <c r="L434" s="4" t="inlineStr">
        <is>
          <t>Teresina</t>
        </is>
      </c>
      <c r="M434" s="5" t="n">
        <v>1</v>
      </c>
    </row>
    <row r="435">
      <c r="A435" s="3">
        <f>RAND()</f>
        <v/>
      </c>
      <c r="B435" s="4" t="inlineStr">
        <is>
          <t>ChIJYVD_KtU7jgcRNaX8KoKnup0</t>
        </is>
      </c>
      <c r="C435" s="4" t="inlineStr">
        <is>
          <t>Dose Dupla</t>
        </is>
      </c>
      <c r="D435" s="4" t="inlineStr">
        <is>
          <t>Teresina</t>
        </is>
      </c>
      <c r="E435" s="4" t="inlineStr">
        <is>
          <t>PI</t>
        </is>
      </c>
      <c r="F435" s="4" t="inlineStr">
        <is>
          <t>Capitais Regionais A</t>
        </is>
      </c>
      <c r="G435" s="4" t="inlineStr">
        <is>
          <t>Capital regional</t>
        </is>
      </c>
      <c r="H435" s="5">
        <f>IF(G435="fora do recorte","",SUMPRODUCT(($G$3:$G$1723=G435)*($A$3:$A$1723&lt;=A435)))</f>
        <v/>
      </c>
      <c r="I435" s="4">
        <f>IF(H435="","",G435&amp;"|"&amp;H435)</f>
        <v/>
      </c>
      <c r="J435" s="4" t="inlineStr">
        <is>
          <t>https://www.google.com/maps/search/?api=1&amp;query=Dose%20Dupla&amp;query_place_id=ChIJYVD_KtU7jgcRNaX8KoKnup0</t>
        </is>
      </c>
      <c r="K435" s="4" t="inlineStr">
        <is>
          <t>Av. Prof. Arimatéia Santos, 3325 - Ininga, Teresina - PI, 64048-400, Brasil</t>
        </is>
      </c>
      <c r="L435" s="4" t="inlineStr">
        <is>
          <t>Teresina</t>
        </is>
      </c>
      <c r="M435" s="5" t="n">
        <v>1</v>
      </c>
    </row>
    <row r="436">
      <c r="A436" s="3">
        <f>RAND()</f>
        <v/>
      </c>
      <c r="B436" s="4" t="inlineStr">
        <is>
          <t>ChIJg44a39c5jgcRH83Oj6lAmPA</t>
        </is>
      </c>
      <c r="C436" s="4" t="inlineStr">
        <is>
          <t>Erick Pipas</t>
        </is>
      </c>
      <c r="D436" s="4" t="inlineStr">
        <is>
          <t>Teresina</t>
        </is>
      </c>
      <c r="E436" s="4" t="inlineStr">
        <is>
          <t>PI</t>
        </is>
      </c>
      <c r="F436" s="4" t="inlineStr">
        <is>
          <t>Capitais Regionais A</t>
        </is>
      </c>
      <c r="G436" s="4" t="inlineStr">
        <is>
          <t>Capital regional</t>
        </is>
      </c>
      <c r="H436" s="5">
        <f>IF(G436="fora do recorte","",SUMPRODUCT(($G$3:$G$1723=G436)*($A$3:$A$1723&lt;=A436)))</f>
        <v/>
      </c>
      <c r="I436" s="4">
        <f>IF(H436="","",G436&amp;"|"&amp;H436)</f>
        <v/>
      </c>
      <c r="J436" s="4" t="inlineStr">
        <is>
          <t>https://www.google.com/maps/search/?api=1&amp;query=Erick%20Pipas&amp;query_place_id=ChIJg44a39c5jgcRH83Oj6lAmPA</t>
        </is>
      </c>
      <c r="K436" s="4" t="inlineStr">
        <is>
          <t>R. Gonçalves Lêdo, 257 - Água Mineral, Teresina - PI, 64007-350, Brasil</t>
        </is>
      </c>
      <c r="L436" s="4" t="inlineStr">
        <is>
          <t>Teresina</t>
        </is>
      </c>
      <c r="M436" s="5" t="n">
        <v>1</v>
      </c>
    </row>
    <row r="437">
      <c r="A437" s="3">
        <f>RAND()</f>
        <v/>
      </c>
      <c r="B437" s="4" t="inlineStr">
        <is>
          <t>ChIJO23CtJA5jgcRB1ZMVm4R8Ak</t>
        </is>
      </c>
      <c r="C437" s="4" t="inlineStr">
        <is>
          <t>Espaço Caramelles</t>
        </is>
      </c>
      <c r="D437" s="4" t="inlineStr">
        <is>
          <t>Teresina</t>
        </is>
      </c>
      <c r="E437" s="4" t="inlineStr">
        <is>
          <t>PI</t>
        </is>
      </c>
      <c r="F437" s="4" t="inlineStr">
        <is>
          <t>Capitais Regionais A</t>
        </is>
      </c>
      <c r="G437" s="4" t="inlineStr">
        <is>
          <t>Capital regional</t>
        </is>
      </c>
      <c r="H437" s="5">
        <f>IF(G437="fora do recorte","",SUMPRODUCT(($G$3:$G$1723=G437)*($A$3:$A$1723&lt;=A437)))</f>
        <v/>
      </c>
      <c r="I437" s="4">
        <f>IF(H437="","",G437&amp;"|"&amp;H437)</f>
        <v/>
      </c>
      <c r="J437" s="4" t="inlineStr">
        <is>
          <t>https://www.google.com/maps/search/?api=1&amp;query=Espa%C3%A7o%20Caramelles&amp;query_place_id=ChIJO23CtJA5jgcRB1ZMVm4R8Ak</t>
        </is>
      </c>
      <c r="K437" s="4" t="inlineStr">
        <is>
          <t>R. João Emílio Falcão, 338 - Fátima, Teresina - PI, 64049-480, Brasil</t>
        </is>
      </c>
      <c r="L437" s="4" t="inlineStr">
        <is>
          <t>Teresina</t>
        </is>
      </c>
      <c r="M437" s="5" t="n">
        <v>1</v>
      </c>
    </row>
    <row r="438">
      <c r="A438" s="3">
        <f>RAND()</f>
        <v/>
      </c>
      <c r="B438" s="4" t="inlineStr">
        <is>
          <t>ChIJ_X6g0qYjjgcRTeedX4J8ttE</t>
        </is>
      </c>
      <c r="C438" s="4" t="inlineStr">
        <is>
          <t>Evaldo fest kids</t>
        </is>
      </c>
      <c r="D438" s="4" t="inlineStr">
        <is>
          <t>Teresina</t>
        </is>
      </c>
      <c r="E438" s="4" t="inlineStr">
        <is>
          <t>PI</t>
        </is>
      </c>
      <c r="F438" s="4" t="inlineStr">
        <is>
          <t>Capitais Regionais A</t>
        </is>
      </c>
      <c r="G438" s="4" t="inlineStr">
        <is>
          <t>Capital regional</t>
        </is>
      </c>
      <c r="H438" s="5">
        <f>IF(G438="fora do recorte","",SUMPRODUCT(($G$3:$G$1723=G438)*($A$3:$A$1723&lt;=A438)))</f>
        <v/>
      </c>
      <c r="I438" s="4">
        <f>IF(H438="","",G438&amp;"|"&amp;H438)</f>
        <v/>
      </c>
      <c r="J438" s="4" t="inlineStr">
        <is>
          <t>https://www.google.com/maps/search/?api=1&amp;query=Evaldo%20fest%20kids&amp;query_place_id=ChIJ_X6g0qYjjgcRTeedX4J8ttE</t>
        </is>
      </c>
      <c r="K438" s="4" t="inlineStr">
        <is>
          <t>PI-113, Teresina - PI, Brasil</t>
        </is>
      </c>
      <c r="L438" s="4" t="inlineStr">
        <is>
          <t>Teresina</t>
        </is>
      </c>
      <c r="M438" s="5" t="n">
        <v>1</v>
      </c>
    </row>
    <row r="439">
      <c r="A439" s="3">
        <f>RAND()</f>
        <v/>
      </c>
      <c r="B439" s="4" t="inlineStr">
        <is>
          <t>ChIJu8jE2P05jgcRrxeCQiJI-rM</t>
        </is>
      </c>
      <c r="C439" s="4" t="inlineStr">
        <is>
          <t>Fábrica de Sonhos Teresina | Loja de brinquedos em Teresina</t>
        </is>
      </c>
      <c r="D439" s="4" t="inlineStr">
        <is>
          <t>Teresina</t>
        </is>
      </c>
      <c r="E439" s="4" t="inlineStr">
        <is>
          <t>PI</t>
        </is>
      </c>
      <c r="F439" s="4" t="inlineStr">
        <is>
          <t>Capitais Regionais A</t>
        </is>
      </c>
      <c r="G439" s="4" t="inlineStr">
        <is>
          <t>Capital regional</t>
        </is>
      </c>
      <c r="H439" s="5">
        <f>IF(G439="fora do recorte","",SUMPRODUCT(($G$3:$G$1723=G439)*($A$3:$A$1723&lt;=A439)))</f>
        <v/>
      </c>
      <c r="I439" s="4">
        <f>IF(H439="","",G439&amp;"|"&amp;H439)</f>
        <v/>
      </c>
      <c r="J439" s="4" t="inlineStr">
        <is>
          <t>https://www.google.com/maps/search/?api=1&amp;query=F%C3%A1brica%20de%20Sonhos%20Teresina%20%7C%20Loja%20de%20brinquedos%20em%20Teresina&amp;query_place_id=ChIJu8jE2P05jgcRrxeCQiJI-rM</t>
        </is>
      </c>
      <c r="K439" s="4" t="inlineStr">
        <is>
          <t>Rua Aviador Irapuã Rocha 677 - Galeria Irapua 2 - Jockey, Teresina - PI, 64048-323, Brasil</t>
        </is>
      </c>
      <c r="L439" s="4" t="inlineStr">
        <is>
          <t>Teresina</t>
        </is>
      </c>
      <c r="M439" s="5" t="n">
        <v>1</v>
      </c>
    </row>
    <row r="440">
      <c r="A440" s="3">
        <f>RAND()</f>
        <v/>
      </c>
      <c r="B440" s="4" t="inlineStr">
        <is>
          <t>ChIJn-wDAKQ7jgcREAU2aZNvXfQ</t>
        </is>
      </c>
      <c r="C440" s="4" t="inlineStr">
        <is>
          <t>Homo Ludicus</t>
        </is>
      </c>
      <c r="D440" s="4" t="inlineStr">
        <is>
          <t>Teresina</t>
        </is>
      </c>
      <c r="E440" s="4" t="inlineStr">
        <is>
          <t>PI</t>
        </is>
      </c>
      <c r="F440" s="4" t="inlineStr">
        <is>
          <t>Capitais Regionais A</t>
        </is>
      </c>
      <c r="G440" s="4" t="inlineStr">
        <is>
          <t>Capital regional</t>
        </is>
      </c>
      <c r="H440" s="5">
        <f>IF(G440="fora do recorte","",SUMPRODUCT(($G$3:$G$1723=G440)*($A$3:$A$1723&lt;=A440)))</f>
        <v/>
      </c>
      <c r="I440" s="4">
        <f>IF(H440="","",G440&amp;"|"&amp;H440)</f>
        <v/>
      </c>
      <c r="J440" s="4" t="inlineStr">
        <is>
          <t>https://www.google.com/maps/search/?api=1&amp;query=Homo%20Ludicus&amp;query_place_id=ChIJn-wDAKQ7jgcREAU2aZNvXfQ</t>
        </is>
      </c>
      <c r="K440" s="4" t="inlineStr">
        <is>
          <t>Av. Gov. Gayoso e Almendra, 443 - São João, Teresina - PI, 64046-455, Brasil</t>
        </is>
      </c>
      <c r="L440" s="4" t="inlineStr">
        <is>
          <t>Teresina</t>
        </is>
      </c>
      <c r="M440" s="5" t="n">
        <v>14</v>
      </c>
    </row>
    <row r="441">
      <c r="A441" s="3">
        <f>RAND()</f>
        <v/>
      </c>
      <c r="B441" s="4" t="inlineStr">
        <is>
          <t>ChIJAbAwCQw5jgcRWJtm-FEp-Yc</t>
        </is>
      </c>
      <c r="C441" s="4" t="inlineStr">
        <is>
          <t>Hora de Brincar - Locações de Brinquedos</t>
        </is>
      </c>
      <c r="D441" s="4" t="inlineStr">
        <is>
          <t>Teresina</t>
        </is>
      </c>
      <c r="E441" s="4" t="inlineStr">
        <is>
          <t>PI</t>
        </is>
      </c>
      <c r="F441" s="4" t="inlineStr">
        <is>
          <t>Capitais Regionais A</t>
        </is>
      </c>
      <c r="G441" s="4" t="inlineStr">
        <is>
          <t>Capital regional</t>
        </is>
      </c>
      <c r="H441" s="5">
        <f>IF(G441="fora do recorte","",SUMPRODUCT(($G$3:$G$1723=G441)*($A$3:$A$1723&lt;=A441)))</f>
        <v/>
      </c>
      <c r="I441" s="4">
        <f>IF(H441="","",G441&amp;"|"&amp;H441)</f>
        <v/>
      </c>
      <c r="J441" s="4" t="inlineStr">
        <is>
          <t>https://www.google.com/maps/search/?api=1&amp;query=Hora%20de%20Brincar%20-%20Loca%C3%A7%C3%B5es%20de%20Brinquedos&amp;query_place_id=ChIJAbAwCQw5jgcRWJtm-FEp-Yc</t>
        </is>
      </c>
      <c r="K441" s="4" t="inlineStr">
        <is>
          <t>Alameda Parnaíba - Marquês de Paranaguá, Teresina - PI, 64002-475, Brasil</t>
        </is>
      </c>
      <c r="L441" s="4" t="inlineStr">
        <is>
          <t>Teresina</t>
        </is>
      </c>
      <c r="M441" s="5" t="n">
        <v>1</v>
      </c>
    </row>
    <row r="442">
      <c r="A442" s="3">
        <f>RAND()</f>
        <v/>
      </c>
      <c r="B442" s="4" t="inlineStr">
        <is>
          <t>ChIJ4cVZEwA7jgcRg4VVDWxLnMg</t>
        </is>
      </c>
      <c r="C442" s="4" t="inlineStr">
        <is>
          <t>Ibyza Drinks</t>
        </is>
      </c>
      <c r="D442" s="4" t="inlineStr">
        <is>
          <t>Teresina</t>
        </is>
      </c>
      <c r="E442" s="4" t="inlineStr">
        <is>
          <t>PI</t>
        </is>
      </c>
      <c r="F442" s="4" t="inlineStr">
        <is>
          <t>Capitais Regionais A</t>
        </is>
      </c>
      <c r="G442" s="4" t="inlineStr">
        <is>
          <t>Capital regional</t>
        </is>
      </c>
      <c r="H442" s="5">
        <f>IF(G442="fora do recorte","",SUMPRODUCT(($G$3:$G$1723=G442)*($A$3:$A$1723&lt;=A442)))</f>
        <v/>
      </c>
      <c r="I442" s="4">
        <f>IF(H442="","",G442&amp;"|"&amp;H442)</f>
        <v/>
      </c>
      <c r="J442" s="4" t="inlineStr">
        <is>
          <t>https://www.google.com/maps/search/?api=1&amp;query=Ibyza%20Drinks&amp;query_place_id=ChIJ4cVZEwA7jgcRg4VVDWxLnMg</t>
        </is>
      </c>
      <c r="K442" s="4" t="inlineStr">
        <is>
          <t>R. Dr. Jesus da Cunha Araújo, 5137 - Santa Isabel, Teresina - PI, 64053-170, Brasil</t>
        </is>
      </c>
      <c r="L442" s="4" t="inlineStr">
        <is>
          <t>Teresina</t>
        </is>
      </c>
      <c r="M442" s="5" t="n">
        <v>1</v>
      </c>
    </row>
    <row r="443">
      <c r="A443" s="3">
        <f>RAND()</f>
        <v/>
      </c>
      <c r="B443" s="4" t="inlineStr">
        <is>
          <t>ChIJKYukDNg5jgcRiQLIusnD5Zo</t>
        </is>
      </c>
      <c r="C443" s="4" t="inlineStr">
        <is>
          <t>Jac Play</t>
        </is>
      </c>
      <c r="D443" s="4" t="inlineStr">
        <is>
          <t>Teresina</t>
        </is>
      </c>
      <c r="E443" s="4" t="inlineStr">
        <is>
          <t>PI</t>
        </is>
      </c>
      <c r="F443" s="4" t="inlineStr">
        <is>
          <t>Capitais Regionais A</t>
        </is>
      </c>
      <c r="G443" s="4" t="inlineStr">
        <is>
          <t>Capital regional</t>
        </is>
      </c>
      <c r="H443" s="5">
        <f>IF(G443="fora do recorte","",SUMPRODUCT(($G$3:$G$1723=G443)*($A$3:$A$1723&lt;=A443)))</f>
        <v/>
      </c>
      <c r="I443" s="4">
        <f>IF(H443="","",G443&amp;"|"&amp;H443)</f>
        <v/>
      </c>
      <c r="J443" s="4" t="inlineStr">
        <is>
          <t>https://www.google.com/maps/search/?api=1&amp;query=Jac%20Play&amp;query_place_id=ChIJKYukDNg5jgcRiQLIusnD5Zo</t>
        </is>
      </c>
      <c r="K443" s="4" t="inlineStr">
        <is>
          <t>R. Areolino de Abreu, 1392 - Centro (Sul), Teresina - PI, 64000-180, Brasil</t>
        </is>
      </c>
      <c r="L443" s="4" t="inlineStr">
        <is>
          <t>Teresina</t>
        </is>
      </c>
      <c r="M443" s="5" t="n">
        <v>1</v>
      </c>
    </row>
    <row r="444">
      <c r="A444" s="3">
        <f>RAND()</f>
        <v/>
      </c>
      <c r="B444" s="4" t="inlineStr">
        <is>
          <t>ChIJlcpHapU9jgcRH8yYLpAWYPM</t>
        </is>
      </c>
      <c r="C444" s="4" t="inlineStr">
        <is>
          <t>João Filho - GAMES</t>
        </is>
      </c>
      <c r="D444" s="4" t="inlineStr">
        <is>
          <t>Teresina</t>
        </is>
      </c>
      <c r="E444" s="4" t="inlineStr">
        <is>
          <t>PI</t>
        </is>
      </c>
      <c r="F444" s="4" t="inlineStr">
        <is>
          <t>Capitais Regionais A</t>
        </is>
      </c>
      <c r="G444" s="4" t="inlineStr">
        <is>
          <t>Capital regional</t>
        </is>
      </c>
      <c r="H444" s="5">
        <f>IF(G444="fora do recorte","",SUMPRODUCT(($G$3:$G$1723=G444)*($A$3:$A$1723&lt;=A444)))</f>
        <v/>
      </c>
      <c r="I444" s="4">
        <f>IF(H444="","",G444&amp;"|"&amp;H444)</f>
        <v/>
      </c>
      <c r="J444" s="4" t="inlineStr">
        <is>
          <t>https://www.google.com/maps/search/?api=1&amp;query=Jo%C3%A3o%20Filho%20-%20GAMES&amp;query_place_id=ChIJlcpHapU9jgcRH8yYLpAWYPM</t>
        </is>
      </c>
      <c r="K444" s="4" t="inlineStr">
        <is>
          <t>R. São João Batista, 1640 - Tabajaras, Teresina - PI, 64067-530, Brasil</t>
        </is>
      </c>
      <c r="L444" s="4" t="inlineStr">
        <is>
          <t>Teresina</t>
        </is>
      </c>
      <c r="M444" s="5" t="n">
        <v>3</v>
      </c>
    </row>
    <row r="445">
      <c r="A445" s="3">
        <f>RAND()</f>
        <v/>
      </c>
      <c r="B445" s="4" t="inlineStr">
        <is>
          <t>ChIJY-7nbpA5jgcRXO4WpkYMQ6c</t>
        </is>
      </c>
      <c r="C445" s="4" t="inlineStr">
        <is>
          <t>Kalunga - Shopping Rio Poty Teresina</t>
        </is>
      </c>
      <c r="D445" s="4" t="inlineStr">
        <is>
          <t>Teresina</t>
        </is>
      </c>
      <c r="E445" s="4" t="inlineStr">
        <is>
          <t>PI</t>
        </is>
      </c>
      <c r="F445" s="4" t="inlineStr">
        <is>
          <t>Capitais Regionais A</t>
        </is>
      </c>
      <c r="G445" s="4" t="inlineStr">
        <is>
          <t>Capital regional</t>
        </is>
      </c>
      <c r="H445" s="5">
        <f>IF(G445="fora do recorte","",SUMPRODUCT(($G$3:$G$1723=G445)*($A$3:$A$1723&lt;=A445)))</f>
        <v/>
      </c>
      <c r="I445" s="4">
        <f>IF(H445="","",G445&amp;"|"&amp;H445)</f>
        <v/>
      </c>
      <c r="J445" s="4" t="inlineStr">
        <is>
          <t>https://www.google.com/maps/search/?api=1&amp;query=Kalunga%20-%20Shopping%20Rio%20Poty%20Teresina&amp;query_place_id=ChIJY-7nbpA5jgcRXO4WpkYMQ6c</t>
        </is>
      </c>
      <c r="K445" s="4" t="inlineStr">
        <is>
          <t>Shopping Rio Poty - Av. Mar. Castelo Branco, 911 - Porenquanto, Teresina - PI, 64003-087, Brasil</t>
        </is>
      </c>
      <c r="L445" s="4" t="inlineStr">
        <is>
          <t>Teresina</t>
        </is>
      </c>
      <c r="M445" s="5" t="n">
        <v>1</v>
      </c>
    </row>
    <row r="446">
      <c r="A446" s="3">
        <f>RAND()</f>
        <v/>
      </c>
      <c r="B446" s="4" t="inlineStr">
        <is>
          <t>ChIJ25ZvZgc5jgcRWq0HXTW_Lvg</t>
        </is>
      </c>
      <c r="C446" s="4" t="inlineStr">
        <is>
          <t>Kids Play</t>
        </is>
      </c>
      <c r="D446" s="4" t="inlineStr">
        <is>
          <t>Teresina</t>
        </is>
      </c>
      <c r="E446" s="4" t="inlineStr">
        <is>
          <t>PI</t>
        </is>
      </c>
      <c r="F446" s="4" t="inlineStr">
        <is>
          <t>Capitais Regionais A</t>
        </is>
      </c>
      <c r="G446" s="4" t="inlineStr">
        <is>
          <t>Capital regional</t>
        </is>
      </c>
      <c r="H446" s="5">
        <f>IF(G446="fora do recorte","",SUMPRODUCT(($G$3:$G$1723=G446)*($A$3:$A$1723&lt;=A446)))</f>
        <v/>
      </c>
      <c r="I446" s="4">
        <f>IF(H446="","",G446&amp;"|"&amp;H446)</f>
        <v/>
      </c>
      <c r="J446" s="4" t="inlineStr">
        <is>
          <t>https://www.google.com/maps/search/?api=1&amp;query=Kids%20Play&amp;query_place_id=ChIJ25ZvZgc5jgcRWq0HXTW_Lvg</t>
        </is>
      </c>
      <c r="K446" s="4" t="inlineStr">
        <is>
          <t>R. das Tulípas, 500 - Jóquei, Teresina - PI, 64049-140, Brasil</t>
        </is>
      </c>
      <c r="L446" s="4" t="inlineStr">
        <is>
          <t>Teresina</t>
        </is>
      </c>
      <c r="M446" s="5" t="n">
        <v>1</v>
      </c>
    </row>
    <row r="447">
      <c r="A447" s="3">
        <f>RAND()</f>
        <v/>
      </c>
      <c r="B447" s="4" t="inlineStr">
        <is>
          <t>ChIJi_WZAFs5jgcRrn9jyp3xFvQ</t>
        </is>
      </c>
      <c r="C447" s="4" t="inlineStr">
        <is>
          <t>King Kobra</t>
        </is>
      </c>
      <c r="D447" s="4" t="inlineStr">
        <is>
          <t>Teresina</t>
        </is>
      </c>
      <c r="E447" s="4" t="inlineStr">
        <is>
          <t>PI</t>
        </is>
      </c>
      <c r="F447" s="4" t="inlineStr">
        <is>
          <t>Capitais Regionais A</t>
        </is>
      </c>
      <c r="G447" s="4" t="inlineStr">
        <is>
          <t>Capital regional</t>
        </is>
      </c>
      <c r="H447" s="5">
        <f>IF(G447="fora do recorte","",SUMPRODUCT(($G$3:$G$1723=G447)*($A$3:$A$1723&lt;=A447)))</f>
        <v/>
      </c>
      <c r="I447" s="4">
        <f>IF(H447="","",G447&amp;"|"&amp;H447)</f>
        <v/>
      </c>
      <c r="J447" s="4" t="inlineStr">
        <is>
          <t>https://www.google.com/maps/search/?api=1&amp;query=King%20Kobra&amp;query_place_id=ChIJi_WZAFs5jgcRrn9jyp3xFvQ</t>
        </is>
      </c>
      <c r="K447" s="4" t="inlineStr">
        <is>
          <t>King Kobra - Bar - R. Portela Nunes, 2615 - Primavera, Teresina - PI, 64002-580, Brasil</t>
        </is>
      </c>
      <c r="L447" s="4" t="inlineStr">
        <is>
          <t>Teresina</t>
        </is>
      </c>
      <c r="M447" s="5" t="n">
        <v>2</v>
      </c>
    </row>
    <row r="448">
      <c r="A448" s="3">
        <f>RAND()</f>
        <v/>
      </c>
      <c r="B448" s="4" t="inlineStr">
        <is>
          <t>ChIJuVCw0ikxjgcR7qe1DnLfDUA</t>
        </is>
      </c>
      <c r="C448" s="4" t="inlineStr">
        <is>
          <t>L2DMO</t>
        </is>
      </c>
      <c r="D448" s="4" t="inlineStr">
        <is>
          <t>Teresina</t>
        </is>
      </c>
      <c r="E448" s="4" t="inlineStr">
        <is>
          <t>PI</t>
        </is>
      </c>
      <c r="F448" s="4" t="inlineStr">
        <is>
          <t>Capitais Regionais A</t>
        </is>
      </c>
      <c r="G448" s="4" t="inlineStr">
        <is>
          <t>Capital regional</t>
        </is>
      </c>
      <c r="H448" s="5">
        <f>IF(G448="fora do recorte","",SUMPRODUCT(($G$3:$G$1723=G448)*($A$3:$A$1723&lt;=A448)))</f>
        <v/>
      </c>
      <c r="I448" s="4">
        <f>IF(H448="","",G448&amp;"|"&amp;H448)</f>
        <v/>
      </c>
      <c r="J448" s="4" t="inlineStr">
        <is>
          <t>https://www.google.com/maps/search/?api=1&amp;query=L2DMO&amp;query_place_id=ChIJuVCw0ikxjgcR7qe1DnLfDUA</t>
        </is>
      </c>
      <c r="K448" s="4" t="inlineStr">
        <is>
          <t>Q. C, 36 - São Sebastião, Teresina - PI, 64085-360, Brasil</t>
        </is>
      </c>
      <c r="L448" s="4" t="inlineStr">
        <is>
          <t>Teresina</t>
        </is>
      </c>
      <c r="M448" s="5" t="n">
        <v>3</v>
      </c>
    </row>
    <row r="449">
      <c r="A449" s="3">
        <f>RAND()</f>
        <v/>
      </c>
      <c r="B449" s="4" t="inlineStr">
        <is>
          <t>ChIJHVafOR45jgcR1Oc3v4rKSTM</t>
        </is>
      </c>
      <c r="C449" s="4" t="inlineStr">
        <is>
          <t>LOCAR KIDS</t>
        </is>
      </c>
      <c r="D449" s="4" t="inlineStr">
        <is>
          <t>Teresina</t>
        </is>
      </c>
      <c r="E449" s="4" t="inlineStr">
        <is>
          <t>PI</t>
        </is>
      </c>
      <c r="F449" s="4" t="inlineStr">
        <is>
          <t>Capitais Regionais A</t>
        </is>
      </c>
      <c r="G449" s="4" t="inlineStr">
        <is>
          <t>Capital regional</t>
        </is>
      </c>
      <c r="H449" s="5">
        <f>IF(G449="fora do recorte","",SUMPRODUCT(($G$3:$G$1723=G449)*($A$3:$A$1723&lt;=A449)))</f>
        <v/>
      </c>
      <c r="I449" s="4">
        <f>IF(H449="","",G449&amp;"|"&amp;H449)</f>
        <v/>
      </c>
      <c r="J449" s="4" t="inlineStr">
        <is>
          <t>https://www.google.com/maps/search/?api=1&amp;query=LOCAR%20KIDS&amp;query_place_id=ChIJHVafOR45jgcR1Oc3v4rKSTM</t>
        </is>
      </c>
      <c r="K449" s="4" t="inlineStr">
        <is>
          <t>Av. Mar. Castelo Branco, 911 - Porenquanto Shopping Rio poty, Piso L2, EC015 - LOCARKIDS Ao lado da loja IAP - Porenquanto, Teresina - PI, 64003-087, Brasil</t>
        </is>
      </c>
      <c r="L449" s="4" t="inlineStr">
        <is>
          <t>Teresina</t>
        </is>
      </c>
      <c r="M449" s="5" t="n">
        <v>1</v>
      </c>
    </row>
    <row r="450">
      <c r="A450" s="3">
        <f>RAND()</f>
        <v/>
      </c>
      <c r="B450" s="4" t="inlineStr">
        <is>
          <t>ChIJQRRllxM5jgcRACkIAXWKVxQ</t>
        </is>
      </c>
      <c r="C450" s="4" t="inlineStr">
        <is>
          <t>Livraria Leitura - Shopping Rio Poty</t>
        </is>
      </c>
      <c r="D450" s="4" t="inlineStr">
        <is>
          <t>Teresina</t>
        </is>
      </c>
      <c r="E450" s="4" t="inlineStr">
        <is>
          <t>PI</t>
        </is>
      </c>
      <c r="F450" s="4" t="inlineStr">
        <is>
          <t>Capitais Regionais A</t>
        </is>
      </c>
      <c r="G450" s="4" t="inlineStr">
        <is>
          <t>Capital regional</t>
        </is>
      </c>
      <c r="H450" s="5">
        <f>IF(G450="fora do recorte","",SUMPRODUCT(($G$3:$G$1723=G450)*($A$3:$A$1723&lt;=A450)))</f>
        <v/>
      </c>
      <c r="I450" s="4">
        <f>IF(H450="","",G450&amp;"|"&amp;H450)</f>
        <v/>
      </c>
      <c r="J450" s="4" t="inlineStr">
        <is>
          <t>https://www.google.com/maps/search/?api=1&amp;query=Livraria%20Leitura%20-%20Shopping%20Rio%20Poty&amp;query_place_id=ChIJQRRllxM5jgcRACkIAXWKVxQ</t>
        </is>
      </c>
      <c r="K450" s="4" t="inlineStr">
        <is>
          <t>Shopping Rio Poty - Porenquanto, Teresina - PI, 64014-058, Brasil</t>
        </is>
      </c>
      <c r="L450" s="4" t="inlineStr">
        <is>
          <t>Teresina</t>
        </is>
      </c>
      <c r="M450" s="5" t="n">
        <v>2</v>
      </c>
    </row>
    <row r="451">
      <c r="A451" s="3">
        <f>RAND()</f>
        <v/>
      </c>
      <c r="B451" s="4" t="inlineStr">
        <is>
          <t>ChIJzW8hTfM5jgcRYt5erv0SrJU</t>
        </is>
      </c>
      <c r="C451" s="4" t="inlineStr">
        <is>
          <t>Loja Margarida - Livraria, Papelaria, Gráfica e Café</t>
        </is>
      </c>
      <c r="D451" s="4" t="inlineStr">
        <is>
          <t>Teresina</t>
        </is>
      </c>
      <c r="E451" s="4" t="inlineStr">
        <is>
          <t>PI</t>
        </is>
      </c>
      <c r="F451" s="4" t="inlineStr">
        <is>
          <t>Capitais Regionais A</t>
        </is>
      </c>
      <c r="G451" s="4" t="inlineStr">
        <is>
          <t>Capital regional</t>
        </is>
      </c>
      <c r="H451" s="5">
        <f>IF(G451="fora do recorte","",SUMPRODUCT(($G$3:$G$1723=G451)*($A$3:$A$1723&lt;=A451)))</f>
        <v/>
      </c>
      <c r="I451" s="4">
        <f>IF(H451="","",G451&amp;"|"&amp;H451)</f>
        <v/>
      </c>
      <c r="J451" s="4" t="inlineStr">
        <is>
          <t>https://www.google.com/maps/search/?api=1&amp;query=Loja%20Margarida%20-%20Livraria%2C%20Papelaria%2C%20Gr%C3%A1fica%20e%20Caf%C3%A9&amp;query_place_id=ChIJzW8hTfM5jgcRYt5erv0SrJU</t>
        </is>
      </c>
      <c r="K451" s="4" t="inlineStr">
        <is>
          <t>Av. Nossa Sra. de Fátima, 1451 - Jóquei, Teresina - PI, 64048-180, Brasil</t>
        </is>
      </c>
      <c r="L451" s="4" t="inlineStr">
        <is>
          <t>Teresina</t>
        </is>
      </c>
      <c r="M451" s="5" t="n">
        <v>1</v>
      </c>
    </row>
    <row r="452">
      <c r="A452" s="3">
        <f>RAND()</f>
        <v/>
      </c>
      <c r="B452" s="4" t="inlineStr">
        <is>
          <t>ChIJ13tVZII7jgcRdhfcylICMFw</t>
        </is>
      </c>
      <c r="C452" s="4" t="inlineStr">
        <is>
          <t>MEDUZZA - Bar and Cocktail</t>
        </is>
      </c>
      <c r="D452" s="4" t="inlineStr">
        <is>
          <t>Teresina</t>
        </is>
      </c>
      <c r="E452" s="4" t="inlineStr">
        <is>
          <t>PI</t>
        </is>
      </c>
      <c r="F452" s="4" t="inlineStr">
        <is>
          <t>Capitais Regionais A</t>
        </is>
      </c>
      <c r="G452" s="4" t="inlineStr">
        <is>
          <t>Capital regional</t>
        </is>
      </c>
      <c r="H452" s="5">
        <f>IF(G452="fora do recorte","",SUMPRODUCT(($G$3:$G$1723=G452)*($A$3:$A$1723&lt;=A452)))</f>
        <v/>
      </c>
      <c r="I452" s="4">
        <f>IF(H452="","",G452&amp;"|"&amp;H452)</f>
        <v/>
      </c>
      <c r="J452" s="4" t="inlineStr">
        <is>
          <t>https://www.google.com/maps/search/?api=1&amp;query=MEDUZZA%20-%20Bar%20and%20Cocktail&amp;query_place_id=ChIJ13tVZII7jgcRdhfcylICMFw</t>
        </is>
      </c>
      <c r="K452" s="4" t="inlineStr">
        <is>
          <t>Rua Professor Darcy Araujo - Av. Homero Castelo Branco, 280b - São Cristóvão, Teresina - PI, 64051-040, Brasil</t>
        </is>
      </c>
      <c r="L452" s="4" t="inlineStr">
        <is>
          <t>Teresina</t>
        </is>
      </c>
      <c r="M452" s="5" t="n">
        <v>2</v>
      </c>
    </row>
    <row r="453">
      <c r="A453" s="3">
        <f>RAND()</f>
        <v/>
      </c>
      <c r="B453" s="4" t="inlineStr">
        <is>
          <t>ChIJk87KXwA5jgcRzPPjmcCTc74</t>
        </is>
      </c>
      <c r="C453" s="4" t="inlineStr">
        <is>
          <t>MM diversões</t>
        </is>
      </c>
      <c r="D453" s="4" t="inlineStr">
        <is>
          <t>Teresina</t>
        </is>
      </c>
      <c r="E453" s="4" t="inlineStr">
        <is>
          <t>PI</t>
        </is>
      </c>
      <c r="F453" s="4" t="inlineStr">
        <is>
          <t>Capitais Regionais A</t>
        </is>
      </c>
      <c r="G453" s="4" t="inlineStr">
        <is>
          <t>Capital regional</t>
        </is>
      </c>
      <c r="H453" s="5">
        <f>IF(G453="fora do recorte","",SUMPRODUCT(($G$3:$G$1723=G453)*($A$3:$A$1723&lt;=A453)))</f>
        <v/>
      </c>
      <c r="I453" s="4">
        <f>IF(H453="","",G453&amp;"|"&amp;H453)</f>
        <v/>
      </c>
      <c r="J453" s="4" t="inlineStr">
        <is>
          <t>https://www.google.com/maps/search/?api=1&amp;query=MM%20divers%C3%B5es&amp;query_place_id=ChIJk87KXwA5jgcRzPPjmcCTc74</t>
        </is>
      </c>
      <c r="K453" s="4" t="inlineStr">
        <is>
          <t>Av. Mar. Castelo Branco, 911 - Porenquanto, Teresina - PI, 64006-087, Brasil</t>
        </is>
      </c>
      <c r="L453" s="4" t="inlineStr">
        <is>
          <t>Teresina</t>
        </is>
      </c>
      <c r="M453" s="5" t="n">
        <v>1</v>
      </c>
    </row>
    <row r="454">
      <c r="A454" s="3">
        <f>RAND()</f>
        <v/>
      </c>
      <c r="B454" s="4" t="inlineStr">
        <is>
          <t>ChIJ94K9AAA5jgcRIvGaAXnIVK4</t>
        </is>
      </c>
      <c r="C454" s="4" t="inlineStr">
        <is>
          <t>MUXOXO BAR</t>
        </is>
      </c>
      <c r="D454" s="4" t="inlineStr">
        <is>
          <t>Teresina</t>
        </is>
      </c>
      <c r="E454" s="4" t="inlineStr">
        <is>
          <t>PI</t>
        </is>
      </c>
      <c r="F454" s="4" t="inlineStr">
        <is>
          <t>Capitais Regionais A</t>
        </is>
      </c>
      <c r="G454" s="4" t="inlineStr">
        <is>
          <t>Capital regional</t>
        </is>
      </c>
      <c r="H454" s="5">
        <f>IF(G454="fora do recorte","",SUMPRODUCT(($G$3:$G$1723=G454)*($A$3:$A$1723&lt;=A454)))</f>
        <v/>
      </c>
      <c r="I454" s="4">
        <f>IF(H454="","",G454&amp;"|"&amp;H454)</f>
        <v/>
      </c>
      <c r="J454" s="4" t="inlineStr">
        <is>
          <t>https://www.google.com/maps/search/?api=1&amp;query=MUXOXO%20BAR&amp;query_place_id=ChIJ94K9AAA5jgcRIvGaAXnIVK4</t>
        </is>
      </c>
      <c r="K454" s="4" t="inlineStr">
        <is>
          <t>R. Lisandro Nogueira, 1869 - Centro (Sul), Teresina - PI, 64000-200, Brasil</t>
        </is>
      </c>
      <c r="L454" s="4" t="inlineStr">
        <is>
          <t>Teresina</t>
        </is>
      </c>
      <c r="M454" s="5" t="n">
        <v>2</v>
      </c>
    </row>
    <row r="455">
      <c r="A455" s="3">
        <f>RAND()</f>
        <v/>
      </c>
      <c r="B455" s="4" t="inlineStr">
        <is>
          <t>ChIJDSja6N45jgcR0ZocNu9D8Fs</t>
        </is>
      </c>
      <c r="C455" s="4" t="inlineStr">
        <is>
          <t>Mavelu Sports - Centro</t>
        </is>
      </c>
      <c r="D455" s="4" t="inlineStr">
        <is>
          <t>Teresina</t>
        </is>
      </c>
      <c r="E455" s="4" t="inlineStr">
        <is>
          <t>PI</t>
        </is>
      </c>
      <c r="F455" s="4" t="inlineStr">
        <is>
          <t>Capitais Regionais A</t>
        </is>
      </c>
      <c r="G455" s="4" t="inlineStr">
        <is>
          <t>Capital regional</t>
        </is>
      </c>
      <c r="H455" s="5">
        <f>IF(G455="fora do recorte","",SUMPRODUCT(($G$3:$G$1723=G455)*($A$3:$A$1723&lt;=A455)))</f>
        <v/>
      </c>
      <c r="I455" s="4">
        <f>IF(H455="","",G455&amp;"|"&amp;H455)</f>
        <v/>
      </c>
      <c r="J455" s="4" t="inlineStr">
        <is>
          <t>https://www.google.com/maps/search/?api=1&amp;query=Mavelu%20Sports%20-%20Centro&amp;query_place_id=ChIJDSja6N45jgcR0ZocNu9D8Fs</t>
        </is>
      </c>
      <c r="K455" s="4" t="inlineStr">
        <is>
          <t>R. Eliseu Martins, 1198 - Centro (Sul), Teresina - PI, 64000-120, Brasil</t>
        </is>
      </c>
      <c r="L455" s="4" t="inlineStr">
        <is>
          <t>Teresina</t>
        </is>
      </c>
      <c r="M455" s="5" t="n">
        <v>1</v>
      </c>
    </row>
    <row r="456">
      <c r="A456" s="3">
        <f>RAND()</f>
        <v/>
      </c>
      <c r="B456" s="4" t="inlineStr">
        <is>
          <t>ChIJuygTCQAxjgcRonzlacVkrrM</t>
        </is>
      </c>
      <c r="C456" s="4" t="inlineStr">
        <is>
          <t>O RECREIO VIAJANTE</t>
        </is>
      </c>
      <c r="D456" s="4" t="inlineStr">
        <is>
          <t>Teresina</t>
        </is>
      </c>
      <c r="E456" s="4" t="inlineStr">
        <is>
          <t>PI</t>
        </is>
      </c>
      <c r="F456" s="4" t="inlineStr">
        <is>
          <t>Capitais Regionais A</t>
        </is>
      </c>
      <c r="G456" s="4" t="inlineStr">
        <is>
          <t>Capital regional</t>
        </is>
      </c>
      <c r="H456" s="5">
        <f>IF(G456="fora do recorte","",SUMPRODUCT(($G$3:$G$1723=G456)*($A$3:$A$1723&lt;=A456)))</f>
        <v/>
      </c>
      <c r="I456" s="4">
        <f>IF(H456="","",G456&amp;"|"&amp;H456)</f>
        <v/>
      </c>
      <c r="J456" s="4" t="inlineStr">
        <is>
          <t>https://www.google.com/maps/search/?api=1&amp;query=O%20RECREIO%20VIAJANTE&amp;query_place_id=ChIJuygTCQAxjgcRonzlacVkrrM</t>
        </is>
      </c>
      <c r="K456" s="4" t="inlineStr">
        <is>
          <t>Avenida Deputado Ulisses Guimarães - Promorar, Teresina - PI, 64027-432, Brasil</t>
        </is>
      </c>
      <c r="L456" s="4" t="inlineStr">
        <is>
          <t>Teresina</t>
        </is>
      </c>
      <c r="M456" s="5" t="n">
        <v>1</v>
      </c>
    </row>
    <row r="457">
      <c r="A457" s="3">
        <f>RAND()</f>
        <v/>
      </c>
      <c r="B457" s="4" t="inlineStr">
        <is>
          <t>ChIJdzOP3us5jgcRDr2JMx1E9Ks</t>
        </is>
      </c>
      <c r="C457" s="4" t="inlineStr">
        <is>
          <t>Parque da Villa</t>
        </is>
      </c>
      <c r="D457" s="4" t="inlineStr">
        <is>
          <t>Teresina</t>
        </is>
      </c>
      <c r="E457" s="4" t="inlineStr">
        <is>
          <t>PI</t>
        </is>
      </c>
      <c r="F457" s="4" t="inlineStr">
        <is>
          <t>Capitais Regionais A</t>
        </is>
      </c>
      <c r="G457" s="4" t="inlineStr">
        <is>
          <t>Capital regional</t>
        </is>
      </c>
      <c r="H457" s="5">
        <f>IF(G457="fora do recorte","",SUMPRODUCT(($G$3:$G$1723=G457)*($A$3:$A$1723&lt;=A457)))</f>
        <v/>
      </c>
      <c r="I457" s="4">
        <f>IF(H457="","",G457&amp;"|"&amp;H457)</f>
        <v/>
      </c>
      <c r="J457" s="4" t="inlineStr">
        <is>
          <t>https://www.google.com/maps/search/?api=1&amp;query=Parque%20da%20Villa&amp;query_place_id=ChIJdzOP3us5jgcRDr2JMx1E9Ks</t>
        </is>
      </c>
      <c r="K457" s="4" t="inlineStr">
        <is>
          <t>Teresina Shopping - Av. Raul Lopes, 1000 - Loja 463 - Noivos, Teresina - PI, 64046-902, Brasil</t>
        </is>
      </c>
      <c r="L457" s="4" t="inlineStr">
        <is>
          <t>Teresina</t>
        </is>
      </c>
      <c r="M457" s="5" t="n">
        <v>1</v>
      </c>
    </row>
    <row r="458">
      <c r="A458" s="3">
        <f>RAND()</f>
        <v/>
      </c>
      <c r="B458" s="4" t="inlineStr">
        <is>
          <t>ChIJdTX4RXw3jgcRoOZ7vOYBZtA</t>
        </is>
      </c>
      <c r="C458" s="4" t="inlineStr">
        <is>
          <t>Paulo Games</t>
        </is>
      </c>
      <c r="D458" s="4" t="inlineStr">
        <is>
          <t>Teresina</t>
        </is>
      </c>
      <c r="E458" s="4" t="inlineStr">
        <is>
          <t>PI</t>
        </is>
      </c>
      <c r="F458" s="4" t="inlineStr">
        <is>
          <t>Capitais Regionais A</t>
        </is>
      </c>
      <c r="G458" s="4" t="inlineStr">
        <is>
          <t>Capital regional</t>
        </is>
      </c>
      <c r="H458" s="5">
        <f>IF(G458="fora do recorte","",SUMPRODUCT(($G$3:$G$1723=G458)*($A$3:$A$1723&lt;=A458)))</f>
        <v/>
      </c>
      <c r="I458" s="4">
        <f>IF(H458="","",G458&amp;"|"&amp;H458)</f>
        <v/>
      </c>
      <c r="J458" s="4" t="inlineStr">
        <is>
          <t>https://www.google.com/maps/search/?api=1&amp;query=Paulo%20Games&amp;query_place_id=ChIJdTX4RXw3jgcRoOZ7vOYBZtA</t>
        </is>
      </c>
      <c r="K458" s="4" t="inlineStr">
        <is>
          <t>R. Areolino de Abreu, 1392 - Centro (Sul), Teresina - PI, 64000-180, Brasil</t>
        </is>
      </c>
      <c r="L458" s="4" t="inlineStr">
        <is>
          <t>Teresina</t>
        </is>
      </c>
      <c r="M458" s="5" t="n">
        <v>1</v>
      </c>
    </row>
    <row r="459">
      <c r="A459" s="3">
        <f>RAND()</f>
        <v/>
      </c>
      <c r="B459" s="4" t="inlineStr">
        <is>
          <t>ChIJOY3lKrk7jgcRiHOLrwitIuA</t>
        </is>
      </c>
      <c r="C459" s="4" t="inlineStr">
        <is>
          <t>Pegadas do Afeto Casa de Brincar</t>
        </is>
      </c>
      <c r="D459" s="4" t="inlineStr">
        <is>
          <t>Teresina</t>
        </is>
      </c>
      <c r="E459" s="4" t="inlineStr">
        <is>
          <t>PI</t>
        </is>
      </c>
      <c r="F459" s="4" t="inlineStr">
        <is>
          <t>Capitais Regionais A</t>
        </is>
      </c>
      <c r="G459" s="4" t="inlineStr">
        <is>
          <t>Capital regional</t>
        </is>
      </c>
      <c r="H459" s="5">
        <f>IF(G459="fora do recorte","",SUMPRODUCT(($G$3:$G$1723=G459)*($A$3:$A$1723&lt;=A459)))</f>
        <v/>
      </c>
      <c r="I459" s="4">
        <f>IF(H459="","",G459&amp;"|"&amp;H459)</f>
        <v/>
      </c>
      <c r="J459" s="4" t="inlineStr">
        <is>
          <t>https://www.google.com/maps/search/?api=1&amp;query=Pegadas%20do%20Afeto%20Casa%20de%20Brincar&amp;query_place_id=ChIJOY3lKrk7jgcRiHOLrwitIuA</t>
        </is>
      </c>
      <c r="K459" s="4" t="inlineStr">
        <is>
          <t>R. Profa. Adalgisa Paiva, 1611 - Morada do Sol, Teresina - PI, 64056-490, Brasil</t>
        </is>
      </c>
      <c r="L459" s="4" t="inlineStr">
        <is>
          <t>Teresina</t>
        </is>
      </c>
      <c r="M459" s="5" t="n">
        <v>1</v>
      </c>
    </row>
    <row r="460">
      <c r="A460" s="3">
        <f>RAND()</f>
        <v/>
      </c>
      <c r="B460" s="4" t="inlineStr">
        <is>
          <t>ChIJ-1i4BAAxjgcR5proKKj9AB0</t>
        </is>
      </c>
      <c r="C460" s="4" t="inlineStr">
        <is>
          <t>PlayBar</t>
        </is>
      </c>
      <c r="D460" s="4" t="inlineStr">
        <is>
          <t>Teresina</t>
        </is>
      </c>
      <c r="E460" s="4" t="inlineStr">
        <is>
          <t>PI</t>
        </is>
      </c>
      <c r="F460" s="4" t="inlineStr">
        <is>
          <t>Capitais Regionais A</t>
        </is>
      </c>
      <c r="G460" s="4" t="inlineStr">
        <is>
          <t>Capital regional</t>
        </is>
      </c>
      <c r="H460" s="5">
        <f>IF(G460="fora do recorte","",SUMPRODUCT(($G$3:$G$1723=G460)*($A$3:$A$1723&lt;=A460)))</f>
        <v/>
      </c>
      <c r="I460" s="4">
        <f>IF(H460="","",G460&amp;"|"&amp;H460)</f>
        <v/>
      </c>
      <c r="J460" s="4" t="inlineStr">
        <is>
          <t>https://www.google.com/maps/search/?api=1&amp;query=PlayBar&amp;query_place_id=ChIJ-1i4BAAxjgcR5proKKj9AB0</t>
        </is>
      </c>
      <c r="K460" s="4" t="inlineStr">
        <is>
          <t>Conj. Dirceu Arcoverde I Qu 12, 1 - Parque Ideal, Teresina - PI, 64077-030, Brasil</t>
        </is>
      </c>
      <c r="L460" s="4" t="inlineStr">
        <is>
          <t>Teresina</t>
        </is>
      </c>
      <c r="M460" s="5" t="n">
        <v>2</v>
      </c>
    </row>
    <row r="461">
      <c r="A461" s="3">
        <f>RAND()</f>
        <v/>
      </c>
      <c r="B461" s="4" t="inlineStr">
        <is>
          <t>ChIJuV9fZdg5jgcRqeHy34--xFY</t>
        </is>
      </c>
      <c r="C461" s="4" t="inlineStr">
        <is>
          <t>Playbox</t>
        </is>
      </c>
      <c r="D461" s="4" t="inlineStr">
        <is>
          <t>Teresina</t>
        </is>
      </c>
      <c r="E461" s="4" t="inlineStr">
        <is>
          <t>PI</t>
        </is>
      </c>
      <c r="F461" s="4" t="inlineStr">
        <is>
          <t>Capitais Regionais A</t>
        </is>
      </c>
      <c r="G461" s="4" t="inlineStr">
        <is>
          <t>Capital regional</t>
        </is>
      </c>
      <c r="H461" s="5">
        <f>IF(G461="fora do recorte","",SUMPRODUCT(($G$3:$G$1723=G461)*($A$3:$A$1723&lt;=A461)))</f>
        <v/>
      </c>
      <c r="I461" s="4">
        <f>IF(H461="","",G461&amp;"|"&amp;H461)</f>
        <v/>
      </c>
      <c r="J461" s="4" t="inlineStr">
        <is>
          <t>https://www.google.com/maps/search/?api=1&amp;query=Playbox&amp;query_place_id=ChIJuV9fZdg5jgcRqeHy34--xFY</t>
        </is>
      </c>
      <c r="K461" s="4" t="inlineStr">
        <is>
          <t>R. Areolino de Abreu, 1392 - Centro (Sul), Teresina - PI, 64000-180, Brasil</t>
        </is>
      </c>
      <c r="L461" s="4" t="inlineStr">
        <is>
          <t>Teresina</t>
        </is>
      </c>
      <c r="M461" s="5" t="n">
        <v>3</v>
      </c>
    </row>
    <row r="462">
      <c r="A462" s="3">
        <f>RAND()</f>
        <v/>
      </c>
      <c r="B462" s="4" t="inlineStr">
        <is>
          <t>ChIJAzYqK4g7jgcRDcu9ARQCE30</t>
        </is>
      </c>
      <c r="C462" s="4" t="inlineStr">
        <is>
          <t>Playbrinque</t>
        </is>
      </c>
      <c r="D462" s="4" t="inlineStr">
        <is>
          <t>Teresina</t>
        </is>
      </c>
      <c r="E462" s="4" t="inlineStr">
        <is>
          <t>PI</t>
        </is>
      </c>
      <c r="F462" s="4" t="inlineStr">
        <is>
          <t>Capitais Regionais A</t>
        </is>
      </c>
      <c r="G462" s="4" t="inlineStr">
        <is>
          <t>Capital regional</t>
        </is>
      </c>
      <c r="H462" s="5">
        <f>IF(G462="fora do recorte","",SUMPRODUCT(($G$3:$G$1723=G462)*($A$3:$A$1723&lt;=A462)))</f>
        <v/>
      </c>
      <c r="I462" s="4">
        <f>IF(H462="","",G462&amp;"|"&amp;H462)</f>
        <v/>
      </c>
      <c r="J462" s="4" t="inlineStr">
        <is>
          <t>https://www.google.com/maps/search/?api=1&amp;query=Playbrinque&amp;query_place_id=ChIJAzYqK4g7jgcRDcu9ARQCE30</t>
        </is>
      </c>
      <c r="K462" s="4" t="inlineStr">
        <is>
          <t>R. Acésio do Rêgo Monteiro - Horto florestal, Teresina - PI, 64049-610, Brasil</t>
        </is>
      </c>
      <c r="L462" s="4" t="inlineStr">
        <is>
          <t>Teresina</t>
        </is>
      </c>
      <c r="M462" s="5" t="n">
        <v>1</v>
      </c>
    </row>
    <row r="463">
      <c r="A463" s="3">
        <f>RAND()</f>
        <v/>
      </c>
      <c r="B463" s="4" t="inlineStr">
        <is>
          <t>ChIJOZTdEYo3jgcRZIQY9bnZXZ8</t>
        </is>
      </c>
      <c r="C463" s="4" t="inlineStr">
        <is>
          <t>Queen Pub &amp; Cine</t>
        </is>
      </c>
      <c r="D463" s="4" t="inlineStr">
        <is>
          <t>Teresina</t>
        </is>
      </c>
      <c r="E463" s="4" t="inlineStr">
        <is>
          <t>PI</t>
        </is>
      </c>
      <c r="F463" s="4" t="inlineStr">
        <is>
          <t>Capitais Regionais A</t>
        </is>
      </c>
      <c r="G463" s="4" t="inlineStr">
        <is>
          <t>Capital regional</t>
        </is>
      </c>
      <c r="H463" s="5">
        <f>IF(G463="fora do recorte","",SUMPRODUCT(($G$3:$G$1723=G463)*($A$3:$A$1723&lt;=A463)))</f>
        <v/>
      </c>
      <c r="I463" s="4">
        <f>IF(H463="","",G463&amp;"|"&amp;H463)</f>
        <v/>
      </c>
      <c r="J463" s="4" t="inlineStr">
        <is>
          <t>https://www.google.com/maps/search/?api=1&amp;query=Queen%20Pub%20%26%20Cine&amp;query_place_id=ChIJOZTdEYo3jgcRZIQY9bnZXZ8</t>
        </is>
      </c>
      <c r="K463" s="4" t="inlineStr">
        <is>
          <t>R. David Caldas, 228-A - Centro (Sul), Teresina - PI, 64001-270, Brasil</t>
        </is>
      </c>
      <c r="L463" s="4" t="inlineStr">
        <is>
          <t>Teresina</t>
        </is>
      </c>
      <c r="M463" s="5" t="n">
        <v>1</v>
      </c>
    </row>
    <row r="464">
      <c r="A464" s="3">
        <f>RAND()</f>
        <v/>
      </c>
      <c r="B464" s="4" t="inlineStr">
        <is>
          <t>ChIJcwuROzM5jgcR11HeU67x_0E</t>
        </is>
      </c>
      <c r="C464" s="4" t="inlineStr">
        <is>
          <t>Quintal Aroeira</t>
        </is>
      </c>
      <c r="D464" s="4" t="inlineStr">
        <is>
          <t>Teresina</t>
        </is>
      </c>
      <c r="E464" s="4" t="inlineStr">
        <is>
          <t>PI</t>
        </is>
      </c>
      <c r="F464" s="4" t="inlineStr">
        <is>
          <t>Capitais Regionais A</t>
        </is>
      </c>
      <c r="G464" s="4" t="inlineStr">
        <is>
          <t>Capital regional</t>
        </is>
      </c>
      <c r="H464" s="5">
        <f>IF(G464="fora do recorte","",SUMPRODUCT(($G$3:$G$1723=G464)*($A$3:$A$1723&lt;=A464)))</f>
        <v/>
      </c>
      <c r="I464" s="4">
        <f>IF(H464="","",G464&amp;"|"&amp;H464)</f>
        <v/>
      </c>
      <c r="J464" s="4" t="inlineStr">
        <is>
          <t>https://www.google.com/maps/search/?api=1&amp;query=Quintal%20Aroeira&amp;query_place_id=ChIJcwuROzM5jgcR11HeU67x_0E</t>
        </is>
      </c>
      <c r="K464" s="4" t="inlineStr">
        <is>
          <t>R. Hugo Napoleão, 261 - Jóquei, Teresina - PI, 64049-280, Brasil</t>
        </is>
      </c>
      <c r="L464" s="4" t="inlineStr">
        <is>
          <t>Teresina</t>
        </is>
      </c>
      <c r="M464" s="5" t="n">
        <v>1</v>
      </c>
    </row>
    <row r="465">
      <c r="A465" s="3">
        <f>RAND()</f>
        <v/>
      </c>
      <c r="B465" s="4" t="inlineStr">
        <is>
          <t>ChIJXV7o6bA5jgcRek4NhIxQ8zo</t>
        </is>
      </c>
      <c r="C465" s="4" t="inlineStr">
        <is>
          <t>Quintal Espaço de Brincar</t>
        </is>
      </c>
      <c r="D465" s="4" t="inlineStr">
        <is>
          <t>Teresina</t>
        </is>
      </c>
      <c r="E465" s="4" t="inlineStr">
        <is>
          <t>PI</t>
        </is>
      </c>
      <c r="F465" s="4" t="inlineStr">
        <is>
          <t>Capitais Regionais A</t>
        </is>
      </c>
      <c r="G465" s="4" t="inlineStr">
        <is>
          <t>Capital regional</t>
        </is>
      </c>
      <c r="H465" s="5">
        <f>IF(G465="fora do recorte","",SUMPRODUCT(($G$3:$G$1723=G465)*($A$3:$A$1723&lt;=A465)))</f>
        <v/>
      </c>
      <c r="I465" s="4">
        <f>IF(H465="","",G465&amp;"|"&amp;H465)</f>
        <v/>
      </c>
      <c r="J465" s="4" t="inlineStr">
        <is>
          <t>https://www.google.com/maps/search/?api=1&amp;query=Quintal%20Espa%C3%A7o%20de%20Brincar&amp;query_place_id=ChIJXV7o6bA5jgcRek4NhIxQ8zo</t>
        </is>
      </c>
      <c r="K465" s="4" t="inlineStr">
        <is>
          <t>R. Anfrísio Lobão, 1550 - Jóquei, Teresina - PI, 64051-152, Brasil</t>
        </is>
      </c>
      <c r="L465" s="4" t="inlineStr">
        <is>
          <t>Teresina</t>
        </is>
      </c>
      <c r="M465" s="5" t="n">
        <v>1</v>
      </c>
    </row>
    <row r="466">
      <c r="A466" s="3">
        <f>RAND()</f>
        <v/>
      </c>
      <c r="B466" s="4" t="inlineStr">
        <is>
          <t>ChIJl1es1PE5jgcRGHQEfrkZQvg</t>
        </is>
      </c>
      <c r="C466" s="4" t="inlineStr">
        <is>
          <t>Quiosque Cajueiro</t>
        </is>
      </c>
      <c r="D466" s="4" t="inlineStr">
        <is>
          <t>Teresina</t>
        </is>
      </c>
      <c r="E466" s="4" t="inlineStr">
        <is>
          <t>PI</t>
        </is>
      </c>
      <c r="F466" s="4" t="inlineStr">
        <is>
          <t>Capitais Regionais A</t>
        </is>
      </c>
      <c r="G466" s="4" t="inlineStr">
        <is>
          <t>Capital regional</t>
        </is>
      </c>
      <c r="H466" s="5">
        <f>IF(G466="fora do recorte","",SUMPRODUCT(($G$3:$G$1723=G466)*($A$3:$A$1723&lt;=A466)))</f>
        <v/>
      </c>
      <c r="I466" s="4">
        <f>IF(H466="","",G466&amp;"|"&amp;H466)</f>
        <v/>
      </c>
      <c r="J466" s="4" t="inlineStr">
        <is>
          <t>https://www.google.com/maps/search/?api=1&amp;query=Quiosque%20Cajueiro&amp;query_place_id=ChIJl1es1PE5jgcRGHQEfrkZQvg</t>
        </is>
      </c>
      <c r="K466" s="4" t="inlineStr">
        <is>
          <t>em frente ao Shopping Riverside - Av. Raul Lopes, 201 - Jóquei, Teresina - PI, 64046-010, Brasil</t>
        </is>
      </c>
      <c r="L466" s="4" t="inlineStr">
        <is>
          <t>Teresina</t>
        </is>
      </c>
      <c r="M466" s="5" t="n">
        <v>1</v>
      </c>
    </row>
    <row r="467">
      <c r="A467" s="3">
        <f>RAND()</f>
        <v/>
      </c>
      <c r="B467" s="4" t="inlineStr">
        <is>
          <t>ChIJn5YDDe45jgcR2FvO9zE2U8M</t>
        </is>
      </c>
      <c r="C467" s="4" t="inlineStr">
        <is>
          <t>Quiosque Caneleiro</t>
        </is>
      </c>
      <c r="D467" s="4" t="inlineStr">
        <is>
          <t>Teresina</t>
        </is>
      </c>
      <c r="E467" s="4" t="inlineStr">
        <is>
          <t>PI</t>
        </is>
      </c>
      <c r="F467" s="4" t="inlineStr">
        <is>
          <t>Capitais Regionais A</t>
        </is>
      </c>
      <c r="G467" s="4" t="inlineStr">
        <is>
          <t>Capital regional</t>
        </is>
      </c>
      <c r="H467" s="5">
        <f>IF(G467="fora do recorte","",SUMPRODUCT(($G$3:$G$1723=G467)*($A$3:$A$1723&lt;=A467)))</f>
        <v/>
      </c>
      <c r="I467" s="4">
        <f>IF(H467="","",G467&amp;"|"&amp;H467)</f>
        <v/>
      </c>
      <c r="J467" s="4" t="inlineStr">
        <is>
          <t>https://www.google.com/maps/search/?api=1&amp;query=Quiosque%20Caneleiro&amp;query_place_id=ChIJn5YDDe45jgcR2FvO9zE2U8M</t>
        </is>
      </c>
      <c r="K467" s="4" t="inlineStr">
        <is>
          <t>64048-065 - Av. Raul Lopes, 431 - Jóquei, Teresina - PI, 64048-065, Brasil</t>
        </is>
      </c>
      <c r="L467" s="4" t="inlineStr">
        <is>
          <t>Teresina</t>
        </is>
      </c>
      <c r="M467" s="5" t="n">
        <v>1</v>
      </c>
    </row>
    <row r="468">
      <c r="A468" s="3">
        <f>RAND()</f>
        <v/>
      </c>
      <c r="B468" s="4" t="inlineStr">
        <is>
          <t>ChIJy_d84Os5jgcRQ4hkx0QeDM8</t>
        </is>
      </c>
      <c r="C468" s="4" t="inlineStr">
        <is>
          <t>RI HAPPY Shopping Rio Poty</t>
        </is>
      </c>
      <c r="D468" s="4" t="inlineStr">
        <is>
          <t>Teresina</t>
        </is>
      </c>
      <c r="E468" s="4" t="inlineStr">
        <is>
          <t>PI</t>
        </is>
      </c>
      <c r="F468" s="4" t="inlineStr">
        <is>
          <t>Capitais Regionais A</t>
        </is>
      </c>
      <c r="G468" s="4" t="inlineStr">
        <is>
          <t>Capital regional</t>
        </is>
      </c>
      <c r="H468" s="5">
        <f>IF(G468="fora do recorte","",SUMPRODUCT(($G$3:$G$1723=G468)*($A$3:$A$1723&lt;=A468)))</f>
        <v/>
      </c>
      <c r="I468" s="4">
        <f>IF(H468="","",G468&amp;"|"&amp;H468)</f>
        <v/>
      </c>
      <c r="J468" s="4" t="inlineStr">
        <is>
          <t>https://www.google.com/maps/search/?api=1&amp;query=RI%20HAPPY%20Shopping%20Rio%20Poty&amp;query_place_id=ChIJy_d84Os5jgcRQ4hkx0QeDM8</t>
        </is>
      </c>
      <c r="K468" s="4" t="inlineStr">
        <is>
          <t>Av. Mar. Castelo Branco, 911 - SUC 304 B Piso L3 - Porenquanto, Teresina - PI, 64003-087, Brasil</t>
        </is>
      </c>
      <c r="L468" s="4" t="inlineStr">
        <is>
          <t>Teresina</t>
        </is>
      </c>
      <c r="M468" s="5" t="n">
        <v>1</v>
      </c>
    </row>
    <row r="469">
      <c r="A469" s="3">
        <f>RAND()</f>
        <v/>
      </c>
      <c r="B469" s="4" t="inlineStr">
        <is>
          <t>ChIJKe8Wcvk5jgcRGKpWZE546SA</t>
        </is>
      </c>
      <c r="C469" s="4" t="inlineStr">
        <is>
          <t>RI HAPPY TERESINA SHOPPING</t>
        </is>
      </c>
      <c r="D469" s="4" t="inlineStr">
        <is>
          <t>Teresina</t>
        </is>
      </c>
      <c r="E469" s="4" t="inlineStr">
        <is>
          <t>PI</t>
        </is>
      </c>
      <c r="F469" s="4" t="inlineStr">
        <is>
          <t>Capitais Regionais A</t>
        </is>
      </c>
      <c r="G469" s="4" t="inlineStr">
        <is>
          <t>Capital regional</t>
        </is>
      </c>
      <c r="H469" s="5">
        <f>IF(G469="fora do recorte","",SUMPRODUCT(($G$3:$G$1723=G469)*($A$3:$A$1723&lt;=A469)))</f>
        <v/>
      </c>
      <c r="I469" s="4">
        <f>IF(H469="","",G469&amp;"|"&amp;H469)</f>
        <v/>
      </c>
      <c r="J469" s="4" t="inlineStr">
        <is>
          <t>https://www.google.com/maps/search/?api=1&amp;query=RI%20HAPPY%20TERESINA%20SHOPPING&amp;query_place_id=ChIJKe8Wcvk5jgcRGKpWZE546SA</t>
        </is>
      </c>
      <c r="K469" s="4" t="inlineStr">
        <is>
          <t>Avenida Raul Lopes, 1000 Mega loja 04 Pavimento superior - Av. Raul Lopes, 1000 - Mega loja 03 - Noivos, Teresina - PI, 64046-902, Brasil</t>
        </is>
      </c>
      <c r="L469" s="4" t="inlineStr">
        <is>
          <t>Teresina</t>
        </is>
      </c>
      <c r="M469" s="5" t="n">
        <v>1</v>
      </c>
    </row>
    <row r="470">
      <c r="A470" s="3">
        <f>RAND()</f>
        <v/>
      </c>
      <c r="B470" s="4" t="inlineStr">
        <is>
          <t>ChIJ43pyG7A5jgcRDFoJi0zdaxo</t>
        </is>
      </c>
      <c r="C470" s="4" t="inlineStr">
        <is>
          <t>Rambeer FC</t>
        </is>
      </c>
      <c r="D470" s="4" t="inlineStr">
        <is>
          <t>Teresina</t>
        </is>
      </c>
      <c r="E470" s="4" t="inlineStr">
        <is>
          <t>PI</t>
        </is>
      </c>
      <c r="F470" s="4" t="inlineStr">
        <is>
          <t>Capitais Regionais A</t>
        </is>
      </c>
      <c r="G470" s="4" t="inlineStr">
        <is>
          <t>Capital regional</t>
        </is>
      </c>
      <c r="H470" s="5">
        <f>IF(G470="fora do recorte","",SUMPRODUCT(($G$3:$G$1723=G470)*($A$3:$A$1723&lt;=A470)))</f>
        <v/>
      </c>
      <c r="I470" s="4">
        <f>IF(H470="","",G470&amp;"|"&amp;H470)</f>
        <v/>
      </c>
      <c r="J470" s="4" t="inlineStr">
        <is>
          <t>https://www.google.com/maps/search/?api=1&amp;query=Rambeer%20FC&amp;query_place_id=ChIJ43pyG7A5jgcRDFoJi0zdaxo</t>
        </is>
      </c>
      <c r="K470" s="4" t="inlineStr">
        <is>
          <t>Av. Raul Lopes, 2355 - Fátima, Teresina - PI, 64049-548, Brasil</t>
        </is>
      </c>
      <c r="L470" s="4" t="inlineStr">
        <is>
          <t>Teresina</t>
        </is>
      </c>
      <c r="M470" s="5" t="n">
        <v>1</v>
      </c>
    </row>
    <row r="471">
      <c r="A471" s="3">
        <f>RAND()</f>
        <v/>
      </c>
      <c r="B471" s="4" t="inlineStr">
        <is>
          <t>ChIJNUG7NCA6jgcRAv7ubjdJixU</t>
        </is>
      </c>
      <c r="C471" s="4" t="inlineStr">
        <is>
          <t>Resenha Bar e Churrascaria</t>
        </is>
      </c>
      <c r="D471" s="4" t="inlineStr">
        <is>
          <t>Teresina</t>
        </is>
      </c>
      <c r="E471" s="4" t="inlineStr">
        <is>
          <t>PI</t>
        </is>
      </c>
      <c r="F471" s="4" t="inlineStr">
        <is>
          <t>Capitais Regionais A</t>
        </is>
      </c>
      <c r="G471" s="4" t="inlineStr">
        <is>
          <t>Capital regional</t>
        </is>
      </c>
      <c r="H471" s="5">
        <f>IF(G471="fora do recorte","",SUMPRODUCT(($G$3:$G$1723=G471)*($A$3:$A$1723&lt;=A471)))</f>
        <v/>
      </c>
      <c r="I471" s="4">
        <f>IF(H471="","",G471&amp;"|"&amp;H471)</f>
        <v/>
      </c>
      <c r="J471" s="4" t="inlineStr">
        <is>
          <t>https://www.google.com/maps/search/?api=1&amp;query=Resenha%20Bar%20e%20Churrascaria&amp;query_place_id=ChIJNUG7NCA6jgcRAv7ubjdJixU</t>
        </is>
      </c>
      <c r="K471" s="4" t="inlineStr">
        <is>
          <t>Av. Jóquei Clube, 1980 - Jockey Clube, Teresina - PI, 64049-240, Brasil</t>
        </is>
      </c>
      <c r="L471" s="4" t="inlineStr">
        <is>
          <t>Teresina</t>
        </is>
      </c>
      <c r="M471" s="5" t="n">
        <v>2</v>
      </c>
    </row>
    <row r="472">
      <c r="A472" s="3">
        <f>RAND()</f>
        <v/>
      </c>
      <c r="B472" s="4" t="inlineStr">
        <is>
          <t>ChIJawS-Cnw3jgcRjWBtxc8ykc4</t>
        </is>
      </c>
      <c r="C472" s="4" t="inlineStr">
        <is>
          <t>Revolution Games</t>
        </is>
      </c>
      <c r="D472" s="4" t="inlineStr">
        <is>
          <t>Teresina</t>
        </is>
      </c>
      <c r="E472" s="4" t="inlineStr">
        <is>
          <t>PI</t>
        </is>
      </c>
      <c r="F472" s="4" t="inlineStr">
        <is>
          <t>Capitais Regionais A</t>
        </is>
      </c>
      <c r="G472" s="4" t="inlineStr">
        <is>
          <t>Capital regional</t>
        </is>
      </c>
      <c r="H472" s="5">
        <f>IF(G472="fora do recorte","",SUMPRODUCT(($G$3:$G$1723=G472)*($A$3:$A$1723&lt;=A472)))</f>
        <v/>
      </c>
      <c r="I472" s="4">
        <f>IF(H472="","",G472&amp;"|"&amp;H472)</f>
        <v/>
      </c>
      <c r="J472" s="4" t="inlineStr">
        <is>
          <t>https://www.google.com/maps/search/?api=1&amp;query=Revolution%20Games&amp;query_place_id=ChIJawS-Cnw3jgcRjWBtxc8ykc4</t>
        </is>
      </c>
      <c r="K472" s="4" t="inlineStr">
        <is>
          <t>Shop. da Cidade, Av Maranhão, 300 - Térreo - Box 42,43 - Centro (Norte), Teresina - PI, 64000-010, Brasil</t>
        </is>
      </c>
      <c r="L472" s="4" t="inlineStr">
        <is>
          <t>Teresina</t>
        </is>
      </c>
      <c r="M472" s="5" t="n">
        <v>1</v>
      </c>
    </row>
    <row r="473">
      <c r="A473" s="3">
        <f>RAND()</f>
        <v/>
      </c>
      <c r="B473" s="4" t="inlineStr">
        <is>
          <t>ChIJV8s1AvI5jgcRg-K6DIg_AiU</t>
        </is>
      </c>
      <c r="C473" s="4" t="inlineStr">
        <is>
          <t>Riverside Shopping</t>
        </is>
      </c>
      <c r="D473" s="4" t="inlineStr">
        <is>
          <t>Teresina</t>
        </is>
      </c>
      <c r="E473" s="4" t="inlineStr">
        <is>
          <t>PI</t>
        </is>
      </c>
      <c r="F473" s="4" t="inlineStr">
        <is>
          <t>Capitais Regionais A</t>
        </is>
      </c>
      <c r="G473" s="4" t="inlineStr">
        <is>
          <t>Capital regional</t>
        </is>
      </c>
      <c r="H473" s="5">
        <f>IF(G473="fora do recorte","",SUMPRODUCT(($G$3:$G$1723=G473)*($A$3:$A$1723&lt;=A473)))</f>
        <v/>
      </c>
      <c r="I473" s="4">
        <f>IF(H473="","",G473&amp;"|"&amp;H473)</f>
        <v/>
      </c>
      <c r="J473" s="4" t="inlineStr">
        <is>
          <t>https://www.google.com/maps/search/?api=1&amp;query=Riverside%20Shopping&amp;query_place_id=ChIJV8s1AvI5jgcRg-K6DIg_AiU</t>
        </is>
      </c>
      <c r="K473" s="4" t="inlineStr">
        <is>
          <t>Av. Ininga, 1201 - Jóquei, Teresina - PI, 64048-110, Brasil</t>
        </is>
      </c>
      <c r="L473" s="4" t="inlineStr">
        <is>
          <t>Teresina</t>
        </is>
      </c>
      <c r="M473" s="5" t="n">
        <v>2</v>
      </c>
    </row>
    <row r="474">
      <c r="A474" s="3">
        <f>RAND()</f>
        <v/>
      </c>
      <c r="B474" s="4" t="inlineStr">
        <is>
          <t>ChIJZ9sRIiA5jgcRrIabkkmUgsA</t>
        </is>
      </c>
      <c r="C474" s="4" t="inlineStr">
        <is>
          <t>Roots Rock Pub</t>
        </is>
      </c>
      <c r="D474" s="4" t="inlineStr">
        <is>
          <t>Teresina</t>
        </is>
      </c>
      <c r="E474" s="4" t="inlineStr">
        <is>
          <t>PI</t>
        </is>
      </c>
      <c r="F474" s="4" t="inlineStr">
        <is>
          <t>Capitais Regionais A</t>
        </is>
      </c>
      <c r="G474" s="4" t="inlineStr">
        <is>
          <t>Capital regional</t>
        </is>
      </c>
      <c r="H474" s="5">
        <f>IF(G474="fora do recorte","",SUMPRODUCT(($G$3:$G$1723=G474)*($A$3:$A$1723&lt;=A474)))</f>
        <v/>
      </c>
      <c r="I474" s="4">
        <f>IF(H474="","",G474&amp;"|"&amp;H474)</f>
        <v/>
      </c>
      <c r="J474" s="4" t="inlineStr">
        <is>
          <t>https://www.google.com/maps/search/?api=1&amp;query=Roots%20Rock%20Pub&amp;query_place_id=ChIJZ9sRIiA5jgcRrIabkkmUgsA</t>
        </is>
      </c>
      <c r="K474" s="4" t="inlineStr">
        <is>
          <t>Av. Nossa Sra. de Fátima, 623 - Jóquei, Teresina - PI, 64048-180, Brasil</t>
        </is>
      </c>
      <c r="L474" s="4" t="inlineStr">
        <is>
          <t>Teresina</t>
        </is>
      </c>
      <c r="M474" s="5" t="n">
        <v>2</v>
      </c>
    </row>
    <row r="475">
      <c r="A475" s="3">
        <f>RAND()</f>
        <v/>
      </c>
      <c r="B475" s="4" t="inlineStr">
        <is>
          <t>ChIJu8ytMKM5jgcRYag1mOLKqXc</t>
        </is>
      </c>
      <c r="C475" s="4" t="inlineStr">
        <is>
          <t>SMART&amp;GAMES</t>
        </is>
      </c>
      <c r="D475" s="4" t="inlineStr">
        <is>
          <t>Teresina</t>
        </is>
      </c>
      <c r="E475" s="4" t="inlineStr">
        <is>
          <t>PI</t>
        </is>
      </c>
      <c r="F475" s="4" t="inlineStr">
        <is>
          <t>Capitais Regionais A</t>
        </is>
      </c>
      <c r="G475" s="4" t="inlineStr">
        <is>
          <t>Capital regional</t>
        </is>
      </c>
      <c r="H475" s="5">
        <f>IF(G475="fora do recorte","",SUMPRODUCT(($G$3:$G$1723=G475)*($A$3:$A$1723&lt;=A475)))</f>
        <v/>
      </c>
      <c r="I475" s="4">
        <f>IF(H475="","",G475&amp;"|"&amp;H475)</f>
        <v/>
      </c>
      <c r="J475" s="4" t="inlineStr">
        <is>
          <t>https://www.google.com/maps/search/?api=1&amp;query=SMART%26GAMES&amp;query_place_id=ChIJu8ytMKM5jgcRYag1mOLKqXc</t>
        </is>
      </c>
      <c r="K475" s="4" t="inlineStr">
        <is>
          <t>AV. MARECHAL CASTELO BRANCO Nº911 LOJA 413-C 4 PAVIMENTO SHOPPING RIO POTY - Porenquanto, Teresina - PI, 64003-087, Brasil</t>
        </is>
      </c>
      <c r="L475" s="4" t="inlineStr">
        <is>
          <t>Teresina</t>
        </is>
      </c>
      <c r="M475" s="5" t="n">
        <v>2</v>
      </c>
    </row>
    <row r="476">
      <c r="A476" s="3">
        <f>RAND()</f>
        <v/>
      </c>
      <c r="B476" s="4" t="inlineStr">
        <is>
          <t>ChIJ8R92nss5jgcR-2Bdev-eRas</t>
        </is>
      </c>
      <c r="C476" s="4" t="inlineStr">
        <is>
          <t>Seu Zé Restobar</t>
        </is>
      </c>
      <c r="D476" s="4" t="inlineStr">
        <is>
          <t>Teresina</t>
        </is>
      </c>
      <c r="E476" s="4" t="inlineStr">
        <is>
          <t>PI</t>
        </is>
      </c>
      <c r="F476" s="4" t="inlineStr">
        <is>
          <t>Capitais Regionais A</t>
        </is>
      </c>
      <c r="G476" s="4" t="inlineStr">
        <is>
          <t>Capital regional</t>
        </is>
      </c>
      <c r="H476" s="5">
        <f>IF(G476="fora do recorte","",SUMPRODUCT(($G$3:$G$1723=G476)*($A$3:$A$1723&lt;=A476)))</f>
        <v/>
      </c>
      <c r="I476" s="4">
        <f>IF(H476="","",G476&amp;"|"&amp;H476)</f>
        <v/>
      </c>
      <c r="J476" s="4" t="inlineStr">
        <is>
          <t>https://www.google.com/maps/search/?api=1&amp;query=Seu%20Z%C3%A9%20Restobar&amp;query_place_id=ChIJ8R92nss5jgcR-2Bdev-eRas</t>
        </is>
      </c>
      <c r="K476" s="4" t="inlineStr">
        <is>
          <t>Av. Jóquei Clube, 625 B - São Cristóvão, Teresina - PI, 64049-240, Brasil</t>
        </is>
      </c>
      <c r="L476" s="4" t="inlineStr">
        <is>
          <t>Teresina</t>
        </is>
      </c>
      <c r="M476" s="5" t="n">
        <v>2</v>
      </c>
    </row>
    <row r="477">
      <c r="A477" s="3">
        <f>RAND()</f>
        <v/>
      </c>
      <c r="B477" s="4" t="inlineStr">
        <is>
          <t>ChIJWePpXgA3jgcRZG7Uw_oeB74</t>
        </is>
      </c>
      <c r="C477" s="4" t="inlineStr">
        <is>
          <t>Sword Luderia</t>
        </is>
      </c>
      <c r="D477" s="4" t="inlineStr">
        <is>
          <t>Teresina</t>
        </is>
      </c>
      <c r="E477" s="4" t="inlineStr">
        <is>
          <t>PI</t>
        </is>
      </c>
      <c r="F477" s="4" t="inlineStr">
        <is>
          <t>Capitais Regionais A</t>
        </is>
      </c>
      <c r="G477" s="4" t="inlineStr">
        <is>
          <t>Capital regional</t>
        </is>
      </c>
      <c r="H477" s="5">
        <f>IF(G477="fora do recorte","",SUMPRODUCT(($G$3:$G$1723=G477)*($A$3:$A$1723&lt;=A477)))</f>
        <v/>
      </c>
      <c r="I477" s="4">
        <f>IF(H477="","",G477&amp;"|"&amp;H477)</f>
        <v/>
      </c>
      <c r="J477" s="4" t="inlineStr">
        <is>
          <t>https://www.google.com/maps/search/?api=1&amp;query=Sword%20Luderia&amp;query_place_id=ChIJWePpXgA3jgcRZG7Uw_oeB74</t>
        </is>
      </c>
      <c r="K477" s="4" t="inlineStr">
        <is>
          <t>Av. Joaquim Ribeiro, 1188 - Centro (Sul), Teresina - PI, 64001-480, Brasil</t>
        </is>
      </c>
      <c r="L477" s="4" t="inlineStr">
        <is>
          <t>Teresina</t>
        </is>
      </c>
      <c r="M477" s="5" t="n">
        <v>12</v>
      </c>
    </row>
    <row r="478">
      <c r="A478" s="3">
        <f>RAND()</f>
        <v/>
      </c>
      <c r="B478" s="4" t="inlineStr">
        <is>
          <t>ChIJXQreloA5jgcRIkUUeNJG8Lw</t>
        </is>
      </c>
      <c r="C478" s="4" t="inlineStr">
        <is>
          <t>SÓ CONTROLES E GAMES - Loja de jogos, Videogames e acessórios para videogames em Teresina PI</t>
        </is>
      </c>
      <c r="D478" s="4" t="inlineStr">
        <is>
          <t>Teresina</t>
        </is>
      </c>
      <c r="E478" s="4" t="inlineStr">
        <is>
          <t>PI</t>
        </is>
      </c>
      <c r="F478" s="4" t="inlineStr">
        <is>
          <t>Capitais Regionais A</t>
        </is>
      </c>
      <c r="G478" s="4" t="inlineStr">
        <is>
          <t>Capital regional</t>
        </is>
      </c>
      <c r="H478" s="5">
        <f>IF(G478="fora do recorte","",SUMPRODUCT(($G$3:$G$1723=G478)*($A$3:$A$1723&lt;=A478)))</f>
        <v/>
      </c>
      <c r="I478" s="4">
        <f>IF(H478="","",G478&amp;"|"&amp;H478)</f>
        <v/>
      </c>
      <c r="J478" s="4" t="inlineStr">
        <is>
          <t>https://www.google.com/maps/search/?api=1&amp;query=S%C3%93%20CONTROLES%20E%20GAMES%20-%20Loja%20de%20jogos%2C%20Videogames%20e%20acess%C3%B3rios%20para%20videogames%20em%20Teresina%20PI&amp;query_place_id=ChIJXQreloA5jgcRIkUUeNJG8Lw</t>
        </is>
      </c>
      <c r="K478" s="4" t="inlineStr">
        <is>
          <t>R. Areolino de Abreu, 1484 - Centro (Sul), Teresina - PI, 64000-180, Brasil</t>
        </is>
      </c>
      <c r="L478" s="4" t="inlineStr">
        <is>
          <t>Teresina</t>
        </is>
      </c>
      <c r="M478" s="5" t="n">
        <v>3</v>
      </c>
    </row>
    <row r="479">
      <c r="A479" s="3">
        <f>RAND()</f>
        <v/>
      </c>
      <c r="B479" s="4" t="inlineStr">
        <is>
          <t>ChIJsR1HqFcxjgcRxQAlU9mCmf4</t>
        </is>
      </c>
      <c r="C479" s="4" t="inlineStr">
        <is>
          <t>Tio Dos Brinquedos</t>
        </is>
      </c>
      <c r="D479" s="4" t="inlineStr">
        <is>
          <t>Teresina</t>
        </is>
      </c>
      <c r="E479" s="4" t="inlineStr">
        <is>
          <t>PI</t>
        </is>
      </c>
      <c r="F479" s="4" t="inlineStr">
        <is>
          <t>Capitais Regionais A</t>
        </is>
      </c>
      <c r="G479" s="4" t="inlineStr">
        <is>
          <t>Capital regional</t>
        </is>
      </c>
      <c r="H479" s="5">
        <f>IF(G479="fora do recorte","",SUMPRODUCT(($G$3:$G$1723=G479)*($A$3:$A$1723&lt;=A479)))</f>
        <v/>
      </c>
      <c r="I479" s="4">
        <f>IF(H479="","",G479&amp;"|"&amp;H479)</f>
        <v/>
      </c>
      <c r="J479" s="4" t="inlineStr">
        <is>
          <t>https://www.google.com/maps/search/?api=1&amp;query=Tio%20Dos%20Brinquedos&amp;query_place_id=ChIJsR1HqFcxjgcRxQAlU9mCmf4</t>
        </is>
      </c>
      <c r="K479" s="4" t="inlineStr">
        <is>
          <t>Redonda, Teresina - PI, 64080-010, Brasil</t>
        </is>
      </c>
      <c r="L479" s="4" t="inlineStr">
        <is>
          <t>Teresina</t>
        </is>
      </c>
      <c r="M479" s="5" t="n">
        <v>1</v>
      </c>
    </row>
    <row r="480">
      <c r="A480" s="3">
        <f>RAND()</f>
        <v/>
      </c>
      <c r="B480" s="4" t="inlineStr">
        <is>
          <t>ChIJf7f3h44wjgcRxdRgy2zskq8</t>
        </is>
      </c>
      <c r="C480" s="4" t="inlineStr">
        <is>
          <t>Toinho Variedades Dirceu</t>
        </is>
      </c>
      <c r="D480" s="4" t="inlineStr">
        <is>
          <t>Teresina</t>
        </is>
      </c>
      <c r="E480" s="4" t="inlineStr">
        <is>
          <t>PI</t>
        </is>
      </c>
      <c r="F480" s="4" t="inlineStr">
        <is>
          <t>Capitais Regionais A</t>
        </is>
      </c>
      <c r="G480" s="4" t="inlineStr">
        <is>
          <t>Capital regional</t>
        </is>
      </c>
      <c r="H480" s="5">
        <f>IF(G480="fora do recorte","",SUMPRODUCT(($G$3:$G$1723=G480)*($A$3:$A$1723&lt;=A480)))</f>
        <v/>
      </c>
      <c r="I480" s="4">
        <f>IF(H480="","",G480&amp;"|"&amp;H480)</f>
        <v/>
      </c>
      <c r="J480" s="4" t="inlineStr">
        <is>
          <t>https://www.google.com/maps/search/?api=1&amp;query=Toinho%20Variedades%20Dirceu&amp;query_place_id=ChIJf7f3h44wjgcRxdRgy2zskq8</t>
        </is>
      </c>
      <c r="K480" s="4" t="inlineStr">
        <is>
          <t>Av. José Francisco de Almeida Neto, 4295 - Itararé, Teresina - PI, 64077-185, Brasil</t>
        </is>
      </c>
      <c r="L480" s="4" t="inlineStr">
        <is>
          <t>Teresina</t>
        </is>
      </c>
      <c r="M480" s="5" t="n">
        <v>1</v>
      </c>
    </row>
    <row r="481">
      <c r="A481" s="3">
        <f>RAND()</f>
        <v/>
      </c>
      <c r="B481" s="4" t="inlineStr">
        <is>
          <t>ChIJe9maHv03jgcRj0oKnQYXJfA</t>
        </is>
      </c>
      <c r="C481" s="4" t="inlineStr">
        <is>
          <t>Urim &amp; Tumim - Aluguel de Jogos de Tabuleiro</t>
        </is>
      </c>
      <c r="D481" s="4" t="inlineStr">
        <is>
          <t>Teresina</t>
        </is>
      </c>
      <c r="E481" s="4" t="inlineStr">
        <is>
          <t>PI</t>
        </is>
      </c>
      <c r="F481" s="4" t="inlineStr">
        <is>
          <t>Capitais Regionais A</t>
        </is>
      </c>
      <c r="G481" s="4" t="inlineStr">
        <is>
          <t>Capital regional</t>
        </is>
      </c>
      <c r="H481" s="5">
        <f>IF(G481="fora do recorte","",SUMPRODUCT(($G$3:$G$1723=G481)*($A$3:$A$1723&lt;=A481)))</f>
        <v/>
      </c>
      <c r="I481" s="4">
        <f>IF(H481="","",G481&amp;"|"&amp;H481)</f>
        <v/>
      </c>
      <c r="J481" s="4" t="inlineStr">
        <is>
          <t>https://www.google.com/maps/search/?api=1&amp;query=Urim%20%26%20Tumim%20-%20Aluguel%20de%20Jogos%20de%20Tabuleiro&amp;query_place_id=ChIJe9maHv03jgcRj0oKnQYXJfA</t>
        </is>
      </c>
      <c r="K481" s="4" t="inlineStr">
        <is>
          <t>R. Ercínio Fortes, 6228 - Bela Vista, Teresina - PI, 64023-265, Brasil</t>
        </is>
      </c>
      <c r="L481" s="4" t="inlineStr">
        <is>
          <t>Teresina</t>
        </is>
      </c>
      <c r="M481" s="5" t="n">
        <v>6</v>
      </c>
    </row>
    <row r="482">
      <c r="A482" s="3">
        <f>RAND()</f>
        <v/>
      </c>
      <c r="B482" s="4" t="inlineStr">
        <is>
          <t>ChIJbewKFIc5jgcRFh0x1jlZ4XQ</t>
        </is>
      </c>
      <c r="C482" s="4" t="inlineStr">
        <is>
          <t>Viva Fisioterapia - Osteopatia - RPG - Pilates - Teresina - Clínica de Fisioterapia</t>
        </is>
      </c>
      <c r="D482" s="4" t="inlineStr">
        <is>
          <t>Teresina</t>
        </is>
      </c>
      <c r="E482" s="4" t="inlineStr">
        <is>
          <t>PI</t>
        </is>
      </c>
      <c r="F482" s="4" t="inlineStr">
        <is>
          <t>Capitais Regionais A</t>
        </is>
      </c>
      <c r="G482" s="4" t="inlineStr">
        <is>
          <t>Capital regional</t>
        </is>
      </c>
      <c r="H482" s="5">
        <f>IF(G482="fora do recorte","",SUMPRODUCT(($G$3:$G$1723=G482)*($A$3:$A$1723&lt;=A482)))</f>
        <v/>
      </c>
      <c r="I482" s="4">
        <f>IF(H482="","",G482&amp;"|"&amp;H482)</f>
        <v/>
      </c>
      <c r="J482" s="4" t="inlineStr">
        <is>
          <t>https://www.google.com/maps/search/?api=1&amp;query=Viva%20Fisioterapia%20-%20Osteopatia%20-%20RPG%20-%20Pilates%20-%20Teresina%20-%20Cl%C3%ADnica%20de%20Fisioterapia&amp;query_place_id=ChIJbewKFIc5jgcRFh0x1jlZ4XQ</t>
        </is>
      </c>
      <c r="K482" s="4" t="inlineStr">
        <is>
          <t>R. Sen. Joaquim Píres, 1617 - Ininga, Teresina - PI, 64049-590, Brasil</t>
        </is>
      </c>
      <c r="L482" s="4" t="inlineStr">
        <is>
          <t>Teresina</t>
        </is>
      </c>
      <c r="M482" s="5" t="n">
        <v>1</v>
      </c>
    </row>
    <row r="483">
      <c r="A483" s="3">
        <f>RAND()</f>
        <v/>
      </c>
      <c r="B483" s="4" t="inlineStr">
        <is>
          <t>ChIJw5y9WcI5jgcRJebh_jZ5X0g</t>
        </is>
      </c>
      <c r="C483" s="4" t="inlineStr">
        <is>
          <t>We All</t>
        </is>
      </c>
      <c r="D483" s="4" t="inlineStr">
        <is>
          <t>Teresina</t>
        </is>
      </c>
      <c r="E483" s="4" t="inlineStr">
        <is>
          <t>PI</t>
        </is>
      </c>
      <c r="F483" s="4" t="inlineStr">
        <is>
          <t>Capitais Regionais A</t>
        </is>
      </c>
      <c r="G483" s="4" t="inlineStr">
        <is>
          <t>Capital regional</t>
        </is>
      </c>
      <c r="H483" s="5">
        <f>IF(G483="fora do recorte","",SUMPRODUCT(($G$3:$G$1723=G483)*($A$3:$A$1723&lt;=A483)))</f>
        <v/>
      </c>
      <c r="I483" s="4">
        <f>IF(H483="","",G483&amp;"|"&amp;H483)</f>
        <v/>
      </c>
      <c r="J483" s="4" t="inlineStr">
        <is>
          <t>https://www.google.com/maps/search/?api=1&amp;query=We%20All&amp;query_place_id=ChIJw5y9WcI5jgcRJebh_jZ5X0g</t>
        </is>
      </c>
      <c r="K483" s="4" t="inlineStr">
        <is>
          <t>Av. Lindolfo Monteiro, 1380 - Horto, Teresina - PI, 64052-445, Brasil</t>
        </is>
      </c>
      <c r="L483" s="4" t="inlineStr">
        <is>
          <t>Teresina</t>
        </is>
      </c>
      <c r="M483" s="5" t="n">
        <v>1</v>
      </c>
    </row>
    <row r="484">
      <c r="A484" s="3">
        <f>RAND()</f>
        <v/>
      </c>
      <c r="B484" s="4" t="inlineStr">
        <is>
          <t>ChIJqUA_IaE5jgcRjnu2CBE7yTM</t>
        </is>
      </c>
      <c r="C484" s="4" t="inlineStr">
        <is>
          <t>Xeque Mate: Restaurante e Jogos de Tabuleiro</t>
        </is>
      </c>
      <c r="D484" s="4" t="inlineStr">
        <is>
          <t>Teresina</t>
        </is>
      </c>
      <c r="E484" s="4" t="inlineStr">
        <is>
          <t>PI</t>
        </is>
      </c>
      <c r="F484" s="4" t="inlineStr">
        <is>
          <t>Capitais Regionais A</t>
        </is>
      </c>
      <c r="G484" s="4" t="inlineStr">
        <is>
          <t>Capital regional</t>
        </is>
      </c>
      <c r="H484" s="5">
        <f>IF(G484="fora do recorte","",SUMPRODUCT(($G$3:$G$1723=G484)*($A$3:$A$1723&lt;=A484)))</f>
        <v/>
      </c>
      <c r="I484" s="4">
        <f>IF(H484="","",G484&amp;"|"&amp;H484)</f>
        <v/>
      </c>
      <c r="J484" s="4" t="inlineStr">
        <is>
          <t>https://www.google.com/maps/search/?api=1&amp;query=Xeque%20Mate%3A%20Restaurante%20e%20Jogos%20de%20Tabuleiro&amp;query_place_id=ChIJqUA_IaE5jgcRjnu2CBE7yTM</t>
        </is>
      </c>
      <c r="K484" s="4" t="inlineStr">
        <is>
          <t>Av. Sen. Area Leão, 4041 - Morada do Sol, Teresina - PI, 64049-110, Brasil</t>
        </is>
      </c>
      <c r="L484" s="4" t="inlineStr">
        <is>
          <t>Teresina</t>
        </is>
      </c>
      <c r="M484" s="5" t="n">
        <v>12</v>
      </c>
    </row>
    <row r="485">
      <c r="A485" s="3">
        <f>RAND()</f>
        <v/>
      </c>
      <c r="B485" s="4" t="inlineStr">
        <is>
          <t>ChIJ9WS5kXc7jgcRKK9ZUGZXE0Q</t>
        </is>
      </c>
      <c r="C485" s="4" t="inlineStr">
        <is>
          <t>Zero Grau Choperia - Street.</t>
        </is>
      </c>
      <c r="D485" s="4" t="inlineStr">
        <is>
          <t>Teresina</t>
        </is>
      </c>
      <c r="E485" s="4" t="inlineStr">
        <is>
          <t>PI</t>
        </is>
      </c>
      <c r="F485" s="4" t="inlineStr">
        <is>
          <t>Capitais Regionais A</t>
        </is>
      </c>
      <c r="G485" s="4" t="inlineStr">
        <is>
          <t>Capital regional</t>
        </is>
      </c>
      <c r="H485" s="5">
        <f>IF(G485="fora do recorte","",SUMPRODUCT(($G$3:$G$1723=G485)*($A$3:$A$1723&lt;=A485)))</f>
        <v/>
      </c>
      <c r="I485" s="4">
        <f>IF(H485="","",G485&amp;"|"&amp;H485)</f>
        <v/>
      </c>
      <c r="J485" s="4" t="inlineStr">
        <is>
          <t>https://www.google.com/maps/search/?api=1&amp;query=Zero%20Grau%20Choperia%20-%20Street.&amp;query_place_id=ChIJ9WS5kXc7jgcRKK9ZUGZXE0Q</t>
        </is>
      </c>
      <c r="K485" s="4" t="inlineStr">
        <is>
          <t>Av. Homero Castelo Branco, 280 - São Cristóvão, Teresina - PI, 64050-010, Brasil</t>
        </is>
      </c>
      <c r="L485" s="4" t="inlineStr">
        <is>
          <t>Teresina</t>
        </is>
      </c>
      <c r="M485" s="5" t="n">
        <v>2</v>
      </c>
    </row>
    <row r="486">
      <c r="A486" s="3">
        <f>RAND()</f>
        <v/>
      </c>
      <c r="B486" s="4" t="inlineStr">
        <is>
          <t>ChIJg2Z3ZckxjgcRLTDHwxksHnA</t>
        </is>
      </c>
      <c r="C486" s="4" t="inlineStr">
        <is>
          <t>outtime - loja nerd e geek</t>
        </is>
      </c>
      <c r="D486" s="4" t="inlineStr">
        <is>
          <t>Teresina</t>
        </is>
      </c>
      <c r="E486" s="4" t="inlineStr">
        <is>
          <t>PI</t>
        </is>
      </c>
      <c r="F486" s="4" t="inlineStr">
        <is>
          <t>Capitais Regionais A</t>
        </is>
      </c>
      <c r="G486" s="4" t="inlineStr">
        <is>
          <t>Capital regional</t>
        </is>
      </c>
      <c r="H486" s="5">
        <f>IF(G486="fora do recorte","",SUMPRODUCT(($G$3:$G$1723=G486)*($A$3:$A$1723&lt;=A486)))</f>
        <v/>
      </c>
      <c r="I486" s="4">
        <f>IF(H486="","",G486&amp;"|"&amp;H486)</f>
        <v/>
      </c>
      <c r="J486" s="4" t="inlineStr">
        <is>
          <t>https://www.google.com/maps/search/?api=1&amp;query=outtime%20-%20loja%20nerd%20e%20geek&amp;query_place_id=ChIJg2Z3ZckxjgcRLTDHwxksHnA</t>
        </is>
      </c>
      <c r="K486" s="4" t="inlineStr">
        <is>
          <t>dirceu - Av. José Francisco de Almeida Neto, 158 - Casa 09-5 - Itararé, Teresina - PI, 64077-175, Brasil</t>
        </is>
      </c>
      <c r="L486" s="4" t="inlineStr">
        <is>
          <t>Teresina</t>
        </is>
      </c>
      <c r="M486" s="5" t="n">
        <v>1</v>
      </c>
    </row>
    <row r="487">
      <c r="A487" s="3">
        <f>RAND()</f>
        <v/>
      </c>
      <c r="B487" s="4" t="inlineStr">
        <is>
          <t>ChIJoYYWG-b_sgcRG6QXSiGY3xM</t>
        </is>
      </c>
      <c r="C487" s="4" t="inlineStr">
        <is>
          <t>294 BAR &amp; RESTAURANTE</t>
        </is>
      </c>
      <c r="D487" s="4" t="inlineStr">
        <is>
          <t>Natal</t>
        </is>
      </c>
      <c r="E487" s="4" t="inlineStr">
        <is>
          <t>RN</t>
        </is>
      </c>
      <c r="F487" s="4" t="inlineStr">
        <is>
          <t>Capitais Regionais A</t>
        </is>
      </c>
      <c r="G487" s="4" t="inlineStr">
        <is>
          <t>Capital regional</t>
        </is>
      </c>
      <c r="H487" s="5">
        <f>IF(G487="fora do recorte","",SUMPRODUCT(($G$3:$G$1723=G487)*($A$3:$A$1723&lt;=A487)))</f>
        <v/>
      </c>
      <c r="I487" s="4">
        <f>IF(H487="","",G487&amp;"|"&amp;H487)</f>
        <v/>
      </c>
      <c r="J487" s="4" t="inlineStr">
        <is>
          <t>https://www.google.com/maps/search/?api=1&amp;query=294%20BAR%20%26%20RESTAURANTE&amp;query_place_id=ChIJoYYWG-b_sgcRG6QXSiGY3xM</t>
        </is>
      </c>
      <c r="K487" s="4" t="inlineStr">
        <is>
          <t>Av. Deodoro da Fonseca, 294 - Petrópolis, Natal - RN, 59012-600, Brasil</t>
        </is>
      </c>
      <c r="L487" s="4" t="inlineStr">
        <is>
          <t>Natal</t>
        </is>
      </c>
      <c r="M487" s="5" t="n">
        <v>1</v>
      </c>
    </row>
    <row r="488">
      <c r="A488" s="3">
        <f>RAND()</f>
        <v/>
      </c>
      <c r="B488" s="4" t="inlineStr">
        <is>
          <t>ChIJKXmhK9CrswcRlsPXQsZ82yI</t>
        </is>
      </c>
      <c r="C488" s="4" t="inlineStr">
        <is>
          <t>AJ Games e Brinquedos</t>
        </is>
      </c>
      <c r="D488" s="4" t="inlineStr">
        <is>
          <t>Natal</t>
        </is>
      </c>
      <c r="E488" s="4" t="inlineStr">
        <is>
          <t>RN</t>
        </is>
      </c>
      <c r="F488" s="4" t="inlineStr">
        <is>
          <t>Capitais Regionais A</t>
        </is>
      </c>
      <c r="G488" s="4" t="inlineStr">
        <is>
          <t>Capital regional</t>
        </is>
      </c>
      <c r="H488" s="5">
        <f>IF(G488="fora do recorte","",SUMPRODUCT(($G$3:$G$1723=G488)*($A$3:$A$1723&lt;=A488)))</f>
        <v/>
      </c>
      <c r="I488" s="4">
        <f>IF(H488="","",G488&amp;"|"&amp;H488)</f>
        <v/>
      </c>
      <c r="J488" s="4" t="inlineStr">
        <is>
          <t>https://www.google.com/maps/search/?api=1&amp;query=AJ%20Games%20e%20Brinquedos&amp;query_place_id=ChIJKXmhK9CrswcRlsPXQsZ82yI</t>
        </is>
      </c>
      <c r="K488" s="4" t="inlineStr">
        <is>
          <t>Av. Três Américas, 830 - Lagoa Azul, Natal - RN, 59129-690, Brasil</t>
        </is>
      </c>
      <c r="L488" s="4" t="inlineStr">
        <is>
          <t>Natal</t>
        </is>
      </c>
      <c r="M488" s="5" t="n">
        <v>2</v>
      </c>
    </row>
    <row r="489">
      <c r="A489" s="3">
        <f>RAND()</f>
        <v/>
      </c>
      <c r="B489" s="4" t="inlineStr">
        <is>
          <t>ChIJl5U9-_r_sgcRp1LRg4HczkE</t>
        </is>
      </c>
      <c r="C489" s="4" t="inlineStr">
        <is>
          <t>Andoleta</t>
        </is>
      </c>
      <c r="D489" s="4" t="inlineStr">
        <is>
          <t>Natal</t>
        </is>
      </c>
      <c r="E489" s="4" t="inlineStr">
        <is>
          <t>RN</t>
        </is>
      </c>
      <c r="F489" s="4" t="inlineStr">
        <is>
          <t>Capitais Regionais A</t>
        </is>
      </c>
      <c r="G489" s="4" t="inlineStr">
        <is>
          <t>Capital regional</t>
        </is>
      </c>
      <c r="H489" s="5">
        <f>IF(G489="fora do recorte","",SUMPRODUCT(($G$3:$G$1723=G489)*($A$3:$A$1723&lt;=A489)))</f>
        <v/>
      </c>
      <c r="I489" s="4">
        <f>IF(H489="","",G489&amp;"|"&amp;H489)</f>
        <v/>
      </c>
      <c r="J489" s="4" t="inlineStr">
        <is>
          <t>https://www.google.com/maps/search/?api=1&amp;query=Andoleta&amp;query_place_id=ChIJl5U9-_r_sgcRp1LRg4HczkE</t>
        </is>
      </c>
      <c r="K489" s="4" t="inlineStr">
        <is>
          <t>Midway Mall - Av. Nevaldo Rocha, 3775 - Piso 2 - Tirol, Natal - RN, 59015-900, Brasil</t>
        </is>
      </c>
      <c r="L489" s="4" t="inlineStr">
        <is>
          <t>Natal</t>
        </is>
      </c>
      <c r="M489" s="5" t="n">
        <v>1</v>
      </c>
    </row>
    <row r="490">
      <c r="A490" s="3">
        <f>RAND()</f>
        <v/>
      </c>
      <c r="B490" s="4" t="inlineStr">
        <is>
          <t>ChIJbdArbQCrswcRlphOen982KA</t>
        </is>
      </c>
      <c r="C490" s="4" t="inlineStr">
        <is>
          <t>Arte de Brincar - Locação de Brinquedos</t>
        </is>
      </c>
      <c r="D490" s="4" t="inlineStr">
        <is>
          <t>Natal</t>
        </is>
      </c>
      <c r="E490" s="4" t="inlineStr">
        <is>
          <t>RN</t>
        </is>
      </c>
      <c r="F490" s="4" t="inlineStr">
        <is>
          <t>Capitais Regionais A</t>
        </is>
      </c>
      <c r="G490" s="4" t="inlineStr">
        <is>
          <t>Capital regional</t>
        </is>
      </c>
      <c r="H490" s="5">
        <f>IF(G490="fora do recorte","",SUMPRODUCT(($G$3:$G$1723=G490)*($A$3:$A$1723&lt;=A490)))</f>
        <v/>
      </c>
      <c r="I490" s="4">
        <f>IF(H490="","",G490&amp;"|"&amp;H490)</f>
        <v/>
      </c>
      <c r="J490" s="4" t="inlineStr">
        <is>
          <t>https://www.google.com/maps/search/?api=1&amp;query=Arte%20de%20Brincar%20-%20Loca%C3%A7%C3%A3o%20de%20Brinquedos&amp;query_place_id=ChIJbdArbQCrswcRlphOen982KA</t>
        </is>
      </c>
      <c r="K490" s="4" t="inlineStr">
        <is>
          <t>Rua Santo Inácio de Loyola, 46 - Igapó, Natal - RN, 59104-250, Brasil</t>
        </is>
      </c>
      <c r="L490" s="4" t="inlineStr">
        <is>
          <t>Natal</t>
        </is>
      </c>
      <c r="M490" s="5" t="n">
        <v>1</v>
      </c>
    </row>
    <row r="491">
      <c r="A491" s="3">
        <f>RAND()</f>
        <v/>
      </c>
      <c r="B491" s="4" t="inlineStr">
        <is>
          <t>ChIJwbktKQD_sgcRCOUJ46LthcU</t>
        </is>
      </c>
      <c r="C491" s="4" t="inlineStr">
        <is>
          <t>Bar do Ku - Ponta Negra</t>
        </is>
      </c>
      <c r="D491" s="4" t="inlineStr">
        <is>
          <t>Natal</t>
        </is>
      </c>
      <c r="E491" s="4" t="inlineStr">
        <is>
          <t>RN</t>
        </is>
      </c>
      <c r="F491" s="4" t="inlineStr">
        <is>
          <t>Capitais Regionais A</t>
        </is>
      </c>
      <c r="G491" s="4" t="inlineStr">
        <is>
          <t>Capital regional</t>
        </is>
      </c>
      <c r="H491" s="5">
        <f>IF(G491="fora do recorte","",SUMPRODUCT(($G$3:$G$1723=G491)*($A$3:$A$1723&lt;=A491)))</f>
        <v/>
      </c>
      <c r="I491" s="4">
        <f>IF(H491="","",G491&amp;"|"&amp;H491)</f>
        <v/>
      </c>
      <c r="J491" s="4" t="inlineStr">
        <is>
          <t>https://www.google.com/maps/search/?api=1&amp;query=Bar%20do%20Ku%20-%20Ponta%20Negra&amp;query_place_id=ChIJwbktKQD_sgcRCOUJ46LthcU</t>
        </is>
      </c>
      <c r="K491" s="4" t="inlineStr">
        <is>
          <t>R. Praia de Camboinhas, 9124 - Conj. Ponta Negra, Natal - RN, 59092-030, Brasil</t>
        </is>
      </c>
      <c r="L491" s="4" t="inlineStr">
        <is>
          <t>Natal</t>
        </is>
      </c>
      <c r="M491" s="5" t="n">
        <v>2</v>
      </c>
    </row>
    <row r="492">
      <c r="A492" s="3">
        <f>RAND()</f>
        <v/>
      </c>
      <c r="B492" s="4" t="inlineStr">
        <is>
          <t>ChIJTfwY2SeqswcRiJ8IGhHXwBI</t>
        </is>
      </c>
      <c r="C492" s="4" t="inlineStr">
        <is>
          <t>Bar du Wi-Fi 🛜</t>
        </is>
      </c>
      <c r="D492" s="4" t="inlineStr">
        <is>
          <t>Natal</t>
        </is>
      </c>
      <c r="E492" s="4" t="inlineStr">
        <is>
          <t>RN</t>
        </is>
      </c>
      <c r="F492" s="4" t="inlineStr">
        <is>
          <t>Capitais Regionais A</t>
        </is>
      </c>
      <c r="G492" s="4" t="inlineStr">
        <is>
          <t>Capital regional</t>
        </is>
      </c>
      <c r="H492" s="5">
        <f>IF(G492="fora do recorte","",SUMPRODUCT(($G$3:$G$1723=G492)*($A$3:$A$1723&lt;=A492)))</f>
        <v/>
      </c>
      <c r="I492" s="4">
        <f>IF(H492="","",G492&amp;"|"&amp;H492)</f>
        <v/>
      </c>
      <c r="J492" s="4" t="inlineStr">
        <is>
          <t>https://www.google.com/maps/search/?api=1&amp;query=Bar%20du%20Wi-Fi%20%F0%9F%9B%9C&amp;query_place_id=ChIJTfwY2SeqswcRiJ8IGhHXwBI</t>
        </is>
      </c>
      <c r="K492" s="4" t="inlineStr">
        <is>
          <t>R. Urutaí, 21 - Pajuçara, Natal - RN, 59131-690, Brasil</t>
        </is>
      </c>
      <c r="L492" s="4" t="inlineStr">
        <is>
          <t>Natal</t>
        </is>
      </c>
      <c r="M492" s="5" t="n">
        <v>1</v>
      </c>
    </row>
    <row r="493">
      <c r="A493" s="3">
        <f>RAND()</f>
        <v/>
      </c>
      <c r="B493" s="4" t="inlineStr">
        <is>
          <t>ChIJ0anVbzQHMHsRgsyyQ8LGKM4</t>
        </is>
      </c>
      <c r="C493" s="4" t="inlineStr">
        <is>
          <t>Bardallo's Comida &amp; Arte</t>
        </is>
      </c>
      <c r="D493" s="4" t="inlineStr">
        <is>
          <t>Natal</t>
        </is>
      </c>
      <c r="E493" s="4" t="inlineStr">
        <is>
          <t>RN</t>
        </is>
      </c>
      <c r="F493" s="4" t="inlineStr">
        <is>
          <t>Capitais Regionais A</t>
        </is>
      </c>
      <c r="G493" s="4" t="inlineStr">
        <is>
          <t>Capital regional</t>
        </is>
      </c>
      <c r="H493" s="5">
        <f>IF(G493="fora do recorte","",SUMPRODUCT(($G$3:$G$1723=G493)*($A$3:$A$1723&lt;=A493)))</f>
        <v/>
      </c>
      <c r="I493" s="4">
        <f>IF(H493="","",G493&amp;"|"&amp;H493)</f>
        <v/>
      </c>
      <c r="J493" s="4" t="inlineStr">
        <is>
          <t>https://www.google.com/maps/search/?api=1&amp;query=Bardallo%27s%20Comida%20%26%20Arte&amp;query_place_id=ChIJ0anVbzQHMHsRgsyyQ8LGKM4</t>
        </is>
      </c>
      <c r="K493" s="4" t="inlineStr">
        <is>
          <t>R. Gonçalves Lêdo, 678 - Cidade Alta, Natal - RN, 59025-330, Brasil</t>
        </is>
      </c>
      <c r="L493" s="4" t="inlineStr">
        <is>
          <t>Natal</t>
        </is>
      </c>
      <c r="M493" s="5" t="n">
        <v>1</v>
      </c>
    </row>
    <row r="494">
      <c r="A494" s="3">
        <f>RAND()</f>
        <v/>
      </c>
      <c r="B494" s="4" t="inlineStr">
        <is>
          <t>ChIJ9cHTelJVsgcRMIpoeRTXYFE</t>
        </is>
      </c>
      <c r="C494" s="4" t="inlineStr">
        <is>
          <t>Beco Mágico Natal</t>
        </is>
      </c>
      <c r="D494" s="4" t="inlineStr">
        <is>
          <t>Natal</t>
        </is>
      </c>
      <c r="E494" s="4" t="inlineStr">
        <is>
          <t>RN</t>
        </is>
      </c>
      <c r="F494" s="4" t="inlineStr">
        <is>
          <t>Capitais Regionais A</t>
        </is>
      </c>
      <c r="G494" s="4" t="inlineStr">
        <is>
          <t>Capital regional</t>
        </is>
      </c>
      <c r="H494" s="5">
        <f>IF(G494="fora do recorte","",SUMPRODUCT(($G$3:$G$1723=G494)*($A$3:$A$1723&lt;=A494)))</f>
        <v/>
      </c>
      <c r="I494" s="4">
        <f>IF(H494="","",G494&amp;"|"&amp;H494)</f>
        <v/>
      </c>
      <c r="J494" s="4" t="inlineStr">
        <is>
          <t>https://www.google.com/maps/search/?api=1&amp;query=Beco%20M%C3%A1gico%20Natal&amp;query_place_id=ChIJ9cHTelJVsgcRMIpoeRTXYFE</t>
        </is>
      </c>
      <c r="K494" s="4" t="inlineStr">
        <is>
          <t>Av. Miguel Castro, 751 - Lagoa Nova, Natal - RN, 59075-740, Brasil</t>
        </is>
      </c>
      <c r="L494" s="4" t="inlineStr">
        <is>
          <t>Natal</t>
        </is>
      </c>
      <c r="M494" s="5" t="n">
        <v>1</v>
      </c>
    </row>
    <row r="495">
      <c r="A495" s="3">
        <f>RAND()</f>
        <v/>
      </c>
      <c r="B495" s="4" t="inlineStr">
        <is>
          <t>ChIJOcvSKQf_sgcRBVw9q-t-rcU</t>
        </is>
      </c>
      <c r="C495" s="4" t="inlineStr">
        <is>
          <t>Brincar no Quintal | Contraturno Escolar, Colônia de Férias e Festinhas</t>
        </is>
      </c>
      <c r="D495" s="4" t="inlineStr">
        <is>
          <t>Natal</t>
        </is>
      </c>
      <c r="E495" s="4" t="inlineStr">
        <is>
          <t>RN</t>
        </is>
      </c>
      <c r="F495" s="4" t="inlineStr">
        <is>
          <t>Capitais Regionais A</t>
        </is>
      </c>
      <c r="G495" s="4" t="inlineStr">
        <is>
          <t>Capital regional</t>
        </is>
      </c>
      <c r="H495" s="5">
        <f>IF(G495="fora do recorte","",SUMPRODUCT(($G$3:$G$1723=G495)*($A$3:$A$1723&lt;=A495)))</f>
        <v/>
      </c>
      <c r="I495" s="4">
        <f>IF(H495="","",G495&amp;"|"&amp;H495)</f>
        <v/>
      </c>
      <c r="J495" s="4" t="inlineStr">
        <is>
          <t>https://www.google.com/maps/search/?api=1&amp;query=Brincar%20no%20Quintal%20%7C%20Contraturno%20Escolar%2C%20Col%C3%B4nia%20de%20F%C3%A9rias%20e%20Festinhas&amp;query_place_id=ChIJOcvSKQf_sgcRBVw9q-t-rcU</t>
        </is>
      </c>
      <c r="K495" s="4" t="inlineStr">
        <is>
          <t>Av. Prof. João Machado, 2828 - Capim Macio, Natal - RN, 59078-340, Brasil</t>
        </is>
      </c>
      <c r="L495" s="4" t="inlineStr">
        <is>
          <t>Natal</t>
        </is>
      </c>
      <c r="M495" s="5" t="n">
        <v>1</v>
      </c>
    </row>
    <row r="496">
      <c r="A496" s="3">
        <f>RAND()</f>
        <v/>
      </c>
      <c r="B496" s="4" t="inlineStr">
        <is>
          <t>ChIJdXLIl_OpswcRwcKolyjNjLM</t>
        </is>
      </c>
      <c r="C496" s="4" t="inlineStr">
        <is>
          <t>Brinquedoteca Popular Itinerante</t>
        </is>
      </c>
      <c r="D496" s="4" t="inlineStr">
        <is>
          <t>Natal</t>
        </is>
      </c>
      <c r="E496" s="4" t="inlineStr">
        <is>
          <t>RN</t>
        </is>
      </c>
      <c r="F496" s="4" t="inlineStr">
        <is>
          <t>Capitais Regionais A</t>
        </is>
      </c>
      <c r="G496" s="4" t="inlineStr">
        <is>
          <t>Capital regional</t>
        </is>
      </c>
      <c r="H496" s="5">
        <f>IF(G496="fora do recorte","",SUMPRODUCT(($G$3:$G$1723=G496)*($A$3:$A$1723&lt;=A496)))</f>
        <v/>
      </c>
      <c r="I496" s="4">
        <f>IF(H496="","",G496&amp;"|"&amp;H496)</f>
        <v/>
      </c>
      <c r="J496" s="4" t="inlineStr">
        <is>
          <t>https://www.google.com/maps/search/?api=1&amp;query=Brinquedoteca%20Popular%20Itinerante&amp;query_place_id=ChIJdXLIl_OpswcRwcKolyjNjLM</t>
        </is>
      </c>
      <c r="K496" s="4" t="inlineStr">
        <is>
          <t>R. Santa Vitória - Pajuçara, Natal - RN, 59129-495, Brasil</t>
        </is>
      </c>
      <c r="L496" s="4" t="inlineStr">
        <is>
          <t>Natal</t>
        </is>
      </c>
      <c r="M496" s="5" t="n">
        <v>1</v>
      </c>
    </row>
    <row r="497">
      <c r="A497" s="3">
        <f>RAND()</f>
        <v/>
      </c>
      <c r="B497" s="4" t="inlineStr">
        <is>
          <t>ChIJEYzN_pqpswcRO9nRwhg35Zg</t>
        </is>
      </c>
      <c r="C497" s="4" t="inlineStr">
        <is>
          <t>Brinquedotecar com Arte</t>
        </is>
      </c>
      <c r="D497" s="4" t="inlineStr">
        <is>
          <t>Natal</t>
        </is>
      </c>
      <c r="E497" s="4" t="inlineStr">
        <is>
          <t>RN</t>
        </is>
      </c>
      <c r="F497" s="4" t="inlineStr">
        <is>
          <t>Capitais Regionais A</t>
        </is>
      </c>
      <c r="G497" s="4" t="inlineStr">
        <is>
          <t>Capital regional</t>
        </is>
      </c>
      <c r="H497" s="5">
        <f>IF(G497="fora do recorte","",SUMPRODUCT(($G$3:$G$1723=G497)*($A$3:$A$1723&lt;=A497)))</f>
        <v/>
      </c>
      <c r="I497" s="4">
        <f>IF(H497="","",G497&amp;"|"&amp;H497)</f>
        <v/>
      </c>
      <c r="J497" s="4" t="inlineStr">
        <is>
          <t>https://www.google.com/maps/search/?api=1&amp;query=Brinquedotecar%20com%20Arte&amp;query_place_id=ChIJEYzN_pqpswcRO9nRwhg35Zg</t>
        </is>
      </c>
      <c r="K497" s="4" t="inlineStr">
        <is>
          <t>Rua: Roseiral, 87 - Pajuçara, Natal - RN, 59131-750, Brasil</t>
        </is>
      </c>
      <c r="L497" s="4" t="inlineStr">
        <is>
          <t>Natal</t>
        </is>
      </c>
      <c r="M497" s="5" t="n">
        <v>1</v>
      </c>
    </row>
    <row r="498">
      <c r="A498" s="3">
        <f>RAND()</f>
        <v/>
      </c>
      <c r="B498" s="4" t="inlineStr">
        <is>
          <t>ChIJXw5HhL-rswcRIBxUozDlTlI</t>
        </is>
      </c>
      <c r="C498" s="4" t="inlineStr">
        <is>
          <t>Cabaré</t>
        </is>
      </c>
      <c r="D498" s="4" t="inlineStr">
        <is>
          <t>Natal</t>
        </is>
      </c>
      <c r="E498" s="4" t="inlineStr">
        <is>
          <t>RN</t>
        </is>
      </c>
      <c r="F498" s="4" t="inlineStr">
        <is>
          <t>Capitais Regionais A</t>
        </is>
      </c>
      <c r="G498" s="4" t="inlineStr">
        <is>
          <t>Capital regional</t>
        </is>
      </c>
      <c r="H498" s="5">
        <f>IF(G498="fora do recorte","",SUMPRODUCT(($G$3:$G$1723=G498)*($A$3:$A$1723&lt;=A498)))</f>
        <v/>
      </c>
      <c r="I498" s="4">
        <f>IF(H498="","",G498&amp;"|"&amp;H498)</f>
        <v/>
      </c>
      <c r="J498" s="4" t="inlineStr">
        <is>
          <t>https://www.google.com/maps/search/?api=1&amp;query=Cabar%C3%A9&amp;query_place_id=ChIJXw5HhL-rswcRIBxUozDlTlI</t>
        </is>
      </c>
      <c r="K498" s="4" t="inlineStr">
        <is>
          <t>R. Santa Luzia - Igapó, Natal - RN, 59104-290, Brasil</t>
        </is>
      </c>
      <c r="L498" s="4" t="inlineStr">
        <is>
          <t>Natal</t>
        </is>
      </c>
      <c r="M498" s="5" t="n">
        <v>1</v>
      </c>
    </row>
    <row r="499">
      <c r="A499" s="3">
        <f>RAND()</f>
        <v/>
      </c>
      <c r="B499" s="4" t="inlineStr">
        <is>
          <t>ChIJBUiYdKWqswcRBLyeERuzHUw</t>
        </is>
      </c>
      <c r="C499" s="4" t="inlineStr">
        <is>
          <t>Casa da Sinuca</t>
        </is>
      </c>
      <c r="D499" s="4" t="inlineStr">
        <is>
          <t>Natal</t>
        </is>
      </c>
      <c r="E499" s="4" t="inlineStr">
        <is>
          <t>RN</t>
        </is>
      </c>
      <c r="F499" s="4" t="inlineStr">
        <is>
          <t>Capitais Regionais A</t>
        </is>
      </c>
      <c r="G499" s="4" t="inlineStr">
        <is>
          <t>Capital regional</t>
        </is>
      </c>
      <c r="H499" s="5">
        <f>IF(G499="fora do recorte","",SUMPRODUCT(($G$3:$G$1723=G499)*($A$3:$A$1723&lt;=A499)))</f>
        <v/>
      </c>
      <c r="I499" s="4">
        <f>IF(H499="","",G499&amp;"|"&amp;H499)</f>
        <v/>
      </c>
      <c r="J499" s="4" t="inlineStr">
        <is>
          <t>https://www.google.com/maps/search/?api=1&amp;query=Casa%20da%20Sinuca&amp;query_place_id=ChIJBUiYdKWqswcRBLyeERuzHUw</t>
        </is>
      </c>
      <c r="K499" s="4" t="inlineStr">
        <is>
          <t>R. Sátiro Dias, 1419 - Alecrim, Natal - RN, 59040-240, Brasil</t>
        </is>
      </c>
      <c r="L499" s="4" t="inlineStr">
        <is>
          <t>Natal</t>
        </is>
      </c>
      <c r="M499" s="5" t="n">
        <v>2</v>
      </c>
    </row>
    <row r="500">
      <c r="A500" s="3">
        <f>RAND()</f>
        <v/>
      </c>
      <c r="B500" s="4" t="inlineStr">
        <is>
          <t>ChIJNZfKyBPpS4oRojZ7L2_fa0Q</t>
        </is>
      </c>
      <c r="C500" s="4" t="inlineStr">
        <is>
          <t>DOFAC Informática</t>
        </is>
      </c>
      <c r="D500" s="4" t="inlineStr">
        <is>
          <t>Natal</t>
        </is>
      </c>
      <c r="E500" s="4" t="inlineStr">
        <is>
          <t>RN</t>
        </is>
      </c>
      <c r="F500" s="4" t="inlineStr">
        <is>
          <t>Capitais Regionais A</t>
        </is>
      </c>
      <c r="G500" s="4" t="inlineStr">
        <is>
          <t>Capital regional</t>
        </is>
      </c>
      <c r="H500" s="5">
        <f>IF(G500="fora do recorte","",SUMPRODUCT(($G$3:$G$1723=G500)*($A$3:$A$1723&lt;=A500)))</f>
        <v/>
      </c>
      <c r="I500" s="4">
        <f>IF(H500="","",G500&amp;"|"&amp;H500)</f>
        <v/>
      </c>
      <c r="J500" s="4" t="inlineStr">
        <is>
          <t>https://www.google.com/maps/search/?api=1&amp;query=DOFAC%20Inform%C3%A1tica&amp;query_place_id=ChIJNZfKyBPpS4oRojZ7L2_fa0Q</t>
        </is>
      </c>
      <c r="K500" s="4" t="inlineStr">
        <is>
          <t>Av. Praia de Ponta Negra, 9175 - Ponta Negra, Natal - RN, 59092-100, Brasil</t>
        </is>
      </c>
      <c r="L500" s="4" t="inlineStr">
        <is>
          <t>Natal</t>
        </is>
      </c>
      <c r="M500" s="5" t="n">
        <v>1</v>
      </c>
    </row>
    <row r="501">
      <c r="A501" s="3">
        <f>RAND()</f>
        <v/>
      </c>
      <c r="B501" s="4" t="inlineStr">
        <is>
          <t>ChIJ07uAB0EAswcRxg5bwXMJa9s</t>
        </is>
      </c>
      <c r="C501" s="4" t="inlineStr">
        <is>
          <t>Farol Bar e Restaurante</t>
        </is>
      </c>
      <c r="D501" s="4" t="inlineStr">
        <is>
          <t>Natal</t>
        </is>
      </c>
      <c r="E501" s="4" t="inlineStr">
        <is>
          <t>RN</t>
        </is>
      </c>
      <c r="F501" s="4" t="inlineStr">
        <is>
          <t>Capitais Regionais A</t>
        </is>
      </c>
      <c r="G501" s="4" t="inlineStr">
        <is>
          <t>Capital regional</t>
        </is>
      </c>
      <c r="H501" s="5">
        <f>IF(G501="fora do recorte","",SUMPRODUCT(($G$3:$G$1723=G501)*($A$3:$A$1723&lt;=A501)))</f>
        <v/>
      </c>
      <c r="I501" s="4">
        <f>IF(H501="","",G501&amp;"|"&amp;H501)</f>
        <v/>
      </c>
      <c r="J501" s="4" t="inlineStr">
        <is>
          <t>https://www.google.com/maps/search/?api=1&amp;query=Farol%20Bar%20e%20Restaurante&amp;query_place_id=ChIJ07uAB0EAswcRxg5bwXMJa9s</t>
        </is>
      </c>
      <c r="K501" s="4" t="inlineStr">
        <is>
          <t>Av. Gov. Silvio Pedroza, 105 - Areia Preta, Natal - RN, 59015-000, Brasil</t>
        </is>
      </c>
      <c r="L501" s="4" t="inlineStr">
        <is>
          <t>Natal</t>
        </is>
      </c>
      <c r="M501" s="5" t="n">
        <v>1</v>
      </c>
    </row>
    <row r="502">
      <c r="A502" s="3">
        <f>RAND()</f>
        <v/>
      </c>
      <c r="B502" s="4" t="inlineStr">
        <is>
          <t>ChIJQYWbMoFVsgcRPIS1rSg3X6E</t>
        </is>
      </c>
      <c r="C502" s="4" t="inlineStr">
        <is>
          <t>Forró com Turista</t>
        </is>
      </c>
      <c r="D502" s="4" t="inlineStr">
        <is>
          <t>Natal</t>
        </is>
      </c>
      <c r="E502" s="4" t="inlineStr">
        <is>
          <t>RN</t>
        </is>
      </c>
      <c r="F502" s="4" t="inlineStr">
        <is>
          <t>Capitais Regionais A</t>
        </is>
      </c>
      <c r="G502" s="4" t="inlineStr">
        <is>
          <t>Capital regional</t>
        </is>
      </c>
      <c r="H502" s="5">
        <f>IF(G502="fora do recorte","",SUMPRODUCT(($G$3:$G$1723=G502)*($A$3:$A$1723&lt;=A502)))</f>
        <v/>
      </c>
      <c r="I502" s="4">
        <f>IF(H502="","",G502&amp;"|"&amp;H502)</f>
        <v/>
      </c>
      <c r="J502" s="4" t="inlineStr">
        <is>
          <t>https://www.google.com/maps/search/?api=1&amp;query=Forr%C3%B3%20com%20Turista&amp;query_place_id=ChIJQYWbMoFVsgcRPIS1rSg3X6E</t>
        </is>
      </c>
      <c r="K502" s="4" t="inlineStr">
        <is>
          <t>Centro de Turismo - R. Aderbal de Figueiredo, 980 - Praia do Meio, Natal - RN, 59010-115, Brasil</t>
        </is>
      </c>
      <c r="L502" s="4" t="inlineStr">
        <is>
          <t>Natal</t>
        </is>
      </c>
      <c r="M502" s="5" t="n">
        <v>1</v>
      </c>
    </row>
    <row r="503">
      <c r="A503" s="3">
        <f>RAND()</f>
        <v/>
      </c>
      <c r="B503" s="4" t="inlineStr">
        <is>
          <t>ChIJm9KV1Tj_sgcRBPgfLvT1u-k</t>
        </is>
      </c>
      <c r="C503" s="4" t="inlineStr">
        <is>
          <t>Fábula Brinquedos Educativos</t>
        </is>
      </c>
      <c r="D503" s="4" t="inlineStr">
        <is>
          <t>Natal</t>
        </is>
      </c>
      <c r="E503" s="4" t="inlineStr">
        <is>
          <t>RN</t>
        </is>
      </c>
      <c r="F503" s="4" t="inlineStr">
        <is>
          <t>Capitais Regionais A</t>
        </is>
      </c>
      <c r="G503" s="4" t="inlineStr">
        <is>
          <t>Capital regional</t>
        </is>
      </c>
      <c r="H503" s="5">
        <f>IF(G503="fora do recorte","",SUMPRODUCT(($G$3:$G$1723=G503)*($A$3:$A$1723&lt;=A503)))</f>
        <v/>
      </c>
      <c r="I503" s="4">
        <f>IF(H503="","",G503&amp;"|"&amp;H503)</f>
        <v/>
      </c>
      <c r="J503" s="4" t="inlineStr">
        <is>
          <t>https://www.google.com/maps/search/?api=1&amp;query=F%C3%A1bula%20Brinquedos%20Educativos&amp;query_place_id=ChIJm9KV1Tj_sgcRBPgfLvT1u-k</t>
        </is>
      </c>
      <c r="K503" s="4" t="inlineStr">
        <is>
          <t>Avenida Odilon Gomes de Lima, 1908, Loja 3 - 59078-400 - Capim Macio, Natal - RN, 59078-400, Brasil</t>
        </is>
      </c>
      <c r="L503" s="4" t="inlineStr">
        <is>
          <t>Natal</t>
        </is>
      </c>
      <c r="M503" s="5" t="n">
        <v>2</v>
      </c>
    </row>
    <row r="504">
      <c r="A504" s="3">
        <f>RAND()</f>
        <v/>
      </c>
      <c r="B504" s="4" t="inlineStr">
        <is>
          <t>ChIJ1XMv0xYAswcReTglE_i75DE</t>
        </is>
      </c>
      <c r="C504" s="4" t="inlineStr">
        <is>
          <t>Game Extreme</t>
        </is>
      </c>
      <c r="D504" s="4" t="inlineStr">
        <is>
          <t>Natal</t>
        </is>
      </c>
      <c r="E504" s="4" t="inlineStr">
        <is>
          <t>RN</t>
        </is>
      </c>
      <c r="F504" s="4" t="inlineStr">
        <is>
          <t>Capitais Regionais A</t>
        </is>
      </c>
      <c r="G504" s="4" t="inlineStr">
        <is>
          <t>Capital regional</t>
        </is>
      </c>
      <c r="H504" s="5">
        <f>IF(G504="fora do recorte","",SUMPRODUCT(($G$3:$G$1723=G504)*($A$3:$A$1723&lt;=A504)))</f>
        <v/>
      </c>
      <c r="I504" s="4">
        <f>IF(H504="","",G504&amp;"|"&amp;H504)</f>
        <v/>
      </c>
      <c r="J504" s="4" t="inlineStr">
        <is>
          <t>https://www.google.com/maps/search/?api=1&amp;query=Game%20Extreme&amp;query_place_id=ChIJ1XMv0xYAswcReTglE_i75DE</t>
        </is>
      </c>
      <c r="K504" s="4" t="inlineStr">
        <is>
          <t>Av. Hermes da Fonseca, 1596 - Lj 10 - Tirol, Natal - RN, 59014-555, Brasil</t>
        </is>
      </c>
      <c r="L504" s="4" t="inlineStr">
        <is>
          <t>Natal</t>
        </is>
      </c>
      <c r="M504" s="5" t="n">
        <v>1</v>
      </c>
    </row>
    <row r="505">
      <c r="A505" s="3">
        <f>RAND()</f>
        <v/>
      </c>
      <c r="B505" s="4" t="inlineStr">
        <is>
          <t>ChIJe8aF0DP_sgcRRkGOX2jHvMk</t>
        </is>
      </c>
      <c r="C505" s="4" t="inlineStr">
        <is>
          <t>Game Station Natal Shopping</t>
        </is>
      </c>
      <c r="D505" s="4" t="inlineStr">
        <is>
          <t>Natal</t>
        </is>
      </c>
      <c r="E505" s="4" t="inlineStr">
        <is>
          <t>RN</t>
        </is>
      </c>
      <c r="F505" s="4" t="inlineStr">
        <is>
          <t>Capitais Regionais A</t>
        </is>
      </c>
      <c r="G505" s="4" t="inlineStr">
        <is>
          <t>Capital regional</t>
        </is>
      </c>
      <c r="H505" s="5">
        <f>IF(G505="fora do recorte","",SUMPRODUCT(($G$3:$G$1723=G505)*($A$3:$A$1723&lt;=A505)))</f>
        <v/>
      </c>
      <c r="I505" s="4">
        <f>IF(H505="","",G505&amp;"|"&amp;H505)</f>
        <v/>
      </c>
      <c r="J505" s="4" t="inlineStr">
        <is>
          <t>https://www.google.com/maps/search/?api=1&amp;query=Game%20Station%20Natal%20Shopping&amp;query_place_id=ChIJe8aF0DP_sgcRRkGOX2jHvMk</t>
        </is>
      </c>
      <c r="K505" s="4" t="inlineStr">
        <is>
          <t>Avenida Senador Salgado Filho, 2234 - Av. das Brancas Dunas, 47 - Candelária, Natal - RN, 59064-900, Brasil</t>
        </is>
      </c>
      <c r="L505" s="4" t="inlineStr">
        <is>
          <t>Natal</t>
        </is>
      </c>
      <c r="M505" s="5" t="n">
        <v>1</v>
      </c>
    </row>
    <row r="506">
      <c r="A506" s="3">
        <f>RAND()</f>
        <v/>
      </c>
      <c r="B506" s="4" t="inlineStr">
        <is>
          <t>ChIJo8SwigUAswcR5HcYE6Aw4nU</t>
        </is>
      </c>
      <c r="C506" s="4" t="inlineStr">
        <is>
          <t>Hobby Bar</t>
        </is>
      </c>
      <c r="D506" s="4" t="inlineStr">
        <is>
          <t>Natal</t>
        </is>
      </c>
      <c r="E506" s="4" t="inlineStr">
        <is>
          <t>RN</t>
        </is>
      </c>
      <c r="F506" s="4" t="inlineStr">
        <is>
          <t>Capitais Regionais A</t>
        </is>
      </c>
      <c r="G506" s="4" t="inlineStr">
        <is>
          <t>Capital regional</t>
        </is>
      </c>
      <c r="H506" s="5">
        <f>IF(G506="fora do recorte","",SUMPRODUCT(($G$3:$G$1723=G506)*($A$3:$A$1723&lt;=A506)))</f>
        <v/>
      </c>
      <c r="I506" s="4">
        <f>IF(H506="","",G506&amp;"|"&amp;H506)</f>
        <v/>
      </c>
      <c r="J506" s="4" t="inlineStr">
        <is>
          <t>https://www.google.com/maps/search/?api=1&amp;query=Hobby%20Bar&amp;query_place_id=ChIJo8SwigUAswcR5HcYE6Aw4nU</t>
        </is>
      </c>
      <c r="K506" s="4" t="inlineStr">
        <is>
          <t>Rua Segundo Wanderley, 1164 - L6 - Barro Vermelho, Natal - RN, 59030-335, Brasil</t>
        </is>
      </c>
      <c r="L506" s="4" t="inlineStr">
        <is>
          <t>Natal</t>
        </is>
      </c>
      <c r="M506" s="5" t="n">
        <v>2</v>
      </c>
    </row>
    <row r="507">
      <c r="A507" s="3">
        <f>RAND()</f>
        <v/>
      </c>
      <c r="B507" s="4" t="inlineStr">
        <is>
          <t>ChIJ9bnWpaH4sgcRwZlibnpIPSI</t>
        </is>
      </c>
      <c r="C507" s="4" t="inlineStr">
        <is>
          <t>Império Gamer - Natal/RN</t>
        </is>
      </c>
      <c r="D507" s="4" t="inlineStr">
        <is>
          <t>Natal</t>
        </is>
      </c>
      <c r="E507" s="4" t="inlineStr">
        <is>
          <t>RN</t>
        </is>
      </c>
      <c r="F507" s="4" t="inlineStr">
        <is>
          <t>Capitais Regionais A</t>
        </is>
      </c>
      <c r="G507" s="4" t="inlineStr">
        <is>
          <t>Capital regional</t>
        </is>
      </c>
      <c r="H507" s="5">
        <f>IF(G507="fora do recorte","",SUMPRODUCT(($G$3:$G$1723=G507)*($A$3:$A$1723&lt;=A507)))</f>
        <v/>
      </c>
      <c r="I507" s="4">
        <f>IF(H507="","",G507&amp;"|"&amp;H507)</f>
        <v/>
      </c>
      <c r="J507" s="4" t="inlineStr">
        <is>
          <t>https://www.google.com/maps/search/?api=1&amp;query=Imp%C3%A9rio%20Gamer%20-%20Natal/RN&amp;query_place_id=ChIJ9bnWpaH4sgcRwZlibnpIPSI</t>
        </is>
      </c>
      <c r="K507" s="4" t="inlineStr">
        <is>
          <t>R. Camilo de Paula, 306 A - Tirol, Natal - RN, 59015-340, Brasil</t>
        </is>
      </c>
      <c r="L507" s="4" t="inlineStr">
        <is>
          <t>Natal</t>
        </is>
      </c>
      <c r="M507" s="5" t="n">
        <v>8</v>
      </c>
    </row>
    <row r="508">
      <c r="A508" s="3">
        <f>RAND()</f>
        <v/>
      </c>
      <c r="B508" s="4" t="inlineStr">
        <is>
          <t>ChIJ4QcE28WrswcRWIASXglKYXk</t>
        </is>
      </c>
      <c r="C508" s="4" t="inlineStr">
        <is>
          <t>Jplay Game house - Loja ¹ - Zona Norte</t>
        </is>
      </c>
      <c r="D508" s="4" t="inlineStr">
        <is>
          <t>Natal</t>
        </is>
      </c>
      <c r="E508" s="4" t="inlineStr">
        <is>
          <t>RN</t>
        </is>
      </c>
      <c r="F508" s="4" t="inlineStr">
        <is>
          <t>Capitais Regionais A</t>
        </is>
      </c>
      <c r="G508" s="4" t="inlineStr">
        <is>
          <t>Capital regional</t>
        </is>
      </c>
      <c r="H508" s="5">
        <f>IF(G508="fora do recorte","",SUMPRODUCT(($G$3:$G$1723=G508)*($A$3:$A$1723&lt;=A508)))</f>
        <v/>
      </c>
      <c r="I508" s="4">
        <f>IF(H508="","",G508&amp;"|"&amp;H508)</f>
        <v/>
      </c>
      <c r="J508" s="4" t="inlineStr">
        <is>
          <t>https://www.google.com/maps/search/?api=1&amp;query=Jplay%20Game%20house%20-%20Loja%20%C2%B9%20-%20Zona%20Norte&amp;query_place_id=ChIJ4QcE28WrswcRWIASXglKYXk</t>
        </is>
      </c>
      <c r="K508" s="4" t="inlineStr">
        <is>
          <t>Avenida dos Expedicionários, 15a NOSSA SENHORA DA APRESENTAÇÃO - LOJA 02 - EM LAGOA NOVA, Natal - RN, 59114-400, Brasil</t>
        </is>
      </c>
      <c r="L508" s="4" t="inlineStr">
        <is>
          <t>Natal</t>
        </is>
      </c>
      <c r="M508" s="5" t="n">
        <v>1</v>
      </c>
    </row>
    <row r="509">
      <c r="A509" s="3">
        <f>RAND()</f>
        <v/>
      </c>
      <c r="B509" s="4" t="inlineStr">
        <is>
          <t>ChIJv6sZoA6rswcRqiFOGPI6k4M</t>
        </is>
      </c>
      <c r="C509" s="4" t="inlineStr">
        <is>
          <t>Juninho FF</t>
        </is>
      </c>
      <c r="D509" s="4" t="inlineStr">
        <is>
          <t>Natal</t>
        </is>
      </c>
      <c r="E509" s="4" t="inlineStr">
        <is>
          <t>RN</t>
        </is>
      </c>
      <c r="F509" s="4" t="inlineStr">
        <is>
          <t>Capitais Regionais A</t>
        </is>
      </c>
      <c r="G509" s="4" t="inlineStr">
        <is>
          <t>Capital regional</t>
        </is>
      </c>
      <c r="H509" s="5">
        <f>IF(G509="fora do recorte","",SUMPRODUCT(($G$3:$G$1723=G509)*($A$3:$A$1723&lt;=A509)))</f>
        <v/>
      </c>
      <c r="I509" s="4">
        <f>IF(H509="","",G509&amp;"|"&amp;H509)</f>
        <v/>
      </c>
      <c r="J509" s="4" t="inlineStr">
        <is>
          <t>https://www.google.com/maps/search/?api=1&amp;query=Juninho%20FF&amp;query_place_id=ChIJv6sZoA6rswcRqiFOGPI6k4M</t>
        </is>
      </c>
      <c r="K509" s="4" t="inlineStr">
        <is>
          <t>Rua José Edilson Batista - Nossa Sra. da Apresentação, Natal - RN, 59115-535, Brasil</t>
        </is>
      </c>
      <c r="L509" s="4" t="inlineStr">
        <is>
          <t>Natal</t>
        </is>
      </c>
      <c r="M509" s="5" t="n">
        <v>4</v>
      </c>
    </row>
    <row r="510">
      <c r="A510" s="3">
        <f>RAND()</f>
        <v/>
      </c>
      <c r="B510" s="4" t="inlineStr">
        <is>
          <t>ChIJzfSIIQT_sgcRx98HUGGgte4</t>
        </is>
      </c>
      <c r="C510" s="4" t="inlineStr">
        <is>
          <t>Kalunga</t>
        </is>
      </c>
      <c r="D510" s="4" t="inlineStr">
        <is>
          <t>Natal</t>
        </is>
      </c>
      <c r="E510" s="4" t="inlineStr">
        <is>
          <t>RN</t>
        </is>
      </c>
      <c r="F510" s="4" t="inlineStr">
        <is>
          <t>Capitais Regionais A</t>
        </is>
      </c>
      <c r="G510" s="4" t="inlineStr">
        <is>
          <t>Capital regional</t>
        </is>
      </c>
      <c r="H510" s="5">
        <f>IF(G510="fora do recorte","",SUMPRODUCT(($G$3:$G$1723=G510)*($A$3:$A$1723&lt;=A510)))</f>
        <v/>
      </c>
      <c r="I510" s="4">
        <f>IF(H510="","",G510&amp;"|"&amp;H510)</f>
        <v/>
      </c>
      <c r="J510" s="4" t="inlineStr">
        <is>
          <t>https://www.google.com/maps/search/?api=1&amp;query=Kalunga&amp;query_place_id=ChIJzfSIIQT_sgcRx98HUGGgte4</t>
        </is>
      </c>
      <c r="K510" s="4" t="inlineStr">
        <is>
          <t>Av. Sen. Salgado Filho, 1760 - Tirol, Natal - RN, 59022-000, Brasil</t>
        </is>
      </c>
      <c r="L510" s="4" t="inlineStr">
        <is>
          <t>Natal</t>
        </is>
      </c>
      <c r="M510" s="5" t="n">
        <v>1</v>
      </c>
    </row>
    <row r="511">
      <c r="A511" s="3">
        <f>RAND()</f>
        <v/>
      </c>
      <c r="B511" s="4" t="inlineStr">
        <is>
          <t>ChIJXYD39_n_sgcRK0TETMcc1hQ</t>
        </is>
      </c>
      <c r="C511" s="4" t="inlineStr">
        <is>
          <t>Ku</t>
        </is>
      </c>
      <c r="D511" s="4" t="inlineStr">
        <is>
          <t>Natal</t>
        </is>
      </c>
      <c r="E511" s="4" t="inlineStr">
        <is>
          <t>RN</t>
        </is>
      </c>
      <c r="F511" s="4" t="inlineStr">
        <is>
          <t>Capitais Regionais A</t>
        </is>
      </c>
      <c r="G511" s="4" t="inlineStr">
        <is>
          <t>Capital regional</t>
        </is>
      </c>
      <c r="H511" s="5">
        <f>IF(G511="fora do recorte","",SUMPRODUCT(($G$3:$G$1723=G511)*($A$3:$A$1723&lt;=A511)))</f>
        <v/>
      </c>
      <c r="I511" s="4">
        <f>IF(H511="","",G511&amp;"|"&amp;H511)</f>
        <v/>
      </c>
      <c r="J511" s="4" t="inlineStr">
        <is>
          <t>https://www.google.com/maps/search/?api=1&amp;query=Ku&amp;query_place_id=ChIJXYD39_n_sgcRK0TETMcc1hQ</t>
        </is>
      </c>
      <c r="K511" s="4" t="inlineStr">
        <is>
          <t>Ve - Vila Gerda Maria, 155 - Lagoa Nova, Natal - RN, 59056-106, Brasil</t>
        </is>
      </c>
      <c r="L511" s="4" t="inlineStr">
        <is>
          <t>Natal</t>
        </is>
      </c>
      <c r="M511" s="5" t="n">
        <v>2</v>
      </c>
    </row>
    <row r="512">
      <c r="A512" s="3">
        <f>RAND()</f>
        <v/>
      </c>
      <c r="B512" s="4" t="inlineStr">
        <is>
          <t>ChIJjR_UGX__sgcREg4QBgYfJJw</t>
        </is>
      </c>
      <c r="C512" s="4" t="inlineStr">
        <is>
          <t>Livraria Leitura</t>
        </is>
      </c>
      <c r="D512" s="4" t="inlineStr">
        <is>
          <t>Natal</t>
        </is>
      </c>
      <c r="E512" s="4" t="inlineStr">
        <is>
          <t>RN</t>
        </is>
      </c>
      <c r="F512" s="4" t="inlineStr">
        <is>
          <t>Capitais Regionais A</t>
        </is>
      </c>
      <c r="G512" s="4" t="inlineStr">
        <is>
          <t>Capital regional</t>
        </is>
      </c>
      <c r="H512" s="5">
        <f>IF(G512="fora do recorte","",SUMPRODUCT(($G$3:$G$1723=G512)*($A$3:$A$1723&lt;=A512)))</f>
        <v/>
      </c>
      <c r="I512" s="4">
        <f>IF(H512="","",G512&amp;"|"&amp;H512)</f>
        <v/>
      </c>
      <c r="J512" s="4" t="inlineStr">
        <is>
          <t>https://www.google.com/maps/search/?api=1&amp;query=Livraria%20Leitura&amp;query_place_id=ChIJjR_UGX__sgcREg4QBgYfJJw</t>
        </is>
      </c>
      <c r="K512" s="4" t="inlineStr">
        <is>
          <t>Av. Sen. Salgado Filho, 2234 - Candelária, Natal - RN, 59064-900, Brasil</t>
        </is>
      </c>
      <c r="L512" s="4" t="inlineStr">
        <is>
          <t>Natal</t>
        </is>
      </c>
      <c r="M512" s="5" t="n">
        <v>3</v>
      </c>
    </row>
    <row r="513">
      <c r="A513" s="3">
        <f>RAND()</f>
        <v/>
      </c>
      <c r="B513" s="4" t="inlineStr">
        <is>
          <t>ChIJ2_9lOAkAswcRQungTOiq-AU</t>
        </is>
      </c>
      <c r="C513" s="4" t="inlineStr">
        <is>
          <t>Magic Games</t>
        </is>
      </c>
      <c r="D513" s="4" t="inlineStr">
        <is>
          <t>Natal</t>
        </is>
      </c>
      <c r="E513" s="4" t="inlineStr">
        <is>
          <t>RN</t>
        </is>
      </c>
      <c r="F513" s="4" t="inlineStr">
        <is>
          <t>Capitais Regionais A</t>
        </is>
      </c>
      <c r="G513" s="4" t="inlineStr">
        <is>
          <t>Capital regional</t>
        </is>
      </c>
      <c r="H513" s="5">
        <f>IF(G513="fora do recorte","",SUMPRODUCT(($G$3:$G$1723=G513)*($A$3:$A$1723&lt;=A513)))</f>
        <v/>
      </c>
      <c r="I513" s="4">
        <f>IF(H513="","",G513&amp;"|"&amp;H513)</f>
        <v/>
      </c>
      <c r="J513" s="4" t="inlineStr">
        <is>
          <t>https://www.google.com/maps/search/?api=1&amp;query=Magic%20Games&amp;query_place_id=ChIJ2_9lOAkAswcRQungTOiq-AU</t>
        </is>
      </c>
      <c r="K513" s="4" t="inlineStr">
        <is>
          <t>Av. Roberto Freire, 340, Shopping Cidade Jardim - Capim Macio, Natal - RN, 59080-900, Brasil</t>
        </is>
      </c>
      <c r="L513" s="4" t="inlineStr">
        <is>
          <t>Natal</t>
        </is>
      </c>
      <c r="M513" s="5" t="n">
        <v>9</v>
      </c>
    </row>
    <row r="514">
      <c r="A514" s="3">
        <f>RAND()</f>
        <v/>
      </c>
      <c r="B514" s="4" t="inlineStr">
        <is>
          <t>ChIJTzjjJ1tVsgcRvCcc-NlBmOM</t>
        </is>
      </c>
      <c r="C514" s="4" t="inlineStr">
        <is>
          <t>Meu Barraco Boteco Bistrô</t>
        </is>
      </c>
      <c r="D514" s="4" t="inlineStr">
        <is>
          <t>Natal</t>
        </is>
      </c>
      <c r="E514" s="4" t="inlineStr">
        <is>
          <t>RN</t>
        </is>
      </c>
      <c r="F514" s="4" t="inlineStr">
        <is>
          <t>Capitais Regionais A</t>
        </is>
      </c>
      <c r="G514" s="4" t="inlineStr">
        <is>
          <t>Capital regional</t>
        </is>
      </c>
      <c r="H514" s="5">
        <f>IF(G514="fora do recorte","",SUMPRODUCT(($G$3:$G$1723=G514)*($A$3:$A$1723&lt;=A514)))</f>
        <v/>
      </c>
      <c r="I514" s="4">
        <f>IF(H514="","",G514&amp;"|"&amp;H514)</f>
        <v/>
      </c>
      <c r="J514" s="4" t="inlineStr">
        <is>
          <t>https://www.google.com/maps/search/?api=1&amp;query=Meu%20Barraco%20Boteco%20Bistr%C3%B4&amp;query_place_id=ChIJTzjjJ1tVsgcRvCcc-NlBmOM</t>
        </is>
      </c>
      <c r="K514" s="4" t="inlineStr">
        <is>
          <t>R. Justino Xavier de Souza, 2215 - Lagoa Nova, Natal - RN, 59062-340, Brasil</t>
        </is>
      </c>
      <c r="L514" s="4" t="inlineStr">
        <is>
          <t>Natal</t>
        </is>
      </c>
      <c r="M514" s="5" t="n">
        <v>1</v>
      </c>
    </row>
    <row r="515">
      <c r="A515" s="3">
        <f>RAND()</f>
        <v/>
      </c>
      <c r="B515" s="4" t="inlineStr">
        <is>
          <t>ChIJy89b82__sgcRbKh3ONEMeE8</t>
        </is>
      </c>
      <c r="C515" s="4" t="inlineStr">
        <is>
          <t>Multiverse Geek</t>
        </is>
      </c>
      <c r="D515" s="4" t="inlineStr">
        <is>
          <t>Natal</t>
        </is>
      </c>
      <c r="E515" s="4" t="inlineStr">
        <is>
          <t>RN</t>
        </is>
      </c>
      <c r="F515" s="4" t="inlineStr">
        <is>
          <t>Capitais Regionais A</t>
        </is>
      </c>
      <c r="G515" s="4" t="inlineStr">
        <is>
          <t>Capital regional</t>
        </is>
      </c>
      <c r="H515" s="5">
        <f>IF(G515="fora do recorte","",SUMPRODUCT(($G$3:$G$1723=G515)*($A$3:$A$1723&lt;=A515)))</f>
        <v/>
      </c>
      <c r="I515" s="4">
        <f>IF(H515="","",G515&amp;"|"&amp;H515)</f>
        <v/>
      </c>
      <c r="J515" s="4" t="inlineStr">
        <is>
          <t>https://www.google.com/maps/search/?api=1&amp;query=Multiverse%20Geek&amp;query_place_id=ChIJy89b82__sgcRbKh3ONEMeE8</t>
        </is>
      </c>
      <c r="K515" s="4" t="inlineStr">
        <is>
          <t>Av. Engenheiro Roberto Freire, 481 - Bl 4 - Lj 11 - Capim Macio, Natal - RN, 59082-400, Brasil</t>
        </is>
      </c>
      <c r="L515" s="4" t="inlineStr">
        <is>
          <t>Natal</t>
        </is>
      </c>
      <c r="M515" s="5" t="n">
        <v>3</v>
      </c>
    </row>
    <row r="516">
      <c r="A516" s="3">
        <f>RAND()</f>
        <v/>
      </c>
      <c r="B516" s="4" t="inlineStr">
        <is>
          <t>ChIJoQhH9KaqswcR7Tgn6Sa_Rsg</t>
        </is>
      </c>
      <c r="C516" s="4" t="inlineStr">
        <is>
          <t>Mundo das Sinucas - Loja 1</t>
        </is>
      </c>
      <c r="D516" s="4" t="inlineStr">
        <is>
          <t>Natal</t>
        </is>
      </c>
      <c r="E516" s="4" t="inlineStr">
        <is>
          <t>RN</t>
        </is>
      </c>
      <c r="F516" s="4" t="inlineStr">
        <is>
          <t>Capitais Regionais A</t>
        </is>
      </c>
      <c r="G516" s="4" t="inlineStr">
        <is>
          <t>Capital regional</t>
        </is>
      </c>
      <c r="H516" s="5">
        <f>IF(G516="fora do recorte","",SUMPRODUCT(($G$3:$G$1723=G516)*($A$3:$A$1723&lt;=A516)))</f>
        <v/>
      </c>
      <c r="I516" s="4">
        <f>IF(H516="","",G516&amp;"|"&amp;H516)</f>
        <v/>
      </c>
      <c r="J516" s="4" t="inlineStr">
        <is>
          <t>https://www.google.com/maps/search/?api=1&amp;query=Mundo%20das%20Sinucas%20-%20Loja%201&amp;query_place_id=ChIJoQhH9KaqswcR7Tgn6Sa_Rsg</t>
        </is>
      </c>
      <c r="K516" s="4" t="inlineStr">
        <is>
          <t>R. Amaro Barreto, 1221 - Alecrim, Natal - RN, 59040-450, Brasil</t>
        </is>
      </c>
      <c r="L516" s="4" t="inlineStr">
        <is>
          <t>Natal</t>
        </is>
      </c>
      <c r="M516" s="5" t="n">
        <v>3</v>
      </c>
    </row>
    <row r="517">
      <c r="A517" s="3">
        <f>RAND()</f>
        <v/>
      </c>
      <c r="B517" s="4" t="inlineStr">
        <is>
          <t>ChIJj2AvPX__sgcRNr1SxD-1jdU</t>
        </is>
      </c>
      <c r="C517" s="4" t="inlineStr">
        <is>
          <t>Natal Shopping</t>
        </is>
      </c>
      <c r="D517" s="4" t="inlineStr">
        <is>
          <t>Natal</t>
        </is>
      </c>
      <c r="E517" s="4" t="inlineStr">
        <is>
          <t>RN</t>
        </is>
      </c>
      <c r="F517" s="4" t="inlineStr">
        <is>
          <t>Capitais Regionais A</t>
        </is>
      </c>
      <c r="G517" s="4" t="inlineStr">
        <is>
          <t>Capital regional</t>
        </is>
      </c>
      <c r="H517" s="5">
        <f>IF(G517="fora do recorte","",SUMPRODUCT(($G$3:$G$1723=G517)*($A$3:$A$1723&lt;=A517)))</f>
        <v/>
      </c>
      <c r="I517" s="4">
        <f>IF(H517="","",G517&amp;"|"&amp;H517)</f>
        <v/>
      </c>
      <c r="J517" s="4" t="inlineStr">
        <is>
          <t>https://www.google.com/maps/search/?api=1&amp;query=Natal%20Shopping&amp;query_place_id=ChIJj2AvPX__sgcRNr1SxD-1jdU</t>
        </is>
      </c>
      <c r="K517" s="4" t="inlineStr">
        <is>
          <t>Avenida Senador Salgado Filho, 2234 - Av. das Brancas Dunas, 47 - Candelária, Natal - RN, 59064-900, Brasil</t>
        </is>
      </c>
      <c r="L517" s="4" t="inlineStr">
        <is>
          <t>Natal</t>
        </is>
      </c>
      <c r="M517" s="5" t="n">
        <v>1</v>
      </c>
    </row>
    <row r="518">
      <c r="A518" s="3">
        <f>RAND()</f>
        <v/>
      </c>
      <c r="B518" s="4" t="inlineStr">
        <is>
          <t>ChIJV0M0LgEBswcR8dAvh7gatpg</t>
        </is>
      </c>
      <c r="C518" s="4" t="inlineStr">
        <is>
          <t>O MUNDO DAS SINUCAS LOJA II</t>
        </is>
      </c>
      <c r="D518" s="4" t="inlineStr">
        <is>
          <t>Natal</t>
        </is>
      </c>
      <c r="E518" s="4" t="inlineStr">
        <is>
          <t>RN</t>
        </is>
      </c>
      <c r="F518" s="4" t="inlineStr">
        <is>
          <t>Capitais Regionais A</t>
        </is>
      </c>
      <c r="G518" s="4" t="inlineStr">
        <is>
          <t>Capital regional</t>
        </is>
      </c>
      <c r="H518" s="5">
        <f>IF(G518="fora do recorte","",SUMPRODUCT(($G$3:$G$1723=G518)*($A$3:$A$1723&lt;=A518)))</f>
        <v/>
      </c>
      <c r="I518" s="4">
        <f>IF(H518="","",G518&amp;"|"&amp;H518)</f>
        <v/>
      </c>
      <c r="J518" s="4" t="inlineStr">
        <is>
          <t>https://www.google.com/maps/search/?api=1&amp;query=O%20MUNDO%20DAS%20SINUCAS%20LOJA%20II&amp;query_place_id=ChIJV0M0LgEBswcR8dAvh7gatpg</t>
        </is>
      </c>
      <c r="K518" s="4" t="inlineStr">
        <is>
          <t>Av. Rio Branco, 199 - Ribeira, Natal - RN, 59012-000, Brasil</t>
        </is>
      </c>
      <c r="L518" s="4" t="inlineStr">
        <is>
          <t>Natal</t>
        </is>
      </c>
      <c r="M518" s="5" t="n">
        <v>3</v>
      </c>
    </row>
    <row r="519">
      <c r="A519" s="3">
        <f>RAND()</f>
        <v/>
      </c>
      <c r="B519" s="4" t="inlineStr">
        <is>
          <t>ChIJ6dOi7ZxVsgcRhpGaocWcu3o</t>
        </is>
      </c>
      <c r="C519" s="4" t="inlineStr">
        <is>
          <t>On Play Brinquedos</t>
        </is>
      </c>
      <c r="D519" s="4" t="inlineStr">
        <is>
          <t>Natal</t>
        </is>
      </c>
      <c r="E519" s="4" t="inlineStr">
        <is>
          <t>RN</t>
        </is>
      </c>
      <c r="F519" s="4" t="inlineStr">
        <is>
          <t>Capitais Regionais A</t>
        </is>
      </c>
      <c r="G519" s="4" t="inlineStr">
        <is>
          <t>Capital regional</t>
        </is>
      </c>
      <c r="H519" s="5">
        <f>IF(G519="fora do recorte","",SUMPRODUCT(($G$3:$G$1723=G519)*($A$3:$A$1723&lt;=A519)))</f>
        <v/>
      </c>
      <c r="I519" s="4">
        <f>IF(H519="","",G519&amp;"|"&amp;H519)</f>
        <v/>
      </c>
      <c r="J519" s="4" t="inlineStr">
        <is>
          <t>https://www.google.com/maps/search/?api=1&amp;query=On%20Play%20Brinquedos&amp;query_place_id=ChIJ6dOi7ZxVsgcRhpGaocWcu3o</t>
        </is>
      </c>
      <c r="K519" s="4" t="inlineStr">
        <is>
          <t>Av. Nevaldo Rocha, 1839 - B - Alecrim, Natal - RN, 59032-445, Brasil</t>
        </is>
      </c>
      <c r="L519" s="4" t="inlineStr">
        <is>
          <t>Natal</t>
        </is>
      </c>
      <c r="M519" s="5" t="n">
        <v>1</v>
      </c>
    </row>
    <row r="520">
      <c r="A520" s="3">
        <f>RAND()</f>
        <v/>
      </c>
      <c r="B520" s="4" t="inlineStr">
        <is>
          <t>ChIJS57f-D8AswcRNeYmMDROVdw</t>
        </is>
      </c>
      <c r="C520" s="4" t="inlineStr">
        <is>
          <t>PC ML</t>
        </is>
      </c>
      <c r="D520" s="4" t="inlineStr">
        <is>
          <t>Natal</t>
        </is>
      </c>
      <c r="E520" s="4" t="inlineStr">
        <is>
          <t>RN</t>
        </is>
      </c>
      <c r="F520" s="4" t="inlineStr">
        <is>
          <t>Capitais Regionais A</t>
        </is>
      </c>
      <c r="G520" s="4" t="inlineStr">
        <is>
          <t>Capital regional</t>
        </is>
      </c>
      <c r="H520" s="5">
        <f>IF(G520="fora do recorte","",SUMPRODUCT(($G$3:$G$1723=G520)*($A$3:$A$1723&lt;=A520)))</f>
        <v/>
      </c>
      <c r="I520" s="4">
        <f>IF(H520="","",G520&amp;"|"&amp;H520)</f>
        <v/>
      </c>
      <c r="J520" s="4" t="inlineStr">
        <is>
          <t>https://www.google.com/maps/search/?api=1&amp;query=PC%20ML&amp;query_place_id=ChIJS57f-D8AswcRNeYmMDROVdw</t>
        </is>
      </c>
      <c r="K520" s="4" t="inlineStr">
        <is>
          <t>Tv. Camaragibe, 196 - Mãe Luíza, Natal - RN, 59014-225, Brasil</t>
        </is>
      </c>
      <c r="L520" s="4" t="inlineStr">
        <is>
          <t>Natal</t>
        </is>
      </c>
      <c r="M520" s="5" t="n">
        <v>1</v>
      </c>
    </row>
    <row r="521">
      <c r="A521" s="3">
        <f>RAND()</f>
        <v/>
      </c>
      <c r="B521" s="4" t="inlineStr">
        <is>
          <t>ChIJCxWT9Y7_sgcR8eMvn6pPZf4</t>
        </is>
      </c>
      <c r="C521" s="4" t="inlineStr">
        <is>
          <t>Planeta Brincar - Cidade Jardim</t>
        </is>
      </c>
      <c r="D521" s="4" t="inlineStr">
        <is>
          <t>Natal</t>
        </is>
      </c>
      <c r="E521" s="4" t="inlineStr">
        <is>
          <t>RN</t>
        </is>
      </c>
      <c r="F521" s="4" t="inlineStr">
        <is>
          <t>Capitais Regionais A</t>
        </is>
      </c>
      <c r="G521" s="4" t="inlineStr">
        <is>
          <t>Capital regional</t>
        </is>
      </c>
      <c r="H521" s="5">
        <f>IF(G521="fora do recorte","",SUMPRODUCT(($G$3:$G$1723=G521)*($A$3:$A$1723&lt;=A521)))</f>
        <v/>
      </c>
      <c r="I521" s="4">
        <f>IF(H521="","",G521&amp;"|"&amp;H521)</f>
        <v/>
      </c>
      <c r="J521" s="4" t="inlineStr">
        <is>
          <t>https://www.google.com/maps/search/?api=1&amp;query=Planeta%20Brincar%20-%20Cidade%20Jardim&amp;query_place_id=ChIJCxWT9Y7_sgcR8eMvn6pPZf4</t>
        </is>
      </c>
      <c r="K521" s="4" t="inlineStr">
        <is>
          <t>Av. Engenheiro Roberto Freire, 340 - Capim Macio, Natal - RN, 59080-900, Brasil</t>
        </is>
      </c>
      <c r="L521" s="4" t="inlineStr">
        <is>
          <t>Natal</t>
        </is>
      </c>
      <c r="M521" s="5" t="n">
        <v>1</v>
      </c>
    </row>
    <row r="522">
      <c r="A522" s="3">
        <f>RAND()</f>
        <v/>
      </c>
      <c r="B522" s="4" t="inlineStr">
        <is>
          <t>ChIJPW6-fPz_sgcRm7fEC1pFKis</t>
        </is>
      </c>
      <c r="C522" s="4" t="inlineStr">
        <is>
          <t>Plug Matriz</t>
        </is>
      </c>
      <c r="D522" s="4" t="inlineStr">
        <is>
          <t>Natal</t>
        </is>
      </c>
      <c r="E522" s="4" t="inlineStr">
        <is>
          <t>RN</t>
        </is>
      </c>
      <c r="F522" s="4" t="inlineStr">
        <is>
          <t>Capitais Regionais A</t>
        </is>
      </c>
      <c r="G522" s="4" t="inlineStr">
        <is>
          <t>Capital regional</t>
        </is>
      </c>
      <c r="H522" s="5">
        <f>IF(G522="fora do recorte","",SUMPRODUCT(($G$3:$G$1723=G522)*($A$3:$A$1723&lt;=A522)))</f>
        <v/>
      </c>
      <c r="I522" s="4">
        <f>IF(H522="","",G522&amp;"|"&amp;H522)</f>
        <v/>
      </c>
      <c r="J522" s="4" t="inlineStr">
        <is>
          <t>https://www.google.com/maps/search/?api=1&amp;query=Plug%20Matriz&amp;query_place_id=ChIJPW6-fPz_sgcRm7fEC1pFKis</t>
        </is>
      </c>
      <c r="K522" s="4" t="inlineStr">
        <is>
          <t>R. Alberto Silva, 1312 - Lagoa Seca, Natal - RN, 59022-100, Brasil</t>
        </is>
      </c>
      <c r="L522" s="4" t="inlineStr">
        <is>
          <t>Natal</t>
        </is>
      </c>
      <c r="M522" s="5" t="n">
        <v>4</v>
      </c>
    </row>
    <row r="523">
      <c r="A523" s="3">
        <f>RAND()</f>
        <v/>
      </c>
      <c r="B523" s="4" t="inlineStr">
        <is>
          <t>ChIJRwPtsnMAswcR1B4ALHVdF5c</t>
        </is>
      </c>
      <c r="C523" s="4" t="inlineStr">
        <is>
          <t>Plínio Games - Vendas e Assistência Técnica em Playstation, Xbox, Nintendo e Controles</t>
        </is>
      </c>
      <c r="D523" s="4" t="inlineStr">
        <is>
          <t>Natal</t>
        </is>
      </c>
      <c r="E523" s="4" t="inlineStr">
        <is>
          <t>RN</t>
        </is>
      </c>
      <c r="F523" s="4" t="inlineStr">
        <is>
          <t>Capitais Regionais A</t>
        </is>
      </c>
      <c r="G523" s="4" t="inlineStr">
        <is>
          <t>Capital regional</t>
        </is>
      </c>
      <c r="H523" s="5">
        <f>IF(G523="fora do recorte","",SUMPRODUCT(($G$3:$G$1723=G523)*($A$3:$A$1723&lt;=A523)))</f>
        <v/>
      </c>
      <c r="I523" s="4">
        <f>IF(H523="","",G523&amp;"|"&amp;H523)</f>
        <v/>
      </c>
      <c r="J523" s="4" t="inlineStr">
        <is>
          <t>https://www.google.com/maps/search/?api=1&amp;query=Pl%C3%ADnio%20Games%20-%20Vendas%20e%20Assist%C3%AAncia%20T%C3%A9cnica%20em%20Playstation%2C%20Xbox%2C%20Nintendo%20e%20Controles&amp;query_place_id=ChIJRwPtsnMAswcR1B4ALHVdF5c</t>
        </is>
      </c>
      <c r="K523" s="4" t="inlineStr">
        <is>
          <t>Harmony Medical Center - Rua Coronel Joaquim Manoel, 615 - Sétimo andar, sala 703 - Petrópolis, Natal - RN, 59012-330, Brasil</t>
        </is>
      </c>
      <c r="L523" s="4" t="inlineStr">
        <is>
          <t>Natal</t>
        </is>
      </c>
      <c r="M523" s="5" t="n">
        <v>1</v>
      </c>
    </row>
    <row r="524">
      <c r="A524" s="3">
        <f>RAND()</f>
        <v/>
      </c>
      <c r="B524" s="4" t="inlineStr">
        <is>
          <t>ChIJkaqD3eT_sgcR_MysgZPZmB0</t>
        </is>
      </c>
      <c r="C524" s="4" t="inlineStr">
        <is>
          <t>Qi+4 Jogos Inteligentes</t>
        </is>
      </c>
      <c r="D524" s="4" t="inlineStr">
        <is>
          <t>Natal</t>
        </is>
      </c>
      <c r="E524" s="4" t="inlineStr">
        <is>
          <t>RN</t>
        </is>
      </c>
      <c r="F524" s="4" t="inlineStr">
        <is>
          <t>Capitais Regionais A</t>
        </is>
      </c>
      <c r="G524" s="4" t="inlineStr">
        <is>
          <t>Capital regional</t>
        </is>
      </c>
      <c r="H524" s="5">
        <f>IF(G524="fora do recorte","",SUMPRODUCT(($G$3:$G$1723=G524)*($A$3:$A$1723&lt;=A524)))</f>
        <v/>
      </c>
      <c r="I524" s="4">
        <f>IF(H524="","",G524&amp;"|"&amp;H524)</f>
        <v/>
      </c>
      <c r="J524" s="4" t="inlineStr">
        <is>
          <t>https://www.google.com/maps/search/?api=1&amp;query=Qi%2B4%20Jogos%20Inteligentes&amp;query_place_id=ChIJkaqD3eT_sgcR_MysgZPZmB0</t>
        </is>
      </c>
      <c r="K524" s="4" t="inlineStr">
        <is>
          <t>Prédio do NIT, 1º - Av. Sen. Salgado Filho, 1559 - Andar, Sala 01 - Tirol, Natal - RN, 59015-000, Brasil</t>
        </is>
      </c>
      <c r="L524" s="4" t="inlineStr">
        <is>
          <t>Natal</t>
        </is>
      </c>
      <c r="M524" s="5" t="n">
        <v>2</v>
      </c>
    </row>
    <row r="525">
      <c r="A525" s="3">
        <f>RAND()</f>
        <v/>
      </c>
      <c r="B525" s="4" t="inlineStr">
        <is>
          <t>ChIJdTIeWNH4sgcRCuNhFT5nl6U</t>
        </is>
      </c>
      <c r="C525" s="4" t="inlineStr">
        <is>
          <t>Rastapé Casa de Forró</t>
        </is>
      </c>
      <c r="D525" s="4" t="inlineStr">
        <is>
          <t>Natal</t>
        </is>
      </c>
      <c r="E525" s="4" t="inlineStr">
        <is>
          <t>RN</t>
        </is>
      </c>
      <c r="F525" s="4" t="inlineStr">
        <is>
          <t>Capitais Regionais A</t>
        </is>
      </c>
      <c r="G525" s="4" t="inlineStr">
        <is>
          <t>Capital regional</t>
        </is>
      </c>
      <c r="H525" s="5">
        <f>IF(G525="fora do recorte","",SUMPRODUCT(($G$3:$G$1723=G525)*($A$3:$A$1723&lt;=A525)))</f>
        <v/>
      </c>
      <c r="I525" s="4">
        <f>IF(H525="","",G525&amp;"|"&amp;H525)</f>
        <v/>
      </c>
      <c r="J525" s="4" t="inlineStr">
        <is>
          <t>https://www.google.com/maps/search/?api=1&amp;query=Rastap%C3%A9%20Casa%20de%20Forr%C3%B3&amp;query_place_id=ChIJdTIeWNH4sgcRCuNhFT5nl6U</t>
        </is>
      </c>
      <c r="K525" s="4" t="inlineStr">
        <is>
          <t>R. Aristídes Porpino Filho, 2198 - Ponta Negra, Natal - RN, 59090-720, Brasil</t>
        </is>
      </c>
      <c r="L525" s="4" t="inlineStr">
        <is>
          <t>Natal</t>
        </is>
      </c>
      <c r="M525" s="5" t="n">
        <v>1</v>
      </c>
    </row>
    <row r="526">
      <c r="A526" s="3">
        <f>RAND()</f>
        <v/>
      </c>
      <c r="B526" s="4" t="inlineStr">
        <is>
          <t>ChIJQ_ja4-gBswcRwGsm7jz3Wns</t>
        </is>
      </c>
      <c r="C526" s="4" t="inlineStr">
        <is>
          <t>Real Botequim Petrópolis</t>
        </is>
      </c>
      <c r="D526" s="4" t="inlineStr">
        <is>
          <t>Natal</t>
        </is>
      </c>
      <c r="E526" s="4" t="inlineStr">
        <is>
          <t>RN</t>
        </is>
      </c>
      <c r="F526" s="4" t="inlineStr">
        <is>
          <t>Capitais Regionais A</t>
        </is>
      </c>
      <c r="G526" s="4" t="inlineStr">
        <is>
          <t>Capital regional</t>
        </is>
      </c>
      <c r="H526" s="5">
        <f>IF(G526="fora do recorte","",SUMPRODUCT(($G$3:$G$1723=G526)*($A$3:$A$1723&lt;=A526)))</f>
        <v/>
      </c>
      <c r="I526" s="4">
        <f>IF(H526="","",G526&amp;"|"&amp;H526)</f>
        <v/>
      </c>
      <c r="J526" s="4" t="inlineStr">
        <is>
          <t>https://www.google.com/maps/search/?api=1&amp;query=Real%20Botequim%20Petr%C3%B3polis&amp;query_place_id=ChIJQ_ja4-gBswcRwGsm7jz3Wns</t>
        </is>
      </c>
      <c r="K526" s="4" t="inlineStr">
        <is>
          <t>Rua Trairi, 701 - Petrópolis, Natal - RN, 59020-150, Brasil</t>
        </is>
      </c>
      <c r="L526" s="4" t="inlineStr">
        <is>
          <t>Natal</t>
        </is>
      </c>
      <c r="M526" s="5" t="n">
        <v>1</v>
      </c>
    </row>
    <row r="527">
      <c r="A527" s="3">
        <f>RAND()</f>
        <v/>
      </c>
      <c r="B527" s="4" t="inlineStr">
        <is>
          <t>ChIJ4VyVb6iqswcR0fe5AnfoF9I</t>
        </is>
      </c>
      <c r="C527" s="4" t="inlineStr">
        <is>
          <t>Rei das Sinucas</t>
        </is>
      </c>
      <c r="D527" s="4" t="inlineStr">
        <is>
          <t>Natal</t>
        </is>
      </c>
      <c r="E527" s="4" t="inlineStr">
        <is>
          <t>RN</t>
        </is>
      </c>
      <c r="F527" s="4" t="inlineStr">
        <is>
          <t>Capitais Regionais A</t>
        </is>
      </c>
      <c r="G527" s="4" t="inlineStr">
        <is>
          <t>Capital regional</t>
        </is>
      </c>
      <c r="H527" s="5">
        <f>IF(G527="fora do recorte","",SUMPRODUCT(($G$3:$G$1723=G527)*($A$3:$A$1723&lt;=A527)))</f>
        <v/>
      </c>
      <c r="I527" s="4">
        <f>IF(H527="","",G527&amp;"|"&amp;H527)</f>
        <v/>
      </c>
      <c r="J527" s="4" t="inlineStr">
        <is>
          <t>https://www.google.com/maps/search/?api=1&amp;query=Rei%20das%20Sinucas&amp;query_place_id=ChIJ4VyVb6iqswcR0fe5AnfoF9I</t>
        </is>
      </c>
      <c r="K527" s="4" t="inlineStr">
        <is>
          <t>Av. Coronel Estevam, 1329 - Alecrim, Natal - RN, 59030-000, Brasil</t>
        </is>
      </c>
      <c r="L527" s="4" t="inlineStr">
        <is>
          <t>Natal</t>
        </is>
      </c>
      <c r="M527" s="5" t="n">
        <v>1</v>
      </c>
    </row>
    <row r="528">
      <c r="A528" s="3">
        <f>RAND()</f>
        <v/>
      </c>
      <c r="B528" s="4" t="inlineStr">
        <is>
          <t>ChIJp-sjPENVsgcRH4LPmRirmYs</t>
        </is>
      </c>
      <c r="C528" s="4" t="inlineStr">
        <is>
          <t>Restaurante Pau Brasil</t>
        </is>
      </c>
      <c r="D528" s="4" t="inlineStr">
        <is>
          <t>Natal</t>
        </is>
      </c>
      <c r="E528" s="4" t="inlineStr">
        <is>
          <t>RN</t>
        </is>
      </c>
      <c r="F528" s="4" t="inlineStr">
        <is>
          <t>Capitais Regionais A</t>
        </is>
      </c>
      <c r="G528" s="4" t="inlineStr">
        <is>
          <t>Capital regional</t>
        </is>
      </c>
      <c r="H528" s="5">
        <f>IF(G528="fora do recorte","",SUMPRODUCT(($G$3:$G$1723=G528)*($A$3:$A$1723&lt;=A528)))</f>
        <v/>
      </c>
      <c r="I528" s="4">
        <f>IF(H528="","",G528&amp;"|"&amp;H528)</f>
        <v/>
      </c>
      <c r="J528" s="4" t="inlineStr">
        <is>
          <t>https://www.google.com/maps/search/?api=1&amp;query=Restaurante%20Pau%20Brasil&amp;query_place_id=ChIJp-sjPENVsgcRH4LPmRirmYs</t>
        </is>
      </c>
      <c r="K528" s="4" t="inlineStr">
        <is>
          <t>R. Zumbí, 1900 - Candelária, Natal - RN, 59065-310, Brasil</t>
        </is>
      </c>
      <c r="L528" s="4" t="inlineStr">
        <is>
          <t>Natal</t>
        </is>
      </c>
      <c r="M528" s="5" t="n">
        <v>1</v>
      </c>
    </row>
    <row r="529">
      <c r="A529" s="3">
        <f>RAND()</f>
        <v/>
      </c>
      <c r="B529" s="4" t="inlineStr">
        <is>
          <t>ChIJcb6iVfr_sgcRGErKGpZqH_A</t>
        </is>
      </c>
      <c r="C529" s="4" t="inlineStr">
        <is>
          <t>Ri Happy</t>
        </is>
      </c>
      <c r="D529" s="4" t="inlineStr">
        <is>
          <t>Natal</t>
        </is>
      </c>
      <c r="E529" s="4" t="inlineStr">
        <is>
          <t>RN</t>
        </is>
      </c>
      <c r="F529" s="4" t="inlineStr">
        <is>
          <t>Capitais Regionais A</t>
        </is>
      </c>
      <c r="G529" s="4" t="inlineStr">
        <is>
          <t>Capital regional</t>
        </is>
      </c>
      <c r="H529" s="5">
        <f>IF(G529="fora do recorte","",SUMPRODUCT(($G$3:$G$1723=G529)*($A$3:$A$1723&lt;=A529)))</f>
        <v/>
      </c>
      <c r="I529" s="4">
        <f>IF(H529="","",G529&amp;"|"&amp;H529)</f>
        <v/>
      </c>
      <c r="J529" s="4" t="inlineStr">
        <is>
          <t>https://www.google.com/maps/search/?api=1&amp;query=Ri%20Happy&amp;query_place_id=ChIJcb6iVfr_sgcRGErKGpZqH_A</t>
        </is>
      </c>
      <c r="K529" s="4" t="inlineStr">
        <is>
          <t>Av. Nevaldo Rocha, 3775 - Piso 2 - Loja 289 - Tirol, Natal - RN, 59015-900, Brasil</t>
        </is>
      </c>
      <c r="L529" s="4" t="inlineStr">
        <is>
          <t>Natal</t>
        </is>
      </c>
      <c r="M529" s="5" t="n">
        <v>1</v>
      </c>
    </row>
    <row r="530">
      <c r="A530" s="3">
        <f>RAND()</f>
        <v/>
      </c>
      <c r="B530" s="4" t="inlineStr">
        <is>
          <t>ChIJXTiQvaurswcR6-9knn2nySU</t>
        </is>
      </c>
      <c r="C530" s="4" t="inlineStr">
        <is>
          <t>Ribeiro Games &amp; Acessórios</t>
        </is>
      </c>
      <c r="D530" s="4" t="inlineStr">
        <is>
          <t>Natal</t>
        </is>
      </c>
      <c r="E530" s="4" t="inlineStr">
        <is>
          <t>RN</t>
        </is>
      </c>
      <c r="F530" s="4" t="inlineStr">
        <is>
          <t>Capitais Regionais A</t>
        </is>
      </c>
      <c r="G530" s="4" t="inlineStr">
        <is>
          <t>Capital regional</t>
        </is>
      </c>
      <c r="H530" s="5">
        <f>IF(G530="fora do recorte","",SUMPRODUCT(($G$3:$G$1723=G530)*($A$3:$A$1723&lt;=A530)))</f>
        <v/>
      </c>
      <c r="I530" s="4">
        <f>IF(H530="","",G530&amp;"|"&amp;H530)</f>
        <v/>
      </c>
      <c r="J530" s="4" t="inlineStr">
        <is>
          <t>https://www.google.com/maps/search/?api=1&amp;query=Ribeiro%20Games%20%26%20Acess%C3%B3rios&amp;query_place_id=ChIJXTiQvaurswcR6-9knn2nySU</t>
        </is>
      </c>
      <c r="K530" s="4" t="inlineStr">
        <is>
          <t>Conj. Panatis 1 A - Av. Paulistana, 2195 - Potengi, Natal - RN, 59108-120, Brasil</t>
        </is>
      </c>
      <c r="L530" s="4" t="inlineStr">
        <is>
          <t>Natal</t>
        </is>
      </c>
      <c r="M530" s="5" t="n">
        <v>1</v>
      </c>
    </row>
    <row r="531">
      <c r="A531" s="3">
        <f>RAND()</f>
        <v/>
      </c>
      <c r="B531" s="4" t="inlineStr">
        <is>
          <t>ChIJf9yK4pL_sgcRFweYIPsVRb4</t>
        </is>
      </c>
      <c r="C531" s="4" t="inlineStr">
        <is>
          <t>Seu Chico Botequim</t>
        </is>
      </c>
      <c r="D531" s="4" t="inlineStr">
        <is>
          <t>Natal</t>
        </is>
      </c>
      <c r="E531" s="4" t="inlineStr">
        <is>
          <t>RN</t>
        </is>
      </c>
      <c r="F531" s="4" t="inlineStr">
        <is>
          <t>Capitais Regionais A</t>
        </is>
      </c>
      <c r="G531" s="4" t="inlineStr">
        <is>
          <t>Capital regional</t>
        </is>
      </c>
      <c r="H531" s="5">
        <f>IF(G531="fora do recorte","",SUMPRODUCT(($G$3:$G$1723=G531)*($A$3:$A$1723&lt;=A531)))</f>
        <v/>
      </c>
      <c r="I531" s="4">
        <f>IF(H531="","",G531&amp;"|"&amp;H531)</f>
        <v/>
      </c>
      <c r="J531" s="4" t="inlineStr">
        <is>
          <t>https://www.google.com/maps/search/?api=1&amp;query=Seu%20Chico%20Botequim&amp;query_place_id=ChIJf9yK4pL_sgcRFweYIPsVRb4</t>
        </is>
      </c>
      <c r="K531" s="4" t="inlineStr">
        <is>
          <t>Av. Engenheiro Roberto Freire, 8750 - Capim Macio, Natal - RN, 59082-400, Brasil</t>
        </is>
      </c>
      <c r="L531" s="4" t="inlineStr">
        <is>
          <t>Natal</t>
        </is>
      </c>
      <c r="M531" s="5" t="n">
        <v>2</v>
      </c>
    </row>
    <row r="532">
      <c r="A532" s="3">
        <f>RAND()</f>
        <v/>
      </c>
      <c r="B532" s="4" t="inlineStr">
        <is>
          <t>ChIJl-eojvz_sgcRC5GMAwjKGyk</t>
        </is>
      </c>
      <c r="C532" s="4" t="inlineStr">
        <is>
          <t>Shake Joy Natal</t>
        </is>
      </c>
      <c r="D532" s="4" t="inlineStr">
        <is>
          <t>Natal</t>
        </is>
      </c>
      <c r="E532" s="4" t="inlineStr">
        <is>
          <t>RN</t>
        </is>
      </c>
      <c r="F532" s="4" t="inlineStr">
        <is>
          <t>Capitais Regionais A</t>
        </is>
      </c>
      <c r="G532" s="4" t="inlineStr">
        <is>
          <t>Capital regional</t>
        </is>
      </c>
      <c r="H532" s="5">
        <f>IF(G532="fora do recorte","",SUMPRODUCT(($G$3:$G$1723=G532)*($A$3:$A$1723&lt;=A532)))</f>
        <v/>
      </c>
      <c r="I532" s="4">
        <f>IF(H532="","",G532&amp;"|"&amp;H532)</f>
        <v/>
      </c>
      <c r="J532" s="4" t="inlineStr">
        <is>
          <t>https://www.google.com/maps/search/?api=1&amp;query=Shake%20Joy%20Natal&amp;query_place_id=ChIJl-eojvz_sgcRC5GMAwjKGyk</t>
        </is>
      </c>
      <c r="K532" s="4" t="inlineStr">
        <is>
          <t>Natal Shopping - Av. Sen. Salgado Filho, 2234 - Candelária, Natal - RN, 59064-900, Brasil</t>
        </is>
      </c>
      <c r="L532" s="4" t="inlineStr">
        <is>
          <t>Natal</t>
        </is>
      </c>
      <c r="M532" s="5" t="n">
        <v>1</v>
      </c>
    </row>
    <row r="533">
      <c r="A533" s="3">
        <f>RAND()</f>
        <v/>
      </c>
      <c r="B533" s="4" t="inlineStr">
        <is>
          <t>ChIJ4RK-sA5VsgcRPuipY3twpbM</t>
        </is>
      </c>
      <c r="C533" s="4" t="inlineStr">
        <is>
          <t>Tech Shop Games - Loja de Games e Informática</t>
        </is>
      </c>
      <c r="D533" s="4" t="inlineStr">
        <is>
          <t>Natal</t>
        </is>
      </c>
      <c r="E533" s="4" t="inlineStr">
        <is>
          <t>RN</t>
        </is>
      </c>
      <c r="F533" s="4" t="inlineStr">
        <is>
          <t>Capitais Regionais A</t>
        </is>
      </c>
      <c r="G533" s="4" t="inlineStr">
        <is>
          <t>Capital regional</t>
        </is>
      </c>
      <c r="H533" s="5">
        <f>IF(G533="fora do recorte","",SUMPRODUCT(($G$3:$G$1723=G533)*($A$3:$A$1723&lt;=A533)))</f>
        <v/>
      </c>
      <c r="I533" s="4">
        <f>IF(H533="","",G533&amp;"|"&amp;H533)</f>
        <v/>
      </c>
      <c r="J533" s="4" t="inlineStr">
        <is>
          <t>https://www.google.com/maps/search/?api=1&amp;query=Tech%20Shop%20Games%20-%20Loja%20de%20Games%20e%20Inform%C3%A1tica&amp;query_place_id=ChIJ4RK-sA5VsgcRPuipY3twpbM</t>
        </is>
      </c>
      <c r="K533" s="4" t="inlineStr">
        <is>
          <t>R. Dr. Manoel Miranda, 1510 - Primeiro andar - Alecrim, Natal - RN, 59035-250, Brasil</t>
        </is>
      </c>
      <c r="L533" s="4" t="inlineStr">
        <is>
          <t>Natal</t>
        </is>
      </c>
      <c r="M533" s="5" t="n">
        <v>2</v>
      </c>
    </row>
    <row r="534">
      <c r="A534" s="3">
        <f>RAND()</f>
        <v/>
      </c>
      <c r="B534" s="4" t="inlineStr">
        <is>
          <t>ChIJ3XfHkjH5sgcRl222urfYAjY</t>
        </is>
      </c>
      <c r="C534" s="4" t="inlineStr">
        <is>
          <t>Torre do Papel - Geek, Cards e RPGs</t>
        </is>
      </c>
      <c r="D534" s="4" t="inlineStr">
        <is>
          <t>Natal</t>
        </is>
      </c>
      <c r="E534" s="4" t="inlineStr">
        <is>
          <t>RN</t>
        </is>
      </c>
      <c r="F534" s="4" t="inlineStr">
        <is>
          <t>Capitais Regionais A</t>
        </is>
      </c>
      <c r="G534" s="4" t="inlineStr">
        <is>
          <t>Capital regional</t>
        </is>
      </c>
      <c r="H534" s="5">
        <f>IF(G534="fora do recorte","",SUMPRODUCT(($G$3:$G$1723=G534)*($A$3:$A$1723&lt;=A534)))</f>
        <v/>
      </c>
      <c r="I534" s="4">
        <f>IF(H534="","",G534&amp;"|"&amp;H534)</f>
        <v/>
      </c>
      <c r="J534" s="4" t="inlineStr">
        <is>
          <t>https://www.google.com/maps/search/?api=1&amp;query=Torre%20do%20Papel%20-%20Geek%2C%20Cards%20e%20RPGs&amp;query_place_id=ChIJ3XfHkjH5sgcRl222urfYAjY</t>
        </is>
      </c>
      <c r="K534" s="4" t="inlineStr">
        <is>
          <t>Largo Interventor Ubaldo Bezerra., 1956 - Candelária, Natal - RN, 59064-620, Brasil</t>
        </is>
      </c>
      <c r="L534" s="4" t="inlineStr">
        <is>
          <t>Natal</t>
        </is>
      </c>
      <c r="M534" s="5" t="n">
        <v>6</v>
      </c>
    </row>
    <row r="535">
      <c r="A535" s="3">
        <f>RAND()</f>
        <v/>
      </c>
      <c r="B535" s="4" t="inlineStr">
        <is>
          <t>ChIJMZ2Wye6rswcRv14hnLZChPU</t>
        </is>
      </c>
      <c r="C535" s="4" t="inlineStr">
        <is>
          <t>Turma da Mika</t>
        </is>
      </c>
      <c r="D535" s="4" t="inlineStr">
        <is>
          <t>Natal</t>
        </is>
      </c>
      <c r="E535" s="4" t="inlineStr">
        <is>
          <t>RN</t>
        </is>
      </c>
      <c r="F535" s="4" t="inlineStr">
        <is>
          <t>Capitais Regionais A</t>
        </is>
      </c>
      <c r="G535" s="4" t="inlineStr">
        <is>
          <t>Capital regional</t>
        </is>
      </c>
      <c r="H535" s="5">
        <f>IF(G535="fora do recorte","",SUMPRODUCT(($G$3:$G$1723=G535)*($A$3:$A$1723&lt;=A535)))</f>
        <v/>
      </c>
      <c r="I535" s="4">
        <f>IF(H535="","",G535&amp;"|"&amp;H535)</f>
        <v/>
      </c>
      <c r="J535" s="4" t="inlineStr">
        <is>
          <t>https://www.google.com/maps/search/?api=1&amp;query=Turma%20da%20Mika&amp;query_place_id=ChIJMZ2Wye6rswcRv14hnLZChPU</t>
        </is>
      </c>
      <c r="K535" s="4" t="inlineStr">
        <is>
          <t>vizinho ao coração gelado - Av. Industrial, 50 loteamento - Jardim Progresso, Natal - RN, 59114-268, Brasil</t>
        </is>
      </c>
      <c r="L535" s="4" t="inlineStr">
        <is>
          <t>Natal</t>
        </is>
      </c>
      <c r="M535" s="5" t="n">
        <v>1</v>
      </c>
    </row>
    <row r="536">
      <c r="A536" s="3">
        <f>RAND()</f>
        <v/>
      </c>
      <c r="B536" s="4" t="inlineStr">
        <is>
          <t>ChIJTXNbNLb_sgcR9gkUZh880X4</t>
        </is>
      </c>
      <c r="C536" s="4" t="inlineStr">
        <is>
          <t>Turno Extra Jogos de Mesa</t>
        </is>
      </c>
      <c r="D536" s="4" t="inlineStr">
        <is>
          <t>Natal</t>
        </is>
      </c>
      <c r="E536" s="4" t="inlineStr">
        <is>
          <t>RN</t>
        </is>
      </c>
      <c r="F536" s="4" t="inlineStr">
        <is>
          <t>Capitais Regionais A</t>
        </is>
      </c>
      <c r="G536" s="4" t="inlineStr">
        <is>
          <t>Capital regional</t>
        </is>
      </c>
      <c r="H536" s="5">
        <f>IF(G536="fora do recorte","",SUMPRODUCT(($G$3:$G$1723=G536)*($A$3:$A$1723&lt;=A536)))</f>
        <v/>
      </c>
      <c r="I536" s="4">
        <f>IF(H536="","",G536&amp;"|"&amp;H536)</f>
        <v/>
      </c>
      <c r="J536" s="4" t="inlineStr">
        <is>
          <t>https://www.google.com/maps/search/?api=1&amp;query=Turno%20Extra%20Jogos%20de%20Mesa&amp;query_place_id=ChIJTXNbNLb_sgcR9gkUZh880X4</t>
        </is>
      </c>
      <c r="K536" s="4" t="inlineStr">
        <is>
          <t>Praia Shopping - Av. Engenheiro Roberto Freire, 3132 - Capim Macio, Natal - RN, 59082-400, Brasil</t>
        </is>
      </c>
      <c r="L536" s="4" t="inlineStr">
        <is>
          <t>Natal</t>
        </is>
      </c>
      <c r="M536" s="5" t="n">
        <v>13</v>
      </c>
    </row>
    <row r="537">
      <c r="A537" s="3">
        <f>RAND()</f>
        <v/>
      </c>
      <c r="B537" s="4" t="inlineStr">
        <is>
          <t>ChIJZbiRJbNVsgcRc9e4RRxErmM</t>
        </is>
      </c>
      <c r="C537" s="4" t="inlineStr">
        <is>
          <t>Ultra Loot Cards e Games</t>
        </is>
      </c>
      <c r="D537" s="4" t="inlineStr">
        <is>
          <t>Natal</t>
        </is>
      </c>
      <c r="E537" s="4" t="inlineStr">
        <is>
          <t>RN</t>
        </is>
      </c>
      <c r="F537" s="4" t="inlineStr">
        <is>
          <t>Capitais Regionais A</t>
        </is>
      </c>
      <c r="G537" s="4" t="inlineStr">
        <is>
          <t>Capital regional</t>
        </is>
      </c>
      <c r="H537" s="5">
        <f>IF(G537="fora do recorte","",SUMPRODUCT(($G$3:$G$1723=G537)*($A$3:$A$1723&lt;=A537)))</f>
        <v/>
      </c>
      <c r="I537" s="4">
        <f>IF(H537="","",G537&amp;"|"&amp;H537)</f>
        <v/>
      </c>
      <c r="J537" s="4" t="inlineStr">
        <is>
          <t>https://www.google.com/maps/search/?api=1&amp;query=Ultra%20Loot%20Cards%20e%20Games&amp;query_place_id=ChIJZbiRJbNVsgcRc9e4RRxErmM</t>
        </is>
      </c>
      <c r="K537" s="4" t="inlineStr">
        <is>
          <t>Av. Prudente de Morais, 6526 - Lj 02 - Candelária, Natal - RN, 59065-500, Brasil</t>
        </is>
      </c>
      <c r="L537" s="4" t="inlineStr">
        <is>
          <t>Natal</t>
        </is>
      </c>
      <c r="M537" s="5" t="n">
        <v>2</v>
      </c>
    </row>
    <row r="538">
      <c r="A538" s="3">
        <f>RAND()</f>
        <v/>
      </c>
      <c r="B538" s="4" t="inlineStr">
        <is>
          <t>ChIJ1S2JbVz_sgcRhJDPIt6lg5c</t>
        </is>
      </c>
      <c r="C538" s="4" t="inlineStr">
        <is>
          <t>Vem pra Mesa Game Center</t>
        </is>
      </c>
      <c r="D538" s="4" t="inlineStr">
        <is>
          <t>Natal</t>
        </is>
      </c>
      <c r="E538" s="4" t="inlineStr">
        <is>
          <t>RN</t>
        </is>
      </c>
      <c r="F538" s="4" t="inlineStr">
        <is>
          <t>Capitais Regionais A</t>
        </is>
      </c>
      <c r="G538" s="4" t="inlineStr">
        <is>
          <t>Capital regional</t>
        </is>
      </c>
      <c r="H538" s="5">
        <f>IF(G538="fora do recorte","",SUMPRODUCT(($G$3:$G$1723=G538)*($A$3:$A$1723&lt;=A538)))</f>
        <v/>
      </c>
      <c r="I538" s="4">
        <f>IF(H538="","",G538&amp;"|"&amp;H538)</f>
        <v/>
      </c>
      <c r="J538" s="4" t="inlineStr">
        <is>
          <t>https://www.google.com/maps/search/?api=1&amp;query=Vem%20pra%20Mesa%20Game%20Center&amp;query_place_id=ChIJ1S2JbVz_sgcRhJDPIt6lg5c</t>
        </is>
      </c>
      <c r="K538" s="4" t="inlineStr">
        <is>
          <t>Shopping Via Direta - Av. Sen. Salgado Filho, 2233 - Loja 624 - Lagoa Nova, Natal - RN, 59076-000, Brasil</t>
        </is>
      </c>
      <c r="L538" s="4" t="inlineStr">
        <is>
          <t>Natal</t>
        </is>
      </c>
      <c r="M538" s="5" t="n">
        <v>14</v>
      </c>
    </row>
    <row r="539">
      <c r="A539" s="3">
        <f>RAND()</f>
        <v/>
      </c>
      <c r="B539" s="4" t="inlineStr">
        <is>
          <t>ChIJYelljYv_sgcR4cy4I9xeAA4</t>
        </is>
      </c>
      <c r="C539" s="4" t="inlineStr">
        <is>
          <t>Via Direta Shopping</t>
        </is>
      </c>
      <c r="D539" s="4" t="inlineStr">
        <is>
          <t>Natal</t>
        </is>
      </c>
      <c r="E539" s="4" t="inlineStr">
        <is>
          <t>RN</t>
        </is>
      </c>
      <c r="F539" s="4" t="inlineStr">
        <is>
          <t>Capitais Regionais A</t>
        </is>
      </c>
      <c r="G539" s="4" t="inlineStr">
        <is>
          <t>Capital regional</t>
        </is>
      </c>
      <c r="H539" s="5">
        <f>IF(G539="fora do recorte","",SUMPRODUCT(($G$3:$G$1723=G539)*($A$3:$A$1723&lt;=A539)))</f>
        <v/>
      </c>
      <c r="I539" s="4">
        <f>IF(H539="","",G539&amp;"|"&amp;H539)</f>
        <v/>
      </c>
      <c r="J539" s="4" t="inlineStr">
        <is>
          <t>https://www.google.com/maps/search/?api=1&amp;query=Via%20Direta%20Shopping&amp;query_place_id=ChIJYelljYv_sgcR4cy4I9xeAA4</t>
        </is>
      </c>
      <c r="K539" s="4" t="inlineStr">
        <is>
          <t>Av. Sen. Salgado Filho, 2233 - Lagoa Nova, Natal - RN, 59078-000, Brasil</t>
        </is>
      </c>
      <c r="L539" s="4" t="inlineStr">
        <is>
          <t>Natal</t>
        </is>
      </c>
      <c r="M539" s="5" t="n">
        <v>1</v>
      </c>
    </row>
    <row r="540">
      <c r="A540" s="3">
        <f>RAND()</f>
        <v/>
      </c>
      <c r="B540" s="4" t="inlineStr">
        <is>
          <t>ChIJoY6NAYL_sgcRlUz02gBueJQ</t>
        </is>
      </c>
      <c r="C540" s="4" t="inlineStr">
        <is>
          <t>Virtual Games</t>
        </is>
      </c>
      <c r="D540" s="4" t="inlineStr">
        <is>
          <t>Natal</t>
        </is>
      </c>
      <c r="E540" s="4" t="inlineStr">
        <is>
          <t>RN</t>
        </is>
      </c>
      <c r="F540" s="4" t="inlineStr">
        <is>
          <t>Capitais Regionais A</t>
        </is>
      </c>
      <c r="G540" s="4" t="inlineStr">
        <is>
          <t>Capital regional</t>
        </is>
      </c>
      <c r="H540" s="5">
        <f>IF(G540="fora do recorte","",SUMPRODUCT(($G$3:$G$1723=G540)*($A$3:$A$1723&lt;=A540)))</f>
        <v/>
      </c>
      <c r="I540" s="4">
        <f>IF(H540="","",G540&amp;"|"&amp;H540)</f>
        <v/>
      </c>
      <c r="J540" s="4" t="inlineStr">
        <is>
          <t>https://www.google.com/maps/search/?api=1&amp;query=Virtual%20Games&amp;query_place_id=ChIJoY6NAYL_sgcRlUz02gBueJQ</t>
        </is>
      </c>
      <c r="K540" s="4" t="inlineStr">
        <is>
          <t>R. Aeroporto dos Guararapes, 85 - Neópolis, Natal - RN, 59080-510, Brasil</t>
        </is>
      </c>
      <c r="L540" s="4" t="inlineStr">
        <is>
          <t>Natal</t>
        </is>
      </c>
      <c r="M540" s="5" t="n">
        <v>2</v>
      </c>
    </row>
    <row r="541">
      <c r="A541" s="3">
        <f>RAND()</f>
        <v/>
      </c>
      <c r="B541" s="4" t="inlineStr">
        <is>
          <t>ChIJs3KMi1L_sgcR3FpDrFqOqu8</t>
        </is>
      </c>
      <c r="C541" s="4" t="inlineStr">
        <is>
          <t>Viva Park Brasil</t>
        </is>
      </c>
      <c r="D541" s="4" t="inlineStr">
        <is>
          <t>Natal</t>
        </is>
      </c>
      <c r="E541" s="4" t="inlineStr">
        <is>
          <t>RN</t>
        </is>
      </c>
      <c r="F541" s="4" t="inlineStr">
        <is>
          <t>Capitais Regionais A</t>
        </is>
      </c>
      <c r="G541" s="4" t="inlineStr">
        <is>
          <t>Capital regional</t>
        </is>
      </c>
      <c r="H541" s="5">
        <f>IF(G541="fora do recorte","",SUMPRODUCT(($G$3:$G$1723=G541)*($A$3:$A$1723&lt;=A541)))</f>
        <v/>
      </c>
      <c r="I541" s="4">
        <f>IF(H541="","",G541&amp;"|"&amp;H541)</f>
        <v/>
      </c>
      <c r="J541" s="4" t="inlineStr">
        <is>
          <t>https://www.google.com/maps/search/?api=1&amp;query=Viva%20Park%20Brasil&amp;query_place_id=ChIJs3KMi1L_sgcR3FpDrFqOqu8</t>
        </is>
      </c>
      <c r="K541" s="4" t="inlineStr">
        <is>
          <t>R. Francisco Gurgel, 899 - Ponta Negra, Natal - RN, 59090-050, Brasil</t>
        </is>
      </c>
      <c r="L541" s="4" t="inlineStr">
        <is>
          <t>Natal</t>
        </is>
      </c>
      <c r="M541" s="5" t="n">
        <v>1</v>
      </c>
    </row>
    <row r="542">
      <c r="A542" s="3">
        <f>RAND()</f>
        <v/>
      </c>
      <c r="B542" s="4" t="inlineStr">
        <is>
          <t>ChIJU_vAI0b_sgcREiMCfMLWJ2g</t>
        </is>
      </c>
      <c r="C542" s="4" t="inlineStr">
        <is>
          <t>Whiskritório Pub</t>
        </is>
      </c>
      <c r="D542" s="4" t="inlineStr">
        <is>
          <t>Natal</t>
        </is>
      </c>
      <c r="E542" s="4" t="inlineStr">
        <is>
          <t>RN</t>
        </is>
      </c>
      <c r="F542" s="4" t="inlineStr">
        <is>
          <t>Capitais Regionais A</t>
        </is>
      </c>
      <c r="G542" s="4" t="inlineStr">
        <is>
          <t>Capital regional</t>
        </is>
      </c>
      <c r="H542" s="5">
        <f>IF(G542="fora do recorte","",SUMPRODUCT(($G$3:$G$1723=G542)*($A$3:$A$1723&lt;=A542)))</f>
        <v/>
      </c>
      <c r="I542" s="4">
        <f>IF(H542="","",G542&amp;"|"&amp;H542)</f>
        <v/>
      </c>
      <c r="J542" s="4" t="inlineStr">
        <is>
          <t>https://www.google.com/maps/search/?api=1&amp;query=Whiskrit%C3%B3rio%20Pub&amp;query_place_id=ChIJU_vAI0b_sgcREiMCfMLWJ2g</t>
        </is>
      </c>
      <c r="K542" s="4" t="inlineStr">
        <is>
          <t>R. Énico Monteiro, 1851 - Capim Macio, Natal - RN, 59082-170, Brasil</t>
        </is>
      </c>
      <c r="L542" s="4" t="inlineStr">
        <is>
          <t>Natal</t>
        </is>
      </c>
      <c r="M542" s="5" t="n">
        <v>2</v>
      </c>
    </row>
    <row r="543">
      <c r="A543" s="3">
        <f>RAND()</f>
        <v/>
      </c>
      <c r="B543" s="4" t="inlineStr">
        <is>
          <t>ChIJxQ3D0o1VsgcRCegpl_amhGY</t>
        </is>
      </c>
      <c r="C543" s="4" t="inlineStr">
        <is>
          <t>bonecas de pano da Edenize</t>
        </is>
      </c>
      <c r="D543" s="4" t="inlineStr">
        <is>
          <t>Natal</t>
        </is>
      </c>
      <c r="E543" s="4" t="inlineStr">
        <is>
          <t>RN</t>
        </is>
      </c>
      <c r="F543" s="4" t="inlineStr">
        <is>
          <t>Capitais Regionais A</t>
        </is>
      </c>
      <c r="G543" s="4" t="inlineStr">
        <is>
          <t>Capital regional</t>
        </is>
      </c>
      <c r="H543" s="5">
        <f>IF(G543="fora do recorte","",SUMPRODUCT(($G$3:$G$1723=G543)*($A$3:$A$1723&lt;=A543)))</f>
        <v/>
      </c>
      <c r="I543" s="4">
        <f>IF(H543="","",G543&amp;"|"&amp;H543)</f>
        <v/>
      </c>
      <c r="J543" s="4" t="inlineStr">
        <is>
          <t>https://www.google.com/maps/search/?api=1&amp;query=bonecas%20de%20pano%20da%20Edenize&amp;query_place_id=ChIJxQ3D0o1VsgcRCegpl_amhGY</t>
        </is>
      </c>
      <c r="K543" s="4" t="inlineStr">
        <is>
          <t>Av. Coronel Estevam, 3609 - Nossa Sra. de Nazaré, Natal - RN, 59062-200, Brasil</t>
        </is>
      </c>
      <c r="L543" s="4" t="inlineStr">
        <is>
          <t>Natal</t>
        </is>
      </c>
      <c r="M543" s="5" t="n">
        <v>1</v>
      </c>
    </row>
    <row r="544">
      <c r="A544" s="3">
        <f>RAND()</f>
        <v/>
      </c>
      <c r="B544" s="4" t="inlineStr">
        <is>
          <t>ChIJhcrbTH__sgcRegJ2cHeEZH0</t>
        </is>
      </c>
      <c r="C544" s="4" t="inlineStr">
        <is>
          <t>Átma Rooftop</t>
        </is>
      </c>
      <c r="D544" s="4" t="inlineStr">
        <is>
          <t>Natal</t>
        </is>
      </c>
      <c r="E544" s="4" t="inlineStr">
        <is>
          <t>RN</t>
        </is>
      </c>
      <c r="F544" s="4" t="inlineStr">
        <is>
          <t>Capitais Regionais A</t>
        </is>
      </c>
      <c r="G544" s="4" t="inlineStr">
        <is>
          <t>Capital regional</t>
        </is>
      </c>
      <c r="H544" s="5">
        <f>IF(G544="fora do recorte","",SUMPRODUCT(($G$3:$G$1723=G544)*($A$3:$A$1723&lt;=A544)))</f>
        <v/>
      </c>
      <c r="I544" s="4">
        <f>IF(H544="","",G544&amp;"|"&amp;H544)</f>
        <v/>
      </c>
      <c r="J544" s="4" t="inlineStr">
        <is>
          <t>https://www.google.com/maps/search/?api=1&amp;query=%C3%81tma%20Rooftop&amp;query_place_id=ChIJhcrbTH__sgcRegJ2cHeEZH0</t>
        </is>
      </c>
      <c r="K544" s="4" t="inlineStr">
        <is>
          <t>R. Francisco Gurgel, 8920 - Ponta Negra, Natal - RN, 59090-700, Brasil</t>
        </is>
      </c>
      <c r="L544" s="4" t="inlineStr">
        <is>
          <t>Natal</t>
        </is>
      </c>
      <c r="M544" s="5" t="n">
        <v>1</v>
      </c>
    </row>
    <row r="545">
      <c r="A545" s="3">
        <f>RAND()</f>
        <v/>
      </c>
      <c r="B545" s="4" t="inlineStr">
        <is>
          <t>ChIJ_aHh-XoAswcRN6Xwp5r0PUg</t>
        </is>
      </c>
      <c r="C545" s="4" t="inlineStr">
        <is>
          <t>Ávalon - Experiência Medieval - Restaurante &amp; Pub</t>
        </is>
      </c>
      <c r="D545" s="4" t="inlineStr">
        <is>
          <t>Natal</t>
        </is>
      </c>
      <c r="E545" s="4" t="inlineStr">
        <is>
          <t>RN</t>
        </is>
      </c>
      <c r="F545" s="4" t="inlineStr">
        <is>
          <t>Capitais Regionais A</t>
        </is>
      </c>
      <c r="G545" s="4" t="inlineStr">
        <is>
          <t>Capital regional</t>
        </is>
      </c>
      <c r="H545" s="5">
        <f>IF(G545="fora do recorte","",SUMPRODUCT(($G$3:$G$1723=G545)*($A$3:$A$1723&lt;=A545)))</f>
        <v/>
      </c>
      <c r="I545" s="4">
        <f>IF(H545="","",G545&amp;"|"&amp;H545)</f>
        <v/>
      </c>
      <c r="J545" s="4" t="inlineStr">
        <is>
          <t>https://www.google.com/maps/search/?api=1&amp;query=%C3%81valon%20-%20Experi%C3%AAncia%20Medieval%20-%20Restaurante%20%26%20Pub&amp;query_place_id=ChIJ_aHh-XoAswcRN6Xwp5r0PUg</t>
        </is>
      </c>
      <c r="K545" s="4" t="inlineStr">
        <is>
          <t>R. Dr. Manoel Augusto Bezerra de Araújo, 500 - Ponta Negra, Natal - RN, 59090-430, Brasil</t>
        </is>
      </c>
      <c r="L545" s="4" t="inlineStr">
        <is>
          <t>Natal</t>
        </is>
      </c>
      <c r="M545" s="5" t="n">
        <v>3</v>
      </c>
    </row>
    <row r="546">
      <c r="A546" s="3">
        <f>RAND()</f>
        <v/>
      </c>
      <c r="B546" s="4" t="inlineStr">
        <is>
          <t>ChIJdTV6VcQBswcRK9cwh5WD8k4</t>
        </is>
      </c>
      <c r="C546" s="4" t="inlineStr">
        <is>
          <t>Ô Bar Praia</t>
        </is>
      </c>
      <c r="D546" s="4" t="inlineStr">
        <is>
          <t>Natal</t>
        </is>
      </c>
      <c r="E546" s="4" t="inlineStr">
        <is>
          <t>RN</t>
        </is>
      </c>
      <c r="F546" s="4" t="inlineStr">
        <is>
          <t>Capitais Regionais A</t>
        </is>
      </c>
      <c r="G546" s="4" t="inlineStr">
        <is>
          <t>Capital regional</t>
        </is>
      </c>
      <c r="H546" s="5">
        <f>IF(G546="fora do recorte","",SUMPRODUCT(($G$3:$G$1723=G546)*($A$3:$A$1723&lt;=A546)))</f>
        <v/>
      </c>
      <c r="I546" s="4">
        <f>IF(H546="","",G546&amp;"|"&amp;H546)</f>
        <v/>
      </c>
      <c r="J546" s="4" t="inlineStr">
        <is>
          <t>https://www.google.com/maps/search/?api=1&amp;query=%C3%94%20Bar%20Praia&amp;query_place_id=ChIJdTV6VcQBswcRK9cwh5WD8k4</t>
        </is>
      </c>
      <c r="K546" s="4" t="inlineStr">
        <is>
          <t>R. Dr. Jose Augusto Bezerra De Medeiros, 10 - Praia do Meio, Natal - RN, 59014-075, Brasil</t>
        </is>
      </c>
      <c r="L546" s="4" t="inlineStr">
        <is>
          <t>Natal</t>
        </is>
      </c>
      <c r="M546" s="5" t="n">
        <v>1</v>
      </c>
    </row>
    <row r="547">
      <c r="A547" s="3">
        <f>RAND()</f>
        <v/>
      </c>
      <c r="B547" s="4" t="inlineStr">
        <is>
          <t>ChIJTcKDVjMBswcRta2QrtuNUYI</t>
        </is>
      </c>
      <c r="C547" s="4" t="inlineStr">
        <is>
          <t>Ô Bar Restaurante - Petrópolis</t>
        </is>
      </c>
      <c r="D547" s="4" t="inlineStr">
        <is>
          <t>Natal</t>
        </is>
      </c>
      <c r="E547" s="4" t="inlineStr">
        <is>
          <t>RN</t>
        </is>
      </c>
      <c r="F547" s="4" t="inlineStr">
        <is>
          <t>Capitais Regionais A</t>
        </is>
      </c>
      <c r="G547" s="4" t="inlineStr">
        <is>
          <t>Capital regional</t>
        </is>
      </c>
      <c r="H547" s="5">
        <f>IF(G547="fora do recorte","",SUMPRODUCT(($G$3:$G$1723=G547)*($A$3:$A$1723&lt;=A547)))</f>
        <v/>
      </c>
      <c r="I547" s="4">
        <f>IF(H547="","",G547&amp;"|"&amp;H547)</f>
        <v/>
      </c>
      <c r="J547" s="4" t="inlineStr">
        <is>
          <t>https://www.google.com/maps/search/?api=1&amp;query=%C3%94%20Bar%20Restaurante%20-%20Petr%C3%B3polis&amp;query_place_id=ChIJTcKDVjMBswcRta2QrtuNUYI</t>
        </is>
      </c>
      <c r="K547" s="4" t="inlineStr">
        <is>
          <t>Rua Mipibu, 651 - Petrópolis, Natal - RN, 59020-250, Brasil</t>
        </is>
      </c>
      <c r="L547" s="4" t="inlineStr">
        <is>
          <t>Natal</t>
        </is>
      </c>
      <c r="M547" s="5" t="n">
        <v>2</v>
      </c>
    </row>
    <row r="548">
      <c r="A548" s="3">
        <f>RAND()</f>
        <v/>
      </c>
      <c r="B548" s="4" t="inlineStr">
        <is>
          <t>ChIJgRbCvuD_sgcRLw8dgwonBKY</t>
        </is>
      </c>
      <c r="C548" s="4" t="inlineStr">
        <is>
          <t>Ô Bar Restaurante - Ponta Negra</t>
        </is>
      </c>
      <c r="D548" s="4" t="inlineStr">
        <is>
          <t>Natal</t>
        </is>
      </c>
      <c r="E548" s="4" t="inlineStr">
        <is>
          <t>RN</t>
        </is>
      </c>
      <c r="F548" s="4" t="inlineStr">
        <is>
          <t>Capitais Regionais A</t>
        </is>
      </c>
      <c r="G548" s="4" t="inlineStr">
        <is>
          <t>Capital regional</t>
        </is>
      </c>
      <c r="H548" s="5">
        <f>IF(G548="fora do recorte","",SUMPRODUCT(($G$3:$G$1723=G548)*($A$3:$A$1723&lt;=A548)))</f>
        <v/>
      </c>
      <c r="I548" s="4">
        <f>IF(H548="","",G548&amp;"|"&amp;H548)</f>
        <v/>
      </c>
      <c r="J548" s="4" t="inlineStr">
        <is>
          <t>https://www.google.com/maps/search/?api=1&amp;query=%C3%94%20Bar%20Restaurante%20-%20Ponta%20Negra&amp;query_place_id=ChIJgRbCvuD_sgcRLw8dgwonBKY</t>
        </is>
      </c>
      <c r="K548" s="4" t="inlineStr">
        <is>
          <t>Av. Praia de Ponta Negra, 9184 - Ponta Negra, Natal - RN, 59092-100, Brasil</t>
        </is>
      </c>
      <c r="L548" s="4" t="inlineStr">
        <is>
          <t>Natal</t>
        </is>
      </c>
      <c r="M548" s="5" t="n">
        <v>1</v>
      </c>
    </row>
    <row r="549">
      <c r="A549" s="3">
        <f>RAND()</f>
        <v/>
      </c>
      <c r="B549" s="4" t="inlineStr">
        <is>
          <t>ChIJy-GfgDD_sgcReW8fJ4aQBXs</t>
        </is>
      </c>
      <c r="C549" s="4" t="inlineStr">
        <is>
          <t>Ô Fuxico Bar</t>
        </is>
      </c>
      <c r="D549" s="4" t="inlineStr">
        <is>
          <t>Natal</t>
        </is>
      </c>
      <c r="E549" s="4" t="inlineStr">
        <is>
          <t>RN</t>
        </is>
      </c>
      <c r="F549" s="4" t="inlineStr">
        <is>
          <t>Capitais Regionais A</t>
        </is>
      </c>
      <c r="G549" s="4" t="inlineStr">
        <is>
          <t>Capital regional</t>
        </is>
      </c>
      <c r="H549" s="5">
        <f>IF(G549="fora do recorte","",SUMPRODUCT(($G$3:$G$1723=G549)*($A$3:$A$1723&lt;=A549)))</f>
        <v/>
      </c>
      <c r="I549" s="4">
        <f>IF(H549="","",G549&amp;"|"&amp;H549)</f>
        <v/>
      </c>
      <c r="J549" s="4" t="inlineStr">
        <is>
          <t>https://www.google.com/maps/search/?api=1&amp;query=%C3%94%20Fuxico%20Bar&amp;query_place_id=ChIJy-GfgDD_sgcReW8fJ4aQBXs</t>
        </is>
      </c>
      <c r="K549" s="4" t="inlineStr">
        <is>
          <t>R. Praia do Sagi, 2074 - Ponta Negra, Natal - RN, 59094-110, Brasil</t>
        </is>
      </c>
      <c r="L549" s="4" t="inlineStr">
        <is>
          <t>Natal</t>
        </is>
      </c>
      <c r="M549" s="5" t="n">
        <v>1</v>
      </c>
    </row>
    <row r="550">
      <c r="A550" s="3">
        <f>RAND()</f>
        <v/>
      </c>
      <c r="B550" s="4" t="inlineStr">
        <is>
          <t>ChIJJRq4ofP_sgcRRKgPX5ojq3M</t>
        </is>
      </c>
      <c r="C550" s="4" t="inlineStr">
        <is>
          <t>Ô Pai Cozinha e Boteco</t>
        </is>
      </c>
      <c r="D550" s="4" t="inlineStr">
        <is>
          <t>Natal</t>
        </is>
      </c>
      <c r="E550" s="4" t="inlineStr">
        <is>
          <t>RN</t>
        </is>
      </c>
      <c r="F550" s="4" t="inlineStr">
        <is>
          <t>Capitais Regionais A</t>
        </is>
      </c>
      <c r="G550" s="4" t="inlineStr">
        <is>
          <t>Capital regional</t>
        </is>
      </c>
      <c r="H550" s="5">
        <f>IF(G550="fora do recorte","",SUMPRODUCT(($G$3:$G$1723=G550)*($A$3:$A$1723&lt;=A550)))</f>
        <v/>
      </c>
      <c r="I550" s="4">
        <f>IF(H550="","",G550&amp;"|"&amp;H550)</f>
        <v/>
      </c>
      <c r="J550" s="4" t="inlineStr">
        <is>
          <t>https://www.google.com/maps/search/?api=1&amp;query=%C3%94%20Pai%20Cozinha%20e%20Boteco&amp;query_place_id=ChIJJRq4ofP_sgcRRKgPX5ojq3M</t>
        </is>
      </c>
      <c r="K550" s="4" t="inlineStr">
        <is>
          <t>Av. Ayrton Senna, 3030 - Neópolis, Natal - RN, 59080-101, Brasil</t>
        </is>
      </c>
      <c r="L550" s="4" t="inlineStr">
        <is>
          <t>Natal</t>
        </is>
      </c>
      <c r="M550" s="5" t="n">
        <v>1</v>
      </c>
    </row>
    <row r="551">
      <c r="A551" s="3">
        <f>RAND()</f>
        <v/>
      </c>
      <c r="B551" s="4" t="inlineStr">
        <is>
          <t>ChIJLSjL_AH5sgcRElnGctq6bWY</t>
        </is>
      </c>
      <c r="C551" s="4" t="inlineStr">
        <is>
          <t>Bimbi Play</t>
        </is>
      </c>
      <c r="D551" s="4" t="inlineStr">
        <is>
          <t>Parnamirim</t>
        </is>
      </c>
      <c r="E551" s="4" t="inlineStr">
        <is>
          <t>RN</t>
        </is>
      </c>
      <c r="F551" s="4" t="inlineStr">
        <is>
          <t>Capitais Regionais A</t>
        </is>
      </c>
      <c r="G551" s="4" t="inlineStr">
        <is>
          <t>Capital regional</t>
        </is>
      </c>
      <c r="H551" s="5">
        <f>IF(G551="fora do recorte","",SUMPRODUCT(($G$3:$G$1723=G551)*($A$3:$A$1723&lt;=A551)))</f>
        <v/>
      </c>
      <c r="I551" s="4">
        <f>IF(H551="","",G551&amp;"|"&amp;H551)</f>
        <v/>
      </c>
      <c r="J551" s="4" t="inlineStr">
        <is>
          <t>https://www.google.com/maps/search/?api=1&amp;query=Bimbi%20Play&amp;query_place_id=ChIJLSjL_AH5sgcRElnGctq6bWY</t>
        </is>
      </c>
      <c r="K551" s="4" t="inlineStr">
        <is>
          <t>Al. dos Bosques, 990 - Parque do Jiqui, Parnamirim - RN, 59153-155, Brasil</t>
        </is>
      </c>
      <c r="L551" s="4" t="inlineStr">
        <is>
          <t>Natal</t>
        </is>
      </c>
      <c r="M551" s="5" t="n">
        <v>1</v>
      </c>
    </row>
    <row r="552">
      <c r="A552" s="3">
        <f>RAND()</f>
        <v/>
      </c>
      <c r="B552" s="4" t="inlineStr">
        <is>
          <t>ChIJnXpytm35sgcR4Va4hKRdd_Y</t>
        </is>
      </c>
      <c r="C552" s="4" t="inlineStr">
        <is>
          <t>Diversão na Mesa - Aluguel de Jogos de Tabuleiro</t>
        </is>
      </c>
      <c r="D552" s="4" t="inlineStr">
        <is>
          <t>Parnamirim</t>
        </is>
      </c>
      <c r="E552" s="4" t="inlineStr">
        <is>
          <t>RN</t>
        </is>
      </c>
      <c r="F552" s="4" t="inlineStr">
        <is>
          <t>Capitais Regionais A</t>
        </is>
      </c>
      <c r="G552" s="4" t="inlineStr">
        <is>
          <t>Capital regional</t>
        </is>
      </c>
      <c r="H552" s="5">
        <f>IF(G552="fora do recorte","",SUMPRODUCT(($G$3:$G$1723=G552)*($A$3:$A$1723&lt;=A552)))</f>
        <v/>
      </c>
      <c r="I552" s="4">
        <f>IF(H552="","",G552&amp;"|"&amp;H552)</f>
        <v/>
      </c>
      <c r="J552" s="4" t="inlineStr">
        <is>
          <t>https://www.google.com/maps/search/?api=1&amp;query=Divers%C3%A3o%20na%20Mesa%20-%20Aluguel%20de%20Jogos%20de%20Tabuleiro&amp;query_place_id=ChIJnXpytm35sgcR4Va4hKRdd_Y</t>
        </is>
      </c>
      <c r="K552" s="4" t="inlineStr">
        <is>
          <t>Av. Abel Cabral - Nova Parnamirim, Parnamirim - RN, 59151-250, Brasil</t>
        </is>
      </c>
      <c r="L552" s="4" t="inlineStr">
        <is>
          <t>Natal</t>
        </is>
      </c>
      <c r="M552" s="5" t="n">
        <v>11</v>
      </c>
    </row>
    <row r="553">
      <c r="A553" s="3">
        <f>RAND()</f>
        <v/>
      </c>
      <c r="B553" s="4" t="inlineStr">
        <is>
          <t>ChIJ1cQoJ2r5sgcRtTeq8MWZmy8</t>
        </is>
      </c>
      <c r="C553" s="4" t="inlineStr">
        <is>
          <t>Planeta Brincar</t>
        </is>
      </c>
      <c r="D553" s="4" t="inlineStr">
        <is>
          <t>Parnamirim</t>
        </is>
      </c>
      <c r="E553" s="4" t="inlineStr">
        <is>
          <t>RN</t>
        </is>
      </c>
      <c r="F553" s="4" t="inlineStr">
        <is>
          <t>Capitais Regionais A</t>
        </is>
      </c>
      <c r="G553" s="4" t="inlineStr">
        <is>
          <t>Capital regional</t>
        </is>
      </c>
      <c r="H553" s="5">
        <f>IF(G553="fora do recorte","",SUMPRODUCT(($G$3:$G$1723=G553)*($A$3:$A$1723&lt;=A553)))</f>
        <v/>
      </c>
      <c r="I553" s="4">
        <f>IF(H553="","",G553&amp;"|"&amp;H553)</f>
        <v/>
      </c>
      <c r="J553" s="4" t="inlineStr">
        <is>
          <t>https://www.google.com/maps/search/?api=1&amp;query=Planeta%20Brincar&amp;query_place_id=ChIJ1cQoJ2r5sgcRtTeq8MWZmy8</t>
        </is>
      </c>
      <c r="K553" s="4" t="inlineStr">
        <is>
          <t>Av. Ayrton Senna, 2441 - Nova Parnamirim, Parnamirim - RN, 59151-906, Brasil</t>
        </is>
      </c>
      <c r="L553" s="4" t="inlineStr">
        <is>
          <t>Natal</t>
        </is>
      </c>
      <c r="M553" s="5" t="n">
        <v>1</v>
      </c>
    </row>
    <row r="554">
      <c r="A554" s="3">
        <f>RAND()</f>
        <v/>
      </c>
      <c r="B554" s="4" t="inlineStr">
        <is>
          <t>ChIJD8IR_iNDMpIR7pRWd6Co5JQ</t>
        </is>
      </c>
      <c r="C554" s="4" t="inlineStr">
        <is>
          <t>Alambique Music Bar</t>
        </is>
      </c>
      <c r="D554" s="4" t="inlineStr">
        <is>
          <t>Porto Velho</t>
        </is>
      </c>
      <c r="E554" s="4" t="inlineStr">
        <is>
          <t>RO</t>
        </is>
      </c>
      <c r="F554" s="4" t="inlineStr">
        <is>
          <t>Capitais Regionais B</t>
        </is>
      </c>
      <c r="G554" s="4" t="inlineStr">
        <is>
          <t>Capital regional</t>
        </is>
      </c>
      <c r="H554" s="5">
        <f>IF(G554="fora do recorte","",SUMPRODUCT(($G$3:$G$1723=G554)*($A$3:$A$1723&lt;=A554)))</f>
        <v/>
      </c>
      <c r="I554" s="4">
        <f>IF(H554="","",G554&amp;"|"&amp;H554)</f>
        <v/>
      </c>
      <c r="J554" s="4" t="inlineStr">
        <is>
          <t>https://www.google.com/maps/search/?api=1&amp;query=Alambique%20Music%20Bar&amp;query_place_id=ChIJD8IR_iNDMpIR7pRWd6Co5JQ</t>
        </is>
      </c>
      <c r="K554" s="4" t="inlineStr">
        <is>
          <t>Av. Rio Madeira, 3182 - Nova Esperança, Porto Velho - RO, 76823-022, Brasil</t>
        </is>
      </c>
      <c r="L554" s="4" t="inlineStr">
        <is>
          <t>Porto Velho</t>
        </is>
      </c>
      <c r="M554" s="5" t="n">
        <v>1</v>
      </c>
    </row>
    <row r="555">
      <c r="A555" s="3">
        <f>RAND()</f>
        <v/>
      </c>
      <c r="B555" s="4" t="inlineStr">
        <is>
          <t>ChIJmWr7BqhdMpIRp3q6iQ1b1r8</t>
        </is>
      </c>
      <c r="C555" s="4" t="inlineStr">
        <is>
          <t>Americanas</t>
        </is>
      </c>
      <c r="D555" s="4" t="inlineStr">
        <is>
          <t>Porto Velho</t>
        </is>
      </c>
      <c r="E555" s="4" t="inlineStr">
        <is>
          <t>RO</t>
        </is>
      </c>
      <c r="F555" s="4" t="inlineStr">
        <is>
          <t>Capitais Regionais B</t>
        </is>
      </c>
      <c r="G555" s="4" t="inlineStr">
        <is>
          <t>Capital regional</t>
        </is>
      </c>
      <c r="H555" s="5">
        <f>IF(G555="fora do recorte","",SUMPRODUCT(($G$3:$G$1723=G555)*($A$3:$A$1723&lt;=A555)))</f>
        <v/>
      </c>
      <c r="I555" s="4">
        <f>IF(H555="","",G555&amp;"|"&amp;H555)</f>
        <v/>
      </c>
      <c r="J555" s="4" t="inlineStr">
        <is>
          <t>https://www.google.com/maps/search/?api=1&amp;query=Americanas&amp;query_place_id=ChIJmWr7BqhdMpIRp3q6iQ1b1r8</t>
        </is>
      </c>
      <c r="K555" s="4" t="inlineStr">
        <is>
          <t>Av. Rio Madeira, 3288 - Flodoaldo Pontes Pinto, Porto Velho - RO, 76820-408, Brasil</t>
        </is>
      </c>
      <c r="L555" s="4" t="inlineStr">
        <is>
          <t>Porto Velho</t>
        </is>
      </c>
      <c r="M555" s="5" t="n">
        <v>1</v>
      </c>
    </row>
    <row r="556">
      <c r="A556" s="3">
        <f>RAND()</f>
        <v/>
      </c>
      <c r="B556" s="4" t="inlineStr">
        <is>
          <t>ChIJPSO2b69dMpIR8BM_IXrnjxg</t>
        </is>
      </c>
      <c r="C556" s="4" t="inlineStr">
        <is>
          <t>Anima Jump Park</t>
        </is>
      </c>
      <c r="D556" s="4" t="inlineStr">
        <is>
          <t>Porto Velho</t>
        </is>
      </c>
      <c r="E556" s="4" t="inlineStr">
        <is>
          <t>RO</t>
        </is>
      </c>
      <c r="F556" s="4" t="inlineStr">
        <is>
          <t>Capitais Regionais B</t>
        </is>
      </c>
      <c r="G556" s="4" t="inlineStr">
        <is>
          <t>Capital regional</t>
        </is>
      </c>
      <c r="H556" s="5">
        <f>IF(G556="fora do recorte","",SUMPRODUCT(($G$3:$G$1723=G556)*($A$3:$A$1723&lt;=A556)))</f>
        <v/>
      </c>
      <c r="I556" s="4">
        <f>IF(H556="","",G556&amp;"|"&amp;H556)</f>
        <v/>
      </c>
      <c r="J556" s="4" t="inlineStr">
        <is>
          <t>https://www.google.com/maps/search/?api=1&amp;query=Anima%20Jump%20Park&amp;query_place_id=ChIJPSO2b69dMpIR8BM_IXrnjxg</t>
        </is>
      </c>
      <c r="K556" s="4" t="inlineStr">
        <is>
          <t>R. Abunã, 2460 - Liberdade, Porto Velho - RO, 76803-762, Brasil</t>
        </is>
      </c>
      <c r="L556" s="4" t="inlineStr">
        <is>
          <t>Porto Velho</t>
        </is>
      </c>
      <c r="M556" s="5" t="n">
        <v>1</v>
      </c>
    </row>
    <row r="557">
      <c r="A557" s="3">
        <f>RAND()</f>
        <v/>
      </c>
      <c r="B557" s="4" t="inlineStr">
        <is>
          <t>ChIJ9wOGxWtdMpIR9CyHzhLdK7U</t>
        </is>
      </c>
      <c r="C557" s="4" t="inlineStr">
        <is>
          <t>Bar da Louvada - Porto Velho</t>
        </is>
      </c>
      <c r="D557" s="4" t="inlineStr">
        <is>
          <t>Porto Velho</t>
        </is>
      </c>
      <c r="E557" s="4" t="inlineStr">
        <is>
          <t>RO</t>
        </is>
      </c>
      <c r="F557" s="4" t="inlineStr">
        <is>
          <t>Capitais Regionais B</t>
        </is>
      </c>
      <c r="G557" s="4" t="inlineStr">
        <is>
          <t>Capital regional</t>
        </is>
      </c>
      <c r="H557" s="5">
        <f>IF(G557="fora do recorte","",SUMPRODUCT(($G$3:$G$1723=G557)*($A$3:$A$1723&lt;=A557)))</f>
        <v/>
      </c>
      <c r="I557" s="4">
        <f>IF(H557="","",G557&amp;"|"&amp;H557)</f>
        <v/>
      </c>
      <c r="J557" s="4" t="inlineStr">
        <is>
          <t>https://www.google.com/maps/search/?api=1&amp;query=Bar%20da%20Louvada%20-%20Porto%20Velho&amp;query_place_id=ChIJ9wOGxWtdMpIR9CyHzhLdK7U</t>
        </is>
      </c>
      <c r="K557" s="4" t="inlineStr">
        <is>
          <t>Av. Rio Madeira, 2890 - Flodoaldo Pontes Pinto, Porto Velho - RO, 76820-408, Brasil</t>
        </is>
      </c>
      <c r="L557" s="4" t="inlineStr">
        <is>
          <t>Porto Velho</t>
        </is>
      </c>
      <c r="M557" s="5" t="n">
        <v>1</v>
      </c>
    </row>
    <row r="558">
      <c r="A558" s="3">
        <f>RAND()</f>
        <v/>
      </c>
      <c r="B558" s="4" t="inlineStr">
        <is>
          <t>ChIJN4eUcQBFMpIR1PQPEHy1SLg</t>
        </is>
      </c>
      <c r="C558" s="4" t="inlineStr">
        <is>
          <t>Bee's Rocket - Pokémon Club</t>
        </is>
      </c>
      <c r="D558" s="4" t="inlineStr">
        <is>
          <t>Porto Velho</t>
        </is>
      </c>
      <c r="E558" s="4" t="inlineStr">
        <is>
          <t>RO</t>
        </is>
      </c>
      <c r="F558" s="4" t="inlineStr">
        <is>
          <t>Capitais Regionais B</t>
        </is>
      </c>
      <c r="G558" s="4" t="inlineStr">
        <is>
          <t>Capital regional</t>
        </is>
      </c>
      <c r="H558" s="5">
        <f>IF(G558="fora do recorte","",SUMPRODUCT(($G$3:$G$1723=G558)*($A$3:$A$1723&lt;=A558)))</f>
        <v/>
      </c>
      <c r="I558" s="4">
        <f>IF(H558="","",G558&amp;"|"&amp;H558)</f>
        <v/>
      </c>
      <c r="J558" s="4" t="inlineStr">
        <is>
          <t>https://www.google.com/maps/search/?api=1&amp;query=Bee%27s%20Rocket%20-%20Pok%C3%A9mon%20Club&amp;query_place_id=ChIJN4eUcQBFMpIR1PQPEHy1SLg</t>
        </is>
      </c>
      <c r="K558" s="4" t="inlineStr">
        <is>
          <t>R. César Guerra Peixe, 5777 - Igarapé, Porto Velho - RO, 76824-220, Brasil</t>
        </is>
      </c>
      <c r="L558" s="4" t="inlineStr">
        <is>
          <t>Porto Velho</t>
        </is>
      </c>
      <c r="M558" s="5" t="n">
        <v>8</v>
      </c>
    </row>
    <row r="559">
      <c r="A559" s="3">
        <f>RAND()</f>
        <v/>
      </c>
      <c r="B559" s="4" t="inlineStr">
        <is>
          <t>ChIJe4XkImBdMpIRdQX8B7uXZuQ</t>
        </is>
      </c>
      <c r="C559" s="4" t="inlineStr">
        <is>
          <t>CAMELÔ DO HULK ACESSÓRIOS</t>
        </is>
      </c>
      <c r="D559" s="4" t="inlineStr">
        <is>
          <t>Porto Velho</t>
        </is>
      </c>
      <c r="E559" s="4" t="inlineStr">
        <is>
          <t>RO</t>
        </is>
      </c>
      <c r="F559" s="4" t="inlineStr">
        <is>
          <t>Capitais Regionais B</t>
        </is>
      </c>
      <c r="G559" s="4" t="inlineStr">
        <is>
          <t>Capital regional</t>
        </is>
      </c>
      <c r="H559" s="5">
        <f>IF(G559="fora do recorte","",SUMPRODUCT(($G$3:$G$1723=G559)*($A$3:$A$1723&lt;=A559)))</f>
        <v/>
      </c>
      <c r="I559" s="4">
        <f>IF(H559="","",G559&amp;"|"&amp;H559)</f>
        <v/>
      </c>
      <c r="J559" s="4" t="inlineStr">
        <is>
          <t>https://www.google.com/maps/search/?api=1&amp;query=CAMEL%C3%94%20DO%20HULK%20ACESS%C3%93RIOS&amp;query_place_id=ChIJe4XkImBdMpIRdQX8B7uXZuQ</t>
        </is>
      </c>
      <c r="K559" s="4" t="inlineStr">
        <is>
          <t>R. Floriano Peixoto, 785 - Centro, Porto Velho - RO, 76801-070, Brasil</t>
        </is>
      </c>
      <c r="L559" s="4" t="inlineStr">
        <is>
          <t>Porto Velho</t>
        </is>
      </c>
      <c r="M559" s="5" t="n">
        <v>1</v>
      </c>
    </row>
    <row r="560">
      <c r="A560" s="3">
        <f>RAND()</f>
        <v/>
      </c>
      <c r="B560" s="4" t="inlineStr">
        <is>
          <t>ChIJofyYgRxDMpIR1aS32fMPQzw</t>
        </is>
      </c>
      <c r="C560" s="4" t="inlineStr">
        <is>
          <t>Central Park locações</t>
        </is>
      </c>
      <c r="D560" s="4" t="inlineStr">
        <is>
          <t>Porto Velho</t>
        </is>
      </c>
      <c r="E560" s="4" t="inlineStr">
        <is>
          <t>RO</t>
        </is>
      </c>
      <c r="F560" s="4" t="inlineStr">
        <is>
          <t>Capitais Regionais B</t>
        </is>
      </c>
      <c r="G560" s="4" t="inlineStr">
        <is>
          <t>Capital regional</t>
        </is>
      </c>
      <c r="H560" s="5">
        <f>IF(G560="fora do recorte","",SUMPRODUCT(($G$3:$G$1723=G560)*($A$3:$A$1723&lt;=A560)))</f>
        <v/>
      </c>
      <c r="I560" s="4">
        <f>IF(H560="","",G560&amp;"|"&amp;H560)</f>
        <v/>
      </c>
      <c r="J560" s="4" t="inlineStr">
        <is>
          <t>https://www.google.com/maps/search/?api=1&amp;query=Central%20Park%20loca%C3%A7%C3%B5es&amp;query_place_id=ChIJofyYgRxDMpIR1aS32fMPQzw</t>
        </is>
      </c>
      <c r="K560" s="4" t="inlineStr">
        <is>
          <t>R. Rafael Vaz e Silva, 3682 - Liberdade, Porto Velho - RO, 76803-847, Brasil</t>
        </is>
      </c>
      <c r="L560" s="4" t="inlineStr">
        <is>
          <t>Porto Velho</t>
        </is>
      </c>
      <c r="M560" s="5" t="n">
        <v>1</v>
      </c>
    </row>
    <row r="561">
      <c r="A561" s="3">
        <f>RAND()</f>
        <v/>
      </c>
      <c r="B561" s="4" t="inlineStr">
        <is>
          <t>ChIJGcYBKD9bMpIRKkPHoF1DamA</t>
        </is>
      </c>
      <c r="C561" s="4" t="inlineStr">
        <is>
          <t>Creative Lan House, Gráfica Rápida, Personalizados, Copiadora, Porto Impressos</t>
        </is>
      </c>
      <c r="D561" s="4" t="inlineStr">
        <is>
          <t>Porto Velho</t>
        </is>
      </c>
      <c r="E561" s="4" t="inlineStr">
        <is>
          <t>RO</t>
        </is>
      </c>
      <c r="F561" s="4" t="inlineStr">
        <is>
          <t>Capitais Regionais B</t>
        </is>
      </c>
      <c r="G561" s="4" t="inlineStr">
        <is>
          <t>Capital regional</t>
        </is>
      </c>
      <c r="H561" s="5">
        <f>IF(G561="fora do recorte","",SUMPRODUCT(($G$3:$G$1723=G561)*($A$3:$A$1723&lt;=A561)))</f>
        <v/>
      </c>
      <c r="I561" s="4">
        <f>IF(H561="","",G561&amp;"|"&amp;H561)</f>
        <v/>
      </c>
      <c r="J561" s="4" t="inlineStr">
        <is>
          <t>https://www.google.com/maps/search/?api=1&amp;query=Creative%20Lan%20House%2C%20Gr%C3%A1fica%20R%C3%A1pida%2C%20Personalizados%2C%20Copiadora%2C%20Porto%20Impressos&amp;query_place_id=ChIJGcYBKD9bMpIRKkPHoF1DamA</t>
        </is>
      </c>
      <c r="K561" s="4" t="inlineStr">
        <is>
          <t>R. Alexandre Guimarães, 8150 - Tancredo Neves, Porto Velho - RO, 76805-846, Brasil</t>
        </is>
      </c>
      <c r="L561" s="4" t="inlineStr">
        <is>
          <t>Porto Velho</t>
        </is>
      </c>
      <c r="M561" s="5" t="n">
        <v>1</v>
      </c>
    </row>
    <row r="562">
      <c r="A562" s="3">
        <f>RAND()</f>
        <v/>
      </c>
      <c r="B562" s="4" t="inlineStr">
        <is>
          <t>ChIJF5vKFjJDMpIRfM454LCXanI</t>
        </is>
      </c>
      <c r="C562" s="4" t="inlineStr">
        <is>
          <t>Dan Diversões</t>
        </is>
      </c>
      <c r="D562" s="4" t="inlineStr">
        <is>
          <t>Porto Velho</t>
        </is>
      </c>
      <c r="E562" s="4" t="inlineStr">
        <is>
          <t>RO</t>
        </is>
      </c>
      <c r="F562" s="4" t="inlineStr">
        <is>
          <t>Capitais Regionais B</t>
        </is>
      </c>
      <c r="G562" s="4" t="inlineStr">
        <is>
          <t>Capital regional</t>
        </is>
      </c>
      <c r="H562" s="5">
        <f>IF(G562="fora do recorte","",SUMPRODUCT(($G$3:$G$1723=G562)*($A$3:$A$1723&lt;=A562)))</f>
        <v/>
      </c>
      <c r="I562" s="4">
        <f>IF(H562="","",G562&amp;"|"&amp;H562)</f>
        <v/>
      </c>
      <c r="J562" s="4" t="inlineStr">
        <is>
          <t>https://www.google.com/maps/search/?api=1&amp;query=Dan%20Divers%C3%B5es&amp;query_place_id=ChIJF5vKFjJDMpIRfM454LCXanI</t>
        </is>
      </c>
      <c r="K562" s="4" t="inlineStr">
        <is>
          <t>Av. Gov. Jorge Teixeira - Costa e Silva, Porto Velho - RO, 76821-096, Brasil</t>
        </is>
      </c>
      <c r="L562" s="4" t="inlineStr">
        <is>
          <t>Porto Velho</t>
        </is>
      </c>
      <c r="M562" s="5" t="n">
        <v>1</v>
      </c>
    </row>
    <row r="563">
      <c r="A563" s="3">
        <f>RAND()</f>
        <v/>
      </c>
      <c r="B563" s="4" t="inlineStr">
        <is>
          <t>ChIJeVHvPTlDMpIRKPx-_BKVNtQ</t>
        </is>
      </c>
      <c r="C563" s="4" t="inlineStr">
        <is>
          <t>Espaço Alternativo de Porto Velho</t>
        </is>
      </c>
      <c r="D563" s="4" t="inlineStr">
        <is>
          <t>Porto Velho</t>
        </is>
      </c>
      <c r="E563" s="4" t="inlineStr">
        <is>
          <t>RO</t>
        </is>
      </c>
      <c r="F563" s="4" t="inlineStr">
        <is>
          <t>Capitais Regionais B</t>
        </is>
      </c>
      <c r="G563" s="4" t="inlineStr">
        <is>
          <t>Capital regional</t>
        </is>
      </c>
      <c r="H563" s="5">
        <f>IF(G563="fora do recorte","",SUMPRODUCT(($G$3:$G$1723=G563)*($A$3:$A$1723&lt;=A563)))</f>
        <v/>
      </c>
      <c r="I563" s="4">
        <f>IF(H563="","",G563&amp;"|"&amp;H563)</f>
        <v/>
      </c>
      <c r="J563" s="4" t="inlineStr">
        <is>
          <t>https://www.google.com/maps/search/?api=1&amp;query=Espa%C3%A7o%20Alternativo%20de%20Porto%20Velho&amp;query_place_id=ChIJeVHvPTlDMpIRKPx-_BKVNtQ</t>
        </is>
      </c>
      <c r="K563" s="4" t="inlineStr">
        <is>
          <t>Av. Gov. Jorge Teixeira, 4026 - Costa e Silva, Porto Velho - RO, 76821-096, Brasil</t>
        </is>
      </c>
      <c r="L563" s="4" t="inlineStr">
        <is>
          <t>Porto Velho</t>
        </is>
      </c>
      <c r="M563" s="5" t="n">
        <v>1</v>
      </c>
    </row>
    <row r="564">
      <c r="A564" s="3">
        <f>RAND()</f>
        <v/>
      </c>
      <c r="B564" s="4" t="inlineStr">
        <is>
          <t>ChIJPX9w-9BcMpIRGuHLC2Bokno</t>
        </is>
      </c>
      <c r="C564" s="4" t="inlineStr">
        <is>
          <t>Forfun Club &amp; Store</t>
        </is>
      </c>
      <c r="D564" s="4" t="inlineStr">
        <is>
          <t>Porto Velho</t>
        </is>
      </c>
      <c r="E564" s="4" t="inlineStr">
        <is>
          <t>RO</t>
        </is>
      </c>
      <c r="F564" s="4" t="inlineStr">
        <is>
          <t>Capitais Regionais B</t>
        </is>
      </c>
      <c r="G564" s="4" t="inlineStr">
        <is>
          <t>Capital regional</t>
        </is>
      </c>
      <c r="H564" s="5">
        <f>IF(G564="fora do recorte","",SUMPRODUCT(($G$3:$G$1723=G564)*($A$3:$A$1723&lt;=A564)))</f>
        <v/>
      </c>
      <c r="I564" s="4">
        <f>IF(H564="","",G564&amp;"|"&amp;H564)</f>
        <v/>
      </c>
      <c r="J564" s="4" t="inlineStr">
        <is>
          <t>https://www.google.com/maps/search/?api=1&amp;query=Forfun%20Club%20%26%20Store&amp;query_place_id=ChIJPX9w-9BcMpIRGuHLC2Bokno</t>
        </is>
      </c>
      <c r="K564" s="4" t="inlineStr">
        <is>
          <t>Av. Calama, 4920 - Flodoaldo Pontes Pinto, Porto Velho - RO, 76820-442, Brasil</t>
        </is>
      </c>
      <c r="L564" s="4" t="inlineStr">
        <is>
          <t>Porto Velho</t>
        </is>
      </c>
      <c r="M564" s="5" t="n">
        <v>14</v>
      </c>
    </row>
    <row r="565">
      <c r="A565" s="3">
        <f>RAND()</f>
        <v/>
      </c>
      <c r="B565" s="4" t="inlineStr">
        <is>
          <t>ChIJad5tfa1cMpIReYGzcdDs-tE</t>
        </is>
      </c>
      <c r="C565" s="4" t="inlineStr">
        <is>
          <t>Giga Kids</t>
        </is>
      </c>
      <c r="D565" s="4" t="inlineStr">
        <is>
          <t>Porto Velho</t>
        </is>
      </c>
      <c r="E565" s="4" t="inlineStr">
        <is>
          <t>RO</t>
        </is>
      </c>
      <c r="F565" s="4" t="inlineStr">
        <is>
          <t>Capitais Regionais B</t>
        </is>
      </c>
      <c r="G565" s="4" t="inlineStr">
        <is>
          <t>Capital regional</t>
        </is>
      </c>
      <c r="H565" s="5">
        <f>IF(G565="fora do recorte","",SUMPRODUCT(($G$3:$G$1723=G565)*($A$3:$A$1723&lt;=A565)))</f>
        <v/>
      </c>
      <c r="I565" s="4">
        <f>IF(H565="","",G565&amp;"|"&amp;H565)</f>
        <v/>
      </c>
      <c r="J565" s="4" t="inlineStr">
        <is>
          <t>https://www.google.com/maps/search/?api=1&amp;query=Giga%20Kids&amp;query_place_id=ChIJad5tfa1cMpIReYGzcdDs-tE</t>
        </is>
      </c>
      <c r="K565" s="4" t="inlineStr">
        <is>
          <t>Av. Rio Madeira, 3288 - Flodoaldo Pontes Pinto, Porto Velho - RO, 76820-370, Brasil</t>
        </is>
      </c>
      <c r="L565" s="4" t="inlineStr">
        <is>
          <t>Porto Velho</t>
        </is>
      </c>
      <c r="M565" s="5" t="n">
        <v>1</v>
      </c>
    </row>
    <row r="566">
      <c r="A566" s="3">
        <f>RAND()</f>
        <v/>
      </c>
      <c r="B566" s="4" t="inlineStr">
        <is>
          <t>ChIJCaCJQjJdMpIRs9oyk55sC_o</t>
        </is>
      </c>
      <c r="C566" s="4" t="inlineStr">
        <is>
          <t>HOG CYBER CAFE- House Of Gamers</t>
        </is>
      </c>
      <c r="D566" s="4" t="inlineStr">
        <is>
          <t>Porto Velho</t>
        </is>
      </c>
      <c r="E566" s="4" t="inlineStr">
        <is>
          <t>RO</t>
        </is>
      </c>
      <c r="F566" s="4" t="inlineStr">
        <is>
          <t>Capitais Regionais B</t>
        </is>
      </c>
      <c r="G566" s="4" t="inlineStr">
        <is>
          <t>Capital regional</t>
        </is>
      </c>
      <c r="H566" s="5">
        <f>IF(G566="fora do recorte","",SUMPRODUCT(($G$3:$G$1723=G566)*($A$3:$A$1723&lt;=A566)))</f>
        <v/>
      </c>
      <c r="I566" s="4">
        <f>IF(H566="","",G566&amp;"|"&amp;H566)</f>
        <v/>
      </c>
      <c r="J566" s="4" t="inlineStr">
        <is>
          <t>https://www.google.com/maps/search/?api=1&amp;query=HOG%20CYBER%20CAFE-%20House%20Of%20Gamers&amp;query_place_id=ChIJCaCJQjJdMpIRs9oyk55sC_o</t>
        </is>
      </c>
      <c r="K566" s="4" t="inlineStr">
        <is>
          <t>Av. Calama, 1789 - São João Bosco, Porto Velho - RO, 76803-745, Brasil</t>
        </is>
      </c>
      <c r="L566" s="4" t="inlineStr">
        <is>
          <t>Porto Velho</t>
        </is>
      </c>
      <c r="M566" s="5" t="n">
        <v>2</v>
      </c>
    </row>
    <row r="567">
      <c r="A567" s="3">
        <f>RAND()</f>
        <v/>
      </c>
      <c r="B567" s="4" t="inlineStr">
        <is>
          <t>ChIJcczhkDVDMpIRHc2-kZBNycw</t>
        </is>
      </c>
      <c r="C567" s="4" t="inlineStr">
        <is>
          <t>Havan Porto Velho</t>
        </is>
      </c>
      <c r="D567" s="4" t="inlineStr">
        <is>
          <t>Porto Velho</t>
        </is>
      </c>
      <c r="E567" s="4" t="inlineStr">
        <is>
          <t>RO</t>
        </is>
      </c>
      <c r="F567" s="4" t="inlineStr">
        <is>
          <t>Capitais Regionais B</t>
        </is>
      </c>
      <c r="G567" s="4" t="inlineStr">
        <is>
          <t>Capital regional</t>
        </is>
      </c>
      <c r="H567" s="5">
        <f>IF(G567="fora do recorte","",SUMPRODUCT(($G$3:$G$1723=G567)*($A$3:$A$1723&lt;=A567)))</f>
        <v/>
      </c>
      <c r="I567" s="4">
        <f>IF(H567="","",G567&amp;"|"&amp;H567)</f>
        <v/>
      </c>
      <c r="J567" s="4" t="inlineStr">
        <is>
          <t>https://www.google.com/maps/search/?api=1&amp;query=Havan%20Porto%20Velho&amp;query_place_id=ChIJcczhkDVDMpIRHc2-kZBNycw</t>
        </is>
      </c>
      <c r="K567" s="4" t="inlineStr">
        <is>
          <t>Av. Gov. Jorge Teixeira, 2900 - Industrial, Porto Velho - RO, 76821-002, Brasil</t>
        </is>
      </c>
      <c r="L567" s="4" t="inlineStr">
        <is>
          <t>Porto Velho</t>
        </is>
      </c>
      <c r="M567" s="5" t="n">
        <v>1</v>
      </c>
    </row>
    <row r="568">
      <c r="A568" s="3">
        <f>RAND()</f>
        <v/>
      </c>
      <c r="B568" s="4" t="inlineStr">
        <is>
          <t>ChIJ2wPNoKddMpIRXDL-BhDhPcY</t>
        </is>
      </c>
      <c r="C568" s="4" t="inlineStr">
        <is>
          <t>Hollywoodland Pub</t>
        </is>
      </c>
      <c r="D568" s="4" t="inlineStr">
        <is>
          <t>Porto Velho</t>
        </is>
      </c>
      <c r="E568" s="4" t="inlineStr">
        <is>
          <t>RO</t>
        </is>
      </c>
      <c r="F568" s="4" t="inlineStr">
        <is>
          <t>Capitais Regionais B</t>
        </is>
      </c>
      <c r="G568" s="4" t="inlineStr">
        <is>
          <t>Capital regional</t>
        </is>
      </c>
      <c r="H568" s="5">
        <f>IF(G568="fora do recorte","",SUMPRODUCT(($G$3:$G$1723=G568)*($A$3:$A$1723&lt;=A568)))</f>
        <v/>
      </c>
      <c r="I568" s="4">
        <f>IF(H568="","",G568&amp;"|"&amp;H568)</f>
        <v/>
      </c>
      <c r="J568" s="4" t="inlineStr">
        <is>
          <t>https://www.google.com/maps/search/?api=1&amp;query=Hollywoodland%20Pub&amp;query_place_id=ChIJ2wPNoKddMpIRXDL-BhDhPcY</t>
        </is>
      </c>
      <c r="K568" s="4" t="inlineStr">
        <is>
          <t>Av. Carlos Gomes, 2591 - São Cristóvão, Porto Velho - RO, 76804-021, Brasil</t>
        </is>
      </c>
      <c r="L568" s="4" t="inlineStr">
        <is>
          <t>Porto Velho</t>
        </is>
      </c>
      <c r="M568" s="5" t="n">
        <v>3</v>
      </c>
    </row>
    <row r="569">
      <c r="A569" s="3">
        <f>RAND()</f>
        <v/>
      </c>
      <c r="B569" s="4" t="inlineStr">
        <is>
          <t>ChIJnXTWOm1bMpIR8PKv-GyPKeI</t>
        </is>
      </c>
      <c r="C569" s="4" t="inlineStr">
        <is>
          <t>JR Gráfica Rápida e Copiadora</t>
        </is>
      </c>
      <c r="D569" s="4" t="inlineStr">
        <is>
          <t>Porto Velho</t>
        </is>
      </c>
      <c r="E569" s="4" t="inlineStr">
        <is>
          <t>RO</t>
        </is>
      </c>
      <c r="F569" s="4" t="inlineStr">
        <is>
          <t>Capitais Regionais B</t>
        </is>
      </c>
      <c r="G569" s="4" t="inlineStr">
        <is>
          <t>Capital regional</t>
        </is>
      </c>
      <c r="H569" s="5">
        <f>IF(G569="fora do recorte","",SUMPRODUCT(($G$3:$G$1723=G569)*($A$3:$A$1723&lt;=A569)))</f>
        <v/>
      </c>
      <c r="I569" s="4">
        <f>IF(H569="","",G569&amp;"|"&amp;H569)</f>
        <v/>
      </c>
      <c r="J569" s="4" t="inlineStr">
        <is>
          <t>https://www.google.com/maps/search/?api=1&amp;query=JR%20Gr%C3%A1fica%20R%C3%A1pida%20e%20Copiadora&amp;query_place_id=ChIJnXTWOm1bMpIR8PKv-GyPKeI</t>
        </is>
      </c>
      <c r="K569" s="4" t="inlineStr">
        <is>
          <t>R. Plácido de Castro, 7522 - Juscelino Kubitschek, Porto Velho - RO, 76829-386, Brasil</t>
        </is>
      </c>
      <c r="L569" s="4" t="inlineStr">
        <is>
          <t>Porto Velho</t>
        </is>
      </c>
      <c r="M569" s="5" t="n">
        <v>1</v>
      </c>
    </row>
    <row r="570">
      <c r="A570" s="3">
        <f>RAND()</f>
        <v/>
      </c>
      <c r="B570" s="4" t="inlineStr">
        <is>
          <t>ChIJl04-ifFdMpIRyo0TBRDGjgs</t>
        </is>
      </c>
      <c r="C570" s="4" t="inlineStr">
        <is>
          <t>Kalunga - Porto Velho</t>
        </is>
      </c>
      <c r="D570" s="4" t="inlineStr">
        <is>
          <t>Porto Velho</t>
        </is>
      </c>
      <c r="E570" s="4" t="inlineStr">
        <is>
          <t>RO</t>
        </is>
      </c>
      <c r="F570" s="4" t="inlineStr">
        <is>
          <t>Capitais Regionais B</t>
        </is>
      </c>
      <c r="G570" s="4" t="inlineStr">
        <is>
          <t>Capital regional</t>
        </is>
      </c>
      <c r="H570" s="5">
        <f>IF(G570="fora do recorte","",SUMPRODUCT(($G$3:$G$1723=G570)*($A$3:$A$1723&lt;=A570)))</f>
        <v/>
      </c>
      <c r="I570" s="4">
        <f>IF(H570="","",G570&amp;"|"&amp;H570)</f>
        <v/>
      </c>
      <c r="J570" s="4" t="inlineStr">
        <is>
          <t>https://www.google.com/maps/search/?api=1&amp;query=Kalunga%20-%20Porto%20Velho&amp;query_place_id=ChIJl04-ifFdMpIRyo0TBRDGjgs</t>
        </is>
      </c>
      <c r="K570" s="4" t="inlineStr">
        <is>
          <t>Av. Rio Madeira, 3288 Shopping - Flodoaldo Pontes Pinto, Porto Velho - RO, 76820-408, Brasil</t>
        </is>
      </c>
      <c r="L570" s="4" t="inlineStr">
        <is>
          <t>Porto Velho</t>
        </is>
      </c>
      <c r="M570" s="5" t="n">
        <v>1</v>
      </c>
    </row>
    <row r="571">
      <c r="A571" s="3">
        <f>RAND()</f>
        <v/>
      </c>
      <c r="B571" s="4" t="inlineStr">
        <is>
          <t>ChIJizeSopZbMpIR7amBZH6GBDI</t>
        </is>
      </c>
      <c r="C571" s="4" t="inlineStr">
        <is>
          <t>LHPC Games</t>
        </is>
      </c>
      <c r="D571" s="4" t="inlineStr">
        <is>
          <t>Porto Velho</t>
        </is>
      </c>
      <c r="E571" s="4" t="inlineStr">
        <is>
          <t>RO</t>
        </is>
      </c>
      <c r="F571" s="4" t="inlineStr">
        <is>
          <t>Capitais Regionais B</t>
        </is>
      </c>
      <c r="G571" s="4" t="inlineStr">
        <is>
          <t>Capital regional</t>
        </is>
      </c>
      <c r="H571" s="5">
        <f>IF(G571="fora do recorte","",SUMPRODUCT(($G$3:$G$1723=G571)*($A$3:$A$1723&lt;=A571)))</f>
        <v/>
      </c>
      <c r="I571" s="4">
        <f>IF(H571="","",G571&amp;"|"&amp;H571)</f>
        <v/>
      </c>
      <c r="J571" s="4" t="inlineStr">
        <is>
          <t>https://www.google.com/maps/search/?api=1&amp;query=LHPC%20Games&amp;query_place_id=ChIJizeSopZbMpIR7amBZH6GBDI</t>
        </is>
      </c>
      <c r="K571" s="4" t="inlineStr">
        <is>
          <t>R. Ivone Chakian - Juscelino Kubitschek, Porto Velho - RO, 76829-354, Brasil</t>
        </is>
      </c>
      <c r="L571" s="4" t="inlineStr">
        <is>
          <t>Porto Velho</t>
        </is>
      </c>
      <c r="M571" s="5" t="n">
        <v>1</v>
      </c>
    </row>
    <row r="572">
      <c r="A572" s="3">
        <f>RAND()</f>
        <v/>
      </c>
      <c r="B572" s="4" t="inlineStr">
        <is>
          <t>ChIJdcnTAtldMpIR3EL-fla78Og</t>
        </is>
      </c>
      <c r="C572" s="4" t="inlineStr">
        <is>
          <t>Lanna Brinquedos</t>
        </is>
      </c>
      <c r="D572" s="4" t="inlineStr">
        <is>
          <t>Porto Velho</t>
        </is>
      </c>
      <c r="E572" s="4" t="inlineStr">
        <is>
          <t>RO</t>
        </is>
      </c>
      <c r="F572" s="4" t="inlineStr">
        <is>
          <t>Capitais Regionais B</t>
        </is>
      </c>
      <c r="G572" s="4" t="inlineStr">
        <is>
          <t>Capital regional</t>
        </is>
      </c>
      <c r="H572" s="5">
        <f>IF(G572="fora do recorte","",SUMPRODUCT(($G$3:$G$1723=G572)*($A$3:$A$1723&lt;=A572)))</f>
        <v/>
      </c>
      <c r="I572" s="4">
        <f>IF(H572="","",G572&amp;"|"&amp;H572)</f>
        <v/>
      </c>
      <c r="J572" s="4" t="inlineStr">
        <is>
          <t>https://www.google.com/maps/search/?api=1&amp;query=Lanna%20Brinquedos&amp;query_place_id=ChIJdcnTAtldMpIR3EL-fla78Og</t>
        </is>
      </c>
      <c r="K572" s="4" t="inlineStr">
        <is>
          <t>R: José Bonifácio, n° 108 - no camelô - Centro, Porto Velho - RO, 76801-074, Brasil</t>
        </is>
      </c>
      <c r="L572" s="4" t="inlineStr">
        <is>
          <t>Porto Velho</t>
        </is>
      </c>
      <c r="M572" s="5" t="n">
        <v>1</v>
      </c>
    </row>
    <row r="573">
      <c r="A573" s="3">
        <f>RAND()</f>
        <v/>
      </c>
      <c r="B573" s="4" t="inlineStr">
        <is>
          <t>ChIJV4Gh7YBbMpIRkYmRfQ0SZ8o</t>
        </is>
      </c>
      <c r="C573" s="4" t="inlineStr">
        <is>
          <t>Lf infláveis</t>
        </is>
      </c>
      <c r="D573" s="4" t="inlineStr">
        <is>
          <t>Porto Velho</t>
        </is>
      </c>
      <c r="E573" s="4" t="inlineStr">
        <is>
          <t>RO</t>
        </is>
      </c>
      <c r="F573" s="4" t="inlineStr">
        <is>
          <t>Capitais Regionais B</t>
        </is>
      </c>
      <c r="G573" s="4" t="inlineStr">
        <is>
          <t>Capital regional</t>
        </is>
      </c>
      <c r="H573" s="5">
        <f>IF(G573="fora do recorte","",SUMPRODUCT(($G$3:$G$1723=G573)*($A$3:$A$1723&lt;=A573)))</f>
        <v/>
      </c>
      <c r="I573" s="4">
        <f>IF(H573="","",G573&amp;"|"&amp;H573)</f>
        <v/>
      </c>
      <c r="J573" s="4" t="inlineStr">
        <is>
          <t>https://www.google.com/maps/search/?api=1&amp;query=Lf%20infl%C3%A1veis&amp;query_place_id=ChIJV4Gh7YBbMpIRkYmRfQ0SZ8o</t>
        </is>
      </c>
      <c r="K573" s="4" t="inlineStr">
        <is>
          <t>R. América do Sul, 2620 - Três Marias, Porto Velho - RO, 76812-704, Brasil</t>
        </is>
      </c>
      <c r="L573" s="4" t="inlineStr">
        <is>
          <t>Porto Velho</t>
        </is>
      </c>
      <c r="M573" s="5" t="n">
        <v>1</v>
      </c>
    </row>
    <row r="574">
      <c r="A574" s="3">
        <f>RAND()</f>
        <v/>
      </c>
      <c r="B574" s="4" t="inlineStr">
        <is>
          <t>ChIJad5tfa1cMpIRzG4iqpr0yI8</t>
        </is>
      </c>
      <c r="C574" s="4" t="inlineStr">
        <is>
          <t>Livraria Leitura Porto Velho</t>
        </is>
      </c>
      <c r="D574" s="4" t="inlineStr">
        <is>
          <t>Porto Velho</t>
        </is>
      </c>
      <c r="E574" s="4" t="inlineStr">
        <is>
          <t>RO</t>
        </is>
      </c>
      <c r="F574" s="4" t="inlineStr">
        <is>
          <t>Capitais Regionais B</t>
        </is>
      </c>
      <c r="G574" s="4" t="inlineStr">
        <is>
          <t>Capital regional</t>
        </is>
      </c>
      <c r="H574" s="5">
        <f>IF(G574="fora do recorte","",SUMPRODUCT(($G$3:$G$1723=G574)*($A$3:$A$1723&lt;=A574)))</f>
        <v/>
      </c>
      <c r="I574" s="4">
        <f>IF(H574="","",G574&amp;"|"&amp;H574)</f>
        <v/>
      </c>
      <c r="J574" s="4" t="inlineStr">
        <is>
          <t>https://www.google.com/maps/search/?api=1&amp;query=Livraria%20Leitura%20Porto%20Velho&amp;query_place_id=ChIJad5tfa1cMpIRzG4iqpr0yI8</t>
        </is>
      </c>
      <c r="K574" s="4" t="inlineStr">
        <is>
          <t>Av. Rio Madeira, 3288 - Flodoaldo Pontes Pinto, Porto Velho - RO, 76820-408, Brasil</t>
        </is>
      </c>
      <c r="L574" s="4" t="inlineStr">
        <is>
          <t>Porto Velho</t>
        </is>
      </c>
      <c r="M574" s="5" t="n">
        <v>1</v>
      </c>
    </row>
    <row r="575">
      <c r="A575" s="3">
        <f>RAND()</f>
        <v/>
      </c>
      <c r="B575" s="4" t="inlineStr">
        <is>
          <t>ChIJcR7EocRcMpIR7yRsYSrJHSY</t>
        </is>
      </c>
      <c r="C575" s="4" t="inlineStr">
        <is>
          <t>MEA SOLUCOES EM INFORMATICA &amp; CELULARES</t>
        </is>
      </c>
      <c r="D575" s="4" t="inlineStr">
        <is>
          <t>Porto Velho</t>
        </is>
      </c>
      <c r="E575" s="4" t="inlineStr">
        <is>
          <t>RO</t>
        </is>
      </c>
      <c r="F575" s="4" t="inlineStr">
        <is>
          <t>Capitais Regionais B</t>
        </is>
      </c>
      <c r="G575" s="4" t="inlineStr">
        <is>
          <t>Capital regional</t>
        </is>
      </c>
      <c r="H575" s="5">
        <f>IF(G575="fora do recorte","",SUMPRODUCT(($G$3:$G$1723=G575)*($A$3:$A$1723&lt;=A575)))</f>
        <v/>
      </c>
      <c r="I575" s="4">
        <f>IF(H575="","",G575&amp;"|"&amp;H575)</f>
        <v/>
      </c>
      <c r="J575" s="4" t="inlineStr">
        <is>
          <t>https://www.google.com/maps/search/?api=1&amp;query=MEA%20SOLUCOES%20EM%20INFORMATICA%20%26%20CELULARES&amp;query_place_id=ChIJcR7EocRcMpIR7yRsYSrJHSY</t>
        </is>
      </c>
      <c r="K575" s="4" t="inlineStr">
        <is>
          <t>R. Joaquim Nabuco, 2159 - Centro, Porto Velho - RO, 76801-101, Brasil</t>
        </is>
      </c>
      <c r="L575" s="4" t="inlineStr">
        <is>
          <t>Porto Velho</t>
        </is>
      </c>
      <c r="M575" s="5" t="n">
        <v>1</v>
      </c>
    </row>
    <row r="576">
      <c r="A576" s="3">
        <f>RAND()</f>
        <v/>
      </c>
      <c r="B576" s="4" t="inlineStr">
        <is>
          <t>ChIJ93U0FNlcMpIR58xxQhIUess</t>
        </is>
      </c>
      <c r="C576" s="4" t="inlineStr">
        <is>
          <t>Mary Janne Bar</t>
        </is>
      </c>
      <c r="D576" s="4" t="inlineStr">
        <is>
          <t>Porto Velho</t>
        </is>
      </c>
      <c r="E576" s="4" t="inlineStr">
        <is>
          <t>RO</t>
        </is>
      </c>
      <c r="F576" s="4" t="inlineStr">
        <is>
          <t>Capitais Regionais B</t>
        </is>
      </c>
      <c r="G576" s="4" t="inlineStr">
        <is>
          <t>Capital regional</t>
        </is>
      </c>
      <c r="H576" s="5">
        <f>IF(G576="fora do recorte","",SUMPRODUCT(($G$3:$G$1723=G576)*($A$3:$A$1723&lt;=A576)))</f>
        <v/>
      </c>
      <c r="I576" s="4">
        <f>IF(H576="","",G576&amp;"|"&amp;H576)</f>
        <v/>
      </c>
      <c r="J576" s="4" t="inlineStr">
        <is>
          <t>https://www.google.com/maps/search/?api=1&amp;query=Mary%20Janne%20Bar&amp;query_place_id=ChIJ93U0FNlcMpIR58xxQhIUess</t>
        </is>
      </c>
      <c r="K576" s="4" t="inlineStr">
        <is>
          <t>Av. Carlos Gomes, 543 - Caiari, Porto Velho - RO, 76801-166, Brasil</t>
        </is>
      </c>
      <c r="L576" s="4" t="inlineStr">
        <is>
          <t>Porto Velho</t>
        </is>
      </c>
      <c r="M576" s="5" t="n">
        <v>2</v>
      </c>
    </row>
    <row r="577">
      <c r="A577" s="3">
        <f>RAND()</f>
        <v/>
      </c>
      <c r="B577" s="4" t="inlineStr">
        <is>
          <t>ChIJGfYibDNDMpIRHDhkwnRNmBc</t>
        </is>
      </c>
      <c r="C577" s="4" t="inlineStr">
        <is>
          <t>Maternar e Brincar</t>
        </is>
      </c>
      <c r="D577" s="4" t="inlineStr">
        <is>
          <t>Porto Velho</t>
        </is>
      </c>
      <c r="E577" s="4" t="inlineStr">
        <is>
          <t>RO</t>
        </is>
      </c>
      <c r="F577" s="4" t="inlineStr">
        <is>
          <t>Capitais Regionais B</t>
        </is>
      </c>
      <c r="G577" s="4" t="inlineStr">
        <is>
          <t>Capital regional</t>
        </is>
      </c>
      <c r="H577" s="5">
        <f>IF(G577="fora do recorte","",SUMPRODUCT(($G$3:$G$1723=G577)*($A$3:$A$1723&lt;=A577)))</f>
        <v/>
      </c>
      <c r="I577" s="4">
        <f>IF(H577="","",G577&amp;"|"&amp;H577)</f>
        <v/>
      </c>
      <c r="J577" s="4" t="inlineStr">
        <is>
          <t>https://www.google.com/maps/search/?api=1&amp;query=Maternar%20e%20Brincar&amp;query_place_id=ChIJGfYibDNDMpIRHDhkwnRNmBc</t>
        </is>
      </c>
      <c r="K577" s="4" t="inlineStr">
        <is>
          <t>R. Sebastião Barrozo, 1432 - Pedrinhas, Porto Velho - RO, 76801-514, Brasil</t>
        </is>
      </c>
      <c r="L577" s="4" t="inlineStr">
        <is>
          <t>Porto Velho</t>
        </is>
      </c>
      <c r="M577" s="5" t="n">
        <v>1</v>
      </c>
    </row>
    <row r="578">
      <c r="A578" s="3">
        <f>RAND()</f>
        <v/>
      </c>
      <c r="B578" s="4" t="inlineStr">
        <is>
          <t>ChIJ5ytVcmFcMpIRaaN80JSj0JM</t>
        </is>
      </c>
      <c r="C578" s="4" t="inlineStr">
        <is>
          <t>Neo Zeen Cyber Lan</t>
        </is>
      </c>
      <c r="D578" s="4" t="inlineStr">
        <is>
          <t>Porto Velho</t>
        </is>
      </c>
      <c r="E578" s="4" t="inlineStr">
        <is>
          <t>RO</t>
        </is>
      </c>
      <c r="F578" s="4" t="inlineStr">
        <is>
          <t>Capitais Regionais B</t>
        </is>
      </c>
      <c r="G578" s="4" t="inlineStr">
        <is>
          <t>Capital regional</t>
        </is>
      </c>
      <c r="H578" s="5">
        <f>IF(G578="fora do recorte","",SUMPRODUCT(($G$3:$G$1723=G578)*($A$3:$A$1723&lt;=A578)))</f>
        <v/>
      </c>
      <c r="I578" s="4">
        <f>IF(H578="","",G578&amp;"|"&amp;H578)</f>
        <v/>
      </c>
      <c r="J578" s="4" t="inlineStr">
        <is>
          <t>https://www.google.com/maps/search/?api=1&amp;query=Neo%20Zeen%20Cyber%20Lan&amp;query_place_id=ChIJ5ytVcmFcMpIRaaN80JSj0JM</t>
        </is>
      </c>
      <c r="K578" s="4" t="inlineStr">
        <is>
          <t>R. Três e Meio, 2341 - Cohab, Porto Velho - RO, 76806-170, Brasil</t>
        </is>
      </c>
      <c r="L578" s="4" t="inlineStr">
        <is>
          <t>Porto Velho</t>
        </is>
      </c>
      <c r="M578" s="5" t="n">
        <v>1</v>
      </c>
    </row>
    <row r="579">
      <c r="A579" s="3">
        <f>RAND()</f>
        <v/>
      </c>
      <c r="B579" s="4" t="inlineStr">
        <is>
          <t>ChIJ4Zqy0mJbMpIRJpTc07jkgjo</t>
        </is>
      </c>
      <c r="C579" s="4" t="inlineStr">
        <is>
          <t>Onyx Snooker Bar</t>
        </is>
      </c>
      <c r="D579" s="4" t="inlineStr">
        <is>
          <t>Porto Velho</t>
        </is>
      </c>
      <c r="E579" s="4" t="inlineStr">
        <is>
          <t>RO</t>
        </is>
      </c>
      <c r="F579" s="4" t="inlineStr">
        <is>
          <t>Capitais Regionais B</t>
        </is>
      </c>
      <c r="G579" s="4" t="inlineStr">
        <is>
          <t>Capital regional</t>
        </is>
      </c>
      <c r="H579" s="5">
        <f>IF(G579="fora do recorte","",SUMPRODUCT(($G$3:$G$1723=G579)*($A$3:$A$1723&lt;=A579)))</f>
        <v/>
      </c>
      <c r="I579" s="4">
        <f>IF(H579="","",G579&amp;"|"&amp;H579)</f>
        <v/>
      </c>
      <c r="J579" s="4" t="inlineStr">
        <is>
          <t>https://www.google.com/maps/search/?api=1&amp;query=Onyx%20Snooker%20Bar&amp;query_place_id=ChIJ4Zqy0mJbMpIRJpTc07jkgjo</t>
        </is>
      </c>
      <c r="K579" s="4" t="inlineStr">
        <is>
          <t>Av. Guaporé, 3066 - Tiradentes, Porto Velho - RO, 76829-726, Brasil</t>
        </is>
      </c>
      <c r="L579" s="4" t="inlineStr">
        <is>
          <t>Porto Velho</t>
        </is>
      </c>
      <c r="M579" s="5" t="n">
        <v>1</v>
      </c>
    </row>
    <row r="580">
      <c r="A580" s="3">
        <f>RAND()</f>
        <v/>
      </c>
      <c r="B580" s="4" t="inlineStr">
        <is>
          <t>ChIJHdKkXFtcMpIRFdSolBRO3GQ</t>
        </is>
      </c>
      <c r="C580" s="4" t="inlineStr">
        <is>
          <t>Original Conveniência Sul</t>
        </is>
      </c>
      <c r="D580" s="4" t="inlineStr">
        <is>
          <t>Porto Velho</t>
        </is>
      </c>
      <c r="E580" s="4" t="inlineStr">
        <is>
          <t>RO</t>
        </is>
      </c>
      <c r="F580" s="4" t="inlineStr">
        <is>
          <t>Capitais Regionais B</t>
        </is>
      </c>
      <c r="G580" s="4" t="inlineStr">
        <is>
          <t>Capital regional</t>
        </is>
      </c>
      <c r="H580" s="5">
        <f>IF(G580="fora do recorte","",SUMPRODUCT(($G$3:$G$1723=G580)*($A$3:$A$1723&lt;=A580)))</f>
        <v/>
      </c>
      <c r="I580" s="4">
        <f>IF(H580="","",G580&amp;"|"&amp;H580)</f>
        <v/>
      </c>
      <c r="J580" s="4" t="inlineStr">
        <is>
          <t>https://www.google.com/maps/search/?api=1&amp;query=Original%20Conveni%C3%AAncia%20Sul&amp;query_place_id=ChIJHdKkXFtcMpIRFdSolBRO3GQ</t>
        </is>
      </c>
      <c r="K580" s="4" t="inlineStr">
        <is>
          <t>Av. Campos Sales, 5061 - Nova Floresta, Porto Velho - RO, 76808-455, Brasil</t>
        </is>
      </c>
      <c r="L580" s="4" t="inlineStr">
        <is>
          <t>Porto Velho</t>
        </is>
      </c>
      <c r="M580" s="5" t="n">
        <v>2</v>
      </c>
    </row>
    <row r="581">
      <c r="A581" s="3">
        <f>RAND()</f>
        <v/>
      </c>
      <c r="B581" s="4" t="inlineStr">
        <is>
          <t>ChIJCaVRkapEMpIRjzPq0gKV8eg</t>
        </is>
      </c>
      <c r="C581" s="4" t="inlineStr">
        <is>
          <t>POWER GAMES INFORMATICA - VENDAS E ASSISTENCIA TECNICA</t>
        </is>
      </c>
      <c r="D581" s="4" t="inlineStr">
        <is>
          <t>Porto Velho</t>
        </is>
      </c>
      <c r="E581" s="4" t="inlineStr">
        <is>
          <t>RO</t>
        </is>
      </c>
      <c r="F581" s="4" t="inlineStr">
        <is>
          <t>Capitais Regionais B</t>
        </is>
      </c>
      <c r="G581" s="4" t="inlineStr">
        <is>
          <t>Capital regional</t>
        </is>
      </c>
      <c r="H581" s="5">
        <f>IF(G581="fora do recorte","",SUMPRODUCT(($G$3:$G$1723=G581)*($A$3:$A$1723&lt;=A581)))</f>
        <v/>
      </c>
      <c r="I581" s="4">
        <f>IF(H581="","",G581&amp;"|"&amp;H581)</f>
        <v/>
      </c>
      <c r="J581" s="4" t="inlineStr">
        <is>
          <t>https://www.google.com/maps/search/?api=1&amp;query=POWER%20GAMES%20INFORMATICA%20-%20VENDAS%20E%20ASSISTENCIA%20TECNICA&amp;query_place_id=ChIJCaVRkapEMpIRjzPq0gKV8eg</t>
        </is>
      </c>
      <c r="K581" s="4" t="inlineStr">
        <is>
          <t>Av. Mamoré, 2309 - Três Marias, Porto Velho - RO, 76812-741, Brasil</t>
        </is>
      </c>
      <c r="L581" s="4" t="inlineStr">
        <is>
          <t>Porto Velho</t>
        </is>
      </c>
      <c r="M581" s="5" t="n">
        <v>1</v>
      </c>
    </row>
    <row r="582">
      <c r="A582" s="3">
        <f>RAND()</f>
        <v/>
      </c>
      <c r="B582" s="4" t="inlineStr">
        <is>
          <t>ChIJAZcqFgBdMpIRltw0TvE8U5M</t>
        </is>
      </c>
      <c r="C582" s="4" t="inlineStr">
        <is>
          <t>Park Sul</t>
        </is>
      </c>
      <c r="D582" s="4" t="inlineStr">
        <is>
          <t>Porto Velho</t>
        </is>
      </c>
      <c r="E582" s="4" t="inlineStr">
        <is>
          <t>RO</t>
        </is>
      </c>
      <c r="F582" s="4" t="inlineStr">
        <is>
          <t>Capitais Regionais B</t>
        </is>
      </c>
      <c r="G582" s="4" t="inlineStr">
        <is>
          <t>Capital regional</t>
        </is>
      </c>
      <c r="H582" s="5">
        <f>IF(G582="fora do recorte","",SUMPRODUCT(($G$3:$G$1723=G582)*($A$3:$A$1723&lt;=A582)))</f>
        <v/>
      </c>
      <c r="I582" s="4">
        <f>IF(H582="","",G582&amp;"|"&amp;H582)</f>
        <v/>
      </c>
      <c r="J582" s="4" t="inlineStr">
        <is>
          <t>https://www.google.com/maps/search/?api=1&amp;query=Park%20Sul&amp;query_place_id=ChIJAZcqFgBdMpIRltw0TvE8U5M</t>
        </is>
      </c>
      <c r="K582" s="4" t="inlineStr">
        <is>
          <t>R. Sucupira - Nova Floresta, Porto Velho - RO, 76807-312, Brasil</t>
        </is>
      </c>
      <c r="L582" s="4" t="inlineStr">
        <is>
          <t>Porto Velho</t>
        </is>
      </c>
      <c r="M582" s="5" t="n">
        <v>1</v>
      </c>
    </row>
    <row r="583">
      <c r="A583" s="3">
        <f>RAND()</f>
        <v/>
      </c>
      <c r="B583" s="4" t="inlineStr">
        <is>
          <t>ChIJI0q7RDNdMpIR2fTwiVP_c-M</t>
        </is>
      </c>
      <c r="C583" s="4" t="inlineStr">
        <is>
          <t>Park Sul PVH</t>
        </is>
      </c>
      <c r="D583" s="4" t="inlineStr">
        <is>
          <t>Porto Velho</t>
        </is>
      </c>
      <c r="E583" s="4" t="inlineStr">
        <is>
          <t>RO</t>
        </is>
      </c>
      <c r="F583" s="4" t="inlineStr">
        <is>
          <t>Capitais Regionais B</t>
        </is>
      </c>
      <c r="G583" s="4" t="inlineStr">
        <is>
          <t>Capital regional</t>
        </is>
      </c>
      <c r="H583" s="5">
        <f>IF(G583="fora do recorte","",SUMPRODUCT(($G$3:$G$1723=G583)*($A$3:$A$1723&lt;=A583)))</f>
        <v/>
      </c>
      <c r="I583" s="4">
        <f>IF(H583="","",G583&amp;"|"&amp;H583)</f>
        <v/>
      </c>
      <c r="J583" s="4" t="inlineStr">
        <is>
          <t>https://www.google.com/maps/search/?api=1&amp;query=Park%20Sul%20PVH&amp;query_place_id=ChIJI0q7RDNdMpIR2fTwiVP_c-M</t>
        </is>
      </c>
      <c r="K583" s="4" t="inlineStr">
        <is>
          <t>R. Sucupira, 4157 - Nova Floresta, Porto Velho - RO, 76807-146, Brasil</t>
        </is>
      </c>
      <c r="L583" s="4" t="inlineStr">
        <is>
          <t>Porto Velho</t>
        </is>
      </c>
      <c r="M583" s="5" t="n">
        <v>1</v>
      </c>
    </row>
    <row r="584">
      <c r="A584" s="3">
        <f>RAND()</f>
        <v/>
      </c>
      <c r="B584" s="4" t="inlineStr">
        <is>
          <t>ChIJSy7xgLJcMpIRipLTwzwPU3w</t>
        </is>
      </c>
      <c r="C584" s="4" t="inlineStr">
        <is>
          <t>Planet Park</t>
        </is>
      </c>
      <c r="D584" s="4" t="inlineStr">
        <is>
          <t>Porto Velho</t>
        </is>
      </c>
      <c r="E584" s="4" t="inlineStr">
        <is>
          <t>RO</t>
        </is>
      </c>
      <c r="F584" s="4" t="inlineStr">
        <is>
          <t>Capitais Regionais B</t>
        </is>
      </c>
      <c r="G584" s="4" t="inlineStr">
        <is>
          <t>Capital regional</t>
        </is>
      </c>
      <c r="H584" s="5">
        <f>IF(G584="fora do recorte","",SUMPRODUCT(($G$3:$G$1723=G584)*($A$3:$A$1723&lt;=A584)))</f>
        <v/>
      </c>
      <c r="I584" s="4">
        <f>IF(H584="","",G584&amp;"|"&amp;H584)</f>
        <v/>
      </c>
      <c r="J584" s="4" t="inlineStr">
        <is>
          <t>https://www.google.com/maps/search/?api=1&amp;query=Planet%20Park&amp;query_place_id=ChIJSy7xgLJcMpIRipLTwzwPU3w</t>
        </is>
      </c>
      <c r="K584" s="4" t="inlineStr">
        <is>
          <t>Av. Rio Madeira, 3288 - Flodoaldo Pontes Pinto, Porto Velho - RO, 76820-408, Brasil</t>
        </is>
      </c>
      <c r="L584" s="4" t="inlineStr">
        <is>
          <t>Porto Velho</t>
        </is>
      </c>
      <c r="M584" s="5" t="n">
        <v>2</v>
      </c>
    </row>
    <row r="585">
      <c r="A585" s="3">
        <f>RAND()</f>
        <v/>
      </c>
      <c r="B585" s="4" t="inlineStr">
        <is>
          <t>ChIJMbKFl8NcMpIRo5zkyWGB8BM</t>
        </is>
      </c>
      <c r="C585" s="4" t="inlineStr">
        <is>
          <t>Pub Bar Informal</t>
        </is>
      </c>
      <c r="D585" s="4" t="inlineStr">
        <is>
          <t>Porto Velho</t>
        </is>
      </c>
      <c r="E585" s="4" t="inlineStr">
        <is>
          <t>RO</t>
        </is>
      </c>
      <c r="F585" s="4" t="inlineStr">
        <is>
          <t>Capitais Regionais B</t>
        </is>
      </c>
      <c r="G585" s="4" t="inlineStr">
        <is>
          <t>Capital regional</t>
        </is>
      </c>
      <c r="H585" s="5">
        <f>IF(G585="fora do recorte","",SUMPRODUCT(($G$3:$G$1723=G585)*($A$3:$A$1723&lt;=A585)))</f>
        <v/>
      </c>
      <c r="I585" s="4">
        <f>IF(H585="","",G585&amp;"|"&amp;H585)</f>
        <v/>
      </c>
      <c r="J585" s="4" t="inlineStr">
        <is>
          <t>https://www.google.com/maps/search/?api=1&amp;query=Pub%20Bar%20Informal&amp;query_place_id=ChIJMbKFl8NcMpIRo5zkyWGB8BM</t>
        </is>
      </c>
      <c r="K585" s="4" t="inlineStr">
        <is>
          <t>R. Brasília, 1962 - Km 1, Porto Velho - RO, 76804-098, Brasil</t>
        </is>
      </c>
      <c r="L585" s="4" t="inlineStr">
        <is>
          <t>Porto Velho</t>
        </is>
      </c>
      <c r="M585" s="5" t="n">
        <v>2</v>
      </c>
    </row>
    <row r="586">
      <c r="A586" s="3">
        <f>RAND()</f>
        <v/>
      </c>
      <c r="B586" s="4" t="inlineStr">
        <is>
          <t>ChIJFZqkv_xdMpIRvDfiA5KEZis</t>
        </is>
      </c>
      <c r="C586" s="4" t="inlineStr">
        <is>
          <t>Quiosque da sul</t>
        </is>
      </c>
      <c r="D586" s="4" t="inlineStr">
        <is>
          <t>Porto Velho</t>
        </is>
      </c>
      <c r="E586" s="4" t="inlineStr">
        <is>
          <t>RO</t>
        </is>
      </c>
      <c r="F586" s="4" t="inlineStr">
        <is>
          <t>Capitais Regionais B</t>
        </is>
      </c>
      <c r="G586" s="4" t="inlineStr">
        <is>
          <t>Capital regional</t>
        </is>
      </c>
      <c r="H586" s="5">
        <f>IF(G586="fora do recorte","",SUMPRODUCT(($G$3:$G$1723=G586)*($A$3:$A$1723&lt;=A586)))</f>
        <v/>
      </c>
      <c r="I586" s="4">
        <f>IF(H586="","",G586&amp;"|"&amp;H586)</f>
        <v/>
      </c>
      <c r="J586" s="4" t="inlineStr">
        <is>
          <t>https://www.google.com/maps/search/?api=1&amp;query=Quiosque%20da%20sul&amp;query_place_id=ChIJFZqkv_xdMpIRvDfiA5KEZis</t>
        </is>
      </c>
      <c r="K586" s="4" t="inlineStr">
        <is>
          <t>Av. Jatuarana, 5467 - Nova Floresta, Porto Velho - RO, 76807-525, Brasil</t>
        </is>
      </c>
      <c r="L586" s="4" t="inlineStr">
        <is>
          <t>Porto Velho</t>
        </is>
      </c>
      <c r="M586" s="5" t="n">
        <v>1</v>
      </c>
    </row>
    <row r="587">
      <c r="A587" s="3">
        <f>RAND()</f>
        <v/>
      </c>
      <c r="B587" s="4" t="inlineStr">
        <is>
          <t>ChIJwUt2F_NdMpIRivJWmU-KqXo</t>
        </is>
      </c>
      <c r="C587" s="4" t="inlineStr">
        <is>
          <t>RI HAPPY PORTO VELHO</t>
        </is>
      </c>
      <c r="D587" s="4" t="inlineStr">
        <is>
          <t>Porto Velho</t>
        </is>
      </c>
      <c r="E587" s="4" t="inlineStr">
        <is>
          <t>RO</t>
        </is>
      </c>
      <c r="F587" s="4" t="inlineStr">
        <is>
          <t>Capitais Regionais B</t>
        </is>
      </c>
      <c r="G587" s="4" t="inlineStr">
        <is>
          <t>Capital regional</t>
        </is>
      </c>
      <c r="H587" s="5">
        <f>IF(G587="fora do recorte","",SUMPRODUCT(($G$3:$G$1723=G587)*($A$3:$A$1723&lt;=A587)))</f>
        <v/>
      </c>
      <c r="I587" s="4">
        <f>IF(H587="","",G587&amp;"|"&amp;H587)</f>
        <v/>
      </c>
      <c r="J587" s="4" t="inlineStr">
        <is>
          <t>https://www.google.com/maps/search/?api=1&amp;query=RI%20HAPPY%20PORTO%20VELHO&amp;query_place_id=ChIJwUt2F_NdMpIRivJWmU-KqXo</t>
        </is>
      </c>
      <c r="K587" s="4" t="inlineStr">
        <is>
          <t>Av. Carlos Gomes, 2471 - São Cristóvão, Porto Velho - RO, 76804-021, Brasil</t>
        </is>
      </c>
      <c r="L587" s="4" t="inlineStr">
        <is>
          <t>Porto Velho</t>
        </is>
      </c>
      <c r="M587" s="5" t="n">
        <v>1</v>
      </c>
    </row>
    <row r="588">
      <c r="A588" s="3">
        <f>RAND()</f>
        <v/>
      </c>
      <c r="B588" s="4" t="inlineStr">
        <is>
          <t>ChIJb4vvqcddMpIRA2Kkkv7eTGg</t>
        </is>
      </c>
      <c r="C588" s="4" t="inlineStr">
        <is>
          <t>SPACE GAMER &amp; ESCOLA MEGAMENTE - LOJA E ESPAÇO GAMER</t>
        </is>
      </c>
      <c r="D588" s="4" t="inlineStr">
        <is>
          <t>Porto Velho</t>
        </is>
      </c>
      <c r="E588" s="4" t="inlineStr">
        <is>
          <t>RO</t>
        </is>
      </c>
      <c r="F588" s="4" t="inlineStr">
        <is>
          <t>Capitais Regionais B</t>
        </is>
      </c>
      <c r="G588" s="4" t="inlineStr">
        <is>
          <t>Capital regional</t>
        </is>
      </c>
      <c r="H588" s="5">
        <f>IF(G588="fora do recorte","",SUMPRODUCT(($G$3:$G$1723=G588)*($A$3:$A$1723&lt;=A588)))</f>
        <v/>
      </c>
      <c r="I588" s="4">
        <f>IF(H588="","",G588&amp;"|"&amp;H588)</f>
        <v/>
      </c>
      <c r="J588" s="4" t="inlineStr">
        <is>
          <t>https://www.google.com/maps/search/?api=1&amp;query=SPACE%20GAMER%20%26%20ESCOLA%20MEGAMENTE%20-%20LOJA%20E%20ESPA%C3%87O%20GAMER&amp;query_place_id=ChIJb4vvqcddMpIRA2Kkkv7eTGg</t>
        </is>
      </c>
      <c r="K588" s="4" t="inlineStr">
        <is>
          <t>Av. Rio Madeira, 3288 - (Shopping - Flodoaldo Pontes Pinto, Porto Velho - RO, 76820-408, Brasil</t>
        </is>
      </c>
      <c r="L588" s="4" t="inlineStr">
        <is>
          <t>Porto Velho</t>
        </is>
      </c>
      <c r="M588" s="5" t="n">
        <v>4</v>
      </c>
    </row>
    <row r="589">
      <c r="A589" s="3">
        <f>RAND()</f>
        <v/>
      </c>
      <c r="B589" s="4" t="inlineStr">
        <is>
          <t>ChIJm3xrq8lcMpIR7DEbz8xF2P0</t>
        </is>
      </c>
      <c r="C589" s="4" t="inlineStr">
        <is>
          <t>Socibra</t>
        </is>
      </c>
      <c r="D589" s="4" t="inlineStr">
        <is>
          <t>Porto Velho</t>
        </is>
      </c>
      <c r="E589" s="4" t="inlineStr">
        <is>
          <t>RO</t>
        </is>
      </c>
      <c r="F589" s="4" t="inlineStr">
        <is>
          <t>Capitais Regionais B</t>
        </is>
      </c>
      <c r="G589" s="4" t="inlineStr">
        <is>
          <t>Capital regional</t>
        </is>
      </c>
      <c r="H589" s="5">
        <f>IF(G589="fora do recorte","",SUMPRODUCT(($G$3:$G$1723=G589)*($A$3:$A$1723&lt;=A589)))</f>
        <v/>
      </c>
      <c r="I589" s="4">
        <f>IF(H589="","",G589&amp;"|"&amp;H589)</f>
        <v/>
      </c>
      <c r="J589" s="4" t="inlineStr">
        <is>
          <t>https://www.google.com/maps/search/?api=1&amp;query=Socibra&amp;query_place_id=ChIJm3xrq8lcMpIR7DEbz8xF2P0</t>
        </is>
      </c>
      <c r="K589" s="4" t="inlineStr">
        <is>
          <t>R. Rafael Vaz e Silva, 3091 - Liberdade, Porto Velho - RO, 76803-870, Brasil</t>
        </is>
      </c>
      <c r="L589" s="4" t="inlineStr">
        <is>
          <t>Porto Velho</t>
        </is>
      </c>
      <c r="M589" s="5" t="n">
        <v>1</v>
      </c>
    </row>
    <row r="590">
      <c r="A590" s="3">
        <f>RAND()</f>
        <v/>
      </c>
      <c r="B590" s="4" t="inlineStr">
        <is>
          <t>ChIJCTbSUsVcMpIREnhUBIAW2JA</t>
        </is>
      </c>
      <c r="C590" s="4" t="inlineStr">
        <is>
          <t>Strike364 - Boliche &amp; Lounge Bar - Porto Velho</t>
        </is>
      </c>
      <c r="D590" s="4" t="inlineStr">
        <is>
          <t>Porto Velho</t>
        </is>
      </c>
      <c r="E590" s="4" t="inlineStr">
        <is>
          <t>RO</t>
        </is>
      </c>
      <c r="F590" s="4" t="inlineStr">
        <is>
          <t>Capitais Regionais B</t>
        </is>
      </c>
      <c r="G590" s="4" t="inlineStr">
        <is>
          <t>Capital regional</t>
        </is>
      </c>
      <c r="H590" s="5">
        <f>IF(G590="fora do recorte","",SUMPRODUCT(($G$3:$G$1723=G590)*($A$3:$A$1723&lt;=A590)))</f>
        <v/>
      </c>
      <c r="I590" s="4">
        <f>IF(H590="","",G590&amp;"|"&amp;H590)</f>
        <v/>
      </c>
      <c r="J590" s="4" t="inlineStr">
        <is>
          <t>https://www.google.com/maps/search/?api=1&amp;query=Strike364%20-%20Boliche%20%26%20Lounge%20Bar%20-%20Porto%20Velho&amp;query_place_id=ChIJCTbSUsVcMpIREnhUBIAW2JA</t>
        </is>
      </c>
      <c r="K590" s="4" t="inlineStr">
        <is>
          <t>Av. Pinheiro Machado, 1500 - Centro, Porto Velho - RO, 76820-838, Brasil</t>
        </is>
      </c>
      <c r="L590" s="4" t="inlineStr">
        <is>
          <t>Porto Velho</t>
        </is>
      </c>
      <c r="M590" s="5" t="n">
        <v>2</v>
      </c>
    </row>
    <row r="591">
      <c r="A591" s="3">
        <f>RAND()</f>
        <v/>
      </c>
      <c r="B591" s="4" t="inlineStr">
        <is>
          <t>ChIJ_f9s4YBdMpIRn_lSDk_00P8</t>
        </is>
      </c>
      <c r="C591" s="4" t="inlineStr">
        <is>
          <t>Sutil Gastrobeer</t>
        </is>
      </c>
      <c r="D591" s="4" t="inlineStr">
        <is>
          <t>Porto Velho</t>
        </is>
      </c>
      <c r="E591" s="4" t="inlineStr">
        <is>
          <t>RO</t>
        </is>
      </c>
      <c r="F591" s="4" t="inlineStr">
        <is>
          <t>Capitais Regionais B</t>
        </is>
      </c>
      <c r="G591" s="4" t="inlineStr">
        <is>
          <t>Capital regional</t>
        </is>
      </c>
      <c r="H591" s="5">
        <f>IF(G591="fora do recorte","",SUMPRODUCT(($G$3:$G$1723=G591)*($A$3:$A$1723&lt;=A591)))</f>
        <v/>
      </c>
      <c r="I591" s="4">
        <f>IF(H591="","",G591&amp;"|"&amp;H591)</f>
        <v/>
      </c>
      <c r="J591" s="4" t="inlineStr">
        <is>
          <t>https://www.google.com/maps/search/?api=1&amp;query=Sutil%20Gastrobeer&amp;query_place_id=ChIJ_f9s4YBdMpIRn_lSDk_00P8</t>
        </is>
      </c>
      <c r="K591" s="4" t="inlineStr">
        <is>
          <t>Av. Jatuarana, 6380 - Eldorado, Porto Velho - RO, 76811-898, Brasil</t>
        </is>
      </c>
      <c r="L591" s="4" t="inlineStr">
        <is>
          <t>Porto Velho</t>
        </is>
      </c>
      <c r="M591" s="5" t="n">
        <v>2</v>
      </c>
    </row>
    <row r="592">
      <c r="A592" s="3">
        <f>RAND()</f>
        <v/>
      </c>
      <c r="B592" s="4" t="inlineStr">
        <is>
          <t>ChIJiYZ3WWZcMpIRgKNI1baLPD4</t>
        </is>
      </c>
      <c r="C592" s="4" t="inlineStr">
        <is>
          <t>Só Games Cell Parts - Assistência Técnica Apple</t>
        </is>
      </c>
      <c r="D592" s="4" t="inlineStr">
        <is>
          <t>Porto Velho</t>
        </is>
      </c>
      <c r="E592" s="4" t="inlineStr">
        <is>
          <t>RO</t>
        </is>
      </c>
      <c r="F592" s="4" t="inlineStr">
        <is>
          <t>Capitais Regionais B</t>
        </is>
      </c>
      <c r="G592" s="4" t="inlineStr">
        <is>
          <t>Capital regional</t>
        </is>
      </c>
      <c r="H592" s="5">
        <f>IF(G592="fora do recorte","",SUMPRODUCT(($G$3:$G$1723=G592)*($A$3:$A$1723&lt;=A592)))</f>
        <v/>
      </c>
      <c r="I592" s="4">
        <f>IF(H592="","",G592&amp;"|"&amp;H592)</f>
        <v/>
      </c>
      <c r="J592" s="4" t="inlineStr">
        <is>
          <t>https://www.google.com/maps/search/?api=1&amp;query=S%C3%B3%20Games%20Cell%20Parts%20-%20Assist%C3%AAncia%20T%C3%A9cnica%20Apple&amp;query_place_id=ChIJiYZ3WWZcMpIRgKNI1baLPD4</t>
        </is>
      </c>
      <c r="K592" s="4" t="inlineStr">
        <is>
          <t>R. Tancredo Neves, 3373 - Caladinho, Porto Velho - RO, 76808-118, Brasil</t>
        </is>
      </c>
      <c r="L592" s="4" t="inlineStr">
        <is>
          <t>Porto Velho</t>
        </is>
      </c>
      <c r="M592" s="5" t="n">
        <v>3</v>
      </c>
    </row>
    <row r="593">
      <c r="A593" s="3">
        <f>RAND()</f>
        <v/>
      </c>
      <c r="B593" s="4" t="inlineStr">
        <is>
          <t>ChIJq_SRSCBdMpIRdWsaqYv33dQ</t>
        </is>
      </c>
      <c r="C593" s="4" t="inlineStr">
        <is>
          <t>Tacos Lounge Bar</t>
        </is>
      </c>
      <c r="D593" s="4" t="inlineStr">
        <is>
          <t>Porto Velho</t>
        </is>
      </c>
      <c r="E593" s="4" t="inlineStr">
        <is>
          <t>RO</t>
        </is>
      </c>
      <c r="F593" s="4" t="inlineStr">
        <is>
          <t>Capitais Regionais B</t>
        </is>
      </c>
      <c r="G593" s="4" t="inlineStr">
        <is>
          <t>Capital regional</t>
        </is>
      </c>
      <c r="H593" s="5">
        <f>IF(G593="fora do recorte","",SUMPRODUCT(($G$3:$G$1723=G593)*($A$3:$A$1723&lt;=A593)))</f>
        <v/>
      </c>
      <c r="I593" s="4">
        <f>IF(H593="","",G593&amp;"|"&amp;H593)</f>
        <v/>
      </c>
      <c r="J593" s="4" t="inlineStr">
        <is>
          <t>https://www.google.com/maps/search/?api=1&amp;query=Tacos%20Lounge%20Bar&amp;query_place_id=ChIJq_SRSCBdMpIRdWsaqYv33dQ</t>
        </is>
      </c>
      <c r="K593" s="4" t="inlineStr">
        <is>
          <t>R. Joaquim Nabuco, 2699 - Olaria, Porto Velho - RO, 76801-261, Brasil</t>
        </is>
      </c>
      <c r="L593" s="4" t="inlineStr">
        <is>
          <t>Porto Velho</t>
        </is>
      </c>
      <c r="M593" s="5" t="n">
        <v>3</v>
      </c>
    </row>
    <row r="594">
      <c r="A594" s="3">
        <f>RAND()</f>
        <v/>
      </c>
      <c r="B594" s="4" t="inlineStr">
        <is>
          <t>ChIJA1mO9ddbMpIRL0v4xu7Euuo</t>
        </is>
      </c>
      <c r="C594" s="4" t="inlineStr">
        <is>
          <t>Toy Brazil</t>
        </is>
      </c>
      <c r="D594" s="4" t="inlineStr">
        <is>
          <t>Porto Velho</t>
        </is>
      </c>
      <c r="E594" s="4" t="inlineStr">
        <is>
          <t>RO</t>
        </is>
      </c>
      <c r="F594" s="4" t="inlineStr">
        <is>
          <t>Capitais Regionais B</t>
        </is>
      </c>
      <c r="G594" s="4" t="inlineStr">
        <is>
          <t>Capital regional</t>
        </is>
      </c>
      <c r="H594" s="5">
        <f>IF(G594="fora do recorte","",SUMPRODUCT(($G$3:$G$1723=G594)*($A$3:$A$1723&lt;=A594)))</f>
        <v/>
      </c>
      <c r="I594" s="4">
        <f>IF(H594="","",G594&amp;"|"&amp;H594)</f>
        <v/>
      </c>
      <c r="J594" s="4" t="inlineStr">
        <is>
          <t>https://www.google.com/maps/search/?api=1&amp;query=Toy%20Brazil&amp;query_place_id=ChIJA1mO9ddbMpIRL0v4xu7Euuo</t>
        </is>
      </c>
      <c r="K594" s="4" t="inlineStr">
        <is>
          <t>IG Shopping - Av. Amazonas, 8338 - Tiradentes, Porto Velho - RO, 76824-652, Brasil</t>
        </is>
      </c>
      <c r="L594" s="4" t="inlineStr">
        <is>
          <t>Porto Velho</t>
        </is>
      </c>
      <c r="M594" s="5" t="n">
        <v>1</v>
      </c>
    </row>
    <row r="595">
      <c r="A595" s="3">
        <f>RAND()</f>
        <v/>
      </c>
      <c r="B595" s="4" t="inlineStr">
        <is>
          <t>ChIJAZ75nhbXxW8RjjpbdPYT_Z4</t>
        </is>
      </c>
      <c r="C595" s="4" t="inlineStr">
        <is>
          <t>Ukai - Aluguel de Brinquedos para o dia a dia</t>
        </is>
      </c>
      <c r="D595" s="4" t="inlineStr">
        <is>
          <t>Porto Velho</t>
        </is>
      </c>
      <c r="E595" s="4" t="inlineStr">
        <is>
          <t>RO</t>
        </is>
      </c>
      <c r="F595" s="4" t="inlineStr">
        <is>
          <t>Capitais Regionais B</t>
        </is>
      </c>
      <c r="G595" s="4" t="inlineStr">
        <is>
          <t>Capital regional</t>
        </is>
      </c>
      <c r="H595" s="5">
        <f>IF(G595="fora do recorte","",SUMPRODUCT(($G$3:$G$1723=G595)*($A$3:$A$1723&lt;=A595)))</f>
        <v/>
      </c>
      <c r="I595" s="4">
        <f>IF(H595="","",G595&amp;"|"&amp;H595)</f>
        <v/>
      </c>
      <c r="J595" s="4" t="inlineStr">
        <is>
          <t>https://www.google.com/maps/search/?api=1&amp;query=Ukai%20-%20Aluguel%20de%20Brinquedos%20para%20o%20dia%20a%20dia&amp;query_place_id=ChIJAZ75nhbXxW8RjjpbdPYT_Z4</t>
        </is>
      </c>
      <c r="K595" s="4" t="inlineStr">
        <is>
          <t>R. Jardins, 112 - Bairro Novo, Porto Velho - RO, 76817-001, Brasil</t>
        </is>
      </c>
      <c r="L595" s="4" t="inlineStr">
        <is>
          <t>Porto Velho</t>
        </is>
      </c>
      <c r="M595" s="5" t="n">
        <v>1</v>
      </c>
    </row>
    <row r="596">
      <c r="A596" s="3">
        <f>RAND()</f>
        <v/>
      </c>
      <c r="B596" s="4" t="inlineStr">
        <is>
          <t>ChIJAQBJWMZcMpIR9ESAtZQwxFo</t>
        </is>
      </c>
      <c r="C596" s="4" t="inlineStr">
        <is>
          <t>card ideal</t>
        </is>
      </c>
      <c r="D596" s="4" t="inlineStr">
        <is>
          <t>Porto Velho</t>
        </is>
      </c>
      <c r="E596" s="4" t="inlineStr">
        <is>
          <t>RO</t>
        </is>
      </c>
      <c r="F596" s="4" t="inlineStr">
        <is>
          <t>Capitais Regionais B</t>
        </is>
      </c>
      <c r="G596" s="4" t="inlineStr">
        <is>
          <t>Capital regional</t>
        </is>
      </c>
      <c r="H596" s="5">
        <f>IF(G596="fora do recorte","",SUMPRODUCT(($G$3:$G$1723=G596)*($A$3:$A$1723&lt;=A596)))</f>
        <v/>
      </c>
      <c r="I596" s="4">
        <f>IF(H596="","",G596&amp;"|"&amp;H596)</f>
        <v/>
      </c>
      <c r="J596" s="4" t="inlineStr">
        <is>
          <t>https://www.google.com/maps/search/?api=1&amp;query=card%20ideal&amp;query_place_id=ChIJAQBJWMZcMpIR9ESAtZQwxFo</t>
        </is>
      </c>
      <c r="K596" s="4" t="inlineStr">
        <is>
          <t>R. Dom Pedro II, 2195 - São Cristóvão, Porto Velho - RO, 76804-033, Brasil</t>
        </is>
      </c>
      <c r="L596" s="4" t="inlineStr">
        <is>
          <t>Porto Velho</t>
        </is>
      </c>
      <c r="M596" s="5" t="n">
        <v>1</v>
      </c>
    </row>
    <row r="597">
      <c r="A597" s="3">
        <f>RAND()</f>
        <v/>
      </c>
      <c r="B597" s="4" t="inlineStr">
        <is>
          <t>ChIJyTGQlRoFk40Rdizfin314QI</t>
        </is>
      </c>
      <c r="C597" s="4" t="inlineStr">
        <is>
          <t>1001 brinquedos e papelaria</t>
        </is>
      </c>
      <c r="D597" s="4" t="inlineStr">
        <is>
          <t>Boa Vista</t>
        </is>
      </c>
      <c r="E597" s="4" t="inlineStr">
        <is>
          <t>RR</t>
        </is>
      </c>
      <c r="F597" s="4" t="inlineStr">
        <is>
          <t>Capitais Regionais C</t>
        </is>
      </c>
      <c r="G597" s="4" t="inlineStr">
        <is>
          <t>Capital regional</t>
        </is>
      </c>
      <c r="H597" s="5">
        <f>IF(G597="fora do recorte","",SUMPRODUCT(($G$3:$G$1723=G597)*($A$3:$A$1723&lt;=A597)))</f>
        <v/>
      </c>
      <c r="I597" s="4">
        <f>IF(H597="","",G597&amp;"|"&amp;H597)</f>
        <v/>
      </c>
      <c r="J597" s="4" t="inlineStr">
        <is>
          <t>https://www.google.com/maps/search/?api=1&amp;query=1001%20brinquedos%20e%20papelaria&amp;query_place_id=ChIJyTGQlRoFk40Rdizfin314QI</t>
        </is>
      </c>
      <c r="K597" s="4" t="inlineStr">
        <is>
          <t>Avenidas - Av. Carlos Pereira de Melo, 473 - sala 7 - Jardim Floresta, Boa Vista - RR, 69312-005, Brasil</t>
        </is>
      </c>
      <c r="L597" s="4" t="inlineStr">
        <is>
          <t>Boa Vista</t>
        </is>
      </c>
      <c r="M597" s="5" t="n">
        <v>1</v>
      </c>
    </row>
    <row r="598">
      <c r="A598" s="3">
        <f>RAND()</f>
        <v/>
      </c>
      <c r="B598" s="4" t="inlineStr">
        <is>
          <t>ChIJy8zlwXAGk40RDWouaz_oVoo</t>
        </is>
      </c>
      <c r="C598" s="4" t="inlineStr">
        <is>
          <t>Americanas</t>
        </is>
      </c>
      <c r="D598" s="4" t="inlineStr">
        <is>
          <t>Boa Vista</t>
        </is>
      </c>
      <c r="E598" s="4" t="inlineStr">
        <is>
          <t>RR</t>
        </is>
      </c>
      <c r="F598" s="4" t="inlineStr">
        <is>
          <t>Capitais Regionais C</t>
        </is>
      </c>
      <c r="G598" s="4" t="inlineStr">
        <is>
          <t>Capital regional</t>
        </is>
      </c>
      <c r="H598" s="5">
        <f>IF(G598="fora do recorte","",SUMPRODUCT(($G$3:$G$1723=G598)*($A$3:$A$1723&lt;=A598)))</f>
        <v/>
      </c>
      <c r="I598" s="4">
        <f>IF(H598="","",G598&amp;"|"&amp;H598)</f>
        <v/>
      </c>
      <c r="J598" s="4" t="inlineStr">
        <is>
          <t>https://www.google.com/maps/search/?api=1&amp;query=Americanas&amp;query_place_id=ChIJy8zlwXAGk40RDWouaz_oVoo</t>
        </is>
      </c>
      <c r="K598" s="4" t="inlineStr">
        <is>
          <t>Av. Jaime Brasil, 21 - Centro, Boa Vista - RR, 69301-350, Brasil</t>
        </is>
      </c>
      <c r="L598" s="4" t="inlineStr">
        <is>
          <t>Boa Vista</t>
        </is>
      </c>
      <c r="M598" s="5" t="n">
        <v>1</v>
      </c>
    </row>
    <row r="599">
      <c r="A599" s="3">
        <f>RAND()</f>
        <v/>
      </c>
      <c r="B599" s="4" t="inlineStr">
        <is>
          <t>ChIJB7U1t_4Hk40Rfs1WgilyB5w</t>
        </is>
      </c>
      <c r="C599" s="4" t="inlineStr">
        <is>
          <t>Ammy Store</t>
        </is>
      </c>
      <c r="D599" s="4" t="inlineStr">
        <is>
          <t>Boa Vista</t>
        </is>
      </c>
      <c r="E599" s="4" t="inlineStr">
        <is>
          <t>RR</t>
        </is>
      </c>
      <c r="F599" s="4" t="inlineStr">
        <is>
          <t>Capitais Regionais C</t>
        </is>
      </c>
      <c r="G599" s="4" t="inlineStr">
        <is>
          <t>Capital regional</t>
        </is>
      </c>
      <c r="H599" s="5">
        <f>IF(G599="fora do recorte","",SUMPRODUCT(($G$3:$G$1723=G599)*($A$3:$A$1723&lt;=A599)))</f>
        <v/>
      </c>
      <c r="I599" s="4">
        <f>IF(H599="","",G599&amp;"|"&amp;H599)</f>
        <v/>
      </c>
      <c r="J599" s="4" t="inlineStr">
        <is>
          <t>https://www.google.com/maps/search/?api=1&amp;query=Ammy%20Store&amp;query_place_id=ChIJB7U1t_4Hk40Rfs1WgilyB5w</t>
        </is>
      </c>
      <c r="K599" s="4" t="inlineStr">
        <is>
          <t>R. Epitácio Pessoa, 119 - Mecejana, Boa Vista - RR, 69304-280, Brasil</t>
        </is>
      </c>
      <c r="L599" s="4" t="inlineStr">
        <is>
          <t>Boa Vista</t>
        </is>
      </c>
      <c r="M599" s="5" t="n">
        <v>1</v>
      </c>
    </row>
    <row r="600">
      <c r="A600" s="3">
        <f>RAND()</f>
        <v/>
      </c>
      <c r="B600" s="4" t="inlineStr">
        <is>
          <t>ChIJM3KLAwAFk40RVLVFywEvta8</t>
        </is>
      </c>
      <c r="C600" s="4" t="inlineStr">
        <is>
          <t>BLACK LOUNGE</t>
        </is>
      </c>
      <c r="D600" s="4" t="inlineStr">
        <is>
          <t>Boa Vista</t>
        </is>
      </c>
      <c r="E600" s="4" t="inlineStr">
        <is>
          <t>RR</t>
        </is>
      </c>
      <c r="F600" s="4" t="inlineStr">
        <is>
          <t>Capitais Regionais C</t>
        </is>
      </c>
      <c r="G600" s="4" t="inlineStr">
        <is>
          <t>Capital regional</t>
        </is>
      </c>
      <c r="H600" s="5">
        <f>IF(G600="fora do recorte","",SUMPRODUCT(($G$3:$G$1723=G600)*($A$3:$A$1723&lt;=A600)))</f>
        <v/>
      </c>
      <c r="I600" s="4">
        <f>IF(H600="","",G600&amp;"|"&amp;H600)</f>
        <v/>
      </c>
      <c r="J600" s="4" t="inlineStr">
        <is>
          <t>https://www.google.com/maps/search/?api=1&amp;query=BLACK%20LOUNGE&amp;query_place_id=ChIJM3KLAwAFk40RVLVFywEvta8</t>
        </is>
      </c>
      <c r="K600" s="4" t="inlineStr">
        <is>
          <t>Av. Gen. Ataíde Teive, 7123 - Nova Canaã, Boa Vista - RR, 69314-382, Brasil</t>
        </is>
      </c>
      <c r="L600" s="4" t="inlineStr">
        <is>
          <t>Boa Vista</t>
        </is>
      </c>
      <c r="M600" s="5" t="n">
        <v>1</v>
      </c>
    </row>
    <row r="601">
      <c r="A601" s="3">
        <f>RAND()</f>
        <v/>
      </c>
      <c r="B601" s="4" t="inlineStr">
        <is>
          <t>ChIJT_pXZR4Gk40RGOaKGr-1BVU</t>
        </is>
      </c>
      <c r="C601" s="4" t="inlineStr">
        <is>
          <t>Bar Brahma</t>
        </is>
      </c>
      <c r="D601" s="4" t="inlineStr">
        <is>
          <t>Boa Vista</t>
        </is>
      </c>
      <c r="E601" s="4" t="inlineStr">
        <is>
          <t>RR</t>
        </is>
      </c>
      <c r="F601" s="4" t="inlineStr">
        <is>
          <t>Capitais Regionais C</t>
        </is>
      </c>
      <c r="G601" s="4" t="inlineStr">
        <is>
          <t>Capital regional</t>
        </is>
      </c>
      <c r="H601" s="5">
        <f>IF(G601="fora do recorte","",SUMPRODUCT(($G$3:$G$1723=G601)*($A$3:$A$1723&lt;=A601)))</f>
        <v/>
      </c>
      <c r="I601" s="4">
        <f>IF(H601="","",G601&amp;"|"&amp;H601)</f>
        <v/>
      </c>
      <c r="J601" s="4" t="inlineStr">
        <is>
          <t>https://www.google.com/maps/search/?api=1&amp;query=Bar%20Brahma&amp;query_place_id=ChIJT_pXZR4Gk40RGOaKGr-1BVU</t>
        </is>
      </c>
      <c r="K601" s="4" t="inlineStr">
        <is>
          <t>Av. Ville Roy, 2092 - Caçari, Boa Vista - RR, 69308-055, Brasil</t>
        </is>
      </c>
      <c r="L601" s="4" t="inlineStr">
        <is>
          <t>Boa Vista</t>
        </is>
      </c>
      <c r="M601" s="5" t="n">
        <v>1</v>
      </c>
    </row>
    <row r="602">
      <c r="A602" s="3">
        <f>RAND()</f>
        <v/>
      </c>
      <c r="B602" s="4" t="inlineStr">
        <is>
          <t>ChIJqaTupWUPk40R1Huvx3XJQKo</t>
        </is>
      </c>
      <c r="C602" s="4" t="inlineStr">
        <is>
          <t>Bemol Pátio Roraima Shopping</t>
        </is>
      </c>
      <c r="D602" s="4" t="inlineStr">
        <is>
          <t>Boa Vista</t>
        </is>
      </c>
      <c r="E602" s="4" t="inlineStr">
        <is>
          <t>RR</t>
        </is>
      </c>
      <c r="F602" s="4" t="inlineStr">
        <is>
          <t>Capitais Regionais C</t>
        </is>
      </c>
      <c r="G602" s="4" t="inlineStr">
        <is>
          <t>Capital regional</t>
        </is>
      </c>
      <c r="H602" s="5">
        <f>IF(G602="fora do recorte","",SUMPRODUCT(($G$3:$G$1723=G602)*($A$3:$A$1723&lt;=A602)))</f>
        <v/>
      </c>
      <c r="I602" s="4">
        <f>IF(H602="","",G602&amp;"|"&amp;H602)</f>
        <v/>
      </c>
      <c r="J602" s="4" t="inlineStr">
        <is>
          <t>https://www.google.com/maps/search/?api=1&amp;query=Bemol%20P%C3%A1tio%20Roraima%20Shopping&amp;query_place_id=ChIJqaTupWUPk40R1Huvx3XJQKo</t>
        </is>
      </c>
      <c r="K602" s="4" t="inlineStr">
        <is>
          <t>R. João de Alencar, 2181 - Lj 109 - 111 - Cauamé, Boa Vista - RR, 69311-137, Brasil</t>
        </is>
      </c>
      <c r="L602" s="4" t="inlineStr">
        <is>
          <t>Boa Vista</t>
        </is>
      </c>
      <c r="M602" s="5" t="n">
        <v>1</v>
      </c>
    </row>
    <row r="603">
      <c r="A603" s="3">
        <f>RAND()</f>
        <v/>
      </c>
      <c r="B603" s="4" t="inlineStr">
        <is>
          <t>ChIJvUD2MiwEk40RRS3gHIDBlGQ</t>
        </is>
      </c>
      <c r="C603" s="4" t="inlineStr">
        <is>
          <t>Bilhar Boa Vista</t>
        </is>
      </c>
      <c r="D603" s="4" t="inlineStr">
        <is>
          <t>Boa Vista</t>
        </is>
      </c>
      <c r="E603" s="4" t="inlineStr">
        <is>
          <t>RR</t>
        </is>
      </c>
      <c r="F603" s="4" t="inlineStr">
        <is>
          <t>Capitais Regionais C</t>
        </is>
      </c>
      <c r="G603" s="4" t="inlineStr">
        <is>
          <t>Capital regional</t>
        </is>
      </c>
      <c r="H603" s="5">
        <f>IF(G603="fora do recorte","",SUMPRODUCT(($G$3:$G$1723=G603)*($A$3:$A$1723&lt;=A603)))</f>
        <v/>
      </c>
      <c r="I603" s="4">
        <f>IF(H603="","",G603&amp;"|"&amp;H603)</f>
        <v/>
      </c>
      <c r="J603" s="4" t="inlineStr">
        <is>
          <t>https://www.google.com/maps/search/?api=1&amp;query=Bilhar%20Boa%20Vista&amp;query_place_id=ChIJvUD2MiwEk40RRS3gHIDBlGQ</t>
        </is>
      </c>
      <c r="K603" s="4" t="inlineStr">
        <is>
          <t>R. Vale do Caranã, 756 - Murilo Teixeira Cidade, Boa Vista - RR, 69318-298, Brasil</t>
        </is>
      </c>
      <c r="L603" s="4" t="inlineStr">
        <is>
          <t>Boa Vista</t>
        </is>
      </c>
      <c r="M603" s="5" t="n">
        <v>1</v>
      </c>
    </row>
    <row r="604">
      <c r="A604" s="3">
        <f>RAND()</f>
        <v/>
      </c>
      <c r="B604" s="4" t="inlineStr">
        <is>
          <t>ChIJwxyORgAHk40Rzc4dvSEI_MY</t>
        </is>
      </c>
      <c r="C604" s="4" t="inlineStr">
        <is>
          <t>Bins bar</t>
        </is>
      </c>
      <c r="D604" s="4" t="inlineStr">
        <is>
          <t>Boa Vista</t>
        </is>
      </c>
      <c r="E604" s="4" t="inlineStr">
        <is>
          <t>RR</t>
        </is>
      </c>
      <c r="F604" s="4" t="inlineStr">
        <is>
          <t>Capitais Regionais C</t>
        </is>
      </c>
      <c r="G604" s="4" t="inlineStr">
        <is>
          <t>Capital regional</t>
        </is>
      </c>
      <c r="H604" s="5">
        <f>IF(G604="fora do recorte","",SUMPRODUCT(($G$3:$G$1723=G604)*($A$3:$A$1723&lt;=A604)))</f>
        <v/>
      </c>
      <c r="I604" s="4">
        <f>IF(H604="","",G604&amp;"|"&amp;H604)</f>
        <v/>
      </c>
      <c r="J604" s="4" t="inlineStr">
        <is>
          <t>https://www.google.com/maps/search/?api=1&amp;query=Bins%20bar&amp;query_place_id=ChIJwxyORgAHk40Rzc4dvSEI_MY</t>
        </is>
      </c>
      <c r="K604" s="4" t="inlineStr">
        <is>
          <t>R. Floriano Peixoto - Centro, Boa Vista - RR, 69301-320, Brasil</t>
        </is>
      </c>
      <c r="L604" s="4" t="inlineStr">
        <is>
          <t>Boa Vista</t>
        </is>
      </c>
      <c r="M604" s="5" t="n">
        <v>1</v>
      </c>
    </row>
    <row r="605">
      <c r="A605" s="3">
        <f>RAND()</f>
        <v/>
      </c>
      <c r="B605" s="4" t="inlineStr">
        <is>
          <t>ChIJBZZ5ZmUJk40RvDu32DCviRI</t>
        </is>
      </c>
      <c r="C605" s="4" t="inlineStr">
        <is>
          <t>Charlie Alfa Café &amp; Burger</t>
        </is>
      </c>
      <c r="D605" s="4" t="inlineStr">
        <is>
          <t>Boa Vista</t>
        </is>
      </c>
      <c r="E605" s="4" t="inlineStr">
        <is>
          <t>RR</t>
        </is>
      </c>
      <c r="F605" s="4" t="inlineStr">
        <is>
          <t>Capitais Regionais C</t>
        </is>
      </c>
      <c r="G605" s="4" t="inlineStr">
        <is>
          <t>Capital regional</t>
        </is>
      </c>
      <c r="H605" s="5">
        <f>IF(G605="fora do recorte","",SUMPRODUCT(($G$3:$G$1723=G605)*($A$3:$A$1723&lt;=A605)))</f>
        <v/>
      </c>
      <c r="I605" s="4">
        <f>IF(H605="","",G605&amp;"|"&amp;H605)</f>
        <v/>
      </c>
      <c r="J605" s="4" t="inlineStr">
        <is>
          <t>https://www.google.com/maps/search/?api=1&amp;query=Charlie%20Alfa%20Caf%C3%A9%20%26%20Burger&amp;query_place_id=ChIJBZZ5ZmUJk40RvDu32DCviRI</t>
        </is>
      </c>
      <c r="K605" s="4" t="inlineStr">
        <is>
          <t>Av. Brg. Eduardo Gomes, 1298 - Aparecida, Boa Vista - RR, 69306-005, Brasil</t>
        </is>
      </c>
      <c r="L605" s="4" t="inlineStr">
        <is>
          <t>Boa Vista</t>
        </is>
      </c>
      <c r="M605" s="5" t="n">
        <v>2</v>
      </c>
    </row>
    <row r="606">
      <c r="A606" s="3">
        <f>RAND()</f>
        <v/>
      </c>
      <c r="B606" s="4" t="inlineStr">
        <is>
          <t>ChIJI790Nd8Fk40ROQOUNbs7IXw</t>
        </is>
      </c>
      <c r="C606" s="4" t="inlineStr">
        <is>
          <t>Colegial Mega Store</t>
        </is>
      </c>
      <c r="D606" s="4" t="inlineStr">
        <is>
          <t>Boa Vista</t>
        </is>
      </c>
      <c r="E606" s="4" t="inlineStr">
        <is>
          <t>RR</t>
        </is>
      </c>
      <c r="F606" s="4" t="inlineStr">
        <is>
          <t>Capitais Regionais C</t>
        </is>
      </c>
      <c r="G606" s="4" t="inlineStr">
        <is>
          <t>Capital regional</t>
        </is>
      </c>
      <c r="H606" s="5">
        <f>IF(G606="fora do recorte","",SUMPRODUCT(($G$3:$G$1723=G606)*($A$3:$A$1723&lt;=A606)))</f>
        <v/>
      </c>
      <c r="I606" s="4">
        <f>IF(H606="","",G606&amp;"|"&amp;H606)</f>
        <v/>
      </c>
      <c r="J606" s="4" t="inlineStr">
        <is>
          <t>https://www.google.com/maps/search/?api=1&amp;query=Colegial%20Mega%20Store&amp;query_place_id=ChIJI790Nd8Fk40ROQOUNbs7IXw</t>
        </is>
      </c>
      <c r="K606" s="4" t="inlineStr">
        <is>
          <t>69301-250 - Av. Glaycon de Paiva, 334 - Centro, Boa Vista - RR, 69301-250, Brasil</t>
        </is>
      </c>
      <c r="L606" s="4" t="inlineStr">
        <is>
          <t>Boa Vista</t>
        </is>
      </c>
      <c r="M606" s="5" t="n">
        <v>1</v>
      </c>
    </row>
    <row r="607">
      <c r="A607" s="3">
        <f>RAND()</f>
        <v/>
      </c>
      <c r="B607" s="4" t="inlineStr">
        <is>
          <t>ChIJgXiqqO0Fk40R97pZyQsIez4</t>
        </is>
      </c>
      <c r="C607" s="4" t="inlineStr">
        <is>
          <t>Cris Variedades</t>
        </is>
      </c>
      <c r="D607" s="4" t="inlineStr">
        <is>
          <t>Boa Vista</t>
        </is>
      </c>
      <c r="E607" s="4" t="inlineStr">
        <is>
          <t>RR</t>
        </is>
      </c>
      <c r="F607" s="4" t="inlineStr">
        <is>
          <t>Capitais Regionais C</t>
        </is>
      </c>
      <c r="G607" s="4" t="inlineStr">
        <is>
          <t>Capital regional</t>
        </is>
      </c>
      <c r="H607" s="5">
        <f>IF(G607="fora do recorte","",SUMPRODUCT(($G$3:$G$1723=G607)*($A$3:$A$1723&lt;=A607)))</f>
        <v/>
      </c>
      <c r="I607" s="4">
        <f>IF(H607="","",G607&amp;"|"&amp;H607)</f>
        <v/>
      </c>
      <c r="J607" s="4" t="inlineStr">
        <is>
          <t>https://www.google.com/maps/search/?api=1&amp;query=Cris%20Variedades&amp;query_place_id=ChIJgXiqqO0Fk40R97pZyQsIez4</t>
        </is>
      </c>
      <c r="K607" s="4" t="inlineStr">
        <is>
          <t>Av. Manoel Felipe, 2287 - Asa Branca, Boa Vista - RR, 69312-288, Brasil</t>
        </is>
      </c>
      <c r="L607" s="4" t="inlineStr">
        <is>
          <t>Boa Vista</t>
        </is>
      </c>
      <c r="M607" s="5" t="n">
        <v>1</v>
      </c>
    </row>
    <row r="608">
      <c r="A608" s="3">
        <f>RAND()</f>
        <v/>
      </c>
      <c r="B608" s="4" t="inlineStr">
        <is>
          <t>ChIJB_zo5UAFk40RKz8bUNhtO2Q</t>
        </is>
      </c>
      <c r="C608" s="4" t="inlineStr">
        <is>
          <t>Elenda Games</t>
        </is>
      </c>
      <c r="D608" s="4" t="inlineStr">
        <is>
          <t>Boa Vista</t>
        </is>
      </c>
      <c r="E608" s="4" t="inlineStr">
        <is>
          <t>RR</t>
        </is>
      </c>
      <c r="F608" s="4" t="inlineStr">
        <is>
          <t>Capitais Regionais C</t>
        </is>
      </c>
      <c r="G608" s="4" t="inlineStr">
        <is>
          <t>Capital regional</t>
        </is>
      </c>
      <c r="H608" s="5">
        <f>IF(G608="fora do recorte","",SUMPRODUCT(($G$3:$G$1723=G608)*($A$3:$A$1723&lt;=A608)))</f>
        <v/>
      </c>
      <c r="I608" s="4">
        <f>IF(H608="","",G608&amp;"|"&amp;H608)</f>
        <v/>
      </c>
      <c r="J608" s="4" t="inlineStr">
        <is>
          <t>https://www.google.com/maps/search/?api=1&amp;query=Elenda%20Games&amp;query_place_id=ChIJB_zo5UAFk40RKz8bUNhtO2Q</t>
        </is>
      </c>
      <c r="K608" s="4" t="inlineStr">
        <is>
          <t>R. Nilo Brandão, 368 - Calunga, Boa Vista - RR, 69303-240, Brasil</t>
        </is>
      </c>
      <c r="L608" s="4" t="inlineStr">
        <is>
          <t>Boa Vista</t>
        </is>
      </c>
      <c r="M608" s="5" t="n">
        <v>1</v>
      </c>
    </row>
    <row r="609">
      <c r="A609" s="3">
        <f>RAND()</f>
        <v/>
      </c>
      <c r="B609" s="4" t="inlineStr">
        <is>
          <t>ChIJy9pOFzAFk40RXZ1DcdoCKV0</t>
        </is>
      </c>
      <c r="C609" s="4" t="inlineStr">
        <is>
          <t>Elenda Games Alvorada - Filial</t>
        </is>
      </c>
      <c r="D609" s="4" t="inlineStr">
        <is>
          <t>Boa Vista</t>
        </is>
      </c>
      <c r="E609" s="4" t="inlineStr">
        <is>
          <t>RR</t>
        </is>
      </c>
      <c r="F609" s="4" t="inlineStr">
        <is>
          <t>Capitais Regionais C</t>
        </is>
      </c>
      <c r="G609" s="4" t="inlineStr">
        <is>
          <t>Capital regional</t>
        </is>
      </c>
      <c r="H609" s="5">
        <f>IF(G609="fora do recorte","",SUMPRODUCT(($G$3:$G$1723=G609)*($A$3:$A$1723&lt;=A609)))</f>
        <v/>
      </c>
      <c r="I609" s="4">
        <f>IF(H609="","",G609&amp;"|"&amp;H609)</f>
        <v/>
      </c>
      <c r="J609" s="4" t="inlineStr">
        <is>
          <t>https://www.google.com/maps/search/?api=1&amp;query=Elenda%20Games%20Alvorada%20-%20Filial&amp;query_place_id=ChIJy9pOFzAFk40RXZ1DcdoCKV0</t>
        </is>
      </c>
      <c r="K609" s="4" t="inlineStr">
        <is>
          <t>R. Z-3, 1132 - Alvorada, Boa Vista - RR, 69317-192, Brasil</t>
        </is>
      </c>
      <c r="L609" s="4" t="inlineStr">
        <is>
          <t>Boa Vista</t>
        </is>
      </c>
      <c r="M609" s="5" t="n">
        <v>1</v>
      </c>
    </row>
    <row r="610">
      <c r="A610" s="3">
        <f>RAND()</f>
        <v/>
      </c>
      <c r="B610" s="4" t="inlineStr">
        <is>
          <t>ChIJay9eGwAPk40RPwVNydQC4tM</t>
        </is>
      </c>
      <c r="C610" s="4" t="inlineStr">
        <is>
          <t>Ensino e Afeto Brinquedos</t>
        </is>
      </c>
      <c r="D610" s="4" t="inlineStr">
        <is>
          <t>Boa Vista</t>
        </is>
      </c>
      <c r="E610" s="4" t="inlineStr">
        <is>
          <t>RR</t>
        </is>
      </c>
      <c r="F610" s="4" t="inlineStr">
        <is>
          <t>Capitais Regionais C</t>
        </is>
      </c>
      <c r="G610" s="4" t="inlineStr">
        <is>
          <t>Capital regional</t>
        </is>
      </c>
      <c r="H610" s="5">
        <f>IF(G610="fora do recorte","",SUMPRODUCT(($G$3:$G$1723=G610)*($A$3:$A$1723&lt;=A610)))</f>
        <v/>
      </c>
      <c r="I610" s="4">
        <f>IF(H610="","",G610&amp;"|"&amp;H610)</f>
        <v/>
      </c>
      <c r="J610" s="4" t="inlineStr">
        <is>
          <t>https://www.google.com/maps/search/?api=1&amp;query=Ensino%20e%20Afeto%20Brinquedos&amp;query_place_id=ChIJay9eGwAPk40RPwVNydQC4tM</t>
        </is>
      </c>
      <c r="K610" s="4" t="inlineStr">
        <is>
          <t>R. Iuguslavia, 105 - Cauamé, Boa Vista - RR, 69311-087, Brasil</t>
        </is>
      </c>
      <c r="L610" s="4" t="inlineStr">
        <is>
          <t>Boa Vista</t>
        </is>
      </c>
      <c r="M610" s="5" t="n">
        <v>1</v>
      </c>
    </row>
    <row r="611">
      <c r="A611" s="3">
        <f>RAND()</f>
        <v/>
      </c>
      <c r="B611" s="4" t="inlineStr">
        <is>
          <t>ChIJRzrgF4cFk40RnT_HGVDoP9E</t>
        </is>
      </c>
      <c r="C611" s="4" t="inlineStr">
        <is>
          <t>Gamingtechbv</t>
        </is>
      </c>
      <c r="D611" s="4" t="inlineStr">
        <is>
          <t>Boa Vista</t>
        </is>
      </c>
      <c r="E611" s="4" t="inlineStr">
        <is>
          <t>RR</t>
        </is>
      </c>
      <c r="F611" s="4" t="inlineStr">
        <is>
          <t>Capitais Regionais C</t>
        </is>
      </c>
      <c r="G611" s="4" t="inlineStr">
        <is>
          <t>Capital regional</t>
        </is>
      </c>
      <c r="H611" s="5">
        <f>IF(G611="fora do recorte","",SUMPRODUCT(($G$3:$G$1723=G611)*($A$3:$A$1723&lt;=A611)))</f>
        <v/>
      </c>
      <c r="I611" s="4">
        <f>IF(H611="","",G611&amp;"|"&amp;H611)</f>
        <v/>
      </c>
      <c r="J611" s="4" t="inlineStr">
        <is>
          <t>https://www.google.com/maps/search/?api=1&amp;query=Gamingtechbv&amp;query_place_id=ChIJRzrgF4cFk40RnT_HGVDoP9E</t>
        </is>
      </c>
      <c r="K611" s="4" t="inlineStr">
        <is>
          <t>R. Profa. Antonia Cutrim, 1181 - Jardim Equatorial, Boa Vista - RR, 69316-755, Brasil</t>
        </is>
      </c>
      <c r="L611" s="4" t="inlineStr">
        <is>
          <t>Boa Vista</t>
        </is>
      </c>
      <c r="M611" s="5" t="n">
        <v>1</v>
      </c>
    </row>
    <row r="612">
      <c r="A612" s="3">
        <f>RAND()</f>
        <v/>
      </c>
      <c r="B612" s="4" t="inlineStr">
        <is>
          <t>ChIJg4fh7tgFk40RT_1cdWmnmEE</t>
        </is>
      </c>
      <c r="C612" s="4" t="inlineStr">
        <is>
          <t>Inforprint Informática e Papelaria</t>
        </is>
      </c>
      <c r="D612" s="4" t="inlineStr">
        <is>
          <t>Boa Vista</t>
        </is>
      </c>
      <c r="E612" s="4" t="inlineStr">
        <is>
          <t>RR</t>
        </is>
      </c>
      <c r="F612" s="4" t="inlineStr">
        <is>
          <t>Capitais Regionais C</t>
        </is>
      </c>
      <c r="G612" s="4" t="inlineStr">
        <is>
          <t>Capital regional</t>
        </is>
      </c>
      <c r="H612" s="5">
        <f>IF(G612="fora do recorte","",SUMPRODUCT(($G$3:$G$1723=G612)*($A$3:$A$1723&lt;=A612)))</f>
        <v/>
      </c>
      <c r="I612" s="4">
        <f>IF(H612="","",G612&amp;"|"&amp;H612)</f>
        <v/>
      </c>
      <c r="J612" s="4" t="inlineStr">
        <is>
          <t>https://www.google.com/maps/search/?api=1&amp;query=Inforprint%20Inform%C3%A1tica%20e%20Papelaria&amp;query_place_id=ChIJg4fh7tgFk40RT_1cdWmnmEE</t>
        </is>
      </c>
      <c r="K612" s="4" t="inlineStr">
        <is>
          <t>R. Ajuricaba, 1039 - Centro, Boa Vista - RR, 69301-070, Brasil</t>
        </is>
      </c>
      <c r="L612" s="4" t="inlineStr">
        <is>
          <t>Boa Vista</t>
        </is>
      </c>
      <c r="M612" s="5" t="n">
        <v>1</v>
      </c>
    </row>
    <row r="613">
      <c r="A613" s="3">
        <f>RAND()</f>
        <v/>
      </c>
      <c r="B613" s="4" t="inlineStr">
        <is>
          <t>ChIJkVeLdycFk40RBRBtgrK2ViI</t>
        </is>
      </c>
      <c r="C613" s="4" t="inlineStr">
        <is>
          <t>Kiko Variedades</t>
        </is>
      </c>
      <c r="D613" s="4" t="inlineStr">
        <is>
          <t>Boa Vista</t>
        </is>
      </c>
      <c r="E613" s="4" t="inlineStr">
        <is>
          <t>RR</t>
        </is>
      </c>
      <c r="F613" s="4" t="inlineStr">
        <is>
          <t>Capitais Regionais C</t>
        </is>
      </c>
      <c r="G613" s="4" t="inlineStr">
        <is>
          <t>Capital regional</t>
        </is>
      </c>
      <c r="H613" s="5">
        <f>IF(G613="fora do recorte","",SUMPRODUCT(($G$3:$G$1723=G613)*($A$3:$A$1723&lt;=A613)))</f>
        <v/>
      </c>
      <c r="I613" s="4">
        <f>IF(H613="","",G613&amp;"|"&amp;H613)</f>
        <v/>
      </c>
      <c r="J613" s="4" t="inlineStr">
        <is>
          <t>https://www.google.com/maps/search/?api=1&amp;query=Kiko%20Variedades&amp;query_place_id=ChIJkVeLdycFk40RBRBtgrK2ViI</t>
        </is>
      </c>
      <c r="K613" s="4" t="inlineStr">
        <is>
          <t>R. Tertuliano Cardoso Ramos, 1763 - Santa Luzia, Boa Vista - RR, 69316-582, Brasil</t>
        </is>
      </c>
      <c r="L613" s="4" t="inlineStr">
        <is>
          <t>Boa Vista</t>
        </is>
      </c>
      <c r="M613" s="5" t="n">
        <v>1</v>
      </c>
    </row>
    <row r="614">
      <c r="A614" s="3">
        <f>RAND()</f>
        <v/>
      </c>
      <c r="B614" s="4" t="inlineStr">
        <is>
          <t>ChIJf54Hr_cFk40RFym-hcaSM4k</t>
        </is>
      </c>
      <c r="C614" s="4" t="inlineStr">
        <is>
          <t>MacuxiTCG</t>
        </is>
      </c>
      <c r="D614" s="4" t="inlineStr">
        <is>
          <t>Boa Vista</t>
        </is>
      </c>
      <c r="E614" s="4" t="inlineStr">
        <is>
          <t>RR</t>
        </is>
      </c>
      <c r="F614" s="4" t="inlineStr">
        <is>
          <t>Capitais Regionais C</t>
        </is>
      </c>
      <c r="G614" s="4" t="inlineStr">
        <is>
          <t>Capital regional</t>
        </is>
      </c>
      <c r="H614" s="5">
        <f>IF(G614="fora do recorte","",SUMPRODUCT(($G$3:$G$1723=G614)*($A$3:$A$1723&lt;=A614)))</f>
        <v/>
      </c>
      <c r="I614" s="4">
        <f>IF(H614="","",G614&amp;"|"&amp;H614)</f>
        <v/>
      </c>
      <c r="J614" s="4" t="inlineStr">
        <is>
          <t>https://www.google.com/maps/search/?api=1&amp;query=MacuxiTCG&amp;query_place_id=ChIJf54Hr_cFk40RFym-hcaSM4k</t>
        </is>
      </c>
      <c r="K614" s="4" t="inlineStr">
        <is>
          <t>R. Moisés Teixeira Hausen, 1326 - Caranã, Boa Vista - RR, 69313-582, Brasil</t>
        </is>
      </c>
      <c r="L614" s="4" t="inlineStr">
        <is>
          <t>Boa Vista</t>
        </is>
      </c>
      <c r="M614" s="5" t="n">
        <v>1</v>
      </c>
    </row>
    <row r="615">
      <c r="A615" s="3">
        <f>RAND()</f>
        <v/>
      </c>
      <c r="B615" s="4" t="inlineStr">
        <is>
          <t>ChIJuX7PULsFk40RW3zyoKu8ng4</t>
        </is>
      </c>
      <c r="C615" s="4" t="inlineStr">
        <is>
          <t>Mania Games Technology</t>
        </is>
      </c>
      <c r="D615" s="4" t="inlineStr">
        <is>
          <t>Boa Vista</t>
        </is>
      </c>
      <c r="E615" s="4" t="inlineStr">
        <is>
          <t>RR</t>
        </is>
      </c>
      <c r="F615" s="4" t="inlineStr">
        <is>
          <t>Capitais Regionais C</t>
        </is>
      </c>
      <c r="G615" s="4" t="inlineStr">
        <is>
          <t>Capital regional</t>
        </is>
      </c>
      <c r="H615" s="5">
        <f>IF(G615="fora do recorte","",SUMPRODUCT(($G$3:$G$1723=G615)*($A$3:$A$1723&lt;=A615)))</f>
        <v/>
      </c>
      <c r="I615" s="4">
        <f>IF(H615="","",G615&amp;"|"&amp;H615)</f>
        <v/>
      </c>
      <c r="J615" s="4" t="inlineStr">
        <is>
          <t>https://www.google.com/maps/search/?api=1&amp;query=Mania%20Games%20Technology&amp;query_place_id=ChIJuX7PULsFk40RW3zyoKu8ng4</t>
        </is>
      </c>
      <c r="K615" s="4" t="inlineStr">
        <is>
          <t>AV: Mario homem de melo, 5662 - Tancredo Neves, Boa Vista - RR, 69313-522, Brasil</t>
        </is>
      </c>
      <c r="L615" s="4" t="inlineStr">
        <is>
          <t>Boa Vista</t>
        </is>
      </c>
      <c r="M615" s="5" t="n">
        <v>2</v>
      </c>
    </row>
    <row r="616">
      <c r="A616" s="3">
        <f>RAND()</f>
        <v/>
      </c>
      <c r="B616" s="4" t="inlineStr">
        <is>
          <t>ChIJnQ5RFfsFk40RBiwSV0NJNQk</t>
        </is>
      </c>
      <c r="C616" s="4" t="inlineStr">
        <is>
          <t>Mimosa Geek</t>
        </is>
      </c>
      <c r="D616" s="4" t="inlineStr">
        <is>
          <t>Boa Vista</t>
        </is>
      </c>
      <c r="E616" s="4" t="inlineStr">
        <is>
          <t>RR</t>
        </is>
      </c>
      <c r="F616" s="4" t="inlineStr">
        <is>
          <t>Capitais Regionais C</t>
        </is>
      </c>
      <c r="G616" s="4" t="inlineStr">
        <is>
          <t>Capital regional</t>
        </is>
      </c>
      <c r="H616" s="5">
        <f>IF(G616="fora do recorte","",SUMPRODUCT(($G$3:$G$1723=G616)*($A$3:$A$1723&lt;=A616)))</f>
        <v/>
      </c>
      <c r="I616" s="4">
        <f>IF(H616="","",G616&amp;"|"&amp;H616)</f>
        <v/>
      </c>
      <c r="J616" s="4" t="inlineStr">
        <is>
          <t>https://www.google.com/maps/search/?api=1&amp;query=Mimosa%20Geek&amp;query_place_id=ChIJnQ5RFfsFk40RBiwSV0NJNQk</t>
        </is>
      </c>
      <c r="K616" s="4" t="inlineStr">
        <is>
          <t>Av. Maj. Williams, 1009 - Centro, Boa Vista - RR, 69305-085, Brasil</t>
        </is>
      </c>
      <c r="L616" s="4" t="inlineStr">
        <is>
          <t>Boa Vista</t>
        </is>
      </c>
      <c r="M616" s="5" t="n">
        <v>1</v>
      </c>
    </row>
    <row r="617">
      <c r="A617" s="3">
        <f>RAND()</f>
        <v/>
      </c>
      <c r="B617" s="4" t="inlineStr">
        <is>
          <t>ChIJBWC2mwwGk40RjbgH-QiuChQ</t>
        </is>
      </c>
      <c r="C617" s="4" t="inlineStr">
        <is>
          <t>Ogros Steak &amp; Burger - Caçari</t>
        </is>
      </c>
      <c r="D617" s="4" t="inlineStr">
        <is>
          <t>Boa Vista</t>
        </is>
      </c>
      <c r="E617" s="4" t="inlineStr">
        <is>
          <t>RR</t>
        </is>
      </c>
      <c r="F617" s="4" t="inlineStr">
        <is>
          <t>Capitais Regionais C</t>
        </is>
      </c>
      <c r="G617" s="4" t="inlineStr">
        <is>
          <t>Capital regional</t>
        </is>
      </c>
      <c r="H617" s="5">
        <f>IF(G617="fora do recorte","",SUMPRODUCT(($G$3:$G$1723=G617)*($A$3:$A$1723&lt;=A617)))</f>
        <v/>
      </c>
      <c r="I617" s="4">
        <f>IF(H617="","",G617&amp;"|"&amp;H617)</f>
        <v/>
      </c>
      <c r="J617" s="4" t="inlineStr">
        <is>
          <t>https://www.google.com/maps/search/?api=1&amp;query=Ogros%20Steak%20%26%20Burger%20-%20Ca%C3%A7ari&amp;query_place_id=ChIJBWC2mwwGk40RjbgH-QiuChQ</t>
        </is>
      </c>
      <c r="K617" s="4" t="inlineStr">
        <is>
          <t>Av. Luís Canúto Chaves, 621 - Caçari, Boa Vista - RR, 69307-655, Brasil</t>
        </is>
      </c>
      <c r="L617" s="4" t="inlineStr">
        <is>
          <t>Boa Vista</t>
        </is>
      </c>
      <c r="M617" s="5" t="n">
        <v>2</v>
      </c>
    </row>
    <row r="618">
      <c r="A618" s="3">
        <f>RAND()</f>
        <v/>
      </c>
      <c r="B618" s="4" t="inlineStr">
        <is>
          <t>ChIJS9rHTC4Jk40RgNL_Nues1oU</t>
        </is>
      </c>
      <c r="C618" s="4" t="inlineStr">
        <is>
          <t>Podcast Coffee Pub</t>
        </is>
      </c>
      <c r="D618" s="4" t="inlineStr">
        <is>
          <t>Boa Vista</t>
        </is>
      </c>
      <c r="E618" s="4" t="inlineStr">
        <is>
          <t>RR</t>
        </is>
      </c>
      <c r="F618" s="4" t="inlineStr">
        <is>
          <t>Capitais Regionais C</t>
        </is>
      </c>
      <c r="G618" s="4" t="inlineStr">
        <is>
          <t>Capital regional</t>
        </is>
      </c>
      <c r="H618" s="5">
        <f>IF(G618="fora do recorte","",SUMPRODUCT(($G$3:$G$1723=G618)*($A$3:$A$1723&lt;=A618)))</f>
        <v/>
      </c>
      <c r="I618" s="4">
        <f>IF(H618="","",G618&amp;"|"&amp;H618)</f>
        <v/>
      </c>
      <c r="J618" s="4" t="inlineStr">
        <is>
          <t>https://www.google.com/maps/search/?api=1&amp;query=Podcast%20Coffee%20Pub&amp;query_place_id=ChIJS9rHTC4Jk40RgNL_Nues1oU</t>
        </is>
      </c>
      <c r="K618" s="4" t="inlineStr">
        <is>
          <t>Av. Ville Roy, 2071 - Caçari, Boa Vista - RR, 69307-725, Brasil</t>
        </is>
      </c>
      <c r="L618" s="4" t="inlineStr">
        <is>
          <t>Boa Vista</t>
        </is>
      </c>
      <c r="M618" s="5" t="n">
        <v>1</v>
      </c>
    </row>
    <row r="619">
      <c r="A619" s="3">
        <f>RAND()</f>
        <v/>
      </c>
      <c r="B619" s="4" t="inlineStr">
        <is>
          <t>ChIJ2Q-vdIoHk40RkWALvG2Z8sg</t>
        </is>
      </c>
      <c r="C619" s="4" t="inlineStr">
        <is>
          <t>Pula Pula do Bilu</t>
        </is>
      </c>
      <c r="D619" s="4" t="inlineStr">
        <is>
          <t>Boa Vista</t>
        </is>
      </c>
      <c r="E619" s="4" t="inlineStr">
        <is>
          <t>RR</t>
        </is>
      </c>
      <c r="F619" s="4" t="inlineStr">
        <is>
          <t>Capitais Regionais C</t>
        </is>
      </c>
      <c r="G619" s="4" t="inlineStr">
        <is>
          <t>Capital regional</t>
        </is>
      </c>
      <c r="H619" s="5">
        <f>IF(G619="fora do recorte","",SUMPRODUCT(($G$3:$G$1723=G619)*($A$3:$A$1723&lt;=A619)))</f>
        <v/>
      </c>
      <c r="I619" s="4">
        <f>IF(H619="","",G619&amp;"|"&amp;H619)</f>
        <v/>
      </c>
      <c r="J619" s="4" t="inlineStr">
        <is>
          <t>https://www.google.com/maps/search/?api=1&amp;query=Pula%20Pula%20do%20Bilu&amp;query_place_id=ChIJ2Q-vdIoHk40RkWALvG2Z8sg</t>
        </is>
      </c>
      <c r="K619" s="4" t="inlineStr">
        <is>
          <t>R. Pernambuco, 17 - Dos Estados, Boa Vista - RR, 69305-540, Brasil</t>
        </is>
      </c>
      <c r="L619" s="4" t="inlineStr">
        <is>
          <t>Boa Vista</t>
        </is>
      </c>
      <c r="M619" s="5" t="n">
        <v>1</v>
      </c>
    </row>
    <row r="620">
      <c r="A620" s="3">
        <f>RAND()</f>
        <v/>
      </c>
      <c r="B620" s="4" t="inlineStr">
        <is>
          <t>ChIJjdf6IgAFk40RarPfo8WgRPg</t>
        </is>
      </c>
      <c r="C620" s="4" t="inlineStr">
        <is>
          <t>Roraima Mangás</t>
        </is>
      </c>
      <c r="D620" s="4" t="inlineStr">
        <is>
          <t>Boa Vista</t>
        </is>
      </c>
      <c r="E620" s="4" t="inlineStr">
        <is>
          <t>RR</t>
        </is>
      </c>
      <c r="F620" s="4" t="inlineStr">
        <is>
          <t>Capitais Regionais C</t>
        </is>
      </c>
      <c r="G620" s="4" t="inlineStr">
        <is>
          <t>Capital regional</t>
        </is>
      </c>
      <c r="H620" s="5">
        <f>IF(G620="fora do recorte","",SUMPRODUCT(($G$3:$G$1723=G620)*($A$3:$A$1723&lt;=A620)))</f>
        <v/>
      </c>
      <c r="I620" s="4">
        <f>IF(H620="","",G620&amp;"|"&amp;H620)</f>
        <v/>
      </c>
      <c r="J620" s="4" t="inlineStr">
        <is>
          <t>https://www.google.com/maps/search/?api=1&amp;query=Roraima%20Mang%C3%A1s&amp;query_place_id=ChIJjdf6IgAFk40RarPfo8WgRPg</t>
        </is>
      </c>
      <c r="K620" s="4" t="inlineStr">
        <is>
          <t>Av. Gen. Ataíde Teive, 3304 - Buritis, Boa Vista - RR, 69309-187, Brasil</t>
        </is>
      </c>
      <c r="L620" s="4" t="inlineStr">
        <is>
          <t>Boa Vista</t>
        </is>
      </c>
      <c r="M620" s="5" t="n">
        <v>1</v>
      </c>
    </row>
    <row r="621">
      <c r="A621" s="3">
        <f>RAND()</f>
        <v/>
      </c>
      <c r="B621" s="4" t="inlineStr">
        <is>
          <t>ChIJ8VbDMiwEk40RzQJ0VIHWlKE</t>
        </is>
      </c>
      <c r="C621" s="4" t="inlineStr">
        <is>
          <t>Seven Games RR</t>
        </is>
      </c>
      <c r="D621" s="4" t="inlineStr">
        <is>
          <t>Boa Vista</t>
        </is>
      </c>
      <c r="E621" s="4" t="inlineStr">
        <is>
          <t>RR</t>
        </is>
      </c>
      <c r="F621" s="4" t="inlineStr">
        <is>
          <t>Capitais Regionais C</t>
        </is>
      </c>
      <c r="G621" s="4" t="inlineStr">
        <is>
          <t>Capital regional</t>
        </is>
      </c>
      <c r="H621" s="5">
        <f>IF(G621="fora do recorte","",SUMPRODUCT(($G$3:$G$1723=G621)*($A$3:$A$1723&lt;=A621)))</f>
        <v/>
      </c>
      <c r="I621" s="4">
        <f>IF(H621="","",G621&amp;"|"&amp;H621)</f>
        <v/>
      </c>
      <c r="J621" s="4" t="inlineStr">
        <is>
          <t>https://www.google.com/maps/search/?api=1&amp;query=Seven%20Games%20RR&amp;query_place_id=ChIJ8VbDMiwEk40RzQJ0VIHWlKE</t>
        </is>
      </c>
      <c r="K621" s="4" t="inlineStr">
        <is>
          <t>R. Peixe Boi, 38 - Santa Tereza, Boa Vista - RR, 69314-074, Brasil</t>
        </is>
      </c>
      <c r="L621" s="4" t="inlineStr">
        <is>
          <t>Boa Vista</t>
        </is>
      </c>
      <c r="M621" s="5" t="n">
        <v>1</v>
      </c>
    </row>
    <row r="622">
      <c r="A622" s="3">
        <f>RAND()</f>
        <v/>
      </c>
      <c r="B622" s="4" t="inlineStr">
        <is>
          <t>ChIJW4Rfhh4Hk40Rn9xq1cgWVus</t>
        </is>
      </c>
      <c r="C622" s="4" t="inlineStr">
        <is>
          <t>Style Geek Centro</t>
        </is>
      </c>
      <c r="D622" s="4" t="inlineStr">
        <is>
          <t>Boa Vista</t>
        </is>
      </c>
      <c r="E622" s="4" t="inlineStr">
        <is>
          <t>RR</t>
        </is>
      </c>
      <c r="F622" s="4" t="inlineStr">
        <is>
          <t>Capitais Regionais C</t>
        </is>
      </c>
      <c r="G622" s="4" t="inlineStr">
        <is>
          <t>Capital regional</t>
        </is>
      </c>
      <c r="H622" s="5">
        <f>IF(G622="fora do recorte","",SUMPRODUCT(($G$3:$G$1723=G622)*($A$3:$A$1723&lt;=A622)))</f>
        <v/>
      </c>
      <c r="I622" s="4">
        <f>IF(H622="","",G622&amp;"|"&amp;H622)</f>
        <v/>
      </c>
      <c r="J622" s="4" t="inlineStr">
        <is>
          <t>https://www.google.com/maps/search/?api=1&amp;query=Style%20Geek%20Centro&amp;query_place_id=ChIJW4Rfhh4Hk40Rn9xq1cgWVus</t>
        </is>
      </c>
      <c r="K622" s="4" t="inlineStr">
        <is>
          <t>Av. Silvio Botelho - Centro, Boa Vista - RR, 69301-330, Brasil</t>
        </is>
      </c>
      <c r="L622" s="4" t="inlineStr">
        <is>
          <t>Boa Vista</t>
        </is>
      </c>
      <c r="M622" s="5" t="n">
        <v>1</v>
      </c>
    </row>
    <row r="623">
      <c r="A623" s="3">
        <f>RAND()</f>
        <v/>
      </c>
      <c r="B623" s="4" t="inlineStr">
        <is>
          <t>ChIJs7MDe6YFk40RYzQFlUwnPYw</t>
        </is>
      </c>
      <c r="C623" s="4" t="inlineStr">
        <is>
          <t>Sukatinha Ataide Teive</t>
        </is>
      </c>
      <c r="D623" s="4" t="inlineStr">
        <is>
          <t>Boa Vista</t>
        </is>
      </c>
      <c r="E623" s="4" t="inlineStr">
        <is>
          <t>RR</t>
        </is>
      </c>
      <c r="F623" s="4" t="inlineStr">
        <is>
          <t>Capitais Regionais C</t>
        </is>
      </c>
      <c r="G623" s="4" t="inlineStr">
        <is>
          <t>Capital regional</t>
        </is>
      </c>
      <c r="H623" s="5">
        <f>IF(G623="fora do recorte","",SUMPRODUCT(($G$3:$G$1723=G623)*($A$3:$A$1723&lt;=A623)))</f>
        <v/>
      </c>
      <c r="I623" s="4">
        <f>IF(H623="","",G623&amp;"|"&amp;H623)</f>
        <v/>
      </c>
      <c r="J623" s="4" t="inlineStr">
        <is>
          <t>https://www.google.com/maps/search/?api=1&amp;query=Sukatinha%20Ataide%20Teive&amp;query_place_id=ChIJs7MDe6YFk40RYzQFlUwnPYw</t>
        </is>
      </c>
      <c r="K623" s="4" t="inlineStr">
        <is>
          <t>Av. Gen. Ataíde Teive, 4037 - Asa Branca, Boa Vista - RR, 69312-245, Brasil</t>
        </is>
      </c>
      <c r="L623" s="4" t="inlineStr">
        <is>
          <t>Boa Vista</t>
        </is>
      </c>
      <c r="M623" s="5" t="n">
        <v>1</v>
      </c>
    </row>
    <row r="624">
      <c r="A624" s="3">
        <f>RAND()</f>
        <v/>
      </c>
      <c r="B624" s="4" t="inlineStr">
        <is>
          <t>ChIJ-ze0ZB4Gk40Rl-E6SQT03Ps</t>
        </is>
      </c>
      <c r="C624" s="4" t="inlineStr">
        <is>
          <t>Sukatinha Brinquedos</t>
        </is>
      </c>
      <c r="D624" s="4" t="inlineStr">
        <is>
          <t>Boa Vista</t>
        </is>
      </c>
      <c r="E624" s="4" t="inlineStr">
        <is>
          <t>RR</t>
        </is>
      </c>
      <c r="F624" s="4" t="inlineStr">
        <is>
          <t>Capitais Regionais C</t>
        </is>
      </c>
      <c r="G624" s="4" t="inlineStr">
        <is>
          <t>Capital regional</t>
        </is>
      </c>
      <c r="H624" s="5">
        <f>IF(G624="fora do recorte","",SUMPRODUCT(($G$3:$G$1723=G624)*($A$3:$A$1723&lt;=A624)))</f>
        <v/>
      </c>
      <c r="I624" s="4">
        <f>IF(H624="","",G624&amp;"|"&amp;H624)</f>
        <v/>
      </c>
      <c r="J624" s="4" t="inlineStr">
        <is>
          <t>https://www.google.com/maps/search/?api=1&amp;query=Sukatinha%20Brinquedos&amp;query_place_id=ChIJ-ze0ZB4Gk40Rl-E6SQT03Ps</t>
        </is>
      </c>
      <c r="K624" s="4" t="inlineStr">
        <is>
          <t>Av. Ville Roy, 5196 - Centro, Boa Vista - RR, 69301-000, Brasil</t>
        </is>
      </c>
      <c r="L624" s="4" t="inlineStr">
        <is>
          <t>Boa Vista</t>
        </is>
      </c>
      <c r="M624" s="5" t="n">
        <v>1</v>
      </c>
    </row>
    <row r="625">
      <c r="A625" s="3">
        <f>RAND()</f>
        <v/>
      </c>
      <c r="B625" s="4" t="inlineStr">
        <is>
          <t>ChIJsV5jFFoHk40RhlJyuhqYhfc</t>
        </is>
      </c>
      <c r="C625" s="4" t="inlineStr">
        <is>
          <t>TidiPlay Jogos e Games</t>
        </is>
      </c>
      <c r="D625" s="4" t="inlineStr">
        <is>
          <t>Boa Vista</t>
        </is>
      </c>
      <c r="E625" s="4" t="inlineStr">
        <is>
          <t>RR</t>
        </is>
      </c>
      <c r="F625" s="4" t="inlineStr">
        <is>
          <t>Capitais Regionais C</t>
        </is>
      </c>
      <c r="G625" s="4" t="inlineStr">
        <is>
          <t>Capital regional</t>
        </is>
      </c>
      <c r="H625" s="5">
        <f>IF(G625="fora do recorte","",SUMPRODUCT(($G$3:$G$1723=G625)*($A$3:$A$1723&lt;=A625)))</f>
        <v/>
      </c>
      <c r="I625" s="4">
        <f>IF(H625="","",G625&amp;"|"&amp;H625)</f>
        <v/>
      </c>
      <c r="J625" s="4" t="inlineStr">
        <is>
          <t>https://www.google.com/maps/search/?api=1&amp;query=TidiPlay%20Jogos%20e%20Games&amp;query_place_id=ChIJsV5jFFoHk40RhlJyuhqYhfc</t>
        </is>
      </c>
      <c r="K625" s="4" t="inlineStr">
        <is>
          <t>R. Mte. Diogo, 157/2 - Trinta e Um de Março, Boa Vista - RR, 69305-410, Brasil</t>
        </is>
      </c>
      <c r="L625" s="4" t="inlineStr">
        <is>
          <t>Boa Vista</t>
        </is>
      </c>
      <c r="M625" s="5" t="n">
        <v>5</v>
      </c>
    </row>
    <row r="626">
      <c r="A626" s="3">
        <f>RAND()</f>
        <v/>
      </c>
      <c r="B626" s="4" t="inlineStr">
        <is>
          <t>ChIJx7e4SEkHk40R6zBFjMi-fi0</t>
        </is>
      </c>
      <c r="C626" s="4" t="inlineStr">
        <is>
          <t>Zeca Formiga - Brinquedos</t>
        </is>
      </c>
      <c r="D626" s="4" t="inlineStr">
        <is>
          <t>Boa Vista</t>
        </is>
      </c>
      <c r="E626" s="4" t="inlineStr">
        <is>
          <t>RR</t>
        </is>
      </c>
      <c r="F626" s="4" t="inlineStr">
        <is>
          <t>Capitais Regionais C</t>
        </is>
      </c>
      <c r="G626" s="4" t="inlineStr">
        <is>
          <t>Capital regional</t>
        </is>
      </c>
      <c r="H626" s="5">
        <f>IF(G626="fora do recorte","",SUMPRODUCT(($G$3:$G$1723=G626)*($A$3:$A$1723&lt;=A626)))</f>
        <v/>
      </c>
      <c r="I626" s="4">
        <f>IF(H626="","",G626&amp;"|"&amp;H626)</f>
        <v/>
      </c>
      <c r="J626" s="4" t="inlineStr">
        <is>
          <t>https://www.google.com/maps/search/?api=1&amp;query=Zeca%20Formiga%20-%20Brinquedos&amp;query_place_id=ChIJx7e4SEkHk40R6zBFjMi-fi0</t>
        </is>
      </c>
      <c r="K626" s="4" t="inlineStr">
        <is>
          <t>Centro Comercial Lucena - Av. Ville Roy, 4430 - Sl 06 - Aparecida, Boa Vista - RR, 69306-405, Brasil</t>
        </is>
      </c>
      <c r="L626" s="4" t="inlineStr">
        <is>
          <t>Boa Vista</t>
        </is>
      </c>
      <c r="M626" s="5" t="n">
        <v>1</v>
      </c>
    </row>
    <row r="627">
      <c r="A627" s="3">
        <f>RAND()</f>
        <v/>
      </c>
      <c r="B627" s="4" t="inlineStr">
        <is>
          <t>ChIJqaN5u0exGgcRL91c0tFi9PE</t>
        </is>
      </c>
      <c r="C627" s="4" t="inlineStr">
        <is>
          <t>1</t>
        </is>
      </c>
      <c r="D627" s="4" t="inlineStr">
        <is>
          <t>Aracaju</t>
        </is>
      </c>
      <c r="E627" s="4" t="inlineStr">
        <is>
          <t>SE</t>
        </is>
      </c>
      <c r="F627" s="4" t="inlineStr">
        <is>
          <t>Capitais Regionais A</t>
        </is>
      </c>
      <c r="G627" s="4" t="inlineStr">
        <is>
          <t>Capital regional</t>
        </is>
      </c>
      <c r="H627" s="5">
        <f>IF(G627="fora do recorte","",SUMPRODUCT(($G$3:$G$1723=G627)*($A$3:$A$1723&lt;=A627)))</f>
        <v/>
      </c>
      <c r="I627" s="4">
        <f>IF(H627="","",G627&amp;"|"&amp;H627)</f>
        <v/>
      </c>
      <c r="J627" s="4" t="inlineStr">
        <is>
          <t>https://www.google.com/maps/search/?api=1&amp;query=1&amp;query_place_id=ChIJqaN5u0exGgcRL91c0tFi9PE</t>
        </is>
      </c>
      <c r="K627" s="4" t="inlineStr">
        <is>
          <t>R. João Mota dos Santos, 950 - Aruana, Aracaju - SE, 49001-400, Brasil</t>
        </is>
      </c>
      <c r="L627" s="4" t="inlineStr">
        <is>
          <t>Aracaju</t>
        </is>
      </c>
      <c r="M627" s="5" t="n">
        <v>1</v>
      </c>
    </row>
    <row r="628">
      <c r="A628" s="3">
        <f>RAND()</f>
        <v/>
      </c>
      <c r="B628" s="4" t="inlineStr">
        <is>
          <t>ChIJAQDcKpyzGgcRN1_G4Z0SAKU</t>
        </is>
      </c>
      <c r="C628" s="4" t="inlineStr">
        <is>
          <t>A Fusao</t>
        </is>
      </c>
      <c r="D628" s="4" t="inlineStr">
        <is>
          <t>Aracaju</t>
        </is>
      </c>
      <c r="E628" s="4" t="inlineStr">
        <is>
          <t>SE</t>
        </is>
      </c>
      <c r="F628" s="4" t="inlineStr">
        <is>
          <t>Capitais Regionais A</t>
        </is>
      </c>
      <c r="G628" s="4" t="inlineStr">
        <is>
          <t>Capital regional</t>
        </is>
      </c>
      <c r="H628" s="5">
        <f>IF(G628="fora do recorte","",SUMPRODUCT(($G$3:$G$1723=G628)*($A$3:$A$1723&lt;=A628)))</f>
        <v/>
      </c>
      <c r="I628" s="4">
        <f>IF(H628="","",G628&amp;"|"&amp;H628)</f>
        <v/>
      </c>
      <c r="J628" s="4" t="inlineStr">
        <is>
          <t>https://www.google.com/maps/search/?api=1&amp;query=A%20Fusao&amp;query_place_id=ChIJAQDcKpyzGgcRN1_G4Z0SAKU</t>
        </is>
      </c>
      <c r="K628" s="4" t="inlineStr">
        <is>
          <t>R. José Freire, 548 - Salgado Filho, Aracaju - SE, 49020-410, Brasil</t>
        </is>
      </c>
      <c r="L628" s="4" t="inlineStr">
        <is>
          <t>Aracaju</t>
        </is>
      </c>
      <c r="M628" s="5" t="n">
        <v>1</v>
      </c>
    </row>
    <row r="629">
      <c r="A629" s="3">
        <f>RAND()</f>
        <v/>
      </c>
      <c r="B629" s="4" t="inlineStr">
        <is>
          <t>ChIJ_-9uwwSzGgcR7VGAawk4Pt8</t>
        </is>
      </c>
      <c r="C629" s="4" t="inlineStr">
        <is>
          <t>Ag</t>
        </is>
      </c>
      <c r="D629" s="4" t="inlineStr">
        <is>
          <t>Aracaju</t>
        </is>
      </c>
      <c r="E629" s="4" t="inlineStr">
        <is>
          <t>SE</t>
        </is>
      </c>
      <c r="F629" s="4" t="inlineStr">
        <is>
          <t>Capitais Regionais A</t>
        </is>
      </c>
      <c r="G629" s="4" t="inlineStr">
        <is>
          <t>Capital regional</t>
        </is>
      </c>
      <c r="H629" s="5">
        <f>IF(G629="fora do recorte","",SUMPRODUCT(($G$3:$G$1723=G629)*($A$3:$A$1723&lt;=A629)))</f>
        <v/>
      </c>
      <c r="I629" s="4">
        <f>IF(H629="","",G629&amp;"|"&amp;H629)</f>
        <v/>
      </c>
      <c r="J629" s="4" t="inlineStr">
        <is>
          <t>https://www.google.com/maps/search/?api=1&amp;query=Ag&amp;query_place_id=ChIJ_-9uwwSzGgcR7VGAawk4Pt8</t>
        </is>
      </c>
      <c r="K629" s="4" t="inlineStr">
        <is>
          <t>Av. Dr. José da Silva Ribeiro Filho, 18 - Siqueira Campos, Aracaju - SE, 49075-170, Brasil</t>
        </is>
      </c>
      <c r="L629" s="4" t="inlineStr">
        <is>
          <t>Aracaju</t>
        </is>
      </c>
      <c r="M629" s="5" t="n">
        <v>1</v>
      </c>
    </row>
    <row r="630">
      <c r="A630" s="3">
        <f>RAND()</f>
        <v/>
      </c>
      <c r="B630" s="4" t="inlineStr">
        <is>
          <t>ChIJEeYKwVSxGgcRJjl5eKTDP3o</t>
        </is>
      </c>
      <c r="C630" s="4" t="inlineStr">
        <is>
          <t>Aracaju Boliche</t>
        </is>
      </c>
      <c r="D630" s="4" t="inlineStr">
        <is>
          <t>Aracaju</t>
        </is>
      </c>
      <c r="E630" s="4" t="inlineStr">
        <is>
          <t>SE</t>
        </is>
      </c>
      <c r="F630" s="4" t="inlineStr">
        <is>
          <t>Capitais Regionais A</t>
        </is>
      </c>
      <c r="G630" s="4" t="inlineStr">
        <is>
          <t>Capital regional</t>
        </is>
      </c>
      <c r="H630" s="5">
        <f>IF(G630="fora do recorte","",SUMPRODUCT(($G$3:$G$1723=G630)*($A$3:$A$1723&lt;=A630)))</f>
        <v/>
      </c>
      <c r="I630" s="4">
        <f>IF(H630="","",G630&amp;"|"&amp;H630)</f>
        <v/>
      </c>
      <c r="J630" s="4" t="inlineStr">
        <is>
          <t>https://www.google.com/maps/search/?api=1&amp;query=Aracaju%20Boliche&amp;query_place_id=ChIJEeYKwVSxGgcRJjl5eKTDP3o</t>
        </is>
      </c>
      <c r="K630" s="4" t="inlineStr">
        <is>
          <t>Rua Antonio Andrade, 1520 - Atalaia, Aracaju - SE, 49035-660, Brasil</t>
        </is>
      </c>
      <c r="L630" s="4" t="inlineStr">
        <is>
          <t>Aracaju</t>
        </is>
      </c>
      <c r="M630" s="5" t="n">
        <v>3</v>
      </c>
    </row>
    <row r="631">
      <c r="A631" s="3">
        <f>RAND()</f>
        <v/>
      </c>
      <c r="B631" s="4" t="inlineStr">
        <is>
          <t>ChIJS_Xa4hixGgcRNKbzrA5b9FI</t>
        </is>
      </c>
      <c r="C631" s="4" t="inlineStr">
        <is>
          <t>Arena Samba Clube</t>
        </is>
      </c>
      <c r="D631" s="4" t="inlineStr">
        <is>
          <t>Aracaju</t>
        </is>
      </c>
      <c r="E631" s="4" t="inlineStr">
        <is>
          <t>SE</t>
        </is>
      </c>
      <c r="F631" s="4" t="inlineStr">
        <is>
          <t>Capitais Regionais A</t>
        </is>
      </c>
      <c r="G631" s="4" t="inlineStr">
        <is>
          <t>Capital regional</t>
        </is>
      </c>
      <c r="H631" s="5">
        <f>IF(G631="fora do recorte","",SUMPRODUCT(($G$3:$G$1723=G631)*($A$3:$A$1723&lt;=A631)))</f>
        <v/>
      </c>
      <c r="I631" s="4">
        <f>IF(H631="","",G631&amp;"|"&amp;H631)</f>
        <v/>
      </c>
      <c r="J631" s="4" t="inlineStr">
        <is>
          <t>https://www.google.com/maps/search/?api=1&amp;query=Arena%20Samba%20Clube&amp;query_place_id=ChIJS_Xa4hixGgcRNKbzrA5b9FI</t>
        </is>
      </c>
      <c r="K631" s="4" t="inlineStr">
        <is>
          <t>Av. Rotary - Anexo Araras - Praia Hotel, 125 - Atalaia, Aracaju - SE, 49037-550, Brasil</t>
        </is>
      </c>
      <c r="L631" s="4" t="inlineStr">
        <is>
          <t>Aracaju</t>
        </is>
      </c>
      <c r="M631" s="5" t="n">
        <v>1</v>
      </c>
    </row>
    <row r="632">
      <c r="A632" s="3">
        <f>RAND()</f>
        <v/>
      </c>
      <c r="B632" s="4" t="inlineStr">
        <is>
          <t>ChIJr-agjM2zGgcRUxwiaZwGD04</t>
        </is>
      </c>
      <c r="C632" s="4" t="inlineStr">
        <is>
          <t>Arte Em Cards</t>
        </is>
      </c>
      <c r="D632" s="4" t="inlineStr">
        <is>
          <t>Aracaju</t>
        </is>
      </c>
      <c r="E632" s="4" t="inlineStr">
        <is>
          <t>SE</t>
        </is>
      </c>
      <c r="F632" s="4" t="inlineStr">
        <is>
          <t>Capitais Regionais A</t>
        </is>
      </c>
      <c r="G632" s="4" t="inlineStr">
        <is>
          <t>Capital regional</t>
        </is>
      </c>
      <c r="H632" s="5">
        <f>IF(G632="fora do recorte","",SUMPRODUCT(($G$3:$G$1723=G632)*($A$3:$A$1723&lt;=A632)))</f>
        <v/>
      </c>
      <c r="I632" s="4">
        <f>IF(H632="","",G632&amp;"|"&amp;H632)</f>
        <v/>
      </c>
      <c r="J632" s="4" t="inlineStr">
        <is>
          <t>https://www.google.com/maps/search/?api=1&amp;query=Arte%20Em%20Cards&amp;query_place_id=ChIJr-agjM2zGgcRUxwiaZwGD04</t>
        </is>
      </c>
      <c r="K632" s="4" t="inlineStr">
        <is>
          <t>R. Lindalva Silva Dantas, 47 - Ponto Novo, Aracaju - SE, 49047-456, Brasil</t>
        </is>
      </c>
      <c r="L632" s="4" t="inlineStr">
        <is>
          <t>Aracaju</t>
        </is>
      </c>
      <c r="M632" s="5" t="n">
        <v>7</v>
      </c>
    </row>
    <row r="633">
      <c r="A633" s="3">
        <f>RAND()</f>
        <v/>
      </c>
      <c r="B633" s="4" t="inlineStr">
        <is>
          <t>ChIJwRnbrAOxGgcRvIBOQqkvZGo</t>
        </is>
      </c>
      <c r="C633" s="4" t="inlineStr">
        <is>
          <t>Bar Pé Sujo</t>
        </is>
      </c>
      <c r="D633" s="4" t="inlineStr">
        <is>
          <t>Aracaju</t>
        </is>
      </c>
      <c r="E633" s="4" t="inlineStr">
        <is>
          <t>SE</t>
        </is>
      </c>
      <c r="F633" s="4" t="inlineStr">
        <is>
          <t>Capitais Regionais A</t>
        </is>
      </c>
      <c r="G633" s="4" t="inlineStr">
        <is>
          <t>Capital regional</t>
        </is>
      </c>
      <c r="H633" s="5">
        <f>IF(G633="fora do recorte","",SUMPRODUCT(($G$3:$G$1723=G633)*($A$3:$A$1723&lt;=A633)))</f>
        <v/>
      </c>
      <c r="I633" s="4">
        <f>IF(H633="","",G633&amp;"|"&amp;H633)</f>
        <v/>
      </c>
      <c r="J633" s="4" t="inlineStr">
        <is>
          <t>https://www.google.com/maps/search/?api=1&amp;query=Bar%20P%C3%A9%20Sujo&amp;query_place_id=ChIJwRnbrAOxGgcRvIBOQqkvZGo</t>
        </is>
      </c>
      <c r="K633" s="4" t="inlineStr">
        <is>
          <t>R. Vila Cristina, 657 - São José, Aracaju - SE, 49015-000, Brasil</t>
        </is>
      </c>
      <c r="L633" s="4" t="inlineStr">
        <is>
          <t>Aracaju</t>
        </is>
      </c>
      <c r="M633" s="5" t="n">
        <v>2</v>
      </c>
    </row>
    <row r="634">
      <c r="A634" s="3">
        <f>RAND()</f>
        <v/>
      </c>
      <c r="B634" s="4" t="inlineStr">
        <is>
          <t>ChIJyxR13o-zGgcR7PIPDruoLcY</t>
        </is>
      </c>
      <c r="C634" s="4" t="inlineStr">
        <is>
          <t>Barreto Games &amp; Assistência.</t>
        </is>
      </c>
      <c r="D634" s="4" t="inlineStr">
        <is>
          <t>Aracaju</t>
        </is>
      </c>
      <c r="E634" s="4" t="inlineStr">
        <is>
          <t>SE</t>
        </is>
      </c>
      <c r="F634" s="4" t="inlineStr">
        <is>
          <t>Capitais Regionais A</t>
        </is>
      </c>
      <c r="G634" s="4" t="inlineStr">
        <is>
          <t>Capital regional</t>
        </is>
      </c>
      <c r="H634" s="5">
        <f>IF(G634="fora do recorte","",SUMPRODUCT(($G$3:$G$1723=G634)*($A$3:$A$1723&lt;=A634)))</f>
        <v/>
      </c>
      <c r="I634" s="4">
        <f>IF(H634="","",G634&amp;"|"&amp;H634)</f>
        <v/>
      </c>
      <c r="J634" s="4" t="inlineStr">
        <is>
          <t>https://www.google.com/maps/search/?api=1&amp;query=Barreto%20Games%20%26%20Assist%C3%AAncia.&amp;query_place_id=ChIJyxR13o-zGgcR7PIPDruoLcY</t>
        </is>
      </c>
      <c r="K634" s="4" t="inlineStr">
        <is>
          <t>Av. Franklin de Campos Sobral, 2238 - Grageru, Aracaju - SE, 49027-000, Brasil</t>
        </is>
      </c>
      <c r="L634" s="4" t="inlineStr">
        <is>
          <t>Aracaju</t>
        </is>
      </c>
      <c r="M634" s="5" t="n">
        <v>2</v>
      </c>
    </row>
    <row r="635">
      <c r="A635" s="3">
        <f>RAND()</f>
        <v/>
      </c>
      <c r="B635" s="4" t="inlineStr">
        <is>
          <t>ChIJvV7fJACzGgcRswrGvH4Z3-8</t>
        </is>
      </c>
      <c r="C635" s="4" t="inlineStr">
        <is>
          <t>Barzin</t>
        </is>
      </c>
      <c r="D635" s="4" t="inlineStr">
        <is>
          <t>Aracaju</t>
        </is>
      </c>
      <c r="E635" s="4" t="inlineStr">
        <is>
          <t>SE</t>
        </is>
      </c>
      <c r="F635" s="4" t="inlineStr">
        <is>
          <t>Capitais Regionais A</t>
        </is>
      </c>
      <c r="G635" s="4" t="inlineStr">
        <is>
          <t>Capital regional</t>
        </is>
      </c>
      <c r="H635" s="5">
        <f>IF(G635="fora do recorte","",SUMPRODUCT(($G$3:$G$1723=G635)*($A$3:$A$1723&lt;=A635)))</f>
        <v/>
      </c>
      <c r="I635" s="4">
        <f>IF(H635="","",G635&amp;"|"&amp;H635)</f>
        <v/>
      </c>
      <c r="J635" s="4" t="inlineStr">
        <is>
          <t>https://www.google.com/maps/search/?api=1&amp;query=Barzin&amp;query_place_id=ChIJvV7fJACzGgcRswrGvH4Z3-8</t>
        </is>
      </c>
      <c r="K635" s="4" t="inlineStr">
        <is>
          <t>Centro Comercial Alameda - Av. Hermes Fontes, 1568 - Luzia, Aracaju - SE, 49045-760, Brasil</t>
        </is>
      </c>
      <c r="L635" s="4" t="inlineStr">
        <is>
          <t>Aracaju</t>
        </is>
      </c>
      <c r="M635" s="5" t="n">
        <v>1</v>
      </c>
    </row>
    <row r="636">
      <c r="A636" s="3">
        <f>RAND()</f>
        <v/>
      </c>
      <c r="B636" s="4" t="inlineStr">
        <is>
          <t>ChIJTYLx8_6zGgcRxg8Qd5MaBxU</t>
        </is>
      </c>
      <c r="C636" s="4" t="inlineStr">
        <is>
          <t>Boate Fantasy</t>
        </is>
      </c>
      <c r="D636" s="4" t="inlineStr">
        <is>
          <t>Aracaju</t>
        </is>
      </c>
      <c r="E636" s="4" t="inlineStr">
        <is>
          <t>SE</t>
        </is>
      </c>
      <c r="F636" s="4" t="inlineStr">
        <is>
          <t>Capitais Regionais A</t>
        </is>
      </c>
      <c r="G636" s="4" t="inlineStr">
        <is>
          <t>Capital regional</t>
        </is>
      </c>
      <c r="H636" s="5">
        <f>IF(G636="fora do recorte","",SUMPRODUCT(($G$3:$G$1723=G636)*($A$3:$A$1723&lt;=A636)))</f>
        <v/>
      </c>
      <c r="I636" s="4">
        <f>IF(H636="","",G636&amp;"|"&amp;H636)</f>
        <v/>
      </c>
      <c r="J636" s="4" t="inlineStr">
        <is>
          <t>https://www.google.com/maps/search/?api=1&amp;query=Boate%20Fantasy&amp;query_place_id=ChIJTYLx8_6zGgcRxg8Qd5MaBxU</t>
        </is>
      </c>
      <c r="K636" s="4" t="inlineStr">
        <is>
          <t>R. Delmiro Gouvêia, 2014 - Coroa do Meio, Aracaju - SE, 49035-140, Brasil</t>
        </is>
      </c>
      <c r="L636" s="4" t="inlineStr">
        <is>
          <t>Aracaju</t>
        </is>
      </c>
      <c r="M636" s="5" t="n">
        <v>2</v>
      </c>
    </row>
    <row r="637">
      <c r="A637" s="3">
        <f>RAND()</f>
        <v/>
      </c>
      <c r="B637" s="4" t="inlineStr">
        <is>
          <t>ChIJHbme0KezGgcRciMeiSr2Ees</t>
        </is>
      </c>
      <c r="C637" s="4" t="inlineStr">
        <is>
          <t>Boteco To Chegando</t>
        </is>
      </c>
      <c r="D637" s="4" t="inlineStr">
        <is>
          <t>Aracaju</t>
        </is>
      </c>
      <c r="E637" s="4" t="inlineStr">
        <is>
          <t>SE</t>
        </is>
      </c>
      <c r="F637" s="4" t="inlineStr">
        <is>
          <t>Capitais Regionais A</t>
        </is>
      </c>
      <c r="G637" s="4" t="inlineStr">
        <is>
          <t>Capital regional</t>
        </is>
      </c>
      <c r="H637" s="5">
        <f>IF(G637="fora do recorte","",SUMPRODUCT(($G$3:$G$1723=G637)*($A$3:$A$1723&lt;=A637)))</f>
        <v/>
      </c>
      <c r="I637" s="4">
        <f>IF(H637="","",G637&amp;"|"&amp;H637)</f>
        <v/>
      </c>
      <c r="J637" s="4" t="inlineStr">
        <is>
          <t>https://www.google.com/maps/search/?api=1&amp;query=Boteco%20To%20Chegando&amp;query_place_id=ChIJHbme0KezGgcRciMeiSr2Ees</t>
        </is>
      </c>
      <c r="K637" s="4" t="inlineStr">
        <is>
          <t>R. Osvaldo Tôrres, 135 - Pereira Lobo, Aracaju - SE, 49052-320, Brasil</t>
        </is>
      </c>
      <c r="L637" s="4" t="inlineStr">
        <is>
          <t>Aracaju</t>
        </is>
      </c>
      <c r="M637" s="5" t="n">
        <v>1</v>
      </c>
    </row>
    <row r="638">
      <c r="A638" s="3">
        <f>RAND()</f>
        <v/>
      </c>
      <c r="B638" s="4" t="inlineStr">
        <is>
          <t>ChIJLf-qy3CzGgcR31u5ZNwrZ7g</t>
        </is>
      </c>
      <c r="C638" s="4" t="inlineStr">
        <is>
          <t>Brinque Eventos</t>
        </is>
      </c>
      <c r="D638" s="4" t="inlineStr">
        <is>
          <t>Aracaju</t>
        </is>
      </c>
      <c r="E638" s="4" t="inlineStr">
        <is>
          <t>SE</t>
        </is>
      </c>
      <c r="F638" s="4" t="inlineStr">
        <is>
          <t>Capitais Regionais A</t>
        </is>
      </c>
      <c r="G638" s="4" t="inlineStr">
        <is>
          <t>Capital regional</t>
        </is>
      </c>
      <c r="H638" s="5">
        <f>IF(G638="fora do recorte","",SUMPRODUCT(($G$3:$G$1723=G638)*($A$3:$A$1723&lt;=A638)))</f>
        <v/>
      </c>
      <c r="I638" s="4">
        <f>IF(H638="","",G638&amp;"|"&amp;H638)</f>
        <v/>
      </c>
      <c r="J638" s="4" t="inlineStr">
        <is>
          <t>https://www.google.com/maps/search/?api=1&amp;query=Brinque%20Eventos&amp;query_place_id=ChIJLf-qy3CzGgcR31u5ZNwrZ7g</t>
        </is>
      </c>
      <c r="K638" s="4" t="inlineStr">
        <is>
          <t>R. Dep. Euclídes Paes Mendonça - Salgado Filho, Aracaju - SE, 49020-460, Brasil</t>
        </is>
      </c>
      <c r="L638" s="4" t="inlineStr">
        <is>
          <t>Aracaju</t>
        </is>
      </c>
      <c r="M638" s="5" t="n">
        <v>1</v>
      </c>
    </row>
    <row r="639">
      <c r="A639" s="3">
        <f>RAND()</f>
        <v/>
      </c>
      <c r="B639" s="4" t="inlineStr">
        <is>
          <t>ChIJtacvGS6zGgcR6mILAN2U66k</t>
        </is>
      </c>
      <c r="C639" s="4" t="inlineStr">
        <is>
          <t>Cajucap</t>
        </is>
      </c>
      <c r="D639" s="4" t="inlineStr">
        <is>
          <t>Aracaju</t>
        </is>
      </c>
      <c r="E639" s="4" t="inlineStr">
        <is>
          <t>SE</t>
        </is>
      </c>
      <c r="F639" s="4" t="inlineStr">
        <is>
          <t>Capitais Regionais A</t>
        </is>
      </c>
      <c r="G639" s="4" t="inlineStr">
        <is>
          <t>Capital regional</t>
        </is>
      </c>
      <c r="H639" s="5">
        <f>IF(G639="fora do recorte","",SUMPRODUCT(($G$3:$G$1723=G639)*($A$3:$A$1723&lt;=A639)))</f>
        <v/>
      </c>
      <c r="I639" s="4">
        <f>IF(H639="","",G639&amp;"|"&amp;H639)</f>
        <v/>
      </c>
      <c r="J639" s="4" t="inlineStr">
        <is>
          <t>https://www.google.com/maps/search/?api=1&amp;query=Cajucap&amp;query_place_id=ChIJtacvGS6zGgcR6mILAN2U66k</t>
        </is>
      </c>
      <c r="K639" s="4" t="inlineStr">
        <is>
          <t>R. José Emídio da Costa, 470 - América, Aracaju - SE, 49082-275, Brasil</t>
        </is>
      </c>
      <c r="L639" s="4" t="inlineStr">
        <is>
          <t>Aracaju</t>
        </is>
      </c>
      <c r="M639" s="5" t="n">
        <v>1</v>
      </c>
    </row>
    <row r="640">
      <c r="A640" s="3">
        <f>RAND()</f>
        <v/>
      </c>
      <c r="B640" s="4" t="inlineStr">
        <is>
          <t>ChIJb7g3J_CxGgcRguHCiQemj4U</t>
        </is>
      </c>
      <c r="C640" s="4" t="inlineStr">
        <is>
          <t>Casa Brincar</t>
        </is>
      </c>
      <c r="D640" s="4" t="inlineStr">
        <is>
          <t>Aracaju</t>
        </is>
      </c>
      <c r="E640" s="4" t="inlineStr">
        <is>
          <t>SE</t>
        </is>
      </c>
      <c r="F640" s="4" t="inlineStr">
        <is>
          <t>Capitais Regionais A</t>
        </is>
      </c>
      <c r="G640" s="4" t="inlineStr">
        <is>
          <t>Capital regional</t>
        </is>
      </c>
      <c r="H640" s="5">
        <f>IF(G640="fora do recorte","",SUMPRODUCT(($G$3:$G$1723=G640)*($A$3:$A$1723&lt;=A640)))</f>
        <v/>
      </c>
      <c r="I640" s="4">
        <f>IF(H640="","",G640&amp;"|"&amp;H640)</f>
        <v/>
      </c>
      <c r="J640" s="4" t="inlineStr">
        <is>
          <t>https://www.google.com/maps/search/?api=1&amp;query=Casa%20Brincar&amp;query_place_id=ChIJb7g3J_CxGgcRguHCiQemj4U</t>
        </is>
      </c>
      <c r="K640" s="4" t="inlineStr">
        <is>
          <t>Av. Mario Jorge Menezes Viêira, 880 - Coroa do Meio, Aracaju - SE, 49035-660, Brasil</t>
        </is>
      </c>
      <c r="L640" s="4" t="inlineStr">
        <is>
          <t>Aracaju</t>
        </is>
      </c>
      <c r="M640" s="5" t="n">
        <v>1</v>
      </c>
    </row>
    <row r="641">
      <c r="A641" s="3">
        <f>RAND()</f>
        <v/>
      </c>
      <c r="B641" s="4" t="inlineStr">
        <is>
          <t>ChIJo-xBLuyzGgcRG3stqVCtZa8</t>
        </is>
      </c>
      <c r="C641" s="4" t="inlineStr">
        <is>
          <t>Casa Gambiarra</t>
        </is>
      </c>
      <c r="D641" s="4" t="inlineStr">
        <is>
          <t>Aracaju</t>
        </is>
      </c>
      <c r="E641" s="4" t="inlineStr">
        <is>
          <t>SE</t>
        </is>
      </c>
      <c r="F641" s="4" t="inlineStr">
        <is>
          <t>Capitais Regionais A</t>
        </is>
      </c>
      <c r="G641" s="4" t="inlineStr">
        <is>
          <t>Capital regional</t>
        </is>
      </c>
      <c r="H641" s="5">
        <f>IF(G641="fora do recorte","",SUMPRODUCT(($G$3:$G$1723=G641)*($A$3:$A$1723&lt;=A641)))</f>
        <v/>
      </c>
      <c r="I641" s="4">
        <f>IF(H641="","",G641&amp;"|"&amp;H641)</f>
        <v/>
      </c>
      <c r="J641" s="4" t="inlineStr">
        <is>
          <t>https://www.google.com/maps/search/?api=1&amp;query=Casa%20Gambiarra&amp;query_place_id=ChIJo-xBLuyzGgcRG3stqVCtZa8</t>
        </is>
      </c>
      <c r="K641" s="4" t="inlineStr">
        <is>
          <t>R. Eng. Hernan Centurion, 740 - Jardins, Aracaju - SE, 49025-170, Brasil</t>
        </is>
      </c>
      <c r="L641" s="4" t="inlineStr">
        <is>
          <t>Aracaju</t>
        </is>
      </c>
      <c r="M641" s="5" t="n">
        <v>1</v>
      </c>
    </row>
    <row r="642">
      <c r="A642" s="3">
        <f>RAND()</f>
        <v/>
      </c>
      <c r="B642" s="4" t="inlineStr">
        <is>
          <t>ChIJY8FZRQCzGgcRdiGrfN2v4Zk</t>
        </is>
      </c>
      <c r="C642" s="4" t="inlineStr">
        <is>
          <t>Cidade Crianças</t>
        </is>
      </c>
      <c r="D642" s="4" t="inlineStr">
        <is>
          <t>Aracaju</t>
        </is>
      </c>
      <c r="E642" s="4" t="inlineStr">
        <is>
          <t>SE</t>
        </is>
      </c>
      <c r="F642" s="4" t="inlineStr">
        <is>
          <t>Capitais Regionais A</t>
        </is>
      </c>
      <c r="G642" s="4" t="inlineStr">
        <is>
          <t>Capital regional</t>
        </is>
      </c>
      <c r="H642" s="5">
        <f>IF(G642="fora do recorte","",SUMPRODUCT(($G$3:$G$1723=G642)*($A$3:$A$1723&lt;=A642)))</f>
        <v/>
      </c>
      <c r="I642" s="4">
        <f>IF(H642="","",G642&amp;"|"&amp;H642)</f>
        <v/>
      </c>
      <c r="J642" s="4" t="inlineStr">
        <is>
          <t>https://www.google.com/maps/search/?api=1&amp;query=Cidade%20Crian%C3%A7as&amp;query_place_id=ChIJY8FZRQCzGgcRdiGrfN2v4Zk</t>
        </is>
      </c>
      <c r="K642" s="4" t="inlineStr">
        <is>
          <t>R. Aloísio Rodrigo Teti Filho, 305 - Jardins, Aracaju - SE, 49025-830, Brasil</t>
        </is>
      </c>
      <c r="L642" s="4" t="inlineStr">
        <is>
          <t>Aracaju</t>
        </is>
      </c>
      <c r="M642" s="5" t="n">
        <v>1</v>
      </c>
    </row>
    <row r="643">
      <c r="A643" s="3">
        <f>RAND()</f>
        <v/>
      </c>
      <c r="B643" s="4" t="inlineStr">
        <is>
          <t>ChIJnXA4TxuzGgcRyHXSmuWUKqk</t>
        </is>
      </c>
      <c r="C643" s="4" t="inlineStr">
        <is>
          <t>Clash Pub n´ Restaurant</t>
        </is>
      </c>
      <c r="D643" s="4" t="inlineStr">
        <is>
          <t>Aracaju</t>
        </is>
      </c>
      <c r="E643" s="4" t="inlineStr">
        <is>
          <t>SE</t>
        </is>
      </c>
      <c r="F643" s="4" t="inlineStr">
        <is>
          <t>Capitais Regionais A</t>
        </is>
      </c>
      <c r="G643" s="4" t="inlineStr">
        <is>
          <t>Capital regional</t>
        </is>
      </c>
      <c r="H643" s="5">
        <f>IF(G643="fora do recorte","",SUMPRODUCT(($G$3:$G$1723=G643)*($A$3:$A$1723&lt;=A643)))</f>
        <v/>
      </c>
      <c r="I643" s="4">
        <f>IF(H643="","",G643&amp;"|"&amp;H643)</f>
        <v/>
      </c>
      <c r="J643" s="4" t="inlineStr">
        <is>
          <t>https://www.google.com/maps/search/?api=1&amp;query=Clash%20Pub%20n%C2%B4%20Restaurant&amp;query_place_id=ChIJnXA4TxuzGgcRyHXSmuWUKqk</t>
        </is>
      </c>
      <c r="K643" s="4" t="inlineStr">
        <is>
          <t>R. Dep. Euclídes Paes Mendonça, 622 - 13 de Julho, Aracaju - SE, 49020-005, Brasil</t>
        </is>
      </c>
      <c r="L643" s="4" t="inlineStr">
        <is>
          <t>Aracaju</t>
        </is>
      </c>
      <c r="M643" s="5" t="n">
        <v>1</v>
      </c>
    </row>
    <row r="644">
      <c r="A644" s="3">
        <f>RAND()</f>
        <v/>
      </c>
      <c r="B644" s="4" t="inlineStr">
        <is>
          <t>ChIJk1X7Y7CxGgcRdMz6b4WTfc0</t>
        </is>
      </c>
      <c r="C644" s="4" t="inlineStr">
        <is>
          <t>Complexo Paió Food park</t>
        </is>
      </c>
      <c r="D644" s="4" t="inlineStr">
        <is>
          <t>Aracaju</t>
        </is>
      </c>
      <c r="E644" s="4" t="inlineStr">
        <is>
          <t>SE</t>
        </is>
      </c>
      <c r="F644" s="4" t="inlineStr">
        <is>
          <t>Capitais Regionais A</t>
        </is>
      </c>
      <c r="G644" s="4" t="inlineStr">
        <is>
          <t>Capital regional</t>
        </is>
      </c>
      <c r="H644" s="5">
        <f>IF(G644="fora do recorte","",SUMPRODUCT(($G$3:$G$1723=G644)*($A$3:$A$1723&lt;=A644)))</f>
        <v/>
      </c>
      <c r="I644" s="4">
        <f>IF(H644="","",G644&amp;"|"&amp;H644)</f>
        <v/>
      </c>
      <c r="J644" s="4" t="inlineStr">
        <is>
          <t>https://www.google.com/maps/search/?api=1&amp;query=Complexo%20Pai%C3%B3%20Food%20park&amp;query_place_id=ChIJk1X7Y7CxGgcRdMz6b4WTfc0</t>
        </is>
      </c>
      <c r="K644" s="4" t="inlineStr">
        <is>
          <t>Av. Antônio Alves, 388 - Atalaia, Aracaju - SE, 49037-050, Brasil</t>
        </is>
      </c>
      <c r="L644" s="4" t="inlineStr">
        <is>
          <t>Aracaju</t>
        </is>
      </c>
      <c r="M644" s="5" t="n">
        <v>1</v>
      </c>
    </row>
    <row r="645">
      <c r="A645" s="3">
        <f>RAND()</f>
        <v/>
      </c>
      <c r="B645" s="4" t="inlineStr">
        <is>
          <t>ChIJxfqodPGzGgcRZ35wqWitP04</t>
        </is>
      </c>
      <c r="C645" s="4" t="inlineStr">
        <is>
          <t>Conecte Tudo</t>
        </is>
      </c>
      <c r="D645" s="4" t="inlineStr">
        <is>
          <t>Aracaju</t>
        </is>
      </c>
      <c r="E645" s="4" t="inlineStr">
        <is>
          <t>SE</t>
        </is>
      </c>
      <c r="F645" s="4" t="inlineStr">
        <is>
          <t>Capitais Regionais A</t>
        </is>
      </c>
      <c r="G645" s="4" t="inlineStr">
        <is>
          <t>Capital regional</t>
        </is>
      </c>
      <c r="H645" s="5">
        <f>IF(G645="fora do recorte","",SUMPRODUCT(($G$3:$G$1723=G645)*($A$3:$A$1723&lt;=A645)))</f>
        <v/>
      </c>
      <c r="I645" s="4">
        <f>IF(H645="","",G645&amp;"|"&amp;H645)</f>
        <v/>
      </c>
      <c r="J645" s="4" t="inlineStr">
        <is>
          <t>https://www.google.com/maps/search/?api=1&amp;query=Conecte%20Tudo&amp;query_place_id=ChIJxfqodPGzGgcRZ35wqWitP04</t>
        </is>
      </c>
      <c r="K645" s="4" t="inlineStr">
        <is>
          <t>riomar shopping - Av. Delmiro Gouveia, 400 - loja 150 - Coroa do Meio, Aracaju - SE, 49035-500, Brasil</t>
        </is>
      </c>
      <c r="L645" s="4" t="inlineStr">
        <is>
          <t>Aracaju</t>
        </is>
      </c>
      <c r="M645" s="5" t="n">
        <v>2</v>
      </c>
    </row>
    <row r="646">
      <c r="A646" s="3">
        <f>RAND()</f>
        <v/>
      </c>
      <c r="B646" s="4" t="inlineStr">
        <is>
          <t>ChIJjzJrOiSxGgcRrKRMI_PIO0I</t>
        </is>
      </c>
      <c r="C646" s="4" t="inlineStr">
        <is>
          <t>Contêiner Gastrobar</t>
        </is>
      </c>
      <c r="D646" s="4" t="inlineStr">
        <is>
          <t>Aracaju</t>
        </is>
      </c>
      <c r="E646" s="4" t="inlineStr">
        <is>
          <t>SE</t>
        </is>
      </c>
      <c r="F646" s="4" t="inlineStr">
        <is>
          <t>Capitais Regionais A</t>
        </is>
      </c>
      <c r="G646" s="4" t="inlineStr">
        <is>
          <t>Capital regional</t>
        </is>
      </c>
      <c r="H646" s="5">
        <f>IF(G646="fora do recorte","",SUMPRODUCT(($G$3:$G$1723=G646)*($A$3:$A$1723&lt;=A646)))</f>
        <v/>
      </c>
      <c r="I646" s="4">
        <f>IF(H646="","",G646&amp;"|"&amp;H646)</f>
        <v/>
      </c>
      <c r="J646" s="4" t="inlineStr">
        <is>
          <t>https://www.google.com/maps/search/?api=1&amp;query=Cont%C3%AAiner%20Gastrobar&amp;query_place_id=ChIJjzJrOiSxGgcRrKRMI_PIO0I</t>
        </is>
      </c>
      <c r="K646" s="4" t="inlineStr">
        <is>
          <t>Av. Antônio Alves, 388 - Atalaia, Aracaju - SE, 49037-050, Brasil</t>
        </is>
      </c>
      <c r="L646" s="4" t="inlineStr">
        <is>
          <t>Aracaju</t>
        </is>
      </c>
      <c r="M646" s="5" t="n">
        <v>4</v>
      </c>
    </row>
    <row r="647">
      <c r="A647" s="3">
        <f>RAND()</f>
        <v/>
      </c>
      <c r="B647" s="4" t="inlineStr">
        <is>
          <t>ChIJqwZBTMK3GgcRAfANg34K1a4</t>
        </is>
      </c>
      <c r="C647" s="4" t="inlineStr">
        <is>
          <t>Darin Choperia</t>
        </is>
      </c>
      <c r="D647" s="4" t="inlineStr">
        <is>
          <t>Aracaju</t>
        </is>
      </c>
      <c r="E647" s="4" t="inlineStr">
        <is>
          <t>SE</t>
        </is>
      </c>
      <c r="F647" s="4" t="inlineStr">
        <is>
          <t>Capitais Regionais A</t>
        </is>
      </c>
      <c r="G647" s="4" t="inlineStr">
        <is>
          <t>Capital regional</t>
        </is>
      </c>
      <c r="H647" s="5">
        <f>IF(G647="fora do recorte","",SUMPRODUCT(($G$3:$G$1723=G647)*($A$3:$A$1723&lt;=A647)))</f>
        <v/>
      </c>
      <c r="I647" s="4">
        <f>IF(H647="","",G647&amp;"|"&amp;H647)</f>
        <v/>
      </c>
      <c r="J647" s="4" t="inlineStr">
        <is>
          <t>https://www.google.com/maps/search/?api=1&amp;query=Darin%20Choperia&amp;query_place_id=ChIJqwZBTMK3GgcRAfANg34K1a4</t>
        </is>
      </c>
      <c r="K647" s="4" t="inlineStr">
        <is>
          <t>R. Urbano Neto, 503 - Coroa do Meio, Aracaju - SE, 49035-190, Brasil</t>
        </is>
      </c>
      <c r="L647" s="4" t="inlineStr">
        <is>
          <t>Aracaju</t>
        </is>
      </c>
      <c r="M647" s="5" t="n">
        <v>1</v>
      </c>
    </row>
    <row r="648">
      <c r="A648" s="3">
        <f>RAND()</f>
        <v/>
      </c>
      <c r="B648" s="4" t="inlineStr">
        <is>
          <t>ChIJ9x8_RVKjGgcR2dJuzyt8N4I</t>
        </is>
      </c>
      <c r="C648" s="4" t="inlineStr">
        <is>
          <t>Duna Beach Club</t>
        </is>
      </c>
      <c r="D648" s="4" t="inlineStr">
        <is>
          <t>Aracaju</t>
        </is>
      </c>
      <c r="E648" s="4" t="inlineStr">
        <is>
          <t>SE</t>
        </is>
      </c>
      <c r="F648" s="4" t="inlineStr">
        <is>
          <t>Capitais Regionais A</t>
        </is>
      </c>
      <c r="G648" s="4" t="inlineStr">
        <is>
          <t>Capital regional</t>
        </is>
      </c>
      <c r="H648" s="5">
        <f>IF(G648="fora do recorte","",SUMPRODUCT(($G$3:$G$1723=G648)*($A$3:$A$1723&lt;=A648)))</f>
        <v/>
      </c>
      <c r="I648" s="4">
        <f>IF(H648="","",G648&amp;"|"&amp;H648)</f>
        <v/>
      </c>
      <c r="J648" s="4" t="inlineStr">
        <is>
          <t>https://www.google.com/maps/search/?api=1&amp;query=Duna%20Beach%20Club&amp;query_place_id=ChIJ9x8_RVKjGgcR2dJuzyt8N4I</t>
        </is>
      </c>
      <c r="K648" s="4" t="inlineStr">
        <is>
          <t>Av. Inácio Barbosa, 3411 - Mosqueiro, Aracaju - SE, 49009-109, Brasil</t>
        </is>
      </c>
      <c r="L648" s="4" t="inlineStr">
        <is>
          <t>Aracaju</t>
        </is>
      </c>
      <c r="M648" s="5" t="n">
        <v>1</v>
      </c>
    </row>
    <row r="649">
      <c r="A649" s="3">
        <f>RAND()</f>
        <v/>
      </c>
      <c r="B649" s="4" t="inlineStr">
        <is>
          <t>ChIJU2O7Ds6xGgcR4QyZYEDOjC8</t>
        </is>
      </c>
      <c r="C649" s="4" t="inlineStr">
        <is>
          <t>Encanta Brinquedos</t>
        </is>
      </c>
      <c r="D649" s="4" t="inlineStr">
        <is>
          <t>Aracaju</t>
        </is>
      </c>
      <c r="E649" s="4" t="inlineStr">
        <is>
          <t>SE</t>
        </is>
      </c>
      <c r="F649" s="4" t="inlineStr">
        <is>
          <t>Capitais Regionais A</t>
        </is>
      </c>
      <c r="G649" s="4" t="inlineStr">
        <is>
          <t>Capital regional</t>
        </is>
      </c>
      <c r="H649" s="5">
        <f>IF(G649="fora do recorte","",SUMPRODUCT(($G$3:$G$1723=G649)*($A$3:$A$1723&lt;=A649)))</f>
        <v/>
      </c>
      <c r="I649" s="4">
        <f>IF(H649="","",G649&amp;"|"&amp;H649)</f>
        <v/>
      </c>
      <c r="J649" s="4" t="inlineStr">
        <is>
          <t>https://www.google.com/maps/search/?api=1&amp;query=Encanta%20Brinquedos&amp;query_place_id=ChIJU2O7Ds6xGgcR4QyZYEDOjC8</t>
        </is>
      </c>
      <c r="K649" s="4" t="inlineStr">
        <is>
          <t>Shopping Praia Sul - Av. Melício Machado, 4880 - Aruana, Aracaju - SE, 49038-445, Brasil</t>
        </is>
      </c>
      <c r="L649" s="4" t="inlineStr">
        <is>
          <t>Aracaju</t>
        </is>
      </c>
      <c r="M649" s="5" t="n">
        <v>2</v>
      </c>
    </row>
    <row r="650">
      <c r="A650" s="3">
        <f>RAND()</f>
        <v/>
      </c>
      <c r="B650" s="4" t="inlineStr">
        <is>
          <t>ChIJ5TC2ycOxGgcRWgCYenuRUe8</t>
        </is>
      </c>
      <c r="C650" s="4" t="inlineStr">
        <is>
          <t>Equipaflexse</t>
        </is>
      </c>
      <c r="D650" s="4" t="inlineStr">
        <is>
          <t>Aracaju</t>
        </is>
      </c>
      <c r="E650" s="4" t="inlineStr">
        <is>
          <t>SE</t>
        </is>
      </c>
      <c r="F650" s="4" t="inlineStr">
        <is>
          <t>Capitais Regionais A</t>
        </is>
      </c>
      <c r="G650" s="4" t="inlineStr">
        <is>
          <t>Capital regional</t>
        </is>
      </c>
      <c r="H650" s="5">
        <f>IF(G650="fora do recorte","",SUMPRODUCT(($G$3:$G$1723=G650)*($A$3:$A$1723&lt;=A650)))</f>
        <v/>
      </c>
      <c r="I650" s="4">
        <f>IF(H650="","",G650&amp;"|"&amp;H650)</f>
        <v/>
      </c>
      <c r="J650" s="4" t="inlineStr">
        <is>
          <t>https://www.google.com/maps/search/?api=1&amp;query=Equipaflexse&amp;query_place_id=ChIJ5TC2ycOxGgcRWgCYenuRUe8</t>
        </is>
      </c>
      <c r="K650" s="4" t="inlineStr">
        <is>
          <t>Loteamento Porto Sul - R. C, n° 72 - Aruana, Aracaju - SE, 49000-590, Brasil</t>
        </is>
      </c>
      <c r="L650" s="4" t="inlineStr">
        <is>
          <t>Aracaju</t>
        </is>
      </c>
      <c r="M650" s="5" t="n">
        <v>1</v>
      </c>
    </row>
    <row r="651">
      <c r="A651" s="3">
        <f>RAND()</f>
        <v/>
      </c>
      <c r="B651" s="4" t="inlineStr">
        <is>
          <t>ChIJL4dRqGGzGgcRPMR_LXvl-B8</t>
        </is>
      </c>
      <c r="C651" s="4" t="inlineStr">
        <is>
          <t>Estacao Jogos</t>
        </is>
      </c>
      <c r="D651" s="4" t="inlineStr">
        <is>
          <t>Aracaju</t>
        </is>
      </c>
      <c r="E651" s="4" t="inlineStr">
        <is>
          <t>SE</t>
        </is>
      </c>
      <c r="F651" s="4" t="inlineStr">
        <is>
          <t>Capitais Regionais A</t>
        </is>
      </c>
      <c r="G651" s="4" t="inlineStr">
        <is>
          <t>Capital regional</t>
        </is>
      </c>
      <c r="H651" s="5">
        <f>IF(G651="fora do recorte","",SUMPRODUCT(($G$3:$G$1723=G651)*($A$3:$A$1723&lt;=A651)))</f>
        <v/>
      </c>
      <c r="I651" s="4">
        <f>IF(H651="","",G651&amp;"|"&amp;H651)</f>
        <v/>
      </c>
      <c r="J651" s="4" t="inlineStr">
        <is>
          <t>https://www.google.com/maps/search/?api=1&amp;query=Estacao%20Jogos&amp;query_place_id=ChIJL4dRqGGzGgcRPMR_LXvl-B8</t>
        </is>
      </c>
      <c r="K651" s="4" t="inlineStr">
        <is>
          <t>Av. Ministro Geraldo Barreto Sobral, 215 - Jardins, Aracaju - SE, 49026-010, Brasil</t>
        </is>
      </c>
      <c r="L651" s="4" t="inlineStr">
        <is>
          <t>Aracaju</t>
        </is>
      </c>
      <c r="M651" s="5" t="n">
        <v>1</v>
      </c>
    </row>
    <row r="652">
      <c r="A652" s="3">
        <f>RAND()</f>
        <v/>
      </c>
      <c r="B652" s="4" t="inlineStr">
        <is>
          <t>ChIJDbC4GnCzGgcRLp_J-WQBHZI</t>
        </is>
      </c>
      <c r="C652" s="4" t="inlineStr">
        <is>
          <t>Figueiredo</t>
        </is>
      </c>
      <c r="D652" s="4" t="inlineStr">
        <is>
          <t>Aracaju</t>
        </is>
      </c>
      <c r="E652" s="4" t="inlineStr">
        <is>
          <t>SE</t>
        </is>
      </c>
      <c r="F652" s="4" t="inlineStr">
        <is>
          <t>Capitais Regionais A</t>
        </is>
      </c>
      <c r="G652" s="4" t="inlineStr">
        <is>
          <t>Capital regional</t>
        </is>
      </c>
      <c r="H652" s="5">
        <f>IF(G652="fora do recorte","",SUMPRODUCT(($G$3:$G$1723=G652)*($A$3:$A$1723&lt;=A652)))</f>
        <v/>
      </c>
      <c r="I652" s="4">
        <f>IF(H652="","",G652&amp;"|"&amp;H652)</f>
        <v/>
      </c>
      <c r="J652" s="4" t="inlineStr">
        <is>
          <t>https://www.google.com/maps/search/?api=1&amp;query=Figueiredo&amp;query_place_id=ChIJDbC4GnCzGgcRLp_J-WQBHZI</t>
        </is>
      </c>
      <c r="K652" s="4" t="inlineStr">
        <is>
          <t>R. Santo Amaro, 196 - Centro, Aracaju - SE, 49010-290, Brasil</t>
        </is>
      </c>
      <c r="L652" s="4" t="inlineStr">
        <is>
          <t>Aracaju</t>
        </is>
      </c>
      <c r="M652" s="5" t="n">
        <v>1</v>
      </c>
    </row>
    <row r="653">
      <c r="A653" s="3">
        <f>RAND()</f>
        <v/>
      </c>
      <c r="B653" s="4" t="inlineStr">
        <is>
          <t>ChIJLbSfYTVNBQcRt4QDSomfglU</t>
        </is>
      </c>
      <c r="C653" s="4" t="inlineStr">
        <is>
          <t>Fl</t>
        </is>
      </c>
      <c r="D653" s="4" t="inlineStr">
        <is>
          <t>Aracaju</t>
        </is>
      </c>
      <c r="E653" s="4" t="inlineStr">
        <is>
          <t>SE</t>
        </is>
      </c>
      <c r="F653" s="4" t="inlineStr">
        <is>
          <t>Capitais Regionais A</t>
        </is>
      </c>
      <c r="G653" s="4" t="inlineStr">
        <is>
          <t>Capital regional</t>
        </is>
      </c>
      <c r="H653" s="5">
        <f>IF(G653="fora do recorte","",SUMPRODUCT(($G$3:$G$1723=G653)*($A$3:$A$1723&lt;=A653)))</f>
        <v/>
      </c>
      <c r="I653" s="4">
        <f>IF(H653="","",G653&amp;"|"&amp;H653)</f>
        <v/>
      </c>
      <c r="J653" s="4" t="inlineStr">
        <is>
          <t>https://www.google.com/maps/search/?api=1&amp;query=Fl&amp;query_place_id=ChIJLbSfYTVNBQcRt4QDSomfglU</t>
        </is>
      </c>
      <c r="K653" s="4" t="inlineStr">
        <is>
          <t>Av. Gen. Euclídes Figueiredo, 2588 - Porto D'antas, Aracaju - SE, 49067-016, Brasil</t>
        </is>
      </c>
      <c r="L653" s="4" t="inlineStr">
        <is>
          <t>Aracaju</t>
        </is>
      </c>
      <c r="M653" s="5" t="n">
        <v>2</v>
      </c>
    </row>
    <row r="654">
      <c r="A654" s="3">
        <f>RAND()</f>
        <v/>
      </c>
      <c r="B654" s="4" t="inlineStr">
        <is>
          <t>ChIJ8TTwiaazGgcRqhhXRMDd1PE</t>
        </is>
      </c>
      <c r="C654" s="4" t="inlineStr">
        <is>
          <t>Frajola</t>
        </is>
      </c>
      <c r="D654" s="4" t="inlineStr">
        <is>
          <t>Aracaju</t>
        </is>
      </c>
      <c r="E654" s="4" t="inlineStr">
        <is>
          <t>SE</t>
        </is>
      </c>
      <c r="F654" s="4" t="inlineStr">
        <is>
          <t>Capitais Regionais A</t>
        </is>
      </c>
      <c r="G654" s="4" t="inlineStr">
        <is>
          <t>Capital regional</t>
        </is>
      </c>
      <c r="H654" s="5">
        <f>IF(G654="fora do recorte","",SUMPRODUCT(($G$3:$G$1723=G654)*($A$3:$A$1723&lt;=A654)))</f>
        <v/>
      </c>
      <c r="I654" s="4">
        <f>IF(H654="","",G654&amp;"|"&amp;H654)</f>
        <v/>
      </c>
      <c r="J654" s="4" t="inlineStr">
        <is>
          <t>https://www.google.com/maps/search/?api=1&amp;query=Frajola&amp;query_place_id=ChIJ8TTwiaazGgcRqhhXRMDd1PE</t>
        </is>
      </c>
      <c r="K654" s="4" t="inlineStr">
        <is>
          <t>Av. Ministro Geraldo Barreto Sobral, 1486 - Jardins, Aracaju - SE, 49026-010, Brasil</t>
        </is>
      </c>
      <c r="L654" s="4" t="inlineStr">
        <is>
          <t>Aracaju</t>
        </is>
      </c>
      <c r="M654" s="5" t="n">
        <v>1</v>
      </c>
    </row>
    <row r="655">
      <c r="A655" s="3">
        <f>RAND()</f>
        <v/>
      </c>
      <c r="B655" s="4" t="inlineStr">
        <is>
          <t>ChIJl-nNCfGzGgcRh2XJP5ca7ZM</t>
        </is>
      </c>
      <c r="C655" s="4" t="inlineStr">
        <is>
          <t>Game Station - Shopping RioMar Aracaju</t>
        </is>
      </c>
      <c r="D655" s="4" t="inlineStr">
        <is>
          <t>Aracaju</t>
        </is>
      </c>
      <c r="E655" s="4" t="inlineStr">
        <is>
          <t>SE</t>
        </is>
      </c>
      <c r="F655" s="4" t="inlineStr">
        <is>
          <t>Capitais Regionais A</t>
        </is>
      </c>
      <c r="G655" s="4" t="inlineStr">
        <is>
          <t>Capital regional</t>
        </is>
      </c>
      <c r="H655" s="5">
        <f>IF(G655="fora do recorte","",SUMPRODUCT(($G$3:$G$1723=G655)*($A$3:$A$1723&lt;=A655)))</f>
        <v/>
      </c>
      <c r="I655" s="4">
        <f>IF(H655="","",G655&amp;"|"&amp;H655)</f>
        <v/>
      </c>
      <c r="J655" s="4" t="inlineStr">
        <is>
          <t>https://www.google.com/maps/search/?api=1&amp;query=Game%20Station%20-%20Shopping%20RioMar%20Aracaju&amp;query_place_id=ChIJl-nNCfGzGgcRh2XJP5ca7ZM</t>
        </is>
      </c>
      <c r="K655" s="4" t="inlineStr">
        <is>
          <t>R. Delmiro Gouvêia, 400 - Coroa do Meio, Aracaju - SE, 49035-500, Brasil</t>
        </is>
      </c>
      <c r="L655" s="4" t="inlineStr">
        <is>
          <t>Aracaju</t>
        </is>
      </c>
      <c r="M655" s="5" t="n">
        <v>1</v>
      </c>
    </row>
    <row r="656">
      <c r="A656" s="3">
        <f>RAND()</f>
        <v/>
      </c>
      <c r="B656" s="4" t="inlineStr">
        <is>
          <t>ChIJjwkSmKCzGgcRqkbyspDe4IE</t>
        </is>
      </c>
      <c r="C656" s="4" t="inlineStr">
        <is>
          <t>Hitech Arena</t>
        </is>
      </c>
      <c r="D656" s="4" t="inlineStr">
        <is>
          <t>Aracaju</t>
        </is>
      </c>
      <c r="E656" s="4" t="inlineStr">
        <is>
          <t>SE</t>
        </is>
      </c>
      <c r="F656" s="4" t="inlineStr">
        <is>
          <t>Capitais Regionais A</t>
        </is>
      </c>
      <c r="G656" s="4" t="inlineStr">
        <is>
          <t>Capital regional</t>
        </is>
      </c>
      <c r="H656" s="5">
        <f>IF(G656="fora do recorte","",SUMPRODUCT(($G$3:$G$1723=G656)*($A$3:$A$1723&lt;=A656)))</f>
        <v/>
      </c>
      <c r="I656" s="4">
        <f>IF(H656="","",G656&amp;"|"&amp;H656)</f>
        <v/>
      </c>
      <c r="J656" s="4" t="inlineStr">
        <is>
          <t>https://www.google.com/maps/search/?api=1&amp;query=Hitech%20Arena&amp;query_place_id=ChIJjwkSmKCzGgcRqkbyspDe4IE</t>
        </is>
      </c>
      <c r="K656" s="4" t="inlineStr">
        <is>
          <t>Av. Jorge Amado, 1116 - Lj 03 - Jardins, Aracaju - SE, 49025-330, Brasil</t>
        </is>
      </c>
      <c r="L656" s="4" t="inlineStr">
        <is>
          <t>Aracaju</t>
        </is>
      </c>
      <c r="M656" s="5" t="n">
        <v>1</v>
      </c>
    </row>
    <row r="657">
      <c r="A657" s="3">
        <f>RAND()</f>
        <v/>
      </c>
      <c r="B657" s="4" t="inlineStr">
        <is>
          <t>ChIJAWKaZByzGgcRZ-R91C0S2jE</t>
        </is>
      </c>
      <c r="C657" s="4" t="inlineStr">
        <is>
          <t>Jogos Aju</t>
        </is>
      </c>
      <c r="D657" s="4" t="inlineStr">
        <is>
          <t>Aracaju</t>
        </is>
      </c>
      <c r="E657" s="4" t="inlineStr">
        <is>
          <t>SE</t>
        </is>
      </c>
      <c r="F657" s="4" t="inlineStr">
        <is>
          <t>Capitais Regionais A</t>
        </is>
      </c>
      <c r="G657" s="4" t="inlineStr">
        <is>
          <t>Capital regional</t>
        </is>
      </c>
      <c r="H657" s="5">
        <f>IF(G657="fora do recorte","",SUMPRODUCT(($G$3:$G$1723=G657)*($A$3:$A$1723&lt;=A657)))</f>
        <v/>
      </c>
      <c r="I657" s="4">
        <f>IF(H657="","",G657&amp;"|"&amp;H657)</f>
        <v/>
      </c>
      <c r="J657" s="4" t="inlineStr">
        <is>
          <t>https://www.google.com/maps/search/?api=1&amp;query=Jogos%20Aju&amp;query_place_id=ChIJAWKaZByzGgcRZ-R91C0S2jE</t>
        </is>
      </c>
      <c r="K657" s="4" t="inlineStr">
        <is>
          <t>Av. Prof. Acrísio Cruz, 549 - 13 de Julho, Aracaju - SE, 49020-210, Brasil</t>
        </is>
      </c>
      <c r="L657" s="4" t="inlineStr">
        <is>
          <t>Aracaju</t>
        </is>
      </c>
      <c r="M657" s="5" t="n">
        <v>7</v>
      </c>
    </row>
    <row r="658">
      <c r="A658" s="3">
        <f>RAND()</f>
        <v/>
      </c>
      <c r="B658" s="4" t="inlineStr">
        <is>
          <t>ChIJ843zZFWxGgcR54AcOzfbY7g</t>
        </is>
      </c>
      <c r="C658" s="4" t="inlineStr">
        <is>
          <t>Kalunga</t>
        </is>
      </c>
      <c r="D658" s="4" t="inlineStr">
        <is>
          <t>Aracaju</t>
        </is>
      </c>
      <c r="E658" s="4" t="inlineStr">
        <is>
          <t>SE</t>
        </is>
      </c>
      <c r="F658" s="4" t="inlineStr">
        <is>
          <t>Capitais Regionais A</t>
        </is>
      </c>
      <c r="G658" s="4" t="inlineStr">
        <is>
          <t>Capital regional</t>
        </is>
      </c>
      <c r="H658" s="5">
        <f>IF(G658="fora do recorte","",SUMPRODUCT(($G$3:$G$1723=G658)*($A$3:$A$1723&lt;=A658)))</f>
        <v/>
      </c>
      <c r="I658" s="4">
        <f>IF(H658="","",G658&amp;"|"&amp;H658)</f>
        <v/>
      </c>
      <c r="J658" s="4" t="inlineStr">
        <is>
          <t>https://www.google.com/maps/search/?api=1&amp;query=Kalunga&amp;query_place_id=ChIJ843zZFWxGgcR54AcOzfbY7g</t>
        </is>
      </c>
      <c r="K658" s="4" t="inlineStr">
        <is>
          <t>Av. Delmiro Gouveia, 400 - Coroa do Meio, Aracaju - SE, 49035-500, Brasil</t>
        </is>
      </c>
      <c r="L658" s="4" t="inlineStr">
        <is>
          <t>Aracaju</t>
        </is>
      </c>
      <c r="M658" s="5" t="n">
        <v>2</v>
      </c>
    </row>
    <row r="659">
      <c r="A659" s="3">
        <f>RAND()</f>
        <v/>
      </c>
      <c r="B659" s="4" t="inlineStr">
        <is>
          <t>ChIJzX1WHgCzGgcRBlcpf2oa-LM</t>
        </is>
      </c>
      <c r="C659" s="4" t="inlineStr">
        <is>
          <t>Kalunga</t>
        </is>
      </c>
      <c r="D659" s="4" t="inlineStr">
        <is>
          <t>Aracaju</t>
        </is>
      </c>
      <c r="E659" s="4" t="inlineStr">
        <is>
          <t>SE</t>
        </is>
      </c>
      <c r="F659" s="4" t="inlineStr">
        <is>
          <t>Capitais Regionais A</t>
        </is>
      </c>
      <c r="G659" s="4" t="inlineStr">
        <is>
          <t>Capital regional</t>
        </is>
      </c>
      <c r="H659" s="5">
        <f>IF(G659="fora do recorte","",SUMPRODUCT(($G$3:$G$1723=G659)*($A$3:$A$1723&lt;=A659)))</f>
        <v/>
      </c>
      <c r="I659" s="4">
        <f>IF(H659="","",G659&amp;"|"&amp;H659)</f>
        <v/>
      </c>
      <c r="J659" s="4" t="inlineStr">
        <is>
          <t>https://www.google.com/maps/search/?api=1&amp;query=Kalunga&amp;query_place_id=ChIJzX1WHgCzGgcRBlcpf2oa-LM</t>
        </is>
      </c>
      <c r="K659" s="4" t="inlineStr">
        <is>
          <t>Av. Ministro Geraldo Barreto Sobral, 215 - Jardins, Aracaju - SE, 49026-010, Brasil</t>
        </is>
      </c>
      <c r="L659" s="4" t="inlineStr">
        <is>
          <t>Aracaju</t>
        </is>
      </c>
      <c r="M659" s="5" t="n">
        <v>1</v>
      </c>
    </row>
    <row r="660">
      <c r="A660" s="3">
        <f>RAND()</f>
        <v/>
      </c>
      <c r="B660" s="4" t="inlineStr">
        <is>
          <t>ChIJWQCoEiexGgcRXRm1IaoqrfM</t>
        </is>
      </c>
      <c r="C660" s="4" t="inlineStr">
        <is>
          <t>Karaoke Em Las Vegas</t>
        </is>
      </c>
      <c r="D660" s="4" t="inlineStr">
        <is>
          <t>Aracaju</t>
        </is>
      </c>
      <c r="E660" s="4" t="inlineStr">
        <is>
          <t>SE</t>
        </is>
      </c>
      <c r="F660" s="4" t="inlineStr">
        <is>
          <t>Capitais Regionais A</t>
        </is>
      </c>
      <c r="G660" s="4" t="inlineStr">
        <is>
          <t>Capital regional</t>
        </is>
      </c>
      <c r="H660" s="5">
        <f>IF(G660="fora do recorte","",SUMPRODUCT(($G$3:$G$1723=G660)*($A$3:$A$1723&lt;=A660)))</f>
        <v/>
      </c>
      <c r="I660" s="4">
        <f>IF(H660="","",G660&amp;"|"&amp;H660)</f>
        <v/>
      </c>
      <c r="J660" s="4" t="inlineStr">
        <is>
          <t>https://www.google.com/maps/search/?api=1&amp;query=Karaoke%20Em%20Las%20Vegas&amp;query_place_id=ChIJWQCoEiexGgcRXRm1IaoqrfM</t>
        </is>
      </c>
      <c r="K660" s="4" t="inlineStr">
        <is>
          <t>R. Francisco Rabêlo Leite Neto, 549 - Atalaia, Aracaju - SE, 49037-240, Brasil</t>
        </is>
      </c>
      <c r="L660" s="4" t="inlineStr">
        <is>
          <t>Aracaju</t>
        </is>
      </c>
      <c r="M660" s="5" t="n">
        <v>1</v>
      </c>
    </row>
    <row r="661">
      <c r="A661" s="3">
        <f>RAND()</f>
        <v/>
      </c>
      <c r="B661" s="4" t="inlineStr">
        <is>
          <t>ChIJyb5IkGaxGgcRVtpV-vdRgUg</t>
        </is>
      </c>
      <c r="C661" s="4" t="inlineStr">
        <is>
          <t>Laguna</t>
        </is>
      </c>
      <c r="D661" s="4" t="inlineStr">
        <is>
          <t>Aracaju</t>
        </is>
      </c>
      <c r="E661" s="4" t="inlineStr">
        <is>
          <t>SE</t>
        </is>
      </c>
      <c r="F661" s="4" t="inlineStr">
        <is>
          <t>Capitais Regionais A</t>
        </is>
      </c>
      <c r="G661" s="4" t="inlineStr">
        <is>
          <t>Capital regional</t>
        </is>
      </c>
      <c r="H661" s="5">
        <f>IF(G661="fora do recorte","",SUMPRODUCT(($G$3:$G$1723=G661)*($A$3:$A$1723&lt;=A661)))</f>
        <v/>
      </c>
      <c r="I661" s="4">
        <f>IF(H661="","",G661&amp;"|"&amp;H661)</f>
        <v/>
      </c>
      <c r="J661" s="4" t="inlineStr">
        <is>
          <t>https://www.google.com/maps/search/?api=1&amp;query=Laguna&amp;query_place_id=ChIJyb5IkGaxGgcRVtpV-vdRgUg</t>
        </is>
      </c>
      <c r="K661" s="4" t="inlineStr">
        <is>
          <t>Av. Santos Dumont, 751 - Atalaia, Aracaju - SE, 49037-475, Brasil</t>
        </is>
      </c>
      <c r="L661" s="4" t="inlineStr">
        <is>
          <t>Aracaju</t>
        </is>
      </c>
      <c r="M661" s="5" t="n">
        <v>4</v>
      </c>
    </row>
    <row r="662">
      <c r="A662" s="3">
        <f>RAND()</f>
        <v/>
      </c>
      <c r="B662" s="4" t="inlineStr">
        <is>
          <t>ChIJDf2Q65GzGgcRzl1kJ8mRYz0</t>
        </is>
      </c>
      <c r="C662" s="4" t="inlineStr">
        <is>
          <t>LeoShadow Arena</t>
        </is>
      </c>
      <c r="D662" s="4" t="inlineStr">
        <is>
          <t>Aracaju</t>
        </is>
      </c>
      <c r="E662" s="4" t="inlineStr">
        <is>
          <t>SE</t>
        </is>
      </c>
      <c r="F662" s="4" t="inlineStr">
        <is>
          <t>Capitais Regionais A</t>
        </is>
      </c>
      <c r="G662" s="4" t="inlineStr">
        <is>
          <t>Capital regional</t>
        </is>
      </c>
      <c r="H662" s="5">
        <f>IF(G662="fora do recorte","",SUMPRODUCT(($G$3:$G$1723=G662)*($A$3:$A$1723&lt;=A662)))</f>
        <v/>
      </c>
      <c r="I662" s="4">
        <f>IF(H662="","",G662&amp;"|"&amp;H662)</f>
        <v/>
      </c>
      <c r="J662" s="4" t="inlineStr">
        <is>
          <t>https://www.google.com/maps/search/?api=1&amp;query=LeoShadow%20Arena&amp;query_place_id=ChIJDf2Q65GzGgcRzl1kJ8mRYz0</t>
        </is>
      </c>
      <c r="K662" s="4" t="inlineStr">
        <is>
          <t>R. Gararu, 1194 - Suíça, Aracaju - SE, 49052-430, Brasil</t>
        </is>
      </c>
      <c r="L662" s="4" t="inlineStr">
        <is>
          <t>Aracaju</t>
        </is>
      </c>
      <c r="M662" s="5" t="n">
        <v>4</v>
      </c>
    </row>
    <row r="663">
      <c r="A663" s="3">
        <f>RAND()</f>
        <v/>
      </c>
      <c r="B663" s="4" t="inlineStr">
        <is>
          <t>ChIJ____P8OzGgcRq0K191hXorA</t>
        </is>
      </c>
      <c r="C663" s="4" t="inlineStr">
        <is>
          <t>Livraria Escariz - Shopping Jardins</t>
        </is>
      </c>
      <c r="D663" s="4" t="inlineStr">
        <is>
          <t>Aracaju</t>
        </is>
      </c>
      <c r="E663" s="4" t="inlineStr">
        <is>
          <t>SE</t>
        </is>
      </c>
      <c r="F663" s="4" t="inlineStr">
        <is>
          <t>Capitais Regionais A</t>
        </is>
      </c>
      <c r="G663" s="4" t="inlineStr">
        <is>
          <t>Capital regional</t>
        </is>
      </c>
      <c r="H663" s="5">
        <f>IF(G663="fora do recorte","",SUMPRODUCT(($G$3:$G$1723=G663)*($A$3:$A$1723&lt;=A663)))</f>
        <v/>
      </c>
      <c r="I663" s="4">
        <f>IF(H663="","",G663&amp;"|"&amp;H663)</f>
        <v/>
      </c>
      <c r="J663" s="4" t="inlineStr">
        <is>
          <t>https://www.google.com/maps/search/?api=1&amp;query=Livraria%20Escariz%20-%20Shopping%20Jardins&amp;query_place_id=ChIJ____P8OzGgcRq0K191hXorA</t>
        </is>
      </c>
      <c r="K663" s="4" t="inlineStr">
        <is>
          <t>Shopping Jardins - Av. Ministro Geraldo Barreto Sobral, 215 - Lj 81 - Jardins, Aracaju - SE, 49026-010, Brasil</t>
        </is>
      </c>
      <c r="L663" s="4" t="inlineStr">
        <is>
          <t>Aracaju</t>
        </is>
      </c>
      <c r="M663" s="5" t="n">
        <v>1</v>
      </c>
    </row>
    <row r="664">
      <c r="A664" s="3">
        <f>RAND()</f>
        <v/>
      </c>
      <c r="B664" s="4" t="inlineStr">
        <is>
          <t>ChIJPdCD8dKzGgcRs4nUyOonrOs</t>
        </is>
      </c>
      <c r="C664" s="4" t="inlineStr">
        <is>
          <t>Lounge Country Music Bar</t>
        </is>
      </c>
      <c r="D664" s="4" t="inlineStr">
        <is>
          <t>Aracaju</t>
        </is>
      </c>
      <c r="E664" s="4" t="inlineStr">
        <is>
          <t>SE</t>
        </is>
      </c>
      <c r="F664" s="4" t="inlineStr">
        <is>
          <t>Capitais Regionais A</t>
        </is>
      </c>
      <c r="G664" s="4" t="inlineStr">
        <is>
          <t>Capital regional</t>
        </is>
      </c>
      <c r="H664" s="5">
        <f>IF(G664="fora do recorte","",SUMPRODUCT(($G$3:$G$1723=G664)*($A$3:$A$1723&lt;=A664)))</f>
        <v/>
      </c>
      <c r="I664" s="4">
        <f>IF(H664="","",G664&amp;"|"&amp;H664)</f>
        <v/>
      </c>
      <c r="J664" s="4" t="inlineStr">
        <is>
          <t>https://www.google.com/maps/search/?api=1&amp;query=Lounge%20Country%20Music%20Bar&amp;query_place_id=ChIJPdCD8dKzGgcRs4nUyOonrOs</t>
        </is>
      </c>
      <c r="K664" s="4" t="inlineStr">
        <is>
          <t>Praça Tiradentes, 705 - Inácio Barbosa, Aracaju - SE, 49040-490, Brasil</t>
        </is>
      </c>
      <c r="L664" s="4" t="inlineStr">
        <is>
          <t>Aracaju</t>
        </is>
      </c>
      <c r="M664" s="5" t="n">
        <v>1</v>
      </c>
    </row>
    <row r="665">
      <c r="A665" s="3">
        <f>RAND()</f>
        <v/>
      </c>
      <c r="B665" s="4" t="inlineStr">
        <is>
          <t>ChIJDUvadU23GgcROX0k2cKyDpg</t>
        </is>
      </c>
      <c r="C665" s="4" t="inlineStr">
        <is>
          <t>MUNDO DOS ACESSORIOS</t>
        </is>
      </c>
      <c r="D665" s="4" t="inlineStr">
        <is>
          <t>Aracaju</t>
        </is>
      </c>
      <c r="E665" s="4" t="inlineStr">
        <is>
          <t>SE</t>
        </is>
      </c>
      <c r="F665" s="4" t="inlineStr">
        <is>
          <t>Capitais Regionais A</t>
        </is>
      </c>
      <c r="G665" s="4" t="inlineStr">
        <is>
          <t>Capital regional</t>
        </is>
      </c>
      <c r="H665" s="5">
        <f>IF(G665="fora do recorte","",SUMPRODUCT(($G$3:$G$1723=G665)*($A$3:$A$1723&lt;=A665)))</f>
        <v/>
      </c>
      <c r="I665" s="4">
        <f>IF(H665="","",G665&amp;"|"&amp;H665)</f>
        <v/>
      </c>
      <c r="J665" s="4" t="inlineStr">
        <is>
          <t>https://www.google.com/maps/search/?api=1&amp;query=MUNDO%20DOS%20ACESSORIOS&amp;query_place_id=ChIJDUvadU23GgcROX0k2cKyDpg</t>
        </is>
      </c>
      <c r="K665" s="4" t="inlineStr">
        <is>
          <t>FEIRA DO TURISTA - Av. Santos Dumont, 1813 - PRIMEIRA LOJA ENTRADA LJ-55 - Atalaia, Aracaju - SE, 49035-785, Brasil</t>
        </is>
      </c>
      <c r="L665" s="4" t="inlineStr">
        <is>
          <t>Aracaju</t>
        </is>
      </c>
      <c r="M665" s="5" t="n">
        <v>1</v>
      </c>
    </row>
    <row r="666">
      <c r="A666" s="3">
        <f>RAND()</f>
        <v/>
      </c>
      <c r="B666" s="4" t="inlineStr">
        <is>
          <t>ChIJXb-ofZazGgcRcDRJDnpKkQM</t>
        </is>
      </c>
      <c r="C666" s="4" t="inlineStr">
        <is>
          <t>Malibu Bar</t>
        </is>
      </c>
      <c r="D666" s="4" t="inlineStr">
        <is>
          <t>Aracaju</t>
        </is>
      </c>
      <c r="E666" s="4" t="inlineStr">
        <is>
          <t>SE</t>
        </is>
      </c>
      <c r="F666" s="4" t="inlineStr">
        <is>
          <t>Capitais Regionais A</t>
        </is>
      </c>
      <c r="G666" s="4" t="inlineStr">
        <is>
          <t>Capital regional</t>
        </is>
      </c>
      <c r="H666" s="5">
        <f>IF(G666="fora do recorte","",SUMPRODUCT(($G$3:$G$1723=G666)*($A$3:$A$1723&lt;=A666)))</f>
        <v/>
      </c>
      <c r="I666" s="4">
        <f>IF(H666="","",G666&amp;"|"&amp;H666)</f>
        <v/>
      </c>
      <c r="J666" s="4" t="inlineStr">
        <is>
          <t>https://www.google.com/maps/search/?api=1&amp;query=Malibu%20Bar&amp;query_place_id=ChIJXb-ofZazGgcRcDRJDnpKkQM</t>
        </is>
      </c>
      <c r="K666" s="4" t="inlineStr">
        <is>
          <t>Av. Pedro Paes Azevedo, 757 - Grageru, Aracaju - SE, 49025-570, Brasil</t>
        </is>
      </c>
      <c r="L666" s="4" t="inlineStr">
        <is>
          <t>Aracaju</t>
        </is>
      </c>
      <c r="M666" s="5" t="n">
        <v>1</v>
      </c>
    </row>
    <row r="667">
      <c r="A667" s="3">
        <f>RAND()</f>
        <v/>
      </c>
      <c r="B667" s="4" t="inlineStr">
        <is>
          <t>ChIJIzirfVKjGgcRtx8ekjEvnFk</t>
        </is>
      </c>
      <c r="C667" s="4" t="inlineStr">
        <is>
          <t>Mango Bar de Praia</t>
        </is>
      </c>
      <c r="D667" s="4" t="inlineStr">
        <is>
          <t>Aracaju</t>
        </is>
      </c>
      <c r="E667" s="4" t="inlineStr">
        <is>
          <t>SE</t>
        </is>
      </c>
      <c r="F667" s="4" t="inlineStr">
        <is>
          <t>Capitais Regionais A</t>
        </is>
      </c>
      <c r="G667" s="4" t="inlineStr">
        <is>
          <t>Capital regional</t>
        </is>
      </c>
      <c r="H667" s="5">
        <f>IF(G667="fora do recorte","",SUMPRODUCT(($G$3:$G$1723=G667)*($A$3:$A$1723&lt;=A667)))</f>
        <v/>
      </c>
      <c r="I667" s="4">
        <f>IF(H667="","",G667&amp;"|"&amp;H667)</f>
        <v/>
      </c>
      <c r="J667" s="4" t="inlineStr">
        <is>
          <t>https://www.google.com/maps/search/?api=1&amp;query=Mango%20Bar%20de%20Praia&amp;query_place_id=ChIJIzirfVKjGgcRtx8ekjEvnFk</t>
        </is>
      </c>
      <c r="K667" s="4" t="inlineStr">
        <is>
          <t>Rod. Inácio Barbosa, 30 - Mosqueiro, Aracaju - SE, 49039-100, Brasil</t>
        </is>
      </c>
      <c r="L667" s="4" t="inlineStr">
        <is>
          <t>Aracaju</t>
        </is>
      </c>
      <c r="M667" s="5" t="n">
        <v>1</v>
      </c>
    </row>
    <row r="668">
      <c r="A668" s="3">
        <f>RAND()</f>
        <v/>
      </c>
      <c r="B668" s="4" t="inlineStr">
        <is>
          <t>ChIJVcCFrI2zGgcRrKwhtkZ-ysk</t>
        </is>
      </c>
      <c r="C668" s="4" t="inlineStr">
        <is>
          <t>Marcela Presentes</t>
        </is>
      </c>
      <c r="D668" s="4" t="inlineStr">
        <is>
          <t>Aracaju</t>
        </is>
      </c>
      <c r="E668" s="4" t="inlineStr">
        <is>
          <t>SE</t>
        </is>
      </c>
      <c r="F668" s="4" t="inlineStr">
        <is>
          <t>Capitais Regionais A</t>
        </is>
      </c>
      <c r="G668" s="4" t="inlineStr">
        <is>
          <t>Capital regional</t>
        </is>
      </c>
      <c r="H668" s="5">
        <f>IF(G668="fora do recorte","",SUMPRODUCT(($G$3:$G$1723=G668)*($A$3:$A$1723&lt;=A668)))</f>
        <v/>
      </c>
      <c r="I668" s="4">
        <f>IF(H668="","",G668&amp;"|"&amp;H668)</f>
        <v/>
      </c>
      <c r="J668" s="4" t="inlineStr">
        <is>
          <t>https://www.google.com/maps/search/?api=1&amp;query=Marcela%20Presentes&amp;query_place_id=ChIJVcCFrI2zGgcRrKwhtkZ-ysk</t>
        </is>
      </c>
      <c r="K668" s="4" t="inlineStr">
        <is>
          <t>Av. Pedro Valadares, 811 - Grageru, Aracaju - SE, 49025-090, Brasil</t>
        </is>
      </c>
      <c r="L668" s="4" t="inlineStr">
        <is>
          <t>Aracaju</t>
        </is>
      </c>
      <c r="M668" s="5" t="n">
        <v>1</v>
      </c>
    </row>
    <row r="669">
      <c r="A669" s="3">
        <f>RAND()</f>
        <v/>
      </c>
      <c r="B669" s="4" t="inlineStr">
        <is>
          <t>ChIJ_2rRoVuxGgcRJ4HRTiX5Tpg</t>
        </is>
      </c>
      <c r="C669" s="4" t="inlineStr">
        <is>
          <t>Misael fest kids locação de brinquedos em Aracaju, aluguel de futebol de sabão, touro mecânico p festas e eventos</t>
        </is>
      </c>
      <c r="D669" s="4" t="inlineStr">
        <is>
          <t>Aracaju</t>
        </is>
      </c>
      <c r="E669" s="4" t="inlineStr">
        <is>
          <t>SE</t>
        </is>
      </c>
      <c r="F669" s="4" t="inlineStr">
        <is>
          <t>Capitais Regionais A</t>
        </is>
      </c>
      <c r="G669" s="4" t="inlineStr">
        <is>
          <t>Capital regional</t>
        </is>
      </c>
      <c r="H669" s="5">
        <f>IF(G669="fora do recorte","",SUMPRODUCT(($G$3:$G$1723=G669)*($A$3:$A$1723&lt;=A669)))</f>
        <v/>
      </c>
      <c r="I669" s="4">
        <f>IF(H669="","",G669&amp;"|"&amp;H669)</f>
        <v/>
      </c>
      <c r="J669" s="4" t="inlineStr">
        <is>
          <t>https://www.google.com/maps/search/?api=1&amp;query=Misael%20fest%20kids%20loca%C3%A7%C3%A3o%20de%20brinquedos%20em%20Aracaju%2C%20aluguel%20de%20futebol%20de%20sab%C3%A3o%2C%20touro%20mec%C3%A2nico%20p%20festas%20e%20eventos&amp;query_place_id=ChIJ_2rRoVuxGgcRJ4HRTiX5Tpg</t>
        </is>
      </c>
      <c r="K669" s="4" t="inlineStr">
        <is>
          <t>R. Ferroviário José Matias de Siqueira - São Conrado, Aracaju - SE, 49042-720, Brasil</t>
        </is>
      </c>
      <c r="L669" s="4" t="inlineStr">
        <is>
          <t>Aracaju</t>
        </is>
      </c>
      <c r="M669" s="5" t="n">
        <v>1</v>
      </c>
    </row>
    <row r="670">
      <c r="A670" s="3">
        <f>RAND()</f>
        <v/>
      </c>
      <c r="B670" s="4" t="inlineStr">
        <is>
          <t>ChIJa6-7T2uxGgcR4K-1owvXsuI</t>
        </is>
      </c>
      <c r="C670" s="4" t="inlineStr">
        <is>
          <t>Multiverso Game Point</t>
        </is>
      </c>
      <c r="D670" s="4" t="inlineStr">
        <is>
          <t>Aracaju</t>
        </is>
      </c>
      <c r="E670" s="4" t="inlineStr">
        <is>
          <t>SE</t>
        </is>
      </c>
      <c r="F670" s="4" t="inlineStr">
        <is>
          <t>Capitais Regionais A</t>
        </is>
      </c>
      <c r="G670" s="4" t="inlineStr">
        <is>
          <t>Capital regional</t>
        </is>
      </c>
      <c r="H670" s="5">
        <f>IF(G670="fora do recorte","",SUMPRODUCT(($G$3:$G$1723=G670)*($A$3:$A$1723&lt;=A670)))</f>
        <v/>
      </c>
      <c r="I670" s="4">
        <f>IF(H670="","",G670&amp;"|"&amp;H670)</f>
        <v/>
      </c>
      <c r="J670" s="4" t="inlineStr">
        <is>
          <t>https://www.google.com/maps/search/?api=1&amp;query=Multiverso%20Game%20Point&amp;query_place_id=ChIJa6-7T2uxGgcR4K-1owvXsuI</t>
        </is>
      </c>
      <c r="K670" s="4" t="inlineStr">
        <is>
          <t>Tv. 5 Cj Jorn O Dantas, 37 - São Conrado, Aracaju - SE, 49042-971, Brasil</t>
        </is>
      </c>
      <c r="L670" s="4" t="inlineStr">
        <is>
          <t>Aracaju</t>
        </is>
      </c>
      <c r="M670" s="5" t="n">
        <v>8</v>
      </c>
    </row>
    <row r="671">
      <c r="A671" s="3">
        <f>RAND()</f>
        <v/>
      </c>
      <c r="B671" s="4" t="inlineStr">
        <is>
          <t>ChIJ5yyvSiKxGgcRGRWdYwkSrIQ</t>
        </is>
      </c>
      <c r="C671" s="4" t="inlineStr">
        <is>
          <t>Nakamura Games</t>
        </is>
      </c>
      <c r="D671" s="4" t="inlineStr">
        <is>
          <t>Aracaju</t>
        </is>
      </c>
      <c r="E671" s="4" t="inlineStr">
        <is>
          <t>SE</t>
        </is>
      </c>
      <c r="F671" s="4" t="inlineStr">
        <is>
          <t>Capitais Regionais A</t>
        </is>
      </c>
      <c r="G671" s="4" t="inlineStr">
        <is>
          <t>Capital regional</t>
        </is>
      </c>
      <c r="H671" s="5">
        <f>IF(G671="fora do recorte","",SUMPRODUCT(($G$3:$G$1723=G671)*($A$3:$A$1723&lt;=A671)))</f>
        <v/>
      </c>
      <c r="I671" s="4">
        <f>IF(H671="","",G671&amp;"|"&amp;H671)</f>
        <v/>
      </c>
      <c r="J671" s="4" t="inlineStr">
        <is>
          <t>https://www.google.com/maps/search/?api=1&amp;query=Nakamura%20Games&amp;query_place_id=ChIJ5yyvSiKxGgcRGRWdYwkSrIQ</t>
        </is>
      </c>
      <c r="K671" s="4" t="inlineStr">
        <is>
          <t>Av. Prof. José Freitas de Andrade, 3749 - Coroa do Meio, Aracaju - SE, 49035-680, Brasil</t>
        </is>
      </c>
      <c r="L671" s="4" t="inlineStr">
        <is>
          <t>Aracaju</t>
        </is>
      </c>
      <c r="M671" s="5" t="n">
        <v>2</v>
      </c>
    </row>
    <row r="672">
      <c r="A672" s="3">
        <f>RAND()</f>
        <v/>
      </c>
      <c r="B672" s="4" t="inlineStr">
        <is>
          <t>ChIJHzzj8P2xGgcRciRc3tdR4-8</t>
        </is>
      </c>
      <c r="C672" s="4" t="inlineStr">
        <is>
          <t>Nanda brinquedos - Aluguel de Inflaveis, touro mecanico, futebol de sabão, tobogã</t>
        </is>
      </c>
      <c r="D672" s="4" t="inlineStr">
        <is>
          <t>Aracaju</t>
        </is>
      </c>
      <c r="E672" s="4" t="inlineStr">
        <is>
          <t>SE</t>
        </is>
      </c>
      <c r="F672" s="4" t="inlineStr">
        <is>
          <t>Capitais Regionais A</t>
        </is>
      </c>
      <c r="G672" s="4" t="inlineStr">
        <is>
          <t>Capital regional</t>
        </is>
      </c>
      <c r="H672" s="5">
        <f>IF(G672="fora do recorte","",SUMPRODUCT(($G$3:$G$1723=G672)*($A$3:$A$1723&lt;=A672)))</f>
        <v/>
      </c>
      <c r="I672" s="4">
        <f>IF(H672="","",G672&amp;"|"&amp;H672)</f>
        <v/>
      </c>
      <c r="J672" s="4" t="inlineStr">
        <is>
          <t>https://www.google.com/maps/search/?api=1&amp;query=Nanda%20brinquedos%20-%20Aluguel%20de%20Inflaveis%2C%20touro%20mecanico%2C%20futebol%20de%20sab%C3%A3o%2C%20tobog%C3%A3&amp;query_place_id=ChIJHzzj8P2xGgcRciRc3tdR4-8</t>
        </is>
      </c>
      <c r="K672" s="4" t="inlineStr">
        <is>
          <t>Av. Silvério Leite Fontes - Aruana, Aracaju - SE, 49038-260, Brasil</t>
        </is>
      </c>
      <c r="L672" s="4" t="inlineStr">
        <is>
          <t>Aracaju</t>
        </is>
      </c>
      <c r="M672" s="5" t="n">
        <v>1</v>
      </c>
    </row>
    <row r="673">
      <c r="A673" s="3">
        <f>RAND()</f>
        <v/>
      </c>
      <c r="B673" s="4" t="inlineStr">
        <is>
          <t>ChIJgUmct368AyERlF3sHZlR6xw</t>
        </is>
      </c>
      <c r="C673" s="4" t="inlineStr">
        <is>
          <t>Nyquist Games</t>
        </is>
      </c>
      <c r="D673" s="4" t="inlineStr">
        <is>
          <t>Aracaju</t>
        </is>
      </c>
      <c r="E673" s="4" t="inlineStr">
        <is>
          <t>SE</t>
        </is>
      </c>
      <c r="F673" s="4" t="inlineStr">
        <is>
          <t>Capitais Regionais A</t>
        </is>
      </c>
      <c r="G673" s="4" t="inlineStr">
        <is>
          <t>Capital regional</t>
        </is>
      </c>
      <c r="H673" s="5">
        <f>IF(G673="fora do recorte","",SUMPRODUCT(($G$3:$G$1723=G673)*($A$3:$A$1723&lt;=A673)))</f>
        <v/>
      </c>
      <c r="I673" s="4">
        <f>IF(H673="","",G673&amp;"|"&amp;H673)</f>
        <v/>
      </c>
      <c r="J673" s="4" t="inlineStr">
        <is>
          <t>https://www.google.com/maps/search/?api=1&amp;query=Nyquist%20Games&amp;query_place_id=ChIJgUmct368AyERlF3sHZlR6xw</t>
        </is>
      </c>
      <c r="K673" s="4" t="inlineStr">
        <is>
          <t>R. Euclídes Góis - Coroa do Meio, Aracaju - SE, 49035-310, Brasil</t>
        </is>
      </c>
      <c r="L673" s="4" t="inlineStr">
        <is>
          <t>Aracaju</t>
        </is>
      </c>
      <c r="M673" s="5" t="n">
        <v>1</v>
      </c>
    </row>
    <row r="674">
      <c r="A674" s="3">
        <f>RAND()</f>
        <v/>
      </c>
      <c r="B674" s="4" t="inlineStr">
        <is>
          <t>ChIJR39PWM2zGgcRPQ6Wpw0caMw</t>
        </is>
      </c>
      <c r="C674" s="4" t="inlineStr">
        <is>
          <t>Oka Bar e Grelhados</t>
        </is>
      </c>
      <c r="D674" s="4" t="inlineStr">
        <is>
          <t>Aracaju</t>
        </is>
      </c>
      <c r="E674" s="4" t="inlineStr">
        <is>
          <t>SE</t>
        </is>
      </c>
      <c r="F674" s="4" t="inlineStr">
        <is>
          <t>Capitais Regionais A</t>
        </is>
      </c>
      <c r="G674" s="4" t="inlineStr">
        <is>
          <t>Capital regional</t>
        </is>
      </c>
      <c r="H674" s="5">
        <f>IF(G674="fora do recorte","",SUMPRODUCT(($G$3:$G$1723=G674)*($A$3:$A$1723&lt;=A674)))</f>
        <v/>
      </c>
      <c r="I674" s="4">
        <f>IF(H674="","",G674&amp;"|"&amp;H674)</f>
        <v/>
      </c>
      <c r="J674" s="4" t="inlineStr">
        <is>
          <t>https://www.google.com/maps/search/?api=1&amp;query=Oka%20Bar%20e%20Grelhados&amp;query_place_id=ChIJR39PWM2zGgcRPQ6Wpw0caMw</t>
        </is>
      </c>
      <c r="K674" s="4" t="inlineStr">
        <is>
          <t>R. Elízio Araújo, 14 - Grageru, Aracaju - SE, 49025-160, Brasil</t>
        </is>
      </c>
      <c r="L674" s="4" t="inlineStr">
        <is>
          <t>Aracaju</t>
        </is>
      </c>
      <c r="M674" s="5" t="n">
        <v>2</v>
      </c>
    </row>
    <row r="675">
      <c r="A675" s="3">
        <f>RAND()</f>
        <v/>
      </c>
      <c r="B675" s="4" t="inlineStr">
        <is>
          <t>ChIJi0rYjBGjGgcRHpickZHxx3E</t>
        </is>
      </c>
      <c r="C675" s="4" t="inlineStr">
        <is>
          <t>Pablo</t>
        </is>
      </c>
      <c r="D675" s="4" t="inlineStr">
        <is>
          <t>Aracaju</t>
        </is>
      </c>
      <c r="E675" s="4" t="inlineStr">
        <is>
          <t>SE</t>
        </is>
      </c>
      <c r="F675" s="4" t="inlineStr">
        <is>
          <t>Capitais Regionais A</t>
        </is>
      </c>
      <c r="G675" s="4" t="inlineStr">
        <is>
          <t>Capital regional</t>
        </is>
      </c>
      <c r="H675" s="5">
        <f>IF(G675="fora do recorte","",SUMPRODUCT(($G$3:$G$1723=G675)*($A$3:$A$1723&lt;=A675)))</f>
        <v/>
      </c>
      <c r="I675" s="4">
        <f>IF(H675="","",G675&amp;"|"&amp;H675)</f>
        <v/>
      </c>
      <c r="J675" s="4" t="inlineStr">
        <is>
          <t>https://www.google.com/maps/search/?api=1&amp;query=Pablo&amp;query_place_id=ChIJi0rYjBGjGgcRHpickZHxx3E</t>
        </is>
      </c>
      <c r="K675" s="4" t="inlineStr">
        <is>
          <t>Av. Inácio Barbosa, 14001 - Mosqueiro, Aracaju - SE, 49007-433, Brasil</t>
        </is>
      </c>
      <c r="L675" s="4" t="inlineStr">
        <is>
          <t>Aracaju</t>
        </is>
      </c>
      <c r="M675" s="5" t="n">
        <v>1</v>
      </c>
    </row>
    <row r="676">
      <c r="A676" s="3">
        <f>RAND()</f>
        <v/>
      </c>
      <c r="B676" s="4" t="inlineStr">
        <is>
          <t>ChIJ7fTY2q6zGgcRqiFbFwRNFjc</t>
        </is>
      </c>
      <c r="C676" s="4" t="inlineStr">
        <is>
          <t>Para Jogadores</t>
        </is>
      </c>
      <c r="D676" s="4" t="inlineStr">
        <is>
          <t>Aracaju</t>
        </is>
      </c>
      <c r="E676" s="4" t="inlineStr">
        <is>
          <t>SE</t>
        </is>
      </c>
      <c r="F676" s="4" t="inlineStr">
        <is>
          <t>Capitais Regionais A</t>
        </is>
      </c>
      <c r="G676" s="4" t="inlineStr">
        <is>
          <t>Capital regional</t>
        </is>
      </c>
      <c r="H676" s="5">
        <f>IF(G676="fora do recorte","",SUMPRODUCT(($G$3:$G$1723=G676)*($A$3:$A$1723&lt;=A676)))</f>
        <v/>
      </c>
      <c r="I676" s="4">
        <f>IF(H676="","",G676&amp;"|"&amp;H676)</f>
        <v/>
      </c>
      <c r="J676" s="4" t="inlineStr">
        <is>
          <t>https://www.google.com/maps/search/?api=1&amp;query=Para%20Jogadores&amp;query_place_id=ChIJ7fTY2q6zGgcRqiFbFwRNFjc</t>
        </is>
      </c>
      <c r="K676" s="4" t="inlineStr">
        <is>
          <t>R. Estancia, 656 - Centro, Aracaju - SE, 49010-180, Brasil</t>
        </is>
      </c>
      <c r="L676" s="4" t="inlineStr">
        <is>
          <t>Aracaju</t>
        </is>
      </c>
      <c r="M676" s="5" t="n">
        <v>3</v>
      </c>
    </row>
    <row r="677">
      <c r="A677" s="3">
        <f>RAND()</f>
        <v/>
      </c>
      <c r="B677" s="4" t="inlineStr">
        <is>
          <t>ChIJv6qaRmazGgcRMXt_42QsQRM</t>
        </is>
      </c>
      <c r="C677" s="4" t="inlineStr">
        <is>
          <t>Paraiba</t>
        </is>
      </c>
      <c r="D677" s="4" t="inlineStr">
        <is>
          <t>Aracaju</t>
        </is>
      </c>
      <c r="E677" s="4" t="inlineStr">
        <is>
          <t>SE</t>
        </is>
      </c>
      <c r="F677" s="4" t="inlineStr">
        <is>
          <t>Capitais Regionais A</t>
        </is>
      </c>
      <c r="G677" s="4" t="inlineStr">
        <is>
          <t>Capital regional</t>
        </is>
      </c>
      <c r="H677" s="5">
        <f>IF(G677="fora do recorte","",SUMPRODUCT(($G$3:$G$1723=G677)*($A$3:$A$1723&lt;=A677)))</f>
        <v/>
      </c>
      <c r="I677" s="4">
        <f>IF(H677="","",G677&amp;"|"&amp;H677)</f>
        <v/>
      </c>
      <c r="J677" s="4" t="inlineStr">
        <is>
          <t>https://www.google.com/maps/search/?api=1&amp;query=Paraiba&amp;query_place_id=ChIJv6qaRmazGgcRMXt_42QsQRM</t>
        </is>
      </c>
      <c r="K677" s="4" t="inlineStr">
        <is>
          <t>mercado Virgínia leite franco - R. João Pessoa - Centro, Aracaju - SE, 49010-130, Brasil</t>
        </is>
      </c>
      <c r="L677" s="4" t="inlineStr">
        <is>
          <t>Aracaju</t>
        </is>
      </c>
      <c r="M677" s="5" t="n">
        <v>1</v>
      </c>
    </row>
    <row r="678">
      <c r="A678" s="3">
        <f>RAND()</f>
        <v/>
      </c>
      <c r="B678" s="4" t="inlineStr">
        <is>
          <t>ChIJ-SPl-qqxGgcRUbad116asGk</t>
        </is>
      </c>
      <c r="C678" s="4" t="inlineStr">
        <is>
          <t>Park Móvel Aracaju</t>
        </is>
      </c>
      <c r="D678" s="4" t="inlineStr">
        <is>
          <t>Aracaju</t>
        </is>
      </c>
      <c r="E678" s="4" t="inlineStr">
        <is>
          <t>SE</t>
        </is>
      </c>
      <c r="F678" s="4" t="inlineStr">
        <is>
          <t>Capitais Regionais A</t>
        </is>
      </c>
      <c r="G678" s="4" t="inlineStr">
        <is>
          <t>Capital regional</t>
        </is>
      </c>
      <c r="H678" s="5">
        <f>IF(G678="fora do recorte","",SUMPRODUCT(($G$3:$G$1723=G678)*($A$3:$A$1723&lt;=A678)))</f>
        <v/>
      </c>
      <c r="I678" s="4">
        <f>IF(H678="","",G678&amp;"|"&amp;H678)</f>
        <v/>
      </c>
      <c r="J678" s="4" t="inlineStr">
        <is>
          <t>https://www.google.com/maps/search/?api=1&amp;query=Park%20M%C3%B3vel%20Aracaju&amp;query_place_id=ChIJ-SPl-qqxGgcRUbad116asGk</t>
        </is>
      </c>
      <c r="K678" s="4" t="inlineStr">
        <is>
          <t>Rua 3 - Jabotiana, Aracaju - SE, 49095-806, Brasil</t>
        </is>
      </c>
      <c r="L678" s="4" t="inlineStr">
        <is>
          <t>Aracaju</t>
        </is>
      </c>
      <c r="M678" s="5" t="n">
        <v>1</v>
      </c>
    </row>
    <row r="679">
      <c r="A679" s="3">
        <f>RAND()</f>
        <v/>
      </c>
      <c r="B679" s="4" t="inlineStr">
        <is>
          <t>ChIJwcpE2sCzGgcRo8zpg0eNwdA</t>
        </is>
      </c>
      <c r="C679" s="4" t="inlineStr">
        <is>
          <t>Parmezza</t>
        </is>
      </c>
      <c r="D679" s="4" t="inlineStr">
        <is>
          <t>Aracaju</t>
        </is>
      </c>
      <c r="E679" s="4" t="inlineStr">
        <is>
          <t>SE</t>
        </is>
      </c>
      <c r="F679" s="4" t="inlineStr">
        <is>
          <t>Capitais Regionais A</t>
        </is>
      </c>
      <c r="G679" s="4" t="inlineStr">
        <is>
          <t>Capital regional</t>
        </is>
      </c>
      <c r="H679" s="5">
        <f>IF(G679="fora do recorte","",SUMPRODUCT(($G$3:$G$1723=G679)*($A$3:$A$1723&lt;=A679)))</f>
        <v/>
      </c>
      <c r="I679" s="4">
        <f>IF(H679="","",G679&amp;"|"&amp;H679)</f>
        <v/>
      </c>
      <c r="J679" s="4" t="inlineStr">
        <is>
          <t>https://www.google.com/maps/search/?api=1&amp;query=Parmezza&amp;query_place_id=ChIJwcpE2sCzGgcRo8zpg0eNwdA</t>
        </is>
      </c>
      <c r="K679" s="4" t="inlineStr">
        <is>
          <t>R. Aloísio Rodrigo Teti Filho - Jardins, Aracaju - SE, 49025-830, Brasil</t>
        </is>
      </c>
      <c r="L679" s="4" t="inlineStr">
        <is>
          <t>Aracaju</t>
        </is>
      </c>
      <c r="M679" s="5" t="n">
        <v>1</v>
      </c>
    </row>
    <row r="680">
      <c r="A680" s="3">
        <f>RAND()</f>
        <v/>
      </c>
      <c r="B680" s="4" t="inlineStr">
        <is>
          <t>ChIJo0bSdyexGgcRr39yzcwxTD4</t>
        </is>
      </c>
      <c r="C680" s="4" t="inlineStr">
        <is>
          <t>Passarela do Caranguejo</t>
        </is>
      </c>
      <c r="D680" s="4" t="inlineStr">
        <is>
          <t>Aracaju</t>
        </is>
      </c>
      <c r="E680" s="4" t="inlineStr">
        <is>
          <t>SE</t>
        </is>
      </c>
      <c r="F680" s="4" t="inlineStr">
        <is>
          <t>Capitais Regionais A</t>
        </is>
      </c>
      <c r="G680" s="4" t="inlineStr">
        <is>
          <t>Capital regional</t>
        </is>
      </c>
      <c r="H680" s="5">
        <f>IF(G680="fora do recorte","",SUMPRODUCT(($G$3:$G$1723=G680)*($A$3:$A$1723&lt;=A680)))</f>
        <v/>
      </c>
      <c r="I680" s="4">
        <f>IF(H680="","",G680&amp;"|"&amp;H680)</f>
        <v/>
      </c>
      <c r="J680" s="4" t="inlineStr">
        <is>
          <t>https://www.google.com/maps/search/?api=1&amp;query=Passarela%20do%20Caranguejo&amp;query_place_id=ChIJo0bSdyexGgcRr39yzcwxTD4</t>
        </is>
      </c>
      <c r="K680" s="4" t="inlineStr">
        <is>
          <t>Av. Santos Dumont, 5600 - Atalaia, Aracaju - SE, 49035-240, Brasil</t>
        </is>
      </c>
      <c r="L680" s="4" t="inlineStr">
        <is>
          <t>Aracaju</t>
        </is>
      </c>
      <c r="M680" s="5" t="n">
        <v>1</v>
      </c>
    </row>
    <row r="681">
      <c r="A681" s="3">
        <f>RAND()</f>
        <v/>
      </c>
      <c r="B681" s="4" t="inlineStr">
        <is>
          <t>ChIJF0HFVSSxGgcR8Iy5V5cSgyc</t>
        </is>
      </c>
      <c r="C681" s="4" t="inlineStr">
        <is>
          <t>Pbkids</t>
        </is>
      </c>
      <c r="D681" s="4" t="inlineStr">
        <is>
          <t>Aracaju</t>
        </is>
      </c>
      <c r="E681" s="4" t="inlineStr">
        <is>
          <t>SE</t>
        </is>
      </c>
      <c r="F681" s="4" t="inlineStr">
        <is>
          <t>Capitais Regionais A</t>
        </is>
      </c>
      <c r="G681" s="4" t="inlineStr">
        <is>
          <t>Capital regional</t>
        </is>
      </c>
      <c r="H681" s="5">
        <f>IF(G681="fora do recorte","",SUMPRODUCT(($G$3:$G$1723=G681)*($A$3:$A$1723&lt;=A681)))</f>
        <v/>
      </c>
      <c r="I681" s="4">
        <f>IF(H681="","",G681&amp;"|"&amp;H681)</f>
        <v/>
      </c>
      <c r="J681" s="4" t="inlineStr">
        <is>
          <t>https://www.google.com/maps/search/?api=1&amp;query=Pbkids&amp;query_place_id=ChIJF0HFVSSxGgcR8Iy5V5cSgyc</t>
        </is>
      </c>
      <c r="K681" s="4" t="inlineStr">
        <is>
          <t>Av. Delmiro Gouveia, 400 - 2° PISO LJ 254/55/56 - Coroa do Meio, Aracaju - SE, 49035-900, Brasil</t>
        </is>
      </c>
      <c r="L681" s="4" t="inlineStr">
        <is>
          <t>Aracaju</t>
        </is>
      </c>
      <c r="M681" s="5" t="n">
        <v>2</v>
      </c>
    </row>
    <row r="682">
      <c r="A682" s="3">
        <f>RAND()</f>
        <v/>
      </c>
      <c r="B682" s="4" t="inlineStr">
        <is>
          <t>ChIJq8joJI6zGgcRvThchmOSbpY</t>
        </is>
      </c>
      <c r="C682" s="4" t="inlineStr">
        <is>
          <t>Pinokio</t>
        </is>
      </c>
      <c r="D682" s="4" t="inlineStr">
        <is>
          <t>Aracaju</t>
        </is>
      </c>
      <c r="E682" s="4" t="inlineStr">
        <is>
          <t>SE</t>
        </is>
      </c>
      <c r="F682" s="4" t="inlineStr">
        <is>
          <t>Capitais Regionais A</t>
        </is>
      </c>
      <c r="G682" s="4" t="inlineStr">
        <is>
          <t>Capital regional</t>
        </is>
      </c>
      <c r="H682" s="5">
        <f>IF(G682="fora do recorte","",SUMPRODUCT(($G$3:$G$1723=G682)*($A$3:$A$1723&lt;=A682)))</f>
        <v/>
      </c>
      <c r="I682" s="4">
        <f>IF(H682="","",G682&amp;"|"&amp;H682)</f>
        <v/>
      </c>
      <c r="J682" s="4" t="inlineStr">
        <is>
          <t>https://www.google.com/maps/search/?api=1&amp;query=Pinokio&amp;query_place_id=ChIJq8joJI6zGgcRvThchmOSbpY</t>
        </is>
      </c>
      <c r="K682" s="4" t="inlineStr">
        <is>
          <t>R. Dep. Euclídes Paes Mendonça, 102 - 13 de Julho, Aracaju - SE, 49025-000, Brasil</t>
        </is>
      </c>
      <c r="L682" s="4" t="inlineStr">
        <is>
          <t>Aracaju</t>
        </is>
      </c>
      <c r="M682" s="5" t="n">
        <v>1</v>
      </c>
    </row>
    <row r="683">
      <c r="A683" s="3">
        <f>RAND()</f>
        <v/>
      </c>
      <c r="B683" s="4" t="inlineStr">
        <is>
          <t>ChIJk5_aLwCzGgcRm3096HT42cs</t>
        </is>
      </c>
      <c r="C683" s="4" t="inlineStr">
        <is>
          <t>Play Games Aracaju | Parque Shopping</t>
        </is>
      </c>
      <c r="D683" s="4" t="inlineStr">
        <is>
          <t>Aracaju</t>
        </is>
      </c>
      <c r="E683" s="4" t="inlineStr">
        <is>
          <t>SE</t>
        </is>
      </c>
      <c r="F683" s="4" t="inlineStr">
        <is>
          <t>Capitais Regionais A</t>
        </is>
      </c>
      <c r="G683" s="4" t="inlineStr">
        <is>
          <t>Capital regional</t>
        </is>
      </c>
      <c r="H683" s="5">
        <f>IF(G683="fora do recorte","",SUMPRODUCT(($G$3:$G$1723=G683)*($A$3:$A$1723&lt;=A683)))</f>
        <v/>
      </c>
      <c r="I683" s="4">
        <f>IF(H683="","",G683&amp;"|"&amp;H683)</f>
        <v/>
      </c>
      <c r="J683" s="4" t="inlineStr">
        <is>
          <t>https://www.google.com/maps/search/?api=1&amp;query=Play%20Games%20Aracaju%20%7C%20Parque%20Shopping&amp;query_place_id=ChIJk5_aLwCzGgcRm3096HT42cs</t>
        </is>
      </c>
      <c r="K683" s="4" t="inlineStr">
        <is>
          <t>Av. João Rodrigues, 42 - Industrial, Aracaju - SE, 49065-450, Brasil</t>
        </is>
      </c>
      <c r="L683" s="4" t="inlineStr">
        <is>
          <t>Aracaju</t>
        </is>
      </c>
      <c r="M683" s="5" t="n">
        <v>2</v>
      </c>
    </row>
    <row r="684">
      <c r="A684" s="3">
        <f>RAND()</f>
        <v/>
      </c>
      <c r="B684" s="4" t="inlineStr">
        <is>
          <t>ChIJU4hSt_ClGgcRvnH6N4d9Tj4</t>
        </is>
      </c>
      <c r="C684" s="4" t="inlineStr">
        <is>
          <t>Prainha Bar</t>
        </is>
      </c>
      <c r="D684" s="4" t="inlineStr">
        <is>
          <t>Aracaju</t>
        </is>
      </c>
      <c r="E684" s="4" t="inlineStr">
        <is>
          <t>SE</t>
        </is>
      </c>
      <c r="F684" s="4" t="inlineStr">
        <is>
          <t>Capitais Regionais A</t>
        </is>
      </c>
      <c r="G684" s="4" t="inlineStr">
        <is>
          <t>Capital regional</t>
        </is>
      </c>
      <c r="H684" s="5">
        <f>IF(G684="fora do recorte","",SUMPRODUCT(($G$3:$G$1723=G684)*($A$3:$A$1723&lt;=A684)))</f>
        <v/>
      </c>
      <c r="I684" s="4">
        <f>IF(H684="","",G684&amp;"|"&amp;H684)</f>
        <v/>
      </c>
      <c r="J684" s="4" t="inlineStr">
        <is>
          <t>https://www.google.com/maps/search/?api=1&amp;query=Prainha%20Bar&amp;query_place_id=ChIJU4hSt_ClGgcRvnH6N4d9Tj4</t>
        </is>
      </c>
      <c r="K684" s="4" t="inlineStr">
        <is>
          <t>Estr. Matapoã, 2288 - Matapoã, Aracaju - SE, 49008-250, Brasil</t>
        </is>
      </c>
      <c r="L684" s="4" t="inlineStr">
        <is>
          <t>Aracaju</t>
        </is>
      </c>
      <c r="M684" s="5" t="n">
        <v>1</v>
      </c>
    </row>
    <row r="685">
      <c r="A685" s="3">
        <f>RAND()</f>
        <v/>
      </c>
      <c r="B685" s="4" t="inlineStr">
        <is>
          <t>ChIJ-czcxgOzGgcR56O579iIGkQ</t>
        </is>
      </c>
      <c r="C685" s="4" t="inlineStr">
        <is>
          <t>Pub baco</t>
        </is>
      </c>
      <c r="D685" s="4" t="inlineStr">
        <is>
          <t>Aracaju</t>
        </is>
      </c>
      <c r="E685" s="4" t="inlineStr">
        <is>
          <t>SE</t>
        </is>
      </c>
      <c r="F685" s="4" t="inlineStr">
        <is>
          <t>Capitais Regionais A</t>
        </is>
      </c>
      <c r="G685" s="4" t="inlineStr">
        <is>
          <t>Capital regional</t>
        </is>
      </c>
      <c r="H685" s="5">
        <f>IF(G685="fora do recorte","",SUMPRODUCT(($G$3:$G$1723=G685)*($A$3:$A$1723&lt;=A685)))</f>
        <v/>
      </c>
      <c r="I685" s="4">
        <f>IF(H685="","",G685&amp;"|"&amp;H685)</f>
        <v/>
      </c>
      <c r="J685" s="4" t="inlineStr">
        <is>
          <t>https://www.google.com/maps/search/?api=1&amp;query=Pub%20baco&amp;query_place_id=ChIJ-czcxgOzGgcR56O579iIGkQ</t>
        </is>
      </c>
      <c r="K685" s="4" t="inlineStr">
        <is>
          <t>R. Simão Dias, 525 - Centro, Aracaju - SE, 49010-430, Brasil</t>
        </is>
      </c>
      <c r="L685" s="4" t="inlineStr">
        <is>
          <t>Aracaju</t>
        </is>
      </c>
      <c r="M685" s="5" t="n">
        <v>1</v>
      </c>
    </row>
    <row r="686">
      <c r="A686" s="3">
        <f>RAND()</f>
        <v/>
      </c>
      <c r="B686" s="4" t="inlineStr">
        <is>
          <t>ChIJ00Jd-wu7GgcRwx0cXe4FIys</t>
        </is>
      </c>
      <c r="C686" s="4" t="inlineStr">
        <is>
          <t>Quiosque Sete</t>
        </is>
      </c>
      <c r="D686" s="4" t="inlineStr">
        <is>
          <t>Aracaju</t>
        </is>
      </c>
      <c r="E686" s="4" t="inlineStr">
        <is>
          <t>SE</t>
        </is>
      </c>
      <c r="F686" s="4" t="inlineStr">
        <is>
          <t>Capitais Regionais A</t>
        </is>
      </c>
      <c r="G686" s="4" t="inlineStr">
        <is>
          <t>Capital regional</t>
        </is>
      </c>
      <c r="H686" s="5">
        <f>IF(G686="fora do recorte","",SUMPRODUCT(($G$3:$G$1723=G686)*($A$3:$A$1723&lt;=A686)))</f>
        <v/>
      </c>
      <c r="I686" s="4">
        <f>IF(H686="","",G686&amp;"|"&amp;H686)</f>
        <v/>
      </c>
      <c r="J686" s="4" t="inlineStr">
        <is>
          <t>https://www.google.com/maps/search/?api=1&amp;query=Quiosque%20Sete&amp;query_place_id=ChIJ00Jd-wu7GgcRwx0cXe4FIys</t>
        </is>
      </c>
      <c r="K686" s="4" t="inlineStr">
        <is>
          <t>Av. Inácio Barbosa, 9005 - Gameleira, Aracaju - SE, 49006-450, Brasil</t>
        </is>
      </c>
      <c r="L686" s="4" t="inlineStr">
        <is>
          <t>Aracaju</t>
        </is>
      </c>
      <c r="M686" s="5" t="n">
        <v>1</v>
      </c>
    </row>
    <row r="687">
      <c r="A687" s="3">
        <f>RAND()</f>
        <v/>
      </c>
      <c r="B687" s="4" t="inlineStr">
        <is>
          <t>ChIJ____P8OzGgcRf8ATFKLjvpk</t>
        </is>
      </c>
      <c r="C687" s="4" t="inlineStr">
        <is>
          <t>RI HAPPY</t>
        </is>
      </c>
      <c r="D687" s="4" t="inlineStr">
        <is>
          <t>Aracaju</t>
        </is>
      </c>
      <c r="E687" s="4" t="inlineStr">
        <is>
          <t>SE</t>
        </is>
      </c>
      <c r="F687" s="4" t="inlineStr">
        <is>
          <t>Capitais Regionais A</t>
        </is>
      </c>
      <c r="G687" s="4" t="inlineStr">
        <is>
          <t>Capital regional</t>
        </is>
      </c>
      <c r="H687" s="5">
        <f>IF(G687="fora do recorte","",SUMPRODUCT(($G$3:$G$1723=G687)*($A$3:$A$1723&lt;=A687)))</f>
        <v/>
      </c>
      <c r="I687" s="4">
        <f>IF(H687="","",G687&amp;"|"&amp;H687)</f>
        <v/>
      </c>
      <c r="J687" s="4" t="inlineStr">
        <is>
          <t>https://www.google.com/maps/search/?api=1&amp;query=RI%20HAPPY&amp;query_place_id=ChIJ____P8OzGgcRf8ATFKLjvpk</t>
        </is>
      </c>
      <c r="K687" s="4" t="inlineStr">
        <is>
          <t>Av. Ministro Geraldo Barreto Sobral, 214 - Lj 87 - Jardins, Aracaju - SE, 49026-900, Brasil</t>
        </is>
      </c>
      <c r="L687" s="4" t="inlineStr">
        <is>
          <t>Aracaju</t>
        </is>
      </c>
      <c r="M687" s="5" t="n">
        <v>1</v>
      </c>
    </row>
    <row r="688">
      <c r="A688" s="3">
        <f>RAND()</f>
        <v/>
      </c>
      <c r="B688" s="4" t="inlineStr">
        <is>
          <t>ChIJVdzA2r6xGgcRSlifGZ6sFcQ</t>
        </is>
      </c>
      <c r="C688" s="4" t="inlineStr">
        <is>
          <t>RPG Comando</t>
        </is>
      </c>
      <c r="D688" s="4" t="inlineStr">
        <is>
          <t>Aracaju</t>
        </is>
      </c>
      <c r="E688" s="4" t="inlineStr">
        <is>
          <t>SE</t>
        </is>
      </c>
      <c r="F688" s="4" t="inlineStr">
        <is>
          <t>Capitais Regionais A</t>
        </is>
      </c>
      <c r="G688" s="4" t="inlineStr">
        <is>
          <t>Capital regional</t>
        </is>
      </c>
      <c r="H688" s="5">
        <f>IF(G688="fora do recorte","",SUMPRODUCT(($G$3:$G$1723=G688)*($A$3:$A$1723&lt;=A688)))</f>
        <v/>
      </c>
      <c r="I688" s="4">
        <f>IF(H688="","",G688&amp;"|"&amp;H688)</f>
        <v/>
      </c>
      <c r="J688" s="4" t="inlineStr">
        <is>
          <t>https://www.google.com/maps/search/?api=1&amp;query=RPG%20Comando&amp;query_place_id=ChIJVdzA2r6xGgcRSlifGZ6sFcQ</t>
        </is>
      </c>
      <c r="K688" s="4" t="inlineStr">
        <is>
          <t>rua, 98 - Aruana, Aracaju - SE, 49000-689, Brasil</t>
        </is>
      </c>
      <c r="L688" s="4" t="inlineStr">
        <is>
          <t>Aracaju</t>
        </is>
      </c>
      <c r="M688" s="5" t="n">
        <v>1</v>
      </c>
    </row>
    <row r="689">
      <c r="A689" s="3">
        <f>RAND()</f>
        <v/>
      </c>
      <c r="B689" s="4" t="inlineStr">
        <is>
          <t>ChIJWRzlpWmzGgcR_Jo6zSBwWGk</t>
        </is>
      </c>
      <c r="C689" s="4" t="inlineStr">
        <is>
          <t>Sandro games oficial</t>
        </is>
      </c>
      <c r="D689" s="4" t="inlineStr">
        <is>
          <t>Aracaju</t>
        </is>
      </c>
      <c r="E689" s="4" t="inlineStr">
        <is>
          <t>SE</t>
        </is>
      </c>
      <c r="F689" s="4" t="inlineStr">
        <is>
          <t>Capitais Regionais A</t>
        </is>
      </c>
      <c r="G689" s="4" t="inlineStr">
        <is>
          <t>Capital regional</t>
        </is>
      </c>
      <c r="H689" s="5">
        <f>IF(G689="fora do recorte","",SUMPRODUCT(($G$3:$G$1723=G689)*($A$3:$A$1723&lt;=A689)))</f>
        <v/>
      </c>
      <c r="I689" s="4">
        <f>IF(H689="","",G689&amp;"|"&amp;H689)</f>
        <v/>
      </c>
      <c r="J689" s="4" t="inlineStr">
        <is>
          <t>https://www.google.com/maps/search/?api=1&amp;query=Sandro%20games%20oficial&amp;query_place_id=ChIJWRzlpWmzGgcR_Jo6zSBwWGk</t>
        </is>
      </c>
      <c r="K689" s="4" t="inlineStr">
        <is>
          <t>Avenida Mascarenhas de Morais - Centro, Aracaju - SE, 49010-010, Brasil</t>
        </is>
      </c>
      <c r="L689" s="4" t="inlineStr">
        <is>
          <t>Aracaju</t>
        </is>
      </c>
      <c r="M689" s="5" t="n">
        <v>1</v>
      </c>
    </row>
    <row r="690">
      <c r="A690" s="3">
        <f>RAND()</f>
        <v/>
      </c>
      <c r="B690" s="4" t="inlineStr">
        <is>
          <t>ChIJkymm2D6zGgcRBEcYP-feozQ</t>
        </is>
      </c>
      <c r="C690" s="4" t="inlineStr">
        <is>
          <t>Sensi</t>
        </is>
      </c>
      <c r="D690" s="4" t="inlineStr">
        <is>
          <t>Aracaju</t>
        </is>
      </c>
      <c r="E690" s="4" t="inlineStr">
        <is>
          <t>SE</t>
        </is>
      </c>
      <c r="F690" s="4" t="inlineStr">
        <is>
          <t>Capitais Regionais A</t>
        </is>
      </c>
      <c r="G690" s="4" t="inlineStr">
        <is>
          <t>Capital regional</t>
        </is>
      </c>
      <c r="H690" s="5">
        <f>IF(G690="fora do recorte","",SUMPRODUCT(($G$3:$G$1723=G690)*($A$3:$A$1723&lt;=A690)))</f>
        <v/>
      </c>
      <c r="I690" s="4">
        <f>IF(H690="","",G690&amp;"|"&amp;H690)</f>
        <v/>
      </c>
      <c r="J690" s="4" t="inlineStr">
        <is>
          <t>https://www.google.com/maps/search/?api=1&amp;query=Sensi&amp;query_place_id=ChIJkymm2D6zGgcRBEcYP-feozQ</t>
        </is>
      </c>
      <c r="K690" s="4" t="inlineStr">
        <is>
          <t>R. Monsenhor Olívio Teixeira, 1333 - Loja 01 - Jardins, Aracaju - SE, 49026-225, Brasil</t>
        </is>
      </c>
      <c r="L690" s="4" t="inlineStr">
        <is>
          <t>Aracaju</t>
        </is>
      </c>
      <c r="M690" s="5" t="n">
        <v>1</v>
      </c>
    </row>
    <row r="691">
      <c r="A691" s="3">
        <f>RAND()</f>
        <v/>
      </c>
      <c r="B691" s="4" t="inlineStr">
        <is>
          <t>ChIJU4Wj-2mzGgcR0Jw7mlyGN-Q</t>
        </is>
      </c>
      <c r="C691" s="4" t="inlineStr">
        <is>
          <t>Tabuleiro do Acarajé</t>
        </is>
      </c>
      <c r="D691" s="4" t="inlineStr">
        <is>
          <t>Aracaju</t>
        </is>
      </c>
      <c r="E691" s="4" t="inlineStr">
        <is>
          <t>SE</t>
        </is>
      </c>
      <c r="F691" s="4" t="inlineStr">
        <is>
          <t>Capitais Regionais A</t>
        </is>
      </c>
      <c r="G691" s="4" t="inlineStr">
        <is>
          <t>Capital regional</t>
        </is>
      </c>
      <c r="H691" s="5">
        <f>IF(G691="fora do recorte","",SUMPRODUCT(($G$3:$G$1723=G691)*($A$3:$A$1723&lt;=A691)))</f>
        <v/>
      </c>
      <c r="I691" s="4">
        <f>IF(H691="","",G691&amp;"|"&amp;H691)</f>
        <v/>
      </c>
      <c r="J691" s="4" t="inlineStr">
        <is>
          <t>https://www.google.com/maps/search/?api=1&amp;query=Tabuleiro%20do%20Acaraj%C3%A9&amp;query_place_id=ChIJU4Wj-2mzGgcR0Jw7mlyGN-Q</t>
        </is>
      </c>
      <c r="K691" s="4" t="inlineStr">
        <is>
          <t>R. Rio Grande do Sul, 197 - Siqueira Campos, Aracaju - SE, 49075-510, Brasil</t>
        </is>
      </c>
      <c r="L691" s="4" t="inlineStr">
        <is>
          <t>Aracaju</t>
        </is>
      </c>
      <c r="M691" s="5" t="n">
        <v>1</v>
      </c>
    </row>
    <row r="692">
      <c r="A692" s="3">
        <f>RAND()</f>
        <v/>
      </c>
      <c r="B692" s="4" t="inlineStr">
        <is>
          <t>ChIJ7RCGLeuJf00RljVImieDL5Y</t>
        </is>
      </c>
      <c r="C692" s="4" t="inlineStr">
        <is>
          <t>Tabulendário - Jogos de Tabuleiro / Boardgames em Aracaju</t>
        </is>
      </c>
      <c r="D692" s="4" t="inlineStr">
        <is>
          <t>Aracaju</t>
        </is>
      </c>
      <c r="E692" s="4" t="inlineStr">
        <is>
          <t>SE</t>
        </is>
      </c>
      <c r="F692" s="4" t="inlineStr">
        <is>
          <t>Capitais Regionais A</t>
        </is>
      </c>
      <c r="G692" s="4" t="inlineStr">
        <is>
          <t>Capital regional</t>
        </is>
      </c>
      <c r="H692" s="5">
        <f>IF(G692="fora do recorte","",SUMPRODUCT(($G$3:$G$1723=G692)*($A$3:$A$1723&lt;=A692)))</f>
        <v/>
      </c>
      <c r="I692" s="4">
        <f>IF(H692="","",G692&amp;"|"&amp;H692)</f>
        <v/>
      </c>
      <c r="J692" s="4" t="inlineStr">
        <is>
          <t>https://www.google.com/maps/search/?api=1&amp;query=Tabulend%C3%A1rio%20-%20Jogos%20de%20Tabuleiro%20/%20Boardgames%20em%20Aracaju&amp;query_place_id=ChIJ7RCGLeuJf00RljVImieDL5Y</t>
        </is>
      </c>
      <c r="K692" s="4" t="inlineStr">
        <is>
          <t>Av. Conselheiro João Moreira Filho, 2151 - Coroa do Meio, Aracaju - SE, 49035-655, Brasil</t>
        </is>
      </c>
      <c r="L692" s="4" t="inlineStr">
        <is>
          <t>Aracaju</t>
        </is>
      </c>
      <c r="M692" s="5" t="n">
        <v>12</v>
      </c>
    </row>
    <row r="693">
      <c r="A693" s="3">
        <f>RAND()</f>
        <v/>
      </c>
      <c r="B693" s="4" t="inlineStr">
        <is>
          <t>ChIJB5IAPaCzGgcRrhUclhYN7Q8</t>
        </is>
      </c>
      <c r="C693" s="4" t="inlineStr">
        <is>
          <t>The Stones Authentic Pub</t>
        </is>
      </c>
      <c r="D693" s="4" t="inlineStr">
        <is>
          <t>Aracaju</t>
        </is>
      </c>
      <c r="E693" s="4" t="inlineStr">
        <is>
          <t>SE</t>
        </is>
      </c>
      <c r="F693" s="4" t="inlineStr">
        <is>
          <t>Capitais Regionais A</t>
        </is>
      </c>
      <c r="G693" s="4" t="inlineStr">
        <is>
          <t>Capital regional</t>
        </is>
      </c>
      <c r="H693" s="5">
        <f>IF(G693="fora do recorte","",SUMPRODUCT(($G$3:$G$1723=G693)*($A$3:$A$1723&lt;=A693)))</f>
        <v/>
      </c>
      <c r="I693" s="4">
        <f>IF(H693="","",G693&amp;"|"&amp;H693)</f>
        <v/>
      </c>
      <c r="J693" s="4" t="inlineStr">
        <is>
          <t>https://www.google.com/maps/search/?api=1&amp;query=The%20Stones%20Authentic%20Pub&amp;query_place_id=ChIJB5IAPaCzGgcRrhUclhYN7Q8</t>
        </is>
      </c>
      <c r="K693" s="4" t="inlineStr">
        <is>
          <t>Av. Gonçalo Prado Rolemberg, 459 - Salgado Filho, Aracaju - SE, 49020-580, Brasil</t>
        </is>
      </c>
      <c r="L693" s="4" t="inlineStr">
        <is>
          <t>Aracaju</t>
        </is>
      </c>
      <c r="M693" s="5" t="n">
        <v>1</v>
      </c>
    </row>
    <row r="694">
      <c r="A694" s="3">
        <f>RAND()</f>
        <v/>
      </c>
      <c r="B694" s="4" t="inlineStr">
        <is>
          <t>ChIJxXEWfAmzGgcRMAK_lbCt138</t>
        </is>
      </c>
      <c r="C694" s="4" t="inlineStr">
        <is>
          <t>Tia Coruja Espaço Recreativo</t>
        </is>
      </c>
      <c r="D694" s="4" t="inlineStr">
        <is>
          <t>Aracaju</t>
        </is>
      </c>
      <c r="E694" s="4" t="inlineStr">
        <is>
          <t>SE</t>
        </is>
      </c>
      <c r="F694" s="4" t="inlineStr">
        <is>
          <t>Capitais Regionais A</t>
        </is>
      </c>
      <c r="G694" s="4" t="inlineStr">
        <is>
          <t>Capital regional</t>
        </is>
      </c>
      <c r="H694" s="5">
        <f>IF(G694="fora do recorte","",SUMPRODUCT(($G$3:$G$1723=G694)*($A$3:$A$1723&lt;=A694)))</f>
        <v/>
      </c>
      <c r="I694" s="4">
        <f>IF(H694="","",G694&amp;"|"&amp;H694)</f>
        <v/>
      </c>
      <c r="J694" s="4" t="inlineStr">
        <is>
          <t>https://www.google.com/maps/search/?api=1&amp;query=Tia%20Coruja%20Espa%C3%A7o%20Recreativo&amp;query_place_id=ChIJxXEWfAmzGgcRMAK_lbCt138</t>
        </is>
      </c>
      <c r="K694" s="4" t="inlineStr">
        <is>
          <t>R. Cel. Ernâni Carvalho Menezes, 143 - Bugio, Aracaju - SE, 49090-050, Brasil</t>
        </is>
      </c>
      <c r="L694" s="4" t="inlineStr">
        <is>
          <t>Aracaju</t>
        </is>
      </c>
      <c r="M694" s="5" t="n">
        <v>1</v>
      </c>
    </row>
    <row r="695">
      <c r="A695" s="3">
        <f>RAND()</f>
        <v/>
      </c>
      <c r="B695" s="4" t="inlineStr">
        <is>
          <t>ChIJKQugRCexGgcRIGeGVYPb1cg</t>
        </is>
      </c>
      <c r="C695" s="4" t="inlineStr">
        <is>
          <t>Travessuras Kids Aracaju</t>
        </is>
      </c>
      <c r="D695" s="4" t="inlineStr">
        <is>
          <t>Aracaju</t>
        </is>
      </c>
      <c r="E695" s="4" t="inlineStr">
        <is>
          <t>SE</t>
        </is>
      </c>
      <c r="F695" s="4" t="inlineStr">
        <is>
          <t>Capitais Regionais A</t>
        </is>
      </c>
      <c r="G695" s="4" t="inlineStr">
        <is>
          <t>Capital regional</t>
        </is>
      </c>
      <c r="H695" s="5">
        <f>IF(G695="fora do recorte","",SUMPRODUCT(($G$3:$G$1723=G695)*($A$3:$A$1723&lt;=A695)))</f>
        <v/>
      </c>
      <c r="I695" s="4">
        <f>IF(H695="","",G695&amp;"|"&amp;H695)</f>
        <v/>
      </c>
      <c r="J695" s="4" t="inlineStr">
        <is>
          <t>https://www.google.com/maps/search/?api=1&amp;query=Travessuras%20Kids%20Aracaju&amp;query_place_id=ChIJKQugRCexGgcRIGeGVYPb1cg</t>
        </is>
      </c>
      <c r="K695" s="4" t="inlineStr">
        <is>
          <t>Av. Dr. Sílvio Cabral Santana, 775 - Aruana, Aracaju - SE, 49039-280, Brasil</t>
        </is>
      </c>
      <c r="L695" s="4" t="inlineStr">
        <is>
          <t>Aracaju</t>
        </is>
      </c>
      <c r="M695" s="5" t="n">
        <v>1</v>
      </c>
    </row>
    <row r="696">
      <c r="A696" s="3">
        <f>RAND()</f>
        <v/>
      </c>
      <c r="B696" s="4" t="inlineStr">
        <is>
          <t>ChIJ13nDt46zGgcRRUaT9vaaEek</t>
        </is>
      </c>
      <c r="C696" s="4" t="inlineStr">
        <is>
          <t>True King's Card Shop</t>
        </is>
      </c>
      <c r="D696" s="4" t="inlineStr">
        <is>
          <t>Aracaju</t>
        </is>
      </c>
      <c r="E696" s="4" t="inlineStr">
        <is>
          <t>SE</t>
        </is>
      </c>
      <c r="F696" s="4" t="inlineStr">
        <is>
          <t>Capitais Regionais A</t>
        </is>
      </c>
      <c r="G696" s="4" t="inlineStr">
        <is>
          <t>Capital regional</t>
        </is>
      </c>
      <c r="H696" s="5">
        <f>IF(G696="fora do recorte","",SUMPRODUCT(($G$3:$G$1723=G696)*($A$3:$A$1723&lt;=A696)))</f>
        <v/>
      </c>
      <c r="I696" s="4">
        <f>IF(H696="","",G696&amp;"|"&amp;H696)</f>
        <v/>
      </c>
      <c r="J696" s="4" t="inlineStr">
        <is>
          <t>https://www.google.com/maps/search/?api=1&amp;query=True%20King%27s%20Card%20Shop&amp;query_place_id=ChIJ13nDt46zGgcRRUaT9vaaEek</t>
        </is>
      </c>
      <c r="K696" s="4" t="inlineStr">
        <is>
          <t>R. Gen. Chaves, 107 - Sala 2 - São José, Aracaju - SE, 49015-310, Brasil</t>
        </is>
      </c>
      <c r="L696" s="4" t="inlineStr">
        <is>
          <t>Aracaju</t>
        </is>
      </c>
      <c r="M696" s="5" t="n">
        <v>1</v>
      </c>
    </row>
    <row r="697">
      <c r="A697" s="3">
        <f>RAND()</f>
        <v/>
      </c>
      <c r="B697" s="4" t="inlineStr">
        <is>
          <t>ChIJU7S3QAC3GgcROfSoI3nutKU</t>
        </is>
      </c>
      <c r="C697" s="4" t="inlineStr">
        <is>
          <t>Vila Infantil</t>
        </is>
      </c>
      <c r="D697" s="4" t="inlineStr">
        <is>
          <t>Aracaju</t>
        </is>
      </c>
      <c r="E697" s="4" t="inlineStr">
        <is>
          <t>SE</t>
        </is>
      </c>
      <c r="F697" s="4" t="inlineStr">
        <is>
          <t>Capitais Regionais A</t>
        </is>
      </c>
      <c r="G697" s="4" t="inlineStr">
        <is>
          <t>Capital regional</t>
        </is>
      </c>
      <c r="H697" s="5">
        <f>IF(G697="fora do recorte","",SUMPRODUCT(($G$3:$G$1723=G697)*($A$3:$A$1723&lt;=A697)))</f>
        <v/>
      </c>
      <c r="I697" s="4">
        <f>IF(H697="","",G697&amp;"|"&amp;H697)</f>
        <v/>
      </c>
      <c r="J697" s="4" t="inlineStr">
        <is>
          <t>https://www.google.com/maps/search/?api=1&amp;query=Vila%20Infantil&amp;query_place_id=ChIJU7S3QAC3GgcROfSoI3nutKU</t>
        </is>
      </c>
      <c r="K697" s="4" t="inlineStr">
        <is>
          <t>R. Delmiro Gouvêia, 2920 - Atalaia - Coroa do Meio, Aracaju - SE, 49035-810, Brasil</t>
        </is>
      </c>
      <c r="L697" s="4" t="inlineStr">
        <is>
          <t>Aracaju</t>
        </is>
      </c>
      <c r="M697" s="5" t="n">
        <v>1</v>
      </c>
    </row>
    <row r="698">
      <c r="A698" s="3">
        <f>RAND()</f>
        <v/>
      </c>
      <c r="B698" s="4" t="inlineStr">
        <is>
          <t>ChIJm7QjrqizGgcR7JEGoWG0RuA</t>
        </is>
      </c>
      <c r="C698" s="4" t="inlineStr">
        <is>
          <t>Winterfell (O Castelo do Norte)</t>
        </is>
      </c>
      <c r="D698" s="4" t="inlineStr">
        <is>
          <t>Aracaju</t>
        </is>
      </c>
      <c r="E698" s="4" t="inlineStr">
        <is>
          <t>SE</t>
        </is>
      </c>
      <c r="F698" s="4" t="inlineStr">
        <is>
          <t>Capitais Regionais A</t>
        </is>
      </c>
      <c r="G698" s="4" t="inlineStr">
        <is>
          <t>Capital regional</t>
        </is>
      </c>
      <c r="H698" s="5">
        <f>IF(G698="fora do recorte","",SUMPRODUCT(($G$3:$G$1723=G698)*($A$3:$A$1723&lt;=A698)))</f>
        <v/>
      </c>
      <c r="I698" s="4">
        <f>IF(H698="","",G698&amp;"|"&amp;H698)</f>
        <v/>
      </c>
      <c r="J698" s="4" t="inlineStr">
        <is>
          <t>https://www.google.com/maps/search/?api=1&amp;query=Winterfell%20%28O%20Castelo%20do%20Norte%29&amp;query_place_id=ChIJm7QjrqizGgcR7JEGoWG0RuA</t>
        </is>
      </c>
      <c r="K698" s="4" t="inlineStr">
        <is>
          <t>Rua Dr. Thales Ferraz, 420 - Industrial, Aracaju - SE, 49065-800, Brasil</t>
        </is>
      </c>
      <c r="L698" s="4" t="inlineStr">
        <is>
          <t>Aracaju</t>
        </is>
      </c>
      <c r="M698" s="5" t="n">
        <v>4</v>
      </c>
    </row>
    <row r="699">
      <c r="A699" s="3">
        <f>RAND()</f>
        <v/>
      </c>
      <c r="B699" s="4" t="inlineStr">
        <is>
          <t>ChIJjQGsRI6xGgcRXwOCfYmCy20</t>
        </is>
      </c>
      <c r="C699" s="4" t="inlineStr">
        <is>
          <t>ZUK Bar e Restaurante</t>
        </is>
      </c>
      <c r="D699" s="4" t="inlineStr">
        <is>
          <t>Aracaju</t>
        </is>
      </c>
      <c r="E699" s="4" t="inlineStr">
        <is>
          <t>SE</t>
        </is>
      </c>
      <c r="F699" s="4" t="inlineStr">
        <is>
          <t>Capitais Regionais A</t>
        </is>
      </c>
      <c r="G699" s="4" t="inlineStr">
        <is>
          <t>Capital regional</t>
        </is>
      </c>
      <c r="H699" s="5">
        <f>IF(G699="fora do recorte","",SUMPRODUCT(($G$3:$G$1723=G699)*($A$3:$A$1723&lt;=A699)))</f>
        <v/>
      </c>
      <c r="I699" s="4">
        <f>IF(H699="","",G699&amp;"|"&amp;H699)</f>
        <v/>
      </c>
      <c r="J699" s="4" t="inlineStr">
        <is>
          <t>https://www.google.com/maps/search/?api=1&amp;query=ZUK%20Bar%20e%20Restaurante&amp;query_place_id=ChIJjQGsRI6xGgcRXwOCfYmCy20</t>
        </is>
      </c>
      <c r="K699" s="4" t="inlineStr">
        <is>
          <t>R. Eng. Francisco Manoel da Costa, 522 - Atalaia, Aracaju - SE, 49035-110, Brasil</t>
        </is>
      </c>
      <c r="L699" s="4" t="inlineStr">
        <is>
          <t>Aracaju</t>
        </is>
      </c>
      <c r="M699" s="5" t="n">
        <v>1</v>
      </c>
    </row>
    <row r="700">
      <c r="A700" s="3">
        <f>RAND()</f>
        <v/>
      </c>
      <c r="B700" s="4" t="inlineStr">
        <is>
          <t>ChIJN2CuXuSzGgcR1CZdzp1HYFg</t>
        </is>
      </c>
      <c r="C700" s="4" t="inlineStr">
        <is>
          <t>Zelldas</t>
        </is>
      </c>
      <c r="D700" s="4" t="inlineStr">
        <is>
          <t>Aracaju</t>
        </is>
      </c>
      <c r="E700" s="4" t="inlineStr">
        <is>
          <t>SE</t>
        </is>
      </c>
      <c r="F700" s="4" t="inlineStr">
        <is>
          <t>Capitais Regionais A</t>
        </is>
      </c>
      <c r="G700" s="4" t="inlineStr">
        <is>
          <t>Capital regional</t>
        </is>
      </c>
      <c r="H700" s="5">
        <f>IF(G700="fora do recorte","",SUMPRODUCT(($G$3:$G$1723=G700)*($A$3:$A$1723&lt;=A700)))</f>
        <v/>
      </c>
      <c r="I700" s="4">
        <f>IF(H700="","",G700&amp;"|"&amp;H700)</f>
        <v/>
      </c>
      <c r="J700" s="4" t="inlineStr">
        <is>
          <t>https://www.google.com/maps/search/?api=1&amp;query=Zelldas&amp;query_place_id=ChIJN2CuXuSzGgcR1CZdzp1HYFg</t>
        </is>
      </c>
      <c r="K700" s="4" t="inlineStr">
        <is>
          <t>R. Poe. José Sampaio, 586 - Siqueira Campos, Aracaju - SE, 49075-470, Brasil</t>
        </is>
      </c>
      <c r="L700" s="4" t="inlineStr">
        <is>
          <t>Aracaju</t>
        </is>
      </c>
      <c r="M700" s="5" t="n">
        <v>3</v>
      </c>
    </row>
    <row r="701">
      <c r="A701" s="3">
        <f>RAND()</f>
        <v/>
      </c>
      <c r="B701" s="4" t="inlineStr">
        <is>
          <t>ChIJPVCtqhyxGgcRoF9lJSbbfGg</t>
        </is>
      </c>
      <c r="C701" s="4" t="inlineStr">
        <is>
          <t>Âncora Beach Club</t>
        </is>
      </c>
      <c r="D701" s="4" t="inlineStr">
        <is>
          <t>Aracaju</t>
        </is>
      </c>
      <c r="E701" s="4" t="inlineStr">
        <is>
          <t>SE</t>
        </is>
      </c>
      <c r="F701" s="4" t="inlineStr">
        <is>
          <t>Capitais Regionais A</t>
        </is>
      </c>
      <c r="G701" s="4" t="inlineStr">
        <is>
          <t>Capital regional</t>
        </is>
      </c>
      <c r="H701" s="5">
        <f>IF(G701="fora do recorte","",SUMPRODUCT(($G$3:$G$1723=G701)*($A$3:$A$1723&lt;=A701)))</f>
        <v/>
      </c>
      <c r="I701" s="4">
        <f>IF(H701="","",G701&amp;"|"&amp;H701)</f>
        <v/>
      </c>
      <c r="J701" s="4" t="inlineStr">
        <is>
          <t>https://www.google.com/maps/search/?api=1&amp;query=%C3%82ncora%20Beach%20Club&amp;query_place_id=ChIJPVCtqhyxGgcRoF9lJSbbfGg</t>
        </is>
      </c>
      <c r="K701" s="4" t="inlineStr">
        <is>
          <t>Av. Inácio Barbosa, 799, Zona de Expansão - Mosqueiro, Aracaju - SE, Brasil</t>
        </is>
      </c>
      <c r="L701" s="4" t="inlineStr">
        <is>
          <t>Aracaju</t>
        </is>
      </c>
      <c r="M701" s="5" t="n">
        <v>1</v>
      </c>
    </row>
    <row r="702">
      <c r="A702" s="3">
        <f>RAND()</f>
        <v/>
      </c>
      <c r="B702" s="4" t="inlineStr">
        <is>
          <t>ChIJeTh9VdSzGgcRlHeThwYFh9c</t>
        </is>
      </c>
      <c r="C702" s="4" t="inlineStr">
        <is>
          <t>É Pra Brincar Circus Food ParK</t>
        </is>
      </c>
      <c r="D702" s="4" t="inlineStr">
        <is>
          <t>Aracaju</t>
        </is>
      </c>
      <c r="E702" s="4" t="inlineStr">
        <is>
          <t>SE</t>
        </is>
      </c>
      <c r="F702" s="4" t="inlineStr">
        <is>
          <t>Capitais Regionais A</t>
        </is>
      </c>
      <c r="G702" s="4" t="inlineStr">
        <is>
          <t>Capital regional</t>
        </is>
      </c>
      <c r="H702" s="5">
        <f>IF(G702="fora do recorte","",SUMPRODUCT(($G$3:$G$1723=G702)*($A$3:$A$1723&lt;=A702)))</f>
        <v/>
      </c>
      <c r="I702" s="4">
        <f>IF(H702="","",G702&amp;"|"&amp;H702)</f>
        <v/>
      </c>
      <c r="J702" s="4" t="inlineStr">
        <is>
          <t>https://www.google.com/maps/search/?api=1&amp;query=%C3%89%20Pra%20Brincar%20Circus%20Food%20ParK&amp;query_place_id=ChIJeTh9VdSzGgcRlHeThwYFh9c</t>
        </is>
      </c>
      <c r="K702" s="4" t="inlineStr">
        <is>
          <t>Rua Orlando Magalhães Maia, 1171 - Jardins, Aracaju - SE, 49025-530, Brasil</t>
        </is>
      </c>
      <c r="L702" s="4" t="inlineStr">
        <is>
          <t>Aracaju</t>
        </is>
      </c>
      <c r="M702" s="5" t="n">
        <v>1</v>
      </c>
    </row>
    <row r="703">
      <c r="A703" s="3">
        <f>RAND()</f>
        <v/>
      </c>
      <c r="B703" s="4" t="inlineStr">
        <is>
          <t>ChIJM2mdl79NBQcRTG5dx_vBwOY</t>
        </is>
      </c>
      <c r="C703" s="4" t="inlineStr">
        <is>
          <t>ESPORTE NET</t>
        </is>
      </c>
      <c r="D703" s="4" t="inlineStr">
        <is>
          <t>Nossa Sra. do Socorro</t>
        </is>
      </c>
      <c r="E703" s="4" t="inlineStr">
        <is>
          <t>SE</t>
        </is>
      </c>
      <c r="F703" s="4" t="inlineStr">
        <is>
          <t>Capitais Regionais A</t>
        </is>
      </c>
      <c r="G703" s="4" t="inlineStr">
        <is>
          <t>Capital regional</t>
        </is>
      </c>
      <c r="H703" s="5">
        <f>IF(G703="fora do recorte","",SUMPRODUCT(($G$3:$G$1723=G703)*($A$3:$A$1723&lt;=A703)))</f>
        <v/>
      </c>
      <c r="I703" s="4">
        <f>IF(H703="","",G703&amp;"|"&amp;H703)</f>
        <v/>
      </c>
      <c r="J703" s="4" t="inlineStr">
        <is>
          <t>https://www.google.com/maps/search/?api=1&amp;query=ESPORTE%20NET&amp;query_place_id=ChIJM2mdl79NBQcRTG5dx_vBwOY</t>
        </is>
      </c>
      <c r="K703" s="4" t="inlineStr">
        <is>
          <t>R. 146, 4 - Albano Franco, Nossa Sra. do Socorro - SE, 49153-250, Brasil</t>
        </is>
      </c>
      <c r="L703" s="4" t="inlineStr">
        <is>
          <t>Aracaju</t>
        </is>
      </c>
      <c r="M703" s="5" t="n">
        <v>1</v>
      </c>
    </row>
    <row r="704">
      <c r="A704" s="3">
        <f>RAND()</f>
        <v/>
      </c>
      <c r="B704" s="4" t="inlineStr">
        <is>
          <t>ChIJlf0bweWtGgcRGD25GVdiVF4</t>
        </is>
      </c>
      <c r="C704" s="4" t="inlineStr">
        <is>
          <t>Jully Festas, Aluguel de Brinquedos Infláveis em Aracaju, Futebol de Sabão, Touro Mecânico, Tobogã, Escorrega…</t>
        </is>
      </c>
      <c r="D704" s="4" t="inlineStr">
        <is>
          <t>Nossa Sra. do Socorro</t>
        </is>
      </c>
      <c r="E704" s="4" t="inlineStr">
        <is>
          <t>SE</t>
        </is>
      </c>
      <c r="F704" s="4" t="inlineStr">
        <is>
          <t>Capitais Regionais A</t>
        </is>
      </c>
      <c r="G704" s="4" t="inlineStr">
        <is>
          <t>Capital regional</t>
        </is>
      </c>
      <c r="H704" s="5">
        <f>IF(G704="fora do recorte","",SUMPRODUCT(($G$3:$G$1723=G704)*($A$3:$A$1723&lt;=A704)))</f>
        <v/>
      </c>
      <c r="I704" s="4">
        <f>IF(H704="","",G704&amp;"|"&amp;H704)</f>
        <v/>
      </c>
      <c r="J704" s="4" t="inlineStr">
        <is>
          <t>https://www.google.com/maps/search/?api=1&amp;query=Jully%20Festas%2C%20Aluguel%20de%20Brinquedos%20Infl%C3%A1veis%20em%20Aracaju%2C%20Futebol%20de%20Sab%C3%A3o%2C%20Touro%20Mec%C3%A2nico%2C%20Tobog%C3%A3%2C%20Escorrega%E2%80%A6&amp;query_place_id=ChIJlf0bweWtGgcRGD25GVdiVF4</t>
        </is>
      </c>
      <c r="K704" s="4" t="inlineStr">
        <is>
          <t>Av. Boa Viagem, 809 - Santa Cecília, Nossa Sra. do Socorro - SE, 49160-000, Brasil</t>
        </is>
      </c>
      <c r="L704" s="4" t="inlineStr">
        <is>
          <t>Aracaju</t>
        </is>
      </c>
      <c r="M704" s="5" t="n">
        <v>1</v>
      </c>
    </row>
    <row r="705">
      <c r="A705" s="3">
        <f>RAND()</f>
        <v/>
      </c>
      <c r="B705" s="4" t="inlineStr">
        <is>
          <t>ChIJjZAoSWazGgcRC0eKTbZyZp8</t>
        </is>
      </c>
      <c r="C705" s="4" t="inlineStr">
        <is>
          <t>World Of Games</t>
        </is>
      </c>
      <c r="D705" s="4" t="inlineStr">
        <is>
          <t>Nossa Sra. do Socorro</t>
        </is>
      </c>
      <c r="E705" s="4" t="inlineStr">
        <is>
          <t>SE</t>
        </is>
      </c>
      <c r="F705" s="4" t="inlineStr">
        <is>
          <t>Capitais Regionais A</t>
        </is>
      </c>
      <c r="G705" s="4" t="inlineStr">
        <is>
          <t>Capital regional</t>
        </is>
      </c>
      <c r="H705" s="5">
        <f>IF(G705="fora do recorte","",SUMPRODUCT(($G$3:$G$1723=G705)*($A$3:$A$1723&lt;=A705)))</f>
        <v/>
      </c>
      <c r="I705" s="4">
        <f>IF(H705="","",G705&amp;"|"&amp;H705)</f>
        <v/>
      </c>
      <c r="J705" s="4" t="inlineStr">
        <is>
          <t>https://www.google.com/maps/search/?api=1&amp;query=World%20Of%20Games&amp;query_place_id=ChIJjZAoSWazGgcRC0eKTbZyZp8</t>
        </is>
      </c>
      <c r="K705" s="4" t="inlineStr">
        <is>
          <t>Av. Moacir Oliveira - Marcos Freire I, Nossa Sra. do Socorro - SE, 49152-378, Brasil</t>
        </is>
      </c>
      <c r="L705" s="4" t="inlineStr">
        <is>
          <t>Aracaju</t>
        </is>
      </c>
      <c r="M705" s="5" t="n">
        <v>1</v>
      </c>
    </row>
    <row r="706">
      <c r="A706" s="3">
        <f>RAND()</f>
        <v/>
      </c>
      <c r="B706" s="4" t="inlineStr">
        <is>
          <t>ChIJC0KRp9upGgcRKiF8-jF8FoY</t>
        </is>
      </c>
      <c r="C706" s="4" t="inlineStr">
        <is>
          <t>Loja Geek Of Thrones</t>
        </is>
      </c>
      <c r="D706" s="4" t="inlineStr">
        <is>
          <t>São Cristóvão</t>
        </is>
      </c>
      <c r="E706" s="4" t="inlineStr">
        <is>
          <t>SE</t>
        </is>
      </c>
      <c r="F706" s="4" t="inlineStr">
        <is>
          <t>Capitais Regionais A</t>
        </is>
      </c>
      <c r="G706" s="4" t="inlineStr">
        <is>
          <t>Capital regional</t>
        </is>
      </c>
      <c r="H706" s="5">
        <f>IF(G706="fora do recorte","",SUMPRODUCT(($G$3:$G$1723=G706)*($A$3:$A$1723&lt;=A706)))</f>
        <v/>
      </c>
      <c r="I706" s="4">
        <f>IF(H706="","",G706&amp;"|"&amp;H706)</f>
        <v/>
      </c>
      <c r="J706" s="4" t="inlineStr">
        <is>
          <t>https://www.google.com/maps/search/?api=1&amp;query=Loja%20Geek%20Of%20Thrones&amp;query_place_id=ChIJC0KRp9upGgcRKiF8-jF8FoY</t>
        </is>
      </c>
      <c r="K706" s="4" t="inlineStr">
        <is>
          <t>R. Jose Manuel Xavier da Silva, 580 - Rosa Maria, São Cristóvão - SE, 49107-006, Brasil</t>
        </is>
      </c>
      <c r="L706" s="4" t="inlineStr">
        <is>
          <t>Aracaju</t>
        </is>
      </c>
      <c r="M706" s="5" t="n">
        <v>1</v>
      </c>
    </row>
    <row r="707">
      <c r="A707" s="3">
        <f>RAND()</f>
        <v/>
      </c>
      <c r="B707" s="4" t="inlineStr">
        <is>
          <t>ChIJS8UALzAxO5MRiP3eMKATJYI</t>
        </is>
      </c>
      <c r="C707" s="4" t="inlineStr">
        <is>
          <t>A Social Bar</t>
        </is>
      </c>
      <c r="D707" s="4" t="inlineStr">
        <is>
          <t>Palmas</t>
        </is>
      </c>
      <c r="E707" s="4" t="inlineStr">
        <is>
          <t>TO</t>
        </is>
      </c>
      <c r="F707" s="4" t="inlineStr">
        <is>
          <t>Capitais Regionais B</t>
        </is>
      </c>
      <c r="G707" s="4" t="inlineStr">
        <is>
          <t>Capital regional</t>
        </is>
      </c>
      <c r="H707" s="5">
        <f>IF(G707="fora do recorte","",SUMPRODUCT(($G$3:$G$1723=G707)*($A$3:$A$1723&lt;=A707)))</f>
        <v/>
      </c>
      <c r="I707" s="4">
        <f>IF(H707="","",G707&amp;"|"&amp;H707)</f>
        <v/>
      </c>
      <c r="J707" s="4" t="inlineStr">
        <is>
          <t>https://www.google.com/maps/search/?api=1&amp;query=A%20Social%20Bar&amp;query_place_id=ChIJS8UALzAxO5MRiP3eMKATJYI</t>
        </is>
      </c>
      <c r="K707" s="4" t="inlineStr">
        <is>
          <t>R. 14 Q 13, 22 - Taquaralto V - Palmas, TO, 77001-970, Brasil</t>
        </is>
      </c>
      <c r="L707" s="4" t="inlineStr">
        <is>
          <t>Palmas</t>
        </is>
      </c>
      <c r="M707" s="5" t="n">
        <v>2</v>
      </c>
    </row>
    <row r="708">
      <c r="A708" s="3">
        <f>RAND()</f>
        <v/>
      </c>
      <c r="B708" s="4" t="inlineStr">
        <is>
          <t>ChIJlcaoZADLJJMRdeVfwonWCGQ</t>
        </is>
      </c>
      <c r="C708" s="4" t="inlineStr">
        <is>
          <t>AGROBAR PALMAS</t>
        </is>
      </c>
      <c r="D708" s="4" t="inlineStr">
        <is>
          <t>Palmas</t>
        </is>
      </c>
      <c r="E708" s="4" t="inlineStr">
        <is>
          <t>TO</t>
        </is>
      </c>
      <c r="F708" s="4" t="inlineStr">
        <is>
          <t>Capitais Regionais B</t>
        </is>
      </c>
      <c r="G708" s="4" t="inlineStr">
        <is>
          <t>Capital regional</t>
        </is>
      </c>
      <c r="H708" s="5">
        <f>IF(G708="fora do recorte","",SUMPRODUCT(($G$3:$G$1723=G708)*($A$3:$A$1723&lt;=A708)))</f>
        <v/>
      </c>
      <c r="I708" s="4">
        <f>IF(H708="","",G708&amp;"|"&amp;H708)</f>
        <v/>
      </c>
      <c r="J708" s="4" t="inlineStr">
        <is>
          <t>https://www.google.com/maps/search/?api=1&amp;query=AGROBAR%20PALMAS&amp;query_place_id=ChIJlcaoZADLJJMRdeVfwonWCGQ</t>
        </is>
      </c>
      <c r="K708" s="4" t="inlineStr">
        <is>
          <t>Q. 103 Sul Rua SO 11 - 103 Sul, Palmas - TO, 77015-036, Brasil</t>
        </is>
      </c>
      <c r="L708" s="4" t="inlineStr">
        <is>
          <t>Palmas</t>
        </is>
      </c>
      <c r="M708" s="5" t="n">
        <v>1</v>
      </c>
    </row>
    <row r="709">
      <c r="A709" s="3">
        <f>RAND()</f>
        <v/>
      </c>
      <c r="B709" s="4" t="inlineStr">
        <is>
          <t>ChIJl4G_d5g5O5MRjiApWZOPO4k</t>
        </is>
      </c>
      <c r="C709" s="4" t="inlineStr">
        <is>
          <t>Adoleta Brinquedos PMW</t>
        </is>
      </c>
      <c r="D709" s="4" t="inlineStr">
        <is>
          <t>Palmas</t>
        </is>
      </c>
      <c r="E709" s="4" t="inlineStr">
        <is>
          <t>TO</t>
        </is>
      </c>
      <c r="F709" s="4" t="inlineStr">
        <is>
          <t>Capitais Regionais B</t>
        </is>
      </c>
      <c r="G709" s="4" t="inlineStr">
        <is>
          <t>Capital regional</t>
        </is>
      </c>
      <c r="H709" s="5">
        <f>IF(G709="fora do recorte","",SUMPRODUCT(($G$3:$G$1723=G709)*($A$3:$A$1723&lt;=A709)))</f>
        <v/>
      </c>
      <c r="I709" s="4">
        <f>IF(H709="","",G709&amp;"|"&amp;H709)</f>
        <v/>
      </c>
      <c r="J709" s="4" t="inlineStr">
        <is>
          <t>https://www.google.com/maps/search/?api=1&amp;query=Adoleta%20Brinquedos%20PMW&amp;query_place_id=ChIJl4G_d5g5O5MRjiApWZOPO4k</t>
        </is>
      </c>
      <c r="K709" s="4" t="inlineStr">
        <is>
          <t>206 Sul - Av. LO 5 - Plano Diretor Sul, Palmas - TO, 77020-504, Brasil</t>
        </is>
      </c>
      <c r="L709" s="4" t="inlineStr">
        <is>
          <t>Palmas</t>
        </is>
      </c>
      <c r="M709" s="5" t="n">
        <v>1</v>
      </c>
    </row>
    <row r="710">
      <c r="A710" s="3">
        <f>RAND()</f>
        <v/>
      </c>
      <c r="B710" s="4" t="inlineStr">
        <is>
          <t>ChIJc3fto_3NJJMRE_Ii3_BDhHw</t>
        </is>
      </c>
      <c r="C710" s="4" t="inlineStr">
        <is>
          <t>Ateliê infantil Rabisquê</t>
        </is>
      </c>
      <c r="D710" s="4" t="inlineStr">
        <is>
          <t>Palmas</t>
        </is>
      </c>
      <c r="E710" s="4" t="inlineStr">
        <is>
          <t>TO</t>
        </is>
      </c>
      <c r="F710" s="4" t="inlineStr">
        <is>
          <t>Capitais Regionais B</t>
        </is>
      </c>
      <c r="G710" s="4" t="inlineStr">
        <is>
          <t>Capital regional</t>
        </is>
      </c>
      <c r="H710" s="5">
        <f>IF(G710="fora do recorte","",SUMPRODUCT(($G$3:$G$1723=G710)*($A$3:$A$1723&lt;=A710)))</f>
        <v/>
      </c>
      <c r="I710" s="4">
        <f>IF(H710="","",G710&amp;"|"&amp;H710)</f>
        <v/>
      </c>
      <c r="J710" s="4" t="inlineStr">
        <is>
          <t>https://www.google.com/maps/search/?api=1&amp;query=Ateli%C3%AA%20infantil%20Rabisqu%C3%AA&amp;query_place_id=ChIJc3fto_3NJJMRE_Ii3_BDhHw</t>
        </is>
      </c>
      <c r="K710" s="4" t="inlineStr">
        <is>
          <t>Q. 110 Sul Alameda 3, 29 - Arse - Plano Diretor Sul, Palmas - TO, 77020-140, Brasil</t>
        </is>
      </c>
      <c r="L710" s="4" t="inlineStr">
        <is>
          <t>Palmas</t>
        </is>
      </c>
      <c r="M710" s="5" t="n">
        <v>1</v>
      </c>
    </row>
    <row r="711">
      <c r="A711" s="3">
        <f>RAND()</f>
        <v/>
      </c>
      <c r="B711" s="4" t="inlineStr">
        <is>
          <t>ChIJseC8FHA0O5MRAQt7RmIvfDo</t>
        </is>
      </c>
      <c r="C711" s="4" t="inlineStr">
        <is>
          <t>BRINQUEDOTECA E RECREAÇÃO CORUJINHA</t>
        </is>
      </c>
      <c r="D711" s="4" t="inlineStr">
        <is>
          <t>Palmas</t>
        </is>
      </c>
      <c r="E711" s="4" t="inlineStr">
        <is>
          <t>TO</t>
        </is>
      </c>
      <c r="F711" s="4" t="inlineStr">
        <is>
          <t>Capitais Regionais B</t>
        </is>
      </c>
      <c r="G711" s="4" t="inlineStr">
        <is>
          <t>Capital regional</t>
        </is>
      </c>
      <c r="H711" s="5">
        <f>IF(G711="fora do recorte","",SUMPRODUCT(($G$3:$G$1723=G711)*($A$3:$A$1723&lt;=A711)))</f>
        <v/>
      </c>
      <c r="I711" s="4">
        <f>IF(H711="","",G711&amp;"|"&amp;H711)</f>
        <v/>
      </c>
      <c r="J711" s="4" t="inlineStr">
        <is>
          <t>https://www.google.com/maps/search/?api=1&amp;query=BRINQUEDOTECA%20E%20RECREA%C3%87%C3%83O%20CORUJINHA&amp;query_place_id=ChIJseC8FHA0O5MRAQt7RmIvfDo</t>
        </is>
      </c>
      <c r="K711" s="4" t="inlineStr">
        <is>
          <t>Q. 1004 Sul Alameda 6, 29 - Arse, Palmas - TO, 77023-516, Brasil</t>
        </is>
      </c>
      <c r="L711" s="4" t="inlineStr">
        <is>
          <t>Palmas</t>
        </is>
      </c>
      <c r="M711" s="5" t="n">
        <v>1</v>
      </c>
    </row>
    <row r="712">
      <c r="A712" s="3">
        <f>RAND()</f>
        <v/>
      </c>
      <c r="B712" s="4" t="inlineStr">
        <is>
          <t>ChIJk4_Eq2bLJJMRUmPEqJTdVMI</t>
        </is>
      </c>
      <c r="C712" s="4" t="inlineStr">
        <is>
          <t>Bar do Bode</t>
        </is>
      </c>
      <c r="D712" s="4" t="inlineStr">
        <is>
          <t>Palmas</t>
        </is>
      </c>
      <c r="E712" s="4" t="inlineStr">
        <is>
          <t>TO</t>
        </is>
      </c>
      <c r="F712" s="4" t="inlineStr">
        <is>
          <t>Capitais Regionais B</t>
        </is>
      </c>
      <c r="G712" s="4" t="inlineStr">
        <is>
          <t>Capital regional</t>
        </is>
      </c>
      <c r="H712" s="5">
        <f>IF(G712="fora do recorte","",SUMPRODUCT(($G$3:$G$1723=G712)*($A$3:$A$1723&lt;=A712)))</f>
        <v/>
      </c>
      <c r="I712" s="4">
        <f>IF(H712="","",G712&amp;"|"&amp;H712)</f>
        <v/>
      </c>
      <c r="J712" s="4" t="inlineStr">
        <is>
          <t>https://www.google.com/maps/search/?api=1&amp;query=Bar%20do%20Bode&amp;query_place_id=ChIJk4_Eq2bLJJMRUmPEqJTdVMI</t>
        </is>
      </c>
      <c r="K712" s="4" t="inlineStr">
        <is>
          <t>Avenida LO 1 Q. 103 Sul - Plano Diretor Sul, Palmas - TO, 77015-028, Brasil</t>
        </is>
      </c>
      <c r="L712" s="4" t="inlineStr">
        <is>
          <t>Palmas</t>
        </is>
      </c>
      <c r="M712" s="5" t="n">
        <v>1</v>
      </c>
    </row>
    <row r="713">
      <c r="A713" s="3">
        <f>RAND()</f>
        <v/>
      </c>
      <c r="B713" s="4" t="inlineStr">
        <is>
          <t>ChIJnXhD0zzNJJMRcEbo3WWxVZ4</t>
        </is>
      </c>
      <c r="C713" s="4" t="inlineStr">
        <is>
          <t>Baroi Info Games</t>
        </is>
      </c>
      <c r="D713" s="4" t="inlineStr">
        <is>
          <t>Palmas</t>
        </is>
      </c>
      <c r="E713" s="4" t="inlineStr">
        <is>
          <t>TO</t>
        </is>
      </c>
      <c r="F713" s="4" t="inlineStr">
        <is>
          <t>Capitais Regionais B</t>
        </is>
      </c>
      <c r="G713" s="4" t="inlineStr">
        <is>
          <t>Capital regional</t>
        </is>
      </c>
      <c r="H713" s="5">
        <f>IF(G713="fora do recorte","",SUMPRODUCT(($G$3:$G$1723=G713)*($A$3:$A$1723&lt;=A713)))</f>
        <v/>
      </c>
      <c r="I713" s="4">
        <f>IF(H713="","",G713&amp;"|"&amp;H713)</f>
        <v/>
      </c>
      <c r="J713" s="4" t="inlineStr">
        <is>
          <t>https://www.google.com/maps/search/?api=1&amp;query=Baroi%20Info%20Games&amp;query_place_id=ChIJnXhD0zzNJJMRcEbo3WWxVZ4</t>
        </is>
      </c>
      <c r="K713" s="4" t="inlineStr">
        <is>
          <t>Q. 108 Sul Alameda 5, 5 - Arse, Palmas - TO, 77020-103, Brasil</t>
        </is>
      </c>
      <c r="L713" s="4" t="inlineStr">
        <is>
          <t>Palmas</t>
        </is>
      </c>
      <c r="M713" s="5" t="n">
        <v>6</v>
      </c>
    </row>
    <row r="714">
      <c r="A714" s="3">
        <f>RAND()</f>
        <v/>
      </c>
      <c r="B714" s="4" t="inlineStr">
        <is>
          <t>ChIJgQnlglY1O5MR3tvcNtZBaHg</t>
        </is>
      </c>
      <c r="C714" s="4" t="inlineStr">
        <is>
          <t>Barzinho Pmw</t>
        </is>
      </c>
      <c r="D714" s="4" t="inlineStr">
        <is>
          <t>Palmas</t>
        </is>
      </c>
      <c r="E714" s="4" t="inlineStr">
        <is>
          <t>TO</t>
        </is>
      </c>
      <c r="F714" s="4" t="inlineStr">
        <is>
          <t>Capitais Regionais B</t>
        </is>
      </c>
      <c r="G714" s="4" t="inlineStr">
        <is>
          <t>Capital regional</t>
        </is>
      </c>
      <c r="H714" s="5">
        <f>IF(G714="fora do recorte","",SUMPRODUCT(($G$3:$G$1723=G714)*($A$3:$A$1723&lt;=A714)))</f>
        <v/>
      </c>
      <c r="I714" s="4">
        <f>IF(H714="","",G714&amp;"|"&amp;H714)</f>
        <v/>
      </c>
      <c r="J714" s="4" t="inlineStr">
        <is>
          <t>https://www.google.com/maps/search/?api=1&amp;query=Barzinho%20Pmw&amp;query_place_id=ChIJgQnlglY1O5MR3tvcNtZBaHg</t>
        </is>
      </c>
      <c r="K714" s="4" t="inlineStr">
        <is>
          <t>05 lote - Av. Via Orla, 14 - alameda 5 e 6 Sala esquina 01 e 02 - Plano Diretor Sul, Palmas - TO, 77015-613, Brasil</t>
        </is>
      </c>
      <c r="L714" s="4" t="inlineStr">
        <is>
          <t>Palmas</t>
        </is>
      </c>
      <c r="M714" s="5" t="n">
        <v>1</v>
      </c>
    </row>
    <row r="715">
      <c r="A715" s="3">
        <f>RAND()</f>
        <v/>
      </c>
      <c r="B715" s="4" t="inlineStr">
        <is>
          <t>ChIJZbyw37_NJJMR1Up7qDV-pwM</t>
        </is>
      </c>
      <c r="C715" s="4" t="inlineStr">
        <is>
          <t>Blackbird Estúdio</t>
        </is>
      </c>
      <c r="D715" s="4" t="inlineStr">
        <is>
          <t>Palmas</t>
        </is>
      </c>
      <c r="E715" s="4" t="inlineStr">
        <is>
          <t>TO</t>
        </is>
      </c>
      <c r="F715" s="4" t="inlineStr">
        <is>
          <t>Capitais Regionais B</t>
        </is>
      </c>
      <c r="G715" s="4" t="inlineStr">
        <is>
          <t>Capital regional</t>
        </is>
      </c>
      <c r="H715" s="5">
        <f>IF(G715="fora do recorte","",SUMPRODUCT(($G$3:$G$1723=G715)*($A$3:$A$1723&lt;=A715)))</f>
        <v/>
      </c>
      <c r="I715" s="4">
        <f>IF(H715="","",G715&amp;"|"&amp;H715)</f>
        <v/>
      </c>
      <c r="J715" s="4" t="inlineStr">
        <is>
          <t>https://www.google.com/maps/search/?api=1&amp;query=Blackbird%20Est%C3%BAdio&amp;query_place_id=ChIJZbyw37_NJJMR1Up7qDV-pwM</t>
        </is>
      </c>
      <c r="K715" s="4" t="inlineStr">
        <is>
          <t>Q ASR SE 15 RUA SR 7 LOTE 47 - Plano Diretor Sul, Palmas - TO, 77020-176, Brasil</t>
        </is>
      </c>
      <c r="L715" s="4" t="inlineStr">
        <is>
          <t>Palmas</t>
        </is>
      </c>
      <c r="M715" s="5" t="n">
        <v>1</v>
      </c>
    </row>
    <row r="716">
      <c r="A716" s="3">
        <f>RAND()</f>
        <v/>
      </c>
      <c r="B716" s="4" t="inlineStr">
        <is>
          <t>ChIJk_qnxNQ1O5MRRFSZ5WKAAh8</t>
        </is>
      </c>
      <c r="C716" s="4" t="inlineStr">
        <is>
          <t>Brinquedoteca e Recreação Corujinha</t>
        </is>
      </c>
      <c r="D716" s="4" t="inlineStr">
        <is>
          <t>Palmas</t>
        </is>
      </c>
      <c r="E716" s="4" t="inlineStr">
        <is>
          <t>TO</t>
        </is>
      </c>
      <c r="F716" s="4" t="inlineStr">
        <is>
          <t>Capitais Regionais B</t>
        </is>
      </c>
      <c r="G716" s="4" t="inlineStr">
        <is>
          <t>Capital regional</t>
        </is>
      </c>
      <c r="H716" s="5">
        <f>IF(G716="fora do recorte","",SUMPRODUCT(($G$3:$G$1723=G716)*($A$3:$A$1723&lt;=A716)))</f>
        <v/>
      </c>
      <c r="I716" s="4">
        <f>IF(H716="","",G716&amp;"|"&amp;H716)</f>
        <v/>
      </c>
      <c r="J716" s="4" t="inlineStr">
        <is>
          <t>https://www.google.com/maps/search/?api=1&amp;query=Brinquedoteca%20e%20Recrea%C3%A7%C3%A3o%20Corujinha&amp;query_place_id=ChIJk_qnxNQ1O5MRRFSZ5WKAAh8</t>
        </is>
      </c>
      <c r="K716" s="4" t="inlineStr">
        <is>
          <t>Q. 806 Sul Alameda 17, Lote 02 - Plano Diretor Sul, Palmas - TO, 77023-048, Brasil</t>
        </is>
      </c>
      <c r="L716" s="4" t="inlineStr">
        <is>
          <t>Palmas</t>
        </is>
      </c>
      <c r="M716" s="5" t="n">
        <v>1</v>
      </c>
    </row>
    <row r="717">
      <c r="A717" s="3">
        <f>RAND()</f>
        <v/>
      </c>
      <c r="B717" s="4" t="inlineStr">
        <is>
          <t>ChIJC1fsQUPLJJMR68KUjtzhr7o</t>
        </is>
      </c>
      <c r="C717" s="4" t="inlineStr">
        <is>
          <t>Brinquelândia - Brinquedos | Festa | Fantasia | Artigos de época</t>
        </is>
      </c>
      <c r="D717" s="4" t="inlineStr">
        <is>
          <t>Palmas</t>
        </is>
      </c>
      <c r="E717" s="4" t="inlineStr">
        <is>
          <t>TO</t>
        </is>
      </c>
      <c r="F717" s="4" t="inlineStr">
        <is>
          <t>Capitais Regionais B</t>
        </is>
      </c>
      <c r="G717" s="4" t="inlineStr">
        <is>
          <t>Capital regional</t>
        </is>
      </c>
      <c r="H717" s="5">
        <f>IF(G717="fora do recorte","",SUMPRODUCT(($G$3:$G$1723=G717)*($A$3:$A$1723&lt;=A717)))</f>
        <v/>
      </c>
      <c r="I717" s="4">
        <f>IF(H717="","",G717&amp;"|"&amp;H717)</f>
        <v/>
      </c>
      <c r="J717" s="4" t="inlineStr">
        <is>
          <t>https://www.google.com/maps/search/?api=1&amp;query=Brinquel%C3%A2ndia%20-%20Brinquedos%20%7C%20Festa%20%7C%20Fantasia%20%7C%20Artigos%20de%20%C3%A9poca&amp;query_place_id=ChIJC1fsQUPLJJMR68KUjtzhr7o</t>
        </is>
      </c>
      <c r="K717" s="4" t="inlineStr">
        <is>
          <t>Quadra 104 Sul Rua SE 1 (Acse 1 16 - conj 01 - Plano Diretor Sul, Palmas - TO, 77020-014, Brasil</t>
        </is>
      </c>
      <c r="L717" s="4" t="inlineStr">
        <is>
          <t>Palmas</t>
        </is>
      </c>
      <c r="M717" s="5" t="n">
        <v>1</v>
      </c>
    </row>
    <row r="718">
      <c r="A718" s="3">
        <f>RAND()</f>
        <v/>
      </c>
      <c r="B718" s="4" t="inlineStr">
        <is>
          <t>ChIJee9o10TLJJMRvcb5aYDSXKg</t>
        </is>
      </c>
      <c r="C718" s="4" t="inlineStr">
        <is>
          <t>Bruna Games</t>
        </is>
      </c>
      <c r="D718" s="4" t="inlineStr">
        <is>
          <t>Palmas</t>
        </is>
      </c>
      <c r="E718" s="4" t="inlineStr">
        <is>
          <t>TO</t>
        </is>
      </c>
      <c r="F718" s="4" t="inlineStr">
        <is>
          <t>Capitais Regionais B</t>
        </is>
      </c>
      <c r="G718" s="4" t="inlineStr">
        <is>
          <t>Capital regional</t>
        </is>
      </c>
      <c r="H718" s="5">
        <f>IF(G718="fora do recorte","",SUMPRODUCT(($G$3:$G$1723=G718)*($A$3:$A$1723&lt;=A718)))</f>
        <v/>
      </c>
      <c r="I718" s="4">
        <f>IF(H718="","",G718&amp;"|"&amp;H718)</f>
        <v/>
      </c>
      <c r="J718" s="4" t="inlineStr">
        <is>
          <t>https://www.google.com/maps/search/?api=1&amp;query=Bruna%20Games&amp;query_place_id=ChIJee9o10TLJJMRvcb5aYDSXKg</t>
        </is>
      </c>
      <c r="K718" s="4" t="inlineStr">
        <is>
          <t>Quadra 104 sul rua se 03 se 03 - Plano Diretor Sul, Palmas - TO, 77020-016, Brasil</t>
        </is>
      </c>
      <c r="L718" s="4" t="inlineStr">
        <is>
          <t>Palmas</t>
        </is>
      </c>
      <c r="M718" s="5" t="n">
        <v>4</v>
      </c>
    </row>
    <row r="719">
      <c r="A719" s="3">
        <f>RAND()</f>
        <v/>
      </c>
      <c r="B719" s="4" t="inlineStr">
        <is>
          <t>ChIJZW6NDQDJJJMRmA9GlMjTscw</t>
        </is>
      </c>
      <c r="C719" s="4" t="inlineStr">
        <is>
          <t>Butiquim Beach</t>
        </is>
      </c>
      <c r="D719" s="4" t="inlineStr">
        <is>
          <t>Palmas</t>
        </is>
      </c>
      <c r="E719" s="4" t="inlineStr">
        <is>
          <t>TO</t>
        </is>
      </c>
      <c r="F719" s="4" t="inlineStr">
        <is>
          <t>Capitais Regionais B</t>
        </is>
      </c>
      <c r="G719" s="4" t="inlineStr">
        <is>
          <t>Capital regional</t>
        </is>
      </c>
      <c r="H719" s="5">
        <f>IF(G719="fora do recorte","",SUMPRODUCT(($G$3:$G$1723=G719)*($A$3:$A$1723&lt;=A719)))</f>
        <v/>
      </c>
      <c r="I719" s="4">
        <f>IF(H719="","",G719&amp;"|"&amp;H719)</f>
        <v/>
      </c>
      <c r="J719" s="4" t="inlineStr">
        <is>
          <t>https://www.google.com/maps/search/?api=1&amp;query=Butiquim%20Beach&amp;query_place_id=ChIJZW6NDQDJJJMRmA9GlMjTscw</t>
        </is>
      </c>
      <c r="K719" s="4" t="inlineStr">
        <is>
          <t>Chácara angra do sol - Unnamed road - zona rural - Palmas, TO, 77000-000, Brasil</t>
        </is>
      </c>
      <c r="L719" s="4" t="inlineStr">
        <is>
          <t>Palmas</t>
        </is>
      </c>
      <c r="M719" s="5" t="n">
        <v>1</v>
      </c>
    </row>
    <row r="720">
      <c r="A720" s="3">
        <f>RAND()</f>
        <v/>
      </c>
      <c r="B720" s="4" t="inlineStr">
        <is>
          <t>ChIJYYZlpI4zO5MRoRzpx-6rwk8</t>
        </is>
      </c>
      <c r="C720" s="4" t="inlineStr">
        <is>
          <t>CHAMPAGNE DRINK'S</t>
        </is>
      </c>
      <c r="D720" s="4" t="inlineStr">
        <is>
          <t>Palmas</t>
        </is>
      </c>
      <c r="E720" s="4" t="inlineStr">
        <is>
          <t>TO</t>
        </is>
      </c>
      <c r="F720" s="4" t="inlineStr">
        <is>
          <t>Capitais Regionais B</t>
        </is>
      </c>
      <c r="G720" s="4" t="inlineStr">
        <is>
          <t>Capital regional</t>
        </is>
      </c>
      <c r="H720" s="5">
        <f>IF(G720="fora do recorte","",SUMPRODUCT(($G$3:$G$1723=G720)*($A$3:$A$1723&lt;=A720)))</f>
        <v/>
      </c>
      <c r="I720" s="4">
        <f>IF(H720="","",G720&amp;"|"&amp;H720)</f>
        <v/>
      </c>
      <c r="J720" s="4" t="inlineStr">
        <is>
          <t>https://www.google.com/maps/search/?api=1&amp;query=CHAMPAGNE%20DRINK%27S&amp;query_place_id=ChIJYYZlpI4zO5MRoRzpx-6rwk8</t>
        </is>
      </c>
      <c r="K720" s="4" t="inlineStr">
        <is>
          <t>Rodovia TO 050 - Km 09 - Entre Taquaralto e - Plano Diretor Sul, Palmas - TO, Brasil</t>
        </is>
      </c>
      <c r="L720" s="4" t="inlineStr">
        <is>
          <t>Palmas</t>
        </is>
      </c>
      <c r="M720" s="5" t="n">
        <v>1</v>
      </c>
    </row>
    <row r="721">
      <c r="A721" s="3">
        <f>RAND()</f>
        <v/>
      </c>
      <c r="B721" s="4" t="inlineStr">
        <is>
          <t>ChIJTZ09lhs1O5MR-dGh24Q8ih0</t>
        </is>
      </c>
      <c r="C721" s="4" t="inlineStr">
        <is>
          <t>CVI - Centro Vertebral Integrado - Fisioterapia - Quiropraxia - Escoliose - RPG</t>
        </is>
      </c>
      <c r="D721" s="4" t="inlineStr">
        <is>
          <t>Palmas</t>
        </is>
      </c>
      <c r="E721" s="4" t="inlineStr">
        <is>
          <t>TO</t>
        </is>
      </c>
      <c r="F721" s="4" t="inlineStr">
        <is>
          <t>Capitais Regionais B</t>
        </is>
      </c>
      <c r="G721" s="4" t="inlineStr">
        <is>
          <t>Capital regional</t>
        </is>
      </c>
      <c r="H721" s="5">
        <f>IF(G721="fora do recorte","",SUMPRODUCT(($G$3:$G$1723=G721)*($A$3:$A$1723&lt;=A721)))</f>
        <v/>
      </c>
      <c r="I721" s="4">
        <f>IF(H721="","",G721&amp;"|"&amp;H721)</f>
        <v/>
      </c>
      <c r="J721" s="4" t="inlineStr">
        <is>
          <t>https://www.google.com/maps/search/?api=1&amp;query=CVI%20-%20Centro%20Vertebral%20Integrado%20-%20Fisioterapia%20-%20Quiropraxia%20-%20Escoliose%20-%20RPG&amp;query_place_id=ChIJTZ09lhs1O5MR-dGh24Q8ih0</t>
        </is>
      </c>
      <c r="K721" s="4" t="inlineStr">
        <is>
          <t>Edificio Luman Center Quadra 110 Sul - Av. Juscelino Kubitscheck, 20 G - 1º Andar, Sala 106 - Plano Diretor Sul, Palmas - TO, 77020-124, Brasil</t>
        </is>
      </c>
      <c r="L721" s="4" t="inlineStr">
        <is>
          <t>Palmas</t>
        </is>
      </c>
      <c r="M721" s="5" t="n">
        <v>1</v>
      </c>
    </row>
    <row r="722">
      <c r="A722" s="3">
        <f>RAND()</f>
        <v/>
      </c>
      <c r="B722" s="4" t="inlineStr">
        <is>
          <t>ChIJq6pvfro0O5MRaX6vb6gID6w</t>
        </is>
      </c>
      <c r="C722" s="4" t="inlineStr">
        <is>
          <t>Chopp Time</t>
        </is>
      </c>
      <c r="D722" s="4" t="inlineStr">
        <is>
          <t>Palmas</t>
        </is>
      </c>
      <c r="E722" s="4" t="inlineStr">
        <is>
          <t>TO</t>
        </is>
      </c>
      <c r="F722" s="4" t="inlineStr">
        <is>
          <t>Capitais Regionais B</t>
        </is>
      </c>
      <c r="G722" s="4" t="inlineStr">
        <is>
          <t>Capital regional</t>
        </is>
      </c>
      <c r="H722" s="5">
        <f>IF(G722="fora do recorte","",SUMPRODUCT(($G$3:$G$1723=G722)*($A$3:$A$1723&lt;=A722)))</f>
        <v/>
      </c>
      <c r="I722" s="4">
        <f>IF(H722="","",G722&amp;"|"&amp;H722)</f>
        <v/>
      </c>
      <c r="J722" s="4" t="inlineStr">
        <is>
          <t>https://www.google.com/maps/search/?api=1&amp;query=Chopp%20Time&amp;query_place_id=ChIJq6pvfro0O5MRaX6vb6gID6w</t>
        </is>
      </c>
      <c r="K722" s="4" t="inlineStr">
        <is>
          <t>Quadra 403 Sul Avenida LO 09 Lote 09 - Plano Diretor Sul, Palmas - TO, 77015-594, Brasil</t>
        </is>
      </c>
      <c r="L722" s="4" t="inlineStr">
        <is>
          <t>Palmas</t>
        </is>
      </c>
      <c r="M722" s="5" t="n">
        <v>1</v>
      </c>
    </row>
    <row r="723">
      <c r="A723" s="3">
        <f>RAND()</f>
        <v/>
      </c>
      <c r="B723" s="4" t="inlineStr">
        <is>
          <t>ChIJnf2GyXrLJJMR5OUqKr8Paoo</t>
        </is>
      </c>
      <c r="C723" s="4" t="inlineStr">
        <is>
          <t>Clinica Equilibrium de Fisioterapia</t>
        </is>
      </c>
      <c r="D723" s="4" t="inlineStr">
        <is>
          <t>Palmas</t>
        </is>
      </c>
      <c r="E723" s="4" t="inlineStr">
        <is>
          <t>TO</t>
        </is>
      </c>
      <c r="F723" s="4" t="inlineStr">
        <is>
          <t>Capitais Regionais B</t>
        </is>
      </c>
      <c r="G723" s="4" t="inlineStr">
        <is>
          <t>Capital regional</t>
        </is>
      </c>
      <c r="H723" s="5">
        <f>IF(G723="fora do recorte","",SUMPRODUCT(($G$3:$G$1723=G723)*($A$3:$A$1723&lt;=A723)))</f>
        <v/>
      </c>
      <c r="I723" s="4">
        <f>IF(H723="","",G723&amp;"|"&amp;H723)</f>
        <v/>
      </c>
      <c r="J723" s="4" t="inlineStr">
        <is>
          <t>https://www.google.com/maps/search/?api=1&amp;query=Clinica%20Equilibrium%20de%20Fisioterapia&amp;query_place_id=ChIJnf2GyXrLJJMR5OUqKr8Paoo</t>
        </is>
      </c>
      <c r="K723" s="4" t="inlineStr">
        <is>
          <t>206 Sul (ARSE 22 - Alameda 10, Lote 10 - Esq. Alameda 9 - Plano Diretor Sul, Palmas - TO, 77020-526, Brasil</t>
        </is>
      </c>
      <c r="L723" s="4" t="inlineStr">
        <is>
          <t>Palmas</t>
        </is>
      </c>
      <c r="M723" s="5" t="n">
        <v>1</v>
      </c>
    </row>
    <row r="724">
      <c r="A724" s="3">
        <f>RAND()</f>
        <v/>
      </c>
      <c r="B724" s="4" t="inlineStr">
        <is>
          <t>ChIJQyYl2J01O5MR0S-vZGvIEcg</t>
        </is>
      </c>
      <c r="C724" s="4" t="inlineStr">
        <is>
          <t>Clínica de Fisioterapia RPG e Reabilitação Pulmonar e Cardíaca - Clínica FISIOCARE em Palmas - Tocantins</t>
        </is>
      </c>
      <c r="D724" s="4" t="inlineStr">
        <is>
          <t>Palmas</t>
        </is>
      </c>
      <c r="E724" s="4" t="inlineStr">
        <is>
          <t>TO</t>
        </is>
      </c>
      <c r="F724" s="4" t="inlineStr">
        <is>
          <t>Capitais Regionais B</t>
        </is>
      </c>
      <c r="G724" s="4" t="inlineStr">
        <is>
          <t>Capital regional</t>
        </is>
      </c>
      <c r="H724" s="5">
        <f>IF(G724="fora do recorte","",SUMPRODUCT(($G$3:$G$1723=G724)*($A$3:$A$1723&lt;=A724)))</f>
        <v/>
      </c>
      <c r="I724" s="4">
        <f>IF(H724="","",G724&amp;"|"&amp;H724)</f>
        <v/>
      </c>
      <c r="J724" s="4" t="inlineStr">
        <is>
          <t>https://www.google.com/maps/search/?api=1&amp;query=Cl%C3%ADnica%20de%20Fisioterapia%20RPG%20e%20Reabilita%C3%A7%C3%A3o%20Pulmonar%20e%20Card%C3%ADaca%20-%20Cl%C3%ADnica%20FISIOCARE%20em%20Palmas%20-%20Tocantins&amp;query_place_id=ChIJQyYl2J01O5MR0S-vZGvIEcg</t>
        </is>
      </c>
      <c r="K724" s="4" t="inlineStr">
        <is>
          <t>Alameda 26 - ARSO 42, Lote 18-A, Sala 08 - Plano Diretor Sul, Palmas - TO, 77015-620, Brasil</t>
        </is>
      </c>
      <c r="L724" s="4" t="inlineStr">
        <is>
          <t>Palmas</t>
        </is>
      </c>
      <c r="M724" s="5" t="n">
        <v>1</v>
      </c>
    </row>
    <row r="725">
      <c r="A725" s="3">
        <f>RAND()</f>
        <v/>
      </c>
      <c r="B725" s="4" t="inlineStr">
        <is>
          <t>ChIJD6pU3sI1O5MR3-mnzFCMjKs</t>
        </is>
      </c>
      <c r="C725" s="4" t="inlineStr">
        <is>
          <t>DBB Draft Beer Bar | Palmas</t>
        </is>
      </c>
      <c r="D725" s="4" t="inlineStr">
        <is>
          <t>Palmas</t>
        </is>
      </c>
      <c r="E725" s="4" t="inlineStr">
        <is>
          <t>TO</t>
        </is>
      </c>
      <c r="F725" s="4" t="inlineStr">
        <is>
          <t>Capitais Regionais B</t>
        </is>
      </c>
      <c r="G725" s="4" t="inlineStr">
        <is>
          <t>Capital regional</t>
        </is>
      </c>
      <c r="H725" s="5">
        <f>IF(G725="fora do recorte","",SUMPRODUCT(($G$3:$G$1723=G725)*($A$3:$A$1723&lt;=A725)))</f>
        <v/>
      </c>
      <c r="I725" s="4">
        <f>IF(H725="","",G725&amp;"|"&amp;H725)</f>
        <v/>
      </c>
      <c r="J725" s="4" t="inlineStr">
        <is>
          <t>https://www.google.com/maps/search/?api=1&amp;query=DBB%20Draft%20Beer%20Bar%20%7C%20Palmas&amp;query_place_id=ChIJD6pU3sI1O5MR3-mnzFCMjKs</t>
        </is>
      </c>
      <c r="K725" s="4" t="inlineStr">
        <is>
          <t>Q. 306 Sul Avenida Lo 05 Lote 22 - Plano Diretor Sul, Palmas - TO, 77021-026, Brasil</t>
        </is>
      </c>
      <c r="L725" s="4" t="inlineStr">
        <is>
          <t>Palmas</t>
        </is>
      </c>
      <c r="M725" s="5" t="n">
        <v>2</v>
      </c>
    </row>
    <row r="726">
      <c r="A726" s="3">
        <f>RAND()</f>
        <v/>
      </c>
      <c r="B726" s="4" t="inlineStr">
        <is>
          <t>ChIJddmkG_o1O5MRDw_0GIGLZQ8</t>
        </is>
      </c>
      <c r="C726" s="4" t="inlineStr">
        <is>
          <t>Dr. Leonardo Passidonia - Fisioterapia RPG e Quiropraxia</t>
        </is>
      </c>
      <c r="D726" s="4" t="inlineStr">
        <is>
          <t>Palmas</t>
        </is>
      </c>
      <c r="E726" s="4" t="inlineStr">
        <is>
          <t>TO</t>
        </is>
      </c>
      <c r="F726" s="4" t="inlineStr">
        <is>
          <t>Capitais Regionais B</t>
        </is>
      </c>
      <c r="G726" s="4" t="inlineStr">
        <is>
          <t>Capital regional</t>
        </is>
      </c>
      <c r="H726" s="5">
        <f>IF(G726="fora do recorte","",SUMPRODUCT(($G$3:$G$1723=G726)*($A$3:$A$1723&lt;=A726)))</f>
        <v/>
      </c>
      <c r="I726" s="4">
        <f>IF(H726="","",G726&amp;"|"&amp;H726)</f>
        <v/>
      </c>
      <c r="J726" s="4" t="inlineStr">
        <is>
          <t>https://www.google.com/maps/search/?api=1&amp;query=Dr.%20Leonardo%20Passidonia%20-%20Fisioterapia%20RPG%20e%20Quiropraxia&amp;query_place_id=ChIJddmkG_o1O5MRDw_0GIGLZQ8</t>
        </is>
      </c>
      <c r="K726" s="4" t="inlineStr">
        <is>
          <t>704 Sul - Av. Palmas Brasil Sul, 09 - Palmas, TO, 77022-322, Brasil</t>
        </is>
      </c>
      <c r="L726" s="4" t="inlineStr">
        <is>
          <t>Palmas</t>
        </is>
      </c>
      <c r="M726" s="5" t="n">
        <v>1</v>
      </c>
    </row>
    <row r="727">
      <c r="A727" s="3">
        <f>RAND()</f>
        <v/>
      </c>
      <c r="B727" s="4" t="inlineStr">
        <is>
          <t>ChIJk_mlvCEzO5MRytZI0qSQjZU</t>
        </is>
      </c>
      <c r="C727" s="4" t="inlineStr">
        <is>
          <t>Duff beer bar</t>
        </is>
      </c>
      <c r="D727" s="4" t="inlineStr">
        <is>
          <t>Palmas</t>
        </is>
      </c>
      <c r="E727" s="4" t="inlineStr">
        <is>
          <t>TO</t>
        </is>
      </c>
      <c r="F727" s="4" t="inlineStr">
        <is>
          <t>Capitais Regionais B</t>
        </is>
      </c>
      <c r="G727" s="4" t="inlineStr">
        <is>
          <t>Capital regional</t>
        </is>
      </c>
      <c r="H727" s="5">
        <f>IF(G727="fora do recorte","",SUMPRODUCT(($G$3:$G$1723=G727)*($A$3:$A$1723&lt;=A727)))</f>
        <v/>
      </c>
      <c r="I727" s="4">
        <f>IF(H727="","",G727&amp;"|"&amp;H727)</f>
        <v/>
      </c>
      <c r="J727" s="4" t="inlineStr">
        <is>
          <t>https://www.google.com/maps/search/?api=1&amp;query=Duff%20beer%20bar&amp;query_place_id=ChIJk_mlvCEzO5MRytZI0qSQjZU</t>
        </is>
      </c>
      <c r="K727" s="4" t="inlineStr">
        <is>
          <t>Q. 1012 Sul Avenida 105, 050 - Plano Diretor Sul, Palmas - TO, 77023-684, Brasil</t>
        </is>
      </c>
      <c r="L727" s="4" t="inlineStr">
        <is>
          <t>Palmas</t>
        </is>
      </c>
      <c r="M727" s="5" t="n">
        <v>3</v>
      </c>
    </row>
    <row r="728">
      <c r="A728" s="3">
        <f>RAND()</f>
        <v/>
      </c>
      <c r="B728" s="4" t="inlineStr">
        <is>
          <t>ChIJtxbh6bXLJJMRaxIJK5RoT7g</t>
        </is>
      </c>
      <c r="C728" s="4" t="inlineStr">
        <is>
          <t>Enfant Brinquedoteca</t>
        </is>
      </c>
      <c r="D728" s="4" t="inlineStr">
        <is>
          <t>Palmas</t>
        </is>
      </c>
      <c r="E728" s="4" t="inlineStr">
        <is>
          <t>TO</t>
        </is>
      </c>
      <c r="F728" s="4" t="inlineStr">
        <is>
          <t>Capitais Regionais B</t>
        </is>
      </c>
      <c r="G728" s="4" t="inlineStr">
        <is>
          <t>Capital regional</t>
        </is>
      </c>
      <c r="H728" s="5">
        <f>IF(G728="fora do recorte","",SUMPRODUCT(($G$3:$G$1723=G728)*($A$3:$A$1723&lt;=A728)))</f>
        <v/>
      </c>
      <c r="I728" s="4">
        <f>IF(H728="","",G728&amp;"|"&amp;H728)</f>
        <v/>
      </c>
      <c r="J728" s="4" t="inlineStr">
        <is>
          <t>https://www.google.com/maps/search/?api=1&amp;query=Enfant%20Brinquedoteca&amp;query_place_id=ChIJtxbh6bXLJJMRaxIJK5RoT7g</t>
        </is>
      </c>
      <c r="K728" s="4" t="inlineStr">
        <is>
          <t>Quadra 206 Sul, LO 05, Lote 07, Sala 01-A - Palmas, TO, 77020-504, Brasil</t>
        </is>
      </c>
      <c r="L728" s="4" t="inlineStr">
        <is>
          <t>Palmas</t>
        </is>
      </c>
      <c r="M728" s="5" t="n">
        <v>1</v>
      </c>
    </row>
    <row r="729">
      <c r="A729" s="3">
        <f>RAND()</f>
        <v/>
      </c>
      <c r="B729" s="4" t="inlineStr">
        <is>
          <t>ChIJp9slMFTLJJMR9fhEQ1s-ask</t>
        </is>
      </c>
      <c r="C729" s="4" t="inlineStr">
        <is>
          <t>Escritório Bar &amp; Cozinha</t>
        </is>
      </c>
      <c r="D729" s="4" t="inlineStr">
        <is>
          <t>Palmas</t>
        </is>
      </c>
      <c r="E729" s="4" t="inlineStr">
        <is>
          <t>TO</t>
        </is>
      </c>
      <c r="F729" s="4" t="inlineStr">
        <is>
          <t>Capitais Regionais B</t>
        </is>
      </c>
      <c r="G729" s="4" t="inlineStr">
        <is>
          <t>Capital regional</t>
        </is>
      </c>
      <c r="H729" s="5">
        <f>IF(G729="fora do recorte","",SUMPRODUCT(($G$3:$G$1723=G729)*($A$3:$A$1723&lt;=A729)))</f>
        <v/>
      </c>
      <c r="I729" s="4">
        <f>IF(H729="","",G729&amp;"|"&amp;H729)</f>
        <v/>
      </c>
      <c r="J729" s="4" t="inlineStr">
        <is>
          <t>https://www.google.com/maps/search/?api=1&amp;query=Escrit%C3%B3rio%20Bar%20%26%20Cozinha&amp;query_place_id=ChIJp9slMFTLJJMR9fhEQ1s-ask</t>
        </is>
      </c>
      <c r="K729" s="4" t="inlineStr">
        <is>
          <t>Q. 206 Sul Alameda 15, 157 - Arse, Palmas - TO, 77020-518, Brasil</t>
        </is>
      </c>
      <c r="L729" s="4" t="inlineStr">
        <is>
          <t>Palmas</t>
        </is>
      </c>
      <c r="M729" s="5" t="n">
        <v>3</v>
      </c>
    </row>
    <row r="730">
      <c r="A730" s="3">
        <f>RAND()</f>
        <v/>
      </c>
      <c r="B730" s="4" t="inlineStr">
        <is>
          <t>ChIJt_O6Om41O5MRilVZoUvTahY</t>
        </is>
      </c>
      <c r="C730" s="4" t="inlineStr">
        <is>
          <t>Espaço Brincar +</t>
        </is>
      </c>
      <c r="D730" s="4" t="inlineStr">
        <is>
          <t>Palmas</t>
        </is>
      </c>
      <c r="E730" s="4" t="inlineStr">
        <is>
          <t>TO</t>
        </is>
      </c>
      <c r="F730" s="4" t="inlineStr">
        <is>
          <t>Capitais Regionais B</t>
        </is>
      </c>
      <c r="G730" s="4" t="inlineStr">
        <is>
          <t>Capital regional</t>
        </is>
      </c>
      <c r="H730" s="5">
        <f>IF(G730="fora do recorte","",SUMPRODUCT(($G$3:$G$1723=G730)*($A$3:$A$1723&lt;=A730)))</f>
        <v/>
      </c>
      <c r="I730" s="4">
        <f>IF(H730="","",G730&amp;"|"&amp;H730)</f>
        <v/>
      </c>
      <c r="J730" s="4" t="inlineStr">
        <is>
          <t>https://www.google.com/maps/search/?api=1&amp;query=Espa%C3%A7o%20Brincar%20%2B&amp;query_place_id=ChIJt_O6Om41O5MRilVZoUvTahY</t>
        </is>
      </c>
      <c r="K730" s="4" t="inlineStr">
        <is>
          <t>Quadra 1306 Sul Alameda 7 Qi 18 - Lt 37 - Plano Diretor Sul, Palmas - TO, 77024-564, Brasil</t>
        </is>
      </c>
      <c r="L730" s="4" t="inlineStr">
        <is>
          <t>Palmas</t>
        </is>
      </c>
      <c r="M730" s="5" t="n">
        <v>1</v>
      </c>
    </row>
    <row r="731">
      <c r="A731" s="3">
        <f>RAND()</f>
        <v/>
      </c>
      <c r="B731" s="4" t="inlineStr">
        <is>
          <t>ChIJS0m9stE0O5MRZZrds--Sy2U</t>
        </is>
      </c>
      <c r="C731" s="4" t="inlineStr">
        <is>
          <t>Espaço Pimentinhas</t>
        </is>
      </c>
      <c r="D731" s="4" t="inlineStr">
        <is>
          <t>Palmas</t>
        </is>
      </c>
      <c r="E731" s="4" t="inlineStr">
        <is>
          <t>TO</t>
        </is>
      </c>
      <c r="F731" s="4" t="inlineStr">
        <is>
          <t>Capitais Regionais B</t>
        </is>
      </c>
      <c r="G731" s="4" t="inlineStr">
        <is>
          <t>Capital regional</t>
        </is>
      </c>
      <c r="H731" s="5">
        <f>IF(G731="fora do recorte","",SUMPRODUCT(($G$3:$G$1723=G731)*($A$3:$A$1723&lt;=A731)))</f>
        <v/>
      </c>
      <c r="I731" s="4">
        <f>IF(H731="","",G731&amp;"|"&amp;H731)</f>
        <v/>
      </c>
      <c r="J731" s="4" t="inlineStr">
        <is>
          <t>https://www.google.com/maps/search/?api=1&amp;query=Espa%C3%A7o%20Pimentinhas&amp;query_place_id=ChIJS0m9stE0O5MRZZrds--Sy2U</t>
        </is>
      </c>
      <c r="K731" s="4" t="inlineStr">
        <is>
          <t>lote 12 - Q. 407 Sul Alameda Circular 2, 12 - casa 2 - Plano Diretor Sul, Palmas - TO, 77015-704, Brasil</t>
        </is>
      </c>
      <c r="L731" s="4" t="inlineStr">
        <is>
          <t>Palmas</t>
        </is>
      </c>
      <c r="M731" s="5" t="n">
        <v>1</v>
      </c>
    </row>
    <row r="732">
      <c r="A732" s="3">
        <f>RAND()</f>
        <v/>
      </c>
      <c r="B732" s="4" t="inlineStr">
        <is>
          <t>ChIJKfLJ2CPLJJMRe5vcTS5SAwg</t>
        </is>
      </c>
      <c r="C732" s="4" t="inlineStr">
        <is>
          <t>Gastrobar Bafafa</t>
        </is>
      </c>
      <c r="D732" s="4" t="inlineStr">
        <is>
          <t>Palmas</t>
        </is>
      </c>
      <c r="E732" s="4" t="inlineStr">
        <is>
          <t>TO</t>
        </is>
      </c>
      <c r="F732" s="4" t="inlineStr">
        <is>
          <t>Capitais Regionais B</t>
        </is>
      </c>
      <c r="G732" s="4" t="inlineStr">
        <is>
          <t>Capital regional</t>
        </is>
      </c>
      <c r="H732" s="5">
        <f>IF(G732="fora do recorte","",SUMPRODUCT(($G$3:$G$1723=G732)*($A$3:$A$1723&lt;=A732)))</f>
        <v/>
      </c>
      <c r="I732" s="4">
        <f>IF(H732="","",G732&amp;"|"&amp;H732)</f>
        <v/>
      </c>
      <c r="J732" s="4" t="inlineStr">
        <is>
          <t>https://www.google.com/maps/search/?api=1&amp;query=Gastrobar%20Bafafa&amp;query_place_id=ChIJKfLJ2CPLJJMRe5vcTS5SAwg</t>
        </is>
      </c>
      <c r="K732" s="4" t="inlineStr">
        <is>
          <t>Q. 103 Sul Avenida LO 1, numero 88 - Plano Diretor Sul, Palmas - TO, Brasil</t>
        </is>
      </c>
      <c r="L732" s="4" t="inlineStr">
        <is>
          <t>Palmas</t>
        </is>
      </c>
      <c r="M732" s="5" t="n">
        <v>1</v>
      </c>
    </row>
    <row r="733">
      <c r="A733" s="3">
        <f>RAND()</f>
        <v/>
      </c>
      <c r="B733" s="4" t="inlineStr">
        <is>
          <t>ChIJxT1WkXHLJJMRbQPZghl-h8E</t>
        </is>
      </c>
      <c r="C733" s="4" t="inlineStr">
        <is>
          <t>Gastrobar Bafafa</t>
        </is>
      </c>
      <c r="D733" s="4" t="inlineStr">
        <is>
          <t>Palmas</t>
        </is>
      </c>
      <c r="E733" s="4" t="inlineStr">
        <is>
          <t>TO</t>
        </is>
      </c>
      <c r="F733" s="4" t="inlineStr">
        <is>
          <t>Capitais Regionais B</t>
        </is>
      </c>
      <c r="G733" s="4" t="inlineStr">
        <is>
          <t>Capital regional</t>
        </is>
      </c>
      <c r="H733" s="5">
        <f>IF(G733="fora do recorte","",SUMPRODUCT(($G$3:$G$1723=G733)*($A$3:$A$1723&lt;=A733)))</f>
        <v/>
      </c>
      <c r="I733" s="4">
        <f>IF(H733="","",G733&amp;"|"&amp;H733)</f>
        <v/>
      </c>
      <c r="J733" s="4" t="inlineStr">
        <is>
          <t>https://www.google.com/maps/search/?api=1&amp;query=Gastrobar%20Bafafa&amp;query_place_id=ChIJxT1WkXHLJJMRbQPZghl-h8E</t>
        </is>
      </c>
      <c r="K733" s="4" t="inlineStr">
        <is>
          <t>Av. LO-02, 88 - 103 Sul, Palmas - TO, 77015-028, Brasil</t>
        </is>
      </c>
      <c r="L733" s="4" t="inlineStr">
        <is>
          <t>Palmas</t>
        </is>
      </c>
      <c r="M733" s="5" t="n">
        <v>1</v>
      </c>
    </row>
    <row r="734">
      <c r="A734" s="3">
        <f>RAND()</f>
        <v/>
      </c>
      <c r="B734" s="4" t="inlineStr">
        <is>
          <t>ChIJGYrMRPs1O5MRhgEWc8zRMbM</t>
        </is>
      </c>
      <c r="C734" s="4" t="inlineStr">
        <is>
          <t>Jadymon Card Games</t>
        </is>
      </c>
      <c r="D734" s="4" t="inlineStr">
        <is>
          <t>Palmas</t>
        </is>
      </c>
      <c r="E734" s="4" t="inlineStr">
        <is>
          <t>TO</t>
        </is>
      </c>
      <c r="F734" s="4" t="inlineStr">
        <is>
          <t>Capitais Regionais B</t>
        </is>
      </c>
      <c r="G734" s="4" t="inlineStr">
        <is>
          <t>Capital regional</t>
        </is>
      </c>
      <c r="H734" s="5">
        <f>IF(G734="fora do recorte","",SUMPRODUCT(($G$3:$G$1723=G734)*($A$3:$A$1723&lt;=A734)))</f>
        <v/>
      </c>
      <c r="I734" s="4">
        <f>IF(H734="","",G734&amp;"|"&amp;H734)</f>
        <v/>
      </c>
      <c r="J734" s="4" t="inlineStr">
        <is>
          <t>https://www.google.com/maps/search/?api=1&amp;query=Jadymon%20Card%20Games&amp;query_place_id=ChIJGYrMRPs1O5MRhgEWc8zRMbM</t>
        </is>
      </c>
      <c r="K734" s="4" t="inlineStr">
        <is>
          <t>Q. 104 Norte Rua NE 5, 104 - Norte, Palmas - TO, 77006-020, Brasil</t>
        </is>
      </c>
      <c r="L734" s="4" t="inlineStr">
        <is>
          <t>Palmas</t>
        </is>
      </c>
      <c r="M734" s="5" t="n">
        <v>2</v>
      </c>
    </row>
    <row r="735">
      <c r="A735" s="3">
        <f>RAND()</f>
        <v/>
      </c>
      <c r="B735" s="4" t="inlineStr">
        <is>
          <t>ChIJP4wgt2Y1O5MRN_WZZepJM0U</t>
        </is>
      </c>
      <c r="C735" s="4" t="inlineStr">
        <is>
          <t>Ka Games</t>
        </is>
      </c>
      <c r="D735" s="4" t="inlineStr">
        <is>
          <t>Palmas</t>
        </is>
      </c>
      <c r="E735" s="4" t="inlineStr">
        <is>
          <t>TO</t>
        </is>
      </c>
      <c r="F735" s="4" t="inlineStr">
        <is>
          <t>Capitais Regionais B</t>
        </is>
      </c>
      <c r="G735" s="4" t="inlineStr">
        <is>
          <t>Capital regional</t>
        </is>
      </c>
      <c r="H735" s="5">
        <f>IF(G735="fora do recorte","",SUMPRODUCT(($G$3:$G$1723=G735)*($A$3:$A$1723&lt;=A735)))</f>
        <v/>
      </c>
      <c r="I735" s="4">
        <f>IF(H735="","",G735&amp;"|"&amp;H735)</f>
        <v/>
      </c>
      <c r="J735" s="4" t="inlineStr">
        <is>
          <t>https://www.google.com/maps/search/?api=1&amp;query=Ka%20Games&amp;query_place_id=ChIJP4wgt2Y1O5MRN_WZZepJM0U</t>
        </is>
      </c>
      <c r="K735" s="4" t="inlineStr">
        <is>
          <t>Q. 108 Sul Alameda 5, 5 - Arse - Plano Diretor Sul, Palmas - TO, 77020-103, Brasil</t>
        </is>
      </c>
      <c r="L735" s="4" t="inlineStr">
        <is>
          <t>Palmas</t>
        </is>
      </c>
      <c r="M735" s="5" t="n">
        <v>4</v>
      </c>
    </row>
    <row r="736">
      <c r="A736" s="3">
        <f>RAND()</f>
        <v/>
      </c>
      <c r="B736" s="4" t="inlineStr">
        <is>
          <t>ChIJ37eo5lrLJJMRyOFtRDNz0vQ</t>
        </is>
      </c>
      <c r="C736" s="4" t="inlineStr">
        <is>
          <t>Kasa Do Vídeo Game</t>
        </is>
      </c>
      <c r="D736" s="4" t="inlineStr">
        <is>
          <t>Palmas</t>
        </is>
      </c>
      <c r="E736" s="4" t="inlineStr">
        <is>
          <t>TO</t>
        </is>
      </c>
      <c r="F736" s="4" t="inlineStr">
        <is>
          <t>Capitais Regionais B</t>
        </is>
      </c>
      <c r="G736" s="4" t="inlineStr">
        <is>
          <t>Capital regional</t>
        </is>
      </c>
      <c r="H736" s="5">
        <f>IF(G736="fora do recorte","",SUMPRODUCT(($G$3:$G$1723=G736)*($A$3:$A$1723&lt;=A736)))</f>
        <v/>
      </c>
      <c r="I736" s="4">
        <f>IF(H736="","",G736&amp;"|"&amp;H736)</f>
        <v/>
      </c>
      <c r="J736" s="4" t="inlineStr">
        <is>
          <t>https://www.google.com/maps/search/?api=1&amp;query=Kasa%20Do%20V%C3%ADdeo%20Game&amp;query_place_id=ChIJ37eo5lrLJJMRyOFtRDNz0vQ</t>
        </is>
      </c>
      <c r="K736" s="4" t="inlineStr">
        <is>
          <t>Q. 104 Sul Rua Se 4, 24 - Sala 09 - Plano Diretor Sul, Palmas - TO, 77020-036, Brasil</t>
        </is>
      </c>
      <c r="L736" s="4" t="inlineStr">
        <is>
          <t>Palmas</t>
        </is>
      </c>
      <c r="M736" s="5" t="n">
        <v>8</v>
      </c>
    </row>
    <row r="737">
      <c r="A737" s="3">
        <f>RAND()</f>
        <v/>
      </c>
      <c r="B737" s="4" t="inlineStr">
        <is>
          <t>ChIJCULrYBfLJJMRfe-N3Hcauro</t>
        </is>
      </c>
      <c r="C737" s="4" t="inlineStr">
        <is>
          <t>Leitura</t>
        </is>
      </c>
      <c r="D737" s="4" t="inlineStr">
        <is>
          <t>Palmas</t>
        </is>
      </c>
      <c r="E737" s="4" t="inlineStr">
        <is>
          <t>TO</t>
        </is>
      </c>
      <c r="F737" s="4" t="inlineStr">
        <is>
          <t>Capitais Regionais B</t>
        </is>
      </c>
      <c r="G737" s="4" t="inlineStr">
        <is>
          <t>Capital regional</t>
        </is>
      </c>
      <c r="H737" s="5">
        <f>IF(G737="fora do recorte","",SUMPRODUCT(($G$3:$G$1723=G737)*($A$3:$A$1723&lt;=A737)))</f>
        <v/>
      </c>
      <c r="I737" s="4">
        <f>IF(H737="","",G737&amp;"|"&amp;H737)</f>
        <v/>
      </c>
      <c r="J737" s="4" t="inlineStr">
        <is>
          <t>https://www.google.com/maps/search/?api=1&amp;query=Leitura&amp;query_place_id=ChIJCULrYBfLJJMRfe-N3Hcauro</t>
        </is>
      </c>
      <c r="K737" s="4" t="inlineStr">
        <is>
          <t>Q. 107 Norte Avenida NS 5, s / n - Plano Diretor Norte, Palmas - TO, 77001-098, Brasil</t>
        </is>
      </c>
      <c r="L737" s="4" t="inlineStr">
        <is>
          <t>Palmas</t>
        </is>
      </c>
      <c r="M737" s="5" t="n">
        <v>6</v>
      </c>
    </row>
    <row r="738">
      <c r="A738" s="3">
        <f>RAND()</f>
        <v/>
      </c>
      <c r="B738" s="4" t="inlineStr">
        <is>
          <t>ChIJOQ-7ohbNJJMRKTCOnXaPoGE</t>
        </is>
      </c>
      <c r="C738" s="4" t="inlineStr">
        <is>
          <t>Leo Brinquedoteca</t>
        </is>
      </c>
      <c r="D738" s="4" t="inlineStr">
        <is>
          <t>Palmas</t>
        </is>
      </c>
      <c r="E738" s="4" t="inlineStr">
        <is>
          <t>TO</t>
        </is>
      </c>
      <c r="F738" s="4" t="inlineStr">
        <is>
          <t>Capitais Regionais B</t>
        </is>
      </c>
      <c r="G738" s="4" t="inlineStr">
        <is>
          <t>Capital regional</t>
        </is>
      </c>
      <c r="H738" s="5">
        <f>IF(G738="fora do recorte","",SUMPRODUCT(($G$3:$G$1723=G738)*($A$3:$A$1723&lt;=A738)))</f>
        <v/>
      </c>
      <c r="I738" s="4">
        <f>IF(H738="","",G738&amp;"|"&amp;H738)</f>
        <v/>
      </c>
      <c r="J738" s="4" t="inlineStr">
        <is>
          <t>https://www.google.com/maps/search/?api=1&amp;query=Leo%20Brinquedoteca&amp;query_place_id=ChIJOQ-7ohbNJJMRKTCOnXaPoGE</t>
        </is>
      </c>
      <c r="K738" s="4" t="inlineStr">
        <is>
          <t>106 Norte - Av. Juscelino Kubitscheck, 08 - Sala 02 - Plano Diretor Norte, Palmas - TO, 77006-044, Brasil</t>
        </is>
      </c>
      <c r="L738" s="4" t="inlineStr">
        <is>
          <t>Palmas</t>
        </is>
      </c>
      <c r="M738" s="5" t="n">
        <v>1</v>
      </c>
    </row>
    <row r="739">
      <c r="A739" s="3">
        <f>RAND()</f>
        <v/>
      </c>
      <c r="B739" s="4" t="inlineStr">
        <is>
          <t>ChIJb-U1miDLJJMRpU5TphIwB1U</t>
        </is>
      </c>
      <c r="C739" s="4" t="inlineStr">
        <is>
          <t>Lorenzo - Cozinha &amp; Bar</t>
        </is>
      </c>
      <c r="D739" s="4" t="inlineStr">
        <is>
          <t>Palmas</t>
        </is>
      </c>
      <c r="E739" s="4" t="inlineStr">
        <is>
          <t>TO</t>
        </is>
      </c>
      <c r="F739" s="4" t="inlineStr">
        <is>
          <t>Capitais Regionais B</t>
        </is>
      </c>
      <c r="G739" s="4" t="inlineStr">
        <is>
          <t>Capital regional</t>
        </is>
      </c>
      <c r="H739" s="5">
        <f>IF(G739="fora do recorte","",SUMPRODUCT(($G$3:$G$1723=G739)*($A$3:$A$1723&lt;=A739)))</f>
        <v/>
      </c>
      <c r="I739" s="4">
        <f>IF(H739="","",G739&amp;"|"&amp;H739)</f>
        <v/>
      </c>
      <c r="J739" s="4" t="inlineStr">
        <is>
          <t>https://www.google.com/maps/search/?api=1&amp;query=Lorenzo%20-%20Cozinha%20%26%20Bar&amp;query_place_id=ChIJb-U1miDLJJMRpU5TphIwB1U</t>
        </is>
      </c>
      <c r="K739" s="4" t="inlineStr">
        <is>
          <t>Q. 103 Sul Rua SO 11, LO-03 - Plano Diretor Sul, Palmas - TO, 77015-036, Brasil</t>
        </is>
      </c>
      <c r="L739" s="4" t="inlineStr">
        <is>
          <t>Palmas</t>
        </is>
      </c>
      <c r="M739" s="5" t="n">
        <v>1</v>
      </c>
    </row>
    <row r="740">
      <c r="A740" s="3">
        <f>RAND()</f>
        <v/>
      </c>
      <c r="B740" s="4" t="inlineStr">
        <is>
          <t>ChIJQbrqaADNJJMROFw2nI7hmSs</t>
        </is>
      </c>
      <c r="C740" s="4" t="inlineStr">
        <is>
          <t>MiniHub - Espaço Infantil - Brinquedoteca</t>
        </is>
      </c>
      <c r="D740" s="4" t="inlineStr">
        <is>
          <t>Palmas</t>
        </is>
      </c>
      <c r="E740" s="4" t="inlineStr">
        <is>
          <t>TO</t>
        </is>
      </c>
      <c r="F740" s="4" t="inlineStr">
        <is>
          <t>Capitais Regionais B</t>
        </is>
      </c>
      <c r="G740" s="4" t="inlineStr">
        <is>
          <t>Capital regional</t>
        </is>
      </c>
      <c r="H740" s="5">
        <f>IF(G740="fora do recorte","",SUMPRODUCT(($G$3:$G$1723=G740)*($A$3:$A$1723&lt;=A740)))</f>
        <v/>
      </c>
      <c r="I740" s="4">
        <f>IF(H740="","",G740&amp;"|"&amp;H740)</f>
        <v/>
      </c>
      <c r="J740" s="4" t="inlineStr">
        <is>
          <t>https://www.google.com/maps/search/?api=1&amp;query=MiniHub%20-%20Espa%C3%A7o%20Infantil%20-%20Brinquedoteca&amp;query_place_id=ChIJQbrqaADNJJMROFw2nI7hmSs</t>
        </is>
      </c>
      <c r="K740" s="4" t="inlineStr">
        <is>
          <t>Quadra 110N - Av. Juscelino Kubitscheck, LT 21 - Plano Diretor Norte, Palmas - TO, 77006-130, Brasil</t>
        </is>
      </c>
      <c r="L740" s="4" t="inlineStr">
        <is>
          <t>Palmas</t>
        </is>
      </c>
      <c r="M740" s="5" t="n">
        <v>1</v>
      </c>
    </row>
    <row r="741">
      <c r="A741" s="3">
        <f>RAND()</f>
        <v/>
      </c>
      <c r="B741" s="4" t="inlineStr">
        <is>
          <t>ChIJXXRBLkTNJJMRv6wTla5OgIg</t>
        </is>
      </c>
      <c r="C741" s="4" t="inlineStr">
        <is>
          <t>Na Toca Brinquedos</t>
        </is>
      </c>
      <c r="D741" s="4" t="inlineStr">
        <is>
          <t>Palmas</t>
        </is>
      </c>
      <c r="E741" s="4" t="inlineStr">
        <is>
          <t>TO</t>
        </is>
      </c>
      <c r="F741" s="4" t="inlineStr">
        <is>
          <t>Capitais Regionais B</t>
        </is>
      </c>
      <c r="G741" s="4" t="inlineStr">
        <is>
          <t>Capital regional</t>
        </is>
      </c>
      <c r="H741" s="5">
        <f>IF(G741="fora do recorte","",SUMPRODUCT(($G$3:$G$1723=G741)*($A$3:$A$1723&lt;=A741)))</f>
        <v/>
      </c>
      <c r="I741" s="4">
        <f>IF(H741="","",G741&amp;"|"&amp;H741)</f>
        <v/>
      </c>
      <c r="J741" s="4" t="inlineStr">
        <is>
          <t>https://www.google.com/maps/search/?api=1&amp;query=Na%20Toca%20Brinquedos&amp;query_place_id=ChIJXXRBLkTNJJMRv6wTla5OgIg</t>
        </is>
      </c>
      <c r="K741" s="4" t="inlineStr">
        <is>
          <t>110 N AV.JK, 0 LT 21 - 110 NORTE, PALMAS - CEP 77006-130 - Plano Diretor Norte, Palmas - TO, 77006-130, Brasil</t>
        </is>
      </c>
      <c r="L741" s="4" t="inlineStr">
        <is>
          <t>Palmas</t>
        </is>
      </c>
      <c r="M741" s="5" t="n">
        <v>2</v>
      </c>
    </row>
    <row r="742">
      <c r="A742" s="3">
        <f>RAND()</f>
        <v/>
      </c>
      <c r="B742" s="4" t="inlineStr">
        <is>
          <t>ChIJuT0U5ZXLJJMROy7IrE_1ooc</t>
        </is>
      </c>
      <c r="C742" s="4" t="inlineStr">
        <is>
          <t>NaToca Brinquedos - Aldeia Mall</t>
        </is>
      </c>
      <c r="D742" s="4" t="inlineStr">
        <is>
          <t>Palmas</t>
        </is>
      </c>
      <c r="E742" s="4" t="inlineStr">
        <is>
          <t>TO</t>
        </is>
      </c>
      <c r="F742" s="4" t="inlineStr">
        <is>
          <t>Capitais Regionais B</t>
        </is>
      </c>
      <c r="G742" s="4" t="inlineStr">
        <is>
          <t>Capital regional</t>
        </is>
      </c>
      <c r="H742" s="5">
        <f>IF(G742="fora do recorte","",SUMPRODUCT(($G$3:$G$1723=G742)*($A$3:$A$1723&lt;=A742)))</f>
        <v/>
      </c>
      <c r="I742" s="4">
        <f>IF(H742="","",G742&amp;"|"&amp;H742)</f>
        <v/>
      </c>
      <c r="J742" s="4" t="inlineStr">
        <is>
          <t>https://www.google.com/maps/search/?api=1&amp;query=NaToca%20Brinquedos%20-%20Aldeia%20Mall&amp;query_place_id=ChIJuT0U5ZXLJJMROy7IrE_1ooc</t>
        </is>
      </c>
      <c r="K742" s="4" t="inlineStr">
        <is>
          <t>Aldeia Mall - AV. NS 01, 02 - Quadra 203 Sul - Plano Diretor Norte, Palmas - TO, 77015-216, Brasil</t>
        </is>
      </c>
      <c r="L742" s="4" t="inlineStr">
        <is>
          <t>Palmas</t>
        </is>
      </c>
      <c r="M742" s="5" t="n">
        <v>2</v>
      </c>
    </row>
    <row r="743">
      <c r="A743" s="3">
        <f>RAND()</f>
        <v/>
      </c>
      <c r="B743" s="4" t="inlineStr">
        <is>
          <t>ChIJTTm9mB7LJJMRpKIN_6DkDFg</t>
        </is>
      </c>
      <c r="C743" s="4" t="inlineStr">
        <is>
          <t>Nosso Artista Casa de Brincar</t>
        </is>
      </c>
      <c r="D743" s="4" t="inlineStr">
        <is>
          <t>Palmas</t>
        </is>
      </c>
      <c r="E743" s="4" t="inlineStr">
        <is>
          <t>TO</t>
        </is>
      </c>
      <c r="F743" s="4" t="inlineStr">
        <is>
          <t>Capitais Regionais B</t>
        </is>
      </c>
      <c r="G743" s="4" t="inlineStr">
        <is>
          <t>Capital regional</t>
        </is>
      </c>
      <c r="H743" s="5">
        <f>IF(G743="fora do recorte","",SUMPRODUCT(($G$3:$G$1723=G743)*($A$3:$A$1723&lt;=A743)))</f>
        <v/>
      </c>
      <c r="I743" s="4">
        <f>IF(H743="","",G743&amp;"|"&amp;H743)</f>
        <v/>
      </c>
      <c r="J743" s="4" t="inlineStr">
        <is>
          <t>https://www.google.com/maps/search/?api=1&amp;query=Nosso%20Artista%20Casa%20de%20Brincar&amp;query_place_id=ChIJTTm9mB7LJJMRpKIN_6DkDFg</t>
        </is>
      </c>
      <c r="K743" s="4" t="inlineStr">
        <is>
          <t>Muro Laranja - Q. 307 Sul Rua 5, 14 - Plano Diretor Sul, Palmas - TO, 77015-468, Brasil</t>
        </is>
      </c>
      <c r="L743" s="4" t="inlineStr">
        <is>
          <t>Palmas</t>
        </is>
      </c>
      <c r="M743" s="5" t="n">
        <v>1</v>
      </c>
    </row>
    <row r="744">
      <c r="A744" s="3">
        <f>RAND()</f>
        <v/>
      </c>
      <c r="B744" s="4" t="inlineStr">
        <is>
          <t>ChIJXcCmIRsxO5MRkPK_yPPXJOY</t>
        </is>
      </c>
      <c r="C744" s="4" t="inlineStr">
        <is>
          <t>Palmas Games</t>
        </is>
      </c>
      <c r="D744" s="4" t="inlineStr">
        <is>
          <t>Palmas</t>
        </is>
      </c>
      <c r="E744" s="4" t="inlineStr">
        <is>
          <t>TO</t>
        </is>
      </c>
      <c r="F744" s="4" t="inlineStr">
        <is>
          <t>Capitais Regionais B</t>
        </is>
      </c>
      <c r="G744" s="4" t="inlineStr">
        <is>
          <t>Capital regional</t>
        </is>
      </c>
      <c r="H744" s="5">
        <f>IF(G744="fora do recorte","",SUMPRODUCT(($G$3:$G$1723=G744)*($A$3:$A$1723&lt;=A744)))</f>
        <v/>
      </c>
      <c r="I744" s="4">
        <f>IF(H744="","",G744&amp;"|"&amp;H744)</f>
        <v/>
      </c>
      <c r="J744" s="4" t="inlineStr">
        <is>
          <t>https://www.google.com/maps/search/?api=1&amp;query=Palmas%20Games&amp;query_place_id=ChIJXcCmIRsxO5MRkPK_yPPXJOY</t>
        </is>
      </c>
      <c r="K744" s="4" t="inlineStr">
        <is>
          <t>R. T 20, quadra 35 - lote 11 - Taquaralto, Palmas - TO, 77064-050, Brasil</t>
        </is>
      </c>
      <c r="L744" s="4" t="inlineStr">
        <is>
          <t>Palmas</t>
        </is>
      </c>
      <c r="M744" s="5" t="n">
        <v>11</v>
      </c>
    </row>
    <row r="745">
      <c r="A745" s="3">
        <f>RAND()</f>
        <v/>
      </c>
      <c r="B745" s="4" t="inlineStr">
        <is>
          <t>ChIJ0ya6dETLJJMRS91MHobYDeA</t>
        </is>
      </c>
      <c r="C745" s="4" t="inlineStr">
        <is>
          <t>Parquinho Infantil - Praia da Graciosa</t>
        </is>
      </c>
      <c r="D745" s="4" t="inlineStr">
        <is>
          <t>Palmas</t>
        </is>
      </c>
      <c r="E745" s="4" t="inlineStr">
        <is>
          <t>TO</t>
        </is>
      </c>
      <c r="F745" s="4" t="inlineStr">
        <is>
          <t>Capitais Regionais B</t>
        </is>
      </c>
      <c r="G745" s="4" t="inlineStr">
        <is>
          <t>Capital regional</t>
        </is>
      </c>
      <c r="H745" s="5">
        <f>IF(G745="fora do recorte","",SUMPRODUCT(($G$3:$G$1723=G745)*($A$3:$A$1723&lt;=A745)))</f>
        <v/>
      </c>
      <c r="I745" s="4">
        <f>IF(H745="","",G745&amp;"|"&amp;H745)</f>
        <v/>
      </c>
      <c r="J745" s="4" t="inlineStr">
        <is>
          <t>https://www.google.com/maps/search/?api=1&amp;query=Parquinho%20Infantil%20-%20Praia%20da%20Graciosa&amp;query_place_id=ChIJ0ya6dETLJJMRS91MHobYDeA</t>
        </is>
      </c>
      <c r="K745" s="4" t="inlineStr">
        <is>
          <t>Plano Diretor Sul, Palmas - TO, Brasil</t>
        </is>
      </c>
      <c r="L745" s="4" t="inlineStr">
        <is>
          <t>Palmas</t>
        </is>
      </c>
      <c r="M745" s="5" t="n">
        <v>1</v>
      </c>
    </row>
    <row r="746">
      <c r="A746" s="3">
        <f>RAND()</f>
        <v/>
      </c>
      <c r="B746" s="4" t="inlineStr">
        <is>
          <t>ChIJWcnE40HLJJMRu2TEqP18OYA</t>
        </is>
      </c>
      <c r="C746" s="4" t="inlineStr">
        <is>
          <t>Parquinho infantil - Praça dos Girassóis</t>
        </is>
      </c>
      <c r="D746" s="4" t="inlineStr">
        <is>
          <t>Palmas</t>
        </is>
      </c>
      <c r="E746" s="4" t="inlineStr">
        <is>
          <t>TO</t>
        </is>
      </c>
      <c r="F746" s="4" t="inlineStr">
        <is>
          <t>Capitais Regionais B</t>
        </is>
      </c>
      <c r="G746" s="4" t="inlineStr">
        <is>
          <t>Capital regional</t>
        </is>
      </c>
      <c r="H746" s="5">
        <f>IF(G746="fora do recorte","",SUMPRODUCT(($G$3:$G$1723=G746)*($A$3:$A$1723&lt;=A746)))</f>
        <v/>
      </c>
      <c r="I746" s="4">
        <f>IF(H746="","",G746&amp;"|"&amp;H746)</f>
        <v/>
      </c>
      <c r="J746" s="4" t="inlineStr">
        <is>
          <t>https://www.google.com/maps/search/?api=1&amp;query=Parquinho%20infantil%20-%20Pra%C3%A7a%20dos%20Girass%C3%B3is&amp;query_place_id=ChIJWcnE40HLJJMRu2TEqP18OYA</t>
        </is>
      </c>
      <c r="K746" s="4" t="inlineStr">
        <is>
          <t>377 - Praça dos Girassóis, 579 - Plano Diretor Sul, Palmas - TO, 77015-007, Brasil</t>
        </is>
      </c>
      <c r="L746" s="4" t="inlineStr">
        <is>
          <t>Palmas</t>
        </is>
      </c>
      <c r="M746" s="5" t="n">
        <v>1</v>
      </c>
    </row>
    <row r="747">
      <c r="A747" s="3">
        <f>RAND()</f>
        <v/>
      </c>
      <c r="B747" s="4" t="inlineStr">
        <is>
          <t>ChIJe6qJDarNJJMRwyYvIw18U9o</t>
        </is>
      </c>
      <c r="C747" s="4" t="inlineStr">
        <is>
          <t>Puerto Rico</t>
        </is>
      </c>
      <c r="D747" s="4" t="inlineStr">
        <is>
          <t>Palmas</t>
        </is>
      </c>
      <c r="E747" s="4" t="inlineStr">
        <is>
          <t>TO</t>
        </is>
      </c>
      <c r="F747" s="4" t="inlineStr">
        <is>
          <t>Capitais Regionais B</t>
        </is>
      </c>
      <c r="G747" s="4" t="inlineStr">
        <is>
          <t>Capital regional</t>
        </is>
      </c>
      <c r="H747" s="5">
        <f>IF(G747="fora do recorte","",SUMPRODUCT(($G$3:$G$1723=G747)*($A$3:$A$1723&lt;=A747)))</f>
        <v/>
      </c>
      <c r="I747" s="4">
        <f>IF(H747="","",G747&amp;"|"&amp;H747)</f>
        <v/>
      </c>
      <c r="J747" s="4" t="inlineStr">
        <is>
          <t>https://www.google.com/maps/search/?api=1&amp;query=Puerto%20Rico&amp;query_place_id=ChIJe6qJDarNJJMRwyYvIw18U9o</t>
        </is>
      </c>
      <c r="K747" s="4" t="inlineStr">
        <is>
          <t>110N - Av. Juscelino Kubitscheck, 24 - sala 1 - Plano Diretor Norte, Palmas - TO, 77006-130, Brasil</t>
        </is>
      </c>
      <c r="L747" s="4" t="inlineStr">
        <is>
          <t>Palmas</t>
        </is>
      </c>
      <c r="M747" s="5" t="n">
        <v>12</v>
      </c>
    </row>
    <row r="748">
      <c r="A748" s="3">
        <f>RAND()</f>
        <v/>
      </c>
      <c r="B748" s="4" t="inlineStr">
        <is>
          <t>ChIJQaQJoHDLJJMREmjvw7DxEP4</t>
        </is>
      </c>
      <c r="C748" s="4" t="inlineStr">
        <is>
          <t>Q Legal Utilidades Lar</t>
        </is>
      </c>
      <c r="D748" s="4" t="inlineStr">
        <is>
          <t>Palmas</t>
        </is>
      </c>
      <c r="E748" s="4" t="inlineStr">
        <is>
          <t>TO</t>
        </is>
      </c>
      <c r="F748" s="4" t="inlineStr">
        <is>
          <t>Capitais Regionais B</t>
        </is>
      </c>
      <c r="G748" s="4" t="inlineStr">
        <is>
          <t>Capital regional</t>
        </is>
      </c>
      <c r="H748" s="5">
        <f>IF(G748="fora do recorte","",SUMPRODUCT(($G$3:$G$1723=G748)*($A$3:$A$1723&lt;=A748)))</f>
        <v/>
      </c>
      <c r="I748" s="4">
        <f>IF(H748="","",G748&amp;"|"&amp;H748)</f>
        <v/>
      </c>
      <c r="J748" s="4" t="inlineStr">
        <is>
          <t>https://www.google.com/maps/search/?api=1&amp;query=Q%20Legal%20Utilidades%20Lar&amp;query_place_id=ChIJQaQJoHDLJJMREmjvw7DxEP4</t>
        </is>
      </c>
      <c r="K748" s="4" t="inlineStr">
        <is>
          <t>Quadra 103 Norte Rua NO 1 - Plano Diretor Norte, Palmas - TO, 77001-016, Brasil</t>
        </is>
      </c>
      <c r="L748" s="4" t="inlineStr">
        <is>
          <t>Palmas</t>
        </is>
      </c>
      <c r="M748" s="5" t="n">
        <v>1</v>
      </c>
    </row>
    <row r="749">
      <c r="A749" s="3">
        <f>RAND()</f>
        <v/>
      </c>
      <c r="B749" s="4" t="inlineStr">
        <is>
          <t>ChIJ0eisIebLJJMRgjIwa96NpMs</t>
        </is>
      </c>
      <c r="C749" s="4" t="inlineStr">
        <is>
          <t>Quiosque Rio</t>
        </is>
      </c>
      <c r="D749" s="4" t="inlineStr">
        <is>
          <t>Palmas</t>
        </is>
      </c>
      <c r="E749" s="4" t="inlineStr">
        <is>
          <t>TO</t>
        </is>
      </c>
      <c r="F749" s="4" t="inlineStr">
        <is>
          <t>Capitais Regionais B</t>
        </is>
      </c>
      <c r="G749" s="4" t="inlineStr">
        <is>
          <t>Capital regional</t>
        </is>
      </c>
      <c r="H749" s="5">
        <f>IF(G749="fora do recorte","",SUMPRODUCT(($G$3:$G$1723=G749)*($A$3:$A$1723&lt;=A749)))</f>
        <v/>
      </c>
      <c r="I749" s="4">
        <f>IF(H749="","",G749&amp;"|"&amp;H749)</f>
        <v/>
      </c>
      <c r="J749" s="4" t="inlineStr">
        <is>
          <t>https://www.google.com/maps/search/?api=1&amp;query=Quiosque%20Rio&amp;query_place_id=ChIJ0eisIebLJJMRgjIwa96NpMs</t>
        </is>
      </c>
      <c r="K749" s="4" t="inlineStr">
        <is>
          <t>Q. 104 Norte Avenida LO 2 - Plano Diretor Sul, Palmas - TO, 77006-034, Brasil</t>
        </is>
      </c>
      <c r="L749" s="4" t="inlineStr">
        <is>
          <t>Palmas</t>
        </is>
      </c>
      <c r="M749" s="5" t="n">
        <v>1</v>
      </c>
    </row>
    <row r="750">
      <c r="A750" s="3">
        <f>RAND()</f>
        <v/>
      </c>
      <c r="B750" s="4" t="inlineStr">
        <is>
          <t>ChIJFSqGZnzLJJMRNj1qxUF3P30</t>
        </is>
      </c>
      <c r="C750" s="4" t="inlineStr">
        <is>
          <t>Renattinho_brand</t>
        </is>
      </c>
      <c r="D750" s="4" t="inlineStr">
        <is>
          <t>Palmas</t>
        </is>
      </c>
      <c r="E750" s="4" t="inlineStr">
        <is>
          <t>TO</t>
        </is>
      </c>
      <c r="F750" s="4" t="inlineStr">
        <is>
          <t>Capitais Regionais B</t>
        </is>
      </c>
      <c r="G750" s="4" t="inlineStr">
        <is>
          <t>Capital regional</t>
        </is>
      </c>
      <c r="H750" s="5">
        <f>IF(G750="fora do recorte","",SUMPRODUCT(($G$3:$G$1723=G750)*($A$3:$A$1723&lt;=A750)))</f>
        <v/>
      </c>
      <c r="I750" s="4">
        <f>IF(H750="","",G750&amp;"|"&amp;H750)</f>
        <v/>
      </c>
      <c r="J750" s="4" t="inlineStr">
        <is>
          <t>https://www.google.com/maps/search/?api=1&amp;query=Renattinho_brand&amp;query_place_id=ChIJFSqGZnzLJJMRNj1qxUF3P30</t>
        </is>
      </c>
      <c r="K750" s="4" t="inlineStr">
        <is>
          <t>404 norte - alameda, 06 - lote 19 - Plano Diretor Norte, Palmas - TO, 77006-422, Brasil</t>
        </is>
      </c>
      <c r="L750" s="4" t="inlineStr">
        <is>
          <t>Palmas</t>
        </is>
      </c>
      <c r="M750" s="5" t="n">
        <v>4</v>
      </c>
    </row>
    <row r="751">
      <c r="A751" s="3">
        <f>RAND()</f>
        <v/>
      </c>
      <c r="B751" s="4" t="inlineStr">
        <is>
          <t>ChIJlz6JnRfLJJMRWukbR0XIaTA</t>
        </is>
      </c>
      <c r="C751" s="4" t="inlineStr">
        <is>
          <t>Ri Happy - Capim Dourado</t>
        </is>
      </c>
      <c r="D751" s="4" t="inlineStr">
        <is>
          <t>Palmas</t>
        </is>
      </c>
      <c r="E751" s="4" t="inlineStr">
        <is>
          <t>TO</t>
        </is>
      </c>
      <c r="F751" s="4" t="inlineStr">
        <is>
          <t>Capitais Regionais B</t>
        </is>
      </c>
      <c r="G751" s="4" t="inlineStr">
        <is>
          <t>Capital regional</t>
        </is>
      </c>
      <c r="H751" s="5">
        <f>IF(G751="fora do recorte","",SUMPRODUCT(($G$3:$G$1723=G751)*($A$3:$A$1723&lt;=A751)))</f>
        <v/>
      </c>
      <c r="I751" s="4">
        <f>IF(H751="","",G751&amp;"|"&amp;H751)</f>
        <v/>
      </c>
      <c r="J751" s="4" t="inlineStr">
        <is>
          <t>https://www.google.com/maps/search/?api=1&amp;query=Ri%20Happy%20-%20Capim%20Dourado&amp;query_place_id=ChIJlz6JnRfLJJMRWukbR0XIaTA</t>
        </is>
      </c>
      <c r="K751" s="4" t="inlineStr">
        <is>
          <t>QUADRA 107 NORTE AV. JK ESQUINA COM NS 05 S/Nº - MEGA SATÉLITE 78, NÍVEL TÉRREO L1 - Plano Diretor Norte, Palmas - TO, 77001-080, Brasil</t>
        </is>
      </c>
      <c r="L751" s="4" t="inlineStr">
        <is>
          <t>Palmas</t>
        </is>
      </c>
      <c r="M751" s="5" t="n">
        <v>3</v>
      </c>
    </row>
    <row r="752">
      <c r="A752" s="3">
        <f>RAND()</f>
        <v/>
      </c>
      <c r="B752" s="4" t="inlineStr">
        <is>
          <t>ChIJUWDLCqjLJJMRhhHqnruysco</t>
        </is>
      </c>
      <c r="C752" s="4" t="inlineStr">
        <is>
          <t>Seu Sergio Botequim</t>
        </is>
      </c>
      <c r="D752" s="4" t="inlineStr">
        <is>
          <t>Palmas</t>
        </is>
      </c>
      <c r="E752" s="4" t="inlineStr">
        <is>
          <t>TO</t>
        </is>
      </c>
      <c r="F752" s="4" t="inlineStr">
        <is>
          <t>Capitais Regionais B</t>
        </is>
      </c>
      <c r="G752" s="4" t="inlineStr">
        <is>
          <t>Capital regional</t>
        </is>
      </c>
      <c r="H752" s="5">
        <f>IF(G752="fora do recorte","",SUMPRODUCT(($G$3:$G$1723=G752)*($A$3:$A$1723&lt;=A752)))</f>
        <v/>
      </c>
      <c r="I752" s="4">
        <f>IF(H752="","",G752&amp;"|"&amp;H752)</f>
        <v/>
      </c>
      <c r="J752" s="4" t="inlineStr">
        <is>
          <t>https://www.google.com/maps/search/?api=1&amp;query=Seu%20Sergio%20Botequim&amp;query_place_id=ChIJUWDLCqjLJJMRhhHqnruysco</t>
        </is>
      </c>
      <c r="K752" s="4" t="inlineStr">
        <is>
          <t>Q. 204 Sul Alameda Beija | Flôr - Plano Diretor Sul, Palmas - TO, 77020-494, Brasil</t>
        </is>
      </c>
      <c r="L752" s="4" t="inlineStr">
        <is>
          <t>Palmas</t>
        </is>
      </c>
      <c r="M752" s="5" t="n">
        <v>1</v>
      </c>
    </row>
    <row r="753">
      <c r="A753" s="3">
        <f>RAND()</f>
        <v/>
      </c>
      <c r="B753" s="4" t="inlineStr">
        <is>
          <t>ChIJ2fWZprvMJJMR5QleN14SN2o</t>
        </is>
      </c>
      <c r="C753" s="4" t="inlineStr">
        <is>
          <t>Show Bar</t>
        </is>
      </c>
      <c r="D753" s="4" t="inlineStr">
        <is>
          <t>Palmas</t>
        </is>
      </c>
      <c r="E753" s="4" t="inlineStr">
        <is>
          <t>TO</t>
        </is>
      </c>
      <c r="F753" s="4" t="inlineStr">
        <is>
          <t>Capitais Regionais B</t>
        </is>
      </c>
      <c r="G753" s="4" t="inlineStr">
        <is>
          <t>Capital regional</t>
        </is>
      </c>
      <c r="H753" s="5">
        <f>IF(G753="fora do recorte","",SUMPRODUCT(($G$3:$G$1723=G753)*($A$3:$A$1723&lt;=A753)))</f>
        <v/>
      </c>
      <c r="I753" s="4">
        <f>IF(H753="","",G753&amp;"|"&amp;H753)</f>
        <v/>
      </c>
      <c r="J753" s="4" t="inlineStr">
        <is>
          <t>https://www.google.com/maps/search/?api=1&amp;query=Show%20Bar&amp;query_place_id=ChIJ2fWZprvMJJMR5QleN14SN2o</t>
        </is>
      </c>
      <c r="K753" s="4" t="inlineStr">
        <is>
          <t>Qd. 112 Sul R. SR 9, 1 - lote 7 - Plano Diretor Sul, Palmas - TO, 77020-170, Brasil</t>
        </is>
      </c>
      <c r="L753" s="4" t="inlineStr">
        <is>
          <t>Palmas</t>
        </is>
      </c>
      <c r="M753" s="5" t="n">
        <v>1</v>
      </c>
    </row>
    <row r="754">
      <c r="A754" s="3">
        <f>RAND()</f>
        <v/>
      </c>
      <c r="B754" s="4" t="inlineStr">
        <is>
          <t>ChIJj20SewDLJJMRK1Lonh6xLhE</t>
        </is>
      </c>
      <c r="C754" s="4" t="inlineStr">
        <is>
          <t>Social bar clube</t>
        </is>
      </c>
      <c r="D754" s="4" t="inlineStr">
        <is>
          <t>Palmas</t>
        </is>
      </c>
      <c r="E754" s="4" t="inlineStr">
        <is>
          <t>TO</t>
        </is>
      </c>
      <c r="F754" s="4" t="inlineStr">
        <is>
          <t>Capitais Regionais B</t>
        </is>
      </c>
      <c r="G754" s="4" t="inlineStr">
        <is>
          <t>Capital regional</t>
        </is>
      </c>
      <c r="H754" s="5">
        <f>IF(G754="fora do recorte","",SUMPRODUCT(($G$3:$G$1723=G754)*($A$3:$A$1723&lt;=A754)))</f>
        <v/>
      </c>
      <c r="I754" s="4">
        <f>IF(H754="","",G754&amp;"|"&amp;H754)</f>
        <v/>
      </c>
      <c r="J754" s="4" t="inlineStr">
        <is>
          <t>https://www.google.com/maps/search/?api=1&amp;query=Social%20bar%20clube&amp;query_place_id=ChIJj20SewDLJJMRK1Lonh6xLhE</t>
        </is>
      </c>
      <c r="K754" s="4" t="inlineStr">
        <is>
          <t>Av. NS 15, 603 - Norte - Plano Diretor Sul, Palmas - TO, 77001-887, Brasil</t>
        </is>
      </c>
      <c r="L754" s="4" t="inlineStr">
        <is>
          <t>Palmas</t>
        </is>
      </c>
      <c r="M754" s="5" t="n">
        <v>2</v>
      </c>
    </row>
    <row r="755">
      <c r="A755" s="3">
        <f>RAND()</f>
        <v/>
      </c>
      <c r="B755" s="4" t="inlineStr">
        <is>
          <t>ChIJK9t-gc_NJJMRsuUvtcVjhY8</t>
        </is>
      </c>
      <c r="C755" s="4" t="inlineStr">
        <is>
          <t>Sunset Bar</t>
        </is>
      </c>
      <c r="D755" s="4" t="inlineStr">
        <is>
          <t>Palmas</t>
        </is>
      </c>
      <c r="E755" s="4" t="inlineStr">
        <is>
          <t>TO</t>
        </is>
      </c>
      <c r="F755" s="4" t="inlineStr">
        <is>
          <t>Capitais Regionais B</t>
        </is>
      </c>
      <c r="G755" s="4" t="inlineStr">
        <is>
          <t>Capital regional</t>
        </is>
      </c>
      <c r="H755" s="5">
        <f>IF(G755="fora do recorte","",SUMPRODUCT(($G$3:$G$1723=G755)*($A$3:$A$1723&lt;=A755)))</f>
        <v/>
      </c>
      <c r="I755" s="4">
        <f>IF(H755="","",G755&amp;"|"&amp;H755)</f>
        <v/>
      </c>
      <c r="J755" s="4" t="inlineStr">
        <is>
          <t>https://www.google.com/maps/search/?api=1&amp;query=Sunset%20Bar&amp;query_place_id=ChIJK9t-gc_NJJMRsuUvtcVjhY8</t>
        </is>
      </c>
      <c r="K755" s="4" t="inlineStr">
        <is>
          <t>Q. 108 Norte Alameda 8, 37 - lote 02 - Plano Diretor Norte, Palmas - TO, 77006-110, Brasil</t>
        </is>
      </c>
      <c r="L755" s="4" t="inlineStr">
        <is>
          <t>Palmas</t>
        </is>
      </c>
      <c r="M755" s="5" t="n">
        <v>1</v>
      </c>
    </row>
    <row r="756">
      <c r="A756" s="3">
        <f>RAND()</f>
        <v/>
      </c>
      <c r="B756" s="4" t="inlineStr">
        <is>
          <t>ChIJ54vNHFDLJJMRiE02_56Zzsc</t>
        </is>
      </c>
      <c r="C756" s="4" t="inlineStr">
        <is>
          <t>Tastro Gastrobar</t>
        </is>
      </c>
      <c r="D756" s="4" t="inlineStr">
        <is>
          <t>Palmas</t>
        </is>
      </c>
      <c r="E756" s="4" t="inlineStr">
        <is>
          <t>TO</t>
        </is>
      </c>
      <c r="F756" s="4" t="inlineStr">
        <is>
          <t>Capitais Regionais B</t>
        </is>
      </c>
      <c r="G756" s="4" t="inlineStr">
        <is>
          <t>Capital regional</t>
        </is>
      </c>
      <c r="H756" s="5">
        <f>IF(G756="fora do recorte","",SUMPRODUCT(($G$3:$G$1723=G756)*($A$3:$A$1723&lt;=A756)))</f>
        <v/>
      </c>
      <c r="I756" s="4">
        <f>IF(H756="","",G756&amp;"|"&amp;H756)</f>
        <v/>
      </c>
      <c r="J756" s="4" t="inlineStr">
        <is>
          <t>https://www.google.com/maps/search/?api=1&amp;query=Tastro%20Gastrobar&amp;query_place_id=ChIJ54vNHFDLJJMRiE02_56Zzsc</t>
        </is>
      </c>
      <c r="K756" s="4" t="inlineStr">
        <is>
          <t>Praia da Graciosa - Q. Orla 14 Alameda 11 - Plano Diretor Sul, Palmas - TO, 77026-050, Brasil</t>
        </is>
      </c>
      <c r="L756" s="4" t="inlineStr">
        <is>
          <t>Palmas</t>
        </is>
      </c>
      <c r="M756" s="5" t="n">
        <v>2</v>
      </c>
    </row>
    <row r="757">
      <c r="A757" s="3">
        <f>RAND()</f>
        <v/>
      </c>
      <c r="B757" s="4" t="inlineStr">
        <is>
          <t>ChIJ--PB7yDLJJMRXM-qVTiMOmU</t>
        </is>
      </c>
      <c r="C757" s="4" t="inlineStr">
        <is>
          <t>Tindolelê Brinquedoteca</t>
        </is>
      </c>
      <c r="D757" s="4" t="inlineStr">
        <is>
          <t>Palmas</t>
        </is>
      </c>
      <c r="E757" s="4" t="inlineStr">
        <is>
          <t>TO</t>
        </is>
      </c>
      <c r="F757" s="4" t="inlineStr">
        <is>
          <t>Capitais Regionais B</t>
        </is>
      </c>
      <c r="G757" s="4" t="inlineStr">
        <is>
          <t>Capital regional</t>
        </is>
      </c>
      <c r="H757" s="5">
        <f>IF(G757="fora do recorte","",SUMPRODUCT(($G$3:$G$1723=G757)*($A$3:$A$1723&lt;=A757)))</f>
        <v/>
      </c>
      <c r="I757" s="4">
        <f>IF(H757="","",G757&amp;"|"&amp;H757)</f>
        <v/>
      </c>
      <c r="J757" s="4" t="inlineStr">
        <is>
          <t>https://www.google.com/maps/search/?api=1&amp;query=Tindolel%C3%AA%20Brinquedoteca&amp;query_place_id=ChIJ--PB7yDLJJMRXM-qVTiMOmU</t>
        </is>
      </c>
      <c r="K757" s="4" t="inlineStr">
        <is>
          <t>Q. 104 Sul Avenida LO 1 - Plano Diretor Sul, Palmas - TO, 77020-020, Brasil</t>
        </is>
      </c>
      <c r="L757" s="4" t="inlineStr">
        <is>
          <t>Palmas</t>
        </is>
      </c>
      <c r="M757" s="5" t="n">
        <v>1</v>
      </c>
    </row>
    <row r="758">
      <c r="A758" s="3">
        <f>RAND()</f>
        <v/>
      </c>
      <c r="B758" s="4" t="inlineStr">
        <is>
          <t>ChIJTYUGdQDLJJMRMSyxS5KoHAs</t>
        </is>
      </c>
      <c r="C758" s="4" t="inlineStr">
        <is>
          <t>Up gastro bar</t>
        </is>
      </c>
      <c r="D758" s="4" t="inlineStr">
        <is>
          <t>Palmas</t>
        </is>
      </c>
      <c r="E758" s="4" t="inlineStr">
        <is>
          <t>TO</t>
        </is>
      </c>
      <c r="F758" s="4" t="inlineStr">
        <is>
          <t>Capitais Regionais B</t>
        </is>
      </c>
      <c r="G758" s="4" t="inlineStr">
        <is>
          <t>Capital regional</t>
        </is>
      </c>
      <c r="H758" s="5">
        <f>IF(G758="fora do recorte","",SUMPRODUCT(($G$3:$G$1723=G758)*($A$3:$A$1723&lt;=A758)))</f>
        <v/>
      </c>
      <c r="I758" s="4">
        <f>IF(H758="","",G758&amp;"|"&amp;H758)</f>
        <v/>
      </c>
      <c r="J758" s="4" t="inlineStr">
        <is>
          <t>https://www.google.com/maps/search/?api=1&amp;query=Up%20gastro%20bar&amp;query_place_id=ChIJTYUGdQDLJJMRMSyxS5KoHAs</t>
        </is>
      </c>
      <c r="K758" s="4" t="inlineStr">
        <is>
          <t>Q. 201 Sul Avenida Joaquim Teotônio Segurado - Plano Diretor Sul, Palmas - TO, Brasil</t>
        </is>
      </c>
      <c r="L758" s="4" t="inlineStr">
        <is>
          <t>Palmas</t>
        </is>
      </c>
      <c r="M758" s="5" t="n">
        <v>1</v>
      </c>
    </row>
    <row r="759">
      <c r="A759" s="3">
        <f>RAND()</f>
        <v/>
      </c>
      <c r="B759" s="4" t="inlineStr">
        <is>
          <t>ChIJwfTfS7XNJJMRGTAbFSdOke8</t>
        </is>
      </c>
      <c r="C759" s="4" t="inlineStr">
        <is>
          <t>Villa kids espaço recreativo</t>
        </is>
      </c>
      <c r="D759" s="4" t="inlineStr">
        <is>
          <t>Palmas</t>
        </is>
      </c>
      <c r="E759" s="4" t="inlineStr">
        <is>
          <t>TO</t>
        </is>
      </c>
      <c r="F759" s="4" t="inlineStr">
        <is>
          <t>Capitais Regionais B</t>
        </is>
      </c>
      <c r="G759" s="4" t="inlineStr">
        <is>
          <t>Capital regional</t>
        </is>
      </c>
      <c r="H759" s="5">
        <f>IF(G759="fora do recorte","",SUMPRODUCT(($G$3:$G$1723=G759)*($A$3:$A$1723&lt;=A759)))</f>
        <v/>
      </c>
      <c r="I759" s="4">
        <f>IF(H759="","",G759&amp;"|"&amp;H759)</f>
        <v/>
      </c>
      <c r="J759" s="4" t="inlineStr">
        <is>
          <t>https://www.google.com/maps/search/?api=1&amp;query=Villa%20kids%20espa%C3%A7o%20recreativo&amp;query_place_id=ChIJwfTfS7XNJJMRGTAbFSdOke8</t>
        </is>
      </c>
      <c r="K759" s="4" t="inlineStr">
        <is>
          <t>Q. 110 Sul Alameda 3, lotes 37-39 - Plano Diretor Sul, Palmas - TO, 77020-140, Brasil</t>
        </is>
      </c>
      <c r="L759" s="4" t="inlineStr">
        <is>
          <t>Palmas</t>
        </is>
      </c>
      <c r="M759" s="5" t="n">
        <v>1</v>
      </c>
    </row>
    <row r="760">
      <c r="A760" s="3">
        <f>RAND()</f>
        <v/>
      </c>
      <c r="B760" s="4" t="inlineStr">
        <is>
          <t>ChIJY0GN60bLJJMR4NHLWa5X6XM</t>
        </is>
      </c>
      <c r="C760" s="4" t="inlineStr">
        <is>
          <t>Vitoria Geek</t>
        </is>
      </c>
      <c r="D760" s="4" t="inlineStr">
        <is>
          <t>Palmas</t>
        </is>
      </c>
      <c r="E760" s="4" t="inlineStr">
        <is>
          <t>TO</t>
        </is>
      </c>
      <c r="F760" s="4" t="inlineStr">
        <is>
          <t>Capitais Regionais B</t>
        </is>
      </c>
      <c r="G760" s="4" t="inlineStr">
        <is>
          <t>Capital regional</t>
        </is>
      </c>
      <c r="H760" s="5">
        <f>IF(G760="fora do recorte","",SUMPRODUCT(($G$3:$G$1723=G760)*($A$3:$A$1723&lt;=A760)))</f>
        <v/>
      </c>
      <c r="I760" s="4">
        <f>IF(H760="","",G760&amp;"|"&amp;H760)</f>
        <v/>
      </c>
      <c r="J760" s="4" t="inlineStr">
        <is>
          <t>https://www.google.com/maps/search/?api=1&amp;query=Vitoria%20Geek&amp;query_place_id=ChIJY0GN60bLJJMR4NHLWa5X6XM</t>
        </is>
      </c>
      <c r="K760" s="4" t="inlineStr">
        <is>
          <t>Q. 104 Sul Avenida Ns 4, 158 - Arse - centro, Palmas - TO, 77020-032, Brasil</t>
        </is>
      </c>
      <c r="L760" s="4" t="inlineStr">
        <is>
          <t>Palmas</t>
        </is>
      </c>
      <c r="M760" s="5" t="n">
        <v>2</v>
      </c>
    </row>
    <row r="761">
      <c r="A761" s="3">
        <f>RAND()</f>
        <v/>
      </c>
      <c r="B761" s="4" t="inlineStr">
        <is>
          <t>ChIJb_WlUZfLJJMRpOjEmO0BDH8</t>
        </is>
      </c>
      <c r="C761" s="4" t="inlineStr">
        <is>
          <t>Wow Park</t>
        </is>
      </c>
      <c r="D761" s="4" t="inlineStr">
        <is>
          <t>Palmas</t>
        </is>
      </c>
      <c r="E761" s="4" t="inlineStr">
        <is>
          <t>TO</t>
        </is>
      </c>
      <c r="F761" s="4" t="inlineStr">
        <is>
          <t>Capitais Regionais B</t>
        </is>
      </c>
      <c r="G761" s="4" t="inlineStr">
        <is>
          <t>Capital regional</t>
        </is>
      </c>
      <c r="H761" s="5">
        <f>IF(G761="fora do recorte","",SUMPRODUCT(($G$3:$G$1723=G761)*($A$3:$A$1723&lt;=A761)))</f>
        <v/>
      </c>
      <c r="I761" s="4">
        <f>IF(H761="","",G761&amp;"|"&amp;H761)</f>
        <v/>
      </c>
      <c r="J761" s="4" t="inlineStr">
        <is>
          <t>https://www.google.com/maps/search/?api=1&amp;query=Wow%20Park&amp;query_place_id=ChIJb_WlUZfLJJMRpOjEmO0BDH8</t>
        </is>
      </c>
      <c r="K761" s="4" t="inlineStr">
        <is>
          <t>Q Acsu no 13 - Av. NS-5, Sn - Plano Diretor Norte, Palmas - TO, 77001-098, Brasil</t>
        </is>
      </c>
      <c r="L761" s="4" t="inlineStr">
        <is>
          <t>Palmas</t>
        </is>
      </c>
      <c r="M761" s="5" t="n">
        <v>1</v>
      </c>
    </row>
    <row r="762">
      <c r="A762" s="3">
        <f>RAND()</f>
        <v/>
      </c>
      <c r="B762" s="4" t="inlineStr">
        <is>
          <t>ChIJx0dAuxQbbJIRxH8szrAawXE</t>
        </is>
      </c>
      <c r="C762" s="4" t="inlineStr">
        <is>
          <t>ALEXANDRE GAMES &amp; MANUTENÇÃO</t>
        </is>
      </c>
      <c r="D762" s="4" t="inlineStr">
        <is>
          <t>Manaus</t>
        </is>
      </c>
      <c r="E762" s="4" t="inlineStr">
        <is>
          <t>AM</t>
        </is>
      </c>
      <c r="F762" s="4" t="inlineStr">
        <is>
          <t>Metrópoles</t>
        </is>
      </c>
      <c r="G762" s="4" t="inlineStr">
        <is>
          <t>Metrópole</t>
        </is>
      </c>
      <c r="H762" s="5">
        <f>IF(G762="fora do recorte","",SUMPRODUCT(($G$3:$G$1723=G762)*($A$3:$A$1723&lt;=A762)))</f>
        <v/>
      </c>
      <c r="I762" s="4">
        <f>IF(H762="","",G762&amp;"|"&amp;H762)</f>
        <v/>
      </c>
      <c r="J762" s="4" t="inlineStr">
        <is>
          <t>https://www.google.com/maps/search/?api=1&amp;query=ALEXANDRE%20GAMES%20%26%20MANUTEN%C3%87%C3%83O&amp;query_place_id=ChIJx0dAuxQbbJIRxH8szrAawXE</t>
        </is>
      </c>
      <c r="K762" s="4" t="inlineStr">
        <is>
          <t>Rua j 24 São jose 3 - São José Operário, Manaus - AM, 69086-390, Brasil</t>
        </is>
      </c>
      <c r="L762" s="4" t="inlineStr">
        <is>
          <t>Manaus</t>
        </is>
      </c>
      <c r="M762" s="5" t="n">
        <v>2</v>
      </c>
    </row>
    <row r="763">
      <c r="A763" s="3">
        <f>RAND()</f>
        <v/>
      </c>
      <c r="B763" s="4" t="inlineStr">
        <is>
          <t>ChIJvXuPLAAFbJIRncOH-f4lasQ</t>
        </is>
      </c>
      <c r="C763" s="4" t="inlineStr">
        <is>
          <t>Acerola: A Casa do Acy</t>
        </is>
      </c>
      <c r="D763" s="4" t="inlineStr">
        <is>
          <t>Manaus</t>
        </is>
      </c>
      <c r="E763" s="4" t="inlineStr">
        <is>
          <t>AM</t>
        </is>
      </c>
      <c r="F763" s="4" t="inlineStr">
        <is>
          <t>Metrópoles</t>
        </is>
      </c>
      <c r="G763" s="4" t="inlineStr">
        <is>
          <t>Metrópole</t>
        </is>
      </c>
      <c r="H763" s="5">
        <f>IF(G763="fora do recorte","",SUMPRODUCT(($G$3:$G$1723=G763)*($A$3:$A$1723&lt;=A763)))</f>
        <v/>
      </c>
      <c r="I763" s="4">
        <f>IF(H763="","",G763&amp;"|"&amp;H763)</f>
        <v/>
      </c>
      <c r="J763" s="4" t="inlineStr">
        <is>
          <t>https://www.google.com/maps/search/?api=1&amp;query=Acerola%3A%20A%20Casa%20do%20Acy&amp;query_place_id=ChIJvXuPLAAFbJIRncOH-f4lasQ</t>
        </is>
      </c>
      <c r="K763" s="4" t="inlineStr">
        <is>
          <t>Av. Maués, 700 - Cachoeirinha, Manaus - AM, 69065-070, Brasil</t>
        </is>
      </c>
      <c r="L763" s="4" t="inlineStr">
        <is>
          <t>Manaus</t>
        </is>
      </c>
      <c r="M763" s="5" t="n">
        <v>1</v>
      </c>
    </row>
    <row r="764">
      <c r="A764" s="3">
        <f>RAND()</f>
        <v/>
      </c>
      <c r="B764" s="4" t="inlineStr">
        <is>
          <t>ChIJgyCmIbMRbJIRxZ3gQGP9qAU</t>
        </is>
      </c>
      <c r="C764" s="4" t="inlineStr">
        <is>
          <t>Adoleta Parque</t>
        </is>
      </c>
      <c r="D764" s="4" t="inlineStr">
        <is>
          <t>Manaus</t>
        </is>
      </c>
      <c r="E764" s="4" t="inlineStr">
        <is>
          <t>AM</t>
        </is>
      </c>
      <c r="F764" s="4" t="inlineStr">
        <is>
          <t>Metrópoles</t>
        </is>
      </c>
      <c r="G764" s="4" t="inlineStr">
        <is>
          <t>Metrópole</t>
        </is>
      </c>
      <c r="H764" s="5">
        <f>IF(G764="fora do recorte","",SUMPRODUCT(($G$3:$G$1723=G764)*($A$3:$A$1723&lt;=A764)))</f>
        <v/>
      </c>
      <c r="I764" s="4">
        <f>IF(H764="","",G764&amp;"|"&amp;H764)</f>
        <v/>
      </c>
      <c r="J764" s="4" t="inlineStr">
        <is>
          <t>https://www.google.com/maps/search/?api=1&amp;query=Adoleta%20Parque&amp;query_place_id=ChIJgyCmIbMRbJIRxZ3gQGP9qAU</t>
        </is>
      </c>
      <c r="K764" s="4" t="inlineStr">
        <is>
          <t>Av. Jacira Reis, 18 - Dom Pedro, Manaus - AM, 69033-008, Brasil</t>
        </is>
      </c>
      <c r="L764" s="4" t="inlineStr">
        <is>
          <t>Manaus</t>
        </is>
      </c>
      <c r="M764" s="5" t="n">
        <v>1</v>
      </c>
    </row>
    <row r="765">
      <c r="A765" s="3">
        <f>RAND()</f>
        <v/>
      </c>
      <c r="B765" s="4" t="inlineStr">
        <is>
          <t>ChIJt_fbtsEabJIRaOqqmmvk4Zc</t>
        </is>
      </c>
      <c r="C765" s="4" t="inlineStr">
        <is>
          <t>All Night Pub</t>
        </is>
      </c>
      <c r="D765" s="4" t="inlineStr">
        <is>
          <t>Manaus</t>
        </is>
      </c>
      <c r="E765" s="4" t="inlineStr">
        <is>
          <t>AM</t>
        </is>
      </c>
      <c r="F765" s="4" t="inlineStr">
        <is>
          <t>Metrópoles</t>
        </is>
      </c>
      <c r="G765" s="4" t="inlineStr">
        <is>
          <t>Metrópole</t>
        </is>
      </c>
      <c r="H765" s="5">
        <f>IF(G765="fora do recorte","",SUMPRODUCT(($G$3:$G$1723=G765)*($A$3:$A$1723&lt;=A765)))</f>
        <v/>
      </c>
      <c r="I765" s="4">
        <f>IF(H765="","",G765&amp;"|"&amp;H765)</f>
        <v/>
      </c>
      <c r="J765" s="4" t="inlineStr">
        <is>
          <t>https://www.google.com/maps/search/?api=1&amp;query=All%20Night%20Pub&amp;query_place_id=ChIJt_fbtsEabJIRaOqqmmvk4Zc</t>
        </is>
      </c>
      <c r="K765" s="4" t="inlineStr">
        <is>
          <t>Av. Efigênio Salles, 2085 - Aleixo, Manaus - AM, 69060-020, Brasil</t>
        </is>
      </c>
      <c r="L765" s="4" t="inlineStr">
        <is>
          <t>Manaus</t>
        </is>
      </c>
      <c r="M765" s="5" t="n">
        <v>1</v>
      </c>
    </row>
    <row r="766">
      <c r="A766" s="3">
        <f>RAND()</f>
        <v/>
      </c>
      <c r="B766" s="4" t="inlineStr">
        <is>
          <t>ChIJvbx3v38ZbJIRhNniFWkbc0g</t>
        </is>
      </c>
      <c r="C766" s="4" t="inlineStr">
        <is>
          <t>Amazon Bowling - Sumaúma Park Shopping (Boliche)</t>
        </is>
      </c>
      <c r="D766" s="4" t="inlineStr">
        <is>
          <t>Manaus</t>
        </is>
      </c>
      <c r="E766" s="4" t="inlineStr">
        <is>
          <t>AM</t>
        </is>
      </c>
      <c r="F766" s="4" t="inlineStr">
        <is>
          <t>Metrópoles</t>
        </is>
      </c>
      <c r="G766" s="4" t="inlineStr">
        <is>
          <t>Metrópole</t>
        </is>
      </c>
      <c r="H766" s="5">
        <f>IF(G766="fora do recorte","",SUMPRODUCT(($G$3:$G$1723=G766)*($A$3:$A$1723&lt;=A766)))</f>
        <v/>
      </c>
      <c r="I766" s="4">
        <f>IF(H766="","",G766&amp;"|"&amp;H766)</f>
        <v/>
      </c>
      <c r="J766" s="4" t="inlineStr">
        <is>
          <t>https://www.google.com/maps/search/?api=1&amp;query=Amazon%20Bowling%20-%20Suma%C3%BAma%20Park%20Shopping%20%28Boliche%29&amp;query_place_id=ChIJvbx3v38ZbJIRhNniFWkbc0g</t>
        </is>
      </c>
      <c r="K766" s="4" t="inlineStr">
        <is>
          <t>Sumaúma Park Shopping - Av. Noel Nutels, 1762 - Cidade Nova, Manaus - AM, 69095-000, Brasil</t>
        </is>
      </c>
      <c r="L766" s="4" t="inlineStr">
        <is>
          <t>Manaus</t>
        </is>
      </c>
      <c r="M766" s="5" t="n">
        <v>1</v>
      </c>
    </row>
    <row r="767">
      <c r="A767" s="3">
        <f>RAND()</f>
        <v/>
      </c>
      <c r="B767" s="4" t="inlineStr">
        <is>
          <t>ChIJyVX2sZMbbJIRkCD6lfJ1baI</t>
        </is>
      </c>
      <c r="C767" s="4" t="inlineStr">
        <is>
          <t>Arkana</t>
        </is>
      </c>
      <c r="D767" s="4" t="inlineStr">
        <is>
          <t>Manaus</t>
        </is>
      </c>
      <c r="E767" s="4" t="inlineStr">
        <is>
          <t>AM</t>
        </is>
      </c>
      <c r="F767" s="4" t="inlineStr">
        <is>
          <t>Metrópoles</t>
        </is>
      </c>
      <c r="G767" s="4" t="inlineStr">
        <is>
          <t>Metrópole</t>
        </is>
      </c>
      <c r="H767" s="5">
        <f>IF(G767="fora do recorte","",SUMPRODUCT(($G$3:$G$1723=G767)*($A$3:$A$1723&lt;=A767)))</f>
        <v/>
      </c>
      <c r="I767" s="4">
        <f>IF(H767="","",G767&amp;"|"&amp;H767)</f>
        <v/>
      </c>
      <c r="J767" s="4" t="inlineStr">
        <is>
          <t>https://www.google.com/maps/search/?api=1&amp;query=Arkana&amp;query_place_id=ChIJyVX2sZMbbJIRkCD6lfJ1baI</t>
        </is>
      </c>
      <c r="K767" s="4" t="inlineStr">
        <is>
          <t>R. Visc. de Pôrto Seguro, 178 - Flores, Manaus - AM, 69058-090, Brasil</t>
        </is>
      </c>
      <c r="L767" s="4" t="inlineStr">
        <is>
          <t>Manaus</t>
        </is>
      </c>
      <c r="M767" s="5" t="n">
        <v>1</v>
      </c>
    </row>
    <row r="768">
      <c r="A768" s="3">
        <f>RAND()</f>
        <v/>
      </c>
      <c r="B768" s="4" t="inlineStr">
        <is>
          <t>ChIJAao-fLQFbJIRV1arL20t6eQ</t>
        </is>
      </c>
      <c r="C768" s="4" t="inlineStr">
        <is>
          <t>Aventura Cards by Mao TCG</t>
        </is>
      </c>
      <c r="D768" s="4" t="inlineStr">
        <is>
          <t>Manaus</t>
        </is>
      </c>
      <c r="E768" s="4" t="inlineStr">
        <is>
          <t>AM</t>
        </is>
      </c>
      <c r="F768" s="4" t="inlineStr">
        <is>
          <t>Metrópoles</t>
        </is>
      </c>
      <c r="G768" s="4" t="inlineStr">
        <is>
          <t>Metrópole</t>
        </is>
      </c>
      <c r="H768" s="5">
        <f>IF(G768="fora do recorte","",SUMPRODUCT(($G$3:$G$1723=G768)*($A$3:$A$1723&lt;=A768)))</f>
        <v/>
      </c>
      <c r="I768" s="4">
        <f>IF(H768="","",G768&amp;"|"&amp;H768)</f>
        <v/>
      </c>
      <c r="J768" s="4" t="inlineStr">
        <is>
          <t>https://www.google.com/maps/search/?api=1&amp;query=Aventura%20Cards%20by%20Mao%20TCG&amp;query_place_id=ChIJAao-fLQFbJIRV1arL20t6eQ</t>
        </is>
      </c>
      <c r="K768" s="4" t="inlineStr">
        <is>
          <t>R. Saldanha Marinho, 745 - Centro, Manaus - AM, 69010-040, Brasil</t>
        </is>
      </c>
      <c r="L768" s="4" t="inlineStr">
        <is>
          <t>Manaus</t>
        </is>
      </c>
      <c r="M768" s="5" t="n">
        <v>2</v>
      </c>
    </row>
    <row r="769">
      <c r="A769" s="3">
        <f>RAND()</f>
        <v/>
      </c>
      <c r="B769" s="4" t="inlineStr">
        <is>
          <t>ChIJO0mzt-wabJIRFbqQTQP80N0</t>
        </is>
      </c>
      <c r="C769" s="4" t="inlineStr">
        <is>
          <t>Bar do Meio - Manaus</t>
        </is>
      </c>
      <c r="D769" s="4" t="inlineStr">
        <is>
          <t>Manaus</t>
        </is>
      </c>
      <c r="E769" s="4" t="inlineStr">
        <is>
          <t>AM</t>
        </is>
      </c>
      <c r="F769" s="4" t="inlineStr">
        <is>
          <t>Metrópoles</t>
        </is>
      </c>
      <c r="G769" s="4" t="inlineStr">
        <is>
          <t>Metrópole</t>
        </is>
      </c>
      <c r="H769" s="5">
        <f>IF(G769="fora do recorte","",SUMPRODUCT(($G$3:$G$1723=G769)*($A$3:$A$1723&lt;=A769)))</f>
        <v/>
      </c>
      <c r="I769" s="4">
        <f>IF(H769="","",G769&amp;"|"&amp;H769)</f>
        <v/>
      </c>
      <c r="J769" s="4" t="inlineStr">
        <is>
          <t>https://www.google.com/maps/search/?api=1&amp;query=Bar%20do%20Meio%20-%20Manaus&amp;query_place_id=ChIJO0mzt-wabJIRFbqQTQP80N0</t>
        </is>
      </c>
      <c r="K769" s="4" t="inlineStr">
        <is>
          <t>Rua Doutora Yamile Nogueira - Parque Dez de Novembro, Manaus - AM, 69054-320, Brasil</t>
        </is>
      </c>
      <c r="L769" s="4" t="inlineStr">
        <is>
          <t>Manaus</t>
        </is>
      </c>
      <c r="M769" s="5" t="n">
        <v>1</v>
      </c>
    </row>
    <row r="770">
      <c r="A770" s="3">
        <f>RAND()</f>
        <v/>
      </c>
      <c r="B770" s="4" t="inlineStr">
        <is>
          <t>ChIJryYmaX0FbJIRY1Msjnb-rVE</t>
        </is>
      </c>
      <c r="C770" s="4" t="inlineStr">
        <is>
          <t>Beco Mágico Manaus</t>
        </is>
      </c>
      <c r="D770" s="4" t="inlineStr">
        <is>
          <t>Manaus</t>
        </is>
      </c>
      <c r="E770" s="4" t="inlineStr">
        <is>
          <t>AM</t>
        </is>
      </c>
      <c r="F770" s="4" t="inlineStr">
        <is>
          <t>Metrópoles</t>
        </is>
      </c>
      <c r="G770" s="4" t="inlineStr">
        <is>
          <t>Metrópole</t>
        </is>
      </c>
      <c r="H770" s="5">
        <f>IF(G770="fora do recorte","",SUMPRODUCT(($G$3:$G$1723=G770)*($A$3:$A$1723&lt;=A770)))</f>
        <v/>
      </c>
      <c r="I770" s="4">
        <f>IF(H770="","",G770&amp;"|"&amp;H770)</f>
        <v/>
      </c>
      <c r="J770" s="4" t="inlineStr">
        <is>
          <t>https://www.google.com/maps/search/?api=1&amp;query=Beco%20M%C3%A1gico%20Manaus&amp;query_place_id=ChIJryYmaX0FbJIRY1Msjnb-rVE</t>
        </is>
      </c>
      <c r="K770" s="4" t="inlineStr">
        <is>
          <t>R. Rio Purús, 629 - Nossa Sra. das Gracas, Manaus - AM, 69053-050, Brasil</t>
        </is>
      </c>
      <c r="L770" s="4" t="inlineStr">
        <is>
          <t>Manaus</t>
        </is>
      </c>
      <c r="M770" s="5" t="n">
        <v>1</v>
      </c>
    </row>
    <row r="771">
      <c r="A771" s="3">
        <f>RAND()</f>
        <v/>
      </c>
      <c r="B771" s="4" t="inlineStr">
        <is>
          <t>ChIJT9klwocPbJIRQ1xTQQfL66s</t>
        </is>
      </c>
      <c r="C771" s="4" t="inlineStr">
        <is>
          <t>Bilhar Bola Verde</t>
        </is>
      </c>
      <c r="D771" s="4" t="inlineStr">
        <is>
          <t>Manaus</t>
        </is>
      </c>
      <c r="E771" s="4" t="inlineStr">
        <is>
          <t>AM</t>
        </is>
      </c>
      <c r="F771" s="4" t="inlineStr">
        <is>
          <t>Metrópoles</t>
        </is>
      </c>
      <c r="G771" s="4" t="inlineStr">
        <is>
          <t>Metrópole</t>
        </is>
      </c>
      <c r="H771" s="5">
        <f>IF(G771="fora do recorte","",SUMPRODUCT(($G$3:$G$1723=G771)*($A$3:$A$1723&lt;=A771)))</f>
        <v/>
      </c>
      <c r="I771" s="4">
        <f>IF(H771="","",G771&amp;"|"&amp;H771)</f>
        <v/>
      </c>
      <c r="J771" s="4" t="inlineStr">
        <is>
          <t>https://www.google.com/maps/search/?api=1&amp;query=Bilhar%20Bola%20Verde&amp;query_place_id=ChIJT9klwocPbJIRQ1xTQQfL66s</t>
        </is>
      </c>
      <c r="K771" s="4" t="inlineStr">
        <is>
          <t>R. Luiz Antony, 263 - Centro, Manaus - AM, 69010-100, Brasil</t>
        </is>
      </c>
      <c r="L771" s="4" t="inlineStr">
        <is>
          <t>Manaus</t>
        </is>
      </c>
      <c r="M771" s="5" t="n">
        <v>1</v>
      </c>
    </row>
    <row r="772">
      <c r="A772" s="3">
        <f>RAND()</f>
        <v/>
      </c>
      <c r="B772" s="4" t="inlineStr">
        <is>
          <t>ChIJvSPKJpgbbJIROsnBmBxPS30</t>
        </is>
      </c>
      <c r="C772" s="4" t="inlineStr">
        <is>
          <t>Brasa Espeto e Chopp</t>
        </is>
      </c>
      <c r="D772" s="4" t="inlineStr">
        <is>
          <t>Manaus</t>
        </is>
      </c>
      <c r="E772" s="4" t="inlineStr">
        <is>
          <t>AM</t>
        </is>
      </c>
      <c r="F772" s="4" t="inlineStr">
        <is>
          <t>Metrópoles</t>
        </is>
      </c>
      <c r="G772" s="4" t="inlineStr">
        <is>
          <t>Metrópole</t>
        </is>
      </c>
      <c r="H772" s="5">
        <f>IF(G772="fora do recorte","",SUMPRODUCT(($G$3:$G$1723=G772)*($A$3:$A$1723&lt;=A772)))</f>
        <v/>
      </c>
      <c r="I772" s="4">
        <f>IF(H772="","",G772&amp;"|"&amp;H772)</f>
        <v/>
      </c>
      <c r="J772" s="4" t="inlineStr">
        <is>
          <t>https://www.google.com/maps/search/?api=1&amp;query=Brasa%20Espeto%20e%20Chopp&amp;query_place_id=ChIJvSPKJpgbbJIROsnBmBxPS30</t>
        </is>
      </c>
      <c r="K772" s="4" t="inlineStr">
        <is>
          <t>Em frente a Havan - Av. Gov. José Lindoso, 718 - Flores, Manaus - AM, 69058-600, Brasil</t>
        </is>
      </c>
      <c r="L772" s="4" t="inlineStr">
        <is>
          <t>Manaus</t>
        </is>
      </c>
      <c r="M772" s="5" t="n">
        <v>1</v>
      </c>
    </row>
    <row r="773">
      <c r="A773" s="3">
        <f>RAND()</f>
        <v/>
      </c>
      <c r="B773" s="4" t="inlineStr">
        <is>
          <t>ChIJ6WHUHN0bbJIRuk5nX9uCFJw</t>
        </is>
      </c>
      <c r="C773" s="4" t="inlineStr">
        <is>
          <t>Bravo Bar e Grelha</t>
        </is>
      </c>
      <c r="D773" s="4" t="inlineStr">
        <is>
          <t>Manaus</t>
        </is>
      </c>
      <c r="E773" s="4" t="inlineStr">
        <is>
          <t>AM</t>
        </is>
      </c>
      <c r="F773" s="4" t="inlineStr">
        <is>
          <t>Metrópoles</t>
        </is>
      </c>
      <c r="G773" s="4" t="inlineStr">
        <is>
          <t>Metrópole</t>
        </is>
      </c>
      <c r="H773" s="5">
        <f>IF(G773="fora do recorte","",SUMPRODUCT(($G$3:$G$1723=G773)*($A$3:$A$1723&lt;=A773)))</f>
        <v/>
      </c>
      <c r="I773" s="4">
        <f>IF(H773="","",G773&amp;"|"&amp;H773)</f>
        <v/>
      </c>
      <c r="J773" s="4" t="inlineStr">
        <is>
          <t>https://www.google.com/maps/search/?api=1&amp;query=Bravo%20Bar%20e%20Grelha&amp;query_place_id=ChIJ6WHUHN0bbJIRuk5nX9uCFJw</t>
        </is>
      </c>
      <c r="K773" s="4" t="inlineStr">
        <is>
          <t>R. Amapá, 5 - Nossa Sra. das Graças, Manaus - AM, 69053-150, Brasil</t>
        </is>
      </c>
      <c r="L773" s="4" t="inlineStr">
        <is>
          <t>Manaus</t>
        </is>
      </c>
      <c r="M773" s="5" t="n">
        <v>2</v>
      </c>
    </row>
    <row r="774">
      <c r="A774" s="3">
        <f>RAND()</f>
        <v/>
      </c>
      <c r="B774" s="4" t="inlineStr">
        <is>
          <t>ChIJKTXGlDcbbJIRziWc-_0NThQ</t>
        </is>
      </c>
      <c r="C774" s="4" t="inlineStr">
        <is>
          <t>Brincandoteca Diversão e Festas</t>
        </is>
      </c>
      <c r="D774" s="4" t="inlineStr">
        <is>
          <t>Manaus</t>
        </is>
      </c>
      <c r="E774" s="4" t="inlineStr">
        <is>
          <t>AM</t>
        </is>
      </c>
      <c r="F774" s="4" t="inlineStr">
        <is>
          <t>Metrópoles</t>
        </is>
      </c>
      <c r="G774" s="4" t="inlineStr">
        <is>
          <t>Metrópole</t>
        </is>
      </c>
      <c r="H774" s="5">
        <f>IF(G774="fora do recorte","",SUMPRODUCT(($G$3:$G$1723=G774)*($A$3:$A$1723&lt;=A774)))</f>
        <v/>
      </c>
      <c r="I774" s="4">
        <f>IF(H774="","",G774&amp;"|"&amp;H774)</f>
        <v/>
      </c>
      <c r="J774" s="4" t="inlineStr">
        <is>
          <t>https://www.google.com/maps/search/?api=1&amp;query=Brincandoteca%20Divers%C3%A3o%20e%20Festas&amp;query_place_id=ChIJKTXGlDcbbJIRziWc-_0NThQ</t>
        </is>
      </c>
      <c r="K774" s="4" t="inlineStr">
        <is>
          <t>Av. Djalma Batista, 2100 - Chapada, Manaus - AM, 69055-972, Brasil</t>
        </is>
      </c>
      <c r="L774" s="4" t="inlineStr">
        <is>
          <t>Manaus</t>
        </is>
      </c>
      <c r="M774" s="5" t="n">
        <v>1</v>
      </c>
    </row>
    <row r="775">
      <c r="A775" s="3">
        <f>RAND()</f>
        <v/>
      </c>
      <c r="B775" s="4" t="inlineStr">
        <is>
          <t>ChIJ-RJZFQAbbJIRIU-dCP-2r_o</t>
        </is>
      </c>
      <c r="C775" s="4" t="inlineStr">
        <is>
          <t>Café Cartoon Animation</t>
        </is>
      </c>
      <c r="D775" s="4" t="inlineStr">
        <is>
          <t>Manaus</t>
        </is>
      </c>
      <c r="E775" s="4" t="inlineStr">
        <is>
          <t>AM</t>
        </is>
      </c>
      <c r="F775" s="4" t="inlineStr">
        <is>
          <t>Metrópoles</t>
        </is>
      </c>
      <c r="G775" s="4" t="inlineStr">
        <is>
          <t>Metrópole</t>
        </is>
      </c>
      <c r="H775" s="5">
        <f>IF(G775="fora do recorte","",SUMPRODUCT(($G$3:$G$1723=G775)*($A$3:$A$1723&lt;=A775)))</f>
        <v/>
      </c>
      <c r="I775" s="4">
        <f>IF(H775="","",G775&amp;"|"&amp;H775)</f>
        <v/>
      </c>
      <c r="J775" s="4" t="inlineStr">
        <is>
          <t>https://www.google.com/maps/search/?api=1&amp;query=Caf%C3%A9%20Cartoon%20Animation&amp;query_place_id=ChIJ-RJZFQAbbJIRIU-dCP-2r_o</t>
        </is>
      </c>
      <c r="K775" s="4" t="inlineStr">
        <is>
          <t>R. Francisco Filho, 841 - Parque Dez de Novembro, Manaus - AM, 69055-400, Brasil</t>
        </is>
      </c>
      <c r="L775" s="4" t="inlineStr">
        <is>
          <t>Manaus</t>
        </is>
      </c>
      <c r="M775" s="5" t="n">
        <v>4</v>
      </c>
    </row>
    <row r="776">
      <c r="A776" s="3">
        <f>RAND()</f>
        <v/>
      </c>
      <c r="B776" s="4" t="inlineStr">
        <is>
          <t>ChIJa14bXwgFbJIRiILPiJHIBY0</t>
        </is>
      </c>
      <c r="C776" s="4" t="inlineStr">
        <is>
          <t>Cave Bar Manaus</t>
        </is>
      </c>
      <c r="D776" s="4" t="inlineStr">
        <is>
          <t>Manaus</t>
        </is>
      </c>
      <c r="E776" s="4" t="inlineStr">
        <is>
          <t>AM</t>
        </is>
      </c>
      <c r="F776" s="4" t="inlineStr">
        <is>
          <t>Metrópoles</t>
        </is>
      </c>
      <c r="G776" s="4" t="inlineStr">
        <is>
          <t>Metrópole</t>
        </is>
      </c>
      <c r="H776" s="5">
        <f>IF(G776="fora do recorte","",SUMPRODUCT(($G$3:$G$1723=G776)*($A$3:$A$1723&lt;=A776)))</f>
        <v/>
      </c>
      <c r="I776" s="4">
        <f>IF(H776="","",G776&amp;"|"&amp;H776)</f>
        <v/>
      </c>
      <c r="J776" s="4" t="inlineStr">
        <is>
          <t>https://www.google.com/maps/search/?api=1&amp;query=Cave%20Bar%20Manaus&amp;query_place_id=ChIJa14bXwgFbJIRiILPiJHIBY0</t>
        </is>
      </c>
      <c r="K776" s="4" t="inlineStr">
        <is>
          <t>R. Acre, 95 - Nossa Sra. das Gracas, Manaus - AM, 69053-130, Brasil</t>
        </is>
      </c>
      <c r="L776" s="4" t="inlineStr">
        <is>
          <t>Manaus</t>
        </is>
      </c>
      <c r="M776" s="5" t="n">
        <v>1</v>
      </c>
    </row>
    <row r="777">
      <c r="A777" s="3">
        <f>RAND()</f>
        <v/>
      </c>
      <c r="B777" s="4" t="inlineStr">
        <is>
          <t>ChIJ0ct2uW4bbJIRce0lL7Xf4h0</t>
        </is>
      </c>
      <c r="C777" s="4" t="inlineStr">
        <is>
          <t>Choperia Brahma Manaus</t>
        </is>
      </c>
      <c r="D777" s="4" t="inlineStr">
        <is>
          <t>Manaus</t>
        </is>
      </c>
      <c r="E777" s="4" t="inlineStr">
        <is>
          <t>AM</t>
        </is>
      </c>
      <c r="F777" s="4" t="inlineStr">
        <is>
          <t>Metrópoles</t>
        </is>
      </c>
      <c r="G777" s="4" t="inlineStr">
        <is>
          <t>Metrópole</t>
        </is>
      </c>
      <c r="H777" s="5">
        <f>IF(G777="fora do recorte","",SUMPRODUCT(($G$3:$G$1723=G777)*($A$3:$A$1723&lt;=A777)))</f>
        <v/>
      </c>
      <c r="I777" s="4">
        <f>IF(H777="","",G777&amp;"|"&amp;H777)</f>
        <v/>
      </c>
      <c r="J777" s="4" t="inlineStr">
        <is>
          <t>https://www.google.com/maps/search/?api=1&amp;query=Choperia%20Brahma%20Manaus&amp;query_place_id=ChIJ0ct2uW4bbJIRce0lL7Xf4h0</t>
        </is>
      </c>
      <c r="K777" s="4" t="inlineStr">
        <is>
          <t>Av. Rio Madeira, 21 - Nossa Sra. das Gracas, Manaus - AM, 69053-030, Brasil</t>
        </is>
      </c>
      <c r="L777" s="4" t="inlineStr">
        <is>
          <t>Manaus</t>
        </is>
      </c>
      <c r="M777" s="5" t="n">
        <v>1</v>
      </c>
    </row>
    <row r="778">
      <c r="A778" s="3">
        <f>RAND()</f>
        <v/>
      </c>
      <c r="B778" s="4" t="inlineStr">
        <is>
          <t>ChIJK5StkrkFbJIRCQ3TypHHU6I</t>
        </is>
      </c>
      <c r="C778" s="4" t="inlineStr">
        <is>
          <t>Cúpulla - Gastronomía, Música &amp; Drinks</t>
        </is>
      </c>
      <c r="D778" s="4" t="inlineStr">
        <is>
          <t>Manaus</t>
        </is>
      </c>
      <c r="E778" s="4" t="inlineStr">
        <is>
          <t>AM</t>
        </is>
      </c>
      <c r="F778" s="4" t="inlineStr">
        <is>
          <t>Metrópoles</t>
        </is>
      </c>
      <c r="G778" s="4" t="inlineStr">
        <is>
          <t>Metrópole</t>
        </is>
      </c>
      <c r="H778" s="5">
        <f>IF(G778="fora do recorte","",SUMPRODUCT(($G$3:$G$1723=G778)*($A$3:$A$1723&lt;=A778)))</f>
        <v/>
      </c>
      <c r="I778" s="4">
        <f>IF(H778="","",G778&amp;"|"&amp;H778)</f>
        <v/>
      </c>
      <c r="J778" s="4" t="inlineStr">
        <is>
          <t>https://www.google.com/maps/search/?api=1&amp;query=C%C3%BApulla%20-%20Gastronom%C3%ADa%2C%20M%C3%BAsica%20%26%20Drinks&amp;query_place_id=ChIJK5StkrkFbJIRCQ3TypHHU6I</t>
        </is>
      </c>
      <c r="K778" s="4" t="inlineStr">
        <is>
          <t>Av. João Valério, 209 - Nossa Sra. das Graças, Manaus - AM, 69053-358, Brasil</t>
        </is>
      </c>
      <c r="L778" s="4" t="inlineStr">
        <is>
          <t>Manaus</t>
        </is>
      </c>
      <c r="M778" s="5" t="n">
        <v>1</v>
      </c>
    </row>
    <row r="779">
      <c r="A779" s="3">
        <f>RAND()</f>
        <v/>
      </c>
      <c r="B779" s="4" t="inlineStr">
        <is>
          <t>ChIJ90IDEAAFbJIR6c401jujMu4</t>
        </is>
      </c>
      <c r="C779" s="4" t="inlineStr">
        <is>
          <t>Dubai Adega &amp; Pub</t>
        </is>
      </c>
      <c r="D779" s="4" t="inlineStr">
        <is>
          <t>Manaus</t>
        </is>
      </c>
      <c r="E779" s="4" t="inlineStr">
        <is>
          <t>AM</t>
        </is>
      </c>
      <c r="F779" s="4" t="inlineStr">
        <is>
          <t>Metrópoles</t>
        </is>
      </c>
      <c r="G779" s="4" t="inlineStr">
        <is>
          <t>Metrópole</t>
        </is>
      </c>
      <c r="H779" s="5">
        <f>IF(G779="fora do recorte","",SUMPRODUCT(($G$3:$G$1723=G779)*($A$3:$A$1723&lt;=A779)))</f>
        <v/>
      </c>
      <c r="I779" s="4">
        <f>IF(H779="","",G779&amp;"|"&amp;H779)</f>
        <v/>
      </c>
      <c r="J779" s="4" t="inlineStr">
        <is>
          <t>https://www.google.com/maps/search/?api=1&amp;query=Dubai%20Adega%20%26%20Pub&amp;query_place_id=ChIJ90IDEAAFbJIR6c401jujMu4</t>
        </is>
      </c>
      <c r="K779" s="4" t="inlineStr">
        <is>
          <t>R. A 13, 1157 - Japiim, Manaus - AM, 69076-800, Brasil</t>
        </is>
      </c>
      <c r="L779" s="4" t="inlineStr">
        <is>
          <t>Manaus</t>
        </is>
      </c>
      <c r="M779" s="5" t="n">
        <v>1</v>
      </c>
    </row>
    <row r="780">
      <c r="A780" s="3">
        <f>RAND()</f>
        <v/>
      </c>
      <c r="B780" s="4" t="inlineStr">
        <is>
          <t>ChIJBWwuKaYabJIRoxMkesTAEmc</t>
        </is>
      </c>
      <c r="C780" s="4" t="inlineStr">
        <is>
          <t>FLORESTINHA PARK</t>
        </is>
      </c>
      <c r="D780" s="4" t="inlineStr">
        <is>
          <t>Manaus</t>
        </is>
      </c>
      <c r="E780" s="4" t="inlineStr">
        <is>
          <t>AM</t>
        </is>
      </c>
      <c r="F780" s="4" t="inlineStr">
        <is>
          <t>Metrópoles</t>
        </is>
      </c>
      <c r="G780" s="4" t="inlineStr">
        <is>
          <t>Metrópole</t>
        </is>
      </c>
      <c r="H780" s="5">
        <f>IF(G780="fora do recorte","",SUMPRODUCT(($G$3:$G$1723=G780)*($A$3:$A$1723&lt;=A780)))</f>
        <v/>
      </c>
      <c r="I780" s="4">
        <f>IF(H780="","",G780&amp;"|"&amp;H780)</f>
        <v/>
      </c>
      <c r="J780" s="4" t="inlineStr">
        <is>
          <t>https://www.google.com/maps/search/?api=1&amp;query=FLORESTINHA%20PARK&amp;query_place_id=ChIJBWwuKaYabJIRoxMkesTAEmc</t>
        </is>
      </c>
      <c r="K780" s="4" t="inlineStr">
        <is>
          <t>Av. Darcy Vargas, 183 - Compensa, Manaus - AM, 69030-060, Brasil</t>
        </is>
      </c>
      <c r="L780" s="4" t="inlineStr">
        <is>
          <t>Manaus</t>
        </is>
      </c>
      <c r="M780" s="5" t="n">
        <v>1</v>
      </c>
    </row>
    <row r="781">
      <c r="A781" s="3">
        <f>RAND()</f>
        <v/>
      </c>
      <c r="B781" s="4" t="inlineStr">
        <is>
          <t>ChIJh8R0pn8FbJIRrG0Lag8Cp2s</t>
        </is>
      </c>
      <c r="C781" s="4" t="inlineStr">
        <is>
          <t>Game Center</t>
        </is>
      </c>
      <c r="D781" s="4" t="inlineStr">
        <is>
          <t>Manaus</t>
        </is>
      </c>
      <c r="E781" s="4" t="inlineStr">
        <is>
          <t>AM</t>
        </is>
      </c>
      <c r="F781" s="4" t="inlineStr">
        <is>
          <t>Metrópoles</t>
        </is>
      </c>
      <c r="G781" s="4" t="inlineStr">
        <is>
          <t>Metrópole</t>
        </is>
      </c>
      <c r="H781" s="5">
        <f>IF(G781="fora do recorte","",SUMPRODUCT(($G$3:$G$1723=G781)*($A$3:$A$1723&lt;=A781)))</f>
        <v/>
      </c>
      <c r="I781" s="4">
        <f>IF(H781="","",G781&amp;"|"&amp;H781)</f>
        <v/>
      </c>
      <c r="J781" s="4" t="inlineStr">
        <is>
          <t>https://www.google.com/maps/search/?api=1&amp;query=Game%20Center&amp;query_place_id=ChIJh8R0pn8FbJIRrG0Lag8Cp2s</t>
        </is>
      </c>
      <c r="K781" s="4" t="inlineStr">
        <is>
          <t>R. Marcílio Dias, 256 - Centro, Manaus - AM, 69005-270, Brasil</t>
        </is>
      </c>
      <c r="L781" s="4" t="inlineStr">
        <is>
          <t>Manaus</t>
        </is>
      </c>
      <c r="M781" s="5" t="n">
        <v>1</v>
      </c>
    </row>
    <row r="782">
      <c r="A782" s="3">
        <f>RAND()</f>
        <v/>
      </c>
      <c r="B782" s="4" t="inlineStr">
        <is>
          <t>ChIJO7LH1QwbbJIRctLpKjHqzGs</t>
        </is>
      </c>
      <c r="C782" s="4" t="inlineStr">
        <is>
          <t>Giardelli Bandeira</t>
        </is>
      </c>
      <c r="D782" s="4" t="inlineStr">
        <is>
          <t>Manaus</t>
        </is>
      </c>
      <c r="E782" s="4" t="inlineStr">
        <is>
          <t>AM</t>
        </is>
      </c>
      <c r="F782" s="4" t="inlineStr">
        <is>
          <t>Metrópoles</t>
        </is>
      </c>
      <c r="G782" s="4" t="inlineStr">
        <is>
          <t>Metrópole</t>
        </is>
      </c>
      <c r="H782" s="5">
        <f>IF(G782="fora do recorte","",SUMPRODUCT(($G$3:$G$1723=G782)*($A$3:$A$1723&lt;=A782)))</f>
        <v/>
      </c>
      <c r="I782" s="4">
        <f>IF(H782="","",G782&amp;"|"&amp;H782)</f>
        <v/>
      </c>
      <c r="J782" s="4" t="inlineStr">
        <is>
          <t>https://www.google.com/maps/search/?api=1&amp;query=Giardelli%20Bandeira&amp;query_place_id=ChIJO7LH1QwbbJIRctLpKjHqzGs</t>
        </is>
      </c>
      <c r="K782" s="4" t="inlineStr">
        <is>
          <t>Condomínio Edifício San Remo - Av. Mário Ypiranga, 2500 - Ap 204 - Parque 10 de Novembro, Manaus - AM, 69050-030, Brasil</t>
        </is>
      </c>
      <c r="L782" s="4" t="inlineStr">
        <is>
          <t>Manaus</t>
        </is>
      </c>
      <c r="M782" s="5" t="n">
        <v>2</v>
      </c>
    </row>
    <row r="783">
      <c r="A783" s="3">
        <f>RAND()</f>
        <v/>
      </c>
      <c r="B783" s="4" t="inlineStr">
        <is>
          <t>ChIJU7GxgH0bbJIR8s7ilchscKY</t>
        </is>
      </c>
      <c r="C783" s="4" t="inlineStr">
        <is>
          <t>Goiaba Bar e Burguer</t>
        </is>
      </c>
      <c r="D783" s="4" t="inlineStr">
        <is>
          <t>Manaus</t>
        </is>
      </c>
      <c r="E783" s="4" t="inlineStr">
        <is>
          <t>AM</t>
        </is>
      </c>
      <c r="F783" s="4" t="inlineStr">
        <is>
          <t>Metrópoles</t>
        </is>
      </c>
      <c r="G783" s="4" t="inlineStr">
        <is>
          <t>Metrópole</t>
        </is>
      </c>
      <c r="H783" s="5">
        <f>IF(G783="fora do recorte","",SUMPRODUCT(($G$3:$G$1723=G783)*($A$3:$A$1723&lt;=A783)))</f>
        <v/>
      </c>
      <c r="I783" s="4">
        <f>IF(H783="","",G783&amp;"|"&amp;H783)</f>
        <v/>
      </c>
      <c r="J783" s="4" t="inlineStr">
        <is>
          <t>https://www.google.com/maps/search/?api=1&amp;query=Goiaba%20Bar%20e%20Burguer&amp;query_place_id=ChIJU7GxgH0bbJIR8s7ilchscKY</t>
        </is>
      </c>
      <c r="K783" s="4" t="inlineStr">
        <is>
          <t>R. René de Nápolis - Adrianópolis, Manaus - AM, 69057-580, Brasil</t>
        </is>
      </c>
      <c r="L783" s="4" t="inlineStr">
        <is>
          <t>Manaus</t>
        </is>
      </c>
      <c r="M783" s="5" t="n">
        <v>1</v>
      </c>
    </row>
    <row r="784">
      <c r="A784" s="3">
        <f>RAND()</f>
        <v/>
      </c>
      <c r="B784" s="4" t="inlineStr">
        <is>
          <t>ChIJMaxN_-cdbJIRTm4DoUWT1wU</t>
        </is>
      </c>
      <c r="C784" s="4" t="inlineStr">
        <is>
          <t>Guilda Free fire recrutamento</t>
        </is>
      </c>
      <c r="D784" s="4" t="inlineStr">
        <is>
          <t>Manaus</t>
        </is>
      </c>
      <c r="E784" s="4" t="inlineStr">
        <is>
          <t>AM</t>
        </is>
      </c>
      <c r="F784" s="4" t="inlineStr">
        <is>
          <t>Metrópoles</t>
        </is>
      </c>
      <c r="G784" s="4" t="inlineStr">
        <is>
          <t>Metrópole</t>
        </is>
      </c>
      <c r="H784" s="5">
        <f>IF(G784="fora do recorte","",SUMPRODUCT(($G$3:$G$1723=G784)*($A$3:$A$1723&lt;=A784)))</f>
        <v/>
      </c>
      <c r="I784" s="4">
        <f>IF(H784="","",G784&amp;"|"&amp;H784)</f>
        <v/>
      </c>
      <c r="J784" s="4" t="inlineStr">
        <is>
          <t>https://www.google.com/maps/search/?api=1&amp;query=Guilda%20Free%20fire%20recrutamento&amp;query_place_id=ChIJMaxN_-cdbJIRTm4DoUWT1wU</t>
        </is>
      </c>
      <c r="K784" s="4" t="inlineStr">
        <is>
          <t>329 - Puraquequara, Manaus - AM, 69009-026, Brasil</t>
        </is>
      </c>
      <c r="L784" s="4" t="inlineStr">
        <is>
          <t>Manaus</t>
        </is>
      </c>
      <c r="M784" s="5" t="n">
        <v>2</v>
      </c>
    </row>
    <row r="785">
      <c r="A785" s="3">
        <f>RAND()</f>
        <v/>
      </c>
      <c r="B785" s="4" t="inlineStr">
        <is>
          <t>ChIJ8QPAEaEFbJIR3WhdsNGCB0E</t>
        </is>
      </c>
      <c r="C785" s="4" t="inlineStr">
        <is>
          <t>Importadora MM</t>
        </is>
      </c>
      <c r="D785" s="4" t="inlineStr">
        <is>
          <t>Manaus</t>
        </is>
      </c>
      <c r="E785" s="4" t="inlineStr">
        <is>
          <t>AM</t>
        </is>
      </c>
      <c r="F785" s="4" t="inlineStr">
        <is>
          <t>Metrópoles</t>
        </is>
      </c>
      <c r="G785" s="4" t="inlineStr">
        <is>
          <t>Metrópole</t>
        </is>
      </c>
      <c r="H785" s="5">
        <f>IF(G785="fora do recorte","",SUMPRODUCT(($G$3:$G$1723=G785)*($A$3:$A$1723&lt;=A785)))</f>
        <v/>
      </c>
      <c r="I785" s="4">
        <f>IF(H785="","",G785&amp;"|"&amp;H785)</f>
        <v/>
      </c>
      <c r="J785" s="4" t="inlineStr">
        <is>
          <t>https://www.google.com/maps/search/?api=1&amp;query=Importadora%20MM&amp;query_place_id=ChIJ8QPAEaEFbJIR3WhdsNGCB0E</t>
        </is>
      </c>
      <c r="K785" s="4" t="inlineStr">
        <is>
          <t>R. dos Andradas, 201 - Centro, Manaus - AM, 69005-180, Brasil</t>
        </is>
      </c>
      <c r="L785" s="4" t="inlineStr">
        <is>
          <t>Manaus</t>
        </is>
      </c>
      <c r="M785" s="5" t="n">
        <v>2</v>
      </c>
    </row>
    <row r="786">
      <c r="A786" s="3">
        <f>RAND()</f>
        <v/>
      </c>
      <c r="B786" s="4" t="inlineStr">
        <is>
          <t>ChIJi_f8EZwbbJIRYfbIVXOHPW0</t>
        </is>
      </c>
      <c r="C786" s="4" t="inlineStr">
        <is>
          <t>Info Store Grande Circular</t>
        </is>
      </c>
      <c r="D786" s="4" t="inlineStr">
        <is>
          <t>Manaus</t>
        </is>
      </c>
      <c r="E786" s="4" t="inlineStr">
        <is>
          <t>AM</t>
        </is>
      </c>
      <c r="F786" s="4" t="inlineStr">
        <is>
          <t>Metrópoles</t>
        </is>
      </c>
      <c r="G786" s="4" t="inlineStr">
        <is>
          <t>Metrópole</t>
        </is>
      </c>
      <c r="H786" s="5">
        <f>IF(G786="fora do recorte","",SUMPRODUCT(($G$3:$G$1723=G786)*($A$3:$A$1723&lt;=A786)))</f>
        <v/>
      </c>
      <c r="I786" s="4">
        <f>IF(H786="","",G786&amp;"|"&amp;H786)</f>
        <v/>
      </c>
      <c r="J786" s="4" t="inlineStr">
        <is>
          <t>https://www.google.com/maps/search/?api=1&amp;query=Info%20Store%20Grande%20Circular&amp;query_place_id=ChIJi_f8EZwbbJIRYfbIVXOHPW0</t>
        </is>
      </c>
      <c r="K786" s="4" t="inlineStr">
        <is>
          <t>Av. Autaz Mirim, 6100 - São José Operário, Manaus - AM, 69085-000, Brasil</t>
        </is>
      </c>
      <c r="L786" s="4" t="inlineStr">
        <is>
          <t>Manaus</t>
        </is>
      </c>
      <c r="M786" s="5" t="n">
        <v>1</v>
      </c>
    </row>
    <row r="787">
      <c r="A787" s="3">
        <f>RAND()</f>
        <v/>
      </c>
      <c r="B787" s="4" t="inlineStr">
        <is>
          <t>ChIJXcXD0JAFbJIRQmdQjmspPjQ</t>
        </is>
      </c>
      <c r="C787" s="4" t="inlineStr">
        <is>
          <t>JG GAMES</t>
        </is>
      </c>
      <c r="D787" s="4" t="inlineStr">
        <is>
          <t>Manaus</t>
        </is>
      </c>
      <c r="E787" s="4" t="inlineStr">
        <is>
          <t>AM</t>
        </is>
      </c>
      <c r="F787" s="4" t="inlineStr">
        <is>
          <t>Metrópoles</t>
        </is>
      </c>
      <c r="G787" s="4" t="inlineStr">
        <is>
          <t>Metrópole</t>
        </is>
      </c>
      <c r="H787" s="5">
        <f>IF(G787="fora do recorte","",SUMPRODUCT(($G$3:$G$1723=G787)*($A$3:$A$1723&lt;=A787)))</f>
        <v/>
      </c>
      <c r="I787" s="4">
        <f>IF(H787="","",G787&amp;"|"&amp;H787)</f>
        <v/>
      </c>
      <c r="J787" s="4" t="inlineStr">
        <is>
          <t>https://www.google.com/maps/search/?api=1&amp;query=JG%20GAMES&amp;query_place_id=ChIJXcXD0JAFbJIRQmdQjmspPjQ</t>
        </is>
      </c>
      <c r="K787" s="4" t="inlineStr">
        <is>
          <t>R. 13 de Maio, 381 - Colônia Oliveira Machado, Manaus - AM, 69070-770, Brasil</t>
        </is>
      </c>
      <c r="L787" s="4" t="inlineStr">
        <is>
          <t>Manaus</t>
        </is>
      </c>
      <c r="M787" s="5" t="n">
        <v>1</v>
      </c>
    </row>
    <row r="788">
      <c r="A788" s="3">
        <f>RAND()</f>
        <v/>
      </c>
      <c r="B788" s="4" t="inlineStr">
        <is>
          <t>ChIJpwS271sbbJIRDzSHeBJFQbg</t>
        </is>
      </c>
      <c r="C788" s="4" t="inlineStr">
        <is>
          <t>KAZUMA GAMES</t>
        </is>
      </c>
      <c r="D788" s="4" t="inlineStr">
        <is>
          <t>Manaus</t>
        </is>
      </c>
      <c r="E788" s="4" t="inlineStr">
        <is>
          <t>AM</t>
        </is>
      </c>
      <c r="F788" s="4" t="inlineStr">
        <is>
          <t>Metrópoles</t>
        </is>
      </c>
      <c r="G788" s="4" t="inlineStr">
        <is>
          <t>Metrópole</t>
        </is>
      </c>
      <c r="H788" s="5">
        <f>IF(G788="fora do recorte","",SUMPRODUCT(($G$3:$G$1723=G788)*($A$3:$A$1723&lt;=A788)))</f>
        <v/>
      </c>
      <c r="I788" s="4">
        <f>IF(H788="","",G788&amp;"|"&amp;H788)</f>
        <v/>
      </c>
      <c r="J788" s="4" t="inlineStr">
        <is>
          <t>https://www.google.com/maps/search/?api=1&amp;query=KAZUMA%20GAMES&amp;query_place_id=ChIJpwS271sbbJIRDzSHeBJFQbg</t>
        </is>
      </c>
      <c r="K788" s="4" t="inlineStr">
        <is>
          <t>R. Des. Filismino Soares, 50 B - Colônia Oliveira Machado, Manaus - AM, 69070-620, Brasil</t>
        </is>
      </c>
      <c r="L788" s="4" t="inlineStr">
        <is>
          <t>Manaus</t>
        </is>
      </c>
      <c r="M788" s="5" t="n">
        <v>1</v>
      </c>
    </row>
    <row r="789">
      <c r="A789" s="3">
        <f>RAND()</f>
        <v/>
      </c>
      <c r="B789" s="4" t="inlineStr">
        <is>
          <t>ChIJ7-8VP2UFbJIRs9TAU5HOOjY</t>
        </is>
      </c>
      <c r="C789" s="4" t="inlineStr">
        <is>
          <t>KODI</t>
        </is>
      </c>
      <c r="D789" s="4" t="inlineStr">
        <is>
          <t>Manaus</t>
        </is>
      </c>
      <c r="E789" s="4" t="inlineStr">
        <is>
          <t>AM</t>
        </is>
      </c>
      <c r="F789" s="4" t="inlineStr">
        <is>
          <t>Metrópoles</t>
        </is>
      </c>
      <c r="G789" s="4" t="inlineStr">
        <is>
          <t>Metrópole</t>
        </is>
      </c>
      <c r="H789" s="5">
        <f>IF(G789="fora do recorte","",SUMPRODUCT(($G$3:$G$1723=G789)*($A$3:$A$1723&lt;=A789)))</f>
        <v/>
      </c>
      <c r="I789" s="4">
        <f>IF(H789="","",G789&amp;"|"&amp;H789)</f>
        <v/>
      </c>
      <c r="J789" s="4" t="inlineStr">
        <is>
          <t>https://www.google.com/maps/search/?api=1&amp;query=KODI&amp;query_place_id=ChIJ7-8VP2UFbJIRs9TAU5HOOjY</t>
        </is>
      </c>
      <c r="K789" s="4" t="inlineStr">
        <is>
          <t>Av. Ramos Ferreira, 1684 - Centro, Manaus - AM, 69065-015, Brasil</t>
        </is>
      </c>
      <c r="L789" s="4" t="inlineStr">
        <is>
          <t>Manaus</t>
        </is>
      </c>
      <c r="M789" s="5" t="n">
        <v>1</v>
      </c>
    </row>
    <row r="790">
      <c r="A790" s="3">
        <f>RAND()</f>
        <v/>
      </c>
      <c r="B790" s="4" t="inlineStr">
        <is>
          <t>ChIJ04_JYe8FbJIRb1BnycY8sWQ</t>
        </is>
      </c>
      <c r="C790" s="4" t="inlineStr">
        <is>
          <t>Khalifa Pub</t>
        </is>
      </c>
      <c r="D790" s="4" t="inlineStr">
        <is>
          <t>Manaus</t>
        </is>
      </c>
      <c r="E790" s="4" t="inlineStr">
        <is>
          <t>AM</t>
        </is>
      </c>
      <c r="F790" s="4" t="inlineStr">
        <is>
          <t>Metrópoles</t>
        </is>
      </c>
      <c r="G790" s="4" t="inlineStr">
        <is>
          <t>Metrópole</t>
        </is>
      </c>
      <c r="H790" s="5">
        <f>IF(G790="fora do recorte","",SUMPRODUCT(($G$3:$G$1723=G790)*($A$3:$A$1723&lt;=A790)))</f>
        <v/>
      </c>
      <c r="I790" s="4">
        <f>IF(H790="","",G790&amp;"|"&amp;H790)</f>
        <v/>
      </c>
      <c r="J790" s="4" t="inlineStr">
        <is>
          <t>https://www.google.com/maps/search/?api=1&amp;query=Khalifa%20Pub&amp;query_place_id=ChIJ04_JYe8FbJIRb1BnycY8sWQ</t>
        </is>
      </c>
      <c r="K790" s="4" t="inlineStr">
        <is>
          <t>Av. Parintins, 546 - Cachoeirinha, Manaus - AM, 69065-050, Brasil</t>
        </is>
      </c>
      <c r="L790" s="4" t="inlineStr">
        <is>
          <t>Manaus</t>
        </is>
      </c>
      <c r="M790" s="5" t="n">
        <v>1</v>
      </c>
    </row>
    <row r="791">
      <c r="A791" s="3">
        <f>RAND()</f>
        <v/>
      </c>
      <c r="B791" s="4" t="inlineStr">
        <is>
          <t>ChIJX22MyDERbJIRsCqlEL7HtZ8</t>
        </is>
      </c>
      <c r="C791" s="4" t="inlineStr">
        <is>
          <t>Kixiki Bar</t>
        </is>
      </c>
      <c r="D791" s="4" t="inlineStr">
        <is>
          <t>Manaus</t>
        </is>
      </c>
      <c r="E791" s="4" t="inlineStr">
        <is>
          <t>AM</t>
        </is>
      </c>
      <c r="F791" s="4" t="inlineStr">
        <is>
          <t>Metrópoles</t>
        </is>
      </c>
      <c r="G791" s="4" t="inlineStr">
        <is>
          <t>Metrópole</t>
        </is>
      </c>
      <c r="H791" s="5">
        <f>IF(G791="fora do recorte","",SUMPRODUCT(($G$3:$G$1723=G791)*($A$3:$A$1723&lt;=A791)))</f>
        <v/>
      </c>
      <c r="I791" s="4">
        <f>IF(H791="","",G791&amp;"|"&amp;H791)</f>
        <v/>
      </c>
      <c r="J791" s="4" t="inlineStr">
        <is>
          <t>https://www.google.com/maps/search/?api=1&amp;query=Kixiki%20Bar&amp;query_place_id=ChIJX22MyDERbJIRsCqlEL7HtZ8</t>
        </is>
      </c>
      <c r="K791" s="4" t="inlineStr">
        <is>
          <t>R. da Prosperidade, 382 - Alvorada, Manaus - AM, 69042-220, Brasil</t>
        </is>
      </c>
      <c r="L791" s="4" t="inlineStr">
        <is>
          <t>Manaus</t>
        </is>
      </c>
      <c r="M791" s="5" t="n">
        <v>1</v>
      </c>
    </row>
    <row r="792">
      <c r="A792" s="3">
        <f>RAND()</f>
        <v/>
      </c>
      <c r="B792" s="4" t="inlineStr">
        <is>
          <t>ChIJFRSO-88FbJIRJnTITUle7Fc</t>
        </is>
      </c>
      <c r="C792" s="4" t="inlineStr">
        <is>
          <t>LOCANDO MEMÓRIAS EVENTOS</t>
        </is>
      </c>
      <c r="D792" s="4" t="inlineStr">
        <is>
          <t>Manaus</t>
        </is>
      </c>
      <c r="E792" s="4" t="inlineStr">
        <is>
          <t>AM</t>
        </is>
      </c>
      <c r="F792" s="4" t="inlineStr">
        <is>
          <t>Metrópoles</t>
        </is>
      </c>
      <c r="G792" s="4" t="inlineStr">
        <is>
          <t>Metrópole</t>
        </is>
      </c>
      <c r="H792" s="5">
        <f>IF(G792="fora do recorte","",SUMPRODUCT(($G$3:$G$1723=G792)*($A$3:$A$1723&lt;=A792)))</f>
        <v/>
      </c>
      <c r="I792" s="4">
        <f>IF(H792="","",G792&amp;"|"&amp;H792)</f>
        <v/>
      </c>
      <c r="J792" s="4" t="inlineStr">
        <is>
          <t>https://www.google.com/maps/search/?api=1&amp;query=LOCANDO%20MEM%C3%93RIAS%20EVENTOS&amp;query_place_id=ChIJFRSO-88FbJIRJnTITUle7Fc</t>
        </is>
      </c>
      <c r="K792" s="4" t="inlineStr">
        <is>
          <t>Av. Tefé, 84 - Cachoeirinha, Manaus - AM, 69065-020, Brasil</t>
        </is>
      </c>
      <c r="L792" s="4" t="inlineStr">
        <is>
          <t>Manaus</t>
        </is>
      </c>
      <c r="M792" s="5" t="n">
        <v>1</v>
      </c>
    </row>
    <row r="793">
      <c r="A793" s="3">
        <f>RAND()</f>
        <v/>
      </c>
      <c r="B793" s="4" t="inlineStr">
        <is>
          <t>ChIJ105u2bcZbJIRW2QgRQzW4uk</t>
        </is>
      </c>
      <c r="C793" s="4" t="inlineStr">
        <is>
          <t>Lago Nerd Luderia - Jogos de Tabuleiro</t>
        </is>
      </c>
      <c r="D793" s="4" t="inlineStr">
        <is>
          <t>Manaus</t>
        </is>
      </c>
      <c r="E793" s="4" t="inlineStr">
        <is>
          <t>AM</t>
        </is>
      </c>
      <c r="F793" s="4" t="inlineStr">
        <is>
          <t>Metrópoles</t>
        </is>
      </c>
      <c r="G793" s="4" t="inlineStr">
        <is>
          <t>Metrópole</t>
        </is>
      </c>
      <c r="H793" s="5">
        <f>IF(G793="fora do recorte","",SUMPRODUCT(($G$3:$G$1723=G793)*($A$3:$A$1723&lt;=A793)))</f>
        <v/>
      </c>
      <c r="I793" s="4">
        <f>IF(H793="","",G793&amp;"|"&amp;H793)</f>
        <v/>
      </c>
      <c r="J793" s="4" t="inlineStr">
        <is>
          <t>https://www.google.com/maps/search/?api=1&amp;query=Lago%20Nerd%20Luderia%20-%20Jogos%20de%20Tabuleiro&amp;query_place_id=ChIJ105u2bcZbJIRW2QgRQzW4uk</t>
        </is>
      </c>
      <c r="K793" s="4" t="inlineStr">
        <is>
          <t>Cond Reserva da Cidade, 381 - Cidade Nova, Manaus - AM, 69090-299, Brasil</t>
        </is>
      </c>
      <c r="L793" s="4" t="inlineStr">
        <is>
          <t>Manaus</t>
        </is>
      </c>
      <c r="M793" s="5" t="n">
        <v>12</v>
      </c>
    </row>
    <row r="794">
      <c r="A794" s="3">
        <f>RAND()</f>
        <v/>
      </c>
      <c r="B794" s="4" t="inlineStr">
        <is>
          <t>ChIJ5XUdKqYabJIRR6AMN_zwMQA</t>
        </is>
      </c>
      <c r="C794" s="4" t="inlineStr">
        <is>
          <t>Livraria Leitura Amazonas</t>
        </is>
      </c>
      <c r="D794" s="4" t="inlineStr">
        <is>
          <t>Manaus</t>
        </is>
      </c>
      <c r="E794" s="4" t="inlineStr">
        <is>
          <t>AM</t>
        </is>
      </c>
      <c r="F794" s="4" t="inlineStr">
        <is>
          <t>Metrópoles</t>
        </is>
      </c>
      <c r="G794" s="4" t="inlineStr">
        <is>
          <t>Metrópole</t>
        </is>
      </c>
      <c r="H794" s="5">
        <f>IF(G794="fora do recorte","",SUMPRODUCT(($G$3:$G$1723=G794)*($A$3:$A$1723&lt;=A794)))</f>
        <v/>
      </c>
      <c r="I794" s="4">
        <f>IF(H794="","",G794&amp;"|"&amp;H794)</f>
        <v/>
      </c>
      <c r="J794" s="4" t="inlineStr">
        <is>
          <t>https://www.google.com/maps/search/?api=1&amp;query=Livraria%20Leitura%20Amazonas&amp;query_place_id=ChIJ5XUdKqYabJIRR6AMN_zwMQA</t>
        </is>
      </c>
      <c r="K794" s="4" t="inlineStr">
        <is>
          <t>Amazonas Shopping LOJA 420 PQR 2 PISO 482 - Av. Djalma Batista - Parque Dez de Novembro, Manaus - AM, 69055-038, Brasil</t>
        </is>
      </c>
      <c r="L794" s="4" t="inlineStr">
        <is>
          <t>Manaus</t>
        </is>
      </c>
      <c r="M794" s="5" t="n">
        <v>2</v>
      </c>
    </row>
    <row r="795">
      <c r="A795" s="3">
        <f>RAND()</f>
        <v/>
      </c>
      <c r="B795" s="4" t="inlineStr">
        <is>
          <t>ChIJM0kf_VMFbJIR3npiNtCefVE</t>
        </is>
      </c>
      <c r="C795" s="4" t="inlineStr">
        <is>
          <t>Locomotiva Brinquedos - João Valério - Nossa Senhora Das Graças</t>
        </is>
      </c>
      <c r="D795" s="4" t="inlineStr">
        <is>
          <t>Manaus</t>
        </is>
      </c>
      <c r="E795" s="4" t="inlineStr">
        <is>
          <t>AM</t>
        </is>
      </c>
      <c r="F795" s="4" t="inlineStr">
        <is>
          <t>Metrópoles</t>
        </is>
      </c>
      <c r="G795" s="4" t="inlineStr">
        <is>
          <t>Metrópole</t>
        </is>
      </c>
      <c r="H795" s="5">
        <f>IF(G795="fora do recorte","",SUMPRODUCT(($G$3:$G$1723=G795)*($A$3:$A$1723&lt;=A795)))</f>
        <v/>
      </c>
      <c r="I795" s="4">
        <f>IF(H795="","",G795&amp;"|"&amp;H795)</f>
        <v/>
      </c>
      <c r="J795" s="4" t="inlineStr">
        <is>
          <t>https://www.google.com/maps/search/?api=1&amp;query=Locomotiva%20Brinquedos%20-%20Jo%C3%A3o%20Val%C3%A9rio%20-%20Nossa%20Senhora%20Das%20Gra%C3%A7as&amp;query_place_id=ChIJM0kf_VMFbJIR3npiNtCefVE</t>
        </is>
      </c>
      <c r="K795" s="4" t="inlineStr">
        <is>
          <t>Av. João Valério, 885 - Nossa Sra. das Graças, Manaus - AM, 69053-140, Brasil</t>
        </is>
      </c>
      <c r="L795" s="4" t="inlineStr">
        <is>
          <t>Manaus</t>
        </is>
      </c>
      <c r="M795" s="5" t="n">
        <v>2</v>
      </c>
    </row>
    <row r="796">
      <c r="A796" s="3">
        <f>RAND()</f>
        <v/>
      </c>
      <c r="B796" s="4" t="inlineStr">
        <is>
          <t>ChIJE1I36GEFbJIRMxvlDnsif8U</t>
        </is>
      </c>
      <c r="C796" s="4" t="inlineStr">
        <is>
          <t>Loja Calabouço</t>
        </is>
      </c>
      <c r="D796" s="4" t="inlineStr">
        <is>
          <t>Manaus</t>
        </is>
      </c>
      <c r="E796" s="4" t="inlineStr">
        <is>
          <t>AM</t>
        </is>
      </c>
      <c r="F796" s="4" t="inlineStr">
        <is>
          <t>Metrópoles</t>
        </is>
      </c>
      <c r="G796" s="4" t="inlineStr">
        <is>
          <t>Metrópole</t>
        </is>
      </c>
      <c r="H796" s="5">
        <f>IF(G796="fora do recorte","",SUMPRODUCT(($G$3:$G$1723=G796)*($A$3:$A$1723&lt;=A796)))</f>
        <v/>
      </c>
      <c r="I796" s="4">
        <f>IF(H796="","",G796&amp;"|"&amp;H796)</f>
        <v/>
      </c>
      <c r="J796" s="4" t="inlineStr">
        <is>
          <t>https://www.google.com/maps/search/?api=1&amp;query=Loja%20Calabou%C3%A7o&amp;query_place_id=ChIJE1I36GEFbJIRMxvlDnsif8U</t>
        </is>
      </c>
      <c r="K796" s="4" t="inlineStr">
        <is>
          <t>R. 7 Cj. Shangrila IV, 21 - Quadra 7 - Parque 10 de Novembro, Manaus - AM, 69054-738, Brasil</t>
        </is>
      </c>
      <c r="L796" s="4" t="inlineStr">
        <is>
          <t>Manaus</t>
        </is>
      </c>
      <c r="M796" s="5" t="n">
        <v>6</v>
      </c>
    </row>
    <row r="797">
      <c r="A797" s="3">
        <f>RAND()</f>
        <v/>
      </c>
      <c r="B797" s="4" t="inlineStr">
        <is>
          <t>ChIJMZANeqQabJIRWOafgRjXIMM</t>
        </is>
      </c>
      <c r="C797" s="4" t="inlineStr">
        <is>
          <t>Loja Daisuki</t>
        </is>
      </c>
      <c r="D797" s="4" t="inlineStr">
        <is>
          <t>Manaus</t>
        </is>
      </c>
      <c r="E797" s="4" t="inlineStr">
        <is>
          <t>AM</t>
        </is>
      </c>
      <c r="F797" s="4" t="inlineStr">
        <is>
          <t>Metrópoles</t>
        </is>
      </c>
      <c r="G797" s="4" t="inlineStr">
        <is>
          <t>Metrópole</t>
        </is>
      </c>
      <c r="H797" s="5">
        <f>IF(G797="fora do recorte","",SUMPRODUCT(($G$3:$G$1723=G797)*($A$3:$A$1723&lt;=A797)))</f>
        <v/>
      </c>
      <c r="I797" s="4">
        <f>IF(H797="","",G797&amp;"|"&amp;H797)</f>
        <v/>
      </c>
      <c r="J797" s="4" t="inlineStr">
        <is>
          <t>https://www.google.com/maps/search/?api=1&amp;query=Loja%20Daisuki&amp;query_place_id=ChIJMZANeqQabJIRWOafgRjXIMM</t>
        </is>
      </c>
      <c r="K797" s="4" t="inlineStr">
        <is>
          <t>R. Wilson de Castro, 42 - Conjunto Eldorado, Manaus - AM, 69050-160, Brasil</t>
        </is>
      </c>
      <c r="L797" s="4" t="inlineStr">
        <is>
          <t>Manaus</t>
        </is>
      </c>
      <c r="M797" s="5" t="n">
        <v>6</v>
      </c>
    </row>
    <row r="798">
      <c r="A798" s="3">
        <f>RAND()</f>
        <v/>
      </c>
      <c r="B798" s="4" t="inlineStr">
        <is>
          <t>ChIJQ7C1j-gRbJIRurIiymY9nfc</t>
        </is>
      </c>
      <c r="C798" s="4" t="inlineStr">
        <is>
          <t>Lua em Pedaços</t>
        </is>
      </c>
      <c r="D798" s="4" t="inlineStr">
        <is>
          <t>Manaus</t>
        </is>
      </c>
      <c r="E798" s="4" t="inlineStr">
        <is>
          <t>AM</t>
        </is>
      </c>
      <c r="F798" s="4" t="inlineStr">
        <is>
          <t>Metrópoles</t>
        </is>
      </c>
      <c r="G798" s="4" t="inlineStr">
        <is>
          <t>Metrópole</t>
        </is>
      </c>
      <c r="H798" s="5">
        <f>IF(G798="fora do recorte","",SUMPRODUCT(($G$3:$G$1723=G798)*($A$3:$A$1723&lt;=A798)))</f>
        <v/>
      </c>
      <c r="I798" s="4">
        <f>IF(H798="","",G798&amp;"|"&amp;H798)</f>
        <v/>
      </c>
      <c r="J798" s="4" t="inlineStr">
        <is>
          <t>https://www.google.com/maps/search/?api=1&amp;query=Lua%20em%20Peda%C3%A7os&amp;query_place_id=ChIJQ7C1j-gRbJIRurIiymY9nfc</t>
        </is>
      </c>
      <c r="K798" s="4" t="inlineStr">
        <is>
          <t>de Flores - R. Vale do Juruá, 2 - Quadra Q, Conjunto - Dom Pedro, Manaus - AM, 69043-620, Brasil</t>
        </is>
      </c>
      <c r="L798" s="4" t="inlineStr">
        <is>
          <t>Manaus</t>
        </is>
      </c>
      <c r="M798" s="5" t="n">
        <v>2</v>
      </c>
    </row>
    <row r="799">
      <c r="A799" s="3">
        <f>RAND()</f>
        <v/>
      </c>
      <c r="B799" s="4" t="inlineStr">
        <is>
          <t>ChIJiU-vagARbJIRQhVHdRE-XRg</t>
        </is>
      </c>
      <c r="C799" s="4" t="inlineStr">
        <is>
          <t>Lunar</t>
        </is>
      </c>
      <c r="D799" s="4" t="inlineStr">
        <is>
          <t>Manaus</t>
        </is>
      </c>
      <c r="E799" s="4" t="inlineStr">
        <is>
          <t>AM</t>
        </is>
      </c>
      <c r="F799" s="4" t="inlineStr">
        <is>
          <t>Metrópoles</t>
        </is>
      </c>
      <c r="G799" s="4" t="inlineStr">
        <is>
          <t>Metrópole</t>
        </is>
      </c>
      <c r="H799" s="5">
        <f>IF(G799="fora do recorte","",SUMPRODUCT(($G$3:$G$1723=G799)*($A$3:$A$1723&lt;=A799)))</f>
        <v/>
      </c>
      <c r="I799" s="4">
        <f>IF(H799="","",G799&amp;"|"&amp;H799)</f>
        <v/>
      </c>
      <c r="J799" s="4" t="inlineStr">
        <is>
          <t>https://www.google.com/maps/search/?api=1&amp;query=Lunar&amp;query_place_id=ChIJiU-vagARbJIRQhVHdRE-XRg</t>
        </is>
      </c>
      <c r="K799" s="4" t="inlineStr">
        <is>
          <t>R. Visc. de Pôrto Seguro, 575 - Pq Das Laranjeiras, Manaus - AM, 69058-090, Brasil</t>
        </is>
      </c>
      <c r="L799" s="4" t="inlineStr">
        <is>
          <t>Manaus</t>
        </is>
      </c>
      <c r="M799" s="5" t="n">
        <v>2</v>
      </c>
    </row>
    <row r="800">
      <c r="A800" s="3">
        <f>RAND()</f>
        <v/>
      </c>
      <c r="B800" s="4" t="inlineStr">
        <is>
          <t>ChIJ7dY1rZ4bbJIROoUugyZBFlk</t>
        </is>
      </c>
      <c r="C800" s="4" t="inlineStr">
        <is>
          <t>Meet Cozinha Boêmia</t>
        </is>
      </c>
      <c r="D800" s="4" t="inlineStr">
        <is>
          <t>Manaus</t>
        </is>
      </c>
      <c r="E800" s="4" t="inlineStr">
        <is>
          <t>AM</t>
        </is>
      </c>
      <c r="F800" s="4" t="inlineStr">
        <is>
          <t>Metrópoles</t>
        </is>
      </c>
      <c r="G800" s="4" t="inlineStr">
        <is>
          <t>Metrópole</t>
        </is>
      </c>
      <c r="H800" s="5">
        <f>IF(G800="fora do recorte","",SUMPRODUCT(($G$3:$G$1723=G800)*($A$3:$A$1723&lt;=A800)))</f>
        <v/>
      </c>
      <c r="I800" s="4">
        <f>IF(H800="","",G800&amp;"|"&amp;H800)</f>
        <v/>
      </c>
      <c r="J800" s="4" t="inlineStr">
        <is>
          <t>https://www.google.com/maps/search/?api=1&amp;query=Meet%20Cozinha%20Bo%C3%AAmia&amp;query_place_id=ChIJ7dY1rZ4bbJIROoUugyZBFlk</t>
        </is>
      </c>
      <c r="K800" s="4" t="inlineStr">
        <is>
          <t>R. Rio Mar, 58 - Nossa Sra. das Graças, Manaus - AM, 69053-120, Brasil</t>
        </is>
      </c>
      <c r="L800" s="4" t="inlineStr">
        <is>
          <t>Manaus</t>
        </is>
      </c>
      <c r="M800" s="5" t="n">
        <v>1</v>
      </c>
    </row>
    <row r="801">
      <c r="A801" s="3">
        <f>RAND()</f>
        <v/>
      </c>
      <c r="B801" s="4" t="inlineStr">
        <is>
          <t>ChIJwSmuT9cFbJIR5I53d9m7HgE</t>
        </is>
      </c>
      <c r="C801" s="4" t="inlineStr">
        <is>
          <t>Mercadia Game Store</t>
        </is>
      </c>
      <c r="D801" s="4" t="inlineStr">
        <is>
          <t>Manaus</t>
        </is>
      </c>
      <c r="E801" s="4" t="inlineStr">
        <is>
          <t>AM</t>
        </is>
      </c>
      <c r="F801" s="4" t="inlineStr">
        <is>
          <t>Metrópoles</t>
        </is>
      </c>
      <c r="G801" s="4" t="inlineStr">
        <is>
          <t>Metrópole</t>
        </is>
      </c>
      <c r="H801" s="5">
        <f>IF(G801="fora do recorte","",SUMPRODUCT(($G$3:$G$1723=G801)*($A$3:$A$1723&lt;=A801)))</f>
        <v/>
      </c>
      <c r="I801" s="4">
        <f>IF(H801="","",G801&amp;"|"&amp;H801)</f>
        <v/>
      </c>
      <c r="J801" s="4" t="inlineStr">
        <is>
          <t>https://www.google.com/maps/search/?api=1&amp;query=Mercadia%20Game%20Store&amp;query_place_id=ChIJwSmuT9cFbJIR5I53d9m7HgE</t>
        </is>
      </c>
      <c r="K801" s="4" t="inlineStr">
        <is>
          <t>R. Rio Jutaí, 90 - Vieiralves - Nossa Sra. das Gracas, Manaus - AM, 69053-020, Brasil</t>
        </is>
      </c>
      <c r="L801" s="4" t="inlineStr">
        <is>
          <t>Manaus</t>
        </is>
      </c>
      <c r="M801" s="5" t="n">
        <v>5</v>
      </c>
    </row>
    <row r="802">
      <c r="A802" s="3">
        <f>RAND()</f>
        <v/>
      </c>
      <c r="B802" s="4" t="inlineStr">
        <is>
          <t>ChIJpaSYMAAbbJIR8NzZUEQKuhE</t>
        </is>
      </c>
      <c r="C802" s="4" t="inlineStr">
        <is>
          <t>Mimiso Arena Games</t>
        </is>
      </c>
      <c r="D802" s="4" t="inlineStr">
        <is>
          <t>Manaus</t>
        </is>
      </c>
      <c r="E802" s="4" t="inlineStr">
        <is>
          <t>AM</t>
        </is>
      </c>
      <c r="F802" s="4" t="inlineStr">
        <is>
          <t>Metrópoles</t>
        </is>
      </c>
      <c r="G802" s="4" t="inlineStr">
        <is>
          <t>Metrópole</t>
        </is>
      </c>
      <c r="H802" s="5">
        <f>IF(G802="fora do recorte","",SUMPRODUCT(($G$3:$G$1723=G802)*($A$3:$A$1723&lt;=A802)))</f>
        <v/>
      </c>
      <c r="I802" s="4">
        <f>IF(H802="","",G802&amp;"|"&amp;H802)</f>
        <v/>
      </c>
      <c r="J802" s="4" t="inlineStr">
        <is>
          <t>https://www.google.com/maps/search/?api=1&amp;query=Mimiso%20Arena%20Games&amp;query_place_id=ChIJpaSYMAAbbJIR8NzZUEQKuhE</t>
        </is>
      </c>
      <c r="K802" s="4" t="inlineStr">
        <is>
          <t>Beco São Pedro, 162 - Parque 10 de Novembro, Manaus - AM, 69055-151, Brasil</t>
        </is>
      </c>
      <c r="L802" s="4" t="inlineStr">
        <is>
          <t>Manaus</t>
        </is>
      </c>
      <c r="M802" s="5" t="n">
        <v>2</v>
      </c>
    </row>
    <row r="803">
      <c r="A803" s="3">
        <f>RAND()</f>
        <v/>
      </c>
      <c r="B803" s="4" t="inlineStr">
        <is>
          <t>ChIJ5Q9iJKkbbJIRMy9iiArpzi8</t>
        </is>
      </c>
      <c r="C803" s="4" t="inlineStr">
        <is>
          <t>Mizura Bar</t>
        </is>
      </c>
      <c r="D803" s="4" t="inlineStr">
        <is>
          <t>Manaus</t>
        </is>
      </c>
      <c r="E803" s="4" t="inlineStr">
        <is>
          <t>AM</t>
        </is>
      </c>
      <c r="F803" s="4" t="inlineStr">
        <is>
          <t>Metrópoles</t>
        </is>
      </c>
      <c r="G803" s="4" t="inlineStr">
        <is>
          <t>Metrópole</t>
        </is>
      </c>
      <c r="H803" s="5">
        <f>IF(G803="fora do recorte","",SUMPRODUCT(($G$3:$G$1723=G803)*($A$3:$A$1723&lt;=A803)))</f>
        <v/>
      </c>
      <c r="I803" s="4">
        <f>IF(H803="","",G803&amp;"|"&amp;H803)</f>
        <v/>
      </c>
      <c r="J803" s="4" t="inlineStr">
        <is>
          <t>https://www.google.com/maps/search/?api=1&amp;query=Mizura%20Bar&amp;query_place_id=ChIJ5Q9iJKkbbJIRMy9iiArpzi8</t>
        </is>
      </c>
      <c r="K803" s="4" t="inlineStr">
        <is>
          <t>R. Rio Itannana, 103 - Nossa Sra. das Gracas, Manaus - AM, 69053-040, Brasil</t>
        </is>
      </c>
      <c r="L803" s="4" t="inlineStr">
        <is>
          <t>Manaus</t>
        </is>
      </c>
      <c r="M803" s="5" t="n">
        <v>1</v>
      </c>
    </row>
    <row r="804">
      <c r="A804" s="3">
        <f>RAND()</f>
        <v/>
      </c>
      <c r="B804" s="4" t="inlineStr">
        <is>
          <t>ChIJJQldSu4FbJIRWIMvn1k2aDw</t>
        </is>
      </c>
      <c r="C804" s="4" t="inlineStr">
        <is>
          <t>Nuvem Nove - Vieiralves</t>
        </is>
      </c>
      <c r="D804" s="4" t="inlineStr">
        <is>
          <t>Manaus</t>
        </is>
      </c>
      <c r="E804" s="4" t="inlineStr">
        <is>
          <t>AM</t>
        </is>
      </c>
      <c r="F804" s="4" t="inlineStr">
        <is>
          <t>Metrópoles</t>
        </is>
      </c>
      <c r="G804" s="4" t="inlineStr">
        <is>
          <t>Metrópole</t>
        </is>
      </c>
      <c r="H804" s="5">
        <f>IF(G804="fora do recorte","",SUMPRODUCT(($G$3:$G$1723=G804)*($A$3:$A$1723&lt;=A804)))</f>
        <v/>
      </c>
      <c r="I804" s="4">
        <f>IF(H804="","",G804&amp;"|"&amp;H804)</f>
        <v/>
      </c>
      <c r="J804" s="4" t="inlineStr">
        <is>
          <t>https://www.google.com/maps/search/?api=1&amp;query=Nuvem%20Nove%20-%20Vieiralves&amp;query_place_id=ChIJJQldSu4FbJIRWIMvn1k2aDw</t>
        </is>
      </c>
      <c r="K804" s="4" t="inlineStr">
        <is>
          <t>Rua Rio Javari, 16 - Nossa Sra. das Graças, Manaus - AM, 69053-110, Brasil</t>
        </is>
      </c>
      <c r="L804" s="4" t="inlineStr">
        <is>
          <t>Manaus</t>
        </is>
      </c>
      <c r="M804" s="5" t="n">
        <v>2</v>
      </c>
    </row>
    <row r="805">
      <c r="A805" s="3">
        <f>RAND()</f>
        <v/>
      </c>
      <c r="B805" s="4" t="inlineStr">
        <is>
          <t>ChIJcaceX2wQbJIRJUFgeSjK0II</t>
        </is>
      </c>
      <c r="C805" s="4" t="inlineStr">
        <is>
          <t>O Condado</t>
        </is>
      </c>
      <c r="D805" s="4" t="inlineStr">
        <is>
          <t>Manaus</t>
        </is>
      </c>
      <c r="E805" s="4" t="inlineStr">
        <is>
          <t>AM</t>
        </is>
      </c>
      <c r="F805" s="4" t="inlineStr">
        <is>
          <t>Metrópoles</t>
        </is>
      </c>
      <c r="G805" s="4" t="inlineStr">
        <is>
          <t>Metrópole</t>
        </is>
      </c>
      <c r="H805" s="5">
        <f>IF(G805="fora do recorte","",SUMPRODUCT(($G$3:$G$1723=G805)*($A$3:$A$1723&lt;=A805)))</f>
        <v/>
      </c>
      <c r="I805" s="4">
        <f>IF(H805="","",G805&amp;"|"&amp;H805)</f>
        <v/>
      </c>
      <c r="J805" s="4" t="inlineStr">
        <is>
          <t>https://www.google.com/maps/search/?api=1&amp;query=O%20Condado&amp;query_place_id=ChIJcaceX2wQbJIRJUFgeSjK0II</t>
        </is>
      </c>
      <c r="K805" s="4" t="inlineStr">
        <is>
          <t>Av. Des. João Machado, 6705 - Alvorada, Manaus - AM, 69058-795, Brasil</t>
        </is>
      </c>
      <c r="L805" s="4" t="inlineStr">
        <is>
          <t>Manaus</t>
        </is>
      </c>
      <c r="M805" s="5" t="n">
        <v>1</v>
      </c>
    </row>
    <row r="806">
      <c r="A806" s="3">
        <f>RAND()</f>
        <v/>
      </c>
      <c r="B806" s="4" t="inlineStr">
        <is>
          <t>ChIJm0FBemIFbJIRZ2D-Iwf5YVU</t>
        </is>
      </c>
      <c r="C806" s="4" t="inlineStr">
        <is>
          <t>Oliver'Pub</t>
        </is>
      </c>
      <c r="D806" s="4" t="inlineStr">
        <is>
          <t>Manaus</t>
        </is>
      </c>
      <c r="E806" s="4" t="inlineStr">
        <is>
          <t>AM</t>
        </is>
      </c>
      <c r="F806" s="4" t="inlineStr">
        <is>
          <t>Metrópoles</t>
        </is>
      </c>
      <c r="G806" s="4" t="inlineStr">
        <is>
          <t>Metrópole</t>
        </is>
      </c>
      <c r="H806" s="5">
        <f>IF(G806="fora do recorte","",SUMPRODUCT(($G$3:$G$1723=G806)*($A$3:$A$1723&lt;=A806)))</f>
        <v/>
      </c>
      <c r="I806" s="4">
        <f>IF(H806="","",G806&amp;"|"&amp;H806)</f>
        <v/>
      </c>
      <c r="J806" s="4" t="inlineStr">
        <is>
          <t>https://www.google.com/maps/search/?api=1&amp;query=Oliver%27Pub&amp;query_place_id=ChIJm0FBemIFbJIRZ2D-Iwf5YVU</t>
        </is>
      </c>
      <c r="K806" s="4" t="inlineStr">
        <is>
          <t>R. Simão Bolívar, 231 - Centro, Manaus - AM, 69010-130, Brasil</t>
        </is>
      </c>
      <c r="L806" s="4" t="inlineStr">
        <is>
          <t>Manaus</t>
        </is>
      </c>
      <c r="M806" s="5" t="n">
        <v>1</v>
      </c>
    </row>
    <row r="807">
      <c r="A807" s="3">
        <f>RAND()</f>
        <v/>
      </c>
      <c r="B807" s="4" t="inlineStr">
        <is>
          <t>ChIJI1hKPTYbbJIRhnlne4aiYdw</t>
        </is>
      </c>
      <c r="C807" s="4" t="inlineStr">
        <is>
          <t>Open - Bar &amp; Food</t>
        </is>
      </c>
      <c r="D807" s="4" t="inlineStr">
        <is>
          <t>Manaus</t>
        </is>
      </c>
      <c r="E807" s="4" t="inlineStr">
        <is>
          <t>AM</t>
        </is>
      </c>
      <c r="F807" s="4" t="inlineStr">
        <is>
          <t>Metrópoles</t>
        </is>
      </c>
      <c r="G807" s="4" t="inlineStr">
        <is>
          <t>Metrópole</t>
        </is>
      </c>
      <c r="H807" s="5">
        <f>IF(G807="fora do recorte","",SUMPRODUCT(($G$3:$G$1723=G807)*($A$3:$A$1723&lt;=A807)))</f>
        <v/>
      </c>
      <c r="I807" s="4">
        <f>IF(H807="","",G807&amp;"|"&amp;H807)</f>
        <v/>
      </c>
      <c r="J807" s="4" t="inlineStr">
        <is>
          <t>https://www.google.com/maps/search/?api=1&amp;query=Open%20-%20Bar%20%26%20Food&amp;query_place_id=ChIJI1hKPTYbbJIRhnlne4aiYdw</t>
        </is>
      </c>
      <c r="K807" s="4" t="inlineStr">
        <is>
          <t>Av. Via Láctea, 14 - Adrianópolis, Manaus - AM, 69057-065, Brasil</t>
        </is>
      </c>
      <c r="L807" s="4" t="inlineStr">
        <is>
          <t>Manaus</t>
        </is>
      </c>
      <c r="M807" s="5" t="n">
        <v>1</v>
      </c>
    </row>
    <row r="808">
      <c r="A808" s="3">
        <f>RAND()</f>
        <v/>
      </c>
      <c r="B808" s="4" t="inlineStr">
        <is>
          <t>ChIJpxg9QwAFbJIRi3UNe7DkwH4</t>
        </is>
      </c>
      <c r="C808" s="4" t="inlineStr">
        <is>
          <t>Oráculo Tabletop Games Store - Aluísio Brasil - Japiim</t>
        </is>
      </c>
      <c r="D808" s="4" t="inlineStr">
        <is>
          <t>Manaus</t>
        </is>
      </c>
      <c r="E808" s="4" t="inlineStr">
        <is>
          <t>AM</t>
        </is>
      </c>
      <c r="F808" s="4" t="inlineStr">
        <is>
          <t>Metrópoles</t>
        </is>
      </c>
      <c r="G808" s="4" t="inlineStr">
        <is>
          <t>Metrópole</t>
        </is>
      </c>
      <c r="H808" s="5">
        <f>IF(G808="fora do recorte","",SUMPRODUCT(($G$3:$G$1723=G808)*($A$3:$A$1723&lt;=A808)))</f>
        <v/>
      </c>
      <c r="I808" s="4">
        <f>IF(H808="","",G808&amp;"|"&amp;H808)</f>
        <v/>
      </c>
      <c r="J808" s="4" t="inlineStr">
        <is>
          <t>https://www.google.com/maps/search/?api=1&amp;query=Or%C3%A1culo%20Tabletop%20Games%20Store%20-%20Alu%C3%ADsio%20Brasil%20-%20Japiim&amp;query_place_id=ChIJpxg9QwAFbJIRi3UNe7DkwH4</t>
        </is>
      </c>
      <c r="K808" s="4" t="inlineStr">
        <is>
          <t>R. Aluísio Brasil, 8b - Japiim, Manaus - AM, 69078-562, Brasil</t>
        </is>
      </c>
      <c r="L808" s="4" t="inlineStr">
        <is>
          <t>Manaus</t>
        </is>
      </c>
      <c r="M808" s="5" t="n">
        <v>6</v>
      </c>
    </row>
    <row r="809">
      <c r="A809" s="3">
        <f>RAND()</f>
        <v/>
      </c>
      <c r="B809" s="4" t="inlineStr">
        <is>
          <t>ChIJN_0BkrIabJIR81hZhnL6-uU</t>
        </is>
      </c>
      <c r="C809" s="4" t="inlineStr">
        <is>
          <t>PBKIDS MANAUARA SHOPPING</t>
        </is>
      </c>
      <c r="D809" s="4" t="inlineStr">
        <is>
          <t>Manaus</t>
        </is>
      </c>
      <c r="E809" s="4" t="inlineStr">
        <is>
          <t>AM</t>
        </is>
      </c>
      <c r="F809" s="4" t="inlineStr">
        <is>
          <t>Metrópoles</t>
        </is>
      </c>
      <c r="G809" s="4" t="inlineStr">
        <is>
          <t>Metrópole</t>
        </is>
      </c>
      <c r="H809" s="5">
        <f>IF(G809="fora do recorte","",SUMPRODUCT(($G$3:$G$1723=G809)*($A$3:$A$1723&lt;=A809)))</f>
        <v/>
      </c>
      <c r="I809" s="4">
        <f>IF(H809="","",G809&amp;"|"&amp;H809)</f>
        <v/>
      </c>
      <c r="J809" s="4" t="inlineStr">
        <is>
          <t>https://www.google.com/maps/search/?api=1&amp;query=PBKIDS%20MANAUARA%20SHOPPING&amp;query_place_id=ChIJN_0BkrIabJIR81hZhnL6-uU</t>
        </is>
      </c>
      <c r="K809" s="4" t="inlineStr">
        <is>
          <t>Avenida Mário Ypiranga Monteiro , 1300 Piso Castanheira Loja MSU 08 - Adrianópolis, Manaus - AM, 69057-002, Brasil</t>
        </is>
      </c>
      <c r="L809" s="4" t="inlineStr">
        <is>
          <t>Manaus</t>
        </is>
      </c>
      <c r="M809" s="5" t="n">
        <v>2</v>
      </c>
    </row>
    <row r="810">
      <c r="A810" s="3">
        <f>RAND()</f>
        <v/>
      </c>
      <c r="B810" s="4" t="inlineStr">
        <is>
          <t>ChIJf1eUzsUbbJIROHClUemcirk</t>
        </is>
      </c>
      <c r="C810" s="4" t="inlineStr">
        <is>
          <t>Player Food</t>
        </is>
      </c>
      <c r="D810" s="4" t="inlineStr">
        <is>
          <t>Manaus</t>
        </is>
      </c>
      <c r="E810" s="4" t="inlineStr">
        <is>
          <t>AM</t>
        </is>
      </c>
      <c r="F810" s="4" t="inlineStr">
        <is>
          <t>Metrópoles</t>
        </is>
      </c>
      <c r="G810" s="4" t="inlineStr">
        <is>
          <t>Metrópole</t>
        </is>
      </c>
      <c r="H810" s="5">
        <f>IF(G810="fora do recorte","",SUMPRODUCT(($G$3:$G$1723=G810)*($A$3:$A$1723&lt;=A810)))</f>
        <v/>
      </c>
      <c r="I810" s="4">
        <f>IF(H810="","",G810&amp;"|"&amp;H810)</f>
        <v/>
      </c>
      <c r="J810" s="4" t="inlineStr">
        <is>
          <t>https://www.google.com/maps/search/?api=1&amp;query=Player%20Food&amp;query_place_id=ChIJf1eUzsUbbJIROHClUemcirk</t>
        </is>
      </c>
      <c r="K810" s="4" t="inlineStr">
        <is>
          <t>R. Lapis Lazuli, 6 - Nossa Sra. das Graças, Manaus - AM, 69053-600, Brasil</t>
        </is>
      </c>
      <c r="L810" s="4" t="inlineStr">
        <is>
          <t>Manaus</t>
        </is>
      </c>
      <c r="M810" s="5" t="n">
        <v>9</v>
      </c>
    </row>
    <row r="811">
      <c r="A811" s="3">
        <f>RAND()</f>
        <v/>
      </c>
      <c r="B811" s="4" t="inlineStr">
        <is>
          <t>ChIJcwXuqGQFbJIRGz1gIKriRCA</t>
        </is>
      </c>
      <c r="C811" s="4" t="inlineStr">
        <is>
          <t>Player Games</t>
        </is>
      </c>
      <c r="D811" s="4" t="inlineStr">
        <is>
          <t>Manaus</t>
        </is>
      </c>
      <c r="E811" s="4" t="inlineStr">
        <is>
          <t>AM</t>
        </is>
      </c>
      <c r="F811" s="4" t="inlineStr">
        <is>
          <t>Metrópoles</t>
        </is>
      </c>
      <c r="G811" s="4" t="inlineStr">
        <is>
          <t>Metrópole</t>
        </is>
      </c>
      <c r="H811" s="5">
        <f>IF(G811="fora do recorte","",SUMPRODUCT(($G$3:$G$1723=G811)*($A$3:$A$1723&lt;=A811)))</f>
        <v/>
      </c>
      <c r="I811" s="4">
        <f>IF(H811="","",G811&amp;"|"&amp;H811)</f>
        <v/>
      </c>
      <c r="J811" s="4" t="inlineStr">
        <is>
          <t>https://www.google.com/maps/search/?api=1&amp;query=Player%20Games&amp;query_place_id=ChIJcwXuqGQFbJIRGz1gIKriRCA</t>
        </is>
      </c>
      <c r="K811" s="4" t="inlineStr">
        <is>
          <t>Av. Getúlio Vargas, 219 - Centro, Manaus - AM, 69020-010, Brasil</t>
        </is>
      </c>
      <c r="L811" s="4" t="inlineStr">
        <is>
          <t>Manaus</t>
        </is>
      </c>
      <c r="M811" s="5" t="n">
        <v>3</v>
      </c>
    </row>
    <row r="812">
      <c r="A812" s="3">
        <f>RAND()</f>
        <v/>
      </c>
      <c r="B812" s="4" t="inlineStr">
        <is>
          <t>ChIJg0IM1HgbbJIRlRhtjzrsm0M</t>
        </is>
      </c>
      <c r="C812" s="4" t="inlineStr">
        <is>
          <t>Player Games</t>
        </is>
      </c>
      <c r="D812" s="4" t="inlineStr">
        <is>
          <t>Manaus</t>
        </is>
      </c>
      <c r="E812" s="4" t="inlineStr">
        <is>
          <t>AM</t>
        </is>
      </c>
      <c r="F812" s="4" t="inlineStr">
        <is>
          <t>Metrópoles</t>
        </is>
      </c>
      <c r="G812" s="4" t="inlineStr">
        <is>
          <t>Metrópole</t>
        </is>
      </c>
      <c r="H812" s="5">
        <f>IF(G812="fora do recorte","",SUMPRODUCT(($G$3:$G$1723=G812)*($A$3:$A$1723&lt;=A812)))</f>
        <v/>
      </c>
      <c r="I812" s="4">
        <f>IF(H812="","",G812&amp;"|"&amp;H812)</f>
        <v/>
      </c>
      <c r="J812" s="4" t="inlineStr">
        <is>
          <t>https://www.google.com/maps/search/?api=1&amp;query=Player%20Games&amp;query_place_id=ChIJg0IM1HgbbJIRlRhtjzrsm0M</t>
        </is>
      </c>
      <c r="K812" s="4" t="inlineStr">
        <is>
          <t>Av. Djalma Batista, 1929 - Lj 10 - Chapada, Manaus - AM, 69050-010, Brasil</t>
        </is>
      </c>
      <c r="L812" s="4" t="inlineStr">
        <is>
          <t>Manaus</t>
        </is>
      </c>
      <c r="M812" s="5" t="n">
        <v>4</v>
      </c>
    </row>
    <row r="813">
      <c r="A813" s="3">
        <f>RAND()</f>
        <v/>
      </c>
      <c r="B813" s="4" t="inlineStr">
        <is>
          <t>ChIJJemnGQ0bbJIROuFyAZnZ_aA</t>
        </is>
      </c>
      <c r="C813" s="4" t="inlineStr">
        <is>
          <t>Putiringa - Jogos de Tabuleiro</t>
        </is>
      </c>
      <c r="D813" s="4" t="inlineStr">
        <is>
          <t>Manaus</t>
        </is>
      </c>
      <c r="E813" s="4" t="inlineStr">
        <is>
          <t>AM</t>
        </is>
      </c>
      <c r="F813" s="4" t="inlineStr">
        <is>
          <t>Metrópoles</t>
        </is>
      </c>
      <c r="G813" s="4" t="inlineStr">
        <is>
          <t>Metrópole</t>
        </is>
      </c>
      <c r="H813" s="5">
        <f>IF(G813="fora do recorte","",SUMPRODUCT(($G$3:$G$1723=G813)*($A$3:$A$1723&lt;=A813)))</f>
        <v/>
      </c>
      <c r="I813" s="4">
        <f>IF(H813="","",G813&amp;"|"&amp;H813)</f>
        <v/>
      </c>
      <c r="J813" s="4" t="inlineStr">
        <is>
          <t>https://www.google.com/maps/search/?api=1&amp;query=Putiringa%20-%20Jogos%20de%20Tabuleiro&amp;query_place_id=ChIJJemnGQ0bbJIROuFyAZnZ_aA</t>
        </is>
      </c>
      <c r="K813" s="4" t="inlineStr">
        <is>
          <t>R. Padre Monteiro de Noronha, 575 - Flores, Manaus - AM, 69028-140, Brasil</t>
        </is>
      </c>
      <c r="L813" s="4" t="inlineStr">
        <is>
          <t>Manaus</t>
        </is>
      </c>
      <c r="M813" s="5" t="n">
        <v>10</v>
      </c>
    </row>
    <row r="814">
      <c r="A814" s="3">
        <f>RAND()</f>
        <v/>
      </c>
      <c r="B814" s="4" t="inlineStr">
        <is>
          <t>ChIJvVgFnn8FbJIRzAg0sGuOoKk</t>
        </is>
      </c>
      <c r="C814" s="4" t="inlineStr">
        <is>
          <t>Rei Da Variedade</t>
        </is>
      </c>
      <c r="D814" s="4" t="inlineStr">
        <is>
          <t>Manaus</t>
        </is>
      </c>
      <c r="E814" s="4" t="inlineStr">
        <is>
          <t>AM</t>
        </is>
      </c>
      <c r="F814" s="4" t="inlineStr">
        <is>
          <t>Metrópoles</t>
        </is>
      </c>
      <c r="G814" s="4" t="inlineStr">
        <is>
          <t>Metrópole</t>
        </is>
      </c>
      <c r="H814" s="5">
        <f>IF(G814="fora do recorte","",SUMPRODUCT(($G$3:$G$1723=G814)*($A$3:$A$1723&lt;=A814)))</f>
        <v/>
      </c>
      <c r="I814" s="4">
        <f>IF(H814="","",G814&amp;"|"&amp;H814)</f>
        <v/>
      </c>
      <c r="J814" s="4" t="inlineStr">
        <is>
          <t>https://www.google.com/maps/search/?api=1&amp;query=Rei%20Da%20Variedade&amp;query_place_id=ChIJvVgFnn8FbJIRzAg0sGuOoKk</t>
        </is>
      </c>
      <c r="K814" s="4" t="inlineStr">
        <is>
          <t>R. Dr. Moreira, 14 - Centro, Manaus - AM, 69005-250, Brasil</t>
        </is>
      </c>
      <c r="L814" s="4" t="inlineStr">
        <is>
          <t>Manaus</t>
        </is>
      </c>
      <c r="M814" s="5" t="n">
        <v>4</v>
      </c>
    </row>
    <row r="815">
      <c r="A815" s="3">
        <f>RAND()</f>
        <v/>
      </c>
      <c r="B815" s="4" t="inlineStr">
        <is>
          <t>ChIJW2mX-zgbbJIR5cMrox3-3uc</t>
        </is>
      </c>
      <c r="C815" s="4" t="inlineStr">
        <is>
          <t>Retrô Bar</t>
        </is>
      </c>
      <c r="D815" s="4" t="inlineStr">
        <is>
          <t>Manaus</t>
        </is>
      </c>
      <c r="E815" s="4" t="inlineStr">
        <is>
          <t>AM</t>
        </is>
      </c>
      <c r="F815" s="4" t="inlineStr">
        <is>
          <t>Metrópoles</t>
        </is>
      </c>
      <c r="G815" s="4" t="inlineStr">
        <is>
          <t>Metrópole</t>
        </is>
      </c>
      <c r="H815" s="5">
        <f>IF(G815="fora do recorte","",SUMPRODUCT(($G$3:$G$1723=G815)*($A$3:$A$1723&lt;=A815)))</f>
        <v/>
      </c>
      <c r="I815" s="4">
        <f>IF(H815="","",G815&amp;"|"&amp;H815)</f>
        <v/>
      </c>
      <c r="J815" s="4" t="inlineStr">
        <is>
          <t>https://www.google.com/maps/search/?api=1&amp;query=Retr%C3%B4%20Bar&amp;query_place_id=ChIJW2mX-zgbbJIR5cMrox3-3uc</t>
        </is>
      </c>
      <c r="K815" s="4" t="inlineStr">
        <is>
          <t>Av. Guilherme Paraense, 160 - Lj 8 - Adrianópolis, Manaus - AM, 69057-082, Brasil</t>
        </is>
      </c>
      <c r="L815" s="4" t="inlineStr">
        <is>
          <t>Manaus</t>
        </is>
      </c>
      <c r="M815" s="5" t="n">
        <v>1</v>
      </c>
    </row>
    <row r="816">
      <c r="A816" s="3">
        <f>RAND()</f>
        <v/>
      </c>
      <c r="B816" s="4" t="inlineStr">
        <is>
          <t>ChIJIZqYx38ZbJIR3IKJjBB6oto</t>
        </is>
      </c>
      <c r="C816" s="4" t="inlineStr">
        <is>
          <t>Ri Happy</t>
        </is>
      </c>
      <c r="D816" s="4" t="inlineStr">
        <is>
          <t>Manaus</t>
        </is>
      </c>
      <c r="E816" s="4" t="inlineStr">
        <is>
          <t>AM</t>
        </is>
      </c>
      <c r="F816" s="4" t="inlineStr">
        <is>
          <t>Metrópoles</t>
        </is>
      </c>
      <c r="G816" s="4" t="inlineStr">
        <is>
          <t>Metrópole</t>
        </is>
      </c>
      <c r="H816" s="5">
        <f>IF(G816="fora do recorte","",SUMPRODUCT(($G$3:$G$1723=G816)*($A$3:$A$1723&lt;=A816)))</f>
        <v/>
      </c>
      <c r="I816" s="4">
        <f>IF(H816="","",G816&amp;"|"&amp;H816)</f>
        <v/>
      </c>
      <c r="J816" s="4" t="inlineStr">
        <is>
          <t>https://www.google.com/maps/search/?api=1&amp;query=Ri%20Happy&amp;query_place_id=ChIJIZqYx38ZbJIR3IKJjBB6oto</t>
        </is>
      </c>
      <c r="K816" s="4" t="inlineStr">
        <is>
          <t>Av. Noel Nutels, 1762 - Lj 3113 - 1º PISO - Cidade Nova, Manaus - AM, 69095-000, Brasil</t>
        </is>
      </c>
      <c r="L816" s="4" t="inlineStr">
        <is>
          <t>Manaus</t>
        </is>
      </c>
      <c r="M816" s="5" t="n">
        <v>1</v>
      </c>
    </row>
    <row r="817">
      <c r="A817" s="3">
        <f>RAND()</f>
        <v/>
      </c>
      <c r="B817" s="4" t="inlineStr">
        <is>
          <t>ChIJlZWbJHUZbJIR0dZQUbkdOCM</t>
        </is>
      </c>
      <c r="C817" s="4" t="inlineStr">
        <is>
          <t>Saffa House</t>
        </is>
      </c>
      <c r="D817" s="4" t="inlineStr">
        <is>
          <t>Manaus</t>
        </is>
      </c>
      <c r="E817" s="4" t="inlineStr">
        <is>
          <t>AM</t>
        </is>
      </c>
      <c r="F817" s="4" t="inlineStr">
        <is>
          <t>Metrópoles</t>
        </is>
      </c>
      <c r="G817" s="4" t="inlineStr">
        <is>
          <t>Metrópole</t>
        </is>
      </c>
      <c r="H817" s="5">
        <f>IF(G817="fora do recorte","",SUMPRODUCT(($G$3:$G$1723=G817)*($A$3:$A$1723&lt;=A817)))</f>
        <v/>
      </c>
      <c r="I817" s="4">
        <f>IF(H817="","",G817&amp;"|"&amp;H817)</f>
        <v/>
      </c>
      <c r="J817" s="4" t="inlineStr">
        <is>
          <t>https://www.google.com/maps/search/?api=1&amp;query=Saffa%20House&amp;query_place_id=ChIJlZWbJHUZbJIR0dZQUbkdOCM</t>
        </is>
      </c>
      <c r="K817" s="4" t="inlineStr">
        <is>
          <t>união da vitória - R. Pipira Vermelha - Tarumã Açu, Manaus - AM, 69023-045, Brasil</t>
        </is>
      </c>
      <c r="L817" s="4" t="inlineStr">
        <is>
          <t>Manaus</t>
        </is>
      </c>
      <c r="M817" s="5" t="n">
        <v>1</v>
      </c>
    </row>
    <row r="818">
      <c r="A818" s="3">
        <f>RAND()</f>
        <v/>
      </c>
      <c r="B818" s="4" t="inlineStr">
        <is>
          <t>ChIJBddbm6wabJIRZ4YW-5O7Jek</t>
        </is>
      </c>
      <c r="C818" s="4" t="inlineStr">
        <is>
          <t>Salomé Bar - Vieiralves</t>
        </is>
      </c>
      <c r="D818" s="4" t="inlineStr">
        <is>
          <t>Manaus</t>
        </is>
      </c>
      <c r="E818" s="4" t="inlineStr">
        <is>
          <t>AM</t>
        </is>
      </c>
      <c r="F818" s="4" t="inlineStr">
        <is>
          <t>Metrópoles</t>
        </is>
      </c>
      <c r="G818" s="4" t="inlineStr">
        <is>
          <t>Metrópole</t>
        </is>
      </c>
      <c r="H818" s="5">
        <f>IF(G818="fora do recorte","",SUMPRODUCT(($G$3:$G$1723=G818)*($A$3:$A$1723&lt;=A818)))</f>
        <v/>
      </c>
      <c r="I818" s="4">
        <f>IF(H818="","",G818&amp;"|"&amp;H818)</f>
        <v/>
      </c>
      <c r="J818" s="4" t="inlineStr">
        <is>
          <t>https://www.google.com/maps/search/?api=1&amp;query=Salom%C3%A9%20Bar%20-%20Vieiralves&amp;query_place_id=ChIJBddbm6wabJIRZ4YW-5O7Jek</t>
        </is>
      </c>
      <c r="K818" s="4" t="inlineStr">
        <is>
          <t>Rua Rio Amapá, 5 - Vieiralves, Manaus - AM, 69053-150, Brasil</t>
        </is>
      </c>
      <c r="L818" s="4" t="inlineStr">
        <is>
          <t>Manaus</t>
        </is>
      </c>
      <c r="M818" s="5" t="n">
        <v>1</v>
      </c>
    </row>
    <row r="819">
      <c r="A819" s="3">
        <f>RAND()</f>
        <v/>
      </c>
      <c r="B819" s="4" t="inlineStr">
        <is>
          <t>ChIJmePvcAAFbJIRrsOpJwCGFzM</t>
        </is>
      </c>
      <c r="C819" s="4" t="inlineStr">
        <is>
          <t>Snoopy Bar</t>
        </is>
      </c>
      <c r="D819" s="4" t="inlineStr">
        <is>
          <t>Manaus</t>
        </is>
      </c>
      <c r="E819" s="4" t="inlineStr">
        <is>
          <t>AM</t>
        </is>
      </c>
      <c r="F819" s="4" t="inlineStr">
        <is>
          <t>Metrópoles</t>
        </is>
      </c>
      <c r="G819" s="4" t="inlineStr">
        <is>
          <t>Metrópole</t>
        </is>
      </c>
      <c r="H819" s="5">
        <f>IF(G819="fora do recorte","",SUMPRODUCT(($G$3:$G$1723=G819)*($A$3:$A$1723&lt;=A819)))</f>
        <v/>
      </c>
      <c r="I819" s="4">
        <f>IF(H819="","",G819&amp;"|"&amp;H819)</f>
        <v/>
      </c>
      <c r="J819" s="4" t="inlineStr">
        <is>
          <t>https://www.google.com/maps/search/?api=1&amp;query=Snoopy%20Bar&amp;query_place_id=ChIJmePvcAAFbJIRrsOpJwCGFzM</t>
        </is>
      </c>
      <c r="K819" s="4" t="inlineStr">
        <is>
          <t>Av. Japurá, 631 - Centro, Manaus - AM, 69025-020, Brasil</t>
        </is>
      </c>
      <c r="L819" s="4" t="inlineStr">
        <is>
          <t>Manaus</t>
        </is>
      </c>
      <c r="M819" s="5" t="n">
        <v>1</v>
      </c>
    </row>
    <row r="820">
      <c r="A820" s="3">
        <f>RAND()</f>
        <v/>
      </c>
      <c r="B820" s="4" t="inlineStr">
        <is>
          <t>ChIJ134HVggZbJIRql9MOMgzwxw</t>
        </is>
      </c>
      <c r="C820" s="4" t="inlineStr">
        <is>
          <t>Sr.Araújo Games AM, MUNDO DIGITAL 2º</t>
        </is>
      </c>
      <c r="D820" s="4" t="inlineStr">
        <is>
          <t>Manaus</t>
        </is>
      </c>
      <c r="E820" s="4" t="inlineStr">
        <is>
          <t>AM</t>
        </is>
      </c>
      <c r="F820" s="4" t="inlineStr">
        <is>
          <t>Metrópoles</t>
        </is>
      </c>
      <c r="G820" s="4" t="inlineStr">
        <is>
          <t>Metrópole</t>
        </is>
      </c>
      <c r="H820" s="5">
        <f>IF(G820="fora do recorte","",SUMPRODUCT(($G$3:$G$1723=G820)*($A$3:$A$1723&lt;=A820)))</f>
        <v/>
      </c>
      <c r="I820" s="4">
        <f>IF(H820="","",G820&amp;"|"&amp;H820)</f>
        <v/>
      </c>
      <c r="J820" s="4" t="inlineStr">
        <is>
          <t>https://www.google.com/maps/search/?api=1&amp;query=Sr.Ara%C3%BAjo%20Games%20AM%2C%20MUNDO%20DIGITAL%202%C2%BA&amp;query_place_id=ChIJ134HVggZbJIRql9MOMgzwxw</t>
        </is>
      </c>
      <c r="K820" s="4" t="inlineStr">
        <is>
          <t>Av. Margarita, 1930 - Nova Cidade, Manaus - AM, 69097-305, Brasil</t>
        </is>
      </c>
      <c r="L820" s="4" t="inlineStr">
        <is>
          <t>Manaus</t>
        </is>
      </c>
      <c r="M820" s="5" t="n">
        <v>1</v>
      </c>
    </row>
    <row r="821">
      <c r="A821" s="3">
        <f>RAND()</f>
        <v/>
      </c>
      <c r="B821" s="4" t="inlineStr">
        <is>
          <t>ChIJa7KqNmwFbJIRGaN10LCd-1I</t>
        </is>
      </c>
      <c r="C821" s="4" t="inlineStr">
        <is>
          <t>Taverna Nerd Comic Shop</t>
        </is>
      </c>
      <c r="D821" s="4" t="inlineStr">
        <is>
          <t>Manaus</t>
        </is>
      </c>
      <c r="E821" s="4" t="inlineStr">
        <is>
          <t>AM</t>
        </is>
      </c>
      <c r="F821" s="4" t="inlineStr">
        <is>
          <t>Metrópoles</t>
        </is>
      </c>
      <c r="G821" s="4" t="inlineStr">
        <is>
          <t>Metrópole</t>
        </is>
      </c>
      <c r="H821" s="5">
        <f>IF(G821="fora do recorte","",SUMPRODUCT(($G$3:$G$1723=G821)*($A$3:$A$1723&lt;=A821)))</f>
        <v/>
      </c>
      <c r="I821" s="4">
        <f>IF(H821="","",G821&amp;"|"&amp;H821)</f>
        <v/>
      </c>
      <c r="J821" s="4" t="inlineStr">
        <is>
          <t>https://www.google.com/maps/search/?api=1&amp;query=Taverna%20Nerd%20Comic%20Shop&amp;query_place_id=ChIJa7KqNmwFbJIRGaN10LCd-1I</t>
        </is>
      </c>
      <c r="K821" s="4" t="inlineStr">
        <is>
          <t>R. Y 1, 7 - Flores, Manaus - AM, Brasil</t>
        </is>
      </c>
      <c r="L821" s="4" t="inlineStr">
        <is>
          <t>Manaus</t>
        </is>
      </c>
      <c r="M821" s="5" t="n">
        <v>6</v>
      </c>
    </row>
    <row r="822">
      <c r="A822" s="3">
        <f>RAND()</f>
        <v/>
      </c>
      <c r="B822" s="4" t="inlineStr">
        <is>
          <t>ChIJNXpEAgIbbJIRFB1vTU4wGIk</t>
        </is>
      </c>
      <c r="C822" s="4" t="inlineStr">
        <is>
          <t>Taverna do Drow</t>
        </is>
      </c>
      <c r="D822" s="4" t="inlineStr">
        <is>
          <t>Manaus</t>
        </is>
      </c>
      <c r="E822" s="4" t="inlineStr">
        <is>
          <t>AM</t>
        </is>
      </c>
      <c r="F822" s="4" t="inlineStr">
        <is>
          <t>Metrópoles</t>
        </is>
      </c>
      <c r="G822" s="4" t="inlineStr">
        <is>
          <t>Metrópole</t>
        </is>
      </c>
      <c r="H822" s="5">
        <f>IF(G822="fora do recorte","",SUMPRODUCT(($G$3:$G$1723=G822)*($A$3:$A$1723&lt;=A822)))</f>
        <v/>
      </c>
      <c r="I822" s="4">
        <f>IF(H822="","",G822&amp;"|"&amp;H822)</f>
        <v/>
      </c>
      <c r="J822" s="4" t="inlineStr">
        <is>
          <t>https://www.google.com/maps/search/?api=1&amp;query=Taverna%20do%20Drow&amp;query_place_id=ChIJNXpEAgIbbJIRFB1vTU4wGIk</t>
        </is>
      </c>
      <c r="K822" s="4" t="inlineStr">
        <is>
          <t>R. São Luiz, 292 - Flores, Manaus - AM, 69028-277, Brasil</t>
        </is>
      </c>
      <c r="L822" s="4" t="inlineStr">
        <is>
          <t>Manaus</t>
        </is>
      </c>
      <c r="M822" s="5" t="n">
        <v>7</v>
      </c>
    </row>
    <row r="823">
      <c r="A823" s="3">
        <f>RAND()</f>
        <v/>
      </c>
      <c r="B823" s="4" t="inlineStr">
        <is>
          <t>ChIJweOclBAQbJIRztG7ZblPNSk</t>
        </is>
      </c>
      <c r="C823" s="4" t="inlineStr">
        <is>
          <t>Tetris Game Burger</t>
        </is>
      </c>
      <c r="D823" s="4" t="inlineStr">
        <is>
          <t>Manaus</t>
        </is>
      </c>
      <c r="E823" s="4" t="inlineStr">
        <is>
          <t>AM</t>
        </is>
      </c>
      <c r="F823" s="4" t="inlineStr">
        <is>
          <t>Metrópoles</t>
        </is>
      </c>
      <c r="G823" s="4" t="inlineStr">
        <is>
          <t>Metrópole</t>
        </is>
      </c>
      <c r="H823" s="5">
        <f>IF(G823="fora do recorte","",SUMPRODUCT(($G$3:$G$1723=G823)*($A$3:$A$1723&lt;=A823)))</f>
        <v/>
      </c>
      <c r="I823" s="4">
        <f>IF(H823="","",G823&amp;"|"&amp;H823)</f>
        <v/>
      </c>
      <c r="J823" s="4" t="inlineStr">
        <is>
          <t>https://www.google.com/maps/search/?api=1&amp;query=Tetris%20Game%20Burger&amp;query_place_id=ChIJweOclBAQbJIRztG7ZblPNSk</t>
        </is>
      </c>
      <c r="K823" s="4" t="inlineStr">
        <is>
          <t>Av. Djalma Batista, 31 - Chapada, Manaus - AM, 69053-000, Brasil</t>
        </is>
      </c>
      <c r="L823" s="4" t="inlineStr">
        <is>
          <t>Manaus</t>
        </is>
      </c>
      <c r="M823" s="5" t="n">
        <v>1</v>
      </c>
    </row>
    <row r="824">
      <c r="A824" s="3">
        <f>RAND()</f>
        <v/>
      </c>
      <c r="B824" s="4" t="inlineStr">
        <is>
          <t>ChIJQag-ogcRbJIRfG_9p8YDiC4</t>
        </is>
      </c>
      <c r="C824" s="4" t="inlineStr">
        <is>
          <t>Traveller Cards e Board Games</t>
        </is>
      </c>
      <c r="D824" s="4" t="inlineStr">
        <is>
          <t>Manaus</t>
        </is>
      </c>
      <c r="E824" s="4" t="inlineStr">
        <is>
          <t>AM</t>
        </is>
      </c>
      <c r="F824" s="4" t="inlineStr">
        <is>
          <t>Metrópoles</t>
        </is>
      </c>
      <c r="G824" s="4" t="inlineStr">
        <is>
          <t>Metrópole</t>
        </is>
      </c>
      <c r="H824" s="5">
        <f>IF(G824="fora do recorte","",SUMPRODUCT(($G$3:$G$1723=G824)*($A$3:$A$1723&lt;=A824)))</f>
        <v/>
      </c>
      <c r="I824" s="4">
        <f>IF(H824="","",G824&amp;"|"&amp;H824)</f>
        <v/>
      </c>
      <c r="J824" s="4" t="inlineStr">
        <is>
          <t>https://www.google.com/maps/search/?api=1&amp;query=Traveller%20Cards%20e%20Board%20Games&amp;query_place_id=ChIJQag-ogcRbJIRfG_9p8YDiC4</t>
        </is>
      </c>
      <c r="K824" s="4" t="inlineStr">
        <is>
          <t>R. Washington Luís, 315 - 2° Andar - Sala 3 - Dom Pedro, Manaus - AM, 69040-210, Brasil</t>
        </is>
      </c>
      <c r="L824" s="4" t="inlineStr">
        <is>
          <t>Manaus</t>
        </is>
      </c>
      <c r="M824" s="5" t="n">
        <v>2</v>
      </c>
    </row>
    <row r="825">
      <c r="A825" s="3">
        <f>RAND()</f>
        <v/>
      </c>
      <c r="B825" s="4" t="inlineStr">
        <is>
          <t>ChIJDw-EeSsRbJIRkGQnagFlKoY</t>
        </is>
      </c>
      <c r="C825" s="4" t="inlineStr">
        <is>
          <t>Ubaú Brinquedos Criativos</t>
        </is>
      </c>
      <c r="D825" s="4" t="inlineStr">
        <is>
          <t>Manaus</t>
        </is>
      </c>
      <c r="E825" s="4" t="inlineStr">
        <is>
          <t>AM</t>
        </is>
      </c>
      <c r="F825" s="4" t="inlineStr">
        <is>
          <t>Metrópoles</t>
        </is>
      </c>
      <c r="G825" s="4" t="inlineStr">
        <is>
          <t>Metrópole</t>
        </is>
      </c>
      <c r="H825" s="5">
        <f>IF(G825="fora do recorte","",SUMPRODUCT(($G$3:$G$1723=G825)*($A$3:$A$1723&lt;=A825)))</f>
        <v/>
      </c>
      <c r="I825" s="4">
        <f>IF(H825="","",G825&amp;"|"&amp;H825)</f>
        <v/>
      </c>
      <c r="J825" s="4" t="inlineStr">
        <is>
          <t>https://www.google.com/maps/search/?api=1&amp;query=Uba%C3%BA%20Brinquedos%20Criativos&amp;query_place_id=ChIJDw-EeSsRbJIRkGQnagFlKoY</t>
        </is>
      </c>
      <c r="K825" s="4" t="inlineStr">
        <is>
          <t>Av. Jacira Reis, 5051 - Lj 04 - São Jorge, Manaus - AM, 69033-008, Brasil</t>
        </is>
      </c>
      <c r="L825" s="4" t="inlineStr">
        <is>
          <t>Manaus</t>
        </is>
      </c>
      <c r="M825" s="5" t="n">
        <v>1</v>
      </c>
    </row>
    <row r="826">
      <c r="A826" s="3">
        <f>RAND()</f>
        <v/>
      </c>
      <c r="B826" s="4" t="inlineStr">
        <is>
          <t>ChIJd5jnFQAFbJIRyaRaoNBV_hg</t>
        </is>
      </c>
      <c r="C826" s="4" t="inlineStr">
        <is>
          <t>Vezzo - Doces e Jogos</t>
        </is>
      </c>
      <c r="D826" s="4" t="inlineStr">
        <is>
          <t>Manaus</t>
        </is>
      </c>
      <c r="E826" s="4" t="inlineStr">
        <is>
          <t>AM</t>
        </is>
      </c>
      <c r="F826" s="4" t="inlineStr">
        <is>
          <t>Metrópoles</t>
        </is>
      </c>
      <c r="G826" s="4" t="inlineStr">
        <is>
          <t>Metrópole</t>
        </is>
      </c>
      <c r="H826" s="5">
        <f>IF(G826="fora do recorte","",SUMPRODUCT(($G$3:$G$1723=G826)*($A$3:$A$1723&lt;=A826)))</f>
        <v/>
      </c>
      <c r="I826" s="4">
        <f>IF(H826="","",G826&amp;"|"&amp;H826)</f>
        <v/>
      </c>
      <c r="J826" s="4" t="inlineStr">
        <is>
          <t>https://www.google.com/maps/search/?api=1&amp;query=Vezzo%20-%20Doces%20e%20Jogos&amp;query_place_id=ChIJd5jnFQAFbJIRyaRaoNBV_hg</t>
        </is>
      </c>
      <c r="K826" s="4" t="inlineStr">
        <is>
          <t>Av. Visc. de Porto Alegre, 721 - Praça 14 de Janeiro, Manaus - AM, 69020-130, Brasil</t>
        </is>
      </c>
      <c r="L826" s="4" t="inlineStr">
        <is>
          <t>Manaus</t>
        </is>
      </c>
      <c r="M826" s="5" t="n">
        <v>4</v>
      </c>
    </row>
    <row r="827">
      <c r="A827" s="3">
        <f>RAND()</f>
        <v/>
      </c>
      <c r="B827" s="4" t="inlineStr">
        <is>
          <t>ChIJdXWiLTcbbJIR5cUrgJEbr00</t>
        </is>
      </c>
      <c r="C827" s="4" t="inlineStr">
        <is>
          <t>Videra Loja virtual</t>
        </is>
      </c>
      <c r="D827" s="4" t="inlineStr">
        <is>
          <t>Manaus</t>
        </is>
      </c>
      <c r="E827" s="4" t="inlineStr">
        <is>
          <t>AM</t>
        </is>
      </c>
      <c r="F827" s="4" t="inlineStr">
        <is>
          <t>Metrópoles</t>
        </is>
      </c>
      <c r="G827" s="4" t="inlineStr">
        <is>
          <t>Metrópole</t>
        </is>
      </c>
      <c r="H827" s="5">
        <f>IF(G827="fora do recorte","",SUMPRODUCT(($G$3:$G$1723=G827)*($A$3:$A$1723&lt;=A827)))</f>
        <v/>
      </c>
      <c r="I827" s="4">
        <f>IF(H827="","",G827&amp;"|"&amp;H827)</f>
        <v/>
      </c>
      <c r="J827" s="4" t="inlineStr">
        <is>
          <t>https://www.google.com/maps/search/?api=1&amp;query=Videra%20Loja%20virtual&amp;query_place_id=ChIJdXWiLTcbbJIR5cUrgJEbr00</t>
        </is>
      </c>
      <c r="K827" s="4" t="inlineStr">
        <is>
          <t>Rua Áurea Graciano, 15 - Col. Santo Antônio, Manaus - AM, 69093-045, Brasil</t>
        </is>
      </c>
      <c r="L827" s="4" t="inlineStr">
        <is>
          <t>Manaus</t>
        </is>
      </c>
      <c r="M827" s="5" t="n">
        <v>4</v>
      </c>
    </row>
    <row r="828">
      <c r="A828" s="3">
        <f>RAND()</f>
        <v/>
      </c>
      <c r="B828" s="4" t="inlineStr">
        <is>
          <t>ChIJJd43o_obbJIRDtnSxbICZWc</t>
        </is>
      </c>
      <c r="C828" s="4" t="inlineStr">
        <is>
          <t>Vila Kids Manaus Laranjeiras</t>
        </is>
      </c>
      <c r="D828" s="4" t="inlineStr">
        <is>
          <t>Manaus</t>
        </is>
      </c>
      <c r="E828" s="4" t="inlineStr">
        <is>
          <t>AM</t>
        </is>
      </c>
      <c r="F828" s="4" t="inlineStr">
        <is>
          <t>Metrópoles</t>
        </is>
      </c>
      <c r="G828" s="4" t="inlineStr">
        <is>
          <t>Metrópole</t>
        </is>
      </c>
      <c r="H828" s="5">
        <f>IF(G828="fora do recorte","",SUMPRODUCT(($G$3:$G$1723=G828)*($A$3:$A$1723&lt;=A828)))</f>
        <v/>
      </c>
      <c r="I828" s="4">
        <f>IF(H828="","",G828&amp;"|"&amp;H828)</f>
        <v/>
      </c>
      <c r="J828" s="4" t="inlineStr">
        <is>
          <t>https://www.google.com/maps/search/?api=1&amp;query=Vila%20Kids%20Manaus%20Laranjeiras&amp;query_place_id=ChIJJd43o_obbJIRDtnSxbICZWc</t>
        </is>
      </c>
      <c r="K828" s="4" t="inlineStr">
        <is>
          <t>Av. Prof. Nilton Lins, 3855 - Parque das Laranjeiras, Manaus - AM, 69058-030, Brasil</t>
        </is>
      </c>
      <c r="L828" s="4" t="inlineStr">
        <is>
          <t>Manaus</t>
        </is>
      </c>
      <c r="M828" s="5" t="n">
        <v>1</v>
      </c>
    </row>
    <row r="829">
      <c r="A829" s="3">
        <f>RAND()</f>
        <v/>
      </c>
      <c r="B829" s="4" t="inlineStr">
        <is>
          <t>ChIJa-WTl2SE2CoRe4OkYu_mKIw</t>
        </is>
      </c>
      <c r="C829" s="4" t="inlineStr">
        <is>
          <t>Vila kids Manaus Cidade Nova</t>
        </is>
      </c>
      <c r="D829" s="4" t="inlineStr">
        <is>
          <t>Manaus</t>
        </is>
      </c>
      <c r="E829" s="4" t="inlineStr">
        <is>
          <t>AM</t>
        </is>
      </c>
      <c r="F829" s="4" t="inlineStr">
        <is>
          <t>Metrópoles</t>
        </is>
      </c>
      <c r="G829" s="4" t="inlineStr">
        <is>
          <t>Metrópole</t>
        </is>
      </c>
      <c r="H829" s="5">
        <f>IF(G829="fora do recorte","",SUMPRODUCT(($G$3:$G$1723=G829)*($A$3:$A$1723&lt;=A829)))</f>
        <v/>
      </c>
      <c r="I829" s="4">
        <f>IF(H829="","",G829&amp;"|"&amp;H829)</f>
        <v/>
      </c>
      <c r="J829" s="4" t="inlineStr">
        <is>
          <t>https://www.google.com/maps/search/?api=1&amp;query=Vila%20kids%20Manaus%20Cidade%20Nova&amp;query_place_id=ChIJa-WTl2SE2CoRe4OkYu_mKIw</t>
        </is>
      </c>
      <c r="K829" s="4" t="inlineStr">
        <is>
          <t>Av atroaris esquina com rua Aticum - Cj Renato Souza Pinto, 23 - Cidade Nova, Manaus - AM, 69090-625, Brasil</t>
        </is>
      </c>
      <c r="L829" s="4" t="inlineStr">
        <is>
          <t>Manaus</t>
        </is>
      </c>
      <c r="M829" s="5" t="n">
        <v>1</v>
      </c>
    </row>
    <row r="830">
      <c r="A830" s="3">
        <f>RAND()</f>
        <v/>
      </c>
      <c r="B830" s="4" t="inlineStr">
        <is>
          <t>ChIJfxlyLBIbFgcRYAc9uQueREw</t>
        </is>
      </c>
      <c r="C830" s="4" t="inlineStr">
        <is>
          <t>1Dado Mais10</t>
        </is>
      </c>
      <c r="D830" s="4" t="inlineStr">
        <is>
          <t>Salvador</t>
        </is>
      </c>
      <c r="E830" s="4" t="inlineStr">
        <is>
          <t>BA</t>
        </is>
      </c>
      <c r="F830" s="4" t="inlineStr">
        <is>
          <t>Metrópoles</t>
        </is>
      </c>
      <c r="G830" s="4" t="inlineStr">
        <is>
          <t>Metrópole</t>
        </is>
      </c>
      <c r="H830" s="5">
        <f>IF(G830="fora do recorte","",SUMPRODUCT(($G$3:$G$1723=G830)*($A$3:$A$1723&lt;=A830)))</f>
        <v/>
      </c>
      <c r="I830" s="4">
        <f>IF(H830="","",G830&amp;"|"&amp;H830)</f>
        <v/>
      </c>
      <c r="J830" s="4" t="inlineStr">
        <is>
          <t>https://www.google.com/maps/search/?api=1&amp;query=1Dado%20Mais10&amp;query_place_id=ChIJfxlyLBIbFgcRYAc9uQueREw</t>
        </is>
      </c>
      <c r="K830" s="4" t="inlineStr">
        <is>
          <t>Av. São Rafael - São Marcos, Salvador - BA, 41253-190, Brasil</t>
        </is>
      </c>
      <c r="L830" s="4" t="inlineStr">
        <is>
          <t>Salvador</t>
        </is>
      </c>
      <c r="M830" s="5" t="n">
        <v>2</v>
      </c>
    </row>
    <row r="831">
      <c r="A831" s="3">
        <f>RAND()</f>
        <v/>
      </c>
      <c r="B831" s="4" t="inlineStr">
        <is>
          <t>ChIJ6YktmHIbFgcRngrKlh64J4U</t>
        </is>
      </c>
      <c r="C831" s="4" t="inlineStr">
        <is>
          <t>Aleatórios</t>
        </is>
      </c>
      <c r="D831" s="4" t="inlineStr">
        <is>
          <t>Salvador</t>
        </is>
      </c>
      <c r="E831" s="4" t="inlineStr">
        <is>
          <t>BA</t>
        </is>
      </c>
      <c r="F831" s="4" t="inlineStr">
        <is>
          <t>Metrópoles</t>
        </is>
      </c>
      <c r="G831" s="4" t="inlineStr">
        <is>
          <t>Metrópole</t>
        </is>
      </c>
      <c r="H831" s="5">
        <f>IF(G831="fora do recorte","",SUMPRODUCT(($G$3:$G$1723=G831)*($A$3:$A$1723&lt;=A831)))</f>
        <v/>
      </c>
      <c r="I831" s="4">
        <f>IF(H831="","",G831&amp;"|"&amp;H831)</f>
        <v/>
      </c>
      <c r="J831" s="4" t="inlineStr">
        <is>
          <t>https://www.google.com/maps/search/?api=1&amp;query=Aleat%C3%B3rios&amp;query_place_id=ChIJ6YktmHIbFgcRngrKlh64J4U</t>
        </is>
      </c>
      <c r="K831" s="4" t="inlineStr">
        <is>
          <t>Rua Miguel Navarro Y Cañizares, 234 - Pituba, Salvador - BA, 41810-215, Brasil</t>
        </is>
      </c>
      <c r="L831" s="4" t="inlineStr">
        <is>
          <t>Salvador</t>
        </is>
      </c>
      <c r="M831" s="5" t="n">
        <v>1</v>
      </c>
    </row>
    <row r="832">
      <c r="A832" s="3">
        <f>RAND()</f>
        <v/>
      </c>
      <c r="B832" s="4" t="inlineStr">
        <is>
          <t>ChIJpVPtCWYDFgcRM0ydkvWayJM</t>
        </is>
      </c>
      <c r="C832" s="4" t="inlineStr">
        <is>
          <t>Alquimia Bar e Petiscaria</t>
        </is>
      </c>
      <c r="D832" s="4" t="inlineStr">
        <is>
          <t>Salvador</t>
        </is>
      </c>
      <c r="E832" s="4" t="inlineStr">
        <is>
          <t>BA</t>
        </is>
      </c>
      <c r="F832" s="4" t="inlineStr">
        <is>
          <t>Metrópoles</t>
        </is>
      </c>
      <c r="G832" s="4" t="inlineStr">
        <is>
          <t>Metrópole</t>
        </is>
      </c>
      <c r="H832" s="5">
        <f>IF(G832="fora do recorte","",SUMPRODUCT(($G$3:$G$1723=G832)*($A$3:$A$1723&lt;=A832)))</f>
        <v/>
      </c>
      <c r="I832" s="4">
        <f>IF(H832="","",G832&amp;"|"&amp;H832)</f>
        <v/>
      </c>
      <c r="J832" s="4" t="inlineStr">
        <is>
          <t>https://www.google.com/maps/search/?api=1&amp;query=Alquimia%20Bar%20e%20Petiscaria&amp;query_place_id=ChIJpVPtCWYDFgcRM0ydkvWayJM</t>
        </is>
      </c>
      <c r="K832" s="4" t="inlineStr">
        <is>
          <t>Av. Almirante Marques de Leão, 172 - Lj 1 - Barra, Salvador - BA, 40140-230, Brasil</t>
        </is>
      </c>
      <c r="L832" s="4" t="inlineStr">
        <is>
          <t>Salvador</t>
        </is>
      </c>
      <c r="M832" s="5" t="n">
        <v>1</v>
      </c>
    </row>
    <row r="833">
      <c r="A833" s="3">
        <f>RAND()</f>
        <v/>
      </c>
      <c r="B833" s="4" t="inlineStr">
        <is>
          <t>ChIJF8PN3FjRek0RgesDgPMwU7s</t>
        </is>
      </c>
      <c r="C833" s="4" t="inlineStr">
        <is>
          <t>Aluguel de Brinquedos Salvador - Magic Day Kids</t>
        </is>
      </c>
      <c r="D833" s="4" t="inlineStr">
        <is>
          <t>Salvador</t>
        </is>
      </c>
      <c r="E833" s="4" t="inlineStr">
        <is>
          <t>BA</t>
        </is>
      </c>
      <c r="F833" s="4" t="inlineStr">
        <is>
          <t>Metrópoles</t>
        </is>
      </c>
      <c r="G833" s="4" t="inlineStr">
        <is>
          <t>Metrópole</t>
        </is>
      </c>
      <c r="H833" s="5">
        <f>IF(G833="fora do recorte","",SUMPRODUCT(($G$3:$G$1723=G833)*($A$3:$A$1723&lt;=A833)))</f>
        <v/>
      </c>
      <c r="I833" s="4">
        <f>IF(H833="","",G833&amp;"|"&amp;H833)</f>
        <v/>
      </c>
      <c r="J833" s="4" t="inlineStr">
        <is>
          <t>https://www.google.com/maps/search/?api=1&amp;query=Aluguel%20de%20Brinquedos%20Salvador%20-%20Magic%20Day%20Kids&amp;query_place_id=ChIJF8PN3FjRek0RgesDgPMwU7s</t>
        </is>
      </c>
      <c r="K833" s="4" t="inlineStr">
        <is>
          <t>R. Nossa Sra. de Guadalupe, 27 - Acupe, Salvador - BA, 40290-250, Brasil</t>
        </is>
      </c>
      <c r="L833" s="4" t="inlineStr">
        <is>
          <t>Salvador</t>
        </is>
      </c>
      <c r="M833" s="5" t="n">
        <v>1</v>
      </c>
    </row>
    <row r="834">
      <c r="A834" s="3">
        <f>RAND()</f>
        <v/>
      </c>
      <c r="B834" s="4" t="inlineStr">
        <is>
          <t>ChIJq6rq9NkaFgcReIH_ahObdio</t>
        </is>
      </c>
      <c r="C834" s="4" t="inlineStr">
        <is>
          <t>Americanas</t>
        </is>
      </c>
      <c r="D834" s="4" t="inlineStr">
        <is>
          <t>Salvador</t>
        </is>
      </c>
      <c r="E834" s="4" t="inlineStr">
        <is>
          <t>BA</t>
        </is>
      </c>
      <c r="F834" s="4" t="inlineStr">
        <is>
          <t>Metrópoles</t>
        </is>
      </c>
      <c r="G834" s="4" t="inlineStr">
        <is>
          <t>Metrópole</t>
        </is>
      </c>
      <c r="H834" s="5">
        <f>IF(G834="fora do recorte","",SUMPRODUCT(($G$3:$G$1723=G834)*($A$3:$A$1723&lt;=A834)))</f>
        <v/>
      </c>
      <c r="I834" s="4">
        <f>IF(H834="","",G834&amp;"|"&amp;H834)</f>
        <v/>
      </c>
      <c r="J834" s="4" t="inlineStr">
        <is>
          <t>https://www.google.com/maps/search/?api=1&amp;query=Americanas&amp;query_place_id=ChIJq6rq9NkaFgcReIH_ahObdio</t>
        </is>
      </c>
      <c r="K834" s="4" t="inlineStr">
        <is>
          <t>Alameda Euvaldo Luz, 92 - Bela Vista, Salvador - BA, 41150-125, Brasil</t>
        </is>
      </c>
      <c r="L834" s="4" t="inlineStr">
        <is>
          <t>Boa Vista</t>
        </is>
      </c>
      <c r="M834" s="5" t="n">
        <v>1</v>
      </c>
    </row>
    <row r="835">
      <c r="A835" s="3">
        <f>RAND()</f>
        <v/>
      </c>
      <c r="B835" s="4" t="inlineStr">
        <is>
          <t>ChIJn2pa3cIaFgcRGS4Vz8uBFw4</t>
        </is>
      </c>
      <c r="C835" s="4" t="inlineStr">
        <is>
          <t>Aquarios</t>
        </is>
      </c>
      <c r="D835" s="4" t="inlineStr">
        <is>
          <t>Salvador</t>
        </is>
      </c>
      <c r="E835" s="4" t="inlineStr">
        <is>
          <t>BA</t>
        </is>
      </c>
      <c r="F835" s="4" t="inlineStr">
        <is>
          <t>Metrópoles</t>
        </is>
      </c>
      <c r="G835" s="4" t="inlineStr">
        <is>
          <t>Metrópole</t>
        </is>
      </c>
      <c r="H835" s="5">
        <f>IF(G835="fora do recorte","",SUMPRODUCT(($G$3:$G$1723=G835)*($A$3:$A$1723&lt;=A835)))</f>
        <v/>
      </c>
      <c r="I835" s="4">
        <f>IF(H835="","",G835&amp;"|"&amp;H835)</f>
        <v/>
      </c>
      <c r="J835" s="4" t="inlineStr">
        <is>
          <t>https://www.google.com/maps/search/?api=1&amp;query=Aquarios&amp;query_place_id=ChIJn2pa3cIaFgcRGS4Vz8uBFw4</t>
        </is>
      </c>
      <c r="K835" s="4" t="inlineStr">
        <is>
          <t>R. Cruz das Almas, 23 - 1°ANDAR - Resgate, Salvador - BA, 41152-070, Brasil</t>
        </is>
      </c>
      <c r="L835" s="4" t="inlineStr">
        <is>
          <t>Salvador</t>
        </is>
      </c>
      <c r="M835" s="5" t="n">
        <v>1</v>
      </c>
    </row>
    <row r="836">
      <c r="A836" s="3">
        <f>RAND()</f>
        <v/>
      </c>
      <c r="B836" s="4" t="inlineStr">
        <is>
          <t>ChIJUcYeDRsFFgcRVSOtXbOWlDA</t>
        </is>
      </c>
      <c r="C836" s="4" t="inlineStr">
        <is>
          <t>Arena CWG</t>
        </is>
      </c>
      <c r="D836" s="4" t="inlineStr">
        <is>
          <t>Salvador</t>
        </is>
      </c>
      <c r="E836" s="4" t="inlineStr">
        <is>
          <t>BA</t>
        </is>
      </c>
      <c r="F836" s="4" t="inlineStr">
        <is>
          <t>Metrópoles</t>
        </is>
      </c>
      <c r="G836" s="4" t="inlineStr">
        <is>
          <t>Metrópole</t>
        </is>
      </c>
      <c r="H836" s="5">
        <f>IF(G836="fora do recorte","",SUMPRODUCT(($G$3:$G$1723=G836)*($A$3:$A$1723&lt;=A836)))</f>
        <v/>
      </c>
      <c r="I836" s="4">
        <f>IF(H836="","",G836&amp;"|"&amp;H836)</f>
        <v/>
      </c>
      <c r="J836" s="4" t="inlineStr">
        <is>
          <t>https://www.google.com/maps/search/?api=1&amp;query=Arena%20CWG&amp;query_place_id=ChIJUcYeDRsFFgcRVSOtXbOWlDA</t>
        </is>
      </c>
      <c r="K836" s="4" t="inlineStr">
        <is>
          <t>CWG Store - Rua Arthur de Azevêdo Machado, 497 - 1º Andar - Costa Azul, Salvador - BA, 41760-000, Brasil</t>
        </is>
      </c>
      <c r="L836" s="4" t="inlineStr">
        <is>
          <t>Salvador</t>
        </is>
      </c>
      <c r="M836" s="5" t="n">
        <v>1</v>
      </c>
    </row>
    <row r="837">
      <c r="A837" s="3">
        <f>RAND()</f>
        <v/>
      </c>
      <c r="B837" s="4" t="inlineStr">
        <is>
          <t>ChIJy9cVL-YEFgcRuA2kX5V6Zmc</t>
        </is>
      </c>
      <c r="C837" s="4" t="inlineStr">
        <is>
          <t>Axego Restaurante e Bar</t>
        </is>
      </c>
      <c r="D837" s="4" t="inlineStr">
        <is>
          <t>Salvador</t>
        </is>
      </c>
      <c r="E837" s="4" t="inlineStr">
        <is>
          <t>BA</t>
        </is>
      </c>
      <c r="F837" s="4" t="inlineStr">
        <is>
          <t>Metrópoles</t>
        </is>
      </c>
      <c r="G837" s="4" t="inlineStr">
        <is>
          <t>Metrópole</t>
        </is>
      </c>
      <c r="H837" s="5">
        <f>IF(G837="fora do recorte","",SUMPRODUCT(($G$3:$G$1723=G837)*($A$3:$A$1723&lt;=A837)))</f>
        <v/>
      </c>
      <c r="I837" s="4">
        <f>IF(H837="","",G837&amp;"|"&amp;H837)</f>
        <v/>
      </c>
      <c r="J837" s="4" t="inlineStr">
        <is>
          <t>https://www.google.com/maps/search/?api=1&amp;query=Axego%20Restaurante%20e%20Bar&amp;query_place_id=ChIJy9cVL-YEFgcRuA2kX5V6Zmc</t>
        </is>
      </c>
      <c r="K837" s="4" t="inlineStr">
        <is>
          <t>R. J Castro Rabelo, 16 - Centro Histórico, Salvador - BA, 40026-180, Brasil</t>
        </is>
      </c>
      <c r="L837" s="4" t="inlineStr">
        <is>
          <t>Salvador</t>
        </is>
      </c>
      <c r="M837" s="5" t="n">
        <v>1</v>
      </c>
    </row>
    <row r="838">
      <c r="A838" s="3">
        <f>RAND()</f>
        <v/>
      </c>
      <c r="B838" s="4" t="inlineStr">
        <is>
          <t>ChIJI4Fkbz0bFgcRokxrQ1W40FI</t>
        </is>
      </c>
      <c r="C838" s="4" t="inlineStr">
        <is>
          <t>Bahia Games</t>
        </is>
      </c>
      <c r="D838" s="4" t="inlineStr">
        <is>
          <t>Salvador</t>
        </is>
      </c>
      <c r="E838" s="4" t="inlineStr">
        <is>
          <t>BA</t>
        </is>
      </c>
      <c r="F838" s="4" t="inlineStr">
        <is>
          <t>Metrópoles</t>
        </is>
      </c>
      <c r="G838" s="4" t="inlineStr">
        <is>
          <t>Metrópole</t>
        </is>
      </c>
      <c r="H838" s="5">
        <f>IF(G838="fora do recorte","",SUMPRODUCT(($G$3:$G$1723=G838)*($A$3:$A$1723&lt;=A838)))</f>
        <v/>
      </c>
      <c r="I838" s="4">
        <f>IF(H838="","",G838&amp;"|"&amp;H838)</f>
        <v/>
      </c>
      <c r="J838" s="4" t="inlineStr">
        <is>
          <t>https://www.google.com/maps/search/?api=1&amp;query=Bahia%20Games&amp;query_place_id=ChIJI4Fkbz0bFgcRokxrQ1W40FI</t>
        </is>
      </c>
      <c r="K838" s="4" t="inlineStr">
        <is>
          <t>Av. Tancredo Neves, 274 - Bloco A Sala 209 - Caminho das Árvores, Salvador - BA, 41820-020, Brasil</t>
        </is>
      </c>
      <c r="L838" s="4" t="inlineStr">
        <is>
          <t>Salvador</t>
        </is>
      </c>
      <c r="M838" s="5" t="n">
        <v>1</v>
      </c>
    </row>
    <row r="839">
      <c r="A839" s="3">
        <f>RAND()</f>
        <v/>
      </c>
      <c r="B839" s="4" t="inlineStr">
        <is>
          <t>ChIJ-QIvZAAbFgcRY2WevlvDf14</t>
        </is>
      </c>
      <c r="C839" s="4" t="inlineStr">
        <is>
          <t>Bar do Bahia</t>
        </is>
      </c>
      <c r="D839" s="4" t="inlineStr">
        <is>
          <t>Salvador</t>
        </is>
      </c>
      <c r="E839" s="4" t="inlineStr">
        <is>
          <t>BA</t>
        </is>
      </c>
      <c r="F839" s="4" t="inlineStr">
        <is>
          <t>Metrópoles</t>
        </is>
      </c>
      <c r="G839" s="4" t="inlineStr">
        <is>
          <t>Metrópole</t>
        </is>
      </c>
      <c r="H839" s="5">
        <f>IF(G839="fora do recorte","",SUMPRODUCT(($G$3:$G$1723=G839)*($A$3:$A$1723&lt;=A839)))</f>
        <v/>
      </c>
      <c r="I839" s="4">
        <f>IF(H839="","",G839&amp;"|"&amp;H839)</f>
        <v/>
      </c>
      <c r="J839" s="4" t="inlineStr">
        <is>
          <t>https://www.google.com/maps/search/?api=1&amp;query=Bar%20do%20Bahia&amp;query_place_id=ChIJ-QIvZAAbFgcRY2WevlvDf14</t>
        </is>
      </c>
      <c r="K839" s="4" t="inlineStr">
        <is>
          <t>Av. Paulo VI, 1317 - Pituba, Salvador - BA, 41820-000, Brasil</t>
        </is>
      </c>
      <c r="L839" s="4" t="inlineStr">
        <is>
          <t>Salvador</t>
        </is>
      </c>
      <c r="M839" s="5" t="n">
        <v>2</v>
      </c>
    </row>
    <row r="840">
      <c r="A840" s="3">
        <f>RAND()</f>
        <v/>
      </c>
      <c r="B840" s="4" t="inlineStr">
        <is>
          <t>ChIJf9lODBL_BqARVSCAIS0qsl8</t>
        </is>
      </c>
      <c r="C840" s="4" t="inlineStr">
        <is>
          <t>Biduí Brincar I Aluguel de Brinquedos Lúdicos e Educativos para Eventos em Salvador</t>
        </is>
      </c>
      <c r="D840" s="4" t="inlineStr">
        <is>
          <t>Salvador</t>
        </is>
      </c>
      <c r="E840" s="4" t="inlineStr">
        <is>
          <t>BA</t>
        </is>
      </c>
      <c r="F840" s="4" t="inlineStr">
        <is>
          <t>Metrópoles</t>
        </is>
      </c>
      <c r="G840" s="4" t="inlineStr">
        <is>
          <t>Metrópole</t>
        </is>
      </c>
      <c r="H840" s="5">
        <f>IF(G840="fora do recorte","",SUMPRODUCT(($G$3:$G$1723=G840)*($A$3:$A$1723&lt;=A840)))</f>
        <v/>
      </c>
      <c r="I840" s="4">
        <f>IF(H840="","",G840&amp;"|"&amp;H840)</f>
        <v/>
      </c>
      <c r="J840" s="4" t="inlineStr">
        <is>
          <t>https://www.google.com/maps/search/?api=1&amp;query=Bidu%C3%AD%20Brincar%20I%20Aluguel%20de%20Brinquedos%20L%C3%BAdicos%20e%20Educativos%20para%20Eventos%20em%20Salvador&amp;query_place_id=ChIJf9lODBL_BqARVSCAIS0qsl8</t>
        </is>
      </c>
      <c r="K840" s="4" t="inlineStr">
        <is>
          <t>Alameda Bosque Imperial, 45 - Apto 602 - São Rafael, Salvador - BA, 41250-580, Brasil</t>
        </is>
      </c>
      <c r="L840" s="4" t="inlineStr">
        <is>
          <t>Salvador</t>
        </is>
      </c>
      <c r="M840" s="5" t="n">
        <v>1</v>
      </c>
    </row>
    <row r="841">
      <c r="A841" s="3">
        <f>RAND()</f>
        <v/>
      </c>
      <c r="B841" s="4" t="inlineStr">
        <is>
          <t>ChIJRxQwAa0cFgcRmfDFfD6fH1k</t>
        </is>
      </c>
      <c r="C841" s="4" t="inlineStr">
        <is>
          <t>Blue Praia Bar</t>
        </is>
      </c>
      <c r="D841" s="4" t="inlineStr">
        <is>
          <t>Salvador</t>
        </is>
      </c>
      <c r="E841" s="4" t="inlineStr">
        <is>
          <t>BA</t>
        </is>
      </c>
      <c r="F841" s="4" t="inlineStr">
        <is>
          <t>Metrópoles</t>
        </is>
      </c>
      <c r="G841" s="4" t="inlineStr">
        <is>
          <t>Metrópole</t>
        </is>
      </c>
      <c r="H841" s="5">
        <f>IF(G841="fora do recorte","",SUMPRODUCT(($G$3:$G$1723=G841)*($A$3:$A$1723&lt;=A841)))</f>
        <v/>
      </c>
      <c r="I841" s="4">
        <f>IF(H841="","",G841&amp;"|"&amp;H841)</f>
        <v/>
      </c>
      <c r="J841" s="4" t="inlineStr">
        <is>
          <t>https://www.google.com/maps/search/?api=1&amp;query=Blue%20Praia%20Bar&amp;query_place_id=ChIJRxQwAa0cFgcRmfDFfD6fH1k</t>
        </is>
      </c>
      <c r="K841" s="4" t="inlineStr">
        <is>
          <t>R. Barro Vermelho, 310 - Rio Vermelho, Salvador - BA, 41940-340, Brasil</t>
        </is>
      </c>
      <c r="L841" s="4" t="inlineStr">
        <is>
          <t>Salvador</t>
        </is>
      </c>
      <c r="M841" s="5" t="n">
        <v>1</v>
      </c>
    </row>
    <row r="842">
      <c r="A842" s="3">
        <f>RAND()</f>
        <v/>
      </c>
      <c r="B842" s="4" t="inlineStr">
        <is>
          <t>ChIJ-2rcJH4bFgcRPkW3X_tPP4Q</t>
        </is>
      </c>
      <c r="C842" s="4" t="inlineStr">
        <is>
          <t>Boar Games - Aluguel, Venda e Eventos de Jogos de Tabuleiro</t>
        </is>
      </c>
      <c r="D842" s="4" t="inlineStr">
        <is>
          <t>Salvador</t>
        </is>
      </c>
      <c r="E842" s="4" t="inlineStr">
        <is>
          <t>BA</t>
        </is>
      </c>
      <c r="F842" s="4" t="inlineStr">
        <is>
          <t>Metrópoles</t>
        </is>
      </c>
      <c r="G842" s="4" t="inlineStr">
        <is>
          <t>Metrópole</t>
        </is>
      </c>
      <c r="H842" s="5">
        <f>IF(G842="fora do recorte","",SUMPRODUCT(($G$3:$G$1723=G842)*($A$3:$A$1723&lt;=A842)))</f>
        <v/>
      </c>
      <c r="I842" s="4">
        <f>IF(H842="","",G842&amp;"|"&amp;H842)</f>
        <v/>
      </c>
      <c r="J842" s="4" t="inlineStr">
        <is>
          <t>https://www.google.com/maps/search/?api=1&amp;query=Boar%20Games%20-%20Aluguel%2C%20Venda%20e%20Eventos%20de%20Jogos%20de%20Tabuleiro&amp;query_place_id=ChIJ-2rcJH4bFgcRPkW3X_tPP4Q</t>
        </is>
      </c>
      <c r="K842" s="4" t="inlineStr">
        <is>
          <t>Rua Tenente Fernando Tuy, 219 - Pituba, Salvador - BA, 41830-498, Brasil</t>
        </is>
      </c>
      <c r="L842" s="4" t="inlineStr">
        <is>
          <t>Boa Vista; Campo Grande; Salvador</t>
        </is>
      </c>
      <c r="M842" s="5" t="n">
        <v>14</v>
      </c>
    </row>
    <row r="843">
      <c r="A843" s="3">
        <f>RAND()</f>
        <v/>
      </c>
      <c r="B843" s="4" t="inlineStr">
        <is>
          <t>ChIJxUg67XIbFgcRkdXB_4Z9tuA</t>
        </is>
      </c>
      <c r="C843" s="4" t="inlineStr">
        <is>
          <t>Brinkarr</t>
        </is>
      </c>
      <c r="D843" s="4" t="inlineStr">
        <is>
          <t>Salvador</t>
        </is>
      </c>
      <c r="E843" s="4" t="inlineStr">
        <is>
          <t>BA</t>
        </is>
      </c>
      <c r="F843" s="4" t="inlineStr">
        <is>
          <t>Metrópoles</t>
        </is>
      </c>
      <c r="G843" s="4" t="inlineStr">
        <is>
          <t>Metrópole</t>
        </is>
      </c>
      <c r="H843" s="5">
        <f>IF(G843="fora do recorte","",SUMPRODUCT(($G$3:$G$1723=G843)*($A$3:$A$1723&lt;=A843)))</f>
        <v/>
      </c>
      <c r="I843" s="4">
        <f>IF(H843="","",G843&amp;"|"&amp;H843)</f>
        <v/>
      </c>
      <c r="J843" s="4" t="inlineStr">
        <is>
          <t>https://www.google.com/maps/search/?api=1&amp;query=Brinkarr&amp;query_place_id=ChIJxUg67XIbFgcRkdXB_4Z9tuA</t>
        </is>
      </c>
      <c r="K843" s="4" t="inlineStr">
        <is>
          <t>Alameda Euvaldo Luz - Horto Bela Vista, Salvador - BA SHOPPPING BELA VISTA - LOJA 56.1 - Bela Vista, Salvador - BA, 41098-020, Brasil</t>
        </is>
      </c>
      <c r="L843" s="4" t="inlineStr">
        <is>
          <t>Boa Vista; Salvador</t>
        </is>
      </c>
      <c r="M843" s="5" t="n">
        <v>2</v>
      </c>
    </row>
    <row r="844">
      <c r="A844" s="3">
        <f>RAND()</f>
        <v/>
      </c>
      <c r="B844" s="4" t="inlineStr">
        <is>
          <t>ChIJm3tSIRcbFgcR-kMvtfMhgPA</t>
        </is>
      </c>
      <c r="C844" s="4" t="inlineStr">
        <is>
          <t>Brinkarr Shopping Paseo</t>
        </is>
      </c>
      <c r="D844" s="4" t="inlineStr">
        <is>
          <t>Salvador</t>
        </is>
      </c>
      <c r="E844" s="4" t="inlineStr">
        <is>
          <t>BA</t>
        </is>
      </c>
      <c r="F844" s="4" t="inlineStr">
        <is>
          <t>Metrópoles</t>
        </is>
      </c>
      <c r="G844" s="4" t="inlineStr">
        <is>
          <t>Metrópole</t>
        </is>
      </c>
      <c r="H844" s="5">
        <f>IF(G844="fora do recorte","",SUMPRODUCT(($G$3:$G$1723=G844)*($A$3:$A$1723&lt;=A844)))</f>
        <v/>
      </c>
      <c r="I844" s="4">
        <f>IF(H844="","",G844&amp;"|"&amp;H844)</f>
        <v/>
      </c>
      <c r="J844" s="4" t="inlineStr">
        <is>
          <t>https://www.google.com/maps/search/?api=1&amp;query=Brinkarr%20Shopping%20Paseo&amp;query_place_id=ChIJm3tSIRcbFgcR-kMvtfMhgPA</t>
        </is>
      </c>
      <c r="K844" s="4" t="inlineStr">
        <is>
          <t>RUA RUBENS GUELLI, 0013 SHOPPING PASEO ITAIGARA - LOJA 0131 - Itaigara, Salvador - BA, 41815-135, Brasil</t>
        </is>
      </c>
      <c r="L844" s="4" t="inlineStr">
        <is>
          <t>Salvador</t>
        </is>
      </c>
      <c r="M844" s="5" t="n">
        <v>1</v>
      </c>
    </row>
    <row r="845">
      <c r="A845" s="3">
        <f>RAND()</f>
        <v/>
      </c>
      <c r="B845" s="4" t="inlineStr">
        <is>
          <t>ChIJ90X8JUgFFgcReIX_aB9CQU8</t>
        </is>
      </c>
      <c r="C845" s="4" t="inlineStr">
        <is>
          <t>Brinki - Lu House</t>
        </is>
      </c>
      <c r="D845" s="4" t="inlineStr">
        <is>
          <t>Salvador</t>
        </is>
      </c>
      <c r="E845" s="4" t="inlineStr">
        <is>
          <t>BA</t>
        </is>
      </c>
      <c r="F845" s="4" t="inlineStr">
        <is>
          <t>Metrópoles</t>
        </is>
      </c>
      <c r="G845" s="4" t="inlineStr">
        <is>
          <t>Metrópole</t>
        </is>
      </c>
      <c r="H845" s="5">
        <f>IF(G845="fora do recorte","",SUMPRODUCT(($G$3:$G$1723=G845)*($A$3:$A$1723&lt;=A845)))</f>
        <v/>
      </c>
      <c r="I845" s="4">
        <f>IF(H845="","",G845&amp;"|"&amp;H845)</f>
        <v/>
      </c>
      <c r="J845" s="4" t="inlineStr">
        <is>
          <t>https://www.google.com/maps/search/?api=1&amp;query=Brinki%20-%20Lu%20House&amp;query_place_id=ChIJ90X8JUgFFgcReIX_aB9CQU8</t>
        </is>
      </c>
      <c r="K845" s="4" t="inlineStr">
        <is>
          <t>Av. Parente - Engenho Velho da Federação, Salvador - BA, 40220-040, Brasil</t>
        </is>
      </c>
      <c r="L845" s="4" t="inlineStr">
        <is>
          <t>Salvador</t>
        </is>
      </c>
      <c r="M845" s="5" t="n">
        <v>1</v>
      </c>
    </row>
    <row r="846">
      <c r="A846" s="3">
        <f>RAND()</f>
        <v/>
      </c>
      <c r="B846" s="4" t="inlineStr">
        <is>
          <t>ChIJo4eHYEoRFgcRhg4vtzfqNwA</t>
        </is>
      </c>
      <c r="C846" s="4" t="inlineStr">
        <is>
          <t>Brinquedoteca Casinha Feliz</t>
        </is>
      </c>
      <c r="D846" s="4" t="inlineStr">
        <is>
          <t>Salvador</t>
        </is>
      </c>
      <c r="E846" s="4" t="inlineStr">
        <is>
          <t>BA</t>
        </is>
      </c>
      <c r="F846" s="4" t="inlineStr">
        <is>
          <t>Metrópoles</t>
        </is>
      </c>
      <c r="G846" s="4" t="inlineStr">
        <is>
          <t>Metrópole</t>
        </is>
      </c>
      <c r="H846" s="5">
        <f>IF(G846="fora do recorte","",SUMPRODUCT(($G$3:$G$1723=G846)*($A$3:$A$1723&lt;=A846)))</f>
        <v/>
      </c>
      <c r="I846" s="4">
        <f>IF(H846="","",G846&amp;"|"&amp;H846)</f>
        <v/>
      </c>
      <c r="J846" s="4" t="inlineStr">
        <is>
          <t>https://www.google.com/maps/search/?api=1&amp;query=Brinquedoteca%20Casinha%20Feliz&amp;query_place_id=ChIJo4eHYEoRFgcRhg4vtzfqNwA</t>
        </is>
      </c>
      <c r="K846" s="4" t="inlineStr">
        <is>
          <t>Rua Mauricio Grabois 02, 3 Etapa Tv. M - | 3ª Etapa - |, 02 - Castelo Branco, Salvador - BA, 41321-550, Brasil</t>
        </is>
      </c>
      <c r="L846" s="4" t="inlineStr">
        <is>
          <t>Salvador</t>
        </is>
      </c>
      <c r="M846" s="5" t="n">
        <v>1</v>
      </c>
    </row>
    <row r="847">
      <c r="A847" s="3">
        <f>RAND()</f>
        <v/>
      </c>
      <c r="B847" s="4" t="inlineStr">
        <is>
          <t>ChIJe7ryVAARFgcRr8Fu5J7At7Q</t>
        </is>
      </c>
      <c r="C847" s="4" t="inlineStr">
        <is>
          <t>Brinquedoteca e Playland Aprende e Diverte</t>
        </is>
      </c>
      <c r="D847" s="4" t="inlineStr">
        <is>
          <t>Salvador</t>
        </is>
      </c>
      <c r="E847" s="4" t="inlineStr">
        <is>
          <t>BA</t>
        </is>
      </c>
      <c r="F847" s="4" t="inlineStr">
        <is>
          <t>Metrópoles</t>
        </is>
      </c>
      <c r="G847" s="4" t="inlineStr">
        <is>
          <t>Metrópole</t>
        </is>
      </c>
      <c r="H847" s="5">
        <f>IF(G847="fora do recorte","",SUMPRODUCT(($G$3:$G$1723=G847)*($A$3:$A$1723&lt;=A847)))</f>
        <v/>
      </c>
      <c r="I847" s="4">
        <f>IF(H847="","",G847&amp;"|"&amp;H847)</f>
        <v/>
      </c>
      <c r="J847" s="4" t="inlineStr">
        <is>
          <t>https://www.google.com/maps/search/?api=1&amp;query=Brinquedoteca%20e%20Playland%20Aprende%20e%20Diverte&amp;query_place_id=ChIJe7ryVAARFgcRr8Fu5J7At7Q</t>
        </is>
      </c>
      <c r="K847" s="4" t="inlineStr">
        <is>
          <t>R. Albino Fernandes, 27 - Novo Horizonte, Salvador - BA, 41215-770, Brasil</t>
        </is>
      </c>
      <c r="L847" s="4" t="inlineStr">
        <is>
          <t>Salvador</t>
        </is>
      </c>
      <c r="M847" s="5" t="n">
        <v>1</v>
      </c>
    </row>
    <row r="848">
      <c r="A848" s="3">
        <f>RAND()</f>
        <v/>
      </c>
      <c r="B848" s="4" t="inlineStr">
        <is>
          <t>ChIJoWVGf8AFFgcRPhADBEAJkKQ</t>
        </is>
      </c>
      <c r="C848" s="4" t="inlineStr">
        <is>
          <t>Brothers Games Informática</t>
        </is>
      </c>
      <c r="D848" s="4" t="inlineStr">
        <is>
          <t>Salvador</t>
        </is>
      </c>
      <c r="E848" s="4" t="inlineStr">
        <is>
          <t>BA</t>
        </is>
      </c>
      <c r="F848" s="4" t="inlineStr">
        <is>
          <t>Metrópoles</t>
        </is>
      </c>
      <c r="G848" s="4" t="inlineStr">
        <is>
          <t>Metrópole</t>
        </is>
      </c>
      <c r="H848" s="5">
        <f>IF(G848="fora do recorte","",SUMPRODUCT(($G$3:$G$1723=G848)*($A$3:$A$1723&lt;=A848)))</f>
        <v/>
      </c>
      <c r="I848" s="4">
        <f>IF(H848="","",G848&amp;"|"&amp;H848)</f>
        <v/>
      </c>
      <c r="J848" s="4" t="inlineStr">
        <is>
          <t>https://www.google.com/maps/search/?api=1&amp;query=Brothers%20Games%20Inform%C3%A1tica&amp;query_place_id=ChIJoWVGf8AFFgcRPhADBEAJkKQ</t>
        </is>
      </c>
      <c r="K848" s="4" t="inlineStr">
        <is>
          <t>R. Demóstenes Paranhos, 159 - Lj 06 - Vila Ruy Barbosa, Salvador - BA, 40310-110, Brasil</t>
        </is>
      </c>
      <c r="L848" s="4" t="inlineStr">
        <is>
          <t>Salvador</t>
        </is>
      </c>
      <c r="M848" s="5" t="n">
        <v>1</v>
      </c>
    </row>
    <row r="849">
      <c r="A849" s="3">
        <f>RAND()</f>
        <v/>
      </c>
      <c r="B849" s="4" t="inlineStr">
        <is>
          <t>ChIJiUmqX5wbFgcRXN1MqVacj28</t>
        </is>
      </c>
      <c r="C849" s="4" t="inlineStr">
        <is>
          <t>CasadoGamer</t>
        </is>
      </c>
      <c r="D849" s="4" t="inlineStr">
        <is>
          <t>Salvador</t>
        </is>
      </c>
      <c r="E849" s="4" t="inlineStr">
        <is>
          <t>BA</t>
        </is>
      </c>
      <c r="F849" s="4" t="inlineStr">
        <is>
          <t>Metrópoles</t>
        </is>
      </c>
      <c r="G849" s="4" t="inlineStr">
        <is>
          <t>Metrópole</t>
        </is>
      </c>
      <c r="H849" s="5">
        <f>IF(G849="fora do recorte","",SUMPRODUCT(($G$3:$G$1723=G849)*($A$3:$A$1723&lt;=A849)))</f>
        <v/>
      </c>
      <c r="I849" s="4">
        <f>IF(H849="","",G849&amp;"|"&amp;H849)</f>
        <v/>
      </c>
      <c r="J849" s="4" t="inlineStr">
        <is>
          <t>https://www.google.com/maps/search/?api=1&amp;query=CasadoGamer&amp;query_place_id=ChIJiUmqX5wbFgcRXN1MqVacj28</t>
        </is>
      </c>
      <c r="K849" s="4" t="inlineStr">
        <is>
          <t>iguatemi Shopping da Gente no téreo loja128 - Av. Antônio Carlos Magalhães, 4591 - Brotas, Salvador - BA, 40280-901, Brasil</t>
        </is>
      </c>
      <c r="L849" s="4" t="inlineStr">
        <is>
          <t>Salvador</t>
        </is>
      </c>
      <c r="M849" s="5" t="n">
        <v>2</v>
      </c>
    </row>
    <row r="850">
      <c r="A850" s="3">
        <f>RAND()</f>
        <v/>
      </c>
      <c r="B850" s="4" t="inlineStr">
        <is>
          <t>ChIJp5i51JobFgcRRsvpeAHuyg8</t>
        </is>
      </c>
      <c r="C850" s="4" t="inlineStr">
        <is>
          <t>Cau Botequim</t>
        </is>
      </c>
      <c r="D850" s="4" t="inlineStr">
        <is>
          <t>Salvador</t>
        </is>
      </c>
      <c r="E850" s="4" t="inlineStr">
        <is>
          <t>BA</t>
        </is>
      </c>
      <c r="F850" s="4" t="inlineStr">
        <is>
          <t>Metrópoles</t>
        </is>
      </c>
      <c r="G850" s="4" t="inlineStr">
        <is>
          <t>Metrópole</t>
        </is>
      </c>
      <c r="H850" s="5">
        <f>IF(G850="fora do recorte","",SUMPRODUCT(($G$3:$G$1723=G850)*($A$3:$A$1723&lt;=A850)))</f>
        <v/>
      </c>
      <c r="I850" s="4">
        <f>IF(H850="","",G850&amp;"|"&amp;H850)</f>
        <v/>
      </c>
      <c r="J850" s="4" t="inlineStr">
        <is>
          <t>https://www.google.com/maps/search/?api=1&amp;query=Cau%20Botequim&amp;query_place_id=ChIJp5i51JobFgcRRsvpeAHuyg8</t>
        </is>
      </c>
      <c r="K850" s="4" t="inlineStr">
        <is>
          <t>R. das Dálias, 480 - Pituba, Salvador - BA, 41810-040, Brasil</t>
        </is>
      </c>
      <c r="L850" s="4" t="inlineStr">
        <is>
          <t>Salvador</t>
        </is>
      </c>
      <c r="M850" s="5" t="n">
        <v>1</v>
      </c>
    </row>
    <row r="851">
      <c r="A851" s="3">
        <f>RAND()</f>
        <v/>
      </c>
      <c r="B851" s="4" t="inlineStr">
        <is>
          <t>ChIJC2aGJPwQFgcRvo_o38trvU0</t>
        </is>
      </c>
      <c r="C851" s="4" t="inlineStr">
        <is>
          <t>Cc Games e Informática</t>
        </is>
      </c>
      <c r="D851" s="4" t="inlineStr">
        <is>
          <t>Salvador</t>
        </is>
      </c>
      <c r="E851" s="4" t="inlineStr">
        <is>
          <t>BA</t>
        </is>
      </c>
      <c r="F851" s="4" t="inlineStr">
        <is>
          <t>Metrópoles</t>
        </is>
      </c>
      <c r="G851" s="4" t="inlineStr">
        <is>
          <t>Metrópole</t>
        </is>
      </c>
      <c r="H851" s="5">
        <f>IF(G851="fora do recorte","",SUMPRODUCT(($G$3:$G$1723=G851)*($A$3:$A$1723&lt;=A851)))</f>
        <v/>
      </c>
      <c r="I851" s="4">
        <f>IF(H851="","",G851&amp;"|"&amp;H851)</f>
        <v/>
      </c>
      <c r="J851" s="4" t="inlineStr">
        <is>
          <t>https://www.google.com/maps/search/?api=1&amp;query=Cc%20Games%20e%20Inform%C3%A1tica&amp;query_place_id=ChIJC2aGJPwQFgcRvo_o38trvU0</t>
        </is>
      </c>
      <c r="K851" s="4" t="inlineStr">
        <is>
          <t>via castelo branco segunda etapa - Castelo Branco, Salvador - BA, 41321-522, Brasil</t>
        </is>
      </c>
      <c r="L851" s="4" t="inlineStr">
        <is>
          <t>Rio Branco; Salvador</t>
        </is>
      </c>
      <c r="M851" s="5" t="n">
        <v>2</v>
      </c>
    </row>
    <row r="852">
      <c r="A852" s="3">
        <f>RAND()</f>
        <v/>
      </c>
      <c r="B852" s="4" t="inlineStr">
        <is>
          <t>ChIJ8ZWHFlEDFgcR_tBMX9trpaw</t>
        </is>
      </c>
      <c r="C852" s="4" t="inlineStr">
        <is>
          <t>Copito Bar</t>
        </is>
      </c>
      <c r="D852" s="4" t="inlineStr">
        <is>
          <t>Salvador</t>
        </is>
      </c>
      <c r="E852" s="4" t="inlineStr">
        <is>
          <t>BA</t>
        </is>
      </c>
      <c r="F852" s="4" t="inlineStr">
        <is>
          <t>Metrópoles</t>
        </is>
      </c>
      <c r="G852" s="4" t="inlineStr">
        <is>
          <t>Metrópole</t>
        </is>
      </c>
      <c r="H852" s="5">
        <f>IF(G852="fora do recorte","",SUMPRODUCT(($G$3:$G$1723=G852)*($A$3:$A$1723&lt;=A852)))</f>
        <v/>
      </c>
      <c r="I852" s="4">
        <f>IF(H852="","",G852&amp;"|"&amp;H852)</f>
        <v/>
      </c>
      <c r="J852" s="4" t="inlineStr">
        <is>
          <t>https://www.google.com/maps/search/?api=1&amp;query=Copito%20Bar&amp;query_place_id=ChIJ8ZWHFlEDFgcR_tBMX9trpaw</t>
        </is>
      </c>
      <c r="K852" s="4" t="inlineStr">
        <is>
          <t>Largo de Santana, 4 - Rio Vermelho, Salvador - BA, 41940-100, Brasil</t>
        </is>
      </c>
      <c r="L852" s="4" t="inlineStr">
        <is>
          <t>Salvador</t>
        </is>
      </c>
      <c r="M852" s="5" t="n">
        <v>1</v>
      </c>
    </row>
    <row r="853">
      <c r="A853" s="3">
        <f>RAND()</f>
        <v/>
      </c>
      <c r="B853" s="4" t="inlineStr">
        <is>
          <t>ChIJV41wnOgEFgcRs6E0pj4rRo8</t>
        </is>
      </c>
      <c r="C853" s="4" t="inlineStr">
        <is>
          <t>Cuco Bistrô</t>
        </is>
      </c>
      <c r="D853" s="4" t="inlineStr">
        <is>
          <t>Salvador</t>
        </is>
      </c>
      <c r="E853" s="4" t="inlineStr">
        <is>
          <t>BA</t>
        </is>
      </c>
      <c r="F853" s="4" t="inlineStr">
        <is>
          <t>Metrópoles</t>
        </is>
      </c>
      <c r="G853" s="4" t="inlineStr">
        <is>
          <t>Metrópole</t>
        </is>
      </c>
      <c r="H853" s="5">
        <f>IF(G853="fora do recorte","",SUMPRODUCT(($G$3:$G$1723=G853)*($A$3:$A$1723&lt;=A853)))</f>
        <v/>
      </c>
      <c r="I853" s="4">
        <f>IF(H853="","",G853&amp;"|"&amp;H853)</f>
        <v/>
      </c>
      <c r="J853" s="4" t="inlineStr">
        <is>
          <t>https://www.google.com/maps/search/?api=1&amp;query=Cuco%20Bistr%C3%B4&amp;query_place_id=ChIJV41wnOgEFgcRs6E0pj4rRo8</t>
        </is>
      </c>
      <c r="K853" s="4" t="inlineStr">
        <is>
          <t>Largo do Cruzeiro de São Francisco, 6 - Centro Histórico, Salvador - BA, 40020-280, Brasil</t>
        </is>
      </c>
      <c r="L853" s="4" t="inlineStr">
        <is>
          <t>Salvador</t>
        </is>
      </c>
      <c r="M853" s="5" t="n">
        <v>1</v>
      </c>
    </row>
    <row r="854">
      <c r="A854" s="3">
        <f>RAND()</f>
        <v/>
      </c>
      <c r="B854" s="4" t="inlineStr">
        <is>
          <t>ChIJ1wYyoJwbFgcRGp5ymEMevGw</t>
        </is>
      </c>
      <c r="C854" s="4" t="inlineStr">
        <is>
          <t>FIRE - Games e Festa Gamer</t>
        </is>
      </c>
      <c r="D854" s="4" t="inlineStr">
        <is>
          <t>Salvador</t>
        </is>
      </c>
      <c r="E854" s="4" t="inlineStr">
        <is>
          <t>BA</t>
        </is>
      </c>
      <c r="F854" s="4" t="inlineStr">
        <is>
          <t>Metrópoles</t>
        </is>
      </c>
      <c r="G854" s="4" t="inlineStr">
        <is>
          <t>Metrópole</t>
        </is>
      </c>
      <c r="H854" s="5">
        <f>IF(G854="fora do recorte","",SUMPRODUCT(($G$3:$G$1723=G854)*($A$3:$A$1723&lt;=A854)))</f>
        <v/>
      </c>
      <c r="I854" s="4">
        <f>IF(H854="","",G854&amp;"|"&amp;H854)</f>
        <v/>
      </c>
      <c r="J854" s="4" t="inlineStr">
        <is>
          <t>https://www.google.com/maps/search/?api=1&amp;query=FIRE%20-%20Games%20e%20Festa%20Gamer&amp;query_place_id=ChIJ1wYyoJwbFgcRGp5ymEMevGw</t>
        </is>
      </c>
      <c r="K854" s="4" t="inlineStr">
        <is>
          <t>Shopping da Bahia - Av. Tancredo Neves, 148 - 4º Piso - Caminho das Árvores, Salvador - BA, 41820-020, Brasil</t>
        </is>
      </c>
      <c r="L854" s="4" t="inlineStr">
        <is>
          <t>Salvador</t>
        </is>
      </c>
      <c r="M854" s="5" t="n">
        <v>1</v>
      </c>
    </row>
    <row r="855">
      <c r="A855" s="3">
        <f>RAND()</f>
        <v/>
      </c>
      <c r="B855" s="4" t="inlineStr">
        <is>
          <t>ChIJyQBT2mQbFgcRQI1jt_Rh8k4</t>
        </is>
      </c>
      <c r="C855" s="4" t="inlineStr">
        <is>
          <t>Free Snooker e Esportes Ltda</t>
        </is>
      </c>
      <c r="D855" s="4" t="inlineStr">
        <is>
          <t>Salvador</t>
        </is>
      </c>
      <c r="E855" s="4" t="inlineStr">
        <is>
          <t>BA</t>
        </is>
      </c>
      <c r="F855" s="4" t="inlineStr">
        <is>
          <t>Metrópoles</t>
        </is>
      </c>
      <c r="G855" s="4" t="inlineStr">
        <is>
          <t>Metrópole</t>
        </is>
      </c>
      <c r="H855" s="5">
        <f>IF(G855="fora do recorte","",SUMPRODUCT(($G$3:$G$1723=G855)*($A$3:$A$1723&lt;=A855)))</f>
        <v/>
      </c>
      <c r="I855" s="4">
        <f>IF(H855="","",G855&amp;"|"&amp;H855)</f>
        <v/>
      </c>
      <c r="J855" s="4" t="inlineStr">
        <is>
          <t>https://www.google.com/maps/search/?api=1&amp;query=Free%20Snooker%20e%20Esportes%20Ltda&amp;query_place_id=ChIJyQBT2mQbFgcRQI1jt_Rh8k4</t>
        </is>
      </c>
      <c r="K855" s="4" t="inlineStr">
        <is>
          <t>Condomínio Edf Atlântico Empresarial - R. Paraná, 29 - Lj 2 - Pituba, Salvador - BA, 41830-170, Brasil</t>
        </is>
      </c>
      <c r="L855" s="4" t="inlineStr">
        <is>
          <t>Salvador</t>
        </is>
      </c>
      <c r="M855" s="5" t="n">
        <v>2</v>
      </c>
    </row>
    <row r="856">
      <c r="A856" s="3">
        <f>RAND()</f>
        <v/>
      </c>
      <c r="B856" s="4" t="inlineStr">
        <is>
          <t>ChIJwSZdhRwbFgcRLKgYBABeJEQ</t>
        </is>
      </c>
      <c r="C856" s="4" t="inlineStr">
        <is>
          <t>Game Station</t>
        </is>
      </c>
      <c r="D856" s="4" t="inlineStr">
        <is>
          <t>Salvador</t>
        </is>
      </c>
      <c r="E856" s="4" t="inlineStr">
        <is>
          <t>BA</t>
        </is>
      </c>
      <c r="F856" s="4" t="inlineStr">
        <is>
          <t>Metrópoles</t>
        </is>
      </c>
      <c r="G856" s="4" t="inlineStr">
        <is>
          <t>Metrópole</t>
        </is>
      </c>
      <c r="H856" s="5">
        <f>IF(G856="fora do recorte","",SUMPRODUCT(($G$3:$G$1723=G856)*($A$3:$A$1723&lt;=A856)))</f>
        <v/>
      </c>
      <c r="I856" s="4">
        <f>IF(H856="","",G856&amp;"|"&amp;H856)</f>
        <v/>
      </c>
      <c r="J856" s="4" t="inlineStr">
        <is>
          <t>https://www.google.com/maps/search/?api=1&amp;query=Game%20Station&amp;query_place_id=ChIJwSZdhRwbFgcRLKgYBABeJEQ</t>
        </is>
      </c>
      <c r="K856" s="4" t="inlineStr">
        <is>
          <t>Av. Tancredo Neves, 3133 - Loja 3001, Piso L3 - Caminho das Árvores, Salvador - BA, 41820-021, Brasil</t>
        </is>
      </c>
      <c r="L856" s="4" t="inlineStr">
        <is>
          <t>Salvador</t>
        </is>
      </c>
      <c r="M856" s="5" t="n">
        <v>1</v>
      </c>
    </row>
    <row r="857">
      <c r="A857" s="3">
        <f>RAND()</f>
        <v/>
      </c>
      <c r="B857" s="4" t="inlineStr">
        <is>
          <t>ChIJ_YOROK8QFgcR4-vk3gUcjaw</t>
        </is>
      </c>
      <c r="C857" s="4" t="inlineStr">
        <is>
          <t>Gamepólitan</t>
        </is>
      </c>
      <c r="D857" s="4" t="inlineStr">
        <is>
          <t>Salvador</t>
        </is>
      </c>
      <c r="E857" s="4" t="inlineStr">
        <is>
          <t>BA</t>
        </is>
      </c>
      <c r="F857" s="4" t="inlineStr">
        <is>
          <t>Metrópoles</t>
        </is>
      </c>
      <c r="G857" s="4" t="inlineStr">
        <is>
          <t>Metrópole</t>
        </is>
      </c>
      <c r="H857" s="5">
        <f>IF(G857="fora do recorte","",SUMPRODUCT(($G$3:$G$1723=G857)*($A$3:$A$1723&lt;=A857)))</f>
        <v/>
      </c>
      <c r="I857" s="4">
        <f>IF(H857="","",G857&amp;"|"&amp;H857)</f>
        <v/>
      </c>
      <c r="J857" s="4" t="inlineStr">
        <is>
          <t>https://www.google.com/maps/search/?api=1&amp;query=Gamep%C3%B3litan&amp;query_place_id=ChIJ_YOROK8QFgcR4-vk3gUcjaw</t>
        </is>
      </c>
      <c r="K857" s="4" t="inlineStr">
        <is>
          <t>Av. Luís Viana Filho, 1590 - Itapuã, Salvador - BA, 41730-101, Brasil</t>
        </is>
      </c>
      <c r="L857" s="4" t="inlineStr">
        <is>
          <t>Salvador</t>
        </is>
      </c>
      <c r="M857" s="5" t="n">
        <v>2</v>
      </c>
    </row>
    <row r="858">
      <c r="A858" s="3">
        <f>RAND()</f>
        <v/>
      </c>
      <c r="B858" s="4" t="inlineStr">
        <is>
          <t>ChIJJ94z1ekFFgcR-Ew-PNxjByM</t>
        </is>
      </c>
      <c r="C858" s="4" t="inlineStr">
        <is>
          <t>Inova Distribuidora</t>
        </is>
      </c>
      <c r="D858" s="4" t="inlineStr">
        <is>
          <t>Salvador</t>
        </is>
      </c>
      <c r="E858" s="4" t="inlineStr">
        <is>
          <t>BA</t>
        </is>
      </c>
      <c r="F858" s="4" t="inlineStr">
        <is>
          <t>Metrópoles</t>
        </is>
      </c>
      <c r="G858" s="4" t="inlineStr">
        <is>
          <t>Metrópole</t>
        </is>
      </c>
      <c r="H858" s="5">
        <f>IF(G858="fora do recorte","",SUMPRODUCT(($G$3:$G$1723=G858)*($A$3:$A$1723&lt;=A858)))</f>
        <v/>
      </c>
      <c r="I858" s="4">
        <f>IF(H858="","",G858&amp;"|"&amp;H858)</f>
        <v/>
      </c>
      <c r="J858" s="4" t="inlineStr">
        <is>
          <t>https://www.google.com/maps/search/?api=1&amp;query=Inova%20Distribuidora&amp;query_place_id=ChIJJ94z1ekFFgcR-Ew-PNxjByM</t>
        </is>
      </c>
      <c r="K858" s="4" t="inlineStr">
        <is>
          <t>Praça Barão do Rio Branco, 4 - Barris, Salvador - BA, 40070-045, Brasil</t>
        </is>
      </c>
      <c r="L858" s="4" t="inlineStr">
        <is>
          <t>Rio Branco</t>
        </is>
      </c>
      <c r="M858" s="5" t="n">
        <v>1</v>
      </c>
    </row>
    <row r="859">
      <c r="A859" s="3">
        <f>RAND()</f>
        <v/>
      </c>
      <c r="B859" s="4" t="inlineStr">
        <is>
          <t>ChIJd3SdTfYFFgcRo-JG2l_0Rzo</t>
        </is>
      </c>
      <c r="C859" s="4" t="inlineStr">
        <is>
          <t>Invasion BG</t>
        </is>
      </c>
      <c r="D859" s="4" t="inlineStr">
        <is>
          <t>Salvador</t>
        </is>
      </c>
      <c r="E859" s="4" t="inlineStr">
        <is>
          <t>BA</t>
        </is>
      </c>
      <c r="F859" s="4" t="inlineStr">
        <is>
          <t>Metrópoles</t>
        </is>
      </c>
      <c r="G859" s="4" t="inlineStr">
        <is>
          <t>Metrópole</t>
        </is>
      </c>
      <c r="H859" s="5">
        <f>IF(G859="fora do recorte","",SUMPRODUCT(($G$3:$G$1723=G859)*($A$3:$A$1723&lt;=A859)))</f>
        <v/>
      </c>
      <c r="I859" s="4">
        <f>IF(H859="","",G859&amp;"|"&amp;H859)</f>
        <v/>
      </c>
      <c r="J859" s="4" t="inlineStr">
        <is>
          <t>https://www.google.com/maps/search/?api=1&amp;query=Invasion%20BG&amp;query_place_id=ChIJd3SdTfYFFgcRo-JG2l_0Rzo</t>
        </is>
      </c>
      <c r="K859" s="4" t="inlineStr">
        <is>
          <t>Av. Sete de Setembro, 624 Edf. Totônia - Sl 308 - Dois de Julho, Salvador - BA, 40060-001, Brasil</t>
        </is>
      </c>
      <c r="L859" s="4" t="inlineStr">
        <is>
          <t>Boa Vista; Salvador; São Paulo</t>
        </is>
      </c>
      <c r="M859" s="5" t="n">
        <v>10</v>
      </c>
    </row>
    <row r="860">
      <c r="A860" s="3">
        <f>RAND()</f>
        <v/>
      </c>
      <c r="B860" s="4" t="inlineStr">
        <is>
          <t>ChIJYVdfURsbFgcRF6AYERR6dVg</t>
        </is>
      </c>
      <c r="C860" s="4" t="inlineStr">
        <is>
          <t>Kalunga</t>
        </is>
      </c>
      <c r="D860" s="4" t="inlineStr">
        <is>
          <t>Salvador</t>
        </is>
      </c>
      <c r="E860" s="4" t="inlineStr">
        <is>
          <t>BA</t>
        </is>
      </c>
      <c r="F860" s="4" t="inlineStr">
        <is>
          <t>Metrópoles</t>
        </is>
      </c>
      <c r="G860" s="4" t="inlineStr">
        <is>
          <t>Metrópole</t>
        </is>
      </c>
      <c r="H860" s="5">
        <f>IF(G860="fora do recorte","",SUMPRODUCT(($G$3:$G$1723=G860)*($A$3:$A$1723&lt;=A860)))</f>
        <v/>
      </c>
      <c r="I860" s="4">
        <f>IF(H860="","",G860&amp;"|"&amp;H860)</f>
        <v/>
      </c>
      <c r="J860" s="4" t="inlineStr">
        <is>
          <t>https://www.google.com/maps/search/?api=1&amp;query=Kalunga&amp;query_place_id=ChIJYVdfURsbFgcRF6AYERR6dVg</t>
        </is>
      </c>
      <c r="K860" s="4" t="inlineStr">
        <is>
          <t>Av. Tancredo Neves, 148 Shopping da Bahia - Loja 001 - W1 - Caminho das Árvores, Salvador - BA, 41820-908, Brasil</t>
        </is>
      </c>
      <c r="L860" s="4" t="inlineStr">
        <is>
          <t>Salvador</t>
        </is>
      </c>
      <c r="M860" s="5" t="n">
        <v>2</v>
      </c>
    </row>
    <row r="861">
      <c r="A861" s="3">
        <f>RAND()</f>
        <v/>
      </c>
      <c r="B861" s="4" t="inlineStr">
        <is>
          <t>ChIJYVdfURsbFgcRWPhO1JJLzqs</t>
        </is>
      </c>
      <c r="C861" s="4" t="inlineStr">
        <is>
          <t>Kalunga - Salvador Shopping</t>
        </is>
      </c>
      <c r="D861" s="4" t="inlineStr">
        <is>
          <t>Salvador</t>
        </is>
      </c>
      <c r="E861" s="4" t="inlineStr">
        <is>
          <t>BA</t>
        </is>
      </c>
      <c r="F861" s="4" t="inlineStr">
        <is>
          <t>Metrópoles</t>
        </is>
      </c>
      <c r="G861" s="4" t="inlineStr">
        <is>
          <t>Metrópole</t>
        </is>
      </c>
      <c r="H861" s="5">
        <f>IF(G861="fora do recorte","",SUMPRODUCT(($G$3:$G$1723=G861)*($A$3:$A$1723&lt;=A861)))</f>
        <v/>
      </c>
      <c r="I861" s="4">
        <f>IF(H861="","",G861&amp;"|"&amp;H861)</f>
        <v/>
      </c>
      <c r="J861" s="4" t="inlineStr">
        <is>
          <t>https://www.google.com/maps/search/?api=1&amp;query=Kalunga%20-%20Salvador%20Shopping&amp;query_place_id=ChIJYVdfURsbFgcRWPhO1JJLzqs</t>
        </is>
      </c>
      <c r="K861" s="4" t="inlineStr">
        <is>
          <t>Av. Tancredo Neves, 3133 Shopping - Pernambués, Salvador - BA, 41100-800, Brasil</t>
        </is>
      </c>
      <c r="L861" s="4" t="inlineStr">
        <is>
          <t>Salvador</t>
        </is>
      </c>
      <c r="M861" s="5" t="n">
        <v>2</v>
      </c>
    </row>
    <row r="862">
      <c r="A862" s="3">
        <f>RAND()</f>
        <v/>
      </c>
      <c r="B862" s="4" t="inlineStr">
        <is>
          <t>ChIJhQTP0IEEFgcR3-G9G0bqe5k</t>
        </is>
      </c>
      <c r="C862" s="4" t="inlineStr">
        <is>
          <t>Kalunga - Shopping Bela Vista</t>
        </is>
      </c>
      <c r="D862" s="4" t="inlineStr">
        <is>
          <t>Salvador</t>
        </is>
      </c>
      <c r="E862" s="4" t="inlineStr">
        <is>
          <t>BA</t>
        </is>
      </c>
      <c r="F862" s="4" t="inlineStr">
        <is>
          <t>Metrópoles</t>
        </is>
      </c>
      <c r="G862" s="4" t="inlineStr">
        <is>
          <t>Metrópole</t>
        </is>
      </c>
      <c r="H862" s="5">
        <f>IF(G862="fora do recorte","",SUMPRODUCT(($G$3:$G$1723=G862)*($A$3:$A$1723&lt;=A862)))</f>
        <v/>
      </c>
      <c r="I862" s="4">
        <f>IF(H862="","",G862&amp;"|"&amp;H862)</f>
        <v/>
      </c>
      <c r="J862" s="4" t="inlineStr">
        <is>
          <t>https://www.google.com/maps/search/?api=1&amp;query=Kalunga%20-%20Shopping%20Bela%20Vista&amp;query_place_id=ChIJhQTP0IEEFgcR3-G9G0bqe5k</t>
        </is>
      </c>
      <c r="K862" s="4" t="inlineStr">
        <is>
          <t>Shopping Bela Vista - Alameda Euvaldo Luz, 92 - L04.1 - Horto B.Vista, Salvador - BA, 41098-020, Brasil</t>
        </is>
      </c>
      <c r="L862" s="4" t="inlineStr">
        <is>
          <t>Boa Vista; Salvador</t>
        </is>
      </c>
      <c r="M862" s="5" t="n">
        <v>3</v>
      </c>
    </row>
    <row r="863">
      <c r="A863" s="3">
        <f>RAND()</f>
        <v/>
      </c>
      <c r="B863" s="4" t="inlineStr">
        <is>
          <t>ChIJWaZ0iVobFgcRHQqoOsbwU7A</t>
        </is>
      </c>
      <c r="C863" s="4" t="inlineStr">
        <is>
          <t>LR Games - Especialista em Desbloqueio de Switch</t>
        </is>
      </c>
      <c r="D863" s="4" t="inlineStr">
        <is>
          <t>Salvador</t>
        </is>
      </c>
      <c r="E863" s="4" t="inlineStr">
        <is>
          <t>BA</t>
        </is>
      </c>
      <c r="F863" s="4" t="inlineStr">
        <is>
          <t>Metrópoles</t>
        </is>
      </c>
      <c r="G863" s="4" t="inlineStr">
        <is>
          <t>Metrópole</t>
        </is>
      </c>
      <c r="H863" s="5">
        <f>IF(G863="fora do recorte","",SUMPRODUCT(($G$3:$G$1723=G863)*($A$3:$A$1723&lt;=A863)))</f>
        <v/>
      </c>
      <c r="I863" s="4">
        <f>IF(H863="","",G863&amp;"|"&amp;H863)</f>
        <v/>
      </c>
      <c r="J863" s="4" t="inlineStr">
        <is>
          <t>https://www.google.com/maps/search/?api=1&amp;query=LR%20Games%20-%20Especialista%20em%20Desbloqueio%20de%20Switch&amp;query_place_id=ChIJWaZ0iVobFgcRHQqoOsbwU7A</t>
        </is>
      </c>
      <c r="K863" s="4" t="inlineStr">
        <is>
          <t>Centro Empresarial Imbui - R. Padre Casemiro Quiroga, 236 - BOX 1 - Imbuí, Salvador - BA, 41720-400, Brasil</t>
        </is>
      </c>
      <c r="L863" s="4" t="inlineStr">
        <is>
          <t>Natal; Salvador; São Luís</t>
        </is>
      </c>
      <c r="M863" s="5" t="n">
        <v>1</v>
      </c>
    </row>
    <row r="864">
      <c r="A864" s="3">
        <f>RAND()</f>
        <v/>
      </c>
      <c r="B864" s="4" t="inlineStr">
        <is>
          <t>ChIJPVTMANgaFgcR5D-tNJZzeDw</t>
        </is>
      </c>
      <c r="C864" s="4" t="inlineStr">
        <is>
          <t>Le Biscuit</t>
        </is>
      </c>
      <c r="D864" s="4" t="inlineStr">
        <is>
          <t>Salvador</t>
        </is>
      </c>
      <c r="E864" s="4" t="inlineStr">
        <is>
          <t>BA</t>
        </is>
      </c>
      <c r="F864" s="4" t="inlineStr">
        <is>
          <t>Metrópoles</t>
        </is>
      </c>
      <c r="G864" s="4" t="inlineStr">
        <is>
          <t>Metrópole</t>
        </is>
      </c>
      <c r="H864" s="5">
        <f>IF(G864="fora do recorte","",SUMPRODUCT(($G$3:$G$1723=G864)*($A$3:$A$1723&lt;=A864)))</f>
        <v/>
      </c>
      <c r="I864" s="4">
        <f>IF(H864="","",G864&amp;"|"&amp;H864)</f>
        <v/>
      </c>
      <c r="J864" s="4" t="inlineStr">
        <is>
          <t>https://www.google.com/maps/search/?api=1&amp;query=Le%20Biscuit&amp;query_place_id=ChIJPVTMANgaFgcR5D-tNJZzeDw</t>
        </is>
      </c>
      <c r="K864" s="4" t="inlineStr">
        <is>
          <t>Alameda Euvaldo Luz, 92 - Pernambués, Salvador - BA, 41098-020, Brasil</t>
        </is>
      </c>
      <c r="L864" s="4" t="inlineStr">
        <is>
          <t>Boa Vista</t>
        </is>
      </c>
      <c r="M864" s="5" t="n">
        <v>1</v>
      </c>
    </row>
    <row r="865">
      <c r="A865" s="3">
        <f>RAND()</f>
        <v/>
      </c>
      <c r="B865" s="4" t="inlineStr">
        <is>
          <t>ChIJ7bsDLF8bFgcRtY4gf368ffE</t>
        </is>
      </c>
      <c r="C865" s="4" t="inlineStr">
        <is>
          <t>Leroy Merlin Salvador</t>
        </is>
      </c>
      <c r="D865" s="4" t="inlineStr">
        <is>
          <t>Salvador</t>
        </is>
      </c>
      <c r="E865" s="4" t="inlineStr">
        <is>
          <t>BA</t>
        </is>
      </c>
      <c r="F865" s="4" t="inlineStr">
        <is>
          <t>Metrópoles</t>
        </is>
      </c>
      <c r="G865" s="4" t="inlineStr">
        <is>
          <t>Metrópole</t>
        </is>
      </c>
      <c r="H865" s="5">
        <f>IF(G865="fora do recorte","",SUMPRODUCT(($G$3:$G$1723=G865)*($A$3:$A$1723&lt;=A865)))</f>
        <v/>
      </c>
      <c r="I865" s="4">
        <f>IF(H865="","",G865&amp;"|"&amp;H865)</f>
        <v/>
      </c>
      <c r="J865" s="4" t="inlineStr">
        <is>
          <t>https://www.google.com/maps/search/?api=1&amp;query=Leroy%20Merlin%20Salvador&amp;query_place_id=ChIJ7bsDLF8bFgcRtY4gf368ffE</t>
        </is>
      </c>
      <c r="K865" s="4" t="inlineStr">
        <is>
          <t>Alameda Euvaldo Luz, 92 - Pernambués, Salvador - BA, 41098-020, Brasil</t>
        </is>
      </c>
      <c r="L865" s="4" t="inlineStr">
        <is>
          <t>Boa Vista</t>
        </is>
      </c>
      <c r="M865" s="5" t="n">
        <v>1</v>
      </c>
    </row>
    <row r="866">
      <c r="A866" s="3">
        <f>RAND()</f>
        <v/>
      </c>
      <c r="B866" s="4" t="inlineStr">
        <is>
          <t>ChIJL7lZWgAFFgcR318v2vNFS5c</t>
        </is>
      </c>
      <c r="C866" s="4" t="inlineStr">
        <is>
          <t>Little Club Park - Aluguel de Brinquedos</t>
        </is>
      </c>
      <c r="D866" s="4" t="inlineStr">
        <is>
          <t>Salvador</t>
        </is>
      </c>
      <c r="E866" s="4" t="inlineStr">
        <is>
          <t>BA</t>
        </is>
      </c>
      <c r="F866" s="4" t="inlineStr">
        <is>
          <t>Metrópoles</t>
        </is>
      </c>
      <c r="G866" s="4" t="inlineStr">
        <is>
          <t>Metrópole</t>
        </is>
      </c>
      <c r="H866" s="5">
        <f>IF(G866="fora do recorte","",SUMPRODUCT(($G$3:$G$1723=G866)*($A$3:$A$1723&lt;=A866)))</f>
        <v/>
      </c>
      <c r="I866" s="4">
        <f>IF(H866="","",G866&amp;"|"&amp;H866)</f>
        <v/>
      </c>
      <c r="J866" s="4" t="inlineStr">
        <is>
          <t>https://www.google.com/maps/search/?api=1&amp;query=Little%20Club%20Park%20-%20Aluguel%20de%20Brinquedos&amp;query_place_id=ChIJL7lZWgAFFgcR318v2vNFS5c</t>
        </is>
      </c>
      <c r="K866" s="4" t="inlineStr">
        <is>
          <t>Blvd. Suíço, 211 - Nazaré, Salvador - BA, 40050-330, Brasil</t>
        </is>
      </c>
      <c r="L866" s="4" t="inlineStr">
        <is>
          <t>Salvador</t>
        </is>
      </c>
      <c r="M866" s="5" t="n">
        <v>1</v>
      </c>
    </row>
    <row r="867">
      <c r="A867" s="3">
        <f>RAND()</f>
        <v/>
      </c>
      <c r="B867" s="4" t="inlineStr">
        <is>
          <t>ChIJS7YOEIQbFgcRxAt3neMOX-s</t>
        </is>
      </c>
      <c r="C867" s="4" t="inlineStr">
        <is>
          <t>Loktoy Salvador</t>
        </is>
      </c>
      <c r="D867" s="4" t="inlineStr">
        <is>
          <t>Salvador</t>
        </is>
      </c>
      <c r="E867" s="4" t="inlineStr">
        <is>
          <t>BA</t>
        </is>
      </c>
      <c r="F867" s="4" t="inlineStr">
        <is>
          <t>Metrópoles</t>
        </is>
      </c>
      <c r="G867" s="4" t="inlineStr">
        <is>
          <t>Metrópole</t>
        </is>
      </c>
      <c r="H867" s="5">
        <f>IF(G867="fora do recorte","",SUMPRODUCT(($G$3:$G$1723=G867)*($A$3:$A$1723&lt;=A867)))</f>
        <v/>
      </c>
      <c r="I867" s="4">
        <f>IF(H867="","",G867&amp;"|"&amp;H867)</f>
        <v/>
      </c>
      <c r="J867" s="4" t="inlineStr">
        <is>
          <t>https://www.google.com/maps/search/?api=1&amp;query=Loktoy%20Salvador&amp;query_place_id=ChIJS7YOEIQbFgcRxAt3neMOX-s</t>
        </is>
      </c>
      <c r="K867" s="4" t="inlineStr">
        <is>
          <t>Tv. Copene, 10 - QD 07 - STIEP, Salvador - BA, 41770-720, Brasil</t>
        </is>
      </c>
      <c r="L867" s="4" t="inlineStr">
        <is>
          <t>Salvador</t>
        </is>
      </c>
      <c r="M867" s="5" t="n">
        <v>1</v>
      </c>
    </row>
    <row r="868">
      <c r="A868" s="3">
        <f>RAND()</f>
        <v/>
      </c>
      <c r="B868" s="4" t="inlineStr">
        <is>
          <t>ChIJnaSy0Z0bFgcREAL6m7PrajA</t>
        </is>
      </c>
      <c r="C868" s="4" t="inlineStr">
        <is>
          <t>Marcos Brito Game Designer</t>
        </is>
      </c>
      <c r="D868" s="4" t="inlineStr">
        <is>
          <t>Salvador</t>
        </is>
      </c>
      <c r="E868" s="4" t="inlineStr">
        <is>
          <t>BA</t>
        </is>
      </c>
      <c r="F868" s="4" t="inlineStr">
        <is>
          <t>Metrópoles</t>
        </is>
      </c>
      <c r="G868" s="4" t="inlineStr">
        <is>
          <t>Metrópole</t>
        </is>
      </c>
      <c r="H868" s="5">
        <f>IF(G868="fora do recorte","",SUMPRODUCT(($G$3:$G$1723=G868)*($A$3:$A$1723&lt;=A868)))</f>
        <v/>
      </c>
      <c r="I868" s="4">
        <f>IF(H868="","",G868&amp;"|"&amp;H868)</f>
        <v/>
      </c>
      <c r="J868" s="4" t="inlineStr">
        <is>
          <t>https://www.google.com/maps/search/?api=1&amp;query=Marcos%20Brito%20Game%20Designer&amp;query_place_id=ChIJnaSy0Z0bFgcREAL6m7PrajA</t>
        </is>
      </c>
      <c r="K868" s="4" t="inlineStr">
        <is>
          <t>R. Eugênio Ribeiro - Doron, Salvador - BA, 41194-120, Brasil</t>
        </is>
      </c>
      <c r="L868" s="4" t="inlineStr">
        <is>
          <t>Salvador</t>
        </is>
      </c>
      <c r="M868" s="5" t="n">
        <v>2</v>
      </c>
    </row>
    <row r="869">
      <c r="A869" s="3">
        <f>RAND()</f>
        <v/>
      </c>
      <c r="B869" s="4" t="inlineStr">
        <is>
          <t>ChIJlxQaoWgRFgcRsFdTNAsIgAI</t>
        </is>
      </c>
      <c r="C869" s="4" t="inlineStr">
        <is>
          <t>Mariba´s Gastrobar</t>
        </is>
      </c>
      <c r="D869" s="4" t="inlineStr">
        <is>
          <t>Salvador</t>
        </is>
      </c>
      <c r="E869" s="4" t="inlineStr">
        <is>
          <t>BA</t>
        </is>
      </c>
      <c r="F869" s="4" t="inlineStr">
        <is>
          <t>Metrópoles</t>
        </is>
      </c>
      <c r="G869" s="4" t="inlineStr">
        <is>
          <t>Metrópole</t>
        </is>
      </c>
      <c r="H869" s="5">
        <f>IF(G869="fora do recorte","",SUMPRODUCT(($G$3:$G$1723=G869)*($A$3:$A$1723&lt;=A869)))</f>
        <v/>
      </c>
      <c r="I869" s="4">
        <f>IF(H869="","",G869&amp;"|"&amp;H869)</f>
        <v/>
      </c>
      <c r="J869" s="4" t="inlineStr">
        <is>
          <t>https://www.google.com/maps/search/?api=1&amp;query=Mariba%C2%B4s%20Gastrobar&amp;query_place_id=ChIJlxQaoWgRFgcRsFdTNAsIgAI</t>
        </is>
      </c>
      <c r="K869" s="4" t="inlineStr">
        <is>
          <t>Avenida Ulisses Guimarães Camelódromo - Sussuarana, Salvador - BA, 41215-770, Brasil</t>
        </is>
      </c>
      <c r="L869" s="4" t="inlineStr">
        <is>
          <t>Salvador</t>
        </is>
      </c>
      <c r="M869" s="5" t="n">
        <v>1</v>
      </c>
    </row>
    <row r="870">
      <c r="A870" s="3">
        <f>RAND()</f>
        <v/>
      </c>
      <c r="B870" s="4" t="inlineStr">
        <is>
          <t>ChIJw-9MRWYbFgcR-HRrfEVbZEY</t>
        </is>
      </c>
      <c r="C870" s="4" t="inlineStr">
        <is>
          <t>Mundo Colorê - Aluguel de Brinquedos</t>
        </is>
      </c>
      <c r="D870" s="4" t="inlineStr">
        <is>
          <t>Salvador</t>
        </is>
      </c>
      <c r="E870" s="4" t="inlineStr">
        <is>
          <t>BA</t>
        </is>
      </c>
      <c r="F870" s="4" t="inlineStr">
        <is>
          <t>Metrópoles</t>
        </is>
      </c>
      <c r="G870" s="4" t="inlineStr">
        <is>
          <t>Metrópole</t>
        </is>
      </c>
      <c r="H870" s="5">
        <f>IF(G870="fora do recorte","",SUMPRODUCT(($G$3:$G$1723=G870)*($A$3:$A$1723&lt;=A870)))</f>
        <v/>
      </c>
      <c r="I870" s="4">
        <f>IF(H870="","",G870&amp;"|"&amp;H870)</f>
        <v/>
      </c>
      <c r="J870" s="4" t="inlineStr">
        <is>
          <t>https://www.google.com/maps/search/?api=1&amp;query=Mundo%20Color%C3%AA%20-%20Aluguel%20de%20Brinquedos&amp;query_place_id=ChIJw-9MRWYbFgcR-HRrfEVbZEY</t>
        </is>
      </c>
      <c r="K870" s="4" t="inlineStr">
        <is>
          <t>R. Elesbão do Carmo, 112 - Jardim Armação, Salvador - BA, 41750-260, Brasil</t>
        </is>
      </c>
      <c r="L870" s="4" t="inlineStr">
        <is>
          <t>Salvador</t>
        </is>
      </c>
      <c r="M870" s="5" t="n">
        <v>1</v>
      </c>
    </row>
    <row r="871">
      <c r="A871" s="3">
        <f>RAND()</f>
        <v/>
      </c>
      <c r="B871" s="4" t="inlineStr">
        <is>
          <t>ChIJ1U_4x5oRFgcRNXdAsLSoQ9I</t>
        </is>
      </c>
      <c r="C871" s="4" t="inlineStr">
        <is>
          <t>Mundo Gira Brinquedos</t>
        </is>
      </c>
      <c r="D871" s="4" t="inlineStr">
        <is>
          <t>Salvador</t>
        </is>
      </c>
      <c r="E871" s="4" t="inlineStr">
        <is>
          <t>BA</t>
        </is>
      </c>
      <c r="F871" s="4" t="inlineStr">
        <is>
          <t>Metrópoles</t>
        </is>
      </c>
      <c r="G871" s="4" t="inlineStr">
        <is>
          <t>Metrópole</t>
        </is>
      </c>
      <c r="H871" s="5">
        <f>IF(G871="fora do recorte","",SUMPRODUCT(($G$3:$G$1723=G871)*($A$3:$A$1723&lt;=A871)))</f>
        <v/>
      </c>
      <c r="I871" s="4">
        <f>IF(H871="","",G871&amp;"|"&amp;H871)</f>
        <v/>
      </c>
      <c r="J871" s="4" t="inlineStr">
        <is>
          <t>https://www.google.com/maps/search/?api=1&amp;query=Mundo%20Gira%20Brinquedos&amp;query_place_id=ChIJ1U_4x5oRFgcRNXdAsLSoQ9I</t>
        </is>
      </c>
      <c r="K871" s="4" t="inlineStr">
        <is>
          <t>R. Cecília Meireles, 13 - Castelo Branco, Salvador - BA, 41320-675, Brasil</t>
        </is>
      </c>
      <c r="L871" s="4" t="inlineStr">
        <is>
          <t>Salvador</t>
        </is>
      </c>
      <c r="M871" s="5" t="n">
        <v>1</v>
      </c>
    </row>
    <row r="872">
      <c r="A872" s="3">
        <f>RAND()</f>
        <v/>
      </c>
      <c r="B872" s="4" t="inlineStr">
        <is>
          <t>ChIJ69NiyWcbFgcRkmjCNEZ2L78</t>
        </is>
      </c>
      <c r="C872" s="4" t="inlineStr">
        <is>
          <t>O Point Bar e Restaurante</t>
        </is>
      </c>
      <c r="D872" s="4" t="inlineStr">
        <is>
          <t>Salvador</t>
        </is>
      </c>
      <c r="E872" s="4" t="inlineStr">
        <is>
          <t>BA</t>
        </is>
      </c>
      <c r="F872" s="4" t="inlineStr">
        <is>
          <t>Metrópoles</t>
        </is>
      </c>
      <c r="G872" s="4" t="inlineStr">
        <is>
          <t>Metrópole</t>
        </is>
      </c>
      <c r="H872" s="5">
        <f>IF(G872="fora do recorte","",SUMPRODUCT(($G$3:$G$1723=G872)*($A$3:$A$1723&lt;=A872)))</f>
        <v/>
      </c>
      <c r="I872" s="4">
        <f>IF(H872="","",G872&amp;"|"&amp;H872)</f>
        <v/>
      </c>
      <c r="J872" s="4" t="inlineStr">
        <is>
          <t>https://www.google.com/maps/search/?api=1&amp;query=O%20Point%20Bar%20e%20Restaurante&amp;query_place_id=ChIJ69NiyWcbFgcRkmjCNEZ2L78</t>
        </is>
      </c>
      <c r="K872" s="4" t="inlineStr">
        <is>
          <t>Alameda Florença, 77 - Pituba, Salvador - BA, 41830-460, Brasil</t>
        </is>
      </c>
      <c r="L872" s="4" t="inlineStr">
        <is>
          <t>Salvador</t>
        </is>
      </c>
      <c r="M872" s="5" t="n">
        <v>1</v>
      </c>
    </row>
    <row r="873">
      <c r="A873" s="3">
        <f>RAND()</f>
        <v/>
      </c>
      <c r="B873" s="4" t="inlineStr">
        <is>
          <t>ChIJf3BfGeYEFgcRMXlpd77HbEI</t>
        </is>
      </c>
      <c r="C873" s="4" t="inlineStr">
        <is>
          <t>O cravinho</t>
        </is>
      </c>
      <c r="D873" s="4" t="inlineStr">
        <is>
          <t>Salvador</t>
        </is>
      </c>
      <c r="E873" s="4" t="inlineStr">
        <is>
          <t>BA</t>
        </is>
      </c>
      <c r="F873" s="4" t="inlineStr">
        <is>
          <t>Metrópoles</t>
        </is>
      </c>
      <c r="G873" s="4" t="inlineStr">
        <is>
          <t>Metrópole</t>
        </is>
      </c>
      <c r="H873" s="5">
        <f>IF(G873="fora do recorte","",SUMPRODUCT(($G$3:$G$1723=G873)*($A$3:$A$1723&lt;=A873)))</f>
        <v/>
      </c>
      <c r="I873" s="4">
        <f>IF(H873="","",G873&amp;"|"&amp;H873)</f>
        <v/>
      </c>
      <c r="J873" s="4" t="inlineStr">
        <is>
          <t>https://www.google.com/maps/search/?api=1&amp;query=O%20cravinho&amp;query_place_id=ChIJf3BfGeYEFgcRMXlpd77HbEI</t>
        </is>
      </c>
      <c r="K873" s="4" t="inlineStr">
        <is>
          <t>Largo Terreiro de Jesus, 3 - Centro Histórico, Salvador - BA, 40026-010, Brasil</t>
        </is>
      </c>
      <c r="L873" s="4" t="inlineStr">
        <is>
          <t>Salvador</t>
        </is>
      </c>
      <c r="M873" s="5" t="n">
        <v>1</v>
      </c>
    </row>
    <row r="874">
      <c r="A874" s="3">
        <f>RAND()</f>
        <v/>
      </c>
      <c r="B874" s="4" t="inlineStr">
        <is>
          <t>ChIJucDXDigbFgcRPnD2qqxJnA4</t>
        </is>
      </c>
      <c r="C874" s="4" t="inlineStr">
        <is>
          <t>PBKIDS</t>
        </is>
      </c>
      <c r="D874" s="4" t="inlineStr">
        <is>
          <t>Salvador</t>
        </is>
      </c>
      <c r="E874" s="4" t="inlineStr">
        <is>
          <t>BA</t>
        </is>
      </c>
      <c r="F874" s="4" t="inlineStr">
        <is>
          <t>Metrópoles</t>
        </is>
      </c>
      <c r="G874" s="4" t="inlineStr">
        <is>
          <t>Metrópole</t>
        </is>
      </c>
      <c r="H874" s="5">
        <f>IF(G874="fora do recorte","",SUMPRODUCT(($G$3:$G$1723=G874)*($A$3:$A$1723&lt;=A874)))</f>
        <v/>
      </c>
      <c r="I874" s="4">
        <f>IF(H874="","",G874&amp;"|"&amp;H874)</f>
        <v/>
      </c>
      <c r="J874" s="4" t="inlineStr">
        <is>
          <t>https://www.google.com/maps/search/?api=1&amp;query=PBKIDS&amp;query_place_id=ChIJucDXDigbFgcRPnD2qqxJnA4</t>
        </is>
      </c>
      <c r="K874" s="4" t="inlineStr">
        <is>
          <t>R. dos Rodoviários, 01 - LOJA 14. PISO 1º - Cabula, Salvador - BA, 41150-125, Brasil</t>
        </is>
      </c>
      <c r="L874" s="4" t="inlineStr">
        <is>
          <t>Boa Vista; Salvador</t>
        </is>
      </c>
      <c r="M874" s="5" t="n">
        <v>1</v>
      </c>
    </row>
    <row r="875">
      <c r="A875" s="3">
        <f>RAND()</f>
        <v/>
      </c>
      <c r="B875" s="4" t="inlineStr">
        <is>
          <t>ChIJf1BUo98bFgcRDe7TudKllvs</t>
        </is>
      </c>
      <c r="C875" s="4" t="inlineStr">
        <is>
          <t>Pinus Jogos e Brinquedos de Madeira</t>
        </is>
      </c>
      <c r="D875" s="4" t="inlineStr">
        <is>
          <t>Salvador</t>
        </is>
      </c>
      <c r="E875" s="4" t="inlineStr">
        <is>
          <t>BA</t>
        </is>
      </c>
      <c r="F875" s="4" t="inlineStr">
        <is>
          <t>Metrópoles</t>
        </is>
      </c>
      <c r="G875" s="4" t="inlineStr">
        <is>
          <t>Metrópole</t>
        </is>
      </c>
      <c r="H875" s="5">
        <f>IF(G875="fora do recorte","",SUMPRODUCT(($G$3:$G$1723=G875)*($A$3:$A$1723&lt;=A875)))</f>
        <v/>
      </c>
      <c r="I875" s="4">
        <f>IF(H875="","",G875&amp;"|"&amp;H875)</f>
        <v/>
      </c>
      <c r="J875" s="4" t="inlineStr">
        <is>
          <t>https://www.google.com/maps/search/?api=1&amp;query=Pinus%20Jogos%20e%20Brinquedos%20de%20Madeira&amp;query_place_id=ChIJf1BUo98bFgcRDe7TudKllvs</t>
        </is>
      </c>
      <c r="K875" s="4" t="inlineStr">
        <is>
          <t>Pituaçu, Salvador - BA, 41741-170, Brasil</t>
        </is>
      </c>
      <c r="L875" s="4" t="inlineStr">
        <is>
          <t>Salvador</t>
        </is>
      </c>
      <c r="M875" s="5" t="n">
        <v>1</v>
      </c>
    </row>
    <row r="876">
      <c r="A876" s="3">
        <f>RAND()</f>
        <v/>
      </c>
      <c r="B876" s="4" t="inlineStr">
        <is>
          <t>ChIJiw_ahBobFgcRLpTyL_kozko</t>
        </is>
      </c>
      <c r="C876" s="4" t="inlineStr">
        <is>
          <t>Planeta Criança</t>
        </is>
      </c>
      <c r="D876" s="4" t="inlineStr">
        <is>
          <t>Salvador</t>
        </is>
      </c>
      <c r="E876" s="4" t="inlineStr">
        <is>
          <t>BA</t>
        </is>
      </c>
      <c r="F876" s="4" t="inlineStr">
        <is>
          <t>Metrópoles</t>
        </is>
      </c>
      <c r="G876" s="4" t="inlineStr">
        <is>
          <t>Metrópole</t>
        </is>
      </c>
      <c r="H876" s="5">
        <f>IF(G876="fora do recorte","",SUMPRODUCT(($G$3:$G$1723=G876)*($A$3:$A$1723&lt;=A876)))</f>
        <v/>
      </c>
      <c r="I876" s="4">
        <f>IF(H876="","",G876&amp;"|"&amp;H876)</f>
        <v/>
      </c>
      <c r="J876" s="4" t="inlineStr">
        <is>
          <t>https://www.google.com/maps/search/?api=1&amp;query=Planeta%20Crian%C3%A7a&amp;query_place_id=ChIJiw_ahBobFgcRLpTyL_kozko</t>
        </is>
      </c>
      <c r="K876" s="4" t="inlineStr">
        <is>
          <t>Av. Tancredo Neves, 148 - Caminho das Árvores, Salvador - BA, 41820-020, Brasil</t>
        </is>
      </c>
      <c r="L876" s="4" t="inlineStr">
        <is>
          <t>Salvador</t>
        </is>
      </c>
      <c r="M876" s="5" t="n">
        <v>1</v>
      </c>
    </row>
    <row r="877">
      <c r="A877" s="3">
        <f>RAND()</f>
        <v/>
      </c>
      <c r="B877" s="4" t="inlineStr">
        <is>
          <t>ChIJve6DexsbFgcRJ06Jd6O_psI</t>
        </is>
      </c>
      <c r="C877" s="4" t="inlineStr">
        <is>
          <t>Planeta Imaginário Salvador</t>
        </is>
      </c>
      <c r="D877" s="4" t="inlineStr">
        <is>
          <t>Salvador</t>
        </is>
      </c>
      <c r="E877" s="4" t="inlineStr">
        <is>
          <t>BA</t>
        </is>
      </c>
      <c r="F877" s="4" t="inlineStr">
        <is>
          <t>Metrópoles</t>
        </is>
      </c>
      <c r="G877" s="4" t="inlineStr">
        <is>
          <t>Metrópole</t>
        </is>
      </c>
      <c r="H877" s="5">
        <f>IF(G877="fora do recorte","",SUMPRODUCT(($G$3:$G$1723=G877)*($A$3:$A$1723&lt;=A877)))</f>
        <v/>
      </c>
      <c r="I877" s="4">
        <f>IF(H877="","",G877&amp;"|"&amp;H877)</f>
        <v/>
      </c>
      <c r="J877" s="4" t="inlineStr">
        <is>
          <t>https://www.google.com/maps/search/?api=1&amp;query=Planeta%20Imagin%C3%A1rio%20Salvador&amp;query_place_id=ChIJve6DexsbFgcRJ06Jd6O_psI</t>
        </is>
      </c>
      <c r="K877" s="4" t="inlineStr">
        <is>
          <t>Salvador Shopping, Piso L1 - Caminho das Árvores - Tancredo Neves, Salvador - BA, 41820-021, Brasil</t>
        </is>
      </c>
      <c r="L877" s="4" t="inlineStr">
        <is>
          <t>Salvador</t>
        </is>
      </c>
      <c r="M877" s="5" t="n">
        <v>1</v>
      </c>
    </row>
    <row r="878">
      <c r="A878" s="3">
        <f>RAND()</f>
        <v/>
      </c>
      <c r="B878" s="4" t="inlineStr">
        <is>
          <t>ChIJj_3s-xUbFgcRGuWhTp0NOzA</t>
        </is>
      </c>
      <c r="C878" s="4" t="inlineStr">
        <is>
          <t>Planeta Imaginário Shopping Bela Vista | Espaço Infantil e Festa de aniversário em Salvador</t>
        </is>
      </c>
      <c r="D878" s="4" t="inlineStr">
        <is>
          <t>Salvador</t>
        </is>
      </c>
      <c r="E878" s="4" t="inlineStr">
        <is>
          <t>BA</t>
        </is>
      </c>
      <c r="F878" s="4" t="inlineStr">
        <is>
          <t>Metrópoles</t>
        </is>
      </c>
      <c r="G878" s="4" t="inlineStr">
        <is>
          <t>Metrópole</t>
        </is>
      </c>
      <c r="H878" s="5">
        <f>IF(G878="fora do recorte","",SUMPRODUCT(($G$3:$G$1723=G878)*($A$3:$A$1723&lt;=A878)))</f>
        <v/>
      </c>
      <c r="I878" s="4">
        <f>IF(H878="","",G878&amp;"|"&amp;H878)</f>
        <v/>
      </c>
      <c r="J878" s="4" t="inlineStr">
        <is>
          <t>https://www.google.com/maps/search/?api=1&amp;query=Planeta%20Imagin%C3%A1rio%20Shopping%20Bela%20Vista%20%7C%20Espa%C3%A7o%20Infantil%20e%20Festa%20de%20anivers%C3%A1rio%20em%20Salvador&amp;query_place_id=ChIJj_3s-xUbFgcRGuWhTp0NOzA</t>
        </is>
      </c>
      <c r="K878" s="4" t="inlineStr">
        <is>
          <t>Alameda Euvaldo Luz, 92 - Pernambués, Salvador - BA, 41098-020, Brasil</t>
        </is>
      </c>
      <c r="L878" s="4" t="inlineStr">
        <is>
          <t>Salvador</t>
        </is>
      </c>
      <c r="M878" s="5" t="n">
        <v>1</v>
      </c>
    </row>
    <row r="879">
      <c r="A879" s="3">
        <f>RAND()</f>
        <v/>
      </c>
      <c r="B879" s="4" t="inlineStr">
        <is>
          <t>ChIJ8U69QGsbFgcRYe1Sl8ehYNc</t>
        </is>
      </c>
      <c r="C879" s="4" t="inlineStr">
        <is>
          <t>Planeta Imaginário Shopping da Bahia | Espaço Infantil e Festa de aniversário em Salvador</t>
        </is>
      </c>
      <c r="D879" s="4" t="inlineStr">
        <is>
          <t>Salvador</t>
        </is>
      </c>
      <c r="E879" s="4" t="inlineStr">
        <is>
          <t>BA</t>
        </is>
      </c>
      <c r="F879" s="4" t="inlineStr">
        <is>
          <t>Metrópoles</t>
        </is>
      </c>
      <c r="G879" s="4" t="inlineStr">
        <is>
          <t>Metrópole</t>
        </is>
      </c>
      <c r="H879" s="5">
        <f>IF(G879="fora do recorte","",SUMPRODUCT(($G$3:$G$1723=G879)*($A$3:$A$1723&lt;=A879)))</f>
        <v/>
      </c>
      <c r="I879" s="4">
        <f>IF(H879="","",G879&amp;"|"&amp;H879)</f>
        <v/>
      </c>
      <c r="J879" s="4" t="inlineStr">
        <is>
          <t>https://www.google.com/maps/search/?api=1&amp;query=Planeta%20Imagin%C3%A1rio%20Shopping%20da%20Bahia%20%7C%20Espa%C3%A7o%20Infantil%20e%20Festa%20de%20anivers%C3%A1rio%20em%20Salvador&amp;query_place_id=ChIJ8U69QGsbFgcRYe1Sl8ehYNc</t>
        </is>
      </c>
      <c r="K879" s="4" t="inlineStr">
        <is>
          <t>Av. Tancredo Neves, 148 - 2º Piso - Caminho das Árvores, Salvador - BA, 41820-020, Brasil</t>
        </is>
      </c>
      <c r="L879" s="4" t="inlineStr">
        <is>
          <t>Salvador</t>
        </is>
      </c>
      <c r="M879" s="5" t="n">
        <v>1</v>
      </c>
    </row>
    <row r="880">
      <c r="A880" s="3">
        <f>RAND()</f>
        <v/>
      </c>
      <c r="B880" s="4" t="inlineStr">
        <is>
          <t>ChIJRwi-IMcEFgcR2QL8OciGdQ0</t>
        </is>
      </c>
      <c r="C880" s="4" t="inlineStr">
        <is>
          <t>PlayGround Game Store</t>
        </is>
      </c>
      <c r="D880" s="4" t="inlineStr">
        <is>
          <t>Salvador</t>
        </is>
      </c>
      <c r="E880" s="4" t="inlineStr">
        <is>
          <t>BA</t>
        </is>
      </c>
      <c r="F880" s="4" t="inlineStr">
        <is>
          <t>Metrópoles</t>
        </is>
      </c>
      <c r="G880" s="4" t="inlineStr">
        <is>
          <t>Metrópole</t>
        </is>
      </c>
      <c r="H880" s="5">
        <f>IF(G880="fora do recorte","",SUMPRODUCT(($G$3:$G$1723=G880)*($A$3:$A$1723&lt;=A880)))</f>
        <v/>
      </c>
      <c r="I880" s="4">
        <f>IF(H880="","",G880&amp;"|"&amp;H880)</f>
        <v/>
      </c>
      <c r="J880" s="4" t="inlineStr">
        <is>
          <t>https://www.google.com/maps/search/?api=1&amp;query=PlayGround%20Game%20Store&amp;query_place_id=ChIJRwi-IMcEFgcR2QL8OciGdQ0</t>
        </is>
      </c>
      <c r="K880" s="4" t="inlineStr">
        <is>
          <t>Shopping Boulevard das Orquídeas - Av. Paulo VI, 1535 - Lj 101 - Pituba, Salvador - BA, 41810-000, Brasil</t>
        </is>
      </c>
      <c r="L880" s="4" t="inlineStr">
        <is>
          <t>Belo Horizonte; Belém; Boa Vista; Brasília; Campo Grande; Florianópolis; Fortaleza; Goiânia; João Pessoa; Porto Alegre; Porto Velho; Recife; Rio Branco; Rio de Janeiro; Salvador; São Luís; São Paulo; Vitória</t>
        </is>
      </c>
      <c r="M880" s="5" t="n">
        <v>9</v>
      </c>
    </row>
    <row r="881">
      <c r="A881" s="3">
        <f>RAND()</f>
        <v/>
      </c>
      <c r="B881" s="4" t="inlineStr">
        <is>
          <t>ChIJC9M07ZobFgcRGE8occQY_kw</t>
        </is>
      </c>
      <c r="C881" s="4" t="inlineStr">
        <is>
          <t>Ponte Aérea Bar</t>
        </is>
      </c>
      <c r="D881" s="4" t="inlineStr">
        <is>
          <t>Salvador</t>
        </is>
      </c>
      <c r="E881" s="4" t="inlineStr">
        <is>
          <t>BA</t>
        </is>
      </c>
      <c r="F881" s="4" t="inlineStr">
        <is>
          <t>Metrópoles</t>
        </is>
      </c>
      <c r="G881" s="4" t="inlineStr">
        <is>
          <t>Metrópole</t>
        </is>
      </c>
      <c r="H881" s="5">
        <f>IF(G881="fora do recorte","",SUMPRODUCT(($G$3:$G$1723=G881)*($A$3:$A$1723&lt;=A881)))</f>
        <v/>
      </c>
      <c r="I881" s="4">
        <f>IF(H881="","",G881&amp;"|"&amp;H881)</f>
        <v/>
      </c>
      <c r="J881" s="4" t="inlineStr">
        <is>
          <t>https://www.google.com/maps/search/?api=1&amp;query=Ponte%20A%C3%A9rea%20Bar&amp;query_place_id=ChIJC9M07ZobFgcRGE8occQY_kw</t>
        </is>
      </c>
      <c r="K881" s="4" t="inlineStr">
        <is>
          <t>R. São Paulo, 404 - Pituba, Salvador - BA, 41830-181, Brasil</t>
        </is>
      </c>
      <c r="L881" s="4" t="inlineStr">
        <is>
          <t>Salvador</t>
        </is>
      </c>
      <c r="M881" s="5" t="n">
        <v>1</v>
      </c>
    </row>
    <row r="882">
      <c r="A882" s="3">
        <f>RAND()</f>
        <v/>
      </c>
      <c r="B882" s="4" t="inlineStr">
        <is>
          <t>ChIJt3cLxtobFgcRNKs3FUd9_Js</t>
        </is>
      </c>
      <c r="C882" s="4" t="inlineStr">
        <is>
          <t>Purgatório Bar</t>
        </is>
      </c>
      <c r="D882" s="4" t="inlineStr">
        <is>
          <t>Salvador</t>
        </is>
      </c>
      <c r="E882" s="4" t="inlineStr">
        <is>
          <t>BA</t>
        </is>
      </c>
      <c r="F882" s="4" t="inlineStr">
        <is>
          <t>Metrópoles</t>
        </is>
      </c>
      <c r="G882" s="4" t="inlineStr">
        <is>
          <t>Metrópole</t>
        </is>
      </c>
      <c r="H882" s="5">
        <f>IF(G882="fora do recorte","",SUMPRODUCT(($G$3:$G$1723=G882)*($A$3:$A$1723&lt;=A882)))</f>
        <v/>
      </c>
      <c r="I882" s="4">
        <f>IF(H882="","",G882&amp;"|"&amp;H882)</f>
        <v/>
      </c>
      <c r="J882" s="4" t="inlineStr">
        <is>
          <t>https://www.google.com/maps/search/?api=1&amp;query=Purgat%C3%B3rio%20Bar&amp;query_place_id=ChIJt3cLxtobFgcRNKs3FUd9_Js</t>
        </is>
      </c>
      <c r="K882" s="4" t="inlineStr">
        <is>
          <t>R. Alexandre Herculano, 45 - Pituba, Salvador - BA, 41810-395, Brasil</t>
        </is>
      </c>
      <c r="L882" s="4" t="inlineStr">
        <is>
          <t>Salvador</t>
        </is>
      </c>
      <c r="M882" s="5" t="n">
        <v>2</v>
      </c>
    </row>
    <row r="883">
      <c r="A883" s="3">
        <f>RAND()</f>
        <v/>
      </c>
      <c r="B883" s="4" t="inlineStr">
        <is>
          <t>ChIJb9OniUUbFgcRAPVDD2gHRIo</t>
        </is>
      </c>
      <c r="C883" s="4" t="inlineStr">
        <is>
          <t>Quintal dos Brinquedos</t>
        </is>
      </c>
      <c r="D883" s="4" t="inlineStr">
        <is>
          <t>Salvador</t>
        </is>
      </c>
      <c r="E883" s="4" t="inlineStr">
        <is>
          <t>BA</t>
        </is>
      </c>
      <c r="F883" s="4" t="inlineStr">
        <is>
          <t>Metrópoles</t>
        </is>
      </c>
      <c r="G883" s="4" t="inlineStr">
        <is>
          <t>Metrópole</t>
        </is>
      </c>
      <c r="H883" s="5">
        <f>IF(G883="fora do recorte","",SUMPRODUCT(($G$3:$G$1723=G883)*($A$3:$A$1723&lt;=A883)))</f>
        <v/>
      </c>
      <c r="I883" s="4">
        <f>IF(H883="","",G883&amp;"|"&amp;H883)</f>
        <v/>
      </c>
      <c r="J883" s="4" t="inlineStr">
        <is>
          <t>https://www.google.com/maps/search/?api=1&amp;query=Quintal%20dos%20Brinquedos&amp;query_place_id=ChIJb9OniUUbFgcRAPVDD2gHRIo</t>
        </is>
      </c>
      <c r="K883" s="4" t="inlineStr">
        <is>
          <t>R. Bicuíba, 1390 - Patamares, Salvador - BA, 41680-050, Brasil</t>
        </is>
      </c>
      <c r="L883" s="4" t="inlineStr">
        <is>
          <t>Salvador</t>
        </is>
      </c>
      <c r="M883" s="5" t="n">
        <v>1</v>
      </c>
    </row>
    <row r="884">
      <c r="A884" s="3">
        <f>RAND()</f>
        <v/>
      </c>
      <c r="B884" s="4" t="inlineStr">
        <is>
          <t>ChIJlRLzrLgEFgcRpiceTD5Zevw</t>
        </is>
      </c>
      <c r="C884" s="4" t="inlineStr">
        <is>
          <t>RGR Distribuidora</t>
        </is>
      </c>
      <c r="D884" s="4" t="inlineStr">
        <is>
          <t>Salvador</t>
        </is>
      </c>
      <c r="E884" s="4" t="inlineStr">
        <is>
          <t>BA</t>
        </is>
      </c>
      <c r="F884" s="4" t="inlineStr">
        <is>
          <t>Metrópoles</t>
        </is>
      </c>
      <c r="G884" s="4" t="inlineStr">
        <is>
          <t>Metrópole</t>
        </is>
      </c>
      <c r="H884" s="5">
        <f>IF(G884="fora do recorte","",SUMPRODUCT(($G$3:$G$1723=G884)*($A$3:$A$1723&lt;=A884)))</f>
        <v/>
      </c>
      <c r="I884" s="4">
        <f>IF(H884="","",G884&amp;"|"&amp;H884)</f>
        <v/>
      </c>
      <c r="J884" s="4" t="inlineStr">
        <is>
          <t>https://www.google.com/maps/search/?api=1&amp;query=RGR%20Distribuidora&amp;query_place_id=ChIJlRLzrLgEFgcRpiceTD5Zevw</t>
        </is>
      </c>
      <c r="K884" s="4" t="inlineStr">
        <is>
          <t>R. Boa Vista de Brotas, 7 - Boa Vista de Brotas, Salvador - BA, 40240-340, Brasil</t>
        </is>
      </c>
      <c r="L884" s="4" t="inlineStr">
        <is>
          <t>Boa Vista; Salvador</t>
        </is>
      </c>
      <c r="M884" s="5" t="n">
        <v>1</v>
      </c>
    </row>
    <row r="885">
      <c r="A885" s="3">
        <f>RAND()</f>
        <v/>
      </c>
      <c r="B885" s="4" t="inlineStr">
        <is>
          <t>ChIJicQUYhsbFgcRKZ8hS0AXVrU</t>
        </is>
      </c>
      <c r="C885" s="4" t="inlineStr">
        <is>
          <t>RI HAPPY</t>
        </is>
      </c>
      <c r="D885" s="4" t="inlineStr">
        <is>
          <t>Salvador</t>
        </is>
      </c>
      <c r="E885" s="4" t="inlineStr">
        <is>
          <t>BA</t>
        </is>
      </c>
      <c r="F885" s="4" t="inlineStr">
        <is>
          <t>Metrópoles</t>
        </is>
      </c>
      <c r="G885" s="4" t="inlineStr">
        <is>
          <t>Metrópole</t>
        </is>
      </c>
      <c r="H885" s="5">
        <f>IF(G885="fora do recorte","",SUMPRODUCT(($G$3:$G$1723=G885)*($A$3:$A$1723&lt;=A885)))</f>
        <v/>
      </c>
      <c r="I885" s="4">
        <f>IF(H885="","",G885&amp;"|"&amp;H885)</f>
        <v/>
      </c>
      <c r="J885" s="4" t="inlineStr">
        <is>
          <t>https://www.google.com/maps/search/?api=1&amp;query=RI%20HAPPY&amp;query_place_id=ChIJicQUYhsbFgcRKZ8hS0AXVrU</t>
        </is>
      </c>
      <c r="K885" s="4" t="inlineStr">
        <is>
          <t>Av. Tancredo Neves, 3133 - Lj 1.204 - Caminho das Árvores, Salvador - BA, 41820-021, Brasil</t>
        </is>
      </c>
      <c r="L885" s="4" t="inlineStr">
        <is>
          <t>Salvador</t>
        </is>
      </c>
      <c r="M885" s="5" t="n">
        <v>1</v>
      </c>
    </row>
    <row r="886">
      <c r="A886" s="3">
        <f>RAND()</f>
        <v/>
      </c>
      <c r="B886" s="4" t="inlineStr">
        <is>
          <t>ChIJH6oXyRobFgcR82Mn8XWzR4E</t>
        </is>
      </c>
      <c r="C886" s="4" t="inlineStr">
        <is>
          <t>SANTOLIC</t>
        </is>
      </c>
      <c r="D886" s="4" t="inlineStr">
        <is>
          <t>Salvador</t>
        </is>
      </c>
      <c r="E886" s="4" t="inlineStr">
        <is>
          <t>BA</t>
        </is>
      </c>
      <c r="F886" s="4" t="inlineStr">
        <is>
          <t>Metrópoles</t>
        </is>
      </c>
      <c r="G886" s="4" t="inlineStr">
        <is>
          <t>Metrópole</t>
        </is>
      </c>
      <c r="H886" s="5">
        <f>IF(G886="fora do recorte","",SUMPRODUCT(($G$3:$G$1723=G886)*($A$3:$A$1723&lt;=A886)))</f>
        <v/>
      </c>
      <c r="I886" s="4">
        <f>IF(H886="","",G886&amp;"|"&amp;H886)</f>
        <v/>
      </c>
      <c r="J886" s="4" t="inlineStr">
        <is>
          <t>https://www.google.com/maps/search/?api=1&amp;query=SANTOLIC&amp;query_place_id=ChIJH6oXyRobFgcR82Mn8XWzR4E</t>
        </is>
      </c>
      <c r="K886" s="4" t="inlineStr">
        <is>
          <t>R. João José Rescala, 326 - Imbuí, Salvador - BA, 41720-000, Brasil</t>
        </is>
      </c>
      <c r="L886" s="4" t="inlineStr">
        <is>
          <t>Salvador</t>
        </is>
      </c>
      <c r="M886" s="5" t="n">
        <v>2</v>
      </c>
    </row>
    <row r="887">
      <c r="A887" s="3">
        <f>RAND()</f>
        <v/>
      </c>
      <c r="B887" s="4" t="inlineStr">
        <is>
          <t>ChIJ4wtfShIbFgcRgInCYY_gpYM</t>
        </is>
      </c>
      <c r="C887" s="4" t="inlineStr">
        <is>
          <t>SYSTECHinfo</t>
        </is>
      </c>
      <c r="D887" s="4" t="inlineStr">
        <is>
          <t>Salvador</t>
        </is>
      </c>
      <c r="E887" s="4" t="inlineStr">
        <is>
          <t>BA</t>
        </is>
      </c>
      <c r="F887" s="4" t="inlineStr">
        <is>
          <t>Metrópoles</t>
        </is>
      </c>
      <c r="G887" s="4" t="inlineStr">
        <is>
          <t>Metrópole</t>
        </is>
      </c>
      <c r="H887" s="5">
        <f>IF(G887="fora do recorte","",SUMPRODUCT(($G$3:$G$1723=G887)*($A$3:$A$1723&lt;=A887)))</f>
        <v/>
      </c>
      <c r="I887" s="4">
        <f>IF(H887="","",G887&amp;"|"&amp;H887)</f>
        <v/>
      </c>
      <c r="J887" s="4" t="inlineStr">
        <is>
          <t>https://www.google.com/maps/search/?api=1&amp;query=SYSTECHinfo&amp;query_place_id=ChIJ4wtfShIbFgcRgInCYY_gpYM</t>
        </is>
      </c>
      <c r="K887" s="4" t="inlineStr">
        <is>
          <t>R. do Jaracatiá, 1048 - Lj B - Caminho das Árvores, Salvador - BA, 41820-665, Brasil</t>
        </is>
      </c>
      <c r="L887" s="4" t="inlineStr">
        <is>
          <t>Salvador</t>
        </is>
      </c>
      <c r="M887" s="5" t="n">
        <v>1</v>
      </c>
    </row>
    <row r="888">
      <c r="A888" s="3">
        <f>RAND()</f>
        <v/>
      </c>
      <c r="B888" s="4" t="inlineStr">
        <is>
          <t>ChIJMWXllGcbFgcR-wtedrpqLCg</t>
        </is>
      </c>
      <c r="C888" s="4" t="inlineStr">
        <is>
          <t>Salvador Brinquedos - Aluguel de brinquedos infláveis</t>
        </is>
      </c>
      <c r="D888" s="4" t="inlineStr">
        <is>
          <t>Salvador</t>
        </is>
      </c>
      <c r="E888" s="4" t="inlineStr">
        <is>
          <t>BA</t>
        </is>
      </c>
      <c r="F888" s="4" t="inlineStr">
        <is>
          <t>Metrópoles</t>
        </is>
      </c>
      <c r="G888" s="4" t="inlineStr">
        <is>
          <t>Metrópole</t>
        </is>
      </c>
      <c r="H888" s="5">
        <f>IF(G888="fora do recorte","",SUMPRODUCT(($G$3:$G$1723=G888)*($A$3:$A$1723&lt;=A888)))</f>
        <v/>
      </c>
      <c r="I888" s="4">
        <f>IF(H888="","",G888&amp;"|"&amp;H888)</f>
        <v/>
      </c>
      <c r="J888" s="4" t="inlineStr">
        <is>
          <t>https://www.google.com/maps/search/?api=1&amp;query=Salvador%20Brinquedos%20-%20Aluguel%20de%20brinquedos%20infl%C3%A1veis&amp;query_place_id=ChIJMWXllGcbFgcR-wtedrpqLCg</t>
        </is>
      </c>
      <c r="K888" s="4" t="inlineStr">
        <is>
          <t>R. Dr. Hosannah de Oliveira, 112 - Itaigara, Salvador - BA, 41815-215, Brasil</t>
        </is>
      </c>
      <c r="L888" s="4" t="inlineStr">
        <is>
          <t>Salvador</t>
        </is>
      </c>
      <c r="M888" s="5" t="n">
        <v>1</v>
      </c>
    </row>
    <row r="889">
      <c r="A889" s="3">
        <f>RAND()</f>
        <v/>
      </c>
      <c r="B889" s="4" t="inlineStr">
        <is>
          <t>ChIJgQRsmIEbFgcRMhCb-tF5If8</t>
        </is>
      </c>
      <c r="C889" s="4" t="inlineStr">
        <is>
          <t>Salvador Poker House</t>
        </is>
      </c>
      <c r="D889" s="4" t="inlineStr">
        <is>
          <t>Salvador</t>
        </is>
      </c>
      <c r="E889" s="4" t="inlineStr">
        <is>
          <t>BA</t>
        </is>
      </c>
      <c r="F889" s="4" t="inlineStr">
        <is>
          <t>Metrópoles</t>
        </is>
      </c>
      <c r="G889" s="4" t="inlineStr">
        <is>
          <t>Metrópole</t>
        </is>
      </c>
      <c r="H889" s="5">
        <f>IF(G889="fora do recorte","",SUMPRODUCT(($G$3:$G$1723=G889)*($A$3:$A$1723&lt;=A889)))</f>
        <v/>
      </c>
      <c r="I889" s="4">
        <f>IF(H889="","",G889&amp;"|"&amp;H889)</f>
        <v/>
      </c>
      <c r="J889" s="4" t="inlineStr">
        <is>
          <t>https://www.google.com/maps/search/?api=1&amp;query=Salvador%20Poker%20House&amp;query_place_id=ChIJgQRsmIEbFgcRMhCb-tF5If8</t>
        </is>
      </c>
      <c r="K889" s="4" t="inlineStr">
        <is>
          <t>R. das Rosas, 136 - Pituba, Salvador - BA, 41810-070, Brasil</t>
        </is>
      </c>
      <c r="L889" s="4" t="inlineStr">
        <is>
          <t>Salvador</t>
        </is>
      </c>
      <c r="M889" s="5" t="n">
        <v>3</v>
      </c>
    </row>
    <row r="890">
      <c r="A890" s="3">
        <f>RAND()</f>
        <v/>
      </c>
      <c r="B890" s="4" t="inlineStr">
        <is>
          <t>ChIJ0Zdy3dkaFgcRqzWIKS9USSQ</t>
        </is>
      </c>
      <c r="C890" s="4" t="inlineStr">
        <is>
          <t>Shopping Bela Vista</t>
        </is>
      </c>
      <c r="D890" s="4" t="inlineStr">
        <is>
          <t>Salvador</t>
        </is>
      </c>
      <c r="E890" s="4" t="inlineStr">
        <is>
          <t>BA</t>
        </is>
      </c>
      <c r="F890" s="4" t="inlineStr">
        <is>
          <t>Metrópoles</t>
        </is>
      </c>
      <c r="G890" s="4" t="inlineStr">
        <is>
          <t>Metrópole</t>
        </is>
      </c>
      <c r="H890" s="5">
        <f>IF(G890="fora do recorte","",SUMPRODUCT(($G$3:$G$1723=G890)*($A$3:$A$1723&lt;=A890)))</f>
        <v/>
      </c>
      <c r="I890" s="4">
        <f>IF(H890="","",G890&amp;"|"&amp;H890)</f>
        <v/>
      </c>
      <c r="J890" s="4" t="inlineStr">
        <is>
          <t>https://www.google.com/maps/search/?api=1&amp;query=Shopping%20Bela%20Vista&amp;query_place_id=ChIJ0Zdy3dkaFgcRqzWIKS9USSQ</t>
        </is>
      </c>
      <c r="K890" s="4" t="inlineStr">
        <is>
          <t>Alameda Euvaldo Luz, 92 - Pernambués, Salvador - BA, 41098-020, Brasil</t>
        </is>
      </c>
      <c r="L890" s="4" t="inlineStr">
        <is>
          <t>Salvador</t>
        </is>
      </c>
      <c r="M890" s="5" t="n">
        <v>1</v>
      </c>
    </row>
    <row r="891">
      <c r="A891" s="3">
        <f>RAND()</f>
        <v/>
      </c>
      <c r="B891" s="4" t="inlineStr">
        <is>
          <t>ChIJ9ZjObj0bFgcR1F4ySVpVVPM</t>
        </is>
      </c>
      <c r="C891" s="4" t="inlineStr">
        <is>
          <t>Snooker Bahia</t>
        </is>
      </c>
      <c r="D891" s="4" t="inlineStr">
        <is>
          <t>Salvador</t>
        </is>
      </c>
      <c r="E891" s="4" t="inlineStr">
        <is>
          <t>BA</t>
        </is>
      </c>
      <c r="F891" s="4" t="inlineStr">
        <is>
          <t>Metrópoles</t>
        </is>
      </c>
      <c r="G891" s="4" t="inlineStr">
        <is>
          <t>Metrópole</t>
        </is>
      </c>
      <c r="H891" s="5">
        <f>IF(G891="fora do recorte","",SUMPRODUCT(($G$3:$G$1723=G891)*($A$3:$A$1723&lt;=A891)))</f>
        <v/>
      </c>
      <c r="I891" s="4">
        <f>IF(H891="","",G891&amp;"|"&amp;H891)</f>
        <v/>
      </c>
      <c r="J891" s="4" t="inlineStr">
        <is>
          <t>https://www.google.com/maps/search/?api=1&amp;query=Snooker%20Bahia&amp;query_place_id=ChIJ9ZjObj0bFgcR1F4ySVpVVPM</t>
        </is>
      </c>
      <c r="K891" s="4" t="inlineStr">
        <is>
          <t>Shopping Capemi - R. da Alfazema, 752 - Lj 18 - Caminho das Árvores, Salvador - BA, 41820-710, Brasil</t>
        </is>
      </c>
      <c r="L891" s="4" t="inlineStr">
        <is>
          <t>Salvador</t>
        </is>
      </c>
      <c r="M891" s="5" t="n">
        <v>3</v>
      </c>
    </row>
    <row r="892">
      <c r="A892" s="3">
        <f>RAND()</f>
        <v/>
      </c>
      <c r="B892" s="4" t="inlineStr">
        <is>
          <t>ChIJV1s3wNMaFgcRYPQGS1HoO9Y</t>
        </is>
      </c>
      <c r="C892" s="4" t="inlineStr">
        <is>
          <t>Soft &amp; Games</t>
        </is>
      </c>
      <c r="D892" s="4" t="inlineStr">
        <is>
          <t>Salvador</t>
        </is>
      </c>
      <c r="E892" s="4" t="inlineStr">
        <is>
          <t>BA</t>
        </is>
      </c>
      <c r="F892" s="4" t="inlineStr">
        <is>
          <t>Metrópoles</t>
        </is>
      </c>
      <c r="G892" s="4" t="inlineStr">
        <is>
          <t>Metrópole</t>
        </is>
      </c>
      <c r="H892" s="5">
        <f>IF(G892="fora do recorte","",SUMPRODUCT(($G$3:$G$1723=G892)*($A$3:$A$1723&lt;=A892)))</f>
        <v/>
      </c>
      <c r="I892" s="4">
        <f>IF(H892="","",G892&amp;"|"&amp;H892)</f>
        <v/>
      </c>
      <c r="J892" s="4" t="inlineStr">
        <is>
          <t>https://www.google.com/maps/search/?api=1&amp;query=Soft%20%26%20Games&amp;query_place_id=ChIJV1s3wNMaFgcRYPQGS1HoO9Y</t>
        </is>
      </c>
      <c r="K892" s="4" t="inlineStr">
        <is>
          <t>R. Marquês de Maricá - Pau Miúdo, Salvador - BA, 40310-000, Brasil</t>
        </is>
      </c>
      <c r="L892" s="4" t="inlineStr">
        <is>
          <t>Salvador</t>
        </is>
      </c>
      <c r="M892" s="5" t="n">
        <v>2</v>
      </c>
    </row>
    <row r="893">
      <c r="A893" s="3">
        <f>RAND()</f>
        <v/>
      </c>
      <c r="B893" s="4" t="inlineStr">
        <is>
          <t>ChIJoTlvBfMbFgcRHvuCKHBQrXQ</t>
        </is>
      </c>
      <c r="C893" s="4" t="inlineStr">
        <is>
          <t>São Jogue</t>
        </is>
      </c>
      <c r="D893" s="4" t="inlineStr">
        <is>
          <t>Salvador</t>
        </is>
      </c>
      <c r="E893" s="4" t="inlineStr">
        <is>
          <t>BA</t>
        </is>
      </c>
      <c r="F893" s="4" t="inlineStr">
        <is>
          <t>Metrópoles</t>
        </is>
      </c>
      <c r="G893" s="4" t="inlineStr">
        <is>
          <t>Metrópole</t>
        </is>
      </c>
      <c r="H893" s="5">
        <f>IF(G893="fora do recorte","",SUMPRODUCT(($G$3:$G$1723=G893)*($A$3:$A$1723&lt;=A893)))</f>
        <v/>
      </c>
      <c r="I893" s="4">
        <f>IF(H893="","",G893&amp;"|"&amp;H893)</f>
        <v/>
      </c>
      <c r="J893" s="4" t="inlineStr">
        <is>
          <t>https://www.google.com/maps/search/?api=1&amp;query=S%C3%A3o%20Jogue&amp;query_place_id=ChIJoTlvBfMbFgcRHvuCKHBQrXQ</t>
        </is>
      </c>
      <c r="K893" s="4" t="inlineStr">
        <is>
          <t>Alameda Euvaldo Luz, 92 - Pernambués, Salvador - BA, 41098-020, Brasil</t>
        </is>
      </c>
      <c r="L893" s="4" t="inlineStr">
        <is>
          <t>Boa Vista; Brasília; João Pessoa; Natal; Salvador</t>
        </is>
      </c>
      <c r="M893" s="5" t="n">
        <v>13</v>
      </c>
    </row>
    <row r="894">
      <c r="A894" s="3">
        <f>RAND()</f>
        <v/>
      </c>
      <c r="B894" s="4" t="inlineStr">
        <is>
          <t>ChIJ-UmVDcEXFgcRnbCBRUGrDVs</t>
        </is>
      </c>
      <c r="C894" s="4" t="inlineStr">
        <is>
          <t>São Jogue - Paralela</t>
        </is>
      </c>
      <c r="D894" s="4" t="inlineStr">
        <is>
          <t>Salvador</t>
        </is>
      </c>
      <c r="E894" s="4" t="inlineStr">
        <is>
          <t>BA</t>
        </is>
      </c>
      <c r="F894" s="4" t="inlineStr">
        <is>
          <t>Metrópoles</t>
        </is>
      </c>
      <c r="G894" s="4" t="inlineStr">
        <is>
          <t>Metrópole</t>
        </is>
      </c>
      <c r="H894" s="5">
        <f>IF(G894="fora do recorte","",SUMPRODUCT(($G$3:$G$1723=G894)*($A$3:$A$1723&lt;=A894)))</f>
        <v/>
      </c>
      <c r="I894" s="4">
        <f>IF(H894="","",G894&amp;"|"&amp;H894)</f>
        <v/>
      </c>
      <c r="J894" s="4" t="inlineStr">
        <is>
          <t>https://www.google.com/maps/search/?api=1&amp;query=S%C3%A3o%20Jogue%20-%20Paralela&amp;query_place_id=ChIJ-UmVDcEXFgcRnbCBRUGrDVs</t>
        </is>
      </c>
      <c r="K894" s="4" t="inlineStr">
        <is>
          <t>Av. Luís Viana Filho, 8544 - Alphaville, Salvador - BA, 41730-101, Brasil</t>
        </is>
      </c>
      <c r="L894" s="4" t="inlineStr">
        <is>
          <t>Salvador</t>
        </is>
      </c>
      <c r="M894" s="5" t="n">
        <v>2</v>
      </c>
    </row>
    <row r="895">
      <c r="A895" s="3">
        <f>RAND()</f>
        <v/>
      </c>
      <c r="B895" s="4" t="inlineStr">
        <is>
          <t>ChIJAVLe6JMbFgcRvIe90u-2hr4</t>
        </is>
      </c>
      <c r="C895" s="4" t="inlineStr">
        <is>
          <t>Vitoria Tendtudo Sussuarana</t>
        </is>
      </c>
      <c r="D895" s="4" t="inlineStr">
        <is>
          <t>Salvador</t>
        </is>
      </c>
      <c r="E895" s="4" t="inlineStr">
        <is>
          <t>BA</t>
        </is>
      </c>
      <c r="F895" s="4" t="inlineStr">
        <is>
          <t>Metrópoles</t>
        </is>
      </c>
      <c r="G895" s="4" t="inlineStr">
        <is>
          <t>Metrópole</t>
        </is>
      </c>
      <c r="H895" s="5">
        <f>IF(G895="fora do recorte","",SUMPRODUCT(($G$3:$G$1723=G895)*($A$3:$A$1723&lt;=A895)))</f>
        <v/>
      </c>
      <c r="I895" s="4">
        <f>IF(H895="","",G895&amp;"|"&amp;H895)</f>
        <v/>
      </c>
      <c r="J895" s="4" t="inlineStr">
        <is>
          <t>https://www.google.com/maps/search/?api=1&amp;query=Vitoria%20Tendtudo%20Sussuarana&amp;query_place_id=ChIJAVLe6JMbFgcRvIe90u-2hr4</t>
        </is>
      </c>
      <c r="K895" s="4" t="inlineStr">
        <is>
          <t>Av. Ulysses Guimarães, 4300 - Novo Horizonte, Salvador - BA, 41218-700, Brasil</t>
        </is>
      </c>
      <c r="L895" s="4" t="inlineStr">
        <is>
          <t>Vitória</t>
        </is>
      </c>
      <c r="M895" s="5" t="n">
        <v>1</v>
      </c>
    </row>
    <row r="896">
      <c r="A896" s="3">
        <f>RAND()</f>
        <v/>
      </c>
      <c r="B896" s="4" t="inlineStr">
        <is>
          <t>ChIJ91iE_UsbFgcRIoJGpNT8QNg</t>
        </is>
      </c>
      <c r="C896" s="4" t="inlineStr">
        <is>
          <t>Vix Games Aluguel de Brinquedos</t>
        </is>
      </c>
      <c r="D896" s="4" t="inlineStr">
        <is>
          <t>Salvador</t>
        </is>
      </c>
      <c r="E896" s="4" t="inlineStr">
        <is>
          <t>BA</t>
        </is>
      </c>
      <c r="F896" s="4" t="inlineStr">
        <is>
          <t>Metrópoles</t>
        </is>
      </c>
      <c r="G896" s="4" t="inlineStr">
        <is>
          <t>Metrópole</t>
        </is>
      </c>
      <c r="H896" s="5">
        <f>IF(G896="fora do recorte","",SUMPRODUCT(($G$3:$G$1723=G896)*($A$3:$A$1723&lt;=A896)))</f>
        <v/>
      </c>
      <c r="I896" s="4">
        <f>IF(H896="","",G896&amp;"|"&amp;H896)</f>
        <v/>
      </c>
      <c r="J896" s="4" t="inlineStr">
        <is>
          <t>https://www.google.com/maps/search/?api=1&amp;query=Vix%20Games%20Aluguel%20de%20Brinquedos&amp;query_place_id=ChIJ91iE_UsbFgcRIoJGpNT8QNg</t>
        </is>
      </c>
      <c r="K896" s="4" t="inlineStr">
        <is>
          <t>Condomínio Edifício Jardim Versailes - Alameda dos Jasmins, 176 - Candeal, Salvador - BA, 40296-200, Brasil</t>
        </is>
      </c>
      <c r="L896" s="4" t="inlineStr">
        <is>
          <t>Salvador</t>
        </is>
      </c>
      <c r="M896" s="5" t="n">
        <v>1</v>
      </c>
    </row>
    <row r="897">
      <c r="A897" s="3">
        <f>RAND()</f>
        <v/>
      </c>
      <c r="B897" s="4" t="inlineStr">
        <is>
          <t>ChIJedKasEEbFgcR2vHfZOmKeIM</t>
        </is>
      </c>
      <c r="C897" s="4" t="inlineStr">
        <is>
          <t>Youplay</t>
        </is>
      </c>
      <c r="D897" s="4" t="inlineStr">
        <is>
          <t>Salvador</t>
        </is>
      </c>
      <c r="E897" s="4" t="inlineStr">
        <is>
          <t>BA</t>
        </is>
      </c>
      <c r="F897" s="4" t="inlineStr">
        <is>
          <t>Metrópoles</t>
        </is>
      </c>
      <c r="G897" s="4" t="inlineStr">
        <is>
          <t>Metrópole</t>
        </is>
      </c>
      <c r="H897" s="5">
        <f>IF(G897="fora do recorte","",SUMPRODUCT(($G$3:$G$1723=G897)*($A$3:$A$1723&lt;=A897)))</f>
        <v/>
      </c>
      <c r="I897" s="4">
        <f>IF(H897="","",G897&amp;"|"&amp;H897)</f>
        <v/>
      </c>
      <c r="J897" s="4" t="inlineStr">
        <is>
          <t>https://www.google.com/maps/search/?api=1&amp;query=Youplay&amp;query_place_id=ChIJedKasEEbFgcR2vHfZOmKeIM</t>
        </is>
      </c>
      <c r="K897" s="4" t="inlineStr">
        <is>
          <t>Caminho das Árvores, Salvador - BA, 41830-000, Brasil</t>
        </is>
      </c>
      <c r="L897" s="4" t="inlineStr">
        <is>
          <t>Salvador</t>
        </is>
      </c>
      <c r="M897" s="5" t="n">
        <v>1</v>
      </c>
    </row>
    <row r="898">
      <c r="A898" s="3">
        <f>RAND()</f>
        <v/>
      </c>
      <c r="B898" s="4" t="inlineStr">
        <is>
          <t>ChIJ1yKEPW0bFgcRUl0zJhFHXi8</t>
        </is>
      </c>
      <c r="C898" s="4" t="inlineStr">
        <is>
          <t>Zaccaria Bar</t>
        </is>
      </c>
      <c r="D898" s="4" t="inlineStr">
        <is>
          <t>Salvador</t>
        </is>
      </c>
      <c r="E898" s="4" t="inlineStr">
        <is>
          <t>BA</t>
        </is>
      </c>
      <c r="F898" s="4" t="inlineStr">
        <is>
          <t>Metrópoles</t>
        </is>
      </c>
      <c r="G898" s="4" t="inlineStr">
        <is>
          <t>Metrópole</t>
        </is>
      </c>
      <c r="H898" s="5">
        <f>IF(G898="fora do recorte","",SUMPRODUCT(($G$3:$G$1723=G898)*($A$3:$A$1723&lt;=A898)))</f>
        <v/>
      </c>
      <c r="I898" s="4">
        <f>IF(H898="","",G898&amp;"|"&amp;H898)</f>
        <v/>
      </c>
      <c r="J898" s="4" t="inlineStr">
        <is>
          <t>https://www.google.com/maps/search/?api=1&amp;query=Zaccaria%20Bar&amp;query_place_id=ChIJ1yKEPW0bFgcRUl0zJhFHXi8</t>
        </is>
      </c>
      <c r="K898" s="4" t="inlineStr">
        <is>
          <t>R. das Margaridas, 90 - Pituba, Salvador - BA, 41810-100, Brasil</t>
        </is>
      </c>
      <c r="L898" s="4" t="inlineStr">
        <is>
          <t>Salvador</t>
        </is>
      </c>
      <c r="M898" s="5" t="n">
        <v>1</v>
      </c>
    </row>
    <row r="899">
      <c r="A899" s="3">
        <f>RAND()</f>
        <v/>
      </c>
      <c r="B899" s="4" t="inlineStr">
        <is>
          <t>ChIJeXUX0GkFFgcRRW31KrJ6cgk</t>
        </is>
      </c>
      <c r="C899" s="4" t="inlineStr">
        <is>
          <t>aMai</t>
        </is>
      </c>
      <c r="D899" s="4" t="inlineStr">
        <is>
          <t>Salvador</t>
        </is>
      </c>
      <c r="E899" s="4" t="inlineStr">
        <is>
          <t>BA</t>
        </is>
      </c>
      <c r="F899" s="4" t="inlineStr">
        <is>
          <t>Metrópoles</t>
        </is>
      </c>
      <c r="G899" s="4" t="inlineStr">
        <is>
          <t>Metrópole</t>
        </is>
      </c>
      <c r="H899" s="5">
        <f>IF(G899="fora do recorte","",SUMPRODUCT(($G$3:$G$1723=G899)*($A$3:$A$1723&lt;=A899)))</f>
        <v/>
      </c>
      <c r="I899" s="4">
        <f>IF(H899="","",G899&amp;"|"&amp;H899)</f>
        <v/>
      </c>
      <c r="J899" s="4" t="inlineStr">
        <is>
          <t>https://www.google.com/maps/search/?api=1&amp;query=aMai&amp;query_place_id=ChIJeXUX0GkFFgcRRW31KrJ6cgk</t>
        </is>
      </c>
      <c r="K899" s="4" t="inlineStr">
        <is>
          <t>Tropical Center - R. Raul Leite, 279 - Shopping - Vila Laura, Salvador - BA, 40270-180, Brasil</t>
        </is>
      </c>
      <c r="L899" s="4" t="inlineStr">
        <is>
          <t>Salvador</t>
        </is>
      </c>
      <c r="M899" s="5" t="n">
        <v>2</v>
      </c>
    </row>
    <row r="900">
      <c r="A900" s="3">
        <f>RAND()</f>
        <v/>
      </c>
      <c r="B900" s="4" t="inlineStr">
        <is>
          <t>ChIJu_Xu7PpLxwcRc40wGJaXD_0</t>
        </is>
      </c>
      <c r="C900" s="4" t="inlineStr">
        <is>
          <t>Game House SK</t>
        </is>
      </c>
      <c r="D900" s="4" t="inlineStr">
        <is>
          <t>Caucaia</t>
        </is>
      </c>
      <c r="E900" s="4" t="inlineStr">
        <is>
          <t>CE</t>
        </is>
      </c>
      <c r="F900" s="4" t="inlineStr">
        <is>
          <t>Metrópoles</t>
        </is>
      </c>
      <c r="G900" s="4" t="inlineStr">
        <is>
          <t>Metrópole</t>
        </is>
      </c>
      <c r="H900" s="5">
        <f>IF(G900="fora do recorte","",SUMPRODUCT(($G$3:$G$1723=G900)*($A$3:$A$1723&lt;=A900)))</f>
        <v/>
      </c>
      <c r="I900" s="4">
        <f>IF(H900="","",G900&amp;"|"&amp;H900)</f>
        <v/>
      </c>
      <c r="J900" s="4" t="inlineStr">
        <is>
          <t>https://www.google.com/maps/search/?api=1&amp;query=Game%20House%20SK&amp;query_place_id=ChIJu_Xu7PpLxwcRc40wGJaXD_0</t>
        </is>
      </c>
      <c r="K900" s="4" t="inlineStr">
        <is>
          <t>R. Lindomar Castilho - Parque Soledade, Caucaia - CE, 61690, Brasil</t>
        </is>
      </c>
      <c r="L900" s="4" t="inlineStr">
        <is>
          <t>Fortaleza</t>
        </is>
      </c>
      <c r="M900" s="5" t="n">
        <v>2</v>
      </c>
    </row>
    <row r="901">
      <c r="A901" s="3">
        <f>RAND()</f>
        <v/>
      </c>
      <c r="B901" s="4" t="inlineStr">
        <is>
          <t>ChIJTauec15bxwcRgonUqiXj7JE</t>
        </is>
      </c>
      <c r="C901" s="4" t="inlineStr">
        <is>
          <t>Jogai tabuleiria - Jogos de tabuleiro</t>
        </is>
      </c>
      <c r="D901" s="4" t="inlineStr">
        <is>
          <t>Eusébio</t>
        </is>
      </c>
      <c r="E901" s="4" t="inlineStr">
        <is>
          <t>CE</t>
        </is>
      </c>
      <c r="F901" s="4" t="inlineStr">
        <is>
          <t>Metrópoles</t>
        </is>
      </c>
      <c r="G901" s="4" t="inlineStr">
        <is>
          <t>Metrópole</t>
        </is>
      </c>
      <c r="H901" s="5">
        <f>IF(G901="fora do recorte","",SUMPRODUCT(($G$3:$G$1723=G901)*($A$3:$A$1723&lt;=A901)))</f>
        <v/>
      </c>
      <c r="I901" s="4">
        <f>IF(H901="","",G901&amp;"|"&amp;H901)</f>
        <v/>
      </c>
      <c r="J901" s="4" t="inlineStr">
        <is>
          <t>https://www.google.com/maps/search/?api=1&amp;query=Jogai%20tabuleiria%20-%20Jogos%20de%20tabuleiro&amp;query_place_id=ChIJTauec15bxwcRgonUqiXj7JE</t>
        </is>
      </c>
      <c r="K901" s="4" t="inlineStr">
        <is>
          <t>R. Ceará - Lot. Recanto do Eusébio, Eusébio - CE, 61777-288, Brasil</t>
        </is>
      </c>
      <c r="L901" s="4" t="inlineStr">
        <is>
          <t>Fortaleza; João Pessoa</t>
        </is>
      </c>
      <c r="M901" s="5" t="n">
        <v>8</v>
      </c>
    </row>
    <row r="902">
      <c r="A902" s="3">
        <f>RAND()</f>
        <v/>
      </c>
      <c r="B902" s="4" t="inlineStr">
        <is>
          <t>ChIJp8fL_CUIwQER-smXmhAbjio</t>
        </is>
      </c>
      <c r="C902" s="4" t="inlineStr">
        <is>
          <t>Sakura Colecionáveis Eusébio</t>
        </is>
      </c>
      <c r="D902" s="4" t="inlineStr">
        <is>
          <t>Eusébio</t>
        </is>
      </c>
      <c r="E902" s="4" t="inlineStr">
        <is>
          <t>CE</t>
        </is>
      </c>
      <c r="F902" s="4" t="inlineStr">
        <is>
          <t>Metrópoles</t>
        </is>
      </c>
      <c r="G902" s="4" t="inlineStr">
        <is>
          <t>Metrópole</t>
        </is>
      </c>
      <c r="H902" s="5">
        <f>IF(G902="fora do recorte","",SUMPRODUCT(($G$3:$G$1723=G902)*($A$3:$A$1723&lt;=A902)))</f>
        <v/>
      </c>
      <c r="I902" s="4">
        <f>IF(H902="","",G902&amp;"|"&amp;H902)</f>
        <v/>
      </c>
      <c r="J902" s="4" t="inlineStr">
        <is>
          <t>https://www.google.com/maps/search/?api=1&amp;query=Sakura%20Colecion%C3%A1veis%20Eus%C3%A9bio&amp;query_place_id=ChIJp8fL_CUIwQER-smXmhAbjio</t>
        </is>
      </c>
      <c r="K902" s="4" t="inlineStr">
        <is>
          <t>Av. Eusébio de Queiroz, Loja PL 05 - Shopping - Tamatanduba, Eusébio - CE, 61760-000, Brasil</t>
        </is>
      </c>
      <c r="L902" s="4" t="inlineStr">
        <is>
          <t>Fortaleza</t>
        </is>
      </c>
      <c r="M902" s="5" t="n">
        <v>1</v>
      </c>
    </row>
    <row r="903">
      <c r="A903" s="3">
        <f>RAND()</f>
        <v/>
      </c>
      <c r="B903" s="4" t="inlineStr">
        <is>
          <t>ChIJV8yzqgFJxwcRqDgn1Lyax0w</t>
        </is>
      </c>
      <c r="C903" s="4" t="inlineStr">
        <is>
          <t>5 Elementos Pub</t>
        </is>
      </c>
      <c r="D903" s="4" t="inlineStr">
        <is>
          <t>Fortaleza</t>
        </is>
      </c>
      <c r="E903" s="4" t="inlineStr">
        <is>
          <t>CE</t>
        </is>
      </c>
      <c r="F903" s="4" t="inlineStr">
        <is>
          <t>Metrópoles</t>
        </is>
      </c>
      <c r="G903" s="4" t="inlineStr">
        <is>
          <t>Metrópole</t>
        </is>
      </c>
      <c r="H903" s="5">
        <f>IF(G903="fora do recorte","",SUMPRODUCT(($G$3:$G$1723=G903)*($A$3:$A$1723&lt;=A903)))</f>
        <v/>
      </c>
      <c r="I903" s="4">
        <f>IF(H903="","",G903&amp;"|"&amp;H903)</f>
        <v/>
      </c>
      <c r="J903" s="4" t="inlineStr">
        <is>
          <t>https://www.google.com/maps/search/?api=1&amp;query=5%20Elementos%20Pub&amp;query_place_id=ChIJV8yzqgFJxwcRqDgn1Lyax0w</t>
        </is>
      </c>
      <c r="K903" s="4" t="inlineStr">
        <is>
          <t>R. Ana Bilhar, 1180 - Meireles, Fortaleza - CE, 60160-110, Brasil</t>
        </is>
      </c>
      <c r="L903" s="4" t="inlineStr">
        <is>
          <t>Fortaleza</t>
        </is>
      </c>
      <c r="M903" s="5" t="n">
        <v>1</v>
      </c>
    </row>
    <row r="904">
      <c r="A904" s="3">
        <f>RAND()</f>
        <v/>
      </c>
      <c r="B904" s="4" t="inlineStr">
        <is>
          <t>ChIJaQfYmHVJxwcRwP03Rz5uB34</t>
        </is>
      </c>
      <c r="C904" s="4" t="inlineStr">
        <is>
          <t>Alenca's Bar</t>
        </is>
      </c>
      <c r="D904" s="4" t="inlineStr">
        <is>
          <t>Fortaleza</t>
        </is>
      </c>
      <c r="E904" s="4" t="inlineStr">
        <is>
          <t>CE</t>
        </is>
      </c>
      <c r="F904" s="4" t="inlineStr">
        <is>
          <t>Metrópoles</t>
        </is>
      </c>
      <c r="G904" s="4" t="inlineStr">
        <is>
          <t>Metrópole</t>
        </is>
      </c>
      <c r="H904" s="5">
        <f>IF(G904="fora do recorte","",SUMPRODUCT(($G$3:$G$1723=G904)*($A$3:$A$1723&lt;=A904)))</f>
        <v/>
      </c>
      <c r="I904" s="4">
        <f>IF(H904="","",G904&amp;"|"&amp;H904)</f>
        <v/>
      </c>
      <c r="J904" s="4" t="inlineStr">
        <is>
          <t>https://www.google.com/maps/search/?api=1&amp;query=Alenca%27s%20Bar&amp;query_place_id=ChIJaQfYmHVJxwcRwP03Rz5uB34</t>
        </is>
      </c>
      <c r="K904" s="4" t="inlineStr">
        <is>
          <t>R. Gustavo Sampaio, 692 - Parquelândia, Fortaleza - CE, 60455-000, Brasil</t>
        </is>
      </c>
      <c r="L904" s="4" t="inlineStr">
        <is>
          <t>Fortaleza</t>
        </is>
      </c>
      <c r="M904" s="5" t="n">
        <v>1</v>
      </c>
    </row>
    <row r="905">
      <c r="A905" s="3">
        <f>RAND()</f>
        <v/>
      </c>
      <c r="B905" s="4" t="inlineStr">
        <is>
          <t>ChIJ0yXbI35IxwcR0_jLi-uINUU</t>
        </is>
      </c>
      <c r="C905" s="4" t="inlineStr">
        <is>
          <t>Balboa's Hobby Games</t>
        </is>
      </c>
      <c r="D905" s="4" t="inlineStr">
        <is>
          <t>Fortaleza</t>
        </is>
      </c>
      <c r="E905" s="4" t="inlineStr">
        <is>
          <t>CE</t>
        </is>
      </c>
      <c r="F905" s="4" t="inlineStr">
        <is>
          <t>Metrópoles</t>
        </is>
      </c>
      <c r="G905" s="4" t="inlineStr">
        <is>
          <t>Metrópole</t>
        </is>
      </c>
      <c r="H905" s="5">
        <f>IF(G905="fora do recorte","",SUMPRODUCT(($G$3:$G$1723=G905)*($A$3:$A$1723&lt;=A905)))</f>
        <v/>
      </c>
      <c r="I905" s="4">
        <f>IF(H905="","",G905&amp;"|"&amp;H905)</f>
        <v/>
      </c>
      <c r="J905" s="4" t="inlineStr">
        <is>
          <t>https://www.google.com/maps/search/?api=1&amp;query=Balboa%27s%20Hobby%20Games&amp;query_place_id=ChIJ0yXbI35IxwcR0_jLi-uINUU</t>
        </is>
      </c>
      <c r="K905" s="4" t="inlineStr">
        <is>
          <t>R. Maria Tomásia, 208 - Aldeota, Fortaleza - CE, 60150-170, Brasil</t>
        </is>
      </c>
      <c r="L905" s="4" t="inlineStr">
        <is>
          <t>Boa Vista; Fortaleza; João Pessoa; Manaus</t>
        </is>
      </c>
      <c r="M905" s="5" t="n">
        <v>14</v>
      </c>
    </row>
    <row r="906">
      <c r="A906" s="3">
        <f>RAND()</f>
        <v/>
      </c>
      <c r="B906" s="4" t="inlineStr">
        <is>
          <t>ChIJhfCGPXFHxwcRF-NFOui-kNI</t>
        </is>
      </c>
      <c r="C906" s="4" t="inlineStr">
        <is>
          <t>Boliche Game Station Riomar Fortaleza</t>
        </is>
      </c>
      <c r="D906" s="4" t="inlineStr">
        <is>
          <t>Fortaleza</t>
        </is>
      </c>
      <c r="E906" s="4" t="inlineStr">
        <is>
          <t>CE</t>
        </is>
      </c>
      <c r="F906" s="4" t="inlineStr">
        <is>
          <t>Metrópoles</t>
        </is>
      </c>
      <c r="G906" s="4" t="inlineStr">
        <is>
          <t>Metrópole</t>
        </is>
      </c>
      <c r="H906" s="5">
        <f>IF(G906="fora do recorte","",SUMPRODUCT(($G$3:$G$1723=G906)*($A$3:$A$1723&lt;=A906)))</f>
        <v/>
      </c>
      <c r="I906" s="4">
        <f>IF(H906="","",G906&amp;"|"&amp;H906)</f>
        <v/>
      </c>
      <c r="J906" s="4" t="inlineStr">
        <is>
          <t>https://www.google.com/maps/search/?api=1&amp;query=Boliche%20Game%20Station%20Riomar%20Fortaleza&amp;query_place_id=ChIJhfCGPXFHxwcRF-NFOui-kNI</t>
        </is>
      </c>
      <c r="K906" s="4" t="inlineStr">
        <is>
          <t>R. Des. Lauro Nogueira, 1500 - Papicu, Fortaleza - CE, 60175-055, Brasil</t>
        </is>
      </c>
      <c r="L906" s="4" t="inlineStr">
        <is>
          <t>Fortaleza</t>
        </is>
      </c>
      <c r="M906" s="5" t="n">
        <v>1</v>
      </c>
    </row>
    <row r="907">
      <c r="A907" s="3">
        <f>RAND()</f>
        <v/>
      </c>
      <c r="B907" s="4" t="inlineStr">
        <is>
          <t>ChIJeStPwXhIxwcRXHhsO3zZkJE</t>
        </is>
      </c>
      <c r="C907" s="4" t="inlineStr">
        <is>
          <t>Boteco do Lee</t>
        </is>
      </c>
      <c r="D907" s="4" t="inlineStr">
        <is>
          <t>Fortaleza</t>
        </is>
      </c>
      <c r="E907" s="4" t="inlineStr">
        <is>
          <t>CE</t>
        </is>
      </c>
      <c r="F907" s="4" t="inlineStr">
        <is>
          <t>Metrópoles</t>
        </is>
      </c>
      <c r="G907" s="4" t="inlineStr">
        <is>
          <t>Metrópole</t>
        </is>
      </c>
      <c r="H907" s="5">
        <f>IF(G907="fora do recorte","",SUMPRODUCT(($G$3:$G$1723=G907)*($A$3:$A$1723&lt;=A907)))</f>
        <v/>
      </c>
      <c r="I907" s="4">
        <f>IF(H907="","",G907&amp;"|"&amp;H907)</f>
        <v/>
      </c>
      <c r="J907" s="4" t="inlineStr">
        <is>
          <t>https://www.google.com/maps/search/?api=1&amp;query=Boteco%20do%20Lee&amp;query_place_id=ChIJeStPwXhIxwcRXHhsO3zZkJE</t>
        </is>
      </c>
      <c r="K907" s="4" t="inlineStr">
        <is>
          <t>R. Ana Bilhar, 1460 - Varjota, Fortaleza - CE, 60160-110, Brasil</t>
        </is>
      </c>
      <c r="L907" s="4" t="inlineStr">
        <is>
          <t>Fortaleza</t>
        </is>
      </c>
      <c r="M907" s="5" t="n">
        <v>1</v>
      </c>
    </row>
    <row r="908">
      <c r="A908" s="3">
        <f>RAND()</f>
        <v/>
      </c>
      <c r="B908" s="4" t="inlineStr">
        <is>
          <t>ChIJe1iLyWZFxwcR4ImPe1kk3X4</t>
        </is>
      </c>
      <c r="C908" s="4" t="inlineStr">
        <is>
          <t>Brewstone Pub</t>
        </is>
      </c>
      <c r="D908" s="4" t="inlineStr">
        <is>
          <t>Fortaleza</t>
        </is>
      </c>
      <c r="E908" s="4" t="inlineStr">
        <is>
          <t>CE</t>
        </is>
      </c>
      <c r="F908" s="4" t="inlineStr">
        <is>
          <t>Metrópoles</t>
        </is>
      </c>
      <c r="G908" s="4" t="inlineStr">
        <is>
          <t>Metrópole</t>
        </is>
      </c>
      <c r="H908" s="5">
        <f>IF(G908="fora do recorte","",SUMPRODUCT(($G$3:$G$1723=G908)*($A$3:$A$1723&lt;=A908)))</f>
        <v/>
      </c>
      <c r="I908" s="4">
        <f>IF(H908="","",G908&amp;"|"&amp;H908)</f>
        <v/>
      </c>
      <c r="J908" s="4" t="inlineStr">
        <is>
          <t>https://www.google.com/maps/search/?api=1&amp;query=Brewstone%20Pub&amp;query_place_id=ChIJe1iLyWZFxwcR4ImPe1kk3X4</t>
        </is>
      </c>
      <c r="K908" s="4" t="inlineStr">
        <is>
          <t>Rua Marvin, 1060 - Parque Manibura, Fortaleza - CE, 60821-790, Brasil</t>
        </is>
      </c>
      <c r="L908" s="4" t="inlineStr">
        <is>
          <t>Fortaleza</t>
        </is>
      </c>
      <c r="M908" s="5" t="n">
        <v>1</v>
      </c>
    </row>
    <row r="909">
      <c r="A909" s="3">
        <f>RAND()</f>
        <v/>
      </c>
      <c r="B909" s="4" t="inlineStr">
        <is>
          <t>ChIJQwYitFpIxwcRashOOoet3vw</t>
        </is>
      </c>
      <c r="C909" s="4" t="inlineStr">
        <is>
          <t>Budega dos Pinhões</t>
        </is>
      </c>
      <c r="D909" s="4" t="inlineStr">
        <is>
          <t>Fortaleza</t>
        </is>
      </c>
      <c r="E909" s="4" t="inlineStr">
        <is>
          <t>CE</t>
        </is>
      </c>
      <c r="F909" s="4" t="inlineStr">
        <is>
          <t>Metrópoles</t>
        </is>
      </c>
      <c r="G909" s="4" t="inlineStr">
        <is>
          <t>Metrópole</t>
        </is>
      </c>
      <c r="H909" s="5">
        <f>IF(G909="fora do recorte","",SUMPRODUCT(($G$3:$G$1723=G909)*($A$3:$A$1723&lt;=A909)))</f>
        <v/>
      </c>
      <c r="I909" s="4">
        <f>IF(H909="","",G909&amp;"|"&amp;H909)</f>
        <v/>
      </c>
      <c r="J909" s="4" t="inlineStr">
        <is>
          <t>https://www.google.com/maps/search/?api=1&amp;query=Budega%20dos%20Pinh%C3%B5es&amp;query_place_id=ChIJQwYitFpIxwcRashOOoet3vw</t>
        </is>
      </c>
      <c r="K909" s="4" t="inlineStr">
        <is>
          <t>Praça Visconde de Pelotas, 42 - Centro, Fortaleza - CE, 60110-210, Brasil</t>
        </is>
      </c>
      <c r="L909" s="4" t="inlineStr">
        <is>
          <t>Fortaleza</t>
        </is>
      </c>
      <c r="M909" s="5" t="n">
        <v>1</v>
      </c>
    </row>
    <row r="910">
      <c r="A910" s="3">
        <f>RAND()</f>
        <v/>
      </c>
      <c r="B910" s="4" t="inlineStr">
        <is>
          <t>ChIJh-lSvU1JxwcRq5PPhBwnPqs</t>
        </is>
      </c>
      <c r="C910" s="4" t="inlineStr">
        <is>
          <t>Bulls Beer House - Aldeota</t>
        </is>
      </c>
      <c r="D910" s="4" t="inlineStr">
        <is>
          <t>Fortaleza</t>
        </is>
      </c>
      <c r="E910" s="4" t="inlineStr">
        <is>
          <t>CE</t>
        </is>
      </c>
      <c r="F910" s="4" t="inlineStr">
        <is>
          <t>Metrópoles</t>
        </is>
      </c>
      <c r="G910" s="4" t="inlineStr">
        <is>
          <t>Metrópole</t>
        </is>
      </c>
      <c r="H910" s="5">
        <f>IF(G910="fora do recorte","",SUMPRODUCT(($G$3:$G$1723=G910)*($A$3:$A$1723&lt;=A910)))</f>
        <v/>
      </c>
      <c r="I910" s="4">
        <f>IF(H910="","",G910&amp;"|"&amp;H910)</f>
        <v/>
      </c>
      <c r="J910" s="4" t="inlineStr">
        <is>
          <t>https://www.google.com/maps/search/?api=1&amp;query=Bulls%20Beer%20House%20-%20Aldeota&amp;query_place_id=ChIJh-lSvU1JxwcRq5PPhBwnPqs</t>
        </is>
      </c>
      <c r="K910" s="4" t="inlineStr">
        <is>
          <t>R. Cel. Jucá, 700 - Aldeota, Fortaleza - CE, 60170-288, Brasil</t>
        </is>
      </c>
      <c r="L910" s="4" t="inlineStr">
        <is>
          <t>Fortaleza</t>
        </is>
      </c>
      <c r="M910" s="5" t="n">
        <v>2</v>
      </c>
    </row>
    <row r="911">
      <c r="A911" s="3">
        <f>RAND()</f>
        <v/>
      </c>
      <c r="B911" s="4" t="inlineStr">
        <is>
          <t>ChIJm94Ev3VJxwcRq_ePxagvOtI</t>
        </is>
      </c>
      <c r="C911" s="4" t="inlineStr">
        <is>
          <t>Bulls Beer House Parquelândia</t>
        </is>
      </c>
      <c r="D911" s="4" t="inlineStr">
        <is>
          <t>Fortaleza</t>
        </is>
      </c>
      <c r="E911" s="4" t="inlineStr">
        <is>
          <t>CE</t>
        </is>
      </c>
      <c r="F911" s="4" t="inlineStr">
        <is>
          <t>Metrópoles</t>
        </is>
      </c>
      <c r="G911" s="4" t="inlineStr">
        <is>
          <t>Metrópole</t>
        </is>
      </c>
      <c r="H911" s="5">
        <f>IF(G911="fora do recorte","",SUMPRODUCT(($G$3:$G$1723=G911)*($A$3:$A$1723&lt;=A911)))</f>
        <v/>
      </c>
      <c r="I911" s="4">
        <f>IF(H911="","",G911&amp;"|"&amp;H911)</f>
        <v/>
      </c>
      <c r="J911" s="4" t="inlineStr">
        <is>
          <t>https://www.google.com/maps/search/?api=1&amp;query=Bulls%20Beer%20House%20Parquel%C3%A2ndia&amp;query_place_id=ChIJm94Ev3VJxwcRq_ePxagvOtI</t>
        </is>
      </c>
      <c r="K911" s="4" t="inlineStr">
        <is>
          <t>R. Gustavo Sampaio, 800 - Parquelândia, Fortaleza - CE, 60450-500, Brasil</t>
        </is>
      </c>
      <c r="L911" s="4" t="inlineStr">
        <is>
          <t>Fortaleza</t>
        </is>
      </c>
      <c r="M911" s="5" t="n">
        <v>2</v>
      </c>
    </row>
    <row r="912">
      <c r="A912" s="3">
        <f>RAND()</f>
        <v/>
      </c>
      <c r="B912" s="4" t="inlineStr">
        <is>
          <t>ChIJ-R-E1YBJxwcRCCLaw0rd9ZI</t>
        </is>
      </c>
      <c r="C912" s="4" t="inlineStr">
        <is>
          <t>Calçadinha Bar</t>
        </is>
      </c>
      <c r="D912" s="4" t="inlineStr">
        <is>
          <t>Fortaleza</t>
        </is>
      </c>
      <c r="E912" s="4" t="inlineStr">
        <is>
          <t>CE</t>
        </is>
      </c>
      <c r="F912" s="4" t="inlineStr">
        <is>
          <t>Metrópoles</t>
        </is>
      </c>
      <c r="G912" s="4" t="inlineStr">
        <is>
          <t>Metrópole</t>
        </is>
      </c>
      <c r="H912" s="5">
        <f>IF(G912="fora do recorte","",SUMPRODUCT(($G$3:$G$1723=G912)*($A$3:$A$1723&lt;=A912)))</f>
        <v/>
      </c>
      <c r="I912" s="4">
        <f>IF(H912="","",G912&amp;"|"&amp;H912)</f>
        <v/>
      </c>
      <c r="J912" s="4" t="inlineStr">
        <is>
          <t>https://www.google.com/maps/search/?api=1&amp;query=Cal%C3%A7adinha%20Bar&amp;query_place_id=ChIJ-R-E1YBJxwcRCCLaw0rd9ZI</t>
        </is>
      </c>
      <c r="K912" s="4" t="inlineStr">
        <is>
          <t>R. Carlos Vasconcelos, 692 - Meireles, Fortaleza - CE, 60115-170, Brasil</t>
        </is>
      </c>
      <c r="L912" s="4" t="inlineStr">
        <is>
          <t>Fortaleza</t>
        </is>
      </c>
      <c r="M912" s="5" t="n">
        <v>1</v>
      </c>
    </row>
    <row r="913">
      <c r="A913" s="3">
        <f>RAND()</f>
        <v/>
      </c>
      <c r="B913" s="4" t="inlineStr">
        <is>
          <t>ChIJ5ZEd4ydJxwcR1kf_zfHv9RQ</t>
        </is>
      </c>
      <c r="C913" s="4" t="inlineStr">
        <is>
          <t>Casa Lúdica Fortaleza | Brinquedos Educativos, Inteligentes e Mobiliário Infantil</t>
        </is>
      </c>
      <c r="D913" s="4" t="inlineStr">
        <is>
          <t>Fortaleza</t>
        </is>
      </c>
      <c r="E913" s="4" t="inlineStr">
        <is>
          <t>CE</t>
        </is>
      </c>
      <c r="F913" s="4" t="inlineStr">
        <is>
          <t>Metrópoles</t>
        </is>
      </c>
      <c r="G913" s="4" t="inlineStr">
        <is>
          <t>Metrópole</t>
        </is>
      </c>
      <c r="H913" s="5">
        <f>IF(G913="fora do recorte","",SUMPRODUCT(($G$3:$G$1723=G913)*($A$3:$A$1723&lt;=A913)))</f>
        <v/>
      </c>
      <c r="I913" s="4">
        <f>IF(H913="","",G913&amp;"|"&amp;H913)</f>
        <v/>
      </c>
      <c r="J913" s="4" t="inlineStr">
        <is>
          <t>https://www.google.com/maps/search/?api=1&amp;query=Casa%20L%C3%BAdica%20Fortaleza%20%7C%20Brinquedos%20Educativos%2C%20Inteligentes%20e%20Mobili%C3%A1rio%20Infantil&amp;query_place_id=ChIJ5ZEd4ydJxwcR1kf_zfHv9RQ</t>
        </is>
      </c>
      <c r="K913" s="4" t="inlineStr">
        <is>
          <t>Av. Des. Moreira, 177 - Meireles, Fortaleza - CE, 60170-000, Brasil</t>
        </is>
      </c>
      <c r="L913" s="4" t="inlineStr">
        <is>
          <t>Fortaleza</t>
        </is>
      </c>
      <c r="M913" s="5" t="n">
        <v>1</v>
      </c>
    </row>
    <row r="914">
      <c r="A914" s="3">
        <f>RAND()</f>
        <v/>
      </c>
      <c r="B914" s="4" t="inlineStr">
        <is>
          <t>ChIJW-6v5ntJxwcRHtk7AWID5E8</t>
        </is>
      </c>
      <c r="C914" s="4" t="inlineStr">
        <is>
          <t>Casa de Brinquedos: Brinquedos, Jogos e Diversão para Crianças em Fortaleza.</t>
        </is>
      </c>
      <c r="D914" s="4" t="inlineStr">
        <is>
          <t>Fortaleza</t>
        </is>
      </c>
      <c r="E914" s="4" t="inlineStr">
        <is>
          <t>CE</t>
        </is>
      </c>
      <c r="F914" s="4" t="inlineStr">
        <is>
          <t>Metrópoles</t>
        </is>
      </c>
      <c r="G914" s="4" t="inlineStr">
        <is>
          <t>Metrópole</t>
        </is>
      </c>
      <c r="H914" s="5">
        <f>IF(G914="fora do recorte","",SUMPRODUCT(($G$3:$G$1723=G914)*($A$3:$A$1723&lt;=A914)))</f>
        <v/>
      </c>
      <c r="I914" s="4">
        <f>IF(H914="","",G914&amp;"|"&amp;H914)</f>
        <v/>
      </c>
      <c r="J914" s="4" t="inlineStr">
        <is>
          <t>https://www.google.com/maps/search/?api=1&amp;query=Casa%20de%20Brinquedos%3A%20Brinquedos%2C%20Jogos%20e%20Divers%C3%A3o%20para%20Crian%C3%A7as%20em%20Fortaleza.&amp;query_place_id=ChIJW-6v5ntJxwcRHtk7AWID5E8</t>
        </is>
      </c>
      <c r="K914" s="4" t="inlineStr">
        <is>
          <t>Av. Dom Luís, 251 - Aldeota, Fortaleza - CE, 60160-230, Brasil</t>
        </is>
      </c>
      <c r="L914" s="4" t="inlineStr">
        <is>
          <t>Fortaleza</t>
        </is>
      </c>
      <c r="M914" s="5" t="n">
        <v>1</v>
      </c>
    </row>
    <row r="915">
      <c r="A915" s="3">
        <f>RAND()</f>
        <v/>
      </c>
      <c r="B915" s="4" t="inlineStr">
        <is>
          <t>ChIJHTxWLOtOxwcRjzMfL9ObZog</t>
        </is>
      </c>
      <c r="C915" s="4" t="inlineStr">
        <is>
          <t>City Game Locadora</t>
        </is>
      </c>
      <c r="D915" s="4" t="inlineStr">
        <is>
          <t>Fortaleza</t>
        </is>
      </c>
      <c r="E915" s="4" t="inlineStr">
        <is>
          <t>CE</t>
        </is>
      </c>
      <c r="F915" s="4" t="inlineStr">
        <is>
          <t>Metrópoles</t>
        </is>
      </c>
      <c r="G915" s="4" t="inlineStr">
        <is>
          <t>Metrópole</t>
        </is>
      </c>
      <c r="H915" s="5">
        <f>IF(G915="fora do recorte","",SUMPRODUCT(($G$3:$G$1723=G915)*($A$3:$A$1723&lt;=A915)))</f>
        <v/>
      </c>
      <c r="I915" s="4">
        <f>IF(H915="","",G915&amp;"|"&amp;H915)</f>
        <v/>
      </c>
      <c r="J915" s="4" t="inlineStr">
        <is>
          <t>https://www.google.com/maps/search/?api=1&amp;query=City%20Game%20Locadora&amp;query_place_id=ChIJHTxWLOtOxwcRjzMfL9ObZog</t>
        </is>
      </c>
      <c r="K915" s="4" t="inlineStr">
        <is>
          <t>Tv. Iturama, 40 - Serrinha, Fortaleza - CE, 60741-540, Brasil</t>
        </is>
      </c>
      <c r="L915" s="4" t="inlineStr">
        <is>
          <t>Fortaleza</t>
        </is>
      </c>
      <c r="M915" s="5" t="n">
        <v>1</v>
      </c>
    </row>
    <row r="916">
      <c r="A916" s="3">
        <f>RAND()</f>
        <v/>
      </c>
      <c r="B916" s="4" t="inlineStr">
        <is>
          <t>ChIJ8dNtKIJFxwcRsKbBC_Tjyfg</t>
        </is>
      </c>
      <c r="C916" s="4" t="inlineStr">
        <is>
          <t>Clube das Estrelinhas - Shopping Iguatemi Bosque</t>
        </is>
      </c>
      <c r="D916" s="4" t="inlineStr">
        <is>
          <t>Fortaleza</t>
        </is>
      </c>
      <c r="E916" s="4" t="inlineStr">
        <is>
          <t>CE</t>
        </is>
      </c>
      <c r="F916" s="4" t="inlineStr">
        <is>
          <t>Metrópoles</t>
        </is>
      </c>
      <c r="G916" s="4" t="inlineStr">
        <is>
          <t>Metrópole</t>
        </is>
      </c>
      <c r="H916" s="5">
        <f>IF(G916="fora do recorte","",SUMPRODUCT(($G$3:$G$1723=G916)*($A$3:$A$1723&lt;=A916)))</f>
        <v/>
      </c>
      <c r="I916" s="4">
        <f>IF(H916="","",G916&amp;"|"&amp;H916)</f>
        <v/>
      </c>
      <c r="J916" s="4" t="inlineStr">
        <is>
          <t>https://www.google.com/maps/search/?api=1&amp;query=Clube%20das%20Estrelinhas%20-%20Shopping%20Iguatemi%20Bosque&amp;query_place_id=ChIJ8dNtKIJFxwcRsKbBC_Tjyfg</t>
        </is>
      </c>
      <c r="K916" s="4" t="inlineStr">
        <is>
          <t>Av. Washington Soares, 85 - Q 768 - Edson Queiroz, Fortaleza - CE, 60811-340, Brasil</t>
        </is>
      </c>
      <c r="L916" s="4" t="inlineStr">
        <is>
          <t>Fortaleza</t>
        </is>
      </c>
      <c r="M916" s="5" t="n">
        <v>1</v>
      </c>
    </row>
    <row r="917">
      <c r="A917" s="3">
        <f>RAND()</f>
        <v/>
      </c>
      <c r="B917" s="4" t="inlineStr">
        <is>
          <t>ChIJqYAh1TNGxwcRHvEpBrqoZ4g</t>
        </is>
      </c>
      <c r="C917" s="4" t="inlineStr">
        <is>
          <t>Clube das Estrelinhas Boulevard</t>
        </is>
      </c>
      <c r="D917" s="4" t="inlineStr">
        <is>
          <t>Fortaleza</t>
        </is>
      </c>
      <c r="E917" s="4" t="inlineStr">
        <is>
          <t>CE</t>
        </is>
      </c>
      <c r="F917" s="4" t="inlineStr">
        <is>
          <t>Metrópoles</t>
        </is>
      </c>
      <c r="G917" s="4" t="inlineStr">
        <is>
          <t>Metrópole</t>
        </is>
      </c>
      <c r="H917" s="5">
        <f>IF(G917="fora do recorte","",SUMPRODUCT(($G$3:$G$1723=G917)*($A$3:$A$1723&lt;=A917)))</f>
        <v/>
      </c>
      <c r="I917" s="4">
        <f>IF(H917="","",G917&amp;"|"&amp;H917)</f>
        <v/>
      </c>
      <c r="J917" s="4" t="inlineStr">
        <is>
          <t>https://www.google.com/maps/search/?api=1&amp;query=Clube%20das%20Estrelinhas%20Boulevard&amp;query_place_id=ChIJqYAh1TNGxwcRHvEpBrqoZ4g</t>
        </is>
      </c>
      <c r="K917" s="4" t="inlineStr">
        <is>
          <t>R. Des. Lauro Nogueira, 1500 - Loja 3009, Piso L3 - Papicu, Fortaleza - CE, 60176-065, Brasil</t>
        </is>
      </c>
      <c r="L917" s="4" t="inlineStr">
        <is>
          <t>Fortaleza</t>
        </is>
      </c>
      <c r="M917" s="5" t="n">
        <v>1</v>
      </c>
    </row>
    <row r="918">
      <c r="A918" s="3">
        <f>RAND()</f>
        <v/>
      </c>
      <c r="B918" s="4" t="inlineStr">
        <is>
          <t>ChIJfTThv4pJxwcR45RwVv0b_74</t>
        </is>
      </c>
      <c r="C918" s="4" t="inlineStr">
        <is>
          <t>Clubinho a Todo Vapor</t>
        </is>
      </c>
      <c r="D918" s="4" t="inlineStr">
        <is>
          <t>Fortaleza</t>
        </is>
      </c>
      <c r="E918" s="4" t="inlineStr">
        <is>
          <t>CE</t>
        </is>
      </c>
      <c r="F918" s="4" t="inlineStr">
        <is>
          <t>Metrópoles</t>
        </is>
      </c>
      <c r="G918" s="4" t="inlineStr">
        <is>
          <t>Metrópole</t>
        </is>
      </c>
      <c r="H918" s="5">
        <f>IF(G918="fora do recorte","",SUMPRODUCT(($G$3:$G$1723=G918)*($A$3:$A$1723&lt;=A918)))</f>
        <v/>
      </c>
      <c r="I918" s="4">
        <f>IF(H918="","",G918&amp;"|"&amp;H918)</f>
        <v/>
      </c>
      <c r="J918" s="4" t="inlineStr">
        <is>
          <t>https://www.google.com/maps/search/?api=1&amp;query=Clubinho%20a%20Todo%20Vapor&amp;query_place_id=ChIJfTThv4pJxwcR45RwVv0b_74</t>
        </is>
      </c>
      <c r="K918" s="4" t="inlineStr">
        <is>
          <t>Rua Walter de Castro, 311 A - Cidade dos Funcionários, Fortaleza - CE, 60170-173, Brasil</t>
        </is>
      </c>
      <c r="L918" s="4" t="inlineStr">
        <is>
          <t>Fortaleza</t>
        </is>
      </c>
      <c r="M918" s="5" t="n">
        <v>1</v>
      </c>
    </row>
    <row r="919">
      <c r="A919" s="3">
        <f>RAND()</f>
        <v/>
      </c>
      <c r="B919" s="4" t="inlineStr">
        <is>
          <t>ChIJS2kasyZMxwcRpyIGuPSO8i0</t>
        </is>
      </c>
      <c r="C919" s="4" t="inlineStr">
        <is>
          <t>Covil Rock'n Bar</t>
        </is>
      </c>
      <c r="D919" s="4" t="inlineStr">
        <is>
          <t>Fortaleza</t>
        </is>
      </c>
      <c r="E919" s="4" t="inlineStr">
        <is>
          <t>CE</t>
        </is>
      </c>
      <c r="F919" s="4" t="inlineStr">
        <is>
          <t>Metrópoles</t>
        </is>
      </c>
      <c r="G919" s="4" t="inlineStr">
        <is>
          <t>Metrópole</t>
        </is>
      </c>
      <c r="H919" s="5">
        <f>IF(G919="fora do recorte","",SUMPRODUCT(($G$3:$G$1723=G919)*($A$3:$A$1723&lt;=A919)))</f>
        <v/>
      </c>
      <c r="I919" s="4">
        <f>IF(H919="","",G919&amp;"|"&amp;H919)</f>
        <v/>
      </c>
      <c r="J919" s="4" t="inlineStr">
        <is>
          <t>https://www.google.com/maps/search/?api=1&amp;query=Covil%20Rock%27n%20Bar&amp;query_place_id=ChIJS2kasyZMxwcRpyIGuPSO8i0</t>
        </is>
      </c>
      <c r="K919" s="4" t="inlineStr">
        <is>
          <t>R. Waldery Uchôa, 197 - Benfica, Fortaleza - CE, 60020-110, Brasil</t>
        </is>
      </c>
      <c r="L919" s="4" t="inlineStr">
        <is>
          <t>Fortaleza</t>
        </is>
      </c>
      <c r="M919" s="5" t="n">
        <v>1</v>
      </c>
    </row>
    <row r="920">
      <c r="A920" s="3">
        <f>RAND()</f>
        <v/>
      </c>
      <c r="B920" s="4" t="inlineStr">
        <is>
          <t>ChIJhdXHS1pJxwcR7n94rZyhnl4</t>
        </is>
      </c>
      <c r="C920" s="4" t="inlineStr">
        <is>
          <t>Day Play Galeria de Brincar</t>
        </is>
      </c>
      <c r="D920" s="4" t="inlineStr">
        <is>
          <t>Fortaleza</t>
        </is>
      </c>
      <c r="E920" s="4" t="inlineStr">
        <is>
          <t>CE</t>
        </is>
      </c>
      <c r="F920" s="4" t="inlineStr">
        <is>
          <t>Metrópoles</t>
        </is>
      </c>
      <c r="G920" s="4" t="inlineStr">
        <is>
          <t>Metrópole</t>
        </is>
      </c>
      <c r="H920" s="5">
        <f>IF(G920="fora do recorte","",SUMPRODUCT(($G$3:$G$1723=G920)*($A$3:$A$1723&lt;=A920)))</f>
        <v/>
      </c>
      <c r="I920" s="4">
        <f>IF(H920="","",G920&amp;"|"&amp;H920)</f>
        <v/>
      </c>
      <c r="J920" s="4" t="inlineStr">
        <is>
          <t>https://www.google.com/maps/search/?api=1&amp;query=Day%20Play%20Galeria%20de%20Brincar&amp;query_place_id=ChIJhdXHS1pJxwcR7n94rZyhnl4</t>
        </is>
      </c>
      <c r="K920" s="4" t="inlineStr">
        <is>
          <t>Av. Santos Dumont, 3131 - Aldeota, Fortaleza - CE, 60150-165, Brasil</t>
        </is>
      </c>
      <c r="L920" s="4" t="inlineStr">
        <is>
          <t>Fortaleza</t>
        </is>
      </c>
      <c r="M920" s="5" t="n">
        <v>1</v>
      </c>
    </row>
    <row r="921">
      <c r="A921" s="3">
        <f>RAND()</f>
        <v/>
      </c>
      <c r="B921" s="4" t="inlineStr">
        <is>
          <t>ChIJO3X9MZdJxwcRybEDjhHjbqg</t>
        </is>
      </c>
      <c r="C921" s="4" t="inlineStr">
        <is>
          <t>De Vóisse Bar e Karaokê</t>
        </is>
      </c>
      <c r="D921" s="4" t="inlineStr">
        <is>
          <t>Fortaleza</t>
        </is>
      </c>
      <c r="E921" s="4" t="inlineStr">
        <is>
          <t>CE</t>
        </is>
      </c>
      <c r="F921" s="4" t="inlineStr">
        <is>
          <t>Metrópoles</t>
        </is>
      </c>
      <c r="G921" s="4" t="inlineStr">
        <is>
          <t>Metrópole</t>
        </is>
      </c>
      <c r="H921" s="5">
        <f>IF(G921="fora do recorte","",SUMPRODUCT(($G$3:$G$1723=G921)*($A$3:$A$1723&lt;=A921)))</f>
        <v/>
      </c>
      <c r="I921" s="4">
        <f>IF(H921="","",G921&amp;"|"&amp;H921)</f>
        <v/>
      </c>
      <c r="J921" s="4" t="inlineStr">
        <is>
          <t>https://www.google.com/maps/search/?api=1&amp;query=De%20V%C3%B3isse%20Bar%20e%20Karaok%C3%AA&amp;query_place_id=ChIJO3X9MZdJxwcRybEDjhHjbqg</t>
        </is>
      </c>
      <c r="K921" s="4" t="inlineStr">
        <is>
          <t>R. dos Pracinhas, 937 - Benfica, Fortaleza - CE, 60015-331, Brasil</t>
        </is>
      </c>
      <c r="L921" s="4" t="inlineStr">
        <is>
          <t>Fortaleza</t>
        </is>
      </c>
      <c r="M921" s="5" t="n">
        <v>1</v>
      </c>
    </row>
    <row r="922">
      <c r="A922" s="3">
        <f>RAND()</f>
        <v/>
      </c>
      <c r="B922" s="4" t="inlineStr">
        <is>
          <t>ChIJQURqeMZJxwcR95O-XLbS2mk</t>
        </is>
      </c>
      <c r="C922" s="4" t="inlineStr">
        <is>
          <t>Dominaria Cards &amp; Games</t>
        </is>
      </c>
      <c r="D922" s="4" t="inlineStr">
        <is>
          <t>Fortaleza</t>
        </is>
      </c>
      <c r="E922" s="4" t="inlineStr">
        <is>
          <t>CE</t>
        </is>
      </c>
      <c r="F922" s="4" t="inlineStr">
        <is>
          <t>Metrópoles</t>
        </is>
      </c>
      <c r="G922" s="4" t="inlineStr">
        <is>
          <t>Metrópole</t>
        </is>
      </c>
      <c r="H922" s="5">
        <f>IF(G922="fora do recorte","",SUMPRODUCT(($G$3:$G$1723=G922)*($A$3:$A$1723&lt;=A922)))</f>
        <v/>
      </c>
      <c r="I922" s="4">
        <f>IF(H922="","",G922&amp;"|"&amp;H922)</f>
        <v/>
      </c>
      <c r="J922" s="4" t="inlineStr">
        <is>
          <t>https://www.google.com/maps/search/?api=1&amp;query=Dominaria%20Cards%20%26%20Games&amp;query_place_id=ChIJQURqeMZJxwcR95O-XLbS2mk</t>
        </is>
      </c>
      <c r="K922" s="4" t="inlineStr">
        <is>
          <t>R. Juvenal Galeno, 512 - Benfica, Fortaleza - CE, 60015-340, Brasil</t>
        </is>
      </c>
      <c r="L922" s="4" t="inlineStr">
        <is>
          <t>Fortaleza</t>
        </is>
      </c>
      <c r="M922" s="5" t="n">
        <v>11</v>
      </c>
    </row>
    <row r="923">
      <c r="A923" s="3">
        <f>RAND()</f>
        <v/>
      </c>
      <c r="B923" s="4" t="inlineStr">
        <is>
          <t>ChIJV5El87lJxwcR3z8VHy1nysg</t>
        </is>
      </c>
      <c r="C923" s="4" t="inlineStr">
        <is>
          <t>Donkey Head Cervejaria</t>
        </is>
      </c>
      <c r="D923" s="4" t="inlineStr">
        <is>
          <t>Fortaleza</t>
        </is>
      </c>
      <c r="E923" s="4" t="inlineStr">
        <is>
          <t>CE</t>
        </is>
      </c>
      <c r="F923" s="4" t="inlineStr">
        <is>
          <t>Metrópoles</t>
        </is>
      </c>
      <c r="G923" s="4" t="inlineStr">
        <is>
          <t>Metrópole</t>
        </is>
      </c>
      <c r="H923" s="5">
        <f>IF(G923="fora do recorte","",SUMPRODUCT(($G$3:$G$1723=G923)*($A$3:$A$1723&lt;=A923)))</f>
        <v/>
      </c>
      <c r="I923" s="4">
        <f>IF(H923="","",G923&amp;"|"&amp;H923)</f>
        <v/>
      </c>
      <c r="J923" s="4" t="inlineStr">
        <is>
          <t>https://www.google.com/maps/search/?api=1&amp;query=Donkey%20Head%20Cervejaria&amp;query_place_id=ChIJV5El87lJxwcR3z8VHy1nysg</t>
        </is>
      </c>
      <c r="K923" s="4" t="inlineStr">
        <is>
          <t>R. Norvinda Píres, 42 - Aldeota, Fortaleza - CE, 60150-280, Brasil</t>
        </is>
      </c>
      <c r="L923" s="4" t="inlineStr">
        <is>
          <t>Fortaleza</t>
        </is>
      </c>
      <c r="M923" s="5" t="n">
        <v>1</v>
      </c>
    </row>
    <row r="924">
      <c r="A924" s="3">
        <f>RAND()</f>
        <v/>
      </c>
      <c r="B924" s="4" t="inlineStr">
        <is>
          <t>ChIJRQA8lWxHxwcR0-5-QOMK8sg</t>
        </is>
      </c>
      <c r="C924" s="4" t="inlineStr">
        <is>
          <t>Eco Clube Jardim</t>
        </is>
      </c>
      <c r="D924" s="4" t="inlineStr">
        <is>
          <t>Fortaleza</t>
        </is>
      </c>
      <c r="E924" s="4" t="inlineStr">
        <is>
          <t>CE</t>
        </is>
      </c>
      <c r="F924" s="4" t="inlineStr">
        <is>
          <t>Metrópoles</t>
        </is>
      </c>
      <c r="G924" s="4" t="inlineStr">
        <is>
          <t>Metrópole</t>
        </is>
      </c>
      <c r="H924" s="5">
        <f>IF(G924="fora do recorte","",SUMPRODUCT(($G$3:$G$1723=G924)*($A$3:$A$1723&lt;=A924)))</f>
        <v/>
      </c>
      <c r="I924" s="4">
        <f>IF(H924="","",G924&amp;"|"&amp;H924)</f>
        <v/>
      </c>
      <c r="J924" s="4" t="inlineStr">
        <is>
          <t>https://www.google.com/maps/search/?api=1&amp;query=Eco%20Clube%20Jardim&amp;query_place_id=ChIJRQA8lWxHxwcR0-5-QOMK8sg</t>
        </is>
      </c>
      <c r="K924" s="4" t="inlineStr">
        <is>
          <t>R. Bento Albuquerque, 1002 - Cocó, Fortaleza - CE, 60192-055, Brasil</t>
        </is>
      </c>
      <c r="L924" s="4" t="inlineStr">
        <is>
          <t>Fortaleza</t>
        </is>
      </c>
      <c r="M924" s="5" t="n">
        <v>1</v>
      </c>
    </row>
    <row r="925">
      <c r="A925" s="3">
        <f>RAND()</f>
        <v/>
      </c>
      <c r="B925" s="4" t="inlineStr">
        <is>
          <t>ChIJUcPbfstJxwcRJlR3ZIBFMtY</t>
        </is>
      </c>
      <c r="C925" s="4" t="inlineStr">
        <is>
          <t>Esconderijo Rock Pub</t>
        </is>
      </c>
      <c r="D925" s="4" t="inlineStr">
        <is>
          <t>Fortaleza</t>
        </is>
      </c>
      <c r="E925" s="4" t="inlineStr">
        <is>
          <t>CE</t>
        </is>
      </c>
      <c r="F925" s="4" t="inlineStr">
        <is>
          <t>Metrópoles</t>
        </is>
      </c>
      <c r="G925" s="4" t="inlineStr">
        <is>
          <t>Metrópole</t>
        </is>
      </c>
      <c r="H925" s="5">
        <f>IF(G925="fora do recorte","",SUMPRODUCT(($G$3:$G$1723=G925)*($A$3:$A$1723&lt;=A925)))</f>
        <v/>
      </c>
      <c r="I925" s="4">
        <f>IF(H925="","",G925&amp;"|"&amp;H925)</f>
        <v/>
      </c>
      <c r="J925" s="4" t="inlineStr">
        <is>
          <t>https://www.google.com/maps/search/?api=1&amp;query=Esconderijo%20Rock%20Pub&amp;query_place_id=ChIJUcPbfstJxwcRJlR3ZIBFMtY</t>
        </is>
      </c>
      <c r="K925" s="4" t="inlineStr">
        <is>
          <t>Av. João Pessoa, 4558 - Damas, Fortaleza - CE, 60425-812, Brasil</t>
        </is>
      </c>
      <c r="L925" s="4" t="inlineStr">
        <is>
          <t>Fortaleza</t>
        </is>
      </c>
      <c r="M925" s="5" t="n">
        <v>1</v>
      </c>
    </row>
    <row r="926">
      <c r="A926" s="3">
        <f>RAND()</f>
        <v/>
      </c>
      <c r="B926" s="4" t="inlineStr">
        <is>
          <t>ChIJhdkowF5IxwcRkKj40Z7HqLM</t>
        </is>
      </c>
      <c r="C926" s="4" t="inlineStr">
        <is>
          <t>Espaço Mais Infância do Estado do Ceará</t>
        </is>
      </c>
      <c r="D926" s="4" t="inlineStr">
        <is>
          <t>Fortaleza</t>
        </is>
      </c>
      <c r="E926" s="4" t="inlineStr">
        <is>
          <t>CE</t>
        </is>
      </c>
      <c r="F926" s="4" t="inlineStr">
        <is>
          <t>Metrópoles</t>
        </is>
      </c>
      <c r="G926" s="4" t="inlineStr">
        <is>
          <t>Metrópole</t>
        </is>
      </c>
      <c r="H926" s="5">
        <f>IF(G926="fora do recorte","",SUMPRODUCT(($G$3:$G$1723=G926)*($A$3:$A$1723&lt;=A926)))</f>
        <v/>
      </c>
      <c r="I926" s="4">
        <f>IF(H926="","",G926&amp;"|"&amp;H926)</f>
        <v/>
      </c>
      <c r="J926" s="4" t="inlineStr">
        <is>
          <t>https://www.google.com/maps/search/?api=1&amp;query=Espa%C3%A7o%20Mais%20Inf%C3%A2ncia%20do%20Estado%20do%20Cear%C3%A1&amp;query_place_id=ChIJhdkowF5IxwcRkKj40Z7HqLM</t>
        </is>
      </c>
      <c r="K926" s="4" t="inlineStr">
        <is>
          <t>Av. Santos Dumont, 1589 - Aldeota, Fortaleza - CE, 60160-150, Brasil</t>
        </is>
      </c>
      <c r="L926" s="4" t="inlineStr">
        <is>
          <t>Fortaleza</t>
        </is>
      </c>
      <c r="M926" s="5" t="n">
        <v>1</v>
      </c>
    </row>
    <row r="927">
      <c r="A927" s="3">
        <f>RAND()</f>
        <v/>
      </c>
      <c r="B927" s="4" t="inlineStr">
        <is>
          <t>ChIJ8w4EBYlIxwcRygbgrjihtr0</t>
        </is>
      </c>
      <c r="C927" s="4" t="inlineStr">
        <is>
          <t>Eu Quero Saber Brinquedos Inteligentes</t>
        </is>
      </c>
      <c r="D927" s="4" t="inlineStr">
        <is>
          <t>Fortaleza</t>
        </is>
      </c>
      <c r="E927" s="4" t="inlineStr">
        <is>
          <t>CE</t>
        </is>
      </c>
      <c r="F927" s="4" t="inlineStr">
        <is>
          <t>Metrópoles</t>
        </is>
      </c>
      <c r="G927" s="4" t="inlineStr">
        <is>
          <t>Metrópole</t>
        </is>
      </c>
      <c r="H927" s="5">
        <f>IF(G927="fora do recorte","",SUMPRODUCT(($G$3:$G$1723=G927)*($A$3:$A$1723&lt;=A927)))</f>
        <v/>
      </c>
      <c r="I927" s="4">
        <f>IF(H927="","",G927&amp;"|"&amp;H927)</f>
        <v/>
      </c>
      <c r="J927" s="4" t="inlineStr">
        <is>
          <t>https://www.google.com/maps/search/?api=1&amp;query=Eu%20Quero%20Saber%20Brinquedos%20Inteligentes&amp;query_place_id=ChIJ8w4EBYlIxwcRygbgrjihtr0</t>
        </is>
      </c>
      <c r="K927" s="4" t="inlineStr">
        <is>
          <t>R. Tibúrcio Cavalcante, 1919 B - Aldeota, Fortaleza - CE, 60125-045, Brasil</t>
        </is>
      </c>
      <c r="L927" s="4" t="inlineStr">
        <is>
          <t>Fortaleza</t>
        </is>
      </c>
      <c r="M927" s="5" t="n">
        <v>1</v>
      </c>
    </row>
    <row r="928">
      <c r="A928" s="3">
        <f>RAND()</f>
        <v/>
      </c>
      <c r="B928" s="4" t="inlineStr">
        <is>
          <t>ChIJa8c6S8ZIxwcRVlVKn1apExA</t>
        </is>
      </c>
      <c r="C928" s="4" t="inlineStr">
        <is>
          <t>Fada Madrinha Locação de Brinquedos</t>
        </is>
      </c>
      <c r="D928" s="4" t="inlineStr">
        <is>
          <t>Fortaleza</t>
        </is>
      </c>
      <c r="E928" s="4" t="inlineStr">
        <is>
          <t>CE</t>
        </is>
      </c>
      <c r="F928" s="4" t="inlineStr">
        <is>
          <t>Metrópoles</t>
        </is>
      </c>
      <c r="G928" s="4" t="inlineStr">
        <is>
          <t>Metrópole</t>
        </is>
      </c>
      <c r="H928" s="5">
        <f>IF(G928="fora do recorte","",SUMPRODUCT(($G$3:$G$1723=G928)*($A$3:$A$1723&lt;=A928)))</f>
        <v/>
      </c>
      <c r="I928" s="4">
        <f>IF(H928="","",G928&amp;"|"&amp;H928)</f>
        <v/>
      </c>
      <c r="J928" s="4" t="inlineStr">
        <is>
          <t>https://www.google.com/maps/search/?api=1&amp;query=Fada%20Madrinha%20Loca%C3%A7%C3%A3o%20de%20Brinquedos&amp;query_place_id=ChIJa8c6S8ZIxwcRVlVKn1apExA</t>
        </is>
      </c>
      <c r="K928" s="4" t="inlineStr">
        <is>
          <t>R. José Justa, 4153 A - Tauape, Fortaleza - CE, 60120-290, Brasil</t>
        </is>
      </c>
      <c r="L928" s="4" t="inlineStr">
        <is>
          <t>Fortaleza</t>
        </is>
      </c>
      <c r="M928" s="5" t="n">
        <v>1</v>
      </c>
    </row>
    <row r="929">
      <c r="A929" s="3">
        <f>RAND()</f>
        <v/>
      </c>
      <c r="B929" s="4" t="inlineStr">
        <is>
          <t>ChIJ3dFu-KtJxwcR_qIwvUJ2cIE</t>
        </is>
      </c>
      <c r="C929" s="4" t="inlineStr">
        <is>
          <t>Fort Tudo | Artigos de Decoração, Brinquedos, Utilidades, Bebê, Caça e Pesca em Fortaleza</t>
        </is>
      </c>
      <c r="D929" s="4" t="inlineStr">
        <is>
          <t>Fortaleza</t>
        </is>
      </c>
      <c r="E929" s="4" t="inlineStr">
        <is>
          <t>CE</t>
        </is>
      </c>
      <c r="F929" s="4" t="inlineStr">
        <is>
          <t>Metrópoles</t>
        </is>
      </c>
      <c r="G929" s="4" t="inlineStr">
        <is>
          <t>Metrópole</t>
        </is>
      </c>
      <c r="H929" s="5">
        <f>IF(G929="fora do recorte","",SUMPRODUCT(($G$3:$G$1723=G929)*($A$3:$A$1723&lt;=A929)))</f>
        <v/>
      </c>
      <c r="I929" s="4">
        <f>IF(H929="","",G929&amp;"|"&amp;H929)</f>
        <v/>
      </c>
      <c r="J929" s="4" t="inlineStr">
        <is>
          <t>https://www.google.com/maps/search/?api=1&amp;query=Fort%20Tudo%20%7C%20Artigos%20de%20Decora%C3%A7%C3%A3o%2C%20Brinquedos%2C%20Utilidades%2C%20Beb%C3%AA%2C%20Ca%C3%A7a%20e%20Pesca%20em%20Fortaleza&amp;query_place_id=ChIJ3dFu-KtJxwcR_qIwvUJ2cIE</t>
        </is>
      </c>
      <c r="K929" s="4" t="inlineStr">
        <is>
          <t>R. Gen. Sampaio, 1300 - Centro, Fortaleza - CE, 60020-031, Brasil</t>
        </is>
      </c>
      <c r="L929" s="4" t="inlineStr">
        <is>
          <t>Fortaleza</t>
        </is>
      </c>
      <c r="M929" s="5" t="n">
        <v>1</v>
      </c>
    </row>
    <row r="930">
      <c r="A930" s="3">
        <f>RAND()</f>
        <v/>
      </c>
      <c r="B930" s="4" t="inlineStr">
        <is>
          <t>ChIJA23daMBJxwcRyJ__MnwOXjw</t>
        </is>
      </c>
      <c r="C930" s="4" t="inlineStr">
        <is>
          <t>Fuzuê Bar</t>
        </is>
      </c>
      <c r="D930" s="4" t="inlineStr">
        <is>
          <t>Fortaleza</t>
        </is>
      </c>
      <c r="E930" s="4" t="inlineStr">
        <is>
          <t>CE</t>
        </is>
      </c>
      <c r="F930" s="4" t="inlineStr">
        <is>
          <t>Metrópoles</t>
        </is>
      </c>
      <c r="G930" s="4" t="inlineStr">
        <is>
          <t>Metrópole</t>
        </is>
      </c>
      <c r="H930" s="5">
        <f>IF(G930="fora do recorte","",SUMPRODUCT(($G$3:$G$1723=G930)*($A$3:$A$1723&lt;=A930)))</f>
        <v/>
      </c>
      <c r="I930" s="4">
        <f>IF(H930="","",G930&amp;"|"&amp;H930)</f>
        <v/>
      </c>
      <c r="J930" s="4" t="inlineStr">
        <is>
          <t>https://www.google.com/maps/search/?api=1&amp;query=Fuzu%C3%AA%20Bar&amp;query_place_id=ChIJA23daMBJxwcRyJ__MnwOXjw</t>
        </is>
      </c>
      <c r="K930" s="4" t="inlineStr">
        <is>
          <t>R. Barão de Aracati, 609 - Meireles, Fortaleza - CE, 60115-080, Brasil</t>
        </is>
      </c>
      <c r="L930" s="4" t="inlineStr">
        <is>
          <t>Fortaleza</t>
        </is>
      </c>
      <c r="M930" s="5" t="n">
        <v>1</v>
      </c>
    </row>
    <row r="931">
      <c r="A931" s="3">
        <f>RAND()</f>
        <v/>
      </c>
      <c r="B931" s="4" t="inlineStr">
        <is>
          <t>ChIJa6y5bxtLxwcRdE7i7-Gk8lo</t>
        </is>
      </c>
      <c r="C931" s="4" t="inlineStr">
        <is>
          <t>Game &amp; Steak</t>
        </is>
      </c>
      <c r="D931" s="4" t="inlineStr">
        <is>
          <t>Fortaleza</t>
        </is>
      </c>
      <c r="E931" s="4" t="inlineStr">
        <is>
          <t>CE</t>
        </is>
      </c>
      <c r="F931" s="4" t="inlineStr">
        <is>
          <t>Metrópoles</t>
        </is>
      </c>
      <c r="G931" s="4" t="inlineStr">
        <is>
          <t>Metrópole</t>
        </is>
      </c>
      <c r="H931" s="5">
        <f>IF(G931="fora do recorte","",SUMPRODUCT(($G$3:$G$1723=G931)*($A$3:$A$1723&lt;=A931)))</f>
        <v/>
      </c>
      <c r="I931" s="4">
        <f>IF(H931="","",G931&amp;"|"&amp;H931)</f>
        <v/>
      </c>
      <c r="J931" s="4" t="inlineStr">
        <is>
          <t>https://www.google.com/maps/search/?api=1&amp;query=Game%20%26%20Steak&amp;query_place_id=ChIJa6y5bxtLxwcRdE7i7-Gk8lo</t>
        </is>
      </c>
      <c r="K931" s="4" t="inlineStr">
        <is>
          <t>R. Rui Monte, 1070 - Dom Lustosa, Fortaleza - CE, 60360-640, Brasil</t>
        </is>
      </c>
      <c r="L931" s="4" t="inlineStr">
        <is>
          <t>Fortaleza</t>
        </is>
      </c>
      <c r="M931" s="5" t="n">
        <v>1</v>
      </c>
    </row>
    <row r="932">
      <c r="A932" s="3">
        <f>RAND()</f>
        <v/>
      </c>
      <c r="B932" s="4" t="inlineStr">
        <is>
          <t>ChIJqYAh1TNGxwcRmyIPj0gMwpE</t>
        </is>
      </c>
      <c r="C932" s="4" t="inlineStr">
        <is>
          <t>Game Station | Shopping RioMar Fortaleza</t>
        </is>
      </c>
      <c r="D932" s="4" t="inlineStr">
        <is>
          <t>Fortaleza</t>
        </is>
      </c>
      <c r="E932" s="4" t="inlineStr">
        <is>
          <t>CE</t>
        </is>
      </c>
      <c r="F932" s="4" t="inlineStr">
        <is>
          <t>Metrópoles</t>
        </is>
      </c>
      <c r="G932" s="4" t="inlineStr">
        <is>
          <t>Metrópole</t>
        </is>
      </c>
      <c r="H932" s="5">
        <f>IF(G932="fora do recorte","",SUMPRODUCT(($G$3:$G$1723=G932)*($A$3:$A$1723&lt;=A932)))</f>
        <v/>
      </c>
      <c r="I932" s="4">
        <f>IF(H932="","",G932&amp;"|"&amp;H932)</f>
        <v/>
      </c>
      <c r="J932" s="4" t="inlineStr">
        <is>
          <t>https://www.google.com/maps/search/?api=1&amp;query=Game%20Station%20%7C%20Shopping%20RioMar%20Fortaleza&amp;query_place_id=ChIJqYAh1TNGxwcRmyIPj0gMwpE</t>
        </is>
      </c>
      <c r="K932" s="4" t="inlineStr">
        <is>
          <t>R. Des. Lauro Nogueira, 1500 - Papicu, Fortaleza - CE, 60176-065, Brasil</t>
        </is>
      </c>
      <c r="L932" s="4" t="inlineStr">
        <is>
          <t>Fortaleza</t>
        </is>
      </c>
      <c r="M932" s="5" t="n">
        <v>1</v>
      </c>
    </row>
    <row r="933">
      <c r="A933" s="3">
        <f>RAND()</f>
        <v/>
      </c>
      <c r="B933" s="4" t="inlineStr">
        <is>
          <t>ChIJf7M23upJxwcR2zCGv181EBs</t>
        </is>
      </c>
      <c r="C933" s="4" t="inlineStr">
        <is>
          <t>Game mania</t>
        </is>
      </c>
      <c r="D933" s="4" t="inlineStr">
        <is>
          <t>Fortaleza</t>
        </is>
      </c>
      <c r="E933" s="4" t="inlineStr">
        <is>
          <t>CE</t>
        </is>
      </c>
      <c r="F933" s="4" t="inlineStr">
        <is>
          <t>Metrópoles</t>
        </is>
      </c>
      <c r="G933" s="4" t="inlineStr">
        <is>
          <t>Metrópole</t>
        </is>
      </c>
      <c r="H933" s="5">
        <f>IF(G933="fora do recorte","",SUMPRODUCT(($G$3:$G$1723=G933)*($A$3:$A$1723&lt;=A933)))</f>
        <v/>
      </c>
      <c r="I933" s="4">
        <f>IF(H933="","",G933&amp;"|"&amp;H933)</f>
        <v/>
      </c>
      <c r="J933" s="4" t="inlineStr">
        <is>
          <t>https://www.google.com/maps/search/?api=1&amp;query=Game%20mania&amp;query_place_id=ChIJf7M23upJxwcR2zCGv181EBs</t>
        </is>
      </c>
      <c r="K933" s="4" t="inlineStr">
        <is>
          <t>Shopping Center Um - Av. Santos Dumont, 3130 - Lj 236 - Aldeota, Fortaleza - CE, 60150-162, Brasil</t>
        </is>
      </c>
      <c r="L933" s="4" t="inlineStr">
        <is>
          <t>Fortaleza</t>
        </is>
      </c>
      <c r="M933" s="5" t="n">
        <v>1</v>
      </c>
    </row>
    <row r="934">
      <c r="A934" s="3">
        <f>RAND()</f>
        <v/>
      </c>
      <c r="B934" s="4" t="inlineStr">
        <is>
          <t>ChIJsTy8gUxLxwcRCKRfkhIP8zM</t>
        </is>
      </c>
      <c r="C934" s="4" t="inlineStr">
        <is>
          <t>Games bar</t>
        </is>
      </c>
      <c r="D934" s="4" t="inlineStr">
        <is>
          <t>Fortaleza</t>
        </is>
      </c>
      <c r="E934" s="4" t="inlineStr">
        <is>
          <t>CE</t>
        </is>
      </c>
      <c r="F934" s="4" t="inlineStr">
        <is>
          <t>Metrópoles</t>
        </is>
      </c>
      <c r="G934" s="4" t="inlineStr">
        <is>
          <t>Metrópole</t>
        </is>
      </c>
      <c r="H934" s="5">
        <f>IF(G934="fora do recorte","",SUMPRODUCT(($G$3:$G$1723=G934)*($A$3:$A$1723&lt;=A934)))</f>
        <v/>
      </c>
      <c r="I934" s="4">
        <f>IF(H934="","",G934&amp;"|"&amp;H934)</f>
        <v/>
      </c>
      <c r="J934" s="4" t="inlineStr">
        <is>
          <t>https://www.google.com/maps/search/?api=1&amp;query=Games%20bar&amp;query_place_id=ChIJsTy8gUxLxwcRCKRfkhIP8zM</t>
        </is>
      </c>
      <c r="K934" s="4" t="inlineStr">
        <is>
          <t>R. Coelho Neto, 1767 - Barra do Ceará, Fortaleza - CE, 60336-210, Brasil</t>
        </is>
      </c>
      <c r="L934" s="4" t="inlineStr">
        <is>
          <t>Fortaleza</t>
        </is>
      </c>
      <c r="M934" s="5" t="n">
        <v>3</v>
      </c>
    </row>
    <row r="935">
      <c r="A935" s="3">
        <f>RAND()</f>
        <v/>
      </c>
      <c r="B935" s="4" t="inlineStr">
        <is>
          <t>ChIJqzuhQH5JxwcRxmNVkvhqaEU</t>
        </is>
      </c>
      <c r="C935" s="4" t="inlineStr">
        <is>
          <t>Gandaia Bar &amp; Club</t>
        </is>
      </c>
      <c r="D935" s="4" t="inlineStr">
        <is>
          <t>Fortaleza</t>
        </is>
      </c>
      <c r="E935" s="4" t="inlineStr">
        <is>
          <t>CE</t>
        </is>
      </c>
      <c r="F935" s="4" t="inlineStr">
        <is>
          <t>Metrópoles</t>
        </is>
      </c>
      <c r="G935" s="4" t="inlineStr">
        <is>
          <t>Metrópole</t>
        </is>
      </c>
      <c r="H935" s="5">
        <f>IF(G935="fora do recorte","",SUMPRODUCT(($G$3:$G$1723=G935)*($A$3:$A$1723&lt;=A935)))</f>
        <v/>
      </c>
      <c r="I935" s="4">
        <f>IF(H935="","",G935&amp;"|"&amp;H935)</f>
        <v/>
      </c>
      <c r="J935" s="4" t="inlineStr">
        <is>
          <t>https://www.google.com/maps/search/?api=1&amp;query=Gandaia%20Bar%20%26%20Club&amp;query_place_id=ChIJqzuhQH5JxwcRxmNVkvhqaEU</t>
        </is>
      </c>
      <c r="K935" s="4" t="inlineStr">
        <is>
          <t>R. Dragão do Mar, 72 - Praia de Iracema, Fortaleza - CE, 60060-195, Brasil</t>
        </is>
      </c>
      <c r="L935" s="4" t="inlineStr">
        <is>
          <t>Fortaleza</t>
        </is>
      </c>
      <c r="M935" s="5" t="n">
        <v>1</v>
      </c>
    </row>
    <row r="936">
      <c r="A936" s="3">
        <f>RAND()</f>
        <v/>
      </c>
      <c r="B936" s="4" t="inlineStr">
        <is>
          <t>ChIJ9QktIwBLxwcRxh5o-yafmc4</t>
        </is>
      </c>
      <c r="C936" s="4" t="inlineStr">
        <is>
          <t>Geek Barra</t>
        </is>
      </c>
      <c r="D936" s="4" t="inlineStr">
        <is>
          <t>Fortaleza</t>
        </is>
      </c>
      <c r="E936" s="4" t="inlineStr">
        <is>
          <t>CE</t>
        </is>
      </c>
      <c r="F936" s="4" t="inlineStr">
        <is>
          <t>Metrópoles</t>
        </is>
      </c>
      <c r="G936" s="4" t="inlineStr">
        <is>
          <t>Metrópole</t>
        </is>
      </c>
      <c r="H936" s="5">
        <f>IF(G936="fora do recorte","",SUMPRODUCT(($G$3:$G$1723=G936)*($A$3:$A$1723&lt;=A936)))</f>
        <v/>
      </c>
      <c r="I936" s="4">
        <f>IF(H936="","",G936&amp;"|"&amp;H936)</f>
        <v/>
      </c>
      <c r="J936" s="4" t="inlineStr">
        <is>
          <t>https://www.google.com/maps/search/?api=1&amp;query=Geek%20Barra&amp;query_place_id=ChIJ9QktIwBLxwcRxh5o-yafmc4</t>
        </is>
      </c>
      <c r="K936" s="4" t="inlineStr">
        <is>
          <t>Av. Mozart Pinheiro de Lucena, 1460 - de Pinheiro, Fortaleza - CE, 60347-452, Brasil</t>
        </is>
      </c>
      <c r="L936" s="4" t="inlineStr">
        <is>
          <t>Fortaleza</t>
        </is>
      </c>
      <c r="M936" s="5" t="n">
        <v>1</v>
      </c>
    </row>
    <row r="937">
      <c r="A937" s="3">
        <f>RAND()</f>
        <v/>
      </c>
      <c r="B937" s="4" t="inlineStr">
        <is>
          <t>ChIJIXxKE9ZJxwcRJJN63tNslYg</t>
        </is>
      </c>
      <c r="C937" s="4" t="inlineStr">
        <is>
          <t>Geek Bunker Burger (Parquelândia)</t>
        </is>
      </c>
      <c r="D937" s="4" t="inlineStr">
        <is>
          <t>Fortaleza</t>
        </is>
      </c>
      <c r="E937" s="4" t="inlineStr">
        <is>
          <t>CE</t>
        </is>
      </c>
      <c r="F937" s="4" t="inlineStr">
        <is>
          <t>Metrópoles</t>
        </is>
      </c>
      <c r="G937" s="4" t="inlineStr">
        <is>
          <t>Metrópole</t>
        </is>
      </c>
      <c r="H937" s="5">
        <f>IF(G937="fora do recorte","",SUMPRODUCT(($G$3:$G$1723=G937)*($A$3:$A$1723&lt;=A937)))</f>
        <v/>
      </c>
      <c r="I937" s="4">
        <f>IF(H937="","",G937&amp;"|"&amp;H937)</f>
        <v/>
      </c>
      <c r="J937" s="4" t="inlineStr">
        <is>
          <t>https://www.google.com/maps/search/?api=1&amp;query=Geek%20Bunker%20Burger%20%28Parquel%C3%A2ndia%29&amp;query_place_id=ChIJIXxKE9ZJxwcRJJN63tNslYg</t>
        </is>
      </c>
      <c r="K937" s="4" t="inlineStr">
        <is>
          <t>Av. Jovita Feitosa, 2802 - Parquelândia, Fortaleza - CE, 60455-410, Brasil</t>
        </is>
      </c>
      <c r="L937" s="4" t="inlineStr">
        <is>
          <t>Fortaleza</t>
        </is>
      </c>
      <c r="M937" s="5" t="n">
        <v>6</v>
      </c>
    </row>
    <row r="938">
      <c r="A938" s="3">
        <f>RAND()</f>
        <v/>
      </c>
      <c r="B938" s="4" t="inlineStr">
        <is>
          <t>ChIJK9YInqtJxwcRvHZnQSx0hqI</t>
        </is>
      </c>
      <c r="C938" s="4" t="inlineStr">
        <is>
          <t>Gibiteria Fanzine</t>
        </is>
      </c>
      <c r="D938" s="4" t="inlineStr">
        <is>
          <t>Fortaleza</t>
        </is>
      </c>
      <c r="E938" s="4" t="inlineStr">
        <is>
          <t>CE</t>
        </is>
      </c>
      <c r="F938" s="4" t="inlineStr">
        <is>
          <t>Metrópoles</t>
        </is>
      </c>
      <c r="G938" s="4" t="inlineStr">
        <is>
          <t>Metrópole</t>
        </is>
      </c>
      <c r="H938" s="5">
        <f>IF(G938="fora do recorte","",SUMPRODUCT(($G$3:$G$1723=G938)*($A$3:$A$1723&lt;=A938)))</f>
        <v/>
      </c>
      <c r="I938" s="4">
        <f>IF(H938="","",G938&amp;"|"&amp;H938)</f>
        <v/>
      </c>
      <c r="J938" s="4" t="inlineStr">
        <is>
          <t>https://www.google.com/maps/search/?api=1&amp;query=Gibiteria%20Fanzine&amp;query_place_id=ChIJK9YInqtJxwcRvHZnQSx0hqI</t>
        </is>
      </c>
      <c r="K938" s="4" t="inlineStr">
        <is>
          <t>R. Barão do Rio Branco, 1687 - Centro, Fortaleza - CE, 60025-002, Brasil</t>
        </is>
      </c>
      <c r="L938" s="4" t="inlineStr">
        <is>
          <t>Fortaleza</t>
        </is>
      </c>
      <c r="M938" s="5" t="n">
        <v>1</v>
      </c>
    </row>
    <row r="939">
      <c r="A939" s="3">
        <f>RAND()</f>
        <v/>
      </c>
      <c r="B939" s="4" t="inlineStr">
        <is>
          <t>ChIJVXcKAFpJxwcRUd58mOS5Chc</t>
        </is>
      </c>
      <c r="C939" s="4" t="inlineStr">
        <is>
          <t>Go Bigger Park - Shopping Iguatemi Bosque</t>
        </is>
      </c>
      <c r="D939" s="4" t="inlineStr">
        <is>
          <t>Fortaleza</t>
        </is>
      </c>
      <c r="E939" s="4" t="inlineStr">
        <is>
          <t>CE</t>
        </is>
      </c>
      <c r="F939" s="4" t="inlineStr">
        <is>
          <t>Metrópoles</t>
        </is>
      </c>
      <c r="G939" s="4" t="inlineStr">
        <is>
          <t>Metrópole</t>
        </is>
      </c>
      <c r="H939" s="5">
        <f>IF(G939="fora do recorte","",SUMPRODUCT(($G$3:$G$1723=G939)*($A$3:$A$1723&lt;=A939)))</f>
        <v/>
      </c>
      <c r="I939" s="4">
        <f>IF(H939="","",G939&amp;"|"&amp;H939)</f>
        <v/>
      </c>
      <c r="J939" s="4" t="inlineStr">
        <is>
          <t>https://www.google.com/maps/search/?api=1&amp;query=Go%20Bigger%20Park%20-%20Shopping%20Iguatemi%20Bosque&amp;query_place_id=ChIJVXcKAFpJxwcRUd58mOS5Chc</t>
        </is>
      </c>
      <c r="K939" s="4" t="inlineStr">
        <is>
          <t>Estacionamento L5 (DECK Próximo aos cinemas - Av. Washington Soares, 85 - Edson Queiroz, Fortaleza - CE, 60811-340, Brasil</t>
        </is>
      </c>
      <c r="L939" s="4" t="inlineStr">
        <is>
          <t>Fortaleza</t>
        </is>
      </c>
      <c r="M939" s="5" t="n">
        <v>1</v>
      </c>
    </row>
    <row r="940">
      <c r="A940" s="3">
        <f>RAND()</f>
        <v/>
      </c>
      <c r="B940" s="4" t="inlineStr">
        <is>
          <t>ChIJv5HSkZNHxwcRylr_AIYwo1E</t>
        </is>
      </c>
      <c r="C940" s="4" t="inlineStr">
        <is>
          <t>Go Bigger Park - Shopping Riomar Fortaleza</t>
        </is>
      </c>
      <c r="D940" s="4" t="inlineStr">
        <is>
          <t>Fortaleza</t>
        </is>
      </c>
      <c r="E940" s="4" t="inlineStr">
        <is>
          <t>CE</t>
        </is>
      </c>
      <c r="F940" s="4" t="inlineStr">
        <is>
          <t>Metrópoles</t>
        </is>
      </c>
      <c r="G940" s="4" t="inlineStr">
        <is>
          <t>Metrópole</t>
        </is>
      </c>
      <c r="H940" s="5">
        <f>IF(G940="fora do recorte","",SUMPRODUCT(($G$3:$G$1723=G940)*($A$3:$A$1723&lt;=A940)))</f>
        <v/>
      </c>
      <c r="I940" s="4">
        <f>IF(H940="","",G940&amp;"|"&amp;H940)</f>
        <v/>
      </c>
      <c r="J940" s="4" t="inlineStr">
        <is>
          <t>https://www.google.com/maps/search/?api=1&amp;query=Go%20Bigger%20Park%20-%20Shopping%20Riomar%20Fortaleza&amp;query_place_id=ChIJv5HSkZNHxwcRylr_AIYwo1E</t>
        </is>
      </c>
      <c r="K940" s="4" t="inlineStr">
        <is>
          <t>Shopping RioMar Fortaleza (Ao lado da Decatlon - R. Des. Lauro Nogueira, 1500 - Papicu, Fortaleza - CE, 60176-065, Brasil</t>
        </is>
      </c>
      <c r="L940" s="4" t="inlineStr">
        <is>
          <t>Fortaleza</t>
        </is>
      </c>
      <c r="M940" s="5" t="n">
        <v>1</v>
      </c>
    </row>
    <row r="941">
      <c r="A941" s="3">
        <f>RAND()</f>
        <v/>
      </c>
      <c r="B941" s="4" t="inlineStr">
        <is>
          <t>ChIJ_x3iYcVJxwcROtpOHRWpQwY</t>
        </is>
      </c>
      <c r="C941" s="4" t="inlineStr">
        <is>
          <t>House Garden Pub em fortaleza</t>
        </is>
      </c>
      <c r="D941" s="4" t="inlineStr">
        <is>
          <t>Fortaleza</t>
        </is>
      </c>
      <c r="E941" s="4" t="inlineStr">
        <is>
          <t>CE</t>
        </is>
      </c>
      <c r="F941" s="4" t="inlineStr">
        <is>
          <t>Metrópoles</t>
        </is>
      </c>
      <c r="G941" s="4" t="inlineStr">
        <is>
          <t>Metrópole</t>
        </is>
      </c>
      <c r="H941" s="5">
        <f>IF(G941="fora do recorte","",SUMPRODUCT(($G$3:$G$1723=G941)*($A$3:$A$1723&lt;=A941)))</f>
        <v/>
      </c>
      <c r="I941" s="4">
        <f>IF(H941="","",G941&amp;"|"&amp;H941)</f>
        <v/>
      </c>
      <c r="J941" s="4" t="inlineStr">
        <is>
          <t>https://www.google.com/maps/search/?api=1&amp;query=House%20Garden%20Pub%20em%20fortaleza&amp;query_place_id=ChIJ_x3iYcVJxwcROtpOHRWpQwY</t>
        </is>
      </c>
      <c r="K941" s="4" t="inlineStr">
        <is>
          <t>Rua Dr. José Lino, 126 - Varjota, Fortaleza - CE, 60175-426, Brasil</t>
        </is>
      </c>
      <c r="L941" s="4" t="inlineStr">
        <is>
          <t>Fortaleza</t>
        </is>
      </c>
      <c r="M941" s="5" t="n">
        <v>1</v>
      </c>
    </row>
    <row r="942">
      <c r="A942" s="3">
        <f>RAND()</f>
        <v/>
      </c>
      <c r="B942" s="4" t="inlineStr">
        <is>
          <t>ChIJrwA8RSpMxwcRgAAzTLpu0fo</t>
        </is>
      </c>
      <c r="C942" s="4" t="inlineStr">
        <is>
          <t>Impacto Game Store</t>
        </is>
      </c>
      <c r="D942" s="4" t="inlineStr">
        <is>
          <t>Fortaleza</t>
        </is>
      </c>
      <c r="E942" s="4" t="inlineStr">
        <is>
          <t>CE</t>
        </is>
      </c>
      <c r="F942" s="4" t="inlineStr">
        <is>
          <t>Metrópoles</t>
        </is>
      </c>
      <c r="G942" s="4" t="inlineStr">
        <is>
          <t>Metrópole</t>
        </is>
      </c>
      <c r="H942" s="5">
        <f>IF(G942="fora do recorte","",SUMPRODUCT(($G$3:$G$1723=G942)*($A$3:$A$1723&lt;=A942)))</f>
        <v/>
      </c>
      <c r="I942" s="4">
        <f>IF(H942="","",G942&amp;"|"&amp;H942)</f>
        <v/>
      </c>
      <c r="J942" s="4" t="inlineStr">
        <is>
          <t>https://www.google.com/maps/search/?api=1&amp;query=Impacto%20Game%20Store&amp;query_place_id=ChIJrwA8RSpMxwcRgAAzTLpu0fo</t>
        </is>
      </c>
      <c r="K942" s="4" t="inlineStr">
        <is>
          <t>Av. Benjamim Brasil, 1685 - Sl 34 - Maraponga, Fortaleza - CE, 60711-442, Brasil</t>
        </is>
      </c>
      <c r="L942" s="4" t="inlineStr">
        <is>
          <t>Fortaleza</t>
        </is>
      </c>
      <c r="M942" s="5" t="n">
        <v>2</v>
      </c>
    </row>
    <row r="943">
      <c r="A943" s="3">
        <f>RAND()</f>
        <v/>
      </c>
      <c r="B943" s="4" t="inlineStr">
        <is>
          <t>ChIJm9__7XBNxwcRKXldb7eugVw</t>
        </is>
      </c>
      <c r="C943" s="4" t="inlineStr">
        <is>
          <t>InfoRed distribuidora de produtos de informática, atacadista de produtos gamer e fornecedor de eletrônicos</t>
        </is>
      </c>
      <c r="D943" s="4" t="inlineStr">
        <is>
          <t>Fortaleza</t>
        </is>
      </c>
      <c r="E943" s="4" t="inlineStr">
        <is>
          <t>CE</t>
        </is>
      </c>
      <c r="F943" s="4" t="inlineStr">
        <is>
          <t>Metrópoles</t>
        </is>
      </c>
      <c r="G943" s="4" t="inlineStr">
        <is>
          <t>Metrópole</t>
        </is>
      </c>
      <c r="H943" s="5">
        <f>IF(G943="fora do recorte","",SUMPRODUCT(($G$3:$G$1723=G943)*($A$3:$A$1723&lt;=A943)))</f>
        <v/>
      </c>
      <c r="I943" s="4">
        <f>IF(H943="","",G943&amp;"|"&amp;H943)</f>
        <v/>
      </c>
      <c r="J943" s="4" t="inlineStr">
        <is>
          <t>https://www.google.com/maps/search/?api=1&amp;query=InfoRed%20distribuidora%20de%20produtos%20de%20inform%C3%A1tica%2C%20atacadista%20de%20produtos%20gamer%20e%20fornecedor%20de%20eletr%C3%B4nicos&amp;query_place_id=ChIJm9__7XBNxwcRKXldb7eugVw</t>
        </is>
      </c>
      <c r="K943" s="4" t="inlineStr">
        <is>
          <t>R. Dom Aureliano, 1290 - Siqueira, Fortaleza - CE, 60732-200, Brasil</t>
        </is>
      </c>
      <c r="L943" s="4" t="inlineStr">
        <is>
          <t>Fortaleza</t>
        </is>
      </c>
      <c r="M943" s="5" t="n">
        <v>1</v>
      </c>
    </row>
    <row r="944">
      <c r="A944" s="3">
        <f>RAND()</f>
        <v/>
      </c>
      <c r="B944" s="4" t="inlineStr">
        <is>
          <t>ChIJsaGsnyFJxwcR0z4ffLpjNGc</t>
        </is>
      </c>
      <c r="C944" s="4" t="inlineStr">
        <is>
          <t>J&amp;C Variedades</t>
        </is>
      </c>
      <c r="D944" s="4" t="inlineStr">
        <is>
          <t>Fortaleza</t>
        </is>
      </c>
      <c r="E944" s="4" t="inlineStr">
        <is>
          <t>CE</t>
        </is>
      </c>
      <c r="F944" s="4" t="inlineStr">
        <is>
          <t>Metrópoles</t>
        </is>
      </c>
      <c r="G944" s="4" t="inlineStr">
        <is>
          <t>Metrópole</t>
        </is>
      </c>
      <c r="H944" s="5">
        <f>IF(G944="fora do recorte","",SUMPRODUCT(($G$3:$G$1723=G944)*($A$3:$A$1723&lt;=A944)))</f>
        <v/>
      </c>
      <c r="I944" s="4">
        <f>IF(H944="","",G944&amp;"|"&amp;H944)</f>
        <v/>
      </c>
      <c r="J944" s="4" t="inlineStr">
        <is>
          <t>https://www.google.com/maps/search/?api=1&amp;query=J%26C%20Variedades&amp;query_place_id=ChIJsaGsnyFJxwcR0z4ffLpjNGc</t>
        </is>
      </c>
      <c r="K944" s="4" t="inlineStr">
        <is>
          <t>R. Gen. Sampaio, 668 - Centro, Fortaleza - CE, 60020-030, Brasil</t>
        </is>
      </c>
      <c r="L944" s="4" t="inlineStr">
        <is>
          <t>Fortaleza</t>
        </is>
      </c>
      <c r="M944" s="5" t="n">
        <v>1</v>
      </c>
    </row>
    <row r="945">
      <c r="A945" s="3">
        <f>RAND()</f>
        <v/>
      </c>
      <c r="B945" s="4" t="inlineStr">
        <is>
          <t>ChIJpd6kO-xIxwcRDV3Ucwnw_oc</t>
        </is>
      </c>
      <c r="C945" s="4" t="inlineStr">
        <is>
          <t>JRGAMES</t>
        </is>
      </c>
      <c r="D945" s="4" t="inlineStr">
        <is>
          <t>Fortaleza</t>
        </is>
      </c>
      <c r="E945" s="4" t="inlineStr">
        <is>
          <t>CE</t>
        </is>
      </c>
      <c r="F945" s="4" t="inlineStr">
        <is>
          <t>Metrópoles</t>
        </is>
      </c>
      <c r="G945" s="4" t="inlineStr">
        <is>
          <t>Metrópole</t>
        </is>
      </c>
      <c r="H945" s="5">
        <f>IF(G945="fora do recorte","",SUMPRODUCT(($G$3:$G$1723=G945)*($A$3:$A$1723&lt;=A945)))</f>
        <v/>
      </c>
      <c r="I945" s="4">
        <f>IF(H945="","",G945&amp;"|"&amp;H945)</f>
        <v/>
      </c>
      <c r="J945" s="4" t="inlineStr">
        <is>
          <t>https://www.google.com/maps/search/?api=1&amp;query=JRGAMES&amp;query_place_id=ChIJpd6kO-xIxwcRDV3Ucwnw_oc</t>
        </is>
      </c>
      <c r="K945" s="4" t="inlineStr">
        <is>
          <t>Iguatemi - Aldeota, Fortaleza - CE, 60811-341, Brasil</t>
        </is>
      </c>
      <c r="L945" s="4" t="inlineStr">
        <is>
          <t>Fortaleza</t>
        </is>
      </c>
      <c r="M945" s="5" t="n">
        <v>3</v>
      </c>
    </row>
    <row r="946">
      <c r="A946" s="3">
        <f>RAND()</f>
        <v/>
      </c>
      <c r="B946" s="4" t="inlineStr">
        <is>
          <t>ChIJlTAVLhZJxwcRCuaHGtXrDcs</t>
        </is>
      </c>
      <c r="C946" s="4" t="inlineStr">
        <is>
          <t>Kingmaker Boardgames</t>
        </is>
      </c>
      <c r="D946" s="4" t="inlineStr">
        <is>
          <t>Fortaleza</t>
        </is>
      </c>
      <c r="E946" s="4" t="inlineStr">
        <is>
          <t>CE</t>
        </is>
      </c>
      <c r="F946" s="4" t="inlineStr">
        <is>
          <t>Metrópoles</t>
        </is>
      </c>
      <c r="G946" s="4" t="inlineStr">
        <is>
          <t>Metrópole</t>
        </is>
      </c>
      <c r="H946" s="5">
        <f>IF(G946="fora do recorte","",SUMPRODUCT(($G$3:$G$1723=G946)*($A$3:$A$1723&lt;=A946)))</f>
        <v/>
      </c>
      <c r="I946" s="4">
        <f>IF(H946="","",G946&amp;"|"&amp;H946)</f>
        <v/>
      </c>
      <c r="J946" s="4" t="inlineStr">
        <is>
          <t>https://www.google.com/maps/search/?api=1&amp;query=Kingmaker%20Boardgames&amp;query_place_id=ChIJlTAVLhZJxwcRCuaHGtXrDcs</t>
        </is>
      </c>
      <c r="K946" s="4" t="inlineStr">
        <is>
          <t>R. Sen. Pompeu, 2920 - Benfica, Fortaleza - CE, 60025-002, Brasil</t>
        </is>
      </c>
      <c r="L946" s="4" t="inlineStr">
        <is>
          <t>Fortaleza</t>
        </is>
      </c>
      <c r="M946" s="5" t="n">
        <v>7</v>
      </c>
    </row>
    <row r="947">
      <c r="A947" s="3">
        <f>RAND()</f>
        <v/>
      </c>
      <c r="B947" s="4" t="inlineStr">
        <is>
          <t>ChIJ4ZrqWABNxwcRZpkHkF2e_tE</t>
        </is>
      </c>
      <c r="C947" s="4" t="inlineStr">
        <is>
          <t>Loc Fest - Locação de brinquedos</t>
        </is>
      </c>
      <c r="D947" s="4" t="inlineStr">
        <is>
          <t>Fortaleza</t>
        </is>
      </c>
      <c r="E947" s="4" t="inlineStr">
        <is>
          <t>CE</t>
        </is>
      </c>
      <c r="F947" s="4" t="inlineStr">
        <is>
          <t>Metrópoles</t>
        </is>
      </c>
      <c r="G947" s="4" t="inlineStr">
        <is>
          <t>Metrópole</t>
        </is>
      </c>
      <c r="H947" s="5">
        <f>IF(G947="fora do recorte","",SUMPRODUCT(($G$3:$G$1723=G947)*($A$3:$A$1723&lt;=A947)))</f>
        <v/>
      </c>
      <c r="I947" s="4">
        <f>IF(H947="","",G947&amp;"|"&amp;H947)</f>
        <v/>
      </c>
      <c r="J947" s="4" t="inlineStr">
        <is>
          <t>https://www.google.com/maps/search/?api=1&amp;query=Loc%20Fest%20-%20Loca%C3%A7%C3%A3o%20de%20brinquedos&amp;query_place_id=ChIJ4ZrqWABNxwcRZpkHkF2e_tE</t>
        </is>
      </c>
      <c r="K947" s="4" t="inlineStr">
        <is>
          <t>Rua Ribeiro Júnior, 229 - Jóquei Clube, Fortaleza - CE, 60520-020, Brasil</t>
        </is>
      </c>
      <c r="L947" s="4" t="inlineStr">
        <is>
          <t>Fortaleza</t>
        </is>
      </c>
      <c r="M947" s="5" t="n">
        <v>1</v>
      </c>
    </row>
    <row r="948">
      <c r="A948" s="3">
        <f>RAND()</f>
        <v/>
      </c>
      <c r="B948" s="4" t="inlineStr">
        <is>
          <t>ChIJ__-_Hu1PxwcRP9BFqxzYghQ</t>
        </is>
      </c>
      <c r="C948" s="4" t="inlineStr">
        <is>
          <t>Loucos por Games - Messejana - PS4, PS5, Xbox, Nintendo, PC Gamer, Assistência Técnica Videogames e Pc Gamer.</t>
        </is>
      </c>
      <c r="D948" s="4" t="inlineStr">
        <is>
          <t>Fortaleza</t>
        </is>
      </c>
      <c r="E948" s="4" t="inlineStr">
        <is>
          <t>CE</t>
        </is>
      </c>
      <c r="F948" s="4" t="inlineStr">
        <is>
          <t>Metrópoles</t>
        </is>
      </c>
      <c r="G948" s="4" t="inlineStr">
        <is>
          <t>Metrópole</t>
        </is>
      </c>
      <c r="H948" s="5">
        <f>IF(G948="fora do recorte","",SUMPRODUCT(($G$3:$G$1723=G948)*($A$3:$A$1723&lt;=A948)))</f>
        <v/>
      </c>
      <c r="I948" s="4">
        <f>IF(H948="","",G948&amp;"|"&amp;H948)</f>
        <v/>
      </c>
      <c r="J948" s="4" t="inlineStr">
        <is>
          <t>https://www.google.com/maps/search/?api=1&amp;query=Loucos%20por%20Games%20-%20Messejana%20-%20PS4%2C%20PS5%2C%20Xbox%2C%20Nintendo%2C%20PC%20Gamer%2C%20Assist%C3%AAncia%20T%C3%A9cnica%20Videogames%20e%20Pc%20Gamer.&amp;query_place_id=ChIJ__-_Hu1PxwcRP9BFqxzYghQ</t>
        </is>
      </c>
      <c r="K948" s="4" t="inlineStr">
        <is>
          <t>Av. Frei Cirilo, 3840 - Loja 38 - Messejana, Fortaleza - CE, 60840-285, Brasil</t>
        </is>
      </c>
      <c r="L948" s="4" t="inlineStr">
        <is>
          <t>Fortaleza</t>
        </is>
      </c>
      <c r="M948" s="5" t="n">
        <v>2</v>
      </c>
    </row>
    <row r="949">
      <c r="A949" s="3">
        <f>RAND()</f>
        <v/>
      </c>
      <c r="B949" s="4" t="inlineStr">
        <is>
          <t>ChIJZaPxBvRJxwcRZDfjrzdCKc8</t>
        </is>
      </c>
      <c r="C949" s="4" t="inlineStr">
        <is>
          <t>Loucos por Games - North Shopping Bezerra - PS4, PS5, Xbox, Nintendo, PC Gamer, Assistência Técnica Videogames e Pc Gamer.</t>
        </is>
      </c>
      <c r="D949" s="4" t="inlineStr">
        <is>
          <t>Fortaleza</t>
        </is>
      </c>
      <c r="E949" s="4" t="inlineStr">
        <is>
          <t>CE</t>
        </is>
      </c>
      <c r="F949" s="4" t="inlineStr">
        <is>
          <t>Metrópoles</t>
        </is>
      </c>
      <c r="G949" s="4" t="inlineStr">
        <is>
          <t>Metrópole</t>
        </is>
      </c>
      <c r="H949" s="5">
        <f>IF(G949="fora do recorte","",SUMPRODUCT(($G$3:$G$1723=G949)*($A$3:$A$1723&lt;=A949)))</f>
        <v/>
      </c>
      <c r="I949" s="4">
        <f>IF(H949="","",G949&amp;"|"&amp;H949)</f>
        <v/>
      </c>
      <c r="J949" s="4" t="inlineStr">
        <is>
          <t>https://www.google.com/maps/search/?api=1&amp;query=Loucos%20por%20Games%20-%20North%20Shopping%20Bezerra%20-%20PS4%2C%20PS5%2C%20Xbox%2C%20Nintendo%2C%20PC%20Gamer%2C%20Assist%C3%AAncia%20T%C3%A9cnica%20Videogames%20e%20Pc%20Gamer.&amp;query_place_id=ChIJZaPxBvRJxwcRZDfjrzdCKc8</t>
        </is>
      </c>
      <c r="K949" s="4" t="inlineStr">
        <is>
          <t>Av. Bezerra de Menezes, 450 - Lj 245 - São Gerardo, Fortaleza - CE, 60325-902, Brasil</t>
        </is>
      </c>
      <c r="L949" s="4" t="inlineStr">
        <is>
          <t>Fortaleza</t>
        </is>
      </c>
      <c r="M949" s="5" t="n">
        <v>1</v>
      </c>
    </row>
    <row r="950">
      <c r="A950" s="3">
        <f>RAND()</f>
        <v/>
      </c>
      <c r="B950" s="4" t="inlineStr">
        <is>
          <t>ChIJhz6MIwtNxwcRmCh0D8IgkVM</t>
        </is>
      </c>
      <c r="C950" s="4" t="inlineStr">
        <is>
          <t>Loucos por Games - North Shopping Joquei - PS4, PS5, Xbox, Nintendo, PC Gamer, Assistência Técnica Videogames e Pc Gamer.</t>
        </is>
      </c>
      <c r="D950" s="4" t="inlineStr">
        <is>
          <t>Fortaleza</t>
        </is>
      </c>
      <c r="E950" s="4" t="inlineStr">
        <is>
          <t>CE</t>
        </is>
      </c>
      <c r="F950" s="4" t="inlineStr">
        <is>
          <t>Metrópoles</t>
        </is>
      </c>
      <c r="G950" s="4" t="inlineStr">
        <is>
          <t>Metrópole</t>
        </is>
      </c>
      <c r="H950" s="5">
        <f>IF(G950="fora do recorte","",SUMPRODUCT(($G$3:$G$1723=G950)*($A$3:$A$1723&lt;=A950)))</f>
        <v/>
      </c>
      <c r="I950" s="4">
        <f>IF(H950="","",G950&amp;"|"&amp;H950)</f>
        <v/>
      </c>
      <c r="J950" s="4" t="inlineStr">
        <is>
          <t>https://www.google.com/maps/search/?api=1&amp;query=Loucos%20por%20Games%20-%20North%20Shopping%20Joquei%20-%20PS4%2C%20PS5%2C%20Xbox%2C%20Nintendo%2C%20PC%20Gamer%2C%20Assist%C3%AAncia%20T%C3%A9cnica%20Videogames%20e%20Pc%20Gamer.&amp;query_place_id=ChIJhz6MIwtNxwcRmCh0D8IgkVM</t>
        </is>
      </c>
      <c r="K950" s="4" t="inlineStr">
        <is>
          <t>Av. Lineu Machado, 419 - Lj 2078 - Jóquei, Fortaleza - CE, 60520-102, Brasil</t>
        </is>
      </c>
      <c r="L950" s="4" t="inlineStr">
        <is>
          <t>Fortaleza</t>
        </is>
      </c>
      <c r="M950" s="5" t="n">
        <v>1</v>
      </c>
    </row>
    <row r="951">
      <c r="A951" s="3">
        <f>RAND()</f>
        <v/>
      </c>
      <c r="B951" s="4" t="inlineStr">
        <is>
          <t>ChIJ0y9ONzVJxwcRuceoosBZVJE</t>
        </is>
      </c>
      <c r="C951" s="4" t="inlineStr">
        <is>
          <t>Loucos por Games - Riomar Kennedy - PS4, PS5, Xbox, Nintendo, PC Gamer, Assistência Técnica Videogames e Pc Gamer.</t>
        </is>
      </c>
      <c r="D951" s="4" t="inlineStr">
        <is>
          <t>Fortaleza</t>
        </is>
      </c>
      <c r="E951" s="4" t="inlineStr">
        <is>
          <t>CE</t>
        </is>
      </c>
      <c r="F951" s="4" t="inlineStr">
        <is>
          <t>Metrópoles</t>
        </is>
      </c>
      <c r="G951" s="4" t="inlineStr">
        <is>
          <t>Metrópole</t>
        </is>
      </c>
      <c r="H951" s="5">
        <f>IF(G951="fora do recorte","",SUMPRODUCT(($G$3:$G$1723=G951)*($A$3:$A$1723&lt;=A951)))</f>
        <v/>
      </c>
      <c r="I951" s="4">
        <f>IF(H951="","",G951&amp;"|"&amp;H951)</f>
        <v/>
      </c>
      <c r="J951" s="4" t="inlineStr">
        <is>
          <t>https://www.google.com/maps/search/?api=1&amp;query=Loucos%20por%20Games%20-%20Riomar%20Kennedy%20-%20PS4%2C%20PS5%2C%20Xbox%2C%20Nintendo%2C%20PC%20Gamer%2C%20Assist%C3%AAncia%20T%C3%A9cnica%20Videogames%20e%20Pc%20Gamer.&amp;query_place_id=ChIJ0y9ONzVJxwcRuceoosBZVJE</t>
        </is>
      </c>
      <c r="K951" s="4" t="inlineStr">
        <is>
          <t>2º Piso - Av. Srg. Hermínio Sampaio, 3100 - Lj 2113B - Presidente Kennedy, Fortaleza - CE, 60355-512, Brasil</t>
        </is>
      </c>
      <c r="L951" s="4" t="inlineStr">
        <is>
          <t>Fortaleza</t>
        </is>
      </c>
      <c r="M951" s="5" t="n">
        <v>1</v>
      </c>
    </row>
    <row r="952">
      <c r="A952" s="3">
        <f>RAND()</f>
        <v/>
      </c>
      <c r="B952" s="4" t="inlineStr">
        <is>
          <t>ChIJf8ySSKpHxwcR0Vki78LwTtM</t>
        </is>
      </c>
      <c r="C952" s="4" t="inlineStr">
        <is>
          <t>Loucos por Games - Via Sul Shopping -PS4, PS5, Xbox, Nintendo, PC Gamer, Assistência Técnica Videogames e Pc Gamer.</t>
        </is>
      </c>
      <c r="D952" s="4" t="inlineStr">
        <is>
          <t>Fortaleza</t>
        </is>
      </c>
      <c r="E952" s="4" t="inlineStr">
        <is>
          <t>CE</t>
        </is>
      </c>
      <c r="F952" s="4" t="inlineStr">
        <is>
          <t>Metrópoles</t>
        </is>
      </c>
      <c r="G952" s="4" t="inlineStr">
        <is>
          <t>Metrópole</t>
        </is>
      </c>
      <c r="H952" s="5">
        <f>IF(G952="fora do recorte","",SUMPRODUCT(($G$3:$G$1723=G952)*($A$3:$A$1723&lt;=A952)))</f>
        <v/>
      </c>
      <c r="I952" s="4">
        <f>IF(H952="","",G952&amp;"|"&amp;H952)</f>
        <v/>
      </c>
      <c r="J952" s="4" t="inlineStr">
        <is>
          <t>https://www.google.com/maps/search/?api=1&amp;query=Loucos%20por%20Games%20-%20Via%20Sul%20Shopping%20-PS4%2C%20PS5%2C%20Xbox%2C%20Nintendo%2C%20PC%20Gamer%2C%20Assist%C3%AAncia%20T%C3%A9cnica%20Videogames%20e%20Pc%20Gamer.&amp;query_place_id=ChIJf8ySSKpHxwcR0Vki78LwTtM</t>
        </is>
      </c>
      <c r="K952" s="4" t="inlineStr">
        <is>
          <t>Av. Washington Soares, 335 - Lj 313 - Sapiranga-Coité, Fortaleza - CE, 60833-005, Brasil</t>
        </is>
      </c>
      <c r="L952" s="4" t="inlineStr">
        <is>
          <t>Fortaleza</t>
        </is>
      </c>
      <c r="M952" s="5" t="n">
        <v>2</v>
      </c>
    </row>
    <row r="953">
      <c r="A953" s="3">
        <f>RAND()</f>
        <v/>
      </c>
      <c r="B953" s="4" t="inlineStr">
        <is>
          <t>ChIJvfzMDUhIxwcREnXd7Xo9uFE</t>
        </is>
      </c>
      <c r="C953" s="4" t="inlineStr">
        <is>
          <t>Lupus Bier</t>
        </is>
      </c>
      <c r="D953" s="4" t="inlineStr">
        <is>
          <t>Fortaleza</t>
        </is>
      </c>
      <c r="E953" s="4" t="inlineStr">
        <is>
          <t>CE</t>
        </is>
      </c>
      <c r="F953" s="4" t="inlineStr">
        <is>
          <t>Metrópoles</t>
        </is>
      </c>
      <c r="G953" s="4" t="inlineStr">
        <is>
          <t>Metrópole</t>
        </is>
      </c>
      <c r="H953" s="5">
        <f>IF(G953="fora do recorte","",SUMPRODUCT(($G$3:$G$1723=G953)*($A$3:$A$1723&lt;=A953)))</f>
        <v/>
      </c>
      <c r="I953" s="4">
        <f>IF(H953="","",G953&amp;"|"&amp;H953)</f>
        <v/>
      </c>
      <c r="J953" s="4" t="inlineStr">
        <is>
          <t>https://www.google.com/maps/search/?api=1&amp;query=Lupus%20Bier&amp;query_place_id=ChIJvfzMDUhIxwcREnXd7Xo9uFE</t>
        </is>
      </c>
      <c r="K953" s="4" t="inlineStr">
        <is>
          <t>R. dos Tabajaras, 340 - Praia de Iracema, Fortaleza - CE, 60060-510, Brasil</t>
        </is>
      </c>
      <c r="L953" s="4" t="inlineStr">
        <is>
          <t>Fortaleza</t>
        </is>
      </c>
      <c r="M953" s="5" t="n">
        <v>1</v>
      </c>
    </row>
    <row r="954">
      <c r="A954" s="3">
        <f>RAND()</f>
        <v/>
      </c>
      <c r="B954" s="4" t="inlineStr">
        <is>
          <t>ChIJzwRtwSFPxwcRXRop3SGwhLo</t>
        </is>
      </c>
      <c r="C954" s="4" t="inlineStr">
        <is>
          <t>Mansão Toretto</t>
        </is>
      </c>
      <c r="D954" s="4" t="inlineStr">
        <is>
          <t>Fortaleza</t>
        </is>
      </c>
      <c r="E954" s="4" t="inlineStr">
        <is>
          <t>CE</t>
        </is>
      </c>
      <c r="F954" s="4" t="inlineStr">
        <is>
          <t>Metrópoles</t>
        </is>
      </c>
      <c r="G954" s="4" t="inlineStr">
        <is>
          <t>Metrópole</t>
        </is>
      </c>
      <c r="H954" s="5">
        <f>IF(G954="fora do recorte","",SUMPRODUCT(($G$3:$G$1723=G954)*($A$3:$A$1723&lt;=A954)))</f>
        <v/>
      </c>
      <c r="I954" s="4">
        <f>IF(H954="","",G954&amp;"|"&amp;H954)</f>
        <v/>
      </c>
      <c r="J954" s="4" t="inlineStr">
        <is>
          <t>https://www.google.com/maps/search/?api=1&amp;query=Mans%C3%A3o%20Toretto&amp;query_place_id=ChIJzwRtwSFPxwcRXRop3SGwhLo</t>
        </is>
      </c>
      <c r="K954" s="4" t="inlineStr">
        <is>
          <t>R. 4 (Cj. Campo dos Inglêses), 288 - Jardim Cearense, Fortaleza - CE, 60860-528, Brasil</t>
        </is>
      </c>
      <c r="L954" s="4" t="inlineStr">
        <is>
          <t>Fortaleza</t>
        </is>
      </c>
      <c r="M954" s="5" t="n">
        <v>2</v>
      </c>
    </row>
    <row r="955">
      <c r="A955" s="3">
        <f>RAND()</f>
        <v/>
      </c>
      <c r="B955" s="4" t="inlineStr">
        <is>
          <t>ChIJjYPfGjJNxwcR-wzaCcZ25VA</t>
        </is>
      </c>
      <c r="C955" s="4" t="inlineStr">
        <is>
          <t>Master Poker</t>
        </is>
      </c>
      <c r="D955" s="4" t="inlineStr">
        <is>
          <t>Fortaleza</t>
        </is>
      </c>
      <c r="E955" s="4" t="inlineStr">
        <is>
          <t>CE</t>
        </is>
      </c>
      <c r="F955" s="4" t="inlineStr">
        <is>
          <t>Metrópoles</t>
        </is>
      </c>
      <c r="G955" s="4" t="inlineStr">
        <is>
          <t>Metrópole</t>
        </is>
      </c>
      <c r="H955" s="5">
        <f>IF(G955="fora do recorte","",SUMPRODUCT(($G$3:$G$1723=G955)*($A$3:$A$1723&lt;=A955)))</f>
        <v/>
      </c>
      <c r="I955" s="4">
        <f>IF(H955="","",G955&amp;"|"&amp;H955)</f>
        <v/>
      </c>
      <c r="J955" s="4" t="inlineStr">
        <is>
          <t>https://www.google.com/maps/search/?api=1&amp;query=Master%20Poker&amp;query_place_id=ChIJjYPfGjJNxwcR-wzaCcZ25VA</t>
        </is>
      </c>
      <c r="K955" s="4" t="inlineStr">
        <is>
          <t>R. João Gentil - Granja Lisboa, Fortaleza - CE, 60540-050, Brasil</t>
        </is>
      </c>
      <c r="L955" s="4" t="inlineStr">
        <is>
          <t>Fortaleza</t>
        </is>
      </c>
      <c r="M955" s="5" t="n">
        <v>1</v>
      </c>
    </row>
    <row r="956">
      <c r="A956" s="3">
        <f>RAND()</f>
        <v/>
      </c>
      <c r="B956" s="4" t="inlineStr">
        <is>
          <t>ChIJ2e6AJgBJxwcRN3zE9-WnEmc</t>
        </is>
      </c>
      <c r="C956" s="4" t="inlineStr">
        <is>
          <t>Mestre Sussa</t>
        </is>
      </c>
      <c r="D956" s="4" t="inlineStr">
        <is>
          <t>Fortaleza</t>
        </is>
      </c>
      <c r="E956" s="4" t="inlineStr">
        <is>
          <t>CE</t>
        </is>
      </c>
      <c r="F956" s="4" t="inlineStr">
        <is>
          <t>Metrópoles</t>
        </is>
      </c>
      <c r="G956" s="4" t="inlineStr">
        <is>
          <t>Metrópole</t>
        </is>
      </c>
      <c r="H956" s="5">
        <f>IF(G956="fora do recorte","",SUMPRODUCT(($G$3:$G$1723=G956)*($A$3:$A$1723&lt;=A956)))</f>
        <v/>
      </c>
      <c r="I956" s="4">
        <f>IF(H956="","",G956&amp;"|"&amp;H956)</f>
        <v/>
      </c>
      <c r="J956" s="4" t="inlineStr">
        <is>
          <t>https://www.google.com/maps/search/?api=1&amp;query=Mestre%20Sussa&amp;query_place_id=ChIJ2e6AJgBJxwcRN3zE9-WnEmc</t>
        </is>
      </c>
      <c r="K956" s="4" t="inlineStr">
        <is>
          <t>Av. Beira Mar, 3222 - Meireles, Fortaleza - CE, 60165-121, Brasil</t>
        </is>
      </c>
      <c r="L956" s="4" t="inlineStr">
        <is>
          <t>Fortaleza</t>
        </is>
      </c>
      <c r="M956" s="5" t="n">
        <v>1</v>
      </c>
    </row>
    <row r="957">
      <c r="A957" s="3">
        <f>RAND()</f>
        <v/>
      </c>
      <c r="B957" s="4" t="inlineStr">
        <is>
          <t>ChIJN-RCGj1FxwcRjMgvUvzIM0A</t>
        </is>
      </c>
      <c r="C957" s="4" t="inlineStr">
        <is>
          <t>Mezuzá</t>
        </is>
      </c>
      <c r="D957" s="4" t="inlineStr">
        <is>
          <t>Fortaleza</t>
        </is>
      </c>
      <c r="E957" s="4" t="inlineStr">
        <is>
          <t>CE</t>
        </is>
      </c>
      <c r="F957" s="4" t="inlineStr">
        <is>
          <t>Metrópoles</t>
        </is>
      </c>
      <c r="G957" s="4" t="inlineStr">
        <is>
          <t>Metrópole</t>
        </is>
      </c>
      <c r="H957" s="5">
        <f>IF(G957="fora do recorte","",SUMPRODUCT(($G$3:$G$1723=G957)*($A$3:$A$1723&lt;=A957)))</f>
        <v/>
      </c>
      <c r="I957" s="4">
        <f>IF(H957="","",G957&amp;"|"&amp;H957)</f>
        <v/>
      </c>
      <c r="J957" s="4" t="inlineStr">
        <is>
          <t>https://www.google.com/maps/search/?api=1&amp;query=Mezuz%C3%A1&amp;query_place_id=ChIJN-RCGj1FxwcRjMgvUvzIM0A</t>
        </is>
      </c>
      <c r="K957" s="4" t="inlineStr">
        <is>
          <t>Rua Professor Solon Farias - Sapiranga-Coité, Fortaleza - CE, 60822-210, Brasil</t>
        </is>
      </c>
      <c r="L957" s="4" t="inlineStr">
        <is>
          <t>Fortaleza</t>
        </is>
      </c>
      <c r="M957" s="5" t="n">
        <v>4</v>
      </c>
    </row>
    <row r="958">
      <c r="A958" s="3">
        <f>RAND()</f>
        <v/>
      </c>
      <c r="B958" s="4" t="inlineStr">
        <is>
          <t>ChIJs03GzbBPxwcRoVDXbnq6vJs</t>
        </is>
      </c>
      <c r="C958" s="4" t="inlineStr">
        <is>
          <t>Nerds a Bordo</t>
        </is>
      </c>
      <c r="D958" s="4" t="inlineStr">
        <is>
          <t>Fortaleza</t>
        </is>
      </c>
      <c r="E958" s="4" t="inlineStr">
        <is>
          <t>CE</t>
        </is>
      </c>
      <c r="F958" s="4" t="inlineStr">
        <is>
          <t>Metrópoles</t>
        </is>
      </c>
      <c r="G958" s="4" t="inlineStr">
        <is>
          <t>Metrópole</t>
        </is>
      </c>
      <c r="H958" s="5">
        <f>IF(G958="fora do recorte","",SUMPRODUCT(($G$3:$G$1723=G958)*($A$3:$A$1723&lt;=A958)))</f>
        <v/>
      </c>
      <c r="I958" s="4">
        <f>IF(H958="","",G958&amp;"|"&amp;H958)</f>
        <v/>
      </c>
      <c r="J958" s="4" t="inlineStr">
        <is>
          <t>https://www.google.com/maps/search/?api=1&amp;query=Nerds%20a%20Bordo&amp;query_place_id=ChIJs03GzbBPxwcRoVDXbnq6vJs</t>
        </is>
      </c>
      <c r="K958" s="4" t="inlineStr">
        <is>
          <t>Maraponga, Fortaleza - CE, 60712-165, Brasil</t>
        </is>
      </c>
      <c r="L958" s="4" t="inlineStr">
        <is>
          <t>Fortaleza</t>
        </is>
      </c>
      <c r="M958" s="5" t="n">
        <v>10</v>
      </c>
    </row>
    <row r="959">
      <c r="A959" s="3">
        <f>RAND()</f>
        <v/>
      </c>
      <c r="B959" s="4" t="inlineStr">
        <is>
          <t>ChIJ4eEA6MFIxwcRUyttEYq0Hq0</t>
        </is>
      </c>
      <c r="C959" s="4" t="inlineStr">
        <is>
          <t>Neuda Papelaria e Variedades</t>
        </is>
      </c>
      <c r="D959" s="4" t="inlineStr">
        <is>
          <t>Fortaleza</t>
        </is>
      </c>
      <c r="E959" s="4" t="inlineStr">
        <is>
          <t>CE</t>
        </is>
      </c>
      <c r="F959" s="4" t="inlineStr">
        <is>
          <t>Metrópoles</t>
        </is>
      </c>
      <c r="G959" s="4" t="inlineStr">
        <is>
          <t>Metrópole</t>
        </is>
      </c>
      <c r="H959" s="5">
        <f>IF(G959="fora do recorte","",SUMPRODUCT(($G$3:$G$1723=G959)*($A$3:$A$1723&lt;=A959)))</f>
        <v/>
      </c>
      <c r="I959" s="4">
        <f>IF(H959="","",G959&amp;"|"&amp;H959)</f>
        <v/>
      </c>
      <c r="J959" s="4" t="inlineStr">
        <is>
          <t>https://www.google.com/maps/search/?api=1&amp;query=Neuda%20Papelaria%20e%20Variedades&amp;query_place_id=ChIJ4eEA6MFIxwcRUyttEYq0Hq0</t>
        </is>
      </c>
      <c r="K959" s="4" t="inlineStr">
        <is>
          <t>Av. Pontes Vieira, 1320 - Tauape, Fortaleza - CE, 60130-240, Brasil</t>
        </is>
      </c>
      <c r="L959" s="4" t="inlineStr">
        <is>
          <t>Fortaleza</t>
        </is>
      </c>
      <c r="M959" s="5" t="n">
        <v>1</v>
      </c>
    </row>
    <row r="960">
      <c r="A960" s="3">
        <f>RAND()</f>
        <v/>
      </c>
      <c r="B960" s="4" t="inlineStr">
        <is>
          <t>ChIJdfwwiENJxwcR5ptlmQyTrGE</t>
        </is>
      </c>
      <c r="C960" s="4" t="inlineStr">
        <is>
          <t>Nomads Pub e Food</t>
        </is>
      </c>
      <c r="D960" s="4" t="inlineStr">
        <is>
          <t>Fortaleza</t>
        </is>
      </c>
      <c r="E960" s="4" t="inlineStr">
        <is>
          <t>CE</t>
        </is>
      </c>
      <c r="F960" s="4" t="inlineStr">
        <is>
          <t>Metrópoles</t>
        </is>
      </c>
      <c r="G960" s="4" t="inlineStr">
        <is>
          <t>Metrópole</t>
        </is>
      </c>
      <c r="H960" s="5">
        <f>IF(G960="fora do recorte","",SUMPRODUCT(($G$3:$G$1723=G960)*($A$3:$A$1723&lt;=A960)))</f>
        <v/>
      </c>
      <c r="I960" s="4">
        <f>IF(H960="","",G960&amp;"|"&amp;H960)</f>
        <v/>
      </c>
      <c r="J960" s="4" t="inlineStr">
        <is>
          <t>https://www.google.com/maps/search/?api=1&amp;query=Nomads%20Pub%20e%20Food&amp;query_place_id=ChIJdfwwiENJxwcR5ptlmQyTrGE</t>
        </is>
      </c>
      <c r="K960" s="4" t="inlineStr">
        <is>
          <t>Rua Padre Francisco Pinto, 114 - Benfica, Fortaleza - CE, 60020-290, Brasil</t>
        </is>
      </c>
      <c r="L960" s="4" t="inlineStr">
        <is>
          <t>Fortaleza</t>
        </is>
      </c>
      <c r="M960" s="5" t="n">
        <v>1</v>
      </c>
    </row>
    <row r="961">
      <c r="A961" s="3">
        <f>RAND()</f>
        <v/>
      </c>
      <c r="B961" s="4" t="inlineStr">
        <is>
          <t>ChIJL4qPsG9IxwcRKaSEJ1sxOjQ</t>
        </is>
      </c>
      <c r="C961" s="4" t="inlineStr">
        <is>
          <t>Piadaria | O Melhor Show De Humor Em Fortaleza</t>
        </is>
      </c>
      <c r="D961" s="4" t="inlineStr">
        <is>
          <t>Fortaleza</t>
        </is>
      </c>
      <c r="E961" s="4" t="inlineStr">
        <is>
          <t>CE</t>
        </is>
      </c>
      <c r="F961" s="4" t="inlineStr">
        <is>
          <t>Metrópoles</t>
        </is>
      </c>
      <c r="G961" s="4" t="inlineStr">
        <is>
          <t>Metrópole</t>
        </is>
      </c>
      <c r="H961" s="5">
        <f>IF(G961="fora do recorte","",SUMPRODUCT(($G$3:$G$1723=G961)*($A$3:$A$1723&lt;=A961)))</f>
        <v/>
      </c>
      <c r="I961" s="4">
        <f>IF(H961="","",G961&amp;"|"&amp;H961)</f>
        <v/>
      </c>
      <c r="J961" s="4" t="inlineStr">
        <is>
          <t>https://www.google.com/maps/search/?api=1&amp;query=Piadaria%20%7C%20O%20Melhor%20Show%20De%20Humor%20Em%20Fortaleza&amp;query_place_id=ChIJL4qPsG9IxwcRKaSEJ1sxOjQ</t>
        </is>
      </c>
      <c r="K961" s="4" t="inlineStr">
        <is>
          <t>Beira Mar Trade Center - R. Osvaldo Cruz, 01 - Loja 02 - Meireles, Fortaleza - CE, 60125-151, Brasil</t>
        </is>
      </c>
      <c r="L961" s="4" t="inlineStr">
        <is>
          <t>Fortaleza</t>
        </is>
      </c>
      <c r="M961" s="5" t="n">
        <v>1</v>
      </c>
    </row>
    <row r="962">
      <c r="A962" s="3">
        <f>RAND()</f>
        <v/>
      </c>
      <c r="B962" s="4" t="inlineStr">
        <is>
          <t>ChIJNVZ9yppJxwcRlYALJc5T0j4</t>
        </is>
      </c>
      <c r="C962" s="4" t="inlineStr">
        <is>
          <t>Pirata Bar</t>
        </is>
      </c>
      <c r="D962" s="4" t="inlineStr">
        <is>
          <t>Fortaleza</t>
        </is>
      </c>
      <c r="E962" s="4" t="inlineStr">
        <is>
          <t>CE</t>
        </is>
      </c>
      <c r="F962" s="4" t="inlineStr">
        <is>
          <t>Metrópoles</t>
        </is>
      </c>
      <c r="G962" s="4" t="inlineStr">
        <is>
          <t>Metrópole</t>
        </is>
      </c>
      <c r="H962" s="5">
        <f>IF(G962="fora do recorte","",SUMPRODUCT(($G$3:$G$1723=G962)*($A$3:$A$1723&lt;=A962)))</f>
        <v/>
      </c>
      <c r="I962" s="4">
        <f>IF(H962="","",G962&amp;"|"&amp;H962)</f>
        <v/>
      </c>
      <c r="J962" s="4" t="inlineStr">
        <is>
          <t>https://www.google.com/maps/search/?api=1&amp;query=Pirata%20Bar&amp;query_place_id=ChIJNVZ9yppJxwcRlYALJc5T0j4</t>
        </is>
      </c>
      <c r="K962" s="4" t="inlineStr">
        <is>
          <t>R. dos Tabajaras, 325 - Praia de Iracema, Fortaleza - CE, 60060-510, Brasil</t>
        </is>
      </c>
      <c r="L962" s="4" t="inlineStr">
        <is>
          <t>Fortaleza</t>
        </is>
      </c>
      <c r="M962" s="5" t="n">
        <v>2</v>
      </c>
    </row>
    <row r="963">
      <c r="A963" s="3">
        <f>RAND()</f>
        <v/>
      </c>
      <c r="B963" s="4" t="inlineStr">
        <is>
          <t>ChIJN1CQUH5JxwcR5RJbouX65_Y</t>
        </is>
      </c>
      <c r="C963" s="4" t="inlineStr">
        <is>
          <t>Poppe Games | Loja de Videogames e Artigos de Jogos</t>
        </is>
      </c>
      <c r="D963" s="4" t="inlineStr">
        <is>
          <t>Fortaleza</t>
        </is>
      </c>
      <c r="E963" s="4" t="inlineStr">
        <is>
          <t>CE</t>
        </is>
      </c>
      <c r="F963" s="4" t="inlineStr">
        <is>
          <t>Metrópoles</t>
        </is>
      </c>
      <c r="G963" s="4" t="inlineStr">
        <is>
          <t>Metrópole</t>
        </is>
      </c>
      <c r="H963" s="5">
        <f>IF(G963="fora do recorte","",SUMPRODUCT(($G$3:$G$1723=G963)*($A$3:$A$1723&lt;=A963)))</f>
        <v/>
      </c>
      <c r="I963" s="4">
        <f>IF(H963="","",G963&amp;"|"&amp;H963)</f>
        <v/>
      </c>
      <c r="J963" s="4" t="inlineStr">
        <is>
          <t>https://www.google.com/maps/search/?api=1&amp;query=Poppe%20Games%20%7C%20Loja%20de%20Videogames%20e%20Artigos%20de%20Jogos&amp;query_place_id=ChIJN1CQUH5JxwcR5RJbouX65_Y</t>
        </is>
      </c>
      <c r="K963" s="4" t="inlineStr">
        <is>
          <t>Av. Bezerra de Menezes, 2510 - Lj 10 - São Gerardo, Fortaleza - CE, 60325-902, Brasil</t>
        </is>
      </c>
      <c r="L963" s="4" t="inlineStr">
        <is>
          <t>Fortaleza</t>
        </is>
      </c>
      <c r="M963" s="5" t="n">
        <v>2</v>
      </c>
    </row>
    <row r="964">
      <c r="A964" s="3">
        <f>RAND()</f>
        <v/>
      </c>
      <c r="B964" s="4" t="inlineStr">
        <is>
          <t>ChIJQ16a-_RFxwcRHvNLAXXnKHo</t>
        </is>
      </c>
      <c r="C964" s="4" t="inlineStr">
        <is>
          <t>Power Games FILIAL - W.Soares</t>
        </is>
      </c>
      <c r="D964" s="4" t="inlineStr">
        <is>
          <t>Fortaleza</t>
        </is>
      </c>
      <c r="E964" s="4" t="inlineStr">
        <is>
          <t>CE</t>
        </is>
      </c>
      <c r="F964" s="4" t="inlineStr">
        <is>
          <t>Metrópoles</t>
        </is>
      </c>
      <c r="G964" s="4" t="inlineStr">
        <is>
          <t>Metrópole</t>
        </is>
      </c>
      <c r="H964" s="5">
        <f>IF(G964="fora do recorte","",SUMPRODUCT(($G$3:$G$1723=G964)*($A$3:$A$1723&lt;=A964)))</f>
        <v/>
      </c>
      <c r="I964" s="4">
        <f>IF(H964="","",G964&amp;"|"&amp;H964)</f>
        <v/>
      </c>
      <c r="J964" s="4" t="inlineStr">
        <is>
          <t>https://www.google.com/maps/search/?api=1&amp;query=Power%20Games%20FILIAL%20-%20W.Soares&amp;query_place_id=ChIJQ16a-_RFxwcRHvNLAXXnKHo</t>
        </is>
      </c>
      <c r="K964" s="4" t="inlineStr">
        <is>
          <t>Av. Washington Soares, 3000 - Loja 41 - Engenheiro Luciano Cavalcante, Fortaleza - CE, 60811-341, Brasil</t>
        </is>
      </c>
      <c r="L964" s="4" t="inlineStr">
        <is>
          <t>Fortaleza</t>
        </is>
      </c>
      <c r="M964" s="5" t="n">
        <v>2</v>
      </c>
    </row>
    <row r="965">
      <c r="A965" s="3">
        <f>RAND()</f>
        <v/>
      </c>
      <c r="B965" s="4" t="inlineStr">
        <is>
          <t>ChIJvw-FWIlFxwcRSDuLMm65KxI</t>
        </is>
      </c>
      <c r="C965" s="4" t="inlineStr">
        <is>
          <t>Power Games Matriz</t>
        </is>
      </c>
      <c r="D965" s="4" t="inlineStr">
        <is>
          <t>Fortaleza</t>
        </is>
      </c>
      <c r="E965" s="4" t="inlineStr">
        <is>
          <t>CE</t>
        </is>
      </c>
      <c r="F965" s="4" t="inlineStr">
        <is>
          <t>Metrópoles</t>
        </is>
      </c>
      <c r="G965" s="4" t="inlineStr">
        <is>
          <t>Metrópole</t>
        </is>
      </c>
      <c r="H965" s="5">
        <f>IF(G965="fora do recorte","",SUMPRODUCT(($G$3:$G$1723=G965)*($A$3:$A$1723&lt;=A965)))</f>
        <v/>
      </c>
      <c r="I965" s="4">
        <f>IF(H965="","",G965&amp;"|"&amp;H965)</f>
        <v/>
      </c>
      <c r="J965" s="4" t="inlineStr">
        <is>
          <t>https://www.google.com/maps/search/?api=1&amp;query=Power%20Games%20Matriz&amp;query_place_id=ChIJvw-FWIlFxwcRSDuLMm65KxI</t>
        </is>
      </c>
      <c r="K965" s="4" t="inlineStr">
        <is>
          <t>R. Dr. Gilberto Studart, 155 - Lj 26 - Cocó, Fortaleza - CE, 60190-750, Brasil</t>
        </is>
      </c>
      <c r="L965" s="4" t="inlineStr">
        <is>
          <t>Fortaleza</t>
        </is>
      </c>
      <c r="M965" s="5" t="n">
        <v>2</v>
      </c>
    </row>
    <row r="966">
      <c r="A966" s="3">
        <f>RAND()</f>
        <v/>
      </c>
      <c r="B966" s="4" t="inlineStr">
        <is>
          <t>ChIJy9s6rA1JxwcR2ZFE4y9mcpU</t>
        </is>
      </c>
      <c r="C966" s="4" t="inlineStr">
        <is>
          <t>R.v brinquedos</t>
        </is>
      </c>
      <c r="D966" s="4" t="inlineStr">
        <is>
          <t>Fortaleza</t>
        </is>
      </c>
      <c r="E966" s="4" t="inlineStr">
        <is>
          <t>CE</t>
        </is>
      </c>
      <c r="F966" s="4" t="inlineStr">
        <is>
          <t>Metrópoles</t>
        </is>
      </c>
      <c r="G966" s="4" t="inlineStr">
        <is>
          <t>Metrópole</t>
        </is>
      </c>
      <c r="H966" s="5">
        <f>IF(G966="fora do recorte","",SUMPRODUCT(($G$3:$G$1723=G966)*($A$3:$A$1723&lt;=A966)))</f>
        <v/>
      </c>
      <c r="I966" s="4">
        <f>IF(H966="","",G966&amp;"|"&amp;H966)</f>
        <v/>
      </c>
      <c r="J966" s="4" t="inlineStr">
        <is>
          <t>https://www.google.com/maps/search/?api=1&amp;query=R.v%20brinquedos&amp;query_place_id=ChIJy9s6rA1JxwcR2ZFE4y9mcpU</t>
        </is>
      </c>
      <c r="K966" s="4" t="inlineStr">
        <is>
          <t>R. Carlos Câmara, 1739 - Jardim América, Fortaleza - CE, 60040-531, Brasil</t>
        </is>
      </c>
      <c r="L966" s="4" t="inlineStr">
        <is>
          <t>Fortaleza</t>
        </is>
      </c>
      <c r="M966" s="5" t="n">
        <v>1</v>
      </c>
    </row>
    <row r="967">
      <c r="A967" s="3">
        <f>RAND()</f>
        <v/>
      </c>
      <c r="B967" s="4" t="inlineStr">
        <is>
          <t>ChIJtUyQw6ZIxwcRFQVmvfG7eMM</t>
        </is>
      </c>
      <c r="C967" s="4" t="inlineStr">
        <is>
          <t>RI HAPPY IGUATEMI FORTALEZA</t>
        </is>
      </c>
      <c r="D967" s="4" t="inlineStr">
        <is>
          <t>Fortaleza</t>
        </is>
      </c>
      <c r="E967" s="4" t="inlineStr">
        <is>
          <t>CE</t>
        </is>
      </c>
      <c r="F967" s="4" t="inlineStr">
        <is>
          <t>Metrópoles</t>
        </is>
      </c>
      <c r="G967" s="4" t="inlineStr">
        <is>
          <t>Metrópole</t>
        </is>
      </c>
      <c r="H967" s="5">
        <f>IF(G967="fora do recorte","",SUMPRODUCT(($G$3:$G$1723=G967)*($A$3:$A$1723&lt;=A967)))</f>
        <v/>
      </c>
      <c r="I967" s="4">
        <f>IF(H967="","",G967&amp;"|"&amp;H967)</f>
        <v/>
      </c>
      <c r="J967" s="4" t="inlineStr">
        <is>
          <t>https://www.google.com/maps/search/?api=1&amp;query=RI%20HAPPY%20IGUATEMI%20FORTALEZA&amp;query_place_id=ChIJtUyQw6ZIxwcRFQVmvfG7eMM</t>
        </is>
      </c>
      <c r="K967" s="4" t="inlineStr">
        <is>
          <t>Avenida Washington Soares, 85 Suc´s 230/A: 231/ A - Edson Queiroz, Fortaleza - CE, 60810-060, Brasil</t>
        </is>
      </c>
      <c r="L967" s="4" t="inlineStr">
        <is>
          <t>Fortaleza</t>
        </is>
      </c>
      <c r="M967" s="5" t="n">
        <v>1</v>
      </c>
    </row>
    <row r="968">
      <c r="A968" s="3">
        <f>RAND()</f>
        <v/>
      </c>
      <c r="B968" s="4" t="inlineStr">
        <is>
          <t>ChIJTwniujxHxwcR5sSBECd-9dU</t>
        </is>
      </c>
      <c r="C968" s="4" t="inlineStr">
        <is>
          <t>RPG A Queda de Agatha</t>
        </is>
      </c>
      <c r="D968" s="4" t="inlineStr">
        <is>
          <t>Fortaleza</t>
        </is>
      </c>
      <c r="E968" s="4" t="inlineStr">
        <is>
          <t>CE</t>
        </is>
      </c>
      <c r="F968" s="4" t="inlineStr">
        <is>
          <t>Metrópoles</t>
        </is>
      </c>
      <c r="G968" s="4" t="inlineStr">
        <is>
          <t>Metrópole</t>
        </is>
      </c>
      <c r="H968" s="5">
        <f>IF(G968="fora do recorte","",SUMPRODUCT(($G$3:$G$1723=G968)*($A$3:$A$1723&lt;=A968)))</f>
        <v/>
      </c>
      <c r="I968" s="4">
        <f>IF(H968="","",G968&amp;"|"&amp;H968)</f>
        <v/>
      </c>
      <c r="J968" s="4" t="inlineStr">
        <is>
          <t>https://www.google.com/maps/search/?api=1&amp;query=RPG%20A%20Queda%20de%20Agatha&amp;query_place_id=ChIJTwniujxHxwcR5sSBECd-9dU</t>
        </is>
      </c>
      <c r="K968" s="4" t="inlineStr">
        <is>
          <t>Lugaar Nenhum - De Lourdes, Fortaleza - CE, 60177-240, Brasil</t>
        </is>
      </c>
      <c r="L968" s="4" t="inlineStr">
        <is>
          <t>Fortaleza</t>
        </is>
      </c>
      <c r="M968" s="5" t="n">
        <v>1</v>
      </c>
    </row>
    <row r="969">
      <c r="A969" s="3">
        <f>RAND()</f>
        <v/>
      </c>
      <c r="B969" s="4" t="inlineStr">
        <is>
          <t>ChIJbw_kz8pJxwcRpkQDVPNJ9Vc</t>
        </is>
      </c>
      <c r="C969" s="4" t="inlineStr">
        <is>
          <t>Radar Pub</t>
        </is>
      </c>
      <c r="D969" s="4" t="inlineStr">
        <is>
          <t>Fortaleza</t>
        </is>
      </c>
      <c r="E969" s="4" t="inlineStr">
        <is>
          <t>CE</t>
        </is>
      </c>
      <c r="F969" s="4" t="inlineStr">
        <is>
          <t>Metrópoles</t>
        </is>
      </c>
      <c r="G969" s="4" t="inlineStr">
        <is>
          <t>Metrópole</t>
        </is>
      </c>
      <c r="H969" s="5">
        <f>IF(G969="fora do recorte","",SUMPRODUCT(($G$3:$G$1723=G969)*($A$3:$A$1723&lt;=A969)))</f>
        <v/>
      </c>
      <c r="I969" s="4">
        <f>IF(H969="","",G969&amp;"|"&amp;H969)</f>
        <v/>
      </c>
      <c r="J969" s="4" t="inlineStr">
        <is>
          <t>https://www.google.com/maps/search/?api=1&amp;query=Radar%20Pub&amp;query_place_id=ChIJbw_kz8pJxwcRpkQDVPNJ9Vc</t>
        </is>
      </c>
      <c r="K969" s="4" t="inlineStr">
        <is>
          <t>R. Carlos Vasconcelos, 834 - Meireles, Fortaleza - CE, 60115-170, Brasil</t>
        </is>
      </c>
      <c r="L969" s="4" t="inlineStr">
        <is>
          <t>Fortaleza</t>
        </is>
      </c>
      <c r="M969" s="5" t="n">
        <v>1</v>
      </c>
    </row>
    <row r="970">
      <c r="A970" s="3">
        <f>RAND()</f>
        <v/>
      </c>
      <c r="B970" s="4" t="inlineStr">
        <is>
          <t>ChIJIyD7-BpJxwcRujtPCyXsw3A</t>
        </is>
      </c>
      <c r="C970" s="4" t="inlineStr">
        <is>
          <t>Reboot Comic Store</t>
        </is>
      </c>
      <c r="D970" s="4" t="inlineStr">
        <is>
          <t>Fortaleza</t>
        </is>
      </c>
      <c r="E970" s="4" t="inlineStr">
        <is>
          <t>CE</t>
        </is>
      </c>
      <c r="F970" s="4" t="inlineStr">
        <is>
          <t>Metrópoles</t>
        </is>
      </c>
      <c r="G970" s="4" t="inlineStr">
        <is>
          <t>Metrópole</t>
        </is>
      </c>
      <c r="H970" s="5">
        <f>IF(G970="fora do recorte","",SUMPRODUCT(($G$3:$G$1723=G970)*($A$3:$A$1723&lt;=A970)))</f>
        <v/>
      </c>
      <c r="I970" s="4">
        <f>IF(H970="","",G970&amp;"|"&amp;H970)</f>
        <v/>
      </c>
      <c r="J970" s="4" t="inlineStr">
        <is>
          <t>https://www.google.com/maps/search/?api=1&amp;query=Reboot%20Comic%20Store&amp;query_place_id=ChIJIyD7-BpJxwcRujtPCyXsw3A</t>
        </is>
      </c>
      <c r="K970" s="4" t="inlineStr">
        <is>
          <t>Av. Carapinima, 2200 - Lj 127 - Terreo - Benfica, Fortaleza - CE, 60015-290, Brasil</t>
        </is>
      </c>
      <c r="L970" s="4" t="inlineStr">
        <is>
          <t>Fortaleza</t>
        </is>
      </c>
      <c r="M970" s="5" t="n">
        <v>6</v>
      </c>
    </row>
    <row r="971">
      <c r="A971" s="3">
        <f>RAND()</f>
        <v/>
      </c>
      <c r="B971" s="4" t="inlineStr">
        <is>
          <t>ChIJg8nBQmtJxwcRNmLMketFjys</t>
        </is>
      </c>
      <c r="C971" s="4" t="inlineStr">
        <is>
          <t>Redzone Cards e Games</t>
        </is>
      </c>
      <c r="D971" s="4" t="inlineStr">
        <is>
          <t>Fortaleza</t>
        </is>
      </c>
      <c r="E971" s="4" t="inlineStr">
        <is>
          <t>CE</t>
        </is>
      </c>
      <c r="F971" s="4" t="inlineStr">
        <is>
          <t>Metrópoles</t>
        </is>
      </c>
      <c r="G971" s="4" t="inlineStr">
        <is>
          <t>Metrópole</t>
        </is>
      </c>
      <c r="H971" s="5">
        <f>IF(G971="fora do recorte","",SUMPRODUCT(($G$3:$G$1723=G971)*($A$3:$A$1723&lt;=A971)))</f>
        <v/>
      </c>
      <c r="I971" s="4">
        <f>IF(H971="","",G971&amp;"|"&amp;H971)</f>
        <v/>
      </c>
      <c r="J971" s="4" t="inlineStr">
        <is>
          <t>https://www.google.com/maps/search/?api=1&amp;query=Redzone%20Cards%20e%20Games&amp;query_place_id=ChIJg8nBQmtJxwcRNmLMketFjys</t>
        </is>
      </c>
      <c r="K971" s="4" t="inlineStr">
        <is>
          <t>Av. Edilson Brasil Soares, 770 - Segundo piso, Sala 3 - Edson Queiroz, Fortaleza - CE, 60821-775, Brasil</t>
        </is>
      </c>
      <c r="L971" s="4" t="inlineStr">
        <is>
          <t>Fortaleza</t>
        </is>
      </c>
      <c r="M971" s="5" t="n">
        <v>7</v>
      </c>
    </row>
    <row r="972">
      <c r="A972" s="3">
        <f>RAND()</f>
        <v/>
      </c>
      <c r="B972" s="4" t="inlineStr">
        <is>
          <t>ChIJs8NH6jtPxwcRYsvQ8e4vGiI</t>
        </is>
      </c>
      <c r="C972" s="4" t="inlineStr">
        <is>
          <t>Sentinela Boardgames</t>
        </is>
      </c>
      <c r="D972" s="4" t="inlineStr">
        <is>
          <t>Fortaleza</t>
        </is>
      </c>
      <c r="E972" s="4" t="inlineStr">
        <is>
          <t>CE</t>
        </is>
      </c>
      <c r="F972" s="4" t="inlineStr">
        <is>
          <t>Metrópoles</t>
        </is>
      </c>
      <c r="G972" s="4" t="inlineStr">
        <is>
          <t>Metrópole</t>
        </is>
      </c>
      <c r="H972" s="5">
        <f>IF(G972="fora do recorte","",SUMPRODUCT(($G$3:$G$1723=G972)*($A$3:$A$1723&lt;=A972)))</f>
        <v/>
      </c>
      <c r="I972" s="4">
        <f>IF(H972="","",G972&amp;"|"&amp;H972)</f>
        <v/>
      </c>
      <c r="J972" s="4" t="inlineStr">
        <is>
          <t>https://www.google.com/maps/search/?api=1&amp;query=Sentinela%20Boardgames&amp;query_place_id=ChIJs8NH6jtPxwcRYsvQ8e4vGiI</t>
        </is>
      </c>
      <c r="K972" s="4" t="inlineStr">
        <is>
          <t>Rua das Gaivotas, 180 - Jardim das Oliveiras, Fortaleza - CE, 60821-160, Brasil</t>
        </is>
      </c>
      <c r="L972" s="4" t="inlineStr">
        <is>
          <t>Fortaleza</t>
        </is>
      </c>
      <c r="M972" s="5" t="n">
        <v>3</v>
      </c>
    </row>
    <row r="973">
      <c r="A973" s="3">
        <f>RAND()</f>
        <v/>
      </c>
      <c r="B973" s="4" t="inlineStr">
        <is>
          <t>ChIJnxsnImNIxwcRr4T3wONrZIA</t>
        </is>
      </c>
      <c r="C973" s="4" t="inlineStr">
        <is>
          <t>Shark Games</t>
        </is>
      </c>
      <c r="D973" s="4" t="inlineStr">
        <is>
          <t>Fortaleza</t>
        </is>
      </c>
      <c r="E973" s="4" t="inlineStr">
        <is>
          <t>CE</t>
        </is>
      </c>
      <c r="F973" s="4" t="inlineStr">
        <is>
          <t>Metrópoles</t>
        </is>
      </c>
      <c r="G973" s="4" t="inlineStr">
        <is>
          <t>Metrópole</t>
        </is>
      </c>
      <c r="H973" s="5">
        <f>IF(G973="fora do recorte","",SUMPRODUCT(($G$3:$G$1723=G973)*($A$3:$A$1723&lt;=A973)))</f>
        <v/>
      </c>
      <c r="I973" s="4">
        <f>IF(H973="","",G973&amp;"|"&amp;H973)</f>
        <v/>
      </c>
      <c r="J973" s="4" t="inlineStr">
        <is>
          <t>https://www.google.com/maps/search/?api=1&amp;query=Shark%20Games&amp;query_place_id=ChIJnxsnImNIxwcRr4T3wONrZIA</t>
        </is>
      </c>
      <c r="K973" s="4" t="inlineStr">
        <is>
          <t>Quiosque 11 - Shopping Aldeota - - Avenida Dom Luís, 500 - Aldeota, Fortaleza - CE, 60160-230, Brasil</t>
        </is>
      </c>
      <c r="L973" s="4" t="inlineStr">
        <is>
          <t>Fortaleza</t>
        </is>
      </c>
      <c r="M973" s="5" t="n">
        <v>1</v>
      </c>
    </row>
    <row r="974">
      <c r="A974" s="3">
        <f>RAND()</f>
        <v/>
      </c>
      <c r="B974" s="4" t="inlineStr">
        <is>
          <t>ChIJvSrPaZ5JxwcRKAsZMUurQhA</t>
        </is>
      </c>
      <c r="C974" s="4" t="inlineStr">
        <is>
          <t>Shark Games</t>
        </is>
      </c>
      <c r="D974" s="4" t="inlineStr">
        <is>
          <t>Fortaleza</t>
        </is>
      </c>
      <c r="E974" s="4" t="inlineStr">
        <is>
          <t>CE</t>
        </is>
      </c>
      <c r="F974" s="4" t="inlineStr">
        <is>
          <t>Metrópoles</t>
        </is>
      </c>
      <c r="G974" s="4" t="inlineStr">
        <is>
          <t>Metrópole</t>
        </is>
      </c>
      <c r="H974" s="5">
        <f>IF(G974="fora do recorte","",SUMPRODUCT(($G$3:$G$1723=G974)*($A$3:$A$1723&lt;=A974)))</f>
        <v/>
      </c>
      <c r="I974" s="4">
        <f>IF(H974="","",G974&amp;"|"&amp;H974)</f>
        <v/>
      </c>
      <c r="J974" s="4" t="inlineStr">
        <is>
          <t>https://www.google.com/maps/search/?api=1&amp;query=Shark%20Games&amp;query_place_id=ChIJvSrPaZ5JxwcRKAsZMUurQhA</t>
        </is>
      </c>
      <c r="K974" s="4" t="inlineStr">
        <is>
          <t>R. Padre Anchieta, 1295 - Monte Castelo, Fortaleza - CE, 60325-520, Brasil</t>
        </is>
      </c>
      <c r="L974" s="4" t="inlineStr">
        <is>
          <t>Fortaleza</t>
        </is>
      </c>
      <c r="M974" s="5" t="n">
        <v>1</v>
      </c>
    </row>
    <row r="975">
      <c r="A975" s="3">
        <f>RAND()</f>
        <v/>
      </c>
      <c r="B975" s="4" t="inlineStr">
        <is>
          <t>ChIJDzdBh7JJxwcRrLtzKCo6J4Y</t>
        </is>
      </c>
      <c r="C975" s="4" t="inlineStr">
        <is>
          <t>Smart Games</t>
        </is>
      </c>
      <c r="D975" s="4" t="inlineStr">
        <is>
          <t>Fortaleza</t>
        </is>
      </c>
      <c r="E975" s="4" t="inlineStr">
        <is>
          <t>CE</t>
        </is>
      </c>
      <c r="F975" s="4" t="inlineStr">
        <is>
          <t>Metrópoles</t>
        </is>
      </c>
      <c r="G975" s="4" t="inlineStr">
        <is>
          <t>Metrópole</t>
        </is>
      </c>
      <c r="H975" s="5">
        <f>IF(G975="fora do recorte","",SUMPRODUCT(($G$3:$G$1723=G975)*($A$3:$A$1723&lt;=A975)))</f>
        <v/>
      </c>
      <c r="I975" s="4">
        <f>IF(H975="","",G975&amp;"|"&amp;H975)</f>
        <v/>
      </c>
      <c r="J975" s="4" t="inlineStr">
        <is>
          <t>https://www.google.com/maps/search/?api=1&amp;query=Smart%20Games&amp;query_place_id=ChIJDzdBh7JJxwcRrLtzKCo6J4Y</t>
        </is>
      </c>
      <c r="K975" s="4" t="inlineStr">
        <is>
          <t>R. Sen. Pompeu, 1099 - Centro, Fortaleza - CE, 60025-000, Brasil</t>
        </is>
      </c>
      <c r="L975" s="4" t="inlineStr">
        <is>
          <t>Fortaleza</t>
        </is>
      </c>
      <c r="M975" s="5" t="n">
        <v>11</v>
      </c>
    </row>
    <row r="976">
      <c r="A976" s="3">
        <f>RAND()</f>
        <v/>
      </c>
      <c r="B976" s="4" t="inlineStr">
        <is>
          <t>ChIJ224aM91JxwcRE9nLHao0irc</t>
        </is>
      </c>
      <c r="C976" s="4" t="inlineStr">
        <is>
          <t>SpellCard</t>
        </is>
      </c>
      <c r="D976" s="4" t="inlineStr">
        <is>
          <t>Fortaleza</t>
        </is>
      </c>
      <c r="E976" s="4" t="inlineStr">
        <is>
          <t>CE</t>
        </is>
      </c>
      <c r="F976" s="4" t="inlineStr">
        <is>
          <t>Metrópoles</t>
        </is>
      </c>
      <c r="G976" s="4" t="inlineStr">
        <is>
          <t>Metrópole</t>
        </is>
      </c>
      <c r="H976" s="5">
        <f>IF(G976="fora do recorte","",SUMPRODUCT(($G$3:$G$1723=G976)*($A$3:$A$1723&lt;=A976)))</f>
        <v/>
      </c>
      <c r="I976" s="4">
        <f>IF(H976="","",G976&amp;"|"&amp;H976)</f>
        <v/>
      </c>
      <c r="J976" s="4" t="inlineStr">
        <is>
          <t>https://www.google.com/maps/search/?api=1&amp;query=SpellCard&amp;query_place_id=ChIJ224aM91JxwcRE9nLHao0irc</t>
        </is>
      </c>
      <c r="K976" s="4" t="inlineStr">
        <is>
          <t>Av. João Pessoa, 5834 - Lj 14 - Couto Fernandes, Fortaleza - CE, 60442-057, Brasil</t>
        </is>
      </c>
      <c r="L976" s="4" t="inlineStr">
        <is>
          <t>Fortaleza</t>
        </is>
      </c>
      <c r="M976" s="5" t="n">
        <v>2</v>
      </c>
    </row>
    <row r="977">
      <c r="A977" s="3">
        <f>RAND()</f>
        <v/>
      </c>
      <c r="B977" s="4" t="inlineStr">
        <is>
          <t>ChIJs9icn11JxwcR2ZrJkI7U5NY</t>
        </is>
      </c>
      <c r="C977" s="4" t="inlineStr">
        <is>
          <t>Studio Games Iguatemi Bosque Fortaleza</t>
        </is>
      </c>
      <c r="D977" s="4" t="inlineStr">
        <is>
          <t>Fortaleza</t>
        </is>
      </c>
      <c r="E977" s="4" t="inlineStr">
        <is>
          <t>CE</t>
        </is>
      </c>
      <c r="F977" s="4" t="inlineStr">
        <is>
          <t>Metrópoles</t>
        </is>
      </c>
      <c r="G977" s="4" t="inlineStr">
        <is>
          <t>Metrópole</t>
        </is>
      </c>
      <c r="H977" s="5">
        <f>IF(G977="fora do recorte","",SUMPRODUCT(($G$3:$G$1723=G977)*($A$3:$A$1723&lt;=A977)))</f>
        <v/>
      </c>
      <c r="I977" s="4">
        <f>IF(H977="","",G977&amp;"|"&amp;H977)</f>
        <v/>
      </c>
      <c r="J977" s="4" t="inlineStr">
        <is>
          <t>https://www.google.com/maps/search/?api=1&amp;query=Studio%20Games%20Iguatemi%20Bosque%20Fortaleza&amp;query_place_id=ChIJs9icn11JxwcR2ZrJkI7U5NY</t>
        </is>
      </c>
      <c r="K977" s="4" t="inlineStr">
        <is>
          <t>Av. Washington Soares, 85 - Edson Queiroz, Fortaleza - CE, 60811-341, Brasil</t>
        </is>
      </c>
      <c r="L977" s="4" t="inlineStr">
        <is>
          <t>Fortaleza</t>
        </is>
      </c>
      <c r="M977" s="5" t="n">
        <v>1</v>
      </c>
    </row>
    <row r="978">
      <c r="A978" s="3">
        <f>RAND()</f>
        <v/>
      </c>
      <c r="B978" s="4" t="inlineStr">
        <is>
          <t>ChIJa167XkRIxwcRFu9G7Nd2xuM</t>
        </is>
      </c>
      <c r="C978" s="4" t="inlineStr">
        <is>
          <t>Teresa &amp; Jorge</t>
        </is>
      </c>
      <c r="D978" s="4" t="inlineStr">
        <is>
          <t>Fortaleza</t>
        </is>
      </c>
      <c r="E978" s="4" t="inlineStr">
        <is>
          <t>CE</t>
        </is>
      </c>
      <c r="F978" s="4" t="inlineStr">
        <is>
          <t>Metrópoles</t>
        </is>
      </c>
      <c r="G978" s="4" t="inlineStr">
        <is>
          <t>Metrópole</t>
        </is>
      </c>
      <c r="H978" s="5">
        <f>IF(G978="fora do recorte","",SUMPRODUCT(($G$3:$G$1723=G978)*($A$3:$A$1723&lt;=A978)))</f>
        <v/>
      </c>
      <c r="I978" s="4">
        <f>IF(H978="","",G978&amp;"|"&amp;H978)</f>
        <v/>
      </c>
      <c r="J978" s="4" t="inlineStr">
        <is>
          <t>https://www.google.com/maps/search/?api=1&amp;query=Teresa%20%26%20Jorge&amp;query_place_id=ChIJa167XkRIxwcRFu9G7Nd2xuM</t>
        </is>
      </c>
      <c r="K978" s="4" t="inlineStr">
        <is>
          <t>R. João Cordeiro, 540 - Centro, Fortaleza - CE, 60110-300, Brasil</t>
        </is>
      </c>
      <c r="L978" s="4" t="inlineStr">
        <is>
          <t>Fortaleza</t>
        </is>
      </c>
      <c r="M978" s="5" t="n">
        <v>1</v>
      </c>
    </row>
    <row r="979">
      <c r="A979" s="3">
        <f>RAND()</f>
        <v/>
      </c>
      <c r="B979" s="4" t="inlineStr">
        <is>
          <t>ChIJea5nFhBMxwcRXf17ok7s7bI</t>
        </is>
      </c>
      <c r="C979" s="4" t="inlineStr">
        <is>
          <t>The Bar Pub</t>
        </is>
      </c>
      <c r="D979" s="4" t="inlineStr">
        <is>
          <t>Fortaleza</t>
        </is>
      </c>
      <c r="E979" s="4" t="inlineStr">
        <is>
          <t>CE</t>
        </is>
      </c>
      <c r="F979" s="4" t="inlineStr">
        <is>
          <t>Metrópoles</t>
        </is>
      </c>
      <c r="G979" s="4" t="inlineStr">
        <is>
          <t>Metrópole</t>
        </is>
      </c>
      <c r="H979" s="5">
        <f>IF(G979="fora do recorte","",SUMPRODUCT(($G$3:$G$1723=G979)*($A$3:$A$1723&lt;=A979)))</f>
        <v/>
      </c>
      <c r="I979" s="4">
        <f>IF(H979="","",G979&amp;"|"&amp;H979)</f>
        <v/>
      </c>
      <c r="J979" s="4" t="inlineStr">
        <is>
          <t>https://www.google.com/maps/search/?api=1&amp;query=The%20Bar%20Pub&amp;query_place_id=ChIJea5nFhBMxwcRXf17ok7s7bI</t>
        </is>
      </c>
      <c r="K979" s="4" t="inlineStr">
        <is>
          <t>Av. Lineu Machado, 1514 - João XXIII, Fortaleza - CE, 60525-566, Brasil</t>
        </is>
      </c>
      <c r="L979" s="4" t="inlineStr">
        <is>
          <t>Fortaleza</t>
        </is>
      </c>
      <c r="M979" s="5" t="n">
        <v>2</v>
      </c>
    </row>
    <row r="980">
      <c r="A980" s="3">
        <f>RAND()</f>
        <v/>
      </c>
      <c r="B980" s="4" t="inlineStr">
        <is>
          <t>ChIJjTrTRHlIxwcRTHfNOCvZF5s</t>
        </is>
      </c>
      <c r="C980" s="4" t="inlineStr">
        <is>
          <t>Turatti - Gastrobar &amp; Parrilla</t>
        </is>
      </c>
      <c r="D980" s="4" t="inlineStr">
        <is>
          <t>Fortaleza</t>
        </is>
      </c>
      <c r="E980" s="4" t="inlineStr">
        <is>
          <t>CE</t>
        </is>
      </c>
      <c r="F980" s="4" t="inlineStr">
        <is>
          <t>Metrópoles</t>
        </is>
      </c>
      <c r="G980" s="4" t="inlineStr">
        <is>
          <t>Metrópole</t>
        </is>
      </c>
      <c r="H980" s="5">
        <f>IF(G980="fora do recorte","",SUMPRODUCT(($G$3:$G$1723=G980)*($A$3:$A$1723&lt;=A980)))</f>
        <v/>
      </c>
      <c r="I980" s="4">
        <f>IF(H980="","",G980&amp;"|"&amp;H980)</f>
        <v/>
      </c>
      <c r="J980" s="4" t="inlineStr">
        <is>
          <t>https://www.google.com/maps/search/?api=1&amp;query=Turatti%20-%20Gastrobar%20%26%20Parrilla&amp;query_place_id=ChIJjTrTRHlIxwcRTHfNOCvZF5s</t>
        </is>
      </c>
      <c r="K980" s="4" t="inlineStr">
        <is>
          <t>R. Ana Bilhar, 1178 - Varjota, Fortaleza - CE, 60160-110, Brasil</t>
        </is>
      </c>
      <c r="L980" s="4" t="inlineStr">
        <is>
          <t>Fortaleza</t>
        </is>
      </c>
      <c r="M980" s="5" t="n">
        <v>1</v>
      </c>
    </row>
    <row r="981">
      <c r="A981" s="3">
        <f>RAND()</f>
        <v/>
      </c>
      <c r="B981" s="4" t="inlineStr">
        <is>
          <t>ChIJq5bsnkRNxwcR4RDMjUeQ5aw</t>
        </is>
      </c>
      <c r="C981" s="4" t="inlineStr">
        <is>
          <t>Upar Computadores | PCs de Alta Performance &amp; Exclusividades</t>
        </is>
      </c>
      <c r="D981" s="4" t="inlineStr">
        <is>
          <t>Fortaleza</t>
        </is>
      </c>
      <c r="E981" s="4" t="inlineStr">
        <is>
          <t>CE</t>
        </is>
      </c>
      <c r="F981" s="4" t="inlineStr">
        <is>
          <t>Metrópoles</t>
        </is>
      </c>
      <c r="G981" s="4" t="inlineStr">
        <is>
          <t>Metrópole</t>
        </is>
      </c>
      <c r="H981" s="5">
        <f>IF(G981="fora do recorte","",SUMPRODUCT(($G$3:$G$1723=G981)*($A$3:$A$1723&lt;=A981)))</f>
        <v/>
      </c>
      <c r="I981" s="4">
        <f>IF(H981="","",G981&amp;"|"&amp;H981)</f>
        <v/>
      </c>
      <c r="J981" s="4" t="inlineStr">
        <is>
          <t>https://www.google.com/maps/search/?api=1&amp;query=Upar%20Computadores%20%7C%20PCs%20de%20Alta%20Performance%20%26%20Exclusividades&amp;query_place_id=ChIJq5bsnkRNxwcR4RDMjUeQ5aw</t>
        </is>
      </c>
      <c r="K981" s="4" t="inlineStr">
        <is>
          <t>Pátio Arvoredo | - R. Ecilda de Queiroz, 200 - Lj 17 - Parque Dois Irmãos, Fortaleza - CE, 60761-285, Brasil</t>
        </is>
      </c>
      <c r="L981" s="4" t="inlineStr">
        <is>
          <t>Fortaleza</t>
        </is>
      </c>
      <c r="M981" s="5" t="n">
        <v>2</v>
      </c>
    </row>
    <row r="982">
      <c r="A982" s="3">
        <f>RAND()</f>
        <v/>
      </c>
      <c r="B982" s="4" t="inlineStr">
        <is>
          <t>ChIJceg5KdRJxwcRBFwPu0TYhnQ</t>
        </is>
      </c>
      <c r="C982" s="4" t="inlineStr">
        <is>
          <t>Vibe 085</t>
        </is>
      </c>
      <c r="D982" s="4" t="inlineStr">
        <is>
          <t>Fortaleza</t>
        </is>
      </c>
      <c r="E982" s="4" t="inlineStr">
        <is>
          <t>CE</t>
        </is>
      </c>
      <c r="F982" s="4" t="inlineStr">
        <is>
          <t>Metrópoles</t>
        </is>
      </c>
      <c r="G982" s="4" t="inlineStr">
        <is>
          <t>Metrópole</t>
        </is>
      </c>
      <c r="H982" s="5">
        <f>IF(G982="fora do recorte","",SUMPRODUCT(($G$3:$G$1723=G982)*($A$3:$A$1723&lt;=A982)))</f>
        <v/>
      </c>
      <c r="I982" s="4">
        <f>IF(H982="","",G982&amp;"|"&amp;H982)</f>
        <v/>
      </c>
      <c r="J982" s="4" t="inlineStr">
        <is>
          <t>https://www.google.com/maps/search/?api=1&amp;query=Vibe%20085&amp;query_place_id=ChIJceg5KdRJxwcRBFwPu0TYhnQ</t>
        </is>
      </c>
      <c r="K982" s="4" t="inlineStr">
        <is>
          <t>Av. Almirante Barroso, 877 - Praia de Iracema, Fortaleza - CE, 60060-440, Brasil</t>
        </is>
      </c>
      <c r="L982" s="4" t="inlineStr">
        <is>
          <t>Fortaleza</t>
        </is>
      </c>
      <c r="M982" s="5" t="n">
        <v>1</v>
      </c>
    </row>
    <row r="983">
      <c r="A983" s="3">
        <f>RAND()</f>
        <v/>
      </c>
      <c r="B983" s="4" t="inlineStr">
        <is>
          <t>ChIJM_ctIM1JxwcRcOGW8qOfTtY</t>
        </is>
      </c>
      <c r="C983" s="4" t="inlineStr">
        <is>
          <t>Zúque Drink Bar</t>
        </is>
      </c>
      <c r="D983" s="4" t="inlineStr">
        <is>
          <t>Fortaleza</t>
        </is>
      </c>
      <c r="E983" s="4" t="inlineStr">
        <is>
          <t>CE</t>
        </is>
      </c>
      <c r="F983" s="4" t="inlineStr">
        <is>
          <t>Metrópoles</t>
        </is>
      </c>
      <c r="G983" s="4" t="inlineStr">
        <is>
          <t>Metrópole</t>
        </is>
      </c>
      <c r="H983" s="5">
        <f>IF(G983="fora do recorte","",SUMPRODUCT(($G$3:$G$1723=G983)*($A$3:$A$1723&lt;=A983)))</f>
        <v/>
      </c>
      <c r="I983" s="4">
        <f>IF(H983="","",G983&amp;"|"&amp;H983)</f>
        <v/>
      </c>
      <c r="J983" s="4" t="inlineStr">
        <is>
          <t>https://www.google.com/maps/search/?api=1&amp;query=Z%C3%BAque%20Drink%20Bar&amp;query_place_id=ChIJM_ctIM1JxwcRcOGW8qOfTtY</t>
        </is>
      </c>
      <c r="K983" s="4" t="inlineStr">
        <is>
          <t>R. Delmiro Gouvêia, 1168 - Varjota, Fortaleza - CE, 60175-090, Brasil</t>
        </is>
      </c>
      <c r="L983" s="4" t="inlineStr">
        <is>
          <t>Fortaleza</t>
        </is>
      </c>
      <c r="M983" s="5" t="n">
        <v>2</v>
      </c>
    </row>
    <row r="984">
      <c r="A984" s="3">
        <f>RAND()</f>
        <v/>
      </c>
      <c r="B984" s="4" t="inlineStr">
        <is>
          <t>ChIJnaxY_-VJxwcRIFqOxIx5a74</t>
        </is>
      </c>
      <c r="C984" s="4" t="inlineStr">
        <is>
          <t>jogo iracema</t>
        </is>
      </c>
      <c r="D984" s="4" t="inlineStr">
        <is>
          <t>Fortaleza</t>
        </is>
      </c>
      <c r="E984" s="4" t="inlineStr">
        <is>
          <t>CE</t>
        </is>
      </c>
      <c r="F984" s="4" t="inlineStr">
        <is>
          <t>Metrópoles</t>
        </is>
      </c>
      <c r="G984" s="4" t="inlineStr">
        <is>
          <t>Metrópole</t>
        </is>
      </c>
      <c r="H984" s="5">
        <f>IF(G984="fora do recorte","",SUMPRODUCT(($G$3:$G$1723=G984)*($A$3:$A$1723&lt;=A984)))</f>
        <v/>
      </c>
      <c r="I984" s="4">
        <f>IF(H984="","",G984&amp;"|"&amp;H984)</f>
        <v/>
      </c>
      <c r="J984" s="4" t="inlineStr">
        <is>
          <t>https://www.google.com/maps/search/?api=1&amp;query=jogo%20iracema&amp;query_place_id=ChIJnaxY_-VJxwcRIFqOxIx5a74</t>
        </is>
      </c>
      <c r="K984" s="4" t="inlineStr">
        <is>
          <t>2828 - jj, Fortaleza - CE, 60025-060, Brasil</t>
        </is>
      </c>
      <c r="L984" s="4" t="inlineStr">
        <is>
          <t>Fortaleza</t>
        </is>
      </c>
      <c r="M984" s="5" t="n">
        <v>2</v>
      </c>
    </row>
    <row r="985">
      <c r="A985" s="3">
        <f>RAND()</f>
        <v/>
      </c>
      <c r="B985" s="4" t="inlineStr">
        <is>
          <t>ChIJ541nyd1JxwcRNzn2zaGyLWI</t>
        </is>
      </c>
      <c r="C985" s="4" t="inlineStr">
        <is>
          <t>Up Serviços E Games</t>
        </is>
      </c>
      <c r="D985" s="4" t="inlineStr">
        <is>
          <t>Maracanaú</t>
        </is>
      </c>
      <c r="E985" s="4" t="inlineStr">
        <is>
          <t>CE</t>
        </is>
      </c>
      <c r="F985" s="4" t="inlineStr">
        <is>
          <t>Metrópoles</t>
        </is>
      </c>
      <c r="G985" s="4" t="inlineStr">
        <is>
          <t>Metrópole</t>
        </is>
      </c>
      <c r="H985" s="5">
        <f>IF(G985="fora do recorte","",SUMPRODUCT(($G$3:$G$1723=G985)*($A$3:$A$1723&lt;=A985)))</f>
        <v/>
      </c>
      <c r="I985" s="4">
        <f>IF(H985="","",G985&amp;"|"&amp;H985)</f>
        <v/>
      </c>
      <c r="J985" s="4" t="inlineStr">
        <is>
          <t>https://www.google.com/maps/search/?api=1&amp;query=Up%20Servi%C3%A7os%20E%20Games&amp;query_place_id=ChIJ541nyd1JxwcRNzn2zaGyLWI</t>
        </is>
      </c>
      <c r="K985" s="4" t="inlineStr">
        <is>
          <t>Av. Padre José Holanda do Vale, 1590 - Piratininga, Maracanaú - CE, 61905-292, Brasil</t>
        </is>
      </c>
      <c r="L985" s="4" t="inlineStr">
        <is>
          <t>Fortaleza</t>
        </is>
      </c>
      <c r="M985" s="5" t="n">
        <v>1</v>
      </c>
    </row>
    <row r="986">
      <c r="A986" s="3">
        <f>RAND()</f>
        <v/>
      </c>
      <c r="B986" s="4" t="inlineStr">
        <is>
          <t>ChIJtVrjGWdNxwcRpE1jKUW2pyw</t>
        </is>
      </c>
      <c r="C986" s="4" t="inlineStr">
        <is>
          <t>Hack Cards&amp;Games</t>
        </is>
      </c>
      <c r="D986" s="4" t="inlineStr">
        <is>
          <t>Pacatuba</t>
        </is>
      </c>
      <c r="E986" s="4" t="inlineStr">
        <is>
          <t>CE</t>
        </is>
      </c>
      <c r="F986" s="4" t="inlineStr">
        <is>
          <t>Metrópoles</t>
        </is>
      </c>
      <c r="G986" s="4" t="inlineStr">
        <is>
          <t>Metrópole</t>
        </is>
      </c>
      <c r="H986" s="5">
        <f>IF(G986="fora do recorte","",SUMPRODUCT(($G$3:$G$1723=G986)*($A$3:$A$1723&lt;=A986)))</f>
        <v/>
      </c>
      <c r="I986" s="4">
        <f>IF(H986="","",G986&amp;"|"&amp;H986)</f>
        <v/>
      </c>
      <c r="J986" s="4" t="inlineStr">
        <is>
          <t>https://www.google.com/maps/search/?api=1&amp;query=Hack%20Cards%26Games&amp;query_place_id=ChIJtVrjGWdNxwcRpE1jKUW2pyw</t>
        </is>
      </c>
      <c r="K986" s="4" t="inlineStr">
        <is>
          <t>Praça Loteamento Mãe Rainha Pacatuba - Monguba, Pacatuba - CE, 61814-901, Brasil</t>
        </is>
      </c>
      <c r="L986" s="4" t="inlineStr">
        <is>
          <t>Fortaleza</t>
        </is>
      </c>
      <c r="M986" s="5" t="n">
        <v>1</v>
      </c>
    </row>
    <row r="987">
      <c r="A987" s="3">
        <f>RAND()</f>
        <v/>
      </c>
      <c r="B987" s="4" t="inlineStr">
        <is>
          <t>ChIJufQc34syWpMRI_AHegkG710</t>
        </is>
      </c>
      <c r="C987" s="4" t="inlineStr">
        <is>
          <t>60 Minutos Escape Game - Píer 21</t>
        </is>
      </c>
      <c r="D987" s="4" t="inlineStr">
        <is>
          <t>Brasília</t>
        </is>
      </c>
      <c r="E987" s="4" t="inlineStr">
        <is>
          <t>DF</t>
        </is>
      </c>
      <c r="F987" s="4" t="inlineStr">
        <is>
          <t>Metrópoles Nacionais</t>
        </is>
      </c>
      <c r="G987" s="4" t="inlineStr">
        <is>
          <t>Metrópole</t>
        </is>
      </c>
      <c r="H987" s="5">
        <f>IF(G987="fora do recorte","",SUMPRODUCT(($G$3:$G$1723=G987)*($A$3:$A$1723&lt;=A987)))</f>
        <v/>
      </c>
      <c r="I987" s="4">
        <f>IF(H987="","",G987&amp;"|"&amp;H987)</f>
        <v/>
      </c>
      <c r="J987" s="4" t="inlineStr">
        <is>
          <t>https://www.google.com/maps/search/?api=1&amp;query=60%20Minutos%20Escape%20Game%20-%20P%C3%ADer%2021&amp;query_place_id=ChIJufQc34syWpMRI_AHegkG710</t>
        </is>
      </c>
      <c r="K987" s="4" t="inlineStr">
        <is>
          <t>St. de Clubes Esportivos Sul Trecho 2 - Asa Sul, Brasília - DF, 70200-002, Brasil</t>
        </is>
      </c>
      <c r="L987" s="4" t="inlineStr">
        <is>
          <t>Brasília</t>
        </is>
      </c>
      <c r="M987" s="5" t="n">
        <v>1</v>
      </c>
    </row>
    <row r="988">
      <c r="A988" s="3">
        <f>RAND()</f>
        <v/>
      </c>
      <c r="B988" s="4" t="inlineStr">
        <is>
          <t>ChIJKdc2sYI7WpMRJUTFTu557nQ</t>
        </is>
      </c>
      <c r="C988" s="4" t="inlineStr">
        <is>
          <t>Abençoado Bar - Asa Norte</t>
        </is>
      </c>
      <c r="D988" s="4" t="inlineStr">
        <is>
          <t>Brasília</t>
        </is>
      </c>
      <c r="E988" s="4" t="inlineStr">
        <is>
          <t>DF</t>
        </is>
      </c>
      <c r="F988" s="4" t="inlineStr">
        <is>
          <t>Metrópoles Nacionais</t>
        </is>
      </c>
      <c r="G988" s="4" t="inlineStr">
        <is>
          <t>Metrópole</t>
        </is>
      </c>
      <c r="H988" s="5">
        <f>IF(G988="fora do recorte","",SUMPRODUCT(($G$3:$G$1723=G988)*($A$3:$A$1723&lt;=A988)))</f>
        <v/>
      </c>
      <c r="I988" s="4">
        <f>IF(H988="","",G988&amp;"|"&amp;H988)</f>
        <v/>
      </c>
      <c r="J988" s="4" t="inlineStr">
        <is>
          <t>https://www.google.com/maps/search/?api=1&amp;query=Aben%C3%A7oado%20Bar%20-%20Asa%20Norte&amp;query_place_id=ChIJKdc2sYI7WpMRJUTFTu557nQ</t>
        </is>
      </c>
      <c r="K988" s="4" t="inlineStr">
        <is>
          <t>SHCN CLN 207 BL A - Asa Norte, Brasília - DF, 70852-510, Brasil</t>
        </is>
      </c>
      <c r="L988" s="4" t="inlineStr">
        <is>
          <t>Brasília</t>
        </is>
      </c>
      <c r="M988" s="5" t="n">
        <v>1</v>
      </c>
    </row>
    <row r="989">
      <c r="A989" s="3">
        <f>RAND()</f>
        <v/>
      </c>
      <c r="B989" s="4" t="inlineStr">
        <is>
          <t>ChIJPd_-_gczWpMRVQe72rvmckk</t>
        </is>
      </c>
      <c r="C989" s="4" t="inlineStr">
        <is>
          <t>Allkasu’s</t>
        </is>
      </c>
      <c r="D989" s="4" t="inlineStr">
        <is>
          <t>Brasília</t>
        </is>
      </c>
      <c r="E989" s="4" t="inlineStr">
        <is>
          <t>DF</t>
        </is>
      </c>
      <c r="F989" s="4" t="inlineStr">
        <is>
          <t>Metrópoles Nacionais</t>
        </is>
      </c>
      <c r="G989" s="4" t="inlineStr">
        <is>
          <t>Metrópole</t>
        </is>
      </c>
      <c r="H989" s="5">
        <f>IF(G989="fora do recorte","",SUMPRODUCT(($G$3:$G$1723=G989)*($A$3:$A$1723&lt;=A989)))</f>
        <v/>
      </c>
      <c r="I989" s="4">
        <f>IF(H989="","",G989&amp;"|"&amp;H989)</f>
        <v/>
      </c>
      <c r="J989" s="4" t="inlineStr">
        <is>
          <t>https://www.google.com/maps/search/?api=1&amp;query=Allkasu%E2%80%99s&amp;query_place_id=ChIJPd_-_gczWpMRVQe72rvmckk</t>
        </is>
      </c>
      <c r="K989" s="4" t="inlineStr">
        <is>
          <t>St. D Sul QSD 35 casa 07 - Taguatinga, Brasília - DF, 72020-350, Brasil</t>
        </is>
      </c>
      <c r="L989" s="4" t="inlineStr">
        <is>
          <t>Brasília</t>
        </is>
      </c>
      <c r="M989" s="5" t="n">
        <v>1</v>
      </c>
    </row>
    <row r="990">
      <c r="A990" s="3">
        <f>RAND()</f>
        <v/>
      </c>
      <c r="B990" s="4" t="inlineStr">
        <is>
          <t>ChIJa1itPgA7WpMR1OICzGUoO98</t>
        </is>
      </c>
      <c r="C990" s="4" t="inlineStr">
        <is>
          <t>Ambar</t>
        </is>
      </c>
      <c r="D990" s="4" t="inlineStr">
        <is>
          <t>Brasília</t>
        </is>
      </c>
      <c r="E990" s="4" t="inlineStr">
        <is>
          <t>DF</t>
        </is>
      </c>
      <c r="F990" s="4" t="inlineStr">
        <is>
          <t>Metrópoles Nacionais</t>
        </is>
      </c>
      <c r="G990" s="4" t="inlineStr">
        <is>
          <t>Metrópole</t>
        </is>
      </c>
      <c r="H990" s="5">
        <f>IF(G990="fora do recorte","",SUMPRODUCT(($G$3:$G$1723=G990)*($A$3:$A$1723&lt;=A990)))</f>
        <v/>
      </c>
      <c r="I990" s="4">
        <f>IF(H990="","",G990&amp;"|"&amp;H990)</f>
        <v/>
      </c>
      <c r="J990" s="4" t="inlineStr">
        <is>
          <t>https://www.google.com/maps/search/?api=1&amp;query=Ambar&amp;query_place_id=ChIJa1itPgA7WpMR1OICzGUoO98</t>
        </is>
      </c>
      <c r="K990" s="4" t="inlineStr">
        <is>
          <t>SBS Q. 1 - Asa Sul, Brasília - DF, 70070-110, Brasil</t>
        </is>
      </c>
      <c r="L990" s="4" t="inlineStr">
        <is>
          <t>Brasília</t>
        </is>
      </c>
      <c r="M990" s="5" t="n">
        <v>1</v>
      </c>
    </row>
    <row r="991">
      <c r="A991" s="3">
        <f>RAND()</f>
        <v/>
      </c>
      <c r="B991" s="4" t="inlineStr">
        <is>
          <t>ChIJ7bh3K2gzWpMRJaIgDmlUIyw</t>
        </is>
      </c>
      <c r="C991" s="4" t="inlineStr">
        <is>
          <t>Arcane Arena</t>
        </is>
      </c>
      <c r="D991" s="4" t="inlineStr">
        <is>
          <t>Brasília</t>
        </is>
      </c>
      <c r="E991" s="4" t="inlineStr">
        <is>
          <t>DF</t>
        </is>
      </c>
      <c r="F991" s="4" t="inlineStr">
        <is>
          <t>Metrópoles Nacionais</t>
        </is>
      </c>
      <c r="G991" s="4" t="inlineStr">
        <is>
          <t>Metrópole</t>
        </is>
      </c>
      <c r="H991" s="5">
        <f>IF(G991="fora do recorte","",SUMPRODUCT(($G$3:$G$1723=G991)*($A$3:$A$1723&lt;=A991)))</f>
        <v/>
      </c>
      <c r="I991" s="4">
        <f>IF(H991="","",G991&amp;"|"&amp;H991)</f>
        <v/>
      </c>
      <c r="J991" s="4" t="inlineStr">
        <is>
          <t>https://www.google.com/maps/search/?api=1&amp;query=Arcane%20Arena&amp;query_place_id=ChIJ7bh3K2gzWpMRJaIgDmlUIyw</t>
        </is>
      </c>
      <c r="K991" s="4" t="inlineStr">
        <is>
          <t>One Park Mall - R. das Paineiras, 06 - Lj 2 - Águas Claras, Brasília - DF, 71928-720, Brasil</t>
        </is>
      </c>
      <c r="L991" s="4" t="inlineStr">
        <is>
          <t>Brasília</t>
        </is>
      </c>
      <c r="M991" s="5" t="n">
        <v>6</v>
      </c>
    </row>
    <row r="992">
      <c r="A992" s="3">
        <f>RAND()</f>
        <v/>
      </c>
      <c r="B992" s="4" t="inlineStr">
        <is>
          <t>ChIJK47VO3wzWpMRn9vTU1jaads</t>
        </is>
      </c>
      <c r="C992" s="4" t="inlineStr">
        <is>
          <t>BEM ALUGUÉIS - Video Games, Boardgames e eletrônicos</t>
        </is>
      </c>
      <c r="D992" s="4" t="inlineStr">
        <is>
          <t>Brasília</t>
        </is>
      </c>
      <c r="E992" s="4" t="inlineStr">
        <is>
          <t>DF</t>
        </is>
      </c>
      <c r="F992" s="4" t="inlineStr">
        <is>
          <t>Metrópoles Nacionais</t>
        </is>
      </c>
      <c r="G992" s="4" t="inlineStr">
        <is>
          <t>Metrópole</t>
        </is>
      </c>
      <c r="H992" s="5">
        <f>IF(G992="fora do recorte","",SUMPRODUCT(($G$3:$G$1723=G992)*($A$3:$A$1723&lt;=A992)))</f>
        <v/>
      </c>
      <c r="I992" s="4">
        <f>IF(H992="","",G992&amp;"|"&amp;H992)</f>
        <v/>
      </c>
      <c r="J992" s="4" t="inlineStr">
        <is>
          <t>https://www.google.com/maps/search/?api=1&amp;query=BEM%20ALUGU%C3%89IS%20-%20Video%20Games%2C%20Boardgames%20e%20eletr%C3%B4nicos&amp;query_place_id=ChIJK47VO3wzWpMRn9vTU1jaads</t>
        </is>
      </c>
      <c r="K992" s="4" t="inlineStr">
        <is>
          <t>R. 20 Norte, 4 - Águas Claras, Brasília - DF, 71915-750, Brasil</t>
        </is>
      </c>
      <c r="L992" s="4" t="inlineStr">
        <is>
          <t>Brasília</t>
        </is>
      </c>
      <c r="M992" s="5" t="n">
        <v>2</v>
      </c>
    </row>
    <row r="993">
      <c r="A993" s="3">
        <f>RAND()</f>
        <v/>
      </c>
      <c r="B993" s="4" t="inlineStr">
        <is>
          <t>ChIJuXujxmc7WpMRkdodghUQ-8w</t>
        </is>
      </c>
      <c r="C993" s="4" t="inlineStr">
        <is>
          <t>Bar Responsa</t>
        </is>
      </c>
      <c r="D993" s="4" t="inlineStr">
        <is>
          <t>Brasília</t>
        </is>
      </c>
      <c r="E993" s="4" t="inlineStr">
        <is>
          <t>DF</t>
        </is>
      </c>
      <c r="F993" s="4" t="inlineStr">
        <is>
          <t>Metrópoles Nacionais</t>
        </is>
      </c>
      <c r="G993" s="4" t="inlineStr">
        <is>
          <t>Metrópole</t>
        </is>
      </c>
      <c r="H993" s="5">
        <f>IF(G993="fora do recorte","",SUMPRODUCT(($G$3:$G$1723=G993)*($A$3:$A$1723&lt;=A993)))</f>
        <v/>
      </c>
      <c r="I993" s="4">
        <f>IF(H993="","",G993&amp;"|"&amp;H993)</f>
        <v/>
      </c>
      <c r="J993" s="4" t="inlineStr">
        <is>
          <t>https://www.google.com/maps/search/?api=1&amp;query=Bar%20Responsa&amp;query_place_id=ChIJuXujxmc7WpMRkdodghUQ-8w</t>
        </is>
      </c>
      <c r="K993" s="4" t="inlineStr">
        <is>
          <t>SHCS CLS 202 Bloco A loja - Plano Piloto, Brasília - DF, 70232-515, Brasil</t>
        </is>
      </c>
      <c r="L993" s="4" t="inlineStr">
        <is>
          <t>Brasília</t>
        </is>
      </c>
      <c r="M993" s="5" t="n">
        <v>1</v>
      </c>
    </row>
    <row r="994">
      <c r="A994" s="3">
        <f>RAND()</f>
        <v/>
      </c>
      <c r="B994" s="4" t="inlineStr">
        <is>
          <t>ChIJVUxc-QszWpMRaaJf7BRvWjo</t>
        </is>
      </c>
      <c r="C994" s="4" t="inlineStr">
        <is>
          <t>Bota na Mesa</t>
        </is>
      </c>
      <c r="D994" s="4" t="inlineStr">
        <is>
          <t>Brasília</t>
        </is>
      </c>
      <c r="E994" s="4" t="inlineStr">
        <is>
          <t>DF</t>
        </is>
      </c>
      <c r="F994" s="4" t="inlineStr">
        <is>
          <t>Metrópoles Nacionais</t>
        </is>
      </c>
      <c r="G994" s="4" t="inlineStr">
        <is>
          <t>Metrópole</t>
        </is>
      </c>
      <c r="H994" s="5">
        <f>IF(G994="fora do recorte","",SUMPRODUCT(($G$3:$G$1723=G994)*($A$3:$A$1723&lt;=A994)))</f>
        <v/>
      </c>
      <c r="I994" s="4">
        <f>IF(H994="","",G994&amp;"|"&amp;H994)</f>
        <v/>
      </c>
      <c r="J994" s="4" t="inlineStr">
        <is>
          <t>https://www.google.com/maps/search/?api=1&amp;query=Bota%20na%20Mesa&amp;query_place_id=ChIJVUxc-QszWpMRaaJf7BRvWjo</t>
        </is>
      </c>
      <c r="K994" s="4" t="inlineStr">
        <is>
          <t>Guará II QE 15 Cj i Casa 44 - Guará, Brasília - DF, 71050-091, Brasil</t>
        </is>
      </c>
      <c r="L994" s="4" t="inlineStr">
        <is>
          <t>Brasília</t>
        </is>
      </c>
      <c r="M994" s="5" t="n">
        <v>4</v>
      </c>
    </row>
    <row r="995">
      <c r="A995" s="3">
        <f>RAND()</f>
        <v/>
      </c>
      <c r="B995" s="4" t="inlineStr">
        <is>
          <t>ChIJkWsin4o7WpMRXoxagkRfwBY</t>
        </is>
      </c>
      <c r="C995" s="4" t="inlineStr">
        <is>
          <t>Boteco Sabiá</t>
        </is>
      </c>
      <c r="D995" s="4" t="inlineStr">
        <is>
          <t>Brasília</t>
        </is>
      </c>
      <c r="E995" s="4" t="inlineStr">
        <is>
          <t>DF</t>
        </is>
      </c>
      <c r="F995" s="4" t="inlineStr">
        <is>
          <t>Metrópoles Nacionais</t>
        </is>
      </c>
      <c r="G995" s="4" t="inlineStr">
        <is>
          <t>Metrópole</t>
        </is>
      </c>
      <c r="H995" s="5">
        <f>IF(G995="fora do recorte","",SUMPRODUCT(($G$3:$G$1723=G995)*($A$3:$A$1723&lt;=A995)))</f>
        <v/>
      </c>
      <c r="I995" s="4">
        <f>IF(H995="","",G995&amp;"|"&amp;H995)</f>
        <v/>
      </c>
      <c r="J995" s="4" t="inlineStr">
        <is>
          <t>https://www.google.com/maps/search/?api=1&amp;query=Boteco%20Sabi%C3%A1&amp;query_place_id=ChIJkWsin4o7WpMRXoxagkRfwBY</t>
        </is>
      </c>
      <c r="K995" s="4" t="inlineStr">
        <is>
          <t>SHCN QD 209 BL D Lojas 05, 09 e 67 - Asa Norte, Brasília - DF, 70854-530, Brasil</t>
        </is>
      </c>
      <c r="L995" s="4" t="inlineStr">
        <is>
          <t>Brasília</t>
        </is>
      </c>
      <c r="M995" s="5" t="n">
        <v>1</v>
      </c>
    </row>
    <row r="996">
      <c r="A996" s="3">
        <f>RAND()</f>
        <v/>
      </c>
      <c r="B996" s="4" t="inlineStr">
        <is>
          <t>ChIJ534KOao7WpMRZ6NS_UuEtY4</t>
        </is>
      </c>
      <c r="C996" s="4" t="inlineStr">
        <is>
          <t>Carcassonne Pub</t>
        </is>
      </c>
      <c r="D996" s="4" t="inlineStr">
        <is>
          <t>Brasília</t>
        </is>
      </c>
      <c r="E996" s="4" t="inlineStr">
        <is>
          <t>DF</t>
        </is>
      </c>
      <c r="F996" s="4" t="inlineStr">
        <is>
          <t>Metrópoles Nacionais</t>
        </is>
      </c>
      <c r="G996" s="4" t="inlineStr">
        <is>
          <t>Metrópole</t>
        </is>
      </c>
      <c r="H996" s="5">
        <f>IF(G996="fora do recorte","",SUMPRODUCT(($G$3:$G$1723=G996)*($A$3:$A$1723&lt;=A996)))</f>
        <v/>
      </c>
      <c r="I996" s="4">
        <f>IF(H996="","",G996&amp;"|"&amp;H996)</f>
        <v/>
      </c>
      <c r="J996" s="4" t="inlineStr">
        <is>
          <t>https://www.google.com/maps/search/?api=1&amp;query=Carcassonne%20Pub&amp;query_place_id=ChIJ534KOao7WpMRZ6NS_UuEtY4</t>
        </is>
      </c>
      <c r="K996" s="4" t="inlineStr">
        <is>
          <t>SHCN CLN 407 Bloco E Lj 37 - Asa Norte, Brasília - DF, 70855-550, Brasil</t>
        </is>
      </c>
      <c r="L996" s="4" t="inlineStr">
        <is>
          <t>Brasília</t>
        </is>
      </c>
      <c r="M996" s="5" t="n">
        <v>10</v>
      </c>
    </row>
    <row r="997">
      <c r="A997" s="3">
        <f>RAND()</f>
        <v/>
      </c>
      <c r="B997" s="4" t="inlineStr">
        <is>
          <t>ChIJt5vEfAg7WpMR7aQc3PsRum0</t>
        </is>
      </c>
      <c r="C997" s="4" t="inlineStr">
        <is>
          <t>Dark Ice Empire</t>
        </is>
      </c>
      <c r="D997" s="4" t="inlineStr">
        <is>
          <t>Brasília</t>
        </is>
      </c>
      <c r="E997" s="4" t="inlineStr">
        <is>
          <t>DF</t>
        </is>
      </c>
      <c r="F997" s="4" t="inlineStr">
        <is>
          <t>Metrópoles Nacionais</t>
        </is>
      </c>
      <c r="G997" s="4" t="inlineStr">
        <is>
          <t>Metrópole</t>
        </is>
      </c>
      <c r="H997" s="5">
        <f>IF(G997="fora do recorte","",SUMPRODUCT(($G$3:$G$1723=G997)*($A$3:$A$1723&lt;=A997)))</f>
        <v/>
      </c>
      <c r="I997" s="4">
        <f>IF(H997="","",G997&amp;"|"&amp;H997)</f>
        <v/>
      </c>
      <c r="J997" s="4" t="inlineStr">
        <is>
          <t>https://www.google.com/maps/search/?api=1&amp;query=Dark%20Ice%20Empire&amp;query_place_id=ChIJt5vEfAg7WpMR7aQc3PsRum0</t>
        </is>
      </c>
      <c r="K997" s="4" t="inlineStr">
        <is>
          <t>Plano Piloto, Brasília - DF, 70150-900, Brasil</t>
        </is>
      </c>
      <c r="L997" s="4" t="inlineStr">
        <is>
          <t>Brasília</t>
        </is>
      </c>
      <c r="M997" s="5" t="n">
        <v>1</v>
      </c>
    </row>
    <row r="998">
      <c r="A998" s="3">
        <f>RAND()</f>
        <v/>
      </c>
      <c r="B998" s="4" t="inlineStr">
        <is>
          <t>ChIJt50cXnQ7WpMRjlTp98nT91o</t>
        </is>
      </c>
      <c r="C998" s="4" t="inlineStr">
        <is>
          <t>Deboche! Bar</t>
        </is>
      </c>
      <c r="D998" s="4" t="inlineStr">
        <is>
          <t>Brasília</t>
        </is>
      </c>
      <c r="E998" s="4" t="inlineStr">
        <is>
          <t>DF</t>
        </is>
      </c>
      <c r="F998" s="4" t="inlineStr">
        <is>
          <t>Metrópoles Nacionais</t>
        </is>
      </c>
      <c r="G998" s="4" t="inlineStr">
        <is>
          <t>Metrópole</t>
        </is>
      </c>
      <c r="H998" s="5">
        <f>IF(G998="fora do recorte","",SUMPRODUCT(($G$3:$G$1723=G998)*($A$3:$A$1723&lt;=A998)))</f>
        <v/>
      </c>
      <c r="I998" s="4">
        <f>IF(H998="","",G998&amp;"|"&amp;H998)</f>
        <v/>
      </c>
      <c r="J998" s="4" t="inlineStr">
        <is>
          <t>https://www.google.com/maps/search/?api=1&amp;query=Deboche%21%20Bar&amp;query_place_id=ChIJt50cXnQ7WpMRjlTp98nT91o</t>
        </is>
      </c>
      <c r="K998" s="4" t="inlineStr">
        <is>
          <t>SHCN CLN 201 BL A Loja 61 - Asa Norte, Brasília - DF, 70832-510, Brasil</t>
        </is>
      </c>
      <c r="L998" s="4" t="inlineStr">
        <is>
          <t>Brasília</t>
        </is>
      </c>
      <c r="M998" s="5" t="n">
        <v>1</v>
      </c>
    </row>
    <row r="999">
      <c r="A999" s="3">
        <f>RAND()</f>
        <v/>
      </c>
      <c r="B999" s="4" t="inlineStr">
        <is>
          <t>ChIJi5I3UykyWpMRHg2HCU7nIxc</t>
        </is>
      </c>
      <c r="C999" s="4" t="inlineStr">
        <is>
          <t>Deck Bar Brasília</t>
        </is>
      </c>
      <c r="D999" s="4" t="inlineStr">
        <is>
          <t>Brasília</t>
        </is>
      </c>
      <c r="E999" s="4" t="inlineStr">
        <is>
          <t>DF</t>
        </is>
      </c>
      <c r="F999" s="4" t="inlineStr">
        <is>
          <t>Metrópoles Nacionais</t>
        </is>
      </c>
      <c r="G999" s="4" t="inlineStr">
        <is>
          <t>Metrópole</t>
        </is>
      </c>
      <c r="H999" s="5">
        <f>IF(G999="fora do recorte","",SUMPRODUCT(($G$3:$G$1723=G999)*($A$3:$A$1723&lt;=A999)))</f>
        <v/>
      </c>
      <c r="I999" s="4">
        <f>IF(H999="","",G999&amp;"|"&amp;H999)</f>
        <v/>
      </c>
      <c r="J999" s="4" t="inlineStr">
        <is>
          <t>https://www.google.com/maps/search/?api=1&amp;query=Deck%20Bar%20Bras%C3%ADlia&amp;query_place_id=ChIJi5I3UykyWpMRHg2HCU7nIxc</t>
        </is>
      </c>
      <c r="K999" s="4" t="inlineStr">
        <is>
          <t>St. Hab. Vicente Pires CHACARA 55 LOTE 03 - Vicente Pires, Brasília - DF, 72005-310, Brasil</t>
        </is>
      </c>
      <c r="L999" s="4" t="inlineStr">
        <is>
          <t>Brasília</t>
        </is>
      </c>
      <c r="M999" s="5" t="n">
        <v>1</v>
      </c>
    </row>
    <row r="1000">
      <c r="A1000" s="3">
        <f>RAND()</f>
        <v/>
      </c>
      <c r="B1000" s="4" t="inlineStr">
        <is>
          <t>ChIJFbO-RLA7WpMR2B5tBP4ZbIE</t>
        </is>
      </c>
      <c r="C1000" s="4" t="inlineStr">
        <is>
          <t>Eskenta Bar</t>
        </is>
      </c>
      <c r="D1000" s="4" t="inlineStr">
        <is>
          <t>Brasília</t>
        </is>
      </c>
      <c r="E1000" s="4" t="inlineStr">
        <is>
          <t>DF</t>
        </is>
      </c>
      <c r="F1000" s="4" t="inlineStr">
        <is>
          <t>Metrópoles Nacionais</t>
        </is>
      </c>
      <c r="G1000" s="4" t="inlineStr">
        <is>
          <t>Metrópole</t>
        </is>
      </c>
      <c r="H1000" s="5">
        <f>IF(G1000="fora do recorte","",SUMPRODUCT(($G$3:$G$1723=G1000)*($A$3:$A$1723&lt;=A1000)))</f>
        <v/>
      </c>
      <c r="I1000" s="4">
        <f>IF(H1000="","",G1000&amp;"|"&amp;H1000)</f>
        <v/>
      </c>
      <c r="J1000" s="4" t="inlineStr">
        <is>
          <t>https://www.google.com/maps/search/?api=1&amp;query=Eskenta%20Bar&amp;query_place_id=ChIJFbO-RLA7WpMR2B5tBP4ZbIE</t>
        </is>
      </c>
      <c r="K1000" s="4" t="inlineStr">
        <is>
          <t>SQN 409 B. B, Loja 53 - Asa Norte, Brasília - DF, 70857-520, Brasil</t>
        </is>
      </c>
      <c r="L1000" s="4" t="inlineStr">
        <is>
          <t>Brasília</t>
        </is>
      </c>
      <c r="M1000" s="5" t="n">
        <v>1</v>
      </c>
    </row>
    <row r="1001">
      <c r="A1001" s="3">
        <f>RAND()</f>
        <v/>
      </c>
      <c r="B1001" s="4" t="inlineStr">
        <is>
          <t>ChIJyXjE650xWpMRJL-J6QbGkt4</t>
        </is>
      </c>
      <c r="C1001" s="4" t="inlineStr">
        <is>
          <t>FORTALÚDICA - BURGERS &amp; JOGOS</t>
        </is>
      </c>
      <c r="D1001" s="4" t="inlineStr">
        <is>
          <t>Brasília</t>
        </is>
      </c>
      <c r="E1001" s="4" t="inlineStr">
        <is>
          <t>DF</t>
        </is>
      </c>
      <c r="F1001" s="4" t="inlineStr">
        <is>
          <t>Metrópoles Nacionais</t>
        </is>
      </c>
      <c r="G1001" s="4" t="inlineStr">
        <is>
          <t>Metrópole</t>
        </is>
      </c>
      <c r="H1001" s="5">
        <f>IF(G1001="fora do recorte","",SUMPRODUCT(($G$3:$G$1723=G1001)*($A$3:$A$1723&lt;=A1001)))</f>
        <v/>
      </c>
      <c r="I1001" s="4">
        <f>IF(H1001="","",G1001&amp;"|"&amp;H1001)</f>
        <v/>
      </c>
      <c r="J1001" s="4" t="inlineStr">
        <is>
          <t>https://www.google.com/maps/search/?api=1&amp;query=FORTAL%C3%9ADICA%20-%20BURGERS%20%26%20JOGOS&amp;query_place_id=ChIJyXjE650xWpMRJL-J6QbGkt4</t>
        </is>
      </c>
      <c r="K1001" s="4" t="inlineStr">
        <is>
          <t>Guará II QE 26 BLOCO B Lj 31 - Guará, Brasília - DF, 71060-621, Brasil</t>
        </is>
      </c>
      <c r="L1001" s="4" t="inlineStr">
        <is>
          <t>Brasília</t>
        </is>
      </c>
      <c r="M1001" s="5" t="n">
        <v>8</v>
      </c>
    </row>
    <row r="1002">
      <c r="A1002" s="3">
        <f>RAND()</f>
        <v/>
      </c>
      <c r="B1002" s="4" t="inlineStr">
        <is>
          <t>ChIJFWjO2AIzWpMRj9SrTwVLlQY</t>
        </is>
      </c>
      <c r="C1002" s="4" t="inlineStr">
        <is>
          <t>Fase de Manutenção</t>
        </is>
      </c>
      <c r="D1002" s="4" t="inlineStr">
        <is>
          <t>Brasília</t>
        </is>
      </c>
      <c r="E1002" s="4" t="inlineStr">
        <is>
          <t>DF</t>
        </is>
      </c>
      <c r="F1002" s="4" t="inlineStr">
        <is>
          <t>Metrópoles Nacionais</t>
        </is>
      </c>
      <c r="G1002" s="4" t="inlineStr">
        <is>
          <t>Metrópole</t>
        </is>
      </c>
      <c r="H1002" s="5">
        <f>IF(G1002="fora do recorte","",SUMPRODUCT(($G$3:$G$1723=G1002)*($A$3:$A$1723&lt;=A1002)))</f>
        <v/>
      </c>
      <c r="I1002" s="4">
        <f>IF(H1002="","",G1002&amp;"|"&amp;H1002)</f>
        <v/>
      </c>
      <c r="J1002" s="4" t="inlineStr">
        <is>
          <t>https://www.google.com/maps/search/?api=1&amp;query=Fase%20de%20Manuten%C3%A7%C3%A3o&amp;query_place_id=ChIJFWjO2AIzWpMRj9SrTwVLlQY</t>
        </is>
      </c>
      <c r="K1002" s="4" t="inlineStr">
        <is>
          <t>St. Hab. Vicente Pires Ch.54a Lote 12 - Vicente Pires, Brasília - DF, 72001-510, Brasil</t>
        </is>
      </c>
      <c r="L1002" s="4" t="inlineStr">
        <is>
          <t>Brasília</t>
        </is>
      </c>
      <c r="M1002" s="5" t="n">
        <v>1</v>
      </c>
    </row>
    <row r="1003">
      <c r="A1003" s="3">
        <f>RAND()</f>
        <v/>
      </c>
      <c r="B1003" s="4" t="inlineStr">
        <is>
          <t>ChIJZeZwdS0zWpMR5GY3-FLKTzI</t>
        </is>
      </c>
      <c r="C1003" s="4" t="inlineStr">
        <is>
          <t>Five Sport Bar</t>
        </is>
      </c>
      <c r="D1003" s="4" t="inlineStr">
        <is>
          <t>Brasília</t>
        </is>
      </c>
      <c r="E1003" s="4" t="inlineStr">
        <is>
          <t>DF</t>
        </is>
      </c>
      <c r="F1003" s="4" t="inlineStr">
        <is>
          <t>Metrópoles Nacionais</t>
        </is>
      </c>
      <c r="G1003" s="4" t="inlineStr">
        <is>
          <t>Metrópole</t>
        </is>
      </c>
      <c r="H1003" s="5">
        <f>IF(G1003="fora do recorte","",SUMPRODUCT(($G$3:$G$1723=G1003)*($A$3:$A$1723&lt;=A1003)))</f>
        <v/>
      </c>
      <c r="I1003" s="4">
        <f>IF(H1003="","",G1003&amp;"|"&amp;H1003)</f>
        <v/>
      </c>
      <c r="J1003" s="4" t="inlineStr">
        <is>
          <t>https://www.google.com/maps/search/?api=1&amp;query=Five%20Sport%20Bar&amp;query_place_id=ChIJZeZwdS0zWpMR5GY3-FLKTzI</t>
        </is>
      </c>
      <c r="K1003" s="4" t="inlineStr">
        <is>
          <t>Shopping DF Plaza - R. Copaíba, 10 - 11, Lote 01, Piso L - Águas Claras, Brasília - DF, 71919-540, Brasil</t>
        </is>
      </c>
      <c r="L1003" s="4" t="inlineStr">
        <is>
          <t>Brasília</t>
        </is>
      </c>
      <c r="M1003" s="5" t="n">
        <v>1</v>
      </c>
    </row>
    <row r="1004">
      <c r="A1004" s="3">
        <f>RAND()</f>
        <v/>
      </c>
      <c r="B1004" s="4" t="inlineStr">
        <is>
          <t>ChIJAX_vMigzWpMReKd3r4qK7nk</t>
        </is>
      </c>
      <c r="C1004" s="4" t="inlineStr">
        <is>
          <t>Game on Board</t>
        </is>
      </c>
      <c r="D1004" s="4" t="inlineStr">
        <is>
          <t>Brasília</t>
        </is>
      </c>
      <c r="E1004" s="4" t="inlineStr">
        <is>
          <t>DF</t>
        </is>
      </c>
      <c r="F1004" s="4" t="inlineStr">
        <is>
          <t>Metrópoles Nacionais</t>
        </is>
      </c>
      <c r="G1004" s="4" t="inlineStr">
        <is>
          <t>Metrópole</t>
        </is>
      </c>
      <c r="H1004" s="5">
        <f>IF(G1004="fora do recorte","",SUMPRODUCT(($G$3:$G$1723=G1004)*($A$3:$A$1723&lt;=A1004)))</f>
        <v/>
      </c>
      <c r="I1004" s="4">
        <f>IF(H1004="","",G1004&amp;"|"&amp;H1004)</f>
        <v/>
      </c>
      <c r="J1004" s="4" t="inlineStr">
        <is>
          <t>https://www.google.com/maps/search/?api=1&amp;query=Game%20on%20Board&amp;query_place_id=ChIJAX_vMigzWpMReKd3r4qK7nk</t>
        </is>
      </c>
      <c r="K1004" s="4" t="inlineStr">
        <is>
          <t>Max Mall - Av 07 Norte - Águas Claras, Brasília - DF, 71908-180, Brasil</t>
        </is>
      </c>
      <c r="L1004" s="4" t="inlineStr">
        <is>
          <t>Brasília</t>
        </is>
      </c>
      <c r="M1004" s="5" t="n">
        <v>1</v>
      </c>
    </row>
    <row r="1005">
      <c r="A1005" s="3">
        <f>RAND()</f>
        <v/>
      </c>
      <c r="B1005" s="4" t="inlineStr">
        <is>
          <t>ChIJm4MGYtgxWpMRnX8U36Dff8A</t>
        </is>
      </c>
      <c r="C1005" s="4" t="inlineStr">
        <is>
          <t>Games</t>
        </is>
      </c>
      <c r="D1005" s="4" t="inlineStr">
        <is>
          <t>Brasília</t>
        </is>
      </c>
      <c r="E1005" s="4" t="inlineStr">
        <is>
          <t>DF</t>
        </is>
      </c>
      <c r="F1005" s="4" t="inlineStr">
        <is>
          <t>Metrópoles Nacionais</t>
        </is>
      </c>
      <c r="G1005" s="4" t="inlineStr">
        <is>
          <t>Metrópole</t>
        </is>
      </c>
      <c r="H1005" s="5">
        <f>IF(G1005="fora do recorte","",SUMPRODUCT(($G$3:$G$1723=G1005)*($A$3:$A$1723&lt;=A1005)))</f>
        <v/>
      </c>
      <c r="I1005" s="4">
        <f>IF(H1005="","",G1005&amp;"|"&amp;H1005)</f>
        <v/>
      </c>
      <c r="J1005" s="4" t="inlineStr">
        <is>
          <t>https://www.google.com/maps/search/?api=1&amp;query=Games&amp;query_place_id=ChIJm4MGYtgxWpMRnX8U36Dff8A</t>
        </is>
      </c>
      <c r="K1005" s="4" t="inlineStr">
        <is>
          <t>Quadra - SHCES Q.1207 B.B, A - Cruzeiro Novo, Brasília - DF, 70658-271, Brasil</t>
        </is>
      </c>
      <c r="L1005" s="4" t="inlineStr">
        <is>
          <t>Brasília</t>
        </is>
      </c>
      <c r="M1005" s="5" t="n">
        <v>1</v>
      </c>
    </row>
    <row r="1006">
      <c r="A1006" s="3">
        <f>RAND()</f>
        <v/>
      </c>
      <c r="B1006" s="4" t="inlineStr">
        <is>
          <t>ChIJ172cu2U7WpMR-GxnGmUHCkc</t>
        </is>
      </c>
      <c r="C1006" s="4" t="inlineStr">
        <is>
          <t>Gruta BSB</t>
        </is>
      </c>
      <c r="D1006" s="4" t="inlineStr">
        <is>
          <t>Brasília</t>
        </is>
      </c>
      <c r="E1006" s="4" t="inlineStr">
        <is>
          <t>DF</t>
        </is>
      </c>
      <c r="F1006" s="4" t="inlineStr">
        <is>
          <t>Metrópoles Nacionais</t>
        </is>
      </c>
      <c r="G1006" s="4" t="inlineStr">
        <is>
          <t>Metrópole</t>
        </is>
      </c>
      <c r="H1006" s="5">
        <f>IF(G1006="fora do recorte","",SUMPRODUCT(($G$3:$G$1723=G1006)*($A$3:$A$1723&lt;=A1006)))</f>
        <v/>
      </c>
      <c r="I1006" s="4">
        <f>IF(H1006="","",G1006&amp;"|"&amp;H1006)</f>
        <v/>
      </c>
      <c r="J1006" s="4" t="inlineStr">
        <is>
          <t>https://www.google.com/maps/search/?api=1&amp;query=Gruta%20BSB&amp;query_place_id=ChIJ172cu2U7WpMR-GxnGmUHCkc</t>
        </is>
      </c>
      <c r="K1006" s="4" t="inlineStr">
        <is>
          <t>SHCN CLN 406 Bloco E Lj 16/22 subsolo - Asa Norte, Brasília - DF, 70847-550, Brasil</t>
        </is>
      </c>
      <c r="L1006" s="4" t="inlineStr">
        <is>
          <t>Brasília</t>
        </is>
      </c>
      <c r="M1006" s="5" t="n">
        <v>6</v>
      </c>
    </row>
    <row r="1007">
      <c r="A1007" s="3">
        <f>RAND()</f>
        <v/>
      </c>
      <c r="B1007" s="4" t="inlineStr">
        <is>
          <t>ChIJVVUlNYg5WpMRTj-SOZnBqjo</t>
        </is>
      </c>
      <c r="C1007" s="4" t="inlineStr">
        <is>
          <t>IVV Swinebar - O melhor Bar de Vinhos de Brasília</t>
        </is>
      </c>
      <c r="D1007" s="4" t="inlineStr">
        <is>
          <t>Brasília</t>
        </is>
      </c>
      <c r="E1007" s="4" t="inlineStr">
        <is>
          <t>DF</t>
        </is>
      </c>
      <c r="F1007" s="4" t="inlineStr">
        <is>
          <t>Metrópoles Nacionais</t>
        </is>
      </c>
      <c r="G1007" s="4" t="inlineStr">
        <is>
          <t>Metrópole</t>
        </is>
      </c>
      <c r="H1007" s="5">
        <f>IF(G1007="fora do recorte","",SUMPRODUCT(($G$3:$G$1723=G1007)*($A$3:$A$1723&lt;=A1007)))</f>
        <v/>
      </c>
      <c r="I1007" s="4">
        <f>IF(H1007="","",G1007&amp;"|"&amp;H1007)</f>
        <v/>
      </c>
      <c r="J1007" s="4" t="inlineStr">
        <is>
          <t>https://www.google.com/maps/search/?api=1&amp;query=IVV%20Swinebar%20-%20O%20melhor%20Bar%20de%20Vinhos%20de%20Bras%C3%ADlia&amp;query_place_id=ChIJVVUlNYg5WpMRTj-SOZnBqjo</t>
        </is>
      </c>
      <c r="K1007" s="4" t="inlineStr">
        <is>
          <t>SHCN CLN 314 Lj 21 - Asa Norte, Brasília - DF, 70767-530, Brasil</t>
        </is>
      </c>
      <c r="L1007" s="4" t="inlineStr">
        <is>
          <t>Brasília</t>
        </is>
      </c>
      <c r="M1007" s="5" t="n">
        <v>1</v>
      </c>
    </row>
    <row r="1008">
      <c r="A1008" s="3">
        <f>RAND()</f>
        <v/>
      </c>
      <c r="B1008" s="4" t="inlineStr">
        <is>
          <t>ChIJdUv4La46WpMRnBvNknmOqWo</t>
        </is>
      </c>
      <c r="C1008" s="4" t="inlineStr">
        <is>
          <t>Inside Games</t>
        </is>
      </c>
      <c r="D1008" s="4" t="inlineStr">
        <is>
          <t>Brasília</t>
        </is>
      </c>
      <c r="E1008" s="4" t="inlineStr">
        <is>
          <t>DF</t>
        </is>
      </c>
      <c r="F1008" s="4" t="inlineStr">
        <is>
          <t>Metrópoles Nacionais</t>
        </is>
      </c>
      <c r="G1008" s="4" t="inlineStr">
        <is>
          <t>Metrópole</t>
        </is>
      </c>
      <c r="H1008" s="5">
        <f>IF(G1008="fora do recorte","",SUMPRODUCT(($G$3:$G$1723=G1008)*($A$3:$A$1723&lt;=A1008)))</f>
        <v/>
      </c>
      <c r="I1008" s="4">
        <f>IF(H1008="","",G1008&amp;"|"&amp;H1008)</f>
        <v/>
      </c>
      <c r="J1008" s="4" t="inlineStr">
        <is>
          <t>https://www.google.com/maps/search/?api=1&amp;query=Inside%20Games&amp;query_place_id=ChIJdUv4La46WpMRnBvNknmOqWo</t>
        </is>
      </c>
      <c r="K1008" s="4" t="inlineStr">
        <is>
          <t>SHCS CRS 513 BL B Loja 07 - Asa Sul, Brasília - DF, 70380-520, Brasil</t>
        </is>
      </c>
      <c r="L1008" s="4" t="inlineStr">
        <is>
          <t>Brasília</t>
        </is>
      </c>
      <c r="M1008" s="5" t="n">
        <v>11</v>
      </c>
    </row>
    <row r="1009">
      <c r="A1009" s="3">
        <f>RAND()</f>
        <v/>
      </c>
      <c r="B1009" s="4" t="inlineStr">
        <is>
          <t>ChIJvV5UnYQzWpMRnrmkZtF6lB4</t>
        </is>
      </c>
      <c r="C1009" s="4" t="inlineStr">
        <is>
          <t>Javali jogos</t>
        </is>
      </c>
      <c r="D1009" s="4" t="inlineStr">
        <is>
          <t>Brasília</t>
        </is>
      </c>
      <c r="E1009" s="4" t="inlineStr">
        <is>
          <t>DF</t>
        </is>
      </c>
      <c r="F1009" s="4" t="inlineStr">
        <is>
          <t>Metrópoles Nacionais</t>
        </is>
      </c>
      <c r="G1009" s="4" t="inlineStr">
        <is>
          <t>Metrópole</t>
        </is>
      </c>
      <c r="H1009" s="5">
        <f>IF(G1009="fora do recorte","",SUMPRODUCT(($G$3:$G$1723=G1009)*($A$3:$A$1723&lt;=A1009)))</f>
        <v/>
      </c>
      <c r="I1009" s="4">
        <f>IF(H1009="","",G1009&amp;"|"&amp;H1009)</f>
        <v/>
      </c>
      <c r="J1009" s="4" t="inlineStr">
        <is>
          <t>https://www.google.com/maps/search/?api=1&amp;query=Javali%20jogos&amp;query_place_id=ChIJvV5UnYQzWpMRnrmkZtF6lB4</t>
        </is>
      </c>
      <c r="K1009" s="4" t="inlineStr">
        <is>
          <t>Rua das Paineira LT06 - shopping one park mall - Lj 31 - Águas Claras, Brasília - DF, 71918-000, Brasil</t>
        </is>
      </c>
      <c r="L1009" s="4" t="inlineStr">
        <is>
          <t>Brasília</t>
        </is>
      </c>
      <c r="M1009" s="5" t="n">
        <v>5</v>
      </c>
    </row>
    <row r="1010">
      <c r="A1010" s="3">
        <f>RAND()</f>
        <v/>
      </c>
      <c r="B1010" s="4" t="inlineStr">
        <is>
          <t>ChIJzdFNP3AyWpMRH2P6HEuhE-I</t>
        </is>
      </c>
      <c r="C1010" s="4" t="inlineStr">
        <is>
          <t>Loja de Jogos - Asgard</t>
        </is>
      </c>
      <c r="D1010" s="4" t="inlineStr">
        <is>
          <t>Brasília</t>
        </is>
      </c>
      <c r="E1010" s="4" t="inlineStr">
        <is>
          <t>DF</t>
        </is>
      </c>
      <c r="F1010" s="4" t="inlineStr">
        <is>
          <t>Metrópoles Nacionais</t>
        </is>
      </c>
      <c r="G1010" s="4" t="inlineStr">
        <is>
          <t>Metrópole</t>
        </is>
      </c>
      <c r="H1010" s="5">
        <f>IF(G1010="fora do recorte","",SUMPRODUCT(($G$3:$G$1723=G1010)*($A$3:$A$1723&lt;=A1010)))</f>
        <v/>
      </c>
      <c r="I1010" s="4">
        <f>IF(H1010="","",G1010&amp;"|"&amp;H1010)</f>
        <v/>
      </c>
      <c r="J1010" s="4" t="inlineStr">
        <is>
          <t>https://www.google.com/maps/search/?api=1&amp;query=Loja%20de%20Jogos%20-%20Asgard&amp;query_place_id=ChIJzdFNP3AyWpMRH2P6HEuhE-I</t>
        </is>
      </c>
      <c r="K1010" s="4" t="inlineStr">
        <is>
          <t>Rua 25 Sul, Lote 30 Bloco A loja 1 - Águas Claras, Brasília - DF, 71928-720, Brasil</t>
        </is>
      </c>
      <c r="L1010" s="4" t="inlineStr">
        <is>
          <t>Brasília</t>
        </is>
      </c>
      <c r="M1010" s="5" t="n">
        <v>7</v>
      </c>
    </row>
    <row r="1011">
      <c r="A1011" s="3">
        <f>RAND()</f>
        <v/>
      </c>
      <c r="B1011" s="4" t="inlineStr">
        <is>
          <t>ChIJU6yV-SgxWpMRFNG15fHv0H0</t>
        </is>
      </c>
      <c r="C1011" s="4" t="inlineStr">
        <is>
          <t>Loja de Jogos - Fortaleza Jogos</t>
        </is>
      </c>
      <c r="D1011" s="4" t="inlineStr">
        <is>
          <t>Brasília</t>
        </is>
      </c>
      <c r="E1011" s="4" t="inlineStr">
        <is>
          <t>DF</t>
        </is>
      </c>
      <c r="F1011" s="4" t="inlineStr">
        <is>
          <t>Metrópoles Nacionais</t>
        </is>
      </c>
      <c r="G1011" s="4" t="inlineStr">
        <is>
          <t>Metrópole</t>
        </is>
      </c>
      <c r="H1011" s="5">
        <f>IF(G1011="fora do recorte","",SUMPRODUCT(($G$3:$G$1723=G1011)*($A$3:$A$1723&lt;=A1011)))</f>
        <v/>
      </c>
      <c r="I1011" s="4">
        <f>IF(H1011="","",G1011&amp;"|"&amp;H1011)</f>
        <v/>
      </c>
      <c r="J1011" s="4" t="inlineStr">
        <is>
          <t>https://www.google.com/maps/search/?api=1&amp;query=Loja%20de%20Jogos%20-%20Fortaleza%20Jogos&amp;query_place_id=ChIJU6yV-SgxWpMRFNG15fHv0H0</t>
        </is>
      </c>
      <c r="K1011" s="4" t="inlineStr">
        <is>
          <t>QE 36 BLOCO A LOJA 11 - Guará II QE 36 - Guará, Brasília - DF, 71065-613, Brasil</t>
        </is>
      </c>
      <c r="L1011" s="4" t="inlineStr">
        <is>
          <t>Brasília</t>
        </is>
      </c>
      <c r="M1011" s="5" t="n">
        <v>3</v>
      </c>
    </row>
    <row r="1012">
      <c r="A1012" s="3">
        <f>RAND()</f>
        <v/>
      </c>
      <c r="B1012" s="4" t="inlineStr">
        <is>
          <t>ChIJbVvyIio6WpMRnBnUmy1pzn0</t>
        </is>
      </c>
      <c r="C1012" s="4" t="inlineStr">
        <is>
          <t>London Street</t>
        </is>
      </c>
      <c r="D1012" s="4" t="inlineStr">
        <is>
          <t>Brasília</t>
        </is>
      </c>
      <c r="E1012" s="4" t="inlineStr">
        <is>
          <t>DF</t>
        </is>
      </c>
      <c r="F1012" s="4" t="inlineStr">
        <is>
          <t>Metrópoles Nacionais</t>
        </is>
      </c>
      <c r="G1012" s="4" t="inlineStr">
        <is>
          <t>Metrópole</t>
        </is>
      </c>
      <c r="H1012" s="5">
        <f>IF(G1012="fora do recorte","",SUMPRODUCT(($G$3:$G$1723=G1012)*($A$3:$A$1723&lt;=A1012)))</f>
        <v/>
      </c>
      <c r="I1012" s="4">
        <f>IF(H1012="","",G1012&amp;"|"&amp;H1012)</f>
        <v/>
      </c>
      <c r="J1012" s="4" t="inlineStr">
        <is>
          <t>https://www.google.com/maps/search/?api=1&amp;query=London%20Street&amp;query_place_id=ChIJbVvyIio6WpMRnBnUmy1pzn0</t>
        </is>
      </c>
      <c r="K1012" s="4" t="inlineStr">
        <is>
          <t>SHCN CLN 214 Lj 23-25 - Asa Norte, Brasília - DF, 70873-540, Brasil</t>
        </is>
      </c>
      <c r="L1012" s="4" t="inlineStr">
        <is>
          <t>Brasília</t>
        </is>
      </c>
      <c r="M1012" s="5" t="n">
        <v>1</v>
      </c>
    </row>
    <row r="1013">
      <c r="A1013" s="3">
        <f>RAND()</f>
        <v/>
      </c>
      <c r="B1013" s="4" t="inlineStr">
        <is>
          <t>ChIJB4pD0AEzWpMRFwENrAJmWwQ</t>
        </is>
      </c>
      <c r="C1013" s="4" t="inlineStr">
        <is>
          <t>Loop Gamelab</t>
        </is>
      </c>
      <c r="D1013" s="4" t="inlineStr">
        <is>
          <t>Brasília</t>
        </is>
      </c>
      <c r="E1013" s="4" t="inlineStr">
        <is>
          <t>DF</t>
        </is>
      </c>
      <c r="F1013" s="4" t="inlineStr">
        <is>
          <t>Metrópoles Nacionais</t>
        </is>
      </c>
      <c r="G1013" s="4" t="inlineStr">
        <is>
          <t>Metrópole</t>
        </is>
      </c>
      <c r="H1013" s="5">
        <f>IF(G1013="fora do recorte","",SUMPRODUCT(($G$3:$G$1723=G1013)*($A$3:$A$1723&lt;=A1013)))</f>
        <v/>
      </c>
      <c r="I1013" s="4">
        <f>IF(H1013="","",G1013&amp;"|"&amp;H1013)</f>
        <v/>
      </c>
      <c r="J1013" s="4" t="inlineStr">
        <is>
          <t>https://www.google.com/maps/search/?api=1&amp;query=Loop%20Gamelab&amp;query_place_id=ChIJB4pD0AEzWpMRFwENrAJmWwQ</t>
        </is>
      </c>
      <c r="K1013" s="4" t="inlineStr">
        <is>
          <t>R. 30 Sul - Águas Claras, Brasília - DF, 71929-360, Brasil</t>
        </is>
      </c>
      <c r="L1013" s="4" t="inlineStr">
        <is>
          <t>Brasília</t>
        </is>
      </c>
      <c r="M1013" s="5" t="n">
        <v>1</v>
      </c>
    </row>
    <row r="1014">
      <c r="A1014" s="3">
        <f>RAND()</f>
        <v/>
      </c>
      <c r="B1014" s="4" t="inlineStr">
        <is>
          <t>ChIJjx1cbu_NW5MRoO9MdnYOVOs</t>
        </is>
      </c>
      <c r="C1014" s="4" t="inlineStr">
        <is>
          <t>Luderion Jogos</t>
        </is>
      </c>
      <c r="D1014" s="4" t="inlineStr">
        <is>
          <t>Brasília</t>
        </is>
      </c>
      <c r="E1014" s="4" t="inlineStr">
        <is>
          <t>DF</t>
        </is>
      </c>
      <c r="F1014" s="4" t="inlineStr">
        <is>
          <t>Metrópoles Nacionais</t>
        </is>
      </c>
      <c r="G1014" s="4" t="inlineStr">
        <is>
          <t>Metrópole</t>
        </is>
      </c>
      <c r="H1014" s="5">
        <f>IF(G1014="fora do recorte","",SUMPRODUCT(($G$3:$G$1723=G1014)*($A$3:$A$1723&lt;=A1014)))</f>
        <v/>
      </c>
      <c r="I1014" s="4">
        <f>IF(H1014="","",G1014&amp;"|"&amp;H1014)</f>
        <v/>
      </c>
      <c r="J1014" s="4" t="inlineStr">
        <is>
          <t>https://www.google.com/maps/search/?api=1&amp;query=Luderion%20Jogos&amp;query_place_id=ChIJjx1cbu_NW5MRoO9MdnYOVOs</t>
        </is>
      </c>
      <c r="K1014" s="4" t="inlineStr">
        <is>
          <t>02 - Taguatinga Norte QNJ 5 - Taguatinga, Brasília - DF, 72140-050, Brasil</t>
        </is>
      </c>
      <c r="L1014" s="4" t="inlineStr">
        <is>
          <t>Brasília</t>
        </is>
      </c>
      <c r="M1014" s="5" t="n">
        <v>3</v>
      </c>
    </row>
    <row r="1015">
      <c r="A1015" s="3">
        <f>RAND()</f>
        <v/>
      </c>
      <c r="B1015" s="4" t="inlineStr">
        <is>
          <t>ChIJRcG14YMlWpMR9go04dPbNic</t>
        </is>
      </c>
      <c r="C1015" s="4" t="inlineStr">
        <is>
          <t>Ludocando</t>
        </is>
      </c>
      <c r="D1015" s="4" t="inlineStr">
        <is>
          <t>Brasília</t>
        </is>
      </c>
      <c r="E1015" s="4" t="inlineStr">
        <is>
          <t>DF</t>
        </is>
      </c>
      <c r="F1015" s="4" t="inlineStr">
        <is>
          <t>Metrópoles Nacionais</t>
        </is>
      </c>
      <c r="G1015" s="4" t="inlineStr">
        <is>
          <t>Metrópole</t>
        </is>
      </c>
      <c r="H1015" s="5">
        <f>IF(G1015="fora do recorte","",SUMPRODUCT(($G$3:$G$1723=G1015)*($A$3:$A$1723&lt;=A1015)))</f>
        <v/>
      </c>
      <c r="I1015" s="4">
        <f>IF(H1015="","",G1015&amp;"|"&amp;H1015)</f>
        <v/>
      </c>
      <c r="J1015" s="4" t="inlineStr">
        <is>
          <t>https://www.google.com/maps/search/?api=1&amp;query=Ludocando&amp;query_place_id=ChIJRcG14YMlWpMR9go04dPbNic</t>
        </is>
      </c>
      <c r="K1015" s="4" t="inlineStr">
        <is>
          <t>SHCS SQS 412 BL N - Plano Piloto, Brasília - DF, 70278-140, Brasil</t>
        </is>
      </c>
      <c r="L1015" s="4" t="inlineStr">
        <is>
          <t>Brasília</t>
        </is>
      </c>
      <c r="M1015" s="5" t="n">
        <v>4</v>
      </c>
    </row>
    <row r="1016">
      <c r="A1016" s="3">
        <f>RAND()</f>
        <v/>
      </c>
      <c r="B1016" s="4" t="inlineStr">
        <is>
          <t>ChIJ15nLgwAwWpMRY1whwD29ZSo</t>
        </is>
      </c>
      <c r="C1016" s="4" t="inlineStr">
        <is>
          <t>Ludoteca BGC</t>
        </is>
      </c>
      <c r="D1016" s="4" t="inlineStr">
        <is>
          <t>Brasília</t>
        </is>
      </c>
      <c r="E1016" s="4" t="inlineStr">
        <is>
          <t>DF</t>
        </is>
      </c>
      <c r="F1016" s="4" t="inlineStr">
        <is>
          <t>Metrópoles Nacionais</t>
        </is>
      </c>
      <c r="G1016" s="4" t="inlineStr">
        <is>
          <t>Metrópole</t>
        </is>
      </c>
      <c r="H1016" s="5">
        <f>IF(G1016="fora do recorte","",SUMPRODUCT(($G$3:$G$1723=G1016)*($A$3:$A$1723&lt;=A1016)))</f>
        <v/>
      </c>
      <c r="I1016" s="4">
        <f>IF(H1016="","",G1016&amp;"|"&amp;H1016)</f>
        <v/>
      </c>
      <c r="J1016" s="4" t="inlineStr">
        <is>
          <t>https://www.google.com/maps/search/?api=1&amp;query=Ludoteca%20BGC&amp;query_place_id=ChIJ15nLgwAwWpMRY1whwD29ZSo</t>
        </is>
      </c>
      <c r="K1016" s="4" t="inlineStr">
        <is>
          <t>BLOCO C - LOJA 02 - Asa Sul, Brasília - DF, 70254-530, Brasil</t>
        </is>
      </c>
      <c r="L1016" s="4" t="inlineStr">
        <is>
          <t>Brasília; Campo Grande</t>
        </is>
      </c>
      <c r="M1016" s="5" t="n">
        <v>12</v>
      </c>
    </row>
    <row r="1017">
      <c r="A1017" s="3">
        <f>RAND()</f>
        <v/>
      </c>
      <c r="B1017" s="4" t="inlineStr">
        <is>
          <t>ChIJobf5VwA7WpMR0thbS61BFqc</t>
        </is>
      </c>
      <c r="C1017" s="4" t="inlineStr">
        <is>
          <t>Master Gaming Point</t>
        </is>
      </c>
      <c r="D1017" s="4" t="inlineStr">
        <is>
          <t>Brasília</t>
        </is>
      </c>
      <c r="E1017" s="4" t="inlineStr">
        <is>
          <t>DF</t>
        </is>
      </c>
      <c r="F1017" s="4" t="inlineStr">
        <is>
          <t>Metrópoles Nacionais</t>
        </is>
      </c>
      <c r="G1017" s="4" t="inlineStr">
        <is>
          <t>Metrópole</t>
        </is>
      </c>
      <c r="H1017" s="5">
        <f>IF(G1017="fora do recorte","",SUMPRODUCT(($G$3:$G$1723=G1017)*($A$3:$A$1723&lt;=A1017)))</f>
        <v/>
      </c>
      <c r="I1017" s="4">
        <f>IF(H1017="","",G1017&amp;"|"&amp;H1017)</f>
        <v/>
      </c>
      <c r="J1017" s="4" t="inlineStr">
        <is>
          <t>https://www.google.com/maps/search/?api=1&amp;query=Master%20Gaming%20Point&amp;query_place_id=ChIJobf5VwA7WpMR0thbS61BFqc</t>
        </is>
      </c>
      <c r="K1017" s="4" t="inlineStr">
        <is>
          <t>SHCS CRS 504 - Asa Sul, Brasília - DF, 70331-550, Brasil</t>
        </is>
      </c>
      <c r="L1017" s="4" t="inlineStr">
        <is>
          <t>Brasília</t>
        </is>
      </c>
      <c r="M1017" s="5" t="n">
        <v>1</v>
      </c>
    </row>
    <row r="1018">
      <c r="A1018" s="3">
        <f>RAND()</f>
        <v/>
      </c>
      <c r="B1018" s="4" t="inlineStr">
        <is>
          <t>ChIJxe7p5Eo7WpMRd0sHLko77kU</t>
        </is>
      </c>
      <c r="C1018" s="4" t="inlineStr">
        <is>
          <t>Mercado RPG</t>
        </is>
      </c>
      <c r="D1018" s="4" t="inlineStr">
        <is>
          <t>Brasília</t>
        </is>
      </c>
      <c r="E1018" s="4" t="inlineStr">
        <is>
          <t>DF</t>
        </is>
      </c>
      <c r="F1018" s="4" t="inlineStr">
        <is>
          <t>Metrópoles Nacionais</t>
        </is>
      </c>
      <c r="G1018" s="4" t="inlineStr">
        <is>
          <t>Metrópole</t>
        </is>
      </c>
      <c r="H1018" s="5">
        <f>IF(G1018="fora do recorte","",SUMPRODUCT(($G$3:$G$1723=G1018)*($A$3:$A$1723&lt;=A1018)))</f>
        <v/>
      </c>
      <c r="I1018" s="4">
        <f>IF(H1018="","",G1018&amp;"|"&amp;H1018)</f>
        <v/>
      </c>
      <c r="J1018" s="4" t="inlineStr">
        <is>
          <t>https://www.google.com/maps/search/?api=1&amp;query=Mercado%20RPG&amp;query_place_id=ChIJxe7p5Eo7WpMRd0sHLko77kU</t>
        </is>
      </c>
      <c r="K1018" s="4" t="inlineStr">
        <is>
          <t>SCLRN 714 B. F, 34 - Asa Norte, Brasília - DF, 70760-556, Brasil</t>
        </is>
      </c>
      <c r="L1018" s="4" t="inlineStr">
        <is>
          <t>Brasília; São Paulo</t>
        </is>
      </c>
      <c r="M1018" s="5" t="n">
        <v>4</v>
      </c>
    </row>
    <row r="1019">
      <c r="A1019" s="3">
        <f>RAND()</f>
        <v/>
      </c>
      <c r="B1019" s="4" t="inlineStr">
        <is>
          <t>ChIJOzSifSlBWpMRU7vav8j_rqU</t>
        </is>
      </c>
      <c r="C1019" s="4" t="inlineStr">
        <is>
          <t>O Duque</t>
        </is>
      </c>
      <c r="D1019" s="4" t="inlineStr">
        <is>
          <t>Brasília</t>
        </is>
      </c>
      <c r="E1019" s="4" t="inlineStr">
        <is>
          <t>DF</t>
        </is>
      </c>
      <c r="F1019" s="4" t="inlineStr">
        <is>
          <t>Metrópoles Nacionais</t>
        </is>
      </c>
      <c r="G1019" s="4" t="inlineStr">
        <is>
          <t>Metrópole</t>
        </is>
      </c>
      <c r="H1019" s="5">
        <f>IF(G1019="fora do recorte","",SUMPRODUCT(($G$3:$G$1723=G1019)*($A$3:$A$1723&lt;=A1019)))</f>
        <v/>
      </c>
      <c r="I1019" s="4">
        <f>IF(H1019="","",G1019&amp;"|"&amp;H1019)</f>
        <v/>
      </c>
      <c r="J1019" s="4" t="inlineStr">
        <is>
          <t>https://www.google.com/maps/search/?api=1&amp;query=O%20Duque&amp;query_place_id=ChIJOzSifSlBWpMRU7vav8j_rqU</t>
        </is>
      </c>
      <c r="K1019" s="4" t="inlineStr">
        <is>
          <t>Quadra - Quadra 13 Conjunto G - Sobradinho, Brasília - DF, 73040-135, Brasil</t>
        </is>
      </c>
      <c r="L1019" s="4" t="inlineStr">
        <is>
          <t>Brasília</t>
        </is>
      </c>
      <c r="M1019" s="5" t="n">
        <v>1</v>
      </c>
    </row>
    <row r="1020">
      <c r="A1020" s="3">
        <f>RAND()</f>
        <v/>
      </c>
      <c r="B1020" s="4" t="inlineStr">
        <is>
          <t>ChIJz3z3lJA7WpMRaC_nQ3vL700</t>
        </is>
      </c>
      <c r="C1020" s="4" t="inlineStr">
        <is>
          <t>Ordinário Bar e Música</t>
        </is>
      </c>
      <c r="D1020" s="4" t="inlineStr">
        <is>
          <t>Brasília</t>
        </is>
      </c>
      <c r="E1020" s="4" t="inlineStr">
        <is>
          <t>DF</t>
        </is>
      </c>
      <c r="F1020" s="4" t="inlineStr">
        <is>
          <t>Metrópoles Nacionais</t>
        </is>
      </c>
      <c r="G1020" s="4" t="inlineStr">
        <is>
          <t>Metrópole</t>
        </is>
      </c>
      <c r="H1020" s="5">
        <f>IF(G1020="fora do recorte","",SUMPRODUCT(($G$3:$G$1723=G1020)*($A$3:$A$1723&lt;=A1020)))</f>
        <v/>
      </c>
      <c r="I1020" s="4">
        <f>IF(H1020="","",G1020&amp;"|"&amp;H1020)</f>
        <v/>
      </c>
      <c r="J1020" s="4" t="inlineStr">
        <is>
          <t>https://www.google.com/maps/search/?api=1&amp;query=Ordin%C3%A1rio%20Bar%20e%20M%C3%BAsica&amp;query_place_id=ChIJz3z3lJA7WpMRaC_nQ3vL700</t>
        </is>
      </c>
      <c r="K1020" s="4" t="inlineStr">
        <is>
          <t>SBS Q. 2 BL Q Lojas 5/6 - Asa Sul, Brasília - DF, 70070-120, Brasil</t>
        </is>
      </c>
      <c r="L1020" s="4" t="inlineStr">
        <is>
          <t>Brasília</t>
        </is>
      </c>
      <c r="M1020" s="5" t="n">
        <v>1</v>
      </c>
    </row>
    <row r="1021">
      <c r="A1021" s="3">
        <f>RAND()</f>
        <v/>
      </c>
      <c r="B1021" s="4" t="inlineStr">
        <is>
          <t>ChIJye7AnK07WpMRC94S9hM95Y4</t>
        </is>
      </c>
      <c r="C1021" s="4" t="inlineStr">
        <is>
          <t>Orgutal Casa de Jogos</t>
        </is>
      </c>
      <c r="D1021" s="4" t="inlineStr">
        <is>
          <t>Brasília</t>
        </is>
      </c>
      <c r="E1021" s="4" t="inlineStr">
        <is>
          <t>DF</t>
        </is>
      </c>
      <c r="F1021" s="4" t="inlineStr">
        <is>
          <t>Metrópoles Nacionais</t>
        </is>
      </c>
      <c r="G1021" s="4" t="inlineStr">
        <is>
          <t>Metrópole</t>
        </is>
      </c>
      <c r="H1021" s="5">
        <f>IF(G1021="fora do recorte","",SUMPRODUCT(($G$3:$G$1723=G1021)*($A$3:$A$1723&lt;=A1021)))</f>
        <v/>
      </c>
      <c r="I1021" s="4">
        <f>IF(H1021="","",G1021&amp;"|"&amp;H1021)</f>
        <v/>
      </c>
      <c r="J1021" s="4" t="inlineStr">
        <is>
          <t>https://www.google.com/maps/search/?api=1&amp;query=Orgutal%20Casa%20de%20Jogos&amp;query_place_id=ChIJye7AnK07WpMRC94S9hM95Y4</t>
        </is>
      </c>
      <c r="K1021" s="4" t="inlineStr">
        <is>
          <t>CLN 205, bloco B, loja 11, 2º andar - Asa Norte, Brasília - DF, 70843-520, Brasil</t>
        </is>
      </c>
      <c r="L1021" s="4" t="inlineStr">
        <is>
          <t>Brasília; Campo Grande</t>
        </is>
      </c>
      <c r="M1021" s="5" t="n">
        <v>13</v>
      </c>
    </row>
    <row r="1022">
      <c r="A1022" s="3">
        <f>RAND()</f>
        <v/>
      </c>
      <c r="B1022" s="4" t="inlineStr">
        <is>
          <t>ChIJgZzxubI7WpMRXg4ZeAainQc</t>
        </is>
      </c>
      <c r="C1022" s="4" t="inlineStr">
        <is>
          <t>Quadrado ao Cubo</t>
        </is>
      </c>
      <c r="D1022" s="4" t="inlineStr">
        <is>
          <t>Brasília</t>
        </is>
      </c>
      <c r="E1022" s="4" t="inlineStr">
        <is>
          <t>DF</t>
        </is>
      </c>
      <c r="F1022" s="4" t="inlineStr">
        <is>
          <t>Metrópoles Nacionais</t>
        </is>
      </c>
      <c r="G1022" s="4" t="inlineStr">
        <is>
          <t>Metrópole</t>
        </is>
      </c>
      <c r="H1022" s="5">
        <f>IF(G1022="fora do recorte","",SUMPRODUCT(($G$3:$G$1723=G1022)*($A$3:$A$1723&lt;=A1022)))</f>
        <v/>
      </c>
      <c r="I1022" s="4">
        <f>IF(H1022="","",G1022&amp;"|"&amp;H1022)</f>
        <v/>
      </c>
      <c r="J1022" s="4" t="inlineStr">
        <is>
          <t>https://www.google.com/maps/search/?api=1&amp;query=Quadrado%20ao%20Cubo&amp;query_place_id=ChIJgZzxubI7WpMRXg4ZeAainQc</t>
        </is>
      </c>
      <c r="K1022" s="4" t="inlineStr">
        <is>
          <t>SEPN 509, Bloco D - Edifício Isis - Sobreloja 45 - Asa Norte, Brasília - DF, 70750-500, Brasil</t>
        </is>
      </c>
      <c r="L1022" s="4" t="inlineStr">
        <is>
          <t>Brasília</t>
        </is>
      </c>
      <c r="M1022" s="5" t="n">
        <v>3</v>
      </c>
    </row>
    <row r="1023">
      <c r="A1023" s="3">
        <f>RAND()</f>
        <v/>
      </c>
      <c r="B1023" s="4" t="inlineStr">
        <is>
          <t>ChIJq2VyFsQzWpMRUAhbckp2F98</t>
        </is>
      </c>
      <c r="C1023" s="4" t="inlineStr">
        <is>
          <t>Refúgio Lúdico</t>
        </is>
      </c>
      <c r="D1023" s="4" t="inlineStr">
        <is>
          <t>Brasília</t>
        </is>
      </c>
      <c r="E1023" s="4" t="inlineStr">
        <is>
          <t>DF</t>
        </is>
      </c>
      <c r="F1023" s="4" t="inlineStr">
        <is>
          <t>Metrópoles Nacionais</t>
        </is>
      </c>
      <c r="G1023" s="4" t="inlineStr">
        <is>
          <t>Metrópole</t>
        </is>
      </c>
      <c r="H1023" s="5">
        <f>IF(G1023="fora do recorte","",SUMPRODUCT(($G$3:$G$1723=G1023)*($A$3:$A$1723&lt;=A1023)))</f>
        <v/>
      </c>
      <c r="I1023" s="4">
        <f>IF(H1023="","",G1023&amp;"|"&amp;H1023)</f>
        <v/>
      </c>
      <c r="J1023" s="4" t="inlineStr">
        <is>
          <t>https://www.google.com/maps/search/?api=1&amp;query=Ref%C3%BAgio%20L%C3%BAdico&amp;query_place_id=ChIJq2VyFsQzWpMRUAhbckp2F98</t>
        </is>
      </c>
      <c r="K1023" s="4" t="inlineStr">
        <is>
          <t>QS 1 - Rua 212 19 - Sala, 532 - 21 e 23 - Águas Claras, Brasília - DF, 71950-550, Brasil</t>
        </is>
      </c>
      <c r="L1023" s="4" t="inlineStr">
        <is>
          <t>Brasília</t>
        </is>
      </c>
      <c r="M1023" s="5" t="n">
        <v>4</v>
      </c>
    </row>
    <row r="1024">
      <c r="A1024" s="3">
        <f>RAND()</f>
        <v/>
      </c>
      <c r="B1024" s="4" t="inlineStr">
        <is>
          <t>ChIJbY1Qc90zWpMRLdrHxi9QMko</t>
        </is>
      </c>
      <c r="C1024" s="4" t="inlineStr">
        <is>
          <t>República Ludovico</t>
        </is>
      </c>
      <c r="D1024" s="4" t="inlineStr">
        <is>
          <t>Brasília</t>
        </is>
      </c>
      <c r="E1024" s="4" t="inlineStr">
        <is>
          <t>DF</t>
        </is>
      </c>
      <c r="F1024" s="4" t="inlineStr">
        <is>
          <t>Metrópoles Nacionais</t>
        </is>
      </c>
      <c r="G1024" s="4" t="inlineStr">
        <is>
          <t>Metrópole</t>
        </is>
      </c>
      <c r="H1024" s="5">
        <f>IF(G1024="fora do recorte","",SUMPRODUCT(($G$3:$G$1723=G1024)*($A$3:$A$1723&lt;=A1024)))</f>
        <v/>
      </c>
      <c r="I1024" s="4">
        <f>IF(H1024="","",G1024&amp;"|"&amp;H1024)</f>
        <v/>
      </c>
      <c r="J1024" s="4" t="inlineStr">
        <is>
          <t>https://www.google.com/maps/search/?api=1&amp;query=Rep%C3%BAblica%20Ludovico&amp;query_place_id=ChIJbY1Qc90zWpMRLdrHxi9QMko</t>
        </is>
      </c>
      <c r="K1024" s="4" t="inlineStr">
        <is>
          <t>Max Mall - R. 7 Norte, Lotes 3/5/7 Quiosque 02 - Águas Claras, Brasília - DF, 71908-180, Brasil</t>
        </is>
      </c>
      <c r="L1024" s="4" t="inlineStr">
        <is>
          <t>Brasília</t>
        </is>
      </c>
      <c r="M1024" s="5" t="n">
        <v>2</v>
      </c>
    </row>
    <row r="1025">
      <c r="A1025" s="3">
        <f>RAND()</f>
        <v/>
      </c>
      <c r="B1025" s="4" t="inlineStr">
        <is>
          <t>ChIJ5RFkSY47WpMRCG6WKccnLKU</t>
        </is>
      </c>
      <c r="C1025" s="4" t="inlineStr">
        <is>
          <t>Smash n' Play</t>
        </is>
      </c>
      <c r="D1025" s="4" t="inlineStr">
        <is>
          <t>Brasília</t>
        </is>
      </c>
      <c r="E1025" s="4" t="inlineStr">
        <is>
          <t>DF</t>
        </is>
      </c>
      <c r="F1025" s="4" t="inlineStr">
        <is>
          <t>Metrópoles Nacionais</t>
        </is>
      </c>
      <c r="G1025" s="4" t="inlineStr">
        <is>
          <t>Metrópole</t>
        </is>
      </c>
      <c r="H1025" s="5">
        <f>IF(G1025="fora do recorte","",SUMPRODUCT(($G$3:$G$1723=G1025)*($A$3:$A$1723&lt;=A1025)))</f>
        <v/>
      </c>
      <c r="I1025" s="4">
        <f>IF(H1025="","",G1025&amp;"|"&amp;H1025)</f>
        <v/>
      </c>
      <c r="J1025" s="4" t="inlineStr">
        <is>
          <t>https://www.google.com/maps/search/?api=1&amp;query=Smash%20n%27%20Play&amp;query_place_id=ChIJ5RFkSY47WpMRCG6WKccnLKU</t>
        </is>
      </c>
      <c r="K1025" s="4" t="inlineStr">
        <is>
          <t>SHCN CLN 103 BL B loja 62 - Asa Norte, Brasília - DF, 70732-520, Brasil</t>
        </is>
      </c>
      <c r="L1025" s="4" t="inlineStr">
        <is>
          <t>Brasília</t>
        </is>
      </c>
      <c r="M1025" s="5" t="n">
        <v>2</v>
      </c>
    </row>
    <row r="1026">
      <c r="A1026" s="3">
        <f>RAND()</f>
        <v/>
      </c>
      <c r="B1026" s="4" t="inlineStr">
        <is>
          <t>ChIJ85OcFlgwWpMRk4N7_rQjh5A</t>
        </is>
      </c>
      <c r="C1026" s="4" t="inlineStr">
        <is>
          <t>TAVERNA DOS GAMES - Loja de Video Game</t>
        </is>
      </c>
      <c r="D1026" s="4" t="inlineStr">
        <is>
          <t>Brasília</t>
        </is>
      </c>
      <c r="E1026" s="4" t="inlineStr">
        <is>
          <t>DF</t>
        </is>
      </c>
      <c r="F1026" s="4" t="inlineStr">
        <is>
          <t>Metrópoles Nacionais</t>
        </is>
      </c>
      <c r="G1026" s="4" t="inlineStr">
        <is>
          <t>Metrópole</t>
        </is>
      </c>
      <c r="H1026" s="5">
        <f>IF(G1026="fora do recorte","",SUMPRODUCT(($G$3:$G$1723=G1026)*($A$3:$A$1723&lt;=A1026)))</f>
        <v/>
      </c>
      <c r="I1026" s="4">
        <f>IF(H1026="","",G1026&amp;"|"&amp;H1026)</f>
        <v/>
      </c>
      <c r="J1026" s="4" t="inlineStr">
        <is>
          <t>https://www.google.com/maps/search/?api=1&amp;query=TAVERNA%20DOS%20GAMES%20-%20Loja%20de%20Video%20Game&amp;query_place_id=ChIJ85OcFlgwWpMRk4N7_rQjh5A</t>
        </is>
      </c>
      <c r="K1026" s="4" t="inlineStr">
        <is>
          <t>Feira dos Importados - Sia Trecho 7, 438 - Bloco C - SIA, Brasília - DF, 71208-900, Brasil</t>
        </is>
      </c>
      <c r="L1026" s="4" t="inlineStr">
        <is>
          <t>Brasília</t>
        </is>
      </c>
      <c r="M1026" s="5" t="n">
        <v>2</v>
      </c>
    </row>
    <row r="1027">
      <c r="A1027" s="3">
        <f>RAND()</f>
        <v/>
      </c>
      <c r="B1027" s="4" t="inlineStr">
        <is>
          <t>ChIJa0CP91MzWpMRz6oEQwlR2TA</t>
        </is>
      </c>
      <c r="C1027" s="4" t="inlineStr">
        <is>
          <t>Tem Mesa - Pizza &amp; Luderia</t>
        </is>
      </c>
      <c r="D1027" s="4" t="inlineStr">
        <is>
          <t>Brasília</t>
        </is>
      </c>
      <c r="E1027" s="4" t="inlineStr">
        <is>
          <t>DF</t>
        </is>
      </c>
      <c r="F1027" s="4" t="inlineStr">
        <is>
          <t>Metrópoles Nacionais</t>
        </is>
      </c>
      <c r="G1027" s="4" t="inlineStr">
        <is>
          <t>Metrópole</t>
        </is>
      </c>
      <c r="H1027" s="5">
        <f>IF(G1027="fora do recorte","",SUMPRODUCT(($G$3:$G$1723=G1027)*($A$3:$A$1723&lt;=A1027)))</f>
        <v/>
      </c>
      <c r="I1027" s="4">
        <f>IF(H1027="","",G1027&amp;"|"&amp;H1027)</f>
        <v/>
      </c>
      <c r="J1027" s="4" t="inlineStr">
        <is>
          <t>https://www.google.com/maps/search/?api=1&amp;query=Tem%20Mesa%20-%20Pizza%20%26%20Luderia&amp;query_place_id=ChIJa0CP91MzWpMRz6oEQwlR2TA</t>
        </is>
      </c>
      <c r="K1027" s="4" t="inlineStr">
        <is>
          <t>R. das Paineiras, 06 - Lj 25, térreo - Norte, Brasília - DF, 71918-000, Brasil</t>
        </is>
      </c>
      <c r="L1027" s="4" t="inlineStr">
        <is>
          <t>Brasília</t>
        </is>
      </c>
      <c r="M1027" s="5" t="n">
        <v>2</v>
      </c>
    </row>
    <row r="1028">
      <c r="A1028" s="3">
        <f>RAND()</f>
        <v/>
      </c>
      <c r="B1028" s="4" t="inlineStr">
        <is>
          <t>ChIJk7PCx-07WpMRpKWoFqgjTgs</t>
        </is>
      </c>
      <c r="C1028" s="4" t="inlineStr">
        <is>
          <t>Toca do Tabuleiro</t>
        </is>
      </c>
      <c r="D1028" s="4" t="inlineStr">
        <is>
          <t>Brasília</t>
        </is>
      </c>
      <c r="E1028" s="4" t="inlineStr">
        <is>
          <t>DF</t>
        </is>
      </c>
      <c r="F1028" s="4" t="inlineStr">
        <is>
          <t>Metrópoles Nacionais</t>
        </is>
      </c>
      <c r="G1028" s="4" t="inlineStr">
        <is>
          <t>Metrópole</t>
        </is>
      </c>
      <c r="H1028" s="5">
        <f>IF(G1028="fora do recorte","",SUMPRODUCT(($G$3:$G$1723=G1028)*($A$3:$A$1723&lt;=A1028)))</f>
        <v/>
      </c>
      <c r="I1028" s="4">
        <f>IF(H1028="","",G1028&amp;"|"&amp;H1028)</f>
        <v/>
      </c>
      <c r="J1028" s="4" t="inlineStr">
        <is>
          <t>https://www.google.com/maps/search/?api=1&amp;query=Toca%20do%20Tabuleiro&amp;query_place_id=ChIJk7PCx-07WpMRpKWoFqgjTgs</t>
        </is>
      </c>
      <c r="K1028" s="4" t="inlineStr">
        <is>
          <t>SHCGN SCRN 708/709 subindo do Pão de Açúcar para o CEUB, Bloco G Loja 10 - Asa Norte, Brasília - DF, 70741-670, Brasil</t>
        </is>
      </c>
      <c r="L1028" s="4" t="inlineStr">
        <is>
          <t>Brasília; Palmas; Rio Branco; São Paulo</t>
        </is>
      </c>
      <c r="M1028" s="5" t="n">
        <v>13</v>
      </c>
    </row>
    <row r="1029">
      <c r="A1029" s="3">
        <f>RAND()</f>
        <v/>
      </c>
      <c r="B1029" s="4" t="inlineStr">
        <is>
          <t>ChIJN8BZeb85WpMRgVKT05caxB4</t>
        </is>
      </c>
      <c r="C1029" s="4" t="inlineStr">
        <is>
          <t>Utopia Games &amp; Food</t>
        </is>
      </c>
      <c r="D1029" s="4" t="inlineStr">
        <is>
          <t>Brasília</t>
        </is>
      </c>
      <c r="E1029" s="4" t="inlineStr">
        <is>
          <t>DF</t>
        </is>
      </c>
      <c r="F1029" s="4" t="inlineStr">
        <is>
          <t>Metrópoles Nacionais</t>
        </is>
      </c>
      <c r="G1029" s="4" t="inlineStr">
        <is>
          <t>Metrópole</t>
        </is>
      </c>
      <c r="H1029" s="5">
        <f>IF(G1029="fora do recorte","",SUMPRODUCT(($G$3:$G$1723=G1029)*($A$3:$A$1723&lt;=A1029)))</f>
        <v/>
      </c>
      <c r="I1029" s="4">
        <f>IF(H1029="","",G1029&amp;"|"&amp;H1029)</f>
        <v/>
      </c>
      <c r="J1029" s="4" t="inlineStr">
        <is>
          <t>https://www.google.com/maps/search/?api=1&amp;query=Utopia%20Games%20%26%20Food&amp;query_place_id=ChIJN8BZeb85WpMRgVKT05caxB4</t>
        </is>
      </c>
      <c r="K1029" s="4" t="inlineStr">
        <is>
          <t>SHCN CL QD 116 CLN 116 BLOCO I Lojas 31 e 35 subsolo - Asa Norte, Brasília - DF, 70773-590, Brasil</t>
        </is>
      </c>
      <c r="L1029" s="4" t="inlineStr">
        <is>
          <t>Brasília</t>
        </is>
      </c>
      <c r="M1029" s="5" t="n">
        <v>6</v>
      </c>
    </row>
    <row r="1030">
      <c r="A1030" s="3">
        <f>RAND()</f>
        <v/>
      </c>
      <c r="B1030" s="4" t="inlineStr">
        <is>
          <t>ChIJI7bCDpQ7WpMRmZwtGVIS-F0</t>
        </is>
      </c>
      <c r="C1030" s="4" t="inlineStr">
        <is>
          <t>Vikings Pub Brasília</t>
        </is>
      </c>
      <c r="D1030" s="4" t="inlineStr">
        <is>
          <t>Brasília</t>
        </is>
      </c>
      <c r="E1030" s="4" t="inlineStr">
        <is>
          <t>DF</t>
        </is>
      </c>
      <c r="F1030" s="4" t="inlineStr">
        <is>
          <t>Metrópoles Nacionais</t>
        </is>
      </c>
      <c r="G1030" s="4" t="inlineStr">
        <is>
          <t>Metrópole</t>
        </is>
      </c>
      <c r="H1030" s="5">
        <f>IF(G1030="fora do recorte","",SUMPRODUCT(($G$3:$G$1723=G1030)*($A$3:$A$1723&lt;=A1030)))</f>
        <v/>
      </c>
      <c r="I1030" s="4">
        <f>IF(H1030="","",G1030&amp;"|"&amp;H1030)</f>
        <v/>
      </c>
      <c r="J1030" s="4" t="inlineStr">
        <is>
          <t>https://www.google.com/maps/search/?api=1&amp;query=Vikings%20Pub%20Bras%C3%ADlia&amp;query_place_id=ChIJI7bCDpQ7WpMRmZwtGVIS-F0</t>
        </is>
      </c>
      <c r="K1030" s="4" t="inlineStr">
        <is>
          <t>SIG Q. 8, 2285/2286 - Sudoeste/Octogonal, Brasília - DF, 70610-480, Brasil</t>
        </is>
      </c>
      <c r="L1030" s="4" t="inlineStr">
        <is>
          <t>Brasília</t>
        </is>
      </c>
      <c r="M1030" s="5" t="n">
        <v>1</v>
      </c>
    </row>
    <row r="1031">
      <c r="A1031" s="3">
        <f>RAND()</f>
        <v/>
      </c>
      <c r="B1031" s="4" t="inlineStr">
        <is>
          <t>ChIJKze4kT0yWpMRzQ0IfeASwaw</t>
        </is>
      </c>
      <c r="C1031" s="4" t="inlineStr">
        <is>
          <t>Villa Carioca</t>
        </is>
      </c>
      <c r="D1031" s="4" t="inlineStr">
        <is>
          <t>Brasília</t>
        </is>
      </c>
      <c r="E1031" s="4" t="inlineStr">
        <is>
          <t>DF</t>
        </is>
      </c>
      <c r="F1031" s="4" t="inlineStr">
        <is>
          <t>Metrópoles Nacionais</t>
        </is>
      </c>
      <c r="G1031" s="4" t="inlineStr">
        <is>
          <t>Metrópole</t>
        </is>
      </c>
      <c r="H1031" s="5">
        <f>IF(G1031="fora do recorte","",SUMPRODUCT(($G$3:$G$1723=G1031)*($A$3:$A$1723&lt;=A1031)))</f>
        <v/>
      </c>
      <c r="I1031" s="4">
        <f>IF(H1031="","",G1031&amp;"|"&amp;H1031)</f>
        <v/>
      </c>
      <c r="J1031" s="4" t="inlineStr">
        <is>
          <t>https://www.google.com/maps/search/?api=1&amp;query=Villa%20Carioca&amp;query_place_id=ChIJKze4kT0yWpMRzQ0IfeASwaw</t>
        </is>
      </c>
      <c r="K1031" s="4" t="inlineStr">
        <is>
          <t>Alameda Gravatá, Conjunto 10 Quadra 301 lote 3 - Águas Claras, Brasília - DF, 71901-250, Brasil</t>
        </is>
      </c>
      <c r="L1031" s="4" t="inlineStr">
        <is>
          <t>Brasília</t>
        </is>
      </c>
      <c r="M1031" s="5" t="n">
        <v>1</v>
      </c>
    </row>
    <row r="1032">
      <c r="A1032" s="3">
        <f>RAND()</f>
        <v/>
      </c>
      <c r="B1032" s="4" t="inlineStr">
        <is>
          <t>ChIJB1ry_y87WpMRw2f81Ze-5ls</t>
        </is>
      </c>
      <c r="C1032" s="4" t="inlineStr">
        <is>
          <t>War com Poesia</t>
        </is>
      </c>
      <c r="D1032" s="4" t="inlineStr">
        <is>
          <t>Brasília</t>
        </is>
      </c>
      <c r="E1032" s="4" t="inlineStr">
        <is>
          <t>DF</t>
        </is>
      </c>
      <c r="F1032" s="4" t="inlineStr">
        <is>
          <t>Metrópoles Nacionais</t>
        </is>
      </c>
      <c r="G1032" s="4" t="inlineStr">
        <is>
          <t>Metrópole</t>
        </is>
      </c>
      <c r="H1032" s="5">
        <f>IF(G1032="fora do recorte","",SUMPRODUCT(($G$3:$G$1723=G1032)*($A$3:$A$1723&lt;=A1032)))</f>
        <v/>
      </c>
      <c r="I1032" s="4">
        <f>IF(H1032="","",G1032&amp;"|"&amp;H1032)</f>
        <v/>
      </c>
      <c r="J1032" s="4" t="inlineStr">
        <is>
          <t>https://www.google.com/maps/search/?api=1&amp;query=War%20com%20Poesia&amp;query_place_id=ChIJB1ry_y87WpMRw2f81Ze-5ls</t>
        </is>
      </c>
      <c r="K1032" s="4" t="inlineStr">
        <is>
          <t>Setor de Habitações Individuais Norte - Lago Norte QL 10 CASA 7 - Asa Norte, Brasília - DF, 71525-065, Brasil</t>
        </is>
      </c>
      <c r="L1032" s="4" t="inlineStr">
        <is>
          <t>Brasília</t>
        </is>
      </c>
      <c r="M1032" s="5" t="n">
        <v>4</v>
      </c>
    </row>
    <row r="1033">
      <c r="A1033" s="3">
        <f>RAND()</f>
        <v/>
      </c>
      <c r="B1033" s="4" t="inlineStr">
        <is>
          <t>ChIJOUXU1akzWpMRC7rrq4o9GZc</t>
        </is>
      </c>
      <c r="C1033" s="4" t="inlineStr">
        <is>
          <t>game food</t>
        </is>
      </c>
      <c r="D1033" s="4" t="inlineStr">
        <is>
          <t>Brasília</t>
        </is>
      </c>
      <c r="E1033" s="4" t="inlineStr">
        <is>
          <t>DF</t>
        </is>
      </c>
      <c r="F1033" s="4" t="inlineStr">
        <is>
          <t>Metrópoles Nacionais</t>
        </is>
      </c>
      <c r="G1033" s="4" t="inlineStr">
        <is>
          <t>Metrópole</t>
        </is>
      </c>
      <c r="H1033" s="5">
        <f>IF(G1033="fora do recorte","",SUMPRODUCT(($G$3:$G$1723=G1033)*($A$3:$A$1723&lt;=A1033)))</f>
        <v/>
      </c>
      <c r="I1033" s="4">
        <f>IF(H1033="","",G1033&amp;"|"&amp;H1033)</f>
        <v/>
      </c>
      <c r="J1033" s="4" t="inlineStr">
        <is>
          <t>https://www.google.com/maps/search/?api=1&amp;query=game%20food&amp;query_place_id=ChIJOUXU1akzWpMRC7rrq4o9GZc</t>
        </is>
      </c>
      <c r="K1033" s="4" t="inlineStr">
        <is>
          <t>SHA conjunto 5 chácara 109 lote 09 loja 3 - buteco do val - Arniqueira, Brasília - DF, 71995-450, Brasil</t>
        </is>
      </c>
      <c r="L1033" s="4" t="inlineStr">
        <is>
          <t>Brasília</t>
        </is>
      </c>
      <c r="M1033" s="5" t="n">
        <v>1</v>
      </c>
    </row>
    <row r="1034">
      <c r="A1034" s="3">
        <f>RAND()</f>
        <v/>
      </c>
      <c r="B1034" s="4" t="inlineStr">
        <is>
          <t>ChIJCQjbhkDWASUR619JgvbzdFs</t>
        </is>
      </c>
      <c r="C1034" s="4" t="inlineStr">
        <is>
          <t>Mesa &amp; Dados RPG</t>
        </is>
      </c>
      <c r="D1034" s="4" t="inlineStr">
        <is>
          <t>Serra</t>
        </is>
      </c>
      <c r="E1034" s="4" t="inlineStr">
        <is>
          <t>ES</t>
        </is>
      </c>
      <c r="F1034" s="4" t="inlineStr">
        <is>
          <t>Metrópoles</t>
        </is>
      </c>
      <c r="G1034" s="4" t="inlineStr">
        <is>
          <t>Metrópole</t>
        </is>
      </c>
      <c r="H1034" s="5">
        <f>IF(G1034="fora do recorte","",SUMPRODUCT(($G$3:$G$1723=G1034)*($A$3:$A$1723&lt;=A1034)))</f>
        <v/>
      </c>
      <c r="I1034" s="4">
        <f>IF(H1034="","",G1034&amp;"|"&amp;H1034)</f>
        <v/>
      </c>
      <c r="J1034" s="4" t="inlineStr">
        <is>
          <t>https://www.google.com/maps/search/?api=1&amp;query=Mesa%20%26%20Dados%20RPG&amp;query_place_id=ChIJCQjbhkDWASUR619JgvbzdFs</t>
        </is>
      </c>
      <c r="K1034" s="4" t="inlineStr">
        <is>
          <t>R. Basílio da Gama, 430 - Jardim Limoeiro, Serra - ES, 29164-355, Brasil</t>
        </is>
      </c>
      <c r="L1034" s="4" t="inlineStr">
        <is>
          <t>Vitória</t>
        </is>
      </c>
      <c r="M1034" s="5" t="n">
        <v>4</v>
      </c>
    </row>
    <row r="1035">
      <c r="A1035" s="3">
        <f>RAND()</f>
        <v/>
      </c>
      <c r="B1035" s="4" t="inlineStr">
        <is>
          <t>ChIJ7XGi3xIXuAARiTdzjnTSM8Q</t>
        </is>
      </c>
      <c r="C1035" s="4" t="inlineStr">
        <is>
          <t>A Rainha dos Dados</t>
        </is>
      </c>
      <c r="D1035" s="4" t="inlineStr">
        <is>
          <t>Vila Velha</t>
        </is>
      </c>
      <c r="E1035" s="4" t="inlineStr">
        <is>
          <t>ES</t>
        </is>
      </c>
      <c r="F1035" s="4" t="inlineStr">
        <is>
          <t>Metrópoles</t>
        </is>
      </c>
      <c r="G1035" s="4" t="inlineStr">
        <is>
          <t>Metrópole</t>
        </is>
      </c>
      <c r="H1035" s="5">
        <f>IF(G1035="fora do recorte","",SUMPRODUCT(($G$3:$G$1723=G1035)*($A$3:$A$1723&lt;=A1035)))</f>
        <v/>
      </c>
      <c r="I1035" s="4">
        <f>IF(H1035="","",G1035&amp;"|"&amp;H1035)</f>
        <v/>
      </c>
      <c r="J1035" s="4" t="inlineStr">
        <is>
          <t>https://www.google.com/maps/search/?api=1&amp;query=A%20Rainha%20dos%20Dados&amp;query_place_id=ChIJ7XGi3xIXuAARiTdzjnTSM8Q</t>
        </is>
      </c>
      <c r="K1035" s="4" t="inlineStr">
        <is>
          <t>R. Antônio Ataíde, 323 - Centro de Vila Velha, Vila Velha - ES, 29100-295, Brasil</t>
        </is>
      </c>
      <c r="L1035" s="4" t="inlineStr">
        <is>
          <t>Vitória</t>
        </is>
      </c>
      <c r="M1035" s="5" t="n">
        <v>6</v>
      </c>
    </row>
    <row r="1036">
      <c r="A1036" s="3">
        <f>RAND()</f>
        <v/>
      </c>
      <c r="B1036" s="4" t="inlineStr">
        <is>
          <t>ChIJ7Sv8cqUXuAARMny_wRPKWhU</t>
        </is>
      </c>
      <c r="C1036" s="4" t="inlineStr">
        <is>
          <t>Aventura Kids Vila Velha</t>
        </is>
      </c>
      <c r="D1036" s="4" t="inlineStr">
        <is>
          <t>Vila Velha</t>
        </is>
      </c>
      <c r="E1036" s="4" t="inlineStr">
        <is>
          <t>ES</t>
        </is>
      </c>
      <c r="F1036" s="4" t="inlineStr">
        <is>
          <t>Metrópoles</t>
        </is>
      </c>
      <c r="G1036" s="4" t="inlineStr">
        <is>
          <t>Metrópole</t>
        </is>
      </c>
      <c r="H1036" s="5">
        <f>IF(G1036="fora do recorte","",SUMPRODUCT(($G$3:$G$1723=G1036)*($A$3:$A$1723&lt;=A1036)))</f>
        <v/>
      </c>
      <c r="I1036" s="4">
        <f>IF(H1036="","",G1036&amp;"|"&amp;H1036)</f>
        <v/>
      </c>
      <c r="J1036" s="4" t="inlineStr">
        <is>
          <t>https://www.google.com/maps/search/?api=1&amp;query=Aventura%20Kids%20Vila%20Velha&amp;query_place_id=ChIJ7Sv8cqUXuAARMny_wRPKWhU</t>
        </is>
      </c>
      <c r="K1036" s="4" t="inlineStr">
        <is>
          <t>Shopping Vila Velha - Av. Luciano das Neves, 2418 - Piso Térreo - Divino Espírito Santo, Vila Velha - ES, 29107-900, Brasil</t>
        </is>
      </c>
      <c r="L1036" s="4" t="inlineStr">
        <is>
          <t>Vitória</t>
        </is>
      </c>
      <c r="M1036" s="5" t="n">
        <v>1</v>
      </c>
    </row>
    <row r="1037">
      <c r="A1037" s="3">
        <f>RAND()</f>
        <v/>
      </c>
      <c r="B1037" s="4" t="inlineStr">
        <is>
          <t>ChIJfyav9YI9uAARjwbBqcRm2_k</t>
        </is>
      </c>
      <c r="C1037" s="4" t="inlineStr">
        <is>
          <t>Café Geek Cafeteria e Ludoteca</t>
        </is>
      </c>
      <c r="D1037" s="4" t="inlineStr">
        <is>
          <t>Vila Velha</t>
        </is>
      </c>
      <c r="E1037" s="4" t="inlineStr">
        <is>
          <t>ES</t>
        </is>
      </c>
      <c r="F1037" s="4" t="inlineStr">
        <is>
          <t>Metrópoles</t>
        </is>
      </c>
      <c r="G1037" s="4" t="inlineStr">
        <is>
          <t>Metrópole</t>
        </is>
      </c>
      <c r="H1037" s="5">
        <f>IF(G1037="fora do recorte","",SUMPRODUCT(($G$3:$G$1723=G1037)*($A$3:$A$1723&lt;=A1037)))</f>
        <v/>
      </c>
      <c r="I1037" s="4">
        <f>IF(H1037="","",G1037&amp;"|"&amp;H1037)</f>
        <v/>
      </c>
      <c r="J1037" s="4" t="inlineStr">
        <is>
          <t>https://www.google.com/maps/search/?api=1&amp;query=Caf%C3%A9%20Geek%20Cafeteria%20e%20Ludoteca&amp;query_place_id=ChIJfyav9YI9uAARjwbBqcRm2_k</t>
        </is>
      </c>
      <c r="K1037" s="4" t="inlineStr">
        <is>
          <t>R. São Marcos, 127 - Santa Inês, Vila Velha - ES, 29108-050, Brasil</t>
        </is>
      </c>
      <c r="L1037" s="4" t="inlineStr">
        <is>
          <t>Boa Vista; Vitória</t>
        </is>
      </c>
      <c r="M1037" s="5" t="n">
        <v>3</v>
      </c>
    </row>
    <row r="1038">
      <c r="A1038" s="3">
        <f>RAND()</f>
        <v/>
      </c>
      <c r="B1038" s="4" t="inlineStr">
        <is>
          <t>ChIJqZUpBqMVuAAR6sqHOUcnhvM</t>
        </is>
      </c>
      <c r="C1038" s="4" t="inlineStr">
        <is>
          <t>Vila Geek</t>
        </is>
      </c>
      <c r="D1038" s="4" t="inlineStr">
        <is>
          <t>Vila Velha</t>
        </is>
      </c>
      <c r="E1038" s="4" t="inlineStr">
        <is>
          <t>ES</t>
        </is>
      </c>
      <c r="F1038" s="4" t="inlineStr">
        <is>
          <t>Metrópoles</t>
        </is>
      </c>
      <c r="G1038" s="4" t="inlineStr">
        <is>
          <t>Metrópole</t>
        </is>
      </c>
      <c r="H1038" s="5">
        <f>IF(G1038="fora do recorte","",SUMPRODUCT(($G$3:$G$1723=G1038)*($A$3:$A$1723&lt;=A1038)))</f>
        <v/>
      </c>
      <c r="I1038" s="4">
        <f>IF(H1038="","",G1038&amp;"|"&amp;H1038)</f>
        <v/>
      </c>
      <c r="J1038" s="4" t="inlineStr">
        <is>
          <t>https://www.google.com/maps/search/?api=1&amp;query=Vila%20Geek&amp;query_place_id=ChIJqZUpBqMVuAAR6sqHOUcnhvM</t>
        </is>
      </c>
      <c r="K1038" s="4" t="inlineStr">
        <is>
          <t>Av. Saturnino Rangel Mauro, 1955 - Lj 4 - Praia de Itaparica, Vila Velha - ES, 29102-037, Brasil</t>
        </is>
      </c>
      <c r="L1038" s="4" t="inlineStr">
        <is>
          <t>Vitória</t>
        </is>
      </c>
      <c r="M1038" s="5" t="n">
        <v>2</v>
      </c>
    </row>
    <row r="1039">
      <c r="A1039" s="3">
        <f>RAND()</f>
        <v/>
      </c>
      <c r="B1039" s="4" t="inlineStr">
        <is>
          <t>ChIJx-vbBdg9uAARWjmMZo-VINc</t>
        </is>
      </c>
      <c r="C1039" s="4" t="inlineStr">
        <is>
          <t>Anti-Heróis Cybercafé e Lan house</t>
        </is>
      </c>
      <c r="D1039" s="4" t="inlineStr">
        <is>
          <t>Vitória</t>
        </is>
      </c>
      <c r="E1039" s="4" t="inlineStr">
        <is>
          <t>ES</t>
        </is>
      </c>
      <c r="F1039" s="4" t="inlineStr">
        <is>
          <t>Metrópoles</t>
        </is>
      </c>
      <c r="G1039" s="4" t="inlineStr">
        <is>
          <t>Metrópole</t>
        </is>
      </c>
      <c r="H1039" s="5">
        <f>IF(G1039="fora do recorte","",SUMPRODUCT(($G$3:$G$1723=G1039)*($A$3:$A$1723&lt;=A1039)))</f>
        <v/>
      </c>
      <c r="I1039" s="4">
        <f>IF(H1039="","",G1039&amp;"|"&amp;H1039)</f>
        <v/>
      </c>
      <c r="J1039" s="4" t="inlineStr">
        <is>
          <t>https://www.google.com/maps/search/?api=1&amp;query=Anti-Her%C3%B3is%20Cybercaf%C3%A9%20e%20Lan%20house&amp;query_place_id=ChIJx-vbBdg9uAARWjmMZo-VINc</t>
        </is>
      </c>
      <c r="K1039" s="4" t="inlineStr">
        <is>
          <t>Av. Cel. José Martins de Figueiredo - Tabuazeiro, Vitória - ES, 29043-405, Brasil</t>
        </is>
      </c>
      <c r="L1039" s="4" t="inlineStr">
        <is>
          <t>Vitória</t>
        </is>
      </c>
      <c r="M1039" s="5" t="n">
        <v>1</v>
      </c>
    </row>
    <row r="1040">
      <c r="A1040" s="3">
        <f>RAND()</f>
        <v/>
      </c>
      <c r="B1040" s="4" t="inlineStr">
        <is>
          <t>ChIJCY91HGM9uAARECrUoDabkFQ</t>
        </is>
      </c>
      <c r="C1040" s="4" t="inlineStr">
        <is>
          <t>Bar do Neyber</t>
        </is>
      </c>
      <c r="D1040" s="4" t="inlineStr">
        <is>
          <t>Vitória</t>
        </is>
      </c>
      <c r="E1040" s="4" t="inlineStr">
        <is>
          <t>ES</t>
        </is>
      </c>
      <c r="F1040" s="4" t="inlineStr">
        <is>
          <t>Metrópoles</t>
        </is>
      </c>
      <c r="G1040" s="4" t="inlineStr">
        <is>
          <t>Metrópole</t>
        </is>
      </c>
      <c r="H1040" s="5">
        <f>IF(G1040="fora do recorte","",SUMPRODUCT(($G$3:$G$1723=G1040)*($A$3:$A$1723&lt;=A1040)))</f>
        <v/>
      </c>
      <c r="I1040" s="4">
        <f>IF(H1040="","",G1040&amp;"|"&amp;H1040)</f>
        <v/>
      </c>
      <c r="J1040" s="4" t="inlineStr">
        <is>
          <t>https://www.google.com/maps/search/?api=1&amp;query=Bar%20do%20Neyber&amp;query_place_id=ChIJCY91HGM9uAARECrUoDabkFQ</t>
        </is>
      </c>
      <c r="K1040" s="4" t="inlineStr">
        <is>
          <t>R. Dr. Américo de Oliveira, 143 - Consolação, Vitória - ES, 29045-140, Brasil</t>
        </is>
      </c>
      <c r="L1040" s="4" t="inlineStr">
        <is>
          <t>Vitória</t>
        </is>
      </c>
      <c r="M1040" s="5" t="n">
        <v>2</v>
      </c>
    </row>
    <row r="1041">
      <c r="A1041" s="3">
        <f>RAND()</f>
        <v/>
      </c>
      <c r="B1041" s="4" t="inlineStr">
        <is>
          <t>ChIJX8AjE9MXuAARraNMq0LyWBo</t>
        </is>
      </c>
      <c r="C1041" s="4" t="inlineStr">
        <is>
          <t>Brizz</t>
        </is>
      </c>
      <c r="D1041" s="4" t="inlineStr">
        <is>
          <t>Vitória</t>
        </is>
      </c>
      <c r="E1041" s="4" t="inlineStr">
        <is>
          <t>ES</t>
        </is>
      </c>
      <c r="F1041" s="4" t="inlineStr">
        <is>
          <t>Metrópoles</t>
        </is>
      </c>
      <c r="G1041" s="4" t="inlineStr">
        <is>
          <t>Metrópole</t>
        </is>
      </c>
      <c r="H1041" s="5">
        <f>IF(G1041="fora do recorte","",SUMPRODUCT(($G$3:$G$1723=G1041)*($A$3:$A$1723&lt;=A1041)))</f>
        <v/>
      </c>
      <c r="I1041" s="4">
        <f>IF(H1041="","",G1041&amp;"|"&amp;H1041)</f>
        <v/>
      </c>
      <c r="J1041" s="4" t="inlineStr">
        <is>
          <t>https://www.google.com/maps/search/?api=1&amp;query=Brizz&amp;query_place_id=ChIJX8AjE9MXuAARraNMq0LyWBo</t>
        </is>
      </c>
      <c r="K1041" s="4" t="inlineStr">
        <is>
          <t>Rua Judith Maria Tovar Varejão, 411 - Enseada do Suá, Vitória - ES, 29050-360, Brasil</t>
        </is>
      </c>
      <c r="L1041" s="4" t="inlineStr">
        <is>
          <t>Vitória</t>
        </is>
      </c>
      <c r="M1041" s="5" t="n">
        <v>1</v>
      </c>
    </row>
    <row r="1042">
      <c r="A1042" s="3">
        <f>RAND()</f>
        <v/>
      </c>
      <c r="B1042" s="4" t="inlineStr">
        <is>
          <t>ChIJJSXMmvYXuAAR1_m2nqHu9zw</t>
        </is>
      </c>
      <c r="C1042" s="4" t="inlineStr">
        <is>
          <t>Cafezinho Games (somente jogos de tabuleiro)</t>
        </is>
      </c>
      <c r="D1042" s="4" t="inlineStr">
        <is>
          <t>Vitória</t>
        </is>
      </c>
      <c r="E1042" s="4" t="inlineStr">
        <is>
          <t>ES</t>
        </is>
      </c>
      <c r="F1042" s="4" t="inlineStr">
        <is>
          <t>Metrópoles</t>
        </is>
      </c>
      <c r="G1042" s="4" t="inlineStr">
        <is>
          <t>Metrópole</t>
        </is>
      </c>
      <c r="H1042" s="5">
        <f>IF(G1042="fora do recorte","",SUMPRODUCT(($G$3:$G$1723=G1042)*($A$3:$A$1723&lt;=A1042)))</f>
        <v/>
      </c>
      <c r="I1042" s="4">
        <f>IF(H1042="","",G1042&amp;"|"&amp;H1042)</f>
        <v/>
      </c>
      <c r="J1042" s="4" t="inlineStr">
        <is>
          <t>https://www.google.com/maps/search/?api=1&amp;query=Cafezinho%20Games%20%28somente%20jogos%20de%20tabuleiro%29&amp;query_place_id=ChIJJSXMmvYXuAAR1_m2nqHu9zw</t>
        </is>
      </c>
      <c r="K1042" s="4" t="inlineStr">
        <is>
          <t>R. Gelu Vervloet dos Santos, 280 - Jardim Camburi, Vitória - ES, 29090-100, Brasil</t>
        </is>
      </c>
      <c r="L1042" s="4" t="inlineStr">
        <is>
          <t>Vitória</t>
        </is>
      </c>
      <c r="M1042" s="5" t="n">
        <v>5</v>
      </c>
    </row>
    <row r="1043">
      <c r="A1043" s="3">
        <f>RAND()</f>
        <v/>
      </c>
      <c r="B1043" s="4" t="inlineStr">
        <is>
          <t>ChIJb-fajK4ZuAARk8mlcefRJo8</t>
        </is>
      </c>
      <c r="C1043" s="4" t="inlineStr">
        <is>
          <t>Casa Lúdica | Loja de Brinquedos Educativos em Vitória</t>
        </is>
      </c>
      <c r="D1043" s="4" t="inlineStr">
        <is>
          <t>Vitória</t>
        </is>
      </c>
      <c r="E1043" s="4" t="inlineStr">
        <is>
          <t>ES</t>
        </is>
      </c>
      <c r="F1043" s="4" t="inlineStr">
        <is>
          <t>Metrópoles</t>
        </is>
      </c>
      <c r="G1043" s="4" t="inlineStr">
        <is>
          <t>Metrópole</t>
        </is>
      </c>
      <c r="H1043" s="5">
        <f>IF(G1043="fora do recorte","",SUMPRODUCT(($G$3:$G$1723=G1043)*($A$3:$A$1723&lt;=A1043)))</f>
        <v/>
      </c>
      <c r="I1043" s="4">
        <f>IF(H1043="","",G1043&amp;"|"&amp;H1043)</f>
        <v/>
      </c>
      <c r="J1043" s="4" t="inlineStr">
        <is>
          <t>https://www.google.com/maps/search/?api=1&amp;query=Casa%20L%C3%BAdica%20%7C%20Loja%20de%20Brinquedos%20Educativos%20em%20Vit%C3%B3ria&amp;query_place_id=ChIJb-fajK4ZuAARk8mlcefRJo8</t>
        </is>
      </c>
      <c r="K1043" s="4" t="inlineStr">
        <is>
          <t>EDIF IVARDE PEREIRA GOMES - R. Comissário Octávio Queiroz, 881 - Lj 02 - Jardim da Penha, Vitória - ES, 29060-270, Brasil</t>
        </is>
      </c>
      <c r="L1043" s="4" t="inlineStr">
        <is>
          <t>Vitória</t>
        </is>
      </c>
      <c r="M1043" s="5" t="n">
        <v>1</v>
      </c>
    </row>
    <row r="1044">
      <c r="A1044" s="3">
        <f>RAND()</f>
        <v/>
      </c>
      <c r="B1044" s="4" t="inlineStr">
        <is>
          <t>ChIJs1mLEhwYuAARLMxt9ng_Oqk</t>
        </is>
      </c>
      <c r="C1044" s="4" t="inlineStr">
        <is>
          <t>Casa Santa Clara</t>
        </is>
      </c>
      <c r="D1044" s="4" t="inlineStr">
        <is>
          <t>Vitória</t>
        </is>
      </c>
      <c r="E1044" s="4" t="inlineStr">
        <is>
          <t>ES</t>
        </is>
      </c>
      <c r="F1044" s="4" t="inlineStr">
        <is>
          <t>Metrópoles</t>
        </is>
      </c>
      <c r="G1044" s="4" t="inlineStr">
        <is>
          <t>Metrópole</t>
        </is>
      </c>
      <c r="H1044" s="5">
        <f>IF(G1044="fora do recorte","",SUMPRODUCT(($G$3:$G$1723=G1044)*($A$3:$A$1723&lt;=A1044)))</f>
        <v/>
      </c>
      <c r="I1044" s="4">
        <f>IF(H1044="","",G1044&amp;"|"&amp;H1044)</f>
        <v/>
      </c>
      <c r="J1044" s="4" t="inlineStr">
        <is>
          <t>https://www.google.com/maps/search/?api=1&amp;query=Casa%20Santa%20Clara&amp;query_place_id=ChIJs1mLEhwYuAARLMxt9ng_Oqk</t>
        </is>
      </c>
      <c r="K1044" s="4" t="inlineStr">
        <is>
          <t>Av. Des. Dermeval Lyrio, 640 - Mata da Praia, Vitória - ES, 29065-340, Brasil</t>
        </is>
      </c>
      <c r="L1044" s="4" t="inlineStr">
        <is>
          <t>Vitória</t>
        </is>
      </c>
      <c r="M1044" s="5" t="n">
        <v>1</v>
      </c>
    </row>
    <row r="1045">
      <c r="A1045" s="3">
        <f>RAND()</f>
        <v/>
      </c>
      <c r="B1045" s="4" t="inlineStr">
        <is>
          <t>ChIJu2kflnA9uAARY6aEDfbxSxA</t>
        </is>
      </c>
      <c r="C1045" s="4" t="inlineStr">
        <is>
          <t>Ceará Bar</t>
        </is>
      </c>
      <c r="D1045" s="4" t="inlineStr">
        <is>
          <t>Vitória</t>
        </is>
      </c>
      <c r="E1045" s="4" t="inlineStr">
        <is>
          <t>ES</t>
        </is>
      </c>
      <c r="F1045" s="4" t="inlineStr">
        <is>
          <t>Metrópoles</t>
        </is>
      </c>
      <c r="G1045" s="4" t="inlineStr">
        <is>
          <t>Metrópole</t>
        </is>
      </c>
      <c r="H1045" s="5">
        <f>IF(G1045="fora do recorte","",SUMPRODUCT(($G$3:$G$1723=G1045)*($A$3:$A$1723&lt;=A1045)))</f>
        <v/>
      </c>
      <c r="I1045" s="4">
        <f>IF(H1045="","",G1045&amp;"|"&amp;H1045)</f>
        <v/>
      </c>
      <c r="J1045" s="4" t="inlineStr">
        <is>
          <t>https://www.google.com/maps/search/?api=1&amp;query=Cear%C3%A1%20Bar&amp;query_place_id=ChIJu2kflnA9uAARY6aEDfbxSxA</t>
        </is>
      </c>
      <c r="K1045" s="4" t="inlineStr">
        <is>
          <t>Av. Paulino Muller, 916 - Jucutuquara, Vitória - ES, 29040-712, Brasil</t>
        </is>
      </c>
      <c r="L1045" s="4" t="inlineStr">
        <is>
          <t>Vitória</t>
        </is>
      </c>
      <c r="M1045" s="5" t="n">
        <v>1</v>
      </c>
    </row>
    <row r="1046">
      <c r="A1046" s="3">
        <f>RAND()</f>
        <v/>
      </c>
      <c r="B1046" s="4" t="inlineStr">
        <is>
          <t>ChIJe9qE7c4XuAAR3bEbHvHhR7o</t>
        </is>
      </c>
      <c r="C1046" s="4" t="inlineStr">
        <is>
          <t>Centro do Comércio de Café de Vitória</t>
        </is>
      </c>
      <c r="D1046" s="4" t="inlineStr">
        <is>
          <t>Vitória</t>
        </is>
      </c>
      <c r="E1046" s="4" t="inlineStr">
        <is>
          <t>ES</t>
        </is>
      </c>
      <c r="F1046" s="4" t="inlineStr">
        <is>
          <t>Metrópoles</t>
        </is>
      </c>
      <c r="G1046" s="4" t="inlineStr">
        <is>
          <t>Metrópole</t>
        </is>
      </c>
      <c r="H1046" s="5">
        <f>IF(G1046="fora do recorte","",SUMPRODUCT(($G$3:$G$1723=G1046)*($A$3:$A$1723&lt;=A1046)))</f>
        <v/>
      </c>
      <c r="I1046" s="4">
        <f>IF(H1046="","",G1046&amp;"|"&amp;H1046)</f>
        <v/>
      </c>
      <c r="J1046" s="4" t="inlineStr">
        <is>
          <t>https://www.google.com/maps/search/?api=1&amp;query=Centro%20do%20Com%C3%A9rcio%20de%20Caf%C3%A9%20de%20Vit%C3%B3ria&amp;query_place_id=ChIJe9qE7c4XuAAR3bEbHvHhR7o</t>
        </is>
      </c>
      <c r="K1046" s="4" t="inlineStr">
        <is>
          <t>Av. Nossa Sra. dos Navegantes, 675 - Praia do Suá, Vitória - ES, 29050-335, Brasil</t>
        </is>
      </c>
      <c r="L1046" s="4" t="inlineStr">
        <is>
          <t>Vitória</t>
        </is>
      </c>
      <c r="M1046" s="5" t="n">
        <v>1</v>
      </c>
    </row>
    <row r="1047">
      <c r="A1047" s="3">
        <f>RAND()</f>
        <v/>
      </c>
      <c r="B1047" s="4" t="inlineStr">
        <is>
          <t>ChIJBfOSr-0XuAAR3EM-0LoG9OA</t>
        </is>
      </c>
      <c r="C1047" s="4" t="inlineStr">
        <is>
          <t>Di DomDom Botequim</t>
        </is>
      </c>
      <c r="D1047" s="4" t="inlineStr">
        <is>
          <t>Vitória</t>
        </is>
      </c>
      <c r="E1047" s="4" t="inlineStr">
        <is>
          <t>ES</t>
        </is>
      </c>
      <c r="F1047" s="4" t="inlineStr">
        <is>
          <t>Metrópoles</t>
        </is>
      </c>
      <c r="G1047" s="4" t="inlineStr">
        <is>
          <t>Metrópole</t>
        </is>
      </c>
      <c r="H1047" s="5">
        <f>IF(G1047="fora do recorte","",SUMPRODUCT(($G$3:$G$1723=G1047)*($A$3:$A$1723&lt;=A1047)))</f>
        <v/>
      </c>
      <c r="I1047" s="4">
        <f>IF(H1047="","",G1047&amp;"|"&amp;H1047)</f>
        <v/>
      </c>
      <c r="J1047" s="4" t="inlineStr">
        <is>
          <t>https://www.google.com/maps/search/?api=1&amp;query=Di%20DomDom%20Botequim&amp;query_place_id=ChIJBfOSr-0XuAAR3EM-0LoG9OA</t>
        </is>
      </c>
      <c r="K1047" s="4" t="inlineStr">
        <is>
          <t>R. João da Cruz, 150 - Praia do Canto, Vitória - ES, 29055-460, Brasil</t>
        </is>
      </c>
      <c r="L1047" s="4" t="inlineStr">
        <is>
          <t>Vitória</t>
        </is>
      </c>
      <c r="M1047" s="5" t="n">
        <v>1</v>
      </c>
    </row>
    <row r="1048">
      <c r="A1048" s="3">
        <f>RAND()</f>
        <v/>
      </c>
      <c r="B1048" s="4" t="inlineStr">
        <is>
          <t>ChIJK-KwI_QXuAARh6EVVuDf3_8</t>
        </is>
      </c>
      <c r="C1048" s="4" t="inlineStr">
        <is>
          <t>Divino Botequim</t>
        </is>
      </c>
      <c r="D1048" s="4" t="inlineStr">
        <is>
          <t>Vitória</t>
        </is>
      </c>
      <c r="E1048" s="4" t="inlineStr">
        <is>
          <t>ES</t>
        </is>
      </c>
      <c r="F1048" s="4" t="inlineStr">
        <is>
          <t>Metrópoles</t>
        </is>
      </c>
      <c r="G1048" s="4" t="inlineStr">
        <is>
          <t>Metrópole</t>
        </is>
      </c>
      <c r="H1048" s="5">
        <f>IF(G1048="fora do recorte","",SUMPRODUCT(($G$3:$G$1723=G1048)*($A$3:$A$1723&lt;=A1048)))</f>
        <v/>
      </c>
      <c r="I1048" s="4">
        <f>IF(H1048="","",G1048&amp;"|"&amp;H1048)</f>
        <v/>
      </c>
      <c r="J1048" s="4" t="inlineStr">
        <is>
          <t>https://www.google.com/maps/search/?api=1&amp;query=Divino%20Botequim&amp;query_place_id=ChIJK-KwI_QXuAARh6EVVuDf3_8</t>
        </is>
      </c>
      <c r="K1048" s="4" t="inlineStr">
        <is>
          <t>R. Eugenílio Ramos, 236 - Jardim da Penha, Vitória - ES, 29060-130, Brasil</t>
        </is>
      </c>
      <c r="L1048" s="4" t="inlineStr">
        <is>
          <t>Vitória</t>
        </is>
      </c>
      <c r="M1048" s="5" t="n">
        <v>1</v>
      </c>
    </row>
    <row r="1049">
      <c r="A1049" s="3">
        <f>RAND()</f>
        <v/>
      </c>
      <c r="B1049" s="4" t="inlineStr">
        <is>
          <t>ChIJP2CYyeE9uAARml4aA07Xs_M</t>
        </is>
      </c>
      <c r="C1049" s="4" t="inlineStr">
        <is>
          <t>Espaço brincar</t>
        </is>
      </c>
      <c r="D1049" s="4" t="inlineStr">
        <is>
          <t>Vitória</t>
        </is>
      </c>
      <c r="E1049" s="4" t="inlineStr">
        <is>
          <t>ES</t>
        </is>
      </c>
      <c r="F1049" s="4" t="inlineStr">
        <is>
          <t>Metrópoles</t>
        </is>
      </c>
      <c r="G1049" s="4" t="inlineStr">
        <is>
          <t>Metrópole</t>
        </is>
      </c>
      <c r="H1049" s="5">
        <f>IF(G1049="fora do recorte","",SUMPRODUCT(($G$3:$G$1723=G1049)*($A$3:$A$1723&lt;=A1049)))</f>
        <v/>
      </c>
      <c r="I1049" s="4">
        <f>IF(H1049="","",G1049&amp;"|"&amp;H1049)</f>
        <v/>
      </c>
      <c r="J1049" s="4" t="inlineStr">
        <is>
          <t>https://www.google.com/maps/search/?api=1&amp;query=Espa%C3%A7o%20brincar&amp;query_place_id=ChIJP2CYyeE9uAARml4aA07Xs_M</t>
        </is>
      </c>
      <c r="K1049" s="4" t="inlineStr">
        <is>
          <t>R. Welste Guida, 110 - Maruípe, Vitória - ES, 29043-051, Brasil</t>
        </is>
      </c>
      <c r="L1049" s="4" t="inlineStr">
        <is>
          <t>Vitória</t>
        </is>
      </c>
      <c r="M1049" s="5" t="n">
        <v>1</v>
      </c>
    </row>
    <row r="1050">
      <c r="A1050" s="3">
        <f>RAND()</f>
        <v/>
      </c>
      <c r="B1050" s="4" t="inlineStr">
        <is>
          <t>ChIJ8UAbVQAXuAAR0qU-Q5RO4OU</t>
        </is>
      </c>
      <c r="C1050" s="4" t="inlineStr">
        <is>
          <t>Game Point - Shopping Vitória</t>
        </is>
      </c>
      <c r="D1050" s="4" t="inlineStr">
        <is>
          <t>Vitória</t>
        </is>
      </c>
      <c r="E1050" s="4" t="inlineStr">
        <is>
          <t>ES</t>
        </is>
      </c>
      <c r="F1050" s="4" t="inlineStr">
        <is>
          <t>Metrópoles</t>
        </is>
      </c>
      <c r="G1050" s="4" t="inlineStr">
        <is>
          <t>Metrópole</t>
        </is>
      </c>
      <c r="H1050" s="5">
        <f>IF(G1050="fora do recorte","",SUMPRODUCT(($G$3:$G$1723=G1050)*($A$3:$A$1723&lt;=A1050)))</f>
        <v/>
      </c>
      <c r="I1050" s="4">
        <f>IF(H1050="","",G1050&amp;"|"&amp;H1050)</f>
        <v/>
      </c>
      <c r="J1050" s="4" t="inlineStr">
        <is>
          <t>https://www.google.com/maps/search/?api=1&amp;query=Game%20Point%20-%20Shopping%20Vit%C3%B3ria&amp;query_place_id=ChIJ8UAbVQAXuAAR0qU-Q5RO4OU</t>
        </is>
      </c>
      <c r="K1050" s="4" t="inlineStr">
        <is>
          <t>Av. Américo Buaiz, 200 - Enseada do Suá, Vitória - ES, 29050-420, Brasil</t>
        </is>
      </c>
      <c r="L1050" s="4" t="inlineStr">
        <is>
          <t>Vitória</t>
        </is>
      </c>
      <c r="M1050" s="5" t="n">
        <v>1</v>
      </c>
    </row>
    <row r="1051">
      <c r="A1051" s="3">
        <f>RAND()</f>
        <v/>
      </c>
      <c r="B1051" s="4" t="inlineStr">
        <is>
          <t>ChIJ3dMuwxEYuAAReJwMiszmqBg</t>
        </is>
      </c>
      <c r="C1051" s="4" t="inlineStr">
        <is>
          <t>Ilha Kids Cerimonial</t>
        </is>
      </c>
      <c r="D1051" s="4" t="inlineStr">
        <is>
          <t>Vitória</t>
        </is>
      </c>
      <c r="E1051" s="4" t="inlineStr">
        <is>
          <t>ES</t>
        </is>
      </c>
      <c r="F1051" s="4" t="inlineStr">
        <is>
          <t>Metrópoles</t>
        </is>
      </c>
      <c r="G1051" s="4" t="inlineStr">
        <is>
          <t>Metrópole</t>
        </is>
      </c>
      <c r="H1051" s="5">
        <f>IF(G1051="fora do recorte","",SUMPRODUCT(($G$3:$G$1723=G1051)*($A$3:$A$1723&lt;=A1051)))</f>
        <v/>
      </c>
      <c r="I1051" s="4">
        <f>IF(H1051="","",G1051&amp;"|"&amp;H1051)</f>
        <v/>
      </c>
      <c r="J1051" s="4" t="inlineStr">
        <is>
          <t>https://www.google.com/maps/search/?api=1&amp;query=Ilha%20Kids%20Cerimonial&amp;query_place_id=ChIJ3dMuwxEYuAAReJwMiszmqBg</t>
        </is>
      </c>
      <c r="K1051" s="4" t="inlineStr">
        <is>
          <t>Av. Pres. Costa e Silva, 146 - Republica, Vitória - ES, 29075-020, Brasil</t>
        </is>
      </c>
      <c r="L1051" s="4" t="inlineStr">
        <is>
          <t>Vitória</t>
        </is>
      </c>
      <c r="M1051" s="5" t="n">
        <v>1</v>
      </c>
    </row>
    <row r="1052">
      <c r="A1052" s="3">
        <f>RAND()</f>
        <v/>
      </c>
      <c r="B1052" s="4" t="inlineStr">
        <is>
          <t>ChIJBfbHGBAXuAARabgxg4BssgQ</t>
        </is>
      </c>
      <c r="C1052" s="4" t="inlineStr">
        <is>
          <t>Jardim dos Brinquedos</t>
        </is>
      </c>
      <c r="D1052" s="4" t="inlineStr">
        <is>
          <t>Vitória</t>
        </is>
      </c>
      <c r="E1052" s="4" t="inlineStr">
        <is>
          <t>ES</t>
        </is>
      </c>
      <c r="F1052" s="4" t="inlineStr">
        <is>
          <t>Metrópoles</t>
        </is>
      </c>
      <c r="G1052" s="4" t="inlineStr">
        <is>
          <t>Metrópole</t>
        </is>
      </c>
      <c r="H1052" s="5">
        <f>IF(G1052="fora do recorte","",SUMPRODUCT(($G$3:$G$1723=G1052)*($A$3:$A$1723&lt;=A1052)))</f>
        <v/>
      </c>
      <c r="I1052" s="4">
        <f>IF(H1052="","",G1052&amp;"|"&amp;H1052)</f>
        <v/>
      </c>
      <c r="J1052" s="4" t="inlineStr">
        <is>
          <t>https://www.google.com/maps/search/?api=1&amp;query=Jardim%20dos%20Brinquedos&amp;query_place_id=ChIJBfbHGBAXuAARabgxg4BssgQ</t>
        </is>
      </c>
      <c r="K1052" s="4" t="inlineStr">
        <is>
          <t>R. Elesbão Linhares, 15 - lojas 20 e 21 - Praia do Canto, Vitória - ES, 29055-340, Brasil</t>
        </is>
      </c>
      <c r="L1052" s="4" t="inlineStr">
        <is>
          <t>Vitória</t>
        </is>
      </c>
      <c r="M1052" s="5" t="n">
        <v>1</v>
      </c>
    </row>
    <row r="1053">
      <c r="A1053" s="3">
        <f>RAND()</f>
        <v/>
      </c>
      <c r="B1053" s="4" t="inlineStr">
        <is>
          <t>ChIJGwVljPkXuAARP7bicxRAsY0</t>
        </is>
      </c>
      <c r="C1053" s="4" t="inlineStr">
        <is>
          <t>Jardim dos Brinquedos</t>
        </is>
      </c>
      <c r="D1053" s="4" t="inlineStr">
        <is>
          <t>Vitória</t>
        </is>
      </c>
      <c r="E1053" s="4" t="inlineStr">
        <is>
          <t>ES</t>
        </is>
      </c>
      <c r="F1053" s="4" t="inlineStr">
        <is>
          <t>Metrópoles</t>
        </is>
      </c>
      <c r="G1053" s="4" t="inlineStr">
        <is>
          <t>Metrópole</t>
        </is>
      </c>
      <c r="H1053" s="5">
        <f>IF(G1053="fora do recorte","",SUMPRODUCT(($G$3:$G$1723=G1053)*($A$3:$A$1723&lt;=A1053)))</f>
        <v/>
      </c>
      <c r="I1053" s="4">
        <f>IF(H1053="","",G1053&amp;"|"&amp;H1053)</f>
        <v/>
      </c>
      <c r="J1053" s="4" t="inlineStr">
        <is>
          <t>https://www.google.com/maps/search/?api=1&amp;query=Jardim%20dos%20Brinquedos&amp;query_place_id=ChIJGwVljPkXuAARP7bicxRAsY0</t>
        </is>
      </c>
      <c r="K1053" s="4" t="inlineStr">
        <is>
          <t>R. Maria Eleonora Pereira, 520 - Lj 03 - Jardim da Penha, Vitória - ES, 29060-180, Brasil</t>
        </is>
      </c>
      <c r="L1053" s="4" t="inlineStr">
        <is>
          <t>Vitória</t>
        </is>
      </c>
      <c r="M1053" s="5" t="n">
        <v>1</v>
      </c>
    </row>
    <row r="1054">
      <c r="A1054" s="3">
        <f>RAND()</f>
        <v/>
      </c>
      <c r="B1054" s="4" t="inlineStr">
        <is>
          <t>ChIJI4n9c7gXuAARZJf6Au4DxZo</t>
        </is>
      </c>
      <c r="C1054" s="4" t="inlineStr">
        <is>
          <t>Kalunga - Vitória</t>
        </is>
      </c>
      <c r="D1054" s="4" t="inlineStr">
        <is>
          <t>Vitória</t>
        </is>
      </c>
      <c r="E1054" s="4" t="inlineStr">
        <is>
          <t>ES</t>
        </is>
      </c>
      <c r="F1054" s="4" t="inlineStr">
        <is>
          <t>Metrópoles</t>
        </is>
      </c>
      <c r="G1054" s="4" t="inlineStr">
        <is>
          <t>Metrópole</t>
        </is>
      </c>
      <c r="H1054" s="5">
        <f>IF(G1054="fora do recorte","",SUMPRODUCT(($G$3:$G$1723=G1054)*($A$3:$A$1723&lt;=A1054)))</f>
        <v/>
      </c>
      <c r="I1054" s="4">
        <f>IF(H1054="","",G1054&amp;"|"&amp;H1054)</f>
        <v/>
      </c>
      <c r="J1054" s="4" t="inlineStr">
        <is>
          <t>https://www.google.com/maps/search/?api=1&amp;query=Kalunga%20-%20Vit%C3%B3ria&amp;query_place_id=ChIJI4n9c7gXuAARZJf6Au4DxZo</t>
        </is>
      </c>
      <c r="K1054" s="4" t="inlineStr">
        <is>
          <t>Av. Americo Buaiz, 200 Shopping Vitória - Loja 247 - Enseada do Suá, Vitória - ES, 29050-902, Brasil</t>
        </is>
      </c>
      <c r="L1054" s="4" t="inlineStr">
        <is>
          <t>Vitória</t>
        </is>
      </c>
      <c r="M1054" s="5" t="n">
        <v>1</v>
      </c>
    </row>
    <row r="1055">
      <c r="A1055" s="3">
        <f>RAND()</f>
        <v/>
      </c>
      <c r="B1055" s="4" t="inlineStr">
        <is>
          <t>ChIJtc4YN_sXuAARte3zvMSx6_A</t>
        </is>
      </c>
      <c r="C1055" s="4" t="inlineStr">
        <is>
          <t>LOS FEIM</t>
        </is>
      </c>
      <c r="D1055" s="4" t="inlineStr">
        <is>
          <t>Vitória</t>
        </is>
      </c>
      <c r="E1055" s="4" t="inlineStr">
        <is>
          <t>ES</t>
        </is>
      </c>
      <c r="F1055" s="4" t="inlineStr">
        <is>
          <t>Metrópoles</t>
        </is>
      </c>
      <c r="G1055" s="4" t="inlineStr">
        <is>
          <t>Metrópole</t>
        </is>
      </c>
      <c r="H1055" s="5">
        <f>IF(G1055="fora do recorte","",SUMPRODUCT(($G$3:$G$1723=G1055)*($A$3:$A$1723&lt;=A1055)))</f>
        <v/>
      </c>
      <c r="I1055" s="4">
        <f>IF(H1055="","",G1055&amp;"|"&amp;H1055)</f>
        <v/>
      </c>
      <c r="J1055" s="4" t="inlineStr">
        <is>
          <t>https://www.google.com/maps/search/?api=1&amp;query=LOS%20FEIM&amp;query_place_id=ChIJtc4YN_sXuAARte3zvMSx6_A</t>
        </is>
      </c>
      <c r="K1055" s="4" t="inlineStr">
        <is>
          <t>R. Pio XII - Jesus de Nazareth, Vitória - ES, 29052-025, Brasil</t>
        </is>
      </c>
      <c r="L1055" s="4" t="inlineStr">
        <is>
          <t>Vitória</t>
        </is>
      </c>
      <c r="M1055" s="5" t="n">
        <v>5</v>
      </c>
    </row>
    <row r="1056">
      <c r="A1056" s="3">
        <f>RAND()</f>
        <v/>
      </c>
      <c r="B1056" s="4" t="inlineStr">
        <is>
          <t>ChIJWwwVphAYuAARpbFNtMj5MqA</t>
        </is>
      </c>
      <c r="C1056" s="4" t="inlineStr">
        <is>
          <t>La Dolina - Restaurante Argentino Vitória</t>
        </is>
      </c>
      <c r="D1056" s="4" t="inlineStr">
        <is>
          <t>Vitória</t>
        </is>
      </c>
      <c r="E1056" s="4" t="inlineStr">
        <is>
          <t>ES</t>
        </is>
      </c>
      <c r="F1056" s="4" t="inlineStr">
        <is>
          <t>Metrópoles</t>
        </is>
      </c>
      <c r="G1056" s="4" t="inlineStr">
        <is>
          <t>Metrópole</t>
        </is>
      </c>
      <c r="H1056" s="5">
        <f>IF(G1056="fora do recorte","",SUMPRODUCT(($G$3:$G$1723=G1056)*($A$3:$A$1723&lt;=A1056)))</f>
        <v/>
      </c>
      <c r="I1056" s="4">
        <f>IF(H1056="","",G1056&amp;"|"&amp;H1056)</f>
        <v/>
      </c>
      <c r="J1056" s="4" t="inlineStr">
        <is>
          <t>https://www.google.com/maps/search/?api=1&amp;query=La%20Dolina%20-%20Restaurante%20Argentino%20Vit%C3%B3ria&amp;query_place_id=ChIJWwwVphAYuAARpbFNtMj5MqA</t>
        </is>
      </c>
      <c r="K1056" s="4" t="inlineStr">
        <is>
          <t>Av. Rosendo Serapião de Souza Filho, 696 - Republica, Vitória - ES, 29070-170, Brasil</t>
        </is>
      </c>
      <c r="L1056" s="4" t="inlineStr">
        <is>
          <t>Vitória</t>
        </is>
      </c>
      <c r="M1056" s="5" t="n">
        <v>1</v>
      </c>
    </row>
    <row r="1057">
      <c r="A1057" s="3">
        <f>RAND()</f>
        <v/>
      </c>
      <c r="B1057" s="4" t="inlineStr">
        <is>
          <t>ChIJm7OxcRAXuAAREcnuTC-9PtQ</t>
        </is>
      </c>
      <c r="C1057" s="4" t="inlineStr">
        <is>
          <t>Level 1 Games</t>
        </is>
      </c>
      <c r="D1057" s="4" t="inlineStr">
        <is>
          <t>Vitória</t>
        </is>
      </c>
      <c r="E1057" s="4" t="inlineStr">
        <is>
          <t>ES</t>
        </is>
      </c>
      <c r="F1057" s="4" t="inlineStr">
        <is>
          <t>Metrópoles</t>
        </is>
      </c>
      <c r="G1057" s="4" t="inlineStr">
        <is>
          <t>Metrópole</t>
        </is>
      </c>
      <c r="H1057" s="5">
        <f>IF(G1057="fora do recorte","",SUMPRODUCT(($G$3:$G$1723=G1057)*($A$3:$A$1723&lt;=A1057)))</f>
        <v/>
      </c>
      <c r="I1057" s="4">
        <f>IF(H1057="","",G1057&amp;"|"&amp;H1057)</f>
        <v/>
      </c>
      <c r="J1057" s="4" t="inlineStr">
        <is>
          <t>https://www.google.com/maps/search/?api=1&amp;query=Level%201%20Games&amp;query_place_id=ChIJm7OxcRAXuAAREcnuTC-9PtQ</t>
        </is>
      </c>
      <c r="K1057" s="4" t="inlineStr">
        <is>
          <t>Masterplace mall - Av. Nossa Sra. da Penha, 2150 - Lj 57 C - Barro Vermelho, Vitória - ES, 29057-565, Brasil</t>
        </is>
      </c>
      <c r="L1057" s="4" t="inlineStr">
        <is>
          <t>Vitória</t>
        </is>
      </c>
      <c r="M1057" s="5" t="n">
        <v>2</v>
      </c>
    </row>
    <row r="1058">
      <c r="A1058" s="3">
        <f>RAND()</f>
        <v/>
      </c>
      <c r="B1058" s="4" t="inlineStr">
        <is>
          <t>ChIJEfNOc4UZuAARnwoxzE7NVto</t>
        </is>
      </c>
      <c r="C1058" s="4" t="inlineStr">
        <is>
          <t>Lê Fiesta Brinquedos , Inflaveis e Recreaçao</t>
        </is>
      </c>
      <c r="D1058" s="4" t="inlineStr">
        <is>
          <t>Vitória</t>
        </is>
      </c>
      <c r="E1058" s="4" t="inlineStr">
        <is>
          <t>ES</t>
        </is>
      </c>
      <c r="F1058" s="4" t="inlineStr">
        <is>
          <t>Metrópoles</t>
        </is>
      </c>
      <c r="G1058" s="4" t="inlineStr">
        <is>
          <t>Metrópole</t>
        </is>
      </c>
      <c r="H1058" s="5">
        <f>IF(G1058="fora do recorte","",SUMPRODUCT(($G$3:$G$1723=G1058)*($A$3:$A$1723&lt;=A1058)))</f>
        <v/>
      </c>
      <c r="I1058" s="4">
        <f>IF(H1058="","",G1058&amp;"|"&amp;H1058)</f>
        <v/>
      </c>
      <c r="J1058" s="4" t="inlineStr">
        <is>
          <t>https://www.google.com/maps/search/?api=1&amp;query=L%C3%AA%20Fiesta%20Brinquedos%20%2C%20Inflaveis%20e%20Recrea%C3%A7ao&amp;query_place_id=ChIJEfNOc4UZuAARnwoxzE7NVto</t>
        </is>
      </c>
      <c r="K1058" s="4" t="inlineStr">
        <is>
          <t>Av. Dr. Herwan Modenese Wanderley - Jardim Camburi, Vitória - ES, 29090-640, Brasil</t>
        </is>
      </c>
      <c r="L1058" s="4" t="inlineStr">
        <is>
          <t>Vitória</t>
        </is>
      </c>
      <c r="M1058" s="5" t="n">
        <v>1</v>
      </c>
    </row>
    <row r="1059">
      <c r="A1059" s="3">
        <f>RAND()</f>
        <v/>
      </c>
      <c r="B1059" s="4" t="inlineStr">
        <is>
          <t>ChIJ9_R9fMQXuAAROpd9sDcyE9k</t>
        </is>
      </c>
      <c r="C1059" s="4" t="inlineStr">
        <is>
          <t>MR Games</t>
        </is>
      </c>
      <c r="D1059" s="4" t="inlineStr">
        <is>
          <t>Vitória</t>
        </is>
      </c>
      <c r="E1059" s="4" t="inlineStr">
        <is>
          <t>ES</t>
        </is>
      </c>
      <c r="F1059" s="4" t="inlineStr">
        <is>
          <t>Metrópoles</t>
        </is>
      </c>
      <c r="G1059" s="4" t="inlineStr">
        <is>
          <t>Metrópole</t>
        </is>
      </c>
      <c r="H1059" s="5">
        <f>IF(G1059="fora do recorte","",SUMPRODUCT(($G$3:$G$1723=G1059)*($A$3:$A$1723&lt;=A1059)))</f>
        <v/>
      </c>
      <c r="I1059" s="4">
        <f>IF(H1059="","",G1059&amp;"|"&amp;H1059)</f>
        <v/>
      </c>
      <c r="J1059" s="4" t="inlineStr">
        <is>
          <t>https://www.google.com/maps/search/?api=1&amp;query=MR%20Games&amp;query_place_id=ChIJ9_R9fMQXuAAROpd9sDcyE9k</t>
        </is>
      </c>
      <c r="K1059" s="4" t="inlineStr">
        <is>
          <t>Avenida Nossa Senhora da Penha, 356 - Loja 11 - Piso 1 - Praia do Canto, Vitória - ES, 29055-131, Brasil</t>
        </is>
      </c>
      <c r="L1059" s="4" t="inlineStr">
        <is>
          <t>Vitória</t>
        </is>
      </c>
      <c r="M1059" s="5" t="n">
        <v>1</v>
      </c>
    </row>
    <row r="1060">
      <c r="A1060" s="3">
        <f>RAND()</f>
        <v/>
      </c>
      <c r="B1060" s="4" t="inlineStr">
        <is>
          <t>ChIJ7_r9xnMZuAARN1VAw1KnCcI</t>
        </is>
      </c>
      <c r="C1060" s="4" t="inlineStr">
        <is>
          <t>Machado Games</t>
        </is>
      </c>
      <c r="D1060" s="4" t="inlineStr">
        <is>
          <t>Vitória</t>
        </is>
      </c>
      <c r="E1060" s="4" t="inlineStr">
        <is>
          <t>ES</t>
        </is>
      </c>
      <c r="F1060" s="4" t="inlineStr">
        <is>
          <t>Metrópoles</t>
        </is>
      </c>
      <c r="G1060" s="4" t="inlineStr">
        <is>
          <t>Metrópole</t>
        </is>
      </c>
      <c r="H1060" s="5">
        <f>IF(G1060="fora do recorte","",SUMPRODUCT(($G$3:$G$1723=G1060)*($A$3:$A$1723&lt;=A1060)))</f>
        <v/>
      </c>
      <c r="I1060" s="4">
        <f>IF(H1060="","",G1060&amp;"|"&amp;H1060)</f>
        <v/>
      </c>
      <c r="J1060" s="4" t="inlineStr">
        <is>
          <t>https://www.google.com/maps/search/?api=1&amp;query=Machado%20Games&amp;query_place_id=ChIJ7_r9xnMZuAARN1VAw1KnCcI</t>
        </is>
      </c>
      <c r="K1060" s="4" t="inlineStr">
        <is>
          <t>Ed. Tropical Center, Torre B - Av. Des. Dermeval Lyrio, 640 - Sala 210 - Mata da Praia, Vitória - ES, 29065-340, Brasil</t>
        </is>
      </c>
      <c r="L1060" s="4" t="inlineStr">
        <is>
          <t>Vitória</t>
        </is>
      </c>
      <c r="M1060" s="5" t="n">
        <v>1</v>
      </c>
    </row>
    <row r="1061">
      <c r="A1061" s="3">
        <f>RAND()</f>
        <v/>
      </c>
      <c r="B1061" s="4" t="inlineStr">
        <is>
          <t>ChIJtwmvCcMXuAARJ_wLc4DM6IY</t>
        </is>
      </c>
      <c r="C1061" s="4" t="inlineStr">
        <is>
          <t>Marina Presentes</t>
        </is>
      </c>
      <c r="D1061" s="4" t="inlineStr">
        <is>
          <t>Vitória</t>
        </is>
      </c>
      <c r="E1061" s="4" t="inlineStr">
        <is>
          <t>ES</t>
        </is>
      </c>
      <c r="F1061" s="4" t="inlineStr">
        <is>
          <t>Metrópoles</t>
        </is>
      </c>
      <c r="G1061" s="4" t="inlineStr">
        <is>
          <t>Metrópole</t>
        </is>
      </c>
      <c r="H1061" s="5">
        <f>IF(G1061="fora do recorte","",SUMPRODUCT(($G$3:$G$1723=G1061)*($A$3:$A$1723&lt;=A1061)))</f>
        <v/>
      </c>
      <c r="I1061" s="4">
        <f>IF(H1061="","",G1061&amp;"|"&amp;H1061)</f>
        <v/>
      </c>
      <c r="J1061" s="4" t="inlineStr">
        <is>
          <t>https://www.google.com/maps/search/?api=1&amp;query=Marina%20Presentes&amp;query_place_id=ChIJtwmvCcMXuAARJ_wLc4DM6IY</t>
        </is>
      </c>
      <c r="K1061" s="4" t="inlineStr">
        <is>
          <t>R. José Teixeira, 346 - Praia do Canto, Vitória - ES, 29055-310, Brasil</t>
        </is>
      </c>
      <c r="L1061" s="4" t="inlineStr">
        <is>
          <t>Vitória</t>
        </is>
      </c>
      <c r="M1061" s="5" t="n">
        <v>1</v>
      </c>
    </row>
    <row r="1062">
      <c r="A1062" s="3">
        <f>RAND()</f>
        <v/>
      </c>
      <c r="B1062" s="4" t="inlineStr">
        <is>
          <t>ChIJ9_R9fMQXuAARxW6KKJ-e1AU</t>
        </is>
      </c>
      <c r="C1062" s="4" t="inlineStr">
        <is>
          <t>Mario Games e Celulares</t>
        </is>
      </c>
      <c r="D1062" s="4" t="inlineStr">
        <is>
          <t>Vitória</t>
        </is>
      </c>
      <c r="E1062" s="4" t="inlineStr">
        <is>
          <t>ES</t>
        </is>
      </c>
      <c r="F1062" s="4" t="inlineStr">
        <is>
          <t>Metrópoles</t>
        </is>
      </c>
      <c r="G1062" s="4" t="inlineStr">
        <is>
          <t>Metrópole</t>
        </is>
      </c>
      <c r="H1062" s="5">
        <f>IF(G1062="fora do recorte","",SUMPRODUCT(($G$3:$G$1723=G1062)*($A$3:$A$1723&lt;=A1062)))</f>
        <v/>
      </c>
      <c r="I1062" s="4">
        <f>IF(H1062="","",G1062&amp;"|"&amp;H1062)</f>
        <v/>
      </c>
      <c r="J1062" s="4" t="inlineStr">
        <is>
          <t>https://www.google.com/maps/search/?api=1&amp;query=Mario%20Games%20e%20Celulares&amp;query_place_id=ChIJ9_R9fMQXuAARxW6KKJ-e1AU</t>
        </is>
      </c>
      <c r="K1062" s="4" t="inlineStr">
        <is>
          <t>Shopping Boulevard da Praia - Av. Nossa Sra. da Penha, 356 - Lj 35 Terreo - Praia do Canto, Vitória - ES, 29055-131, Brasil</t>
        </is>
      </c>
      <c r="L1062" s="4" t="inlineStr">
        <is>
          <t>Vitória</t>
        </is>
      </c>
      <c r="M1062" s="5" t="n">
        <v>2</v>
      </c>
    </row>
    <row r="1063">
      <c r="A1063" s="3">
        <f>RAND()</f>
        <v/>
      </c>
      <c r="B1063" s="4" t="inlineStr">
        <is>
          <t>ChIJkfiNabA9uAARmmUoUR2X6Rk</t>
        </is>
      </c>
      <c r="C1063" s="4" t="inlineStr">
        <is>
          <t>Marketplace Imports (Mp Imports)</t>
        </is>
      </c>
      <c r="D1063" s="4" t="inlineStr">
        <is>
          <t>Vitória</t>
        </is>
      </c>
      <c r="E1063" s="4" t="inlineStr">
        <is>
          <t>ES</t>
        </is>
      </c>
      <c r="F1063" s="4" t="inlineStr">
        <is>
          <t>Metrópoles</t>
        </is>
      </c>
      <c r="G1063" s="4" t="inlineStr">
        <is>
          <t>Metrópole</t>
        </is>
      </c>
      <c r="H1063" s="5">
        <f>IF(G1063="fora do recorte","",SUMPRODUCT(($G$3:$G$1723=G1063)*($A$3:$A$1723&lt;=A1063)))</f>
        <v/>
      </c>
      <c r="I1063" s="4">
        <f>IF(H1063="","",G1063&amp;"|"&amp;H1063)</f>
        <v/>
      </c>
      <c r="J1063" s="4" t="inlineStr">
        <is>
          <t>https://www.google.com/maps/search/?api=1&amp;query=Marketplace%20Imports%20%28Mp%20Imports%29&amp;query_place_id=ChIJkfiNabA9uAARmmUoUR2X6Rk</t>
        </is>
      </c>
      <c r="K1063" s="4" t="inlineStr">
        <is>
          <t>Rua General Osório, 127, Condomínio do Edifício A Gazeta sala 1104 - Centro, Vitória - ES, 29010-035, Brasil</t>
        </is>
      </c>
      <c r="L1063" s="4" t="inlineStr">
        <is>
          <t>Vitória</t>
        </is>
      </c>
      <c r="M1063" s="5" t="n">
        <v>3</v>
      </c>
    </row>
    <row r="1064">
      <c r="A1064" s="3">
        <f>RAND()</f>
        <v/>
      </c>
      <c r="B1064" s="4" t="inlineStr">
        <is>
          <t>ChIJjXHndTsXuAARJ4EYkNCPOD8</t>
        </is>
      </c>
      <c r="C1064" s="4" t="inlineStr">
        <is>
          <t>Megamente Jogos e Brinquedos Educativos</t>
        </is>
      </c>
      <c r="D1064" s="4" t="inlineStr">
        <is>
          <t>Vitória</t>
        </is>
      </c>
      <c r="E1064" s="4" t="inlineStr">
        <is>
          <t>ES</t>
        </is>
      </c>
      <c r="F1064" s="4" t="inlineStr">
        <is>
          <t>Metrópoles</t>
        </is>
      </c>
      <c r="G1064" s="4" t="inlineStr">
        <is>
          <t>Metrópole</t>
        </is>
      </c>
      <c r="H1064" s="5">
        <f>IF(G1064="fora do recorte","",SUMPRODUCT(($G$3:$G$1723=G1064)*($A$3:$A$1723&lt;=A1064)))</f>
        <v/>
      </c>
      <c r="I1064" s="4">
        <f>IF(H1064="","",G1064&amp;"|"&amp;H1064)</f>
        <v/>
      </c>
      <c r="J1064" s="4" t="inlineStr">
        <is>
          <t>https://www.google.com/maps/search/?api=1&amp;query=Megamente%20Jogos%20e%20Brinquedos%20Educativos&amp;query_place_id=ChIJjXHndTsXuAARJ4EYkNCPOD8</t>
        </is>
      </c>
      <c r="K1064" s="4" t="inlineStr">
        <is>
          <t>Shopping Triangulo - R. João da Cruz, 200 - Quiosque 2 - Praia do Canto, Vitória - ES, 29055-620, Brasil</t>
        </is>
      </c>
      <c r="L1064" s="4" t="inlineStr">
        <is>
          <t>Vitória</t>
        </is>
      </c>
      <c r="M1064" s="5" t="n">
        <v>1</v>
      </c>
    </row>
    <row r="1065">
      <c r="A1065" s="3">
        <f>RAND()</f>
        <v/>
      </c>
      <c r="B1065" s="4" t="inlineStr">
        <is>
          <t>ChIJebdtaBEYuAARnYPV_a2bTAg</t>
        </is>
      </c>
      <c r="C1065" s="4" t="inlineStr">
        <is>
          <t>Mistura's Bar</t>
        </is>
      </c>
      <c r="D1065" s="4" t="inlineStr">
        <is>
          <t>Vitória</t>
        </is>
      </c>
      <c r="E1065" s="4" t="inlineStr">
        <is>
          <t>ES</t>
        </is>
      </c>
      <c r="F1065" s="4" t="inlineStr">
        <is>
          <t>Metrópoles</t>
        </is>
      </c>
      <c r="G1065" s="4" t="inlineStr">
        <is>
          <t>Metrópole</t>
        </is>
      </c>
      <c r="H1065" s="5">
        <f>IF(G1065="fora do recorte","",SUMPRODUCT(($G$3:$G$1723=G1065)*($A$3:$A$1723&lt;=A1065)))</f>
        <v/>
      </c>
      <c r="I1065" s="4">
        <f>IF(H1065="","",G1065&amp;"|"&amp;H1065)</f>
        <v/>
      </c>
      <c r="J1065" s="4" t="inlineStr">
        <is>
          <t>https://www.google.com/maps/search/?api=1&amp;query=Mistura%27s%20Bar&amp;query_place_id=ChIJebdtaBEYuAARnYPV_a2bTAg</t>
        </is>
      </c>
      <c r="K1065" s="4" t="inlineStr">
        <is>
          <t>R. Pres. Rodrigues Alves, 150 - Republica, Vitória - ES, 29070-145, Brasil</t>
        </is>
      </c>
      <c r="L1065" s="4" t="inlineStr">
        <is>
          <t>Vitória</t>
        </is>
      </c>
      <c r="M1065" s="5" t="n">
        <v>1</v>
      </c>
    </row>
    <row r="1066">
      <c r="A1066" s="3">
        <f>RAND()</f>
        <v/>
      </c>
      <c r="B1066" s="4" t="inlineStr">
        <is>
          <t>ChIJI00DNeIXuAAR6zsaUxQnV5s</t>
        </is>
      </c>
      <c r="C1066" s="4" t="inlineStr">
        <is>
          <t>Mito Games LTDA</t>
        </is>
      </c>
      <c r="D1066" s="4" t="inlineStr">
        <is>
          <t>Vitória</t>
        </is>
      </c>
      <c r="E1066" s="4" t="inlineStr">
        <is>
          <t>ES</t>
        </is>
      </c>
      <c r="F1066" s="4" t="inlineStr">
        <is>
          <t>Metrópoles</t>
        </is>
      </c>
      <c r="G1066" s="4" t="inlineStr">
        <is>
          <t>Metrópole</t>
        </is>
      </c>
      <c r="H1066" s="5">
        <f>IF(G1066="fora do recorte","",SUMPRODUCT(($G$3:$G$1723=G1066)*($A$3:$A$1723&lt;=A1066)))</f>
        <v/>
      </c>
      <c r="I1066" s="4">
        <f>IF(H1066="","",G1066&amp;"|"&amp;H1066)</f>
        <v/>
      </c>
      <c r="J1066" s="4" t="inlineStr">
        <is>
          <t>https://www.google.com/maps/search/?api=1&amp;query=Mito%20Games%20LTDA&amp;query_place_id=ChIJI00DNeIXuAAR6zsaUxQnV5s</t>
        </is>
      </c>
      <c r="K1066" s="4" t="inlineStr">
        <is>
          <t>Condomínio do Edifício Nacap - Alameda Mari Ubirajara, 40 - sala 208 - Santa Lucia, Vitória - ES, 29056-030, Brasil</t>
        </is>
      </c>
      <c r="L1066" s="4" t="inlineStr">
        <is>
          <t>Vitória</t>
        </is>
      </c>
      <c r="M1066" s="5" t="n">
        <v>2</v>
      </c>
    </row>
    <row r="1067">
      <c r="A1067" s="3">
        <f>RAND()</f>
        <v/>
      </c>
      <c r="B1067" s="4" t="inlineStr">
        <is>
          <t>ChIJr_hM6WQXuAARt-tsDdE1B7U</t>
        </is>
      </c>
      <c r="C1067" s="4" t="inlineStr">
        <is>
          <t>Mundo Geek Vitoria</t>
        </is>
      </c>
      <c r="D1067" s="4" t="inlineStr">
        <is>
          <t>Vitória</t>
        </is>
      </c>
      <c r="E1067" s="4" t="inlineStr">
        <is>
          <t>ES</t>
        </is>
      </c>
      <c r="F1067" s="4" t="inlineStr">
        <is>
          <t>Metrópoles</t>
        </is>
      </c>
      <c r="G1067" s="4" t="inlineStr">
        <is>
          <t>Metrópole</t>
        </is>
      </c>
      <c r="H1067" s="5">
        <f>IF(G1067="fora do recorte","",SUMPRODUCT(($G$3:$G$1723=G1067)*($A$3:$A$1723&lt;=A1067)))</f>
        <v/>
      </c>
      <c r="I1067" s="4">
        <f>IF(H1067="","",G1067&amp;"|"&amp;H1067)</f>
        <v/>
      </c>
      <c r="J1067" s="4" t="inlineStr">
        <is>
          <t>https://www.google.com/maps/search/?api=1&amp;query=Mundo%20Geek%20Vitoria&amp;query_place_id=ChIJr_hM6WQXuAARt-tsDdE1B7U</t>
        </is>
      </c>
      <c r="K1067" s="4" t="inlineStr">
        <is>
          <t>Shopping Vitória Shopping Vitória, 200 - Enseada do Suá, Vitória - ES, 29050-902, Brasil</t>
        </is>
      </c>
      <c r="L1067" s="4" t="inlineStr">
        <is>
          <t>Vitória</t>
        </is>
      </c>
      <c r="M1067" s="5" t="n">
        <v>6</v>
      </c>
    </row>
    <row r="1068">
      <c r="A1068" s="3">
        <f>RAND()</f>
        <v/>
      </c>
      <c r="B1068" s="4" t="inlineStr">
        <is>
          <t>ChIJux41d-0XuAARkgK2rHhtX5Y</t>
        </is>
      </c>
      <c r="C1068" s="4" t="inlineStr">
        <is>
          <t>Na Brinca</t>
        </is>
      </c>
      <c r="D1068" s="4" t="inlineStr">
        <is>
          <t>Vitória</t>
        </is>
      </c>
      <c r="E1068" s="4" t="inlineStr">
        <is>
          <t>ES</t>
        </is>
      </c>
      <c r="F1068" s="4" t="inlineStr">
        <is>
          <t>Metrópoles</t>
        </is>
      </c>
      <c r="G1068" s="4" t="inlineStr">
        <is>
          <t>Metrópole</t>
        </is>
      </c>
      <c r="H1068" s="5">
        <f>IF(G1068="fora do recorte","",SUMPRODUCT(($G$3:$G$1723=G1068)*($A$3:$A$1723&lt;=A1068)))</f>
        <v/>
      </c>
      <c r="I1068" s="4">
        <f>IF(H1068="","",G1068&amp;"|"&amp;H1068)</f>
        <v/>
      </c>
      <c r="J1068" s="4" t="inlineStr">
        <is>
          <t>https://www.google.com/maps/search/?api=1&amp;query=Na%20Brinca&amp;query_place_id=ChIJux41d-0XuAARkgK2rHhtX5Y</t>
        </is>
      </c>
      <c r="K1068" s="4" t="inlineStr">
        <is>
          <t>R. Dr. João Carlos de Souza, 135 - Barro Vermelho, Vitória - ES, 29057-530, Brasil</t>
        </is>
      </c>
      <c r="L1068" s="4" t="inlineStr">
        <is>
          <t>Vitória</t>
        </is>
      </c>
      <c r="M1068" s="5" t="n">
        <v>1</v>
      </c>
    </row>
    <row r="1069">
      <c r="A1069" s="3">
        <f>RAND()</f>
        <v/>
      </c>
      <c r="B1069" s="4" t="inlineStr">
        <is>
          <t>ChIJd50u8ZcXuAAR8XOv3fVgCr8</t>
        </is>
      </c>
      <c r="C1069" s="4" t="inlineStr">
        <is>
          <t>Palácio dos Brinquedos</t>
        </is>
      </c>
      <c r="D1069" s="4" t="inlineStr">
        <is>
          <t>Vitória</t>
        </is>
      </c>
      <c r="E1069" s="4" t="inlineStr">
        <is>
          <t>ES</t>
        </is>
      </c>
      <c r="F1069" s="4" t="inlineStr">
        <is>
          <t>Metrópoles</t>
        </is>
      </c>
      <c r="G1069" s="4" t="inlineStr">
        <is>
          <t>Metrópole</t>
        </is>
      </c>
      <c r="H1069" s="5">
        <f>IF(G1069="fora do recorte","",SUMPRODUCT(($G$3:$G$1723=G1069)*($A$3:$A$1723&lt;=A1069)))</f>
        <v/>
      </c>
      <c r="I1069" s="4">
        <f>IF(H1069="","",G1069&amp;"|"&amp;H1069)</f>
        <v/>
      </c>
      <c r="J1069" s="4" t="inlineStr">
        <is>
          <t>https://www.google.com/maps/search/?api=1&amp;query=Pal%C3%A1cio%20dos%20Brinquedos&amp;query_place_id=ChIJd50u8ZcXuAAR8XOv3fVgCr8</t>
        </is>
      </c>
      <c r="K1069" s="4" t="inlineStr">
        <is>
          <t>Av. Rio Branco, 1357 - Lj 2 - Praia do Canto, Vitória - ES, 29056-255, Brasil</t>
        </is>
      </c>
      <c r="L1069" s="4" t="inlineStr">
        <is>
          <t>Vitória</t>
        </is>
      </c>
      <c r="M1069" s="5" t="n">
        <v>1</v>
      </c>
    </row>
    <row r="1070">
      <c r="A1070" s="3">
        <f>RAND()</f>
        <v/>
      </c>
      <c r="B1070" s="4" t="inlineStr">
        <is>
          <t>ChIJwdTqoR8YuAARAAa5RuP5_dM</t>
        </is>
      </c>
      <c r="C1070" s="4" t="inlineStr">
        <is>
          <t>Power Games</t>
        </is>
      </c>
      <c r="D1070" s="4" t="inlineStr">
        <is>
          <t>Vitória</t>
        </is>
      </c>
      <c r="E1070" s="4" t="inlineStr">
        <is>
          <t>ES</t>
        </is>
      </c>
      <c r="F1070" s="4" t="inlineStr">
        <is>
          <t>Metrópoles</t>
        </is>
      </c>
      <c r="G1070" s="4" t="inlineStr">
        <is>
          <t>Metrópole</t>
        </is>
      </c>
      <c r="H1070" s="5">
        <f>IF(G1070="fora do recorte","",SUMPRODUCT(($G$3:$G$1723=G1070)*($A$3:$A$1723&lt;=A1070)))</f>
        <v/>
      </c>
      <c r="I1070" s="4">
        <f>IF(H1070="","",G1070&amp;"|"&amp;H1070)</f>
        <v/>
      </c>
      <c r="J1070" s="4" t="inlineStr">
        <is>
          <t>https://www.google.com/maps/search/?api=1&amp;query=Power%20Games&amp;query_place_id=ChIJwdTqoR8YuAARAAa5RuP5_dM</t>
        </is>
      </c>
      <c r="K1070" s="4" t="inlineStr">
        <is>
          <t>R. Cândido Ramos, 30 - Lj 03 - Jardim da Penha, Vitória - ES, 29060-090, Brasil</t>
        </is>
      </c>
      <c r="L1070" s="4" t="inlineStr">
        <is>
          <t>Vitória</t>
        </is>
      </c>
      <c r="M1070" s="5" t="n">
        <v>2</v>
      </c>
    </row>
    <row r="1071">
      <c r="A1071" s="3">
        <f>RAND()</f>
        <v/>
      </c>
      <c r="B1071" s="4" t="inlineStr">
        <is>
          <t>ChIJRW0tKfAXuAARxELYUzaZNSg</t>
        </is>
      </c>
      <c r="C1071" s="4" t="inlineStr">
        <is>
          <t>Pra Brincar Brinquedoteca</t>
        </is>
      </c>
      <c r="D1071" s="4" t="inlineStr">
        <is>
          <t>Vitória</t>
        </is>
      </c>
      <c r="E1071" s="4" t="inlineStr">
        <is>
          <t>ES</t>
        </is>
      </c>
      <c r="F1071" s="4" t="inlineStr">
        <is>
          <t>Metrópoles</t>
        </is>
      </c>
      <c r="G1071" s="4" t="inlineStr">
        <is>
          <t>Metrópole</t>
        </is>
      </c>
      <c r="H1071" s="5">
        <f>IF(G1071="fora do recorte","",SUMPRODUCT(($G$3:$G$1723=G1071)*($A$3:$A$1723&lt;=A1071)))</f>
        <v/>
      </c>
      <c r="I1071" s="4">
        <f>IF(H1071="","",G1071&amp;"|"&amp;H1071)</f>
        <v/>
      </c>
      <c r="J1071" s="4" t="inlineStr">
        <is>
          <t>https://www.google.com/maps/search/?api=1&amp;query=Pra%20Brincar%20Brinquedoteca&amp;query_place_id=ChIJRW0tKfAXuAARxELYUzaZNSg</t>
        </is>
      </c>
      <c r="K1071" s="4" t="inlineStr">
        <is>
          <t>Poseidon Plaza - R. da Grécia, 320 - Lj 04 - Santa Luíza, Vitória - ES, 29045-225, Brasil</t>
        </is>
      </c>
      <c r="L1071" s="4" t="inlineStr">
        <is>
          <t>Vitória</t>
        </is>
      </c>
      <c r="M1071" s="5" t="n">
        <v>1</v>
      </c>
    </row>
    <row r="1072">
      <c r="A1072" s="3">
        <f>RAND()</f>
        <v/>
      </c>
      <c r="B1072" s="4" t="inlineStr">
        <is>
          <t>ChIJu1ycbBwYuAAR4VoapgwGSBY</t>
        </is>
      </c>
      <c r="C1072" s="4" t="inlineStr">
        <is>
          <t>Quero Quero Brinquedos</t>
        </is>
      </c>
      <c r="D1072" s="4" t="inlineStr">
        <is>
          <t>Vitória</t>
        </is>
      </c>
      <c r="E1072" s="4" t="inlineStr">
        <is>
          <t>ES</t>
        </is>
      </c>
      <c r="F1072" s="4" t="inlineStr">
        <is>
          <t>Metrópoles</t>
        </is>
      </c>
      <c r="G1072" s="4" t="inlineStr">
        <is>
          <t>Metrópole</t>
        </is>
      </c>
      <c r="H1072" s="5">
        <f>IF(G1072="fora do recorte","",SUMPRODUCT(($G$3:$G$1723=G1072)*($A$3:$A$1723&lt;=A1072)))</f>
        <v/>
      </c>
      <c r="I1072" s="4">
        <f>IF(H1072="","",G1072&amp;"|"&amp;H1072)</f>
        <v/>
      </c>
      <c r="J1072" s="4" t="inlineStr">
        <is>
          <t>https://www.google.com/maps/search/?api=1&amp;query=Quero%20Quero%20Brinquedos&amp;query_place_id=ChIJu1ycbBwYuAAR4VoapgwGSBY</t>
        </is>
      </c>
      <c r="K1072" s="4" t="inlineStr">
        <is>
          <t>Av. Hugo Viola, 1001 - Lj 6 A - Mata da Praia, Vitória - ES, 29065-475, Brasil</t>
        </is>
      </c>
      <c r="L1072" s="4" t="inlineStr">
        <is>
          <t>Vitória</t>
        </is>
      </c>
      <c r="M1072" s="5" t="n">
        <v>1</v>
      </c>
    </row>
    <row r="1073">
      <c r="A1073" s="3">
        <f>RAND()</f>
        <v/>
      </c>
      <c r="B1073" s="4" t="inlineStr">
        <is>
          <t>ChIJE9WkF7kXuAARoy_5zF3Wves</t>
        </is>
      </c>
      <c r="C1073" s="4" t="inlineStr">
        <is>
          <t>Radical Kids</t>
        </is>
      </c>
      <c r="D1073" s="4" t="inlineStr">
        <is>
          <t>Vitória</t>
        </is>
      </c>
      <c r="E1073" s="4" t="inlineStr">
        <is>
          <t>ES</t>
        </is>
      </c>
      <c r="F1073" s="4" t="inlineStr">
        <is>
          <t>Metrópoles</t>
        </is>
      </c>
      <c r="G1073" s="4" t="inlineStr">
        <is>
          <t>Metrópole</t>
        </is>
      </c>
      <c r="H1073" s="5">
        <f>IF(G1073="fora do recorte","",SUMPRODUCT(($G$3:$G$1723=G1073)*($A$3:$A$1723&lt;=A1073)))</f>
        <v/>
      </c>
      <c r="I1073" s="4">
        <f>IF(H1073="","",G1073&amp;"|"&amp;H1073)</f>
        <v/>
      </c>
      <c r="J1073" s="4" t="inlineStr">
        <is>
          <t>https://www.google.com/maps/search/?api=1&amp;query=Radical%20Kids&amp;query_place_id=ChIJE9WkF7kXuAARoy_5zF3Wves</t>
        </is>
      </c>
      <c r="K1073" s="4" t="inlineStr">
        <is>
          <t>R. Ari Siqueira, 70 - Enseada do Suá, Vitória - ES, 29055-095, Brasil</t>
        </is>
      </c>
      <c r="L1073" s="4" t="inlineStr">
        <is>
          <t>Vitória</t>
        </is>
      </c>
      <c r="M1073" s="5" t="n">
        <v>1</v>
      </c>
    </row>
    <row r="1074">
      <c r="A1074" s="3">
        <f>RAND()</f>
        <v/>
      </c>
      <c r="B1074" s="4" t="inlineStr">
        <is>
          <t>ChIJm40OVMUXuAARB7Z_w_teJvk</t>
        </is>
      </c>
      <c r="C1074" s="4" t="inlineStr">
        <is>
          <t>Recanto Gastrobar</t>
        </is>
      </c>
      <c r="D1074" s="4" t="inlineStr">
        <is>
          <t>Vitória</t>
        </is>
      </c>
      <c r="E1074" s="4" t="inlineStr">
        <is>
          <t>ES</t>
        </is>
      </c>
      <c r="F1074" s="4" t="inlineStr">
        <is>
          <t>Metrópoles</t>
        </is>
      </c>
      <c r="G1074" s="4" t="inlineStr">
        <is>
          <t>Metrópole</t>
        </is>
      </c>
      <c r="H1074" s="5">
        <f>IF(G1074="fora do recorte","",SUMPRODUCT(($G$3:$G$1723=G1074)*($A$3:$A$1723&lt;=A1074)))</f>
        <v/>
      </c>
      <c r="I1074" s="4">
        <f>IF(H1074="","",G1074&amp;"|"&amp;H1074)</f>
        <v/>
      </c>
      <c r="J1074" s="4" t="inlineStr">
        <is>
          <t>https://www.google.com/maps/search/?api=1&amp;query=Recanto%20Gastrobar&amp;query_place_id=ChIJm40OVMUXuAARB7Z_w_teJvk</t>
        </is>
      </c>
      <c r="K1074" s="4" t="inlineStr">
        <is>
          <t>R. Ulisses Sarmento, 232 - Praia do Suá, Vitória - ES, 29052-320, Brasil</t>
        </is>
      </c>
      <c r="L1074" s="4" t="inlineStr">
        <is>
          <t>Vitória</t>
        </is>
      </c>
      <c r="M1074" s="5" t="n">
        <v>1</v>
      </c>
    </row>
    <row r="1075">
      <c r="A1075" s="3">
        <f>RAND()</f>
        <v/>
      </c>
      <c r="B1075" s="4" t="inlineStr">
        <is>
          <t>ChIJPZpkAPUXuAARLwMHgUMEB1k</t>
        </is>
      </c>
      <c r="C1075" s="4" t="inlineStr">
        <is>
          <t>Sabor da Cachaça</t>
        </is>
      </c>
      <c r="D1075" s="4" t="inlineStr">
        <is>
          <t>Vitória</t>
        </is>
      </c>
      <c r="E1075" s="4" t="inlineStr">
        <is>
          <t>ES</t>
        </is>
      </c>
      <c r="F1075" s="4" t="inlineStr">
        <is>
          <t>Metrópoles</t>
        </is>
      </c>
      <c r="G1075" s="4" t="inlineStr">
        <is>
          <t>Metrópole</t>
        </is>
      </c>
      <c r="H1075" s="5">
        <f>IF(G1075="fora do recorte","",SUMPRODUCT(($G$3:$G$1723=G1075)*($A$3:$A$1723&lt;=A1075)))</f>
        <v/>
      </c>
      <c r="I1075" s="4">
        <f>IF(H1075="","",G1075&amp;"|"&amp;H1075)</f>
        <v/>
      </c>
      <c r="J1075" s="4" t="inlineStr">
        <is>
          <t>https://www.google.com/maps/search/?api=1&amp;query=Sabor%20da%20Cacha%C3%A7a&amp;query_place_id=ChIJPZpkAPUXuAARLwMHgUMEB1k</t>
        </is>
      </c>
      <c r="K1075" s="4" t="inlineStr">
        <is>
          <t>Av. Dante Michelini, 775 - Bl A Lj 03 - Jardim da Penha, Vitória - ES, 29060-235, Brasil</t>
        </is>
      </c>
      <c r="L1075" s="4" t="inlineStr">
        <is>
          <t>Vitória</t>
        </is>
      </c>
      <c r="M1075" s="5" t="n">
        <v>1</v>
      </c>
    </row>
    <row r="1076">
      <c r="A1076" s="3">
        <f>RAND()</f>
        <v/>
      </c>
      <c r="B1076" s="4" t="inlineStr">
        <is>
          <t>ChIJu0jcwX09uAARPf5TuhkqM-4</t>
        </is>
      </c>
      <c r="C1076" s="4" t="inlineStr">
        <is>
          <t>Sonho de Brincar - Brinquedoteca</t>
        </is>
      </c>
      <c r="D1076" s="4" t="inlineStr">
        <is>
          <t>Vitória</t>
        </is>
      </c>
      <c r="E1076" s="4" t="inlineStr">
        <is>
          <t>ES</t>
        </is>
      </c>
      <c r="F1076" s="4" t="inlineStr">
        <is>
          <t>Metrópoles</t>
        </is>
      </c>
      <c r="G1076" s="4" t="inlineStr">
        <is>
          <t>Metrópole</t>
        </is>
      </c>
      <c r="H1076" s="5">
        <f>IF(G1076="fora do recorte","",SUMPRODUCT(($G$3:$G$1723=G1076)*($A$3:$A$1723&lt;=A1076)))</f>
        <v/>
      </c>
      <c r="I1076" s="4">
        <f>IF(H1076="","",G1076&amp;"|"&amp;H1076)</f>
        <v/>
      </c>
      <c r="J1076" s="4" t="inlineStr">
        <is>
          <t>https://www.google.com/maps/search/?api=1&amp;query=Sonho%20de%20Brincar%20-%20Brinquedoteca&amp;query_place_id=ChIJu0jcwX09uAARPf5TuhkqM-4</t>
        </is>
      </c>
      <c r="K1076" s="4" t="inlineStr">
        <is>
          <t>Av. Joubert de Barros, 685 - Bento Ferreira, Vitória - ES, 29050-720, Brasil</t>
        </is>
      </c>
      <c r="L1076" s="4" t="inlineStr">
        <is>
          <t>Vitória</t>
        </is>
      </c>
      <c r="M1076" s="5" t="n">
        <v>1</v>
      </c>
    </row>
    <row r="1077">
      <c r="A1077" s="3">
        <f>RAND()</f>
        <v/>
      </c>
      <c r="B1077" s="4" t="inlineStr">
        <is>
          <t>ChIJf2QubrgXuAARQgoocE_Vf-c</t>
        </is>
      </c>
      <c r="C1077" s="4" t="inlineStr">
        <is>
          <t>Superkids Brinquedos</t>
        </is>
      </c>
      <c r="D1077" s="4" t="inlineStr">
        <is>
          <t>Vitória</t>
        </is>
      </c>
      <c r="E1077" s="4" t="inlineStr">
        <is>
          <t>ES</t>
        </is>
      </c>
      <c r="F1077" s="4" t="inlineStr">
        <is>
          <t>Metrópoles</t>
        </is>
      </c>
      <c r="G1077" s="4" t="inlineStr">
        <is>
          <t>Metrópole</t>
        </is>
      </c>
      <c r="H1077" s="5">
        <f>IF(G1077="fora do recorte","",SUMPRODUCT(($G$3:$G$1723=G1077)*($A$3:$A$1723&lt;=A1077)))</f>
        <v/>
      </c>
      <c r="I1077" s="4">
        <f>IF(H1077="","",G1077&amp;"|"&amp;H1077)</f>
        <v/>
      </c>
      <c r="J1077" s="4" t="inlineStr">
        <is>
          <t>https://www.google.com/maps/search/?api=1&amp;query=Superkids%20Brinquedos&amp;query_place_id=ChIJf2QubrgXuAARQgoocE_Vf-c</t>
        </is>
      </c>
      <c r="K1077" s="4" t="inlineStr">
        <is>
          <t>Shopping Vitória - Av. Américo Buaiz, 200 - Lj 208 - Enseada do Suá, Vitória - ES, 29050-902, Brasil</t>
        </is>
      </c>
      <c r="L1077" s="4" t="inlineStr">
        <is>
          <t>Vitória</t>
        </is>
      </c>
      <c r="M1077" s="5" t="n">
        <v>1</v>
      </c>
    </row>
    <row r="1078">
      <c r="A1078" s="3">
        <f>RAND()</f>
        <v/>
      </c>
      <c r="B1078" s="4" t="inlineStr">
        <is>
          <t>ChIJP-rZBxoYuAARoABHZZgnnY8</t>
        </is>
      </c>
      <c r="C1078" s="4" t="inlineStr">
        <is>
          <t>Taberna Geek – Card Games, TCG e Eventos em Vitória</t>
        </is>
      </c>
      <c r="D1078" s="4" t="inlineStr">
        <is>
          <t>Vitória</t>
        </is>
      </c>
      <c r="E1078" s="4" t="inlineStr">
        <is>
          <t>ES</t>
        </is>
      </c>
      <c r="F1078" s="4" t="inlineStr">
        <is>
          <t>Metrópoles</t>
        </is>
      </c>
      <c r="G1078" s="4" t="inlineStr">
        <is>
          <t>Metrópole</t>
        </is>
      </c>
      <c r="H1078" s="5">
        <f>IF(G1078="fora do recorte","",SUMPRODUCT(($G$3:$G$1723=G1078)*($A$3:$A$1723&lt;=A1078)))</f>
        <v/>
      </c>
      <c r="I1078" s="4">
        <f>IF(H1078="","",G1078&amp;"|"&amp;H1078)</f>
        <v/>
      </c>
      <c r="J1078" s="4" t="inlineStr">
        <is>
          <t>https://www.google.com/maps/search/?api=1&amp;query=Taberna%20Geek%20%E2%80%93%20Card%20Games%2C%20TCG%20e%20Eventos%20em%20Vit%C3%B3ria&amp;query_place_id=ChIJP-rZBxoYuAARoABHZZgnnY8</t>
        </is>
      </c>
      <c r="K1078" s="4" t="inlineStr">
        <is>
          <t>Av. Adalberto Simão Nader, 425 - Lj 5 - Mata da Praia, Vitória - ES, 29066-310, Brasil</t>
        </is>
      </c>
      <c r="L1078" s="4" t="inlineStr">
        <is>
          <t>Vitória</t>
        </is>
      </c>
      <c r="M1078" s="5" t="n">
        <v>13</v>
      </c>
    </row>
    <row r="1079">
      <c r="A1079" s="3">
        <f>RAND()</f>
        <v/>
      </c>
      <c r="B1079" s="4" t="inlineStr">
        <is>
          <t>ChIJq6qqc7gXuAARk5_TNS69xkk</t>
        </is>
      </c>
      <c r="C1079" s="4" t="inlineStr">
        <is>
          <t>Take Kids</t>
        </is>
      </c>
      <c r="D1079" s="4" t="inlineStr">
        <is>
          <t>Vitória</t>
        </is>
      </c>
      <c r="E1079" s="4" t="inlineStr">
        <is>
          <t>ES</t>
        </is>
      </c>
      <c r="F1079" s="4" t="inlineStr">
        <is>
          <t>Metrópoles</t>
        </is>
      </c>
      <c r="G1079" s="4" t="inlineStr">
        <is>
          <t>Metrópole</t>
        </is>
      </c>
      <c r="H1079" s="5">
        <f>IF(G1079="fora do recorte","",SUMPRODUCT(($G$3:$G$1723=G1079)*($A$3:$A$1723&lt;=A1079)))</f>
        <v/>
      </c>
      <c r="I1079" s="4">
        <f>IF(H1079="","",G1079&amp;"|"&amp;H1079)</f>
        <v/>
      </c>
      <c r="J1079" s="4" t="inlineStr">
        <is>
          <t>https://www.google.com/maps/search/?api=1&amp;query=Take%20Kids&amp;query_place_id=ChIJq6qqc7gXuAARk5_TNS69xkk</t>
        </is>
      </c>
      <c r="K1079" s="4" t="inlineStr">
        <is>
          <t>Av. Américo Buaiz, 200 - Enseada do Suá, Vitória - ES, 29050-420, Brasil</t>
        </is>
      </c>
      <c r="L1079" s="4" t="inlineStr">
        <is>
          <t>Vitória</t>
        </is>
      </c>
      <c r="M1079" s="5" t="n">
        <v>1</v>
      </c>
    </row>
    <row r="1080">
      <c r="A1080" s="3">
        <f>RAND()</f>
        <v/>
      </c>
      <c r="B1080" s="4" t="inlineStr">
        <is>
          <t>ChIJKTRza_0ZuAAR4hrMAsvsb2I</t>
        </is>
      </c>
      <c r="C1080" s="4" t="inlineStr">
        <is>
          <t>Taverna dos Jogos</t>
        </is>
      </c>
      <c r="D1080" s="4" t="inlineStr">
        <is>
          <t>Vitória</t>
        </is>
      </c>
      <c r="E1080" s="4" t="inlineStr">
        <is>
          <t>ES</t>
        </is>
      </c>
      <c r="F1080" s="4" t="inlineStr">
        <is>
          <t>Metrópoles</t>
        </is>
      </c>
      <c r="G1080" s="4" t="inlineStr">
        <is>
          <t>Metrópole</t>
        </is>
      </c>
      <c r="H1080" s="5">
        <f>IF(G1080="fora do recorte","",SUMPRODUCT(($G$3:$G$1723=G1080)*($A$3:$A$1723&lt;=A1080)))</f>
        <v/>
      </c>
      <c r="I1080" s="4">
        <f>IF(H1080="","",G1080&amp;"|"&amp;H1080)</f>
        <v/>
      </c>
      <c r="J1080" s="4" t="inlineStr">
        <is>
          <t>https://www.google.com/maps/search/?api=1&amp;query=Taverna%20dos%20Jogos&amp;query_place_id=ChIJKTRza_0ZuAAR4hrMAsvsb2I</t>
        </is>
      </c>
      <c r="K1080" s="4" t="inlineStr">
        <is>
          <t>Av. Des. Dermeval Lyrio, 600 - Mata da Praia, Vitória - ES, 29065-340, Brasil</t>
        </is>
      </c>
      <c r="L1080" s="4" t="inlineStr">
        <is>
          <t>Vitória</t>
        </is>
      </c>
      <c r="M1080" s="5" t="n">
        <v>1</v>
      </c>
    </row>
    <row r="1081">
      <c r="A1081" s="3">
        <f>RAND()</f>
        <v/>
      </c>
      <c r="B1081" s="4" t="inlineStr">
        <is>
          <t>ChIJ2REefzUXuAAR4zpTvPrWZhw</t>
        </is>
      </c>
      <c r="C1081" s="4" t="inlineStr">
        <is>
          <t>Tecmania Vitória</t>
        </is>
      </c>
      <c r="D1081" s="4" t="inlineStr">
        <is>
          <t>Vitória</t>
        </is>
      </c>
      <c r="E1081" s="4" t="inlineStr">
        <is>
          <t>ES</t>
        </is>
      </c>
      <c r="F1081" s="4" t="inlineStr">
        <is>
          <t>Metrópoles</t>
        </is>
      </c>
      <c r="G1081" s="4" t="inlineStr">
        <is>
          <t>Metrópole</t>
        </is>
      </c>
      <c r="H1081" s="5">
        <f>IF(G1081="fora do recorte","",SUMPRODUCT(($G$3:$G$1723=G1081)*($A$3:$A$1723&lt;=A1081)))</f>
        <v/>
      </c>
      <c r="I1081" s="4">
        <f>IF(H1081="","",G1081&amp;"|"&amp;H1081)</f>
        <v/>
      </c>
      <c r="J1081" s="4" t="inlineStr">
        <is>
          <t>https://www.google.com/maps/search/?api=1&amp;query=Tecmania%20Vit%C3%B3ria&amp;query_place_id=ChIJ2REefzUXuAAR4zpTvPrWZhw</t>
        </is>
      </c>
      <c r="K1081" s="4" t="inlineStr">
        <is>
          <t>ao lado do ze coxinha - Av. Américo Buaiz, 415 - Segundo piso - Enseada do Suá, Vitória - ES, 29050-902, Brasil</t>
        </is>
      </c>
      <c r="L1081" s="4" t="inlineStr">
        <is>
          <t>Vitória</t>
        </is>
      </c>
      <c r="M1081" s="5" t="n">
        <v>1</v>
      </c>
    </row>
    <row r="1082">
      <c r="A1082" s="3">
        <f>RAND()</f>
        <v/>
      </c>
      <c r="B1082" s="4" t="inlineStr">
        <is>
          <t>ChIJffwleigXuAAR-LDVO9VgcnY</t>
        </is>
      </c>
      <c r="C1082" s="4" t="inlineStr">
        <is>
          <t>Vem Brincar Brinquedoteca</t>
        </is>
      </c>
      <c r="D1082" s="4" t="inlineStr">
        <is>
          <t>Vitória</t>
        </is>
      </c>
      <c r="E1082" s="4" t="inlineStr">
        <is>
          <t>ES</t>
        </is>
      </c>
      <c r="F1082" s="4" t="inlineStr">
        <is>
          <t>Metrópoles</t>
        </is>
      </c>
      <c r="G1082" s="4" t="inlineStr">
        <is>
          <t>Metrópole</t>
        </is>
      </c>
      <c r="H1082" s="5">
        <f>IF(G1082="fora do recorte","",SUMPRODUCT(($G$3:$G$1723=G1082)*($A$3:$A$1723&lt;=A1082)))</f>
        <v/>
      </c>
      <c r="I1082" s="4">
        <f>IF(H1082="","",G1082&amp;"|"&amp;H1082)</f>
        <v/>
      </c>
      <c r="J1082" s="4" t="inlineStr">
        <is>
          <t>https://www.google.com/maps/search/?api=1&amp;query=Vem%20Brincar%20Brinquedoteca&amp;query_place_id=ChIJffwleigXuAAR-LDVO9VgcnY</t>
        </is>
      </c>
      <c r="K1082" s="4" t="inlineStr">
        <is>
          <t>Poseidon Plaza - R. da Grécia, 320A - Santa Luíza, Vitória - ES, 29045-225, Brasil</t>
        </is>
      </c>
      <c r="L1082" s="4" t="inlineStr">
        <is>
          <t>Vitória</t>
        </is>
      </c>
      <c r="M1082" s="5" t="n">
        <v>1</v>
      </c>
    </row>
    <row r="1083">
      <c r="A1083" s="3">
        <f>RAND()</f>
        <v/>
      </c>
      <c r="B1083" s="4" t="inlineStr">
        <is>
          <t>ChIJbbYt8cwZuAAR2YTmcGXhsRw</t>
        </is>
      </c>
      <c r="C1083" s="4" t="inlineStr">
        <is>
          <t>Vila Geek Vitória</t>
        </is>
      </c>
      <c r="D1083" s="4" t="inlineStr">
        <is>
          <t>Vitória</t>
        </is>
      </c>
      <c r="E1083" s="4" t="inlineStr">
        <is>
          <t>ES</t>
        </is>
      </c>
      <c r="F1083" s="4" t="inlineStr">
        <is>
          <t>Metrópoles</t>
        </is>
      </c>
      <c r="G1083" s="4" t="inlineStr">
        <is>
          <t>Metrópole</t>
        </is>
      </c>
      <c r="H1083" s="5">
        <f>IF(G1083="fora do recorte","",SUMPRODUCT(($G$3:$G$1723=G1083)*($A$3:$A$1723&lt;=A1083)))</f>
        <v/>
      </c>
      <c r="I1083" s="4">
        <f>IF(H1083="","",G1083&amp;"|"&amp;H1083)</f>
        <v/>
      </c>
      <c r="J1083" s="4" t="inlineStr">
        <is>
          <t>https://www.google.com/maps/search/?api=1&amp;query=Vila%20Geek%20Vit%C3%B3ria&amp;query_place_id=ChIJbbYt8cwZuAAR2YTmcGXhsRw</t>
        </is>
      </c>
      <c r="K1083" s="4" t="inlineStr">
        <is>
          <t>R. Milton Ramalho Simões, 130 - Jardim Camburi, Vitória - ES, 29090-770, Brasil</t>
        </is>
      </c>
      <c r="L1083" s="4" t="inlineStr">
        <is>
          <t>Vitória</t>
        </is>
      </c>
      <c r="M1083" s="5" t="n">
        <v>2</v>
      </c>
    </row>
    <row r="1084">
      <c r="A1084" s="3">
        <f>RAND()</f>
        <v/>
      </c>
      <c r="B1084" s="4" t="inlineStr">
        <is>
          <t>ChIJ2Rw1_KI9uAARzFm94YVkElk</t>
        </is>
      </c>
      <c r="C1084" s="4" t="inlineStr">
        <is>
          <t>Vitória Games</t>
        </is>
      </c>
      <c r="D1084" s="4" t="inlineStr">
        <is>
          <t>Vitória</t>
        </is>
      </c>
      <c r="E1084" s="4" t="inlineStr">
        <is>
          <t>ES</t>
        </is>
      </c>
      <c r="F1084" s="4" t="inlineStr">
        <is>
          <t>Metrópoles</t>
        </is>
      </c>
      <c r="G1084" s="4" t="inlineStr">
        <is>
          <t>Metrópole</t>
        </is>
      </c>
      <c r="H1084" s="5">
        <f>IF(G1084="fora do recorte","",SUMPRODUCT(($G$3:$G$1723=G1084)*($A$3:$A$1723&lt;=A1084)))</f>
        <v/>
      </c>
      <c r="I1084" s="4">
        <f>IF(H1084="","",G1084&amp;"|"&amp;H1084)</f>
        <v/>
      </c>
      <c r="J1084" s="4" t="inlineStr">
        <is>
          <t>https://www.google.com/maps/search/?api=1&amp;query=Vit%C3%B3ria%20Games&amp;query_place_id=ChIJ2Rw1_KI9uAARzFm94YVkElk</t>
        </is>
      </c>
      <c r="K1084" s="4" t="inlineStr">
        <is>
          <t>Av. Jerônimo Monteiro, 793 - Centro, Vitória - ES, 29010-004, Brasil</t>
        </is>
      </c>
      <c r="L1084" s="4" t="inlineStr">
        <is>
          <t>Vitória</t>
        </is>
      </c>
      <c r="M1084" s="5" t="n">
        <v>2</v>
      </c>
    </row>
    <row r="1085">
      <c r="A1085" s="3">
        <f>RAND()</f>
        <v/>
      </c>
      <c r="B1085" s="4" t="inlineStr">
        <is>
          <t>ChIJk-C69g4ZuAARgEm4NIoIraE</t>
        </is>
      </c>
      <c r="C1085" s="4" t="inlineStr">
        <is>
          <t>Zé Capixaba | Bar e Petiscaria</t>
        </is>
      </c>
      <c r="D1085" s="4" t="inlineStr">
        <is>
          <t>Vitória</t>
        </is>
      </c>
      <c r="E1085" s="4" t="inlineStr">
        <is>
          <t>ES</t>
        </is>
      </c>
      <c r="F1085" s="4" t="inlineStr">
        <is>
          <t>Metrópoles</t>
        </is>
      </c>
      <c r="G1085" s="4" t="inlineStr">
        <is>
          <t>Metrópole</t>
        </is>
      </c>
      <c r="H1085" s="5">
        <f>IF(G1085="fora do recorte","",SUMPRODUCT(($G$3:$G$1723=G1085)*($A$3:$A$1723&lt;=A1085)))</f>
        <v/>
      </c>
      <c r="I1085" s="4">
        <f>IF(H1085="","",G1085&amp;"|"&amp;H1085)</f>
        <v/>
      </c>
      <c r="J1085" s="4" t="inlineStr">
        <is>
          <t>https://www.google.com/maps/search/?api=1&amp;query=Z%C3%A9%20Capixaba%20%7C%20Bar%20e%20Petiscaria&amp;query_place_id=ChIJk-C69g4ZuAARgEm4NIoIraE</t>
        </is>
      </c>
      <c r="K1085" s="4" t="inlineStr">
        <is>
          <t>R. Silvino Grecco, 1312 - Jardim Camburi, Vitória - ES, 29090-230, Brasil</t>
        </is>
      </c>
      <c r="L1085" s="4" t="inlineStr">
        <is>
          <t>Vitória</t>
        </is>
      </c>
      <c r="M1085" s="5" t="n">
        <v>1</v>
      </c>
    </row>
    <row r="1086">
      <c r="A1086" s="3">
        <f>RAND()</f>
        <v/>
      </c>
      <c r="B1086" s="4" t="inlineStr">
        <is>
          <t>ChIJ58EnqTflXpMRL5u66xGsCAU</t>
        </is>
      </c>
      <c r="C1086" s="4" t="inlineStr">
        <is>
          <t>Japan Conection World</t>
        </is>
      </c>
      <c r="D1086" s="4" t="inlineStr">
        <is>
          <t>Aparecida de Goiânia</t>
        </is>
      </c>
      <c r="E1086" s="4" t="inlineStr">
        <is>
          <t>GO</t>
        </is>
      </c>
      <c r="F1086" s="4" t="inlineStr">
        <is>
          <t>Metrópoles</t>
        </is>
      </c>
      <c r="G1086" s="4" t="inlineStr">
        <is>
          <t>Metrópole</t>
        </is>
      </c>
      <c r="H1086" s="5">
        <f>IF(G1086="fora do recorte","",SUMPRODUCT(($G$3:$G$1723=G1086)*($A$3:$A$1723&lt;=A1086)))</f>
        <v/>
      </c>
      <c r="I1086" s="4">
        <f>IF(H1086="","",G1086&amp;"|"&amp;H1086)</f>
        <v/>
      </c>
      <c r="J1086" s="4" t="inlineStr">
        <is>
          <t>https://www.google.com/maps/search/?api=1&amp;query=Japan%20Conection%20World&amp;query_place_id=ChIJ58EnqTflXpMRL5u66xGsCAU</t>
        </is>
      </c>
      <c r="K1086" s="4" t="inlineStr">
        <is>
          <t>Av. Bela Vista, Qd. 36 - LT. 23 - Parque trindade I, Aparecida de Goiânia - GO, 74921-206, Brasil</t>
        </is>
      </c>
      <c r="L1086" s="4" t="inlineStr">
        <is>
          <t>Goiânia</t>
        </is>
      </c>
      <c r="M1086" s="5" t="n">
        <v>1</v>
      </c>
    </row>
    <row r="1087">
      <c r="A1087" s="3">
        <f>RAND()</f>
        <v/>
      </c>
      <c r="B1087" s="4" t="inlineStr">
        <is>
          <t>ChIJGbkGXUL3XpMRfX0hiruyMDQ</t>
        </is>
      </c>
      <c r="C1087" s="4" t="inlineStr">
        <is>
          <t>RPG Alforts</t>
        </is>
      </c>
      <c r="D1087" s="4" t="inlineStr">
        <is>
          <t>Aparecida de Goiânia</t>
        </is>
      </c>
      <c r="E1087" s="4" t="inlineStr">
        <is>
          <t>GO</t>
        </is>
      </c>
      <c r="F1087" s="4" t="inlineStr">
        <is>
          <t>Metrópoles</t>
        </is>
      </c>
      <c r="G1087" s="4" t="inlineStr">
        <is>
          <t>Metrópole</t>
        </is>
      </c>
      <c r="H1087" s="5">
        <f>IF(G1087="fora do recorte","",SUMPRODUCT(($G$3:$G$1723=G1087)*($A$3:$A$1723&lt;=A1087)))</f>
        <v/>
      </c>
      <c r="I1087" s="4">
        <f>IF(H1087="","",G1087&amp;"|"&amp;H1087)</f>
        <v/>
      </c>
      <c r="J1087" s="4" t="inlineStr">
        <is>
          <t>https://www.google.com/maps/search/?api=1&amp;query=RPG%20Alforts&amp;query_place_id=ChIJGbkGXUL3XpMRfX0hiruyMDQ</t>
        </is>
      </c>
      <c r="K1087" s="4" t="inlineStr">
        <is>
          <t>R. Doná Gercina Borges Teixeira, qd 27 - lt 21 - Bairro Ilda, Aparecida de Goiânia - GO, 74935-610, Brasil</t>
        </is>
      </c>
      <c r="L1087" s="4" t="inlineStr">
        <is>
          <t>Goiânia</t>
        </is>
      </c>
      <c r="M1087" s="5" t="n">
        <v>1</v>
      </c>
    </row>
    <row r="1088">
      <c r="A1088" s="3">
        <f>RAND()</f>
        <v/>
      </c>
      <c r="B1088" s="4" t="inlineStr">
        <is>
          <t>ChIJsT8pxUPxXpMReGQSBqX-LSI</t>
        </is>
      </c>
      <c r="C1088" s="4" t="inlineStr">
        <is>
          <t>Solo Sagrado Cards - Yugioh Pokemon Jogos Tabuleiro Manga</t>
        </is>
      </c>
      <c r="D1088" s="4" t="inlineStr">
        <is>
          <t>Aparecida de Goiânia</t>
        </is>
      </c>
      <c r="E1088" s="4" t="inlineStr">
        <is>
          <t>GO</t>
        </is>
      </c>
      <c r="F1088" s="4" t="inlineStr">
        <is>
          <t>Metrópoles</t>
        </is>
      </c>
      <c r="G1088" s="4" t="inlineStr">
        <is>
          <t>Metrópole</t>
        </is>
      </c>
      <c r="H1088" s="5">
        <f>IF(G1088="fora do recorte","",SUMPRODUCT(($G$3:$G$1723=G1088)*($A$3:$A$1723&lt;=A1088)))</f>
        <v/>
      </c>
      <c r="I1088" s="4">
        <f>IF(H1088="","",G1088&amp;"|"&amp;H1088)</f>
        <v/>
      </c>
      <c r="J1088" s="4" t="inlineStr">
        <is>
          <t>https://www.google.com/maps/search/?api=1&amp;query=Solo%20Sagrado%20Cards%20-%20Yugioh%20Pokemon%20Jogos%20Tabuleiro%20Manga&amp;query_place_id=ChIJsT8pxUPxXpMReGQSBqX-LSI</t>
        </is>
      </c>
      <c r="K1088" s="4" t="inlineStr">
        <is>
          <t>R. H-34, Qd 172 - Lt 2A - Conj. Estrela do Sul, Aparecida de Goiânia - GO, 74936-020, Brasil</t>
        </is>
      </c>
      <c r="L1088" s="4" t="inlineStr">
        <is>
          <t>Goiânia</t>
        </is>
      </c>
      <c r="M1088" s="5" t="n">
        <v>4</v>
      </c>
    </row>
    <row r="1089">
      <c r="A1089" s="3">
        <f>RAND()</f>
        <v/>
      </c>
      <c r="B1089" s="4" t="inlineStr">
        <is>
          <t>ChIJL4AmPTr7XpMRKeZpbdZE0QU</t>
        </is>
      </c>
      <c r="C1089" s="4" t="inlineStr">
        <is>
          <t>Xerife Board Games - Aluguel de Jogos de Tabuleiro</t>
        </is>
      </c>
      <c r="D1089" s="4" t="inlineStr">
        <is>
          <t>Aparecida de Goiânia</t>
        </is>
      </c>
      <c r="E1089" s="4" t="inlineStr">
        <is>
          <t>GO</t>
        </is>
      </c>
      <c r="F1089" s="4" t="inlineStr">
        <is>
          <t>Metrópoles</t>
        </is>
      </c>
      <c r="G1089" s="4" t="inlineStr">
        <is>
          <t>Metrópole</t>
        </is>
      </c>
      <c r="H1089" s="5">
        <f>IF(G1089="fora do recorte","",SUMPRODUCT(($G$3:$G$1723=G1089)*($A$3:$A$1723&lt;=A1089)))</f>
        <v/>
      </c>
      <c r="I1089" s="4">
        <f>IF(H1089="","",G1089&amp;"|"&amp;H1089)</f>
        <v/>
      </c>
      <c r="J1089" s="4" t="inlineStr">
        <is>
          <t>https://www.google.com/maps/search/?api=1&amp;query=Xerife%20Board%20Games%20-%20Aluguel%20de%20Jogos%20de%20Tabuleiro&amp;query_place_id=ChIJL4AmPTr7XpMRKeZpbdZE0QU</t>
        </is>
      </c>
      <c r="K1089" s="4" t="inlineStr">
        <is>
          <t>R. 506 - Jardim Mont Serrat, Aparecida de Goiânia - GO, 74917-350, Brasil</t>
        </is>
      </c>
      <c r="L1089" s="4" t="inlineStr">
        <is>
          <t>Goiânia</t>
        </is>
      </c>
      <c r="M1089" s="5" t="n">
        <v>3</v>
      </c>
    </row>
    <row r="1090">
      <c r="A1090" s="3">
        <f>RAND()</f>
        <v/>
      </c>
      <c r="B1090" s="4" t="inlineStr">
        <is>
          <t>ChIJO7ePgVvzXpMRwnd9y7O_-Yc</t>
        </is>
      </c>
      <c r="C1090" s="4" t="inlineStr">
        <is>
          <t>Orgos Miniaturas</t>
        </is>
      </c>
      <c r="D1090" s="4" t="inlineStr">
        <is>
          <t>Goianira</t>
        </is>
      </c>
      <c r="E1090" s="4" t="inlineStr">
        <is>
          <t>GO</t>
        </is>
      </c>
      <c r="F1090" s="4" t="inlineStr">
        <is>
          <t>Metrópoles</t>
        </is>
      </c>
      <c r="G1090" s="4" t="inlineStr">
        <is>
          <t>Metrópole</t>
        </is>
      </c>
      <c r="H1090" s="5">
        <f>IF(G1090="fora do recorte","",SUMPRODUCT(($G$3:$G$1723=G1090)*($A$3:$A$1723&lt;=A1090)))</f>
        <v/>
      </c>
      <c r="I1090" s="4">
        <f>IF(H1090="","",G1090&amp;"|"&amp;H1090)</f>
        <v/>
      </c>
      <c r="J1090" s="4" t="inlineStr">
        <is>
          <t>https://www.google.com/maps/search/?api=1&amp;query=Orgos%20Miniaturas&amp;query_place_id=ChIJO7ePgVvzXpMRwnd9y7O_-Yc</t>
        </is>
      </c>
      <c r="K1090" s="4" t="inlineStr">
        <is>
          <t>R. Vinícius de Morais, Qd 15 - Lt 14 - Res. LIMOEIRO, Goianira - GO, 75368-149, Brasil</t>
        </is>
      </c>
      <c r="L1090" s="4" t="inlineStr">
        <is>
          <t>Goiânia</t>
        </is>
      </c>
      <c r="M1090" s="5" t="n">
        <v>1</v>
      </c>
    </row>
    <row r="1091">
      <c r="A1091" s="3">
        <f>RAND()</f>
        <v/>
      </c>
      <c r="B1091" s="4" t="inlineStr">
        <is>
          <t>ChIJT4G03CjxXpMRkQxq_K4L87M</t>
        </is>
      </c>
      <c r="C1091" s="4" t="inlineStr">
        <is>
          <t>Ambiência Bar</t>
        </is>
      </c>
      <c r="D1091" s="4" t="inlineStr">
        <is>
          <t>Goiânia</t>
        </is>
      </c>
      <c r="E1091" s="4" t="inlineStr">
        <is>
          <t>GO</t>
        </is>
      </c>
      <c r="F1091" s="4" t="inlineStr">
        <is>
          <t>Metrópoles</t>
        </is>
      </c>
      <c r="G1091" s="4" t="inlineStr">
        <is>
          <t>Metrópole</t>
        </is>
      </c>
      <c r="H1091" s="5">
        <f>IF(G1091="fora do recorte","",SUMPRODUCT(($G$3:$G$1723=G1091)*($A$3:$A$1723&lt;=A1091)))</f>
        <v/>
      </c>
      <c r="I1091" s="4">
        <f>IF(H1091="","",G1091&amp;"|"&amp;H1091)</f>
        <v/>
      </c>
      <c r="J1091" s="4" t="inlineStr">
        <is>
          <t>https://www.google.com/maps/search/?api=1&amp;query=Ambi%C3%AAncia%20Bar&amp;query_place_id=ChIJT4G03CjxXpMRkQxq_K4L87M</t>
        </is>
      </c>
      <c r="K1091" s="4" t="inlineStr">
        <is>
          <t>Av. Portugal, 1229 - St. Marista, Goiânia - GO, 74150-030, Brasil</t>
        </is>
      </c>
      <c r="L1091" s="4" t="inlineStr">
        <is>
          <t>Goiânia</t>
        </is>
      </c>
      <c r="M1091" s="5" t="n">
        <v>1</v>
      </c>
    </row>
    <row r="1092">
      <c r="A1092" s="3">
        <f>RAND()</f>
        <v/>
      </c>
      <c r="B1092" s="4" t="inlineStr">
        <is>
          <t>ChIJ_Wf3l1fxXpMRCqXUHjbIQC8</t>
        </is>
      </c>
      <c r="C1092" s="4" t="inlineStr">
        <is>
          <t>BLEND GASTROBAR</t>
        </is>
      </c>
      <c r="D1092" s="4" t="inlineStr">
        <is>
          <t>Goiânia</t>
        </is>
      </c>
      <c r="E1092" s="4" t="inlineStr">
        <is>
          <t>GO</t>
        </is>
      </c>
      <c r="F1092" s="4" t="inlineStr">
        <is>
          <t>Metrópoles</t>
        </is>
      </c>
      <c r="G1092" s="4" t="inlineStr">
        <is>
          <t>Metrópole</t>
        </is>
      </c>
      <c r="H1092" s="5">
        <f>IF(G1092="fora do recorte","",SUMPRODUCT(($G$3:$G$1723=G1092)*($A$3:$A$1723&lt;=A1092)))</f>
        <v/>
      </c>
      <c r="I1092" s="4">
        <f>IF(H1092="","",G1092&amp;"|"&amp;H1092)</f>
        <v/>
      </c>
      <c r="J1092" s="4" t="inlineStr">
        <is>
          <t>https://www.google.com/maps/search/?api=1&amp;query=BLEND%20GASTROBAR&amp;query_place_id=ChIJ_Wf3l1fxXpMRCqXUHjbIQC8</t>
        </is>
      </c>
      <c r="K1092" s="4" t="inlineStr">
        <is>
          <t>R. S-1, 237 - St. Bela Vista, Goiânia - GO, 74823-310, Brasil</t>
        </is>
      </c>
      <c r="L1092" s="4" t="inlineStr">
        <is>
          <t>Goiânia</t>
        </is>
      </c>
      <c r="M1092" s="5" t="n">
        <v>1</v>
      </c>
    </row>
    <row r="1093">
      <c r="A1093" s="3">
        <f>RAND()</f>
        <v/>
      </c>
      <c r="B1093" s="4" t="inlineStr">
        <is>
          <t>ChIJLR49WfHxXpMRrSDkf1ExRR4</t>
        </is>
      </c>
      <c r="C1093" s="4" t="inlineStr">
        <is>
          <t>Bacon Arcano</t>
        </is>
      </c>
      <c r="D1093" s="4" t="inlineStr">
        <is>
          <t>Goiânia</t>
        </is>
      </c>
      <c r="E1093" s="4" t="inlineStr">
        <is>
          <t>GO</t>
        </is>
      </c>
      <c r="F1093" s="4" t="inlineStr">
        <is>
          <t>Metrópoles</t>
        </is>
      </c>
      <c r="G1093" s="4" t="inlineStr">
        <is>
          <t>Metrópole</t>
        </is>
      </c>
      <c r="H1093" s="5">
        <f>IF(G1093="fora do recorte","",SUMPRODUCT(($G$3:$G$1723=G1093)*($A$3:$A$1723&lt;=A1093)))</f>
        <v/>
      </c>
      <c r="I1093" s="4">
        <f>IF(H1093="","",G1093&amp;"|"&amp;H1093)</f>
        <v/>
      </c>
      <c r="J1093" s="4" t="inlineStr">
        <is>
          <t>https://www.google.com/maps/search/?api=1&amp;query=Bacon%20Arcano&amp;query_place_id=ChIJLR49WfHxXpMRrSDkf1ExRR4</t>
        </is>
      </c>
      <c r="K1093" s="4" t="inlineStr">
        <is>
          <t>R. 84, 604 - Mezanino 1 - St. Sul, Goiânia - GO, 74080-410, Brasil</t>
        </is>
      </c>
      <c r="L1093" s="4" t="inlineStr">
        <is>
          <t>Goiânia</t>
        </is>
      </c>
      <c r="M1093" s="5" t="n">
        <v>13</v>
      </c>
    </row>
    <row r="1094">
      <c r="A1094" s="3">
        <f>RAND()</f>
        <v/>
      </c>
      <c r="B1094" s="4" t="inlineStr">
        <is>
          <t>ChIJtW-uiPf1XpMRjkYsEmwif28</t>
        </is>
      </c>
      <c r="C1094" s="4" t="inlineStr">
        <is>
          <t>Bar Dodô</t>
        </is>
      </c>
      <c r="D1094" s="4" t="inlineStr">
        <is>
          <t>Goiânia</t>
        </is>
      </c>
      <c r="E1094" s="4" t="inlineStr">
        <is>
          <t>GO</t>
        </is>
      </c>
      <c r="F1094" s="4" t="inlineStr">
        <is>
          <t>Metrópoles</t>
        </is>
      </c>
      <c r="G1094" s="4" t="inlineStr">
        <is>
          <t>Metrópole</t>
        </is>
      </c>
      <c r="H1094" s="5">
        <f>IF(G1094="fora do recorte","",SUMPRODUCT(($G$3:$G$1723=G1094)*($A$3:$A$1723&lt;=A1094)))</f>
        <v/>
      </c>
      <c r="I1094" s="4">
        <f>IF(H1094="","",G1094&amp;"|"&amp;H1094)</f>
        <v/>
      </c>
      <c r="J1094" s="4" t="inlineStr">
        <is>
          <t>https://www.google.com/maps/search/?api=1&amp;query=Bar%20Dod%C3%B4&amp;query_place_id=ChIJtW-uiPf1XpMRjkYsEmwif28</t>
        </is>
      </c>
      <c r="K1094" s="4" t="inlineStr">
        <is>
          <t>R. Horizonte, 160 - Aeroviario, Goiânia - GO, 74435-040, Brasil</t>
        </is>
      </c>
      <c r="L1094" s="4" t="inlineStr">
        <is>
          <t>Goiânia</t>
        </is>
      </c>
      <c r="M1094" s="5" t="n">
        <v>1</v>
      </c>
    </row>
    <row r="1095">
      <c r="A1095" s="3">
        <f>RAND()</f>
        <v/>
      </c>
      <c r="B1095" s="4" t="inlineStr">
        <is>
          <t>ChIJea2r-VvxXpMRKeP-EcBdmSQ</t>
        </is>
      </c>
      <c r="C1095" s="4" t="inlineStr">
        <is>
          <t>Bar Rio</t>
        </is>
      </c>
      <c r="D1095" s="4" t="inlineStr">
        <is>
          <t>Goiânia</t>
        </is>
      </c>
      <c r="E1095" s="4" t="inlineStr">
        <is>
          <t>GO</t>
        </is>
      </c>
      <c r="F1095" s="4" t="inlineStr">
        <is>
          <t>Metrópoles</t>
        </is>
      </c>
      <c r="G1095" s="4" t="inlineStr">
        <is>
          <t>Metrópole</t>
        </is>
      </c>
      <c r="H1095" s="5">
        <f>IF(G1095="fora do recorte","",SUMPRODUCT(($G$3:$G$1723=G1095)*($A$3:$A$1723&lt;=A1095)))</f>
        <v/>
      </c>
      <c r="I1095" s="4">
        <f>IF(H1095="","",G1095&amp;"|"&amp;H1095)</f>
        <v/>
      </c>
      <c r="J1095" s="4" t="inlineStr">
        <is>
          <t>https://www.google.com/maps/search/?api=1&amp;query=Bar%20Rio&amp;query_place_id=ChIJea2r-VvxXpMRKeP-EcBdmSQ</t>
        </is>
      </c>
      <c r="K1095" s="4" t="inlineStr">
        <is>
          <t>R. 229, 256 - Setor Leste Universitário, Goiânia - GO, 74605-150, Brasil</t>
        </is>
      </c>
      <c r="L1095" s="4" t="inlineStr">
        <is>
          <t>Goiânia</t>
        </is>
      </c>
      <c r="M1095" s="5" t="n">
        <v>1</v>
      </c>
    </row>
    <row r="1096">
      <c r="A1096" s="3">
        <f>RAND()</f>
        <v/>
      </c>
      <c r="B1096" s="4" t="inlineStr">
        <is>
          <t>ChIJvT1MC_L2XpMRCR2DAPE81YM</t>
        </is>
      </c>
      <c r="C1096" s="4" t="inlineStr">
        <is>
          <t>Bilhar Cidade</t>
        </is>
      </c>
      <c r="D1096" s="4" t="inlineStr">
        <is>
          <t>Goiânia</t>
        </is>
      </c>
      <c r="E1096" s="4" t="inlineStr">
        <is>
          <t>GO</t>
        </is>
      </c>
      <c r="F1096" s="4" t="inlineStr">
        <is>
          <t>Metrópoles</t>
        </is>
      </c>
      <c r="G1096" s="4" t="inlineStr">
        <is>
          <t>Metrópole</t>
        </is>
      </c>
      <c r="H1096" s="5">
        <f>IF(G1096="fora do recorte","",SUMPRODUCT(($G$3:$G$1723=G1096)*($A$3:$A$1723&lt;=A1096)))</f>
        <v/>
      </c>
      <c r="I1096" s="4">
        <f>IF(H1096="","",G1096&amp;"|"&amp;H1096)</f>
        <v/>
      </c>
      <c r="J1096" s="4" t="inlineStr">
        <is>
          <t>https://www.google.com/maps/search/?api=1&amp;query=Bilhar%20Cidade&amp;query_place_id=ChIJvT1MC_L2XpMRCR2DAPE81YM</t>
        </is>
      </c>
      <c r="K1096" s="4" t="inlineStr">
        <is>
          <t>R. Dinamarca, 701 - Qd 97 Lt 32 - Jardim Europa, Goiânia - GO, 74330-050, Brasil</t>
        </is>
      </c>
      <c r="L1096" s="4" t="inlineStr">
        <is>
          <t>Goiânia</t>
        </is>
      </c>
      <c r="M1096" s="5" t="n">
        <v>4</v>
      </c>
    </row>
    <row r="1097">
      <c r="A1097" s="3">
        <f>RAND()</f>
        <v/>
      </c>
      <c r="B1097" s="4" t="inlineStr">
        <is>
          <t>ChIJzfCiDjLxXpMR1ssGD0_sMw4</t>
        </is>
      </c>
      <c r="C1097" s="4" t="inlineStr">
        <is>
          <t>Board Game Barato - Jogos de Tabuleiro</t>
        </is>
      </c>
      <c r="D1097" s="4" t="inlineStr">
        <is>
          <t>Goiânia</t>
        </is>
      </c>
      <c r="E1097" s="4" t="inlineStr">
        <is>
          <t>GO</t>
        </is>
      </c>
      <c r="F1097" s="4" t="inlineStr">
        <is>
          <t>Metrópoles</t>
        </is>
      </c>
      <c r="G1097" s="4" t="inlineStr">
        <is>
          <t>Metrópole</t>
        </is>
      </c>
      <c r="H1097" s="5">
        <f>IF(G1097="fora do recorte","",SUMPRODUCT(($G$3:$G$1723=G1097)*($A$3:$A$1723&lt;=A1097)))</f>
        <v/>
      </c>
      <c r="I1097" s="4">
        <f>IF(H1097="","",G1097&amp;"|"&amp;H1097)</f>
        <v/>
      </c>
      <c r="J1097" s="4" t="inlineStr">
        <is>
          <t>https://www.google.com/maps/search/?api=1&amp;query=Board%20Game%20Barato%20-%20Jogos%20de%20Tabuleiro&amp;query_place_id=ChIJzfCiDjLxXpMR1ssGD0_sMw4</t>
        </is>
      </c>
      <c r="K1097" s="4" t="inlineStr">
        <is>
          <t>Edif. Lourenço Office - Av. T-7, º 371 - sala 1102 - Goiânia, GO, 74140-110, Brasil</t>
        </is>
      </c>
      <c r="L1097" s="4" t="inlineStr">
        <is>
          <t>Goiânia</t>
        </is>
      </c>
      <c r="M1097" s="5" t="n">
        <v>4</v>
      </c>
    </row>
    <row r="1098">
      <c r="A1098" s="3">
        <f>RAND()</f>
        <v/>
      </c>
      <c r="B1098" s="4" t="inlineStr">
        <is>
          <t>ChIJi4oNal_xXpMRfnhV-QVbTdA</t>
        </is>
      </c>
      <c r="C1098" s="4" t="inlineStr">
        <is>
          <t>Boteco Posto 15</t>
        </is>
      </c>
      <c r="D1098" s="4" t="inlineStr">
        <is>
          <t>Goiânia</t>
        </is>
      </c>
      <c r="E1098" s="4" t="inlineStr">
        <is>
          <t>GO</t>
        </is>
      </c>
      <c r="F1098" s="4" t="inlineStr">
        <is>
          <t>Metrópoles</t>
        </is>
      </c>
      <c r="G1098" s="4" t="inlineStr">
        <is>
          <t>Metrópole</t>
        </is>
      </c>
      <c r="H1098" s="5">
        <f>IF(G1098="fora do recorte","",SUMPRODUCT(($G$3:$G$1723=G1098)*($A$3:$A$1723&lt;=A1098)))</f>
        <v/>
      </c>
      <c r="I1098" s="4">
        <f>IF(H1098="","",G1098&amp;"|"&amp;H1098)</f>
        <v/>
      </c>
      <c r="J1098" s="4" t="inlineStr">
        <is>
          <t>https://www.google.com/maps/search/?api=1&amp;query=Boteco%20Posto%2015&amp;query_place_id=ChIJi4oNal_xXpMRfnhV-QVbTdA</t>
        </is>
      </c>
      <c r="K1098" s="4" t="inlineStr">
        <is>
          <t>R. 15, 1896 - St. Marista, Goiânia - GO, 74150-150, Brasil</t>
        </is>
      </c>
      <c r="L1098" s="4" t="inlineStr">
        <is>
          <t>Goiânia</t>
        </is>
      </c>
      <c r="M1098" s="5" t="n">
        <v>1</v>
      </c>
    </row>
    <row r="1099">
      <c r="A1099" s="3">
        <f>RAND()</f>
        <v/>
      </c>
      <c r="B1099" s="4" t="inlineStr">
        <is>
          <t>ChIJW5bkOgHxXpMRH9pj0WSmXFQ</t>
        </is>
      </c>
      <c r="C1099" s="4" t="inlineStr">
        <is>
          <t>Brewtopia Tap Bar</t>
        </is>
      </c>
      <c r="D1099" s="4" t="inlineStr">
        <is>
          <t>Goiânia</t>
        </is>
      </c>
      <c r="E1099" s="4" t="inlineStr">
        <is>
          <t>GO</t>
        </is>
      </c>
      <c r="F1099" s="4" t="inlineStr">
        <is>
          <t>Metrópoles</t>
        </is>
      </c>
      <c r="G1099" s="4" t="inlineStr">
        <is>
          <t>Metrópole</t>
        </is>
      </c>
      <c r="H1099" s="5">
        <f>IF(G1099="fora do recorte","",SUMPRODUCT(($G$3:$G$1723=G1099)*($A$3:$A$1723&lt;=A1099)))</f>
        <v/>
      </c>
      <c r="I1099" s="4">
        <f>IF(H1099="","",G1099&amp;"|"&amp;H1099)</f>
        <v/>
      </c>
      <c r="J1099" s="4" t="inlineStr">
        <is>
          <t>https://www.google.com/maps/search/?api=1&amp;query=Brewtopia%20Tap%20Bar&amp;query_place_id=ChIJW5bkOgHxXpMRH9pj0WSmXFQ</t>
        </is>
      </c>
      <c r="K1099" s="4" t="inlineStr">
        <is>
          <t>6ª Avenida, 466 - Setor Leste Universitário, Goiânia - GO, 74603-040, Brasil</t>
        </is>
      </c>
      <c r="L1099" s="4" t="inlineStr">
        <is>
          <t>Goiânia</t>
        </is>
      </c>
      <c r="M1099" s="5" t="n">
        <v>1</v>
      </c>
    </row>
    <row r="1100">
      <c r="A1100" s="3">
        <f>RAND()</f>
        <v/>
      </c>
      <c r="B1100" s="4" t="inlineStr">
        <is>
          <t>ChIJDw_EL632XpMRedK6TAD2nTI</t>
        </is>
      </c>
      <c r="C1100" s="4" t="inlineStr">
        <is>
          <t>Casa da Praça - Espaço Recreativo</t>
        </is>
      </c>
      <c r="D1100" s="4" t="inlineStr">
        <is>
          <t>Goiânia</t>
        </is>
      </c>
      <c r="E1100" s="4" t="inlineStr">
        <is>
          <t>GO</t>
        </is>
      </c>
      <c r="F1100" s="4" t="inlineStr">
        <is>
          <t>Metrópoles</t>
        </is>
      </c>
      <c r="G1100" s="4" t="inlineStr">
        <is>
          <t>Metrópole</t>
        </is>
      </c>
      <c r="H1100" s="5">
        <f>IF(G1100="fora do recorte","",SUMPRODUCT(($G$3:$G$1723=G1100)*($A$3:$A$1723&lt;=A1100)))</f>
        <v/>
      </c>
      <c r="I1100" s="4">
        <f>IF(H1100="","",G1100&amp;"|"&amp;H1100)</f>
        <v/>
      </c>
      <c r="J1100" s="4" t="inlineStr">
        <is>
          <t>https://www.google.com/maps/search/?api=1&amp;query=Casa%20da%20Pra%C3%A7a%20-%20Espa%C3%A7o%20Recreativo&amp;query_place_id=ChIJDw_EL632XpMRedK6TAD2nTI</t>
        </is>
      </c>
      <c r="K1100" s="4" t="inlineStr">
        <is>
          <t>Praça T-16, 71 - St. Bueno, Goiânia - GO, 74210-280, Brasil</t>
        </is>
      </c>
      <c r="L1100" s="4" t="inlineStr">
        <is>
          <t>Goiânia</t>
        </is>
      </c>
      <c r="M1100" s="5" t="n">
        <v>1</v>
      </c>
    </row>
    <row r="1101">
      <c r="A1101" s="3">
        <f>RAND()</f>
        <v/>
      </c>
      <c r="B1101" s="4" t="inlineStr">
        <is>
          <t>ChIJr6qqsmnxXpMRferkB7-_NP8</t>
        </is>
      </c>
      <c r="C1101" s="4" t="inlineStr">
        <is>
          <t>Cine Games</t>
        </is>
      </c>
      <c r="D1101" s="4" t="inlineStr">
        <is>
          <t>Goiânia</t>
        </is>
      </c>
      <c r="E1101" s="4" t="inlineStr">
        <is>
          <t>GO</t>
        </is>
      </c>
      <c r="F1101" s="4" t="inlineStr">
        <is>
          <t>Metrópoles</t>
        </is>
      </c>
      <c r="G1101" s="4" t="inlineStr">
        <is>
          <t>Metrópole</t>
        </is>
      </c>
      <c r="H1101" s="5">
        <f>IF(G1101="fora do recorte","",SUMPRODUCT(($G$3:$G$1723=G1101)*($A$3:$A$1723&lt;=A1101)))</f>
        <v/>
      </c>
      <c r="I1101" s="4">
        <f>IF(H1101="","",G1101&amp;"|"&amp;H1101)</f>
        <v/>
      </c>
      <c r="J1101" s="4" t="inlineStr">
        <is>
          <t>https://www.google.com/maps/search/?api=1&amp;query=Cine%20Games&amp;query_place_id=ChIJr6qqsmnxXpMRferkB7-_NP8</t>
        </is>
      </c>
      <c r="K1101" s="4" t="inlineStr">
        <is>
          <t>Cine Games - R. 18, 155 - St. Oeste, Goiânia - GO, 74120-080, Brasil</t>
        </is>
      </c>
      <c r="L1101" s="4" t="inlineStr">
        <is>
          <t>Goiânia</t>
        </is>
      </c>
      <c r="M1101" s="5" t="n">
        <v>1</v>
      </c>
    </row>
    <row r="1102">
      <c r="A1102" s="3">
        <f>RAND()</f>
        <v/>
      </c>
      <c r="B1102" s="4" t="inlineStr">
        <is>
          <t>ChIJ-fG3ziHxXpMR2l4W06mI1Vk</t>
        </is>
      </c>
      <c r="C1102" s="4" t="inlineStr">
        <is>
          <t>Cirandê Club - Brinquedoteca e Festas Infantis - Piso G1 Goiânia Shopping</t>
        </is>
      </c>
      <c r="D1102" s="4" t="inlineStr">
        <is>
          <t>Goiânia</t>
        </is>
      </c>
      <c r="E1102" s="4" t="inlineStr">
        <is>
          <t>GO</t>
        </is>
      </c>
      <c r="F1102" s="4" t="inlineStr">
        <is>
          <t>Metrópoles</t>
        </is>
      </c>
      <c r="G1102" s="4" t="inlineStr">
        <is>
          <t>Metrópole</t>
        </is>
      </c>
      <c r="H1102" s="5">
        <f>IF(G1102="fora do recorte","",SUMPRODUCT(($G$3:$G$1723=G1102)*($A$3:$A$1723&lt;=A1102)))</f>
        <v/>
      </c>
      <c r="I1102" s="4">
        <f>IF(H1102="","",G1102&amp;"|"&amp;H1102)</f>
        <v/>
      </c>
      <c r="J1102" s="4" t="inlineStr">
        <is>
          <t>https://www.google.com/maps/search/?api=1&amp;query=Cirand%C3%AA%20Club%20-%20Brinquedoteca%20e%20Festas%20Infantis%20-%20Piso%20G1%20Goi%C3%A2nia%20Shopping&amp;query_place_id=ChIJ-fG3ziHxXpMR2l4W06mI1Vk</t>
        </is>
      </c>
      <c r="K1102" s="4" t="inlineStr">
        <is>
          <t>Av. T-10, 1300 Piso G1, Cirandê Club - Shopping, Goiânia - GO, 74223-060, Brasil</t>
        </is>
      </c>
      <c r="L1102" s="4" t="inlineStr">
        <is>
          <t>Goiânia</t>
        </is>
      </c>
      <c r="M1102" s="5" t="n">
        <v>1</v>
      </c>
    </row>
    <row r="1103">
      <c r="A1103" s="3">
        <f>RAND()</f>
        <v/>
      </c>
      <c r="B1103" s="4" t="inlineStr">
        <is>
          <t>ChIJWRylvXL3XpMREA7Nyo1s64A</t>
        </is>
      </c>
      <c r="C1103" s="4" t="inlineStr">
        <is>
          <t>Copacabana Lounge Bar</t>
        </is>
      </c>
      <c r="D1103" s="4" t="inlineStr">
        <is>
          <t>Goiânia</t>
        </is>
      </c>
      <c r="E1103" s="4" t="inlineStr">
        <is>
          <t>GO</t>
        </is>
      </c>
      <c r="F1103" s="4" t="inlineStr">
        <is>
          <t>Metrópoles</t>
        </is>
      </c>
      <c r="G1103" s="4" t="inlineStr">
        <is>
          <t>Metrópole</t>
        </is>
      </c>
      <c r="H1103" s="5">
        <f>IF(G1103="fora do recorte","",SUMPRODUCT(($G$3:$G$1723=G1103)*($A$3:$A$1723&lt;=A1103)))</f>
        <v/>
      </c>
      <c r="I1103" s="4">
        <f>IF(H1103="","",G1103&amp;"|"&amp;H1103)</f>
        <v/>
      </c>
      <c r="J1103" s="4" t="inlineStr">
        <is>
          <t>https://www.google.com/maps/search/?api=1&amp;query=Copacabana%20Lounge%20Bar&amp;query_place_id=ChIJWRylvXL3XpMREA7Nyo1s64A</t>
        </is>
      </c>
      <c r="K1103" s="4" t="inlineStr">
        <is>
          <t>Av. Ipanema, Quadra 2 Lote 5 N 316 - Jardim Atlântico, Goiânia - GO, 74343-010, Brasil</t>
        </is>
      </c>
      <c r="L1103" s="4" t="inlineStr">
        <is>
          <t>Goiânia</t>
        </is>
      </c>
      <c r="M1103" s="5" t="n">
        <v>1</v>
      </c>
    </row>
    <row r="1104">
      <c r="A1104" s="3">
        <f>RAND()</f>
        <v/>
      </c>
      <c r="B1104" s="4" t="inlineStr">
        <is>
          <t>ChIJDTeCBpPzXpMRVZqZdNeockg</t>
        </is>
      </c>
      <c r="C1104" s="4" t="inlineStr">
        <is>
          <t>Domus Board Games - Aluguel de jogos de tabuleiro</t>
        </is>
      </c>
      <c r="D1104" s="4" t="inlineStr">
        <is>
          <t>Goiânia</t>
        </is>
      </c>
      <c r="E1104" s="4" t="inlineStr">
        <is>
          <t>GO</t>
        </is>
      </c>
      <c r="F1104" s="4" t="inlineStr">
        <is>
          <t>Metrópoles</t>
        </is>
      </c>
      <c r="G1104" s="4" t="inlineStr">
        <is>
          <t>Metrópole</t>
        </is>
      </c>
      <c r="H1104" s="5">
        <f>IF(G1104="fora do recorte","",SUMPRODUCT(($G$3:$G$1723=G1104)*($A$3:$A$1723&lt;=A1104)))</f>
        <v/>
      </c>
      <c r="I1104" s="4">
        <f>IF(H1104="","",G1104&amp;"|"&amp;H1104)</f>
        <v/>
      </c>
      <c r="J1104" s="4" t="inlineStr">
        <is>
          <t>https://www.google.com/maps/search/?api=1&amp;query=Domus%20Board%20Games%20-%20Aluguel%20de%20jogos%20de%20tabuleiro&amp;query_place_id=ChIJDTeCBpPzXpMRVZqZdNeockg</t>
        </is>
      </c>
      <c r="K1104" s="4" t="inlineStr">
        <is>
          <t>Rua L11, Residencial alegria, 100 - Feliz, Goiânia - GO, 74703-110, Brasil</t>
        </is>
      </c>
      <c r="L1104" s="4" t="inlineStr">
        <is>
          <t>Goiânia</t>
        </is>
      </c>
      <c r="M1104" s="5" t="n">
        <v>10</v>
      </c>
    </row>
    <row r="1105">
      <c r="A1105" s="3">
        <f>RAND()</f>
        <v/>
      </c>
      <c r="B1105" s="4" t="inlineStr">
        <is>
          <t>ChIJFboDVlbwXpMRjksTUmPvX6k</t>
        </is>
      </c>
      <c r="C1105" s="4" t="inlineStr">
        <is>
          <t>Don Guina Pub</t>
        </is>
      </c>
      <c r="D1105" s="4" t="inlineStr">
        <is>
          <t>Goiânia</t>
        </is>
      </c>
      <c r="E1105" s="4" t="inlineStr">
        <is>
          <t>GO</t>
        </is>
      </c>
      <c r="F1105" s="4" t="inlineStr">
        <is>
          <t>Metrópoles</t>
        </is>
      </c>
      <c r="G1105" s="4" t="inlineStr">
        <is>
          <t>Metrópole</t>
        </is>
      </c>
      <c r="H1105" s="5">
        <f>IF(G1105="fora do recorte","",SUMPRODUCT(($G$3:$G$1723=G1105)*($A$3:$A$1723&lt;=A1105)))</f>
        <v/>
      </c>
      <c r="I1105" s="4">
        <f>IF(H1105="","",G1105&amp;"|"&amp;H1105)</f>
        <v/>
      </c>
      <c r="J1105" s="4" t="inlineStr">
        <is>
          <t>https://www.google.com/maps/search/?api=1&amp;query=Don%20Guina%20Pub&amp;query_place_id=ChIJFboDVlbwXpMRjksTUmPvX6k</t>
        </is>
      </c>
      <c r="K1105" s="4" t="inlineStr">
        <is>
          <t>Av. 2ª Radial, 1576 - Vila Redencao, Goiânia - GO, 74850-040, Brasil</t>
        </is>
      </c>
      <c r="L1105" s="4" t="inlineStr">
        <is>
          <t>Goiânia</t>
        </is>
      </c>
      <c r="M1105" s="5" t="n">
        <v>1</v>
      </c>
    </row>
    <row r="1106">
      <c r="A1106" s="3">
        <f>RAND()</f>
        <v/>
      </c>
      <c r="B1106" s="4" t="inlineStr">
        <is>
          <t>ChIJHSp7iEfxXpMRVtA99lT7tUk</t>
        </is>
      </c>
      <c r="C1106" s="4" t="inlineStr">
        <is>
          <t>Eduque Brinquedos</t>
        </is>
      </c>
      <c r="D1106" s="4" t="inlineStr">
        <is>
          <t>Goiânia</t>
        </is>
      </c>
      <c r="E1106" s="4" t="inlineStr">
        <is>
          <t>GO</t>
        </is>
      </c>
      <c r="F1106" s="4" t="inlineStr">
        <is>
          <t>Metrópoles</t>
        </is>
      </c>
      <c r="G1106" s="4" t="inlineStr">
        <is>
          <t>Metrópole</t>
        </is>
      </c>
      <c r="H1106" s="5">
        <f>IF(G1106="fora do recorte","",SUMPRODUCT(($G$3:$G$1723=G1106)*($A$3:$A$1723&lt;=A1106)))</f>
        <v/>
      </c>
      <c r="I1106" s="4">
        <f>IF(H1106="","",G1106&amp;"|"&amp;H1106)</f>
        <v/>
      </c>
      <c r="J1106" s="4" t="inlineStr">
        <is>
          <t>https://www.google.com/maps/search/?api=1&amp;query=Eduque%20Brinquedos&amp;query_place_id=ChIJHSp7iEfxXpMRVtA99lT7tUk</t>
        </is>
      </c>
      <c r="K1106" s="4" t="inlineStr">
        <is>
          <t>R. 83, 55 - St. Sul, Goiânia - GO, 74083-195, Brasil</t>
        </is>
      </c>
      <c r="L1106" s="4" t="inlineStr">
        <is>
          <t>Goiânia</t>
        </is>
      </c>
      <c r="M1106" s="5" t="n">
        <v>1</v>
      </c>
    </row>
    <row r="1107">
      <c r="A1107" s="3">
        <f>RAND()</f>
        <v/>
      </c>
      <c r="B1107" s="4" t="inlineStr">
        <is>
          <t>ChIJzy5cbGL1XpMRFoZpuRA5QII</t>
        </is>
      </c>
      <c r="C1107" s="4" t="inlineStr">
        <is>
          <t>Faturando com rpg</t>
        </is>
      </c>
      <c r="D1107" s="4" t="inlineStr">
        <is>
          <t>Goiânia</t>
        </is>
      </c>
      <c r="E1107" s="4" t="inlineStr">
        <is>
          <t>GO</t>
        </is>
      </c>
      <c r="F1107" s="4" t="inlineStr">
        <is>
          <t>Metrópoles</t>
        </is>
      </c>
      <c r="G1107" s="4" t="inlineStr">
        <is>
          <t>Metrópole</t>
        </is>
      </c>
      <c r="H1107" s="5">
        <f>IF(G1107="fora do recorte","",SUMPRODUCT(($G$3:$G$1723=G1107)*($A$3:$A$1723&lt;=A1107)))</f>
        <v/>
      </c>
      <c r="I1107" s="4">
        <f>IF(H1107="","",G1107&amp;"|"&amp;H1107)</f>
        <v/>
      </c>
      <c r="J1107" s="4" t="inlineStr">
        <is>
          <t>https://www.google.com/maps/search/?api=1&amp;query=Faturando%20com%20rpg&amp;query_place_id=ChIJzy5cbGL1XpMRFoZpuRA5QII</t>
        </is>
      </c>
      <c r="K1107" s="4" t="inlineStr">
        <is>
          <t>R. Cláudio da Costa - Goiânia, GO, 74423-420, Brasil</t>
        </is>
      </c>
      <c r="L1107" s="4" t="inlineStr">
        <is>
          <t>Goiânia</t>
        </is>
      </c>
      <c r="M1107" s="5" t="n">
        <v>1</v>
      </c>
    </row>
    <row r="1108">
      <c r="A1108" s="3">
        <f>RAND()</f>
        <v/>
      </c>
      <c r="B1108" s="4" t="inlineStr">
        <is>
          <t>ChIJ28YWgrb1XpMRMv6SpzX6y9s</t>
        </is>
      </c>
      <c r="C1108" s="4" t="inlineStr">
        <is>
          <t>Fire games</t>
        </is>
      </c>
      <c r="D1108" s="4" t="inlineStr">
        <is>
          <t>Goiânia</t>
        </is>
      </c>
      <c r="E1108" s="4" t="inlineStr">
        <is>
          <t>GO</t>
        </is>
      </c>
      <c r="F1108" s="4" t="inlineStr">
        <is>
          <t>Metrópoles</t>
        </is>
      </c>
      <c r="G1108" s="4" t="inlineStr">
        <is>
          <t>Metrópole</t>
        </is>
      </c>
      <c r="H1108" s="5">
        <f>IF(G1108="fora do recorte","",SUMPRODUCT(($G$3:$G$1723=G1108)*($A$3:$A$1723&lt;=A1108)))</f>
        <v/>
      </c>
      <c r="I1108" s="4">
        <f>IF(H1108="","",G1108&amp;"|"&amp;H1108)</f>
        <v/>
      </c>
      <c r="J1108" s="4" t="inlineStr">
        <is>
          <t>https://www.google.com/maps/search/?api=1&amp;query=Fire%20games&amp;query_place_id=ChIJ28YWgrb1XpMRMv6SpzX6y9s</t>
        </is>
      </c>
      <c r="K1108" s="4" t="inlineStr">
        <is>
          <t>Mega lojas Stand E1034/C1033 - Av. Anhanguera, quadra 83A - Campinas, Goiânia - GO, 74503-100, Brasil</t>
        </is>
      </c>
      <c r="L1108" s="4" t="inlineStr">
        <is>
          <t>Goiânia</t>
        </is>
      </c>
      <c r="M1108" s="5" t="n">
        <v>1</v>
      </c>
    </row>
    <row r="1109">
      <c r="A1109" s="3">
        <f>RAND()</f>
        <v/>
      </c>
      <c r="B1109" s="4" t="inlineStr">
        <is>
          <t>ChIJ1UKbj57xXpMRnbe9e_tWVXc</t>
        </is>
      </c>
      <c r="C1109" s="4" t="inlineStr">
        <is>
          <t>Fubanga Bar</t>
        </is>
      </c>
      <c r="D1109" s="4" t="inlineStr">
        <is>
          <t>Goiânia</t>
        </is>
      </c>
      <c r="E1109" s="4" t="inlineStr">
        <is>
          <t>GO</t>
        </is>
      </c>
      <c r="F1109" s="4" t="inlineStr">
        <is>
          <t>Metrópoles</t>
        </is>
      </c>
      <c r="G1109" s="4" t="inlineStr">
        <is>
          <t>Metrópole</t>
        </is>
      </c>
      <c r="H1109" s="5">
        <f>IF(G1109="fora do recorte","",SUMPRODUCT(($G$3:$G$1723=G1109)*($A$3:$A$1723&lt;=A1109)))</f>
        <v/>
      </c>
      <c r="I1109" s="4">
        <f>IF(H1109="","",G1109&amp;"|"&amp;H1109)</f>
        <v/>
      </c>
      <c r="J1109" s="4" t="inlineStr">
        <is>
          <t>https://www.google.com/maps/search/?api=1&amp;query=Fubanga%20Bar&amp;query_place_id=ChIJ1UKbj57xXpMRnbe9e_tWVXc</t>
        </is>
      </c>
      <c r="K1109" s="4" t="inlineStr">
        <is>
          <t>R. 8, 372 - Qd. 08 Lt. 48 - St. Central, Goiânia - GO, 74013-030, Brasil</t>
        </is>
      </c>
      <c r="L1109" s="4" t="inlineStr">
        <is>
          <t>Goiânia</t>
        </is>
      </c>
      <c r="M1109" s="5" t="n">
        <v>1</v>
      </c>
    </row>
    <row r="1110">
      <c r="A1110" s="3">
        <f>RAND()</f>
        <v/>
      </c>
      <c r="B1110" s="4" t="inlineStr">
        <is>
          <t>ChIJVa4pFt7zXpMRsc2v1w_5XYc</t>
        </is>
      </c>
      <c r="C1110" s="4" t="inlineStr">
        <is>
          <t>GamerSurvivall</t>
        </is>
      </c>
      <c r="D1110" s="4" t="inlineStr">
        <is>
          <t>Goiânia</t>
        </is>
      </c>
      <c r="E1110" s="4" t="inlineStr">
        <is>
          <t>GO</t>
        </is>
      </c>
      <c r="F1110" s="4" t="inlineStr">
        <is>
          <t>Metrópoles</t>
        </is>
      </c>
      <c r="G1110" s="4" t="inlineStr">
        <is>
          <t>Metrópole</t>
        </is>
      </c>
      <c r="H1110" s="5">
        <f>IF(G1110="fora do recorte","",SUMPRODUCT(($G$3:$G$1723=G1110)*($A$3:$A$1723&lt;=A1110)))</f>
        <v/>
      </c>
      <c r="I1110" s="4">
        <f>IF(H1110="","",G1110&amp;"|"&amp;H1110)</f>
        <v/>
      </c>
      <c r="J1110" s="4" t="inlineStr">
        <is>
          <t>https://www.google.com/maps/search/?api=1&amp;query=GamerSurvivall&amp;query_place_id=ChIJVa4pFt7zXpMRsc2v1w_5XYc</t>
        </is>
      </c>
      <c r="K1110" s="4" t="inlineStr">
        <is>
          <t>Rua Colonia, Qd. 240A, Lt. 7, S/N - Novo Mundo, Goiânia - GO, 74713-200, Brasil</t>
        </is>
      </c>
      <c r="L1110" s="4" t="inlineStr">
        <is>
          <t>Goiânia</t>
        </is>
      </c>
      <c r="M1110" s="5" t="n">
        <v>1</v>
      </c>
    </row>
    <row r="1111">
      <c r="A1111" s="3">
        <f>RAND()</f>
        <v/>
      </c>
      <c r="B1111" s="4" t="inlineStr">
        <is>
          <t>ChIJQa_8W7f3XpMR16MqXb3u21Q</t>
        </is>
      </c>
      <c r="C1111" s="4" t="inlineStr">
        <is>
          <t>Garagem Board Game</t>
        </is>
      </c>
      <c r="D1111" s="4" t="inlineStr">
        <is>
          <t>Goiânia</t>
        </is>
      </c>
      <c r="E1111" s="4" t="inlineStr">
        <is>
          <t>GO</t>
        </is>
      </c>
      <c r="F1111" s="4" t="inlineStr">
        <is>
          <t>Metrópoles</t>
        </is>
      </c>
      <c r="G1111" s="4" t="inlineStr">
        <is>
          <t>Metrópole</t>
        </is>
      </c>
      <c r="H1111" s="5">
        <f>IF(G1111="fora do recorte","",SUMPRODUCT(($G$3:$G$1723=G1111)*($A$3:$A$1723&lt;=A1111)))</f>
        <v/>
      </c>
      <c r="I1111" s="4">
        <f>IF(H1111="","",G1111&amp;"|"&amp;H1111)</f>
        <v/>
      </c>
      <c r="J1111" s="4" t="inlineStr">
        <is>
          <t>https://www.google.com/maps/search/?api=1&amp;query=Garagem%20Board%20Game&amp;query_place_id=ChIJQa_8W7f3XpMR16MqXb3u21Q</t>
        </is>
      </c>
      <c r="K1111" s="4" t="inlineStr">
        <is>
          <t>Av. da Liberdade - St. Garavelo B, Goiânia - GO, 74354-060, Brasil</t>
        </is>
      </c>
      <c r="L1111" s="4" t="inlineStr">
        <is>
          <t>Goiânia</t>
        </is>
      </c>
      <c r="M1111" s="5" t="n">
        <v>1</v>
      </c>
    </row>
    <row r="1112">
      <c r="A1112" s="3">
        <f>RAND()</f>
        <v/>
      </c>
      <c r="B1112" s="4" t="inlineStr">
        <is>
          <t>ChIJZWDZbmnxXpMR8y0dVNL5DRI</t>
        </is>
      </c>
      <c r="C1112" s="4" t="inlineStr">
        <is>
          <t>Glória Bar e Restaurante</t>
        </is>
      </c>
      <c r="D1112" s="4" t="inlineStr">
        <is>
          <t>Goiânia</t>
        </is>
      </c>
      <c r="E1112" s="4" t="inlineStr">
        <is>
          <t>GO</t>
        </is>
      </c>
      <c r="F1112" s="4" t="inlineStr">
        <is>
          <t>Metrópoles</t>
        </is>
      </c>
      <c r="G1112" s="4" t="inlineStr">
        <is>
          <t>Metrópole</t>
        </is>
      </c>
      <c r="H1112" s="5">
        <f>IF(G1112="fora do recorte","",SUMPRODUCT(($G$3:$G$1723=G1112)*($A$3:$A$1723&lt;=A1112)))</f>
        <v/>
      </c>
      <c r="I1112" s="4">
        <f>IF(H1112="","",G1112&amp;"|"&amp;H1112)</f>
        <v/>
      </c>
      <c r="J1112" s="4" t="inlineStr">
        <is>
          <t>https://www.google.com/maps/search/?api=1&amp;query=Gl%C3%B3ria%20Bar%20e%20Restaurante&amp;query_place_id=ChIJZWDZbmnxXpMR8y0dVNL5DRI</t>
        </is>
      </c>
      <c r="K1112" s="4" t="inlineStr">
        <is>
          <t>R. 101, 435 - St. Sul, Goiânia - GO, 74080-150, Brasil</t>
        </is>
      </c>
      <c r="L1112" s="4" t="inlineStr">
        <is>
          <t>Goiânia</t>
        </is>
      </c>
      <c r="M1112" s="5" t="n">
        <v>1</v>
      </c>
    </row>
    <row r="1113">
      <c r="A1113" s="3">
        <f>RAND()</f>
        <v/>
      </c>
      <c r="B1113" s="4" t="inlineStr">
        <is>
          <t>ChIJq6rqcQf0XpMRvbIPAPinCfU</t>
        </is>
      </c>
      <c r="C1113" s="4" t="inlineStr">
        <is>
          <t>Guerra Games</t>
        </is>
      </c>
      <c r="D1113" s="4" t="inlineStr">
        <is>
          <t>Goiânia</t>
        </is>
      </c>
      <c r="E1113" s="4" t="inlineStr">
        <is>
          <t>GO</t>
        </is>
      </c>
      <c r="F1113" s="4" t="inlineStr">
        <is>
          <t>Metrópoles</t>
        </is>
      </c>
      <c r="G1113" s="4" t="inlineStr">
        <is>
          <t>Metrópole</t>
        </is>
      </c>
      <c r="H1113" s="5">
        <f>IF(G1113="fora do recorte","",SUMPRODUCT(($G$3:$G$1723=G1113)*($A$3:$A$1723&lt;=A1113)))</f>
        <v/>
      </c>
      <c r="I1113" s="4">
        <f>IF(H1113="","",G1113&amp;"|"&amp;H1113)</f>
        <v/>
      </c>
      <c r="J1113" s="4" t="inlineStr">
        <is>
          <t>https://www.google.com/maps/search/?api=1&amp;query=Guerra%20Games&amp;query_place_id=ChIJq6rqcQf0XpMRvbIPAPinCfU</t>
        </is>
      </c>
      <c r="K1113" s="4" t="inlineStr">
        <is>
          <t>Av Anhanguera 8044, 74523-605 camelódromo de campinas 1 , Stand 128 e 129 - Coimbra, Goiânia - GO, 74523-605, Brasil</t>
        </is>
      </c>
      <c r="L1113" s="4" t="inlineStr">
        <is>
          <t>Goiânia</t>
        </is>
      </c>
      <c r="M1113" s="5" t="n">
        <v>1</v>
      </c>
    </row>
    <row r="1114">
      <c r="A1114" s="3">
        <f>RAND()</f>
        <v/>
      </c>
      <c r="B1114" s="4" t="inlineStr">
        <is>
          <t>ChIJ3_UG5sHxXpMRSp0s6aJUNZs</t>
        </is>
      </c>
      <c r="C1114" s="4" t="inlineStr">
        <is>
          <t>Guilda Dos Jogos - Jogos de Tabuleiro</t>
        </is>
      </c>
      <c r="D1114" s="4" t="inlineStr">
        <is>
          <t>Goiânia</t>
        </is>
      </c>
      <c r="E1114" s="4" t="inlineStr">
        <is>
          <t>GO</t>
        </is>
      </c>
      <c r="F1114" s="4" t="inlineStr">
        <is>
          <t>Metrópoles</t>
        </is>
      </c>
      <c r="G1114" s="4" t="inlineStr">
        <is>
          <t>Metrópole</t>
        </is>
      </c>
      <c r="H1114" s="5">
        <f>IF(G1114="fora do recorte","",SUMPRODUCT(($G$3:$G$1723=G1114)*($A$3:$A$1723&lt;=A1114)))</f>
        <v/>
      </c>
      <c r="I1114" s="4">
        <f>IF(H1114="","",G1114&amp;"|"&amp;H1114)</f>
        <v/>
      </c>
      <c r="J1114" s="4" t="inlineStr">
        <is>
          <t>https://www.google.com/maps/search/?api=1&amp;query=Guilda%20Dos%20Jogos%20-%20Jogos%20de%20Tabuleiro&amp;query_place_id=ChIJ3_UG5sHxXpMRSp0s6aJUNZs</t>
        </is>
      </c>
      <c r="K1114" s="4" t="inlineStr">
        <is>
          <t>Av. T-7, 302 - St. Oeste, Goiânia - GO, 74140-110, Brasil</t>
        </is>
      </c>
      <c r="L1114" s="4" t="inlineStr">
        <is>
          <t>Goiânia</t>
        </is>
      </c>
      <c r="M1114" s="5" t="n">
        <v>12</v>
      </c>
    </row>
    <row r="1115">
      <c r="A1115" s="3">
        <f>RAND()</f>
        <v/>
      </c>
      <c r="B1115" s="4" t="inlineStr">
        <is>
          <t>ChIJXX7OJ_rzXpMRCLrNjvDLFIY</t>
        </is>
      </c>
      <c r="C1115" s="4" t="inlineStr">
        <is>
          <t>Life Pub</t>
        </is>
      </c>
      <c r="D1115" s="4" t="inlineStr">
        <is>
          <t>Goiânia</t>
        </is>
      </c>
      <c r="E1115" s="4" t="inlineStr">
        <is>
          <t>GO</t>
        </is>
      </c>
      <c r="F1115" s="4" t="inlineStr">
        <is>
          <t>Metrópoles</t>
        </is>
      </c>
      <c r="G1115" s="4" t="inlineStr">
        <is>
          <t>Metrópole</t>
        </is>
      </c>
      <c r="H1115" s="5">
        <f>IF(G1115="fora do recorte","",SUMPRODUCT(($G$3:$G$1723=G1115)*($A$3:$A$1723&lt;=A1115)))</f>
        <v/>
      </c>
      <c r="I1115" s="4">
        <f>IF(H1115="","",G1115&amp;"|"&amp;H1115)</f>
        <v/>
      </c>
      <c r="J1115" s="4" t="inlineStr">
        <is>
          <t>https://www.google.com/maps/search/?api=1&amp;query=Life%20Pub&amp;query_place_id=ChIJXX7OJ_rzXpMRCLrNjvDLFIY</t>
        </is>
      </c>
      <c r="K1115" s="4" t="inlineStr">
        <is>
          <t>R. P-19, 361 - St. dos Funcionários, Goiânia - GO, 74543-330, Brasil</t>
        </is>
      </c>
      <c r="L1115" s="4" t="inlineStr">
        <is>
          <t>Goiânia</t>
        </is>
      </c>
      <c r="M1115" s="5" t="n">
        <v>1</v>
      </c>
    </row>
    <row r="1116">
      <c r="A1116" s="3">
        <f>RAND()</f>
        <v/>
      </c>
      <c r="B1116" s="4" t="inlineStr">
        <is>
          <t>ChIJs20TRCXxXpMRTlY5fzlGHFY</t>
        </is>
      </c>
      <c r="C1116" s="4" t="inlineStr">
        <is>
          <t>Livraria Leitura</t>
        </is>
      </c>
      <c r="D1116" s="4" t="inlineStr">
        <is>
          <t>Goiânia</t>
        </is>
      </c>
      <c r="E1116" s="4" t="inlineStr">
        <is>
          <t>GO</t>
        </is>
      </c>
      <c r="F1116" s="4" t="inlineStr">
        <is>
          <t>Metrópoles</t>
        </is>
      </c>
      <c r="G1116" s="4" t="inlineStr">
        <is>
          <t>Metrópole</t>
        </is>
      </c>
      <c r="H1116" s="5">
        <f>IF(G1116="fora do recorte","",SUMPRODUCT(($G$3:$G$1723=G1116)*($A$3:$A$1723&lt;=A1116)))</f>
        <v/>
      </c>
      <c r="I1116" s="4">
        <f>IF(H1116="","",G1116&amp;"|"&amp;H1116)</f>
        <v/>
      </c>
      <c r="J1116" s="4" t="inlineStr">
        <is>
          <t>https://www.google.com/maps/search/?api=1&amp;query=Livraria%20Leitura&amp;query_place_id=ChIJs20TRCXxXpMRTlY5fzlGHFY</t>
        </is>
      </c>
      <c r="K1116" s="4" t="inlineStr">
        <is>
          <t>Av. T-10, 1300 - St. Bueno, Goiânia - GO, 74223-063, Brasil</t>
        </is>
      </c>
      <c r="L1116" s="4" t="inlineStr">
        <is>
          <t>Goiânia</t>
        </is>
      </c>
      <c r="M1116" s="5" t="n">
        <v>2</v>
      </c>
    </row>
    <row r="1117">
      <c r="A1117" s="3">
        <f>RAND()</f>
        <v/>
      </c>
      <c r="B1117" s="4" t="inlineStr">
        <is>
          <t>ChIJz8V7Ga3zXpMRP5m_dQimpZY</t>
        </is>
      </c>
      <c r="C1117" s="4" t="inlineStr">
        <is>
          <t>Loja Life Games</t>
        </is>
      </c>
      <c r="D1117" s="4" t="inlineStr">
        <is>
          <t>Goiânia</t>
        </is>
      </c>
      <c r="E1117" s="4" t="inlineStr">
        <is>
          <t>GO</t>
        </is>
      </c>
      <c r="F1117" s="4" t="inlineStr">
        <is>
          <t>Metrópoles</t>
        </is>
      </c>
      <c r="G1117" s="4" t="inlineStr">
        <is>
          <t>Metrópole</t>
        </is>
      </c>
      <c r="H1117" s="5">
        <f>IF(G1117="fora do recorte","",SUMPRODUCT(($G$3:$G$1723=G1117)*($A$3:$A$1723&lt;=A1117)))</f>
        <v/>
      </c>
      <c r="I1117" s="4">
        <f>IF(H1117="","",G1117&amp;"|"&amp;H1117)</f>
        <v/>
      </c>
      <c r="J1117" s="4" t="inlineStr">
        <is>
          <t>https://www.google.com/maps/search/?api=1&amp;query=Loja%20Life%20Games&amp;query_place_id=ChIJz8V7Ga3zXpMRP5m_dQimpZY</t>
        </is>
      </c>
      <c r="K1117" s="4" t="inlineStr">
        <is>
          <t>R. 24, 802 - St. Central, Goiânia - GO, 74030-060, Brasil</t>
        </is>
      </c>
      <c r="L1117" s="4" t="inlineStr">
        <is>
          <t>Goiânia</t>
        </is>
      </c>
      <c r="M1117" s="5" t="n">
        <v>1</v>
      </c>
    </row>
    <row r="1118">
      <c r="A1118" s="3">
        <f>RAND()</f>
        <v/>
      </c>
      <c r="B1118" s="4" t="inlineStr">
        <is>
          <t>ChIJj9-M-7L1XpMR7EXrwZ8hQoY</t>
        </is>
      </c>
      <c r="C1118" s="4" t="inlineStr">
        <is>
          <t>LudoNorte - Jogos de Tabuleiro</t>
        </is>
      </c>
      <c r="D1118" s="4" t="inlineStr">
        <is>
          <t>Goiânia</t>
        </is>
      </c>
      <c r="E1118" s="4" t="inlineStr">
        <is>
          <t>GO</t>
        </is>
      </c>
      <c r="F1118" s="4" t="inlineStr">
        <is>
          <t>Metrópoles</t>
        </is>
      </c>
      <c r="G1118" s="4" t="inlineStr">
        <is>
          <t>Metrópole</t>
        </is>
      </c>
      <c r="H1118" s="5">
        <f>IF(G1118="fora do recorte","",SUMPRODUCT(($G$3:$G$1723=G1118)*($A$3:$A$1723&lt;=A1118)))</f>
        <v/>
      </c>
      <c r="I1118" s="4">
        <f>IF(H1118="","",G1118&amp;"|"&amp;H1118)</f>
        <v/>
      </c>
      <c r="J1118" s="4" t="inlineStr">
        <is>
          <t>https://www.google.com/maps/search/?api=1&amp;query=LudoNorte%20-%20Jogos%20de%20Tabuleiro&amp;query_place_id=ChIJj9-M-7L1XpMR7EXrwZ8hQoY</t>
        </is>
      </c>
      <c r="K1118" s="4" t="inlineStr">
        <is>
          <t>Condomínio Alto da Boa Vista - Ac. 5 - St. Vila João Vaz, Goiânia - GO, 74445-500, Brasil</t>
        </is>
      </c>
      <c r="L1118" s="4" t="inlineStr">
        <is>
          <t>Goiânia</t>
        </is>
      </c>
      <c r="M1118" s="5" t="n">
        <v>11</v>
      </c>
    </row>
    <row r="1119">
      <c r="A1119" s="3">
        <f>RAND()</f>
        <v/>
      </c>
      <c r="B1119" s="4" t="inlineStr">
        <is>
          <t>ChIJoYv18631XpMRRuQ1YPAdNho</t>
        </is>
      </c>
      <c r="C1119" s="4" t="inlineStr">
        <is>
          <t>Ludoteca Club</t>
        </is>
      </c>
      <c r="D1119" s="4" t="inlineStr">
        <is>
          <t>Goiânia</t>
        </is>
      </c>
      <c r="E1119" s="4" t="inlineStr">
        <is>
          <t>GO</t>
        </is>
      </c>
      <c r="F1119" s="4" t="inlineStr">
        <is>
          <t>Metrópoles</t>
        </is>
      </c>
      <c r="G1119" s="4" t="inlineStr">
        <is>
          <t>Metrópole</t>
        </is>
      </c>
      <c r="H1119" s="5">
        <f>IF(G1119="fora do recorte","",SUMPRODUCT(($G$3:$G$1723=G1119)*($A$3:$A$1723&lt;=A1119)))</f>
        <v/>
      </c>
      <c r="I1119" s="4">
        <f>IF(H1119="","",G1119&amp;"|"&amp;H1119)</f>
        <v/>
      </c>
      <c r="J1119" s="4" t="inlineStr">
        <is>
          <t>https://www.google.com/maps/search/?api=1&amp;query=Ludoteca%20Club&amp;query_place_id=ChIJoYv18631XpMRRuQ1YPAdNho</t>
        </is>
      </c>
      <c r="K1119" s="4" t="inlineStr">
        <is>
          <t>Av. Maria Pestana, Qd 1 - Lt 13 - Goiânia, GO, 74595-331, Brasil</t>
        </is>
      </c>
      <c r="L1119" s="4" t="inlineStr">
        <is>
          <t>Goiânia</t>
        </is>
      </c>
      <c r="M1119" s="5" t="n">
        <v>4</v>
      </c>
    </row>
    <row r="1120">
      <c r="A1120" s="3">
        <f>RAND()</f>
        <v/>
      </c>
      <c r="B1120" s="4" t="inlineStr">
        <is>
          <t>ChIJhSTdlebzXpMRf01LEaFa--8</t>
        </is>
      </c>
      <c r="C1120" s="4" t="inlineStr">
        <is>
          <t>Ludris Casa de Boardgames</t>
        </is>
      </c>
      <c r="D1120" s="4" t="inlineStr">
        <is>
          <t>Goiânia</t>
        </is>
      </c>
      <c r="E1120" s="4" t="inlineStr">
        <is>
          <t>GO</t>
        </is>
      </c>
      <c r="F1120" s="4" t="inlineStr">
        <is>
          <t>Metrópoles</t>
        </is>
      </c>
      <c r="G1120" s="4" t="inlineStr">
        <is>
          <t>Metrópole</t>
        </is>
      </c>
      <c r="H1120" s="5">
        <f>IF(G1120="fora do recorte","",SUMPRODUCT(($G$3:$G$1723=G1120)*($A$3:$A$1723&lt;=A1120)))</f>
        <v/>
      </c>
      <c r="I1120" s="4">
        <f>IF(H1120="","",G1120&amp;"|"&amp;H1120)</f>
        <v/>
      </c>
      <c r="J1120" s="4" t="inlineStr">
        <is>
          <t>https://www.google.com/maps/search/?api=1&amp;query=Ludris%20Casa%20de%20Boardgames&amp;query_place_id=ChIJhSTdlebzXpMRf01LEaFa--8</t>
        </is>
      </c>
      <c r="K1120" s="4" t="inlineStr">
        <is>
          <t>R. 6-A, 830 - Qd 58 Lt 12 - St. Aeroporto, Goiânia - GO, 74070-070, Brasil</t>
        </is>
      </c>
      <c r="L1120" s="4" t="inlineStr">
        <is>
          <t>Aracaju; Goiânia; Natal</t>
        </is>
      </c>
      <c r="M1120" s="5" t="n">
        <v>14</v>
      </c>
    </row>
    <row r="1121">
      <c r="A1121" s="3">
        <f>RAND()</f>
        <v/>
      </c>
      <c r="B1121" s="4" t="inlineStr">
        <is>
          <t>ChIJLfQ9WePzXpMRQbICGdEx91A</t>
        </is>
      </c>
      <c r="C1121" s="4" t="inlineStr">
        <is>
          <t>Luiz Café Conceito</t>
        </is>
      </c>
      <c r="D1121" s="4" t="inlineStr">
        <is>
          <t>Goiânia</t>
        </is>
      </c>
      <c r="E1121" s="4" t="inlineStr">
        <is>
          <t>GO</t>
        </is>
      </c>
      <c r="F1121" s="4" t="inlineStr">
        <is>
          <t>Metrópoles</t>
        </is>
      </c>
      <c r="G1121" s="4" t="inlineStr">
        <is>
          <t>Metrópole</t>
        </is>
      </c>
      <c r="H1121" s="5">
        <f>IF(G1121="fora do recorte","",SUMPRODUCT(($G$3:$G$1723=G1121)*($A$3:$A$1723&lt;=A1121)))</f>
        <v/>
      </c>
      <c r="I1121" s="4">
        <f>IF(H1121="","",G1121&amp;"|"&amp;H1121)</f>
        <v/>
      </c>
      <c r="J1121" s="4" t="inlineStr">
        <is>
          <t>https://www.google.com/maps/search/?api=1&amp;query=Luiz%20Caf%C3%A9%20Conceito&amp;query_place_id=ChIJLfQ9WePzXpMRQbICGdEx91A</t>
        </is>
      </c>
      <c r="K1121" s="4" t="inlineStr">
        <is>
          <t>R. 18, 480 - St. Oeste, Goiânia - GO, 74120-060, Brasil</t>
        </is>
      </c>
      <c r="L1121" s="4" t="inlineStr">
        <is>
          <t>Goiânia</t>
        </is>
      </c>
      <c r="M1121" s="5" t="n">
        <v>1</v>
      </c>
    </row>
    <row r="1122">
      <c r="A1122" s="3">
        <f>RAND()</f>
        <v/>
      </c>
      <c r="B1122" s="4" t="inlineStr">
        <is>
          <t>ChIJXXKw4GLxXpMRKvxFi_qgAFw</t>
        </is>
      </c>
      <c r="C1122" s="4" t="inlineStr">
        <is>
          <t>MARIO GAMES</t>
        </is>
      </c>
      <c r="D1122" s="4" t="inlineStr">
        <is>
          <t>Goiânia</t>
        </is>
      </c>
      <c r="E1122" s="4" t="inlineStr">
        <is>
          <t>GO</t>
        </is>
      </c>
      <c r="F1122" s="4" t="inlineStr">
        <is>
          <t>Metrópoles</t>
        </is>
      </c>
      <c r="G1122" s="4" t="inlineStr">
        <is>
          <t>Metrópole</t>
        </is>
      </c>
      <c r="H1122" s="5">
        <f>IF(G1122="fora do recorte","",SUMPRODUCT(($G$3:$G$1723=G1122)*($A$3:$A$1723&lt;=A1122)))</f>
        <v/>
      </c>
      <c r="I1122" s="4">
        <f>IF(H1122="","",G1122&amp;"|"&amp;H1122)</f>
        <v/>
      </c>
      <c r="J1122" s="4" t="inlineStr">
        <is>
          <t>https://www.google.com/maps/search/?api=1&amp;query=MARIO%20GAMES&amp;query_place_id=ChIJXXKw4GLxXpMRKvxFi_qgAFw</t>
        </is>
      </c>
      <c r="K1122" s="4" t="inlineStr">
        <is>
          <t>Av. Assis Chateaubriand, 365 - St. Oeste, Goiânia - GO, 74130-010, Brasil</t>
        </is>
      </c>
      <c r="L1122" s="4" t="inlineStr">
        <is>
          <t>Goiânia</t>
        </is>
      </c>
      <c r="M1122" s="5" t="n">
        <v>2</v>
      </c>
    </row>
    <row r="1123">
      <c r="A1123" s="3">
        <f>RAND()</f>
        <v/>
      </c>
      <c r="B1123" s="4" t="inlineStr">
        <is>
          <t>ChIJYXJlOcfxXpMR0JppZVJkSa4</t>
        </is>
      </c>
      <c r="C1123" s="4" t="inlineStr">
        <is>
          <t>MOEMA Sunset and Night</t>
        </is>
      </c>
      <c r="D1123" s="4" t="inlineStr">
        <is>
          <t>Goiânia</t>
        </is>
      </c>
      <c r="E1123" s="4" t="inlineStr">
        <is>
          <t>GO</t>
        </is>
      </c>
      <c r="F1123" s="4" t="inlineStr">
        <is>
          <t>Metrópoles</t>
        </is>
      </c>
      <c r="G1123" s="4" t="inlineStr">
        <is>
          <t>Metrópole</t>
        </is>
      </c>
      <c r="H1123" s="5">
        <f>IF(G1123="fora do recorte","",SUMPRODUCT(($G$3:$G$1723=G1123)*($A$3:$A$1723&lt;=A1123)))</f>
        <v/>
      </c>
      <c r="I1123" s="4">
        <f>IF(H1123="","",G1123&amp;"|"&amp;H1123)</f>
        <v/>
      </c>
      <c r="J1123" s="4" t="inlineStr">
        <is>
          <t>https://www.google.com/maps/search/?api=1&amp;query=MOEMA%20Sunset%20and%20Night&amp;query_place_id=ChIJYXJlOcfxXpMR0JppZVJkSa4</t>
        </is>
      </c>
      <c r="K1123" s="4" t="inlineStr">
        <is>
          <t>R. 146, 509 - St. Marista, Goiânia - GO, 74170-090, Brasil</t>
        </is>
      </c>
      <c r="L1123" s="4" t="inlineStr">
        <is>
          <t>Goiânia</t>
        </is>
      </c>
      <c r="M1123" s="5" t="n">
        <v>1</v>
      </c>
    </row>
    <row r="1124">
      <c r="A1124" s="3">
        <f>RAND()</f>
        <v/>
      </c>
      <c r="B1124" s="4" t="inlineStr">
        <is>
          <t>ChIJiddkAN_zXpMRamo8ROrdmZw</t>
        </is>
      </c>
      <c r="C1124" s="4" t="inlineStr">
        <is>
          <t>Mais Uma Mesa RPG</t>
        </is>
      </c>
      <c r="D1124" s="4" t="inlineStr">
        <is>
          <t>Goiânia</t>
        </is>
      </c>
      <c r="E1124" s="4" t="inlineStr">
        <is>
          <t>GO</t>
        </is>
      </c>
      <c r="F1124" s="4" t="inlineStr">
        <is>
          <t>Metrópoles</t>
        </is>
      </c>
      <c r="G1124" s="4" t="inlineStr">
        <is>
          <t>Metrópole</t>
        </is>
      </c>
      <c r="H1124" s="5">
        <f>IF(G1124="fora do recorte","",SUMPRODUCT(($G$3:$G$1723=G1124)*($A$3:$A$1723&lt;=A1124)))</f>
        <v/>
      </c>
      <c r="I1124" s="4">
        <f>IF(H1124="","",G1124&amp;"|"&amp;H1124)</f>
        <v/>
      </c>
      <c r="J1124" s="4" t="inlineStr">
        <is>
          <t>https://www.google.com/maps/search/?api=1&amp;query=Mais%20Uma%20Mesa%20RPG&amp;query_place_id=ChIJiddkAN_zXpMRamo8ROrdmZw</t>
        </is>
      </c>
      <c r="K1124" s="4" t="inlineStr">
        <is>
          <t>Rua Fn-27 - Av. Fonte Nova - Vila Finsocial, Goiânia - GO, 74594-023, Brasil</t>
        </is>
      </c>
      <c r="L1124" s="4" t="inlineStr">
        <is>
          <t>Goiânia</t>
        </is>
      </c>
      <c r="M1124" s="5" t="n">
        <v>1</v>
      </c>
    </row>
    <row r="1125">
      <c r="A1125" s="3">
        <f>RAND()</f>
        <v/>
      </c>
      <c r="B1125" s="4" t="inlineStr">
        <is>
          <t>ChIJ4xUr8iTxXpMRQ9f2GO5RGAI</t>
        </is>
      </c>
      <c r="C1125" s="4" t="inlineStr">
        <is>
          <t>Mandrake Comic Shop</t>
        </is>
      </c>
      <c r="D1125" s="4" t="inlineStr">
        <is>
          <t>Goiânia</t>
        </is>
      </c>
      <c r="E1125" s="4" t="inlineStr">
        <is>
          <t>GO</t>
        </is>
      </c>
      <c r="F1125" s="4" t="inlineStr">
        <is>
          <t>Metrópoles</t>
        </is>
      </c>
      <c r="G1125" s="4" t="inlineStr">
        <is>
          <t>Metrópole</t>
        </is>
      </c>
      <c r="H1125" s="5">
        <f>IF(G1125="fora do recorte","",SUMPRODUCT(($G$3:$G$1723=G1125)*($A$3:$A$1723&lt;=A1125)))</f>
        <v/>
      </c>
      <c r="I1125" s="4">
        <f>IF(H1125="","",G1125&amp;"|"&amp;H1125)</f>
        <v/>
      </c>
      <c r="J1125" s="4" t="inlineStr">
        <is>
          <t>https://www.google.com/maps/search/?api=1&amp;query=Mandrake%20Comic%20Shop&amp;query_place_id=ChIJ4xUr8iTxXpMRQ9f2GO5RGAI</t>
        </is>
      </c>
      <c r="K1125" s="4" t="inlineStr">
        <is>
          <t>R. R-18, 26 - St. Oeste, Goiânia - GO, 74125-180, Brasil</t>
        </is>
      </c>
      <c r="L1125" s="4" t="inlineStr">
        <is>
          <t>Goiânia</t>
        </is>
      </c>
      <c r="M1125" s="5" t="n">
        <v>1</v>
      </c>
    </row>
    <row r="1126">
      <c r="A1126" s="3">
        <f>RAND()</f>
        <v/>
      </c>
      <c r="B1126" s="4" t="inlineStr">
        <is>
          <t>ChIJk7mYt4TxXpMRbJ00zDYXB5E</t>
        </is>
      </c>
      <c r="C1126" s="4" t="inlineStr">
        <is>
          <t>Melhor Quintal - Brinquedoteca e Espaço Infantil</t>
        </is>
      </c>
      <c r="D1126" s="4" t="inlineStr">
        <is>
          <t>Goiânia</t>
        </is>
      </c>
      <c r="E1126" s="4" t="inlineStr">
        <is>
          <t>GO</t>
        </is>
      </c>
      <c r="F1126" s="4" t="inlineStr">
        <is>
          <t>Metrópoles</t>
        </is>
      </c>
      <c r="G1126" s="4" t="inlineStr">
        <is>
          <t>Metrópole</t>
        </is>
      </c>
      <c r="H1126" s="5">
        <f>IF(G1126="fora do recorte","",SUMPRODUCT(($G$3:$G$1723=G1126)*($A$3:$A$1723&lt;=A1126)))</f>
        <v/>
      </c>
      <c r="I1126" s="4">
        <f>IF(H1126="","",G1126&amp;"|"&amp;H1126)</f>
        <v/>
      </c>
      <c r="J1126" s="4" t="inlineStr">
        <is>
          <t>https://www.google.com/maps/search/?api=1&amp;query=Melhor%20Quintal%20-%20Brinquedoteca%20e%20Espa%C3%A7o%20Infantil&amp;query_place_id=ChIJk7mYt4TxXpMRbJ00zDYXB5E</t>
        </is>
      </c>
      <c r="K1126" s="4" t="inlineStr">
        <is>
          <t>Rua 1141, qd 246 - Lt 46 - St. Marista, Goiânia - GO, 74180-081, Brasil</t>
        </is>
      </c>
      <c r="L1126" s="4" t="inlineStr">
        <is>
          <t>Goiânia</t>
        </is>
      </c>
      <c r="M1126" s="5" t="n">
        <v>1</v>
      </c>
    </row>
    <row r="1127">
      <c r="A1127" s="3">
        <f>RAND()</f>
        <v/>
      </c>
      <c r="B1127" s="4" t="inlineStr">
        <is>
          <t>ChIJXVVVLTnxXpMRByNuMFiFypM</t>
        </is>
      </c>
      <c r="C1127" s="4" t="inlineStr">
        <is>
          <t>Mundo Girafa Brinquedos</t>
        </is>
      </c>
      <c r="D1127" s="4" t="inlineStr">
        <is>
          <t>Goiânia</t>
        </is>
      </c>
      <c r="E1127" s="4" t="inlineStr">
        <is>
          <t>GO</t>
        </is>
      </c>
      <c r="F1127" s="4" t="inlineStr">
        <is>
          <t>Metrópoles</t>
        </is>
      </c>
      <c r="G1127" s="4" t="inlineStr">
        <is>
          <t>Metrópole</t>
        </is>
      </c>
      <c r="H1127" s="5">
        <f>IF(G1127="fora do recorte","",SUMPRODUCT(($G$3:$G$1723=G1127)*($A$3:$A$1723&lt;=A1127)))</f>
        <v/>
      </c>
      <c r="I1127" s="4">
        <f>IF(H1127="","",G1127&amp;"|"&amp;H1127)</f>
        <v/>
      </c>
      <c r="J1127" s="4" t="inlineStr">
        <is>
          <t>https://www.google.com/maps/search/?api=1&amp;query=Mundo%20Girafa%20Brinquedos&amp;query_place_id=ChIJXVVVLTnxXpMRByNuMFiFypM</t>
        </is>
      </c>
      <c r="K1127" s="4" t="inlineStr">
        <is>
          <t>Av. Castelo Branco, 633 - R26 - St. Bueno, Goiânia - GO, 74210-185, Brasil</t>
        </is>
      </c>
      <c r="L1127" s="4" t="inlineStr">
        <is>
          <t>Goiânia</t>
        </is>
      </c>
      <c r="M1127" s="5" t="n">
        <v>1</v>
      </c>
    </row>
    <row r="1128">
      <c r="A1128" s="3">
        <f>RAND()</f>
        <v/>
      </c>
      <c r="B1128" s="4" t="inlineStr">
        <is>
          <t>ChIJl6FRe0zxXpMRzTecnTZJjHI</t>
        </is>
      </c>
      <c r="C1128" s="4" t="inlineStr">
        <is>
          <t>Mythos TCG</t>
        </is>
      </c>
      <c r="D1128" s="4" t="inlineStr">
        <is>
          <t>Goiânia</t>
        </is>
      </c>
      <c r="E1128" s="4" t="inlineStr">
        <is>
          <t>GO</t>
        </is>
      </c>
      <c r="F1128" s="4" t="inlineStr">
        <is>
          <t>Metrópoles</t>
        </is>
      </c>
      <c r="G1128" s="4" t="inlineStr">
        <is>
          <t>Metrópole</t>
        </is>
      </c>
      <c r="H1128" s="5">
        <f>IF(G1128="fora do recorte","",SUMPRODUCT(($G$3:$G$1723=G1128)*($A$3:$A$1723&lt;=A1128)))</f>
        <v/>
      </c>
      <c r="I1128" s="4">
        <f>IF(H1128="","",G1128&amp;"|"&amp;H1128)</f>
        <v/>
      </c>
      <c r="J1128" s="4" t="inlineStr">
        <is>
          <t>https://www.google.com/maps/search/?api=1&amp;query=Mythos%20TCG&amp;query_place_id=ChIJl6FRe0zxXpMRzTecnTZJjHI</t>
        </is>
      </c>
      <c r="K1128" s="4" t="inlineStr">
        <is>
          <t>R. Rio Verde, 412 - Jardim Guanabara, Goiânia - GO, 74786-395, Brasil</t>
        </is>
      </c>
      <c r="L1128" s="4" t="inlineStr">
        <is>
          <t>Goiânia</t>
        </is>
      </c>
      <c r="M1128" s="5" t="n">
        <v>1</v>
      </c>
    </row>
    <row r="1129">
      <c r="A1129" s="3">
        <f>RAND()</f>
        <v/>
      </c>
      <c r="B1129" s="4" t="inlineStr">
        <is>
          <t>ChIJS93ziN7xXpMRKkaDRp988o0</t>
        </is>
      </c>
      <c r="C1129" s="4" t="inlineStr">
        <is>
          <t>Na Xinxa Bar</t>
        </is>
      </c>
      <c r="D1129" s="4" t="inlineStr">
        <is>
          <t>Goiânia</t>
        </is>
      </c>
      <c r="E1129" s="4" t="inlineStr">
        <is>
          <t>GO</t>
        </is>
      </c>
      <c r="F1129" s="4" t="inlineStr">
        <is>
          <t>Metrópoles</t>
        </is>
      </c>
      <c r="G1129" s="4" t="inlineStr">
        <is>
          <t>Metrópole</t>
        </is>
      </c>
      <c r="H1129" s="5">
        <f>IF(G1129="fora do recorte","",SUMPRODUCT(($G$3:$G$1723=G1129)*($A$3:$A$1723&lt;=A1129)))</f>
        <v/>
      </c>
      <c r="I1129" s="4">
        <f>IF(H1129="","",G1129&amp;"|"&amp;H1129)</f>
        <v/>
      </c>
      <c r="J1129" s="4" t="inlineStr">
        <is>
          <t>https://www.google.com/maps/search/?api=1&amp;query=Na%20Xinxa%20Bar&amp;query_place_id=ChIJS93ziN7xXpMRKkaDRp988o0</t>
        </is>
      </c>
      <c r="K1129" s="4" t="inlineStr">
        <is>
          <t>Avenida T-2 - esquina com a - R. T-50, 1051 - St. Bueno, Goiânia - GO, 74215-200, Brasil</t>
        </is>
      </c>
      <c r="L1129" s="4" t="inlineStr">
        <is>
          <t>Goiânia</t>
        </is>
      </c>
      <c r="M1129" s="5" t="n">
        <v>1</v>
      </c>
    </row>
    <row r="1130">
      <c r="A1130" s="3">
        <f>RAND()</f>
        <v/>
      </c>
      <c r="B1130" s="4" t="inlineStr">
        <is>
          <t>ChIJp_9nKvvwXpMRHgJXGPtBPIo</t>
        </is>
      </c>
      <c r="C1130" s="4" t="inlineStr">
        <is>
          <t>Nitroxx Games</t>
        </is>
      </c>
      <c r="D1130" s="4" t="inlineStr">
        <is>
          <t>Goiânia</t>
        </is>
      </c>
      <c r="E1130" s="4" t="inlineStr">
        <is>
          <t>GO</t>
        </is>
      </c>
      <c r="F1130" s="4" t="inlineStr">
        <is>
          <t>Metrópoles</t>
        </is>
      </c>
      <c r="G1130" s="4" t="inlineStr">
        <is>
          <t>Metrópole</t>
        </is>
      </c>
      <c r="H1130" s="5">
        <f>IF(G1130="fora do recorte","",SUMPRODUCT(($G$3:$G$1723=G1130)*($A$3:$A$1723&lt;=A1130)))</f>
        <v/>
      </c>
      <c r="I1130" s="4">
        <f>IF(H1130="","",G1130&amp;"|"&amp;H1130)</f>
        <v/>
      </c>
      <c r="J1130" s="4" t="inlineStr">
        <is>
          <t>https://www.google.com/maps/search/?api=1&amp;query=Nitroxx%20Games&amp;query_place_id=ChIJp_9nKvvwXpMRHgJXGPtBPIo</t>
        </is>
      </c>
      <c r="K1130" s="4" t="inlineStr">
        <is>
          <t>Alameda João Elías da Silva Caldas, 474 - quadra 88a, lote 16 - St. Pedro Ludovico, Goiânia - GO, 74825-060, Brasil</t>
        </is>
      </c>
      <c r="L1130" s="4" t="inlineStr">
        <is>
          <t>Goiânia</t>
        </is>
      </c>
      <c r="M1130" s="5" t="n">
        <v>1</v>
      </c>
    </row>
    <row r="1131">
      <c r="A1131" s="3">
        <f>RAND()</f>
        <v/>
      </c>
      <c r="B1131" s="4" t="inlineStr">
        <is>
          <t>ChIJ0TT3ceDwXpMRKCGU55EzK_0</t>
        </is>
      </c>
      <c r="C1131" s="4" t="inlineStr">
        <is>
          <t>Officina Cervejaria</t>
        </is>
      </c>
      <c r="D1131" s="4" t="inlineStr">
        <is>
          <t>Goiânia</t>
        </is>
      </c>
      <c r="E1131" s="4" t="inlineStr">
        <is>
          <t>GO</t>
        </is>
      </c>
      <c r="F1131" s="4" t="inlineStr">
        <is>
          <t>Metrópoles</t>
        </is>
      </c>
      <c r="G1131" s="4" t="inlineStr">
        <is>
          <t>Metrópole</t>
        </is>
      </c>
      <c r="H1131" s="5">
        <f>IF(G1131="fora do recorte","",SUMPRODUCT(($G$3:$G$1723=G1131)*($A$3:$A$1723&lt;=A1131)))</f>
        <v/>
      </c>
      <c r="I1131" s="4">
        <f>IF(H1131="","",G1131&amp;"|"&amp;H1131)</f>
        <v/>
      </c>
      <c r="J1131" s="4" t="inlineStr">
        <is>
          <t>https://www.google.com/maps/search/?api=1&amp;query=Officina%20Cervejaria&amp;query_place_id=ChIJ0TT3ceDwXpMRKCGU55EzK_0</t>
        </is>
      </c>
      <c r="K1131" s="4" t="inlineStr">
        <is>
          <t>R. T-64, 476 - St. Bela Vista, Goiânia - GO, 74823-350, Brasil</t>
        </is>
      </c>
      <c r="L1131" s="4" t="inlineStr">
        <is>
          <t>Goiânia</t>
        </is>
      </c>
      <c r="M1131" s="5" t="n">
        <v>1</v>
      </c>
    </row>
    <row r="1132">
      <c r="A1132" s="3">
        <f>RAND()</f>
        <v/>
      </c>
      <c r="B1132" s="4" t="inlineStr">
        <is>
          <t>ChIJ89uEICDxXpMRdaEvN0XiWK0</t>
        </is>
      </c>
      <c r="C1132" s="4" t="inlineStr">
        <is>
          <t>Paladins Games Store</t>
        </is>
      </c>
      <c r="D1132" s="4" t="inlineStr">
        <is>
          <t>Goiânia</t>
        </is>
      </c>
      <c r="E1132" s="4" t="inlineStr">
        <is>
          <t>GO</t>
        </is>
      </c>
      <c r="F1132" s="4" t="inlineStr">
        <is>
          <t>Metrópoles</t>
        </is>
      </c>
      <c r="G1132" s="4" t="inlineStr">
        <is>
          <t>Metrópole</t>
        </is>
      </c>
      <c r="H1132" s="5">
        <f>IF(G1132="fora do recorte","",SUMPRODUCT(($G$3:$G$1723=G1132)*($A$3:$A$1723&lt;=A1132)))</f>
        <v/>
      </c>
      <c r="I1132" s="4">
        <f>IF(H1132="","",G1132&amp;"|"&amp;H1132)</f>
        <v/>
      </c>
      <c r="J1132" s="4" t="inlineStr">
        <is>
          <t>https://www.google.com/maps/search/?api=1&amp;query=Paladins%20Games%20Store&amp;query_place_id=ChIJ89uEICDxXpMRdaEvN0XiWK0</t>
        </is>
      </c>
      <c r="K1132" s="4" t="inlineStr">
        <is>
          <t>Galeria Free Shop - R. S-1, 54 - St. Bueno, Goiânia - GO, 74230-020, Brasil</t>
        </is>
      </c>
      <c r="L1132" s="4" t="inlineStr">
        <is>
          <t>Goiânia; Natal; Palmas; Recife</t>
        </is>
      </c>
      <c r="M1132" s="5" t="n">
        <v>11</v>
      </c>
    </row>
    <row r="1133">
      <c r="A1133" s="3">
        <f>RAND()</f>
        <v/>
      </c>
      <c r="B1133" s="4" t="inlineStr">
        <is>
          <t>ChIJIWtBxwf0XpMRr8gIsppriLg</t>
        </is>
      </c>
      <c r="C1133" s="4" t="inlineStr">
        <is>
          <t>Planet games</t>
        </is>
      </c>
      <c r="D1133" s="4" t="inlineStr">
        <is>
          <t>Goiânia</t>
        </is>
      </c>
      <c r="E1133" s="4" t="inlineStr">
        <is>
          <t>GO</t>
        </is>
      </c>
      <c r="F1133" s="4" t="inlineStr">
        <is>
          <t>Metrópoles</t>
        </is>
      </c>
      <c r="G1133" s="4" t="inlineStr">
        <is>
          <t>Metrópole</t>
        </is>
      </c>
      <c r="H1133" s="5">
        <f>IF(G1133="fora do recorte","",SUMPRODUCT(($G$3:$G$1723=G1133)*($A$3:$A$1723&lt;=A1133)))</f>
        <v/>
      </c>
      <c r="I1133" s="4">
        <f>IF(H1133="","",G1133&amp;"|"&amp;H1133)</f>
        <v/>
      </c>
      <c r="J1133" s="4" t="inlineStr">
        <is>
          <t>https://www.google.com/maps/search/?api=1&amp;query=Planet%20games&amp;query_place_id=ChIJIWtBxwf0XpMRr8gIsppriLg</t>
        </is>
      </c>
      <c r="K1133" s="4" t="inlineStr">
        <is>
          <t>Av. São Paulo, 867 - St. Campinas, Goiânia - GO, 74510-030, Brasil</t>
        </is>
      </c>
      <c r="L1133" s="4" t="inlineStr">
        <is>
          <t>Goiânia</t>
        </is>
      </c>
      <c r="M1133" s="5" t="n">
        <v>3</v>
      </c>
    </row>
    <row r="1134">
      <c r="A1134" s="3">
        <f>RAND()</f>
        <v/>
      </c>
      <c r="B1134" s="4" t="inlineStr">
        <is>
          <t>ChIJaeJg_T3xXpMRocZQEDZSdK8</t>
        </is>
      </c>
      <c r="C1134" s="4" t="inlineStr">
        <is>
          <t>Play Jogos &amp; Brinquedos - Sinuca em Goiânia - Bilhar em Goiânia - Taco - Pinpolim - Xadrez</t>
        </is>
      </c>
      <c r="D1134" s="4" t="inlineStr">
        <is>
          <t>Goiânia</t>
        </is>
      </c>
      <c r="E1134" s="4" t="inlineStr">
        <is>
          <t>GO</t>
        </is>
      </c>
      <c r="F1134" s="4" t="inlineStr">
        <is>
          <t>Metrópoles</t>
        </is>
      </c>
      <c r="G1134" s="4" t="inlineStr">
        <is>
          <t>Metrópole</t>
        </is>
      </c>
      <c r="H1134" s="5">
        <f>IF(G1134="fora do recorte","",SUMPRODUCT(($G$3:$G$1723=G1134)*($A$3:$A$1723&lt;=A1134)))</f>
        <v/>
      </c>
      <c r="I1134" s="4">
        <f>IF(H1134="","",G1134&amp;"|"&amp;H1134)</f>
        <v/>
      </c>
      <c r="J1134" s="4" t="inlineStr">
        <is>
          <t>https://www.google.com/maps/search/?api=1&amp;query=Play%20Jogos%20%26%20Brinquedos%20-%20Sinuca%20em%20Goi%C3%A2nia%20-%20Bilhar%20em%20Goi%C3%A2nia%20-%20Taco%20-%20Pinpolim%20-%20Xadrez&amp;query_place_id=ChIJaeJg_T3xXpMRocZQEDZSdK8</t>
        </is>
      </c>
      <c r="K1134" s="4" t="inlineStr">
        <is>
          <t>Av. 85, 2064 - St. Marista, Goiânia - GO, 74160-010, Brasil</t>
        </is>
      </c>
      <c r="L1134" s="4" t="inlineStr">
        <is>
          <t>Goiânia</t>
        </is>
      </c>
      <c r="M1134" s="5" t="n">
        <v>3</v>
      </c>
    </row>
    <row r="1135">
      <c r="A1135" s="3">
        <f>RAND()</f>
        <v/>
      </c>
      <c r="B1135" s="4" t="inlineStr">
        <is>
          <t>ChIJRVvvBMX2XpMRiSJiRcjnVL4</t>
        </is>
      </c>
      <c r="C1135" s="4" t="inlineStr">
        <is>
          <t>Playn'joy Toyteca Brinquedos</t>
        </is>
      </c>
      <c r="D1135" s="4" t="inlineStr">
        <is>
          <t>Goiânia</t>
        </is>
      </c>
      <c r="E1135" s="4" t="inlineStr">
        <is>
          <t>GO</t>
        </is>
      </c>
      <c r="F1135" s="4" t="inlineStr">
        <is>
          <t>Metrópoles</t>
        </is>
      </c>
      <c r="G1135" s="4" t="inlineStr">
        <is>
          <t>Metrópole</t>
        </is>
      </c>
      <c r="H1135" s="5">
        <f>IF(G1135="fora do recorte","",SUMPRODUCT(($G$3:$G$1723=G1135)*($A$3:$A$1723&lt;=A1135)))</f>
        <v/>
      </c>
      <c r="I1135" s="4">
        <f>IF(H1135="","",G1135&amp;"|"&amp;H1135)</f>
        <v/>
      </c>
      <c r="J1135" s="4" t="inlineStr">
        <is>
          <t>https://www.google.com/maps/search/?api=1&amp;query=Playn%27joy%20Toyteca%20Brinquedos&amp;query_place_id=ChIJRVvvBMX2XpMRiSJiRcjnVL4</t>
        </is>
      </c>
      <c r="K1135" s="4" t="inlineStr">
        <is>
          <t>Av. Milão, 1808 - QD CP17 - LT 16 Loja 01 - Eldorado, Goiânia - GO, 74373-270, Brasil</t>
        </is>
      </c>
      <c r="L1135" s="4" t="inlineStr">
        <is>
          <t>Goiânia</t>
        </is>
      </c>
      <c r="M1135" s="5" t="n">
        <v>2</v>
      </c>
    </row>
    <row r="1136">
      <c r="A1136" s="3">
        <f>RAND()</f>
        <v/>
      </c>
      <c r="B1136" s="4" t="inlineStr">
        <is>
          <t>ChIJ3Z1tm_j1XpMRtMNMJofeUaA</t>
        </is>
      </c>
      <c r="C1136" s="4" t="inlineStr">
        <is>
          <t>Primo Games</t>
        </is>
      </c>
      <c r="D1136" s="4" t="inlineStr">
        <is>
          <t>Goiânia</t>
        </is>
      </c>
      <c r="E1136" s="4" t="inlineStr">
        <is>
          <t>GO</t>
        </is>
      </c>
      <c r="F1136" s="4" t="inlineStr">
        <is>
          <t>Metrópoles</t>
        </is>
      </c>
      <c r="G1136" s="4" t="inlineStr">
        <is>
          <t>Metrópole</t>
        </is>
      </c>
      <c r="H1136" s="5">
        <f>IF(G1136="fora do recorte","",SUMPRODUCT(($G$3:$G$1723=G1136)*($A$3:$A$1723&lt;=A1136)))</f>
        <v/>
      </c>
      <c r="I1136" s="4">
        <f>IF(H1136="","",G1136&amp;"|"&amp;H1136)</f>
        <v/>
      </c>
      <c r="J1136" s="4" t="inlineStr">
        <is>
          <t>https://www.google.com/maps/search/?api=1&amp;query=Primo%20Games&amp;query_place_id=ChIJ3Z1tm_j1XpMRtMNMJofeUaA</t>
        </is>
      </c>
      <c r="K1136" s="4" t="inlineStr">
        <is>
          <t>Av Anhanguera 8044 - Camelódromo de Campinas, 1 - stand 221 a 223 - St. Campinas, Goiânia - GO, 74523-605, Brasil</t>
        </is>
      </c>
      <c r="L1136" s="4" t="inlineStr">
        <is>
          <t>Goiânia</t>
        </is>
      </c>
      <c r="M1136" s="5" t="n">
        <v>2</v>
      </c>
    </row>
    <row r="1137">
      <c r="A1137" s="3">
        <f>RAND()</f>
        <v/>
      </c>
      <c r="B1137" s="4" t="inlineStr">
        <is>
          <t>ChIJ-WilTLrxXpMR3CWtiv8EXr8</t>
        </is>
      </c>
      <c r="C1137" s="4" t="inlineStr">
        <is>
          <t>Quadradim</t>
        </is>
      </c>
      <c r="D1137" s="4" t="inlineStr">
        <is>
          <t>Goiânia</t>
        </is>
      </c>
      <c r="E1137" s="4" t="inlineStr">
        <is>
          <t>GO</t>
        </is>
      </c>
      <c r="F1137" s="4" t="inlineStr">
        <is>
          <t>Metrópoles</t>
        </is>
      </c>
      <c r="G1137" s="4" t="inlineStr">
        <is>
          <t>Metrópole</t>
        </is>
      </c>
      <c r="H1137" s="5">
        <f>IF(G1137="fora do recorte","",SUMPRODUCT(($G$3:$G$1723=G1137)*($A$3:$A$1723&lt;=A1137)))</f>
        <v/>
      </c>
      <c r="I1137" s="4">
        <f>IF(H1137="","",G1137&amp;"|"&amp;H1137)</f>
        <v/>
      </c>
      <c r="J1137" s="4" t="inlineStr">
        <is>
          <t>https://www.google.com/maps/search/?api=1&amp;query=Quadradim&amp;query_place_id=ChIJ-WilTLrxXpMR3CWtiv8EXr8</t>
        </is>
      </c>
      <c r="K1137" s="4" t="inlineStr">
        <is>
          <t>R. 9, 788 - St. Oeste, Goiânia - GO, 74110-100, Brasil</t>
        </is>
      </c>
      <c r="L1137" s="4" t="inlineStr">
        <is>
          <t>Goiânia</t>
        </is>
      </c>
      <c r="M1137" s="5" t="n">
        <v>1</v>
      </c>
    </row>
    <row r="1138">
      <c r="A1138" s="3">
        <f>RAND()</f>
        <v/>
      </c>
      <c r="B1138" s="4" t="inlineStr">
        <is>
          <t>ChIJUczSoXHxXpMRZz37gbu9jdY</t>
        </is>
      </c>
      <c r="C1138" s="4" t="inlineStr">
        <is>
          <t>Recreio Bar</t>
        </is>
      </c>
      <c r="D1138" s="4" t="inlineStr">
        <is>
          <t>Goiânia</t>
        </is>
      </c>
      <c r="E1138" s="4" t="inlineStr">
        <is>
          <t>GO</t>
        </is>
      </c>
      <c r="F1138" s="4" t="inlineStr">
        <is>
          <t>Metrópoles</t>
        </is>
      </c>
      <c r="G1138" s="4" t="inlineStr">
        <is>
          <t>Metrópole</t>
        </is>
      </c>
      <c r="H1138" s="5">
        <f>IF(G1138="fora do recorte","",SUMPRODUCT(($G$3:$G$1723=G1138)*($A$3:$A$1723&lt;=A1138)))</f>
        <v/>
      </c>
      <c r="I1138" s="4">
        <f>IF(H1138="","",G1138&amp;"|"&amp;H1138)</f>
        <v/>
      </c>
      <c r="J1138" s="4" t="inlineStr">
        <is>
          <t>https://www.google.com/maps/search/?api=1&amp;query=Recreio%20Bar&amp;query_place_id=ChIJUczSoXHxXpMRZz37gbu9jdY</t>
        </is>
      </c>
      <c r="K1138" s="4" t="inlineStr">
        <is>
          <t>R. T-60, 95 - Qd 127 Lt 01 - St. Bueno, Goiânia - GO, 74223-165, Brasil</t>
        </is>
      </c>
      <c r="L1138" s="4" t="inlineStr">
        <is>
          <t>Goiânia</t>
        </is>
      </c>
      <c r="M1138" s="5" t="n">
        <v>1</v>
      </c>
    </row>
    <row r="1139">
      <c r="A1139" s="3">
        <f>RAND()</f>
        <v/>
      </c>
      <c r="B1139" s="4" t="inlineStr">
        <is>
          <t>ChIJX0sGb3bxXpMRIGplcKaQaeQ</t>
        </is>
      </c>
      <c r="C1139" s="4" t="inlineStr">
        <is>
          <t>Reino Lúdico - Aluguel de Jogos de Tabuleiro</t>
        </is>
      </c>
      <c r="D1139" s="4" t="inlineStr">
        <is>
          <t>Goiânia</t>
        </is>
      </c>
      <c r="E1139" s="4" t="inlineStr">
        <is>
          <t>GO</t>
        </is>
      </c>
      <c r="F1139" s="4" t="inlineStr">
        <is>
          <t>Metrópoles</t>
        </is>
      </c>
      <c r="G1139" s="4" t="inlineStr">
        <is>
          <t>Metrópole</t>
        </is>
      </c>
      <c r="H1139" s="5">
        <f>IF(G1139="fora do recorte","",SUMPRODUCT(($G$3:$G$1723=G1139)*($A$3:$A$1723&lt;=A1139)))</f>
        <v/>
      </c>
      <c r="I1139" s="4">
        <f>IF(H1139="","",G1139&amp;"|"&amp;H1139)</f>
        <v/>
      </c>
      <c r="J1139" s="4" t="inlineStr">
        <is>
          <t>https://www.google.com/maps/search/?api=1&amp;query=Reino%20L%C3%BAdico%20-%20Aluguel%20de%20Jogos%20de%20Tabuleiro&amp;query_place_id=ChIJX0sGb3bxXpMRIGplcKaQaeQ</t>
        </is>
      </c>
      <c r="K1139" s="4" t="inlineStr">
        <is>
          <t>Av. 136, 62 - St. Marista, Goiânia - GO, 74840-540, Brasil</t>
        </is>
      </c>
      <c r="L1139" s="4" t="inlineStr">
        <is>
          <t>Aracaju; Goiânia; Natal</t>
        </is>
      </c>
      <c r="M1139" s="5" t="n">
        <v>13</v>
      </c>
    </row>
    <row r="1140">
      <c r="A1140" s="3">
        <f>RAND()</f>
        <v/>
      </c>
      <c r="B1140" s="4" t="inlineStr">
        <is>
          <t>ChIJqSx3FFPwXpMRtKEEGUlVxv0</t>
        </is>
      </c>
      <c r="C1140" s="4" t="inlineStr">
        <is>
          <t>Ri Happy Shopping Flamboyant</t>
        </is>
      </c>
      <c r="D1140" s="4" t="inlineStr">
        <is>
          <t>Goiânia</t>
        </is>
      </c>
      <c r="E1140" s="4" t="inlineStr">
        <is>
          <t>GO</t>
        </is>
      </c>
      <c r="F1140" s="4" t="inlineStr">
        <is>
          <t>Metrópoles</t>
        </is>
      </c>
      <c r="G1140" s="4" t="inlineStr">
        <is>
          <t>Metrópole</t>
        </is>
      </c>
      <c r="H1140" s="5">
        <f>IF(G1140="fora do recorte","",SUMPRODUCT(($G$3:$G$1723=G1140)*($A$3:$A$1723&lt;=A1140)))</f>
        <v/>
      </c>
      <c r="I1140" s="4">
        <f>IF(H1140="","",G1140&amp;"|"&amp;H1140)</f>
        <v/>
      </c>
      <c r="J1140" s="4" t="inlineStr">
        <is>
          <t>https://www.google.com/maps/search/?api=1&amp;query=Ri%20Happy%20Shopping%20Flamboyant&amp;query_place_id=ChIJqSx3FFPwXpMRtKEEGUlVxv0</t>
        </is>
      </c>
      <c r="K1140" s="4" t="inlineStr">
        <is>
          <t>Av. Dep. Jamel Cecílio, 3.300 - Piso 1 - Jardim Goiás, Goiânia - GO, 74810-907, Brasil</t>
        </is>
      </c>
      <c r="L1140" s="4" t="inlineStr">
        <is>
          <t>Goiânia</t>
        </is>
      </c>
      <c r="M1140" s="5" t="n">
        <v>1</v>
      </c>
    </row>
    <row r="1141">
      <c r="A1141" s="3">
        <f>RAND()</f>
        <v/>
      </c>
      <c r="B1141" s="4" t="inlineStr">
        <is>
          <t>ChIJr9taRxP3XpMRMWejEKnwePQ</t>
        </is>
      </c>
      <c r="C1141" s="4" t="inlineStr">
        <is>
          <t>Rock And Axe Geek Store</t>
        </is>
      </c>
      <c r="D1141" s="4" t="inlineStr">
        <is>
          <t>Goiânia</t>
        </is>
      </c>
      <c r="E1141" s="4" t="inlineStr">
        <is>
          <t>GO</t>
        </is>
      </c>
      <c r="F1141" s="4" t="inlineStr">
        <is>
          <t>Metrópoles</t>
        </is>
      </c>
      <c r="G1141" s="4" t="inlineStr">
        <is>
          <t>Metrópole</t>
        </is>
      </c>
      <c r="H1141" s="5">
        <f>IF(G1141="fora do recorte","",SUMPRODUCT(($G$3:$G$1723=G1141)*($A$3:$A$1723&lt;=A1141)))</f>
        <v/>
      </c>
      <c r="I1141" s="4">
        <f>IF(H1141="","",G1141&amp;"|"&amp;H1141)</f>
        <v/>
      </c>
      <c r="J1141" s="4" t="inlineStr">
        <is>
          <t>https://www.google.com/maps/search/?api=1&amp;query=Rock%20And%20Axe%20Geek%20Store&amp;query_place_id=ChIJr9taRxP3XpMRMWejEKnwePQ</t>
        </is>
      </c>
      <c r="K1141" s="4" t="inlineStr">
        <is>
          <t>Av. Itália, 1510 - QD 49 LT06 - Jardim Europa, Goiânia - GO, 74325-110, Brasil</t>
        </is>
      </c>
      <c r="L1141" s="4" t="inlineStr">
        <is>
          <t>Goiânia</t>
        </is>
      </c>
      <c r="M1141" s="5" t="n">
        <v>3</v>
      </c>
    </row>
    <row r="1142">
      <c r="A1142" s="3">
        <f>RAND()</f>
        <v/>
      </c>
      <c r="B1142" s="4" t="inlineStr">
        <is>
          <t>ChIJb2X0HnrxXpMRSENFdvlkqg0</t>
        </is>
      </c>
      <c r="C1142" s="4" t="inlineStr">
        <is>
          <t>Saccaria Verano</t>
        </is>
      </c>
      <c r="D1142" s="4" t="inlineStr">
        <is>
          <t>Goiânia</t>
        </is>
      </c>
      <c r="E1142" s="4" t="inlineStr">
        <is>
          <t>GO</t>
        </is>
      </c>
      <c r="F1142" s="4" t="inlineStr">
        <is>
          <t>Metrópoles</t>
        </is>
      </c>
      <c r="G1142" s="4" t="inlineStr">
        <is>
          <t>Metrópole</t>
        </is>
      </c>
      <c r="H1142" s="5">
        <f>IF(G1142="fora do recorte","",SUMPRODUCT(($G$3:$G$1723=G1142)*($A$3:$A$1723&lt;=A1142)))</f>
        <v/>
      </c>
      <c r="I1142" s="4">
        <f>IF(H1142="","",G1142&amp;"|"&amp;H1142)</f>
        <v/>
      </c>
      <c r="J1142" s="4" t="inlineStr">
        <is>
          <t>https://www.google.com/maps/search/?api=1&amp;query=Saccaria%20Verano&amp;query_place_id=ChIJb2X0HnrxXpMRSENFdvlkqg0</t>
        </is>
      </c>
      <c r="K1142" s="4" t="inlineStr">
        <is>
          <t>R. 92, Quadra C 28 Lote 33 - Jardim Goiás, Goiânia - GO, 74810-430, Brasil</t>
        </is>
      </c>
      <c r="L1142" s="4" t="inlineStr">
        <is>
          <t>Goiânia</t>
        </is>
      </c>
      <c r="M1142" s="5" t="n">
        <v>1</v>
      </c>
    </row>
    <row r="1143">
      <c r="A1143" s="3">
        <f>RAND()</f>
        <v/>
      </c>
      <c r="B1143" s="4" t="inlineStr">
        <is>
          <t>ChIJgUKowfr3XpMRX3vcF1yQFQw</t>
        </is>
      </c>
      <c r="C1143" s="4" t="inlineStr">
        <is>
          <t>Seven Lounge &amp; Drinks</t>
        </is>
      </c>
      <c r="D1143" s="4" t="inlineStr">
        <is>
          <t>Goiânia</t>
        </is>
      </c>
      <c r="E1143" s="4" t="inlineStr">
        <is>
          <t>GO</t>
        </is>
      </c>
      <c r="F1143" s="4" t="inlineStr">
        <is>
          <t>Metrópoles</t>
        </is>
      </c>
      <c r="G1143" s="4" t="inlineStr">
        <is>
          <t>Metrópole</t>
        </is>
      </c>
      <c r="H1143" s="5">
        <f>IF(G1143="fora do recorte","",SUMPRODUCT(($G$3:$G$1723=G1143)*($A$3:$A$1723&lt;=A1143)))</f>
        <v/>
      </c>
      <c r="I1143" s="4">
        <f>IF(H1143="","",G1143&amp;"|"&amp;H1143)</f>
        <v/>
      </c>
      <c r="J1143" s="4" t="inlineStr">
        <is>
          <t>https://www.google.com/maps/search/?api=1&amp;query=Seven%20Lounge%20%26%20Drinks&amp;query_place_id=ChIJgUKowfr3XpMRX3vcF1yQFQw</t>
        </is>
      </c>
      <c r="K1143" s="4" t="inlineStr">
        <is>
          <t>R. CP 4, 210 - Qd.5 Lt.44 - Res. Celina Park, Goiânia - GO, 74373-120, Brasil</t>
        </is>
      </c>
      <c r="L1143" s="4" t="inlineStr">
        <is>
          <t>Goiânia</t>
        </is>
      </c>
      <c r="M1143" s="5" t="n">
        <v>1</v>
      </c>
    </row>
    <row r="1144">
      <c r="A1144" s="3">
        <f>RAND()</f>
        <v/>
      </c>
      <c r="B1144" s="4" t="inlineStr">
        <is>
          <t>ChIJ-Z-kfFrxXpMRGgTyoZn1whc</t>
        </is>
      </c>
      <c r="C1144" s="4" t="inlineStr">
        <is>
          <t>Shiva alt-bar</t>
        </is>
      </c>
      <c r="D1144" s="4" t="inlineStr">
        <is>
          <t>Goiânia</t>
        </is>
      </c>
      <c r="E1144" s="4" t="inlineStr">
        <is>
          <t>GO</t>
        </is>
      </c>
      <c r="F1144" s="4" t="inlineStr">
        <is>
          <t>Metrópoles</t>
        </is>
      </c>
      <c r="G1144" s="4" t="inlineStr">
        <is>
          <t>Metrópole</t>
        </is>
      </c>
      <c r="H1144" s="5">
        <f>IF(G1144="fora do recorte","",SUMPRODUCT(($G$3:$G$1723=G1144)*($A$3:$A$1723&lt;=A1144)))</f>
        <v/>
      </c>
      <c r="I1144" s="4">
        <f>IF(H1144="","",G1144&amp;"|"&amp;H1144)</f>
        <v/>
      </c>
      <c r="J1144" s="4" t="inlineStr">
        <is>
          <t>https://www.google.com/maps/search/?api=1&amp;query=Shiva%20alt-bar&amp;query_place_id=ChIJ-Z-kfFrxXpMRGgTyoZn1whc</t>
        </is>
      </c>
      <c r="K1144" s="4" t="inlineStr">
        <is>
          <t>Alameda das Rosas, 1371 - St. Oeste, Goiânia - GO, 74125-010, Brasil</t>
        </is>
      </c>
      <c r="L1144" s="4" t="inlineStr">
        <is>
          <t>Goiânia</t>
        </is>
      </c>
      <c r="M1144" s="5" t="n">
        <v>1</v>
      </c>
    </row>
    <row r="1145">
      <c r="A1145" s="3">
        <f>RAND()</f>
        <v/>
      </c>
      <c r="B1145" s="4" t="inlineStr">
        <is>
          <t>ChIJIatE26PxXpMRuvB9jdm85cw</t>
        </is>
      </c>
      <c r="C1145" s="4" t="inlineStr">
        <is>
          <t>Social Poker Club</t>
        </is>
      </c>
      <c r="D1145" s="4" t="inlineStr">
        <is>
          <t>Goiânia</t>
        </is>
      </c>
      <c r="E1145" s="4" t="inlineStr">
        <is>
          <t>GO</t>
        </is>
      </c>
      <c r="F1145" s="4" t="inlineStr">
        <is>
          <t>Metrópoles</t>
        </is>
      </c>
      <c r="G1145" s="4" t="inlineStr">
        <is>
          <t>Metrópole</t>
        </is>
      </c>
      <c r="H1145" s="5">
        <f>IF(G1145="fora do recorte","",SUMPRODUCT(($G$3:$G$1723=G1145)*($A$3:$A$1723&lt;=A1145)))</f>
        <v/>
      </c>
      <c r="I1145" s="4">
        <f>IF(H1145="","",G1145&amp;"|"&amp;H1145)</f>
        <v/>
      </c>
      <c r="J1145" s="4" t="inlineStr">
        <is>
          <t>https://www.google.com/maps/search/?api=1&amp;query=Social%20Poker%20Club&amp;query_place_id=ChIJIatE26PxXpMRuvB9jdm85cw</t>
        </is>
      </c>
      <c r="K1145" s="4" t="inlineStr">
        <is>
          <t>Edifício West Office - R. 3, 1022 - St. Oeste, Goiânia - GO, 74115-050, Brasil</t>
        </is>
      </c>
      <c r="L1145" s="4" t="inlineStr">
        <is>
          <t>Goiânia</t>
        </is>
      </c>
      <c r="M1145" s="5" t="n">
        <v>4</v>
      </c>
    </row>
    <row r="1146">
      <c r="A1146" s="3">
        <f>RAND()</f>
        <v/>
      </c>
      <c r="B1146" s="4" t="inlineStr">
        <is>
          <t>ChIJveqgLrLzXpMRCdIw_IiqVBA</t>
        </is>
      </c>
      <c r="C1146" s="4" t="inlineStr">
        <is>
          <t>Storm Acessórios</t>
        </is>
      </c>
      <c r="D1146" s="4" t="inlineStr">
        <is>
          <t>Goiânia</t>
        </is>
      </c>
      <c r="E1146" s="4" t="inlineStr">
        <is>
          <t>GO</t>
        </is>
      </c>
      <c r="F1146" s="4" t="inlineStr">
        <is>
          <t>Metrópoles</t>
        </is>
      </c>
      <c r="G1146" s="4" t="inlineStr">
        <is>
          <t>Metrópole</t>
        </is>
      </c>
      <c r="H1146" s="5">
        <f>IF(G1146="fora do recorte","",SUMPRODUCT(($G$3:$G$1723=G1146)*($A$3:$A$1723&lt;=A1146)))</f>
        <v/>
      </c>
      <c r="I1146" s="4">
        <f>IF(H1146="","",G1146&amp;"|"&amp;H1146)</f>
        <v/>
      </c>
      <c r="J1146" s="4" t="inlineStr">
        <is>
          <t>https://www.google.com/maps/search/?api=1&amp;query=Storm%20Acess%C3%B3rios&amp;query_place_id=ChIJveqgLrLzXpMRCdIw_IiqVBA</t>
        </is>
      </c>
      <c r="K1146" s="4" t="inlineStr">
        <is>
          <t>R. Quatro, 1565 - Setor Aeroporto, Goiânia - GO, 74075-050, Brasil</t>
        </is>
      </c>
      <c r="L1146" s="4" t="inlineStr">
        <is>
          <t>Goiânia</t>
        </is>
      </c>
      <c r="M1146" s="5" t="n">
        <v>4</v>
      </c>
    </row>
    <row r="1147">
      <c r="A1147" s="3">
        <f>RAND()</f>
        <v/>
      </c>
      <c r="B1147" s="4" t="inlineStr">
        <is>
          <t>ChIJJ3wfdDyLXpMRmWw2LP3gJC8</t>
        </is>
      </c>
      <c r="C1147" s="4" t="inlineStr">
        <is>
          <t>Talismã Board Games</t>
        </is>
      </c>
      <c r="D1147" s="4" t="inlineStr">
        <is>
          <t>Goiânia</t>
        </is>
      </c>
      <c r="E1147" s="4" t="inlineStr">
        <is>
          <t>GO</t>
        </is>
      </c>
      <c r="F1147" s="4" t="inlineStr">
        <is>
          <t>Metrópoles</t>
        </is>
      </c>
      <c r="G1147" s="4" t="inlineStr">
        <is>
          <t>Metrópole</t>
        </is>
      </c>
      <c r="H1147" s="5">
        <f>IF(G1147="fora do recorte","",SUMPRODUCT(($G$3:$G$1723=G1147)*($A$3:$A$1723&lt;=A1147)))</f>
        <v/>
      </c>
      <c r="I1147" s="4">
        <f>IF(H1147="","",G1147&amp;"|"&amp;H1147)</f>
        <v/>
      </c>
      <c r="J1147" s="4" t="inlineStr">
        <is>
          <t>https://www.google.com/maps/search/?api=1&amp;query=Talism%C3%A3%20Board%20Games&amp;query_place_id=ChIJJ3wfdDyLXpMRmWw2LP3gJC8</t>
        </is>
      </c>
      <c r="K1147" s="4" t="inlineStr">
        <is>
          <t>rua 05 - Jardim Maria Helena, Goiânia - GO, 74769-778, Brasil</t>
        </is>
      </c>
      <c r="L1147" s="4" t="inlineStr">
        <is>
          <t>Goiânia</t>
        </is>
      </c>
      <c r="M1147" s="5" t="n">
        <v>2</v>
      </c>
    </row>
    <row r="1148">
      <c r="A1148" s="3">
        <f>RAND()</f>
        <v/>
      </c>
      <c r="B1148" s="4" t="inlineStr">
        <is>
          <t>ChIJVZgGqW7xXpMRM85YSmupFnE</t>
        </is>
      </c>
      <c r="C1148" s="4" t="inlineStr">
        <is>
          <t>Taverna Com Dado</t>
        </is>
      </c>
      <c r="D1148" s="4" t="inlineStr">
        <is>
          <t>Goiânia</t>
        </is>
      </c>
      <c r="E1148" s="4" t="inlineStr">
        <is>
          <t>GO</t>
        </is>
      </c>
      <c r="F1148" s="4" t="inlineStr">
        <is>
          <t>Metrópoles</t>
        </is>
      </c>
      <c r="G1148" s="4" t="inlineStr">
        <is>
          <t>Metrópole</t>
        </is>
      </c>
      <c r="H1148" s="5">
        <f>IF(G1148="fora do recorte","",SUMPRODUCT(($G$3:$G$1723=G1148)*($A$3:$A$1723&lt;=A1148)))</f>
        <v/>
      </c>
      <c r="I1148" s="4">
        <f>IF(H1148="","",G1148&amp;"|"&amp;H1148)</f>
        <v/>
      </c>
      <c r="J1148" s="4" t="inlineStr">
        <is>
          <t>https://www.google.com/maps/search/?api=1&amp;query=Taverna%20Com%20Dado&amp;query_place_id=ChIJVZgGqW7xXpMRM85YSmupFnE</t>
        </is>
      </c>
      <c r="K1148" s="4" t="inlineStr">
        <is>
          <t>Av. 136, 62 - Qd 232, Lt 13 - St. Marista, Goiânia - GO, 74180-040, Brasil</t>
        </is>
      </c>
      <c r="L1148" s="4" t="inlineStr">
        <is>
          <t>Goiânia</t>
        </is>
      </c>
      <c r="M1148" s="5" t="n">
        <v>12</v>
      </c>
    </row>
    <row r="1149">
      <c r="A1149" s="3">
        <f>RAND()</f>
        <v/>
      </c>
      <c r="B1149" s="4" t="inlineStr">
        <is>
          <t>ChIJAUSDHR3xXpMRlqsVb58UP_4</t>
        </is>
      </c>
      <c r="C1149" s="4" t="inlineStr">
        <is>
          <t>Turno 42</t>
        </is>
      </c>
      <c r="D1149" s="4" t="inlineStr">
        <is>
          <t>Goiânia</t>
        </is>
      </c>
      <c r="E1149" s="4" t="inlineStr">
        <is>
          <t>GO</t>
        </is>
      </c>
      <c r="F1149" s="4" t="inlineStr">
        <is>
          <t>Metrópoles</t>
        </is>
      </c>
      <c r="G1149" s="4" t="inlineStr">
        <is>
          <t>Metrópole</t>
        </is>
      </c>
      <c r="H1149" s="5">
        <f>IF(G1149="fora do recorte","",SUMPRODUCT(($G$3:$G$1723=G1149)*($A$3:$A$1723&lt;=A1149)))</f>
        <v/>
      </c>
      <c r="I1149" s="4">
        <f>IF(H1149="","",G1149&amp;"|"&amp;H1149)</f>
        <v/>
      </c>
      <c r="J1149" s="4" t="inlineStr">
        <is>
          <t>https://www.google.com/maps/search/?api=1&amp;query=Turno%2042&amp;query_place_id=ChIJAUSDHR3xXpMRlqsVb58UP_4</t>
        </is>
      </c>
      <c r="K1149" s="4" t="inlineStr">
        <is>
          <t>Av. 85, 1445 - St. Marista, Goiânia - GO, 74160-010, Brasil</t>
        </is>
      </c>
      <c r="L1149" s="4" t="inlineStr">
        <is>
          <t>Goiânia</t>
        </is>
      </c>
      <c r="M1149" s="5" t="n">
        <v>8</v>
      </c>
    </row>
    <row r="1150">
      <c r="A1150" s="3">
        <f>RAND()</f>
        <v/>
      </c>
      <c r="B1150" s="4" t="inlineStr">
        <is>
          <t>ChIJUXkmHEzxXpMRCx4KIF5DQCw</t>
        </is>
      </c>
      <c r="C1150" s="4" t="inlineStr">
        <is>
          <t>Vikings Pub</t>
        </is>
      </c>
      <c r="D1150" s="4" t="inlineStr">
        <is>
          <t>Goiânia</t>
        </is>
      </c>
      <c r="E1150" s="4" t="inlineStr">
        <is>
          <t>GO</t>
        </is>
      </c>
      <c r="F1150" s="4" t="inlineStr">
        <is>
          <t>Metrópoles</t>
        </is>
      </c>
      <c r="G1150" s="4" t="inlineStr">
        <is>
          <t>Metrópole</t>
        </is>
      </c>
      <c r="H1150" s="5">
        <f>IF(G1150="fora do recorte","",SUMPRODUCT(($G$3:$G$1723=G1150)*($A$3:$A$1723&lt;=A1150)))</f>
        <v/>
      </c>
      <c r="I1150" s="4">
        <f>IF(H1150="","",G1150&amp;"|"&amp;H1150)</f>
        <v/>
      </c>
      <c r="J1150" s="4" t="inlineStr">
        <is>
          <t>https://www.google.com/maps/search/?api=1&amp;query=Vikings%20Pub&amp;query_place_id=ChIJUXkmHEzxXpMRCx4KIF5DQCw</t>
        </is>
      </c>
      <c r="K1150" s="4" t="inlineStr">
        <is>
          <t>Av. T-7, N°. 921 - St. Bueno, Goiânia - GO, 74210-265, Brasil</t>
        </is>
      </c>
      <c r="L1150" s="4" t="inlineStr">
        <is>
          <t>Goiânia</t>
        </is>
      </c>
      <c r="M1150" s="5" t="n">
        <v>1</v>
      </c>
    </row>
    <row r="1151">
      <c r="A1151" s="3">
        <f>RAND()</f>
        <v/>
      </c>
      <c r="B1151" s="4" t="inlineStr">
        <is>
          <t>ChIJo81PYQDzXpMReJ5i2SGE0bU</t>
        </is>
      </c>
      <c r="C1151" s="4" t="inlineStr">
        <is>
          <t>Villa Gyn Gastrobar</t>
        </is>
      </c>
      <c r="D1151" s="4" t="inlineStr">
        <is>
          <t>Goiânia</t>
        </is>
      </c>
      <c r="E1151" s="4" t="inlineStr">
        <is>
          <t>GO</t>
        </is>
      </c>
      <c r="F1151" s="4" t="inlineStr">
        <is>
          <t>Metrópoles</t>
        </is>
      </c>
      <c r="G1151" s="4" t="inlineStr">
        <is>
          <t>Metrópole</t>
        </is>
      </c>
      <c r="H1151" s="5">
        <f>IF(G1151="fora do recorte","",SUMPRODUCT(($G$3:$G$1723=G1151)*($A$3:$A$1723&lt;=A1151)))</f>
        <v/>
      </c>
      <c r="I1151" s="4">
        <f>IF(H1151="","",G1151&amp;"|"&amp;H1151)</f>
        <v/>
      </c>
      <c r="J1151" s="4" t="inlineStr">
        <is>
          <t>https://www.google.com/maps/search/?api=1&amp;query=Villa%20Gyn%20Gastrobar&amp;query_place_id=ChIJo81PYQDzXpMReJ5i2SGE0bU</t>
        </is>
      </c>
      <c r="K1151" s="4" t="inlineStr">
        <is>
          <t>Av. Francisco Magalhães - St. Urias Magalhães, Goiânia - GO, 74565-480, Brasil</t>
        </is>
      </c>
      <c r="L1151" s="4" t="inlineStr">
        <is>
          <t>Goiânia</t>
        </is>
      </c>
      <c r="M1151" s="5" t="n">
        <v>1</v>
      </c>
    </row>
    <row r="1152">
      <c r="A1152" s="3">
        <f>RAND()</f>
        <v/>
      </c>
      <c r="B1152" s="4" t="inlineStr">
        <is>
          <t>ChIJ4-UGzLPxXpMR4o0cj80Rw8Y</t>
        </is>
      </c>
      <c r="C1152" s="4" t="inlineStr">
        <is>
          <t>Yolo Beer Garden</t>
        </is>
      </c>
      <c r="D1152" s="4" t="inlineStr">
        <is>
          <t>Goiânia</t>
        </is>
      </c>
      <c r="E1152" s="4" t="inlineStr">
        <is>
          <t>GO</t>
        </is>
      </c>
      <c r="F1152" s="4" t="inlineStr">
        <is>
          <t>Metrópoles</t>
        </is>
      </c>
      <c r="G1152" s="4" t="inlineStr">
        <is>
          <t>Metrópole</t>
        </is>
      </c>
      <c r="H1152" s="5">
        <f>IF(G1152="fora do recorte","",SUMPRODUCT(($G$3:$G$1723=G1152)*($A$3:$A$1723&lt;=A1152)))</f>
        <v/>
      </c>
      <c r="I1152" s="4">
        <f>IF(H1152="","",G1152&amp;"|"&amp;H1152)</f>
        <v/>
      </c>
      <c r="J1152" s="4" t="inlineStr">
        <is>
          <t>https://www.google.com/maps/search/?api=1&amp;query=Yolo%20Beer%20Garden&amp;query_place_id=ChIJ4-UGzLPxXpMR4o0cj80Rw8Y</t>
        </is>
      </c>
      <c r="K1152" s="4" t="inlineStr">
        <is>
          <t>R. 107, Q F32, 280 - St. Sul, Goiânia - GO, 74085-060, Brasil</t>
        </is>
      </c>
      <c r="L1152" s="4" t="inlineStr">
        <is>
          <t>Goiânia</t>
        </is>
      </c>
      <c r="M1152" s="5" t="n">
        <v>1</v>
      </c>
    </row>
    <row r="1153">
      <c r="A1153" s="3">
        <f>RAND()</f>
        <v/>
      </c>
      <c r="B1153" s="4" t="inlineStr">
        <is>
          <t>ChIJX4KXW4dgXpMRRorL_x1ZbPQ</t>
        </is>
      </c>
      <c r="C1153" s="4" t="inlineStr">
        <is>
          <t>4+ Poker Friends</t>
        </is>
      </c>
      <c r="D1153" s="4" t="inlineStr">
        <is>
          <t>Trindade</t>
        </is>
      </c>
      <c r="E1153" s="4" t="inlineStr">
        <is>
          <t>GO</t>
        </is>
      </c>
      <c r="F1153" s="4" t="inlineStr">
        <is>
          <t>Metrópoles</t>
        </is>
      </c>
      <c r="G1153" s="4" t="inlineStr">
        <is>
          <t>Metrópole</t>
        </is>
      </c>
      <c r="H1153" s="5">
        <f>IF(G1153="fora do recorte","",SUMPRODUCT(($G$3:$G$1723=G1153)*($A$3:$A$1723&lt;=A1153)))</f>
        <v/>
      </c>
      <c r="I1153" s="4">
        <f>IF(H1153="","",G1153&amp;"|"&amp;H1153)</f>
        <v/>
      </c>
      <c r="J1153" s="4" t="inlineStr">
        <is>
          <t>https://www.google.com/maps/search/?api=1&amp;query=4%2B%20Poker%20Friends&amp;query_place_id=ChIJX4KXW4dgXpMRRorL_x1ZbPQ</t>
        </is>
      </c>
      <c r="K1153" s="4" t="inlineStr">
        <is>
          <t>R. Crisandalia, Qd F-2 Lt 13 - St. Dona Iris II, Trindade - GO, 75382-114, Brasil</t>
        </is>
      </c>
      <c r="L1153" s="4" t="inlineStr">
        <is>
          <t>Goiânia</t>
        </is>
      </c>
      <c r="M1153" s="5" t="n">
        <v>3</v>
      </c>
    </row>
    <row r="1154">
      <c r="A1154" s="3">
        <f>RAND()</f>
        <v/>
      </c>
      <c r="B1154" s="4" t="inlineStr">
        <is>
          <t>ChIJD5tSQNebpgARQ1brfo_AqeM</t>
        </is>
      </c>
      <c r="C1154" s="4" t="inlineStr">
        <is>
          <t>Abelha Lunar Brinquedos</t>
        </is>
      </c>
      <c r="D1154" s="4" t="inlineStr">
        <is>
          <t>Belo Horizonte</t>
        </is>
      </c>
      <c r="E1154" s="4" t="inlineStr">
        <is>
          <t>MG</t>
        </is>
      </c>
      <c r="F1154" s="4" t="inlineStr">
        <is>
          <t>Metrópoles</t>
        </is>
      </c>
      <c r="G1154" s="4" t="inlineStr">
        <is>
          <t>Metrópole</t>
        </is>
      </c>
      <c r="H1154" s="5">
        <f>IF(G1154="fora do recorte","",SUMPRODUCT(($G$3:$G$1723=G1154)*($A$3:$A$1723&lt;=A1154)))</f>
        <v/>
      </c>
      <c r="I1154" s="4">
        <f>IF(H1154="","",G1154&amp;"|"&amp;H1154)</f>
        <v/>
      </c>
      <c r="J1154" s="4" t="inlineStr">
        <is>
          <t>https://www.google.com/maps/search/?api=1&amp;query=Abelha%20Lunar%20Brinquedos&amp;query_place_id=ChIJD5tSQNebpgARQ1brfo_AqeM</t>
        </is>
      </c>
      <c r="K1154" s="4" t="inlineStr">
        <is>
          <t>R. Geraldo Faria de Souza, 872 - Sagrada Família, Belo Horizonte - MG, 31035-510, Brasil</t>
        </is>
      </c>
      <c r="L1154" s="4" t="inlineStr">
        <is>
          <t>Belo Horizonte</t>
        </is>
      </c>
      <c r="M1154" s="5" t="n">
        <v>1</v>
      </c>
    </row>
    <row r="1155">
      <c r="A1155" s="3">
        <f>RAND()</f>
        <v/>
      </c>
      <c r="B1155" s="4" t="inlineStr">
        <is>
          <t>ChIJcdm9wXWXpgAR0WDRlPxZB_A</t>
        </is>
      </c>
      <c r="C1155" s="4" t="inlineStr">
        <is>
          <t>Alipepê</t>
        </is>
      </c>
      <c r="D1155" s="4" t="inlineStr">
        <is>
          <t>Belo Horizonte</t>
        </is>
      </c>
      <c r="E1155" s="4" t="inlineStr">
        <is>
          <t>MG</t>
        </is>
      </c>
      <c r="F1155" s="4" t="inlineStr">
        <is>
          <t>Metrópoles</t>
        </is>
      </c>
      <c r="G1155" s="4" t="inlineStr">
        <is>
          <t>Metrópole</t>
        </is>
      </c>
      <c r="H1155" s="5">
        <f>IF(G1155="fora do recorte","",SUMPRODUCT(($G$3:$G$1723=G1155)*($A$3:$A$1723&lt;=A1155)))</f>
        <v/>
      </c>
      <c r="I1155" s="4">
        <f>IF(H1155="","",G1155&amp;"|"&amp;H1155)</f>
        <v/>
      </c>
      <c r="J1155" s="4" t="inlineStr">
        <is>
          <t>https://www.google.com/maps/search/?api=1&amp;query=Alipep%C3%AA&amp;query_place_id=ChIJcdm9wXWXpgAR0WDRlPxZB_A</t>
        </is>
      </c>
      <c r="K1155" s="4" t="inlineStr">
        <is>
          <t>R. Curral Del Rei, 25 - Padre Eustáquio, Belo Horizonte - MG, 30720-220, Brasil</t>
        </is>
      </c>
      <c r="L1155" s="4" t="inlineStr">
        <is>
          <t>Belo Horizonte</t>
        </is>
      </c>
      <c r="M1155" s="5" t="n">
        <v>1</v>
      </c>
    </row>
    <row r="1156">
      <c r="A1156" s="3">
        <f>RAND()</f>
        <v/>
      </c>
      <c r="B1156" s="4" t="inlineStr">
        <is>
          <t>ChIJ2eMCGACRpgARoWEjX5VaIkI</t>
        </is>
      </c>
      <c r="C1156" s="4" t="inlineStr">
        <is>
          <t>Arcade Save Point</t>
        </is>
      </c>
      <c r="D1156" s="4" t="inlineStr">
        <is>
          <t>Belo Horizonte</t>
        </is>
      </c>
      <c r="E1156" s="4" t="inlineStr">
        <is>
          <t>MG</t>
        </is>
      </c>
      <c r="F1156" s="4" t="inlineStr">
        <is>
          <t>Metrópoles</t>
        </is>
      </c>
      <c r="G1156" s="4" t="inlineStr">
        <is>
          <t>Metrópole</t>
        </is>
      </c>
      <c r="H1156" s="5">
        <f>IF(G1156="fora do recorte","",SUMPRODUCT(($G$3:$G$1723=G1156)*($A$3:$A$1723&lt;=A1156)))</f>
        <v/>
      </c>
      <c r="I1156" s="4">
        <f>IF(H1156="","",G1156&amp;"|"&amp;H1156)</f>
        <v/>
      </c>
      <c r="J1156" s="4" t="inlineStr">
        <is>
          <t>https://www.google.com/maps/search/?api=1&amp;query=Arcade%20Save%20Point&amp;query_place_id=ChIJ2eMCGACRpgARoWEjX5VaIkI</t>
        </is>
      </c>
      <c r="K1156" s="4" t="inlineStr">
        <is>
          <t>Av. Sebastião de Brito, 287 - Sl 3 - Dona Clara, Belo Horizonte - MG, 31260-000, Brasil</t>
        </is>
      </c>
      <c r="L1156" s="4" t="inlineStr">
        <is>
          <t>Belo Horizonte</t>
        </is>
      </c>
      <c r="M1156" s="5" t="n">
        <v>1</v>
      </c>
    </row>
    <row r="1157">
      <c r="A1157" s="3">
        <f>RAND()</f>
        <v/>
      </c>
      <c r="B1157" s="4" t="inlineStr">
        <is>
          <t>ChIJDTIXkfuZpgAR4Wd-CrQu2Ik</t>
        </is>
      </c>
      <c r="C1157" s="4" t="inlineStr">
        <is>
          <t>BH Games</t>
        </is>
      </c>
      <c r="D1157" s="4" t="inlineStr">
        <is>
          <t>Belo Horizonte</t>
        </is>
      </c>
      <c r="E1157" s="4" t="inlineStr">
        <is>
          <t>MG</t>
        </is>
      </c>
      <c r="F1157" s="4" t="inlineStr">
        <is>
          <t>Metrópoles</t>
        </is>
      </c>
      <c r="G1157" s="4" t="inlineStr">
        <is>
          <t>Metrópole</t>
        </is>
      </c>
      <c r="H1157" s="5">
        <f>IF(G1157="fora do recorte","",SUMPRODUCT(($G$3:$G$1723=G1157)*($A$3:$A$1723&lt;=A1157)))</f>
        <v/>
      </c>
      <c r="I1157" s="4">
        <f>IF(H1157="","",G1157&amp;"|"&amp;H1157)</f>
        <v/>
      </c>
      <c r="J1157" s="4" t="inlineStr">
        <is>
          <t>https://www.google.com/maps/search/?api=1&amp;query=BH%20Games&amp;query_place_id=ChIJDTIXkfuZpgAR4Wd-CrQu2Ik</t>
        </is>
      </c>
      <c r="K1157" s="4" t="inlineStr">
        <is>
          <t>R. Curvelo, 32 - Lj 15 - Floresta, Belo Horizonte - MG, 31015-172, Brasil</t>
        </is>
      </c>
      <c r="L1157" s="4" t="inlineStr">
        <is>
          <t>Belo Horizonte</t>
        </is>
      </c>
      <c r="M1157" s="5" t="n">
        <v>1</v>
      </c>
    </row>
    <row r="1158">
      <c r="A1158" s="3">
        <f>RAND()</f>
        <v/>
      </c>
      <c r="B1158" s="4" t="inlineStr">
        <is>
          <t>ChIJRxPaYy6apgAR61kI-FK0Ujo</t>
        </is>
      </c>
      <c r="C1158" s="4" t="inlineStr">
        <is>
          <t>Bar Temático de Santa Tereza</t>
        </is>
      </c>
      <c r="D1158" s="4" t="inlineStr">
        <is>
          <t>Belo Horizonte</t>
        </is>
      </c>
      <c r="E1158" s="4" t="inlineStr">
        <is>
          <t>MG</t>
        </is>
      </c>
      <c r="F1158" s="4" t="inlineStr">
        <is>
          <t>Metrópoles</t>
        </is>
      </c>
      <c r="G1158" s="4" t="inlineStr">
        <is>
          <t>Metrópole</t>
        </is>
      </c>
      <c r="H1158" s="5">
        <f>IF(G1158="fora do recorte","",SUMPRODUCT(($G$3:$G$1723=G1158)*($A$3:$A$1723&lt;=A1158)))</f>
        <v/>
      </c>
      <c r="I1158" s="4">
        <f>IF(H1158="","",G1158&amp;"|"&amp;H1158)</f>
        <v/>
      </c>
      <c r="J1158" s="4" t="inlineStr">
        <is>
          <t>https://www.google.com/maps/search/?api=1&amp;query=Bar%20Tem%C3%A1tico%20de%20Santa%20Tereza&amp;query_place_id=ChIJRxPaYy6apgAR61kI-FK0Ujo</t>
        </is>
      </c>
      <c r="K1158" s="4" t="inlineStr">
        <is>
          <t>Rua Pirite, 187 - Santa Tereza, Belo Horizonte - MG, 31010-420, Brasil</t>
        </is>
      </c>
      <c r="L1158" s="4" t="inlineStr">
        <is>
          <t>Belo Horizonte</t>
        </is>
      </c>
      <c r="M1158" s="5" t="n">
        <v>1</v>
      </c>
    </row>
    <row r="1159">
      <c r="A1159" s="3">
        <f>RAND()</f>
        <v/>
      </c>
      <c r="B1159" s="4" t="inlineStr">
        <is>
          <t>ChIJpYaUHSmapgARMjmnnlc8BzY</t>
        </is>
      </c>
      <c r="C1159" s="4" t="inlineStr">
        <is>
          <t>Bar e Museu Clube da Esquina</t>
        </is>
      </c>
      <c r="D1159" s="4" t="inlineStr">
        <is>
          <t>Belo Horizonte</t>
        </is>
      </c>
      <c r="E1159" s="4" t="inlineStr">
        <is>
          <t>MG</t>
        </is>
      </c>
      <c r="F1159" s="4" t="inlineStr">
        <is>
          <t>Metrópoles</t>
        </is>
      </c>
      <c r="G1159" s="4" t="inlineStr">
        <is>
          <t>Metrópole</t>
        </is>
      </c>
      <c r="H1159" s="5">
        <f>IF(G1159="fora do recorte","",SUMPRODUCT(($G$3:$G$1723=G1159)*($A$3:$A$1723&lt;=A1159)))</f>
        <v/>
      </c>
      <c r="I1159" s="4">
        <f>IF(H1159="","",G1159&amp;"|"&amp;H1159)</f>
        <v/>
      </c>
      <c r="J1159" s="4" t="inlineStr">
        <is>
          <t>https://www.google.com/maps/search/?api=1&amp;query=Bar%20e%20Museu%20Clube%20da%20Esquina&amp;query_place_id=ChIJpYaUHSmapgARMjmnnlc8BzY</t>
        </is>
      </c>
      <c r="K1159" s="4" t="inlineStr">
        <is>
          <t>R. Paraisópolis, 738 - Santa Tereza, Belo Horizonte - MG, 31010-330, Brasil</t>
        </is>
      </c>
      <c r="L1159" s="4" t="inlineStr">
        <is>
          <t>Belo Horizonte</t>
        </is>
      </c>
      <c r="M1159" s="5" t="n">
        <v>1</v>
      </c>
    </row>
    <row r="1160">
      <c r="A1160" s="3">
        <f>RAND()</f>
        <v/>
      </c>
      <c r="B1160" s="4" t="inlineStr">
        <is>
          <t>ChIJIdEQTRqZpgARvN5wtO8sEkI</t>
        </is>
      </c>
      <c r="C1160" s="4" t="inlineStr">
        <is>
          <t>BarDo Folk</t>
        </is>
      </c>
      <c r="D1160" s="4" t="inlineStr">
        <is>
          <t>Belo Horizonte</t>
        </is>
      </c>
      <c r="E1160" s="4" t="inlineStr">
        <is>
          <t>MG</t>
        </is>
      </c>
      <c r="F1160" s="4" t="inlineStr">
        <is>
          <t>Metrópoles</t>
        </is>
      </c>
      <c r="G1160" s="4" t="inlineStr">
        <is>
          <t>Metrópole</t>
        </is>
      </c>
      <c r="H1160" s="5">
        <f>IF(G1160="fora do recorte","",SUMPRODUCT(($G$3:$G$1723=G1160)*($A$3:$A$1723&lt;=A1160)))</f>
        <v/>
      </c>
      <c r="I1160" s="4">
        <f>IF(H1160="","",G1160&amp;"|"&amp;H1160)</f>
        <v/>
      </c>
      <c r="J1160" s="4" t="inlineStr">
        <is>
          <t>https://www.google.com/maps/search/?api=1&amp;query=BarDo%20Folk&amp;query_place_id=ChIJIdEQTRqZpgARvN5wtO8sEkI</t>
        </is>
      </c>
      <c r="K1160" s="4" t="inlineStr">
        <is>
          <t>Rua dos Timbiras, 2041 - Lourdes, Belo Horizonte - MG, 30140-061, Brasil</t>
        </is>
      </c>
      <c r="L1160" s="4" t="inlineStr">
        <is>
          <t>Belo Horizonte</t>
        </is>
      </c>
      <c r="M1160" s="5" t="n">
        <v>3</v>
      </c>
    </row>
    <row r="1161">
      <c r="A1161" s="3">
        <f>RAND()</f>
        <v/>
      </c>
      <c r="B1161" s="4" t="inlineStr">
        <is>
          <t>ChIJRcWOaPabpgARDvX2Bad0qb0</t>
        </is>
      </c>
      <c r="C1161" s="4" t="inlineStr">
        <is>
          <t>Bardo Mago</t>
        </is>
      </c>
      <c r="D1161" s="4" t="inlineStr">
        <is>
          <t>Belo Horizonte</t>
        </is>
      </c>
      <c r="E1161" s="4" t="inlineStr">
        <is>
          <t>MG</t>
        </is>
      </c>
      <c r="F1161" s="4" t="inlineStr">
        <is>
          <t>Metrópoles</t>
        </is>
      </c>
      <c r="G1161" s="4" t="inlineStr">
        <is>
          <t>Metrópole</t>
        </is>
      </c>
      <c r="H1161" s="5">
        <f>IF(G1161="fora do recorte","",SUMPRODUCT(($G$3:$G$1723=G1161)*($A$3:$A$1723&lt;=A1161)))</f>
        <v/>
      </c>
      <c r="I1161" s="4">
        <f>IF(H1161="","",G1161&amp;"|"&amp;H1161)</f>
        <v/>
      </c>
      <c r="J1161" s="4" t="inlineStr">
        <is>
          <t>https://www.google.com/maps/search/?api=1&amp;query=Bardo%20Mago&amp;query_place_id=ChIJRcWOaPabpgARDvX2Bad0qb0</t>
        </is>
      </c>
      <c r="K1161" s="4" t="inlineStr">
        <is>
          <t>Av. Petrolina, 883 - Horto Florestal, Belo Horizonte - MG, 31030-370, Brasil</t>
        </is>
      </c>
      <c r="L1161" s="4" t="inlineStr">
        <is>
          <t>Belo Horizonte</t>
        </is>
      </c>
      <c r="M1161" s="5" t="n">
        <v>9</v>
      </c>
    </row>
    <row r="1162">
      <c r="A1162" s="3">
        <f>RAND()</f>
        <v/>
      </c>
      <c r="B1162" s="4" t="inlineStr">
        <is>
          <t>ChIJVVWJxOaZpgARwOi0SIWndOw</t>
        </is>
      </c>
      <c r="C1162" s="4" t="inlineStr">
        <is>
          <t>Brechó Lúdico</t>
        </is>
      </c>
      <c r="D1162" s="4" t="inlineStr">
        <is>
          <t>Belo Horizonte</t>
        </is>
      </c>
      <c r="E1162" s="4" t="inlineStr">
        <is>
          <t>MG</t>
        </is>
      </c>
      <c r="F1162" s="4" t="inlineStr">
        <is>
          <t>Metrópoles</t>
        </is>
      </c>
      <c r="G1162" s="4" t="inlineStr">
        <is>
          <t>Metrópole</t>
        </is>
      </c>
      <c r="H1162" s="5">
        <f>IF(G1162="fora do recorte","",SUMPRODUCT(($G$3:$G$1723=G1162)*($A$3:$A$1723&lt;=A1162)))</f>
        <v/>
      </c>
      <c r="I1162" s="4">
        <f>IF(H1162="","",G1162&amp;"|"&amp;H1162)</f>
        <v/>
      </c>
      <c r="J1162" s="4" t="inlineStr">
        <is>
          <t>https://www.google.com/maps/search/?api=1&amp;query=Brech%C3%B3%20L%C3%BAdico&amp;query_place_id=ChIJVVWJxOaZpgARwOi0SIWndOw</t>
        </is>
      </c>
      <c r="K1162" s="4" t="inlineStr">
        <is>
          <t>Av. Brasil, 1843 - Lourdes, Belo Horizonte - MG, 30140-008, Brasil</t>
        </is>
      </c>
      <c r="L1162" s="4" t="inlineStr">
        <is>
          <t>Belo Horizonte; Cuiabá; João Pessoa</t>
        </is>
      </c>
      <c r="M1162" s="5" t="n">
        <v>11</v>
      </c>
    </row>
    <row r="1163">
      <c r="A1163" s="3">
        <f>RAND()</f>
        <v/>
      </c>
      <c r="B1163" s="4" t="inlineStr">
        <is>
          <t>ChIJ_fSU_we_pgARXrRXapfLc9k</t>
        </is>
      </c>
      <c r="C1163" s="4" t="inlineStr">
        <is>
          <t>Brinquedolândia Casa de Brincar</t>
        </is>
      </c>
      <c r="D1163" s="4" t="inlineStr">
        <is>
          <t>Belo Horizonte</t>
        </is>
      </c>
      <c r="E1163" s="4" t="inlineStr">
        <is>
          <t>MG</t>
        </is>
      </c>
      <c r="F1163" s="4" t="inlineStr">
        <is>
          <t>Metrópoles</t>
        </is>
      </c>
      <c r="G1163" s="4" t="inlineStr">
        <is>
          <t>Metrópole</t>
        </is>
      </c>
      <c r="H1163" s="5">
        <f>IF(G1163="fora do recorte","",SUMPRODUCT(($G$3:$G$1723=G1163)*($A$3:$A$1723&lt;=A1163)))</f>
        <v/>
      </c>
      <c r="I1163" s="4">
        <f>IF(H1163="","",G1163&amp;"|"&amp;H1163)</f>
        <v/>
      </c>
      <c r="J1163" s="4" t="inlineStr">
        <is>
          <t>https://www.google.com/maps/search/?api=1&amp;query=Brinquedol%C3%A2ndia%20Casa%20de%20Brincar&amp;query_place_id=ChIJ_fSU_we_pgARXrRXapfLc9k</t>
        </is>
      </c>
      <c r="K1163" s="4" t="inlineStr">
        <is>
          <t>Av. Sinfrônio Brochado, 1420 - Barreiro, Belo Horizonte - MG, 30640-000, Brasil</t>
        </is>
      </c>
      <c r="L1163" s="4" t="inlineStr">
        <is>
          <t>Belo Horizonte</t>
        </is>
      </c>
      <c r="M1163" s="5" t="n">
        <v>1</v>
      </c>
    </row>
    <row r="1164">
      <c r="A1164" s="3">
        <f>RAND()</f>
        <v/>
      </c>
      <c r="B1164" s="4" t="inlineStr">
        <is>
          <t>ChIJmcHoW8i9pgARhLWOdJWH1oQ</t>
        </is>
      </c>
      <c r="C1164" s="4" t="inlineStr">
        <is>
          <t>Casa do Sol Origem</t>
        </is>
      </c>
      <c r="D1164" s="4" t="inlineStr">
        <is>
          <t>Belo Horizonte</t>
        </is>
      </c>
      <c r="E1164" s="4" t="inlineStr">
        <is>
          <t>MG</t>
        </is>
      </c>
      <c r="F1164" s="4" t="inlineStr">
        <is>
          <t>Metrópoles</t>
        </is>
      </c>
      <c r="G1164" s="4" t="inlineStr">
        <is>
          <t>Metrópole</t>
        </is>
      </c>
      <c r="H1164" s="5">
        <f>IF(G1164="fora do recorte","",SUMPRODUCT(($G$3:$G$1723=G1164)*($A$3:$A$1723&lt;=A1164)))</f>
        <v/>
      </c>
      <c r="I1164" s="4">
        <f>IF(H1164="","",G1164&amp;"|"&amp;H1164)</f>
        <v/>
      </c>
      <c r="J1164" s="4" t="inlineStr">
        <is>
          <t>https://www.google.com/maps/search/?api=1&amp;query=Casa%20do%20Sol%20Origem&amp;query_place_id=ChIJmcHoW8i9pgARhLWOdJWH1oQ</t>
        </is>
      </c>
      <c r="K1164" s="4" t="inlineStr">
        <is>
          <t>R. Adriano Chaves e Matos, 447 - Olhos D'Água, Belo Horizonte - MG, 30390-402, Brasil</t>
        </is>
      </c>
      <c r="L1164" s="4" t="inlineStr">
        <is>
          <t>Belo Horizonte</t>
        </is>
      </c>
      <c r="M1164" s="5" t="n">
        <v>1</v>
      </c>
    </row>
    <row r="1165">
      <c r="A1165" s="3">
        <f>RAND()</f>
        <v/>
      </c>
      <c r="B1165" s="4" t="inlineStr">
        <is>
          <t>ChIJv9yXsQ2XpgARjZJ5mLcQUwg</t>
        </is>
      </c>
      <c r="C1165" s="4" t="inlineStr">
        <is>
          <t>Casa do Xadrez</t>
        </is>
      </c>
      <c r="D1165" s="4" t="inlineStr">
        <is>
          <t>Belo Horizonte</t>
        </is>
      </c>
      <c r="E1165" s="4" t="inlineStr">
        <is>
          <t>MG</t>
        </is>
      </c>
      <c r="F1165" s="4" t="inlineStr">
        <is>
          <t>Metrópoles</t>
        </is>
      </c>
      <c r="G1165" s="4" t="inlineStr">
        <is>
          <t>Metrópole</t>
        </is>
      </c>
      <c r="H1165" s="5">
        <f>IF(G1165="fora do recorte","",SUMPRODUCT(($G$3:$G$1723=G1165)*($A$3:$A$1723&lt;=A1165)))</f>
        <v/>
      </c>
      <c r="I1165" s="4">
        <f>IF(H1165="","",G1165&amp;"|"&amp;H1165)</f>
        <v/>
      </c>
      <c r="J1165" s="4" t="inlineStr">
        <is>
          <t>https://www.google.com/maps/search/?api=1&amp;query=Casa%20do%20Xadrez&amp;query_place_id=ChIJv9yXsQ2XpgARjZJ5mLcQUwg</t>
        </is>
      </c>
      <c r="K1165" s="4" t="inlineStr">
        <is>
          <t>R. Campos Elíseos, 278 - Barroca, Belo Horizonte - MG, 30431-068, Brasil</t>
        </is>
      </c>
      <c r="L1165" s="4" t="inlineStr">
        <is>
          <t>Belo Horizonte</t>
        </is>
      </c>
      <c r="M1165" s="5" t="n">
        <v>1</v>
      </c>
    </row>
    <row r="1166">
      <c r="A1166" s="3">
        <f>RAND()</f>
        <v/>
      </c>
      <c r="B1166" s="4" t="inlineStr">
        <is>
          <t>ChIJQ-UyX32bpgARJcyelgu6UGk</t>
        </is>
      </c>
      <c r="C1166" s="4" t="inlineStr">
        <is>
          <t>Clube Mineiro de Wargames: Warhammer, Age of Sigmar, One Page Rules, Senhor dos Anéis, FrostGrave e muito mais.</t>
        </is>
      </c>
      <c r="D1166" s="4" t="inlineStr">
        <is>
          <t>Belo Horizonte</t>
        </is>
      </c>
      <c r="E1166" s="4" t="inlineStr">
        <is>
          <t>MG</t>
        </is>
      </c>
      <c r="F1166" s="4" t="inlineStr">
        <is>
          <t>Metrópoles</t>
        </is>
      </c>
      <c r="G1166" s="4" t="inlineStr">
        <is>
          <t>Metrópole</t>
        </is>
      </c>
      <c r="H1166" s="5">
        <f>IF(G1166="fora do recorte","",SUMPRODUCT(($G$3:$G$1723=G1166)*($A$3:$A$1723&lt;=A1166)))</f>
        <v/>
      </c>
      <c r="I1166" s="4">
        <f>IF(H1166="","",G1166&amp;"|"&amp;H1166)</f>
        <v/>
      </c>
      <c r="J1166" s="4" t="inlineStr">
        <is>
          <t>https://www.google.com/maps/search/?api=1&amp;query=Clube%20Mineiro%20de%20Wargames%3A%20Warhammer%2C%20Age%20of%20Sigmar%2C%20One%20Page%20Rules%2C%20Senhor%20dos%20An%C3%A9is%2C%20FrostGrave%20e%20muito%20mais.&amp;query_place_id=ChIJQ-UyX32bpgARJcyelgu6UGk</t>
        </is>
      </c>
      <c r="K1166" s="4" t="inlineStr">
        <is>
          <t>R. Padre Júlio Maria, 93 - Vera Cruz, Belo Horizonte - MG, 30285-360, Brasil</t>
        </is>
      </c>
      <c r="L1166" s="4" t="inlineStr">
        <is>
          <t>Belo Horizonte</t>
        </is>
      </c>
      <c r="M1166" s="5" t="n">
        <v>1</v>
      </c>
    </row>
    <row r="1167">
      <c r="A1167" s="3">
        <f>RAND()</f>
        <v/>
      </c>
      <c r="B1167" s="4" t="inlineStr">
        <is>
          <t>ChIJpzB8zc2XpgARoJTUu90J6Pw</t>
        </is>
      </c>
      <c r="C1167" s="4" t="inlineStr">
        <is>
          <t>Comdado Bar e Jogos</t>
        </is>
      </c>
      <c r="D1167" s="4" t="inlineStr">
        <is>
          <t>Belo Horizonte</t>
        </is>
      </c>
      <c r="E1167" s="4" t="inlineStr">
        <is>
          <t>MG</t>
        </is>
      </c>
      <c r="F1167" s="4" t="inlineStr">
        <is>
          <t>Metrópoles</t>
        </is>
      </c>
      <c r="G1167" s="4" t="inlineStr">
        <is>
          <t>Metrópole</t>
        </is>
      </c>
      <c r="H1167" s="5">
        <f>IF(G1167="fora do recorte","",SUMPRODUCT(($G$3:$G$1723=G1167)*($A$3:$A$1723&lt;=A1167)))</f>
        <v/>
      </c>
      <c r="I1167" s="4">
        <f>IF(H1167="","",G1167&amp;"|"&amp;H1167)</f>
        <v/>
      </c>
      <c r="J1167" s="4" t="inlineStr">
        <is>
          <t>https://www.google.com/maps/search/?api=1&amp;query=Comdado%20Bar%20e%20Jogos&amp;query_place_id=ChIJpzB8zc2XpgARoJTUu90J6Pw</t>
        </is>
      </c>
      <c r="K1167" s="4" t="inlineStr">
        <is>
          <t>Av. Amazonas, 2310 - Santo Agostinho, Belo Horizonte - MG, 30180-012, Brasil</t>
        </is>
      </c>
      <c r="L1167" s="4" t="inlineStr">
        <is>
          <t>Belo Horizonte</t>
        </is>
      </c>
      <c r="M1167" s="5" t="n">
        <v>12</v>
      </c>
    </row>
    <row r="1168">
      <c r="A1168" s="3">
        <f>RAND()</f>
        <v/>
      </c>
      <c r="B1168" s="4" t="inlineStr">
        <is>
          <t>ChIJbUrly6CZpgARus1v7UATQH8</t>
        </is>
      </c>
      <c r="C1168" s="4" t="inlineStr">
        <is>
          <t>DayTrade Magic</t>
        </is>
      </c>
      <c r="D1168" s="4" t="inlineStr">
        <is>
          <t>Belo Horizonte</t>
        </is>
      </c>
      <c r="E1168" s="4" t="inlineStr">
        <is>
          <t>MG</t>
        </is>
      </c>
      <c r="F1168" s="4" t="inlineStr">
        <is>
          <t>Metrópoles</t>
        </is>
      </c>
      <c r="G1168" s="4" t="inlineStr">
        <is>
          <t>Metrópole</t>
        </is>
      </c>
      <c r="H1168" s="5">
        <f>IF(G1168="fora do recorte","",SUMPRODUCT(($G$3:$G$1723=G1168)*($A$3:$A$1723&lt;=A1168)))</f>
        <v/>
      </c>
      <c r="I1168" s="4">
        <f>IF(H1168="","",G1168&amp;"|"&amp;H1168)</f>
        <v/>
      </c>
      <c r="J1168" s="4" t="inlineStr">
        <is>
          <t>https://www.google.com/maps/search/?api=1&amp;query=DayTrade%20Magic&amp;query_place_id=ChIJbUrly6CZpgARus1v7UATQH8</t>
        </is>
      </c>
      <c r="K1168" s="4" t="inlineStr">
        <is>
          <t>Av. Prudente de Morais, 621 - Lj 10 - Santo Antônio, Belo Horizonte - MG, 30350-143, Brasil</t>
        </is>
      </c>
      <c r="L1168" s="4" t="inlineStr">
        <is>
          <t>Belo Horizonte</t>
        </is>
      </c>
      <c r="M1168" s="5" t="n">
        <v>2</v>
      </c>
    </row>
    <row r="1169">
      <c r="A1169" s="3">
        <f>RAND()</f>
        <v/>
      </c>
      <c r="B1169" s="4" t="inlineStr">
        <is>
          <t>ChIJccry2YO9pgARysaQPaSV1JI</t>
        </is>
      </c>
      <c r="C1169" s="4" t="inlineStr">
        <is>
          <t>Dimensão Alternativa</t>
        </is>
      </c>
      <c r="D1169" s="4" t="inlineStr">
        <is>
          <t>Belo Horizonte</t>
        </is>
      </c>
      <c r="E1169" s="4" t="inlineStr">
        <is>
          <t>MG</t>
        </is>
      </c>
      <c r="F1169" s="4" t="inlineStr">
        <is>
          <t>Metrópoles</t>
        </is>
      </c>
      <c r="G1169" s="4" t="inlineStr">
        <is>
          <t>Metrópole</t>
        </is>
      </c>
      <c r="H1169" s="5">
        <f>IF(G1169="fora do recorte","",SUMPRODUCT(($G$3:$G$1723=G1169)*($A$3:$A$1723&lt;=A1169)))</f>
        <v/>
      </c>
      <c r="I1169" s="4">
        <f>IF(H1169="","",G1169&amp;"|"&amp;H1169)</f>
        <v/>
      </c>
      <c r="J1169" s="4" t="inlineStr">
        <is>
          <t>https://www.google.com/maps/search/?api=1&amp;query=Dimens%C3%A3o%20Alternativa&amp;query_place_id=ChIJccry2YO9pgARysaQPaSV1JI</t>
        </is>
      </c>
      <c r="K1169" s="4" t="inlineStr">
        <is>
          <t>R. Aurora, 11 - Miramar (Barreiro), Belo Horizonte - MG, 30644-080, Brasil</t>
        </is>
      </c>
      <c r="L1169" s="4" t="inlineStr">
        <is>
          <t>Belo Horizonte</t>
        </is>
      </c>
      <c r="M1169" s="5" t="n">
        <v>4</v>
      </c>
    </row>
    <row r="1170">
      <c r="A1170" s="3">
        <f>RAND()</f>
        <v/>
      </c>
      <c r="B1170" s="4" t="inlineStr">
        <is>
          <t>ChIJAVe-obmWpgARQx8-GQoKutU</t>
        </is>
      </c>
      <c r="C1170" s="4" t="inlineStr">
        <is>
          <t>Elite Games BH</t>
        </is>
      </c>
      <c r="D1170" s="4" t="inlineStr">
        <is>
          <t>Belo Horizonte</t>
        </is>
      </c>
      <c r="E1170" s="4" t="inlineStr">
        <is>
          <t>MG</t>
        </is>
      </c>
      <c r="F1170" s="4" t="inlineStr">
        <is>
          <t>Metrópoles</t>
        </is>
      </c>
      <c r="G1170" s="4" t="inlineStr">
        <is>
          <t>Metrópole</t>
        </is>
      </c>
      <c r="H1170" s="5">
        <f>IF(G1170="fora do recorte","",SUMPRODUCT(($G$3:$G$1723=G1170)*($A$3:$A$1723&lt;=A1170)))</f>
        <v/>
      </c>
      <c r="I1170" s="4">
        <f>IF(H1170="","",G1170&amp;"|"&amp;H1170)</f>
        <v/>
      </c>
      <c r="J1170" s="4" t="inlineStr">
        <is>
          <t>https://www.google.com/maps/search/?api=1&amp;query=Elite%20Games%20BH&amp;query_place_id=ChIJAVe-obmWpgARQx8-GQoKutU</t>
        </is>
      </c>
      <c r="K1170" s="4" t="inlineStr">
        <is>
          <t>Shopping Xingu - Av. Abílio Machado, 1664 - Box 97/98 - Alípio de Melo, Belo Horizonte - MG, 30830-000, Brasil</t>
        </is>
      </c>
      <c r="L1170" s="4" t="inlineStr">
        <is>
          <t>Belo Horizonte</t>
        </is>
      </c>
      <c r="M1170" s="5" t="n">
        <v>1</v>
      </c>
    </row>
    <row r="1171">
      <c r="A1171" s="3">
        <f>RAND()</f>
        <v/>
      </c>
      <c r="B1171" s="4" t="inlineStr">
        <is>
          <t>ChIJFRVdVIyXpgARbXnj-5lyzQU</t>
        </is>
      </c>
      <c r="C1171" s="4" t="inlineStr">
        <is>
          <t>Espaço Infantil Novo Mundo</t>
        </is>
      </c>
      <c r="D1171" s="4" t="inlineStr">
        <is>
          <t>Belo Horizonte</t>
        </is>
      </c>
      <c r="E1171" s="4" t="inlineStr">
        <is>
          <t>MG</t>
        </is>
      </c>
      <c r="F1171" s="4" t="inlineStr">
        <is>
          <t>Metrópoles</t>
        </is>
      </c>
      <c r="G1171" s="4" t="inlineStr">
        <is>
          <t>Metrópole</t>
        </is>
      </c>
      <c r="H1171" s="5">
        <f>IF(G1171="fora do recorte","",SUMPRODUCT(($G$3:$G$1723=G1171)*($A$3:$A$1723&lt;=A1171)))</f>
        <v/>
      </c>
      <c r="I1171" s="4">
        <f>IF(H1171="","",G1171&amp;"|"&amp;H1171)</f>
        <v/>
      </c>
      <c r="J1171" s="4" t="inlineStr">
        <is>
          <t>https://www.google.com/maps/search/?api=1&amp;query=Espa%C3%A7o%20Infantil%20Novo%20Mundo&amp;query_place_id=ChIJFRVdVIyXpgARbXnj-5lyzQU</t>
        </is>
      </c>
      <c r="K1171" s="4" t="inlineStr">
        <is>
          <t>Av. Guaratan, 1699 - Calafate, Belo Horizonte - MG, 30411-516, Brasil</t>
        </is>
      </c>
      <c r="L1171" s="4" t="inlineStr">
        <is>
          <t>Belo Horizonte</t>
        </is>
      </c>
      <c r="M1171" s="5" t="n">
        <v>1</v>
      </c>
    </row>
    <row r="1172">
      <c r="A1172" s="3">
        <f>RAND()</f>
        <v/>
      </c>
      <c r="B1172" s="4" t="inlineStr">
        <is>
          <t>ChIJZWDb5Z6RpgAR0_0FUine3uw</t>
        </is>
      </c>
      <c r="C1172" s="4" t="inlineStr">
        <is>
          <t>Espaço kids Castelo - Cervejaria Charada</t>
        </is>
      </c>
      <c r="D1172" s="4" t="inlineStr">
        <is>
          <t>Belo Horizonte</t>
        </is>
      </c>
      <c r="E1172" s="4" t="inlineStr">
        <is>
          <t>MG</t>
        </is>
      </c>
      <c r="F1172" s="4" t="inlineStr">
        <is>
          <t>Metrópoles</t>
        </is>
      </c>
      <c r="G1172" s="4" t="inlineStr">
        <is>
          <t>Metrópole</t>
        </is>
      </c>
      <c r="H1172" s="5">
        <f>IF(G1172="fora do recorte","",SUMPRODUCT(($G$3:$G$1723=G1172)*($A$3:$A$1723&lt;=A1172)))</f>
        <v/>
      </c>
      <c r="I1172" s="4">
        <f>IF(H1172="","",G1172&amp;"|"&amp;H1172)</f>
        <v/>
      </c>
      <c r="J1172" s="4" t="inlineStr">
        <is>
          <t>https://www.google.com/maps/search/?api=1&amp;query=Espa%C3%A7o%20kids%20Castelo%20-%20Cervejaria%20Charada&amp;query_place_id=ChIJZWDb5Z6RpgAR0_0FUine3uw</t>
        </is>
      </c>
      <c r="K1172" s="4" t="inlineStr">
        <is>
          <t>Av. Pres. Tancredo Neves, 3867 - Castelo, Belo Horizonte - MG, 31330-430, Brasil</t>
        </is>
      </c>
      <c r="L1172" s="4" t="inlineStr">
        <is>
          <t>Belo Horizonte</t>
        </is>
      </c>
      <c r="M1172" s="5" t="n">
        <v>1</v>
      </c>
    </row>
    <row r="1173">
      <c r="A1173" s="3">
        <f>RAND()</f>
        <v/>
      </c>
      <c r="B1173" s="4" t="inlineStr">
        <is>
          <t>ChIJcX0lfMqZpgARuKbpRaIZPtI</t>
        </is>
      </c>
      <c r="C1173" s="4" t="inlineStr">
        <is>
          <t>GOAT Gaming Center - Savassi</t>
        </is>
      </c>
      <c r="D1173" s="4" t="inlineStr">
        <is>
          <t>Belo Horizonte</t>
        </is>
      </c>
      <c r="E1173" s="4" t="inlineStr">
        <is>
          <t>MG</t>
        </is>
      </c>
      <c r="F1173" s="4" t="inlineStr">
        <is>
          <t>Metrópoles</t>
        </is>
      </c>
      <c r="G1173" s="4" t="inlineStr">
        <is>
          <t>Metrópole</t>
        </is>
      </c>
      <c r="H1173" s="5">
        <f>IF(G1173="fora do recorte","",SUMPRODUCT(($G$3:$G$1723=G1173)*($A$3:$A$1723&lt;=A1173)))</f>
        <v/>
      </c>
      <c r="I1173" s="4">
        <f>IF(H1173="","",G1173&amp;"|"&amp;H1173)</f>
        <v/>
      </c>
      <c r="J1173" s="4" t="inlineStr">
        <is>
          <t>https://www.google.com/maps/search/?api=1&amp;query=GOAT%20Gaming%20Center%20-%20Savassi&amp;query_place_id=ChIJcX0lfMqZpgARuKbpRaIZPtI</t>
        </is>
      </c>
      <c r="K1173" s="4" t="inlineStr">
        <is>
          <t>R. Tomé de Souza, 810 - Savassi, Belo Horizonte - MG, 30140-131, Brasil</t>
        </is>
      </c>
      <c r="L1173" s="4" t="inlineStr">
        <is>
          <t>Belo Horizonte</t>
        </is>
      </c>
      <c r="M1173" s="5" t="n">
        <v>1</v>
      </c>
    </row>
    <row r="1174">
      <c r="A1174" s="3">
        <f>RAND()</f>
        <v/>
      </c>
      <c r="B1174" s="4" t="inlineStr">
        <is>
          <t>ChIJw_XYxmaZpgARvqB0k8rFBs8</t>
        </is>
      </c>
      <c r="C1174" s="4" t="inlineStr">
        <is>
          <t>Game X</t>
        </is>
      </c>
      <c r="D1174" s="4" t="inlineStr">
        <is>
          <t>Belo Horizonte</t>
        </is>
      </c>
      <c r="E1174" s="4" t="inlineStr">
        <is>
          <t>MG</t>
        </is>
      </c>
      <c r="F1174" s="4" t="inlineStr">
        <is>
          <t>Metrópoles</t>
        </is>
      </c>
      <c r="G1174" s="4" t="inlineStr">
        <is>
          <t>Metrópole</t>
        </is>
      </c>
      <c r="H1174" s="5">
        <f>IF(G1174="fora do recorte","",SUMPRODUCT(($G$3:$G$1723=G1174)*($A$3:$A$1723&lt;=A1174)))</f>
        <v/>
      </c>
      <c r="I1174" s="4">
        <f>IF(H1174="","",G1174&amp;"|"&amp;H1174)</f>
        <v/>
      </c>
      <c r="J1174" s="4" t="inlineStr">
        <is>
          <t>https://www.google.com/maps/search/?api=1&amp;query=Game%20X&amp;query_place_id=ChIJw_XYxmaZpgARvqB0k8rFBs8</t>
        </is>
      </c>
      <c r="K1174" s="4" t="inlineStr">
        <is>
          <t>Av. Augusto de Lima, 479 - Sl 1511 - Centro, Belo Horizonte - MG, 30190-000, Brasil</t>
        </is>
      </c>
      <c r="L1174" s="4" t="inlineStr">
        <is>
          <t>Belo Horizonte</t>
        </is>
      </c>
      <c r="M1174" s="5" t="n">
        <v>1</v>
      </c>
    </row>
    <row r="1175">
      <c r="A1175" s="3">
        <f>RAND()</f>
        <v/>
      </c>
      <c r="B1175" s="4" t="inlineStr">
        <is>
          <t>ChIJsUAT-dObpgARCT2C5QpnVKU</t>
        </is>
      </c>
      <c r="C1175" s="4" t="inlineStr">
        <is>
          <t>Garagem do Nerd</t>
        </is>
      </c>
      <c r="D1175" s="4" t="inlineStr">
        <is>
          <t>Belo Horizonte</t>
        </is>
      </c>
      <c r="E1175" s="4" t="inlineStr">
        <is>
          <t>MG</t>
        </is>
      </c>
      <c r="F1175" s="4" t="inlineStr">
        <is>
          <t>Metrópoles</t>
        </is>
      </c>
      <c r="G1175" s="4" t="inlineStr">
        <is>
          <t>Metrópole</t>
        </is>
      </c>
      <c r="H1175" s="5">
        <f>IF(G1175="fora do recorte","",SUMPRODUCT(($G$3:$G$1723=G1175)*($A$3:$A$1723&lt;=A1175)))</f>
        <v/>
      </c>
      <c r="I1175" s="4">
        <f>IF(H1175="","",G1175&amp;"|"&amp;H1175)</f>
        <v/>
      </c>
      <c r="J1175" s="4" t="inlineStr">
        <is>
          <t>https://www.google.com/maps/search/?api=1&amp;query=Garagem%20do%20Nerd&amp;query_place_id=ChIJsUAT-dObpgARCT2C5QpnVKU</t>
        </is>
      </c>
      <c r="K1175" s="4" t="inlineStr">
        <is>
          <t>R. Padre Júlio Maria, 93 - Vera Cruz, Belo Horizonte - MG, 30285-360, Brasil</t>
        </is>
      </c>
      <c r="L1175" s="4" t="inlineStr">
        <is>
          <t>Belo Horizonte</t>
        </is>
      </c>
      <c r="M1175" s="5" t="n">
        <v>11</v>
      </c>
    </row>
    <row r="1176">
      <c r="A1176" s="3">
        <f>RAND()</f>
        <v/>
      </c>
      <c r="B1176" s="4" t="inlineStr">
        <is>
          <t>ChIJT0SWTE6RpgARR_MPTjPyxTk</t>
        </is>
      </c>
      <c r="C1176" s="4" t="inlineStr">
        <is>
          <t>Hango jogos</t>
        </is>
      </c>
      <c r="D1176" s="4" t="inlineStr">
        <is>
          <t>Belo Horizonte</t>
        </is>
      </c>
      <c r="E1176" s="4" t="inlineStr">
        <is>
          <t>MG</t>
        </is>
      </c>
      <c r="F1176" s="4" t="inlineStr">
        <is>
          <t>Metrópoles</t>
        </is>
      </c>
      <c r="G1176" s="4" t="inlineStr">
        <is>
          <t>Metrópole</t>
        </is>
      </c>
      <c r="H1176" s="5">
        <f>IF(G1176="fora do recorte","",SUMPRODUCT(($G$3:$G$1723=G1176)*($A$3:$A$1723&lt;=A1176)))</f>
        <v/>
      </c>
      <c r="I1176" s="4">
        <f>IF(H1176="","",G1176&amp;"|"&amp;H1176)</f>
        <v/>
      </c>
      <c r="J1176" s="4" t="inlineStr">
        <is>
          <t>https://www.google.com/maps/search/?api=1&amp;query=Hango%20jogos&amp;query_place_id=ChIJT0SWTE6RpgARR_MPTjPyxTk</t>
        </is>
      </c>
      <c r="K1176" s="4" t="inlineStr">
        <is>
          <t>R. Cerqueira Leite, 18 - Universitário, Belo Horizonte - MG, 31255-440, Brasil</t>
        </is>
      </c>
      <c r="L1176" s="4" t="inlineStr">
        <is>
          <t>Belo Horizonte</t>
        </is>
      </c>
      <c r="M1176" s="5" t="n">
        <v>5</v>
      </c>
    </row>
    <row r="1177">
      <c r="A1177" s="3">
        <f>RAND()</f>
        <v/>
      </c>
      <c r="B1177" s="4" t="inlineStr">
        <is>
          <t>ChIJ03bxSvSXpgARB1Fujm1ryEA</t>
        </is>
      </c>
      <c r="C1177" s="4" t="inlineStr">
        <is>
          <t>JogArtClub • Comes &amp; Jogas</t>
        </is>
      </c>
      <c r="D1177" s="4" t="inlineStr">
        <is>
          <t>Belo Horizonte</t>
        </is>
      </c>
      <c r="E1177" s="4" t="inlineStr">
        <is>
          <t>MG</t>
        </is>
      </c>
      <c r="F1177" s="4" t="inlineStr">
        <is>
          <t>Metrópoles</t>
        </is>
      </c>
      <c r="G1177" s="4" t="inlineStr">
        <is>
          <t>Metrópole</t>
        </is>
      </c>
      <c r="H1177" s="5">
        <f>IF(G1177="fora do recorte","",SUMPRODUCT(($G$3:$G$1723=G1177)*($A$3:$A$1723&lt;=A1177)))</f>
        <v/>
      </c>
      <c r="I1177" s="4">
        <f>IF(H1177="","",G1177&amp;"|"&amp;H1177)</f>
        <v/>
      </c>
      <c r="J1177" s="4" t="inlineStr">
        <is>
          <t>https://www.google.com/maps/search/?api=1&amp;query=JogArtClub%20%E2%80%A2%20Comes%20%26%20Jogas&amp;query_place_id=ChIJ03bxSvSXpgARB1Fujm1ryEA</t>
        </is>
      </c>
      <c r="K1177" s="4" t="inlineStr">
        <is>
          <t>R. Nadir, 450 - Caiçara-Adelaide, Belo Horizonte - MG, 30770-420, Brasil</t>
        </is>
      </c>
      <c r="L1177" s="4" t="inlineStr">
        <is>
          <t>Belo Horizonte</t>
        </is>
      </c>
      <c r="M1177" s="5" t="n">
        <v>7</v>
      </c>
    </row>
    <row r="1178">
      <c r="A1178" s="3">
        <f>RAND()</f>
        <v/>
      </c>
      <c r="B1178" s="4" t="inlineStr">
        <is>
          <t>ChIJPUgkC_KXpgARgDePGmyys7o</t>
        </is>
      </c>
      <c r="C1178" s="4" t="inlineStr">
        <is>
          <t>Kairós Ludo - Aluguel de jogos de tabuleiro em BH</t>
        </is>
      </c>
      <c r="D1178" s="4" t="inlineStr">
        <is>
          <t>Belo Horizonte</t>
        </is>
      </c>
      <c r="E1178" s="4" t="inlineStr">
        <is>
          <t>MG</t>
        </is>
      </c>
      <c r="F1178" s="4" t="inlineStr">
        <is>
          <t>Metrópoles</t>
        </is>
      </c>
      <c r="G1178" s="4" t="inlineStr">
        <is>
          <t>Metrópole</t>
        </is>
      </c>
      <c r="H1178" s="5">
        <f>IF(G1178="fora do recorte","",SUMPRODUCT(($G$3:$G$1723=G1178)*($A$3:$A$1723&lt;=A1178)))</f>
        <v/>
      </c>
      <c r="I1178" s="4">
        <f>IF(H1178="","",G1178&amp;"|"&amp;H1178)</f>
        <v/>
      </c>
      <c r="J1178" s="4" t="inlineStr">
        <is>
          <t>https://www.google.com/maps/search/?api=1&amp;query=Kair%C3%B3s%20Ludo%20-%20Aluguel%20de%20jogos%20de%20tabuleiro%20em%20BH&amp;query_place_id=ChIJPUgkC_KXpgARgDePGmyys7o</t>
        </is>
      </c>
      <c r="K1178" s="4" t="inlineStr">
        <is>
          <t>Rua Platano, 121 - Marajó, Belo Horizonte - MG, 30570-160, Brasil</t>
        </is>
      </c>
      <c r="L1178" s="4" t="inlineStr">
        <is>
          <t>Belo Horizonte</t>
        </is>
      </c>
      <c r="M1178" s="5" t="n">
        <v>3</v>
      </c>
    </row>
    <row r="1179">
      <c r="A1179" s="3">
        <f>RAND()</f>
        <v/>
      </c>
      <c r="B1179" s="4" t="inlineStr">
        <is>
          <t>ChIJM0tqs8-ZpgARGlhNEPVUppw</t>
        </is>
      </c>
      <c r="C1179" s="4" t="inlineStr">
        <is>
          <t>Kinde Brinquedos | Mangabeiras</t>
        </is>
      </c>
      <c r="D1179" s="4" t="inlineStr">
        <is>
          <t>Belo Horizonte</t>
        </is>
      </c>
      <c r="E1179" s="4" t="inlineStr">
        <is>
          <t>MG</t>
        </is>
      </c>
      <c r="F1179" s="4" t="inlineStr">
        <is>
          <t>Metrópoles</t>
        </is>
      </c>
      <c r="G1179" s="4" t="inlineStr">
        <is>
          <t>Metrópole</t>
        </is>
      </c>
      <c r="H1179" s="5">
        <f>IF(G1179="fora do recorte","",SUMPRODUCT(($G$3:$G$1723=G1179)*($A$3:$A$1723&lt;=A1179)))</f>
        <v/>
      </c>
      <c r="I1179" s="4">
        <f>IF(H1179="","",G1179&amp;"|"&amp;H1179)</f>
        <v/>
      </c>
      <c r="J1179" s="4" t="inlineStr">
        <is>
          <t>https://www.google.com/maps/search/?api=1&amp;query=Kinde%20Brinquedos%20%7C%20Mangabeiras&amp;query_place_id=ChIJM0tqs8-ZpgARGlhNEPVUppw</t>
        </is>
      </c>
      <c r="K1179" s="4" t="inlineStr">
        <is>
          <t>Av. dos Bandeirantes, 506 - Mangabeiras, Belo Horizonte - MG, 30315-382, Brasil</t>
        </is>
      </c>
      <c r="L1179" s="4" t="inlineStr">
        <is>
          <t>Belo Horizonte</t>
        </is>
      </c>
      <c r="M1179" s="5" t="n">
        <v>2</v>
      </c>
    </row>
    <row r="1180">
      <c r="A1180" s="3">
        <f>RAND()</f>
        <v/>
      </c>
      <c r="B1180" s="4" t="inlineStr">
        <is>
          <t>ChIJ-17ZQDG9pgARc-AxpXmaNRU</t>
        </is>
      </c>
      <c r="C1180" s="4" t="inlineStr">
        <is>
          <t>La Tabuleria</t>
        </is>
      </c>
      <c r="D1180" s="4" t="inlineStr">
        <is>
          <t>Belo Horizonte</t>
        </is>
      </c>
      <c r="E1180" s="4" t="inlineStr">
        <is>
          <t>MG</t>
        </is>
      </c>
      <c r="F1180" s="4" t="inlineStr">
        <is>
          <t>Metrópoles</t>
        </is>
      </c>
      <c r="G1180" s="4" t="inlineStr">
        <is>
          <t>Metrópole</t>
        </is>
      </c>
      <c r="H1180" s="5">
        <f>IF(G1180="fora do recorte","",SUMPRODUCT(($G$3:$G$1723=G1180)*($A$3:$A$1723&lt;=A1180)))</f>
        <v/>
      </c>
      <c r="I1180" s="4">
        <f>IF(H1180="","",G1180&amp;"|"&amp;H1180)</f>
        <v/>
      </c>
      <c r="J1180" s="4" t="inlineStr">
        <is>
          <t>https://www.google.com/maps/search/?api=1&amp;query=La%20Tabuleria&amp;query_place_id=ChIJ-17ZQDG9pgARc-AxpXmaNRU</t>
        </is>
      </c>
      <c r="K1180" s="4" t="inlineStr">
        <is>
          <t>Av. Aggeo Pio Sobrinho, 414 - Buritis, Belo Horizonte - MG, 30575-834, Brasil</t>
        </is>
      </c>
      <c r="L1180" s="4" t="inlineStr">
        <is>
          <t>Belo Horizonte</t>
        </is>
      </c>
      <c r="M1180" s="5" t="n">
        <v>10</v>
      </c>
    </row>
    <row r="1181">
      <c r="A1181" s="3">
        <f>RAND()</f>
        <v/>
      </c>
      <c r="B1181" s="4" t="inlineStr">
        <is>
          <t>ChIJ5SH6_rOZpgARgv-J4IeBREE</t>
        </is>
      </c>
      <c r="C1181" s="4" t="inlineStr">
        <is>
          <t>Lab</t>
        </is>
      </c>
      <c r="D1181" s="4" t="inlineStr">
        <is>
          <t>Belo Horizonte</t>
        </is>
      </c>
      <c r="E1181" s="4" t="inlineStr">
        <is>
          <t>MG</t>
        </is>
      </c>
      <c r="F1181" s="4" t="inlineStr">
        <is>
          <t>Metrópoles</t>
        </is>
      </c>
      <c r="G1181" s="4" t="inlineStr">
        <is>
          <t>Metrópole</t>
        </is>
      </c>
      <c r="H1181" s="5">
        <f>IF(G1181="fora do recorte","",SUMPRODUCT(($G$3:$G$1723=G1181)*($A$3:$A$1723&lt;=A1181)))</f>
        <v/>
      </c>
      <c r="I1181" s="4">
        <f>IF(H1181="","",G1181&amp;"|"&amp;H1181)</f>
        <v/>
      </c>
      <c r="J1181" s="4" t="inlineStr">
        <is>
          <t>https://www.google.com/maps/search/?api=1&amp;query=Lab&amp;query_place_id=ChIJ5SH6_rOZpgARgv-J4IeBREE</t>
        </is>
      </c>
      <c r="K1181" s="4" t="inlineStr">
        <is>
          <t>Av. do Contorno, 6342 - Savassi, Belo Horizonte - MG, 30110-017, Brasil</t>
        </is>
      </c>
      <c r="L1181" s="4" t="inlineStr">
        <is>
          <t>Belo Horizonte</t>
        </is>
      </c>
      <c r="M1181" s="5" t="n">
        <v>1</v>
      </c>
    </row>
    <row r="1182">
      <c r="A1182" s="3">
        <f>RAND()</f>
        <v/>
      </c>
      <c r="B1182" s="4" t="inlineStr">
        <is>
          <t>ChIJG2bis6ubpgARjLEhwGk-mVw</t>
        </is>
      </c>
      <c r="C1182" s="4" t="inlineStr">
        <is>
          <t>Leilão Arena TCG</t>
        </is>
      </c>
      <c r="D1182" s="4" t="inlineStr">
        <is>
          <t>Belo Horizonte</t>
        </is>
      </c>
      <c r="E1182" s="4" t="inlineStr">
        <is>
          <t>MG</t>
        </is>
      </c>
      <c r="F1182" s="4" t="inlineStr">
        <is>
          <t>Metrópoles</t>
        </is>
      </c>
      <c r="G1182" s="4" t="inlineStr">
        <is>
          <t>Metrópole</t>
        </is>
      </c>
      <c r="H1182" s="5">
        <f>IF(G1182="fora do recorte","",SUMPRODUCT(($G$3:$G$1723=G1182)*($A$3:$A$1723&lt;=A1182)))</f>
        <v/>
      </c>
      <c r="I1182" s="4">
        <f>IF(H1182="","",G1182&amp;"|"&amp;H1182)</f>
        <v/>
      </c>
      <c r="J1182" s="4" t="inlineStr">
        <is>
          <t>https://www.google.com/maps/search/?api=1&amp;query=Leil%C3%A3o%20Arena%20TCG&amp;query_place_id=ChIJG2bis6ubpgARjLEhwGk-mVw</t>
        </is>
      </c>
      <c r="K1182" s="4" t="inlineStr">
        <is>
          <t>R. São Roque - Sagrada Família, Belo Horizonte - MG, 31035-460, Brasil</t>
        </is>
      </c>
      <c r="L1182" s="4" t="inlineStr">
        <is>
          <t>Belo Horizonte</t>
        </is>
      </c>
      <c r="M1182" s="5" t="n">
        <v>1</v>
      </c>
    </row>
    <row r="1183">
      <c r="A1183" s="3">
        <f>RAND()</f>
        <v/>
      </c>
      <c r="B1183" s="4" t="inlineStr">
        <is>
          <t>ChIJ58LFouOZpgAReibzuoi1XIk</t>
        </is>
      </c>
      <c r="C1183" s="4" t="inlineStr">
        <is>
          <t>Leitura Shopping Cidade</t>
        </is>
      </c>
      <c r="D1183" s="4" t="inlineStr">
        <is>
          <t>Belo Horizonte</t>
        </is>
      </c>
      <c r="E1183" s="4" t="inlineStr">
        <is>
          <t>MG</t>
        </is>
      </c>
      <c r="F1183" s="4" t="inlineStr">
        <is>
          <t>Metrópoles</t>
        </is>
      </c>
      <c r="G1183" s="4" t="inlineStr">
        <is>
          <t>Metrópole</t>
        </is>
      </c>
      <c r="H1183" s="5">
        <f>IF(G1183="fora do recorte","",SUMPRODUCT(($G$3:$G$1723=G1183)*($A$3:$A$1723&lt;=A1183)))</f>
        <v/>
      </c>
      <c r="I1183" s="4">
        <f>IF(H1183="","",G1183&amp;"|"&amp;H1183)</f>
        <v/>
      </c>
      <c r="J1183" s="4" t="inlineStr">
        <is>
          <t>https://www.google.com/maps/search/?api=1&amp;query=Leitura%20Shopping%20Cidade&amp;query_place_id=ChIJ58LFouOZpgAReibzuoi1XIk</t>
        </is>
      </c>
      <c r="K1183" s="4" t="inlineStr">
        <is>
          <t>Shopping Cidade Rua dos Tupis 337 GG01 - Centro, Belo Horizonte - MG, 30190-060, Brasil</t>
        </is>
      </c>
      <c r="L1183" s="4" t="inlineStr">
        <is>
          <t>Belo Horizonte</t>
        </is>
      </c>
      <c r="M1183" s="5" t="n">
        <v>3</v>
      </c>
    </row>
    <row r="1184">
      <c r="A1184" s="3">
        <f>RAND()</f>
        <v/>
      </c>
      <c r="B1184" s="4" t="inlineStr">
        <is>
          <t>ChIJS8UKmRubpgARAQYQ48_VuI8</t>
        </is>
      </c>
      <c r="C1184" s="4" t="inlineStr">
        <is>
          <t>Ludo 3D</t>
        </is>
      </c>
      <c r="D1184" s="4" t="inlineStr">
        <is>
          <t>Belo Horizonte</t>
        </is>
      </c>
      <c r="E1184" s="4" t="inlineStr">
        <is>
          <t>MG</t>
        </is>
      </c>
      <c r="F1184" s="4" t="inlineStr">
        <is>
          <t>Metrópoles</t>
        </is>
      </c>
      <c r="G1184" s="4" t="inlineStr">
        <is>
          <t>Metrópole</t>
        </is>
      </c>
      <c r="H1184" s="5">
        <f>IF(G1184="fora do recorte","",SUMPRODUCT(($G$3:$G$1723=G1184)*($A$3:$A$1723&lt;=A1184)))</f>
        <v/>
      </c>
      <c r="I1184" s="4">
        <f>IF(H1184="","",G1184&amp;"|"&amp;H1184)</f>
        <v/>
      </c>
      <c r="J1184" s="4" t="inlineStr">
        <is>
          <t>https://www.google.com/maps/search/?api=1&amp;query=Ludo%203D&amp;query_place_id=ChIJS8UKmRubpgARAQYQ48_VuI8</t>
        </is>
      </c>
      <c r="K1184" s="4" t="inlineStr">
        <is>
          <t>R. Herval, 481 - Serra, Belo Horizonte - MG, 30240-010, Brasil</t>
        </is>
      </c>
      <c r="L1184" s="4" t="inlineStr">
        <is>
          <t>Belo Horizonte</t>
        </is>
      </c>
      <c r="M1184" s="5" t="n">
        <v>1</v>
      </c>
    </row>
    <row r="1185">
      <c r="A1185" s="3">
        <f>RAND()</f>
        <v/>
      </c>
      <c r="B1185" s="4" t="inlineStr">
        <is>
          <t>ChIJx5jr3zGXpgARQGx9eX7TDmY</t>
        </is>
      </c>
      <c r="C1185" s="4" t="inlineStr">
        <is>
          <t>LudoCafé</t>
        </is>
      </c>
      <c r="D1185" s="4" t="inlineStr">
        <is>
          <t>Belo Horizonte</t>
        </is>
      </c>
      <c r="E1185" s="4" t="inlineStr">
        <is>
          <t>MG</t>
        </is>
      </c>
      <c r="F1185" s="4" t="inlineStr">
        <is>
          <t>Metrópoles</t>
        </is>
      </c>
      <c r="G1185" s="4" t="inlineStr">
        <is>
          <t>Metrópole</t>
        </is>
      </c>
      <c r="H1185" s="5">
        <f>IF(G1185="fora do recorte","",SUMPRODUCT(($G$3:$G$1723=G1185)*($A$3:$A$1723&lt;=A1185)))</f>
        <v/>
      </c>
      <c r="I1185" s="4">
        <f>IF(H1185="","",G1185&amp;"|"&amp;H1185)</f>
        <v/>
      </c>
      <c r="J1185" s="4" t="inlineStr">
        <is>
          <t>https://www.google.com/maps/search/?api=1&amp;query=LudoCaf%C3%A9&amp;query_place_id=ChIJx5jr3zGXpgARQGx9eX7TDmY</t>
        </is>
      </c>
      <c r="K1185" s="4" t="inlineStr">
        <is>
          <t>R. Antônio Dias, 201 - Santo Antônio, Belo Horizonte - MG, 30350-150, Brasil</t>
        </is>
      </c>
      <c r="L1185" s="4" t="inlineStr">
        <is>
          <t>Belo Horizonte; Recife</t>
        </is>
      </c>
      <c r="M1185" s="5" t="n">
        <v>12</v>
      </c>
    </row>
    <row r="1186">
      <c r="A1186" s="3">
        <f>RAND()</f>
        <v/>
      </c>
      <c r="B1186" s="4" t="inlineStr">
        <is>
          <t>ChIJW3LzC-OZpgARnd4gdGxlzeA</t>
        </is>
      </c>
      <c r="C1186" s="4" t="inlineStr">
        <is>
          <t>MK Games BH</t>
        </is>
      </c>
      <c r="D1186" s="4" t="inlineStr">
        <is>
          <t>Belo Horizonte</t>
        </is>
      </c>
      <c r="E1186" s="4" t="inlineStr">
        <is>
          <t>MG</t>
        </is>
      </c>
      <c r="F1186" s="4" t="inlineStr">
        <is>
          <t>Metrópoles</t>
        </is>
      </c>
      <c r="G1186" s="4" t="inlineStr">
        <is>
          <t>Metrópole</t>
        </is>
      </c>
      <c r="H1186" s="5">
        <f>IF(G1186="fora do recorte","",SUMPRODUCT(($G$3:$G$1723=G1186)*($A$3:$A$1723&lt;=A1186)))</f>
        <v/>
      </c>
      <c r="I1186" s="4">
        <f>IF(H1186="","",G1186&amp;"|"&amp;H1186)</f>
        <v/>
      </c>
      <c r="J1186" s="4" t="inlineStr">
        <is>
          <t>https://www.google.com/maps/search/?api=1&amp;query=MK%20Games%20BH&amp;query_place_id=ChIJW3LzC-OZpgARnd4gdGxlzeA</t>
        </is>
      </c>
      <c r="K1186" s="4" t="inlineStr">
        <is>
          <t>R. da Bahia, 1032 - Sl 606 - Centro, Belo Horizonte - MG, 30160-010, Brasil</t>
        </is>
      </c>
      <c r="L1186" s="4" t="inlineStr">
        <is>
          <t>Belo Horizonte</t>
        </is>
      </c>
      <c r="M1186" s="5" t="n">
        <v>3</v>
      </c>
    </row>
    <row r="1187">
      <c r="A1187" s="3">
        <f>RAND()</f>
        <v/>
      </c>
      <c r="B1187" s="4" t="inlineStr">
        <is>
          <t>ChIJBWgPzv6ZpgAR6hEFczprqRk</t>
        </is>
      </c>
      <c r="C1187" s="4" t="inlineStr">
        <is>
          <t>MUNDO DOS GAMES</t>
        </is>
      </c>
      <c r="D1187" s="4" t="inlineStr">
        <is>
          <t>Belo Horizonte</t>
        </is>
      </c>
      <c r="E1187" s="4" t="inlineStr">
        <is>
          <t>MG</t>
        </is>
      </c>
      <c r="F1187" s="4" t="inlineStr">
        <is>
          <t>Metrópoles</t>
        </is>
      </c>
      <c r="G1187" s="4" t="inlineStr">
        <is>
          <t>Metrópole</t>
        </is>
      </c>
      <c r="H1187" s="5">
        <f>IF(G1187="fora do recorte","",SUMPRODUCT(($G$3:$G$1723=G1187)*($A$3:$A$1723&lt;=A1187)))</f>
        <v/>
      </c>
      <c r="I1187" s="4">
        <f>IF(H1187="","",G1187&amp;"|"&amp;H1187)</f>
        <v/>
      </c>
      <c r="J1187" s="4" t="inlineStr">
        <is>
          <t>https://www.google.com/maps/search/?api=1&amp;query=MUNDO%20DOS%20GAMES&amp;query_place_id=ChIJBWgPzv6ZpgAR6hEFczprqRk</t>
        </is>
      </c>
      <c r="K1187" s="4" t="inlineStr">
        <is>
          <t>Avenida Oiapoque, 156 Portaria 2, box pi34/35 - Mundo dos Games - Centro, Belo Horizonte - MG, 30111-070, Brasil</t>
        </is>
      </c>
      <c r="L1187" s="4" t="inlineStr">
        <is>
          <t>Belo Horizonte</t>
        </is>
      </c>
      <c r="M1187" s="5" t="n">
        <v>2</v>
      </c>
    </row>
    <row r="1188">
      <c r="A1188" s="3">
        <f>RAND()</f>
        <v/>
      </c>
      <c r="B1188" s="4" t="inlineStr">
        <is>
          <t>ChIJodgIpnqXpgARiTbkZYfHB9o</t>
        </is>
      </c>
      <c r="C1188" s="4" t="inlineStr">
        <is>
          <t>Mesa de jogos de tabuleiro</t>
        </is>
      </c>
      <c r="D1188" s="4" t="inlineStr">
        <is>
          <t>Belo Horizonte</t>
        </is>
      </c>
      <c r="E1188" s="4" t="inlineStr">
        <is>
          <t>MG</t>
        </is>
      </c>
      <c r="F1188" s="4" t="inlineStr">
        <is>
          <t>Metrópoles</t>
        </is>
      </c>
      <c r="G1188" s="4" t="inlineStr">
        <is>
          <t>Metrópole</t>
        </is>
      </c>
      <c r="H1188" s="5">
        <f>IF(G1188="fora do recorte","",SUMPRODUCT(($G$3:$G$1723=G1188)*($A$3:$A$1723&lt;=A1188)))</f>
        <v/>
      </c>
      <c r="I1188" s="4">
        <f>IF(H1188="","",G1188&amp;"|"&amp;H1188)</f>
        <v/>
      </c>
      <c r="J1188" s="4" t="inlineStr">
        <is>
          <t>https://www.google.com/maps/search/?api=1&amp;query=Mesa%20de%20jogos%20de%20tabuleiro&amp;query_place_id=ChIJodgIpnqXpgARiTbkZYfHB9o</t>
        </is>
      </c>
      <c r="K1188" s="4" t="inlineStr">
        <is>
          <t>Rua Dr. Juvenal dos Santos, 149 - Luxemburgo, Belo Horizonte - MG, 30380-530, Brasil</t>
        </is>
      </c>
      <c r="L1188" s="4" t="inlineStr">
        <is>
          <t>Belo Horizonte</t>
        </is>
      </c>
      <c r="M1188" s="5" t="n">
        <v>2</v>
      </c>
    </row>
    <row r="1189">
      <c r="A1189" s="3">
        <f>RAND()</f>
        <v/>
      </c>
      <c r="B1189" s="4" t="inlineStr">
        <is>
          <t>ChIJy51zYEeZpgAR-ST-UpK6GA4</t>
        </is>
      </c>
      <c r="C1189" s="4" t="inlineStr">
        <is>
          <t>Mito Bar BH - Balada, bar e drinks</t>
        </is>
      </c>
      <c r="D1189" s="4" t="inlineStr">
        <is>
          <t>Belo Horizonte</t>
        </is>
      </c>
      <c r="E1189" s="4" t="inlineStr">
        <is>
          <t>MG</t>
        </is>
      </c>
      <c r="F1189" s="4" t="inlineStr">
        <is>
          <t>Metrópoles</t>
        </is>
      </c>
      <c r="G1189" s="4" t="inlineStr">
        <is>
          <t>Metrópole</t>
        </is>
      </c>
      <c r="H1189" s="5">
        <f>IF(G1189="fora do recorte","",SUMPRODUCT(($G$3:$G$1723=G1189)*($A$3:$A$1723&lt;=A1189)))</f>
        <v/>
      </c>
      <c r="I1189" s="4">
        <f>IF(H1189="","",G1189&amp;"|"&amp;H1189)</f>
        <v/>
      </c>
      <c r="J1189" s="4" t="inlineStr">
        <is>
          <t>https://www.google.com/maps/search/?api=1&amp;query=Mito%20Bar%20BH%20-%20Balada%2C%20bar%20e%20drinks&amp;query_place_id=ChIJy51zYEeZpgAR-ST-UpK6GA4</t>
        </is>
      </c>
      <c r="K1189" s="4" t="inlineStr">
        <is>
          <t>Rua Pium-Í, 672 - Cruzeiro, Belo Horizonte - MG, 30310-080, Brasil</t>
        </is>
      </c>
      <c r="L1189" s="4" t="inlineStr">
        <is>
          <t>Belo Horizonte</t>
        </is>
      </c>
      <c r="M1189" s="5" t="n">
        <v>1</v>
      </c>
    </row>
    <row r="1190">
      <c r="A1190" s="3">
        <f>RAND()</f>
        <v/>
      </c>
      <c r="B1190" s="4" t="inlineStr">
        <is>
          <t>ChIJXRMT-d-ZpgARapyUC5yN3m0</t>
        </is>
      </c>
      <c r="C1190" s="4" t="inlineStr">
        <is>
          <t>Montê Bar - Restaurante</t>
        </is>
      </c>
      <c r="D1190" s="4" t="inlineStr">
        <is>
          <t>Belo Horizonte</t>
        </is>
      </c>
      <c r="E1190" s="4" t="inlineStr">
        <is>
          <t>MG</t>
        </is>
      </c>
      <c r="F1190" s="4" t="inlineStr">
        <is>
          <t>Metrópoles</t>
        </is>
      </c>
      <c r="G1190" s="4" t="inlineStr">
        <is>
          <t>Metrópole</t>
        </is>
      </c>
      <c r="H1190" s="5">
        <f>IF(G1190="fora do recorte","",SUMPRODUCT(($G$3:$G$1723=G1190)*($A$3:$A$1723&lt;=A1190)))</f>
        <v/>
      </c>
      <c r="I1190" s="4">
        <f>IF(H1190="","",G1190&amp;"|"&amp;H1190)</f>
        <v/>
      </c>
      <c r="J1190" s="4" t="inlineStr">
        <is>
          <t>https://www.google.com/maps/search/?api=1&amp;query=Mont%C3%AA%20Bar%20-%20Restaurante&amp;query_place_id=ChIJXRMT-d-ZpgARapyUC5yN3m0</t>
        </is>
      </c>
      <c r="K1190" s="4" t="inlineStr">
        <is>
          <t>Praça Rui Barbosa, 104 - Centro, Belo Horizonte - MG, 30160-000, Brasil</t>
        </is>
      </c>
      <c r="L1190" s="4" t="inlineStr">
        <is>
          <t>Belo Horizonte</t>
        </is>
      </c>
      <c r="M1190" s="5" t="n">
        <v>1</v>
      </c>
    </row>
    <row r="1191">
      <c r="A1191" s="3">
        <f>RAND()</f>
        <v/>
      </c>
      <c r="B1191" s="4" t="inlineStr">
        <is>
          <t>ChIJM_zceu-XpgARkfDo0DCceHA</t>
        </is>
      </c>
      <c r="C1191" s="4" t="inlineStr">
        <is>
          <t>Night Market Rooftop</t>
        </is>
      </c>
      <c r="D1191" s="4" t="inlineStr">
        <is>
          <t>Belo Horizonte</t>
        </is>
      </c>
      <c r="E1191" s="4" t="inlineStr">
        <is>
          <t>MG</t>
        </is>
      </c>
      <c r="F1191" s="4" t="inlineStr">
        <is>
          <t>Metrópoles</t>
        </is>
      </c>
      <c r="G1191" s="4" t="inlineStr">
        <is>
          <t>Metrópole</t>
        </is>
      </c>
      <c r="H1191" s="5">
        <f>IF(G1191="fora do recorte","",SUMPRODUCT(($G$3:$G$1723=G1191)*($A$3:$A$1723&lt;=A1191)))</f>
        <v/>
      </c>
      <c r="I1191" s="4">
        <f>IF(H1191="","",G1191&amp;"|"&amp;H1191)</f>
        <v/>
      </c>
      <c r="J1191" s="4" t="inlineStr">
        <is>
          <t>https://www.google.com/maps/search/?api=1&amp;query=Night%20Market%20Rooftop&amp;query_place_id=ChIJM_zceu-XpgARkfDo0DCceHA</t>
        </is>
      </c>
      <c r="K1191" s="4" t="inlineStr">
        <is>
          <t>R. Wilson Rocha Lima, 137 - Estoril, Belo Horizonte - MG, 30494-460, Brasil</t>
        </is>
      </c>
      <c r="L1191" s="4" t="inlineStr">
        <is>
          <t>Belo Horizonte</t>
        </is>
      </c>
      <c r="M1191" s="5" t="n">
        <v>1</v>
      </c>
    </row>
    <row r="1192">
      <c r="A1192" s="3">
        <f>RAND()</f>
        <v/>
      </c>
      <c r="B1192" s="4" t="inlineStr">
        <is>
          <t>ChIJ2bVpVxSZpgARJ6TLzxDckaQ</t>
        </is>
      </c>
      <c r="C1192" s="4" t="inlineStr">
        <is>
          <t>No Alto</t>
        </is>
      </c>
      <c r="D1192" s="4" t="inlineStr">
        <is>
          <t>Belo Horizonte</t>
        </is>
      </c>
      <c r="E1192" s="4" t="inlineStr">
        <is>
          <t>MG</t>
        </is>
      </c>
      <c r="F1192" s="4" t="inlineStr">
        <is>
          <t>Metrópoles</t>
        </is>
      </c>
      <c r="G1192" s="4" t="inlineStr">
        <is>
          <t>Metrópole</t>
        </is>
      </c>
      <c r="H1192" s="5">
        <f>IF(G1192="fora do recorte","",SUMPRODUCT(($G$3:$G$1723=G1192)*($A$3:$A$1723&lt;=A1192)))</f>
        <v/>
      </c>
      <c r="I1192" s="4">
        <f>IF(H1192="","",G1192&amp;"|"&amp;H1192)</f>
        <v/>
      </c>
      <c r="J1192" s="4" t="inlineStr">
        <is>
          <t>https://www.google.com/maps/search/?api=1&amp;query=No%20Alto&amp;query_place_id=ChIJ2bVpVxSZpgARJ6TLzxDckaQ</t>
        </is>
      </c>
      <c r="K1192" s="4" t="inlineStr">
        <is>
          <t>R. dos Tamóios, 200 - 24º andar - Centro, Belo Horizonte - MG, 30120-050, Brasil</t>
        </is>
      </c>
      <c r="L1192" s="4" t="inlineStr">
        <is>
          <t>Belo Horizonte</t>
        </is>
      </c>
      <c r="M1192" s="5" t="n">
        <v>1</v>
      </c>
    </row>
    <row r="1193">
      <c r="A1193" s="3">
        <f>RAND()</f>
        <v/>
      </c>
      <c r="B1193" s="4" t="inlineStr">
        <is>
          <t>ChIJCVsmhT6XpgARdaE5zOOuAWU</t>
        </is>
      </c>
      <c r="C1193" s="4" t="inlineStr">
        <is>
          <t>Oficina do Playtest BH</t>
        </is>
      </c>
      <c r="D1193" s="4" t="inlineStr">
        <is>
          <t>Belo Horizonte</t>
        </is>
      </c>
      <c r="E1193" s="4" t="inlineStr">
        <is>
          <t>MG</t>
        </is>
      </c>
      <c r="F1193" s="4" t="inlineStr">
        <is>
          <t>Metrópoles</t>
        </is>
      </c>
      <c r="G1193" s="4" t="inlineStr">
        <is>
          <t>Metrópole</t>
        </is>
      </c>
      <c r="H1193" s="5">
        <f>IF(G1193="fora do recorte","",SUMPRODUCT(($G$3:$G$1723=G1193)*($A$3:$A$1723&lt;=A1193)))</f>
        <v/>
      </c>
      <c r="I1193" s="4">
        <f>IF(H1193="","",G1193&amp;"|"&amp;H1193)</f>
        <v/>
      </c>
      <c r="J1193" s="4" t="inlineStr">
        <is>
          <t>https://www.google.com/maps/search/?api=1&amp;query=Oficina%20do%20Playtest%20BH&amp;query_place_id=ChIJCVsmhT6XpgARdaE5zOOuAWU</t>
        </is>
      </c>
      <c r="K1193" s="4" t="inlineStr">
        <is>
          <t>Av. Amazonas, 2310 - Barro Preto, Belo Horizonte - MG, 30180-012, Brasil</t>
        </is>
      </c>
      <c r="L1193" s="4" t="inlineStr">
        <is>
          <t>Belo Horizonte</t>
        </is>
      </c>
      <c r="M1193" s="5" t="n">
        <v>1</v>
      </c>
    </row>
    <row r="1194">
      <c r="A1194" s="3">
        <f>RAND()</f>
        <v/>
      </c>
      <c r="B1194" s="4" t="inlineStr">
        <is>
          <t>ChIJm3lMHrVq7CoRrFLoe_3wu8Q</t>
        </is>
      </c>
      <c r="C1194" s="4" t="inlineStr">
        <is>
          <t>Parque Caracol - Diversão segura e monitorada para crianças - Aniversários - Colônia de Férias</t>
        </is>
      </c>
      <c r="D1194" s="4" t="inlineStr">
        <is>
          <t>Belo Horizonte</t>
        </is>
      </c>
      <c r="E1194" s="4" t="inlineStr">
        <is>
          <t>MG</t>
        </is>
      </c>
      <c r="F1194" s="4" t="inlineStr">
        <is>
          <t>Metrópoles</t>
        </is>
      </c>
      <c r="G1194" s="4" t="inlineStr">
        <is>
          <t>Metrópole</t>
        </is>
      </c>
      <c r="H1194" s="5">
        <f>IF(G1194="fora do recorte","",SUMPRODUCT(($G$3:$G$1723=G1194)*($A$3:$A$1723&lt;=A1194)))</f>
        <v/>
      </c>
      <c r="I1194" s="4">
        <f>IF(H1194="","",G1194&amp;"|"&amp;H1194)</f>
        <v/>
      </c>
      <c r="J1194" s="4" t="inlineStr">
        <is>
          <t>https://www.google.com/maps/search/?api=1&amp;query=Parque%20Caracol%20-%20Divers%C3%A3o%20segura%20e%20monitorada%20para%20crian%C3%A7as%20-%20Anivers%C3%A1rios%20-%20Col%C3%B4nia%20de%20F%C3%A9rias&amp;query_place_id=ChIJm3lMHrVq7CoRrFLoe_3wu8Q</t>
        </is>
      </c>
      <c r="K1194" s="4" t="inlineStr">
        <is>
          <t>R. Irlanda, 413 - Itapoã, Belo Horizonte - MG, 31710-010, Brasil</t>
        </is>
      </c>
      <c r="L1194" s="4" t="inlineStr">
        <is>
          <t>Belo Horizonte</t>
        </is>
      </c>
      <c r="M1194" s="5" t="n">
        <v>1</v>
      </c>
    </row>
    <row r="1195">
      <c r="A1195" s="3">
        <f>RAND()</f>
        <v/>
      </c>
      <c r="B1195" s="4" t="inlineStr">
        <is>
          <t>ChIJxVeOxGCXpgARk7P_E6851uA</t>
        </is>
      </c>
      <c r="C1195" s="4" t="inlineStr">
        <is>
          <t>Planeta Imaginário Diamond Mall | Espaço Infantil e Festa de aniversário em Belo Horizonte</t>
        </is>
      </c>
      <c r="D1195" s="4" t="inlineStr">
        <is>
          <t>Belo Horizonte</t>
        </is>
      </c>
      <c r="E1195" s="4" t="inlineStr">
        <is>
          <t>MG</t>
        </is>
      </c>
      <c r="F1195" s="4" t="inlineStr">
        <is>
          <t>Metrópoles</t>
        </is>
      </c>
      <c r="G1195" s="4" t="inlineStr">
        <is>
          <t>Metrópole</t>
        </is>
      </c>
      <c r="H1195" s="5">
        <f>IF(G1195="fora do recorte","",SUMPRODUCT(($G$3:$G$1723=G1195)*($A$3:$A$1723&lt;=A1195)))</f>
        <v/>
      </c>
      <c r="I1195" s="4">
        <f>IF(H1195="","",G1195&amp;"|"&amp;H1195)</f>
        <v/>
      </c>
      <c r="J1195" s="4" t="inlineStr">
        <is>
          <t>https://www.google.com/maps/search/?api=1&amp;query=Planeta%20Imagin%C3%A1rio%20Diamond%20Mall%20%7C%20Espa%C3%A7o%20Infantil%20e%20Festa%20de%20anivers%C3%A1rio%20em%20Belo%20Horizonte&amp;query_place_id=ChIJxVeOxGCXpgARk7P_E6851uA</t>
        </is>
      </c>
      <c r="K1195" s="4" t="inlineStr">
        <is>
          <t>Av. Olegário Maciel, 1600 - Santo Agostinho, Belo Horizonte - MG, 30180-111, Brasil</t>
        </is>
      </c>
      <c r="L1195" s="4" t="inlineStr">
        <is>
          <t>Belo Horizonte</t>
        </is>
      </c>
      <c r="M1195" s="5" t="n">
        <v>1</v>
      </c>
    </row>
    <row r="1196">
      <c r="A1196" s="3">
        <f>RAND()</f>
        <v/>
      </c>
      <c r="B1196" s="4" t="inlineStr">
        <is>
          <t>ChIJsxD8EoOXpgARA1AxkcJynPk</t>
        </is>
      </c>
      <c r="C1196" s="4" t="inlineStr">
        <is>
          <t>Play Bar e Restaurante em Estoril</t>
        </is>
      </c>
      <c r="D1196" s="4" t="inlineStr">
        <is>
          <t>Belo Horizonte</t>
        </is>
      </c>
      <c r="E1196" s="4" t="inlineStr">
        <is>
          <t>MG</t>
        </is>
      </c>
      <c r="F1196" s="4" t="inlineStr">
        <is>
          <t>Metrópoles</t>
        </is>
      </c>
      <c r="G1196" s="4" t="inlineStr">
        <is>
          <t>Metrópole</t>
        </is>
      </c>
      <c r="H1196" s="5">
        <f>IF(G1196="fora do recorte","",SUMPRODUCT(($G$3:$G$1723=G1196)*($A$3:$A$1723&lt;=A1196)))</f>
        <v/>
      </c>
      <c r="I1196" s="4">
        <f>IF(H1196="","",G1196&amp;"|"&amp;H1196)</f>
        <v/>
      </c>
      <c r="J1196" s="4" t="inlineStr">
        <is>
          <t>https://www.google.com/maps/search/?api=1&amp;query=Play%20Bar%20e%20Restaurante%20em%20Estoril&amp;query_place_id=ChIJsxD8EoOXpgARA1AxkcJynPk</t>
        </is>
      </c>
      <c r="K1196" s="4" t="inlineStr">
        <is>
          <t>R. José Rodrigues Pereira, 640 - Estoril, Belo Horizonte - MG, 30455-640, Brasil</t>
        </is>
      </c>
      <c r="L1196" s="4" t="inlineStr">
        <is>
          <t>Belo Horizonte</t>
        </is>
      </c>
      <c r="M1196" s="5" t="n">
        <v>1</v>
      </c>
    </row>
    <row r="1197">
      <c r="A1197" s="3">
        <f>RAND()</f>
        <v/>
      </c>
      <c r="B1197" s="4" t="inlineStr">
        <is>
          <t>ChIJk2cz0P6ZpgARHSBEfc5JVdg</t>
        </is>
      </c>
      <c r="C1197" s="4" t="inlineStr">
        <is>
          <t>Pokémon-BH</t>
        </is>
      </c>
      <c r="D1197" s="4" t="inlineStr">
        <is>
          <t>Belo Horizonte</t>
        </is>
      </c>
      <c r="E1197" s="4" t="inlineStr">
        <is>
          <t>MG</t>
        </is>
      </c>
      <c r="F1197" s="4" t="inlineStr">
        <is>
          <t>Metrópoles</t>
        </is>
      </c>
      <c r="G1197" s="4" t="inlineStr">
        <is>
          <t>Metrópole</t>
        </is>
      </c>
      <c r="H1197" s="5">
        <f>IF(G1197="fora do recorte","",SUMPRODUCT(($G$3:$G$1723=G1197)*($A$3:$A$1723&lt;=A1197)))</f>
        <v/>
      </c>
      <c r="I1197" s="4">
        <f>IF(H1197="","",G1197&amp;"|"&amp;H1197)</f>
        <v/>
      </c>
      <c r="J1197" s="4" t="inlineStr">
        <is>
          <t>https://www.google.com/maps/search/?api=1&amp;query=Pok%C3%A9mon-BH&amp;query_place_id=ChIJk2cz0P6ZpgARHSBEfc5JVdg</t>
        </is>
      </c>
      <c r="K1197" s="4" t="inlineStr">
        <is>
          <t>Av. Oiapoque, 156 - BOX 206/207/360/361 - Centro, Belo Horizonte - MG, 30111-070, Brasil</t>
        </is>
      </c>
      <c r="L1197" s="4" t="inlineStr">
        <is>
          <t>Belo Horizonte</t>
        </is>
      </c>
      <c r="M1197" s="5" t="n">
        <v>1</v>
      </c>
    </row>
    <row r="1198">
      <c r="A1198" s="3">
        <f>RAND()</f>
        <v/>
      </c>
      <c r="B1198" s="4" t="inlineStr">
        <is>
          <t>ChIJd2aN_Y-bpgARdRZf1OnJQKE</t>
        </is>
      </c>
      <c r="C1198" s="4" t="inlineStr">
        <is>
          <t>Prisma Collections | Funko Pop! | Anime Figure | Action Figure | Carta Pokémon em Belo Horizonte</t>
        </is>
      </c>
      <c r="D1198" s="4" t="inlineStr">
        <is>
          <t>Belo Horizonte</t>
        </is>
      </c>
      <c r="E1198" s="4" t="inlineStr">
        <is>
          <t>MG</t>
        </is>
      </c>
      <c r="F1198" s="4" t="inlineStr">
        <is>
          <t>Metrópoles</t>
        </is>
      </c>
      <c r="G1198" s="4" t="inlineStr">
        <is>
          <t>Metrópole</t>
        </is>
      </c>
      <c r="H1198" s="5">
        <f>IF(G1198="fora do recorte","",SUMPRODUCT(($G$3:$G$1723=G1198)*($A$3:$A$1723&lt;=A1198)))</f>
        <v/>
      </c>
      <c r="I1198" s="4">
        <f>IF(H1198="","",G1198&amp;"|"&amp;H1198)</f>
        <v/>
      </c>
      <c r="J1198" s="4" t="inlineStr">
        <is>
          <t>https://www.google.com/maps/search/?api=1&amp;query=Prisma%20Collections%20%7C%20Funko%20Pop%21%20%7C%20Anime%20Figure%20%7C%20Action%20Figure%20%7C%20Carta%20Pok%C3%A9mon%20em%20Belo%20Horizonte&amp;query_place_id=ChIJd2aN_Y-bpgARdRZf1OnJQKE</t>
        </is>
      </c>
      <c r="K1198" s="4" t="inlineStr">
        <is>
          <t>R. Coelho de Souza, 165 - Santo Agostinho, Belo Horizonte - MG, 30170-030, Brasil</t>
        </is>
      </c>
      <c r="L1198" s="4" t="inlineStr">
        <is>
          <t>Belo Horizonte</t>
        </is>
      </c>
      <c r="M1198" s="5" t="n">
        <v>1</v>
      </c>
    </row>
    <row r="1199">
      <c r="A1199" s="3">
        <f>RAND()</f>
        <v/>
      </c>
      <c r="B1199" s="4" t="inlineStr">
        <is>
          <t>ChIJJW4oKu-XpgARz0DiRk9njnk</t>
        </is>
      </c>
      <c r="C1199" s="4" t="inlineStr">
        <is>
          <t>QUINTAL</t>
        </is>
      </c>
      <c r="D1199" s="4" t="inlineStr">
        <is>
          <t>Belo Horizonte</t>
        </is>
      </c>
      <c r="E1199" s="4" t="inlineStr">
        <is>
          <t>MG</t>
        </is>
      </c>
      <c r="F1199" s="4" t="inlineStr">
        <is>
          <t>Metrópoles</t>
        </is>
      </c>
      <c r="G1199" s="4" t="inlineStr">
        <is>
          <t>Metrópole</t>
        </is>
      </c>
      <c r="H1199" s="5">
        <f>IF(G1199="fora do recorte","",SUMPRODUCT(($G$3:$G$1723=G1199)*($A$3:$A$1723&lt;=A1199)))</f>
        <v/>
      </c>
      <c r="I1199" s="4">
        <f>IF(H1199="","",G1199&amp;"|"&amp;H1199)</f>
        <v/>
      </c>
      <c r="J1199" s="4" t="inlineStr">
        <is>
          <t>https://www.google.com/maps/search/?api=1&amp;query=QUINTAL&amp;query_place_id=ChIJJW4oKu-XpgARz0DiRk9njnk</t>
        </is>
      </c>
      <c r="K1199" s="4" t="inlineStr">
        <is>
          <t>Av. Professor Mário Werneck, 520/530 - Estoril, Belo Horizonte - MG, 30455-610, Brasil</t>
        </is>
      </c>
      <c r="L1199" s="4" t="inlineStr">
        <is>
          <t>Belo Horizonte</t>
        </is>
      </c>
      <c r="M1199" s="5" t="n">
        <v>1</v>
      </c>
    </row>
    <row r="1200">
      <c r="A1200" s="3">
        <f>RAND()</f>
        <v/>
      </c>
      <c r="B1200" s="4" t="inlineStr">
        <is>
          <t>ChIJ0zpzagaXpgARk5hQnsq4YmU</t>
        </is>
      </c>
      <c r="C1200" s="4" t="inlineStr">
        <is>
          <t>Quintal da Play</t>
        </is>
      </c>
      <c r="D1200" s="4" t="inlineStr">
        <is>
          <t>Belo Horizonte</t>
        </is>
      </c>
      <c r="E1200" s="4" t="inlineStr">
        <is>
          <t>MG</t>
        </is>
      </c>
      <c r="F1200" s="4" t="inlineStr">
        <is>
          <t>Metrópoles</t>
        </is>
      </c>
      <c r="G1200" s="4" t="inlineStr">
        <is>
          <t>Metrópole</t>
        </is>
      </c>
      <c r="H1200" s="5">
        <f>IF(G1200="fora do recorte","",SUMPRODUCT(($G$3:$G$1723=G1200)*($A$3:$A$1723&lt;=A1200)))</f>
        <v/>
      </c>
      <c r="I1200" s="4">
        <f>IF(H1200="","",G1200&amp;"|"&amp;H1200)</f>
        <v/>
      </c>
      <c r="J1200" s="4" t="inlineStr">
        <is>
          <t>https://www.google.com/maps/search/?api=1&amp;query=Quintal%20da%20Play&amp;query_place_id=ChIJ0zpzagaXpgARk5hQnsq4YmU</t>
        </is>
      </c>
      <c r="K1200" s="4" t="inlineStr">
        <is>
          <t>R. Perdões, 269 - Carlos Prates, Belo Horizonte - MG, 30710-520, Brasil</t>
        </is>
      </c>
      <c r="L1200" s="4" t="inlineStr">
        <is>
          <t>Belo Horizonte</t>
        </is>
      </c>
      <c r="M1200" s="5" t="n">
        <v>1</v>
      </c>
    </row>
    <row r="1201">
      <c r="A1201" s="3">
        <f>RAND()</f>
        <v/>
      </c>
      <c r="B1201" s="4" t="inlineStr">
        <is>
          <t>ChIJHRqnsI2ZpgARvAr4gsrTa94</t>
        </is>
      </c>
      <c r="C1201" s="4" t="inlineStr">
        <is>
          <t>RPG VENDA ATACADISTA</t>
        </is>
      </c>
      <c r="D1201" s="4" t="inlineStr">
        <is>
          <t>Belo Horizonte</t>
        </is>
      </c>
      <c r="E1201" s="4" t="inlineStr">
        <is>
          <t>MG</t>
        </is>
      </c>
      <c r="F1201" s="4" t="inlineStr">
        <is>
          <t>Metrópoles</t>
        </is>
      </c>
      <c r="G1201" s="4" t="inlineStr">
        <is>
          <t>Metrópole</t>
        </is>
      </c>
      <c r="H1201" s="5">
        <f>IF(G1201="fora do recorte","",SUMPRODUCT(($G$3:$G$1723=G1201)*($A$3:$A$1723&lt;=A1201)))</f>
        <v/>
      </c>
      <c r="I1201" s="4">
        <f>IF(H1201="","",G1201&amp;"|"&amp;H1201)</f>
        <v/>
      </c>
      <c r="J1201" s="4" t="inlineStr">
        <is>
          <t>https://www.google.com/maps/search/?api=1&amp;query=RPG%20VENDA%20ATACADISTA&amp;query_place_id=ChIJHRqnsI2ZpgARvAr4gsrTa94</t>
        </is>
      </c>
      <c r="K1201" s="4" t="inlineStr">
        <is>
          <t>R. Sebastião Froes, 36 - Copacabana, Belo Horizonte - MG, 31550-570, Brasil</t>
        </is>
      </c>
      <c r="L1201" s="4" t="inlineStr">
        <is>
          <t>Belo Horizonte</t>
        </is>
      </c>
      <c r="M1201" s="5" t="n">
        <v>1</v>
      </c>
    </row>
    <row r="1202">
      <c r="A1202" s="3">
        <f>RAND()</f>
        <v/>
      </c>
      <c r="B1202" s="4" t="inlineStr">
        <is>
          <t>ChIJ7bVC4tmZpgARViK85gXU6OM</t>
        </is>
      </c>
      <c r="C1202" s="4" t="inlineStr">
        <is>
          <t>Redentor Bar</t>
        </is>
      </c>
      <c r="D1202" s="4" t="inlineStr">
        <is>
          <t>Belo Horizonte</t>
        </is>
      </c>
      <c r="E1202" s="4" t="inlineStr">
        <is>
          <t>MG</t>
        </is>
      </c>
      <c r="F1202" s="4" t="inlineStr">
        <is>
          <t>Metrópoles</t>
        </is>
      </c>
      <c r="G1202" s="4" t="inlineStr">
        <is>
          <t>Metrópole</t>
        </is>
      </c>
      <c r="H1202" s="5">
        <f>IF(G1202="fora do recorte","",SUMPRODUCT(($G$3:$G$1723=G1202)*($A$3:$A$1723&lt;=A1202)))</f>
        <v/>
      </c>
      <c r="I1202" s="4">
        <f>IF(H1202="","",G1202&amp;"|"&amp;H1202)</f>
        <v/>
      </c>
      <c r="J1202" s="4" t="inlineStr">
        <is>
          <t>https://www.google.com/maps/search/?api=1&amp;query=Redentor%20Bar&amp;query_place_id=ChIJ7bVC4tmZpgARViK85gXU6OM</t>
        </is>
      </c>
      <c r="K1202" s="4" t="inlineStr">
        <is>
          <t>R. Fernandes Tourinho, 500 - Savassi, Belo Horizonte - MG, 30112-004, Brasil</t>
        </is>
      </c>
      <c r="L1202" s="4" t="inlineStr">
        <is>
          <t>Belo Horizonte</t>
        </is>
      </c>
      <c r="M1202" s="5" t="n">
        <v>1</v>
      </c>
    </row>
    <row r="1203">
      <c r="A1203" s="3">
        <f>RAND()</f>
        <v/>
      </c>
      <c r="B1203" s="4" t="inlineStr">
        <is>
          <t>ChIJd3ynKDCbpgARrK9b9Ya4nG8</t>
        </is>
      </c>
      <c r="C1203" s="4" t="inlineStr">
        <is>
          <t>Rooftop Games</t>
        </is>
      </c>
      <c r="D1203" s="4" t="inlineStr">
        <is>
          <t>Belo Horizonte</t>
        </is>
      </c>
      <c r="E1203" s="4" t="inlineStr">
        <is>
          <t>MG</t>
        </is>
      </c>
      <c r="F1203" s="4" t="inlineStr">
        <is>
          <t>Metrópoles</t>
        </is>
      </c>
      <c r="G1203" s="4" t="inlineStr">
        <is>
          <t>Metrópole</t>
        </is>
      </c>
      <c r="H1203" s="5">
        <f>IF(G1203="fora do recorte","",SUMPRODUCT(($G$3:$G$1723=G1203)*($A$3:$A$1723&lt;=A1203)))</f>
        <v/>
      </c>
      <c r="I1203" s="4">
        <f>IF(H1203="","",G1203&amp;"|"&amp;H1203)</f>
        <v/>
      </c>
      <c r="J1203" s="4" t="inlineStr">
        <is>
          <t>https://www.google.com/maps/search/?api=1&amp;query=Rooftop%20Games&amp;query_place_id=ChIJd3ynKDCbpgARrK9b9Ya4nG8</t>
        </is>
      </c>
      <c r="K1203" s="4" t="inlineStr">
        <is>
          <t>Centro, Belo Horizonte - MG, 30110-002, Brasil</t>
        </is>
      </c>
      <c r="L1203" s="4" t="inlineStr">
        <is>
          <t>Belo Horizonte</t>
        </is>
      </c>
      <c r="M1203" s="5" t="n">
        <v>2</v>
      </c>
    </row>
    <row r="1204">
      <c r="A1204" s="3">
        <f>RAND()</f>
        <v/>
      </c>
      <c r="B1204" s="4" t="inlineStr">
        <is>
          <t>ChIJfeidF--XpgARKeL_7aduyKE</t>
        </is>
      </c>
      <c r="C1204" s="4" t="inlineStr">
        <is>
          <t>Rust Music Bar</t>
        </is>
      </c>
      <c r="D1204" s="4" t="inlineStr">
        <is>
          <t>Belo Horizonte</t>
        </is>
      </c>
      <c r="E1204" s="4" t="inlineStr">
        <is>
          <t>MG</t>
        </is>
      </c>
      <c r="F1204" s="4" t="inlineStr">
        <is>
          <t>Metrópoles</t>
        </is>
      </c>
      <c r="G1204" s="4" t="inlineStr">
        <is>
          <t>Metrópole</t>
        </is>
      </c>
      <c r="H1204" s="5">
        <f>IF(G1204="fora do recorte","",SUMPRODUCT(($G$3:$G$1723=G1204)*($A$3:$A$1723&lt;=A1204)))</f>
        <v/>
      </c>
      <c r="I1204" s="4">
        <f>IF(H1204="","",G1204&amp;"|"&amp;H1204)</f>
        <v/>
      </c>
      <c r="J1204" s="4" t="inlineStr">
        <is>
          <t>https://www.google.com/maps/search/?api=1&amp;query=Rust%20Music%20Bar&amp;query_place_id=ChIJfeidF--XpgARKeL_7aduyKE</t>
        </is>
      </c>
      <c r="K1204" s="4" t="inlineStr">
        <is>
          <t>Av. Professor Mário Werneck, 50 - Estoril, Belo Horizonte - MG, 30455-610, Brasil</t>
        </is>
      </c>
      <c r="L1204" s="4" t="inlineStr">
        <is>
          <t>Belo Horizonte</t>
        </is>
      </c>
      <c r="M1204" s="5" t="n">
        <v>1</v>
      </c>
    </row>
    <row r="1205">
      <c r="A1205" s="3">
        <f>RAND()</f>
        <v/>
      </c>
      <c r="B1205" s="4" t="inlineStr">
        <is>
          <t>ChIJUxnUuJ-WpgAROa_q4X_wM9w</t>
        </is>
      </c>
      <c r="C1205" s="4" t="inlineStr">
        <is>
          <t>SMILE RECREAÇÔES | Locação de brinquedos e Recreação infantil BH</t>
        </is>
      </c>
      <c r="D1205" s="4" t="inlineStr">
        <is>
          <t>Belo Horizonte</t>
        </is>
      </c>
      <c r="E1205" s="4" t="inlineStr">
        <is>
          <t>MG</t>
        </is>
      </c>
      <c r="F1205" s="4" t="inlineStr">
        <is>
          <t>Metrópoles</t>
        </is>
      </c>
      <c r="G1205" s="4" t="inlineStr">
        <is>
          <t>Metrópole</t>
        </is>
      </c>
      <c r="H1205" s="5">
        <f>IF(G1205="fora do recorte","",SUMPRODUCT(($G$3:$G$1723=G1205)*($A$3:$A$1723&lt;=A1205)))</f>
        <v/>
      </c>
      <c r="I1205" s="4">
        <f>IF(H1205="","",G1205&amp;"|"&amp;H1205)</f>
        <v/>
      </c>
      <c r="J1205" s="4" t="inlineStr">
        <is>
          <t>https://www.google.com/maps/search/?api=1&amp;query=SMILE%20RECREA%C3%87%C3%94ES%20%7C%20Loca%C3%A7%C3%A3o%20de%20brinquedos%20e%20Recrea%C3%A7%C3%A3o%20infantil%20BH&amp;query_place_id=ChIJUxnUuJ-WpgAROa_q4X_wM9w</t>
        </is>
      </c>
      <c r="K1205" s="4" t="inlineStr">
        <is>
          <t>R. Dorvalina de Carvalho Rezende, 130 - São João Batista, Belo Horizonte - MG, 31510-510, Brasil</t>
        </is>
      </c>
      <c r="L1205" s="4" t="inlineStr">
        <is>
          <t>Belo Horizonte</t>
        </is>
      </c>
      <c r="M1205" s="5" t="n">
        <v>1</v>
      </c>
    </row>
    <row r="1206">
      <c r="A1206" s="3">
        <f>RAND()</f>
        <v/>
      </c>
      <c r="B1206" s="4" t="inlineStr">
        <is>
          <t>ChIJwaTDkNuZpgARtBvCnEZjrUY</t>
        </is>
      </c>
      <c r="C1206" s="4" t="inlineStr">
        <is>
          <t>Savassi Games</t>
        </is>
      </c>
      <c r="D1206" s="4" t="inlineStr">
        <is>
          <t>Belo Horizonte</t>
        </is>
      </c>
      <c r="E1206" s="4" t="inlineStr">
        <is>
          <t>MG</t>
        </is>
      </c>
      <c r="F1206" s="4" t="inlineStr">
        <is>
          <t>Metrópoles</t>
        </is>
      </c>
      <c r="G1206" s="4" t="inlineStr">
        <is>
          <t>Metrópole</t>
        </is>
      </c>
      <c r="H1206" s="5">
        <f>IF(G1206="fora do recorte","",SUMPRODUCT(($G$3:$G$1723=G1206)*($A$3:$A$1723&lt;=A1206)))</f>
        <v/>
      </c>
      <c r="I1206" s="4">
        <f>IF(H1206="","",G1206&amp;"|"&amp;H1206)</f>
        <v/>
      </c>
      <c r="J1206" s="4" t="inlineStr">
        <is>
          <t>https://www.google.com/maps/search/?api=1&amp;query=Savassi%20Games&amp;query_place_id=ChIJwaTDkNuZpgARtBvCnEZjrUY</t>
        </is>
      </c>
      <c r="K1206" s="4" t="inlineStr">
        <is>
          <t>Rua Antônio de Albuquerque, 606 - sala 203 - Praça da Savassi, Edifício Fraternia, mesmo prédio da Melissa Calçados - 2º andar - Savassi, Belo Horizonte - MG, 30112-010, Brasil</t>
        </is>
      </c>
      <c r="L1206" s="4" t="inlineStr">
        <is>
          <t>Belo Horizonte</t>
        </is>
      </c>
      <c r="M1206" s="5" t="n">
        <v>4</v>
      </c>
    </row>
    <row r="1207">
      <c r="A1207" s="3">
        <f>RAND()</f>
        <v/>
      </c>
      <c r="B1207" s="4" t="inlineStr">
        <is>
          <t>ChIJ6ZLMZw-XpgAR_OR6SwY5xKo</t>
        </is>
      </c>
      <c r="C1207" s="4" t="inlineStr">
        <is>
          <t>Shelf Bar e Jogos</t>
        </is>
      </c>
      <c r="D1207" s="4" t="inlineStr">
        <is>
          <t>Belo Horizonte</t>
        </is>
      </c>
      <c r="E1207" s="4" t="inlineStr">
        <is>
          <t>MG</t>
        </is>
      </c>
      <c r="F1207" s="4" t="inlineStr">
        <is>
          <t>Metrópoles</t>
        </is>
      </c>
      <c r="G1207" s="4" t="inlineStr">
        <is>
          <t>Metrópole</t>
        </is>
      </c>
      <c r="H1207" s="5">
        <f>IF(G1207="fora do recorte","",SUMPRODUCT(($G$3:$G$1723=G1207)*($A$3:$A$1723&lt;=A1207)))</f>
        <v/>
      </c>
      <c r="I1207" s="4">
        <f>IF(H1207="","",G1207&amp;"|"&amp;H1207)</f>
        <v/>
      </c>
      <c r="J1207" s="4" t="inlineStr">
        <is>
          <t>https://www.google.com/maps/search/?api=1&amp;query=Shelf%20Bar%20e%20Jogos&amp;query_place_id=ChIJ6ZLMZw-XpgAR_OR6SwY5xKo</t>
        </is>
      </c>
      <c r="K1207" s="4" t="inlineStr">
        <is>
          <t>Av. do Contorno, 7287 - Lourdes, Belo Horizonte - MG, 30110-047, Brasil</t>
        </is>
      </c>
      <c r="L1207" s="4" t="inlineStr">
        <is>
          <t>Belo Horizonte; Palmas</t>
        </is>
      </c>
      <c r="M1207" s="5" t="n">
        <v>11</v>
      </c>
    </row>
    <row r="1208">
      <c r="A1208" s="3">
        <f>RAND()</f>
        <v/>
      </c>
      <c r="B1208" s="4" t="inlineStr">
        <is>
          <t>ChIJieP16UCZpgAR8zqQEUSe5oM</t>
        </is>
      </c>
      <c r="C1208" s="4" t="inlineStr">
        <is>
          <t>Stone Games</t>
        </is>
      </c>
      <c r="D1208" s="4" t="inlineStr">
        <is>
          <t>Belo Horizonte</t>
        </is>
      </c>
      <c r="E1208" s="4" t="inlineStr">
        <is>
          <t>MG</t>
        </is>
      </c>
      <c r="F1208" s="4" t="inlineStr">
        <is>
          <t>Metrópoles</t>
        </is>
      </c>
      <c r="G1208" s="4" t="inlineStr">
        <is>
          <t>Metrópole</t>
        </is>
      </c>
      <c r="H1208" s="5">
        <f>IF(G1208="fora do recorte","",SUMPRODUCT(($G$3:$G$1723=G1208)*($A$3:$A$1723&lt;=A1208)))</f>
        <v/>
      </c>
      <c r="I1208" s="4">
        <f>IF(H1208="","",G1208&amp;"|"&amp;H1208)</f>
        <v/>
      </c>
      <c r="J1208" s="4" t="inlineStr">
        <is>
          <t>https://www.google.com/maps/search/?api=1&amp;query=Stone%20Games&amp;query_place_id=ChIJieP16UCZpgAR8zqQEUSe5oM</t>
        </is>
      </c>
      <c r="K1208" s="4" t="inlineStr">
        <is>
          <t>Antônio Braga - Av. Afonso Pena, 578 - Sala 302 Ed - Centro, Belo Horizonte - MG, 30130-002, Brasil</t>
        </is>
      </c>
      <c r="L1208" s="4" t="inlineStr">
        <is>
          <t>Belo Horizonte</t>
        </is>
      </c>
      <c r="M1208" s="5" t="n">
        <v>1</v>
      </c>
    </row>
    <row r="1209">
      <c r="A1209" s="3">
        <f>RAND()</f>
        <v/>
      </c>
      <c r="B1209" s="4" t="inlineStr">
        <is>
          <t>ChIJaX8_A5-RpgARjGibZKdZR1I</t>
        </is>
      </c>
      <c r="C1209" s="4" t="inlineStr">
        <is>
          <t>Stop TCG</t>
        </is>
      </c>
      <c r="D1209" s="4" t="inlineStr">
        <is>
          <t>Belo Horizonte</t>
        </is>
      </c>
      <c r="E1209" s="4" t="inlineStr">
        <is>
          <t>MG</t>
        </is>
      </c>
      <c r="F1209" s="4" t="inlineStr">
        <is>
          <t>Metrópoles</t>
        </is>
      </c>
      <c r="G1209" s="4" t="inlineStr">
        <is>
          <t>Metrópole</t>
        </is>
      </c>
      <c r="H1209" s="5">
        <f>IF(G1209="fora do recorte","",SUMPRODUCT(($G$3:$G$1723=G1209)*($A$3:$A$1723&lt;=A1209)))</f>
        <v/>
      </c>
      <c r="I1209" s="4">
        <f>IF(H1209="","",G1209&amp;"|"&amp;H1209)</f>
        <v/>
      </c>
      <c r="J1209" s="4" t="inlineStr">
        <is>
          <t>https://www.google.com/maps/search/?api=1&amp;query=Stop%20TCG&amp;query_place_id=ChIJaX8_A5-RpgARjGibZKdZR1I</t>
        </is>
      </c>
      <c r="K1209" s="4" t="inlineStr">
        <is>
          <t>R. Guarda Custódio, 618B - Ouro Preto, Belo Horizonte - MG, 31310-140, Brasil</t>
        </is>
      </c>
      <c r="L1209" s="4" t="inlineStr">
        <is>
          <t>Belo Horizonte</t>
        </is>
      </c>
      <c r="M1209" s="5" t="n">
        <v>1</v>
      </c>
    </row>
    <row r="1210">
      <c r="A1210" s="3">
        <f>RAND()</f>
        <v/>
      </c>
      <c r="B1210" s="4" t="inlineStr">
        <is>
          <t>ChIJ-TwfHyaapgARy0qIc8g0r28</t>
        </is>
      </c>
      <c r="C1210" s="4" t="inlineStr">
        <is>
          <t>Taberna Santê</t>
        </is>
      </c>
      <c r="D1210" s="4" t="inlineStr">
        <is>
          <t>Belo Horizonte</t>
        </is>
      </c>
      <c r="E1210" s="4" t="inlineStr">
        <is>
          <t>MG</t>
        </is>
      </c>
      <c r="F1210" s="4" t="inlineStr">
        <is>
          <t>Metrópoles</t>
        </is>
      </c>
      <c r="G1210" s="4" t="inlineStr">
        <is>
          <t>Metrópole</t>
        </is>
      </c>
      <c r="H1210" s="5">
        <f>IF(G1210="fora do recorte","",SUMPRODUCT(($G$3:$G$1723=G1210)*($A$3:$A$1723&lt;=A1210)))</f>
        <v/>
      </c>
      <c r="I1210" s="4">
        <f>IF(H1210="","",G1210&amp;"|"&amp;H1210)</f>
        <v/>
      </c>
      <c r="J1210" s="4" t="inlineStr">
        <is>
          <t>https://www.google.com/maps/search/?api=1&amp;query=Taberna%20Sant%C3%AA&amp;query_place_id=ChIJ-TwfHyaapgARy0qIc8g0r28</t>
        </is>
      </c>
      <c r="K1210" s="4" t="inlineStr">
        <is>
          <t>R. Salinas, 2113 - Santa Tereza, Belo Horizonte - MG, 31015-115, Brasil</t>
        </is>
      </c>
      <c r="L1210" s="4" t="inlineStr">
        <is>
          <t>Belo Horizonte</t>
        </is>
      </c>
      <c r="M1210" s="5" t="n">
        <v>1</v>
      </c>
    </row>
    <row r="1211">
      <c r="A1211" s="3">
        <f>RAND()</f>
        <v/>
      </c>
      <c r="B1211" s="4" t="inlineStr">
        <is>
          <t>ChIJIcauleSZpgARDghXUEZX9gI</t>
        </is>
      </c>
      <c r="C1211" s="4" t="inlineStr">
        <is>
          <t>Taberna dos Games</t>
        </is>
      </c>
      <c r="D1211" s="4" t="inlineStr">
        <is>
          <t>Belo Horizonte</t>
        </is>
      </c>
      <c r="E1211" s="4" t="inlineStr">
        <is>
          <t>MG</t>
        </is>
      </c>
      <c r="F1211" s="4" t="inlineStr">
        <is>
          <t>Metrópoles</t>
        </is>
      </c>
      <c r="G1211" s="4" t="inlineStr">
        <is>
          <t>Metrópole</t>
        </is>
      </c>
      <c r="H1211" s="5">
        <f>IF(G1211="fora do recorte","",SUMPRODUCT(($G$3:$G$1723=G1211)*($A$3:$A$1723&lt;=A1211)))</f>
        <v/>
      </c>
      <c r="I1211" s="4">
        <f>IF(H1211="","",G1211&amp;"|"&amp;H1211)</f>
        <v/>
      </c>
      <c r="J1211" s="4" t="inlineStr">
        <is>
          <t>https://www.google.com/maps/search/?api=1&amp;query=Taberna%20dos%20Games&amp;query_place_id=ChIJIcauleSZpgARDghXUEZX9gI</t>
        </is>
      </c>
      <c r="K1211" s="4" t="inlineStr">
        <is>
          <t>Av. Mem de Sá, 521 - Santa Efigênia, Belo Horizonte - MG, 30260-270, Brasil</t>
        </is>
      </c>
      <c r="L1211" s="4" t="inlineStr">
        <is>
          <t>Belo Horizonte</t>
        </is>
      </c>
      <c r="M1211" s="5" t="n">
        <v>10</v>
      </c>
    </row>
    <row r="1212">
      <c r="A1212" s="3">
        <f>RAND()</f>
        <v/>
      </c>
      <c r="B1212" s="4" t="inlineStr">
        <is>
          <t>ChIJz2hpPQCXpgARuHvKunkXCXw</t>
        </is>
      </c>
      <c r="C1212" s="4" t="inlineStr">
        <is>
          <t>Tagarela Espaço Kids</t>
        </is>
      </c>
      <c r="D1212" s="4" t="inlineStr">
        <is>
          <t>Belo Horizonte</t>
        </is>
      </c>
      <c r="E1212" s="4" t="inlineStr">
        <is>
          <t>MG</t>
        </is>
      </c>
      <c r="F1212" s="4" t="inlineStr">
        <is>
          <t>Metrópoles</t>
        </is>
      </c>
      <c r="G1212" s="4" t="inlineStr">
        <is>
          <t>Metrópole</t>
        </is>
      </c>
      <c r="H1212" s="5">
        <f>IF(G1212="fora do recorte","",SUMPRODUCT(($G$3:$G$1723=G1212)*($A$3:$A$1723&lt;=A1212)))</f>
        <v/>
      </c>
      <c r="I1212" s="4">
        <f>IF(H1212="","",G1212&amp;"|"&amp;H1212)</f>
        <v/>
      </c>
      <c r="J1212" s="4" t="inlineStr">
        <is>
          <t>https://www.google.com/maps/search/?api=1&amp;query=Tagarela%20Espa%C3%A7o%20Kids&amp;query_place_id=ChIJz2hpPQCXpgARuHvKunkXCXw</t>
        </is>
      </c>
      <c r="K1212" s="4" t="inlineStr">
        <is>
          <t>Av. Professor Mário Werneck, 500 - Estoril, Belo Horizonte - MG, 30455-610, Brasil</t>
        </is>
      </c>
      <c r="L1212" s="4" t="inlineStr">
        <is>
          <t>Belo Horizonte</t>
        </is>
      </c>
      <c r="M1212" s="5" t="n">
        <v>1</v>
      </c>
    </row>
    <row r="1213">
      <c r="A1213" s="3">
        <f>RAND()</f>
        <v/>
      </c>
      <c r="B1213" s="4" t="inlineStr">
        <is>
          <t>ChIJz539XYObpgARV5NhbSNRRHM</t>
        </is>
      </c>
      <c r="C1213" s="4" t="inlineStr">
        <is>
          <t>Totus Ludus</t>
        </is>
      </c>
      <c r="D1213" s="4" t="inlineStr">
        <is>
          <t>Belo Horizonte</t>
        </is>
      </c>
      <c r="E1213" s="4" t="inlineStr">
        <is>
          <t>MG</t>
        </is>
      </c>
      <c r="F1213" s="4" t="inlineStr">
        <is>
          <t>Metrópoles</t>
        </is>
      </c>
      <c r="G1213" s="4" t="inlineStr">
        <is>
          <t>Metrópole</t>
        </is>
      </c>
      <c r="H1213" s="5">
        <f>IF(G1213="fora do recorte","",SUMPRODUCT(($G$3:$G$1723=G1213)*($A$3:$A$1723&lt;=A1213)))</f>
        <v/>
      </c>
      <c r="I1213" s="4">
        <f>IF(H1213="","",G1213&amp;"|"&amp;H1213)</f>
        <v/>
      </c>
      <c r="J1213" s="4" t="inlineStr">
        <is>
          <t>https://www.google.com/maps/search/?api=1&amp;query=Totus%20Ludus&amp;query_place_id=ChIJz539XYObpgARV5NhbSNRRHM</t>
        </is>
      </c>
      <c r="K1213" s="4" t="inlineStr">
        <is>
          <t>R. Quaquarema, 31 - Fernão Dias, Belo Horizonte - MG, 31170-535, Brasil</t>
        </is>
      </c>
      <c r="L1213" s="4" t="inlineStr">
        <is>
          <t>Belo Horizonte</t>
        </is>
      </c>
      <c r="M1213" s="5" t="n">
        <v>4</v>
      </c>
    </row>
    <row r="1214">
      <c r="A1214" s="3">
        <f>RAND()</f>
        <v/>
      </c>
      <c r="B1214" s="4" t="inlineStr">
        <is>
          <t>ChIJ9Qto49CZpgARtXGsIsbCTsM</t>
        </is>
      </c>
      <c r="C1214" s="4" t="inlineStr">
        <is>
          <t>Traquitana Brinquedos</t>
        </is>
      </c>
      <c r="D1214" s="4" t="inlineStr">
        <is>
          <t>Belo Horizonte</t>
        </is>
      </c>
      <c r="E1214" s="4" t="inlineStr">
        <is>
          <t>MG</t>
        </is>
      </c>
      <c r="F1214" s="4" t="inlineStr">
        <is>
          <t>Metrópoles</t>
        </is>
      </c>
      <c r="G1214" s="4" t="inlineStr">
        <is>
          <t>Metrópole</t>
        </is>
      </c>
      <c r="H1214" s="5">
        <f>IF(G1214="fora do recorte","",SUMPRODUCT(($G$3:$G$1723=G1214)*($A$3:$A$1723&lt;=A1214)))</f>
        <v/>
      </c>
      <c r="I1214" s="4">
        <f>IF(H1214="","",G1214&amp;"|"&amp;H1214)</f>
        <v/>
      </c>
      <c r="J1214" s="4" t="inlineStr">
        <is>
          <t>https://www.google.com/maps/search/?api=1&amp;query=Traquitana%20Brinquedos&amp;query_place_id=ChIJ9Qto49CZpgARtXGsIsbCTsM</t>
        </is>
      </c>
      <c r="K1214" s="4" t="inlineStr">
        <is>
          <t>R. Raul Pompéia, 82 - São Pedro, Belo Horizonte - MG, 30330-080, Brasil</t>
        </is>
      </c>
      <c r="L1214" s="4" t="inlineStr">
        <is>
          <t>Belo Horizonte</t>
        </is>
      </c>
      <c r="M1214" s="5" t="n">
        <v>1</v>
      </c>
    </row>
    <row r="1215">
      <c r="A1215" s="3">
        <f>RAND()</f>
        <v/>
      </c>
      <c r="B1215" s="4" t="inlineStr">
        <is>
          <t>ChIJKURw7A2apgARheRIbSu9Pgo</t>
        </is>
      </c>
      <c r="C1215" s="4" t="inlineStr">
        <is>
          <t>UGCardShop</t>
        </is>
      </c>
      <c r="D1215" s="4" t="inlineStr">
        <is>
          <t>Belo Horizonte</t>
        </is>
      </c>
      <c r="E1215" s="4" t="inlineStr">
        <is>
          <t>MG</t>
        </is>
      </c>
      <c r="F1215" s="4" t="inlineStr">
        <is>
          <t>Metrópoles</t>
        </is>
      </c>
      <c r="G1215" s="4" t="inlineStr">
        <is>
          <t>Metrópole</t>
        </is>
      </c>
      <c r="H1215" s="5">
        <f>IF(G1215="fora do recorte","",SUMPRODUCT(($G$3:$G$1723=G1215)*($A$3:$A$1723&lt;=A1215)))</f>
        <v/>
      </c>
      <c r="I1215" s="4">
        <f>IF(H1215="","",G1215&amp;"|"&amp;H1215)</f>
        <v/>
      </c>
      <c r="J1215" s="4" t="inlineStr">
        <is>
          <t>https://www.google.com/maps/search/?api=1&amp;query=UGCardShop&amp;query_place_id=ChIJKURw7A2apgARheRIbSu9Pgo</t>
        </is>
      </c>
      <c r="K1215" s="4" t="inlineStr">
        <is>
          <t>R. dos Pampas, 17 - Prado, Belo Horizonte - MG, 30411-073, Brasil</t>
        </is>
      </c>
      <c r="L1215" s="4" t="inlineStr">
        <is>
          <t>Belo Horizonte</t>
        </is>
      </c>
      <c r="M1215" s="5" t="n">
        <v>6</v>
      </c>
    </row>
    <row r="1216">
      <c r="A1216" s="3">
        <f>RAND()</f>
        <v/>
      </c>
      <c r="B1216" s="4" t="inlineStr">
        <is>
          <t>ChIJrRfqRPSRpgARWfVpA_8eK7E</t>
        </is>
      </c>
      <c r="C1216" s="4" t="inlineStr">
        <is>
          <t>VAULT of cards</t>
        </is>
      </c>
      <c r="D1216" s="4" t="inlineStr">
        <is>
          <t>Belo Horizonte</t>
        </is>
      </c>
      <c r="E1216" s="4" t="inlineStr">
        <is>
          <t>MG</t>
        </is>
      </c>
      <c r="F1216" s="4" t="inlineStr">
        <is>
          <t>Metrópoles</t>
        </is>
      </c>
      <c r="G1216" s="4" t="inlineStr">
        <is>
          <t>Metrópole</t>
        </is>
      </c>
      <c r="H1216" s="5">
        <f>IF(G1216="fora do recorte","",SUMPRODUCT(($G$3:$G$1723=G1216)*($A$3:$A$1723&lt;=A1216)))</f>
        <v/>
      </c>
      <c r="I1216" s="4">
        <f>IF(H1216="","",G1216&amp;"|"&amp;H1216)</f>
        <v/>
      </c>
      <c r="J1216" s="4" t="inlineStr">
        <is>
          <t>https://www.google.com/maps/search/?api=1&amp;query=VAULT%20of%20cards&amp;query_place_id=ChIJrRfqRPSRpgARWfVpA_8eK7E</t>
        </is>
      </c>
      <c r="K1216" s="4" t="inlineStr">
        <is>
          <t>Av. Augusto de Lima, 527 - Centro, Belo Horizonte - MG, 30190-000, Brasil</t>
        </is>
      </c>
      <c r="L1216" s="4" t="inlineStr">
        <is>
          <t>Belo Horizonte</t>
        </is>
      </c>
      <c r="M1216" s="5" t="n">
        <v>3</v>
      </c>
    </row>
    <row r="1217">
      <c r="A1217" s="3">
        <f>RAND()</f>
        <v/>
      </c>
      <c r="B1217" s="4" t="inlineStr">
        <is>
          <t>ChIJj_MRuFqZpgARtdn9AwGCoos</t>
        </is>
      </c>
      <c r="C1217" s="4" t="inlineStr">
        <is>
          <t>Versus 1a1</t>
        </is>
      </c>
      <c r="D1217" s="4" t="inlineStr">
        <is>
          <t>Belo Horizonte</t>
        </is>
      </c>
      <c r="E1217" s="4" t="inlineStr">
        <is>
          <t>MG</t>
        </is>
      </c>
      <c r="F1217" s="4" t="inlineStr">
        <is>
          <t>Metrópoles</t>
        </is>
      </c>
      <c r="G1217" s="4" t="inlineStr">
        <is>
          <t>Metrópole</t>
        </is>
      </c>
      <c r="H1217" s="5">
        <f>IF(G1217="fora do recorte","",SUMPRODUCT(($G$3:$G$1723=G1217)*($A$3:$A$1723&lt;=A1217)))</f>
        <v/>
      </c>
      <c r="I1217" s="4">
        <f>IF(H1217="","",G1217&amp;"|"&amp;H1217)</f>
        <v/>
      </c>
      <c r="J1217" s="4" t="inlineStr">
        <is>
          <t>https://www.google.com/maps/search/?api=1&amp;query=Versus%201a1&amp;query_place_id=ChIJj_MRuFqZpgARtdn9AwGCoos</t>
        </is>
      </c>
      <c r="K1217" s="4" t="inlineStr">
        <is>
          <t>Av. Assis Chateaubriand, 197 701 - Belo Horizonte, MG, 30150-100, Brasil</t>
        </is>
      </c>
      <c r="L1217" s="4" t="inlineStr">
        <is>
          <t>Belo Horizonte</t>
        </is>
      </c>
      <c r="M1217" s="5" t="n">
        <v>1</v>
      </c>
    </row>
    <row r="1218">
      <c r="A1218" s="3">
        <f>RAND()</f>
        <v/>
      </c>
      <c r="B1218" s="4" t="inlineStr">
        <is>
          <t>ChIJM71EkmeXpgAR-81Om8EYtkE</t>
        </is>
      </c>
      <c r="C1218" s="4" t="inlineStr">
        <is>
          <t>Vespa TCG Card Store</t>
        </is>
      </c>
      <c r="D1218" s="4" t="inlineStr">
        <is>
          <t>Belo Horizonte</t>
        </is>
      </c>
      <c r="E1218" s="4" t="inlineStr">
        <is>
          <t>MG</t>
        </is>
      </c>
      <c r="F1218" s="4" t="inlineStr">
        <is>
          <t>Metrópoles</t>
        </is>
      </c>
      <c r="G1218" s="4" t="inlineStr">
        <is>
          <t>Metrópole</t>
        </is>
      </c>
      <c r="H1218" s="5">
        <f>IF(G1218="fora do recorte","",SUMPRODUCT(($G$3:$G$1723=G1218)*($A$3:$A$1723&lt;=A1218)))</f>
        <v/>
      </c>
      <c r="I1218" s="4">
        <f>IF(H1218="","",G1218&amp;"|"&amp;H1218)</f>
        <v/>
      </c>
      <c r="J1218" s="4" t="inlineStr">
        <is>
          <t>https://www.google.com/maps/search/?api=1&amp;query=Vespa%20TCG%20Card%20Store&amp;query_place_id=ChIJM71EkmeXpgAR-81Om8EYtkE</t>
        </is>
      </c>
      <c r="K1218" s="4" t="inlineStr">
        <is>
          <t>Av. Raja Gabáglia, 3950 - Lj 13B/14B - Estoril, Belo Horizonte - MG, 30494-310, Brasil</t>
        </is>
      </c>
      <c r="L1218" s="4" t="inlineStr">
        <is>
          <t>Belo Horizonte</t>
        </is>
      </c>
      <c r="M1218" s="5" t="n">
        <v>1</v>
      </c>
    </row>
    <row r="1219">
      <c r="A1219" s="3">
        <f>RAND()</f>
        <v/>
      </c>
      <c r="B1219" s="4" t="inlineStr">
        <is>
          <t>ChIJj-Seu2yXpgAR1Jezj-Ci0gE</t>
        </is>
      </c>
      <c r="C1219" s="4" t="inlineStr">
        <is>
          <t>Wow Park</t>
        </is>
      </c>
      <c r="D1219" s="4" t="inlineStr">
        <is>
          <t>Belo Horizonte</t>
        </is>
      </c>
      <c r="E1219" s="4" t="inlineStr">
        <is>
          <t>MG</t>
        </is>
      </c>
      <c r="F1219" s="4" t="inlineStr">
        <is>
          <t>Metrópoles</t>
        </is>
      </c>
      <c r="G1219" s="4" t="inlineStr">
        <is>
          <t>Metrópole</t>
        </is>
      </c>
      <c r="H1219" s="5">
        <f>IF(G1219="fora do recorte","",SUMPRODUCT(($G$3:$G$1723=G1219)*($A$3:$A$1723&lt;=A1219)))</f>
        <v/>
      </c>
      <c r="I1219" s="4">
        <f>IF(H1219="","",G1219&amp;"|"&amp;H1219)</f>
        <v/>
      </c>
      <c r="J1219" s="4" t="inlineStr">
        <is>
          <t>https://www.google.com/maps/search/?api=1&amp;query=Wow%20Park&amp;query_place_id=ChIJj-Seu2yXpgAR1Jezj-Ci0gE</t>
        </is>
      </c>
      <c r="K1219" s="4" t="inlineStr">
        <is>
          <t>BH Shopping - BR-356, 3049 - Belvedere, Belo Horizonte - MG, 30320-900, Brasil</t>
        </is>
      </c>
      <c r="L1219" s="4" t="inlineStr">
        <is>
          <t>Belo Horizonte</t>
        </is>
      </c>
      <c r="M1219" s="5" t="n">
        <v>1</v>
      </c>
    </row>
    <row r="1220">
      <c r="A1220" s="3">
        <f>RAND()</f>
        <v/>
      </c>
      <c r="B1220" s="4" t="inlineStr">
        <is>
          <t>ChIJf1undfOXpgARipUxXU72-2A</t>
        </is>
      </c>
      <c r="C1220" s="4" t="inlineStr">
        <is>
          <t>Xadrez de Contato</t>
        </is>
      </c>
      <c r="D1220" s="4" t="inlineStr">
        <is>
          <t>Belo Horizonte</t>
        </is>
      </c>
      <c r="E1220" s="4" t="inlineStr">
        <is>
          <t>MG</t>
        </is>
      </c>
      <c r="F1220" s="4" t="inlineStr">
        <is>
          <t>Metrópoles</t>
        </is>
      </c>
      <c r="G1220" s="4" t="inlineStr">
        <is>
          <t>Metrópole</t>
        </is>
      </c>
      <c r="H1220" s="5">
        <f>IF(G1220="fora do recorte","",SUMPRODUCT(($G$3:$G$1723=G1220)*($A$3:$A$1723&lt;=A1220)))</f>
        <v/>
      </c>
      <c r="I1220" s="4">
        <f>IF(H1220="","",G1220&amp;"|"&amp;H1220)</f>
        <v/>
      </c>
      <c r="J1220" s="4" t="inlineStr">
        <is>
          <t>https://www.google.com/maps/search/?api=1&amp;query=Xadrez%20de%20Contato&amp;query_place_id=ChIJf1undfOXpgARipUxXU72-2A</t>
        </is>
      </c>
      <c r="K1220" s="4" t="inlineStr">
        <is>
          <t>R. Santo Onófre, 300 - Apto 604 - Manacás, Belo Horizonte - MG, 30840-670, Brasil</t>
        </is>
      </c>
      <c r="L1220" s="4" t="inlineStr">
        <is>
          <t>Belo Horizonte</t>
        </is>
      </c>
      <c r="M1220" s="5" t="n">
        <v>1</v>
      </c>
    </row>
    <row r="1221">
      <c r="A1221" s="3">
        <f>RAND()</f>
        <v/>
      </c>
      <c r="B1221" s="4" t="inlineStr">
        <is>
          <t>ChIJNYmxsPeZpgARS_lAUcErAFI</t>
        </is>
      </c>
      <c r="C1221" s="4" t="inlineStr">
        <is>
          <t>Yakan</t>
        </is>
      </c>
      <c r="D1221" s="4" t="inlineStr">
        <is>
          <t>Belo Horizonte</t>
        </is>
      </c>
      <c r="E1221" s="4" t="inlineStr">
        <is>
          <t>MG</t>
        </is>
      </c>
      <c r="F1221" s="4" t="inlineStr">
        <is>
          <t>Metrópoles</t>
        </is>
      </c>
      <c r="G1221" s="4" t="inlineStr">
        <is>
          <t>Metrópole</t>
        </is>
      </c>
      <c r="H1221" s="5">
        <f>IF(G1221="fora do recorte","",SUMPRODUCT(($G$3:$G$1723=G1221)*($A$3:$A$1723&lt;=A1221)))</f>
        <v/>
      </c>
      <c r="I1221" s="4">
        <f>IF(H1221="","",G1221&amp;"|"&amp;H1221)</f>
        <v/>
      </c>
      <c r="J1221" s="4" t="inlineStr">
        <is>
          <t>https://www.google.com/maps/search/?api=1&amp;query=Yakan&amp;query_place_id=ChIJNYmxsPeZpgARS_lAUcErAFI</t>
        </is>
      </c>
      <c r="K1221" s="4" t="inlineStr">
        <is>
          <t>Av. do Contorno, 5761 - Savassi, Belo Horizonte - MG, 30110-035, Brasil</t>
        </is>
      </c>
      <c r="L1221" s="4" t="inlineStr">
        <is>
          <t>Belo Horizonte</t>
        </is>
      </c>
      <c r="M1221" s="5" t="n">
        <v>1</v>
      </c>
    </row>
    <row r="1222">
      <c r="A1222" s="3">
        <f>RAND()</f>
        <v/>
      </c>
      <c r="B1222" s="4" t="inlineStr">
        <is>
          <t>ChIJtwr4B2uapgARmoNuWVdPSUY</t>
        </is>
      </c>
      <c r="C1222" s="4" t="inlineStr">
        <is>
          <t>ZEUS GAMES BH</t>
        </is>
      </c>
      <c r="D1222" s="4" t="inlineStr">
        <is>
          <t>Belo Horizonte</t>
        </is>
      </c>
      <c r="E1222" s="4" t="inlineStr">
        <is>
          <t>MG</t>
        </is>
      </c>
      <c r="F1222" s="4" t="inlineStr">
        <is>
          <t>Metrópoles</t>
        </is>
      </c>
      <c r="G1222" s="4" t="inlineStr">
        <is>
          <t>Metrópole</t>
        </is>
      </c>
      <c r="H1222" s="5">
        <f>IF(G1222="fora do recorte","",SUMPRODUCT(($G$3:$G$1723=G1222)*($A$3:$A$1723&lt;=A1222)))</f>
        <v/>
      </c>
      <c r="I1222" s="4">
        <f>IF(H1222="","",G1222&amp;"|"&amp;H1222)</f>
        <v/>
      </c>
      <c r="J1222" s="4" t="inlineStr">
        <is>
          <t>https://www.google.com/maps/search/?api=1&amp;query=ZEUS%20GAMES%20BH&amp;query_place_id=ChIJtwr4B2uapgARmoNuWVdPSUY</t>
        </is>
      </c>
      <c r="K1222" s="4" t="inlineStr">
        <is>
          <t>Av. Cristiano Machado, 1682 - Lj 12 - Cidade Nova, Belo Horizonte - MG, 31170-024, Brasil</t>
        </is>
      </c>
      <c r="L1222" s="4" t="inlineStr">
        <is>
          <t>Belo Horizonte</t>
        </is>
      </c>
      <c r="M1222" s="5" t="n">
        <v>2</v>
      </c>
    </row>
    <row r="1223">
      <c r="A1223" s="3">
        <f>RAND()</f>
        <v/>
      </c>
      <c r="B1223" s="4" t="inlineStr">
        <is>
          <t>ChIJAQAUxWGXpgARFPNWGvphNQA</t>
        </is>
      </c>
      <c r="C1223" s="4" t="inlineStr">
        <is>
          <t>vila lúdica</t>
        </is>
      </c>
      <c r="D1223" s="4" t="inlineStr">
        <is>
          <t>Belo Horizonte</t>
        </is>
      </c>
      <c r="E1223" s="4" t="inlineStr">
        <is>
          <t>MG</t>
        </is>
      </c>
      <c r="F1223" s="4" t="inlineStr">
        <is>
          <t>Metrópoles</t>
        </is>
      </c>
      <c r="G1223" s="4" t="inlineStr">
        <is>
          <t>Metrópole</t>
        </is>
      </c>
      <c r="H1223" s="5">
        <f>IF(G1223="fora do recorte","",SUMPRODUCT(($G$3:$G$1723=G1223)*($A$3:$A$1723&lt;=A1223)))</f>
        <v/>
      </c>
      <c r="I1223" s="4">
        <f>IF(H1223="","",G1223&amp;"|"&amp;H1223)</f>
        <v/>
      </c>
      <c r="J1223" s="4" t="inlineStr">
        <is>
          <t>https://www.google.com/maps/search/?api=1&amp;query=vila%20l%C3%BAdica&amp;query_place_id=ChIJAQAUxWGXpgARFPNWGvphNQA</t>
        </is>
      </c>
      <c r="K1223" s="4" t="inlineStr">
        <is>
          <t>R. Curitiba, 2039 - 2º andar - Lourdes, Belo Horizonte - MG, 30170-127, Brasil</t>
        </is>
      </c>
      <c r="L1223" s="4" t="inlineStr">
        <is>
          <t>Belo Horizonte</t>
        </is>
      </c>
      <c r="M1223" s="5" t="n">
        <v>1</v>
      </c>
    </row>
    <row r="1224">
      <c r="A1224" s="3">
        <f>RAND()</f>
        <v/>
      </c>
      <c r="B1224" s="4" t="inlineStr">
        <is>
          <t>ChIJK-IiTfuVpgARx8rVtqv8c3g</t>
        </is>
      </c>
      <c r="C1224" s="4" t="inlineStr">
        <is>
          <t>Massula Nerd House</t>
        </is>
      </c>
      <c r="D1224" s="4" t="inlineStr">
        <is>
          <t>Contagem</t>
        </is>
      </c>
      <c r="E1224" s="4" t="inlineStr">
        <is>
          <t>MG</t>
        </is>
      </c>
      <c r="F1224" s="4" t="inlineStr">
        <is>
          <t>Metrópoles</t>
        </is>
      </c>
      <c r="G1224" s="4" t="inlineStr">
        <is>
          <t>Metrópole</t>
        </is>
      </c>
      <c r="H1224" s="5">
        <f>IF(G1224="fora do recorte","",SUMPRODUCT(($G$3:$G$1723=G1224)*($A$3:$A$1723&lt;=A1224)))</f>
        <v/>
      </c>
      <c r="I1224" s="4">
        <f>IF(H1224="","",G1224&amp;"|"&amp;H1224)</f>
        <v/>
      </c>
      <c r="J1224" s="4" t="inlineStr">
        <is>
          <t>https://www.google.com/maps/search/?api=1&amp;query=Massula%20Nerd%20House&amp;query_place_id=ChIJK-IiTfuVpgARx8rVtqv8c3g</t>
        </is>
      </c>
      <c r="K1224" s="4" t="inlineStr">
        <is>
          <t>R. Manoel João Diniz Camargos, 524 - Alvorada, Contagem - MG, 32042-220, Brasil</t>
        </is>
      </c>
      <c r="L1224" s="4" t="inlineStr">
        <is>
          <t>Belo Horizonte; Belém; Goiânia</t>
        </is>
      </c>
      <c r="M1224" s="5" t="n">
        <v>6</v>
      </c>
    </row>
    <row r="1225">
      <c r="A1225" s="3">
        <f>RAND()</f>
        <v/>
      </c>
      <c r="B1225" s="4" t="inlineStr">
        <is>
          <t>ChIJ2bENOdqVpgARP1bHlg0ofLc</t>
        </is>
      </c>
      <c r="C1225" s="4" t="inlineStr">
        <is>
          <t>Ô Bar Lounge &amp; Drinkeria</t>
        </is>
      </c>
      <c r="D1225" s="4" t="inlineStr">
        <is>
          <t>Contagem</t>
        </is>
      </c>
      <c r="E1225" s="4" t="inlineStr">
        <is>
          <t>MG</t>
        </is>
      </c>
      <c r="F1225" s="4" t="inlineStr">
        <is>
          <t>Metrópoles</t>
        </is>
      </c>
      <c r="G1225" s="4" t="inlineStr">
        <is>
          <t>Metrópole</t>
        </is>
      </c>
      <c r="H1225" s="5">
        <f>IF(G1225="fora do recorte","",SUMPRODUCT(($G$3:$G$1723=G1225)*($A$3:$A$1723&lt;=A1225)))</f>
        <v/>
      </c>
      <c r="I1225" s="4">
        <f>IF(H1225="","",G1225&amp;"|"&amp;H1225)</f>
        <v/>
      </c>
      <c r="J1225" s="4" t="inlineStr">
        <is>
          <t>https://www.google.com/maps/search/?api=1&amp;query=%C3%94%20Bar%20Lounge%20%26%20Drinkeria&amp;query_place_id=ChIJ2bENOdqVpgARP1bHlg0ofLc</t>
        </is>
      </c>
      <c r="K1225" s="4" t="inlineStr">
        <is>
          <t>R. Joaquim José, 1100 - Fonte Grande, Contagem - MG, 32040-632, Brasil</t>
        </is>
      </c>
      <c r="L1225" s="4" t="inlineStr">
        <is>
          <t>Belo Horizonte</t>
        </is>
      </c>
      <c r="M1225" s="5" t="n">
        <v>1</v>
      </c>
    </row>
    <row r="1226">
      <c r="A1226" s="3">
        <f>RAND()</f>
        <v/>
      </c>
      <c r="B1226" s="4" t="inlineStr">
        <is>
          <t>ChIJi_B5ORw3C4wR08fK74ipWno</t>
        </is>
      </c>
      <c r="C1226" s="4" t="inlineStr">
        <is>
          <t>Tress Colorê</t>
        </is>
      </c>
      <c r="D1226" s="4" t="inlineStr">
        <is>
          <t>Nova Lima</t>
        </is>
      </c>
      <c r="E1226" s="4" t="inlineStr">
        <is>
          <t>MG</t>
        </is>
      </c>
      <c r="F1226" s="4" t="inlineStr">
        <is>
          <t>Metrópoles</t>
        </is>
      </c>
      <c r="G1226" s="4" t="inlineStr">
        <is>
          <t>Metrópole</t>
        </is>
      </c>
      <c r="H1226" s="5">
        <f>IF(G1226="fora do recorte","",SUMPRODUCT(($G$3:$G$1723=G1226)*($A$3:$A$1723&lt;=A1226)))</f>
        <v/>
      </c>
      <c r="I1226" s="4">
        <f>IF(H1226="","",G1226&amp;"|"&amp;H1226)</f>
        <v/>
      </c>
      <c r="J1226" s="4" t="inlineStr">
        <is>
          <t>https://www.google.com/maps/search/?api=1&amp;query=Tress%20Color%C3%AA&amp;query_place_id=ChIJi_B5ORw3C4wR08fK74ipWno</t>
        </is>
      </c>
      <c r="K1226" s="4" t="inlineStr">
        <is>
          <t>Alameda Monteiro Lobato - Quintas II, Nova Lima - MG, 34003-326, Brasil</t>
        </is>
      </c>
      <c r="L1226" s="4" t="inlineStr">
        <is>
          <t>Belo Horizonte</t>
        </is>
      </c>
      <c r="M1226" s="5" t="n">
        <v>1</v>
      </c>
    </row>
    <row r="1227">
      <c r="A1227" s="3">
        <f>RAND()</f>
        <v/>
      </c>
      <c r="B1227" s="4" t="inlineStr">
        <is>
          <t>ChIJ_1Yngo-LpJIRj6otOv7kRn8</t>
        </is>
      </c>
      <c r="C1227" s="4" t="inlineStr">
        <is>
          <t>FANTASY GAMES - Assistência Técnica Especializada</t>
        </is>
      </c>
      <c r="D1227" s="4" t="inlineStr">
        <is>
          <t>Ananindeua</t>
        </is>
      </c>
      <c r="E1227" s="4" t="inlineStr">
        <is>
          <t>PA</t>
        </is>
      </c>
      <c r="F1227" s="4" t="inlineStr">
        <is>
          <t>Metrópoles</t>
        </is>
      </c>
      <c r="G1227" s="4" t="inlineStr">
        <is>
          <t>Metrópole</t>
        </is>
      </c>
      <c r="H1227" s="5">
        <f>IF(G1227="fora do recorte","",SUMPRODUCT(($G$3:$G$1723=G1227)*($A$3:$A$1723&lt;=A1227)))</f>
        <v/>
      </c>
      <c r="I1227" s="4">
        <f>IF(H1227="","",G1227&amp;"|"&amp;H1227)</f>
        <v/>
      </c>
      <c r="J1227" s="4" t="inlineStr">
        <is>
          <t>https://www.google.com/maps/search/?api=1&amp;query=FANTASY%20GAMES%20-%20Assist%C3%AAncia%20T%C3%A9cnica%20Especializada&amp;query_place_id=ChIJ_1Yngo-LpJIRj6otOv7kRn8</t>
        </is>
      </c>
      <c r="K1227" s="4" t="inlineStr">
        <is>
          <t>Passagem Jarbas Passarinho, 120 A - Atalaia, Ananindeua - PA, 66645-410, Brasil</t>
        </is>
      </c>
      <c r="L1227" s="4" t="inlineStr">
        <is>
          <t>Belém</t>
        </is>
      </c>
      <c r="M1227" s="5" t="n">
        <v>1</v>
      </c>
    </row>
    <row r="1228">
      <c r="A1228" s="3">
        <f>RAND()</f>
        <v/>
      </c>
      <c r="B1228" s="4" t="inlineStr">
        <is>
          <t>ChIJESrJVzaPpJIRfH9fLUFSekE</t>
        </is>
      </c>
      <c r="C1228" s="4" t="inlineStr">
        <is>
          <t>Best Drinks Openbar (serviço de barman)</t>
        </is>
      </c>
      <c r="D1228" s="4" t="inlineStr">
        <is>
          <t>Belém</t>
        </is>
      </c>
      <c r="E1228" s="4" t="inlineStr">
        <is>
          <t>PA</t>
        </is>
      </c>
      <c r="F1228" s="4" t="inlineStr">
        <is>
          <t>Metrópoles</t>
        </is>
      </c>
      <c r="G1228" s="4" t="inlineStr">
        <is>
          <t>Metrópole</t>
        </is>
      </c>
      <c r="H1228" s="5">
        <f>IF(G1228="fora do recorte","",SUMPRODUCT(($G$3:$G$1723=G1228)*($A$3:$A$1723&lt;=A1228)))</f>
        <v/>
      </c>
      <c r="I1228" s="4">
        <f>IF(H1228="","",G1228&amp;"|"&amp;H1228)</f>
        <v/>
      </c>
      <c r="J1228" s="4" t="inlineStr">
        <is>
          <t>https://www.google.com/maps/search/?api=1&amp;query=Best%20Drinks%20Openbar%20%28servi%C3%A7o%20de%20barman%29&amp;query_place_id=ChIJESrJVzaPpJIRfH9fLUFSekE</t>
        </is>
      </c>
      <c r="K1228" s="4" t="inlineStr">
        <is>
          <t>Tv. Padre Eutíquio, 2157 - Batista Campos, Belém - PA, 66033-726, Brasil</t>
        </is>
      </c>
      <c r="L1228" s="4" t="inlineStr">
        <is>
          <t>Belém</t>
        </is>
      </c>
      <c r="M1228" s="5" t="n">
        <v>1</v>
      </c>
    </row>
    <row r="1229">
      <c r="A1229" s="3">
        <f>RAND()</f>
        <v/>
      </c>
      <c r="B1229" s="4" t="inlineStr">
        <is>
          <t>ChIJ8zoioqaOpJIRCvez_jo03LM</t>
        </is>
      </c>
      <c r="C1229" s="4" t="inlineStr">
        <is>
          <t>Black Dog English Pub</t>
        </is>
      </c>
      <c r="D1229" s="4" t="inlineStr">
        <is>
          <t>Belém</t>
        </is>
      </c>
      <c r="E1229" s="4" t="inlineStr">
        <is>
          <t>PA</t>
        </is>
      </c>
      <c r="F1229" s="4" t="inlineStr">
        <is>
          <t>Metrópoles</t>
        </is>
      </c>
      <c r="G1229" s="4" t="inlineStr">
        <is>
          <t>Metrópole</t>
        </is>
      </c>
      <c r="H1229" s="5">
        <f>IF(G1229="fora do recorte","",SUMPRODUCT(($G$3:$G$1723=G1229)*($A$3:$A$1723&lt;=A1229)))</f>
        <v/>
      </c>
      <c r="I1229" s="4">
        <f>IF(H1229="","",G1229&amp;"|"&amp;H1229)</f>
        <v/>
      </c>
      <c r="J1229" s="4" t="inlineStr">
        <is>
          <t>https://www.google.com/maps/search/?api=1&amp;query=Black%20Dog%20English%20Pub&amp;query_place_id=ChIJ8zoioqaOpJIRCvez_jo03LM</t>
        </is>
      </c>
      <c r="K1229" s="4" t="inlineStr">
        <is>
          <t>R. Bernal do Couto, 791 - Umarizal, Belém - PA, 66055-080, Brasil</t>
        </is>
      </c>
      <c r="L1229" s="4" t="inlineStr">
        <is>
          <t>Belém</t>
        </is>
      </c>
      <c r="M1229" s="5" t="n">
        <v>1</v>
      </c>
    </row>
    <row r="1230">
      <c r="A1230" s="3">
        <f>RAND()</f>
        <v/>
      </c>
      <c r="B1230" s="4" t="inlineStr">
        <is>
          <t>ChIJj81KlDuKpJIRlI03TiX35f8</t>
        </is>
      </c>
      <c r="C1230" s="4" t="inlineStr">
        <is>
          <t>Bosque Sport Bar &amp; Bowling (1° andar)</t>
        </is>
      </c>
      <c r="D1230" s="4" t="inlineStr">
        <is>
          <t>Belém</t>
        </is>
      </c>
      <c r="E1230" s="4" t="inlineStr">
        <is>
          <t>PA</t>
        </is>
      </c>
      <c r="F1230" s="4" t="inlineStr">
        <is>
          <t>Metrópoles</t>
        </is>
      </c>
      <c r="G1230" s="4" t="inlineStr">
        <is>
          <t>Metrópole</t>
        </is>
      </c>
      <c r="H1230" s="5">
        <f>IF(G1230="fora do recorte","",SUMPRODUCT(($G$3:$G$1723=G1230)*($A$3:$A$1723&lt;=A1230)))</f>
        <v/>
      </c>
      <c r="I1230" s="4">
        <f>IF(H1230="","",G1230&amp;"|"&amp;H1230)</f>
        <v/>
      </c>
      <c r="J1230" s="4" t="inlineStr">
        <is>
          <t>https://www.google.com/maps/search/?api=1&amp;query=Bosque%20Sport%20Bar%20%26%20Bowling%20%281%C2%B0%20andar%29&amp;query_place_id=ChIJj81KlDuKpJIRlI03TiX35f8</t>
        </is>
      </c>
      <c r="K1230" s="4" t="inlineStr">
        <is>
          <t>Av. Centenário, 1052 - Val-de-Cans, Belém - PA, 66635-894, Brasil</t>
        </is>
      </c>
      <c r="L1230" s="4" t="inlineStr">
        <is>
          <t>Belém</t>
        </is>
      </c>
      <c r="M1230" s="5" t="n">
        <v>1</v>
      </c>
    </row>
    <row r="1231">
      <c r="A1231" s="3">
        <f>RAND()</f>
        <v/>
      </c>
      <c r="B1231" s="4" t="inlineStr">
        <is>
          <t>ChIJVTxYRTyPpJIRj9XZhG0JL3A</t>
        </is>
      </c>
      <c r="C1231" s="4" t="inlineStr">
        <is>
          <t>Café com Arte</t>
        </is>
      </c>
      <c r="D1231" s="4" t="inlineStr">
        <is>
          <t>Belém</t>
        </is>
      </c>
      <c r="E1231" s="4" t="inlineStr">
        <is>
          <t>PA</t>
        </is>
      </c>
      <c r="F1231" s="4" t="inlineStr">
        <is>
          <t>Metrópoles</t>
        </is>
      </c>
      <c r="G1231" s="4" t="inlineStr">
        <is>
          <t>Metrópole</t>
        </is>
      </c>
      <c r="H1231" s="5">
        <f>IF(G1231="fora do recorte","",SUMPRODUCT(($G$3:$G$1723=G1231)*($A$3:$A$1723&lt;=A1231)))</f>
        <v/>
      </c>
      <c r="I1231" s="4">
        <f>IF(H1231="","",G1231&amp;"|"&amp;H1231)</f>
        <v/>
      </c>
      <c r="J1231" s="4" t="inlineStr">
        <is>
          <t>https://www.google.com/maps/search/?api=1&amp;query=Caf%C3%A9%20com%20Arte&amp;query_place_id=ChIJVTxYRTyPpJIRj9XZhG0JL3A</t>
        </is>
      </c>
      <c r="K1231" s="4" t="inlineStr">
        <is>
          <t>Tv. Rui Barbosa, 1437 - Nazaré, Belém - PA, 66035-220, Brasil</t>
        </is>
      </c>
      <c r="L1231" s="4" t="inlineStr">
        <is>
          <t>Belém</t>
        </is>
      </c>
      <c r="M1231" s="5" t="n">
        <v>1</v>
      </c>
    </row>
    <row r="1232">
      <c r="A1232" s="3">
        <f>RAND()</f>
        <v/>
      </c>
      <c r="B1232" s="4" t="inlineStr">
        <is>
          <t>ChIJgaC1OmqLpJIRawUQHELJQ-E</t>
        </is>
      </c>
      <c r="C1232" s="4" t="inlineStr">
        <is>
          <t>Casa Marquês</t>
        </is>
      </c>
      <c r="D1232" s="4" t="inlineStr">
        <is>
          <t>Belém</t>
        </is>
      </c>
      <c r="E1232" s="4" t="inlineStr">
        <is>
          <t>PA</t>
        </is>
      </c>
      <c r="F1232" s="4" t="inlineStr">
        <is>
          <t>Metrópoles</t>
        </is>
      </c>
      <c r="G1232" s="4" t="inlineStr">
        <is>
          <t>Metrópole</t>
        </is>
      </c>
      <c r="H1232" s="5">
        <f>IF(G1232="fora do recorte","",SUMPRODUCT(($G$3:$G$1723=G1232)*($A$3:$A$1723&lt;=A1232)))</f>
        <v/>
      </c>
      <c r="I1232" s="4">
        <f>IF(H1232="","",G1232&amp;"|"&amp;H1232)</f>
        <v/>
      </c>
      <c r="J1232" s="4" t="inlineStr">
        <is>
          <t>https://www.google.com/maps/search/?api=1&amp;query=Casa%20Marqu%C3%AAs&amp;query_place_id=ChIJgaC1OmqLpJIRawUQHELJQ-E</t>
        </is>
      </c>
      <c r="K1232" s="4" t="inlineStr">
        <is>
          <t>Av. Marquês de Herval, 2038 - Pedreira, Belém - PA, 66087-320, Brasil</t>
        </is>
      </c>
      <c r="L1232" s="4" t="inlineStr">
        <is>
          <t>Belém</t>
        </is>
      </c>
      <c r="M1232" s="5" t="n">
        <v>2</v>
      </c>
    </row>
    <row r="1233">
      <c r="A1233" s="3">
        <f>RAND()</f>
        <v/>
      </c>
      <c r="B1233" s="4" t="inlineStr">
        <is>
          <t>ChIJR-oYj4WOpJIRpgRsogKVGyo</t>
        </is>
      </c>
      <c r="C1233" s="4" t="inlineStr">
        <is>
          <t>Cosanostra Café</t>
        </is>
      </c>
      <c r="D1233" s="4" t="inlineStr">
        <is>
          <t>Belém</t>
        </is>
      </c>
      <c r="E1233" s="4" t="inlineStr">
        <is>
          <t>PA</t>
        </is>
      </c>
      <c r="F1233" s="4" t="inlineStr">
        <is>
          <t>Metrópoles</t>
        </is>
      </c>
      <c r="G1233" s="4" t="inlineStr">
        <is>
          <t>Metrópole</t>
        </is>
      </c>
      <c r="H1233" s="5">
        <f>IF(G1233="fora do recorte","",SUMPRODUCT(($G$3:$G$1723=G1233)*($A$3:$A$1723&lt;=A1233)))</f>
        <v/>
      </c>
      <c r="I1233" s="4">
        <f>IF(H1233="","",G1233&amp;"|"&amp;H1233)</f>
        <v/>
      </c>
      <c r="J1233" s="4" t="inlineStr">
        <is>
          <t>https://www.google.com/maps/search/?api=1&amp;query=Cosanostra%20Caf%C3%A9&amp;query_place_id=ChIJR-oYj4WOpJIRpgRsogKVGyo</t>
        </is>
      </c>
      <c r="K1233" s="4" t="inlineStr">
        <is>
          <t>Tv. Benjamin Constant, 1499 - Nazaré, Belém - PA, 66035-060, Brasil</t>
        </is>
      </c>
      <c r="L1233" s="4" t="inlineStr">
        <is>
          <t>Belém</t>
        </is>
      </c>
      <c r="M1233" s="5" t="n">
        <v>1</v>
      </c>
    </row>
    <row r="1234">
      <c r="A1234" s="3">
        <f>RAND()</f>
        <v/>
      </c>
      <c r="B1234" s="4" t="inlineStr">
        <is>
          <t>ChIJiY9zEsyNpJIR_mfO_JdbZqY</t>
        </is>
      </c>
      <c r="C1234" s="4" t="inlineStr">
        <is>
          <t>EXP CARD STORE</t>
        </is>
      </c>
      <c r="D1234" s="4" t="inlineStr">
        <is>
          <t>Belém</t>
        </is>
      </c>
      <c r="E1234" s="4" t="inlineStr">
        <is>
          <t>PA</t>
        </is>
      </c>
      <c r="F1234" s="4" t="inlineStr">
        <is>
          <t>Metrópoles</t>
        </is>
      </c>
      <c r="G1234" s="4" t="inlineStr">
        <is>
          <t>Metrópole</t>
        </is>
      </c>
      <c r="H1234" s="5">
        <f>IF(G1234="fora do recorte","",SUMPRODUCT(($G$3:$G$1723=G1234)*($A$3:$A$1723&lt;=A1234)))</f>
        <v/>
      </c>
      <c r="I1234" s="4">
        <f>IF(H1234="","",G1234&amp;"|"&amp;H1234)</f>
        <v/>
      </c>
      <c r="J1234" s="4" t="inlineStr">
        <is>
          <t>https://www.google.com/maps/search/?api=1&amp;query=EXP%20CARD%20STORE&amp;query_place_id=ChIJiY9zEsyNpJIR_mfO_JdbZqY</t>
        </is>
      </c>
      <c r="K1234" s="4" t="inlineStr">
        <is>
          <t>R. Bernal do Couto, 1296 - Umarizal, Belém - PA, 66055-080, Brasil</t>
        </is>
      </c>
      <c r="L1234" s="4" t="inlineStr">
        <is>
          <t>Belém</t>
        </is>
      </c>
      <c r="M1234" s="5" t="n">
        <v>3</v>
      </c>
    </row>
    <row r="1235">
      <c r="A1235" s="3">
        <f>RAND()</f>
        <v/>
      </c>
      <c r="B1235" s="4" t="inlineStr">
        <is>
          <t>ChIJW6B6GACPpJIRB--XoYN1boE</t>
        </is>
      </c>
      <c r="C1235" s="4" t="inlineStr">
        <is>
          <t>Exp Card Store</t>
        </is>
      </c>
      <c r="D1235" s="4" t="inlineStr">
        <is>
          <t>Belém</t>
        </is>
      </c>
      <c r="E1235" s="4" t="inlineStr">
        <is>
          <t>PA</t>
        </is>
      </c>
      <c r="F1235" s="4" t="inlineStr">
        <is>
          <t>Metrópoles</t>
        </is>
      </c>
      <c r="G1235" s="4" t="inlineStr">
        <is>
          <t>Metrópole</t>
        </is>
      </c>
      <c r="H1235" s="5">
        <f>IF(G1235="fora do recorte","",SUMPRODUCT(($G$3:$G$1723=G1235)*($A$3:$A$1723&lt;=A1235)))</f>
        <v/>
      </c>
      <c r="I1235" s="4">
        <f>IF(H1235="","",G1235&amp;"|"&amp;H1235)</f>
        <v/>
      </c>
      <c r="J1235" s="4" t="inlineStr">
        <is>
          <t>https://www.google.com/maps/search/?api=1&amp;query=Exp%20Card%20Store&amp;query_place_id=ChIJW6B6GACPpJIRB--XoYN1boE</t>
        </is>
      </c>
      <c r="K1235" s="4" t="inlineStr">
        <is>
          <t>R. Bernal do Couto, 1296 - Umarizal, Belém - PA, 66055-080, Brasil</t>
        </is>
      </c>
      <c r="L1235" s="4" t="inlineStr">
        <is>
          <t>Belém</t>
        </is>
      </c>
      <c r="M1235" s="5" t="n">
        <v>1</v>
      </c>
    </row>
    <row r="1236">
      <c r="A1236" s="3">
        <f>RAND()</f>
        <v/>
      </c>
      <c r="B1236" s="4" t="inlineStr">
        <is>
          <t>ChIJxxdXpZCPpJIRXqtxBwCGhgY</t>
        </is>
      </c>
      <c r="C1236" s="4" t="inlineStr">
        <is>
          <t>GAME HOUSE BELÉM</t>
        </is>
      </c>
      <c r="D1236" s="4" t="inlineStr">
        <is>
          <t>Belém</t>
        </is>
      </c>
      <c r="E1236" s="4" t="inlineStr">
        <is>
          <t>PA</t>
        </is>
      </c>
      <c r="F1236" s="4" t="inlineStr">
        <is>
          <t>Metrópoles</t>
        </is>
      </c>
      <c r="G1236" s="4" t="inlineStr">
        <is>
          <t>Metrópole</t>
        </is>
      </c>
      <c r="H1236" s="5">
        <f>IF(G1236="fora do recorte","",SUMPRODUCT(($G$3:$G$1723=G1236)*($A$3:$A$1723&lt;=A1236)))</f>
        <v/>
      </c>
      <c r="I1236" s="4">
        <f>IF(H1236="","",G1236&amp;"|"&amp;H1236)</f>
        <v/>
      </c>
      <c r="J1236" s="4" t="inlineStr">
        <is>
          <t>https://www.google.com/maps/search/?api=1&amp;query=GAME%20HOUSE%20BEL%C3%89M&amp;query_place_id=ChIJxxdXpZCPpJIRXqtxBwCGhgY</t>
        </is>
      </c>
      <c r="K1236" s="4" t="inlineStr">
        <is>
          <t>Rua dos Quarenta e Oito Center 47 - Batista Campos, Belém - PA, 66025-230, Brasil</t>
        </is>
      </c>
      <c r="L1236" s="4" t="inlineStr">
        <is>
          <t>Belém</t>
        </is>
      </c>
      <c r="M1236" s="5" t="n">
        <v>4</v>
      </c>
    </row>
    <row r="1237">
      <c r="A1237" s="3">
        <f>RAND()</f>
        <v/>
      </c>
      <c r="B1237" s="4" t="inlineStr">
        <is>
          <t>ChIJJ2XK6HiPpJIR-mKfVXU1D3A</t>
        </is>
      </c>
      <c r="C1237" s="4" t="inlineStr">
        <is>
          <t>Golden Plaza Belém</t>
        </is>
      </c>
      <c r="D1237" s="4" t="inlineStr">
        <is>
          <t>Belém</t>
        </is>
      </c>
      <c r="E1237" s="4" t="inlineStr">
        <is>
          <t>PA</t>
        </is>
      </c>
      <c r="F1237" s="4" t="inlineStr">
        <is>
          <t>Metrópoles</t>
        </is>
      </c>
      <c r="G1237" s="4" t="inlineStr">
        <is>
          <t>Metrópole</t>
        </is>
      </c>
      <c r="H1237" s="5">
        <f>IF(G1237="fora do recorte","",SUMPRODUCT(($G$3:$G$1723=G1237)*($A$3:$A$1723&lt;=A1237)))</f>
        <v/>
      </c>
      <c r="I1237" s="4">
        <f>IF(H1237="","",G1237&amp;"|"&amp;H1237)</f>
        <v/>
      </c>
      <c r="J1237" s="4" t="inlineStr">
        <is>
          <t>https://www.google.com/maps/search/?api=1&amp;query=Golden%20Plaza%20Bel%C3%A9m&amp;query_place_id=ChIJJ2XK6HiPpJIR-mKfVXU1D3A</t>
        </is>
      </c>
      <c r="K1237" s="4" t="inlineStr">
        <is>
          <t>Shopping Pátio Belém - Tv. Padre Eutíquio, 1128 - Segundo Piso - Campina, Belém - PA, 66013-000, Brasil</t>
        </is>
      </c>
      <c r="L1237" s="4" t="inlineStr">
        <is>
          <t>Belém</t>
        </is>
      </c>
      <c r="M1237" s="5" t="n">
        <v>2</v>
      </c>
    </row>
    <row r="1238">
      <c r="A1238" s="3">
        <f>RAND()</f>
        <v/>
      </c>
      <c r="B1238" s="4" t="inlineStr">
        <is>
          <t>ChIJsaXZ49VhpJIRfjecsk0yPHA</t>
        </is>
      </c>
      <c r="C1238" s="4" t="inlineStr">
        <is>
          <t>Havan Belém</t>
        </is>
      </c>
      <c r="D1238" s="4" t="inlineStr">
        <is>
          <t>Belém</t>
        </is>
      </c>
      <c r="E1238" s="4" t="inlineStr">
        <is>
          <t>PA</t>
        </is>
      </c>
      <c r="F1238" s="4" t="inlineStr">
        <is>
          <t>Metrópoles</t>
        </is>
      </c>
      <c r="G1238" s="4" t="inlineStr">
        <is>
          <t>Metrópole</t>
        </is>
      </c>
      <c r="H1238" s="5">
        <f>IF(G1238="fora do recorte","",SUMPRODUCT(($G$3:$G$1723=G1238)*($A$3:$A$1723&lt;=A1238)))</f>
        <v/>
      </c>
      <c r="I1238" s="4">
        <f>IF(H1238="","",G1238&amp;"|"&amp;H1238)</f>
        <v/>
      </c>
      <c r="J1238" s="4" t="inlineStr">
        <is>
          <t>https://www.google.com/maps/search/?api=1&amp;query=Havan%20Bel%C3%A9m&amp;query_place_id=ChIJsaXZ49VhpJIRfjecsk0yPHA</t>
        </is>
      </c>
      <c r="K1238" s="4" t="inlineStr">
        <is>
          <t>Rod. Augusto Montenegro, 2216 - Mangueirão, Belém - PA, 66640-000, Brasil</t>
        </is>
      </c>
      <c r="L1238" s="4" t="inlineStr">
        <is>
          <t>Belém</t>
        </is>
      </c>
      <c r="M1238" s="5" t="n">
        <v>1</v>
      </c>
    </row>
    <row r="1239">
      <c r="A1239" s="3">
        <f>RAND()</f>
        <v/>
      </c>
      <c r="B1239" s="4" t="inlineStr">
        <is>
          <t>ChIJFfONwXGLpJIRBoRsNv3aQfI</t>
        </is>
      </c>
      <c r="C1239" s="4" t="inlineStr">
        <is>
          <t>Hey! Hero Geek Store</t>
        </is>
      </c>
      <c r="D1239" s="4" t="inlineStr">
        <is>
          <t>Belém</t>
        </is>
      </c>
      <c r="E1239" s="4" t="inlineStr">
        <is>
          <t>PA</t>
        </is>
      </c>
      <c r="F1239" s="4" t="inlineStr">
        <is>
          <t>Metrópoles</t>
        </is>
      </c>
      <c r="G1239" s="4" t="inlineStr">
        <is>
          <t>Metrópole</t>
        </is>
      </c>
      <c r="H1239" s="5">
        <f>IF(G1239="fora do recorte","",SUMPRODUCT(($G$3:$G$1723=G1239)*($A$3:$A$1723&lt;=A1239)))</f>
        <v/>
      </c>
      <c r="I1239" s="4">
        <f>IF(H1239="","",G1239&amp;"|"&amp;H1239)</f>
        <v/>
      </c>
      <c r="J1239" s="4" t="inlineStr">
        <is>
          <t>https://www.google.com/maps/search/?api=1&amp;query=Hey%21%20Hero%20Geek%20Store&amp;query_place_id=ChIJFfONwXGLpJIRBoRsNv3aQfI</t>
        </is>
      </c>
      <c r="K1239" s="4" t="inlineStr">
        <is>
          <t>Tv. Mauriti - Pedreira, Belém - PA, 66087-680, Brasil</t>
        </is>
      </c>
      <c r="L1239" s="4" t="inlineStr">
        <is>
          <t>Belém</t>
        </is>
      </c>
      <c r="M1239" s="5" t="n">
        <v>2</v>
      </c>
    </row>
    <row r="1240">
      <c r="A1240" s="3">
        <f>RAND()</f>
        <v/>
      </c>
      <c r="B1240" s="4" t="inlineStr">
        <is>
          <t>ChIJyW-C2YuOpJIRrMyg3yhcl5E</t>
        </is>
      </c>
      <c r="C1240" s="4" t="inlineStr">
        <is>
          <t>J M Games</t>
        </is>
      </c>
      <c r="D1240" s="4" t="inlineStr">
        <is>
          <t>Belém</t>
        </is>
      </c>
      <c r="E1240" s="4" t="inlineStr">
        <is>
          <t>PA</t>
        </is>
      </c>
      <c r="F1240" s="4" t="inlineStr">
        <is>
          <t>Metrópoles</t>
        </is>
      </c>
      <c r="G1240" s="4" t="inlineStr">
        <is>
          <t>Metrópole</t>
        </is>
      </c>
      <c r="H1240" s="5">
        <f>IF(G1240="fora do recorte","",SUMPRODUCT(($G$3:$G$1723=G1240)*($A$3:$A$1723&lt;=A1240)))</f>
        <v/>
      </c>
      <c r="I1240" s="4">
        <f>IF(H1240="","",G1240&amp;"|"&amp;H1240)</f>
        <v/>
      </c>
      <c r="J1240" s="4" t="inlineStr">
        <is>
          <t>https://www.google.com/maps/search/?api=1&amp;query=J%20M%20Games&amp;query_place_id=ChIJyW-C2YuOpJIRrMyg3yhcl5E</t>
        </is>
      </c>
      <c r="K1240" s="4" t="inlineStr">
        <is>
          <t>Galeria Center 48 - R. dos 48, 42 - Lj 8 - Batista Campos, Belém - PA, 66015-200, Brasil</t>
        </is>
      </c>
      <c r="L1240" s="4" t="inlineStr">
        <is>
          <t>Belém</t>
        </is>
      </c>
      <c r="M1240" s="5" t="n">
        <v>2</v>
      </c>
    </row>
    <row r="1241">
      <c r="A1241" s="3">
        <f>RAND()</f>
        <v/>
      </c>
      <c r="B1241" s="4" t="inlineStr">
        <is>
          <t>ChIJhfLWgNqLpJIRsVFNlpfDC14</t>
        </is>
      </c>
      <c r="C1241" s="4" t="inlineStr">
        <is>
          <t>Kalunga</t>
        </is>
      </c>
      <c r="D1241" s="4" t="inlineStr">
        <is>
          <t>Belém</t>
        </is>
      </c>
      <c r="E1241" s="4" t="inlineStr">
        <is>
          <t>PA</t>
        </is>
      </c>
      <c r="F1241" s="4" t="inlineStr">
        <is>
          <t>Metrópoles</t>
        </is>
      </c>
      <c r="G1241" s="4" t="inlineStr">
        <is>
          <t>Metrópole</t>
        </is>
      </c>
      <c r="H1241" s="5">
        <f>IF(G1241="fora do recorte","",SUMPRODUCT(($G$3:$G$1723=G1241)*($A$3:$A$1723&lt;=A1241)))</f>
        <v/>
      </c>
      <c r="I1241" s="4">
        <f>IF(H1241="","",G1241&amp;"|"&amp;H1241)</f>
        <v/>
      </c>
      <c r="J1241" s="4" t="inlineStr">
        <is>
          <t>https://www.google.com/maps/search/?api=1&amp;query=Kalunga&amp;query_place_id=ChIJhfLWgNqLpJIRsVFNlpfDC14</t>
        </is>
      </c>
      <c r="K1241" s="4" t="inlineStr">
        <is>
          <t>Rodovia dos Trabalhadores, s/n Parque Verde - Shopping Bosque Grão Pará - Val-de-Cans, Belém - PA, 66630-414, Brasil</t>
        </is>
      </c>
      <c r="L1241" s="4" t="inlineStr">
        <is>
          <t>Belém</t>
        </is>
      </c>
      <c r="M1241" s="5" t="n">
        <v>1</v>
      </c>
    </row>
    <row r="1242">
      <c r="A1242" s="3">
        <f>RAND()</f>
        <v/>
      </c>
      <c r="B1242" s="4" t="inlineStr">
        <is>
          <t>ChIJfZbfeGSOpJIRWbpDnrXD7oo</t>
        </is>
      </c>
      <c r="C1242" s="4" t="inlineStr">
        <is>
          <t>Kawaii Club</t>
        </is>
      </c>
      <c r="D1242" s="4" t="inlineStr">
        <is>
          <t>Belém</t>
        </is>
      </c>
      <c r="E1242" s="4" t="inlineStr">
        <is>
          <t>PA</t>
        </is>
      </c>
      <c r="F1242" s="4" t="inlineStr">
        <is>
          <t>Metrópoles</t>
        </is>
      </c>
      <c r="G1242" s="4" t="inlineStr">
        <is>
          <t>Metrópole</t>
        </is>
      </c>
      <c r="H1242" s="5">
        <f>IF(G1242="fora do recorte","",SUMPRODUCT(($G$3:$G$1723=G1242)*($A$3:$A$1723&lt;=A1242)))</f>
        <v/>
      </c>
      <c r="I1242" s="4">
        <f>IF(H1242="","",G1242&amp;"|"&amp;H1242)</f>
        <v/>
      </c>
      <c r="J1242" s="4" t="inlineStr">
        <is>
          <t>https://www.google.com/maps/search/?api=1&amp;query=Kawaii%20Club&amp;query_place_id=ChIJfZbfeGSOpJIRWbpDnrXD7oo</t>
        </is>
      </c>
      <c r="K1242" s="4" t="inlineStr">
        <is>
          <t>Av. Conselheiro Furtado, 3088 - Guamá, Belém - PA, 66063-060, Brasil</t>
        </is>
      </c>
      <c r="L1242" s="4" t="inlineStr">
        <is>
          <t>Belém</t>
        </is>
      </c>
      <c r="M1242" s="5" t="n">
        <v>2</v>
      </c>
    </row>
    <row r="1243">
      <c r="A1243" s="3">
        <f>RAND()</f>
        <v/>
      </c>
      <c r="B1243" s="4" t="inlineStr">
        <is>
          <t>ChIJKXRG06qLpJIR4TaiC3Not9U</t>
        </is>
      </c>
      <c r="C1243" s="4" t="inlineStr">
        <is>
          <t>Lendarios da Amazônia</t>
        </is>
      </c>
      <c r="D1243" s="4" t="inlineStr">
        <is>
          <t>Belém</t>
        </is>
      </c>
      <c r="E1243" s="4" t="inlineStr">
        <is>
          <t>PA</t>
        </is>
      </c>
      <c r="F1243" s="4" t="inlineStr">
        <is>
          <t>Metrópoles</t>
        </is>
      </c>
      <c r="G1243" s="4" t="inlineStr">
        <is>
          <t>Metrópole</t>
        </is>
      </c>
      <c r="H1243" s="5">
        <f>IF(G1243="fora do recorte","",SUMPRODUCT(($G$3:$G$1723=G1243)*($A$3:$A$1723&lt;=A1243)))</f>
        <v/>
      </c>
      <c r="I1243" s="4">
        <f>IF(H1243="","",G1243&amp;"|"&amp;H1243)</f>
        <v/>
      </c>
      <c r="J1243" s="4" t="inlineStr">
        <is>
          <t>https://www.google.com/maps/search/?api=1&amp;query=Lendarios%20da%20Amaz%C3%B4nia&amp;query_place_id=ChIJKXRG06qLpJIR4TaiC3Not9U</t>
        </is>
      </c>
      <c r="K1243" s="4" t="inlineStr">
        <is>
          <t>Alameda Roberto Santos, 19 - Maracangalha, Belém - PA, 66110-462, Brasil</t>
        </is>
      </c>
      <c r="L1243" s="4" t="inlineStr">
        <is>
          <t>Belém</t>
        </is>
      </c>
      <c r="M1243" s="5" t="n">
        <v>2</v>
      </c>
    </row>
    <row r="1244">
      <c r="A1244" s="3">
        <f>RAND()</f>
        <v/>
      </c>
      <c r="B1244" s="4" t="inlineStr">
        <is>
          <t>ChIJF_QTmouOpJIRg7FX5pqL7xQ</t>
        </is>
      </c>
      <c r="C1244" s="4" t="inlineStr">
        <is>
          <t>Livraria Leitura</t>
        </is>
      </c>
      <c r="D1244" s="4" t="inlineStr">
        <is>
          <t>Belém</t>
        </is>
      </c>
      <c r="E1244" s="4" t="inlineStr">
        <is>
          <t>PA</t>
        </is>
      </c>
      <c r="F1244" s="4" t="inlineStr">
        <is>
          <t>Metrópoles</t>
        </is>
      </c>
      <c r="G1244" s="4" t="inlineStr">
        <is>
          <t>Metrópole</t>
        </is>
      </c>
      <c r="H1244" s="5">
        <f>IF(G1244="fora do recorte","",SUMPRODUCT(($G$3:$G$1723=G1244)*($A$3:$A$1723&lt;=A1244)))</f>
        <v/>
      </c>
      <c r="I1244" s="4">
        <f>IF(H1244="","",G1244&amp;"|"&amp;H1244)</f>
        <v/>
      </c>
      <c r="J1244" s="4" t="inlineStr">
        <is>
          <t>https://www.google.com/maps/search/?api=1&amp;query=Livraria%20Leitura&amp;query_place_id=ChIJF_QTmouOpJIRg7FX5pqL7xQ</t>
        </is>
      </c>
      <c r="K1244" s="4" t="inlineStr">
        <is>
          <t>Tv. Padre Eutíquio, 1078 - Batista Campos, Belém - PA, 66023-710, Brasil</t>
        </is>
      </c>
      <c r="L1244" s="4" t="inlineStr">
        <is>
          <t>Belém</t>
        </is>
      </c>
      <c r="M1244" s="5" t="n">
        <v>1</v>
      </c>
    </row>
    <row r="1245">
      <c r="A1245" s="3">
        <f>RAND()</f>
        <v/>
      </c>
      <c r="B1245" s="4" t="inlineStr">
        <is>
          <t>ChIJ6dpuPeiLpJIR8PJ20jZ5U-k</t>
        </is>
      </c>
      <c r="C1245" s="4" t="inlineStr">
        <is>
          <t>Loja de Brinquedos da Alice</t>
        </is>
      </c>
      <c r="D1245" s="4" t="inlineStr">
        <is>
          <t>Belém</t>
        </is>
      </c>
      <c r="E1245" s="4" t="inlineStr">
        <is>
          <t>PA</t>
        </is>
      </c>
      <c r="F1245" s="4" t="inlineStr">
        <is>
          <t>Metrópoles</t>
        </is>
      </c>
      <c r="G1245" s="4" t="inlineStr">
        <is>
          <t>Metrópole</t>
        </is>
      </c>
      <c r="H1245" s="5">
        <f>IF(G1245="fora do recorte","",SUMPRODUCT(($G$3:$G$1723=G1245)*($A$3:$A$1723&lt;=A1245)))</f>
        <v/>
      </c>
      <c r="I1245" s="4">
        <f>IF(H1245="","",G1245&amp;"|"&amp;H1245)</f>
        <v/>
      </c>
      <c r="J1245" s="4" t="inlineStr">
        <is>
          <t>https://www.google.com/maps/search/?api=1&amp;query=Loja%20de%20Brinquedos%20da%20Alice&amp;query_place_id=ChIJ6dpuPeiLpJIR8PJ20jZ5U-k</t>
        </is>
      </c>
      <c r="K1245" s="4" t="inlineStr">
        <is>
          <t>Próximo ao Shopping Grão Pará, Conjunto Catalina - Tv. Dois, 232 - Mangueirão, Belém - PA, 66640-270, Brasil</t>
        </is>
      </c>
      <c r="L1245" s="4" t="inlineStr">
        <is>
          <t>Belém</t>
        </is>
      </c>
      <c r="M1245" s="5" t="n">
        <v>1</v>
      </c>
    </row>
    <row r="1246">
      <c r="A1246" s="3">
        <f>RAND()</f>
        <v/>
      </c>
      <c r="B1246" s="4" t="inlineStr">
        <is>
          <t>ChIJJVS7kJGJpJIRg5mWMBLgzr4</t>
        </is>
      </c>
      <c r="C1246" s="4" t="inlineStr">
        <is>
          <t>Lontra Oriental Card Games TCG</t>
        </is>
      </c>
      <c r="D1246" s="4" t="inlineStr">
        <is>
          <t>Belém</t>
        </is>
      </c>
      <c r="E1246" s="4" t="inlineStr">
        <is>
          <t>PA</t>
        </is>
      </c>
      <c r="F1246" s="4" t="inlineStr">
        <is>
          <t>Metrópoles</t>
        </is>
      </c>
      <c r="G1246" s="4" t="inlineStr">
        <is>
          <t>Metrópole</t>
        </is>
      </c>
      <c r="H1246" s="5">
        <f>IF(G1246="fora do recorte","",SUMPRODUCT(($G$3:$G$1723=G1246)*($A$3:$A$1723&lt;=A1246)))</f>
        <v/>
      </c>
      <c r="I1246" s="4">
        <f>IF(H1246="","",G1246&amp;"|"&amp;H1246)</f>
        <v/>
      </c>
      <c r="J1246" s="4" t="inlineStr">
        <is>
          <t>https://www.google.com/maps/search/?api=1&amp;query=Lontra%20Oriental%20Card%20Games%20TCG&amp;query_place_id=ChIJJVS7kJGJpJIRg5mWMBLgzr4</t>
        </is>
      </c>
      <c r="K1246" s="4" t="inlineStr">
        <is>
          <t>R. Doze, N° 01 - Box C - Maracangalha, Belém - PA, 66110-053, Brasil</t>
        </is>
      </c>
      <c r="L1246" s="4" t="inlineStr">
        <is>
          <t>Belém</t>
        </is>
      </c>
      <c r="M1246" s="5" t="n">
        <v>2</v>
      </c>
    </row>
    <row r="1247">
      <c r="A1247" s="3">
        <f>RAND()</f>
        <v/>
      </c>
      <c r="B1247" s="4" t="inlineStr">
        <is>
          <t>ChIJy4yXvUOLpJIRoATvyfXMr5o</t>
        </is>
      </c>
      <c r="C1247" s="4" t="inlineStr">
        <is>
          <t>Ludamigos - Jogos de tabuleiro</t>
        </is>
      </c>
      <c r="D1247" s="4" t="inlineStr">
        <is>
          <t>Belém</t>
        </is>
      </c>
      <c r="E1247" s="4" t="inlineStr">
        <is>
          <t>PA</t>
        </is>
      </c>
      <c r="F1247" s="4" t="inlineStr">
        <is>
          <t>Metrópoles</t>
        </is>
      </c>
      <c r="G1247" s="4" t="inlineStr">
        <is>
          <t>Metrópole</t>
        </is>
      </c>
      <c r="H1247" s="5">
        <f>IF(G1247="fora do recorte","",SUMPRODUCT(($G$3:$G$1723=G1247)*($A$3:$A$1723&lt;=A1247)))</f>
        <v/>
      </c>
      <c r="I1247" s="4">
        <f>IF(H1247="","",G1247&amp;"|"&amp;H1247)</f>
        <v/>
      </c>
      <c r="J1247" s="4" t="inlineStr">
        <is>
          <t>https://www.google.com/maps/search/?api=1&amp;query=Ludamigos%20-%20Jogos%20de%20tabuleiro&amp;query_place_id=ChIJy4yXvUOLpJIRoATvyfXMr5o</t>
        </is>
      </c>
      <c r="K1247" s="4" t="inlineStr">
        <is>
          <t>Av. Marquês de Herval, 1776 - Pedreira, Belém - PA, 66085-313, Brasil</t>
        </is>
      </c>
      <c r="L1247" s="4" t="inlineStr">
        <is>
          <t>Belém</t>
        </is>
      </c>
      <c r="M1247" s="5" t="n">
        <v>11</v>
      </c>
    </row>
    <row r="1248">
      <c r="A1248" s="3">
        <f>RAND()</f>
        <v/>
      </c>
      <c r="B1248" s="4" t="inlineStr">
        <is>
          <t>ChIJVRustamNpJIRE4QX47Z1-vw</t>
        </is>
      </c>
      <c r="C1248" s="4" t="inlineStr">
        <is>
          <t>Ludorim Boardgames - Jogos de Tabuleiro</t>
        </is>
      </c>
      <c r="D1248" s="4" t="inlineStr">
        <is>
          <t>Belém</t>
        </is>
      </c>
      <c r="E1248" s="4" t="inlineStr">
        <is>
          <t>PA</t>
        </is>
      </c>
      <c r="F1248" s="4" t="inlineStr">
        <is>
          <t>Metrópoles</t>
        </is>
      </c>
      <c r="G1248" s="4" t="inlineStr">
        <is>
          <t>Metrópole</t>
        </is>
      </c>
      <c r="H1248" s="5">
        <f>IF(G1248="fora do recorte","",SUMPRODUCT(($G$3:$G$1723=G1248)*($A$3:$A$1723&lt;=A1248)))</f>
        <v/>
      </c>
      <c r="I1248" s="4">
        <f>IF(H1248="","",G1248&amp;"|"&amp;H1248)</f>
        <v/>
      </c>
      <c r="J1248" s="4" t="inlineStr">
        <is>
          <t>https://www.google.com/maps/search/?api=1&amp;query=Ludorim%20Boardgames%20-%20Jogos%20de%20Tabuleiro&amp;query_place_id=ChIJVRustamNpJIRE4QX47Z1-vw</t>
        </is>
      </c>
      <c r="K1248" s="4" t="inlineStr">
        <is>
          <t>Tv. Timbó, 1269 - Pedreira, Belém - PA, 66083-049, Brasil</t>
        </is>
      </c>
      <c r="L1248" s="4" t="inlineStr">
        <is>
          <t>Belém</t>
        </is>
      </c>
      <c r="M1248" s="5" t="n">
        <v>10</v>
      </c>
    </row>
    <row r="1249">
      <c r="A1249" s="3">
        <f>RAND()</f>
        <v/>
      </c>
      <c r="B1249" s="4" t="inlineStr">
        <is>
          <t>ChIJ-97tiEeNpJIRb_eV7a-sxBs</t>
        </is>
      </c>
      <c r="C1249" s="4" t="inlineStr">
        <is>
          <t>Ludoteca Sidequest</t>
        </is>
      </c>
      <c r="D1249" s="4" t="inlineStr">
        <is>
          <t>Belém</t>
        </is>
      </c>
      <c r="E1249" s="4" t="inlineStr">
        <is>
          <t>PA</t>
        </is>
      </c>
      <c r="F1249" s="4" t="inlineStr">
        <is>
          <t>Metrópoles</t>
        </is>
      </c>
      <c r="G1249" s="4" t="inlineStr">
        <is>
          <t>Metrópole</t>
        </is>
      </c>
      <c r="H1249" s="5">
        <f>IF(G1249="fora do recorte","",SUMPRODUCT(($G$3:$G$1723=G1249)*($A$3:$A$1723&lt;=A1249)))</f>
        <v/>
      </c>
      <c r="I1249" s="4">
        <f>IF(H1249="","",G1249&amp;"|"&amp;H1249)</f>
        <v/>
      </c>
      <c r="J1249" s="4" t="inlineStr">
        <is>
          <t>https://www.google.com/maps/search/?api=1&amp;query=Ludoteca%20Sidequest&amp;query_place_id=ChIJ-97tiEeNpJIRb_eV7a-sxBs</t>
        </is>
      </c>
      <c r="K1249" s="4" t="inlineStr">
        <is>
          <t>Av. Visc. de Souza Franco, 1313 - Umarizal, Belém - PA, 66053-000, Brasil</t>
        </is>
      </c>
      <c r="L1249" s="4" t="inlineStr">
        <is>
          <t>Belém</t>
        </is>
      </c>
      <c r="M1249" s="5" t="n">
        <v>14</v>
      </c>
    </row>
    <row r="1250">
      <c r="A1250" s="3">
        <f>RAND()</f>
        <v/>
      </c>
      <c r="B1250" s="4" t="inlineStr">
        <is>
          <t>ChIJMYNbjXyOpJIRWBmqMSlEcBQ</t>
        </is>
      </c>
      <c r="C1250" s="4" t="inlineStr">
        <is>
          <t>Mago Jogos</t>
        </is>
      </c>
      <c r="D1250" s="4" t="inlineStr">
        <is>
          <t>Belém</t>
        </is>
      </c>
      <c r="E1250" s="4" t="inlineStr">
        <is>
          <t>PA</t>
        </is>
      </c>
      <c r="F1250" s="4" t="inlineStr">
        <is>
          <t>Metrópoles</t>
        </is>
      </c>
      <c r="G1250" s="4" t="inlineStr">
        <is>
          <t>Metrópole</t>
        </is>
      </c>
      <c r="H1250" s="5">
        <f>IF(G1250="fora do recorte","",SUMPRODUCT(($G$3:$G$1723=G1250)*($A$3:$A$1723&lt;=A1250)))</f>
        <v/>
      </c>
      <c r="I1250" s="4">
        <f>IF(H1250="","",G1250&amp;"|"&amp;H1250)</f>
        <v/>
      </c>
      <c r="J1250" s="4" t="inlineStr">
        <is>
          <t>https://www.google.com/maps/search/?api=1&amp;query=Mago%20Jogos&amp;query_place_id=ChIJMYNbjXyOpJIRWBmqMSlEcBQ</t>
        </is>
      </c>
      <c r="K1250" s="4" t="inlineStr">
        <is>
          <t>Condomínio do Edifício Francisca Julia - Av. Serzedelo Corrêa, 1157 - Batista Campos, Belém - PA, 66033-770, Brasil</t>
        </is>
      </c>
      <c r="L1250" s="4" t="inlineStr">
        <is>
          <t>Belém; Manaus</t>
        </is>
      </c>
      <c r="M1250" s="5" t="n">
        <v>11</v>
      </c>
    </row>
    <row r="1251">
      <c r="A1251" s="3">
        <f>RAND()</f>
        <v/>
      </c>
      <c r="B1251" s="4" t="inlineStr">
        <is>
          <t>ChIJndA-gWmPpJIRAh93GDKlu_M</t>
        </is>
      </c>
      <c r="C1251" s="4" t="inlineStr">
        <is>
          <t>Manga Jambú</t>
        </is>
      </c>
      <c r="D1251" s="4" t="inlineStr">
        <is>
          <t>Belém</t>
        </is>
      </c>
      <c r="E1251" s="4" t="inlineStr">
        <is>
          <t>PA</t>
        </is>
      </c>
      <c r="F1251" s="4" t="inlineStr">
        <is>
          <t>Metrópoles</t>
        </is>
      </c>
      <c r="G1251" s="4" t="inlineStr">
        <is>
          <t>Metrópole</t>
        </is>
      </c>
      <c r="H1251" s="5">
        <f>IF(G1251="fora do recorte","",SUMPRODUCT(($G$3:$G$1723=G1251)*($A$3:$A$1723&lt;=A1251)))</f>
        <v/>
      </c>
      <c r="I1251" s="4">
        <f>IF(H1251="","",G1251&amp;"|"&amp;H1251)</f>
        <v/>
      </c>
      <c r="J1251" s="4" t="inlineStr">
        <is>
          <t>https://www.google.com/maps/search/?api=1&amp;query=Manga%20Jamb%C3%BA&amp;query_place_id=ChIJndA-gWmPpJIRAh93GDKlu_M</t>
        </is>
      </c>
      <c r="K1251" s="4" t="inlineStr">
        <is>
          <t>R. Cônego Jerônimo Pimentel, 373 - Umarizal, Belém - PA, 66055-030, Brasil</t>
        </is>
      </c>
      <c r="L1251" s="4" t="inlineStr">
        <is>
          <t>Belém</t>
        </is>
      </c>
      <c r="M1251" s="5" t="n">
        <v>1</v>
      </c>
    </row>
    <row r="1252">
      <c r="A1252" s="3">
        <f>RAND()</f>
        <v/>
      </c>
      <c r="B1252" s="4" t="inlineStr">
        <is>
          <t>ChIJVe4Y9ziPpJIR4LDvs8gUPlc</t>
        </is>
      </c>
      <c r="C1252" s="4" t="inlineStr">
        <is>
          <t>Martins Loja de Variedades O Rei dos Brinquedos</t>
        </is>
      </c>
      <c r="D1252" s="4" t="inlineStr">
        <is>
          <t>Belém</t>
        </is>
      </c>
      <c r="E1252" s="4" t="inlineStr">
        <is>
          <t>PA</t>
        </is>
      </c>
      <c r="F1252" s="4" t="inlineStr">
        <is>
          <t>Metrópoles</t>
        </is>
      </c>
      <c r="G1252" s="4" t="inlineStr">
        <is>
          <t>Metrópole</t>
        </is>
      </c>
      <c r="H1252" s="5">
        <f>IF(G1252="fora do recorte","",SUMPRODUCT(($G$3:$G$1723=G1252)*($A$3:$A$1723&lt;=A1252)))</f>
        <v/>
      </c>
      <c r="I1252" s="4">
        <f>IF(H1252="","",G1252&amp;"|"&amp;H1252)</f>
        <v/>
      </c>
      <c r="J1252" s="4" t="inlineStr">
        <is>
          <t>https://www.google.com/maps/search/?api=1&amp;query=Martins%20Loja%20de%20Variedades%20O%20Rei%20dos%20Brinquedos&amp;query_place_id=ChIJVe4Y9ziPpJIR4LDvs8gUPlc</t>
        </is>
      </c>
      <c r="K1252" s="4" t="inlineStr">
        <is>
          <t>R. Treze de Maio, N° 462 - Campina, Belém - PA, 66019-020, Brasil</t>
        </is>
      </c>
      <c r="L1252" s="4" t="inlineStr">
        <is>
          <t>Belém</t>
        </is>
      </c>
      <c r="M1252" s="5" t="n">
        <v>1</v>
      </c>
    </row>
    <row r="1253">
      <c r="A1253" s="3">
        <f>RAND()</f>
        <v/>
      </c>
      <c r="B1253" s="4" t="inlineStr">
        <is>
          <t>ChIJeVxl1I5hpJIRPDXL-aFbMFw</t>
        </is>
      </c>
      <c r="C1253" s="4" t="inlineStr">
        <is>
          <t>Mestre Dos Games E Tecnologia</t>
        </is>
      </c>
      <c r="D1253" s="4" t="inlineStr">
        <is>
          <t>Belém</t>
        </is>
      </c>
      <c r="E1253" s="4" t="inlineStr">
        <is>
          <t>PA</t>
        </is>
      </c>
      <c r="F1253" s="4" t="inlineStr">
        <is>
          <t>Metrópoles</t>
        </is>
      </c>
      <c r="G1253" s="4" t="inlineStr">
        <is>
          <t>Metrópole</t>
        </is>
      </c>
      <c r="H1253" s="5">
        <f>IF(G1253="fora do recorte","",SUMPRODUCT(($G$3:$G$1723=G1253)*($A$3:$A$1723&lt;=A1253)))</f>
        <v/>
      </c>
      <c r="I1253" s="4">
        <f>IF(H1253="","",G1253&amp;"|"&amp;H1253)</f>
        <v/>
      </c>
      <c r="J1253" s="4" t="inlineStr">
        <is>
          <t>https://www.google.com/maps/search/?api=1&amp;query=Mestre%20Dos%20Games%20E%20Tecnologia&amp;query_place_id=ChIJeVxl1I5hpJIRPDXL-aFbMFw</t>
        </is>
      </c>
      <c r="K1253" s="4" t="inlineStr">
        <is>
          <t>Passagem Primeiro de Julho, 32 - Benguí, Belém - PA, 66630-735, Brasil</t>
        </is>
      </c>
      <c r="L1253" s="4" t="inlineStr">
        <is>
          <t>Belém</t>
        </is>
      </c>
      <c r="M1253" s="5" t="n">
        <v>1</v>
      </c>
    </row>
    <row r="1254">
      <c r="A1254" s="3">
        <f>RAND()</f>
        <v/>
      </c>
      <c r="B1254" s="4" t="inlineStr">
        <is>
          <t>ChIJ9arjXI5-L4kRvQ_arqNVNG0</t>
        </is>
      </c>
      <c r="C1254" s="4" t="inlineStr">
        <is>
          <t>Nerdices | A sua loja geek em Belém</t>
        </is>
      </c>
      <c r="D1254" s="4" t="inlineStr">
        <is>
          <t>Belém</t>
        </is>
      </c>
      <c r="E1254" s="4" t="inlineStr">
        <is>
          <t>PA</t>
        </is>
      </c>
      <c r="F1254" s="4" t="inlineStr">
        <is>
          <t>Metrópoles</t>
        </is>
      </c>
      <c r="G1254" s="4" t="inlineStr">
        <is>
          <t>Metrópole</t>
        </is>
      </c>
      <c r="H1254" s="5">
        <f>IF(G1254="fora do recorte","",SUMPRODUCT(($G$3:$G$1723=G1254)*($A$3:$A$1723&lt;=A1254)))</f>
        <v/>
      </c>
      <c r="I1254" s="4">
        <f>IF(H1254="","",G1254&amp;"|"&amp;H1254)</f>
        <v/>
      </c>
      <c r="J1254" s="4" t="inlineStr">
        <is>
          <t>https://www.google.com/maps/search/?api=1&amp;query=Nerdices%20%7C%20A%20sua%20loja%20geek%20em%20Bel%C3%A9m&amp;query_place_id=ChIJ9arjXI5-L4kRvQ_arqNVNG0</t>
        </is>
      </c>
      <c r="K1254" s="4" t="inlineStr">
        <is>
          <t>R. dos Mundurucus, 3284 - Cremação, Belém - PA, 66040-033, Brasil</t>
        </is>
      </c>
      <c r="L1254" s="4" t="inlineStr">
        <is>
          <t>Belém</t>
        </is>
      </c>
      <c r="M1254" s="5" t="n">
        <v>1</v>
      </c>
    </row>
    <row r="1255">
      <c r="A1255" s="3">
        <f>RAND()</f>
        <v/>
      </c>
      <c r="B1255" s="4" t="inlineStr">
        <is>
          <t>ChIJv3fk2nqOpJIRhyuz_OgElJg</t>
        </is>
      </c>
      <c r="C1255" s="4" t="inlineStr">
        <is>
          <t>Oriental Video e Game</t>
        </is>
      </c>
      <c r="D1255" s="4" t="inlineStr">
        <is>
          <t>Belém</t>
        </is>
      </c>
      <c r="E1255" s="4" t="inlineStr">
        <is>
          <t>PA</t>
        </is>
      </c>
      <c r="F1255" s="4" t="inlineStr">
        <is>
          <t>Metrópoles</t>
        </is>
      </c>
      <c r="G1255" s="4" t="inlineStr">
        <is>
          <t>Metrópole</t>
        </is>
      </c>
      <c r="H1255" s="5">
        <f>IF(G1255="fora do recorte","",SUMPRODUCT(($G$3:$G$1723=G1255)*($A$3:$A$1723&lt;=A1255)))</f>
        <v/>
      </c>
      <c r="I1255" s="4">
        <f>IF(H1255="","",G1255&amp;"|"&amp;H1255)</f>
        <v/>
      </c>
      <c r="J1255" s="4" t="inlineStr">
        <is>
          <t>https://www.google.com/maps/search/?api=1&amp;query=Oriental%20Video%20e%20Game&amp;query_place_id=ChIJv3fk2nqOpJIRhyuz_OgElJg</t>
        </is>
      </c>
      <c r="K1255" s="4" t="inlineStr">
        <is>
          <t>R. dos Timbiras, 1354 - Batista Campos, Belém - PA, 66033-331, Brasil</t>
        </is>
      </c>
      <c r="L1255" s="4" t="inlineStr">
        <is>
          <t>Belém</t>
        </is>
      </c>
      <c r="M1255" s="5" t="n">
        <v>3</v>
      </c>
    </row>
    <row r="1256">
      <c r="A1256" s="3">
        <f>RAND()</f>
        <v/>
      </c>
      <c r="B1256" s="4" t="inlineStr">
        <is>
          <t>ChIJ6S1J8O2JpJIRCNzqFrfvwfE</t>
        </is>
      </c>
      <c r="C1256" s="4" t="inlineStr">
        <is>
          <t>PIXXELS Gamer Club®︎</t>
        </is>
      </c>
      <c r="D1256" s="4" t="inlineStr">
        <is>
          <t>Belém</t>
        </is>
      </c>
      <c r="E1256" s="4" t="inlineStr">
        <is>
          <t>PA</t>
        </is>
      </c>
      <c r="F1256" s="4" t="inlineStr">
        <is>
          <t>Metrópoles</t>
        </is>
      </c>
      <c r="G1256" s="4" t="inlineStr">
        <is>
          <t>Metrópole</t>
        </is>
      </c>
      <c r="H1256" s="5">
        <f>IF(G1256="fora do recorte","",SUMPRODUCT(($G$3:$G$1723=G1256)*($A$3:$A$1723&lt;=A1256)))</f>
        <v/>
      </c>
      <c r="I1256" s="4">
        <f>IF(H1256="","",G1256&amp;"|"&amp;H1256)</f>
        <v/>
      </c>
      <c r="J1256" s="4" t="inlineStr">
        <is>
          <t>https://www.google.com/maps/search/?api=1&amp;query=PIXXELS%20Gamer%20Club%C2%AE%EF%B8%8E&amp;query_place_id=ChIJ6S1J8O2JpJIRCNzqFrfvwfE</t>
        </is>
      </c>
      <c r="K1256" s="4" t="inlineStr">
        <is>
          <t>Av. Sen. Lemos, 3153 - Sacramenta, Belém - PA, 66120-000, Brasil</t>
        </is>
      </c>
      <c r="L1256" s="4" t="inlineStr">
        <is>
          <t>Belém</t>
        </is>
      </c>
      <c r="M1256" s="5" t="n">
        <v>2</v>
      </c>
    </row>
    <row r="1257">
      <c r="A1257" s="3">
        <f>RAND()</f>
        <v/>
      </c>
      <c r="B1257" s="4" t="inlineStr">
        <is>
          <t>ChIJ1zTXTX2OpJIRqhcdf0Myv4E</t>
        </is>
      </c>
      <c r="C1257" s="4" t="inlineStr">
        <is>
          <t>Pixito Bar e Restaurante</t>
        </is>
      </c>
      <c r="D1257" s="4" t="inlineStr">
        <is>
          <t>Belém</t>
        </is>
      </c>
      <c r="E1257" s="4" t="inlineStr">
        <is>
          <t>PA</t>
        </is>
      </c>
      <c r="F1257" s="4" t="inlineStr">
        <is>
          <t>Metrópoles</t>
        </is>
      </c>
      <c r="G1257" s="4" t="inlineStr">
        <is>
          <t>Metrópole</t>
        </is>
      </c>
      <c r="H1257" s="5">
        <f>IF(G1257="fora do recorte","",SUMPRODUCT(($G$3:$G$1723=G1257)*($A$3:$A$1723&lt;=A1257)))</f>
        <v/>
      </c>
      <c r="I1257" s="4">
        <f>IF(H1257="","",G1257&amp;"|"&amp;H1257)</f>
        <v/>
      </c>
      <c r="J1257" s="4" t="inlineStr">
        <is>
          <t>https://www.google.com/maps/search/?api=1&amp;query=Pixito%20Bar%20e%20Restaurante&amp;query_place_id=ChIJ1zTXTX2OpJIRqhcdf0Myv4E</t>
        </is>
      </c>
      <c r="K1257" s="4" t="inlineStr">
        <is>
          <t>Av. Serzedelo Corrêa, 833 - Batista Campos, Belém - PA, 66033-770, Brasil</t>
        </is>
      </c>
      <c r="L1257" s="4" t="inlineStr">
        <is>
          <t>Belém</t>
        </is>
      </c>
      <c r="M1257" s="5" t="n">
        <v>1</v>
      </c>
    </row>
    <row r="1258">
      <c r="A1258" s="3">
        <f>RAND()</f>
        <v/>
      </c>
      <c r="B1258" s="4" t="inlineStr">
        <is>
          <t>ChIJQ-IrKgmLpJIRuWxTFSFu_hk</t>
        </is>
      </c>
      <c r="C1258" s="4" t="inlineStr">
        <is>
          <t>Play Action Games - Loja de games em belém</t>
        </is>
      </c>
      <c r="D1258" s="4" t="inlineStr">
        <is>
          <t>Belém</t>
        </is>
      </c>
      <c r="E1258" s="4" t="inlineStr">
        <is>
          <t>PA</t>
        </is>
      </c>
      <c r="F1258" s="4" t="inlineStr">
        <is>
          <t>Metrópoles</t>
        </is>
      </c>
      <c r="G1258" s="4" t="inlineStr">
        <is>
          <t>Metrópole</t>
        </is>
      </c>
      <c r="H1258" s="5">
        <f>IF(G1258="fora do recorte","",SUMPRODUCT(($G$3:$G$1723=G1258)*($A$3:$A$1723&lt;=A1258)))</f>
        <v/>
      </c>
      <c r="I1258" s="4">
        <f>IF(H1258="","",G1258&amp;"|"&amp;H1258)</f>
        <v/>
      </c>
      <c r="J1258" s="4" t="inlineStr">
        <is>
          <t>https://www.google.com/maps/search/?api=1&amp;query=Play%20Action%20Games%20-%20Loja%20de%20games%20em%20bel%C3%A9m&amp;query_place_id=ChIJQ-IrKgmLpJIRuWxTFSFu_hk</t>
        </is>
      </c>
      <c r="K1258" s="4" t="inlineStr">
        <is>
          <t>R. Padre Eutíquio - B.Campos - Belém, PA, 68530-000, Brasil</t>
        </is>
      </c>
      <c r="L1258" s="4" t="inlineStr">
        <is>
          <t>Belém</t>
        </is>
      </c>
      <c r="M1258" s="5" t="n">
        <v>2</v>
      </c>
    </row>
    <row r="1259">
      <c r="A1259" s="3">
        <f>RAND()</f>
        <v/>
      </c>
      <c r="B1259" s="4" t="inlineStr">
        <is>
          <t>ChIJ-ZF-kTuKpJIRNW1TcmIqv1w</t>
        </is>
      </c>
      <c r="C1259" s="4" t="inlineStr">
        <is>
          <t>Play Games</t>
        </is>
      </c>
      <c r="D1259" s="4" t="inlineStr">
        <is>
          <t>Belém</t>
        </is>
      </c>
      <c r="E1259" s="4" t="inlineStr">
        <is>
          <t>PA</t>
        </is>
      </c>
      <c r="F1259" s="4" t="inlineStr">
        <is>
          <t>Metrópoles</t>
        </is>
      </c>
      <c r="G1259" s="4" t="inlineStr">
        <is>
          <t>Metrópole</t>
        </is>
      </c>
      <c r="H1259" s="5">
        <f>IF(G1259="fora do recorte","",SUMPRODUCT(($G$3:$G$1723=G1259)*($A$3:$A$1723&lt;=A1259)))</f>
        <v/>
      </c>
      <c r="I1259" s="4">
        <f>IF(H1259="","",G1259&amp;"|"&amp;H1259)</f>
        <v/>
      </c>
      <c r="J1259" s="4" t="inlineStr">
        <is>
          <t>https://www.google.com/maps/search/?api=1&amp;query=Play%20Games&amp;query_place_id=ChIJ-ZF-kTuKpJIRNW1TcmIqv1w</t>
        </is>
      </c>
      <c r="K1259" s="4" t="inlineStr">
        <is>
          <t>Av. Centenário, 1052 - Val-de-Cans, Belém - PA, 66617-418, Brasil</t>
        </is>
      </c>
      <c r="L1259" s="4" t="inlineStr">
        <is>
          <t>Belém</t>
        </is>
      </c>
      <c r="M1259" s="5" t="n">
        <v>1</v>
      </c>
    </row>
    <row r="1260">
      <c r="A1260" s="3">
        <f>RAND()</f>
        <v/>
      </c>
      <c r="B1260" s="4" t="inlineStr">
        <is>
          <t>ChIJ7V4PGvOPpJIRdHptSa-eYUM</t>
        </is>
      </c>
      <c r="C1260" s="4" t="inlineStr">
        <is>
          <t>QG Nemesis</t>
        </is>
      </c>
      <c r="D1260" s="4" t="inlineStr">
        <is>
          <t>Belém</t>
        </is>
      </c>
      <c r="E1260" s="4" t="inlineStr">
        <is>
          <t>PA</t>
        </is>
      </c>
      <c r="F1260" s="4" t="inlineStr">
        <is>
          <t>Metrópoles</t>
        </is>
      </c>
      <c r="G1260" s="4" t="inlineStr">
        <is>
          <t>Metrópole</t>
        </is>
      </c>
      <c r="H1260" s="5">
        <f>IF(G1260="fora do recorte","",SUMPRODUCT(($G$3:$G$1723=G1260)*($A$3:$A$1723&lt;=A1260)))</f>
        <v/>
      </c>
      <c r="I1260" s="4">
        <f>IF(H1260="","",G1260&amp;"|"&amp;H1260)</f>
        <v/>
      </c>
      <c r="J1260" s="4" t="inlineStr">
        <is>
          <t>https://www.google.com/maps/search/?api=1&amp;query=QG%20Nemesis&amp;query_place_id=ChIJ7V4PGvOPpJIRdHptSa-eYUM</t>
        </is>
      </c>
      <c r="K1260" s="4" t="inlineStr">
        <is>
          <t>R. Carlos Gomes, 138 - Lj 1 - Campina, Belém - PA, 66017-080, Brasil</t>
        </is>
      </c>
      <c r="L1260" s="4" t="inlineStr">
        <is>
          <t>Belém</t>
        </is>
      </c>
      <c r="M1260" s="5" t="n">
        <v>1</v>
      </c>
    </row>
    <row r="1261">
      <c r="A1261" s="3">
        <f>RAND()</f>
        <v/>
      </c>
      <c r="B1261" s="4" t="inlineStr">
        <is>
          <t>ChIJqe-m85eOpJIRwd3mPdxnMqI</t>
        </is>
      </c>
      <c r="C1261" s="4" t="inlineStr">
        <is>
          <t>RI HAPPY BOULEVARD BELÉM</t>
        </is>
      </c>
      <c r="D1261" s="4" t="inlineStr">
        <is>
          <t>Belém</t>
        </is>
      </c>
      <c r="E1261" s="4" t="inlineStr">
        <is>
          <t>PA</t>
        </is>
      </c>
      <c r="F1261" s="4" t="inlineStr">
        <is>
          <t>Metrópoles</t>
        </is>
      </c>
      <c r="G1261" s="4" t="inlineStr">
        <is>
          <t>Metrópole</t>
        </is>
      </c>
      <c r="H1261" s="5">
        <f>IF(G1261="fora do recorte","",SUMPRODUCT(($G$3:$G$1723=G1261)*($A$3:$A$1723&lt;=A1261)))</f>
        <v/>
      </c>
      <c r="I1261" s="4">
        <f>IF(H1261="","",G1261&amp;"|"&amp;H1261)</f>
        <v/>
      </c>
      <c r="J1261" s="4" t="inlineStr">
        <is>
          <t>https://www.google.com/maps/search/?api=1&amp;query=RI%20HAPPY%20BOULEVARD%20BEL%C3%89M&amp;query_place_id=ChIJqe-m85eOpJIRwd3mPdxnMqI</t>
        </is>
      </c>
      <c r="K1261" s="4" t="inlineStr">
        <is>
          <t>Av. Visc. de Souza Franco, 776 - Lj 301 Boulevard Shopping - Reduto, Belém - PA, 66053-000, Brasil</t>
        </is>
      </c>
      <c r="L1261" s="4" t="inlineStr">
        <is>
          <t>Belém</t>
        </is>
      </c>
      <c r="M1261" s="5" t="n">
        <v>1</v>
      </c>
    </row>
    <row r="1262">
      <c r="A1262" s="3">
        <f>RAND()</f>
        <v/>
      </c>
      <c r="B1262" s="4" t="inlineStr">
        <is>
          <t>ChIJG9hiyNdhpJIREHBjZ0m6veA</t>
        </is>
      </c>
      <c r="C1262" s="4" t="inlineStr">
        <is>
          <t>RI HAPPY PARQUE BELÉM</t>
        </is>
      </c>
      <c r="D1262" s="4" t="inlineStr">
        <is>
          <t>Belém</t>
        </is>
      </c>
      <c r="E1262" s="4" t="inlineStr">
        <is>
          <t>PA</t>
        </is>
      </c>
      <c r="F1262" s="4" t="inlineStr">
        <is>
          <t>Metrópoles</t>
        </is>
      </c>
      <c r="G1262" s="4" t="inlineStr">
        <is>
          <t>Metrópole</t>
        </is>
      </c>
      <c r="H1262" s="5">
        <f>IF(G1262="fora do recorte","",SUMPRODUCT(($G$3:$G$1723=G1262)*($A$3:$A$1723&lt;=A1262)))</f>
        <v/>
      </c>
      <c r="I1262" s="4">
        <f>IF(H1262="","",G1262&amp;"|"&amp;H1262)</f>
        <v/>
      </c>
      <c r="J1262" s="4" t="inlineStr">
        <is>
          <t>https://www.google.com/maps/search/?api=1&amp;query=RI%20HAPPY%20PARQUE%20BEL%C3%89M&amp;query_place_id=ChIJG9hiyNdhpJIREHBjZ0m6veA</t>
        </is>
      </c>
      <c r="K1262" s="4" t="inlineStr">
        <is>
          <t>Rod. Augusto Montenegro, 4300 - SUC 1005 - Parque Verde, Belém - PA, 66635-110, Brasil</t>
        </is>
      </c>
      <c r="L1262" s="4" t="inlineStr">
        <is>
          <t>Belém</t>
        </is>
      </c>
      <c r="M1262" s="5" t="n">
        <v>1</v>
      </c>
    </row>
    <row r="1263">
      <c r="A1263" s="3">
        <f>RAND()</f>
        <v/>
      </c>
      <c r="B1263" s="4" t="inlineStr">
        <is>
          <t>ChIJDWRYjTuKpJIRdvTtgJ7t764</t>
        </is>
      </c>
      <c r="C1263" s="4" t="inlineStr">
        <is>
          <t>RI HAPPY SHOPPING BOSQUE GRÃO PARÁ</t>
        </is>
      </c>
      <c r="D1263" s="4" t="inlineStr">
        <is>
          <t>Belém</t>
        </is>
      </c>
      <c r="E1263" s="4" t="inlineStr">
        <is>
          <t>PA</t>
        </is>
      </c>
      <c r="F1263" s="4" t="inlineStr">
        <is>
          <t>Metrópoles</t>
        </is>
      </c>
      <c r="G1263" s="4" t="inlineStr">
        <is>
          <t>Metrópole</t>
        </is>
      </c>
      <c r="H1263" s="5">
        <f>IF(G1263="fora do recorte","",SUMPRODUCT(($G$3:$G$1723=G1263)*($A$3:$A$1723&lt;=A1263)))</f>
        <v/>
      </c>
      <c r="I1263" s="4">
        <f>IF(H1263="","",G1263&amp;"|"&amp;H1263)</f>
        <v/>
      </c>
      <c r="J1263" s="4" t="inlineStr">
        <is>
          <t>https://www.google.com/maps/search/?api=1&amp;query=RI%20HAPPY%20SHOPPING%20BOSQUE%20GR%C3%83O%20PAR%C3%81&amp;query_place_id=ChIJDWRYjTuKpJIRdvTtgJ7t764</t>
        </is>
      </c>
      <c r="K1263" s="4" t="inlineStr">
        <is>
          <t>Rod. dos Trabalhadores, 37/38 - Parque Verde, Belém - PA, 66635-894, Brasil</t>
        </is>
      </c>
      <c r="L1263" s="4" t="inlineStr">
        <is>
          <t>Belém</t>
        </is>
      </c>
      <c r="M1263" s="5" t="n">
        <v>2</v>
      </c>
    </row>
    <row r="1264">
      <c r="A1264" s="3">
        <f>RAND()</f>
        <v/>
      </c>
      <c r="B1264" s="4" t="inlineStr">
        <is>
          <t>ChIJFQHtdQ6LpJIR2TFPBl5fXys</t>
        </is>
      </c>
      <c r="C1264" s="4" t="inlineStr">
        <is>
          <t>Smart Geek Brasil</t>
        </is>
      </c>
      <c r="D1264" s="4" t="inlineStr">
        <is>
          <t>Belém</t>
        </is>
      </c>
      <c r="E1264" s="4" t="inlineStr">
        <is>
          <t>PA</t>
        </is>
      </c>
      <c r="F1264" s="4" t="inlineStr">
        <is>
          <t>Metrópoles</t>
        </is>
      </c>
      <c r="G1264" s="4" t="inlineStr">
        <is>
          <t>Metrópole</t>
        </is>
      </c>
      <c r="H1264" s="5">
        <f>IF(G1264="fora do recorte","",SUMPRODUCT(($G$3:$G$1723=G1264)*($A$3:$A$1723&lt;=A1264)))</f>
        <v/>
      </c>
      <c r="I1264" s="4">
        <f>IF(H1264="","",G1264&amp;"|"&amp;H1264)</f>
        <v/>
      </c>
      <c r="J1264" s="4" t="inlineStr">
        <is>
          <t>https://www.google.com/maps/search/?api=1&amp;query=Smart%20Geek%20Brasil&amp;query_place_id=ChIJFQHtdQ6LpJIR2TFPBl5fXys</t>
        </is>
      </c>
      <c r="K1264" s="4" t="inlineStr">
        <is>
          <t>Edifício Lomas Center - Tv. Lomas Valentinas, 2625 - Sl 01 - Sacramenta, Belém - PA, 66093-677, Brasil</t>
        </is>
      </c>
      <c r="L1264" s="4" t="inlineStr">
        <is>
          <t>Belém</t>
        </is>
      </c>
      <c r="M1264" s="5" t="n">
        <v>2</v>
      </c>
    </row>
    <row r="1265">
      <c r="A1265" s="3">
        <f>RAND()</f>
        <v/>
      </c>
      <c r="B1265" s="4" t="inlineStr">
        <is>
          <t>ChIJ_WVZGImOpJIRH46_kCo4X3Q</t>
        </is>
      </c>
      <c r="C1265" s="4" t="inlineStr">
        <is>
          <t>Studio Pub</t>
        </is>
      </c>
      <c r="D1265" s="4" t="inlineStr">
        <is>
          <t>Belém</t>
        </is>
      </c>
      <c r="E1265" s="4" t="inlineStr">
        <is>
          <t>PA</t>
        </is>
      </c>
      <c r="F1265" s="4" t="inlineStr">
        <is>
          <t>Metrópoles</t>
        </is>
      </c>
      <c r="G1265" s="4" t="inlineStr">
        <is>
          <t>Metrópole</t>
        </is>
      </c>
      <c r="H1265" s="5">
        <f>IF(G1265="fora do recorte","",SUMPRODUCT(($G$3:$G$1723=G1265)*($A$3:$A$1723&lt;=A1265)))</f>
        <v/>
      </c>
      <c r="I1265" s="4">
        <f>IF(H1265="","",G1265&amp;"|"&amp;H1265)</f>
        <v/>
      </c>
      <c r="J1265" s="4" t="inlineStr">
        <is>
          <t>https://www.google.com/maps/search/?api=1&amp;query=Studio%20Pub&amp;query_place_id=ChIJ_WVZGImOpJIRH46_kCo4X3Q</t>
        </is>
      </c>
      <c r="K1265" s="4" t="inlineStr">
        <is>
          <t>R. Pres. Pernambuco, 277 - Batista Campos, Belém - PA, 66015-200, Brasil</t>
        </is>
      </c>
      <c r="L1265" s="4" t="inlineStr">
        <is>
          <t>Belém</t>
        </is>
      </c>
      <c r="M1265" s="5" t="n">
        <v>1</v>
      </c>
    </row>
    <row r="1266">
      <c r="A1266" s="3">
        <f>RAND()</f>
        <v/>
      </c>
      <c r="B1266" s="4" t="inlineStr">
        <is>
          <t>ChIJB3QNOfeLpJIRXZnnxwGI70M</t>
        </is>
      </c>
      <c r="C1266" s="4" t="inlineStr">
        <is>
          <t>Supra Cards</t>
        </is>
      </c>
      <c r="D1266" s="4" t="inlineStr">
        <is>
          <t>Belém</t>
        </is>
      </c>
      <c r="E1266" s="4" t="inlineStr">
        <is>
          <t>PA</t>
        </is>
      </c>
      <c r="F1266" s="4" t="inlineStr">
        <is>
          <t>Metrópoles</t>
        </is>
      </c>
      <c r="G1266" s="4" t="inlineStr">
        <is>
          <t>Metrópole</t>
        </is>
      </c>
      <c r="H1266" s="5">
        <f>IF(G1266="fora do recorte","",SUMPRODUCT(($G$3:$G$1723=G1266)*($A$3:$A$1723&lt;=A1266)))</f>
        <v/>
      </c>
      <c r="I1266" s="4">
        <f>IF(H1266="","",G1266&amp;"|"&amp;H1266)</f>
        <v/>
      </c>
      <c r="J1266" s="4" t="inlineStr">
        <is>
          <t>https://www.google.com/maps/search/?api=1&amp;query=Supra%20Cards&amp;query_place_id=ChIJB3QNOfeLpJIRXZnnxwGI70M</t>
        </is>
      </c>
      <c r="K1266" s="4" t="inlineStr">
        <is>
          <t>38A - Marambaia, Belém - PA, 66620-760, Brasil</t>
        </is>
      </c>
      <c r="L1266" s="4" t="inlineStr">
        <is>
          <t>Belém</t>
        </is>
      </c>
      <c r="M1266" s="5" t="n">
        <v>1</v>
      </c>
    </row>
    <row r="1267">
      <c r="A1267" s="3">
        <f>RAND()</f>
        <v/>
      </c>
      <c r="B1267" s="4" t="inlineStr">
        <is>
          <t>ChIJX5zANwCNpJIRqolsTPu6P7E</t>
        </is>
      </c>
      <c r="C1267" s="4" t="inlineStr">
        <is>
          <t>The Vault Pub</t>
        </is>
      </c>
      <c r="D1267" s="4" t="inlineStr">
        <is>
          <t>Belém</t>
        </is>
      </c>
      <c r="E1267" s="4" t="inlineStr">
        <is>
          <t>PA</t>
        </is>
      </c>
      <c r="F1267" s="4" t="inlineStr">
        <is>
          <t>Metrópoles</t>
        </is>
      </c>
      <c r="G1267" s="4" t="inlineStr">
        <is>
          <t>Metrópole</t>
        </is>
      </c>
      <c r="H1267" s="5">
        <f>IF(G1267="fora do recorte","",SUMPRODUCT(($G$3:$G$1723=G1267)*($A$3:$A$1723&lt;=A1267)))</f>
        <v/>
      </c>
      <c r="I1267" s="4">
        <f>IF(H1267="","",G1267&amp;"|"&amp;H1267)</f>
        <v/>
      </c>
      <c r="J1267" s="4" t="inlineStr">
        <is>
          <t>https://www.google.com/maps/search/?api=1&amp;query=The%20Vault%20Pub&amp;query_place_id=ChIJX5zANwCNpJIRqolsTPu6P7E</t>
        </is>
      </c>
      <c r="K1267" s="4" t="inlineStr">
        <is>
          <t>Marco, Belém - PA, 66095-490, Brasil</t>
        </is>
      </c>
      <c r="L1267" s="4" t="inlineStr">
        <is>
          <t>Belém</t>
        </is>
      </c>
      <c r="M1267" s="5" t="n">
        <v>1</v>
      </c>
    </row>
    <row r="1268">
      <c r="A1268" s="3">
        <f>RAND()</f>
        <v/>
      </c>
      <c r="B1268" s="4" t="inlineStr">
        <is>
          <t>ChIJxxbPw4uOpJIRWWSrQJ2cQiU</t>
        </is>
      </c>
      <c r="C1268" s="4" t="inlineStr">
        <is>
          <t>Tsunami Games</t>
        </is>
      </c>
      <c r="D1268" s="4" t="inlineStr">
        <is>
          <t>Belém</t>
        </is>
      </c>
      <c r="E1268" s="4" t="inlineStr">
        <is>
          <t>PA</t>
        </is>
      </c>
      <c r="F1268" s="4" t="inlineStr">
        <is>
          <t>Metrópoles</t>
        </is>
      </c>
      <c r="G1268" s="4" t="inlineStr">
        <is>
          <t>Metrópole</t>
        </is>
      </c>
      <c r="H1268" s="5">
        <f>IF(G1268="fora do recorte","",SUMPRODUCT(($G$3:$G$1723=G1268)*($A$3:$A$1723&lt;=A1268)))</f>
        <v/>
      </c>
      <c r="I1268" s="4">
        <f>IF(H1268="","",G1268&amp;"|"&amp;H1268)</f>
        <v/>
      </c>
      <c r="J1268" s="4" t="inlineStr">
        <is>
          <t>https://www.google.com/maps/search/?api=1&amp;query=Tsunami%20Games&amp;query_place_id=ChIJxxbPw4uOpJIRWWSrQJ2cQiU</t>
        </is>
      </c>
      <c r="K1268" s="4" t="inlineStr">
        <is>
          <t>Galeria Portuense, Loja 30 - Tv. Padre Eutíquio, 1055 - Batista Campos, Belém - PA, 66023-710, Brasil</t>
        </is>
      </c>
      <c r="L1268" s="4" t="inlineStr">
        <is>
          <t>Belém</t>
        </is>
      </c>
      <c r="M1268" s="5" t="n">
        <v>2</v>
      </c>
    </row>
    <row r="1269">
      <c r="A1269" s="3">
        <f>RAND()</f>
        <v/>
      </c>
      <c r="B1269" s="4" t="inlineStr">
        <is>
          <t>ChIJxdjX24uOpJIR8qZK9s7LF4s</t>
        </is>
      </c>
      <c r="C1269" s="4" t="inlineStr">
        <is>
          <t>Tsunami Games &amp; Informática</t>
        </is>
      </c>
      <c r="D1269" s="4" t="inlineStr">
        <is>
          <t>Belém</t>
        </is>
      </c>
      <c r="E1269" s="4" t="inlineStr">
        <is>
          <t>PA</t>
        </is>
      </c>
      <c r="F1269" s="4" t="inlineStr">
        <is>
          <t>Metrópoles</t>
        </is>
      </c>
      <c r="G1269" s="4" t="inlineStr">
        <is>
          <t>Metrópole</t>
        </is>
      </c>
      <c r="H1269" s="5">
        <f>IF(G1269="fora do recorte","",SUMPRODUCT(($G$3:$G$1723=G1269)*($A$3:$A$1723&lt;=A1269)))</f>
        <v/>
      </c>
      <c r="I1269" s="4">
        <f>IF(H1269="","",G1269&amp;"|"&amp;H1269)</f>
        <v/>
      </c>
      <c r="J1269" s="4" t="inlineStr">
        <is>
          <t>https://www.google.com/maps/search/?api=1&amp;query=Tsunami%20Games%20%26%20Inform%C3%A1tica&amp;query_place_id=ChIJxdjX24uOpJIR8qZK9s7LF4s</t>
        </is>
      </c>
      <c r="K1269" s="4" t="inlineStr">
        <is>
          <t>Galeria Center 48 - R. dos 48, 42 - Lj 4 - Batista Campos, Belém - PA, 66015-200, Brasil</t>
        </is>
      </c>
      <c r="L1269" s="4" t="inlineStr">
        <is>
          <t>Belém</t>
        </is>
      </c>
      <c r="M1269" s="5" t="n">
        <v>2</v>
      </c>
    </row>
    <row r="1270">
      <c r="A1270" s="3">
        <f>RAND()</f>
        <v/>
      </c>
      <c r="B1270" s="4" t="inlineStr">
        <is>
          <t>ChIJfTUN-duJpJIRgfzVfddwDHY</t>
        </is>
      </c>
      <c r="C1270" s="4" t="inlineStr">
        <is>
          <t>Universo Geek Store</t>
        </is>
      </c>
      <c r="D1270" s="4" t="inlineStr">
        <is>
          <t>Belém</t>
        </is>
      </c>
      <c r="E1270" s="4" t="inlineStr">
        <is>
          <t>PA</t>
        </is>
      </c>
      <c r="F1270" s="4" t="inlineStr">
        <is>
          <t>Metrópoles</t>
        </is>
      </c>
      <c r="G1270" s="4" t="inlineStr">
        <is>
          <t>Metrópole</t>
        </is>
      </c>
      <c r="H1270" s="5">
        <f>IF(G1270="fora do recorte","",SUMPRODUCT(($G$3:$G$1723=G1270)*($A$3:$A$1723&lt;=A1270)))</f>
        <v/>
      </c>
      <c r="I1270" s="4">
        <f>IF(H1270="","",G1270&amp;"|"&amp;H1270)</f>
        <v/>
      </c>
      <c r="J1270" s="4" t="inlineStr">
        <is>
          <t>https://www.google.com/maps/search/?api=1&amp;query=Universo%20Geek%20Store&amp;query_place_id=ChIJfTUN-duJpJIRgfzVfddwDHY</t>
        </is>
      </c>
      <c r="K1270" s="4" t="inlineStr">
        <is>
          <t>Conjunto Providência Avenida norte entre Rua 12 e - Al. Providência - Val-de-Cans, Belém - PA, 66110-053, Brasil</t>
        </is>
      </c>
      <c r="L1270" s="4" t="inlineStr">
        <is>
          <t>Belém</t>
        </is>
      </c>
      <c r="M1270" s="5" t="n">
        <v>1</v>
      </c>
    </row>
    <row r="1271">
      <c r="A1271" s="3">
        <f>RAND()</f>
        <v/>
      </c>
      <c r="B1271" s="4" t="inlineStr">
        <is>
          <t>ChIJudT16IuOpJIRfxPVGu_j4a4</t>
        </is>
      </c>
      <c r="C1271" s="4" t="inlineStr">
        <is>
          <t>Via Bella Games Informática</t>
        </is>
      </c>
      <c r="D1271" s="4" t="inlineStr">
        <is>
          <t>Belém</t>
        </is>
      </c>
      <c r="E1271" s="4" t="inlineStr">
        <is>
          <t>PA</t>
        </is>
      </c>
      <c r="F1271" s="4" t="inlineStr">
        <is>
          <t>Metrópoles</t>
        </is>
      </c>
      <c r="G1271" s="4" t="inlineStr">
        <is>
          <t>Metrópole</t>
        </is>
      </c>
      <c r="H1271" s="5">
        <f>IF(G1271="fora do recorte","",SUMPRODUCT(($G$3:$G$1723=G1271)*($A$3:$A$1723&lt;=A1271)))</f>
        <v/>
      </c>
      <c r="I1271" s="4">
        <f>IF(H1271="","",G1271&amp;"|"&amp;H1271)</f>
        <v/>
      </c>
      <c r="J1271" s="4" t="inlineStr">
        <is>
          <t>https://www.google.com/maps/search/?api=1&amp;query=Via%20Bella%20Games%20Inform%C3%A1tica&amp;query_place_id=ChIJudT16IuOpJIRfxPVGu_j4a4</t>
        </is>
      </c>
      <c r="K1271" s="4" t="inlineStr">
        <is>
          <t>Galeria Portuense - Tv. Padre Eutíquio, 1055 - Campina, Belém - PA, 66013-090, Brasil</t>
        </is>
      </c>
      <c r="L1271" s="4" t="inlineStr">
        <is>
          <t>Belém</t>
        </is>
      </c>
      <c r="M1271" s="5" t="n">
        <v>2</v>
      </c>
    </row>
    <row r="1272">
      <c r="A1272" s="3">
        <f>RAND()</f>
        <v/>
      </c>
      <c r="B1272" s="4" t="inlineStr">
        <is>
          <t>ChIJATzw3kMVqwcRdQoRnaNMsVE</t>
        </is>
      </c>
      <c r="C1272" s="4" t="inlineStr">
        <is>
          <t>Loja dos games</t>
        </is>
      </c>
      <c r="D1272" s="4" t="inlineStr">
        <is>
          <t>Abreu e Lima</t>
        </is>
      </c>
      <c r="E1272" s="4" t="inlineStr">
        <is>
          <t>PE</t>
        </is>
      </c>
      <c r="F1272" s="4" t="inlineStr">
        <is>
          <t>Metrópoles</t>
        </is>
      </c>
      <c r="G1272" s="4" t="inlineStr">
        <is>
          <t>Metrópole</t>
        </is>
      </c>
      <c r="H1272" s="5">
        <f>IF(G1272="fora do recorte","",SUMPRODUCT(($G$3:$G$1723=G1272)*($A$3:$A$1723&lt;=A1272)))</f>
        <v/>
      </c>
      <c r="I1272" s="4">
        <f>IF(H1272="","",G1272&amp;"|"&amp;H1272)</f>
        <v/>
      </c>
      <c r="J1272" s="4" t="inlineStr">
        <is>
          <t>https://www.google.com/maps/search/?api=1&amp;query=Loja%20dos%20games&amp;query_place_id=ChIJATzw3kMVqwcRdQoRnaNMsVE</t>
        </is>
      </c>
      <c r="K1272" s="4" t="inlineStr">
        <is>
          <t>R. MANOEL DE BARROS, 1215 - Planalto, Abreu e Lima - PE, 53550-725, Brasil</t>
        </is>
      </c>
      <c r="L1272" s="4" t="inlineStr">
        <is>
          <t>Recife</t>
        </is>
      </c>
      <c r="M1272" s="5" t="n">
        <v>1</v>
      </c>
    </row>
    <row r="1273">
      <c r="A1273" s="3">
        <f>RAND()</f>
        <v/>
      </c>
      <c r="B1273" s="4" t="inlineStr">
        <is>
          <t>ChIJXTlPZ08aqwcRxSWVMwAP0ug</t>
        </is>
      </c>
      <c r="C1273" s="4" t="inlineStr">
        <is>
          <t>Império dos Games</t>
        </is>
      </c>
      <c r="D1273" s="4" t="inlineStr">
        <is>
          <t>Camaragibe</t>
        </is>
      </c>
      <c r="E1273" s="4" t="inlineStr">
        <is>
          <t>PE</t>
        </is>
      </c>
      <c r="F1273" s="4" t="inlineStr">
        <is>
          <t>Metrópoles</t>
        </is>
      </c>
      <c r="G1273" s="4" t="inlineStr">
        <is>
          <t>Metrópole</t>
        </is>
      </c>
      <c r="H1273" s="5">
        <f>IF(G1273="fora do recorte","",SUMPRODUCT(($G$3:$G$1723=G1273)*($A$3:$A$1723&lt;=A1273)))</f>
        <v/>
      </c>
      <c r="I1273" s="4">
        <f>IF(H1273="","",G1273&amp;"|"&amp;H1273)</f>
        <v/>
      </c>
      <c r="J1273" s="4" t="inlineStr">
        <is>
          <t>https://www.google.com/maps/search/?api=1&amp;query=Imp%C3%A9rio%20dos%20Games&amp;query_place_id=ChIJXTlPZ08aqwcRxSWVMwAP0ug</t>
        </is>
      </c>
      <c r="K1273" s="4" t="inlineStr">
        <is>
          <t>Av. Dr. Belminio Correia, 924 - Bairro Novo do Carmelo, Camaragibe - PE, 54762-303, Brasil</t>
        </is>
      </c>
      <c r="L1273" s="4" t="inlineStr">
        <is>
          <t>Recife</t>
        </is>
      </c>
      <c r="M1273" s="5" t="n">
        <v>1</v>
      </c>
    </row>
    <row r="1274">
      <c r="A1274" s="3">
        <f>RAND()</f>
        <v/>
      </c>
      <c r="B1274" s="4" t="inlineStr">
        <is>
          <t>ChIJJ216gWsbqwcRgjCwj5wYp-0</t>
        </is>
      </c>
      <c r="C1274" s="4" t="inlineStr">
        <is>
          <t>Mochila Geek</t>
        </is>
      </c>
      <c r="D1274" s="4" t="inlineStr">
        <is>
          <t>Camaragibe</t>
        </is>
      </c>
      <c r="E1274" s="4" t="inlineStr">
        <is>
          <t>PE</t>
        </is>
      </c>
      <c r="F1274" s="4" t="inlineStr">
        <is>
          <t>Metrópoles</t>
        </is>
      </c>
      <c r="G1274" s="4" t="inlineStr">
        <is>
          <t>Metrópole</t>
        </is>
      </c>
      <c r="H1274" s="5">
        <f>IF(G1274="fora do recorte","",SUMPRODUCT(($G$3:$G$1723=G1274)*($A$3:$A$1723&lt;=A1274)))</f>
        <v/>
      </c>
      <c r="I1274" s="4">
        <f>IF(H1274="","",G1274&amp;"|"&amp;H1274)</f>
        <v/>
      </c>
      <c r="J1274" s="4" t="inlineStr">
        <is>
          <t>https://www.google.com/maps/search/?api=1&amp;query=Mochila%20Geek&amp;query_place_id=ChIJJ216gWsbqwcRgjCwj5wYp-0</t>
        </is>
      </c>
      <c r="K1274" s="4" t="inlineStr">
        <is>
          <t>Av. Dr. Belmino Correia, 2318 - Timbi, Camaragibe - PE, 54762-303, Brasil</t>
        </is>
      </c>
      <c r="L1274" s="4" t="inlineStr">
        <is>
          <t>Recife</t>
        </is>
      </c>
      <c r="M1274" s="5" t="n">
        <v>4</v>
      </c>
    </row>
    <row r="1275">
      <c r="A1275" s="3">
        <f>RAND()</f>
        <v/>
      </c>
      <c r="B1275" s="4" t="inlineStr">
        <is>
          <t>ChIJH5hULdrjqgcRjMaQ4fnIRks</t>
        </is>
      </c>
      <c r="C1275" s="4" t="inlineStr">
        <is>
          <t>Comida</t>
        </is>
      </c>
      <c r="D1275" s="4" t="inlineStr">
        <is>
          <t>Jaboatão dos Guararapes</t>
        </is>
      </c>
      <c r="E1275" s="4" t="inlineStr">
        <is>
          <t>PE</t>
        </is>
      </c>
      <c r="F1275" s="4" t="inlineStr">
        <is>
          <t>Metrópoles</t>
        </is>
      </c>
      <c r="G1275" s="4" t="inlineStr">
        <is>
          <t>Metrópole</t>
        </is>
      </c>
      <c r="H1275" s="5">
        <f>IF(G1275="fora do recorte","",SUMPRODUCT(($G$3:$G$1723=G1275)*($A$3:$A$1723&lt;=A1275)))</f>
        <v/>
      </c>
      <c r="I1275" s="4">
        <f>IF(H1275="","",G1275&amp;"|"&amp;H1275)</f>
        <v/>
      </c>
      <c r="J1275" s="4" t="inlineStr">
        <is>
          <t>https://www.google.com/maps/search/?api=1&amp;query=Comida&amp;query_place_id=ChIJH5hULdrjqgcRjMaQ4fnIRks</t>
        </is>
      </c>
      <c r="K1275" s="4" t="inlineStr">
        <is>
          <t>Av. Fernandes Viêira - Marcos Freire, Jaboatão dos Guararapes - PE, 54360-050, Brasil</t>
        </is>
      </c>
      <c r="L1275" s="4" t="inlineStr">
        <is>
          <t>Recife</t>
        </is>
      </c>
      <c r="M1275" s="5" t="n">
        <v>1</v>
      </c>
    </row>
    <row r="1276">
      <c r="A1276" s="3">
        <f>RAND()</f>
        <v/>
      </c>
      <c r="B1276" s="4" t="inlineStr">
        <is>
          <t>ChIJq6qRzLnhqgcRSK28MQl1DPU</t>
        </is>
      </c>
      <c r="C1276" s="4" t="inlineStr">
        <is>
          <t>Unigames Guararapes</t>
        </is>
      </c>
      <c r="D1276" s="4" t="inlineStr">
        <is>
          <t>Jaboatão dos Guararapes</t>
        </is>
      </c>
      <c r="E1276" s="4" t="inlineStr">
        <is>
          <t>PE</t>
        </is>
      </c>
      <c r="F1276" s="4" t="inlineStr">
        <is>
          <t>Metrópoles</t>
        </is>
      </c>
      <c r="G1276" s="4" t="inlineStr">
        <is>
          <t>Metrópole</t>
        </is>
      </c>
      <c r="H1276" s="5">
        <f>IF(G1276="fora do recorte","",SUMPRODUCT(($G$3:$G$1723=G1276)*($A$3:$A$1723&lt;=A1276)))</f>
        <v/>
      </c>
      <c r="I1276" s="4">
        <f>IF(H1276="","",G1276&amp;"|"&amp;H1276)</f>
        <v/>
      </c>
      <c r="J1276" s="4" t="inlineStr">
        <is>
          <t>https://www.google.com/maps/search/?api=1&amp;query=Unigames%20Guararapes&amp;query_place_id=ChIJq6qRzLnhqgcRSK28MQl1DPU</t>
        </is>
      </c>
      <c r="K1276" s="4" t="inlineStr">
        <is>
          <t>Av. Barreto de Menezes, 800 - 240 - Piedade, Jaboatão dos Guararapes - PE, 54410-100, Brasil</t>
        </is>
      </c>
      <c r="L1276" s="4" t="inlineStr">
        <is>
          <t>Recife</t>
        </is>
      </c>
      <c r="M1276" s="5" t="n">
        <v>4</v>
      </c>
    </row>
    <row r="1277">
      <c r="A1277" s="3">
        <f>RAND()</f>
        <v/>
      </c>
      <c r="B1277" s="4" t="inlineStr">
        <is>
          <t>ChIJ-wTWYac9qwcRyXowXrwQI8U</t>
        </is>
      </c>
      <c r="C1277" s="4" t="inlineStr">
        <is>
          <t>UNIGAMES PATTEO</t>
        </is>
      </c>
      <c r="D1277" s="4" t="inlineStr">
        <is>
          <t>Olinda</t>
        </is>
      </c>
      <c r="E1277" s="4" t="inlineStr">
        <is>
          <t>PE</t>
        </is>
      </c>
      <c r="F1277" s="4" t="inlineStr">
        <is>
          <t>Metrópoles</t>
        </is>
      </c>
      <c r="G1277" s="4" t="inlineStr">
        <is>
          <t>Metrópole</t>
        </is>
      </c>
      <c r="H1277" s="5">
        <f>IF(G1277="fora do recorte","",SUMPRODUCT(($G$3:$G$1723=G1277)*($A$3:$A$1723&lt;=A1277)))</f>
        <v/>
      </c>
      <c r="I1277" s="4">
        <f>IF(H1277="","",G1277&amp;"|"&amp;H1277)</f>
        <v/>
      </c>
      <c r="J1277" s="4" t="inlineStr">
        <is>
          <t>https://www.google.com/maps/search/?api=1&amp;query=UNIGAMES%20PATTEO&amp;query_place_id=ChIJ-wTWYac9qwcRyXowXrwQI8U</t>
        </is>
      </c>
      <c r="K1277" s="4" t="inlineStr">
        <is>
          <t>R. Carmelita Muniz de Araújo, 225 - Lj 1085 - Casa Caiada, Olinda - PE, 53130-645, Brasil</t>
        </is>
      </c>
      <c r="L1277" s="4" t="inlineStr">
        <is>
          <t>Recife</t>
        </is>
      </c>
      <c r="M1277" s="5" t="n">
        <v>1</v>
      </c>
    </row>
    <row r="1278">
      <c r="A1278" s="3">
        <f>RAND()</f>
        <v/>
      </c>
      <c r="B1278" s="4" t="inlineStr">
        <is>
          <t>ChIJE3oF2OA9qwcRkNEcl3b78kQ</t>
        </is>
      </c>
      <c r="C1278" s="4" t="inlineStr">
        <is>
          <t>Wow Park</t>
        </is>
      </c>
      <c r="D1278" s="4" t="inlineStr">
        <is>
          <t>Olinda</t>
        </is>
      </c>
      <c r="E1278" s="4" t="inlineStr">
        <is>
          <t>PE</t>
        </is>
      </c>
      <c r="F1278" s="4" t="inlineStr">
        <is>
          <t>Metrópoles</t>
        </is>
      </c>
      <c r="G1278" s="4" t="inlineStr">
        <is>
          <t>Metrópole</t>
        </is>
      </c>
      <c r="H1278" s="5">
        <f>IF(G1278="fora do recorte","",SUMPRODUCT(($G$3:$G$1723=G1278)*($A$3:$A$1723&lt;=A1278)))</f>
        <v/>
      </c>
      <c r="I1278" s="4">
        <f>IF(H1278="","",G1278&amp;"|"&amp;H1278)</f>
        <v/>
      </c>
      <c r="J1278" s="4" t="inlineStr">
        <is>
          <t>https://www.google.com/maps/search/?api=1&amp;query=Wow%20Park&amp;query_place_id=ChIJE3oF2OA9qwcRkNEcl3b78kQ</t>
        </is>
      </c>
      <c r="K1278" s="4" t="inlineStr">
        <is>
          <t>R. Carmelita Muniz de Araújo, 225 - Casa Caiada, Olinda - PE, 53130-645, Brasil</t>
        </is>
      </c>
      <c r="L1278" s="4" t="inlineStr">
        <is>
          <t>Recife</t>
        </is>
      </c>
      <c r="M1278" s="5" t="n">
        <v>1</v>
      </c>
    </row>
    <row r="1279">
      <c r="A1279" s="3">
        <f>RAND()</f>
        <v/>
      </c>
      <c r="B1279" s="4" t="inlineStr">
        <is>
          <t>ChIJhWa9WcY9qwcRWkOkmgNvWfM</t>
        </is>
      </c>
      <c r="C1279" s="4" t="inlineStr">
        <is>
          <t>Torres do Dragão</t>
        </is>
      </c>
      <c r="D1279" s="4" t="inlineStr">
        <is>
          <t>Paulista</t>
        </is>
      </c>
      <c r="E1279" s="4" t="inlineStr">
        <is>
          <t>PE</t>
        </is>
      </c>
      <c r="F1279" s="4" t="inlineStr">
        <is>
          <t>Metrópoles</t>
        </is>
      </c>
      <c r="G1279" s="4" t="inlineStr">
        <is>
          <t>Metrópole</t>
        </is>
      </c>
      <c r="H1279" s="5">
        <f>IF(G1279="fora do recorte","",SUMPRODUCT(($G$3:$G$1723=G1279)*($A$3:$A$1723&lt;=A1279)))</f>
        <v/>
      </c>
      <c r="I1279" s="4">
        <f>IF(H1279="","",G1279&amp;"|"&amp;H1279)</f>
        <v/>
      </c>
      <c r="J1279" s="4" t="inlineStr">
        <is>
          <t>https://www.google.com/maps/search/?api=1&amp;query=Torres%20do%20Drag%C3%A3o&amp;query_place_id=ChIJhWa9WcY9qwcRWkOkmgNvWfM</t>
        </is>
      </c>
      <c r="K1279" s="4" t="inlineStr">
        <is>
          <t>R. Sessenta e Quatro, 156 - Maranguape I, Paulista - PE, 53441-240, Brasil</t>
        </is>
      </c>
      <c r="L1279" s="4" t="inlineStr">
        <is>
          <t>Recife</t>
        </is>
      </c>
      <c r="M1279" s="5" t="n">
        <v>3</v>
      </c>
    </row>
    <row r="1280">
      <c r="A1280" s="3">
        <f>RAND()</f>
        <v/>
      </c>
      <c r="B1280" s="4" t="inlineStr">
        <is>
          <t>ChIJMROk5FIZqwcRrJpuhpd_n5M</t>
        </is>
      </c>
      <c r="C1280" s="4" t="inlineStr">
        <is>
          <t>Arcádia Tabuleria</t>
        </is>
      </c>
      <c r="D1280" s="4" t="inlineStr">
        <is>
          <t>Recife</t>
        </is>
      </c>
      <c r="E1280" s="4" t="inlineStr">
        <is>
          <t>PE</t>
        </is>
      </c>
      <c r="F1280" s="4" t="inlineStr">
        <is>
          <t>Metrópoles</t>
        </is>
      </c>
      <c r="G1280" s="4" t="inlineStr">
        <is>
          <t>Metrópole</t>
        </is>
      </c>
      <c r="H1280" s="5">
        <f>IF(G1280="fora do recorte","",SUMPRODUCT(($G$3:$G$1723=G1280)*($A$3:$A$1723&lt;=A1280)))</f>
        <v/>
      </c>
      <c r="I1280" s="4">
        <f>IF(H1280="","",G1280&amp;"|"&amp;H1280)</f>
        <v/>
      </c>
      <c r="J1280" s="4" t="inlineStr">
        <is>
          <t>https://www.google.com/maps/search/?api=1&amp;query=Arc%C3%A1dia%20Tabuleria&amp;query_place_id=ChIJMROk5FIZqwcRrJpuhpd_n5M</t>
        </is>
      </c>
      <c r="K1280" s="4" t="inlineStr">
        <is>
          <t>Rua Almirante Ary Parreiras, 155 - Santo Amaro, Recife - PE, 50100-370, Brasil</t>
        </is>
      </c>
      <c r="L1280" s="4" t="inlineStr">
        <is>
          <t>Recife</t>
        </is>
      </c>
      <c r="M1280" s="5" t="n">
        <v>4</v>
      </c>
    </row>
    <row r="1281">
      <c r="A1281" s="3">
        <f>RAND()</f>
        <v/>
      </c>
      <c r="B1281" s="4" t="inlineStr">
        <is>
          <t>ChIJp6m9aU4eqwcRhgeJI1PPzxU</t>
        </is>
      </c>
      <c r="C1281" s="4" t="inlineStr">
        <is>
          <t>Atacado Dos Presentes Imbiribeira</t>
        </is>
      </c>
      <c r="D1281" s="4" t="inlineStr">
        <is>
          <t>Recife</t>
        </is>
      </c>
      <c r="E1281" s="4" t="inlineStr">
        <is>
          <t>PE</t>
        </is>
      </c>
      <c r="F1281" s="4" t="inlineStr">
        <is>
          <t>Metrópoles</t>
        </is>
      </c>
      <c r="G1281" s="4" t="inlineStr">
        <is>
          <t>Metrópole</t>
        </is>
      </c>
      <c r="H1281" s="5">
        <f>IF(G1281="fora do recorte","",SUMPRODUCT(($G$3:$G$1723=G1281)*($A$3:$A$1723&lt;=A1281)))</f>
        <v/>
      </c>
      <c r="I1281" s="4">
        <f>IF(H1281="","",G1281&amp;"|"&amp;H1281)</f>
        <v/>
      </c>
      <c r="J1281" s="4" t="inlineStr">
        <is>
          <t>https://www.google.com/maps/search/?api=1&amp;query=Atacado%20Dos%20Presentes%20Imbiribeira&amp;query_place_id=ChIJp6m9aU4eqwcRhgeJI1PPzxU</t>
        </is>
      </c>
      <c r="K1281" s="4" t="inlineStr">
        <is>
          <t>Av. Mal. Mascarenhas de Morais, 4075 - Imbiribeira, Recife - PE, 51150-003, Brasil</t>
        </is>
      </c>
      <c r="L1281" s="4" t="inlineStr">
        <is>
          <t>Recife</t>
        </is>
      </c>
      <c r="M1281" s="5" t="n">
        <v>1</v>
      </c>
    </row>
    <row r="1282">
      <c r="A1282" s="3">
        <f>RAND()</f>
        <v/>
      </c>
      <c r="B1282" s="4" t="inlineStr">
        <is>
          <t>ChIJP0EE_bcZqwcRhwh4EoxwUdM</t>
        </is>
      </c>
      <c r="C1282" s="4" t="inlineStr">
        <is>
          <t>Atacadão Mec Papelaria - Rosarinho</t>
        </is>
      </c>
      <c r="D1282" s="4" t="inlineStr">
        <is>
          <t>Recife</t>
        </is>
      </c>
      <c r="E1282" s="4" t="inlineStr">
        <is>
          <t>PE</t>
        </is>
      </c>
      <c r="F1282" s="4" t="inlineStr">
        <is>
          <t>Metrópoles</t>
        </is>
      </c>
      <c r="G1282" s="4" t="inlineStr">
        <is>
          <t>Metrópole</t>
        </is>
      </c>
      <c r="H1282" s="5">
        <f>IF(G1282="fora do recorte","",SUMPRODUCT(($G$3:$G$1723=G1282)*($A$3:$A$1723&lt;=A1282)))</f>
        <v/>
      </c>
      <c r="I1282" s="4">
        <f>IF(H1282="","",G1282&amp;"|"&amp;H1282)</f>
        <v/>
      </c>
      <c r="J1282" s="4" t="inlineStr">
        <is>
          <t>https://www.google.com/maps/search/?api=1&amp;query=Atacad%C3%A3o%20Mec%20Papelaria%20-%20Rosarinho&amp;query_place_id=ChIJP0EE_bcZqwcRhwh4EoxwUdM</t>
        </is>
      </c>
      <c r="K1282" s="4" t="inlineStr">
        <is>
          <t>Av. Norte Miguel Arraes de Alencar, 3311 - Rosarinho, Recife - PE, 52041-005, Brasil</t>
        </is>
      </c>
      <c r="L1282" s="4" t="inlineStr">
        <is>
          <t>Recife</t>
        </is>
      </c>
      <c r="M1282" s="5" t="n">
        <v>1</v>
      </c>
    </row>
    <row r="1283">
      <c r="A1283" s="3">
        <f>RAND()</f>
        <v/>
      </c>
      <c r="B1283" s="4" t="inlineStr">
        <is>
          <t>ChIJKy8Z1LgYqwcRbOLwDj1qVfY</t>
        </is>
      </c>
      <c r="C1283" s="4" t="inlineStr">
        <is>
          <t>Bakamoon Comic Store</t>
        </is>
      </c>
      <c r="D1283" s="4" t="inlineStr">
        <is>
          <t>Recife</t>
        </is>
      </c>
      <c r="E1283" s="4" t="inlineStr">
        <is>
          <t>PE</t>
        </is>
      </c>
      <c r="F1283" s="4" t="inlineStr">
        <is>
          <t>Metrópoles</t>
        </is>
      </c>
      <c r="G1283" s="4" t="inlineStr">
        <is>
          <t>Metrópole</t>
        </is>
      </c>
      <c r="H1283" s="5">
        <f>IF(G1283="fora do recorte","",SUMPRODUCT(($G$3:$G$1723=G1283)*($A$3:$A$1723&lt;=A1283)))</f>
        <v/>
      </c>
      <c r="I1283" s="4">
        <f>IF(H1283="","",G1283&amp;"|"&amp;H1283)</f>
        <v/>
      </c>
      <c r="J1283" s="4" t="inlineStr">
        <is>
          <t>https://www.google.com/maps/search/?api=1&amp;query=Bakamoon%20Comic%20Store&amp;query_place_id=ChIJKy8Z1LgYqwcRbOLwDj1qVfY</t>
        </is>
      </c>
      <c r="K1283" s="4" t="inlineStr">
        <is>
          <t>Av. Conde da Boa Vista, 50 - Boa Vista, Recife - PE, 50060-001, Brasil</t>
        </is>
      </c>
      <c r="L1283" s="4" t="inlineStr">
        <is>
          <t>Recife</t>
        </is>
      </c>
      <c r="M1283" s="5" t="n">
        <v>2</v>
      </c>
    </row>
    <row r="1284">
      <c r="A1284" s="3">
        <f>RAND()</f>
        <v/>
      </c>
      <c r="B1284" s="4" t="inlineStr">
        <is>
          <t>ChIJJ4U2TqcZqwcRg83OBm1F2s4</t>
        </is>
      </c>
      <c r="C1284" s="4" t="inlineStr">
        <is>
          <t>Bar Real Botequim</t>
        </is>
      </c>
      <c r="D1284" s="4" t="inlineStr">
        <is>
          <t>Recife</t>
        </is>
      </c>
      <c r="E1284" s="4" t="inlineStr">
        <is>
          <t>PE</t>
        </is>
      </c>
      <c r="F1284" s="4" t="inlineStr">
        <is>
          <t>Metrópoles</t>
        </is>
      </c>
      <c r="G1284" s="4" t="inlineStr">
        <is>
          <t>Metrópole</t>
        </is>
      </c>
      <c r="H1284" s="5">
        <f>IF(G1284="fora do recorte","",SUMPRODUCT(($G$3:$G$1723=G1284)*($A$3:$A$1723&lt;=A1284)))</f>
        <v/>
      </c>
      <c r="I1284" s="4">
        <f>IF(H1284="","",G1284&amp;"|"&amp;H1284)</f>
        <v/>
      </c>
      <c r="J1284" s="4" t="inlineStr">
        <is>
          <t>https://www.google.com/maps/search/?api=1&amp;query=Bar%20Real%20Botequim&amp;query_place_id=ChIJJ4U2TqcZqwcRg83OBm1F2s4</t>
        </is>
      </c>
      <c r="K1284" s="4" t="inlineStr">
        <is>
          <t>Av. Dezessete de Agosto, 1761 - Casa Forte, Recife - PE, 52061-900, Brasil</t>
        </is>
      </c>
      <c r="L1284" s="4" t="inlineStr">
        <is>
          <t>Recife</t>
        </is>
      </c>
      <c r="M1284" s="5" t="n">
        <v>1</v>
      </c>
    </row>
    <row r="1285">
      <c r="A1285" s="3">
        <f>RAND()</f>
        <v/>
      </c>
      <c r="B1285" s="4" t="inlineStr">
        <is>
          <t>ChIJ9-2dZkIZqwcRZ0yWqnsR3no</t>
        </is>
      </c>
      <c r="C1285" s="4" t="inlineStr">
        <is>
          <t>Brinque e pule</t>
        </is>
      </c>
      <c r="D1285" s="4" t="inlineStr">
        <is>
          <t>Recife</t>
        </is>
      </c>
      <c r="E1285" s="4" t="inlineStr">
        <is>
          <t>PE</t>
        </is>
      </c>
      <c r="F1285" s="4" t="inlineStr">
        <is>
          <t>Metrópoles</t>
        </is>
      </c>
      <c r="G1285" s="4" t="inlineStr">
        <is>
          <t>Metrópole</t>
        </is>
      </c>
      <c r="H1285" s="5">
        <f>IF(G1285="fora do recorte","",SUMPRODUCT(($G$3:$G$1723=G1285)*($A$3:$A$1723&lt;=A1285)))</f>
        <v/>
      </c>
      <c r="I1285" s="4">
        <f>IF(H1285="","",G1285&amp;"|"&amp;H1285)</f>
        <v/>
      </c>
      <c r="J1285" s="4" t="inlineStr">
        <is>
          <t>https://www.google.com/maps/search/?api=1&amp;query=Brinque%20e%20pule&amp;query_place_id=ChIJ9-2dZkIZqwcRZ0yWqnsR3no</t>
        </is>
      </c>
      <c r="K1285" s="4" t="inlineStr">
        <is>
          <t>R. Modelo, 3613 - Alto José Bonifacio, Recife - PE, 52080-420, Brasil</t>
        </is>
      </c>
      <c r="L1285" s="4" t="inlineStr">
        <is>
          <t>Recife</t>
        </is>
      </c>
      <c r="M1285" s="5" t="n">
        <v>1</v>
      </c>
    </row>
    <row r="1286">
      <c r="A1286" s="3">
        <f>RAND()</f>
        <v/>
      </c>
      <c r="B1286" s="4" t="inlineStr">
        <is>
          <t>ChIJN6oPbgAZqwcRaaXGaDZXc8Y</t>
        </is>
      </c>
      <c r="C1286" s="4" t="inlineStr">
        <is>
          <t>Brinquedoteca do Pedro</t>
        </is>
      </c>
      <c r="D1286" s="4" t="inlineStr">
        <is>
          <t>Recife</t>
        </is>
      </c>
      <c r="E1286" s="4" t="inlineStr">
        <is>
          <t>PE</t>
        </is>
      </c>
      <c r="F1286" s="4" t="inlineStr">
        <is>
          <t>Metrópoles</t>
        </is>
      </c>
      <c r="G1286" s="4" t="inlineStr">
        <is>
          <t>Metrópole</t>
        </is>
      </c>
      <c r="H1286" s="5">
        <f>IF(G1286="fora do recorte","",SUMPRODUCT(($G$3:$G$1723=G1286)*($A$3:$A$1723&lt;=A1286)))</f>
        <v/>
      </c>
      <c r="I1286" s="4">
        <f>IF(H1286="","",G1286&amp;"|"&amp;H1286)</f>
        <v/>
      </c>
      <c r="J1286" s="4" t="inlineStr">
        <is>
          <t>https://www.google.com/maps/search/?api=1&amp;query=Brinquedoteca%20do%20Pedro&amp;query_place_id=ChIJN6oPbgAZqwcRaaXGaDZXc8Y</t>
        </is>
      </c>
      <c r="K1286" s="4" t="inlineStr">
        <is>
          <t>R. do Espinheiro, 533 - Espinheiro, Recife - PE, 52020-025, Brasil</t>
        </is>
      </c>
      <c r="L1286" s="4" t="inlineStr">
        <is>
          <t>Recife</t>
        </is>
      </c>
      <c r="M1286" s="5" t="n">
        <v>1</v>
      </c>
    </row>
    <row r="1287">
      <c r="A1287" s="3">
        <f>RAND()</f>
        <v/>
      </c>
      <c r="B1287" s="4" t="inlineStr">
        <is>
          <t>ChIJj8Y1lOMYqwcRERhqqJ-Z7Kw</t>
        </is>
      </c>
      <c r="C1287" s="4" t="inlineStr">
        <is>
          <t>Casa das Asas - Centro Recreativo</t>
        </is>
      </c>
      <c r="D1287" s="4" t="inlineStr">
        <is>
          <t>Recife</t>
        </is>
      </c>
      <c r="E1287" s="4" t="inlineStr">
        <is>
          <t>PE</t>
        </is>
      </c>
      <c r="F1287" s="4" t="inlineStr">
        <is>
          <t>Metrópoles</t>
        </is>
      </c>
      <c r="G1287" s="4" t="inlineStr">
        <is>
          <t>Metrópole</t>
        </is>
      </c>
      <c r="H1287" s="5">
        <f>IF(G1287="fora do recorte","",SUMPRODUCT(($G$3:$G$1723=G1287)*($A$3:$A$1723&lt;=A1287)))</f>
        <v/>
      </c>
      <c r="I1287" s="4">
        <f>IF(H1287="","",G1287&amp;"|"&amp;H1287)</f>
        <v/>
      </c>
      <c r="J1287" s="4" t="inlineStr">
        <is>
          <t>https://www.google.com/maps/search/?api=1&amp;query=Casa%20das%20Asas%20-%20Centro%20Recreativo&amp;query_place_id=ChIJj8Y1lOMYqwcRERhqqJ-Z7Kw</t>
        </is>
      </c>
      <c r="K1287" s="4" t="inlineStr">
        <is>
          <t>R. das Pernambucanas, 79 - Graças, Recife - PE, 52011-010, Brasil</t>
        </is>
      </c>
      <c r="L1287" s="4" t="inlineStr">
        <is>
          <t>Recife</t>
        </is>
      </c>
      <c r="M1287" s="5" t="n">
        <v>1</v>
      </c>
    </row>
    <row r="1288">
      <c r="A1288" s="3">
        <f>RAND()</f>
        <v/>
      </c>
      <c r="B1288" s="4" t="inlineStr">
        <is>
          <t>ChIJZwp6WwAZqwcR43Z9WcQDRWM</t>
        </is>
      </c>
      <c r="C1288" s="4" t="inlineStr">
        <is>
          <t>Casa de Magalhães</t>
        </is>
      </c>
      <c r="D1288" s="4" t="inlineStr">
        <is>
          <t>Recife</t>
        </is>
      </c>
      <c r="E1288" s="4" t="inlineStr">
        <is>
          <t>PE</t>
        </is>
      </c>
      <c r="F1288" s="4" t="inlineStr">
        <is>
          <t>Metrópoles</t>
        </is>
      </c>
      <c r="G1288" s="4" t="inlineStr">
        <is>
          <t>Metrópole</t>
        </is>
      </c>
      <c r="H1288" s="5">
        <f>IF(G1288="fora do recorte","",SUMPRODUCT(($G$3:$G$1723=G1288)*($A$3:$A$1723&lt;=A1288)))</f>
        <v/>
      </c>
      <c r="I1288" s="4">
        <f>IF(H1288="","",G1288&amp;"|"&amp;H1288)</f>
        <v/>
      </c>
      <c r="J1288" s="4" t="inlineStr">
        <is>
          <t>https://www.google.com/maps/search/?api=1&amp;query=Casa%20de%20Magalh%C3%A3es&amp;query_place_id=ChIJZwp6WwAZqwcR43Z9WcQDRWM</t>
        </is>
      </c>
      <c r="K1288" s="4" t="inlineStr">
        <is>
          <t>R. Dep. Pedro Velho, 260 - Ponto de Parada, Recife - PE, 52041-512, Brasil</t>
        </is>
      </c>
      <c r="L1288" s="4" t="inlineStr">
        <is>
          <t>Recife</t>
        </is>
      </c>
      <c r="M1288" s="5" t="n">
        <v>4</v>
      </c>
    </row>
    <row r="1289">
      <c r="A1289" s="3">
        <f>RAND()</f>
        <v/>
      </c>
      <c r="B1289" s="4" t="inlineStr">
        <is>
          <t>ChIJU7q_hVEfqwcRxNkeHJ-woKI</t>
        </is>
      </c>
      <c r="C1289" s="4" t="inlineStr">
        <is>
          <t>Caverna do Dragão Card Shop</t>
        </is>
      </c>
      <c r="D1289" s="4" t="inlineStr">
        <is>
          <t>Recife</t>
        </is>
      </c>
      <c r="E1289" s="4" t="inlineStr">
        <is>
          <t>PE</t>
        </is>
      </c>
      <c r="F1289" s="4" t="inlineStr">
        <is>
          <t>Metrópoles</t>
        </is>
      </c>
      <c r="G1289" s="4" t="inlineStr">
        <is>
          <t>Metrópole</t>
        </is>
      </c>
      <c r="H1289" s="5">
        <f>IF(G1289="fora do recorte","",SUMPRODUCT(($G$3:$G$1723=G1289)*($A$3:$A$1723&lt;=A1289)))</f>
        <v/>
      </c>
      <c r="I1289" s="4">
        <f>IF(H1289="","",G1289&amp;"|"&amp;H1289)</f>
        <v/>
      </c>
      <c r="J1289" s="4" t="inlineStr">
        <is>
          <t>https://www.google.com/maps/search/?api=1&amp;query=Caverna%20do%20Drag%C3%A3o%20Card%20Shop&amp;query_place_id=ChIJU7q_hVEfqwcRxNkeHJ-woKI</t>
        </is>
      </c>
      <c r="K1289" s="4" t="inlineStr">
        <is>
          <t>Av. Conselheiro Aguiar, 4880 - loja 35 - térreo - Boa Viagem, Recife - PE, 51021-020, Brasil</t>
        </is>
      </c>
      <c r="L1289" s="4" t="inlineStr">
        <is>
          <t>Recife</t>
        </is>
      </c>
      <c r="M1289" s="5" t="n">
        <v>2</v>
      </c>
    </row>
    <row r="1290">
      <c r="A1290" s="3">
        <f>RAND()</f>
        <v/>
      </c>
      <c r="B1290" s="4" t="inlineStr">
        <is>
          <t>ChIJP6KsrQ0fqwcR9u4OgDX-5hI</t>
        </is>
      </c>
      <c r="C1290" s="4" t="inlineStr">
        <is>
          <t>Cervejaria Alphaiate</t>
        </is>
      </c>
      <c r="D1290" s="4" t="inlineStr">
        <is>
          <t>Recife</t>
        </is>
      </c>
      <c r="E1290" s="4" t="inlineStr">
        <is>
          <t>PE</t>
        </is>
      </c>
      <c r="F1290" s="4" t="inlineStr">
        <is>
          <t>Metrópoles</t>
        </is>
      </c>
      <c r="G1290" s="4" t="inlineStr">
        <is>
          <t>Metrópole</t>
        </is>
      </c>
      <c r="H1290" s="5">
        <f>IF(G1290="fora do recorte","",SUMPRODUCT(($G$3:$G$1723=G1290)*($A$3:$A$1723&lt;=A1290)))</f>
        <v/>
      </c>
      <c r="I1290" s="4">
        <f>IF(H1290="","",G1290&amp;"|"&amp;H1290)</f>
        <v/>
      </c>
      <c r="J1290" s="4" t="inlineStr">
        <is>
          <t>https://www.google.com/maps/search/?api=1&amp;query=Cervejaria%20Alphaiate&amp;query_place_id=ChIJP6KsrQ0fqwcR9u4OgDX-5hI</t>
        </is>
      </c>
      <c r="K1290" s="4" t="inlineStr">
        <is>
          <t>R. Artur Muniz, 82 - Boa Viagem, Recife - PE, 51111-190, Brasil</t>
        </is>
      </c>
      <c r="L1290" s="4" t="inlineStr">
        <is>
          <t>Recife</t>
        </is>
      </c>
      <c r="M1290" s="5" t="n">
        <v>1</v>
      </c>
    </row>
    <row r="1291">
      <c r="A1291" s="3">
        <f>RAND()</f>
        <v/>
      </c>
      <c r="B1291" s="4" t="inlineStr">
        <is>
          <t>ChIJnabFB6cfqwcR4oimvbaJMMA</t>
        </is>
      </c>
      <c r="C1291" s="4" t="inlineStr">
        <is>
          <t>Cia do Chopp</t>
        </is>
      </c>
      <c r="D1291" s="4" t="inlineStr">
        <is>
          <t>Recife</t>
        </is>
      </c>
      <c r="E1291" s="4" t="inlineStr">
        <is>
          <t>PE</t>
        </is>
      </c>
      <c r="F1291" s="4" t="inlineStr">
        <is>
          <t>Metrópoles</t>
        </is>
      </c>
      <c r="G1291" s="4" t="inlineStr">
        <is>
          <t>Metrópole</t>
        </is>
      </c>
      <c r="H1291" s="5">
        <f>IF(G1291="fora do recorte","",SUMPRODUCT(($G$3:$G$1723=G1291)*($A$3:$A$1723&lt;=A1291)))</f>
        <v/>
      </c>
      <c r="I1291" s="4">
        <f>IF(H1291="","",G1291&amp;"|"&amp;H1291)</f>
        <v/>
      </c>
      <c r="J1291" s="4" t="inlineStr">
        <is>
          <t>https://www.google.com/maps/search/?api=1&amp;query=Cia%20do%20Chopp&amp;query_place_id=ChIJnabFB6cfqwcR4oimvbaJMMA</t>
        </is>
      </c>
      <c r="K1291" s="4" t="inlineStr">
        <is>
          <t>Av. Conselheiro Aguiar, 2775 - Boa Viagem, Recife - PE, 51020-020, Brasil</t>
        </is>
      </c>
      <c r="L1291" s="4" t="inlineStr">
        <is>
          <t>Recife</t>
        </is>
      </c>
      <c r="M1291" s="5" t="n">
        <v>1</v>
      </c>
    </row>
    <row r="1292">
      <c r="A1292" s="3">
        <f>RAND()</f>
        <v/>
      </c>
      <c r="B1292" s="4" t="inlineStr">
        <is>
          <t>ChIJ_WS-gXIZqwcRJEm1exfeYNw</t>
        </is>
      </c>
      <c r="C1292" s="4" t="inlineStr">
        <is>
          <t>Criativa - Loja de Brinquedos em Recife</t>
        </is>
      </c>
      <c r="D1292" s="4" t="inlineStr">
        <is>
          <t>Recife</t>
        </is>
      </c>
      <c r="E1292" s="4" t="inlineStr">
        <is>
          <t>PE</t>
        </is>
      </c>
      <c r="F1292" s="4" t="inlineStr">
        <is>
          <t>Metrópoles</t>
        </is>
      </c>
      <c r="G1292" s="4" t="inlineStr">
        <is>
          <t>Metrópole</t>
        </is>
      </c>
      <c r="H1292" s="5">
        <f>IF(G1292="fora do recorte","",SUMPRODUCT(($G$3:$G$1723=G1292)*($A$3:$A$1723&lt;=A1292)))</f>
        <v/>
      </c>
      <c r="I1292" s="4">
        <f>IF(H1292="","",G1292&amp;"|"&amp;H1292)</f>
        <v/>
      </c>
      <c r="J1292" s="4" t="inlineStr">
        <is>
          <t>https://www.google.com/maps/search/?api=1&amp;query=Criativa%20-%20Loja%20de%20Brinquedos%20em%20Recife&amp;query_place_id=ChIJ_WS-gXIZqwcRJEm1exfeYNw</t>
        </is>
      </c>
      <c r="K1292" s="4" t="inlineStr">
        <is>
          <t>Av. Conde da Boa Vista, 610, Loja 213C, 2 Andar Shopping Boa Vista - Soledade, Recife - PE, 50060-001, Brasil</t>
        </is>
      </c>
      <c r="L1292" s="4" t="inlineStr">
        <is>
          <t>Recife</t>
        </is>
      </c>
      <c r="M1292" s="5" t="n">
        <v>1</v>
      </c>
    </row>
    <row r="1293">
      <c r="A1293" s="3">
        <f>RAND()</f>
        <v/>
      </c>
      <c r="B1293" s="4" t="inlineStr">
        <is>
          <t>ChIJmUA2GCsZqwcR00G4pRI6toI</t>
        </is>
      </c>
      <c r="C1293" s="4" t="inlineStr">
        <is>
          <t>Discord org</t>
        </is>
      </c>
      <c r="D1293" s="4" t="inlineStr">
        <is>
          <t>Recife</t>
        </is>
      </c>
      <c r="E1293" s="4" t="inlineStr">
        <is>
          <t>PE</t>
        </is>
      </c>
      <c r="F1293" s="4" t="inlineStr">
        <is>
          <t>Metrópoles</t>
        </is>
      </c>
      <c r="G1293" s="4" t="inlineStr">
        <is>
          <t>Metrópole</t>
        </is>
      </c>
      <c r="H1293" s="5">
        <f>IF(G1293="fora do recorte","",SUMPRODUCT(($G$3:$G$1723=G1293)*($A$3:$A$1723&lt;=A1293)))</f>
        <v/>
      </c>
      <c r="I1293" s="4">
        <f>IF(H1293="","",G1293&amp;"|"&amp;H1293)</f>
        <v/>
      </c>
      <c r="J1293" s="4" t="inlineStr">
        <is>
          <t>https://www.google.com/maps/search/?api=1&amp;query=Discord%20org&amp;query_place_id=ChIJmUA2GCsZqwcR00G4pRI6toI</t>
        </is>
      </c>
      <c r="K1293" s="4" t="inlineStr">
        <is>
          <t>R. Prof. Mussa Hazin - zin, Recife - PE, 50800-030, Brasil</t>
        </is>
      </c>
      <c r="L1293" s="4" t="inlineStr">
        <is>
          <t>Recife</t>
        </is>
      </c>
      <c r="M1293" s="5" t="n">
        <v>2</v>
      </c>
    </row>
    <row r="1294">
      <c r="A1294" s="3">
        <f>RAND()</f>
        <v/>
      </c>
      <c r="B1294" s="4" t="inlineStr">
        <is>
          <t>ChIJQ06rn-UdqwcR9yTGZOOYmjA</t>
        </is>
      </c>
      <c r="C1294" s="4" t="inlineStr">
        <is>
          <t>Dom Medieval</t>
        </is>
      </c>
      <c r="D1294" s="4" t="inlineStr">
        <is>
          <t>Recife</t>
        </is>
      </c>
      <c r="E1294" s="4" t="inlineStr">
        <is>
          <t>PE</t>
        </is>
      </c>
      <c r="F1294" s="4" t="inlineStr">
        <is>
          <t>Metrópoles</t>
        </is>
      </c>
      <c r="G1294" s="4" t="inlineStr">
        <is>
          <t>Metrópole</t>
        </is>
      </c>
      <c r="H1294" s="5">
        <f>IF(G1294="fora do recorte","",SUMPRODUCT(($G$3:$G$1723=G1294)*($A$3:$A$1723&lt;=A1294)))</f>
        <v/>
      </c>
      <c r="I1294" s="4">
        <f>IF(H1294="","",G1294&amp;"|"&amp;H1294)</f>
        <v/>
      </c>
      <c r="J1294" s="4" t="inlineStr">
        <is>
          <t>https://www.google.com/maps/search/?api=1&amp;query=Dom%20Medieval&amp;query_place_id=ChIJQ06rn-UdqwcR9yTGZOOYmjA</t>
        </is>
      </c>
      <c r="K1294" s="4" t="inlineStr">
        <is>
          <t>Av. Boa Viagem, 618 - Boa Viagem, Recife - PE, 51011-000, Brasil</t>
        </is>
      </c>
      <c r="L1294" s="4" t="inlineStr">
        <is>
          <t>Recife</t>
        </is>
      </c>
      <c r="M1294" s="5" t="n">
        <v>1</v>
      </c>
    </row>
    <row r="1295">
      <c r="A1295" s="3">
        <f>RAND()</f>
        <v/>
      </c>
      <c r="B1295" s="4" t="inlineStr">
        <is>
          <t>ChIJrU2D9bkYqwcRMw5QIH_W93Y</t>
        </is>
      </c>
      <c r="C1295" s="4" t="inlineStr">
        <is>
          <t>Doutor Game</t>
        </is>
      </c>
      <c r="D1295" s="4" t="inlineStr">
        <is>
          <t>Recife</t>
        </is>
      </c>
      <c r="E1295" s="4" t="inlineStr">
        <is>
          <t>PE</t>
        </is>
      </c>
      <c r="F1295" s="4" t="inlineStr">
        <is>
          <t>Metrópoles</t>
        </is>
      </c>
      <c r="G1295" s="4" t="inlineStr">
        <is>
          <t>Metrópole</t>
        </is>
      </c>
      <c r="H1295" s="5">
        <f>IF(G1295="fora do recorte","",SUMPRODUCT(($G$3:$G$1723=G1295)*($A$3:$A$1723&lt;=A1295)))</f>
        <v/>
      </c>
      <c r="I1295" s="4">
        <f>IF(H1295="","",G1295&amp;"|"&amp;H1295)</f>
        <v/>
      </c>
      <c r="J1295" s="4" t="inlineStr">
        <is>
          <t>https://www.google.com/maps/search/?api=1&amp;query=Doutor%20Game&amp;query_place_id=ChIJrU2D9bkYqwcRMw5QIH_W93Y</t>
        </is>
      </c>
      <c r="K1295" s="4" t="inlineStr">
        <is>
          <t>R. Ijuí, 293 - Torrões, Recife - PE, 50640-070, Brasil</t>
        </is>
      </c>
      <c r="L1295" s="4" t="inlineStr">
        <is>
          <t>Recife</t>
        </is>
      </c>
      <c r="M1295" s="5" t="n">
        <v>1</v>
      </c>
    </row>
    <row r="1296">
      <c r="A1296" s="3">
        <f>RAND()</f>
        <v/>
      </c>
      <c r="B1296" s="4" t="inlineStr">
        <is>
          <t>ChIJ5bFbLc8ZqwcRalbDDUkO7p8</t>
        </is>
      </c>
      <c r="C1296" s="4" t="inlineStr">
        <is>
          <t>Downtown Beer Garden</t>
        </is>
      </c>
      <c r="D1296" s="4" t="inlineStr">
        <is>
          <t>Recife</t>
        </is>
      </c>
      <c r="E1296" s="4" t="inlineStr">
        <is>
          <t>PE</t>
        </is>
      </c>
      <c r="F1296" s="4" t="inlineStr">
        <is>
          <t>Metrópoles</t>
        </is>
      </c>
      <c r="G1296" s="4" t="inlineStr">
        <is>
          <t>Metrópole</t>
        </is>
      </c>
      <c r="H1296" s="5">
        <f>IF(G1296="fora do recorte","",SUMPRODUCT(($G$3:$G$1723=G1296)*($A$3:$A$1723&lt;=A1296)))</f>
        <v/>
      </c>
      <c r="I1296" s="4">
        <f>IF(H1296="","",G1296&amp;"|"&amp;H1296)</f>
        <v/>
      </c>
      <c r="J1296" s="4" t="inlineStr">
        <is>
          <t>https://www.google.com/maps/search/?api=1&amp;query=Downtown%20Beer%20Garden&amp;query_place_id=ChIJ5bFbLc8ZqwcRalbDDUkO7p8</t>
        </is>
      </c>
      <c r="K1296" s="4" t="inlineStr">
        <is>
          <t>Rua Quarenta e Oito, 490 - Quintal - Espinheiro, Recife - PE, 52020-060, Brasil</t>
        </is>
      </c>
      <c r="L1296" s="4" t="inlineStr">
        <is>
          <t>Recife</t>
        </is>
      </c>
      <c r="M1296" s="5" t="n">
        <v>1</v>
      </c>
    </row>
    <row r="1297">
      <c r="A1297" s="3">
        <f>RAND()</f>
        <v/>
      </c>
      <c r="B1297" s="4" t="inlineStr">
        <is>
          <t>ChIJ8y_w50oeqwcRwp-aASX2r4A</t>
        </is>
      </c>
      <c r="C1297" s="4" t="inlineStr">
        <is>
          <t>Escritório - Zona Sul</t>
        </is>
      </c>
      <c r="D1297" s="4" t="inlineStr">
        <is>
          <t>Recife</t>
        </is>
      </c>
      <c r="E1297" s="4" t="inlineStr">
        <is>
          <t>PE</t>
        </is>
      </c>
      <c r="F1297" s="4" t="inlineStr">
        <is>
          <t>Metrópoles</t>
        </is>
      </c>
      <c r="G1297" s="4" t="inlineStr">
        <is>
          <t>Metrópole</t>
        </is>
      </c>
      <c r="H1297" s="5">
        <f>IF(G1297="fora do recorte","",SUMPRODUCT(($G$3:$G$1723=G1297)*($A$3:$A$1723&lt;=A1297)))</f>
        <v/>
      </c>
      <c r="I1297" s="4">
        <f>IF(H1297="","",G1297&amp;"|"&amp;H1297)</f>
        <v/>
      </c>
      <c r="J1297" s="4" t="inlineStr">
        <is>
          <t>https://www.google.com/maps/search/?api=1&amp;query=Escrit%C3%B3rio%20-%20Zona%20Sul&amp;query_place_id=ChIJ8y_w50oeqwcRwp-aASX2r4A</t>
        </is>
      </c>
      <c r="K1297" s="4" t="inlineStr">
        <is>
          <t>Rua Desembargador João Paes, 907 - Boa Viagem, Recife - PE, 51021-360, Brasil</t>
        </is>
      </c>
      <c r="L1297" s="4" t="inlineStr">
        <is>
          <t>Recife</t>
        </is>
      </c>
      <c r="M1297" s="5" t="n">
        <v>1</v>
      </c>
    </row>
    <row r="1298">
      <c r="A1298" s="3">
        <f>RAND()</f>
        <v/>
      </c>
      <c r="B1298" s="4" t="inlineStr">
        <is>
          <t>ChIJP0M935EZqwcRWkubiD8IYU8</t>
        </is>
      </c>
      <c r="C1298" s="4" t="inlineStr">
        <is>
          <t>GAMER PRO Info - Informática e Assistência Técnica</t>
        </is>
      </c>
      <c r="D1298" s="4" t="inlineStr">
        <is>
          <t>Recife</t>
        </is>
      </c>
      <c r="E1298" s="4" t="inlineStr">
        <is>
          <t>PE</t>
        </is>
      </c>
      <c r="F1298" s="4" t="inlineStr">
        <is>
          <t>Metrópoles</t>
        </is>
      </c>
      <c r="G1298" s="4" t="inlineStr">
        <is>
          <t>Metrópole</t>
        </is>
      </c>
      <c r="H1298" s="5">
        <f>IF(G1298="fora do recorte","",SUMPRODUCT(($G$3:$G$1723=G1298)*($A$3:$A$1723&lt;=A1298)))</f>
        <v/>
      </c>
      <c r="I1298" s="4">
        <f>IF(H1298="","",G1298&amp;"|"&amp;H1298)</f>
        <v/>
      </c>
      <c r="J1298" s="4" t="inlineStr">
        <is>
          <t>https://www.google.com/maps/search/?api=1&amp;query=GAMER%20PRO%20Info%20-%20Inform%C3%A1tica%20e%20Assist%C3%AAncia%20T%C3%A9cnica&amp;query_place_id=ChIJP0M935EZqwcRWkubiD8IYU8</t>
        </is>
      </c>
      <c r="K1298" s="4" t="inlineStr">
        <is>
          <t>R. Gen. Polidoro, 718 - Lj C - Várzea, Recife - PE, 50740-050, Brasil</t>
        </is>
      </c>
      <c r="L1298" s="4" t="inlineStr">
        <is>
          <t>Recife</t>
        </is>
      </c>
      <c r="M1298" s="5" t="n">
        <v>1</v>
      </c>
    </row>
    <row r="1299">
      <c r="A1299" s="3">
        <f>RAND()</f>
        <v/>
      </c>
      <c r="B1299" s="4" t="inlineStr">
        <is>
          <t>ChIJNeYc0h4fqwcR4F0JqfKlFeI</t>
        </is>
      </c>
      <c r="C1299" s="4" t="inlineStr">
        <is>
          <t>Game Station - Shopping Recife</t>
        </is>
      </c>
      <c r="D1299" s="4" t="inlineStr">
        <is>
          <t>Recife</t>
        </is>
      </c>
      <c r="E1299" s="4" t="inlineStr">
        <is>
          <t>PE</t>
        </is>
      </c>
      <c r="F1299" s="4" t="inlineStr">
        <is>
          <t>Metrópoles</t>
        </is>
      </c>
      <c r="G1299" s="4" t="inlineStr">
        <is>
          <t>Metrópole</t>
        </is>
      </c>
      <c r="H1299" s="5">
        <f>IF(G1299="fora do recorte","",SUMPRODUCT(($G$3:$G$1723=G1299)*($A$3:$A$1723&lt;=A1299)))</f>
        <v/>
      </c>
      <c r="I1299" s="4">
        <f>IF(H1299="","",G1299&amp;"|"&amp;H1299)</f>
        <v/>
      </c>
      <c r="J1299" s="4" t="inlineStr">
        <is>
          <t>https://www.google.com/maps/search/?api=1&amp;query=Game%20Station%20-%20Shopping%20Recife&amp;query_place_id=ChIJNeYc0h4fqwcR4F0JqfKlFeI</t>
        </is>
      </c>
      <c r="K1299" s="4" t="inlineStr">
        <is>
          <t>R. Padre Carapuceiro, 777 - Boa Viagem, Recife - PE, 51020-900, Brasil</t>
        </is>
      </c>
      <c r="L1299" s="4" t="inlineStr">
        <is>
          <t>Recife</t>
        </is>
      </c>
      <c r="M1299" s="5" t="n">
        <v>3</v>
      </c>
    </row>
    <row r="1300">
      <c r="A1300" s="3">
        <f>RAND()</f>
        <v/>
      </c>
      <c r="B1300" s="4" t="inlineStr">
        <is>
          <t>ChIJk41d7DsfqwcR5-mZtALjDGI</t>
        </is>
      </c>
      <c r="C1300" s="4" t="inlineStr">
        <is>
          <t>Game Station - Shopping RioMar Recife</t>
        </is>
      </c>
      <c r="D1300" s="4" t="inlineStr">
        <is>
          <t>Recife</t>
        </is>
      </c>
      <c r="E1300" s="4" t="inlineStr">
        <is>
          <t>PE</t>
        </is>
      </c>
      <c r="F1300" s="4" t="inlineStr">
        <is>
          <t>Metrópoles</t>
        </is>
      </c>
      <c r="G1300" s="4" t="inlineStr">
        <is>
          <t>Metrópole</t>
        </is>
      </c>
      <c r="H1300" s="5">
        <f>IF(G1300="fora do recorte","",SUMPRODUCT(($G$3:$G$1723=G1300)*($A$3:$A$1723&lt;=A1300)))</f>
        <v/>
      </c>
      <c r="I1300" s="4">
        <f>IF(H1300="","",G1300&amp;"|"&amp;H1300)</f>
        <v/>
      </c>
      <c r="J1300" s="4" t="inlineStr">
        <is>
          <t>https://www.google.com/maps/search/?api=1&amp;query=Game%20Station%20-%20Shopping%20RioMar%20Recife&amp;query_place_id=ChIJk41d7DsfqwcR5-mZtALjDGI</t>
        </is>
      </c>
      <c r="K1300" s="4" t="inlineStr">
        <is>
          <t>Av. República do Líbano, 251 - Pina, Recife - PE, 51110-160, Brasil</t>
        </is>
      </c>
      <c r="L1300" s="4" t="inlineStr">
        <is>
          <t>Recife</t>
        </is>
      </c>
      <c r="M1300" s="5" t="n">
        <v>1</v>
      </c>
    </row>
    <row r="1301">
      <c r="A1301" s="3">
        <f>RAND()</f>
        <v/>
      </c>
      <c r="B1301" s="4" t="inlineStr">
        <is>
          <t>ChIJ_a-TajsfqwcRYx_m7yVBtUg</t>
        </is>
      </c>
      <c r="C1301" s="4" t="inlineStr">
        <is>
          <t>GameBox - RioMar Recife</t>
        </is>
      </c>
      <c r="D1301" s="4" t="inlineStr">
        <is>
          <t>Recife</t>
        </is>
      </c>
      <c r="E1301" s="4" t="inlineStr">
        <is>
          <t>PE</t>
        </is>
      </c>
      <c r="F1301" s="4" t="inlineStr">
        <is>
          <t>Metrópoles</t>
        </is>
      </c>
      <c r="G1301" s="4" t="inlineStr">
        <is>
          <t>Metrópole</t>
        </is>
      </c>
      <c r="H1301" s="5">
        <f>IF(G1301="fora do recorte","",SUMPRODUCT(($G$3:$G$1723=G1301)*($A$3:$A$1723&lt;=A1301)))</f>
        <v/>
      </c>
      <c r="I1301" s="4">
        <f>IF(H1301="","",G1301&amp;"|"&amp;H1301)</f>
        <v/>
      </c>
      <c r="J1301" s="4" t="inlineStr">
        <is>
          <t>https://www.google.com/maps/search/?api=1&amp;query=GameBox%20-%20RioMar%20Recife&amp;query_place_id=ChIJ_a-TajsfqwcRYx_m7yVBtUg</t>
        </is>
      </c>
      <c r="K1301" s="4" t="inlineStr">
        <is>
          <t>Av. República Árabe Unida, 251 - Pina, Recife - PE, 51110-160, Brasil</t>
        </is>
      </c>
      <c r="L1301" s="4" t="inlineStr">
        <is>
          <t>Recife</t>
        </is>
      </c>
      <c r="M1301" s="5" t="n">
        <v>1</v>
      </c>
    </row>
    <row r="1302">
      <c r="A1302" s="3">
        <f>RAND()</f>
        <v/>
      </c>
      <c r="B1302" s="4" t="inlineStr">
        <is>
          <t>ChIJNZezaecZqwcRheMGrY5Eh20</t>
        </is>
      </c>
      <c r="C1302" s="4" t="inlineStr">
        <is>
          <t>Geek Shop Brasil</t>
        </is>
      </c>
      <c r="D1302" s="4" t="inlineStr">
        <is>
          <t>Recife</t>
        </is>
      </c>
      <c r="E1302" s="4" t="inlineStr">
        <is>
          <t>PE</t>
        </is>
      </c>
      <c r="F1302" s="4" t="inlineStr">
        <is>
          <t>Metrópoles</t>
        </is>
      </c>
      <c r="G1302" s="4" t="inlineStr">
        <is>
          <t>Metrópole</t>
        </is>
      </c>
      <c r="H1302" s="5">
        <f>IF(G1302="fora do recorte","",SUMPRODUCT(($G$3:$G$1723=G1302)*($A$3:$A$1723&lt;=A1302)))</f>
        <v/>
      </c>
      <c r="I1302" s="4">
        <f>IF(H1302="","",G1302&amp;"|"&amp;H1302)</f>
        <v/>
      </c>
      <c r="J1302" s="4" t="inlineStr">
        <is>
          <t>https://www.google.com/maps/search/?api=1&amp;query=Geek%20Shop%20Brasil&amp;query_place_id=ChIJNZezaecZqwcRheMGrY5Eh20</t>
        </is>
      </c>
      <c r="K1302" s="4" t="inlineStr">
        <is>
          <t>Rua Conselheiro Portela, 655 - Sl 108 - Aflitos, Recife - PE, 52020-512, Brasil</t>
        </is>
      </c>
      <c r="L1302" s="4" t="inlineStr">
        <is>
          <t>Recife</t>
        </is>
      </c>
      <c r="M1302" s="5" t="n">
        <v>3</v>
      </c>
    </row>
    <row r="1303">
      <c r="A1303" s="3">
        <f>RAND()</f>
        <v/>
      </c>
      <c r="B1303" s="4" t="inlineStr">
        <is>
          <t>ChIJ83EOLSQZqwcRbNJHkspUwnE</t>
        </is>
      </c>
      <c r="C1303" s="4" t="inlineStr">
        <is>
          <t>Jockey 365</t>
        </is>
      </c>
      <c r="D1303" s="4" t="inlineStr">
        <is>
          <t>Recife</t>
        </is>
      </c>
      <c r="E1303" s="4" t="inlineStr">
        <is>
          <t>PE</t>
        </is>
      </c>
      <c r="F1303" s="4" t="inlineStr">
        <is>
          <t>Metrópoles</t>
        </is>
      </c>
      <c r="G1303" s="4" t="inlineStr">
        <is>
          <t>Metrópole</t>
        </is>
      </c>
      <c r="H1303" s="5">
        <f>IF(G1303="fora do recorte","",SUMPRODUCT(($G$3:$G$1723=G1303)*($A$3:$A$1723&lt;=A1303)))</f>
        <v/>
      </c>
      <c r="I1303" s="4">
        <f>IF(H1303="","",G1303&amp;"|"&amp;H1303)</f>
        <v/>
      </c>
      <c r="J1303" s="4" t="inlineStr">
        <is>
          <t>https://www.google.com/maps/search/?api=1&amp;query=Jockey%20365&amp;query_place_id=ChIJ83EOLSQZqwcRbNJHkspUwnE</t>
        </is>
      </c>
      <c r="K1303" s="4" t="inlineStr">
        <is>
          <t>R. Carlos Gomes, 640 - Prado, Recife - PE, 50720-110, Brasil</t>
        </is>
      </c>
      <c r="L1303" s="4" t="inlineStr">
        <is>
          <t>Recife</t>
        </is>
      </c>
      <c r="M1303" s="5" t="n">
        <v>1</v>
      </c>
    </row>
    <row r="1304">
      <c r="A1304" s="3">
        <f>RAND()</f>
        <v/>
      </c>
      <c r="B1304" s="4" t="inlineStr">
        <is>
          <t>ChIJ3aOySD8fqwcRM5jPRigh9jk</t>
        </is>
      </c>
      <c r="C1304" s="4" t="inlineStr">
        <is>
          <t>L.B GAMES</t>
        </is>
      </c>
      <c r="D1304" s="4" t="inlineStr">
        <is>
          <t>Recife</t>
        </is>
      </c>
      <c r="E1304" s="4" t="inlineStr">
        <is>
          <t>PE</t>
        </is>
      </c>
      <c r="F1304" s="4" t="inlineStr">
        <is>
          <t>Metrópoles</t>
        </is>
      </c>
      <c r="G1304" s="4" t="inlineStr">
        <is>
          <t>Metrópole</t>
        </is>
      </c>
      <c r="H1304" s="5">
        <f>IF(G1304="fora do recorte","",SUMPRODUCT(($G$3:$G$1723=G1304)*($A$3:$A$1723&lt;=A1304)))</f>
        <v/>
      </c>
      <c r="I1304" s="4">
        <f>IF(H1304="","",G1304&amp;"|"&amp;H1304)</f>
        <v/>
      </c>
      <c r="J1304" s="4" t="inlineStr">
        <is>
          <t>https://www.google.com/maps/search/?api=1&amp;query=L.B%20GAMES&amp;query_place_id=ChIJ3aOySD8fqwcRM5jPRigh9jk</t>
        </is>
      </c>
      <c r="K1304" s="4" t="inlineStr">
        <is>
          <t>R. Padre Carapuceiro, 800 - Boa Viagem, Recife - PE, 51020-000, Brasil</t>
        </is>
      </c>
      <c r="L1304" s="4" t="inlineStr">
        <is>
          <t>Recife</t>
        </is>
      </c>
      <c r="M1304" s="5" t="n">
        <v>2</v>
      </c>
    </row>
    <row r="1305">
      <c r="A1305" s="3">
        <f>RAND()</f>
        <v/>
      </c>
      <c r="B1305" s="4" t="inlineStr">
        <is>
          <t>ChIJN_24eQsbqwcRWk9e9dTgoBw</t>
        </is>
      </c>
      <c r="C1305" s="4" t="inlineStr">
        <is>
          <t>LH Diversões</t>
        </is>
      </c>
      <c r="D1305" s="4" t="inlineStr">
        <is>
          <t>Recife</t>
        </is>
      </c>
      <c r="E1305" s="4" t="inlineStr">
        <is>
          <t>PE</t>
        </is>
      </c>
      <c r="F1305" s="4" t="inlineStr">
        <is>
          <t>Metrópoles</t>
        </is>
      </c>
      <c r="G1305" s="4" t="inlineStr">
        <is>
          <t>Metrópole</t>
        </is>
      </c>
      <c r="H1305" s="5">
        <f>IF(G1305="fora do recorte","",SUMPRODUCT(($G$3:$G$1723=G1305)*($A$3:$A$1723&lt;=A1305)))</f>
        <v/>
      </c>
      <c r="I1305" s="4">
        <f>IF(H1305="","",G1305&amp;"|"&amp;H1305)</f>
        <v/>
      </c>
      <c r="J1305" s="4" t="inlineStr">
        <is>
          <t>https://www.google.com/maps/search/?api=1&amp;query=LH%20Divers%C3%B5es&amp;query_place_id=ChIJN_24eQsbqwcRWk9e9dTgoBw</t>
        </is>
      </c>
      <c r="K1305" s="4" t="inlineStr">
        <is>
          <t>Engenho Pioca 31 UR 7 - Várzea, Recife - PE, 50960-010, Brasil</t>
        </is>
      </c>
      <c r="L1305" s="4" t="inlineStr">
        <is>
          <t>Recife</t>
        </is>
      </c>
      <c r="M1305" s="5" t="n">
        <v>1</v>
      </c>
    </row>
    <row r="1306">
      <c r="A1306" s="3">
        <f>RAND()</f>
        <v/>
      </c>
      <c r="B1306" s="4" t="inlineStr">
        <is>
          <t>ChIJ929zA30YqwcRdDva32rB9ig</t>
        </is>
      </c>
      <c r="C1306" s="4" t="inlineStr">
        <is>
          <t>Leitura</t>
        </is>
      </c>
      <c r="D1306" s="4" t="inlineStr">
        <is>
          <t>Recife</t>
        </is>
      </c>
      <c r="E1306" s="4" t="inlineStr">
        <is>
          <t>PE</t>
        </is>
      </c>
      <c r="F1306" s="4" t="inlineStr">
        <is>
          <t>Metrópoles</t>
        </is>
      </c>
      <c r="G1306" s="4" t="inlineStr">
        <is>
          <t>Metrópole</t>
        </is>
      </c>
      <c r="H1306" s="5">
        <f>IF(G1306="fora do recorte","",SUMPRODUCT(($G$3:$G$1723=G1306)*($A$3:$A$1723&lt;=A1306)))</f>
        <v/>
      </c>
      <c r="I1306" s="4">
        <f>IF(H1306="","",G1306&amp;"|"&amp;H1306)</f>
        <v/>
      </c>
      <c r="J1306" s="4" t="inlineStr">
        <is>
          <t>https://www.google.com/maps/search/?api=1&amp;query=Leitura&amp;query_place_id=ChIJ929zA30YqwcRdDva32rB9ig</t>
        </is>
      </c>
      <c r="K1306" s="4" t="inlineStr">
        <is>
          <t>Av. Gov. Agamenon Magalhães, 153 - Santo Amaro, Recife - PE, 50110-000, Brasil</t>
        </is>
      </c>
      <c r="L1306" s="4" t="inlineStr">
        <is>
          <t>Recife</t>
        </is>
      </c>
      <c r="M1306" s="5" t="n">
        <v>2</v>
      </c>
    </row>
    <row r="1307">
      <c r="A1307" s="3">
        <f>RAND()</f>
        <v/>
      </c>
      <c r="B1307" s="4" t="inlineStr">
        <is>
          <t>ChIJP6MeE30ZqwcRNAIuKWEntrA</t>
        </is>
      </c>
      <c r="C1307" s="4" t="inlineStr">
        <is>
          <t>Livraria Jaqueira - Recife Antigo</t>
        </is>
      </c>
      <c r="D1307" s="4" t="inlineStr">
        <is>
          <t>Recife</t>
        </is>
      </c>
      <c r="E1307" s="4" t="inlineStr">
        <is>
          <t>PE</t>
        </is>
      </c>
      <c r="F1307" s="4" t="inlineStr">
        <is>
          <t>Metrópoles</t>
        </is>
      </c>
      <c r="G1307" s="4" t="inlineStr">
        <is>
          <t>Metrópole</t>
        </is>
      </c>
      <c r="H1307" s="5">
        <f>IF(G1307="fora do recorte","",SUMPRODUCT(($G$3:$G$1723=G1307)*($A$3:$A$1723&lt;=A1307)))</f>
        <v/>
      </c>
      <c r="I1307" s="4">
        <f>IF(H1307="","",G1307&amp;"|"&amp;H1307)</f>
        <v/>
      </c>
      <c r="J1307" s="4" t="inlineStr">
        <is>
          <t>https://www.google.com/maps/search/?api=1&amp;query=Livraria%20Jaqueira%20-%20Recife%20Antigo&amp;query_place_id=ChIJP6MeE30ZqwcRNAIuKWEntrA</t>
        </is>
      </c>
      <c r="K1307" s="4" t="inlineStr">
        <is>
          <t>R. Me. de Deus, 110 - Recife, PE, 50030-030, Brasil</t>
        </is>
      </c>
      <c r="L1307" s="4" t="inlineStr">
        <is>
          <t>Recife</t>
        </is>
      </c>
      <c r="M1307" s="5" t="n">
        <v>2</v>
      </c>
    </row>
    <row r="1308">
      <c r="A1308" s="3">
        <f>RAND()</f>
        <v/>
      </c>
      <c r="B1308" s="4" t="inlineStr">
        <is>
          <t>ChIJO2IblLgZqwcRLC2EATBjs64</t>
        </is>
      </c>
      <c r="C1308" s="4" t="inlineStr">
        <is>
          <t>Loja UltraCombo Games</t>
        </is>
      </c>
      <c r="D1308" s="4" t="inlineStr">
        <is>
          <t>Recife</t>
        </is>
      </c>
      <c r="E1308" s="4" t="inlineStr">
        <is>
          <t>PE</t>
        </is>
      </c>
      <c r="F1308" s="4" t="inlineStr">
        <is>
          <t>Metrópoles</t>
        </is>
      </c>
      <c r="G1308" s="4" t="inlineStr">
        <is>
          <t>Metrópole</t>
        </is>
      </c>
      <c r="H1308" s="5">
        <f>IF(G1308="fora do recorte","",SUMPRODUCT(($G$3:$G$1723=G1308)*($A$3:$A$1723&lt;=A1308)))</f>
        <v/>
      </c>
      <c r="I1308" s="4">
        <f>IF(H1308="","",G1308&amp;"|"&amp;H1308)</f>
        <v/>
      </c>
      <c r="J1308" s="4" t="inlineStr">
        <is>
          <t>https://www.google.com/maps/search/?api=1&amp;query=Loja%20UltraCombo%20Games&amp;query_place_id=ChIJO2IblLgZqwcRLC2EATBjs64</t>
        </is>
      </c>
      <c r="K1308" s="4" t="inlineStr">
        <is>
          <t>Av. Dantas Barreto, 897 - São José, Recife - PE, 50020-000, Brasil</t>
        </is>
      </c>
      <c r="L1308" s="4" t="inlineStr">
        <is>
          <t>Recife</t>
        </is>
      </c>
      <c r="M1308" s="5" t="n">
        <v>3</v>
      </c>
    </row>
    <row r="1309">
      <c r="A1309" s="3">
        <f>RAND()</f>
        <v/>
      </c>
      <c r="B1309" s="4" t="inlineStr">
        <is>
          <t>ChIJeSyfsJEYqwcR69zU77zoFkE</t>
        </is>
      </c>
      <c r="C1309" s="4" t="inlineStr">
        <is>
          <t>Magic Center Recife</t>
        </is>
      </c>
      <c r="D1309" s="4" t="inlineStr">
        <is>
          <t>Recife</t>
        </is>
      </c>
      <c r="E1309" s="4" t="inlineStr">
        <is>
          <t>PE</t>
        </is>
      </c>
      <c r="F1309" s="4" t="inlineStr">
        <is>
          <t>Metrópoles</t>
        </is>
      </c>
      <c r="G1309" s="4" t="inlineStr">
        <is>
          <t>Metrópole</t>
        </is>
      </c>
      <c r="H1309" s="5">
        <f>IF(G1309="fora do recorte","",SUMPRODUCT(($G$3:$G$1723=G1309)*($A$3:$A$1723&lt;=A1309)))</f>
        <v/>
      </c>
      <c r="I1309" s="4">
        <f>IF(H1309="","",G1309&amp;"|"&amp;H1309)</f>
        <v/>
      </c>
      <c r="J1309" s="4" t="inlineStr">
        <is>
          <t>https://www.google.com/maps/search/?api=1&amp;query=Magic%20Center%20Recife&amp;query_place_id=ChIJeSyfsJEYqwcR69zU77zoFkE</t>
        </is>
      </c>
      <c r="K1309" s="4" t="inlineStr">
        <is>
          <t>Condomínio do Edificio Pessoa de Melo - Av. Conde da Boa Vista, 50 - Sl 105 - Boa Vista, Recife - PE, 50060-004, Brasil</t>
        </is>
      </c>
      <c r="L1309" s="4" t="inlineStr">
        <is>
          <t>Recife</t>
        </is>
      </c>
      <c r="M1309" s="5" t="n">
        <v>2</v>
      </c>
    </row>
    <row r="1310">
      <c r="A1310" s="3">
        <f>RAND()</f>
        <v/>
      </c>
      <c r="B1310" s="4" t="inlineStr">
        <is>
          <t>ChIJV6LiHPcYqwcRlz0JRjCWbnE</t>
        </is>
      </c>
      <c r="C1310" s="4" t="inlineStr">
        <is>
          <t>Mano's Games</t>
        </is>
      </c>
      <c r="D1310" s="4" t="inlineStr">
        <is>
          <t>Recife</t>
        </is>
      </c>
      <c r="E1310" s="4" t="inlineStr">
        <is>
          <t>PE</t>
        </is>
      </c>
      <c r="F1310" s="4" t="inlineStr">
        <is>
          <t>Metrópoles</t>
        </is>
      </c>
      <c r="G1310" s="4" t="inlineStr">
        <is>
          <t>Metrópole</t>
        </is>
      </c>
      <c r="H1310" s="5">
        <f>IF(G1310="fora do recorte","",SUMPRODUCT(($G$3:$G$1723=G1310)*($A$3:$A$1723&lt;=A1310)))</f>
        <v/>
      </c>
      <c r="I1310" s="4">
        <f>IF(H1310="","",G1310&amp;"|"&amp;H1310)</f>
        <v/>
      </c>
      <c r="J1310" s="4" t="inlineStr">
        <is>
          <t>https://www.google.com/maps/search/?api=1&amp;query=Mano%27s%20Games&amp;query_place_id=ChIJV6LiHPcYqwcRlz0JRjCWbnE</t>
        </is>
      </c>
      <c r="K1310" s="4" t="inlineStr">
        <is>
          <t>frente ao china 48 delivery - Rua Conselheiro Portela, 665 - Lj 05 De - Espinheiro, Recife - PE, 52020-020, Brasil</t>
        </is>
      </c>
      <c r="L1310" s="4" t="inlineStr">
        <is>
          <t>Recife</t>
        </is>
      </c>
      <c r="M1310" s="5" t="n">
        <v>4</v>
      </c>
    </row>
    <row r="1311">
      <c r="A1311" s="3">
        <f>RAND()</f>
        <v/>
      </c>
      <c r="B1311" s="4" t="inlineStr">
        <is>
          <t>ChIJoc8aVEcZqwcRMQnI0iA1_XY</t>
        </is>
      </c>
      <c r="C1311" s="4" t="inlineStr">
        <is>
          <t>Mesa RPG</t>
        </is>
      </c>
      <c r="D1311" s="4" t="inlineStr">
        <is>
          <t>Recife</t>
        </is>
      </c>
      <c r="E1311" s="4" t="inlineStr">
        <is>
          <t>PE</t>
        </is>
      </c>
      <c r="F1311" s="4" t="inlineStr">
        <is>
          <t>Metrópoles</t>
        </is>
      </c>
      <c r="G1311" s="4" t="inlineStr">
        <is>
          <t>Metrópole</t>
        </is>
      </c>
      <c r="H1311" s="5">
        <f>IF(G1311="fora do recorte","",SUMPRODUCT(($G$3:$G$1723=G1311)*($A$3:$A$1723&lt;=A1311)))</f>
        <v/>
      </c>
      <c r="I1311" s="4">
        <f>IF(H1311="","",G1311&amp;"|"&amp;H1311)</f>
        <v/>
      </c>
      <c r="J1311" s="4" t="inlineStr">
        <is>
          <t>https://www.google.com/maps/search/?api=1&amp;query=Mesa%20RPG&amp;query_place_id=ChIJoc8aVEcZqwcRMQnI0iA1_XY</t>
        </is>
      </c>
      <c r="K1311" s="4" t="inlineStr">
        <is>
          <t>R. Hermílio Gomes, 189 - casa B - Campo Grande, Recife - PE, 52031-020, Brasil</t>
        </is>
      </c>
      <c r="L1311" s="4" t="inlineStr">
        <is>
          <t>Recife</t>
        </is>
      </c>
      <c r="M1311" s="5" t="n">
        <v>2</v>
      </c>
    </row>
    <row r="1312">
      <c r="A1312" s="3">
        <f>RAND()</f>
        <v/>
      </c>
      <c r="B1312" s="4" t="inlineStr">
        <is>
          <t>ChIJRUjwU66WoGgRzc9yJU7jkwM</t>
        </is>
      </c>
      <c r="C1312" s="4" t="inlineStr">
        <is>
          <t>Nala Land - Bar de Jogos de Tabuleiro em Recife</t>
        </is>
      </c>
      <c r="D1312" s="4" t="inlineStr">
        <is>
          <t>Recife</t>
        </is>
      </c>
      <c r="E1312" s="4" t="inlineStr">
        <is>
          <t>PE</t>
        </is>
      </c>
      <c r="F1312" s="4" t="inlineStr">
        <is>
          <t>Metrópoles</t>
        </is>
      </c>
      <c r="G1312" s="4" t="inlineStr">
        <is>
          <t>Metrópole</t>
        </is>
      </c>
      <c r="H1312" s="5">
        <f>IF(G1312="fora do recorte","",SUMPRODUCT(($G$3:$G$1723=G1312)*($A$3:$A$1723&lt;=A1312)))</f>
        <v/>
      </c>
      <c r="I1312" s="4">
        <f>IF(H1312="","",G1312&amp;"|"&amp;H1312)</f>
        <v/>
      </c>
      <c r="J1312" s="4" t="inlineStr">
        <is>
          <t>https://www.google.com/maps/search/?api=1&amp;query=Nala%20Land%20-%20Bar%20de%20Jogos%20de%20Tabuleiro%20em%20Recife&amp;query_place_id=ChIJRUjwU66WoGgRzc9yJU7jkwM</t>
        </is>
      </c>
      <c r="K1312" s="4" t="inlineStr">
        <is>
          <t>R. Raul Pompéia, 271 - Arruda, Recife - PE, 52120-150, Brasil</t>
        </is>
      </c>
      <c r="L1312" s="4" t="inlineStr">
        <is>
          <t>Boa Vista; Recife</t>
        </is>
      </c>
      <c r="M1312" s="5" t="n">
        <v>15</v>
      </c>
    </row>
    <row r="1313">
      <c r="A1313" s="3">
        <f>RAND()</f>
        <v/>
      </c>
      <c r="B1313" s="4" t="inlineStr">
        <is>
          <t>ChIJHQadifgfqwcRMtLRsq7O1bc</t>
        </is>
      </c>
      <c r="C1313" s="4" t="inlineStr">
        <is>
          <t>Novo Quintal</t>
        </is>
      </c>
      <c r="D1313" s="4" t="inlineStr">
        <is>
          <t>Recife</t>
        </is>
      </c>
      <c r="E1313" s="4" t="inlineStr">
        <is>
          <t>PE</t>
        </is>
      </c>
      <c r="F1313" s="4" t="inlineStr">
        <is>
          <t>Metrópoles</t>
        </is>
      </c>
      <c r="G1313" s="4" t="inlineStr">
        <is>
          <t>Metrópole</t>
        </is>
      </c>
      <c r="H1313" s="5">
        <f>IF(G1313="fora do recorte","",SUMPRODUCT(($G$3:$G$1723=G1313)*($A$3:$A$1723&lt;=A1313)))</f>
        <v/>
      </c>
      <c r="I1313" s="4">
        <f>IF(H1313="","",G1313&amp;"|"&amp;H1313)</f>
        <v/>
      </c>
      <c r="J1313" s="4" t="inlineStr">
        <is>
          <t>https://www.google.com/maps/search/?api=1&amp;query=Novo%20Quintal&amp;query_place_id=ChIJHQadifgfqwcRMtLRsq7O1bc</t>
        </is>
      </c>
      <c r="K1313" s="4" t="inlineStr">
        <is>
          <t>R. Padre Carapuceiro, 777 - Boa Viagem, Recife - PE, 51020-900, Brasil</t>
        </is>
      </c>
      <c r="L1313" s="4" t="inlineStr">
        <is>
          <t>Recife</t>
        </is>
      </c>
      <c r="M1313" s="5" t="n">
        <v>1</v>
      </c>
    </row>
    <row r="1314">
      <c r="A1314" s="3">
        <f>RAND()</f>
        <v/>
      </c>
      <c r="B1314" s="4" t="inlineStr">
        <is>
          <t>ChIJO3EbYq0fqwcRk3TM-RXuhhk</t>
        </is>
      </c>
      <c r="C1314" s="4" t="inlineStr">
        <is>
          <t>PBKIDS</t>
        </is>
      </c>
      <c r="D1314" s="4" t="inlineStr">
        <is>
          <t>Recife</t>
        </is>
      </c>
      <c r="E1314" s="4" t="inlineStr">
        <is>
          <t>PE</t>
        </is>
      </c>
      <c r="F1314" s="4" t="inlineStr">
        <is>
          <t>Metrópoles</t>
        </is>
      </c>
      <c r="G1314" s="4" t="inlineStr">
        <is>
          <t>Metrópole</t>
        </is>
      </c>
      <c r="H1314" s="5">
        <f>IF(G1314="fora do recorte","",SUMPRODUCT(($G$3:$G$1723=G1314)*($A$3:$A$1723&lt;=A1314)))</f>
        <v/>
      </c>
      <c r="I1314" s="4">
        <f>IF(H1314="","",G1314&amp;"|"&amp;H1314)</f>
        <v/>
      </c>
      <c r="J1314" s="4" t="inlineStr">
        <is>
          <t>https://www.google.com/maps/search/?api=1&amp;query=PBKIDS&amp;query_place_id=ChIJO3EbYq0fqwcRk3TM-RXuhhk</t>
        </is>
      </c>
      <c r="K1314" s="4" t="inlineStr">
        <is>
          <t>R. Padre Carapuceiro, 777 - 1º Andar Loja 194/195 - Boa Viagem, Recife - PE, 51020-280, Brasil</t>
        </is>
      </c>
      <c r="L1314" s="4" t="inlineStr">
        <is>
          <t>Recife</t>
        </is>
      </c>
      <c r="M1314" s="5" t="n">
        <v>1</v>
      </c>
    </row>
    <row r="1315">
      <c r="A1315" s="3">
        <f>RAND()</f>
        <v/>
      </c>
      <c r="B1315" s="4" t="inlineStr">
        <is>
          <t>ChIJjYdacBcZqwcR3kbkOLQuT_o</t>
        </is>
      </c>
      <c r="C1315" s="4" t="inlineStr">
        <is>
          <t>Pajubar</t>
        </is>
      </c>
      <c r="D1315" s="4" t="inlineStr">
        <is>
          <t>Recife</t>
        </is>
      </c>
      <c r="E1315" s="4" t="inlineStr">
        <is>
          <t>PE</t>
        </is>
      </c>
      <c r="F1315" s="4" t="inlineStr">
        <is>
          <t>Metrópoles</t>
        </is>
      </c>
      <c r="G1315" s="4" t="inlineStr">
        <is>
          <t>Metrópole</t>
        </is>
      </c>
      <c r="H1315" s="5">
        <f>IF(G1315="fora do recorte","",SUMPRODUCT(($G$3:$G$1723=G1315)*($A$3:$A$1723&lt;=A1315)))</f>
        <v/>
      </c>
      <c r="I1315" s="4">
        <f>IF(H1315="","",G1315&amp;"|"&amp;H1315)</f>
        <v/>
      </c>
      <c r="J1315" s="4" t="inlineStr">
        <is>
          <t>https://www.google.com/maps/search/?api=1&amp;query=Pajubar&amp;query_place_id=ChIJjYdacBcZqwcR3kbkOLQuT_o</t>
        </is>
      </c>
      <c r="K1315" s="4" t="inlineStr">
        <is>
          <t>Av. Manoel Borba, 693 - Boa Vista, Recife - PE, 50070-045, Brasil</t>
        </is>
      </c>
      <c r="L1315" s="4" t="inlineStr">
        <is>
          <t>Recife</t>
        </is>
      </c>
      <c r="M1315" s="5" t="n">
        <v>1</v>
      </c>
    </row>
    <row r="1316">
      <c r="A1316" s="3">
        <f>RAND()</f>
        <v/>
      </c>
      <c r="B1316" s="4" t="inlineStr">
        <is>
          <t>ChIJVVVVVYXzsXoRPJOHUKGUwWU</t>
        </is>
      </c>
      <c r="C1316" s="4" t="inlineStr">
        <is>
          <t>Pina Cocktails &amp; Co.</t>
        </is>
      </c>
      <c r="D1316" s="4" t="inlineStr">
        <is>
          <t>Recife</t>
        </is>
      </c>
      <c r="E1316" s="4" t="inlineStr">
        <is>
          <t>PE</t>
        </is>
      </c>
      <c r="F1316" s="4" t="inlineStr">
        <is>
          <t>Metrópoles</t>
        </is>
      </c>
      <c r="G1316" s="4" t="inlineStr">
        <is>
          <t>Metrópole</t>
        </is>
      </c>
      <c r="H1316" s="5">
        <f>IF(G1316="fora do recorte","",SUMPRODUCT(($G$3:$G$1723=G1316)*($A$3:$A$1723&lt;=A1316)))</f>
        <v/>
      </c>
      <c r="I1316" s="4">
        <f>IF(H1316="","",G1316&amp;"|"&amp;H1316)</f>
        <v/>
      </c>
      <c r="J1316" s="4" t="inlineStr">
        <is>
          <t>https://www.google.com/maps/search/?api=1&amp;query=Pina%20Cocktails%20%26%20Co.&amp;query_place_id=ChIJVVVVVYXzsXoRPJOHUKGUwWU</t>
        </is>
      </c>
      <c r="K1316" s="4" t="inlineStr">
        <is>
          <t>R. Est. Jeremias Bastos, 153 - Pina, Recife - PE, 51011-040, Brasil</t>
        </is>
      </c>
      <c r="L1316" s="4" t="inlineStr">
        <is>
          <t>Recife</t>
        </is>
      </c>
      <c r="M1316" s="5" t="n">
        <v>1</v>
      </c>
    </row>
    <row r="1317">
      <c r="A1317" s="3">
        <f>RAND()</f>
        <v/>
      </c>
      <c r="B1317" s="4" t="inlineStr">
        <is>
          <t>ChIJMaFxK48ZqwcRfYAxY_t-IXk</t>
        </is>
      </c>
      <c r="C1317" s="4" t="inlineStr">
        <is>
          <t>Poképolis</t>
        </is>
      </c>
      <c r="D1317" s="4" t="inlineStr">
        <is>
          <t>Recife</t>
        </is>
      </c>
      <c r="E1317" s="4" t="inlineStr">
        <is>
          <t>PE</t>
        </is>
      </c>
      <c r="F1317" s="4" t="inlineStr">
        <is>
          <t>Metrópoles</t>
        </is>
      </c>
      <c r="G1317" s="4" t="inlineStr">
        <is>
          <t>Metrópole</t>
        </is>
      </c>
      <c r="H1317" s="5">
        <f>IF(G1317="fora do recorte","",SUMPRODUCT(($G$3:$G$1723=G1317)*($A$3:$A$1723&lt;=A1317)))</f>
        <v/>
      </c>
      <c r="I1317" s="4">
        <f>IF(H1317="","",G1317&amp;"|"&amp;H1317)</f>
        <v/>
      </c>
      <c r="J1317" s="4" t="inlineStr">
        <is>
          <t>https://www.google.com/maps/search/?api=1&amp;query=Pok%C3%A9polis&amp;query_place_id=ChIJMaFxK48ZqwcRfYAxY_t-IXk</t>
        </is>
      </c>
      <c r="K1317" s="4" t="inlineStr">
        <is>
          <t>Rua Luiz Barbalho, 225 - Apto 401 - Boa Vista, Recife - PE, 50070-120, Brasil</t>
        </is>
      </c>
      <c r="L1317" s="4" t="inlineStr">
        <is>
          <t>Recife</t>
        </is>
      </c>
      <c r="M1317" s="5" t="n">
        <v>1</v>
      </c>
    </row>
    <row r="1318">
      <c r="A1318" s="3">
        <f>RAND()</f>
        <v/>
      </c>
      <c r="B1318" s="4" t="inlineStr">
        <is>
          <t>ChIJm2v18fYfqwcRmHi09LuUyBc</t>
        </is>
      </c>
      <c r="C1318" s="4" t="inlineStr">
        <is>
          <t>Ponto Cego speakeasy</t>
        </is>
      </c>
      <c r="D1318" s="4" t="inlineStr">
        <is>
          <t>Recife</t>
        </is>
      </c>
      <c r="E1318" s="4" t="inlineStr">
        <is>
          <t>PE</t>
        </is>
      </c>
      <c r="F1318" s="4" t="inlineStr">
        <is>
          <t>Metrópoles</t>
        </is>
      </c>
      <c r="G1318" s="4" t="inlineStr">
        <is>
          <t>Metrópole</t>
        </is>
      </c>
      <c r="H1318" s="5">
        <f>IF(G1318="fora do recorte","",SUMPRODUCT(($G$3:$G$1723=G1318)*($A$3:$A$1723&lt;=A1318)))</f>
        <v/>
      </c>
      <c r="I1318" s="4">
        <f>IF(H1318="","",G1318&amp;"|"&amp;H1318)</f>
        <v/>
      </c>
      <c r="J1318" s="4" t="inlineStr">
        <is>
          <t>https://www.google.com/maps/search/?api=1&amp;query=Ponto%20Cego%20speakeasy&amp;query_place_id=ChIJm2v18fYfqwcRmHi09LuUyBc</t>
        </is>
      </c>
      <c r="K1318" s="4" t="inlineStr">
        <is>
          <t>R. Est. Jeremias Bastos, 173 - Pina, Recife - PE, 51011-040, Brasil</t>
        </is>
      </c>
      <c r="L1318" s="4" t="inlineStr">
        <is>
          <t>Recife</t>
        </is>
      </c>
      <c r="M1318" s="5" t="n">
        <v>1</v>
      </c>
    </row>
    <row r="1319">
      <c r="A1319" s="3">
        <f>RAND()</f>
        <v/>
      </c>
      <c r="B1319" s="4" t="inlineStr">
        <is>
          <t>ChIJ-duHVp-ExIsR5QYbFeGBcLU</t>
        </is>
      </c>
      <c r="C1319" s="4" t="inlineStr">
        <is>
          <t>Pyro Geek Store - Loja Geek</t>
        </is>
      </c>
      <c r="D1319" s="4" t="inlineStr">
        <is>
          <t>Recife</t>
        </is>
      </c>
      <c r="E1319" s="4" t="inlineStr">
        <is>
          <t>PE</t>
        </is>
      </c>
      <c r="F1319" s="4" t="inlineStr">
        <is>
          <t>Metrópoles</t>
        </is>
      </c>
      <c r="G1319" s="4" t="inlineStr">
        <is>
          <t>Metrópole</t>
        </is>
      </c>
      <c r="H1319" s="5">
        <f>IF(G1319="fora do recorte","",SUMPRODUCT(($G$3:$G$1723=G1319)*($A$3:$A$1723&lt;=A1319)))</f>
        <v/>
      </c>
      <c r="I1319" s="4">
        <f>IF(H1319="","",G1319&amp;"|"&amp;H1319)</f>
        <v/>
      </c>
      <c r="J1319" s="4" t="inlineStr">
        <is>
          <t>https://www.google.com/maps/search/?api=1&amp;query=Pyro%20Geek%20Store%20-%20Loja%20Geek&amp;query_place_id=ChIJ-duHVp-ExIsR5QYbFeGBcLU</t>
        </is>
      </c>
      <c r="K1319" s="4" t="inlineStr">
        <is>
          <t>Av. Dezessete de Agosto, 1161 - Lj 03 - Casa Forte, Recife - PE, 52061-080, Brasil</t>
        </is>
      </c>
      <c r="L1319" s="4" t="inlineStr">
        <is>
          <t>Recife</t>
        </is>
      </c>
      <c r="M1319" s="5" t="n">
        <v>2</v>
      </c>
    </row>
    <row r="1320">
      <c r="A1320" s="3">
        <f>RAND()</f>
        <v/>
      </c>
      <c r="B1320" s="4" t="inlineStr">
        <is>
          <t>ChIJa3u7y6YZqwcRNXudThA0wVc</t>
        </is>
      </c>
      <c r="C1320" s="4" t="inlineStr">
        <is>
          <t>QBGEEK</t>
        </is>
      </c>
      <c r="D1320" s="4" t="inlineStr">
        <is>
          <t>Recife</t>
        </is>
      </c>
      <c r="E1320" s="4" t="inlineStr">
        <is>
          <t>PE</t>
        </is>
      </c>
      <c r="F1320" s="4" t="inlineStr">
        <is>
          <t>Metrópoles</t>
        </is>
      </c>
      <c r="G1320" s="4" t="inlineStr">
        <is>
          <t>Metrópole</t>
        </is>
      </c>
      <c r="H1320" s="5">
        <f>IF(G1320="fora do recorte","",SUMPRODUCT(($G$3:$G$1723=G1320)*($A$3:$A$1723&lt;=A1320)))</f>
        <v/>
      </c>
      <c r="I1320" s="4">
        <f>IF(H1320="","",G1320&amp;"|"&amp;H1320)</f>
        <v/>
      </c>
      <c r="J1320" s="4" t="inlineStr">
        <is>
          <t>https://www.google.com/maps/search/?api=1&amp;query=QBGEEK&amp;query_place_id=ChIJa3u7y6YZqwcRNXudThA0wVc</t>
        </is>
      </c>
      <c r="K1320" s="4" t="inlineStr">
        <is>
          <t>R. da Hora, 345 - Lj 14 - Espinheiro, Recife - PE, 52020-010, Brasil</t>
        </is>
      </c>
      <c r="L1320" s="4" t="inlineStr">
        <is>
          <t>Recife</t>
        </is>
      </c>
      <c r="M1320" s="5" t="n">
        <v>2</v>
      </c>
    </row>
    <row r="1321">
      <c r="A1321" s="3">
        <f>RAND()</f>
        <v/>
      </c>
      <c r="B1321" s="4" t="inlineStr">
        <is>
          <t>ChIJe0N9xM0ZqwcRe7ntDSz_BM0</t>
        </is>
      </c>
      <c r="C1321" s="4" t="inlineStr">
        <is>
          <t>Queridas do Conclave</t>
        </is>
      </c>
      <c r="D1321" s="4" t="inlineStr">
        <is>
          <t>Recife</t>
        </is>
      </c>
      <c r="E1321" s="4" t="inlineStr">
        <is>
          <t>PE</t>
        </is>
      </c>
      <c r="F1321" s="4" t="inlineStr">
        <is>
          <t>Metrópoles</t>
        </is>
      </c>
      <c r="G1321" s="4" t="inlineStr">
        <is>
          <t>Metrópole</t>
        </is>
      </c>
      <c r="H1321" s="5">
        <f>IF(G1321="fora do recorte","",SUMPRODUCT(($G$3:$G$1723=G1321)*($A$3:$A$1723&lt;=A1321)))</f>
        <v/>
      </c>
      <c r="I1321" s="4">
        <f>IF(H1321="","",G1321&amp;"|"&amp;H1321)</f>
        <v/>
      </c>
      <c r="J1321" s="4" t="inlineStr">
        <is>
          <t>https://www.google.com/maps/search/?api=1&amp;query=Queridas%20do%20Conclave&amp;query_place_id=ChIJe0N9xM0ZqwcRe7ntDSz_BM0</t>
        </is>
      </c>
      <c r="K1321" s="4" t="inlineStr">
        <is>
          <t>R. João Ramos - Graças, Recife - PE, 52011-080, Brasil</t>
        </is>
      </c>
      <c r="L1321" s="4" t="inlineStr">
        <is>
          <t>Recife</t>
        </is>
      </c>
      <c r="M1321" s="5" t="n">
        <v>2</v>
      </c>
    </row>
    <row r="1322">
      <c r="A1322" s="3">
        <f>RAND()</f>
        <v/>
      </c>
      <c r="B1322" s="4" t="inlineStr">
        <is>
          <t>ChIJf06WlTsfqwcRvkLnJVJ6nX0</t>
        </is>
      </c>
      <c r="C1322" s="4" t="inlineStr">
        <is>
          <t>RI HAPPY RIOMAR RECIFE</t>
        </is>
      </c>
      <c r="D1322" s="4" t="inlineStr">
        <is>
          <t>Recife</t>
        </is>
      </c>
      <c r="E1322" s="4" t="inlineStr">
        <is>
          <t>PE</t>
        </is>
      </c>
      <c r="F1322" s="4" t="inlineStr">
        <is>
          <t>Metrópoles</t>
        </is>
      </c>
      <c r="G1322" s="4" t="inlineStr">
        <is>
          <t>Metrópole</t>
        </is>
      </c>
      <c r="H1322" s="5">
        <f>IF(G1322="fora do recorte","",SUMPRODUCT(($G$3:$G$1723=G1322)*($A$3:$A$1723&lt;=A1322)))</f>
        <v/>
      </c>
      <c r="I1322" s="4">
        <f>IF(H1322="","",G1322&amp;"|"&amp;H1322)</f>
        <v/>
      </c>
      <c r="J1322" s="4" t="inlineStr">
        <is>
          <t>https://www.google.com/maps/search/?api=1&amp;query=RI%20HAPPY%20RIOMAR%20RECIFE&amp;query_place_id=ChIJf06WlTsfqwcRvkLnJVJ6nX0</t>
        </is>
      </c>
      <c r="K1322" s="4" t="inlineStr">
        <is>
          <t>Av. República do Líbano, 251 - Lj 1004// 1011 - Pina, Recife - PE, 51110-160, Brasil</t>
        </is>
      </c>
      <c r="L1322" s="4" t="inlineStr">
        <is>
          <t>Recife</t>
        </is>
      </c>
      <c r="M1322" s="5" t="n">
        <v>3</v>
      </c>
    </row>
    <row r="1323">
      <c r="A1323" s="3">
        <f>RAND()</f>
        <v/>
      </c>
      <c r="B1323" s="4" t="inlineStr">
        <is>
          <t>ChIJT2cQ8WwfqwcRt0YgYzfsFlY</t>
        </is>
      </c>
      <c r="C1323" s="4" t="inlineStr">
        <is>
          <t>RPG &amp; Coffee</t>
        </is>
      </c>
      <c r="D1323" s="4" t="inlineStr">
        <is>
          <t>Recife</t>
        </is>
      </c>
      <c r="E1323" s="4" t="inlineStr">
        <is>
          <t>PE</t>
        </is>
      </c>
      <c r="F1323" s="4" t="inlineStr">
        <is>
          <t>Metrópoles</t>
        </is>
      </c>
      <c r="G1323" s="4" t="inlineStr">
        <is>
          <t>Metrópole</t>
        </is>
      </c>
      <c r="H1323" s="5">
        <f>IF(G1323="fora do recorte","",SUMPRODUCT(($G$3:$G$1723=G1323)*($A$3:$A$1723&lt;=A1323)))</f>
        <v/>
      </c>
      <c r="I1323" s="4">
        <f>IF(H1323="","",G1323&amp;"|"&amp;H1323)</f>
        <v/>
      </c>
      <c r="J1323" s="4" t="inlineStr">
        <is>
          <t>https://www.google.com/maps/search/?api=1&amp;query=RPG%20%26%20Coffee&amp;query_place_id=ChIJT2cQ8WwfqwcRt0YgYzfsFlY</t>
        </is>
      </c>
      <c r="K1323" s="4" t="inlineStr">
        <is>
          <t>Av. Conselheiro Aguiar, 4880 - sala 22 - Boa Viagem, Recife - PE, 51021-020, Brasil</t>
        </is>
      </c>
      <c r="L1323" s="4" t="inlineStr">
        <is>
          <t>Recife</t>
        </is>
      </c>
      <c r="M1323" s="5" t="n">
        <v>5</v>
      </c>
    </row>
    <row r="1324">
      <c r="A1324" s="3">
        <f>RAND()</f>
        <v/>
      </c>
      <c r="B1324" s="4" t="inlineStr">
        <is>
          <t>ChIJmb0wSqoZqwcRS3ocCVfIk4s</t>
        </is>
      </c>
      <c r="C1324" s="4" t="inlineStr">
        <is>
          <t>Recanto Paraibano</t>
        </is>
      </c>
      <c r="D1324" s="4" t="inlineStr">
        <is>
          <t>Recife</t>
        </is>
      </c>
      <c r="E1324" s="4" t="inlineStr">
        <is>
          <t>PE</t>
        </is>
      </c>
      <c r="F1324" s="4" t="inlineStr">
        <is>
          <t>Metrópoles</t>
        </is>
      </c>
      <c r="G1324" s="4" t="inlineStr">
        <is>
          <t>Metrópole</t>
        </is>
      </c>
      <c r="H1324" s="5">
        <f>IF(G1324="fora do recorte","",SUMPRODUCT(($G$3:$G$1723=G1324)*($A$3:$A$1723&lt;=A1324)))</f>
        <v/>
      </c>
      <c r="I1324" s="4">
        <f>IF(H1324="","",G1324&amp;"|"&amp;H1324)</f>
        <v/>
      </c>
      <c r="J1324" s="4" t="inlineStr">
        <is>
          <t>https://www.google.com/maps/search/?api=1&amp;query=Recanto%20Paraibano&amp;query_place_id=ChIJmb0wSqoZqwcRS3ocCVfIk4s</t>
        </is>
      </c>
      <c r="K1324" s="4" t="inlineStr">
        <is>
          <t>Av. Dezessete de Agosto, 248 - Parnamirim, Recife - PE, 52060-590, Brasil</t>
        </is>
      </c>
      <c r="L1324" s="4" t="inlineStr">
        <is>
          <t>Recife</t>
        </is>
      </c>
      <c r="M1324" s="5" t="n">
        <v>1</v>
      </c>
    </row>
    <row r="1325">
      <c r="A1325" s="3">
        <f>RAND()</f>
        <v/>
      </c>
      <c r="B1325" s="4" t="inlineStr">
        <is>
          <t>ChIJ5yXUBMEYqwcRMuu9OjuN7KU</t>
        </is>
      </c>
      <c r="C1325" s="4" t="inlineStr">
        <is>
          <t>Restaurante Mustang</t>
        </is>
      </c>
      <c r="D1325" s="4" t="inlineStr">
        <is>
          <t>Recife</t>
        </is>
      </c>
      <c r="E1325" s="4" t="inlineStr">
        <is>
          <t>PE</t>
        </is>
      </c>
      <c r="F1325" s="4" t="inlineStr">
        <is>
          <t>Metrópoles</t>
        </is>
      </c>
      <c r="G1325" s="4" t="inlineStr">
        <is>
          <t>Metrópole</t>
        </is>
      </c>
      <c r="H1325" s="5">
        <f>IF(G1325="fora do recorte","",SUMPRODUCT(($G$3:$G$1723=G1325)*($A$3:$A$1723&lt;=A1325)))</f>
        <v/>
      </c>
      <c r="I1325" s="4">
        <f>IF(H1325="","",G1325&amp;"|"&amp;H1325)</f>
        <v/>
      </c>
      <c r="J1325" s="4" t="inlineStr">
        <is>
          <t>https://www.google.com/maps/search/?api=1&amp;query=Restaurante%20Mustang&amp;query_place_id=ChIJ5yXUBMEYqwcRMuu9OjuN7KU</t>
        </is>
      </c>
      <c r="K1325" s="4" t="inlineStr">
        <is>
          <t>R. José de Alencar, 44 - Boa Vista, Recife - PE, 50070-075, Brasil</t>
        </is>
      </c>
      <c r="L1325" s="4" t="inlineStr">
        <is>
          <t>Recife</t>
        </is>
      </c>
      <c r="M1325" s="5" t="n">
        <v>1</v>
      </c>
    </row>
    <row r="1326">
      <c r="A1326" s="3">
        <f>RAND()</f>
        <v/>
      </c>
      <c r="B1326" s="4" t="inlineStr">
        <is>
          <t>ChIJ3Qar76QYqwcRaFzRzabxg4Q</t>
        </is>
      </c>
      <c r="C1326" s="4" t="inlineStr">
        <is>
          <t>Rock &amp; Ribs Lounge Pub - Marco Zero - Recife/PE</t>
        </is>
      </c>
      <c r="D1326" s="4" t="inlineStr">
        <is>
          <t>Recife</t>
        </is>
      </c>
      <c r="E1326" s="4" t="inlineStr">
        <is>
          <t>PE</t>
        </is>
      </c>
      <c r="F1326" s="4" t="inlineStr">
        <is>
          <t>Metrópoles</t>
        </is>
      </c>
      <c r="G1326" s="4" t="inlineStr">
        <is>
          <t>Metrópole</t>
        </is>
      </c>
      <c r="H1326" s="5">
        <f>IF(G1326="fora do recorte","",SUMPRODUCT(($G$3:$G$1723=G1326)*($A$3:$A$1723&lt;=A1326)))</f>
        <v/>
      </c>
      <c r="I1326" s="4">
        <f>IF(H1326="","",G1326&amp;"|"&amp;H1326)</f>
        <v/>
      </c>
      <c r="J1326" s="4" t="inlineStr">
        <is>
          <t>https://www.google.com/maps/search/?api=1&amp;query=Rock%20%26%20Ribs%20Lounge%20Pub%20-%20Marco%20Zero%20-%20Recife/PE&amp;query_place_id=ChIJ3Qar76QYqwcRaFzRzabxg4Q</t>
        </is>
      </c>
      <c r="K1326" s="4" t="inlineStr">
        <is>
          <t>Av. Alfredo Lisboa, S/N - Loja 11 Arm 12 - Recife, PE, 50030-150, Brasil</t>
        </is>
      </c>
      <c r="L1326" s="4" t="inlineStr">
        <is>
          <t>Recife</t>
        </is>
      </c>
      <c r="M1326" s="5" t="n">
        <v>1</v>
      </c>
    </row>
    <row r="1327">
      <c r="A1327" s="3">
        <f>RAND()</f>
        <v/>
      </c>
      <c r="B1327" s="4" t="inlineStr">
        <is>
          <t>ChIJu9zbOwcZqwcRuW4zJLqI_2g</t>
        </is>
      </c>
      <c r="C1327" s="4" t="inlineStr">
        <is>
          <t>STOCK NEW IMPORTS</t>
        </is>
      </c>
      <c r="D1327" s="4" t="inlineStr">
        <is>
          <t>Recife</t>
        </is>
      </c>
      <c r="E1327" s="4" t="inlineStr">
        <is>
          <t>PE</t>
        </is>
      </c>
      <c r="F1327" s="4" t="inlineStr">
        <is>
          <t>Metrópoles</t>
        </is>
      </c>
      <c r="G1327" s="4" t="inlineStr">
        <is>
          <t>Metrópole</t>
        </is>
      </c>
      <c r="H1327" s="5">
        <f>IF(G1327="fora do recorte","",SUMPRODUCT(($G$3:$G$1723=G1327)*($A$3:$A$1723&lt;=A1327)))</f>
        <v/>
      </c>
      <c r="I1327" s="4">
        <f>IF(H1327="","",G1327&amp;"|"&amp;H1327)</f>
        <v/>
      </c>
      <c r="J1327" s="4" t="inlineStr">
        <is>
          <t>https://www.google.com/maps/search/?api=1&amp;query=STOCK%20NEW%20IMPORTS&amp;query_place_id=ChIJu9zbOwcZqwcRuW4zJLqI_2g</t>
        </is>
      </c>
      <c r="K1327" s="4" t="inlineStr">
        <is>
          <t>R. Dr. João Santos Filho, 255 - L2 - 88 - Casa Forte, Recife - PE, 52060-615, Brasil</t>
        </is>
      </c>
      <c r="L1327" s="4" t="inlineStr">
        <is>
          <t>Recife</t>
        </is>
      </c>
      <c r="M1327" s="5" t="n">
        <v>1</v>
      </c>
    </row>
    <row r="1328">
      <c r="A1328" s="3">
        <f>RAND()</f>
        <v/>
      </c>
      <c r="B1328" s="4" t="inlineStr">
        <is>
          <t>ChIJA3GXW2cfqwcRSOpl9Tt9cYc</t>
        </is>
      </c>
      <c r="C1328" s="4" t="inlineStr">
        <is>
          <t>Seu Tito Praia</t>
        </is>
      </c>
      <c r="D1328" s="4" t="inlineStr">
        <is>
          <t>Recife</t>
        </is>
      </c>
      <c r="E1328" s="4" t="inlineStr">
        <is>
          <t>PE</t>
        </is>
      </c>
      <c r="F1328" s="4" t="inlineStr">
        <is>
          <t>Metrópoles</t>
        </is>
      </c>
      <c r="G1328" s="4" t="inlineStr">
        <is>
          <t>Metrópole</t>
        </is>
      </c>
      <c r="H1328" s="5">
        <f>IF(G1328="fora do recorte","",SUMPRODUCT(($G$3:$G$1723=G1328)*($A$3:$A$1723&lt;=A1328)))</f>
        <v/>
      </c>
      <c r="I1328" s="4">
        <f>IF(H1328="","",G1328&amp;"|"&amp;H1328)</f>
        <v/>
      </c>
      <c r="J1328" s="4" t="inlineStr">
        <is>
          <t>https://www.google.com/maps/search/?api=1&amp;query=Seu%20Tito%20Praia&amp;query_place_id=ChIJA3GXW2cfqwcRSOpl9Tt9cYc</t>
        </is>
      </c>
      <c r="K1328" s="4" t="inlineStr">
        <is>
          <t>R. Artur Muniz, 82 - Boa Viagem, Recife - PE, 51111-190, Brasil</t>
        </is>
      </c>
      <c r="L1328" s="4" t="inlineStr">
        <is>
          <t>Recife</t>
        </is>
      </c>
      <c r="M1328" s="5" t="n">
        <v>1</v>
      </c>
    </row>
    <row r="1329">
      <c r="A1329" s="3">
        <f>RAND()</f>
        <v/>
      </c>
      <c r="B1329" s="4" t="inlineStr">
        <is>
          <t>ChIJRXxg7DsfqwcRTWwjGuZLtPk</t>
        </is>
      </c>
      <c r="C1329" s="4" t="inlineStr">
        <is>
          <t>Shopping RioMar Recife</t>
        </is>
      </c>
      <c r="D1329" s="4" t="inlineStr">
        <is>
          <t>Recife</t>
        </is>
      </c>
      <c r="E1329" s="4" t="inlineStr">
        <is>
          <t>PE</t>
        </is>
      </c>
      <c r="F1329" s="4" t="inlineStr">
        <is>
          <t>Metrópoles</t>
        </is>
      </c>
      <c r="G1329" s="4" t="inlineStr">
        <is>
          <t>Metrópole</t>
        </is>
      </c>
      <c r="H1329" s="5">
        <f>IF(G1329="fora do recorte","",SUMPRODUCT(($G$3:$G$1723=G1329)*($A$3:$A$1723&lt;=A1329)))</f>
        <v/>
      </c>
      <c r="I1329" s="4">
        <f>IF(H1329="","",G1329&amp;"|"&amp;H1329)</f>
        <v/>
      </c>
      <c r="J1329" s="4" t="inlineStr">
        <is>
          <t>https://www.google.com/maps/search/?api=1&amp;query=Shopping%20RioMar%20Recife&amp;query_place_id=ChIJRXxg7DsfqwcRTWwjGuZLtPk</t>
        </is>
      </c>
      <c r="K1329" s="4" t="inlineStr">
        <is>
          <t>Av. República do Líbano, 251 - Pina, Recife - PE, 51110-160, Brasil</t>
        </is>
      </c>
      <c r="L1329" s="4" t="inlineStr">
        <is>
          <t>Recife</t>
        </is>
      </c>
      <c r="M1329" s="5" t="n">
        <v>1</v>
      </c>
    </row>
    <row r="1330">
      <c r="A1330" s="3">
        <f>RAND()</f>
        <v/>
      </c>
      <c r="B1330" s="4" t="inlineStr">
        <is>
          <t>ChIJjxyfc30YqwcRXfWTGZIjF0o</t>
        </is>
      </c>
      <c r="C1330" s="4" t="inlineStr">
        <is>
          <t>Shopping Tacaruna</t>
        </is>
      </c>
      <c r="D1330" s="4" t="inlineStr">
        <is>
          <t>Recife</t>
        </is>
      </c>
      <c r="E1330" s="4" t="inlineStr">
        <is>
          <t>PE</t>
        </is>
      </c>
      <c r="F1330" s="4" t="inlineStr">
        <is>
          <t>Metrópoles</t>
        </is>
      </c>
      <c r="G1330" s="4" t="inlineStr">
        <is>
          <t>Metrópole</t>
        </is>
      </c>
      <c r="H1330" s="5">
        <f>IF(G1330="fora do recorte","",SUMPRODUCT(($G$3:$G$1723=G1330)*($A$3:$A$1723&lt;=A1330)))</f>
        <v/>
      </c>
      <c r="I1330" s="4">
        <f>IF(H1330="","",G1330&amp;"|"&amp;H1330)</f>
        <v/>
      </c>
      <c r="J1330" s="4" t="inlineStr">
        <is>
          <t>https://www.google.com/maps/search/?api=1&amp;query=Shopping%20Tacaruna&amp;query_place_id=ChIJjxyfc30YqwcRXfWTGZIjF0o</t>
        </is>
      </c>
      <c r="K1330" s="4" t="inlineStr">
        <is>
          <t>Av. Gov. Agamenon Magalhães, 153 - Santo Amaro, Recife - PE, 50110-900, Brasil</t>
        </is>
      </c>
      <c r="L1330" s="4" t="inlineStr">
        <is>
          <t>Recife</t>
        </is>
      </c>
      <c r="M1330" s="5" t="n">
        <v>1</v>
      </c>
    </row>
    <row r="1331">
      <c r="A1331" s="3">
        <f>RAND()</f>
        <v/>
      </c>
      <c r="B1331" s="4" t="inlineStr">
        <is>
          <t>ChIJwQMnTB0fqwcR0HnwKiEoY7Q</t>
        </is>
      </c>
      <c r="C1331" s="4" t="inlineStr">
        <is>
          <t>SpellGuard</t>
        </is>
      </c>
      <c r="D1331" s="4" t="inlineStr">
        <is>
          <t>Recife</t>
        </is>
      </c>
      <c r="E1331" s="4" t="inlineStr">
        <is>
          <t>PE</t>
        </is>
      </c>
      <c r="F1331" s="4" t="inlineStr">
        <is>
          <t>Metrópoles</t>
        </is>
      </c>
      <c r="G1331" s="4" t="inlineStr">
        <is>
          <t>Metrópole</t>
        </is>
      </c>
      <c r="H1331" s="5">
        <f>IF(G1331="fora do recorte","",SUMPRODUCT(($G$3:$G$1723=G1331)*($A$3:$A$1723&lt;=A1331)))</f>
        <v/>
      </c>
      <c r="I1331" s="4">
        <f>IF(H1331="","",G1331&amp;"|"&amp;H1331)</f>
        <v/>
      </c>
      <c r="J1331" s="4" t="inlineStr">
        <is>
          <t>https://www.google.com/maps/search/?api=1&amp;query=SpellGuard&amp;query_place_id=ChIJwQMnTB0fqwcR0HnwKiEoY7Q</t>
        </is>
      </c>
      <c r="K1331" s="4" t="inlineStr">
        <is>
          <t>R. Padre Bernadino Pessoa, 748 - Sl 201 - Boa Viagem, Recife - PE, 51020-210, Brasil</t>
        </is>
      </c>
      <c r="L1331" s="4" t="inlineStr">
        <is>
          <t>Recife</t>
        </is>
      </c>
      <c r="M1331" s="5" t="n">
        <v>1</v>
      </c>
    </row>
    <row r="1332">
      <c r="A1332" s="3">
        <f>RAND()</f>
        <v/>
      </c>
      <c r="B1332" s="4" t="inlineStr">
        <is>
          <t>ChIJ_Yjne1AfqwcRSAxdewiBAPU</t>
        </is>
      </c>
      <c r="C1332" s="4" t="inlineStr">
        <is>
          <t>Tatu Bola</t>
        </is>
      </c>
      <c r="D1332" s="4" t="inlineStr">
        <is>
          <t>Recife</t>
        </is>
      </c>
      <c r="E1332" s="4" t="inlineStr">
        <is>
          <t>PE</t>
        </is>
      </c>
      <c r="F1332" s="4" t="inlineStr">
        <is>
          <t>Metrópoles</t>
        </is>
      </c>
      <c r="G1332" s="4" t="inlineStr">
        <is>
          <t>Metrópole</t>
        </is>
      </c>
      <c r="H1332" s="5">
        <f>IF(G1332="fora do recorte","",SUMPRODUCT(($G$3:$G$1723=G1332)*($A$3:$A$1723&lt;=A1332)))</f>
        <v/>
      </c>
      <c r="I1332" s="4">
        <f>IF(H1332="","",G1332&amp;"|"&amp;H1332)</f>
        <v/>
      </c>
      <c r="J1332" s="4" t="inlineStr">
        <is>
          <t>https://www.google.com/maps/search/?api=1&amp;query=Tatu%20Bola&amp;query_place_id=ChIJ_Yjne1AfqwcRSAxdewiBAPU</t>
        </is>
      </c>
      <c r="K1332" s="4" t="inlineStr">
        <is>
          <t>Av. Herculano Bandeira, 21 - Pina, Recife - PE, 51011-000, Brasil</t>
        </is>
      </c>
      <c r="L1332" s="4" t="inlineStr">
        <is>
          <t>Recife</t>
        </is>
      </c>
      <c r="M1332" s="5" t="n">
        <v>2</v>
      </c>
    </row>
    <row r="1333">
      <c r="A1333" s="3">
        <f>RAND()</f>
        <v/>
      </c>
      <c r="B1333" s="4" t="inlineStr">
        <is>
          <t>ChIJh8fyHboYqwcRqcV2HDW3gRE</t>
        </is>
      </c>
      <c r="C1333" s="4" t="inlineStr">
        <is>
          <t>TechPrime Eletrônica</t>
        </is>
      </c>
      <c r="D1333" s="4" t="inlineStr">
        <is>
          <t>Recife</t>
        </is>
      </c>
      <c r="E1333" s="4" t="inlineStr">
        <is>
          <t>PE</t>
        </is>
      </c>
      <c r="F1333" s="4" t="inlineStr">
        <is>
          <t>Metrópoles</t>
        </is>
      </c>
      <c r="G1333" s="4" t="inlineStr">
        <is>
          <t>Metrópole</t>
        </is>
      </c>
      <c r="H1333" s="5">
        <f>IF(G1333="fora do recorte","",SUMPRODUCT(($G$3:$G$1723=G1333)*($A$3:$A$1723&lt;=A1333)))</f>
        <v/>
      </c>
      <c r="I1333" s="4">
        <f>IF(H1333="","",G1333&amp;"|"&amp;H1333)</f>
        <v/>
      </c>
      <c r="J1333" s="4" t="inlineStr">
        <is>
          <t>https://www.google.com/maps/search/?api=1&amp;query=TechPrime%20Eletr%C3%B4nica&amp;query_place_id=ChIJh8fyHboYqwcRqcV2HDW3gRE</t>
        </is>
      </c>
      <c r="K1333" s="4" t="inlineStr">
        <is>
          <t>R. Mário Campelo, 153b - Várzea, Recife - PE, 50741-430, Brasil</t>
        </is>
      </c>
      <c r="L1333" s="4" t="inlineStr">
        <is>
          <t>Recife</t>
        </is>
      </c>
      <c r="M1333" s="5" t="n">
        <v>1</v>
      </c>
    </row>
    <row r="1334">
      <c r="A1334" s="3">
        <f>RAND()</f>
        <v/>
      </c>
      <c r="B1334" s="4" t="inlineStr">
        <is>
          <t>ChIJ_4j0ObcfqwcRyYZH2o5RAKw</t>
        </is>
      </c>
      <c r="C1334" s="4" t="inlineStr">
        <is>
          <t>Techno Space Informática</t>
        </is>
      </c>
      <c r="D1334" s="4" t="inlineStr">
        <is>
          <t>Recife</t>
        </is>
      </c>
      <c r="E1334" s="4" t="inlineStr">
        <is>
          <t>PE</t>
        </is>
      </c>
      <c r="F1334" s="4" t="inlineStr">
        <is>
          <t>Metrópoles</t>
        </is>
      </c>
      <c r="G1334" s="4" t="inlineStr">
        <is>
          <t>Metrópole</t>
        </is>
      </c>
      <c r="H1334" s="5">
        <f>IF(G1334="fora do recorte","",SUMPRODUCT(($G$3:$G$1723=G1334)*($A$3:$A$1723&lt;=A1334)))</f>
        <v/>
      </c>
      <c r="I1334" s="4">
        <f>IF(H1334="","",G1334&amp;"|"&amp;H1334)</f>
        <v/>
      </c>
      <c r="J1334" s="4" t="inlineStr">
        <is>
          <t>https://www.google.com/maps/search/?api=1&amp;query=Techno%20Space%20Inform%C3%A1tica&amp;query_place_id=ChIJ_4j0ObcfqwcRyYZH2o5RAKw</t>
        </is>
      </c>
      <c r="K1334" s="4" t="inlineStr">
        <is>
          <t>R. Ernesto de Paula Santos, 1172 - Lj02 - Boa Viagem, Recife - PE, 51021-330, Brasil</t>
        </is>
      </c>
      <c r="L1334" s="4" t="inlineStr">
        <is>
          <t>Recife</t>
        </is>
      </c>
      <c r="M1334" s="5" t="n">
        <v>1</v>
      </c>
    </row>
    <row r="1335">
      <c r="A1335" s="3">
        <f>RAND()</f>
        <v/>
      </c>
      <c r="B1335" s="4" t="inlineStr">
        <is>
          <t>ChIJFb8Ap7MZqwcRzUPEAgW_A84</t>
        </is>
      </c>
      <c r="C1335" s="4" t="inlineStr">
        <is>
          <t>Tem Asterisco?</t>
        </is>
      </c>
      <c r="D1335" s="4" t="inlineStr">
        <is>
          <t>Recife</t>
        </is>
      </c>
      <c r="E1335" s="4" t="inlineStr">
        <is>
          <t>PE</t>
        </is>
      </c>
      <c r="F1335" s="4" t="inlineStr">
        <is>
          <t>Metrópoles</t>
        </is>
      </c>
      <c r="G1335" s="4" t="inlineStr">
        <is>
          <t>Metrópole</t>
        </is>
      </c>
      <c r="H1335" s="5">
        <f>IF(G1335="fora do recorte","",SUMPRODUCT(($G$3:$G$1723=G1335)*($A$3:$A$1723&lt;=A1335)))</f>
        <v/>
      </c>
      <c r="I1335" s="4">
        <f>IF(H1335="","",G1335&amp;"|"&amp;H1335)</f>
        <v/>
      </c>
      <c r="J1335" s="4" t="inlineStr">
        <is>
          <t>https://www.google.com/maps/search/?api=1&amp;query=Tem%20Asterisco%3F&amp;query_place_id=ChIJFb8Ap7MZqwcRzUPEAgW_A84</t>
        </is>
      </c>
      <c r="K1335" s="4" t="inlineStr">
        <is>
          <t>Av. Visc. de Albuquerque, 258 - Madalena, Recife - PE, 50610-090, Brasil</t>
        </is>
      </c>
      <c r="L1335" s="4" t="inlineStr">
        <is>
          <t>Recife</t>
        </is>
      </c>
      <c r="M1335" s="5" t="n">
        <v>3</v>
      </c>
    </row>
    <row r="1336">
      <c r="A1336" s="3">
        <f>RAND()</f>
        <v/>
      </c>
      <c r="B1336" s="4" t="inlineStr">
        <is>
          <t>ChIJeUSEjrkYqwcRl3gXQXsmECQ</t>
        </is>
      </c>
      <c r="C1336" s="4" t="inlineStr">
        <is>
          <t>Top Games</t>
        </is>
      </c>
      <c r="D1336" s="4" t="inlineStr">
        <is>
          <t>Recife</t>
        </is>
      </c>
      <c r="E1336" s="4" t="inlineStr">
        <is>
          <t>PE</t>
        </is>
      </c>
      <c r="F1336" s="4" t="inlineStr">
        <is>
          <t>Metrópoles</t>
        </is>
      </c>
      <c r="G1336" s="4" t="inlineStr">
        <is>
          <t>Metrópole</t>
        </is>
      </c>
      <c r="H1336" s="5">
        <f>IF(G1336="fora do recorte","",SUMPRODUCT(($G$3:$G$1723=G1336)*($A$3:$A$1723&lt;=A1336)))</f>
        <v/>
      </c>
      <c r="I1336" s="4">
        <f>IF(H1336="","",G1336&amp;"|"&amp;H1336)</f>
        <v/>
      </c>
      <c r="J1336" s="4" t="inlineStr">
        <is>
          <t>https://www.google.com/maps/search/?api=1&amp;query=Top%20Games&amp;query_place_id=ChIJeUSEjrkYqwcRl3gXQXsmECQ</t>
        </is>
      </c>
      <c r="K1336" s="4" t="inlineStr">
        <is>
          <t>R. Camboa do Carmo, 43 - Santo Antônio, Recife - PE, 50010-390, Brasil</t>
        </is>
      </c>
      <c r="L1336" s="4" t="inlineStr">
        <is>
          <t>Recife</t>
        </is>
      </c>
      <c r="M1336" s="5" t="n">
        <v>3</v>
      </c>
    </row>
    <row r="1337">
      <c r="A1337" s="3">
        <f>RAND()</f>
        <v/>
      </c>
      <c r="B1337" s="4" t="inlineStr">
        <is>
          <t>ChIJhea7H1MZqwcRqVxPaqvCs1k</t>
        </is>
      </c>
      <c r="C1337" s="4" t="inlineStr">
        <is>
          <t>Top Games - Shopping Plaza Casa Forte</t>
        </is>
      </c>
      <c r="D1337" s="4" t="inlineStr">
        <is>
          <t>Recife</t>
        </is>
      </c>
      <c r="E1337" s="4" t="inlineStr">
        <is>
          <t>PE</t>
        </is>
      </c>
      <c r="F1337" s="4" t="inlineStr">
        <is>
          <t>Metrópoles</t>
        </is>
      </c>
      <c r="G1337" s="4" t="inlineStr">
        <is>
          <t>Metrópole</t>
        </is>
      </c>
      <c r="H1337" s="5">
        <f>IF(G1337="fora do recorte","",SUMPRODUCT(($G$3:$G$1723=G1337)*($A$3:$A$1723&lt;=A1337)))</f>
        <v/>
      </c>
      <c r="I1337" s="4">
        <f>IF(H1337="","",G1337&amp;"|"&amp;H1337)</f>
        <v/>
      </c>
      <c r="J1337" s="4" t="inlineStr">
        <is>
          <t>https://www.google.com/maps/search/?api=1&amp;query=Top%20Games%20-%20Shopping%20Plaza%20Casa%20Forte&amp;query_place_id=ChIJhea7H1MZqwcRqVxPaqvCs1k</t>
        </is>
      </c>
      <c r="K1337" s="4" t="inlineStr">
        <is>
          <t>R. Dr. João Santos Filho - Parnamirim, Recife - PE, 52060-615, Brasil</t>
        </is>
      </c>
      <c r="L1337" s="4" t="inlineStr">
        <is>
          <t>Recife</t>
        </is>
      </c>
      <c r="M1337" s="5" t="n">
        <v>3</v>
      </c>
    </row>
    <row r="1338">
      <c r="A1338" s="3">
        <f>RAND()</f>
        <v/>
      </c>
      <c r="B1338" s="4" t="inlineStr">
        <is>
          <t>ChIJt8GjZMcYqwcRUtE5E44Yhwg</t>
        </is>
      </c>
      <c r="C1338" s="4" t="inlineStr">
        <is>
          <t>Trade Games</t>
        </is>
      </c>
      <c r="D1338" s="4" t="inlineStr">
        <is>
          <t>Recife</t>
        </is>
      </c>
      <c r="E1338" s="4" t="inlineStr">
        <is>
          <t>PE</t>
        </is>
      </c>
      <c r="F1338" s="4" t="inlineStr">
        <is>
          <t>Metrópoles</t>
        </is>
      </c>
      <c r="G1338" s="4" t="inlineStr">
        <is>
          <t>Metrópole</t>
        </is>
      </c>
      <c r="H1338" s="5">
        <f>IF(G1338="fora do recorte","",SUMPRODUCT(($G$3:$G$1723=G1338)*($A$3:$A$1723&lt;=A1338)))</f>
        <v/>
      </c>
      <c r="I1338" s="4">
        <f>IF(H1338="","",G1338&amp;"|"&amp;H1338)</f>
        <v/>
      </c>
      <c r="J1338" s="4" t="inlineStr">
        <is>
          <t>https://www.google.com/maps/search/?api=1&amp;query=Trade%20Games&amp;query_place_id=ChIJt8GjZMcYqwcRUtE5E44Yhwg</t>
        </is>
      </c>
      <c r="K1338" s="4" t="inlineStr">
        <is>
          <t>R. Imperatriz Teresa Cristina, 254 - Boa Vista, Recife - PE, 50060-120, Brasil</t>
        </is>
      </c>
      <c r="L1338" s="4" t="inlineStr">
        <is>
          <t>Recife</t>
        </is>
      </c>
      <c r="M1338" s="5" t="n">
        <v>2</v>
      </c>
    </row>
    <row r="1339">
      <c r="A1339" s="3">
        <f>RAND()</f>
        <v/>
      </c>
      <c r="B1339" s="4" t="inlineStr">
        <is>
          <t>ChIJSTIV-KIfqwcROAjEHdlnidY</t>
        </is>
      </c>
      <c r="C1339" s="4" t="inlineStr">
        <is>
          <t>UNIGAMES</t>
        </is>
      </c>
      <c r="D1339" s="4" t="inlineStr">
        <is>
          <t>Recife</t>
        </is>
      </c>
      <c r="E1339" s="4" t="inlineStr">
        <is>
          <t>PE</t>
        </is>
      </c>
      <c r="F1339" s="4" t="inlineStr">
        <is>
          <t>Metrópoles</t>
        </is>
      </c>
      <c r="G1339" s="4" t="inlineStr">
        <is>
          <t>Metrópole</t>
        </is>
      </c>
      <c r="H1339" s="5">
        <f>IF(G1339="fora do recorte","",SUMPRODUCT(($G$3:$G$1723=G1339)*($A$3:$A$1723&lt;=A1339)))</f>
        <v/>
      </c>
      <c r="I1339" s="4">
        <f>IF(H1339="","",G1339&amp;"|"&amp;H1339)</f>
        <v/>
      </c>
      <c r="J1339" s="4" t="inlineStr">
        <is>
          <t>https://www.google.com/maps/search/?api=1&amp;query=UNIGAMES&amp;query_place_id=ChIJSTIV-KIfqwcROAjEHdlnidY</t>
        </is>
      </c>
      <c r="K1339" s="4" t="inlineStr">
        <is>
          <t>R. Padre Carapuceiro, 777 - Lj PC159 - Boa Viagem, Recife - PE, 51020-280, Brasil</t>
        </is>
      </c>
      <c r="L1339" s="4" t="inlineStr">
        <is>
          <t>Recife</t>
        </is>
      </c>
      <c r="M1339" s="5" t="n">
        <v>5</v>
      </c>
    </row>
    <row r="1340">
      <c r="A1340" s="3">
        <f>RAND()</f>
        <v/>
      </c>
      <c r="B1340" s="4" t="inlineStr">
        <is>
          <t>ChIJlcJzpK0ZqwcRsxKaaA1uaek</t>
        </is>
      </c>
      <c r="C1340" s="4" t="inlineStr">
        <is>
          <t>UNIGAMES TACARUNA</t>
        </is>
      </c>
      <c r="D1340" s="4" t="inlineStr">
        <is>
          <t>Recife</t>
        </is>
      </c>
      <c r="E1340" s="4" t="inlineStr">
        <is>
          <t>PE</t>
        </is>
      </c>
      <c r="F1340" s="4" t="inlineStr">
        <is>
          <t>Metrópoles</t>
        </is>
      </c>
      <c r="G1340" s="4" t="inlineStr">
        <is>
          <t>Metrópole</t>
        </is>
      </c>
      <c r="H1340" s="5">
        <f>IF(G1340="fora do recorte","",SUMPRODUCT(($G$3:$G$1723=G1340)*($A$3:$A$1723&lt;=A1340)))</f>
        <v/>
      </c>
      <c r="I1340" s="4">
        <f>IF(H1340="","",G1340&amp;"|"&amp;H1340)</f>
        <v/>
      </c>
      <c r="J1340" s="4" t="inlineStr">
        <is>
          <t>https://www.google.com/maps/search/?api=1&amp;query=UNIGAMES%20TACARUNA&amp;query_place_id=ChIJlcJzpK0ZqwcRsxKaaA1uaek</t>
        </is>
      </c>
      <c r="K1340" s="4" t="inlineStr">
        <is>
          <t>Av. Gov. Agamenon Magalhães, 153 - Lj 346A - Santo Amaro, Recife - PE, 50110-000, Brasil</t>
        </is>
      </c>
      <c r="L1340" s="4" t="inlineStr">
        <is>
          <t>Recife</t>
        </is>
      </c>
      <c r="M1340" s="5" t="n">
        <v>3</v>
      </c>
    </row>
    <row r="1341">
      <c r="A1341" s="3">
        <f>RAND()</f>
        <v/>
      </c>
      <c r="B1341" s="4" t="inlineStr">
        <is>
          <t>ChIJUy7C57UYqwcRp40EuKppzF8</t>
        </is>
      </c>
      <c r="C1341" s="4" t="inlineStr">
        <is>
          <t>Uniao Dos Games</t>
        </is>
      </c>
      <c r="D1341" s="4" t="inlineStr">
        <is>
          <t>Recife</t>
        </is>
      </c>
      <c r="E1341" s="4" t="inlineStr">
        <is>
          <t>PE</t>
        </is>
      </c>
      <c r="F1341" s="4" t="inlineStr">
        <is>
          <t>Metrópoles</t>
        </is>
      </c>
      <c r="G1341" s="4" t="inlineStr">
        <is>
          <t>Metrópole</t>
        </is>
      </c>
      <c r="H1341" s="5">
        <f>IF(G1341="fora do recorte","",SUMPRODUCT(($G$3:$G$1723=G1341)*($A$3:$A$1723&lt;=A1341)))</f>
        <v/>
      </c>
      <c r="I1341" s="4">
        <f>IF(H1341="","",G1341&amp;"|"&amp;H1341)</f>
        <v/>
      </c>
      <c r="J1341" s="4" t="inlineStr">
        <is>
          <t>https://www.google.com/maps/search/?api=1&amp;query=Uniao%20Dos%20Games&amp;query_place_id=ChIJUy7C57UYqwcRp40EuKppzF8</t>
        </is>
      </c>
      <c r="K1341" s="4" t="inlineStr">
        <is>
          <t>R. Josefa Paes de Carvalho, N° 40 - Santo Antônio, Recife - PE, 50010-370, Brasil</t>
        </is>
      </c>
      <c r="L1341" s="4" t="inlineStr">
        <is>
          <t>Recife</t>
        </is>
      </c>
      <c r="M1341" s="5" t="n">
        <v>1</v>
      </c>
    </row>
    <row r="1342">
      <c r="A1342" s="3">
        <f>RAND()</f>
        <v/>
      </c>
      <c r="B1342" s="4" t="inlineStr">
        <is>
          <t>ChIJE1uDVQAfqwcR8E6Bbo8iIBw</t>
        </is>
      </c>
      <c r="C1342" s="4" t="inlineStr">
        <is>
          <t>Youplay Shopping Recife</t>
        </is>
      </c>
      <c r="D1342" s="4" t="inlineStr">
        <is>
          <t>Recife</t>
        </is>
      </c>
      <c r="E1342" s="4" t="inlineStr">
        <is>
          <t>PE</t>
        </is>
      </c>
      <c r="F1342" s="4" t="inlineStr">
        <is>
          <t>Metrópoles</t>
        </is>
      </c>
      <c r="G1342" s="4" t="inlineStr">
        <is>
          <t>Metrópole</t>
        </is>
      </c>
      <c r="H1342" s="5">
        <f>IF(G1342="fora do recorte","",SUMPRODUCT(($G$3:$G$1723=G1342)*($A$3:$A$1723&lt;=A1342)))</f>
        <v/>
      </c>
      <c r="I1342" s="4">
        <f>IF(H1342="","",G1342&amp;"|"&amp;H1342)</f>
        <v/>
      </c>
      <c r="J1342" s="4" t="inlineStr">
        <is>
          <t>https://www.google.com/maps/search/?api=1&amp;query=Youplay%20Shopping%20Recife&amp;query_place_id=ChIJE1uDVQAfqwcR8E6Bbo8iIBw</t>
        </is>
      </c>
      <c r="K1342" s="4" t="inlineStr">
        <is>
          <t>Piso - em frente a praça de eventos - R. Padre Carapuceiro, 777 - Loja 1º - Boa Viagem, Recife - PE, 51020-900, Brasil</t>
        </is>
      </c>
      <c r="L1342" s="4" t="inlineStr">
        <is>
          <t>Recife</t>
        </is>
      </c>
      <c r="M1342" s="5" t="n">
        <v>1</v>
      </c>
    </row>
    <row r="1343">
      <c r="A1343" s="3">
        <f>RAND()</f>
        <v/>
      </c>
      <c r="B1343" s="4" t="inlineStr">
        <is>
          <t>ChIJDSBqInUfqwcRe0yieFgjJdk</t>
        </is>
      </c>
      <c r="C1343" s="4" t="inlineStr">
        <is>
          <t>Zastras Brinquedos Recife</t>
        </is>
      </c>
      <c r="D1343" s="4" t="inlineStr">
        <is>
          <t>Recife</t>
        </is>
      </c>
      <c r="E1343" s="4" t="inlineStr">
        <is>
          <t>PE</t>
        </is>
      </c>
      <c r="F1343" s="4" t="inlineStr">
        <is>
          <t>Metrópoles</t>
        </is>
      </c>
      <c r="G1343" s="4" t="inlineStr">
        <is>
          <t>Metrópole</t>
        </is>
      </c>
      <c r="H1343" s="5">
        <f>IF(G1343="fora do recorte","",SUMPRODUCT(($G$3:$G$1723=G1343)*($A$3:$A$1723&lt;=A1343)))</f>
        <v/>
      </c>
      <c r="I1343" s="4">
        <f>IF(H1343="","",G1343&amp;"|"&amp;H1343)</f>
        <v/>
      </c>
      <c r="J1343" s="4" t="inlineStr">
        <is>
          <t>https://www.google.com/maps/search/?api=1&amp;query=Zastras%20Brinquedos%20Recife&amp;query_place_id=ChIJDSBqInUfqwcRe0yieFgjJdk</t>
        </is>
      </c>
      <c r="K1343" s="4" t="inlineStr">
        <is>
          <t>Shopping Recife - R. Padre Carapuceiro, 777 - 5 Etapa, 2 andar - Boa Viagem, Recife - PE, 51020-280, Brasil</t>
        </is>
      </c>
      <c r="L1343" s="4" t="inlineStr">
        <is>
          <t>Recife</t>
        </is>
      </c>
      <c r="M1343" s="5" t="n">
        <v>1</v>
      </c>
    </row>
    <row r="1344">
      <c r="A1344" s="3">
        <f>RAND()</f>
        <v/>
      </c>
      <c r="B1344" s="4" t="inlineStr">
        <is>
          <t>ChIJl1RpPPAYqwcRUGyGuluwiOg</t>
        </is>
      </c>
      <c r="C1344" s="4" t="inlineStr">
        <is>
          <t>Zepelim Brinquedos Educativos | Atendimento Online e Presencial</t>
        </is>
      </c>
      <c r="D1344" s="4" t="inlineStr">
        <is>
          <t>Recife</t>
        </is>
      </c>
      <c r="E1344" s="4" t="inlineStr">
        <is>
          <t>PE</t>
        </is>
      </c>
      <c r="F1344" s="4" t="inlineStr">
        <is>
          <t>Metrópoles</t>
        </is>
      </c>
      <c r="G1344" s="4" t="inlineStr">
        <is>
          <t>Metrópole</t>
        </is>
      </c>
      <c r="H1344" s="5">
        <f>IF(G1344="fora do recorte","",SUMPRODUCT(($G$3:$G$1723=G1344)*($A$3:$A$1723&lt;=A1344)))</f>
        <v/>
      </c>
      <c r="I1344" s="4">
        <f>IF(H1344="","",G1344&amp;"|"&amp;H1344)</f>
        <v/>
      </c>
      <c r="J1344" s="4" t="inlineStr">
        <is>
          <t>https://www.google.com/maps/search/?api=1&amp;query=Zepelim%20Brinquedos%20Educativos%20%7C%20Atendimento%20Online%20e%20Presencial&amp;query_place_id=ChIJl1RpPPAYqwcRUGyGuluwiOg</t>
        </is>
      </c>
      <c r="K1344" s="4" t="inlineStr">
        <is>
          <t>R. da Hora, 345 - Espinheiro, Recife - PE, 52020-015, Brasil</t>
        </is>
      </c>
      <c r="L1344" s="4" t="inlineStr">
        <is>
          <t>Recife</t>
        </is>
      </c>
      <c r="M1344" s="5" t="n">
        <v>1</v>
      </c>
    </row>
    <row r="1345">
      <c r="A1345" s="3">
        <f>RAND()</f>
        <v/>
      </c>
      <c r="B1345" s="4" t="inlineStr">
        <is>
          <t>ChIJR9bJ1qMZqwcRmad51wY1iL8</t>
        </is>
      </c>
      <c r="C1345" s="4" t="inlineStr">
        <is>
          <t>purswitch</t>
        </is>
      </c>
      <c r="D1345" s="4" t="inlineStr">
        <is>
          <t>Recife</t>
        </is>
      </c>
      <c r="E1345" s="4" t="inlineStr">
        <is>
          <t>PE</t>
        </is>
      </c>
      <c r="F1345" s="4" t="inlineStr">
        <is>
          <t>Metrópoles</t>
        </is>
      </c>
      <c r="G1345" s="4" t="inlineStr">
        <is>
          <t>Metrópole</t>
        </is>
      </c>
      <c r="H1345" s="5">
        <f>IF(G1345="fora do recorte","",SUMPRODUCT(($G$3:$G$1723=G1345)*($A$3:$A$1723&lt;=A1345)))</f>
        <v/>
      </c>
      <c r="I1345" s="4">
        <f>IF(H1345="","",G1345&amp;"|"&amp;H1345)</f>
        <v/>
      </c>
      <c r="J1345" s="4" t="inlineStr">
        <is>
          <t>https://www.google.com/maps/search/?api=1&amp;query=purswitch&amp;query_place_id=ChIJR9bJ1qMZqwcRmad51wY1iL8</t>
        </is>
      </c>
      <c r="K1345" s="4" t="inlineStr">
        <is>
          <t>R. da Piedade, 59 - Santo Amaro, Recife - PE, 50040-050, Brasil</t>
        </is>
      </c>
      <c r="L1345" s="4" t="inlineStr">
        <is>
          <t>Recife</t>
        </is>
      </c>
      <c r="M1345" s="5" t="n">
        <v>4</v>
      </c>
    </row>
    <row r="1346">
      <c r="A1346" s="3">
        <f>RAND()</f>
        <v/>
      </c>
      <c r="B1346" s="4" t="inlineStr">
        <is>
          <t>ChIJtUtmZB3l3JQRYb3sZEFlMXI</t>
        </is>
      </c>
      <c r="C1346" s="4" t="inlineStr">
        <is>
          <t>AC Games</t>
        </is>
      </c>
      <c r="D1346" s="4" t="inlineStr">
        <is>
          <t>Curitiba</t>
        </is>
      </c>
      <c r="E1346" s="4" t="inlineStr">
        <is>
          <t>PR</t>
        </is>
      </c>
      <c r="F1346" s="4" t="inlineStr">
        <is>
          <t>Metrópoles</t>
        </is>
      </c>
      <c r="G1346" s="4" t="inlineStr">
        <is>
          <t>Metrópole</t>
        </is>
      </c>
      <c r="H1346" s="5">
        <f>IF(G1346="fora do recorte","",SUMPRODUCT(($G$3:$G$1723=G1346)*($A$3:$A$1723&lt;=A1346)))</f>
        <v/>
      </c>
      <c r="I1346" s="4">
        <f>IF(H1346="","",G1346&amp;"|"&amp;H1346)</f>
        <v/>
      </c>
      <c r="J1346" s="4" t="inlineStr">
        <is>
          <t>https://www.google.com/maps/search/?api=1&amp;query=AC%20Games&amp;query_place_id=ChIJtUtmZB3l3JQRYb3sZEFlMXI</t>
        </is>
      </c>
      <c r="K1346" s="4" t="inlineStr">
        <is>
          <t>Av. Nossa Sra. de Lourdes, 63 - Lj 3C - Jardim das Américas, Curitiba - PR, 81530-020, Brasil</t>
        </is>
      </c>
      <c r="L1346" s="4" t="inlineStr">
        <is>
          <t>Curitiba</t>
        </is>
      </c>
      <c r="M1346" s="5" t="n">
        <v>1</v>
      </c>
    </row>
    <row r="1347">
      <c r="A1347" s="3">
        <f>RAND()</f>
        <v/>
      </c>
      <c r="B1347" s="4" t="inlineStr">
        <is>
          <t>ChIJV5xi80_l3JQRyRgvZvdRi8I</t>
        </is>
      </c>
      <c r="C1347" s="4" t="inlineStr">
        <is>
          <t>Alba - Café e jogos de tabuleiro</t>
        </is>
      </c>
      <c r="D1347" s="4" t="inlineStr">
        <is>
          <t>Curitiba</t>
        </is>
      </c>
      <c r="E1347" s="4" t="inlineStr">
        <is>
          <t>PR</t>
        </is>
      </c>
      <c r="F1347" s="4" t="inlineStr">
        <is>
          <t>Metrópoles</t>
        </is>
      </c>
      <c r="G1347" s="4" t="inlineStr">
        <is>
          <t>Metrópole</t>
        </is>
      </c>
      <c r="H1347" s="5">
        <f>IF(G1347="fora do recorte","",SUMPRODUCT(($G$3:$G$1723=G1347)*($A$3:$A$1723&lt;=A1347)))</f>
        <v/>
      </c>
      <c r="I1347" s="4">
        <f>IF(H1347="","",G1347&amp;"|"&amp;H1347)</f>
        <v/>
      </c>
      <c r="J1347" s="4" t="inlineStr">
        <is>
          <t>https://www.google.com/maps/search/?api=1&amp;query=Alba%20-%20Caf%C3%A9%20e%20jogos%20de%20tabuleiro&amp;query_place_id=ChIJV5xi80_l3JQRyRgvZvdRi8I</t>
        </is>
      </c>
      <c r="K1347" s="4" t="inlineStr">
        <is>
          <t>R. Nilo Peçanha, 16 - São Francisco, Curitiba - PR, 80520-000, Brasil</t>
        </is>
      </c>
      <c r="L1347" s="4" t="inlineStr">
        <is>
          <t>Cuiabá; Curitiba</t>
        </is>
      </c>
      <c r="M1347" s="5" t="n">
        <v>8</v>
      </c>
    </row>
    <row r="1348">
      <c r="A1348" s="3">
        <f>RAND()</f>
        <v/>
      </c>
      <c r="B1348" s="4" t="inlineStr">
        <is>
          <t>ChIJ3ekLtDjl3JQRHwtNgmINgLo</t>
        </is>
      </c>
      <c r="C1348" s="4" t="inlineStr">
        <is>
          <t>Alçapão Jogos</t>
        </is>
      </c>
      <c r="D1348" s="4" t="inlineStr">
        <is>
          <t>Curitiba</t>
        </is>
      </c>
      <c r="E1348" s="4" t="inlineStr">
        <is>
          <t>PR</t>
        </is>
      </c>
      <c r="F1348" s="4" t="inlineStr">
        <is>
          <t>Metrópoles</t>
        </is>
      </c>
      <c r="G1348" s="4" t="inlineStr">
        <is>
          <t>Metrópole</t>
        </is>
      </c>
      <c r="H1348" s="5">
        <f>IF(G1348="fora do recorte","",SUMPRODUCT(($G$3:$G$1723=G1348)*($A$3:$A$1723&lt;=A1348)))</f>
        <v/>
      </c>
      <c r="I1348" s="4">
        <f>IF(H1348="","",G1348&amp;"|"&amp;H1348)</f>
        <v/>
      </c>
      <c r="J1348" s="4" t="inlineStr">
        <is>
          <t>https://www.google.com/maps/search/?api=1&amp;query=Al%C3%A7ap%C3%A3o%20Jogos&amp;query_place_id=ChIJ3ekLtDjl3JQRHwtNgmINgLo</t>
        </is>
      </c>
      <c r="K1348" s="4" t="inlineStr">
        <is>
          <t>R. Mal. Hermes, 104 - Centro Cívico, Curitiba - PR, 80530-230, Brasil</t>
        </is>
      </c>
      <c r="L1348" s="4" t="inlineStr">
        <is>
          <t>Curitiba</t>
        </is>
      </c>
      <c r="M1348" s="5" t="n">
        <v>11</v>
      </c>
    </row>
    <row r="1349">
      <c r="A1349" s="3">
        <f>RAND()</f>
        <v/>
      </c>
      <c r="B1349" s="4" t="inlineStr">
        <is>
          <t>ChIJ0Q_qUPzl3JQRGum2ROsTfJk</t>
        </is>
      </c>
      <c r="C1349" s="4" t="inlineStr">
        <is>
          <t>Arena Cajuru</t>
        </is>
      </c>
      <c r="D1349" s="4" t="inlineStr">
        <is>
          <t>Curitiba</t>
        </is>
      </c>
      <c r="E1349" s="4" t="inlineStr">
        <is>
          <t>PR</t>
        </is>
      </c>
      <c r="F1349" s="4" t="inlineStr">
        <is>
          <t>Metrópoles</t>
        </is>
      </c>
      <c r="G1349" s="4" t="inlineStr">
        <is>
          <t>Metrópole</t>
        </is>
      </c>
      <c r="H1349" s="5">
        <f>IF(G1349="fora do recorte","",SUMPRODUCT(($G$3:$G$1723=G1349)*($A$3:$A$1723&lt;=A1349)))</f>
        <v/>
      </c>
      <c r="I1349" s="4">
        <f>IF(H1349="","",G1349&amp;"|"&amp;H1349)</f>
        <v/>
      </c>
      <c r="J1349" s="4" t="inlineStr">
        <is>
          <t>https://www.google.com/maps/search/?api=1&amp;query=Arena%20Cajuru&amp;query_place_id=ChIJ0Q_qUPzl3JQRGum2ROsTfJk</t>
        </is>
      </c>
      <c r="K1349" s="4" t="inlineStr">
        <is>
          <t>R. Filipinas, 130 - Cajuru, Curitiba - PR, 82960-180, Brasil</t>
        </is>
      </c>
      <c r="L1349" s="4" t="inlineStr">
        <is>
          <t>Curitiba</t>
        </is>
      </c>
      <c r="M1349" s="5" t="n">
        <v>2</v>
      </c>
    </row>
    <row r="1350">
      <c r="A1350" s="3">
        <f>RAND()</f>
        <v/>
      </c>
      <c r="B1350" s="4" t="inlineStr">
        <is>
          <t>ChIJj10jK6Pl3JQR1fK0UarOy8E</t>
        </is>
      </c>
      <c r="C1350" s="4" t="inlineStr">
        <is>
          <t>Ateliê de Entusiasmo</t>
        </is>
      </c>
      <c r="D1350" s="4" t="inlineStr">
        <is>
          <t>Curitiba</t>
        </is>
      </c>
      <c r="E1350" s="4" t="inlineStr">
        <is>
          <t>PR</t>
        </is>
      </c>
      <c r="F1350" s="4" t="inlineStr">
        <is>
          <t>Metrópoles</t>
        </is>
      </c>
      <c r="G1350" s="4" t="inlineStr">
        <is>
          <t>Metrópole</t>
        </is>
      </c>
      <c r="H1350" s="5">
        <f>IF(G1350="fora do recorte","",SUMPRODUCT(($G$3:$G$1723=G1350)*($A$3:$A$1723&lt;=A1350)))</f>
        <v/>
      </c>
      <c r="I1350" s="4">
        <f>IF(H1350="","",G1350&amp;"|"&amp;H1350)</f>
        <v/>
      </c>
      <c r="J1350" s="4" t="inlineStr">
        <is>
          <t>https://www.google.com/maps/search/?api=1&amp;query=Ateli%C3%AA%20de%20Entusiasmo&amp;query_place_id=ChIJj10jK6Pl3JQR1fK0UarOy8E</t>
        </is>
      </c>
      <c r="K1350" s="4" t="inlineStr">
        <is>
          <t>Rua da Sesmaria, 190 - Guabirotuba, Curitiba - PR, 81520-590, Brasil</t>
        </is>
      </c>
      <c r="L1350" s="4" t="inlineStr">
        <is>
          <t>Curitiba</t>
        </is>
      </c>
      <c r="M1350" s="5" t="n">
        <v>1</v>
      </c>
    </row>
    <row r="1351">
      <c r="A1351" s="3">
        <f>RAND()</f>
        <v/>
      </c>
      <c r="B1351" s="4" t="inlineStr">
        <is>
          <t>ChIJDb1WBDHl3JQRE3il9usJErc</t>
        </is>
      </c>
      <c r="C1351" s="4" t="inlineStr">
        <is>
          <t>Bar Nacional</t>
        </is>
      </c>
      <c r="D1351" s="4" t="inlineStr">
        <is>
          <t>Curitiba</t>
        </is>
      </c>
      <c r="E1351" s="4" t="inlineStr">
        <is>
          <t>PR</t>
        </is>
      </c>
      <c r="F1351" s="4" t="inlineStr">
        <is>
          <t>Metrópoles</t>
        </is>
      </c>
      <c r="G1351" s="4" t="inlineStr">
        <is>
          <t>Metrópole</t>
        </is>
      </c>
      <c r="H1351" s="5">
        <f>IF(G1351="fora do recorte","",SUMPRODUCT(($G$3:$G$1723=G1351)*($A$3:$A$1723&lt;=A1351)))</f>
        <v/>
      </c>
      <c r="I1351" s="4">
        <f>IF(H1351="","",G1351&amp;"|"&amp;H1351)</f>
        <v/>
      </c>
      <c r="J1351" s="4" t="inlineStr">
        <is>
          <t>https://www.google.com/maps/search/?api=1&amp;query=Bar%20Nacional&amp;query_place_id=ChIJDb1WBDHl3JQRE3il9usJErc</t>
        </is>
      </c>
      <c r="K1351" s="4" t="inlineStr">
        <is>
          <t>R. Mateus Leme, 368 - São Francisco, Curitiba - PR, 80510-190, Brasil</t>
        </is>
      </c>
      <c r="L1351" s="4" t="inlineStr">
        <is>
          <t>Curitiba</t>
        </is>
      </c>
      <c r="M1351" s="5" t="n">
        <v>1</v>
      </c>
    </row>
    <row r="1352">
      <c r="A1352" s="3">
        <f>RAND()</f>
        <v/>
      </c>
      <c r="B1352" s="4" t="inlineStr">
        <is>
          <t>ChIJ_7to5Jzl3JQRZdb28N6CLVs</t>
        </is>
      </c>
      <c r="C1352" s="4" t="inlineStr">
        <is>
          <t>Bergamotta Bar</t>
        </is>
      </c>
      <c r="D1352" s="4" t="inlineStr">
        <is>
          <t>Curitiba</t>
        </is>
      </c>
      <c r="E1352" s="4" t="inlineStr">
        <is>
          <t>PR</t>
        </is>
      </c>
      <c r="F1352" s="4" t="inlineStr">
        <is>
          <t>Metrópoles</t>
        </is>
      </c>
      <c r="G1352" s="4" t="inlineStr">
        <is>
          <t>Metrópole</t>
        </is>
      </c>
      <c r="H1352" s="5">
        <f>IF(G1352="fora do recorte","",SUMPRODUCT(($G$3:$G$1723=G1352)*($A$3:$A$1723&lt;=A1352)))</f>
        <v/>
      </c>
      <c r="I1352" s="4">
        <f>IF(H1352="","",G1352&amp;"|"&amp;H1352)</f>
        <v/>
      </c>
      <c r="J1352" s="4" t="inlineStr">
        <is>
          <t>https://www.google.com/maps/search/?api=1&amp;query=Bergamotta%20Bar&amp;query_place_id=ChIJ_7to5Jzl3JQRZdb28N6CLVs</t>
        </is>
      </c>
      <c r="K1352" s="4" t="inlineStr">
        <is>
          <t>Av. Vicente Machado, 627 - Centro, Curitiba - PR, 80420-010, Brasil</t>
        </is>
      </c>
      <c r="L1352" s="4" t="inlineStr">
        <is>
          <t>Curitiba</t>
        </is>
      </c>
      <c r="M1352" s="5" t="n">
        <v>1</v>
      </c>
    </row>
    <row r="1353">
      <c r="A1353" s="3">
        <f>RAND()</f>
        <v/>
      </c>
      <c r="B1353" s="4" t="inlineStr">
        <is>
          <t>ChIJY_lqHVLl3JQRvDHacOMDKuc</t>
        </is>
      </c>
      <c r="C1353" s="4" t="inlineStr">
        <is>
          <t>BoardZ Game Pub</t>
        </is>
      </c>
      <c r="D1353" s="4" t="inlineStr">
        <is>
          <t>Curitiba</t>
        </is>
      </c>
      <c r="E1353" s="4" t="inlineStr">
        <is>
          <t>PR</t>
        </is>
      </c>
      <c r="F1353" s="4" t="inlineStr">
        <is>
          <t>Metrópoles</t>
        </is>
      </c>
      <c r="G1353" s="4" t="inlineStr">
        <is>
          <t>Metrópole</t>
        </is>
      </c>
      <c r="H1353" s="5">
        <f>IF(G1353="fora do recorte","",SUMPRODUCT(($G$3:$G$1723=G1353)*($A$3:$A$1723&lt;=A1353)))</f>
        <v/>
      </c>
      <c r="I1353" s="4">
        <f>IF(H1353="","",G1353&amp;"|"&amp;H1353)</f>
        <v/>
      </c>
      <c r="J1353" s="4" t="inlineStr">
        <is>
          <t>https://www.google.com/maps/search/?api=1&amp;query=BoardZ%20Game%20Pub&amp;query_place_id=ChIJY_lqHVLl3JQRvDHacOMDKuc</t>
        </is>
      </c>
      <c r="K1353" s="4" t="inlineStr">
        <is>
          <t>R. Chile, 2077 - Rebouças, Curitiba - PR, 80220-181, Brasil</t>
        </is>
      </c>
      <c r="L1353" s="4" t="inlineStr">
        <is>
          <t>Aracaju; Boa Vista; Campo Grande; Curitiba; João Pessoa; Rio de Janeiro</t>
        </is>
      </c>
      <c r="M1353" s="5" t="n">
        <v>13</v>
      </c>
    </row>
    <row r="1354">
      <c r="A1354" s="3">
        <f>RAND()</f>
        <v/>
      </c>
      <c r="B1354" s="4" t="inlineStr">
        <is>
          <t>ChIJcT2Umb7j3JQR7939BdNxnFE</t>
        </is>
      </c>
      <c r="C1354" s="4" t="inlineStr">
        <is>
          <t>Borba Games | Venda e Aluguel de Jogos de Tabuleiros</t>
        </is>
      </c>
      <c r="D1354" s="4" t="inlineStr">
        <is>
          <t>Curitiba</t>
        </is>
      </c>
      <c r="E1354" s="4" t="inlineStr">
        <is>
          <t>PR</t>
        </is>
      </c>
      <c r="F1354" s="4" t="inlineStr">
        <is>
          <t>Metrópoles</t>
        </is>
      </c>
      <c r="G1354" s="4" t="inlineStr">
        <is>
          <t>Metrópole</t>
        </is>
      </c>
      <c r="H1354" s="5">
        <f>IF(G1354="fora do recorte","",SUMPRODUCT(($G$3:$G$1723=G1354)*($A$3:$A$1723&lt;=A1354)))</f>
        <v/>
      </c>
      <c r="I1354" s="4">
        <f>IF(H1354="","",G1354&amp;"|"&amp;H1354)</f>
        <v/>
      </c>
      <c r="J1354" s="4" t="inlineStr">
        <is>
          <t>https://www.google.com/maps/search/?api=1&amp;query=Borba%20Games%20%7C%20Venda%20e%20Aluguel%20de%20Jogos%20de%20Tabuleiros&amp;query_place_id=ChIJcT2Umb7j3JQR7939BdNxnFE</t>
        </is>
      </c>
      <c r="K1354" s="4" t="inlineStr">
        <is>
          <t>R. Icaraima - Fazendinha, Curitiba - PR, 81320-060, Brasil</t>
        </is>
      </c>
      <c r="L1354" s="4" t="inlineStr">
        <is>
          <t>Curitiba</t>
        </is>
      </c>
      <c r="M1354" s="5" t="n">
        <v>1</v>
      </c>
    </row>
    <row r="1355">
      <c r="A1355" s="3">
        <f>RAND()</f>
        <v/>
      </c>
      <c r="B1355" s="4" t="inlineStr">
        <is>
          <t>ChIJLVw9dV3j3JQRrIogSaHoM-c</t>
        </is>
      </c>
      <c r="C1355" s="4" t="inlineStr">
        <is>
          <t>Brasil Games</t>
        </is>
      </c>
      <c r="D1355" s="4" t="inlineStr">
        <is>
          <t>Curitiba</t>
        </is>
      </c>
      <c r="E1355" s="4" t="inlineStr">
        <is>
          <t>PR</t>
        </is>
      </c>
      <c r="F1355" s="4" t="inlineStr">
        <is>
          <t>Metrópoles</t>
        </is>
      </c>
      <c r="G1355" s="4" t="inlineStr">
        <is>
          <t>Metrópole</t>
        </is>
      </c>
      <c r="H1355" s="5">
        <f>IF(G1355="fora do recorte","",SUMPRODUCT(($G$3:$G$1723=G1355)*($A$3:$A$1723&lt;=A1355)))</f>
        <v/>
      </c>
      <c r="I1355" s="4">
        <f>IF(H1355="","",G1355&amp;"|"&amp;H1355)</f>
        <v/>
      </c>
      <c r="J1355" s="4" t="inlineStr">
        <is>
          <t>https://www.google.com/maps/search/?api=1&amp;query=Brasil%20Games&amp;query_place_id=ChIJLVw9dV3j3JQRrIogSaHoM-c</t>
        </is>
      </c>
      <c r="K1355" s="4" t="inlineStr">
        <is>
          <t>Av. Pres. Kennedy, 4121 - L3 - Portão, Curitiba - PR, 80610-905, Brasil</t>
        </is>
      </c>
      <c r="L1355" s="4" t="inlineStr">
        <is>
          <t>Curitiba</t>
        </is>
      </c>
      <c r="M1355" s="5" t="n">
        <v>1</v>
      </c>
    </row>
    <row r="1356">
      <c r="A1356" s="3">
        <f>RAND()</f>
        <v/>
      </c>
      <c r="B1356" s="4" t="inlineStr">
        <is>
          <t>ChIJn_RCCGr73JQROuAqzsXWvBg</t>
        </is>
      </c>
      <c r="C1356" s="4" t="inlineStr">
        <is>
          <t>Calm Mind Store</t>
        </is>
      </c>
      <c r="D1356" s="4" t="inlineStr">
        <is>
          <t>Curitiba</t>
        </is>
      </c>
      <c r="E1356" s="4" t="inlineStr">
        <is>
          <t>PR</t>
        </is>
      </c>
      <c r="F1356" s="4" t="inlineStr">
        <is>
          <t>Metrópoles</t>
        </is>
      </c>
      <c r="G1356" s="4" t="inlineStr">
        <is>
          <t>Metrópole</t>
        </is>
      </c>
      <c r="H1356" s="5">
        <f>IF(G1356="fora do recorte","",SUMPRODUCT(($G$3:$G$1723=G1356)*($A$3:$A$1723&lt;=A1356)))</f>
        <v/>
      </c>
      <c r="I1356" s="4">
        <f>IF(H1356="","",G1356&amp;"|"&amp;H1356)</f>
        <v/>
      </c>
      <c r="J1356" s="4" t="inlineStr">
        <is>
          <t>https://www.google.com/maps/search/?api=1&amp;query=Calm%20Mind%20Store&amp;query_place_id=ChIJn_RCCGr73JQROuAqzsXWvBg</t>
        </is>
      </c>
      <c r="K1356" s="4" t="inlineStr">
        <is>
          <t>Av. Sete de Setembro, 3146 - Lj 09 - Rebouças, Curitiba - PR, 80230-010, Brasil</t>
        </is>
      </c>
      <c r="L1356" s="4" t="inlineStr">
        <is>
          <t>Curitiba</t>
        </is>
      </c>
      <c r="M1356" s="5" t="n">
        <v>5</v>
      </c>
    </row>
    <row r="1357">
      <c r="A1357" s="3">
        <f>RAND()</f>
        <v/>
      </c>
      <c r="B1357" s="4" t="inlineStr">
        <is>
          <t>ChIJfcwjgdTj3JQRPpna5z6uVMo</t>
        </is>
      </c>
      <c r="C1357" s="4" t="inlineStr">
        <is>
          <t>Capim Leão Bar e Brasa</t>
        </is>
      </c>
      <c r="D1357" s="4" t="inlineStr">
        <is>
          <t>Curitiba</t>
        </is>
      </c>
      <c r="E1357" s="4" t="inlineStr">
        <is>
          <t>PR</t>
        </is>
      </c>
      <c r="F1357" s="4" t="inlineStr">
        <is>
          <t>Metrópoles</t>
        </is>
      </c>
      <c r="G1357" s="4" t="inlineStr">
        <is>
          <t>Metrópole</t>
        </is>
      </c>
      <c r="H1357" s="5">
        <f>IF(G1357="fora do recorte","",SUMPRODUCT(($G$3:$G$1723=G1357)*($A$3:$A$1723&lt;=A1357)))</f>
        <v/>
      </c>
      <c r="I1357" s="4">
        <f>IF(H1357="","",G1357&amp;"|"&amp;H1357)</f>
        <v/>
      </c>
      <c r="J1357" s="4" t="inlineStr">
        <is>
          <t>https://www.google.com/maps/search/?api=1&amp;query=Capim%20Le%C3%A3o%20Bar%20e%20Brasa&amp;query_place_id=ChIJfcwjgdTj3JQRPpna5z6uVMo</t>
        </is>
      </c>
      <c r="K1357" s="4" t="inlineStr">
        <is>
          <t>Av. Rep. Argentina, 1771 - Água Verde, Curitiba - PR, 80620-010, Brasil</t>
        </is>
      </c>
      <c r="L1357" s="4" t="inlineStr">
        <is>
          <t>Curitiba</t>
        </is>
      </c>
      <c r="M1357" s="5" t="n">
        <v>1</v>
      </c>
    </row>
    <row r="1358">
      <c r="A1358" s="3">
        <f>RAND()</f>
        <v/>
      </c>
      <c r="B1358" s="4" t="inlineStr">
        <is>
          <t>ChIJlaSMln_j3JQRaMmW9Ztt91c</t>
        </is>
      </c>
      <c r="C1358" s="4" t="inlineStr">
        <is>
          <t>Casa Meeple - Aluguel de Jogos de Tabuleiro</t>
        </is>
      </c>
      <c r="D1358" s="4" t="inlineStr">
        <is>
          <t>Curitiba</t>
        </is>
      </c>
      <c r="E1358" s="4" t="inlineStr">
        <is>
          <t>PR</t>
        </is>
      </c>
      <c r="F1358" s="4" t="inlineStr">
        <is>
          <t>Metrópoles</t>
        </is>
      </c>
      <c r="G1358" s="4" t="inlineStr">
        <is>
          <t>Metrópole</t>
        </is>
      </c>
      <c r="H1358" s="5">
        <f>IF(G1358="fora do recorte","",SUMPRODUCT(($G$3:$G$1723=G1358)*($A$3:$A$1723&lt;=A1358)))</f>
        <v/>
      </c>
      <c r="I1358" s="4">
        <f>IF(H1358="","",G1358&amp;"|"&amp;H1358)</f>
        <v/>
      </c>
      <c r="J1358" s="4" t="inlineStr">
        <is>
          <t>https://www.google.com/maps/search/?api=1&amp;query=Casa%20Meeple%20-%20Aluguel%20de%20Jogos%20de%20Tabuleiro&amp;query_place_id=ChIJlaSMln_j3JQRaMmW9Ztt91c</t>
        </is>
      </c>
      <c r="K1358" s="4" t="inlineStr">
        <is>
          <t>R. Herculano Carlos Franco de Souza, 459 - Água Verde, Curitiba - PR, 80240-290, Brasil</t>
        </is>
      </c>
      <c r="L1358" s="4" t="inlineStr">
        <is>
          <t>Curitiba</t>
        </is>
      </c>
      <c r="M1358" s="5" t="n">
        <v>3</v>
      </c>
    </row>
    <row r="1359">
      <c r="A1359" s="3">
        <f>RAND()</f>
        <v/>
      </c>
      <c r="B1359" s="4" t="inlineStr">
        <is>
          <t>ChIJM90xWKLn3JQRB2OE4FWRd8Q</t>
        </is>
      </c>
      <c r="C1359" s="4" t="inlineStr">
        <is>
          <t>Casa Poppis Bacacheri</t>
        </is>
      </c>
      <c r="D1359" s="4" t="inlineStr">
        <is>
          <t>Curitiba</t>
        </is>
      </c>
      <c r="E1359" s="4" t="inlineStr">
        <is>
          <t>PR</t>
        </is>
      </c>
      <c r="F1359" s="4" t="inlineStr">
        <is>
          <t>Metrópoles</t>
        </is>
      </c>
      <c r="G1359" s="4" t="inlineStr">
        <is>
          <t>Metrópole</t>
        </is>
      </c>
      <c r="H1359" s="5">
        <f>IF(G1359="fora do recorte","",SUMPRODUCT(($G$3:$G$1723=G1359)*($A$3:$A$1723&lt;=A1359)))</f>
        <v/>
      </c>
      <c r="I1359" s="4">
        <f>IF(H1359="","",G1359&amp;"|"&amp;H1359)</f>
        <v/>
      </c>
      <c r="J1359" s="4" t="inlineStr">
        <is>
          <t>https://www.google.com/maps/search/?api=1&amp;query=Casa%20Poppis%20Bacacheri&amp;query_place_id=ChIJM90xWKLn3JQRB2OE4FWRd8Q</t>
        </is>
      </c>
      <c r="K1359" s="4" t="inlineStr">
        <is>
          <t>R. Costa Rica, 1299 - Bacacheri, Curitiba - PR, 82515-270, Brasil</t>
        </is>
      </c>
      <c r="L1359" s="4" t="inlineStr">
        <is>
          <t>Curitiba</t>
        </is>
      </c>
      <c r="M1359" s="5" t="n">
        <v>1</v>
      </c>
    </row>
    <row r="1360">
      <c r="A1360" s="3">
        <f>RAND()</f>
        <v/>
      </c>
      <c r="B1360" s="4" t="inlineStr">
        <is>
          <t>ChIJl5wzqEDl3JQRqPtA-5kBbfA</t>
        </is>
      </c>
      <c r="C1360" s="4" t="inlineStr">
        <is>
          <t>Casa Poppis Sede Tarumã</t>
        </is>
      </c>
      <c r="D1360" s="4" t="inlineStr">
        <is>
          <t>Curitiba</t>
        </is>
      </c>
      <c r="E1360" s="4" t="inlineStr">
        <is>
          <t>PR</t>
        </is>
      </c>
      <c r="F1360" s="4" t="inlineStr">
        <is>
          <t>Metrópoles</t>
        </is>
      </c>
      <c r="G1360" s="4" t="inlineStr">
        <is>
          <t>Metrópole</t>
        </is>
      </c>
      <c r="H1360" s="5">
        <f>IF(G1360="fora do recorte","",SUMPRODUCT(($G$3:$G$1723=G1360)*($A$3:$A$1723&lt;=A1360)))</f>
        <v/>
      </c>
      <c r="I1360" s="4">
        <f>IF(H1360="","",G1360&amp;"|"&amp;H1360)</f>
        <v/>
      </c>
      <c r="J1360" s="4" t="inlineStr">
        <is>
          <t>https://www.google.com/maps/search/?api=1&amp;query=Casa%20Poppis%20Sede%20Tarum%C3%A3&amp;query_place_id=ChIJl5wzqEDl3JQRqPtA-5kBbfA</t>
        </is>
      </c>
      <c r="K1360" s="4" t="inlineStr">
        <is>
          <t>Dentro do Clube AABB - Av. Victor Ferreira do Amaral, 771 - Tarumã, Curitiba - PR, 80530-230, Brasil</t>
        </is>
      </c>
      <c r="L1360" s="4" t="inlineStr">
        <is>
          <t>Curitiba</t>
        </is>
      </c>
      <c r="M1360" s="5" t="n">
        <v>1</v>
      </c>
    </row>
    <row r="1361">
      <c r="A1361" s="3">
        <f>RAND()</f>
        <v/>
      </c>
      <c r="B1361" s="4" t="inlineStr">
        <is>
          <t>ChIJZaTDQ_7n3JQRkEOI_veMDEM</t>
        </is>
      </c>
      <c r="C1361" s="4" t="inlineStr">
        <is>
          <t>Cidadela Card Games</t>
        </is>
      </c>
      <c r="D1361" s="4" t="inlineStr">
        <is>
          <t>Curitiba</t>
        </is>
      </c>
      <c r="E1361" s="4" t="inlineStr">
        <is>
          <t>PR</t>
        </is>
      </c>
      <c r="F1361" s="4" t="inlineStr">
        <is>
          <t>Metrópoles</t>
        </is>
      </c>
      <c r="G1361" s="4" t="inlineStr">
        <is>
          <t>Metrópole</t>
        </is>
      </c>
      <c r="H1361" s="5">
        <f>IF(G1361="fora do recorte","",SUMPRODUCT(($G$3:$G$1723=G1361)*($A$3:$A$1723&lt;=A1361)))</f>
        <v/>
      </c>
      <c r="I1361" s="4">
        <f>IF(H1361="","",G1361&amp;"|"&amp;H1361)</f>
        <v/>
      </c>
      <c r="J1361" s="4" t="inlineStr">
        <is>
          <t>https://www.google.com/maps/search/?api=1&amp;query=Cidadela%20Card%20Games&amp;query_place_id=ChIJZaTDQ_7n3JQRkEOI_veMDEM</t>
        </is>
      </c>
      <c r="K1361" s="4" t="inlineStr">
        <is>
          <t>Av. Anita Garibaldi, 2480 - Lj 06 - Boa Vista, Curitiba - PR, 82200-550, Brasil</t>
        </is>
      </c>
      <c r="L1361" s="4" t="inlineStr">
        <is>
          <t>Curitiba</t>
        </is>
      </c>
      <c r="M1361" s="5" t="n">
        <v>3</v>
      </c>
    </row>
    <row r="1362">
      <c r="A1362" s="3">
        <f>RAND()</f>
        <v/>
      </c>
      <c r="B1362" s="4" t="inlineStr">
        <is>
          <t>ChIJdbHA1mzk3JQR6og5NL_0zss</t>
        </is>
      </c>
      <c r="C1362" s="4" t="inlineStr">
        <is>
          <t>Clube de Xadrez de Curitiba</t>
        </is>
      </c>
      <c r="D1362" s="4" t="inlineStr">
        <is>
          <t>Curitiba</t>
        </is>
      </c>
      <c r="E1362" s="4" t="inlineStr">
        <is>
          <t>PR</t>
        </is>
      </c>
      <c r="F1362" s="4" t="inlineStr">
        <is>
          <t>Metrópoles</t>
        </is>
      </c>
      <c r="G1362" s="4" t="inlineStr">
        <is>
          <t>Metrópole</t>
        </is>
      </c>
      <c r="H1362" s="5">
        <f>IF(G1362="fora do recorte","",SUMPRODUCT(($G$3:$G$1723=G1362)*($A$3:$A$1723&lt;=A1362)))</f>
        <v/>
      </c>
      <c r="I1362" s="4">
        <f>IF(H1362="","",G1362&amp;"|"&amp;H1362)</f>
        <v/>
      </c>
      <c r="J1362" s="4" t="inlineStr">
        <is>
          <t>https://www.google.com/maps/search/?api=1&amp;query=Clube%20de%20Xadrez%20de%20Curitiba&amp;query_place_id=ChIJdbHA1mzk3JQR6og5NL_0zss</t>
        </is>
      </c>
      <c r="K1362" s="4" t="inlineStr">
        <is>
          <t>R. XV de Novembro, 266 - 9º andar - Centro, Curitiba - PR, 80020-919, Brasil</t>
        </is>
      </c>
      <c r="L1362" s="4" t="inlineStr">
        <is>
          <t>Curitiba</t>
        </is>
      </c>
      <c r="M1362" s="5" t="n">
        <v>1</v>
      </c>
    </row>
    <row r="1363">
      <c r="A1363" s="3">
        <f>RAND()</f>
        <v/>
      </c>
      <c r="B1363" s="4" t="inlineStr">
        <is>
          <t>ChIJ9dvEFhDl3JQRG18RpIu6HwM</t>
        </is>
      </c>
      <c r="C1363" s="4" t="inlineStr">
        <is>
          <t>Color Geek TCG ( Loja e escritório)</t>
        </is>
      </c>
      <c r="D1363" s="4" t="inlineStr">
        <is>
          <t>Curitiba</t>
        </is>
      </c>
      <c r="E1363" s="4" t="inlineStr">
        <is>
          <t>PR</t>
        </is>
      </c>
      <c r="F1363" s="4" t="inlineStr">
        <is>
          <t>Metrópoles</t>
        </is>
      </c>
      <c r="G1363" s="4" t="inlineStr">
        <is>
          <t>Metrópole</t>
        </is>
      </c>
      <c r="H1363" s="5">
        <f>IF(G1363="fora do recorte","",SUMPRODUCT(($G$3:$G$1723=G1363)*($A$3:$A$1723&lt;=A1363)))</f>
        <v/>
      </c>
      <c r="I1363" s="4">
        <f>IF(H1363="","",G1363&amp;"|"&amp;H1363)</f>
        <v/>
      </c>
      <c r="J1363" s="4" t="inlineStr">
        <is>
          <t>https://www.google.com/maps/search/?api=1&amp;query=Color%20Geek%20TCG%20%28%20Loja%20e%20escrit%C3%B3rio%29&amp;query_place_id=ChIJ9dvEFhDl3JQRG18RpIu6HwM</t>
        </is>
      </c>
      <c r="K1363" s="4" t="inlineStr">
        <is>
          <t>R. Riachuelo, 20 - Centro, Curitiba - PR, 80020-250, Brasil</t>
        </is>
      </c>
      <c r="L1363" s="4" t="inlineStr">
        <is>
          <t>Curitiba</t>
        </is>
      </c>
      <c r="M1363" s="5" t="n">
        <v>1</v>
      </c>
    </row>
    <row r="1364">
      <c r="A1364" s="3">
        <f>RAND()</f>
        <v/>
      </c>
      <c r="B1364" s="4" t="inlineStr">
        <is>
          <t>ChIJ7ycoaQDj3JQRS-3QAygTO9k</t>
        </is>
      </c>
      <c r="C1364" s="4" t="inlineStr">
        <is>
          <t>Céu Bar</t>
        </is>
      </c>
      <c r="D1364" s="4" t="inlineStr">
        <is>
          <t>Curitiba</t>
        </is>
      </c>
      <c r="E1364" s="4" t="inlineStr">
        <is>
          <t>PR</t>
        </is>
      </c>
      <c r="F1364" s="4" t="inlineStr">
        <is>
          <t>Metrópoles</t>
        </is>
      </c>
      <c r="G1364" s="4" t="inlineStr">
        <is>
          <t>Metrópole</t>
        </is>
      </c>
      <c r="H1364" s="5">
        <f>IF(G1364="fora do recorte","",SUMPRODUCT(($G$3:$G$1723=G1364)*($A$3:$A$1723&lt;=A1364)))</f>
        <v/>
      </c>
      <c r="I1364" s="4">
        <f>IF(H1364="","",G1364&amp;"|"&amp;H1364)</f>
        <v/>
      </c>
      <c r="J1364" s="4" t="inlineStr">
        <is>
          <t>https://www.google.com/maps/search/?api=1&amp;query=C%C3%A9u%20Bar&amp;query_place_id=ChIJ7ycoaQDj3JQRS-3QAygTO9k</t>
        </is>
      </c>
      <c r="K1364" s="4" t="inlineStr">
        <is>
          <t>R. Des. Costa Carvalho, 471 - Batel, Curitiba - PR, 80440-210, Brasil</t>
        </is>
      </c>
      <c r="L1364" s="4" t="inlineStr">
        <is>
          <t>Curitiba</t>
        </is>
      </c>
      <c r="M1364" s="5" t="n">
        <v>1</v>
      </c>
    </row>
    <row r="1365">
      <c r="A1365" s="3">
        <f>RAND()</f>
        <v/>
      </c>
      <c r="B1365" s="4" t="inlineStr">
        <is>
          <t>ChIJR86F0NDl3JQR7VY64mnQmro</t>
        </is>
      </c>
      <c r="C1365" s="4" t="inlineStr">
        <is>
          <t>Dexter Boardgames e TCG - Loja Virtual</t>
        </is>
      </c>
      <c r="D1365" s="4" t="inlineStr">
        <is>
          <t>Curitiba</t>
        </is>
      </c>
      <c r="E1365" s="4" t="inlineStr">
        <is>
          <t>PR</t>
        </is>
      </c>
      <c r="F1365" s="4" t="inlineStr">
        <is>
          <t>Metrópoles</t>
        </is>
      </c>
      <c r="G1365" s="4" t="inlineStr">
        <is>
          <t>Metrópole</t>
        </is>
      </c>
      <c r="H1365" s="5">
        <f>IF(G1365="fora do recorte","",SUMPRODUCT(($G$3:$G$1723=G1365)*($A$3:$A$1723&lt;=A1365)))</f>
        <v/>
      </c>
      <c r="I1365" s="4">
        <f>IF(H1365="","",G1365&amp;"|"&amp;H1365)</f>
        <v/>
      </c>
      <c r="J1365" s="4" t="inlineStr">
        <is>
          <t>https://www.google.com/maps/search/?api=1&amp;query=Dexter%20Boardgames%20e%20TCG%20-%20Loja%20Virtual&amp;query_place_id=ChIJR86F0NDl3JQR7VY64mnQmro</t>
        </is>
      </c>
      <c r="K1365" s="4" t="inlineStr">
        <is>
          <t>Av. Sete de Setembro, 3293 - Sala 107 - Centro, Curitiba - PR, 80230-085, Brasil</t>
        </is>
      </c>
      <c r="L1365" s="4" t="inlineStr">
        <is>
          <t>Curitiba</t>
        </is>
      </c>
      <c r="M1365" s="5" t="n">
        <v>7</v>
      </c>
    </row>
    <row r="1366">
      <c r="A1366" s="3">
        <f>RAND()</f>
        <v/>
      </c>
      <c r="B1366" s="4" t="inlineStr">
        <is>
          <t>ChIJ3z364LHl3JQR-btxLnKX1NI</t>
        </is>
      </c>
      <c r="C1366" s="4" t="inlineStr">
        <is>
          <t>Divert Park</t>
        </is>
      </c>
      <c r="D1366" s="4" t="inlineStr">
        <is>
          <t>Curitiba</t>
        </is>
      </c>
      <c r="E1366" s="4" t="inlineStr">
        <is>
          <t>PR</t>
        </is>
      </c>
      <c r="F1366" s="4" t="inlineStr">
        <is>
          <t>Metrópoles</t>
        </is>
      </c>
      <c r="G1366" s="4" t="inlineStr">
        <is>
          <t>Metrópole</t>
        </is>
      </c>
      <c r="H1366" s="5">
        <f>IF(G1366="fora do recorte","",SUMPRODUCT(($G$3:$G$1723=G1366)*($A$3:$A$1723&lt;=A1366)))</f>
        <v/>
      </c>
      <c r="I1366" s="4">
        <f>IF(H1366="","",G1366&amp;"|"&amp;H1366)</f>
        <v/>
      </c>
      <c r="J1366" s="4" t="inlineStr">
        <is>
          <t>https://www.google.com/maps/search/?api=1&amp;query=Divert%20Park&amp;query_place_id=ChIJ3z364LHl3JQR-btxLnKX1NI</t>
        </is>
      </c>
      <c r="K1366" s="4" t="inlineStr">
        <is>
          <t>R. Brig. Franco, 2300 - Loja 406 - Centro, Curitiba - PR, 80250-030, Brasil</t>
        </is>
      </c>
      <c r="L1366" s="4" t="inlineStr">
        <is>
          <t>Curitiba</t>
        </is>
      </c>
      <c r="M1366" s="5" t="n">
        <v>1</v>
      </c>
    </row>
    <row r="1367">
      <c r="A1367" s="3">
        <f>RAND()</f>
        <v/>
      </c>
      <c r="B1367" s="4" t="inlineStr">
        <is>
          <t>ChIJVS6u59Hl3JQRZFEKCH3XTIY</t>
        </is>
      </c>
      <c r="C1367" s="4" t="inlineStr">
        <is>
          <t>Divert Park</t>
        </is>
      </c>
      <c r="D1367" s="4" t="inlineStr">
        <is>
          <t>Curitiba</t>
        </is>
      </c>
      <c r="E1367" s="4" t="inlineStr">
        <is>
          <t>PR</t>
        </is>
      </c>
      <c r="F1367" s="4" t="inlineStr">
        <is>
          <t>Metrópoles</t>
        </is>
      </c>
      <c r="G1367" s="4" t="inlineStr">
        <is>
          <t>Metrópole</t>
        </is>
      </c>
      <c r="H1367" s="5">
        <f>IF(G1367="fora do recorte","",SUMPRODUCT(($G$3:$G$1723=G1367)*($A$3:$A$1723&lt;=A1367)))</f>
        <v/>
      </c>
      <c r="I1367" s="4">
        <f>IF(H1367="","",G1367&amp;"|"&amp;H1367)</f>
        <v/>
      </c>
      <c r="J1367" s="4" t="inlineStr">
        <is>
          <t>https://www.google.com/maps/search/?api=1&amp;query=Divert%20Park&amp;query_place_id=ChIJVS6u59Hl3JQRZFEKCH3XTIY</t>
        </is>
      </c>
      <c r="K1367" s="4" t="inlineStr">
        <is>
          <t>Av. Mal. Floriano Peixoto, 4984 - quiosque 007 - Hauer, Curitiba - PR, 81630-000, Brasil</t>
        </is>
      </c>
      <c r="L1367" s="4" t="inlineStr">
        <is>
          <t>Curitiba</t>
        </is>
      </c>
      <c r="M1367" s="5" t="n">
        <v>1</v>
      </c>
    </row>
    <row r="1368">
      <c r="A1368" s="3">
        <f>RAND()</f>
        <v/>
      </c>
      <c r="B1368" s="4" t="inlineStr">
        <is>
          <t>ChIJ_fp5KiXl3JQR7yJOlYxRF18</t>
        </is>
      </c>
      <c r="C1368" s="4" t="inlineStr">
        <is>
          <t>Divert Park</t>
        </is>
      </c>
      <c r="D1368" s="4" t="inlineStr">
        <is>
          <t>Curitiba</t>
        </is>
      </c>
      <c r="E1368" s="4" t="inlineStr">
        <is>
          <t>PR</t>
        </is>
      </c>
      <c r="F1368" s="4" t="inlineStr">
        <is>
          <t>Metrópoles</t>
        </is>
      </c>
      <c r="G1368" s="4" t="inlineStr">
        <is>
          <t>Metrópole</t>
        </is>
      </c>
      <c r="H1368" s="5">
        <f>IF(G1368="fora do recorte","",SUMPRODUCT(($G$3:$G$1723=G1368)*($A$3:$A$1723&lt;=A1368)))</f>
        <v/>
      </c>
      <c r="I1368" s="4">
        <f>IF(H1368="","",G1368&amp;"|"&amp;H1368)</f>
        <v/>
      </c>
      <c r="J1368" s="4" t="inlineStr">
        <is>
          <t>https://www.google.com/maps/search/?api=1&amp;query=Divert%20Park&amp;query_place_id=ChIJ_fp5KiXl3JQR7yJOlYxRF18</t>
        </is>
      </c>
      <c r="K1368" s="4" t="inlineStr">
        <is>
          <t>R. Konrad Adenauer - Tarumã, Curitiba - PR, 82821-020, Brasil</t>
        </is>
      </c>
      <c r="L1368" s="4" t="inlineStr">
        <is>
          <t>Curitiba</t>
        </is>
      </c>
      <c r="M1368" s="5" t="n">
        <v>1</v>
      </c>
    </row>
    <row r="1369">
      <c r="A1369" s="3">
        <f>RAND()</f>
        <v/>
      </c>
      <c r="B1369" s="4" t="inlineStr">
        <is>
          <t>ChIJu4zP6qPj3JQRYARny7xxYeA</t>
        </is>
      </c>
      <c r="C1369" s="4" t="inlineStr">
        <is>
          <t>Divert Park Shopping Barigüi</t>
        </is>
      </c>
      <c r="D1369" s="4" t="inlineStr">
        <is>
          <t>Curitiba</t>
        </is>
      </c>
      <c r="E1369" s="4" t="inlineStr">
        <is>
          <t>PR</t>
        </is>
      </c>
      <c r="F1369" s="4" t="inlineStr">
        <is>
          <t>Metrópoles</t>
        </is>
      </c>
      <c r="G1369" s="4" t="inlineStr">
        <is>
          <t>Metrópole</t>
        </is>
      </c>
      <c r="H1369" s="5">
        <f>IF(G1369="fora do recorte","",SUMPRODUCT(($G$3:$G$1723=G1369)*($A$3:$A$1723&lt;=A1369)))</f>
        <v/>
      </c>
      <c r="I1369" s="4">
        <f>IF(H1369="","",G1369&amp;"|"&amp;H1369)</f>
        <v/>
      </c>
      <c r="J1369" s="4" t="inlineStr">
        <is>
          <t>https://www.google.com/maps/search/?api=1&amp;query=Divert%20Park%20Shopping%20Barig%C3%BCi&amp;query_place_id=ChIJu4zP6qPj3JQRYARny7xxYeA</t>
        </is>
      </c>
      <c r="K1369" s="4" t="inlineStr">
        <is>
          <t>R. Prof. Pedro Viriato Parigot de Souza, 600 - Mossunguê, Curitiba - PR, 81200-100, Brasil</t>
        </is>
      </c>
      <c r="L1369" s="4" t="inlineStr">
        <is>
          <t>Curitiba</t>
        </is>
      </c>
      <c r="M1369" s="5" t="n">
        <v>1</v>
      </c>
    </row>
    <row r="1370">
      <c r="A1370" s="3">
        <f>RAND()</f>
        <v/>
      </c>
      <c r="B1370" s="4" t="inlineStr">
        <is>
          <t>ChIJ5bdxaujl3JQR2pc7NoimJXg</t>
        </is>
      </c>
      <c r="C1370" s="4" t="inlineStr">
        <is>
          <t>Dona Madalena Bar</t>
        </is>
      </c>
      <c r="D1370" s="4" t="inlineStr">
        <is>
          <t>Curitiba</t>
        </is>
      </c>
      <c r="E1370" s="4" t="inlineStr">
        <is>
          <t>PR</t>
        </is>
      </c>
      <c r="F1370" s="4" t="inlineStr">
        <is>
          <t>Metrópoles</t>
        </is>
      </c>
      <c r="G1370" s="4" t="inlineStr">
        <is>
          <t>Metrópole</t>
        </is>
      </c>
      <c r="H1370" s="5">
        <f>IF(G1370="fora do recorte","",SUMPRODUCT(($G$3:$G$1723=G1370)*($A$3:$A$1723&lt;=A1370)))</f>
        <v/>
      </c>
      <c r="I1370" s="4">
        <f>IF(H1370="","",G1370&amp;"|"&amp;H1370)</f>
        <v/>
      </c>
      <c r="J1370" s="4" t="inlineStr">
        <is>
          <t>https://www.google.com/maps/search/?api=1&amp;query=Dona%20Madalena%20Bar&amp;query_place_id=ChIJ5bdxaujl3JQR2pc7NoimJXg</t>
        </is>
      </c>
      <c r="K1370" s="4" t="inlineStr">
        <is>
          <t>Rua: Chile, 2111 - Rebouças, Curitiba - PR, 80220-181, Brasil</t>
        </is>
      </c>
      <c r="L1370" s="4" t="inlineStr">
        <is>
          <t>Curitiba</t>
        </is>
      </c>
      <c r="M1370" s="5" t="n">
        <v>1</v>
      </c>
    </row>
    <row r="1371">
      <c r="A1371" s="3">
        <f>RAND()</f>
        <v/>
      </c>
      <c r="B1371" s="4" t="inlineStr">
        <is>
          <t>ChIJU1Fzv23k3JQRcTMPX2STXfs</t>
        </is>
      </c>
      <c r="C1371" s="4" t="inlineStr">
        <is>
          <t>Donkey Kong Games</t>
        </is>
      </c>
      <c r="D1371" s="4" t="inlineStr">
        <is>
          <t>Curitiba</t>
        </is>
      </c>
      <c r="E1371" s="4" t="inlineStr">
        <is>
          <t>PR</t>
        </is>
      </c>
      <c r="F1371" s="4" t="inlineStr">
        <is>
          <t>Metrópoles</t>
        </is>
      </c>
      <c r="G1371" s="4" t="inlineStr">
        <is>
          <t>Metrópole</t>
        </is>
      </c>
      <c r="H1371" s="5">
        <f>IF(G1371="fora do recorte","",SUMPRODUCT(($G$3:$G$1723=G1371)*($A$3:$A$1723&lt;=A1371)))</f>
        <v/>
      </c>
      <c r="I1371" s="4">
        <f>IF(H1371="","",G1371&amp;"|"&amp;H1371)</f>
        <v/>
      </c>
      <c r="J1371" s="4" t="inlineStr">
        <is>
          <t>https://www.google.com/maps/search/?api=1&amp;query=Donkey%20Kong%20Games&amp;query_place_id=ChIJU1Fzv23k3JQRcTMPX2STXfs</t>
        </is>
      </c>
      <c r="K1371" s="4" t="inlineStr">
        <is>
          <t>R. Pedro Ivo, 43 - Box 22 - Centro, Curitiba - PR, 80010-020, Brasil</t>
        </is>
      </c>
      <c r="L1371" s="4" t="inlineStr">
        <is>
          <t>Curitiba</t>
        </is>
      </c>
      <c r="M1371" s="5" t="n">
        <v>1</v>
      </c>
    </row>
    <row r="1372">
      <c r="A1372" s="3">
        <f>RAND()</f>
        <v/>
      </c>
      <c r="B1372" s="4" t="inlineStr">
        <is>
          <t>ChIJqZVYvf3l3JQR3-qY-A9Eor4</t>
        </is>
      </c>
      <c r="C1372" s="4" t="inlineStr">
        <is>
          <t>ELKUBO TCG</t>
        </is>
      </c>
      <c r="D1372" s="4" t="inlineStr">
        <is>
          <t>Curitiba</t>
        </is>
      </c>
      <c r="E1372" s="4" t="inlineStr">
        <is>
          <t>PR</t>
        </is>
      </c>
      <c r="F1372" s="4" t="inlineStr">
        <is>
          <t>Metrópoles</t>
        </is>
      </c>
      <c r="G1372" s="4" t="inlineStr">
        <is>
          <t>Metrópole</t>
        </is>
      </c>
      <c r="H1372" s="5">
        <f>IF(G1372="fora do recorte","",SUMPRODUCT(($G$3:$G$1723=G1372)*($A$3:$A$1723&lt;=A1372)))</f>
        <v/>
      </c>
      <c r="I1372" s="4">
        <f>IF(H1372="","",G1372&amp;"|"&amp;H1372)</f>
        <v/>
      </c>
      <c r="J1372" s="4" t="inlineStr">
        <is>
          <t>https://www.google.com/maps/search/?api=1&amp;query=ELKUBO%20TCG&amp;query_place_id=ChIJqZVYvf3l3JQR3-qY-A9Eor4</t>
        </is>
      </c>
      <c r="K1372" s="4" t="inlineStr">
        <is>
          <t>R. Des. Westphalen, 1108 - Centro, Curitiba - PR, 80010-010, Brasil</t>
        </is>
      </c>
      <c r="L1372" s="4" t="inlineStr">
        <is>
          <t>Curitiba</t>
        </is>
      </c>
      <c r="M1372" s="5" t="n">
        <v>1</v>
      </c>
    </row>
    <row r="1373">
      <c r="A1373" s="3">
        <f>RAND()</f>
        <v/>
      </c>
      <c r="B1373" s="4" t="inlineStr">
        <is>
          <t>ChIJz3_DIkjl3JQRt5LRvGkn6T0</t>
        </is>
      </c>
      <c r="C1373" s="4" t="inlineStr">
        <is>
          <t>Eleucards - Hobby Store</t>
        </is>
      </c>
      <c r="D1373" s="4" t="inlineStr">
        <is>
          <t>Curitiba</t>
        </is>
      </c>
      <c r="E1373" s="4" t="inlineStr">
        <is>
          <t>PR</t>
        </is>
      </c>
      <c r="F1373" s="4" t="inlineStr">
        <is>
          <t>Metrópoles</t>
        </is>
      </c>
      <c r="G1373" s="4" t="inlineStr">
        <is>
          <t>Metrópole</t>
        </is>
      </c>
      <c r="H1373" s="5">
        <f>IF(G1373="fora do recorte","",SUMPRODUCT(($G$3:$G$1723=G1373)*($A$3:$A$1723&lt;=A1373)))</f>
        <v/>
      </c>
      <c r="I1373" s="4">
        <f>IF(H1373="","",G1373&amp;"|"&amp;H1373)</f>
        <v/>
      </c>
      <c r="J1373" s="4" t="inlineStr">
        <is>
          <t>https://www.google.com/maps/search/?api=1&amp;query=Eleucards%20-%20Hobby%20Store&amp;query_place_id=ChIJz3_DIkjl3JQRt5LRvGkn6T0</t>
        </is>
      </c>
      <c r="K1373" s="4" t="inlineStr">
        <is>
          <t>Rua 24 de Maio, 593 - Centro, Curitiba - PR, 80220-060, Brasil</t>
        </is>
      </c>
      <c r="L1373" s="4" t="inlineStr">
        <is>
          <t>Curitiba</t>
        </is>
      </c>
      <c r="M1373" s="5" t="n">
        <v>4</v>
      </c>
    </row>
    <row r="1374">
      <c r="A1374" s="3">
        <f>RAND()</f>
        <v/>
      </c>
      <c r="B1374" s="4" t="inlineStr">
        <is>
          <t>ChIJeZDmeBzj3JQRpoWPbG-p7ek</t>
        </is>
      </c>
      <c r="C1374" s="4" t="inlineStr">
        <is>
          <t>Espião Games</t>
        </is>
      </c>
      <c r="D1374" s="4" t="inlineStr">
        <is>
          <t>Curitiba</t>
        </is>
      </c>
      <c r="E1374" s="4" t="inlineStr">
        <is>
          <t>PR</t>
        </is>
      </c>
      <c r="F1374" s="4" t="inlineStr">
        <is>
          <t>Metrópoles</t>
        </is>
      </c>
      <c r="G1374" s="4" t="inlineStr">
        <is>
          <t>Metrópole</t>
        </is>
      </c>
      <c r="H1374" s="5">
        <f>IF(G1374="fora do recorte","",SUMPRODUCT(($G$3:$G$1723=G1374)*($A$3:$A$1723&lt;=A1374)))</f>
        <v/>
      </c>
      <c r="I1374" s="4">
        <f>IF(H1374="","",G1374&amp;"|"&amp;H1374)</f>
        <v/>
      </c>
      <c r="J1374" s="4" t="inlineStr">
        <is>
          <t>https://www.google.com/maps/search/?api=1&amp;query=Espi%C3%A3o%20Games&amp;query_place_id=ChIJeZDmeBzj3JQRpoWPbG-p7ek</t>
        </is>
      </c>
      <c r="K1374" s="4" t="inlineStr">
        <is>
          <t>R. Prof. Pedro Viriato Parigot de Souza, 600 - Lj 2031 - Mossunguê, Curitiba - PR, 81200-100, Brasil</t>
        </is>
      </c>
      <c r="L1374" s="4" t="inlineStr">
        <is>
          <t>Curitiba</t>
        </is>
      </c>
      <c r="M1374" s="5" t="n">
        <v>1</v>
      </c>
    </row>
    <row r="1375">
      <c r="A1375" s="3">
        <f>RAND()</f>
        <v/>
      </c>
      <c r="B1375" s="4" t="inlineStr">
        <is>
          <t>ChIJocsYG1Tl3JQR9Vyr3FONktI</t>
        </is>
      </c>
      <c r="C1375" s="4" t="inlineStr">
        <is>
          <t>Estação Games Curitiba</t>
        </is>
      </c>
      <c r="D1375" s="4" t="inlineStr">
        <is>
          <t>Curitiba</t>
        </is>
      </c>
      <c r="E1375" s="4" t="inlineStr">
        <is>
          <t>PR</t>
        </is>
      </c>
      <c r="F1375" s="4" t="inlineStr">
        <is>
          <t>Metrópoles</t>
        </is>
      </c>
      <c r="G1375" s="4" t="inlineStr">
        <is>
          <t>Metrópole</t>
        </is>
      </c>
      <c r="H1375" s="5">
        <f>IF(G1375="fora do recorte","",SUMPRODUCT(($G$3:$G$1723=G1375)*($A$3:$A$1723&lt;=A1375)))</f>
        <v/>
      </c>
      <c r="I1375" s="4">
        <f>IF(H1375="","",G1375&amp;"|"&amp;H1375)</f>
        <v/>
      </c>
      <c r="J1375" s="4" t="inlineStr">
        <is>
          <t>https://www.google.com/maps/search/?api=1&amp;query=Esta%C3%A7%C3%A3o%20Games%20Curitiba&amp;query_place_id=ChIJocsYG1Tl3JQR9Vyr3FONktI</t>
        </is>
      </c>
      <c r="K1375" s="4" t="inlineStr">
        <is>
          <t>Centro de Curitiba, Shopping Estação - Rebouças, Curitiba - PR, 80230-010, Brasil</t>
        </is>
      </c>
      <c r="L1375" s="4" t="inlineStr">
        <is>
          <t>Curitiba</t>
        </is>
      </c>
      <c r="M1375" s="5" t="n">
        <v>2</v>
      </c>
    </row>
    <row r="1376">
      <c r="A1376" s="3">
        <f>RAND()</f>
        <v/>
      </c>
      <c r="B1376" s="4" t="inlineStr">
        <is>
          <t>ChIJkVQwWgDl3JQRY43w0FYGnRA</t>
        </is>
      </c>
      <c r="C1376" s="4" t="inlineStr">
        <is>
          <t>Flor de Brasa Bar</t>
        </is>
      </c>
      <c r="D1376" s="4" t="inlineStr">
        <is>
          <t>Curitiba</t>
        </is>
      </c>
      <c r="E1376" s="4" t="inlineStr">
        <is>
          <t>PR</t>
        </is>
      </c>
      <c r="F1376" s="4" t="inlineStr">
        <is>
          <t>Metrópoles</t>
        </is>
      </c>
      <c r="G1376" s="4" t="inlineStr">
        <is>
          <t>Metrópole</t>
        </is>
      </c>
      <c r="H1376" s="5">
        <f>IF(G1376="fora do recorte","",SUMPRODUCT(($G$3:$G$1723=G1376)*($A$3:$A$1723&lt;=A1376)))</f>
        <v/>
      </c>
      <c r="I1376" s="4">
        <f>IF(H1376="","",G1376&amp;"|"&amp;H1376)</f>
        <v/>
      </c>
      <c r="J1376" s="4" t="inlineStr">
        <is>
          <t>https://www.google.com/maps/search/?api=1&amp;query=Flor%20de%20Brasa%20Bar&amp;query_place_id=ChIJkVQwWgDl3JQRY43w0FYGnRA</t>
        </is>
      </c>
      <c r="K1376" s="4" t="inlineStr">
        <is>
          <t>Av. Água Verde, 531 - Água Verde, Curitiba - PR, 80620-300, Brasil</t>
        </is>
      </c>
      <c r="L1376" s="4" t="inlineStr">
        <is>
          <t>Curitiba</t>
        </is>
      </c>
      <c r="M1376" s="5" t="n">
        <v>1</v>
      </c>
    </row>
    <row r="1377">
      <c r="A1377" s="3">
        <f>RAND()</f>
        <v/>
      </c>
      <c r="B1377" s="4" t="inlineStr">
        <is>
          <t>ChIJHaOH0obj3JQRjGKYgAfmeWo</t>
        </is>
      </c>
      <c r="C1377" s="4" t="inlineStr">
        <is>
          <t>Fora da Caixa - Biblioteca de Jogos de Mesa</t>
        </is>
      </c>
      <c r="D1377" s="4" t="inlineStr">
        <is>
          <t>Curitiba</t>
        </is>
      </c>
      <c r="E1377" s="4" t="inlineStr">
        <is>
          <t>PR</t>
        </is>
      </c>
      <c r="F1377" s="4" t="inlineStr">
        <is>
          <t>Metrópoles</t>
        </is>
      </c>
      <c r="G1377" s="4" t="inlineStr">
        <is>
          <t>Metrópole</t>
        </is>
      </c>
      <c r="H1377" s="5">
        <f>IF(G1377="fora do recorte","",SUMPRODUCT(($G$3:$G$1723=G1377)*($A$3:$A$1723&lt;=A1377)))</f>
        <v/>
      </c>
      <c r="I1377" s="4">
        <f>IF(H1377="","",G1377&amp;"|"&amp;H1377)</f>
        <v/>
      </c>
      <c r="J1377" s="4" t="inlineStr">
        <is>
          <t>https://www.google.com/maps/search/?api=1&amp;query=Fora%20da%20Caixa%20-%20Biblioteca%20de%20Jogos%20de%20Mesa&amp;query_place_id=ChIJHaOH0obj3JQRjGKYgAfmeWo</t>
        </is>
      </c>
      <c r="K1377" s="4" t="inlineStr">
        <is>
          <t>R. Profa. Maria José Godoy, 274 - Bom Retiro, Curitiba - PR, 80520-220, Brasil</t>
        </is>
      </c>
      <c r="L1377" s="4" t="inlineStr">
        <is>
          <t>Curitiba</t>
        </is>
      </c>
      <c r="M1377" s="5" t="n">
        <v>10</v>
      </c>
    </row>
    <row r="1378">
      <c r="A1378" s="3">
        <f>RAND()</f>
        <v/>
      </c>
      <c r="B1378" s="4" t="inlineStr">
        <is>
          <t>ChIJ0ftSGFzw3JQRtoakn1mqyOs</t>
        </is>
      </c>
      <c r="C1378" s="4" t="inlineStr">
        <is>
          <t>Geek Burguer</t>
        </is>
      </c>
      <c r="D1378" s="4" t="inlineStr">
        <is>
          <t>Curitiba</t>
        </is>
      </c>
      <c r="E1378" s="4" t="inlineStr">
        <is>
          <t>PR</t>
        </is>
      </c>
      <c r="F1378" s="4" t="inlineStr">
        <is>
          <t>Metrópoles</t>
        </is>
      </c>
      <c r="G1378" s="4" t="inlineStr">
        <is>
          <t>Metrópole</t>
        </is>
      </c>
      <c r="H1378" s="5">
        <f>IF(G1378="fora do recorte","",SUMPRODUCT(($G$3:$G$1723=G1378)*($A$3:$A$1723&lt;=A1378)))</f>
        <v/>
      </c>
      <c r="I1378" s="4">
        <f>IF(H1378="","",G1378&amp;"|"&amp;H1378)</f>
        <v/>
      </c>
      <c r="J1378" s="4" t="inlineStr">
        <is>
          <t>https://www.google.com/maps/search/?api=1&amp;query=Geek%20Burguer&amp;query_place_id=ChIJ0ftSGFzw3JQRtoakn1mqyOs</t>
        </is>
      </c>
      <c r="K1378" s="4" t="inlineStr">
        <is>
          <t>Alameda Dr. Carlos de Carvalho, 805 - Centro, Curitiba - PR, 80410-180, Brasil</t>
        </is>
      </c>
      <c r="L1378" s="4" t="inlineStr">
        <is>
          <t>Curitiba</t>
        </is>
      </c>
      <c r="M1378" s="5" t="n">
        <v>1</v>
      </c>
    </row>
    <row r="1379">
      <c r="A1379" s="3">
        <f>RAND()</f>
        <v/>
      </c>
      <c r="B1379" s="4" t="inlineStr">
        <is>
          <t>ChIJ5_tqly7l3JQR2NYsjBTaaFg</t>
        </is>
      </c>
      <c r="C1379" s="4" t="inlineStr">
        <is>
          <t>Gigg's Bar</t>
        </is>
      </c>
      <c r="D1379" s="4" t="inlineStr">
        <is>
          <t>Curitiba</t>
        </is>
      </c>
      <c r="E1379" s="4" t="inlineStr">
        <is>
          <t>PR</t>
        </is>
      </c>
      <c r="F1379" s="4" t="inlineStr">
        <is>
          <t>Metrópoles</t>
        </is>
      </c>
      <c r="G1379" s="4" t="inlineStr">
        <is>
          <t>Metrópole</t>
        </is>
      </c>
      <c r="H1379" s="5">
        <f>IF(G1379="fora do recorte","",SUMPRODUCT(($G$3:$G$1723=G1379)*($A$3:$A$1723&lt;=A1379)))</f>
        <v/>
      </c>
      <c r="I1379" s="4">
        <f>IF(H1379="","",G1379&amp;"|"&amp;H1379)</f>
        <v/>
      </c>
      <c r="J1379" s="4" t="inlineStr">
        <is>
          <t>https://www.google.com/maps/search/?api=1&amp;query=Gigg%27s%20Bar&amp;query_place_id=ChIJ5_tqly7l3JQR2NYsjBTaaFg</t>
        </is>
      </c>
      <c r="K1379" s="4" t="inlineStr">
        <is>
          <t>R. Mateus Leme, 885 - Centro Cívico, Curitiba - PR, 80510-192, Brasil</t>
        </is>
      </c>
      <c r="L1379" s="4" t="inlineStr">
        <is>
          <t>Curitiba</t>
        </is>
      </c>
      <c r="M1379" s="5" t="n">
        <v>1</v>
      </c>
    </row>
    <row r="1380">
      <c r="A1380" s="3">
        <f>RAND()</f>
        <v/>
      </c>
      <c r="B1380" s="4" t="inlineStr">
        <is>
          <t>ChIJNX-kYeLl3JQRMPKjRM5duAg</t>
        </is>
      </c>
      <c r="C1380" s="4" t="inlineStr">
        <is>
          <t>Gladiators TCG</t>
        </is>
      </c>
      <c r="D1380" s="4" t="inlineStr">
        <is>
          <t>Curitiba</t>
        </is>
      </c>
      <c r="E1380" s="4" t="inlineStr">
        <is>
          <t>PR</t>
        </is>
      </c>
      <c r="F1380" s="4" t="inlineStr">
        <is>
          <t>Metrópoles</t>
        </is>
      </c>
      <c r="G1380" s="4" t="inlineStr">
        <is>
          <t>Metrópole</t>
        </is>
      </c>
      <c r="H1380" s="5">
        <f>IF(G1380="fora do recorte","",SUMPRODUCT(($G$3:$G$1723=G1380)*($A$3:$A$1723&lt;=A1380)))</f>
        <v/>
      </c>
      <c r="I1380" s="4">
        <f>IF(H1380="","",G1380&amp;"|"&amp;H1380)</f>
        <v/>
      </c>
      <c r="J1380" s="4" t="inlineStr">
        <is>
          <t>https://www.google.com/maps/search/?api=1&amp;query=Gladiators%20TCG&amp;query_place_id=ChIJNX-kYeLl3JQRMPKjRM5duAg</t>
        </is>
      </c>
      <c r="K1380" s="4" t="inlineStr">
        <is>
          <t>Av. Visc. de Guarapuava, 2966 - Centro, Curitiba - PR, 80010-100, Brasil</t>
        </is>
      </c>
      <c r="L1380" s="4" t="inlineStr">
        <is>
          <t>Curitiba</t>
        </is>
      </c>
      <c r="M1380" s="5" t="n">
        <v>2</v>
      </c>
    </row>
    <row r="1381">
      <c r="A1381" s="3">
        <f>RAND()</f>
        <v/>
      </c>
      <c r="B1381" s="4" t="inlineStr">
        <is>
          <t>ChIJlSKV4mXk3JQRuyHdf-UFbuY</t>
        </is>
      </c>
      <c r="C1381" s="4" t="inlineStr">
        <is>
          <t>Itiban Comics Shop</t>
        </is>
      </c>
      <c r="D1381" s="4" t="inlineStr">
        <is>
          <t>Curitiba</t>
        </is>
      </c>
      <c r="E1381" s="4" t="inlineStr">
        <is>
          <t>PR</t>
        </is>
      </c>
      <c r="F1381" s="4" t="inlineStr">
        <is>
          <t>Metrópoles</t>
        </is>
      </c>
      <c r="G1381" s="4" t="inlineStr">
        <is>
          <t>Metrópole</t>
        </is>
      </c>
      <c r="H1381" s="5">
        <f>IF(G1381="fora do recorte","",SUMPRODUCT(($G$3:$G$1723=G1381)*($A$3:$A$1723&lt;=A1381)))</f>
        <v/>
      </c>
      <c r="I1381" s="4">
        <f>IF(H1381="","",G1381&amp;"|"&amp;H1381)</f>
        <v/>
      </c>
      <c r="J1381" s="4" t="inlineStr">
        <is>
          <t>https://www.google.com/maps/search/?api=1&amp;query=Itiban%20Comics%20Shop&amp;query_place_id=ChIJlSKV4mXk3JQRuyHdf-UFbuY</t>
        </is>
      </c>
      <c r="K1381" s="4" t="inlineStr">
        <is>
          <t>Av. Silva Jardim, 845 - Rebouças, Curitiba - PR, 80230-000, Brasil</t>
        </is>
      </c>
      <c r="L1381" s="4" t="inlineStr">
        <is>
          <t>Curitiba</t>
        </is>
      </c>
      <c r="M1381" s="5" t="n">
        <v>1</v>
      </c>
    </row>
    <row r="1382">
      <c r="A1382" s="3">
        <f>RAND()</f>
        <v/>
      </c>
      <c r="B1382" s="4" t="inlineStr">
        <is>
          <t>ChIJi-dKvorj3JQRXctwoAzT6Sg</t>
        </is>
      </c>
      <c r="C1382" s="4" t="inlineStr">
        <is>
          <t>James Bar e Garden</t>
        </is>
      </c>
      <c r="D1382" s="4" t="inlineStr">
        <is>
          <t>Curitiba</t>
        </is>
      </c>
      <c r="E1382" s="4" t="inlineStr">
        <is>
          <t>PR</t>
        </is>
      </c>
      <c r="F1382" s="4" t="inlineStr">
        <is>
          <t>Metrópoles</t>
        </is>
      </c>
      <c r="G1382" s="4" t="inlineStr">
        <is>
          <t>Metrópole</t>
        </is>
      </c>
      <c r="H1382" s="5">
        <f>IF(G1382="fora do recorte","",SUMPRODUCT(($G$3:$G$1723=G1382)*($A$3:$A$1723&lt;=A1382)))</f>
        <v/>
      </c>
      <c r="I1382" s="4">
        <f>IF(H1382="","",G1382&amp;"|"&amp;H1382)</f>
        <v/>
      </c>
      <c r="J1382" s="4" t="inlineStr">
        <is>
          <t>https://www.google.com/maps/search/?api=1&amp;query=James%20Bar%20e%20Garden&amp;query_place_id=ChIJi-dKvorj3JQRXctwoAzT6Sg</t>
        </is>
      </c>
      <c r="K1382" s="4" t="inlineStr">
        <is>
          <t>Alameda Dr. Carlos de Carvalho, 680 - Centro, Curitiba - PR, 80430-180, Brasil</t>
        </is>
      </c>
      <c r="L1382" s="4" t="inlineStr">
        <is>
          <t>Curitiba</t>
        </is>
      </c>
      <c r="M1382" s="5" t="n">
        <v>1</v>
      </c>
    </row>
    <row r="1383">
      <c r="A1383" s="3">
        <f>RAND()</f>
        <v/>
      </c>
      <c r="B1383" s="4" t="inlineStr">
        <is>
          <t>ChIJOczn8z7l3JQRNBEL_ZJ3iQo</t>
        </is>
      </c>
      <c r="C1383" s="4" t="inlineStr">
        <is>
          <t>Joyjoy Café</t>
        </is>
      </c>
      <c r="D1383" s="4" t="inlineStr">
        <is>
          <t>Curitiba</t>
        </is>
      </c>
      <c r="E1383" s="4" t="inlineStr">
        <is>
          <t>PR</t>
        </is>
      </c>
      <c r="F1383" s="4" t="inlineStr">
        <is>
          <t>Metrópoles</t>
        </is>
      </c>
      <c r="G1383" s="4" t="inlineStr">
        <is>
          <t>Metrópole</t>
        </is>
      </c>
      <c r="H1383" s="5">
        <f>IF(G1383="fora do recorte","",SUMPRODUCT(($G$3:$G$1723=G1383)*($A$3:$A$1723&lt;=A1383)))</f>
        <v/>
      </c>
      <c r="I1383" s="4">
        <f>IF(H1383="","",G1383&amp;"|"&amp;H1383)</f>
        <v/>
      </c>
      <c r="J1383" s="4" t="inlineStr">
        <is>
          <t>https://www.google.com/maps/search/?api=1&amp;query=Joyjoy%20Caf%C3%A9&amp;query_place_id=ChIJOczn8z7l3JQRNBEL_ZJ3iQo</t>
        </is>
      </c>
      <c r="K1383" s="4" t="inlineStr">
        <is>
          <t>Av. Presidente Affonso Camargo, 1939 - Lj 02 - Cristo Rei, Curitiba - PR, 80050-370, Brasil</t>
        </is>
      </c>
      <c r="L1383" s="4" t="inlineStr">
        <is>
          <t>Boa Vista; Curitiba</t>
        </is>
      </c>
      <c r="M1383" s="5" t="n">
        <v>10</v>
      </c>
    </row>
    <row r="1384">
      <c r="A1384" s="3">
        <f>RAND()</f>
        <v/>
      </c>
      <c r="B1384" s="4" t="inlineStr">
        <is>
          <t>ChIJSQjJjoPk3JQR_knQkeCaPOM</t>
        </is>
      </c>
      <c r="C1384" s="4" t="inlineStr">
        <is>
          <t>Kanavial</t>
        </is>
      </c>
      <c r="D1384" s="4" t="inlineStr">
        <is>
          <t>Curitiba</t>
        </is>
      </c>
      <c r="E1384" s="4" t="inlineStr">
        <is>
          <t>PR</t>
        </is>
      </c>
      <c r="F1384" s="4" t="inlineStr">
        <is>
          <t>Metrópoles</t>
        </is>
      </c>
      <c r="G1384" s="4" t="inlineStr">
        <is>
          <t>Metrópole</t>
        </is>
      </c>
      <c r="H1384" s="5">
        <f>IF(G1384="fora do recorte","",SUMPRODUCT(($G$3:$G$1723=G1384)*($A$3:$A$1723&lt;=A1384)))</f>
        <v/>
      </c>
      <c r="I1384" s="4">
        <f>IF(H1384="","",G1384&amp;"|"&amp;H1384)</f>
        <v/>
      </c>
      <c r="J1384" s="4" t="inlineStr">
        <is>
          <t>https://www.google.com/maps/search/?api=1&amp;query=Kanavial&amp;query_place_id=ChIJSQjJjoPk3JQR_knQkeCaPOM</t>
        </is>
      </c>
      <c r="K1384" s="4" t="inlineStr">
        <is>
          <t>R. Castro, 731 - Água Verde, Curitiba - PR, 80620-300, Brasil</t>
        </is>
      </c>
      <c r="L1384" s="4" t="inlineStr">
        <is>
          <t>Curitiba</t>
        </is>
      </c>
      <c r="M1384" s="5" t="n">
        <v>1</v>
      </c>
    </row>
    <row r="1385">
      <c r="A1385" s="3">
        <f>RAND()</f>
        <v/>
      </c>
      <c r="B1385" s="4" t="inlineStr">
        <is>
          <t>ChIJv7RU7Wjk3JQRSisu6WmZ5Ws</t>
        </is>
      </c>
      <c r="C1385" s="4" t="inlineStr">
        <is>
          <t>Lima Hobbies</t>
        </is>
      </c>
      <c r="D1385" s="4" t="inlineStr">
        <is>
          <t>Curitiba</t>
        </is>
      </c>
      <c r="E1385" s="4" t="inlineStr">
        <is>
          <t>PR</t>
        </is>
      </c>
      <c r="F1385" s="4" t="inlineStr">
        <is>
          <t>Metrópoles</t>
        </is>
      </c>
      <c r="G1385" s="4" t="inlineStr">
        <is>
          <t>Metrópole</t>
        </is>
      </c>
      <c r="H1385" s="5">
        <f>IF(G1385="fora do recorte","",SUMPRODUCT(($G$3:$G$1723=G1385)*($A$3:$A$1723&lt;=A1385)))</f>
        <v/>
      </c>
      <c r="I1385" s="4">
        <f>IF(H1385="","",G1385&amp;"|"&amp;H1385)</f>
        <v/>
      </c>
      <c r="J1385" s="4" t="inlineStr">
        <is>
          <t>https://www.google.com/maps/search/?api=1&amp;query=Lima%20Hobbies&amp;query_place_id=ChIJv7RU7Wjk3JQRSisu6WmZ5Ws</t>
        </is>
      </c>
      <c r="K1385" s="4" t="inlineStr">
        <is>
          <t>Av. Sete de Setembro, 2775 - Rebouças, Curitiba - PR, 80230-010, Brasil</t>
        </is>
      </c>
      <c r="L1385" s="4" t="inlineStr">
        <is>
          <t>Curitiba</t>
        </is>
      </c>
      <c r="M1385" s="5" t="n">
        <v>3</v>
      </c>
    </row>
    <row r="1386">
      <c r="A1386" s="3">
        <f>RAND()</f>
        <v/>
      </c>
      <c r="B1386" s="4" t="inlineStr">
        <is>
          <t>ChIJYbv1mQDj3JQRqO0bfrEP9p4</t>
        </is>
      </c>
      <c r="C1386" s="4" t="inlineStr">
        <is>
          <t>Manafix Grading System</t>
        </is>
      </c>
      <c r="D1386" s="4" t="inlineStr">
        <is>
          <t>Curitiba</t>
        </is>
      </c>
      <c r="E1386" s="4" t="inlineStr">
        <is>
          <t>PR</t>
        </is>
      </c>
      <c r="F1386" s="4" t="inlineStr">
        <is>
          <t>Metrópoles</t>
        </is>
      </c>
      <c r="G1386" s="4" t="inlineStr">
        <is>
          <t>Metrópole</t>
        </is>
      </c>
      <c r="H1386" s="5">
        <f>IF(G1386="fora do recorte","",SUMPRODUCT(($G$3:$G$1723=G1386)*($A$3:$A$1723&lt;=A1386)))</f>
        <v/>
      </c>
      <c r="I1386" s="4">
        <f>IF(H1386="","",G1386&amp;"|"&amp;H1386)</f>
        <v/>
      </c>
      <c r="J1386" s="4" t="inlineStr">
        <is>
          <t>https://www.google.com/maps/search/?api=1&amp;query=Manafix%20Grading%20System&amp;query_place_id=ChIJYbv1mQDj3JQRqO0bfrEP9p4</t>
        </is>
      </c>
      <c r="K1386" s="4" t="inlineStr">
        <is>
          <t>Av. Iguaçu, 1280 - Lj 7 - Rebouças, Curitiba - PR, 80250-190, Brasil</t>
        </is>
      </c>
      <c r="L1386" s="4" t="inlineStr">
        <is>
          <t>Curitiba</t>
        </is>
      </c>
      <c r="M1386" s="5" t="n">
        <v>2</v>
      </c>
    </row>
    <row r="1387">
      <c r="A1387" s="3">
        <f>RAND()</f>
        <v/>
      </c>
      <c r="B1387" s="4" t="inlineStr">
        <is>
          <t>ChIJ_beygtnl3JQRGVpHZhzQkPE</t>
        </is>
      </c>
      <c r="C1387" s="4" t="inlineStr">
        <is>
          <t>Meruru</t>
        </is>
      </c>
      <c r="D1387" s="4" t="inlineStr">
        <is>
          <t>Curitiba</t>
        </is>
      </c>
      <c r="E1387" s="4" t="inlineStr">
        <is>
          <t>PR</t>
        </is>
      </c>
      <c r="F1387" s="4" t="inlineStr">
        <is>
          <t>Metrópoles</t>
        </is>
      </c>
      <c r="G1387" s="4" t="inlineStr">
        <is>
          <t>Metrópole</t>
        </is>
      </c>
      <c r="H1387" s="5">
        <f>IF(G1387="fora do recorte","",SUMPRODUCT(($G$3:$G$1723=G1387)*($A$3:$A$1723&lt;=A1387)))</f>
        <v/>
      </c>
      <c r="I1387" s="4">
        <f>IF(H1387="","",G1387&amp;"|"&amp;H1387)</f>
        <v/>
      </c>
      <c r="J1387" s="4" t="inlineStr">
        <is>
          <t>https://www.google.com/maps/search/?api=1&amp;query=Meruru&amp;query_place_id=ChIJ_beygtnl3JQRGVpHZhzQkPE</t>
        </is>
      </c>
      <c r="K1387" s="4" t="inlineStr">
        <is>
          <t>Av. Silva Jardim, 960A - Rebouças, Curitiba - PR, 80230-000, Brasil</t>
        </is>
      </c>
      <c r="L1387" s="4" t="inlineStr">
        <is>
          <t>Curitiba</t>
        </is>
      </c>
      <c r="M1387" s="5" t="n">
        <v>5</v>
      </c>
    </row>
    <row r="1388">
      <c r="A1388" s="3">
        <f>RAND()</f>
        <v/>
      </c>
      <c r="B1388" s="4" t="inlineStr">
        <is>
          <t>ChIJUWlgXM_73JQRPplZFh-VsnM</t>
        </is>
      </c>
      <c r="C1388" s="4" t="inlineStr">
        <is>
          <t>Milla Chess</t>
        </is>
      </c>
      <c r="D1388" s="4" t="inlineStr">
        <is>
          <t>Curitiba</t>
        </is>
      </c>
      <c r="E1388" s="4" t="inlineStr">
        <is>
          <t>PR</t>
        </is>
      </c>
      <c r="F1388" s="4" t="inlineStr">
        <is>
          <t>Metrópoles</t>
        </is>
      </c>
      <c r="G1388" s="4" t="inlineStr">
        <is>
          <t>Metrópole</t>
        </is>
      </c>
      <c r="H1388" s="5">
        <f>IF(G1388="fora do recorte","",SUMPRODUCT(($G$3:$G$1723=G1388)*($A$3:$A$1723&lt;=A1388)))</f>
        <v/>
      </c>
      <c r="I1388" s="4">
        <f>IF(H1388="","",G1388&amp;"|"&amp;H1388)</f>
        <v/>
      </c>
      <c r="J1388" s="4" t="inlineStr">
        <is>
          <t>https://www.google.com/maps/search/?api=1&amp;query=Milla%20Chess&amp;query_place_id=ChIJUWlgXM_73JQRPplZFh-VsnM</t>
        </is>
      </c>
      <c r="K1388" s="4" t="inlineStr">
        <is>
          <t>Rua Leôncio Derosso - Xaxim, Curitiba - PR, 81810-430, Brasil</t>
        </is>
      </c>
      <c r="L1388" s="4" t="inlineStr">
        <is>
          <t>Curitiba</t>
        </is>
      </c>
      <c r="M1388" s="5" t="n">
        <v>1</v>
      </c>
    </row>
    <row r="1389">
      <c r="A1389" s="3">
        <f>RAND()</f>
        <v/>
      </c>
      <c r="B1389" s="4" t="inlineStr">
        <is>
          <t>ChIJ0c6qZgDl3JQRwXJYg0A7EzA</t>
        </is>
      </c>
      <c r="C1389" s="4" t="inlineStr">
        <is>
          <t>O Garra Planet</t>
        </is>
      </c>
      <c r="D1389" s="4" t="inlineStr">
        <is>
          <t>Curitiba</t>
        </is>
      </c>
      <c r="E1389" s="4" t="inlineStr">
        <is>
          <t>PR</t>
        </is>
      </c>
      <c r="F1389" s="4" t="inlineStr">
        <is>
          <t>Metrópoles</t>
        </is>
      </c>
      <c r="G1389" s="4" t="inlineStr">
        <is>
          <t>Metrópole</t>
        </is>
      </c>
      <c r="H1389" s="5">
        <f>IF(G1389="fora do recorte","",SUMPRODUCT(($G$3:$G$1723=G1389)*($A$3:$A$1723&lt;=A1389)))</f>
        <v/>
      </c>
      <c r="I1389" s="4">
        <f>IF(H1389="","",G1389&amp;"|"&amp;H1389)</f>
        <v/>
      </c>
      <c r="J1389" s="4" t="inlineStr">
        <is>
          <t>https://www.google.com/maps/search/?api=1&amp;query=O%20Garra%20Planet&amp;query_place_id=ChIJ0c6qZgDl3JQRwXJYg0A7EzA</t>
        </is>
      </c>
      <c r="K1389" s="4" t="inlineStr">
        <is>
          <t>Av. Sete de Setembro, 2775 - Rebouças, Curitiba - PR, 80230-010, Brasil</t>
        </is>
      </c>
      <c r="L1389" s="4" t="inlineStr">
        <is>
          <t>Curitiba</t>
        </is>
      </c>
      <c r="M1389" s="5" t="n">
        <v>1</v>
      </c>
    </row>
    <row r="1390">
      <c r="A1390" s="3">
        <f>RAND()</f>
        <v/>
      </c>
      <c r="B1390" s="4" t="inlineStr">
        <is>
          <t>ChIJLwJRHfP93JQRwsN6fIcfeNg</t>
        </is>
      </c>
      <c r="C1390" s="4" t="inlineStr">
        <is>
          <t>O Gatão Jogos</t>
        </is>
      </c>
      <c r="D1390" s="4" t="inlineStr">
        <is>
          <t>Curitiba</t>
        </is>
      </c>
      <c r="E1390" s="4" t="inlineStr">
        <is>
          <t>PR</t>
        </is>
      </c>
      <c r="F1390" s="4" t="inlineStr">
        <is>
          <t>Metrópoles</t>
        </is>
      </c>
      <c r="G1390" s="4" t="inlineStr">
        <is>
          <t>Metrópole</t>
        </is>
      </c>
      <c r="H1390" s="5">
        <f>IF(G1390="fora do recorte","",SUMPRODUCT(($G$3:$G$1723=G1390)*($A$3:$A$1723&lt;=A1390)))</f>
        <v/>
      </c>
      <c r="I1390" s="4">
        <f>IF(H1390="","",G1390&amp;"|"&amp;H1390)</f>
        <v/>
      </c>
      <c r="J1390" s="4" t="inlineStr">
        <is>
          <t>https://www.google.com/maps/search/?api=1&amp;query=O%20Gat%C3%A3o%20Jogos&amp;query_place_id=ChIJLwJRHfP93JQRwsN6fIcfeNg</t>
        </is>
      </c>
      <c r="K1390" s="4" t="inlineStr">
        <is>
          <t>R. Izaac Ferreira da Cruz, 1787 - Pinheirinho, Curitiba - PR, 81870-000, Brasil</t>
        </is>
      </c>
      <c r="L1390" s="4" t="inlineStr">
        <is>
          <t>Curitiba</t>
        </is>
      </c>
      <c r="M1390" s="5" t="n">
        <v>6</v>
      </c>
    </row>
    <row r="1391">
      <c r="A1391" s="3">
        <f>RAND()</f>
        <v/>
      </c>
      <c r="B1391" s="4" t="inlineStr">
        <is>
          <t>ChIJK5Dhtunj3JQRniPWHB3haDU</t>
        </is>
      </c>
      <c r="C1391" s="4" t="inlineStr">
        <is>
          <t>Paladino Hobbies</t>
        </is>
      </c>
      <c r="D1391" s="4" t="inlineStr">
        <is>
          <t>Curitiba</t>
        </is>
      </c>
      <c r="E1391" s="4" t="inlineStr">
        <is>
          <t>PR</t>
        </is>
      </c>
      <c r="F1391" s="4" t="inlineStr">
        <is>
          <t>Metrópoles</t>
        </is>
      </c>
      <c r="G1391" s="4" t="inlineStr">
        <is>
          <t>Metrópole</t>
        </is>
      </c>
      <c r="H1391" s="5">
        <f>IF(G1391="fora do recorte","",SUMPRODUCT(($G$3:$G$1723=G1391)*($A$3:$A$1723&lt;=A1391)))</f>
        <v/>
      </c>
      <c r="I1391" s="4">
        <f>IF(H1391="","",G1391&amp;"|"&amp;H1391)</f>
        <v/>
      </c>
      <c r="J1391" s="4" t="inlineStr">
        <is>
          <t>https://www.google.com/maps/search/?api=1&amp;query=Paladino%20Hobbies&amp;query_place_id=ChIJK5Dhtunj3JQRniPWHB3haDU</t>
        </is>
      </c>
      <c r="K1391" s="4" t="inlineStr">
        <is>
          <t>R. Padre Anchieta, 2454 - Lj 24 - Bigorrilho, Curitiba - PR, 80730-000, Brasil</t>
        </is>
      </c>
      <c r="L1391" s="4" t="inlineStr">
        <is>
          <t>Curitiba</t>
        </is>
      </c>
      <c r="M1391" s="5" t="n">
        <v>6</v>
      </c>
    </row>
    <row r="1392">
      <c r="A1392" s="3">
        <f>RAND()</f>
        <v/>
      </c>
      <c r="B1392" s="4" t="inlineStr">
        <is>
          <t>ChIJo9by2BHk3JQRAMpZT0ukf2w</t>
        </is>
      </c>
      <c r="C1392" s="4" t="inlineStr">
        <is>
          <t>Paradoja Karaokê Bar</t>
        </is>
      </c>
      <c r="D1392" s="4" t="inlineStr">
        <is>
          <t>Curitiba</t>
        </is>
      </c>
      <c r="E1392" s="4" t="inlineStr">
        <is>
          <t>PR</t>
        </is>
      </c>
      <c r="F1392" s="4" t="inlineStr">
        <is>
          <t>Metrópoles</t>
        </is>
      </c>
      <c r="G1392" s="4" t="inlineStr">
        <is>
          <t>Metrópole</t>
        </is>
      </c>
      <c r="H1392" s="5">
        <f>IF(G1392="fora do recorte","",SUMPRODUCT(($G$3:$G$1723=G1392)*($A$3:$A$1723&lt;=A1392)))</f>
        <v/>
      </c>
      <c r="I1392" s="4">
        <f>IF(H1392="","",G1392&amp;"|"&amp;H1392)</f>
        <v/>
      </c>
      <c r="J1392" s="4" t="inlineStr">
        <is>
          <t>https://www.google.com/maps/search/?api=1&amp;query=Paradoja%20Karaok%C3%AA%20Bar&amp;query_place_id=ChIJo9by2BHk3JQRAMpZT0ukf2w</t>
        </is>
      </c>
      <c r="K1392" s="4" t="inlineStr">
        <is>
          <t>R. Trajano Reis, 260 - São Francisco, Curitiba - PR, 80510-220, Brasil</t>
        </is>
      </c>
      <c r="L1392" s="4" t="inlineStr">
        <is>
          <t>Curitiba</t>
        </is>
      </c>
      <c r="M1392" s="5" t="n">
        <v>1</v>
      </c>
    </row>
    <row r="1393">
      <c r="A1393" s="3">
        <f>RAND()</f>
        <v/>
      </c>
      <c r="B1393" s="4" t="inlineStr">
        <is>
          <t>ChIJf0xOjxHl3JQRT1CUGUUunHc</t>
        </is>
      </c>
      <c r="C1393" s="4" t="inlineStr">
        <is>
          <t>Parque MikeWood</t>
        </is>
      </c>
      <c r="D1393" s="4" t="inlineStr">
        <is>
          <t>Curitiba</t>
        </is>
      </c>
      <c r="E1393" s="4" t="inlineStr">
        <is>
          <t>PR</t>
        </is>
      </c>
      <c r="F1393" s="4" t="inlineStr">
        <is>
          <t>Metrópoles</t>
        </is>
      </c>
      <c r="G1393" s="4" t="inlineStr">
        <is>
          <t>Metrópole</t>
        </is>
      </c>
      <c r="H1393" s="5">
        <f>IF(G1393="fora do recorte","",SUMPRODUCT(($G$3:$G$1723=G1393)*($A$3:$A$1723&lt;=A1393)))</f>
        <v/>
      </c>
      <c r="I1393" s="4">
        <f>IF(H1393="","",G1393&amp;"|"&amp;H1393)</f>
        <v/>
      </c>
      <c r="J1393" s="4" t="inlineStr">
        <is>
          <t>https://www.google.com/maps/search/?api=1&amp;query=Parque%20MikeWood&amp;query_place_id=ChIJf0xOjxHl3JQRT1CUGUUunHc</t>
        </is>
      </c>
      <c r="K1393" s="4" t="inlineStr">
        <is>
          <t>R. São Bartolomeu, 382 - Cajuru, Curitiba - PR, 82900-330, Brasil</t>
        </is>
      </c>
      <c r="L1393" s="4" t="inlineStr">
        <is>
          <t>Curitiba</t>
        </is>
      </c>
      <c r="M1393" s="5" t="n">
        <v>1</v>
      </c>
    </row>
    <row r="1394">
      <c r="A1394" s="3">
        <f>RAND()</f>
        <v/>
      </c>
      <c r="B1394" s="4" t="inlineStr">
        <is>
          <t>ChIJTdymzWTm3JQRSjlSLQyY1ts</t>
        </is>
      </c>
      <c r="C1394" s="4" t="inlineStr">
        <is>
          <t>Planeta Games</t>
        </is>
      </c>
      <c r="D1394" s="4" t="inlineStr">
        <is>
          <t>Curitiba</t>
        </is>
      </c>
      <c r="E1394" s="4" t="inlineStr">
        <is>
          <t>PR</t>
        </is>
      </c>
      <c r="F1394" s="4" t="inlineStr">
        <is>
          <t>Metrópoles</t>
        </is>
      </c>
      <c r="G1394" s="4" t="inlineStr">
        <is>
          <t>Metrópole</t>
        </is>
      </c>
      <c r="H1394" s="5">
        <f>IF(G1394="fora do recorte","",SUMPRODUCT(($G$3:$G$1723=G1394)*($A$3:$A$1723&lt;=A1394)))</f>
        <v/>
      </c>
      <c r="I1394" s="4">
        <f>IF(H1394="","",G1394&amp;"|"&amp;H1394)</f>
        <v/>
      </c>
      <c r="J1394" s="4" t="inlineStr">
        <is>
          <t>https://www.google.com/maps/search/?api=1&amp;query=Planeta%20Games&amp;query_place_id=ChIJTdymzWTm3JQRSjlSLQyY1ts</t>
        </is>
      </c>
      <c r="K1394" s="4" t="inlineStr">
        <is>
          <t>anexo merc. atacadao - Av. Paraná, 3220 - Lj 21 - Boa Vista, Curitiba - PR, 82510-000, Brasil</t>
        </is>
      </c>
      <c r="L1394" s="4" t="inlineStr">
        <is>
          <t>Curitiba</t>
        </is>
      </c>
      <c r="M1394" s="5" t="n">
        <v>1</v>
      </c>
    </row>
    <row r="1395">
      <c r="A1395" s="3">
        <f>RAND()</f>
        <v/>
      </c>
      <c r="B1395" s="4" t="inlineStr">
        <is>
          <t>ChIJI0xonYzn3JQRaPSqX_zQ9yA</t>
        </is>
      </c>
      <c r="C1395" s="4" t="inlineStr">
        <is>
          <t>Quintal Brincante - Gastronomia</t>
        </is>
      </c>
      <c r="D1395" s="4" t="inlineStr">
        <is>
          <t>Curitiba</t>
        </is>
      </c>
      <c r="E1395" s="4" t="inlineStr">
        <is>
          <t>PR</t>
        </is>
      </c>
      <c r="F1395" s="4" t="inlineStr">
        <is>
          <t>Metrópoles</t>
        </is>
      </c>
      <c r="G1395" s="4" t="inlineStr">
        <is>
          <t>Metrópole</t>
        </is>
      </c>
      <c r="H1395" s="5">
        <f>IF(G1395="fora do recorte","",SUMPRODUCT(($G$3:$G$1723=G1395)*($A$3:$A$1723&lt;=A1395)))</f>
        <v/>
      </c>
      <c r="I1395" s="4">
        <f>IF(H1395="","",G1395&amp;"|"&amp;H1395)</f>
        <v/>
      </c>
      <c r="J1395" s="4" t="inlineStr">
        <is>
          <t>https://www.google.com/maps/search/?api=1&amp;query=Quintal%20Brincante%20-%20Gastronomia&amp;query_place_id=ChIJI0xonYzn3JQRaPSqX_zQ9yA</t>
        </is>
      </c>
      <c r="K1395" s="4" t="inlineStr">
        <is>
          <t>Rua Leão Sallum, 1316 - Boa Vista, Curitiba - PR, 82540-050, Brasil</t>
        </is>
      </c>
      <c r="L1395" s="4" t="inlineStr">
        <is>
          <t>Curitiba</t>
        </is>
      </c>
      <c r="M1395" s="5" t="n">
        <v>1</v>
      </c>
    </row>
    <row r="1396">
      <c r="A1396" s="3">
        <f>RAND()</f>
        <v/>
      </c>
      <c r="B1396" s="4" t="inlineStr">
        <is>
          <t>ChIJvdKeBx7n3JQRxBzRBy23XWM</t>
        </is>
      </c>
      <c r="C1396" s="4" t="inlineStr">
        <is>
          <t>RaXaKuKa Jogos &amp; Desafios Cognitivos</t>
        </is>
      </c>
      <c r="D1396" s="4" t="inlineStr">
        <is>
          <t>Curitiba</t>
        </is>
      </c>
      <c r="E1396" s="4" t="inlineStr">
        <is>
          <t>PR</t>
        </is>
      </c>
      <c r="F1396" s="4" t="inlineStr">
        <is>
          <t>Metrópoles</t>
        </is>
      </c>
      <c r="G1396" s="4" t="inlineStr">
        <is>
          <t>Metrópole</t>
        </is>
      </c>
      <c r="H1396" s="5">
        <f>IF(G1396="fora do recorte","",SUMPRODUCT(($G$3:$G$1723=G1396)*($A$3:$A$1723&lt;=A1396)))</f>
        <v/>
      </c>
      <c r="I1396" s="4">
        <f>IF(H1396="","",G1396&amp;"|"&amp;H1396)</f>
        <v/>
      </c>
      <c r="J1396" s="4" t="inlineStr">
        <is>
          <t>https://www.google.com/maps/search/?api=1&amp;query=RaXaKuKa%20Jogos%20%26%20Desafios%20Cognitivos&amp;query_place_id=ChIJvdKeBx7n3JQRxBzRBy23XWM</t>
        </is>
      </c>
      <c r="K1396" s="4" t="inlineStr">
        <is>
          <t>R. Dr. Bezerra de Menezes, 68 - Lj 04 - Ahú, Curitiba - PR, 80540-190, Brasil</t>
        </is>
      </c>
      <c r="L1396" s="4" t="inlineStr">
        <is>
          <t>Curitiba</t>
        </is>
      </c>
      <c r="M1396" s="5" t="n">
        <v>4</v>
      </c>
    </row>
    <row r="1397">
      <c r="A1397" s="3">
        <f>RAND()</f>
        <v/>
      </c>
      <c r="B1397" s="4" t="inlineStr">
        <is>
          <t>ChIJ9Z4ywrTl3JQRlvEPayNbGyI</t>
        </is>
      </c>
      <c r="C1397" s="4" t="inlineStr">
        <is>
          <t>Rua Pub</t>
        </is>
      </c>
      <c r="D1397" s="4" t="inlineStr">
        <is>
          <t>Curitiba</t>
        </is>
      </c>
      <c r="E1397" s="4" t="inlineStr">
        <is>
          <t>PR</t>
        </is>
      </c>
      <c r="F1397" s="4" t="inlineStr">
        <is>
          <t>Metrópoles</t>
        </is>
      </c>
      <c r="G1397" s="4" t="inlineStr">
        <is>
          <t>Metrópole</t>
        </is>
      </c>
      <c r="H1397" s="5">
        <f>IF(G1397="fora do recorte","",SUMPRODUCT(($G$3:$G$1723=G1397)*($A$3:$A$1723&lt;=A1397)))</f>
        <v/>
      </c>
      <c r="I1397" s="4">
        <f>IF(H1397="","",G1397&amp;"|"&amp;H1397)</f>
        <v/>
      </c>
      <c r="J1397" s="4" t="inlineStr">
        <is>
          <t>https://www.google.com/maps/search/?api=1&amp;query=Rua%20Pub&amp;query_place_id=ChIJ9Z4ywrTl3JQRlvEPayNbGyI</t>
        </is>
      </c>
      <c r="K1397" s="4" t="inlineStr">
        <is>
          <t>R. Des. Westphalen, 1504 - Rebouças, Curitiba - PR, 80230-100, Brasil</t>
        </is>
      </c>
      <c r="L1397" s="4" t="inlineStr">
        <is>
          <t>Curitiba</t>
        </is>
      </c>
      <c r="M1397" s="5" t="n">
        <v>1</v>
      </c>
    </row>
    <row r="1398">
      <c r="A1398" s="3">
        <f>RAND()</f>
        <v/>
      </c>
      <c r="B1398" s="4" t="inlineStr">
        <is>
          <t>ChIJMVseeVzj3JQRf9QL83-tDXo</t>
        </is>
      </c>
      <c r="C1398" s="4" t="inlineStr">
        <is>
          <t>Ruína Bar</t>
        </is>
      </c>
      <c r="D1398" s="4" t="inlineStr">
        <is>
          <t>Curitiba</t>
        </is>
      </c>
      <c r="E1398" s="4" t="inlineStr">
        <is>
          <t>PR</t>
        </is>
      </c>
      <c r="F1398" s="4" t="inlineStr">
        <is>
          <t>Metrópoles</t>
        </is>
      </c>
      <c r="G1398" s="4" t="inlineStr">
        <is>
          <t>Metrópole</t>
        </is>
      </c>
      <c r="H1398" s="5">
        <f>IF(G1398="fora do recorte","",SUMPRODUCT(($G$3:$G$1723=G1398)*($A$3:$A$1723&lt;=A1398)))</f>
        <v/>
      </c>
      <c r="I1398" s="4">
        <f>IF(H1398="","",G1398&amp;"|"&amp;H1398)</f>
        <v/>
      </c>
      <c r="J1398" s="4" t="inlineStr">
        <is>
          <t>https://www.google.com/maps/search/?api=1&amp;query=Ru%C3%ADna%20Bar&amp;query_place_id=ChIJMVseeVzj3JQRf9QL83-tDXo</t>
        </is>
      </c>
      <c r="K1398" s="4" t="inlineStr">
        <is>
          <t>Alameda Dr. Carlos de Carvalho, 1166 - Bigorrilho, Curitiba - PR, 80730-201, Brasil</t>
        </is>
      </c>
      <c r="L1398" s="4" t="inlineStr">
        <is>
          <t>Curitiba</t>
        </is>
      </c>
      <c r="M1398" s="5" t="n">
        <v>1</v>
      </c>
    </row>
    <row r="1399">
      <c r="A1399" s="3">
        <f>RAND()</f>
        <v/>
      </c>
      <c r="B1399" s="4" t="inlineStr">
        <is>
          <t>ChIJv_pNE3Pl3JQRCVM-2vFQX6s</t>
        </is>
      </c>
      <c r="C1399" s="4" t="inlineStr">
        <is>
          <t>Start Games Curitiba</t>
        </is>
      </c>
      <c r="D1399" s="4" t="inlineStr">
        <is>
          <t>Curitiba</t>
        </is>
      </c>
      <c r="E1399" s="4" t="inlineStr">
        <is>
          <t>PR</t>
        </is>
      </c>
      <c r="F1399" s="4" t="inlineStr">
        <is>
          <t>Metrópoles</t>
        </is>
      </c>
      <c r="G1399" s="4" t="inlineStr">
        <is>
          <t>Metrópole</t>
        </is>
      </c>
      <c r="H1399" s="5">
        <f>IF(G1399="fora do recorte","",SUMPRODUCT(($G$3:$G$1723=G1399)*($A$3:$A$1723&lt;=A1399)))</f>
        <v/>
      </c>
      <c r="I1399" s="4">
        <f>IF(H1399="","",G1399&amp;"|"&amp;H1399)</f>
        <v/>
      </c>
      <c r="J1399" s="4" t="inlineStr">
        <is>
          <t>https://www.google.com/maps/search/?api=1&amp;query=Start%20Games%20Curitiba&amp;query_place_id=ChIJv_pNE3Pl3JQRCVM-2vFQX6s</t>
        </is>
      </c>
      <c r="K1399" s="4" t="inlineStr">
        <is>
          <t>Av. Nossa Sra. de Lourdes, 63 - Centro, Curitiba - PR, 80230-010, Brasil</t>
        </is>
      </c>
      <c r="L1399" s="4" t="inlineStr">
        <is>
          <t>Curitiba</t>
        </is>
      </c>
      <c r="M1399" s="5" t="n">
        <v>1</v>
      </c>
    </row>
    <row r="1400">
      <c r="A1400" s="3">
        <f>RAND()</f>
        <v/>
      </c>
      <c r="B1400" s="4" t="inlineStr">
        <is>
          <t>ChIJez7NYAz93JQR-C-WwGlQGKQ</t>
        </is>
      </c>
      <c r="C1400" s="4" t="inlineStr">
        <is>
          <t>Summoner Hobbies Store</t>
        </is>
      </c>
      <c r="D1400" s="4" t="inlineStr">
        <is>
          <t>Curitiba</t>
        </is>
      </c>
      <c r="E1400" s="4" t="inlineStr">
        <is>
          <t>PR</t>
        </is>
      </c>
      <c r="F1400" s="4" t="inlineStr">
        <is>
          <t>Metrópoles</t>
        </is>
      </c>
      <c r="G1400" s="4" t="inlineStr">
        <is>
          <t>Metrópole</t>
        </is>
      </c>
      <c r="H1400" s="5">
        <f>IF(G1400="fora do recorte","",SUMPRODUCT(($G$3:$G$1723=G1400)*($A$3:$A$1723&lt;=A1400)))</f>
        <v/>
      </c>
      <c r="I1400" s="4">
        <f>IF(H1400="","",G1400&amp;"|"&amp;H1400)</f>
        <v/>
      </c>
      <c r="J1400" s="4" t="inlineStr">
        <is>
          <t>https://www.google.com/maps/search/?api=1&amp;query=Summoner%20Hobbies%20Store&amp;query_place_id=ChIJez7NYAz93JQR-C-WwGlQGKQ</t>
        </is>
      </c>
      <c r="K1400" s="4" t="inlineStr">
        <is>
          <t>Av. Sete de Setembro, 3146 - Sobreloja 52 - Centro, Curitiba - PR, 80230-010, Brasil</t>
        </is>
      </c>
      <c r="L1400" s="4" t="inlineStr">
        <is>
          <t>Curitiba</t>
        </is>
      </c>
      <c r="M1400" s="5" t="n">
        <v>4</v>
      </c>
    </row>
    <row r="1401">
      <c r="A1401" s="3">
        <f>RAND()</f>
        <v/>
      </c>
      <c r="B1401" s="4" t="inlineStr">
        <is>
          <t>ChIJc66HomXk3JQRNl28jz_VsPc</t>
        </is>
      </c>
      <c r="C1401" s="4" t="inlineStr">
        <is>
          <t>Taverna Game House</t>
        </is>
      </c>
      <c r="D1401" s="4" t="inlineStr">
        <is>
          <t>Curitiba</t>
        </is>
      </c>
      <c r="E1401" s="4" t="inlineStr">
        <is>
          <t>PR</t>
        </is>
      </c>
      <c r="F1401" s="4" t="inlineStr">
        <is>
          <t>Metrópoles</t>
        </is>
      </c>
      <c r="G1401" s="4" t="inlineStr">
        <is>
          <t>Metrópole</t>
        </is>
      </c>
      <c r="H1401" s="5">
        <f>IF(G1401="fora do recorte","",SUMPRODUCT(($G$3:$G$1723=G1401)*($A$3:$A$1723&lt;=A1401)))</f>
        <v/>
      </c>
      <c r="I1401" s="4">
        <f>IF(H1401="","",G1401&amp;"|"&amp;H1401)</f>
        <v/>
      </c>
      <c r="J1401" s="4" t="inlineStr">
        <is>
          <t>https://www.google.com/maps/search/?api=1&amp;query=Taverna%20Game%20House&amp;query_place_id=ChIJc66HomXk3JQRNl28jz_VsPc</t>
        </is>
      </c>
      <c r="K1401" s="4" t="inlineStr">
        <is>
          <t>R. Alferes Poli, 589 - Centro, Curitiba - PR, 80220-050, Brasil</t>
        </is>
      </c>
      <c r="L1401" s="4" t="inlineStr">
        <is>
          <t>Campo Grande; Curitiba</t>
        </is>
      </c>
      <c r="M1401" s="5" t="n">
        <v>7</v>
      </c>
    </row>
    <row r="1402">
      <c r="A1402" s="3">
        <f>RAND()</f>
        <v/>
      </c>
      <c r="B1402" s="4" t="inlineStr">
        <is>
          <t>ChIJVfHvi8nl3JQRJZrmTr65g_k</t>
        </is>
      </c>
      <c r="C1402" s="4" t="inlineStr">
        <is>
          <t>Taverna do Dragão</t>
        </is>
      </c>
      <c r="D1402" s="4" t="inlineStr">
        <is>
          <t>Curitiba</t>
        </is>
      </c>
      <c r="E1402" s="4" t="inlineStr">
        <is>
          <t>PR</t>
        </is>
      </c>
      <c r="F1402" s="4" t="inlineStr">
        <is>
          <t>Metrópoles</t>
        </is>
      </c>
      <c r="G1402" s="4" t="inlineStr">
        <is>
          <t>Metrópole</t>
        </is>
      </c>
      <c r="H1402" s="5">
        <f>IF(G1402="fora do recorte","",SUMPRODUCT(($G$3:$G$1723=G1402)*($A$3:$A$1723&lt;=A1402)))</f>
        <v/>
      </c>
      <c r="I1402" s="4">
        <f>IF(H1402="","",G1402&amp;"|"&amp;H1402)</f>
        <v/>
      </c>
      <c r="J1402" s="4" t="inlineStr">
        <is>
          <t>https://www.google.com/maps/search/?api=1&amp;query=Taverna%20do%20Drag%C3%A3o&amp;query_place_id=ChIJVfHvi8nl3JQRJZrmTr65g_k</t>
        </is>
      </c>
      <c r="K1402" s="4" t="inlineStr">
        <is>
          <t>R. Chile, 1898 - Rebouças, Curitiba - PR, 80220-181, Brasil</t>
        </is>
      </c>
      <c r="L1402" s="4" t="inlineStr">
        <is>
          <t>Curitiba</t>
        </is>
      </c>
      <c r="M1402" s="5" t="n">
        <v>1</v>
      </c>
    </row>
    <row r="1403">
      <c r="A1403" s="3">
        <f>RAND()</f>
        <v/>
      </c>
      <c r="B1403" s="4" t="inlineStr">
        <is>
          <t>ChIJtbZhvbzl3JQRIy6JuRK2AWQ</t>
        </is>
      </c>
      <c r="C1403" s="4" t="inlineStr">
        <is>
          <t>Toca do Corvo</t>
        </is>
      </c>
      <c r="D1403" s="4" t="inlineStr">
        <is>
          <t>Curitiba</t>
        </is>
      </c>
      <c r="E1403" s="4" t="inlineStr">
        <is>
          <t>PR</t>
        </is>
      </c>
      <c r="F1403" s="4" t="inlineStr">
        <is>
          <t>Metrópoles</t>
        </is>
      </c>
      <c r="G1403" s="4" t="inlineStr">
        <is>
          <t>Metrópole</t>
        </is>
      </c>
      <c r="H1403" s="5">
        <f>IF(G1403="fora do recorte","",SUMPRODUCT(($G$3:$G$1723=G1403)*($A$3:$A$1723&lt;=A1403)))</f>
        <v/>
      </c>
      <c r="I1403" s="4">
        <f>IF(H1403="","",G1403&amp;"|"&amp;H1403)</f>
        <v/>
      </c>
      <c r="J1403" s="4" t="inlineStr">
        <is>
          <t>https://www.google.com/maps/search/?api=1&amp;query=Toca%20do%20Corvo&amp;query_place_id=ChIJtbZhvbzl3JQRIy6JuRK2AWQ</t>
        </is>
      </c>
      <c r="K1403" s="4" t="inlineStr">
        <is>
          <t>R. Chile, 1376 - Rebouças, Curitiba - PR, 80215-170, Brasil</t>
        </is>
      </c>
      <c r="L1403" s="4" t="inlineStr">
        <is>
          <t>Curitiba</t>
        </is>
      </c>
      <c r="M1403" s="5" t="n">
        <v>1</v>
      </c>
    </row>
    <row r="1404">
      <c r="A1404" s="3">
        <f>RAND()</f>
        <v/>
      </c>
      <c r="B1404" s="4" t="inlineStr">
        <is>
          <t>ChIJ4UTOWgrj3JQRsm3e18EhfHA</t>
        </is>
      </c>
      <c r="C1404" s="4" t="inlineStr">
        <is>
          <t>Toka Brinquedos &amp; Colecionáveis</t>
        </is>
      </c>
      <c r="D1404" s="4" t="inlineStr">
        <is>
          <t>Curitiba</t>
        </is>
      </c>
      <c r="E1404" s="4" t="inlineStr">
        <is>
          <t>PR</t>
        </is>
      </c>
      <c r="F1404" s="4" t="inlineStr">
        <is>
          <t>Metrópoles</t>
        </is>
      </c>
      <c r="G1404" s="4" t="inlineStr">
        <is>
          <t>Metrópole</t>
        </is>
      </c>
      <c r="H1404" s="5">
        <f>IF(G1404="fora do recorte","",SUMPRODUCT(($G$3:$G$1723=G1404)*($A$3:$A$1723&lt;=A1404)))</f>
        <v/>
      </c>
      <c r="I1404" s="4">
        <f>IF(H1404="","",G1404&amp;"|"&amp;H1404)</f>
        <v/>
      </c>
      <c r="J1404" s="4" t="inlineStr">
        <is>
          <t>https://www.google.com/maps/search/?api=1&amp;query=Toka%20Brinquedos%20%26%20Colecion%C3%A1veis&amp;query_place_id=ChIJ4UTOWgrj3JQRsm3e18EhfHA</t>
        </is>
      </c>
      <c r="K1404" s="4" t="inlineStr">
        <is>
          <t>R. João Alencar Guimarães, 1219 - Santa Quiteria, Curitiba - PR, 80310-420, Brasil</t>
        </is>
      </c>
      <c r="L1404" s="4" t="inlineStr">
        <is>
          <t>Curitiba</t>
        </is>
      </c>
      <c r="M1404" s="5" t="n">
        <v>1</v>
      </c>
    </row>
    <row r="1405">
      <c r="A1405" s="3">
        <f>RAND()</f>
        <v/>
      </c>
      <c r="B1405" s="4" t="inlineStr">
        <is>
          <t>ChIJE-mLUmDk3JQR7SwYcySFa70</t>
        </is>
      </c>
      <c r="C1405" s="4" t="inlineStr">
        <is>
          <t>Tropas Polares - Associação de Tabletop Games &amp; Miniaturismo</t>
        </is>
      </c>
      <c r="D1405" s="4" t="inlineStr">
        <is>
          <t>Curitiba</t>
        </is>
      </c>
      <c r="E1405" s="4" t="inlineStr">
        <is>
          <t>PR</t>
        </is>
      </c>
      <c r="F1405" s="4" t="inlineStr">
        <is>
          <t>Metrópoles</t>
        </is>
      </c>
      <c r="G1405" s="4" t="inlineStr">
        <is>
          <t>Metrópole</t>
        </is>
      </c>
      <c r="H1405" s="5">
        <f>IF(G1405="fora do recorte","",SUMPRODUCT(($G$3:$G$1723=G1405)*($A$3:$A$1723&lt;=A1405)))</f>
        <v/>
      </c>
      <c r="I1405" s="4">
        <f>IF(H1405="","",G1405&amp;"|"&amp;H1405)</f>
        <v/>
      </c>
      <c r="J1405" s="4" t="inlineStr">
        <is>
          <t>https://www.google.com/maps/search/?api=1&amp;query=Tropas%20Polares%20-%20Associa%C3%A7%C3%A3o%20de%20Tabletop%20Games%20%26%20Miniaturismo&amp;query_place_id=ChIJE-mLUmDk3JQR7SwYcySFa70</t>
        </is>
      </c>
      <c r="K1405" s="4" t="inlineStr">
        <is>
          <t>R. Mal. Deodoro, 2413 - sobreloja - Alto da XV, Curitiba - PR, 80045-235, Brasil</t>
        </is>
      </c>
      <c r="L1405" s="4" t="inlineStr">
        <is>
          <t>Curitiba</t>
        </is>
      </c>
      <c r="M1405" s="5" t="n">
        <v>1</v>
      </c>
    </row>
    <row r="1406">
      <c r="A1406" s="3">
        <f>RAND()</f>
        <v/>
      </c>
      <c r="B1406" s="4" t="inlineStr">
        <is>
          <t>ChIJhUtqognj3JQRpVZ3Ea0kmSc</t>
        </is>
      </c>
      <c r="C1406" s="4" t="inlineStr">
        <is>
          <t>UniDanitê BrincaLab</t>
        </is>
      </c>
      <c r="D1406" s="4" t="inlineStr">
        <is>
          <t>Curitiba</t>
        </is>
      </c>
      <c r="E1406" s="4" t="inlineStr">
        <is>
          <t>PR</t>
        </is>
      </c>
      <c r="F1406" s="4" t="inlineStr">
        <is>
          <t>Metrópoles</t>
        </is>
      </c>
      <c r="G1406" s="4" t="inlineStr">
        <is>
          <t>Metrópole</t>
        </is>
      </c>
      <c r="H1406" s="5">
        <f>IF(G1406="fora do recorte","",SUMPRODUCT(($G$3:$G$1723=G1406)*($A$3:$A$1723&lt;=A1406)))</f>
        <v/>
      </c>
      <c r="I1406" s="4">
        <f>IF(H1406="","",G1406&amp;"|"&amp;H1406)</f>
        <v/>
      </c>
      <c r="J1406" s="4" t="inlineStr">
        <is>
          <t>https://www.google.com/maps/search/?api=1&amp;query=UniDanit%C3%AA%20BrincaLab&amp;query_place_id=ChIJhUtqognj3JQRpVZ3Ea0kmSc</t>
        </is>
      </c>
      <c r="K1406" s="4" t="inlineStr">
        <is>
          <t>Av. do Batel, 1868 - Lj 342 L3 - Batel, Curitiba - PR, 80420-090, Brasil</t>
        </is>
      </c>
      <c r="L1406" s="4" t="inlineStr">
        <is>
          <t>Curitiba</t>
        </is>
      </c>
      <c r="M1406" s="5" t="n">
        <v>1</v>
      </c>
    </row>
    <row r="1407">
      <c r="A1407" s="3">
        <f>RAND()</f>
        <v/>
      </c>
      <c r="B1407" s="4" t="inlineStr">
        <is>
          <t>ChIJ1wjBJD7k3JQRQi7trfp_0aQ</t>
        </is>
      </c>
      <c r="C1407" s="4" t="inlineStr">
        <is>
          <t>Vila Celta Hobby Store - Jogos e Café</t>
        </is>
      </c>
      <c r="D1407" s="4" t="inlineStr">
        <is>
          <t>Curitiba</t>
        </is>
      </c>
      <c r="E1407" s="4" t="inlineStr">
        <is>
          <t>PR</t>
        </is>
      </c>
      <c r="F1407" s="4" t="inlineStr">
        <is>
          <t>Metrópoles</t>
        </is>
      </c>
      <c r="G1407" s="4" t="inlineStr">
        <is>
          <t>Metrópole</t>
        </is>
      </c>
      <c r="H1407" s="5">
        <f>IF(G1407="fora do recorte","",SUMPRODUCT(($G$3:$G$1723=G1407)*($A$3:$A$1723&lt;=A1407)))</f>
        <v/>
      </c>
      <c r="I1407" s="4">
        <f>IF(H1407="","",G1407&amp;"|"&amp;H1407)</f>
        <v/>
      </c>
      <c r="J1407" s="4" t="inlineStr">
        <is>
          <t>https://www.google.com/maps/search/?api=1&amp;query=Vila%20Celta%20Hobby%20Store%20-%20Jogos%20e%20Caf%C3%A9&amp;query_place_id=ChIJ1wjBJD7k3JQRQi7trfp_0aQ</t>
        </is>
      </c>
      <c r="K1407" s="4" t="inlineStr">
        <is>
          <t>Av. Pres. Getúlio Vargas, 659 - Rebouças, Curitiba - PR, 80240-040, Brasil</t>
        </is>
      </c>
      <c r="L1407" s="4" t="inlineStr">
        <is>
          <t>Boa Vista; Curitiba</t>
        </is>
      </c>
      <c r="M1407" s="5" t="n">
        <v>12</v>
      </c>
    </row>
    <row r="1408">
      <c r="A1408" s="3">
        <f>RAND()</f>
        <v/>
      </c>
      <c r="B1408" s="4" t="inlineStr">
        <is>
          <t>ChIJa3nvk47j3JQR2yMtZEUhr6I</t>
        </is>
      </c>
      <c r="C1408" s="4" t="inlineStr">
        <is>
          <t>Vila Vilô Brinquedoteca</t>
        </is>
      </c>
      <c r="D1408" s="4" t="inlineStr">
        <is>
          <t>Curitiba</t>
        </is>
      </c>
      <c r="E1408" s="4" t="inlineStr">
        <is>
          <t>PR</t>
        </is>
      </c>
      <c r="F1408" s="4" t="inlineStr">
        <is>
          <t>Metrópoles</t>
        </is>
      </c>
      <c r="G1408" s="4" t="inlineStr">
        <is>
          <t>Metrópole</t>
        </is>
      </c>
      <c r="H1408" s="5">
        <f>IF(G1408="fora do recorte","",SUMPRODUCT(($G$3:$G$1723=G1408)*($A$3:$A$1723&lt;=A1408)))</f>
        <v/>
      </c>
      <c r="I1408" s="4">
        <f>IF(H1408="","",G1408&amp;"|"&amp;H1408)</f>
        <v/>
      </c>
      <c r="J1408" s="4" t="inlineStr">
        <is>
          <t>https://www.google.com/maps/search/?api=1&amp;query=Vila%20Vil%C3%B4%20Brinquedoteca&amp;query_place_id=ChIJa3nvk47j3JQR2yMtZEUhr6I</t>
        </is>
      </c>
      <c r="K1408" s="4" t="inlineStr">
        <is>
          <t>Shopping Pátio Batel - Av. do Batel, 1868 - Batel, Curitiba - PR, 80420-090, Brasil</t>
        </is>
      </c>
      <c r="L1408" s="4" t="inlineStr">
        <is>
          <t>Curitiba</t>
        </is>
      </c>
      <c r="M1408" s="5" t="n">
        <v>1</v>
      </c>
    </row>
    <row r="1409">
      <c r="A1409" s="3">
        <f>RAND()</f>
        <v/>
      </c>
      <c r="B1409" s="4" t="inlineStr">
        <is>
          <t>ChIJ4z4bZErk3JQR9-2D2OsTxXE</t>
        </is>
      </c>
      <c r="C1409" s="4" t="inlineStr">
        <is>
          <t>Vila Yamon</t>
        </is>
      </c>
      <c r="D1409" s="4" t="inlineStr">
        <is>
          <t>Curitiba</t>
        </is>
      </c>
      <c r="E1409" s="4" t="inlineStr">
        <is>
          <t>PR</t>
        </is>
      </c>
      <c r="F1409" s="4" t="inlineStr">
        <is>
          <t>Metrópoles</t>
        </is>
      </c>
      <c r="G1409" s="4" t="inlineStr">
        <is>
          <t>Metrópole</t>
        </is>
      </c>
      <c r="H1409" s="5">
        <f>IF(G1409="fora do recorte","",SUMPRODUCT(($G$3:$G$1723=G1409)*($A$3:$A$1723&lt;=A1409)))</f>
        <v/>
      </c>
      <c r="I1409" s="4">
        <f>IF(H1409="","",G1409&amp;"|"&amp;H1409)</f>
        <v/>
      </c>
      <c r="J1409" s="4" t="inlineStr">
        <is>
          <t>https://www.google.com/maps/search/?api=1&amp;query=Vila%20Yamon&amp;query_place_id=ChIJ4z4bZErk3JQR9-2D2OsTxXE</t>
        </is>
      </c>
      <c r="K1409" s="4" t="inlineStr">
        <is>
          <t>R. Itupava, 1402 - Alto da XV, Curitiba - PR, 80045-330, Brasil</t>
        </is>
      </c>
      <c r="L1409" s="4" t="inlineStr">
        <is>
          <t>Curitiba</t>
        </is>
      </c>
      <c r="M1409" s="5" t="n">
        <v>1</v>
      </c>
    </row>
    <row r="1410">
      <c r="A1410" s="3">
        <f>RAND()</f>
        <v/>
      </c>
      <c r="B1410" s="4" t="inlineStr">
        <is>
          <t>ChIJfV821Q_k3JQR1kx_9tjVhps</t>
        </is>
      </c>
      <c r="C1410" s="4" t="inlineStr">
        <is>
          <t>Vitto Bar</t>
        </is>
      </c>
      <c r="D1410" s="4" t="inlineStr">
        <is>
          <t>Curitiba</t>
        </is>
      </c>
      <c r="E1410" s="4" t="inlineStr">
        <is>
          <t>PR</t>
        </is>
      </c>
      <c r="F1410" s="4" t="inlineStr">
        <is>
          <t>Metrópoles</t>
        </is>
      </c>
      <c r="G1410" s="4" t="inlineStr">
        <is>
          <t>Metrópole</t>
        </is>
      </c>
      <c r="H1410" s="5">
        <f>IF(G1410="fora do recorte","",SUMPRODUCT(($G$3:$G$1723=G1410)*($A$3:$A$1723&lt;=A1410)))</f>
        <v/>
      </c>
      <c r="I1410" s="4">
        <f>IF(H1410="","",G1410&amp;"|"&amp;H1410)</f>
        <v/>
      </c>
      <c r="J1410" s="4" t="inlineStr">
        <is>
          <t>https://www.google.com/maps/search/?api=1&amp;query=Vitto%20Bar&amp;query_place_id=ChIJfV821Q_k3JQR1kx_9tjVhps</t>
        </is>
      </c>
      <c r="K1410" s="4" t="inlineStr">
        <is>
          <t>R. Treze de Maio, 940 - Centro, Curitiba - PR, 80510-030, Brasil</t>
        </is>
      </c>
      <c r="L1410" s="4" t="inlineStr">
        <is>
          <t>Curitiba</t>
        </is>
      </c>
      <c r="M1410" s="5" t="n">
        <v>1</v>
      </c>
    </row>
    <row r="1411">
      <c r="A1411" s="3">
        <f>RAND()</f>
        <v/>
      </c>
      <c r="B1411" s="4" t="inlineStr">
        <is>
          <t>ChIJQ6V_jnjk3JQR7PJen5oxpus</t>
        </is>
      </c>
      <c r="C1411" s="4" t="inlineStr">
        <is>
          <t>We Are Bastards</t>
        </is>
      </c>
      <c r="D1411" s="4" t="inlineStr">
        <is>
          <t>Curitiba</t>
        </is>
      </c>
      <c r="E1411" s="4" t="inlineStr">
        <is>
          <t>PR</t>
        </is>
      </c>
      <c r="F1411" s="4" t="inlineStr">
        <is>
          <t>Metrópoles</t>
        </is>
      </c>
      <c r="G1411" s="4" t="inlineStr">
        <is>
          <t>Metrópole</t>
        </is>
      </c>
      <c r="H1411" s="5">
        <f>IF(G1411="fora do recorte","",SUMPRODUCT(($G$3:$G$1723=G1411)*($A$3:$A$1723&lt;=A1411)))</f>
        <v/>
      </c>
      <c r="I1411" s="4">
        <f>IF(H1411="","",G1411&amp;"|"&amp;H1411)</f>
        <v/>
      </c>
      <c r="J1411" s="4" t="inlineStr">
        <is>
          <t>https://www.google.com/maps/search/?api=1&amp;query=We%20Are%20Bastards&amp;query_place_id=ChIJQ6V_jnjk3JQR7PJen5oxpus</t>
        </is>
      </c>
      <c r="K1411" s="4" t="inlineStr">
        <is>
          <t>Av. Iguaçu, 2300 - Água Verde, Curitiba - PR, 80240-030, Brasil</t>
        </is>
      </c>
      <c r="L1411" s="4" t="inlineStr">
        <is>
          <t>Curitiba</t>
        </is>
      </c>
      <c r="M1411" s="5" t="n">
        <v>1</v>
      </c>
    </row>
    <row r="1412">
      <c r="A1412" s="3">
        <f>RAND()</f>
        <v/>
      </c>
      <c r="B1412" s="4" t="inlineStr">
        <is>
          <t>ChIJpyf58vL93JQRzjPTFDFE4xg</t>
        </is>
      </c>
      <c r="C1412" s="4" t="inlineStr">
        <is>
          <t>WeCaos RPG Hobby Store</t>
        </is>
      </c>
      <c r="D1412" s="4" t="inlineStr">
        <is>
          <t>Curitiba</t>
        </is>
      </c>
      <c r="E1412" s="4" t="inlineStr">
        <is>
          <t>PR</t>
        </is>
      </c>
      <c r="F1412" s="4" t="inlineStr">
        <is>
          <t>Metrópoles</t>
        </is>
      </c>
      <c r="G1412" s="4" t="inlineStr">
        <is>
          <t>Metrópole</t>
        </is>
      </c>
      <c r="H1412" s="5">
        <f>IF(G1412="fora do recorte","",SUMPRODUCT(($G$3:$G$1723=G1412)*($A$3:$A$1723&lt;=A1412)))</f>
        <v/>
      </c>
      <c r="I1412" s="4">
        <f>IF(H1412="","",G1412&amp;"|"&amp;H1412)</f>
        <v/>
      </c>
      <c r="J1412" s="4" t="inlineStr">
        <is>
          <t>https://www.google.com/maps/search/?api=1&amp;query=WeCaos%20RPG%20Hobby%20Store&amp;query_place_id=ChIJpyf58vL93JQRzjPTFDFE4xg</t>
        </is>
      </c>
      <c r="K1412" s="4" t="inlineStr">
        <is>
          <t>R. Des. Ernâni Guaritá Cartaxo, 1 - Lj Térreo - Capão Raso, Curitiba - PR, 81130-120, Brasil</t>
        </is>
      </c>
      <c r="L1412" s="4" t="inlineStr">
        <is>
          <t>Curitiba</t>
        </is>
      </c>
      <c r="M1412" s="5" t="n">
        <v>4</v>
      </c>
    </row>
    <row r="1413">
      <c r="A1413" s="3">
        <f>RAND()</f>
        <v/>
      </c>
      <c r="B1413" s="4" t="inlineStr">
        <is>
          <t>ChIJM6Fg-wbl3JQRakSiXMfjWSI</t>
        </is>
      </c>
      <c r="C1413" s="4" t="inlineStr">
        <is>
          <t>Wit Bar</t>
        </is>
      </c>
      <c r="D1413" s="4" t="inlineStr">
        <is>
          <t>Curitiba</t>
        </is>
      </c>
      <c r="E1413" s="4" t="inlineStr">
        <is>
          <t>PR</t>
        </is>
      </c>
      <c r="F1413" s="4" t="inlineStr">
        <is>
          <t>Metrópoles</t>
        </is>
      </c>
      <c r="G1413" s="4" t="inlineStr">
        <is>
          <t>Metrópole</t>
        </is>
      </c>
      <c r="H1413" s="5">
        <f>IF(G1413="fora do recorte","",SUMPRODUCT(($G$3:$G$1723=G1413)*($A$3:$A$1723&lt;=A1413)))</f>
        <v/>
      </c>
      <c r="I1413" s="4">
        <f>IF(H1413="","",G1413&amp;"|"&amp;H1413)</f>
        <v/>
      </c>
      <c r="J1413" s="4" t="inlineStr">
        <is>
          <t>https://www.google.com/maps/search/?api=1&amp;query=Wit%20Bar&amp;query_place_id=ChIJM6Fg-wbl3JQRakSiXMfjWSI</t>
        </is>
      </c>
      <c r="K1413" s="4" t="inlineStr">
        <is>
          <t>R. Itupava, 1163 - Alto da XV, Curitiba - PR, 80060-272, Brasil</t>
        </is>
      </c>
      <c r="L1413" s="4" t="inlineStr">
        <is>
          <t>Curitiba</t>
        </is>
      </c>
      <c r="M1413" s="5" t="n">
        <v>1</v>
      </c>
    </row>
    <row r="1414">
      <c r="A1414" s="3">
        <f>RAND()</f>
        <v/>
      </c>
      <c r="B1414" s="4" t="inlineStr">
        <is>
          <t>ChIJm6MFYxXk3JQRdlRAZV1Dtt4</t>
        </is>
      </c>
      <c r="C1414" s="4" t="inlineStr">
        <is>
          <t>XPlace Games</t>
        </is>
      </c>
      <c r="D1414" s="4" t="inlineStr">
        <is>
          <t>Curitiba</t>
        </is>
      </c>
      <c r="E1414" s="4" t="inlineStr">
        <is>
          <t>PR</t>
        </is>
      </c>
      <c r="F1414" s="4" t="inlineStr">
        <is>
          <t>Metrópoles</t>
        </is>
      </c>
      <c r="G1414" s="4" t="inlineStr">
        <is>
          <t>Metrópole</t>
        </is>
      </c>
      <c r="H1414" s="5">
        <f>IF(G1414="fora do recorte","",SUMPRODUCT(($G$3:$G$1723=G1414)*($A$3:$A$1723&lt;=A1414)))</f>
        <v/>
      </c>
      <c r="I1414" s="4">
        <f>IF(H1414="","",G1414&amp;"|"&amp;H1414)</f>
        <v/>
      </c>
      <c r="J1414" s="4" t="inlineStr">
        <is>
          <t>https://www.google.com/maps/search/?api=1&amp;query=XPlace%20Games&amp;query_place_id=ChIJm6MFYxXk3JQRdlRAZV1Dtt4</t>
        </is>
      </c>
      <c r="K1414" s="4" t="inlineStr">
        <is>
          <t>R. Fernando de Noronha, 1069 - Boa Vista, Curitiba - PR, 82650-145, Brasil</t>
        </is>
      </c>
      <c r="L1414" s="4" t="inlineStr">
        <is>
          <t>Curitiba</t>
        </is>
      </c>
      <c r="M1414" s="5" t="n">
        <v>2</v>
      </c>
    </row>
    <row r="1415">
      <c r="A1415" s="3">
        <f>RAND()</f>
        <v/>
      </c>
      <c r="B1415" s="4" t="inlineStr">
        <is>
          <t>ChIJuXaHIdPl3JQRVmUY3vFFg0M</t>
        </is>
      </c>
      <c r="C1415" s="4" t="inlineStr">
        <is>
          <t>tcgBR</t>
        </is>
      </c>
      <c r="D1415" s="4" t="inlineStr">
        <is>
          <t>Curitiba</t>
        </is>
      </c>
      <c r="E1415" s="4" t="inlineStr">
        <is>
          <t>PR</t>
        </is>
      </c>
      <c r="F1415" s="4" t="inlineStr">
        <is>
          <t>Metrópoles</t>
        </is>
      </c>
      <c r="G1415" s="4" t="inlineStr">
        <is>
          <t>Metrópole</t>
        </is>
      </c>
      <c r="H1415" s="5">
        <f>IF(G1415="fora do recorte","",SUMPRODUCT(($G$3:$G$1723=G1415)*($A$3:$A$1723&lt;=A1415)))</f>
        <v/>
      </c>
      <c r="I1415" s="4">
        <f>IF(H1415="","",G1415&amp;"|"&amp;H1415)</f>
        <v/>
      </c>
      <c r="J1415" s="4" t="inlineStr">
        <is>
          <t>https://www.google.com/maps/search/?api=1&amp;query=tcgBR&amp;query_place_id=ChIJuXaHIdPl3JQRVmUY3vFFg0M</t>
        </is>
      </c>
      <c r="K1415" s="4" t="inlineStr">
        <is>
          <t>Av. da República, 6464 - Guaíra, Curitiba - PR, 80630-060, Brasil</t>
        </is>
      </c>
      <c r="L1415" s="4" t="inlineStr">
        <is>
          <t>Curitiba</t>
        </is>
      </c>
      <c r="M1415" s="5" t="n">
        <v>1</v>
      </c>
    </row>
    <row r="1416">
      <c r="A1416" s="3">
        <f>RAND()</f>
        <v/>
      </c>
      <c r="B1416" s="4" t="inlineStr">
        <is>
          <t>ChIJld4etAH_3JQRw27WmOOZBgE</t>
        </is>
      </c>
      <c r="C1416" s="4" t="inlineStr">
        <is>
          <t>PsZ3D</t>
        </is>
      </c>
      <c r="D1416" s="4" t="inlineStr">
        <is>
          <t>Fazenda Rio Grande</t>
        </is>
      </c>
      <c r="E1416" s="4" t="inlineStr">
        <is>
          <t>PR</t>
        </is>
      </c>
      <c r="F1416" s="4" t="inlineStr">
        <is>
          <t>Metrópoles</t>
        </is>
      </c>
      <c r="G1416" s="4" t="inlineStr">
        <is>
          <t>Metrópole</t>
        </is>
      </c>
      <c r="H1416" s="5">
        <f>IF(G1416="fora do recorte","",SUMPRODUCT(($G$3:$G$1723=G1416)*($A$3:$A$1723&lt;=A1416)))</f>
        <v/>
      </c>
      <c r="I1416" s="4">
        <f>IF(H1416="","",G1416&amp;"|"&amp;H1416)</f>
        <v/>
      </c>
      <c r="J1416" s="4" t="inlineStr">
        <is>
          <t>https://www.google.com/maps/search/?api=1&amp;query=PsZ3D&amp;query_place_id=ChIJld4etAH_3JQRw27WmOOZBgE</t>
        </is>
      </c>
      <c r="K1416" s="4" t="inlineStr">
        <is>
          <t>R. Goiabeira, 75 - Sobreloja - Eucaliptos, Fazenda Rio Grande - PR, 83820-527, Brasil</t>
        </is>
      </c>
      <c r="L1416" s="4" t="inlineStr">
        <is>
          <t>Campo Grande; Curitiba</t>
        </is>
      </c>
      <c r="M1416" s="5" t="n">
        <v>2</v>
      </c>
    </row>
    <row r="1417">
      <c r="A1417" s="3">
        <f>RAND()</f>
        <v/>
      </c>
      <c r="B1417" s="4" t="inlineStr">
        <is>
          <t>ChIJrcZiZzfx3JQRojjx3qhX5xc</t>
        </is>
      </c>
      <c r="C1417" s="4" t="inlineStr">
        <is>
          <t>Modo Avião Board Games</t>
        </is>
      </c>
      <c r="D1417" s="4" t="inlineStr">
        <is>
          <t>São José dos Pinhais</t>
        </is>
      </c>
      <c r="E1417" s="4" t="inlineStr">
        <is>
          <t>PR</t>
        </is>
      </c>
      <c r="F1417" s="4" t="inlineStr">
        <is>
          <t>Metrópoles</t>
        </is>
      </c>
      <c r="G1417" s="4" t="inlineStr">
        <is>
          <t>Metrópole</t>
        </is>
      </c>
      <c r="H1417" s="5">
        <f>IF(G1417="fora do recorte","",SUMPRODUCT(($G$3:$G$1723=G1417)*($A$3:$A$1723&lt;=A1417)))</f>
        <v/>
      </c>
      <c r="I1417" s="4">
        <f>IF(H1417="","",G1417&amp;"|"&amp;H1417)</f>
        <v/>
      </c>
      <c r="J1417" s="4" t="inlineStr">
        <is>
          <t>https://www.google.com/maps/search/?api=1&amp;query=Modo%20Avi%C3%A3o%20Board%20Games&amp;query_place_id=ChIJrcZiZzfx3JQRojjx3qhX5xc</t>
        </is>
      </c>
      <c r="K1417" s="4" t="inlineStr">
        <is>
          <t>R. Anneliese Gellert Krigsner, 3202 - Iná, São José dos Pinhais - PR, 83065-470, Brasil</t>
        </is>
      </c>
      <c r="L1417" s="4" t="inlineStr">
        <is>
          <t>Curitiba</t>
        </is>
      </c>
      <c r="M1417" s="5" t="n">
        <v>1</v>
      </c>
    </row>
    <row r="1418">
      <c r="A1418" s="3">
        <f>RAND()</f>
        <v/>
      </c>
      <c r="B1418" s="4" t="inlineStr">
        <is>
          <t>ChIJ_S4eaAzx3JQRmGn0sZGSqts</t>
        </is>
      </c>
      <c r="C1418" s="4" t="inlineStr">
        <is>
          <t>SJPlay Board Games (Aluguel de Jogos de Tabuleiro em São José dos Pinhais)</t>
        </is>
      </c>
      <c r="D1418" s="4" t="inlineStr">
        <is>
          <t>São José dos Pinhais</t>
        </is>
      </c>
      <c r="E1418" s="4" t="inlineStr">
        <is>
          <t>PR</t>
        </is>
      </c>
      <c r="F1418" s="4" t="inlineStr">
        <is>
          <t>Metrópoles</t>
        </is>
      </c>
      <c r="G1418" s="4" t="inlineStr">
        <is>
          <t>Metrópole</t>
        </is>
      </c>
      <c r="H1418" s="5">
        <f>IF(G1418="fora do recorte","",SUMPRODUCT(($G$3:$G$1723=G1418)*($A$3:$A$1723&lt;=A1418)))</f>
        <v/>
      </c>
      <c r="I1418" s="4">
        <f>IF(H1418="","",G1418&amp;"|"&amp;H1418)</f>
        <v/>
      </c>
      <c r="J1418" s="4" t="inlineStr">
        <is>
          <t>https://www.google.com/maps/search/?api=1&amp;query=SJPlay%20Board%20Games%20%28Aluguel%20de%20Jogos%20de%20Tabuleiro%20em%20S%C3%A3o%20Jos%C3%A9%20dos%20Pinhais%29&amp;query_place_id=ChIJ_S4eaAzx3JQRmGn0sZGSqts</t>
        </is>
      </c>
      <c r="K1418" s="4" t="inlineStr">
        <is>
          <t>Rua: Profª Lourdes Grutter Bonin, 1182 - Parque da Fonte, São José dos Pinhais - PR, 83050-140, Brasil</t>
        </is>
      </c>
      <c r="L1418" s="4" t="inlineStr">
        <is>
          <t>Curitiba</t>
        </is>
      </c>
      <c r="M1418" s="5" t="n">
        <v>3</v>
      </c>
    </row>
    <row r="1419">
      <c r="A1419" s="3">
        <f>RAND()</f>
        <v/>
      </c>
      <c r="B1419" s="4" t="inlineStr">
        <is>
          <t>ChIJ7UwihgtwmQARd_GtVTEV5Zw</t>
        </is>
      </c>
      <c r="C1419" s="4" t="inlineStr">
        <is>
          <t>Bar Do K.B. Ludo</t>
        </is>
      </c>
      <c r="D1419" s="4" t="inlineStr">
        <is>
          <t>Duque de Caxias</t>
        </is>
      </c>
      <c r="E1419" s="4" t="inlineStr">
        <is>
          <t>RJ</t>
        </is>
      </c>
      <c r="F1419" s="4" t="inlineStr">
        <is>
          <t>Metrópoles Nacionais</t>
        </is>
      </c>
      <c r="G1419" s="4" t="inlineStr">
        <is>
          <t>Metrópole</t>
        </is>
      </c>
      <c r="H1419" s="5">
        <f>IF(G1419="fora do recorte","",SUMPRODUCT(($G$3:$G$1723=G1419)*($A$3:$A$1723&lt;=A1419)))</f>
        <v/>
      </c>
      <c r="I1419" s="4">
        <f>IF(H1419="","",G1419&amp;"|"&amp;H1419)</f>
        <v/>
      </c>
      <c r="J1419" s="4" t="inlineStr">
        <is>
          <t>https://www.google.com/maps/search/?api=1&amp;query=Bar%20Do%20K.B.%20Ludo&amp;query_place_id=ChIJ7UwihgtwmQARd_GtVTEV5Zw</t>
        </is>
      </c>
      <c r="K1419" s="4" t="inlineStr">
        <is>
          <t>R. Lêda - Jardim Leal, Duque de Caxias - RJ, 25035-550, Brasil</t>
        </is>
      </c>
      <c r="L1419" s="4" t="inlineStr">
        <is>
          <t>Rio de Janeiro</t>
        </is>
      </c>
      <c r="M1419" s="5" t="n">
        <v>1</v>
      </c>
    </row>
    <row r="1420">
      <c r="A1420" s="3">
        <f>RAND()</f>
        <v/>
      </c>
      <c r="B1420" s="4" t="inlineStr">
        <is>
          <t>ChIJ6Y5FEwB7mQAR5keMO8bZwbQ</t>
        </is>
      </c>
      <c r="C1420" s="4" t="inlineStr">
        <is>
          <t>Taverna Real</t>
        </is>
      </c>
      <c r="D1420" s="4" t="inlineStr">
        <is>
          <t>Duque de Caxias</t>
        </is>
      </c>
      <c r="E1420" s="4" t="inlineStr">
        <is>
          <t>RJ</t>
        </is>
      </c>
      <c r="F1420" s="4" t="inlineStr">
        <is>
          <t>Metrópoles Nacionais</t>
        </is>
      </c>
      <c r="G1420" s="4" t="inlineStr">
        <is>
          <t>Metrópole</t>
        </is>
      </c>
      <c r="H1420" s="5">
        <f>IF(G1420="fora do recorte","",SUMPRODUCT(($G$3:$G$1723=G1420)*($A$3:$A$1723&lt;=A1420)))</f>
        <v/>
      </c>
      <c r="I1420" s="4">
        <f>IF(H1420="","",G1420&amp;"|"&amp;H1420)</f>
        <v/>
      </c>
      <c r="J1420" s="4" t="inlineStr">
        <is>
          <t>https://www.google.com/maps/search/?api=1&amp;query=Taverna%20Real&amp;query_place_id=ChIJ6Y5FEwB7mQAR5keMO8bZwbQ</t>
        </is>
      </c>
      <c r="K1420" s="4" t="inlineStr">
        <is>
          <t>Av. Pres. Vargas, 84 - Centro, Duque de Caxias - RJ, 25070-330, Brasil</t>
        </is>
      </c>
      <c r="L1420" s="4" t="inlineStr">
        <is>
          <t>Rio de Janeiro</t>
        </is>
      </c>
      <c r="M1420" s="5" t="n">
        <v>1</v>
      </c>
    </row>
    <row r="1421">
      <c r="A1421" s="3">
        <f>RAND()</f>
        <v/>
      </c>
      <c r="B1421" s="4" t="inlineStr">
        <is>
          <t>ChIJwfCNegCPmQARqfRes6rIOB4</t>
        </is>
      </c>
      <c r="C1421" s="4" t="inlineStr">
        <is>
          <t>Taverna de Avalon Geek Store</t>
        </is>
      </c>
      <c r="D1421" s="4" t="inlineStr">
        <is>
          <t>Maricá</t>
        </is>
      </c>
      <c r="E1421" s="4" t="inlineStr">
        <is>
          <t>RJ</t>
        </is>
      </c>
      <c r="F1421" s="4" t="inlineStr">
        <is>
          <t>Metrópoles Nacionais</t>
        </is>
      </c>
      <c r="G1421" s="4" t="inlineStr">
        <is>
          <t>Metrópole</t>
        </is>
      </c>
      <c r="H1421" s="5">
        <f>IF(G1421="fora do recorte","",SUMPRODUCT(($G$3:$G$1723=G1421)*($A$3:$A$1723&lt;=A1421)))</f>
        <v/>
      </c>
      <c r="I1421" s="4">
        <f>IF(H1421="","",G1421&amp;"|"&amp;H1421)</f>
        <v/>
      </c>
      <c r="J1421" s="4" t="inlineStr">
        <is>
          <t>https://www.google.com/maps/search/?api=1&amp;query=Taverna%20de%20Avalon%20Geek%20Store&amp;query_place_id=ChIJwfCNegCPmQARqfRes6rIOB4</t>
        </is>
      </c>
      <c r="K1421" s="4" t="inlineStr">
        <is>
          <t>Av. Carlos Mariguella - Inoã, Maricá - RJ, 24942-395, Brasil</t>
        </is>
      </c>
      <c r="L1421" s="4" t="inlineStr">
        <is>
          <t>Rio de Janeiro</t>
        </is>
      </c>
      <c r="M1421" s="5" t="n">
        <v>2</v>
      </c>
    </row>
    <row r="1422">
      <c r="A1422" s="3">
        <f>RAND()</f>
        <v/>
      </c>
      <c r="B1422" s="4" t="inlineStr">
        <is>
          <t>ChIJsRiZZzJnmQARnGdvsJXmUNA</t>
        </is>
      </c>
      <c r="C1422" s="4" t="inlineStr">
        <is>
          <t>Ápice Lúdico - Aluguel de Jogos de Tabuleiro em Mesquita</t>
        </is>
      </c>
      <c r="D1422" s="4" t="inlineStr">
        <is>
          <t>Mesquita</t>
        </is>
      </c>
      <c r="E1422" s="4" t="inlineStr">
        <is>
          <t>RJ</t>
        </is>
      </c>
      <c r="F1422" s="4" t="inlineStr">
        <is>
          <t>Metrópoles Nacionais</t>
        </is>
      </c>
      <c r="G1422" s="4" t="inlineStr">
        <is>
          <t>Metrópole</t>
        </is>
      </c>
      <c r="H1422" s="5">
        <f>IF(G1422="fora do recorte","",SUMPRODUCT(($G$3:$G$1723=G1422)*($A$3:$A$1723&lt;=A1422)))</f>
        <v/>
      </c>
      <c r="I1422" s="4">
        <f>IF(H1422="","",G1422&amp;"|"&amp;H1422)</f>
        <v/>
      </c>
      <c r="J1422" s="4" t="inlineStr">
        <is>
          <t>https://www.google.com/maps/search/?api=1&amp;query=%C3%81pice%20L%C3%BAdico%20-%20Aluguel%20de%20Jogos%20de%20Tabuleiro%20em%20Mesquita&amp;query_place_id=ChIJsRiZZzJnmQARnGdvsJXmUNA</t>
        </is>
      </c>
      <c r="K1422" s="4" t="inlineStr">
        <is>
          <t>R. Carlos Pinto, 172 - Cosmorama, Mesquita - RJ, 26582-420, Brasil</t>
        </is>
      </c>
      <c r="L1422" s="4" t="inlineStr">
        <is>
          <t>Rio de Janeiro</t>
        </is>
      </c>
      <c r="M1422" s="5" t="n">
        <v>1</v>
      </c>
    </row>
    <row r="1423">
      <c r="A1423" s="3">
        <f>RAND()</f>
        <v/>
      </c>
      <c r="B1423" s="4" t="inlineStr">
        <is>
          <t>ChIJGTvSWgCDmQARyu8hVg-kaSw</t>
        </is>
      </c>
      <c r="C1423" s="4" t="inlineStr">
        <is>
          <t>Bubble Planet - Lanchonete e Cardgames</t>
        </is>
      </c>
      <c r="D1423" s="4" t="inlineStr">
        <is>
          <t>Niterói</t>
        </is>
      </c>
      <c r="E1423" s="4" t="inlineStr">
        <is>
          <t>RJ</t>
        </is>
      </c>
      <c r="F1423" s="4" t="inlineStr">
        <is>
          <t>Metrópoles Nacionais</t>
        </is>
      </c>
      <c r="G1423" s="4" t="inlineStr">
        <is>
          <t>Metrópole</t>
        </is>
      </c>
      <c r="H1423" s="5">
        <f>IF(G1423="fora do recorte","",SUMPRODUCT(($G$3:$G$1723=G1423)*($A$3:$A$1723&lt;=A1423)))</f>
        <v/>
      </c>
      <c r="I1423" s="4">
        <f>IF(H1423="","",G1423&amp;"|"&amp;H1423)</f>
        <v/>
      </c>
      <c r="J1423" s="4" t="inlineStr">
        <is>
          <t>https://www.google.com/maps/search/?api=1&amp;query=Bubble%20Planet%20-%20Lanchonete%20e%20Cardgames&amp;query_place_id=ChIJGTvSWgCDmQARyu8hVg-kaSw</t>
        </is>
      </c>
      <c r="K1423" s="4" t="inlineStr">
        <is>
          <t>Av. Roberto Silveira, 349 - loja 103 - Icaraí, Niterói - RJ, 24230-152, Brasil</t>
        </is>
      </c>
      <c r="L1423" s="4" t="inlineStr">
        <is>
          <t>Rio de Janeiro</t>
        </is>
      </c>
      <c r="M1423" s="5" t="n">
        <v>1</v>
      </c>
    </row>
    <row r="1424">
      <c r="A1424" s="3">
        <f>RAND()</f>
        <v/>
      </c>
      <c r="B1424" s="4" t="inlineStr">
        <is>
          <t>ChIJfQ_RV2CDmQARVhMDnz-4tkk</t>
        </is>
      </c>
      <c r="C1424" s="4" t="inlineStr">
        <is>
          <t>Mana Tap Jogos</t>
        </is>
      </c>
      <c r="D1424" s="4" t="inlineStr">
        <is>
          <t>Niterói</t>
        </is>
      </c>
      <c r="E1424" s="4" t="inlineStr">
        <is>
          <t>RJ</t>
        </is>
      </c>
      <c r="F1424" s="4" t="inlineStr">
        <is>
          <t>Metrópoles Nacionais</t>
        </is>
      </c>
      <c r="G1424" s="4" t="inlineStr">
        <is>
          <t>Metrópole</t>
        </is>
      </c>
      <c r="H1424" s="5">
        <f>IF(G1424="fora do recorte","",SUMPRODUCT(($G$3:$G$1723=G1424)*($A$3:$A$1723&lt;=A1424)))</f>
        <v/>
      </c>
      <c r="I1424" s="4">
        <f>IF(H1424="","",G1424&amp;"|"&amp;H1424)</f>
        <v/>
      </c>
      <c r="J1424" s="4" t="inlineStr">
        <is>
          <t>https://www.google.com/maps/search/?api=1&amp;query=Mana%20Tap%20Jogos&amp;query_place_id=ChIJfQ_RV2CDmQARVhMDnz-4tkk</t>
        </is>
      </c>
      <c r="K1424" s="4" t="inlineStr">
        <is>
          <t>Av. Ernani do Amaral Peixoto, 370/110 - Centro, Niterói - RJ, 24020-076, Brasil</t>
        </is>
      </c>
      <c r="L1424" s="4" t="inlineStr">
        <is>
          <t>Rio de Janeiro</t>
        </is>
      </c>
      <c r="M1424" s="5" t="n">
        <v>3</v>
      </c>
    </row>
    <row r="1425">
      <c r="A1425" s="3">
        <f>RAND()</f>
        <v/>
      </c>
      <c r="B1425" s="4" t="inlineStr">
        <is>
          <t>ChIJ-ZRKtFiDmQARX4W1txy7eik</t>
        </is>
      </c>
      <c r="C1425" s="4" t="inlineStr">
        <is>
          <t>Nikiti Jogos</t>
        </is>
      </c>
      <c r="D1425" s="4" t="inlineStr">
        <is>
          <t>Niterói</t>
        </is>
      </c>
      <c r="E1425" s="4" t="inlineStr">
        <is>
          <t>RJ</t>
        </is>
      </c>
      <c r="F1425" s="4" t="inlineStr">
        <is>
          <t>Metrópoles Nacionais</t>
        </is>
      </c>
      <c r="G1425" s="4" t="inlineStr">
        <is>
          <t>Metrópole</t>
        </is>
      </c>
      <c r="H1425" s="5">
        <f>IF(G1425="fora do recorte","",SUMPRODUCT(($G$3:$G$1723=G1425)*($A$3:$A$1723&lt;=A1425)))</f>
        <v/>
      </c>
      <c r="I1425" s="4">
        <f>IF(H1425="","",G1425&amp;"|"&amp;H1425)</f>
        <v/>
      </c>
      <c r="J1425" s="4" t="inlineStr">
        <is>
          <t>https://www.google.com/maps/search/?api=1&amp;query=Nikiti%20Jogos&amp;query_place_id=ChIJ-ZRKtFiDmQARX4W1txy7eik</t>
        </is>
      </c>
      <c r="K1425" s="4" t="inlineStr">
        <is>
          <t>Alameda João Batista, 30 - Icaraí, Niterói - RJ, 24230-330, Brasil</t>
        </is>
      </c>
      <c r="L1425" s="4" t="inlineStr">
        <is>
          <t>Rio de Janeiro</t>
        </is>
      </c>
      <c r="M1425" s="5" t="n">
        <v>8</v>
      </c>
    </row>
    <row r="1426">
      <c r="A1426" s="3">
        <f>RAND()</f>
        <v/>
      </c>
      <c r="B1426" s="4" t="inlineStr">
        <is>
          <t>ChIJ9US9YkeDmQARfO1od1YlSTg</t>
        </is>
      </c>
      <c r="C1426" s="4" t="inlineStr">
        <is>
          <t>O Parkinho</t>
        </is>
      </c>
      <c r="D1426" s="4" t="inlineStr">
        <is>
          <t>Niterói</t>
        </is>
      </c>
      <c r="E1426" s="4" t="inlineStr">
        <is>
          <t>RJ</t>
        </is>
      </c>
      <c r="F1426" s="4" t="inlineStr">
        <is>
          <t>Metrópoles Nacionais</t>
        </is>
      </c>
      <c r="G1426" s="4" t="inlineStr">
        <is>
          <t>Metrópole</t>
        </is>
      </c>
      <c r="H1426" s="5">
        <f>IF(G1426="fora do recorte","",SUMPRODUCT(($G$3:$G$1723=G1426)*($A$3:$A$1723&lt;=A1426)))</f>
        <v/>
      </c>
      <c r="I1426" s="4">
        <f>IF(H1426="","",G1426&amp;"|"&amp;H1426)</f>
        <v/>
      </c>
      <c r="J1426" s="4" t="inlineStr">
        <is>
          <t>https://www.google.com/maps/search/?api=1&amp;query=O%20Parkinho&amp;query_place_id=ChIJ9US9YkeDmQARfO1od1YlSTg</t>
        </is>
      </c>
      <c r="K1426" s="4" t="inlineStr">
        <is>
          <t>R. Ator Paulo Gustavo, 265 - Icaraí, Niterói - RJ, 24230-063, Brasil</t>
        </is>
      </c>
      <c r="L1426" s="4" t="inlineStr">
        <is>
          <t>Rio de Janeiro</t>
        </is>
      </c>
      <c r="M1426" s="5" t="n">
        <v>1</v>
      </c>
    </row>
    <row r="1427">
      <c r="A1427" s="3">
        <f>RAND()</f>
        <v/>
      </c>
      <c r="B1427" s="4" t="inlineStr">
        <is>
          <t>ChIJ3edR3omDmQARhTv5mrIPZBc</t>
        </is>
      </c>
      <c r="C1427" s="4" t="inlineStr">
        <is>
          <t>Planeta Luna</t>
        </is>
      </c>
      <c r="D1427" s="4" t="inlineStr">
        <is>
          <t>Niterói</t>
        </is>
      </c>
      <c r="E1427" s="4" t="inlineStr">
        <is>
          <t>RJ</t>
        </is>
      </c>
      <c r="F1427" s="4" t="inlineStr">
        <is>
          <t>Metrópoles Nacionais</t>
        </is>
      </c>
      <c r="G1427" s="4" t="inlineStr">
        <is>
          <t>Metrópole</t>
        </is>
      </c>
      <c r="H1427" s="5">
        <f>IF(G1427="fora do recorte","",SUMPRODUCT(($G$3:$G$1723=G1427)*($A$3:$A$1723&lt;=A1427)))</f>
        <v/>
      </c>
      <c r="I1427" s="4">
        <f>IF(H1427="","",G1427&amp;"|"&amp;H1427)</f>
        <v/>
      </c>
      <c r="J1427" s="4" t="inlineStr">
        <is>
          <t>https://www.google.com/maps/search/?api=1&amp;query=Planeta%20Luna&amp;query_place_id=ChIJ3edR3omDmQARhTv5mrIPZBc</t>
        </is>
      </c>
      <c r="K1427" s="4" t="inlineStr">
        <is>
          <t>Rua Dr. Leandro Mota, 140 - Icaraí, Niterói - RJ, 24220-370, Brasil</t>
        </is>
      </c>
      <c r="L1427" s="4" t="inlineStr">
        <is>
          <t>Rio de Janeiro</t>
        </is>
      </c>
      <c r="M1427" s="5" t="n">
        <v>1</v>
      </c>
    </row>
    <row r="1428">
      <c r="A1428" s="3">
        <f>RAND()</f>
        <v/>
      </c>
      <c r="B1428" s="4" t="inlineStr">
        <is>
          <t>ChIJvXtOFNqDmQARo9nf7HpT6Z4</t>
        </is>
      </c>
      <c r="C1428" s="4" t="inlineStr">
        <is>
          <t>Player 2 - Jogos de Tabuleiro e Videogame Retrô</t>
        </is>
      </c>
      <c r="D1428" s="4" t="inlineStr">
        <is>
          <t>Niterói</t>
        </is>
      </c>
      <c r="E1428" s="4" t="inlineStr">
        <is>
          <t>RJ</t>
        </is>
      </c>
      <c r="F1428" s="4" t="inlineStr">
        <is>
          <t>Metrópoles Nacionais</t>
        </is>
      </c>
      <c r="G1428" s="4" t="inlineStr">
        <is>
          <t>Metrópole</t>
        </is>
      </c>
      <c r="H1428" s="5">
        <f>IF(G1428="fora do recorte","",SUMPRODUCT(($G$3:$G$1723=G1428)*($A$3:$A$1723&lt;=A1428)))</f>
        <v/>
      </c>
      <c r="I1428" s="4">
        <f>IF(H1428="","",G1428&amp;"|"&amp;H1428)</f>
        <v/>
      </c>
      <c r="J1428" s="4" t="inlineStr">
        <is>
          <t>https://www.google.com/maps/search/?api=1&amp;query=Player%202%20-%20Jogos%20de%20Tabuleiro%20e%20Videogame%20Retr%C3%B4&amp;query_place_id=ChIJvXtOFNqDmQARo9nf7HpT6Z4</t>
        </is>
      </c>
      <c r="K1428" s="4" t="inlineStr">
        <is>
          <t>R. Dr. Paulo César, 333 - Sl 301 - Santa Rosa, Niterói - RJ, 24240-000, Brasil</t>
        </is>
      </c>
      <c r="L1428" s="4" t="inlineStr">
        <is>
          <t>Rio de Janeiro</t>
        </is>
      </c>
      <c r="M1428" s="5" t="n">
        <v>2</v>
      </c>
    </row>
    <row r="1429">
      <c r="A1429" s="3">
        <f>RAND()</f>
        <v/>
      </c>
      <c r="B1429" s="4" t="inlineStr">
        <is>
          <t>ChIJOdAUZq-DmQARu61xEf_bpYI</t>
        </is>
      </c>
      <c r="C1429" s="4" t="inlineStr">
        <is>
          <t>TabuBox</t>
        </is>
      </c>
      <c r="D1429" s="4" t="inlineStr">
        <is>
          <t>Niterói</t>
        </is>
      </c>
      <c r="E1429" s="4" t="inlineStr">
        <is>
          <t>RJ</t>
        </is>
      </c>
      <c r="F1429" s="4" t="inlineStr">
        <is>
          <t>Metrópoles Nacionais</t>
        </is>
      </c>
      <c r="G1429" s="4" t="inlineStr">
        <is>
          <t>Metrópole</t>
        </is>
      </c>
      <c r="H1429" s="5">
        <f>IF(G1429="fora do recorte","",SUMPRODUCT(($G$3:$G$1723=G1429)*($A$3:$A$1723&lt;=A1429)))</f>
        <v/>
      </c>
      <c r="I1429" s="4">
        <f>IF(H1429="","",G1429&amp;"|"&amp;H1429)</f>
        <v/>
      </c>
      <c r="J1429" s="4" t="inlineStr">
        <is>
          <t>https://www.google.com/maps/search/?api=1&amp;query=TabuBox&amp;query_place_id=ChIJOdAUZq-DmQARu61xEf_bpYI</t>
        </is>
      </c>
      <c r="K1429" s="4" t="inlineStr">
        <is>
          <t>R. Dr. Mario Vianna, 277 - Santa Rosa, Niterói - RJ, 24241-000, Brasil</t>
        </is>
      </c>
      <c r="L1429" s="4" t="inlineStr">
        <is>
          <t>Rio de Janeiro</t>
        </is>
      </c>
      <c r="M1429" s="5" t="n">
        <v>3</v>
      </c>
    </row>
    <row r="1430">
      <c r="A1430" s="3">
        <f>RAND()</f>
        <v/>
      </c>
      <c r="B1430" s="4" t="inlineStr">
        <is>
          <t>ChIJOcVssmeDmQARZZrnWu2mnwA</t>
        </is>
      </c>
      <c r="C1430" s="4" t="inlineStr">
        <is>
          <t>TabuClub</t>
        </is>
      </c>
      <c r="D1430" s="4" t="inlineStr">
        <is>
          <t>Niterói</t>
        </is>
      </c>
      <c r="E1430" s="4" t="inlineStr">
        <is>
          <t>RJ</t>
        </is>
      </c>
      <c r="F1430" s="4" t="inlineStr">
        <is>
          <t>Metrópoles Nacionais</t>
        </is>
      </c>
      <c r="G1430" s="4" t="inlineStr">
        <is>
          <t>Metrópole</t>
        </is>
      </c>
      <c r="H1430" s="5">
        <f>IF(G1430="fora do recorte","",SUMPRODUCT(($G$3:$G$1723=G1430)*($A$3:$A$1723&lt;=A1430)))</f>
        <v/>
      </c>
      <c r="I1430" s="4">
        <f>IF(H1430="","",G1430&amp;"|"&amp;H1430)</f>
        <v/>
      </c>
      <c r="J1430" s="4" t="inlineStr">
        <is>
          <t>https://www.google.com/maps/search/?api=1&amp;query=TabuClub&amp;query_place_id=ChIJOcVssmeDmQARZZrnWu2mnwA</t>
        </is>
      </c>
      <c r="K1430" s="4" t="inlineStr">
        <is>
          <t>R. Newton Prado, 29 - Santa Rosa, Niterói - RJ, 24240-004, Brasil</t>
        </is>
      </c>
      <c r="L1430" s="4" t="inlineStr">
        <is>
          <t>Boa Vista; Rio de Janeiro</t>
        </is>
      </c>
      <c r="M1430" s="5" t="n">
        <v>10</v>
      </c>
    </row>
    <row r="1431">
      <c r="A1431" s="3">
        <f>RAND()</f>
        <v/>
      </c>
      <c r="B1431" s="4" t="inlineStr">
        <is>
          <t>ChIJl4L7Lg2DmQAR4gBZHrupFC4</t>
        </is>
      </c>
      <c r="C1431" s="4" t="inlineStr">
        <is>
          <t>TabuLoja</t>
        </is>
      </c>
      <c r="D1431" s="4" t="inlineStr">
        <is>
          <t>Niterói</t>
        </is>
      </c>
      <c r="E1431" s="4" t="inlineStr">
        <is>
          <t>RJ</t>
        </is>
      </c>
      <c r="F1431" s="4" t="inlineStr">
        <is>
          <t>Metrópoles Nacionais</t>
        </is>
      </c>
      <c r="G1431" s="4" t="inlineStr">
        <is>
          <t>Metrópole</t>
        </is>
      </c>
      <c r="H1431" s="5">
        <f>IF(G1431="fora do recorte","",SUMPRODUCT(($G$3:$G$1723=G1431)*($A$3:$A$1723&lt;=A1431)))</f>
        <v/>
      </c>
      <c r="I1431" s="4">
        <f>IF(H1431="","",G1431&amp;"|"&amp;H1431)</f>
        <v/>
      </c>
      <c r="J1431" s="4" t="inlineStr">
        <is>
          <t>https://www.google.com/maps/search/?api=1&amp;query=TabuLoja&amp;query_place_id=ChIJl4L7Lg2DmQAR4gBZHrupFC4</t>
        </is>
      </c>
      <c r="K1431" s="4" t="inlineStr">
        <is>
          <t>R. Newton Prado, 29 - Santa Rosa, Niterói - RJ, 24240-004, Brasil</t>
        </is>
      </c>
      <c r="L1431" s="4" t="inlineStr">
        <is>
          <t>Rio de Janeiro</t>
        </is>
      </c>
      <c r="M1431" s="5" t="n">
        <v>2</v>
      </c>
    </row>
    <row r="1432">
      <c r="A1432" s="3">
        <f>RAND()</f>
        <v/>
      </c>
      <c r="B1432" s="4" t="inlineStr">
        <is>
          <t>ChIJZ3iFPVmDmQARXFklBGwdbKk</t>
        </is>
      </c>
      <c r="C1432" s="4" t="inlineStr">
        <is>
          <t>Tholarian</t>
        </is>
      </c>
      <c r="D1432" s="4" t="inlineStr">
        <is>
          <t>Niterói</t>
        </is>
      </c>
      <c r="E1432" s="4" t="inlineStr">
        <is>
          <t>RJ</t>
        </is>
      </c>
      <c r="F1432" s="4" t="inlineStr">
        <is>
          <t>Metrópoles Nacionais</t>
        </is>
      </c>
      <c r="G1432" s="4" t="inlineStr">
        <is>
          <t>Metrópole</t>
        </is>
      </c>
      <c r="H1432" s="5">
        <f>IF(G1432="fora do recorte","",SUMPRODUCT(($G$3:$G$1723=G1432)*($A$3:$A$1723&lt;=A1432)))</f>
        <v/>
      </c>
      <c r="I1432" s="4">
        <f>IF(H1432="","",G1432&amp;"|"&amp;H1432)</f>
        <v/>
      </c>
      <c r="J1432" s="4" t="inlineStr">
        <is>
          <t>https://www.google.com/maps/search/?api=1&amp;query=Tholarian&amp;query_place_id=ChIJZ3iFPVmDmQARXFklBGwdbKk</t>
        </is>
      </c>
      <c r="K1432" s="4" t="inlineStr">
        <is>
          <t>R. João de Deus Freitas, 37 - loja1 - Barreto, Niterói - RJ, 24110-216, Brasil</t>
        </is>
      </c>
      <c r="L1432" s="4" t="inlineStr">
        <is>
          <t>Rio de Janeiro</t>
        </is>
      </c>
      <c r="M1432" s="5" t="n">
        <v>1</v>
      </c>
    </row>
    <row r="1433">
      <c r="A1433" s="3">
        <f>RAND()</f>
        <v/>
      </c>
      <c r="B1433" s="4" t="inlineStr">
        <is>
          <t>ChIJGzciRv1_mQARl1GVt7Hdw4U</t>
        </is>
      </c>
      <c r="C1433" s="4" t="inlineStr">
        <is>
          <t>AKASHI STORE</t>
        </is>
      </c>
      <c r="D1433" s="4" t="inlineStr">
        <is>
          <t>Rio de Janeiro</t>
        </is>
      </c>
      <c r="E1433" s="4" t="inlineStr">
        <is>
          <t>RJ</t>
        </is>
      </c>
      <c r="F1433" s="4" t="inlineStr">
        <is>
          <t>Metrópoles Nacionais</t>
        </is>
      </c>
      <c r="G1433" s="4" t="inlineStr">
        <is>
          <t>Metrópole</t>
        </is>
      </c>
      <c r="H1433" s="5">
        <f>IF(G1433="fora do recorte","",SUMPRODUCT(($G$3:$G$1723=G1433)*($A$3:$A$1723&lt;=A1433)))</f>
        <v/>
      </c>
      <c r="I1433" s="4">
        <f>IF(H1433="","",G1433&amp;"|"&amp;H1433)</f>
        <v/>
      </c>
      <c r="J1433" s="4" t="inlineStr">
        <is>
          <t>https://www.google.com/maps/search/?api=1&amp;query=AKASHI%20STORE&amp;query_place_id=ChIJGzciRv1_mQARl1GVt7Hdw4U</t>
        </is>
      </c>
      <c r="K1433" s="4" t="inlineStr">
        <is>
          <t>Av. Rio Branco, 156 - 3° andar - Loja 335 - Centro, Rio de Janeiro - RJ, 20040-003, Brasil</t>
        </is>
      </c>
      <c r="L1433" s="4" t="inlineStr">
        <is>
          <t>Rio de Janeiro</t>
        </is>
      </c>
      <c r="M1433" s="5" t="n">
        <v>3</v>
      </c>
    </row>
    <row r="1434">
      <c r="A1434" s="3">
        <f>RAND()</f>
        <v/>
      </c>
      <c r="B1434" s="4" t="inlineStr">
        <is>
          <t>ChIJvW6OLYR_mQARfQmlE90hmt0</t>
        </is>
      </c>
      <c r="C1434" s="4" t="inlineStr">
        <is>
          <t>ANCIENT GAMES</t>
        </is>
      </c>
      <c r="D1434" s="4" t="inlineStr">
        <is>
          <t>Rio de Janeiro</t>
        </is>
      </c>
      <c r="E1434" s="4" t="inlineStr">
        <is>
          <t>RJ</t>
        </is>
      </c>
      <c r="F1434" s="4" t="inlineStr">
        <is>
          <t>Metrópoles Nacionais</t>
        </is>
      </c>
      <c r="G1434" s="4" t="inlineStr">
        <is>
          <t>Metrópole</t>
        </is>
      </c>
      <c r="H1434" s="5">
        <f>IF(G1434="fora do recorte","",SUMPRODUCT(($G$3:$G$1723=G1434)*($A$3:$A$1723&lt;=A1434)))</f>
        <v/>
      </c>
      <c r="I1434" s="4">
        <f>IF(H1434="","",G1434&amp;"|"&amp;H1434)</f>
        <v/>
      </c>
      <c r="J1434" s="4" t="inlineStr">
        <is>
          <t>https://www.google.com/maps/search/?api=1&amp;query=ANCIENT%20GAMES&amp;query_place_id=ChIJvW6OLYR_mQARfQmlE90hmt0</t>
        </is>
      </c>
      <c r="K1434" s="4" t="inlineStr">
        <is>
          <t>STAND 3 &amp; 4 - Av. Rio Branco, 156 - 2° ANDAR LOJA 221 - Centro, Rio de Janeiro - RJ, 20040-003, Brasil</t>
        </is>
      </c>
      <c r="L1434" s="4" t="inlineStr">
        <is>
          <t>Rio de Janeiro</t>
        </is>
      </c>
      <c r="M1434" s="5" t="n">
        <v>2</v>
      </c>
    </row>
    <row r="1435">
      <c r="A1435" s="3">
        <f>RAND()</f>
        <v/>
      </c>
      <c r="B1435" s="4" t="inlineStr">
        <is>
          <t>ChIJ47rkJ0XVmwARcl-kg5FuLUI</t>
        </is>
      </c>
      <c r="C1435" s="4" t="inlineStr">
        <is>
          <t>Alegria de Brincar Brinquedos Educativos</t>
        </is>
      </c>
      <c r="D1435" s="4" t="inlineStr">
        <is>
          <t>Rio de Janeiro</t>
        </is>
      </c>
      <c r="E1435" s="4" t="inlineStr">
        <is>
          <t>RJ</t>
        </is>
      </c>
      <c r="F1435" s="4" t="inlineStr">
        <is>
          <t>Metrópoles Nacionais</t>
        </is>
      </c>
      <c r="G1435" s="4" t="inlineStr">
        <is>
          <t>Metrópole</t>
        </is>
      </c>
      <c r="H1435" s="5">
        <f>IF(G1435="fora do recorte","",SUMPRODUCT(($G$3:$G$1723=G1435)*($A$3:$A$1723&lt;=A1435)))</f>
        <v/>
      </c>
      <c r="I1435" s="4">
        <f>IF(H1435="","",G1435&amp;"|"&amp;H1435)</f>
        <v/>
      </c>
      <c r="J1435" s="4" t="inlineStr">
        <is>
          <t>https://www.google.com/maps/search/?api=1&amp;query=Alegria%20de%20Brincar%20Brinquedos%20Educativos&amp;query_place_id=ChIJ47rkJ0XVmwARcl-kg5FuLUI</t>
        </is>
      </c>
      <c r="K1435" s="4" t="inlineStr">
        <is>
          <t>Av. Nossa Sra. de Copacabana, 680 - Lj H - Copacabana, Rio de Janeiro - RJ, 22050-001, Brasil</t>
        </is>
      </c>
      <c r="L1435" s="4" t="inlineStr">
        <is>
          <t>Rio de Janeiro</t>
        </is>
      </c>
      <c r="M1435" s="5" t="n">
        <v>1</v>
      </c>
    </row>
    <row r="1436">
      <c r="A1436" s="3">
        <f>RAND()</f>
        <v/>
      </c>
      <c r="B1436" s="4" t="inlineStr">
        <is>
          <t>ChIJU8Q58vh_mQAR86pZ53Z6QLs</t>
        </is>
      </c>
      <c r="C1436" s="4" t="inlineStr">
        <is>
          <t>Animasom Rio Sul</t>
        </is>
      </c>
      <c r="D1436" s="4" t="inlineStr">
        <is>
          <t>Rio de Janeiro</t>
        </is>
      </c>
      <c r="E1436" s="4" t="inlineStr">
        <is>
          <t>RJ</t>
        </is>
      </c>
      <c r="F1436" s="4" t="inlineStr">
        <is>
          <t>Metrópoles Nacionais</t>
        </is>
      </c>
      <c r="G1436" s="4" t="inlineStr">
        <is>
          <t>Metrópole</t>
        </is>
      </c>
      <c r="H1436" s="5">
        <f>IF(G1436="fora do recorte","",SUMPRODUCT(($G$3:$G$1723=G1436)*($A$3:$A$1723&lt;=A1436)))</f>
        <v/>
      </c>
      <c r="I1436" s="4">
        <f>IF(H1436="","",G1436&amp;"|"&amp;H1436)</f>
        <v/>
      </c>
      <c r="J1436" s="4" t="inlineStr">
        <is>
          <t>https://www.google.com/maps/search/?api=1&amp;query=Animasom%20Rio%20Sul&amp;query_place_id=ChIJU8Q58vh_mQAR86pZ53Z6QLs</t>
        </is>
      </c>
      <c r="K1436" s="4" t="inlineStr">
        <is>
          <t>Shopping Rio Sul - Av. Lauro Sodré, 445 - 1º piso - Botafogo, Rio de Janeiro - RJ, 22290-000, Brasil</t>
        </is>
      </c>
      <c r="L1436" s="4" t="inlineStr">
        <is>
          <t>Rio de Janeiro</t>
        </is>
      </c>
      <c r="M1436" s="5" t="n">
        <v>1</v>
      </c>
    </row>
    <row r="1437">
      <c r="A1437" s="3">
        <f>RAND()</f>
        <v/>
      </c>
      <c r="B1437" s="4" t="inlineStr">
        <is>
          <t>ChIJt8b5P-5_mQARMF3KkPx6yTg</t>
        </is>
      </c>
      <c r="C1437" s="4" t="inlineStr">
        <is>
          <t>Animasom Shopping Tijuca</t>
        </is>
      </c>
      <c r="D1437" s="4" t="inlineStr">
        <is>
          <t>Rio de Janeiro</t>
        </is>
      </c>
      <c r="E1437" s="4" t="inlineStr">
        <is>
          <t>RJ</t>
        </is>
      </c>
      <c r="F1437" s="4" t="inlineStr">
        <is>
          <t>Metrópoles Nacionais</t>
        </is>
      </c>
      <c r="G1437" s="4" t="inlineStr">
        <is>
          <t>Metrópole</t>
        </is>
      </c>
      <c r="H1437" s="5">
        <f>IF(G1437="fora do recorte","",SUMPRODUCT(($G$3:$G$1723=G1437)*($A$3:$A$1723&lt;=A1437)))</f>
        <v/>
      </c>
      <c r="I1437" s="4">
        <f>IF(H1437="","",G1437&amp;"|"&amp;H1437)</f>
        <v/>
      </c>
      <c r="J1437" s="4" t="inlineStr">
        <is>
          <t>https://www.google.com/maps/search/?api=1&amp;query=Animasom%20Shopping%20Tijuca&amp;query_place_id=ChIJt8b5P-5_mQARMF3KkPx6yTg</t>
        </is>
      </c>
      <c r="K1437" s="4" t="inlineStr">
        <is>
          <t>Av. Maracanã, 987 - Tijuca, Rio de Janeiro - RJ, 20511-000, Brasil</t>
        </is>
      </c>
      <c r="L1437" s="4" t="inlineStr">
        <is>
          <t>Rio de Janeiro</t>
        </is>
      </c>
      <c r="M1437" s="5" t="n">
        <v>1</v>
      </c>
    </row>
    <row r="1438">
      <c r="A1438" s="3">
        <f>RAND()</f>
        <v/>
      </c>
      <c r="B1438" s="4" t="inlineStr">
        <is>
          <t>ChIJAWisXifZmwARK6etc2ICR9Y</t>
        </is>
      </c>
      <c r="C1438" s="4" t="inlineStr">
        <is>
          <t>Arcadia Games</t>
        </is>
      </c>
      <c r="D1438" s="4" t="inlineStr">
        <is>
          <t>Rio de Janeiro</t>
        </is>
      </c>
      <c r="E1438" s="4" t="inlineStr">
        <is>
          <t>RJ</t>
        </is>
      </c>
      <c r="F1438" s="4" t="inlineStr">
        <is>
          <t>Metrópoles Nacionais</t>
        </is>
      </c>
      <c r="G1438" s="4" t="inlineStr">
        <is>
          <t>Metrópole</t>
        </is>
      </c>
      <c r="H1438" s="5">
        <f>IF(G1438="fora do recorte","",SUMPRODUCT(($G$3:$G$1723=G1438)*($A$3:$A$1723&lt;=A1438)))</f>
        <v/>
      </c>
      <c r="I1438" s="4">
        <f>IF(H1438="","",G1438&amp;"|"&amp;H1438)</f>
        <v/>
      </c>
      <c r="J1438" s="4" t="inlineStr">
        <is>
          <t>https://www.google.com/maps/search/?api=1&amp;query=Arcadia%20Games&amp;query_place_id=ChIJAWisXifZmwARK6etc2ICR9Y</t>
        </is>
      </c>
      <c r="K1438" s="4" t="inlineStr">
        <is>
          <t>Estr. do Gabinal, 313 - Lj 170 - Freguesia (Jacarepaguá), Rio de Janeiro - RJ, 22760-151, Brasil</t>
        </is>
      </c>
      <c r="L1438" s="4" t="inlineStr">
        <is>
          <t>Rio de Janeiro</t>
        </is>
      </c>
      <c r="M1438" s="5" t="n">
        <v>1</v>
      </c>
    </row>
    <row r="1439">
      <c r="A1439" s="3">
        <f>RAND()</f>
        <v/>
      </c>
      <c r="B1439" s="4" t="inlineStr">
        <is>
          <t>ChIJbUJ2AoF_mQARMJs1lDL2CjU</t>
        </is>
      </c>
      <c r="C1439" s="4" t="inlineStr">
        <is>
          <t>Arte de Brincar Brinquedos Educativos</t>
        </is>
      </c>
      <c r="D1439" s="4" t="inlineStr">
        <is>
          <t>Rio de Janeiro</t>
        </is>
      </c>
      <c r="E1439" s="4" t="inlineStr">
        <is>
          <t>RJ</t>
        </is>
      </c>
      <c r="F1439" s="4" t="inlineStr">
        <is>
          <t>Metrópoles Nacionais</t>
        </is>
      </c>
      <c r="G1439" s="4" t="inlineStr">
        <is>
          <t>Metrópole</t>
        </is>
      </c>
      <c r="H1439" s="5">
        <f>IF(G1439="fora do recorte","",SUMPRODUCT(($G$3:$G$1723=G1439)*($A$3:$A$1723&lt;=A1439)))</f>
        <v/>
      </c>
      <c r="I1439" s="4">
        <f>IF(H1439="","",G1439&amp;"|"&amp;H1439)</f>
        <v/>
      </c>
      <c r="J1439" s="4" t="inlineStr">
        <is>
          <t>https://www.google.com/maps/search/?api=1&amp;query=Arte%20de%20Brincar%20Brinquedos%20Educativos&amp;query_place_id=ChIJbUJ2AoF_mQARMJs1lDL2CjU</t>
        </is>
      </c>
      <c r="K1439" s="4" t="inlineStr">
        <is>
          <t>R. do Catete, 228 - sobreloja 220 - Catete, Rio de Janeiro - RJ, 22220-001, Brasil</t>
        </is>
      </c>
      <c r="L1439" s="4" t="inlineStr">
        <is>
          <t>Rio de Janeiro</t>
        </is>
      </c>
      <c r="M1439" s="5" t="n">
        <v>1</v>
      </c>
    </row>
    <row r="1440">
      <c r="A1440" s="3">
        <f>RAND()</f>
        <v/>
      </c>
      <c r="B1440" s="4" t="inlineStr">
        <is>
          <t>ChIJx6BlvFt-mQARDvzi7hFvAXo</t>
        </is>
      </c>
      <c r="C1440" s="4" t="inlineStr">
        <is>
          <t>Bar_Cana Grill</t>
        </is>
      </c>
      <c r="D1440" s="4" t="inlineStr">
        <is>
          <t>Rio de Janeiro</t>
        </is>
      </c>
      <c r="E1440" s="4" t="inlineStr">
        <is>
          <t>RJ</t>
        </is>
      </c>
      <c r="F1440" s="4" t="inlineStr">
        <is>
          <t>Metrópoles Nacionais</t>
        </is>
      </c>
      <c r="G1440" s="4" t="inlineStr">
        <is>
          <t>Metrópole</t>
        </is>
      </c>
      <c r="H1440" s="5">
        <f>IF(G1440="fora do recorte","",SUMPRODUCT(($G$3:$G$1723=G1440)*($A$3:$A$1723&lt;=A1440)))</f>
        <v/>
      </c>
      <c r="I1440" s="4">
        <f>IF(H1440="","",G1440&amp;"|"&amp;H1440)</f>
        <v/>
      </c>
      <c r="J1440" s="4" t="inlineStr">
        <is>
          <t>https://www.google.com/maps/search/?api=1&amp;query=Bar_Cana%20Grill&amp;query_place_id=ChIJx6BlvFt-mQARDvzi7hFvAXo</t>
        </is>
      </c>
      <c r="K1440" s="4" t="inlineStr">
        <is>
          <t>Av. Brás de Pina, 1362 - Vila da Penha, Rio de Janeiro - RJ, 21210-675, Brasil</t>
        </is>
      </c>
      <c r="L1440" s="4" t="inlineStr">
        <is>
          <t>Rio de Janeiro</t>
        </is>
      </c>
      <c r="M1440" s="5" t="n">
        <v>1</v>
      </c>
    </row>
    <row r="1441">
      <c r="A1441" s="3">
        <f>RAND()</f>
        <v/>
      </c>
      <c r="B1441" s="4" t="inlineStr">
        <is>
          <t>ChIJwSnOffJ_mQARFbsV9hiPZck</t>
        </is>
      </c>
      <c r="C1441" s="4" t="inlineStr">
        <is>
          <t>Big Ben Pub - Karaokê com Banda ao Vivo</t>
        </is>
      </c>
      <c r="D1441" s="4" t="inlineStr">
        <is>
          <t>Rio de Janeiro</t>
        </is>
      </c>
      <c r="E1441" s="4" t="inlineStr">
        <is>
          <t>RJ</t>
        </is>
      </c>
      <c r="F1441" s="4" t="inlineStr">
        <is>
          <t>Metrópoles Nacionais</t>
        </is>
      </c>
      <c r="G1441" s="4" t="inlineStr">
        <is>
          <t>Metrópole</t>
        </is>
      </c>
      <c r="H1441" s="5">
        <f>IF(G1441="fora do recorte","",SUMPRODUCT(($G$3:$G$1723=G1441)*($A$3:$A$1723&lt;=A1441)))</f>
        <v/>
      </c>
      <c r="I1441" s="4">
        <f>IF(H1441="","",G1441&amp;"|"&amp;H1441)</f>
        <v/>
      </c>
      <c r="J1441" s="4" t="inlineStr">
        <is>
          <t>https://www.google.com/maps/search/?api=1&amp;query=Big%20Ben%20Pub%20-%20Karaok%C3%AA%20com%20Banda%20ao%20Vivo&amp;query_place_id=ChIJwSnOffJ_mQARFbsV9hiPZck</t>
        </is>
      </c>
      <c r="K1441" s="4" t="inlineStr">
        <is>
          <t>R. Muniz Barreto, 374 - Botafogo, Rio de Janeiro - RJ, 22251-090, Brasil</t>
        </is>
      </c>
      <c r="L1441" s="4" t="inlineStr">
        <is>
          <t>Rio de Janeiro</t>
        </is>
      </c>
      <c r="M1441" s="5" t="n">
        <v>1</v>
      </c>
    </row>
    <row r="1442">
      <c r="A1442" s="3">
        <f>RAND()</f>
        <v/>
      </c>
      <c r="B1442" s="4" t="inlineStr">
        <is>
          <t>ChIJA7jlA899mQARAEFLCN4b2oI</t>
        </is>
      </c>
      <c r="C1442" s="4" t="inlineStr">
        <is>
          <t>Bolsa do Infinito</t>
        </is>
      </c>
      <c r="D1442" s="4" t="inlineStr">
        <is>
          <t>Rio de Janeiro</t>
        </is>
      </c>
      <c r="E1442" s="4" t="inlineStr">
        <is>
          <t>RJ</t>
        </is>
      </c>
      <c r="F1442" s="4" t="inlineStr">
        <is>
          <t>Metrópoles Nacionais</t>
        </is>
      </c>
      <c r="G1442" s="4" t="inlineStr">
        <is>
          <t>Metrópole</t>
        </is>
      </c>
      <c r="H1442" s="5">
        <f>IF(G1442="fora do recorte","",SUMPRODUCT(($G$3:$G$1723=G1442)*($A$3:$A$1723&lt;=A1442)))</f>
        <v/>
      </c>
      <c r="I1442" s="4">
        <f>IF(H1442="","",G1442&amp;"|"&amp;H1442)</f>
        <v/>
      </c>
      <c r="J1442" s="4" t="inlineStr">
        <is>
          <t>https://www.google.com/maps/search/?api=1&amp;query=Bolsa%20do%20Infinito&amp;query_place_id=ChIJA7jlA899mQARAEFLCN4b2oI</t>
        </is>
      </c>
      <c r="K1442" s="4" t="inlineStr">
        <is>
          <t>Rua Conde de Bonfim, 685 - Lj D Galeria - Tijuca, Rio de Janeiro - RJ, 20520-052, Brasil</t>
        </is>
      </c>
      <c r="L1442" s="4" t="inlineStr">
        <is>
          <t>Rio de Janeiro</t>
        </is>
      </c>
      <c r="M1442" s="5" t="n">
        <v>7</v>
      </c>
    </row>
    <row r="1443">
      <c r="A1443" s="3">
        <f>RAND()</f>
        <v/>
      </c>
      <c r="B1443" s="4" t="inlineStr">
        <is>
          <t>ChIJp-Hp2KrpmwAREut6OjbYMwI</t>
        </is>
      </c>
      <c r="C1443" s="4" t="inlineStr">
        <is>
          <t>Boss TCG</t>
        </is>
      </c>
      <c r="D1443" s="4" t="inlineStr">
        <is>
          <t>Rio de Janeiro</t>
        </is>
      </c>
      <c r="E1443" s="4" t="inlineStr">
        <is>
          <t>RJ</t>
        </is>
      </c>
      <c r="F1443" s="4" t="inlineStr">
        <is>
          <t>Metrópoles Nacionais</t>
        </is>
      </c>
      <c r="G1443" s="4" t="inlineStr">
        <is>
          <t>Metrópole</t>
        </is>
      </c>
      <c r="H1443" s="5">
        <f>IF(G1443="fora do recorte","",SUMPRODUCT(($G$3:$G$1723=G1443)*($A$3:$A$1723&lt;=A1443)))</f>
        <v/>
      </c>
      <c r="I1443" s="4">
        <f>IF(H1443="","",G1443&amp;"|"&amp;H1443)</f>
        <v/>
      </c>
      <c r="J1443" s="4" t="inlineStr">
        <is>
          <t>https://www.google.com/maps/search/?api=1&amp;query=Boss%20TCG&amp;query_place_id=ChIJp-Hp2KrpmwAREut6OjbYMwI</t>
        </is>
      </c>
      <c r="K1443" s="4" t="inlineStr">
        <is>
          <t>Av. das Américas, 18500 - Recreio dos Bandeirantes, Rio de Janeiro - RJ, 22790-704, Brasil</t>
        </is>
      </c>
      <c r="L1443" s="4" t="inlineStr">
        <is>
          <t>Rio de Janeiro</t>
        </is>
      </c>
      <c r="M1443" s="5" t="n">
        <v>1</v>
      </c>
    </row>
    <row r="1444">
      <c r="A1444" s="3">
        <f>RAND()</f>
        <v/>
      </c>
      <c r="B1444" s="4" t="inlineStr">
        <is>
          <t>ChIJVVVVKEZ7mQARHOE7roNlDKE</t>
        </is>
      </c>
      <c r="C1444" s="4" t="inlineStr">
        <is>
          <t>Bruno Poke Cartas</t>
        </is>
      </c>
      <c r="D1444" s="4" t="inlineStr">
        <is>
          <t>Rio de Janeiro</t>
        </is>
      </c>
      <c r="E1444" s="4" t="inlineStr">
        <is>
          <t>RJ</t>
        </is>
      </c>
      <c r="F1444" s="4" t="inlineStr">
        <is>
          <t>Metrópoles Nacionais</t>
        </is>
      </c>
      <c r="G1444" s="4" t="inlineStr">
        <is>
          <t>Metrópole</t>
        </is>
      </c>
      <c r="H1444" s="5">
        <f>IF(G1444="fora do recorte","",SUMPRODUCT(($G$3:$G$1723=G1444)*($A$3:$A$1723&lt;=A1444)))</f>
        <v/>
      </c>
      <c r="I1444" s="4">
        <f>IF(H1444="","",G1444&amp;"|"&amp;H1444)</f>
        <v/>
      </c>
      <c r="J1444" s="4" t="inlineStr">
        <is>
          <t>https://www.google.com/maps/search/?api=1&amp;query=Bruno%20Poke%20Cartas&amp;query_place_id=ChIJVVVVKEZ7mQARHOE7roNlDKE</t>
        </is>
      </c>
      <c r="K1444" s="4" t="inlineStr">
        <is>
          <t>Av. Vicente de Carvalho, 909 - Vila da Penha, Rio de Janeiro - RJ, 21210-623, Brasil</t>
        </is>
      </c>
      <c r="L1444" s="4" t="inlineStr">
        <is>
          <t>Rio de Janeiro</t>
        </is>
      </c>
      <c r="M1444" s="5" t="n">
        <v>1</v>
      </c>
    </row>
    <row r="1445">
      <c r="A1445" s="3">
        <f>RAND()</f>
        <v/>
      </c>
      <c r="B1445" s="4" t="inlineStr">
        <is>
          <t>ChIJP3B-ZrJkmQARg8kuYENy-5c</t>
        </is>
      </c>
      <c r="C1445" s="4" t="inlineStr">
        <is>
          <t>CARDS OF PARADISE</t>
        </is>
      </c>
      <c r="D1445" s="4" t="inlineStr">
        <is>
          <t>Rio de Janeiro</t>
        </is>
      </c>
      <c r="E1445" s="4" t="inlineStr">
        <is>
          <t>RJ</t>
        </is>
      </c>
      <c r="F1445" s="4" t="inlineStr">
        <is>
          <t>Metrópoles Nacionais</t>
        </is>
      </c>
      <c r="G1445" s="4" t="inlineStr">
        <is>
          <t>Metrópole</t>
        </is>
      </c>
      <c r="H1445" s="5">
        <f>IF(G1445="fora do recorte","",SUMPRODUCT(($G$3:$G$1723=G1445)*($A$3:$A$1723&lt;=A1445)))</f>
        <v/>
      </c>
      <c r="I1445" s="4">
        <f>IF(H1445="","",G1445&amp;"|"&amp;H1445)</f>
        <v/>
      </c>
      <c r="J1445" s="4" t="inlineStr">
        <is>
          <t>https://www.google.com/maps/search/?api=1&amp;query=CARDS%20OF%20PARADISE&amp;query_place_id=ChIJP3B-ZrJkmQARg8kuYENy-5c</t>
        </is>
      </c>
      <c r="K1445" s="4" t="inlineStr">
        <is>
          <t>Av. Meriti, 908 - Vila da Penha, Rio de Janeiro - RJ, 21211-006, Brasil</t>
        </is>
      </c>
      <c r="L1445" s="4" t="inlineStr">
        <is>
          <t>Rio de Janeiro</t>
        </is>
      </c>
      <c r="M1445" s="5" t="n">
        <v>8</v>
      </c>
    </row>
    <row r="1446">
      <c r="A1446" s="3">
        <f>RAND()</f>
        <v/>
      </c>
      <c r="B1446" s="4" t="inlineStr">
        <is>
          <t>ChIJS3QJmLfnmwARfo9xEtSqhSM</t>
        </is>
      </c>
      <c r="C1446" s="4" t="inlineStr">
        <is>
          <t>CLE - Café, Livros e Encontros.</t>
        </is>
      </c>
      <c r="D1446" s="4" t="inlineStr">
        <is>
          <t>Rio de Janeiro</t>
        </is>
      </c>
      <c r="E1446" s="4" t="inlineStr">
        <is>
          <t>RJ</t>
        </is>
      </c>
      <c r="F1446" s="4" t="inlineStr">
        <is>
          <t>Metrópoles Nacionais</t>
        </is>
      </c>
      <c r="G1446" s="4" t="inlineStr">
        <is>
          <t>Metrópole</t>
        </is>
      </c>
      <c r="H1446" s="5">
        <f>IF(G1446="fora do recorte","",SUMPRODUCT(($G$3:$G$1723=G1446)*($A$3:$A$1723&lt;=A1446)))</f>
        <v/>
      </c>
      <c r="I1446" s="4">
        <f>IF(H1446="","",G1446&amp;"|"&amp;H1446)</f>
        <v/>
      </c>
      <c r="J1446" s="4" t="inlineStr">
        <is>
          <t>https://www.google.com/maps/search/?api=1&amp;query=CLE%20-%20Caf%C3%A9%2C%20Livros%20e%20Encontros.&amp;query_place_id=ChIJS3QJmLfnmwARfo9xEtSqhSM</t>
        </is>
      </c>
      <c r="K1446" s="4" t="inlineStr">
        <is>
          <t>Portal Shopping - Estr. dos Bandeirantes, 23303 - Lj A - Vargem Grande, Rio de Janeiro - RJ, 22785-091, Brasil</t>
        </is>
      </c>
      <c r="L1446" s="4" t="inlineStr">
        <is>
          <t>Rio de Janeiro</t>
        </is>
      </c>
      <c r="M1446" s="5" t="n">
        <v>1</v>
      </c>
    </row>
    <row r="1447">
      <c r="A1447" s="3">
        <f>RAND()</f>
        <v/>
      </c>
      <c r="B1447" s="4" t="inlineStr">
        <is>
          <t>ChIJnfiDY4F_mQARPebd-EdUPEw</t>
        </is>
      </c>
      <c r="C1447" s="4" t="inlineStr">
        <is>
          <t>Café e Bar Selo de Ouro</t>
        </is>
      </c>
      <c r="D1447" s="4" t="inlineStr">
        <is>
          <t>Rio de Janeiro</t>
        </is>
      </c>
      <c r="E1447" s="4" t="inlineStr">
        <is>
          <t>RJ</t>
        </is>
      </c>
      <c r="F1447" s="4" t="inlineStr">
        <is>
          <t>Metrópoles Nacionais</t>
        </is>
      </c>
      <c r="G1447" s="4" t="inlineStr">
        <is>
          <t>Metrópole</t>
        </is>
      </c>
      <c r="H1447" s="5">
        <f>IF(G1447="fora do recorte","",SUMPRODUCT(($G$3:$G$1723=G1447)*($A$3:$A$1723&lt;=A1447)))</f>
        <v/>
      </c>
      <c r="I1447" s="4">
        <f>IF(H1447="","",G1447&amp;"|"&amp;H1447)</f>
        <v/>
      </c>
      <c r="J1447" s="4" t="inlineStr">
        <is>
          <t>https://www.google.com/maps/search/?api=1&amp;query=Caf%C3%A9%20e%20Bar%20Selo%20de%20Ouro&amp;query_place_id=ChIJnfiDY4F_mQARPebd-EdUPEw</t>
        </is>
      </c>
      <c r="K1447" s="4" t="inlineStr">
        <is>
          <t>R. Arthur Bernardes, 58 B - Catete, Rio de Janeiro - RJ, 22220-070, Brasil</t>
        </is>
      </c>
      <c r="L1447" s="4" t="inlineStr">
        <is>
          <t>Rio de Janeiro</t>
        </is>
      </c>
      <c r="M1447" s="5" t="n">
        <v>1</v>
      </c>
    </row>
    <row r="1448">
      <c r="A1448" s="3">
        <f>RAND()</f>
        <v/>
      </c>
      <c r="B1448" s="4" t="inlineStr">
        <is>
          <t>ChIJeytAVo19mQARL1KMkvFrpok</t>
        </is>
      </c>
      <c r="C1448" s="4" t="inlineStr">
        <is>
          <t>Champions League Trololó</t>
        </is>
      </c>
      <c r="D1448" s="4" t="inlineStr">
        <is>
          <t>Rio de Janeiro</t>
        </is>
      </c>
      <c r="E1448" s="4" t="inlineStr">
        <is>
          <t>RJ</t>
        </is>
      </c>
      <c r="F1448" s="4" t="inlineStr">
        <is>
          <t>Metrópoles Nacionais</t>
        </is>
      </c>
      <c r="G1448" s="4" t="inlineStr">
        <is>
          <t>Metrópole</t>
        </is>
      </c>
      <c r="H1448" s="5">
        <f>IF(G1448="fora do recorte","",SUMPRODUCT(($G$3:$G$1723=G1448)*($A$3:$A$1723&lt;=A1448)))</f>
        <v/>
      </c>
      <c r="I1448" s="4">
        <f>IF(H1448="","",G1448&amp;"|"&amp;H1448)</f>
        <v/>
      </c>
      <c r="J1448" s="4" t="inlineStr">
        <is>
          <t>https://www.google.com/maps/search/?api=1&amp;query=Champions%20League%20Trolol%C3%B3&amp;query_place_id=ChIJeytAVo19mQARL1KMkvFrpok</t>
        </is>
      </c>
      <c r="K1448" s="4" t="inlineStr">
        <is>
          <t>R. Bernardo Taveira, 275 - Vicente de Carvalho, Rio de Janeiro - RJ, 21220-290, Brasil</t>
        </is>
      </c>
      <c r="L1448" s="4" t="inlineStr">
        <is>
          <t>Rio de Janeiro</t>
        </is>
      </c>
      <c r="M1448" s="5" t="n">
        <v>3</v>
      </c>
    </row>
    <row r="1449">
      <c r="A1449" s="3">
        <f>RAND()</f>
        <v/>
      </c>
      <c r="B1449" s="4" t="inlineStr">
        <is>
          <t>ChIJ5W8sTkvbmwARQQDleg06Rcs</t>
        </is>
      </c>
      <c r="C1449" s="4" t="inlineStr">
        <is>
          <t>Collect &amp; Play</t>
        </is>
      </c>
      <c r="D1449" s="4" t="inlineStr">
        <is>
          <t>Rio de Janeiro</t>
        </is>
      </c>
      <c r="E1449" s="4" t="inlineStr">
        <is>
          <t>RJ</t>
        </is>
      </c>
      <c r="F1449" s="4" t="inlineStr">
        <is>
          <t>Metrópoles Nacionais</t>
        </is>
      </c>
      <c r="G1449" s="4" t="inlineStr">
        <is>
          <t>Metrópole</t>
        </is>
      </c>
      <c r="H1449" s="5">
        <f>IF(G1449="fora do recorte","",SUMPRODUCT(($G$3:$G$1723=G1449)*($A$3:$A$1723&lt;=A1449)))</f>
        <v/>
      </c>
      <c r="I1449" s="4">
        <f>IF(H1449="","",G1449&amp;"|"&amp;H1449)</f>
        <v/>
      </c>
      <c r="J1449" s="4" t="inlineStr">
        <is>
          <t>https://www.google.com/maps/search/?api=1&amp;query=Collect%20%26%20Play&amp;query_place_id=ChIJ5W8sTkvbmwARQQDleg06Rcs</t>
        </is>
      </c>
      <c r="K1449" s="4" t="inlineStr">
        <is>
          <t>Av. das Américas, 5001 - Lj 116 - Barra da Tijuca, Rio de Janeiro - RJ, 22631-004, Brasil</t>
        </is>
      </c>
      <c r="L1449" s="4" t="inlineStr">
        <is>
          <t>Rio de Janeiro</t>
        </is>
      </c>
      <c r="M1449" s="5" t="n">
        <v>2</v>
      </c>
    </row>
    <row r="1450">
      <c r="A1450" s="3">
        <f>RAND()</f>
        <v/>
      </c>
      <c r="B1450" s="4" t="inlineStr">
        <is>
          <t>ChIJ87vEIV9_mQARJytOMifw8z8</t>
        </is>
      </c>
      <c r="C1450" s="4" t="inlineStr">
        <is>
          <t>Dadomaniacos - Loja Online de Aluguel de Jogos de Tabuleiro</t>
        </is>
      </c>
      <c r="D1450" s="4" t="inlineStr">
        <is>
          <t>Rio de Janeiro</t>
        </is>
      </c>
      <c r="E1450" s="4" t="inlineStr">
        <is>
          <t>RJ</t>
        </is>
      </c>
      <c r="F1450" s="4" t="inlineStr">
        <is>
          <t>Metrópoles Nacionais</t>
        </is>
      </c>
      <c r="G1450" s="4" t="inlineStr">
        <is>
          <t>Metrópole</t>
        </is>
      </c>
      <c r="H1450" s="5">
        <f>IF(G1450="fora do recorte","",SUMPRODUCT(($G$3:$G$1723=G1450)*($A$3:$A$1723&lt;=A1450)))</f>
        <v/>
      </c>
      <c r="I1450" s="4">
        <f>IF(H1450="","",G1450&amp;"|"&amp;H1450)</f>
        <v/>
      </c>
      <c r="J1450" s="4" t="inlineStr">
        <is>
          <t>https://www.google.com/maps/search/?api=1&amp;query=Dadomaniacos%20-%20Loja%20Online%20de%20Aluguel%20de%20Jogos%20de%20Tabuleiro&amp;query_place_id=ChIJ87vEIV9_mQARJytOMifw8z8</t>
        </is>
      </c>
      <c r="K1450" s="4" t="inlineStr">
        <is>
          <t>R. Silva Teles - Andaraí, Rio de Janeiro - RJ, 20541-110, Brasil</t>
        </is>
      </c>
      <c r="L1450" s="4" t="inlineStr">
        <is>
          <t>Rio de Janeiro</t>
        </is>
      </c>
      <c r="M1450" s="5" t="n">
        <v>3</v>
      </c>
    </row>
    <row r="1451">
      <c r="A1451" s="3">
        <f>RAND()</f>
        <v/>
      </c>
      <c r="B1451" s="4" t="inlineStr">
        <is>
          <t>ChIJZU59azp9mQAR8Eb3G_GlySg</t>
        </is>
      </c>
      <c r="C1451" s="4" t="inlineStr">
        <is>
          <t>Dom Luderia</t>
        </is>
      </c>
      <c r="D1451" s="4" t="inlineStr">
        <is>
          <t>Rio de Janeiro</t>
        </is>
      </c>
      <c r="E1451" s="4" t="inlineStr">
        <is>
          <t>RJ</t>
        </is>
      </c>
      <c r="F1451" s="4" t="inlineStr">
        <is>
          <t>Metrópoles Nacionais</t>
        </is>
      </c>
      <c r="G1451" s="4" t="inlineStr">
        <is>
          <t>Metrópole</t>
        </is>
      </c>
      <c r="H1451" s="5">
        <f>IF(G1451="fora do recorte","",SUMPRODUCT(($G$3:$G$1723=G1451)*($A$3:$A$1723&lt;=A1451)))</f>
        <v/>
      </c>
      <c r="I1451" s="4">
        <f>IF(H1451="","",G1451&amp;"|"&amp;H1451)</f>
        <v/>
      </c>
      <c r="J1451" s="4" t="inlineStr">
        <is>
          <t>https://www.google.com/maps/search/?api=1&amp;query=Dom%20Luderia&amp;query_place_id=ChIJZU59azp9mQAR8Eb3G_GlySg</t>
        </is>
      </c>
      <c r="K1451" s="4" t="inlineStr">
        <is>
          <t>Rua Tompson Flores, 148 - Méier, Rio de Janeiro - RJ, 20710-090, Brasil</t>
        </is>
      </c>
      <c r="L1451" s="4" t="inlineStr">
        <is>
          <t>Rio de Janeiro</t>
        </is>
      </c>
      <c r="M1451" s="5" t="n">
        <v>3</v>
      </c>
    </row>
    <row r="1452">
      <c r="A1452" s="3">
        <f>RAND()</f>
        <v/>
      </c>
      <c r="B1452" s="4" t="inlineStr">
        <is>
          <t>ChIJk4ZqIH1_mQARrByPymrpe7E</t>
        </is>
      </c>
      <c r="C1452" s="4" t="inlineStr">
        <is>
          <t>Donna Gastrobar</t>
        </is>
      </c>
      <c r="D1452" s="4" t="inlineStr">
        <is>
          <t>Rio de Janeiro</t>
        </is>
      </c>
      <c r="E1452" s="4" t="inlineStr">
        <is>
          <t>RJ</t>
        </is>
      </c>
      <c r="F1452" s="4" t="inlineStr">
        <is>
          <t>Metrópoles Nacionais</t>
        </is>
      </c>
      <c r="G1452" s="4" t="inlineStr">
        <is>
          <t>Metrópole</t>
        </is>
      </c>
      <c r="H1452" s="5">
        <f>IF(G1452="fora do recorte","",SUMPRODUCT(($G$3:$G$1723=G1452)*($A$3:$A$1723&lt;=A1452)))</f>
        <v/>
      </c>
      <c r="I1452" s="4">
        <f>IF(H1452="","",G1452&amp;"|"&amp;H1452)</f>
        <v/>
      </c>
      <c r="J1452" s="4" t="inlineStr">
        <is>
          <t>https://www.google.com/maps/search/?api=1&amp;query=Donna%20Gastrobar&amp;query_place_id=ChIJk4ZqIH1_mQARrByPymrpe7E</t>
        </is>
      </c>
      <c r="K1452" s="4" t="inlineStr">
        <is>
          <t>R. Dezenove de Fevereiro, 165 - Botafogo, Rio de Janeiro - RJ, 22280-030, Brasil</t>
        </is>
      </c>
      <c r="L1452" s="4" t="inlineStr">
        <is>
          <t>Rio de Janeiro</t>
        </is>
      </c>
      <c r="M1452" s="5" t="n">
        <v>1</v>
      </c>
    </row>
    <row r="1453">
      <c r="A1453" s="3">
        <f>RAND()</f>
        <v/>
      </c>
      <c r="B1453" s="4" t="inlineStr">
        <is>
          <t>ChIJh5wJOwB7mQAR6ka_WwntZiA</t>
        </is>
      </c>
      <c r="C1453" s="4" t="inlineStr">
        <is>
          <t>ESPORTS TROLOLÓ</t>
        </is>
      </c>
      <c r="D1453" s="4" t="inlineStr">
        <is>
          <t>Rio de Janeiro</t>
        </is>
      </c>
      <c r="E1453" s="4" t="inlineStr">
        <is>
          <t>RJ</t>
        </is>
      </c>
      <c r="F1453" s="4" t="inlineStr">
        <is>
          <t>Metrópoles Nacionais</t>
        </is>
      </c>
      <c r="G1453" s="4" t="inlineStr">
        <is>
          <t>Metrópole</t>
        </is>
      </c>
      <c r="H1453" s="5">
        <f>IF(G1453="fora do recorte","",SUMPRODUCT(($G$3:$G$1723=G1453)*($A$3:$A$1723&lt;=A1453)))</f>
        <v/>
      </c>
      <c r="I1453" s="4">
        <f>IF(H1453="","",G1453&amp;"|"&amp;H1453)</f>
        <v/>
      </c>
      <c r="J1453" s="4" t="inlineStr">
        <is>
          <t>https://www.google.com/maps/search/?api=1&amp;query=ESPORTS%20TROLOL%C3%93&amp;query_place_id=ChIJh5wJOwB7mQAR6ka_WwntZiA</t>
        </is>
      </c>
      <c r="K1453" s="4" t="inlineStr">
        <is>
          <t>Praça Paulo Setúbal, 50 - Vila da Penha, Rio de Janeiro - RJ, 21221-350, Brasil</t>
        </is>
      </c>
      <c r="L1453" s="4" t="inlineStr">
        <is>
          <t>Rio de Janeiro</t>
        </is>
      </c>
      <c r="M1453" s="5" t="n">
        <v>3</v>
      </c>
    </row>
    <row r="1454">
      <c r="A1454" s="3">
        <f>RAND()</f>
        <v/>
      </c>
      <c r="B1454" s="4" t="inlineStr">
        <is>
          <t>ChIJpUjfFEDRmwAR8UuxTzeqlKY</t>
        </is>
      </c>
      <c r="C1454" s="4" t="inlineStr">
        <is>
          <t>Falha Crítica</t>
        </is>
      </c>
      <c r="D1454" s="4" t="inlineStr">
        <is>
          <t>Rio de Janeiro</t>
        </is>
      </c>
      <c r="E1454" s="4" t="inlineStr">
        <is>
          <t>RJ</t>
        </is>
      </c>
      <c r="F1454" s="4" t="inlineStr">
        <is>
          <t>Metrópoles Nacionais</t>
        </is>
      </c>
      <c r="G1454" s="4" t="inlineStr">
        <is>
          <t>Metrópole</t>
        </is>
      </c>
      <c r="H1454" s="5">
        <f>IF(G1454="fora do recorte","",SUMPRODUCT(($G$3:$G$1723=G1454)*($A$3:$A$1723&lt;=A1454)))</f>
        <v/>
      </c>
      <c r="I1454" s="4">
        <f>IF(H1454="","",G1454&amp;"|"&amp;H1454)</f>
        <v/>
      </c>
      <c r="J1454" s="4" t="inlineStr">
        <is>
          <t>https://www.google.com/maps/search/?api=1&amp;query=Falha%20Cr%C3%ADtica&amp;query_place_id=ChIJpUjfFEDRmwAR8UuxTzeqlKY</t>
        </is>
      </c>
      <c r="K1454" s="4" t="inlineStr">
        <is>
          <t>Avenida das Américas, 700 - Blc 8 / Sala 209-A - Barra da Tijuca, Rio de Janeiro - RJ, 22640-100, Brasil</t>
        </is>
      </c>
      <c r="L1454" s="4" t="inlineStr">
        <is>
          <t>Rio de Janeiro</t>
        </is>
      </c>
      <c r="M1454" s="5" t="n">
        <v>4</v>
      </c>
    </row>
    <row r="1455">
      <c r="A1455" s="3">
        <f>RAND()</f>
        <v/>
      </c>
      <c r="B1455" s="4" t="inlineStr">
        <is>
          <t>ChIJhQ1Ksl1_mQARKDcGcKyiysE</t>
        </is>
      </c>
      <c r="C1455" s="4" t="inlineStr">
        <is>
          <t>Fan Games</t>
        </is>
      </c>
      <c r="D1455" s="4" t="inlineStr">
        <is>
          <t>Rio de Janeiro</t>
        </is>
      </c>
      <c r="E1455" s="4" t="inlineStr">
        <is>
          <t>RJ</t>
        </is>
      </c>
      <c r="F1455" s="4" t="inlineStr">
        <is>
          <t>Metrópoles Nacionais</t>
        </is>
      </c>
      <c r="G1455" s="4" t="inlineStr">
        <is>
          <t>Metrópole</t>
        </is>
      </c>
      <c r="H1455" s="5">
        <f>IF(G1455="fora do recorte","",SUMPRODUCT(($G$3:$G$1723=G1455)*($A$3:$A$1723&lt;=A1455)))</f>
        <v/>
      </c>
      <c r="I1455" s="4">
        <f>IF(H1455="","",G1455&amp;"|"&amp;H1455)</f>
        <v/>
      </c>
      <c r="J1455" s="4" t="inlineStr">
        <is>
          <t>https://www.google.com/maps/search/?api=1&amp;query=Fan%20Games&amp;query_place_id=ChIJhQ1Ksl1_mQARKDcGcKyiysE</t>
        </is>
      </c>
      <c r="K1455" s="4" t="inlineStr">
        <is>
          <t>Av: presidente Vargas, 633 - sala 1002 - Centro, Rio de Janeiro - RJ, 20071-004, Brasil</t>
        </is>
      </c>
      <c r="L1455" s="4" t="inlineStr">
        <is>
          <t>Rio de Janeiro</t>
        </is>
      </c>
      <c r="M1455" s="5" t="n">
        <v>1</v>
      </c>
    </row>
    <row r="1456">
      <c r="A1456" s="3">
        <f>RAND()</f>
        <v/>
      </c>
      <c r="B1456" s="4" t="inlineStr">
        <is>
          <t>ChIJNZEzHZfhmwARJ9z8yFGQ9TY</t>
        </is>
      </c>
      <c r="C1456" s="4" t="inlineStr">
        <is>
          <t>GOOD GAMË</t>
        </is>
      </c>
      <c r="D1456" s="4" t="inlineStr">
        <is>
          <t>Rio de Janeiro</t>
        </is>
      </c>
      <c r="E1456" s="4" t="inlineStr">
        <is>
          <t>RJ</t>
        </is>
      </c>
      <c r="F1456" s="4" t="inlineStr">
        <is>
          <t>Metrópoles Nacionais</t>
        </is>
      </c>
      <c r="G1456" s="4" t="inlineStr">
        <is>
          <t>Metrópole</t>
        </is>
      </c>
      <c r="H1456" s="5">
        <f>IF(G1456="fora do recorte","",SUMPRODUCT(($G$3:$G$1723=G1456)*($A$3:$A$1723&lt;=A1456)))</f>
        <v/>
      </c>
      <c r="I1456" s="4">
        <f>IF(H1456="","",G1456&amp;"|"&amp;H1456)</f>
        <v/>
      </c>
      <c r="J1456" s="4" t="inlineStr">
        <is>
          <t>https://www.google.com/maps/search/?api=1&amp;query=GOOD%20GAM%C3%8B&amp;query_place_id=ChIJNZEzHZfhmwARJ9z8yFGQ9TY</t>
        </is>
      </c>
      <c r="K1456" s="4" t="inlineStr">
        <is>
          <t>Estr. do Mendanha, 646 - Lj B - Campo Grande, Rio de Janeiro - RJ, 23087-285, Brasil</t>
        </is>
      </c>
      <c r="L1456" s="4" t="inlineStr">
        <is>
          <t>Rio de Janeiro</t>
        </is>
      </c>
      <c r="M1456" s="5" t="n">
        <v>1</v>
      </c>
    </row>
    <row r="1457">
      <c r="A1457" s="3">
        <f>RAND()</f>
        <v/>
      </c>
      <c r="B1457" s="4" t="inlineStr">
        <is>
          <t>ChIJu1yUroF_mQAR7qxqAfxKSw4</t>
        </is>
      </c>
      <c r="C1457" s="4" t="inlineStr">
        <is>
          <t>Game Of Boards</t>
        </is>
      </c>
      <c r="D1457" s="4" t="inlineStr">
        <is>
          <t>Rio de Janeiro</t>
        </is>
      </c>
      <c r="E1457" s="4" t="inlineStr">
        <is>
          <t>RJ</t>
        </is>
      </c>
      <c r="F1457" s="4" t="inlineStr">
        <is>
          <t>Metrópoles Nacionais</t>
        </is>
      </c>
      <c r="G1457" s="4" t="inlineStr">
        <is>
          <t>Metrópole</t>
        </is>
      </c>
      <c r="H1457" s="5">
        <f>IF(G1457="fora do recorte","",SUMPRODUCT(($G$3:$G$1723=G1457)*($A$3:$A$1723&lt;=A1457)))</f>
        <v/>
      </c>
      <c r="I1457" s="4">
        <f>IF(H1457="","",G1457&amp;"|"&amp;H1457)</f>
        <v/>
      </c>
      <c r="J1457" s="4" t="inlineStr">
        <is>
          <t>https://www.google.com/maps/search/?api=1&amp;query=Game%20Of%20Boards&amp;query_place_id=ChIJu1yUroF_mQAR7qxqAfxKSw4</t>
        </is>
      </c>
      <c r="K1457" s="4" t="inlineStr">
        <is>
          <t>Rua da Passagem, 142 - Botafogo, Rio de Janeiro - RJ, 22290-031, Brasil</t>
        </is>
      </c>
      <c r="L1457" s="4" t="inlineStr">
        <is>
          <t>Boa Vista; Campo Grande; Recife; Rio de Janeiro</t>
        </is>
      </c>
      <c r="M1457" s="5" t="n">
        <v>14</v>
      </c>
    </row>
    <row r="1458">
      <c r="A1458" s="3">
        <f>RAND()</f>
        <v/>
      </c>
      <c r="B1458" s="4" t="inlineStr">
        <is>
          <t>ChIJ-Ycyz4V_mQARA1w6hmRwoYs</t>
        </is>
      </c>
      <c r="C1458" s="4" t="inlineStr">
        <is>
          <t>Gamelândia</t>
        </is>
      </c>
      <c r="D1458" s="4" t="inlineStr">
        <is>
          <t>Rio de Janeiro</t>
        </is>
      </c>
      <c r="E1458" s="4" t="inlineStr">
        <is>
          <t>RJ</t>
        </is>
      </c>
      <c r="F1458" s="4" t="inlineStr">
        <is>
          <t>Metrópoles Nacionais</t>
        </is>
      </c>
      <c r="G1458" s="4" t="inlineStr">
        <is>
          <t>Metrópole</t>
        </is>
      </c>
      <c r="H1458" s="5">
        <f>IF(G1458="fora do recorte","",SUMPRODUCT(($G$3:$G$1723=G1458)*($A$3:$A$1723&lt;=A1458)))</f>
        <v/>
      </c>
      <c r="I1458" s="4">
        <f>IF(H1458="","",G1458&amp;"|"&amp;H1458)</f>
        <v/>
      </c>
      <c r="J1458" s="4" t="inlineStr">
        <is>
          <t>https://www.google.com/maps/search/?api=1&amp;query=Gamel%C3%A2ndia&amp;query_place_id=ChIJ-Ycyz4V_mQARA1w6hmRwoYs</t>
        </is>
      </c>
      <c r="K1458" s="4" t="inlineStr">
        <is>
          <t>Laranjeiras Mall - R. das Laranjeiras, 29 - 109 - Laranjeiras, Rio de Janeiro - RJ, 22240-000, Brasil</t>
        </is>
      </c>
      <c r="L1458" s="4" t="inlineStr">
        <is>
          <t>Rio de Janeiro</t>
        </is>
      </c>
      <c r="M1458" s="5" t="n">
        <v>1</v>
      </c>
    </row>
    <row r="1459">
      <c r="A1459" s="3">
        <f>RAND()</f>
        <v/>
      </c>
      <c r="B1459" s="4" t="inlineStr">
        <is>
          <t>ChIJB8cDIEV_mQARrPUJZvnve2I</t>
        </is>
      </c>
      <c r="C1459" s="4" t="inlineStr">
        <is>
          <t>Gamelândia</t>
        </is>
      </c>
      <c r="D1459" s="4" t="inlineStr">
        <is>
          <t>Rio de Janeiro</t>
        </is>
      </c>
      <c r="E1459" s="4" t="inlineStr">
        <is>
          <t>RJ</t>
        </is>
      </c>
      <c r="F1459" s="4" t="inlineStr">
        <is>
          <t>Metrópoles Nacionais</t>
        </is>
      </c>
      <c r="G1459" s="4" t="inlineStr">
        <is>
          <t>Metrópole</t>
        </is>
      </c>
      <c r="H1459" s="5">
        <f>IF(G1459="fora do recorte","",SUMPRODUCT(($G$3:$G$1723=G1459)*($A$3:$A$1723&lt;=A1459)))</f>
        <v/>
      </c>
      <c r="I1459" s="4">
        <f>IF(H1459="","",G1459&amp;"|"&amp;H1459)</f>
        <v/>
      </c>
      <c r="J1459" s="4" t="inlineStr">
        <is>
          <t>https://www.google.com/maps/search/?api=1&amp;query=Gamel%C3%A2ndia&amp;query_place_id=ChIJB8cDIEV_mQARrPUJZvnve2I</t>
        </is>
      </c>
      <c r="K1459" s="4" t="inlineStr">
        <is>
          <t>Rua Lauro Müller, 116 - Piso 3, C49 - Botafogo, Rio de Janeiro - RJ, 22290-160, Brasil</t>
        </is>
      </c>
      <c r="L1459" s="4" t="inlineStr">
        <is>
          <t>Rio de Janeiro</t>
        </is>
      </c>
      <c r="M1459" s="5" t="n">
        <v>1</v>
      </c>
    </row>
    <row r="1460">
      <c r="A1460" s="3">
        <f>RAND()</f>
        <v/>
      </c>
      <c r="B1460" s="4" t="inlineStr">
        <is>
          <t>ChIJdxW77h3ZmwARRryMjduYQU0</t>
        </is>
      </c>
      <c r="C1460" s="4" t="inlineStr">
        <is>
          <t>Games Xbox vendas</t>
        </is>
      </c>
      <c r="D1460" s="4" t="inlineStr">
        <is>
          <t>Rio de Janeiro</t>
        </is>
      </c>
      <c r="E1460" s="4" t="inlineStr">
        <is>
          <t>RJ</t>
        </is>
      </c>
      <c r="F1460" s="4" t="inlineStr">
        <is>
          <t>Metrópoles Nacionais</t>
        </is>
      </c>
      <c r="G1460" s="4" t="inlineStr">
        <is>
          <t>Metrópole</t>
        </is>
      </c>
      <c r="H1460" s="5">
        <f>IF(G1460="fora do recorte","",SUMPRODUCT(($G$3:$G$1723=G1460)*($A$3:$A$1723&lt;=A1460)))</f>
        <v/>
      </c>
      <c r="I1460" s="4">
        <f>IF(H1460="","",G1460&amp;"|"&amp;H1460)</f>
        <v/>
      </c>
      <c r="J1460" s="4" t="inlineStr">
        <is>
          <t>https://www.google.com/maps/search/?api=1&amp;query=Games%20Xbox%20vendas&amp;query_place_id=ChIJdxW77h3ZmwARRryMjduYQU0</t>
        </is>
      </c>
      <c r="K1460" s="4" t="inlineStr">
        <is>
          <t>Av. das Lagoas, Apto 303 - Gardênia Azul, Rio de Janeiro - RJ, 22765-451, Brasil</t>
        </is>
      </c>
      <c r="L1460" s="4" t="inlineStr">
        <is>
          <t>Rio de Janeiro</t>
        </is>
      </c>
      <c r="M1460" s="5" t="n">
        <v>1</v>
      </c>
    </row>
    <row r="1461">
      <c r="A1461" s="3">
        <f>RAND()</f>
        <v/>
      </c>
      <c r="B1461" s="4" t="inlineStr">
        <is>
          <t>ChIJ-Zxhm_N_mQARzLleIr1gixE</t>
        </is>
      </c>
      <c r="C1461" s="4" t="inlineStr">
        <is>
          <t>Geek Beer Commerce</t>
        </is>
      </c>
      <c r="D1461" s="4" t="inlineStr">
        <is>
          <t>Rio de Janeiro</t>
        </is>
      </c>
      <c r="E1461" s="4" t="inlineStr">
        <is>
          <t>RJ</t>
        </is>
      </c>
      <c r="F1461" s="4" t="inlineStr">
        <is>
          <t>Metrópoles Nacionais</t>
        </is>
      </c>
      <c r="G1461" s="4" t="inlineStr">
        <is>
          <t>Metrópole</t>
        </is>
      </c>
      <c r="H1461" s="5">
        <f>IF(G1461="fora do recorte","",SUMPRODUCT(($G$3:$G$1723=G1461)*($A$3:$A$1723&lt;=A1461)))</f>
        <v/>
      </c>
      <c r="I1461" s="4">
        <f>IF(H1461="","",G1461&amp;"|"&amp;H1461)</f>
        <v/>
      </c>
      <c r="J1461" s="4" t="inlineStr">
        <is>
          <t>https://www.google.com/maps/search/?api=1&amp;query=Geek%20Beer%20Commerce&amp;query_place_id=ChIJ-Zxhm_N_mQARzLleIr1gixE</t>
        </is>
      </c>
      <c r="K1461" s="4" t="inlineStr">
        <is>
          <t>R. Barão de Itapagipe - Rio Comprido, Rio de Janeiro - RJ, 20261-005, Brasil</t>
        </is>
      </c>
      <c r="L1461" s="4" t="inlineStr">
        <is>
          <t>Rio de Janeiro</t>
        </is>
      </c>
      <c r="M1461" s="5" t="n">
        <v>1</v>
      </c>
    </row>
    <row r="1462">
      <c r="A1462" s="3">
        <f>RAND()</f>
        <v/>
      </c>
      <c r="B1462" s="4" t="inlineStr">
        <is>
          <t>ChIJteQewk18mQARfLqshn97qxQ</t>
        </is>
      </c>
      <c r="C1462" s="4" t="inlineStr">
        <is>
          <t>Geek Shop Loja de Pokémon TCG</t>
        </is>
      </c>
      <c r="D1462" s="4" t="inlineStr">
        <is>
          <t>Rio de Janeiro</t>
        </is>
      </c>
      <c r="E1462" s="4" t="inlineStr">
        <is>
          <t>RJ</t>
        </is>
      </c>
      <c r="F1462" s="4" t="inlineStr">
        <is>
          <t>Metrópoles Nacionais</t>
        </is>
      </c>
      <c r="G1462" s="4" t="inlineStr">
        <is>
          <t>Metrópole</t>
        </is>
      </c>
      <c r="H1462" s="5">
        <f>IF(G1462="fora do recorte","",SUMPRODUCT(($G$3:$G$1723=G1462)*($A$3:$A$1723&lt;=A1462)))</f>
        <v/>
      </c>
      <c r="I1462" s="4">
        <f>IF(H1462="","",G1462&amp;"|"&amp;H1462)</f>
        <v/>
      </c>
      <c r="J1462" s="4" t="inlineStr">
        <is>
          <t>https://www.google.com/maps/search/?api=1&amp;query=Geek%20Shop%20Loja%20de%20Pok%C3%A9mon%20TCG&amp;query_place_id=ChIJteQewk18mQARfLqshn97qxQ</t>
        </is>
      </c>
      <c r="K1462" s="4" t="inlineStr">
        <is>
          <t>Av. Nuta James, 65 - Lj B - Barra da Tijuca, Rio de Janeiro - RJ, 22640-030, Brasil</t>
        </is>
      </c>
      <c r="L1462" s="4" t="inlineStr">
        <is>
          <t>Recife; Rio de Janeiro; São Paulo</t>
        </is>
      </c>
      <c r="M1462" s="5" t="n">
        <v>4</v>
      </c>
    </row>
    <row r="1463">
      <c r="A1463" s="3">
        <f>RAND()</f>
        <v/>
      </c>
      <c r="B1463" s="4" t="inlineStr">
        <is>
          <t>ChIJzaqb2dnbmwARBSzP3Jg42m8</t>
        </is>
      </c>
      <c r="C1463" s="4" t="inlineStr">
        <is>
          <t>Global Backgammon</t>
        </is>
      </c>
      <c r="D1463" s="4" t="inlineStr">
        <is>
          <t>Rio de Janeiro</t>
        </is>
      </c>
      <c r="E1463" s="4" t="inlineStr">
        <is>
          <t>RJ</t>
        </is>
      </c>
      <c r="F1463" s="4" t="inlineStr">
        <is>
          <t>Metrópoles Nacionais</t>
        </is>
      </c>
      <c r="G1463" s="4" t="inlineStr">
        <is>
          <t>Metrópole</t>
        </is>
      </c>
      <c r="H1463" s="5">
        <f>IF(G1463="fora do recorte","",SUMPRODUCT(($G$3:$G$1723=G1463)*($A$3:$A$1723&lt;=A1463)))</f>
        <v/>
      </c>
      <c r="I1463" s="4">
        <f>IF(H1463="","",G1463&amp;"|"&amp;H1463)</f>
        <v/>
      </c>
      <c r="J1463" s="4" t="inlineStr">
        <is>
          <t>https://www.google.com/maps/search/?api=1&amp;query=Global%20Backgammon&amp;query_place_id=ChIJzaqb2dnbmwARBSzP3Jg42m8</t>
        </is>
      </c>
      <c r="K1463" s="4" t="inlineStr">
        <is>
          <t>Av. Embaixador Abelardo Bueno, 3401 - Barra Olímpica, Rio de Janeiro - RJ, 22775-040, Brasil</t>
        </is>
      </c>
      <c r="L1463" s="4" t="inlineStr">
        <is>
          <t>Rio de Janeiro</t>
        </is>
      </c>
      <c r="M1463" s="5" t="n">
        <v>1</v>
      </c>
    </row>
    <row r="1464">
      <c r="A1464" s="3">
        <f>RAND()</f>
        <v/>
      </c>
      <c r="B1464" s="4" t="inlineStr">
        <is>
          <t>ChIJ_20ww0LZmwARHjZmY0uwR9I</t>
        </is>
      </c>
      <c r="C1464" s="4" t="inlineStr">
        <is>
          <t>Goblin Hero Store</t>
        </is>
      </c>
      <c r="D1464" s="4" t="inlineStr">
        <is>
          <t>Rio de Janeiro</t>
        </is>
      </c>
      <c r="E1464" s="4" t="inlineStr">
        <is>
          <t>RJ</t>
        </is>
      </c>
      <c r="F1464" s="4" t="inlineStr">
        <is>
          <t>Metrópoles Nacionais</t>
        </is>
      </c>
      <c r="G1464" s="4" t="inlineStr">
        <is>
          <t>Metrópole</t>
        </is>
      </c>
      <c r="H1464" s="5">
        <f>IF(G1464="fora do recorte","",SUMPRODUCT(($G$3:$G$1723=G1464)*($A$3:$A$1723&lt;=A1464)))</f>
        <v/>
      </c>
      <c r="I1464" s="4">
        <f>IF(H1464="","",G1464&amp;"|"&amp;H1464)</f>
        <v/>
      </c>
      <c r="J1464" s="4" t="inlineStr">
        <is>
          <t>https://www.google.com/maps/search/?api=1&amp;query=Goblin%20Hero%20Store&amp;query_place_id=ChIJ_20ww0LZmwARHjZmY0uwR9I</t>
        </is>
      </c>
      <c r="K1464" s="4" t="inlineStr">
        <is>
          <t>Estr. do Gabinal, 313 - Lj 176 A - Freguesia (Jacarepaguá), Rio de Janeiro - RJ, 22760-151, Brasil</t>
        </is>
      </c>
      <c r="L1464" s="4" t="inlineStr">
        <is>
          <t>Rio de Janeiro</t>
        </is>
      </c>
      <c r="M1464" s="5" t="n">
        <v>4</v>
      </c>
    </row>
    <row r="1465">
      <c r="A1465" s="3">
        <f>RAND()</f>
        <v/>
      </c>
      <c r="B1465" s="4" t="inlineStr">
        <is>
          <t>ChIJU1AIvR3ZmwARX3zXn0JdzWg</t>
        </is>
      </c>
      <c r="C1465" s="4" t="inlineStr">
        <is>
          <t>In Bar Ludus Garage</t>
        </is>
      </c>
      <c r="D1465" s="4" t="inlineStr">
        <is>
          <t>Rio de Janeiro</t>
        </is>
      </c>
      <c r="E1465" s="4" t="inlineStr">
        <is>
          <t>RJ</t>
        </is>
      </c>
      <c r="F1465" s="4" t="inlineStr">
        <is>
          <t>Metrópoles Nacionais</t>
        </is>
      </c>
      <c r="G1465" s="4" t="inlineStr">
        <is>
          <t>Metrópole</t>
        </is>
      </c>
      <c r="H1465" s="5">
        <f>IF(G1465="fora do recorte","",SUMPRODUCT(($G$3:$G$1723=G1465)*($A$3:$A$1723&lt;=A1465)))</f>
        <v/>
      </c>
      <c r="I1465" s="4">
        <f>IF(H1465="","",G1465&amp;"|"&amp;H1465)</f>
        <v/>
      </c>
      <c r="J1465" s="4" t="inlineStr">
        <is>
          <t>https://www.google.com/maps/search/?api=1&amp;query=In%20Bar%20Ludus%20Garage&amp;query_place_id=ChIJU1AIvR3ZmwARX3zXn0JdzWg</t>
        </is>
      </c>
      <c r="K1465" s="4" t="inlineStr">
        <is>
          <t>Estr. dos Três Rios, 506 - Freguesia (Jacarepaguá), Rio de Janeiro - RJ, 22745-005, Brasil</t>
        </is>
      </c>
      <c r="L1465" s="4" t="inlineStr">
        <is>
          <t>Rio de Janeiro</t>
        </is>
      </c>
      <c r="M1465" s="5" t="n">
        <v>3</v>
      </c>
    </row>
    <row r="1466">
      <c r="A1466" s="3">
        <f>RAND()</f>
        <v/>
      </c>
      <c r="B1466" s="4" t="inlineStr">
        <is>
          <t>ChIJacpesF1_mQARYkxnwkecPwQ</t>
        </is>
      </c>
      <c r="C1466" s="4" t="inlineStr">
        <is>
          <t>Jiraya Games - Animes &amp; Colecionáveis</t>
        </is>
      </c>
      <c r="D1466" s="4" t="inlineStr">
        <is>
          <t>Rio de Janeiro</t>
        </is>
      </c>
      <c r="E1466" s="4" t="inlineStr">
        <is>
          <t>RJ</t>
        </is>
      </c>
      <c r="F1466" s="4" t="inlineStr">
        <is>
          <t>Metrópoles Nacionais</t>
        </is>
      </c>
      <c r="G1466" s="4" t="inlineStr">
        <is>
          <t>Metrópole</t>
        </is>
      </c>
      <c r="H1466" s="5">
        <f>IF(G1466="fora do recorte","",SUMPRODUCT(($G$3:$G$1723=G1466)*($A$3:$A$1723&lt;=A1466)))</f>
        <v/>
      </c>
      <c r="I1466" s="4">
        <f>IF(H1466="","",G1466&amp;"|"&amp;H1466)</f>
        <v/>
      </c>
      <c r="J1466" s="4" t="inlineStr">
        <is>
          <t>https://www.google.com/maps/search/?api=1&amp;query=Jiraya%20Games%20-%20Animes%20%26%20Colecion%C3%A1veis&amp;query_place_id=ChIJacpesF1_mQARYkxnwkecPwQ</t>
        </is>
      </c>
      <c r="K1466" s="4" t="inlineStr">
        <is>
          <t>Mercado Popular Uruguaiana - R. Uruguaiana, S/N - Quadra B, BOX-103 - Centro, Rio de Janeiro - RJ, 20050-094, Brasil</t>
        </is>
      </c>
      <c r="L1466" s="4" t="inlineStr">
        <is>
          <t>Rio de Janeiro</t>
        </is>
      </c>
      <c r="M1466" s="5" t="n">
        <v>2</v>
      </c>
    </row>
    <row r="1467">
      <c r="A1467" s="3">
        <f>RAND()</f>
        <v/>
      </c>
      <c r="B1467" s="4" t="inlineStr">
        <is>
          <t>ChIJF4zaPgB_mQAR60Ft_vBzjy8</t>
        </is>
      </c>
      <c r="C1467" s="4" t="inlineStr">
        <is>
          <t>Ladainha Bar</t>
        </is>
      </c>
      <c r="D1467" s="4" t="inlineStr">
        <is>
          <t>Rio de Janeiro</t>
        </is>
      </c>
      <c r="E1467" s="4" t="inlineStr">
        <is>
          <t>RJ</t>
        </is>
      </c>
      <c r="F1467" s="4" t="inlineStr">
        <is>
          <t>Metrópoles Nacionais</t>
        </is>
      </c>
      <c r="G1467" s="4" t="inlineStr">
        <is>
          <t>Metrópole</t>
        </is>
      </c>
      <c r="H1467" s="5">
        <f>IF(G1467="fora do recorte","",SUMPRODUCT(($G$3:$G$1723=G1467)*($A$3:$A$1723&lt;=A1467)))</f>
        <v/>
      </c>
      <c r="I1467" s="4">
        <f>IF(H1467="","",G1467&amp;"|"&amp;H1467)</f>
        <v/>
      </c>
      <c r="J1467" s="4" t="inlineStr">
        <is>
          <t>https://www.google.com/maps/search/?api=1&amp;query=Ladainha%20Bar&amp;query_place_id=ChIJF4zaPgB_mQAR60Ft_vBzjy8</t>
        </is>
      </c>
      <c r="K1467" s="4" t="inlineStr">
        <is>
          <t>R. Sacadura Cabral, 57 - Saúde, Rio de Janeiro - RJ, 20081-261, Brasil</t>
        </is>
      </c>
      <c r="L1467" s="4" t="inlineStr">
        <is>
          <t>Rio de Janeiro</t>
        </is>
      </c>
      <c r="M1467" s="5" t="n">
        <v>1</v>
      </c>
    </row>
    <row r="1468">
      <c r="A1468" s="3">
        <f>RAND()</f>
        <v/>
      </c>
      <c r="B1468" s="4" t="inlineStr">
        <is>
          <t>ChIJ90Gs_9rVmwAReA7MnIyPLTE</t>
        </is>
      </c>
      <c r="C1468" s="4" t="inlineStr">
        <is>
          <t>Luderia Carioca</t>
        </is>
      </c>
      <c r="D1468" s="4" t="inlineStr">
        <is>
          <t>Rio de Janeiro</t>
        </is>
      </c>
      <c r="E1468" s="4" t="inlineStr">
        <is>
          <t>RJ</t>
        </is>
      </c>
      <c r="F1468" s="4" t="inlineStr">
        <is>
          <t>Metrópoles Nacionais</t>
        </is>
      </c>
      <c r="G1468" s="4" t="inlineStr">
        <is>
          <t>Metrópole</t>
        </is>
      </c>
      <c r="H1468" s="5">
        <f>IF(G1468="fora do recorte","",SUMPRODUCT(($G$3:$G$1723=G1468)*($A$3:$A$1723&lt;=A1468)))</f>
        <v/>
      </c>
      <c r="I1468" s="4">
        <f>IF(H1468="","",G1468&amp;"|"&amp;H1468)</f>
        <v/>
      </c>
      <c r="J1468" s="4" t="inlineStr">
        <is>
          <t>https://www.google.com/maps/search/?api=1&amp;query=Luderia%20Carioca&amp;query_place_id=ChIJ90Gs_9rVmwAReA7MnIyPLTE</t>
        </is>
      </c>
      <c r="K1468" s="4" t="inlineStr">
        <is>
          <t>R. do Catete, 62 - Catete, Rio de Janeiro - RJ, 22220-000, Brasil</t>
        </is>
      </c>
      <c r="L1468" s="4" t="inlineStr">
        <is>
          <t>Rio de Janeiro</t>
        </is>
      </c>
      <c r="M1468" s="5" t="n">
        <v>14</v>
      </c>
    </row>
    <row r="1469">
      <c r="A1469" s="3">
        <f>RAND()</f>
        <v/>
      </c>
      <c r="B1469" s="4" t="inlineStr">
        <is>
          <t>ChIJKxJKAE9_mQARtFODs33OfmA</t>
        </is>
      </c>
      <c r="C1469" s="4" t="inlineStr">
        <is>
          <t>Luderia Carioca</t>
        </is>
      </c>
      <c r="D1469" s="4" t="inlineStr">
        <is>
          <t>Rio de Janeiro</t>
        </is>
      </c>
      <c r="E1469" s="4" t="inlineStr">
        <is>
          <t>RJ</t>
        </is>
      </c>
      <c r="F1469" s="4" t="inlineStr">
        <is>
          <t>Metrópoles Nacionais</t>
        </is>
      </c>
      <c r="G1469" s="4" t="inlineStr">
        <is>
          <t>Metrópole</t>
        </is>
      </c>
      <c r="H1469" s="5">
        <f>IF(G1469="fora do recorte","",SUMPRODUCT(($G$3:$G$1723=G1469)*($A$3:$A$1723&lt;=A1469)))</f>
        <v/>
      </c>
      <c r="I1469" s="4">
        <f>IF(H1469="","",G1469&amp;"|"&amp;H1469)</f>
        <v/>
      </c>
      <c r="J1469" s="4" t="inlineStr">
        <is>
          <t>https://www.google.com/maps/search/?api=1&amp;query=Luderia%20Carioca&amp;query_place_id=ChIJKxJKAE9_mQARtFODs33OfmA</t>
        </is>
      </c>
      <c r="K1469" s="4" t="inlineStr">
        <is>
          <t>R. do Catete, 62 - Catete, Rio de Janeiro - RJ, 22220-000, Brasil</t>
        </is>
      </c>
      <c r="L1469" s="4" t="inlineStr">
        <is>
          <t>Rio de Janeiro</t>
        </is>
      </c>
      <c r="M1469" s="5" t="n">
        <v>8</v>
      </c>
    </row>
    <row r="1470">
      <c r="A1470" s="3">
        <f>RAND()</f>
        <v/>
      </c>
      <c r="B1470" s="4" t="inlineStr">
        <is>
          <t>ChIJ4a_799PVmwARYNOCwgXazhE</t>
        </is>
      </c>
      <c r="C1470" s="4" t="inlineStr">
        <is>
          <t>Ludonexo - Aluguel de Jogos de Tabuleiro | On-line</t>
        </is>
      </c>
      <c r="D1470" s="4" t="inlineStr">
        <is>
          <t>Rio de Janeiro</t>
        </is>
      </c>
      <c r="E1470" s="4" t="inlineStr">
        <is>
          <t>RJ</t>
        </is>
      </c>
      <c r="F1470" s="4" t="inlineStr">
        <is>
          <t>Metrópoles Nacionais</t>
        </is>
      </c>
      <c r="G1470" s="4" t="inlineStr">
        <is>
          <t>Metrópole</t>
        </is>
      </c>
      <c r="H1470" s="5">
        <f>IF(G1470="fora do recorte","",SUMPRODUCT(($G$3:$G$1723=G1470)*($A$3:$A$1723&lt;=A1470)))</f>
        <v/>
      </c>
      <c r="I1470" s="4">
        <f>IF(H1470="","",G1470&amp;"|"&amp;H1470)</f>
        <v/>
      </c>
      <c r="J1470" s="4" t="inlineStr">
        <is>
          <t>https://www.google.com/maps/search/?api=1&amp;query=Ludonexo%20-%20Aluguel%20de%20Jogos%20de%20Tabuleiro%20%7C%20On-line&amp;query_place_id=ChIJ4a_799PVmwARYNOCwgXazhE</t>
        </is>
      </c>
      <c r="K1470" s="4" t="inlineStr">
        <is>
          <t>Av. Nossa Sra. de Copacabana, 534 - Copacabana, Rio de Janeiro - RJ, 22020-001, Brasil</t>
        </is>
      </c>
      <c r="L1470" s="4" t="inlineStr">
        <is>
          <t>Rio de Janeiro</t>
        </is>
      </c>
      <c r="M1470" s="5" t="n">
        <v>10</v>
      </c>
    </row>
    <row r="1471">
      <c r="A1471" s="3">
        <f>RAND()</f>
        <v/>
      </c>
      <c r="B1471" s="4" t="inlineStr">
        <is>
          <t>ChIJscjzQYPZmwARU5u5vAHiPMk</t>
        </is>
      </c>
      <c r="C1471" s="4" t="inlineStr">
        <is>
          <t>Ludus BG</t>
        </is>
      </c>
      <c r="D1471" s="4" t="inlineStr">
        <is>
          <t>Rio de Janeiro</t>
        </is>
      </c>
      <c r="E1471" s="4" t="inlineStr">
        <is>
          <t>RJ</t>
        </is>
      </c>
      <c r="F1471" s="4" t="inlineStr">
        <is>
          <t>Metrópoles Nacionais</t>
        </is>
      </c>
      <c r="G1471" s="4" t="inlineStr">
        <is>
          <t>Metrópole</t>
        </is>
      </c>
      <c r="H1471" s="5">
        <f>IF(G1471="fora do recorte","",SUMPRODUCT(($G$3:$G$1723=G1471)*($A$3:$A$1723&lt;=A1471)))</f>
        <v/>
      </c>
      <c r="I1471" s="4">
        <f>IF(H1471="","",G1471&amp;"|"&amp;H1471)</f>
        <v/>
      </c>
      <c r="J1471" s="4" t="inlineStr">
        <is>
          <t>https://www.google.com/maps/search/?api=1&amp;query=Ludus%20BG&amp;query_place_id=ChIJscjzQYPZmwARU5u5vAHiPMk</t>
        </is>
      </c>
      <c r="K1471" s="4" t="inlineStr">
        <is>
          <t>R. Tirol, 450 - apto 704 - Freguesia (Jacarepaguá), Rio de Janeiro - RJ, 22750-009, Brasil</t>
        </is>
      </c>
      <c r="L1471" s="4" t="inlineStr">
        <is>
          <t>Rio de Janeiro</t>
        </is>
      </c>
      <c r="M1471" s="5" t="n">
        <v>1</v>
      </c>
    </row>
    <row r="1472">
      <c r="A1472" s="3">
        <f>RAND()</f>
        <v/>
      </c>
      <c r="B1472" s="4" t="inlineStr">
        <is>
          <t>ChIJiYiKvXLZmwARfdAar5rQ-yo</t>
        </is>
      </c>
      <c r="C1472" s="4" t="inlineStr">
        <is>
          <t>Ludusversum</t>
        </is>
      </c>
      <c r="D1472" s="4" t="inlineStr">
        <is>
          <t>Rio de Janeiro</t>
        </is>
      </c>
      <c r="E1472" s="4" t="inlineStr">
        <is>
          <t>RJ</t>
        </is>
      </c>
      <c r="F1472" s="4" t="inlineStr">
        <is>
          <t>Metrópoles Nacionais</t>
        </is>
      </c>
      <c r="G1472" s="4" t="inlineStr">
        <is>
          <t>Metrópole</t>
        </is>
      </c>
      <c r="H1472" s="5">
        <f>IF(G1472="fora do recorte","",SUMPRODUCT(($G$3:$G$1723=G1472)*($A$3:$A$1723&lt;=A1472)))</f>
        <v/>
      </c>
      <c r="I1472" s="4">
        <f>IF(H1472="","",G1472&amp;"|"&amp;H1472)</f>
        <v/>
      </c>
      <c r="J1472" s="4" t="inlineStr">
        <is>
          <t>https://www.google.com/maps/search/?api=1&amp;query=Ludusversum&amp;query_place_id=ChIJiYiKvXLZmwARfdAar5rQ-yo</t>
        </is>
      </c>
      <c r="K1472" s="4" t="inlineStr">
        <is>
          <t>R. Nova Colina, 88 - Taquara, Rio de Janeiro - RJ, 22723-150, Brasil</t>
        </is>
      </c>
      <c r="L1472" s="4" t="inlineStr">
        <is>
          <t>Rio de Janeiro</t>
        </is>
      </c>
      <c r="M1472" s="5" t="n">
        <v>1</v>
      </c>
    </row>
    <row r="1473">
      <c r="A1473" s="3">
        <f>RAND()</f>
        <v/>
      </c>
      <c r="B1473" s="4" t="inlineStr">
        <is>
          <t>ChIJYzHxUhR-mQARpqVtYD9th0c</t>
        </is>
      </c>
      <c r="C1473" s="4" t="inlineStr">
        <is>
          <t>Magic Store Brasil</t>
        </is>
      </c>
      <c r="D1473" s="4" t="inlineStr">
        <is>
          <t>Rio de Janeiro</t>
        </is>
      </c>
      <c r="E1473" s="4" t="inlineStr">
        <is>
          <t>RJ</t>
        </is>
      </c>
      <c r="F1473" s="4" t="inlineStr">
        <is>
          <t>Metrópoles Nacionais</t>
        </is>
      </c>
      <c r="G1473" s="4" t="inlineStr">
        <is>
          <t>Metrópole</t>
        </is>
      </c>
      <c r="H1473" s="5">
        <f>IF(G1473="fora do recorte","",SUMPRODUCT(($G$3:$G$1723=G1473)*($A$3:$A$1723&lt;=A1473)))</f>
        <v/>
      </c>
      <c r="I1473" s="4">
        <f>IF(H1473="","",G1473&amp;"|"&amp;H1473)</f>
        <v/>
      </c>
      <c r="J1473" s="4" t="inlineStr">
        <is>
          <t>https://www.google.com/maps/search/?api=1&amp;query=Magic%20Store%20Brasil&amp;query_place_id=ChIJYzHxUhR-mQARpqVtYD9th0c</t>
        </is>
      </c>
      <c r="K1473" s="4" t="inlineStr">
        <is>
          <t>R. Teodoro da Silva, 240 - Vila Isabel, Rio de Janeiro - RJ, 20520-051, Brasil</t>
        </is>
      </c>
      <c r="L1473" s="4" t="inlineStr">
        <is>
          <t>Rio de Janeiro</t>
        </is>
      </c>
      <c r="M1473" s="5" t="n">
        <v>4</v>
      </c>
    </row>
    <row r="1474">
      <c r="A1474" s="3">
        <f>RAND()</f>
        <v/>
      </c>
      <c r="B1474" s="4" t="inlineStr">
        <is>
          <t>ChIJoeQuwKR9mQAR1JAwaMPE_cE</t>
        </is>
      </c>
      <c r="C1474" s="4" t="inlineStr">
        <is>
          <t>Metrópolis Quadrinhos</t>
        </is>
      </c>
      <c r="D1474" s="4" t="inlineStr">
        <is>
          <t>Rio de Janeiro</t>
        </is>
      </c>
      <c r="E1474" s="4" t="inlineStr">
        <is>
          <t>RJ</t>
        </is>
      </c>
      <c r="F1474" s="4" t="inlineStr">
        <is>
          <t>Metrópoles Nacionais</t>
        </is>
      </c>
      <c r="G1474" s="4" t="inlineStr">
        <is>
          <t>Metrópole</t>
        </is>
      </c>
      <c r="H1474" s="5">
        <f>IF(G1474="fora do recorte","",SUMPRODUCT(($G$3:$G$1723=G1474)*($A$3:$A$1723&lt;=A1474)))</f>
        <v/>
      </c>
      <c r="I1474" s="4">
        <f>IF(H1474="","",G1474&amp;"|"&amp;H1474)</f>
        <v/>
      </c>
      <c r="J1474" s="4" t="inlineStr">
        <is>
          <t>https://www.google.com/maps/search/?api=1&amp;query=Metr%C3%B3polis%20Quadrinhos&amp;query_place_id=ChIJoeQuwKR9mQAR1JAwaMPE_cE</t>
        </is>
      </c>
      <c r="K1474" s="4" t="inlineStr">
        <is>
          <t>R. Dias da Cruz, 203 - Lj 11 Galeria - Méier, Rio de Janeiro - RJ, 20720-010, Brasil</t>
        </is>
      </c>
      <c r="L1474" s="4" t="inlineStr">
        <is>
          <t>Rio de Janeiro</t>
        </is>
      </c>
      <c r="M1474" s="5" t="n">
        <v>4</v>
      </c>
    </row>
    <row r="1475">
      <c r="A1475" s="3">
        <f>RAND()</f>
        <v/>
      </c>
      <c r="B1475" s="4" t="inlineStr">
        <is>
          <t>ChIJY3LS28djmQAR0OprvQN43hY</t>
        </is>
      </c>
      <c r="C1475" s="4" t="inlineStr">
        <is>
          <t>Mu Drow</t>
        </is>
      </c>
      <c r="D1475" s="4" t="inlineStr">
        <is>
          <t>Rio de Janeiro</t>
        </is>
      </c>
      <c r="E1475" s="4" t="inlineStr">
        <is>
          <t>RJ</t>
        </is>
      </c>
      <c r="F1475" s="4" t="inlineStr">
        <is>
          <t>Metrópoles Nacionais</t>
        </is>
      </c>
      <c r="G1475" s="4" t="inlineStr">
        <is>
          <t>Metrópole</t>
        </is>
      </c>
      <c r="H1475" s="5">
        <f>IF(G1475="fora do recorte","",SUMPRODUCT(($G$3:$G$1723=G1475)*($A$3:$A$1723&lt;=A1475)))</f>
        <v/>
      </c>
      <c r="I1475" s="4">
        <f>IF(H1475="","",G1475&amp;"|"&amp;H1475)</f>
        <v/>
      </c>
      <c r="J1475" s="4" t="inlineStr">
        <is>
          <t>https://www.google.com/maps/search/?api=1&amp;query=Mu%20Drow&amp;query_place_id=ChIJY3LS28djmQAR0OprvQN43hY</t>
        </is>
      </c>
      <c r="K1475" s="4" t="inlineStr">
        <is>
          <t>R. Moraes Pinheiro, 1367 - Ricardo de Albuquerque, Rio de Janeiro - RJ, 21640-260, Brasil</t>
        </is>
      </c>
      <c r="L1475" s="4" t="inlineStr">
        <is>
          <t>Rio de Janeiro</t>
        </is>
      </c>
      <c r="M1475" s="5" t="n">
        <v>2</v>
      </c>
    </row>
    <row r="1476">
      <c r="A1476" s="3">
        <f>RAND()</f>
        <v/>
      </c>
      <c r="B1476" s="4" t="inlineStr">
        <is>
          <t>ChIJGYdpMY-BmQARDlBzJxdvyv0</t>
        </is>
      </c>
      <c r="C1476" s="4" t="inlineStr">
        <is>
          <t>Mundo Mágico Store</t>
        </is>
      </c>
      <c r="D1476" s="4" t="inlineStr">
        <is>
          <t>Rio de Janeiro</t>
        </is>
      </c>
      <c r="E1476" s="4" t="inlineStr">
        <is>
          <t>RJ</t>
        </is>
      </c>
      <c r="F1476" s="4" t="inlineStr">
        <is>
          <t>Metrópoles Nacionais</t>
        </is>
      </c>
      <c r="G1476" s="4" t="inlineStr">
        <is>
          <t>Metrópole</t>
        </is>
      </c>
      <c r="H1476" s="5">
        <f>IF(G1476="fora do recorte","",SUMPRODUCT(($G$3:$G$1723=G1476)*($A$3:$A$1723&lt;=A1476)))</f>
        <v/>
      </c>
      <c r="I1476" s="4">
        <f>IF(H1476="","",G1476&amp;"|"&amp;H1476)</f>
        <v/>
      </c>
      <c r="J1476" s="4" t="inlineStr">
        <is>
          <t>https://www.google.com/maps/search/?api=1&amp;query=Mundo%20M%C3%A1gico%20Store&amp;query_place_id=ChIJGYdpMY-BmQARDlBzJxdvyv0</t>
        </is>
      </c>
      <c r="K1476" s="4" t="inlineStr">
        <is>
          <t>Praça Sen. Salgado Filho, s/n - Centro, Rio de Janeiro - RJ, 20021-340, Brasil</t>
        </is>
      </c>
      <c r="L1476" s="4" t="inlineStr">
        <is>
          <t>Rio de Janeiro</t>
        </is>
      </c>
      <c r="M1476" s="5" t="n">
        <v>1</v>
      </c>
    </row>
    <row r="1477">
      <c r="A1477" s="3">
        <f>RAND()</f>
        <v/>
      </c>
      <c r="B1477" s="4" t="inlineStr">
        <is>
          <t>ChIJ26MBBF9_mQAR0-kuIE0HkXE</t>
        </is>
      </c>
      <c r="C1477" s="4" t="inlineStr">
        <is>
          <t>Perito dos Cachimbos</t>
        </is>
      </c>
      <c r="D1477" s="4" t="inlineStr">
        <is>
          <t>Rio de Janeiro</t>
        </is>
      </c>
      <c r="E1477" s="4" t="inlineStr">
        <is>
          <t>RJ</t>
        </is>
      </c>
      <c r="F1477" s="4" t="inlineStr">
        <is>
          <t>Metrópoles Nacionais</t>
        </is>
      </c>
      <c r="G1477" s="4" t="inlineStr">
        <is>
          <t>Metrópole</t>
        </is>
      </c>
      <c r="H1477" s="5">
        <f>IF(G1477="fora do recorte","",SUMPRODUCT(($G$3:$G$1723=G1477)*($A$3:$A$1723&lt;=A1477)))</f>
        <v/>
      </c>
      <c r="I1477" s="4">
        <f>IF(H1477="","",G1477&amp;"|"&amp;H1477)</f>
        <v/>
      </c>
      <c r="J1477" s="4" t="inlineStr">
        <is>
          <t>https://www.google.com/maps/search/?api=1&amp;query=Perito%20dos%20Cachimbos&amp;query_place_id=ChIJ26MBBF9_mQAR0-kuIE0HkXE</t>
        </is>
      </c>
      <c r="K1477" s="4" t="inlineStr">
        <is>
          <t>nº49 sala 306, 3º andar - Rua da Quitanda - Centro, Rio de Janeiro - RJ, 20011-030, Brasil</t>
        </is>
      </c>
      <c r="L1477" s="4" t="inlineStr">
        <is>
          <t>Rio de Janeiro</t>
        </is>
      </c>
      <c r="M1477" s="5" t="n">
        <v>1</v>
      </c>
    </row>
    <row r="1478">
      <c r="A1478" s="3">
        <f>RAND()</f>
        <v/>
      </c>
      <c r="B1478" s="4" t="inlineStr">
        <is>
          <t>ChIJmVSogGB_mQARDPgisDzxnhw</t>
        </is>
      </c>
      <c r="C1478" s="4" t="inlineStr">
        <is>
          <t>Planeta dos Games</t>
        </is>
      </c>
      <c r="D1478" s="4" t="inlineStr">
        <is>
          <t>Rio de Janeiro</t>
        </is>
      </c>
      <c r="E1478" s="4" t="inlineStr">
        <is>
          <t>RJ</t>
        </is>
      </c>
      <c r="F1478" s="4" t="inlineStr">
        <is>
          <t>Metrópoles Nacionais</t>
        </is>
      </c>
      <c r="G1478" s="4" t="inlineStr">
        <is>
          <t>Metrópole</t>
        </is>
      </c>
      <c r="H1478" s="5">
        <f>IF(G1478="fora do recorte","",SUMPRODUCT(($G$3:$G$1723=G1478)*($A$3:$A$1723&lt;=A1478)))</f>
        <v/>
      </c>
      <c r="I1478" s="4">
        <f>IF(H1478="","",G1478&amp;"|"&amp;H1478)</f>
        <v/>
      </c>
      <c r="J1478" s="4" t="inlineStr">
        <is>
          <t>https://www.google.com/maps/search/?api=1&amp;query=Planeta%20dos%20Games&amp;query_place_id=ChIJmVSogGB_mQARDPgisDzxnhw</t>
        </is>
      </c>
      <c r="K1478" s="4" t="inlineStr">
        <is>
          <t>Av. Rio Branco 156 - Loja 224 Stand 03 - Centro, Rio de Janeiro - RJ, 20040-003, Brasil</t>
        </is>
      </c>
      <c r="L1478" s="4" t="inlineStr">
        <is>
          <t>Rio de Janeiro</t>
        </is>
      </c>
      <c r="M1478" s="5" t="n">
        <v>1</v>
      </c>
    </row>
    <row r="1479">
      <c r="A1479" s="3">
        <f>RAND()</f>
        <v/>
      </c>
      <c r="B1479" s="4" t="inlineStr">
        <is>
          <t>ChIJTf-5Vgt_mQAR7vMwKeg0jFA</t>
        </is>
      </c>
      <c r="C1479" s="4" t="inlineStr">
        <is>
          <t>Play Games 156</t>
        </is>
      </c>
      <c r="D1479" s="4" t="inlineStr">
        <is>
          <t>Rio de Janeiro</t>
        </is>
      </c>
      <c r="E1479" s="4" t="inlineStr">
        <is>
          <t>RJ</t>
        </is>
      </c>
      <c r="F1479" s="4" t="inlineStr">
        <is>
          <t>Metrópoles Nacionais</t>
        </is>
      </c>
      <c r="G1479" s="4" t="inlineStr">
        <is>
          <t>Metrópole</t>
        </is>
      </c>
      <c r="H1479" s="5">
        <f>IF(G1479="fora do recorte","",SUMPRODUCT(($G$3:$G$1723=G1479)*($A$3:$A$1723&lt;=A1479)))</f>
        <v/>
      </c>
      <c r="I1479" s="4">
        <f>IF(H1479="","",G1479&amp;"|"&amp;H1479)</f>
        <v/>
      </c>
      <c r="J1479" s="4" t="inlineStr">
        <is>
          <t>https://www.google.com/maps/search/?api=1&amp;query=Play%20Games%20156&amp;query_place_id=ChIJTf-5Vgt_mQAR7vMwKeg0jFA</t>
        </is>
      </c>
      <c r="K1479" s="4" t="inlineStr">
        <is>
          <t>Av. Rio Branco, 156 - Lj 214 - stand 09 - Centro, Rio de Janeiro - RJ, 20040-003, Brasil</t>
        </is>
      </c>
      <c r="L1479" s="4" t="inlineStr">
        <is>
          <t>Rio de Janeiro</t>
        </is>
      </c>
      <c r="M1479" s="5" t="n">
        <v>1</v>
      </c>
    </row>
    <row r="1480">
      <c r="A1480" s="3">
        <f>RAND()</f>
        <v/>
      </c>
      <c r="B1480" s="4" t="inlineStr">
        <is>
          <t>ChIJR027YxB-mQARNQF8yHujAtI</t>
        </is>
      </c>
      <c r="C1480" s="4" t="inlineStr">
        <is>
          <t>Point HQ</t>
        </is>
      </c>
      <c r="D1480" s="4" t="inlineStr">
        <is>
          <t>Rio de Janeiro</t>
        </is>
      </c>
      <c r="E1480" s="4" t="inlineStr">
        <is>
          <t>RJ</t>
        </is>
      </c>
      <c r="F1480" s="4" t="inlineStr">
        <is>
          <t>Metrópoles Nacionais</t>
        </is>
      </c>
      <c r="G1480" s="4" t="inlineStr">
        <is>
          <t>Metrópole</t>
        </is>
      </c>
      <c r="H1480" s="5">
        <f>IF(G1480="fora do recorte","",SUMPRODUCT(($G$3:$G$1723=G1480)*($A$3:$A$1723&lt;=A1480)))</f>
        <v/>
      </c>
      <c r="I1480" s="4">
        <f>IF(H1480="","",G1480&amp;"|"&amp;H1480)</f>
        <v/>
      </c>
      <c r="J1480" s="4" t="inlineStr">
        <is>
          <t>https://www.google.com/maps/search/?api=1&amp;query=Point%20HQ&amp;query_place_id=ChIJR027YxB-mQARNQF8yHujAtI</t>
        </is>
      </c>
      <c r="K1480" s="4" t="inlineStr">
        <is>
          <t>Rua Conde de Bonfim, 685 - Sl 214 - Tijuca, Rio de Janeiro - RJ, 20520-052, Brasil</t>
        </is>
      </c>
      <c r="L1480" s="4" t="inlineStr">
        <is>
          <t>Rio de Janeiro</t>
        </is>
      </c>
      <c r="M1480" s="5" t="n">
        <v>6</v>
      </c>
    </row>
    <row r="1481">
      <c r="A1481" s="3">
        <f>RAND()</f>
        <v/>
      </c>
      <c r="B1481" s="4" t="inlineStr">
        <is>
          <t>ChIJQ1LOD11_mQARhRZgDPbKygk</t>
        </is>
      </c>
      <c r="C1481" s="4" t="inlineStr">
        <is>
          <t>Portal Rio</t>
        </is>
      </c>
      <c r="D1481" s="4" t="inlineStr">
        <is>
          <t>Rio de Janeiro</t>
        </is>
      </c>
      <c r="E1481" s="4" t="inlineStr">
        <is>
          <t>RJ</t>
        </is>
      </c>
      <c r="F1481" s="4" t="inlineStr">
        <is>
          <t>Metrópoles Nacionais</t>
        </is>
      </c>
      <c r="G1481" s="4" t="inlineStr">
        <is>
          <t>Metrópole</t>
        </is>
      </c>
      <c r="H1481" s="5">
        <f>IF(G1481="fora do recorte","",SUMPRODUCT(($G$3:$G$1723=G1481)*($A$3:$A$1723&lt;=A1481)))</f>
        <v/>
      </c>
      <c r="I1481" s="4">
        <f>IF(H1481="","",G1481&amp;"|"&amp;H1481)</f>
        <v/>
      </c>
      <c r="J1481" s="4" t="inlineStr">
        <is>
          <t>https://www.google.com/maps/search/?api=1&amp;query=Portal%20Rio&amp;query_place_id=ChIJQ1LOD11_mQARhRZgDPbKygk</t>
        </is>
      </c>
      <c r="K1481" s="4" t="inlineStr">
        <is>
          <t>R. do Lavradio, 163 - Lapa, Rio de Janeiro - RJ, 20230-070, Brasil</t>
        </is>
      </c>
      <c r="L1481" s="4" t="inlineStr">
        <is>
          <t>Rio de Janeiro</t>
        </is>
      </c>
      <c r="M1481" s="5" t="n">
        <v>1</v>
      </c>
    </row>
    <row r="1482">
      <c r="A1482" s="3">
        <f>RAND()</f>
        <v/>
      </c>
      <c r="B1482" s="4" t="inlineStr">
        <is>
          <t>ChIJmbgFPD55mQAR-cPX8PTm0y4</t>
        </is>
      </c>
      <c r="C1482" s="4" t="inlineStr">
        <is>
          <t>Quintal de Casa Brinquedoteca e Recreação</t>
        </is>
      </c>
      <c r="D1482" s="4" t="inlineStr">
        <is>
          <t>Rio de Janeiro</t>
        </is>
      </c>
      <c r="E1482" s="4" t="inlineStr">
        <is>
          <t>RJ</t>
        </is>
      </c>
      <c r="F1482" s="4" t="inlineStr">
        <is>
          <t>Metrópoles Nacionais</t>
        </is>
      </c>
      <c r="G1482" s="4" t="inlineStr">
        <is>
          <t>Metrópole</t>
        </is>
      </c>
      <c r="H1482" s="5">
        <f>IF(G1482="fora do recorte","",SUMPRODUCT(($G$3:$G$1723=G1482)*($A$3:$A$1723&lt;=A1482)))</f>
        <v/>
      </c>
      <c r="I1482" s="4">
        <f>IF(H1482="","",G1482&amp;"|"&amp;H1482)</f>
        <v/>
      </c>
      <c r="J1482" s="4" t="inlineStr">
        <is>
          <t>https://www.google.com/maps/search/?api=1&amp;query=Quintal%20de%20Casa%20Brinquedoteca%20e%20Recrea%C3%A7%C3%A3o&amp;query_place_id=ChIJmbgFPD55mQAR-cPX8PTm0y4</t>
        </is>
      </c>
      <c r="K1482" s="4" t="inlineStr">
        <is>
          <t>Ilha do Governador - R. Gáspar Magalhães, 373 - Jardim Guanabara, Rio de Janeiro - RJ, 21940-120, Brasil</t>
        </is>
      </c>
      <c r="L1482" s="4" t="inlineStr">
        <is>
          <t>Rio de Janeiro</t>
        </is>
      </c>
      <c r="M1482" s="5" t="n">
        <v>1</v>
      </c>
    </row>
    <row r="1483">
      <c r="A1483" s="3">
        <f>RAND()</f>
        <v/>
      </c>
      <c r="B1483" s="4" t="inlineStr">
        <is>
          <t>ChIJ1SAzAGF_mQARQgP-yrPBxbQ</t>
        </is>
      </c>
      <c r="C1483" s="4" t="inlineStr">
        <is>
          <t>RED jogos</t>
        </is>
      </c>
      <c r="D1483" s="4" t="inlineStr">
        <is>
          <t>Rio de Janeiro</t>
        </is>
      </c>
      <c r="E1483" s="4" t="inlineStr">
        <is>
          <t>RJ</t>
        </is>
      </c>
      <c r="F1483" s="4" t="inlineStr">
        <is>
          <t>Metrópoles Nacionais</t>
        </is>
      </c>
      <c r="G1483" s="4" t="inlineStr">
        <is>
          <t>Metrópole</t>
        </is>
      </c>
      <c r="H1483" s="5">
        <f>IF(G1483="fora do recorte","",SUMPRODUCT(($G$3:$G$1723=G1483)*($A$3:$A$1723&lt;=A1483)))</f>
        <v/>
      </c>
      <c r="I1483" s="4">
        <f>IF(H1483="","",G1483&amp;"|"&amp;H1483)</f>
        <v/>
      </c>
      <c r="J1483" s="4" t="inlineStr">
        <is>
          <t>https://www.google.com/maps/search/?api=1&amp;query=RED%20jogos&amp;query_place_id=ChIJ1SAzAGF_mQARQgP-yrPBxbQ</t>
        </is>
      </c>
      <c r="K1483" s="4" t="inlineStr">
        <is>
          <t>Av. Treze de Maio, 23 - sala 533 - Centro, Rio de Janeiro - RJ, 20031-902, Brasil</t>
        </is>
      </c>
      <c r="L1483" s="4" t="inlineStr">
        <is>
          <t>Rio de Janeiro</t>
        </is>
      </c>
      <c r="M1483" s="5" t="n">
        <v>12</v>
      </c>
    </row>
    <row r="1484">
      <c r="A1484" s="3">
        <f>RAND()</f>
        <v/>
      </c>
      <c r="B1484" s="4" t="inlineStr">
        <is>
          <t>ChIJVVXxbmF_mQARw6gi7RmipBk</t>
        </is>
      </c>
      <c r="C1484" s="4" t="inlineStr">
        <is>
          <t>Rio Games</t>
        </is>
      </c>
      <c r="D1484" s="4" t="inlineStr">
        <is>
          <t>Rio de Janeiro</t>
        </is>
      </c>
      <c r="E1484" s="4" t="inlineStr">
        <is>
          <t>RJ</t>
        </is>
      </c>
      <c r="F1484" s="4" t="inlineStr">
        <is>
          <t>Metrópoles Nacionais</t>
        </is>
      </c>
      <c r="G1484" s="4" t="inlineStr">
        <is>
          <t>Metrópole</t>
        </is>
      </c>
      <c r="H1484" s="5">
        <f>IF(G1484="fora do recorte","",SUMPRODUCT(($G$3:$G$1723=G1484)*($A$3:$A$1723&lt;=A1484)))</f>
        <v/>
      </c>
      <c r="I1484" s="4">
        <f>IF(H1484="","",G1484&amp;"|"&amp;H1484)</f>
        <v/>
      </c>
      <c r="J1484" s="4" t="inlineStr">
        <is>
          <t>https://www.google.com/maps/search/?api=1&amp;query=Rio%20Games&amp;query_place_id=ChIJVVXxbmF_mQARw6gi7RmipBk</t>
        </is>
      </c>
      <c r="K1484" s="4" t="inlineStr">
        <is>
          <t>R. Sen. Dantas, 71 - Sl 1205 - Centro, Rio de Janeiro - RJ, 20031-202, Brasil</t>
        </is>
      </c>
      <c r="L1484" s="4" t="inlineStr">
        <is>
          <t>Rio de Janeiro</t>
        </is>
      </c>
      <c r="M1484" s="5" t="n">
        <v>1</v>
      </c>
    </row>
    <row r="1485">
      <c r="A1485" s="3">
        <f>RAND()</f>
        <v/>
      </c>
      <c r="B1485" s="4" t="inlineStr">
        <is>
          <t>ChIJ-bqxGV5_mQARoXiwMmZvhz4</t>
        </is>
      </c>
      <c r="C1485" s="4" t="inlineStr">
        <is>
          <t>Soninha Brinquedos - Aluguel de Brinquedos no Rio de Janeiro</t>
        </is>
      </c>
      <c r="D1485" s="4" t="inlineStr">
        <is>
          <t>Rio de Janeiro</t>
        </is>
      </c>
      <c r="E1485" s="4" t="inlineStr">
        <is>
          <t>RJ</t>
        </is>
      </c>
      <c r="F1485" s="4" t="inlineStr">
        <is>
          <t>Metrópoles Nacionais</t>
        </is>
      </c>
      <c r="G1485" s="4" t="inlineStr">
        <is>
          <t>Metrópole</t>
        </is>
      </c>
      <c r="H1485" s="5">
        <f>IF(G1485="fora do recorte","",SUMPRODUCT(($G$3:$G$1723=G1485)*($A$3:$A$1723&lt;=A1485)))</f>
        <v/>
      </c>
      <c r="I1485" s="4">
        <f>IF(H1485="","",G1485&amp;"|"&amp;H1485)</f>
        <v/>
      </c>
      <c r="J1485" s="4" t="inlineStr">
        <is>
          <t>https://www.google.com/maps/search/?api=1&amp;query=Soninha%20Brinquedos%20-%20Aluguel%20de%20Brinquedos%20no%20Rio%20de%20Janeiro&amp;query_place_id=ChIJ-bqxGV5_mQARoXiwMmZvhz4</t>
        </is>
      </c>
      <c r="K1485" s="4" t="inlineStr">
        <is>
          <t>R. Haddock Lobo - Tijuca, Rio de Janeiro - RJ, 20260-141, Brasil</t>
        </is>
      </c>
      <c r="L1485" s="4" t="inlineStr">
        <is>
          <t>Rio de Janeiro</t>
        </is>
      </c>
      <c r="M1485" s="5" t="n">
        <v>1</v>
      </c>
    </row>
    <row r="1486">
      <c r="A1486" s="3">
        <f>RAND()</f>
        <v/>
      </c>
      <c r="B1486" s="4" t="inlineStr">
        <is>
          <t>ChIJHaviguR_mQARMpllfmRArXI</t>
        </is>
      </c>
      <c r="C1486" s="4" t="inlineStr">
        <is>
          <t>Surreal Bar</t>
        </is>
      </c>
      <c r="D1486" s="4" t="inlineStr">
        <is>
          <t>Rio de Janeiro</t>
        </is>
      </c>
      <c r="E1486" s="4" t="inlineStr">
        <is>
          <t>RJ</t>
        </is>
      </c>
      <c r="F1486" s="4" t="inlineStr">
        <is>
          <t>Metrópoles Nacionais</t>
        </is>
      </c>
      <c r="G1486" s="4" t="inlineStr">
        <is>
          <t>Metrópole</t>
        </is>
      </c>
      <c r="H1486" s="5">
        <f>IF(G1486="fora do recorte","",SUMPRODUCT(($G$3:$G$1723=G1486)*($A$3:$A$1723&lt;=A1486)))</f>
        <v/>
      </c>
      <c r="I1486" s="4">
        <f>IF(H1486="","",G1486&amp;"|"&amp;H1486)</f>
        <v/>
      </c>
      <c r="J1486" s="4" t="inlineStr">
        <is>
          <t>https://www.google.com/maps/search/?api=1&amp;query=Surreal%20Bar&amp;query_place_id=ChIJHaviguR_mQARMpllfmRArXI</t>
        </is>
      </c>
      <c r="K1486" s="4" t="inlineStr">
        <is>
          <t>R. Paulo Barreto, 102 - Botafogo, Rio de Janeiro - RJ, 22280-010, Brasil</t>
        </is>
      </c>
      <c r="L1486" s="4" t="inlineStr">
        <is>
          <t>Rio de Janeiro</t>
        </is>
      </c>
      <c r="M1486" s="5" t="n">
        <v>1</v>
      </c>
    </row>
    <row r="1487">
      <c r="A1487" s="3">
        <f>RAND()</f>
        <v/>
      </c>
      <c r="B1487" s="4" t="inlineStr">
        <is>
          <t>ChIJ3-T7JvJ_mQARD0h22gP-q1M</t>
        </is>
      </c>
      <c r="C1487" s="4" t="inlineStr">
        <is>
          <t>Tempo de Recreio - Recreação Infantil</t>
        </is>
      </c>
      <c r="D1487" s="4" t="inlineStr">
        <is>
          <t>Rio de Janeiro</t>
        </is>
      </c>
      <c r="E1487" s="4" t="inlineStr">
        <is>
          <t>RJ</t>
        </is>
      </c>
      <c r="F1487" s="4" t="inlineStr">
        <is>
          <t>Metrópoles Nacionais</t>
        </is>
      </c>
      <c r="G1487" s="4" t="inlineStr">
        <is>
          <t>Metrópole</t>
        </is>
      </c>
      <c r="H1487" s="5">
        <f>IF(G1487="fora do recorte","",SUMPRODUCT(($G$3:$G$1723=G1487)*($A$3:$A$1723&lt;=A1487)))</f>
        <v/>
      </c>
      <c r="I1487" s="4">
        <f>IF(H1487="","",G1487&amp;"|"&amp;H1487)</f>
        <v/>
      </c>
      <c r="J1487" s="4" t="inlineStr">
        <is>
          <t>https://www.google.com/maps/search/?api=1&amp;query=Tempo%20de%20Recreio%20-%20Recrea%C3%A7%C3%A3o%20Infantil&amp;query_place_id=ChIJ3-T7JvJ_mQARD0h22gP-q1M</t>
        </is>
      </c>
      <c r="K1487" s="4" t="inlineStr">
        <is>
          <t>Praia de Botafogo, 400 - Botafogo, Rio de Janeiro - RJ, 22250-040, Brasil</t>
        </is>
      </c>
      <c r="L1487" s="4" t="inlineStr">
        <is>
          <t>Rio de Janeiro</t>
        </is>
      </c>
      <c r="M1487" s="5" t="n">
        <v>1</v>
      </c>
    </row>
    <row r="1488">
      <c r="A1488" s="3">
        <f>RAND()</f>
        <v/>
      </c>
      <c r="B1488" s="4" t="inlineStr">
        <is>
          <t>ChIJuZ1Ic4N_mQARIx6FfT_KSqg</t>
        </is>
      </c>
      <c r="C1488" s="4" t="inlineStr">
        <is>
          <t>The Maze</t>
        </is>
      </c>
      <c r="D1488" s="4" t="inlineStr">
        <is>
          <t>Rio de Janeiro</t>
        </is>
      </c>
      <c r="E1488" s="4" t="inlineStr">
        <is>
          <t>RJ</t>
        </is>
      </c>
      <c r="F1488" s="4" t="inlineStr">
        <is>
          <t>Metrópoles Nacionais</t>
        </is>
      </c>
      <c r="G1488" s="4" t="inlineStr">
        <is>
          <t>Metrópole</t>
        </is>
      </c>
      <c r="H1488" s="5">
        <f>IF(G1488="fora do recorte","",SUMPRODUCT(($G$3:$G$1723=G1488)*($A$3:$A$1723&lt;=A1488)))</f>
        <v/>
      </c>
      <c r="I1488" s="4">
        <f>IF(H1488="","",G1488&amp;"|"&amp;H1488)</f>
        <v/>
      </c>
      <c r="J1488" s="4" t="inlineStr">
        <is>
          <t>https://www.google.com/maps/search/?api=1&amp;query=The%20Maze&amp;query_place_id=ChIJuZ1Ic4N_mQARIx6FfT_KSqg</t>
        </is>
      </c>
      <c r="K1488" s="4" t="inlineStr">
        <is>
          <t>Comunidade Tavares Bastos - R. Tavares Bastos, 414 - Casa 66 - Catete, Rio de Janeiro - RJ, 22221-030, Brasil</t>
        </is>
      </c>
      <c r="L1488" s="4" t="inlineStr">
        <is>
          <t>Rio de Janeiro</t>
        </is>
      </c>
      <c r="M1488" s="5" t="n">
        <v>1</v>
      </c>
    </row>
    <row r="1489">
      <c r="A1489" s="3">
        <f>RAND()</f>
        <v/>
      </c>
      <c r="B1489" s="4" t="inlineStr">
        <is>
          <t>ChIJv0v--orjmwARkmEpYSeGHyQ</t>
        </is>
      </c>
      <c r="C1489" s="4" t="inlineStr">
        <is>
          <t>Tiratela Ludus | Aluguel de jogos de tabuleiro</t>
        </is>
      </c>
      <c r="D1489" s="4" t="inlineStr">
        <is>
          <t>Rio de Janeiro</t>
        </is>
      </c>
      <c r="E1489" s="4" t="inlineStr">
        <is>
          <t>RJ</t>
        </is>
      </c>
      <c r="F1489" s="4" t="inlineStr">
        <is>
          <t>Metrópoles Nacionais</t>
        </is>
      </c>
      <c r="G1489" s="4" t="inlineStr">
        <is>
          <t>Metrópole</t>
        </is>
      </c>
      <c r="H1489" s="5">
        <f>IF(G1489="fora do recorte","",SUMPRODUCT(($G$3:$G$1723=G1489)*($A$3:$A$1723&lt;=A1489)))</f>
        <v/>
      </c>
      <c r="I1489" s="4">
        <f>IF(H1489="","",G1489&amp;"|"&amp;H1489)</f>
        <v/>
      </c>
      <c r="J1489" s="4" t="inlineStr">
        <is>
          <t>https://www.google.com/maps/search/?api=1&amp;query=Tiratela%20Ludus%20%7C%20Aluguel%20de%20jogos%20de%20tabuleiro&amp;query_place_id=ChIJv0v--orjmwARkmEpYSeGHyQ</t>
        </is>
      </c>
      <c r="K1489" s="4" t="inlineStr">
        <is>
          <t>R. Afonso Portugal - Campo Grande, Rio de Janeiro - RJ, 23073-090, Brasil</t>
        </is>
      </c>
      <c r="L1489" s="4" t="inlineStr">
        <is>
          <t>Campo Grande; Rio de Janeiro</t>
        </is>
      </c>
      <c r="M1489" s="5" t="n">
        <v>6</v>
      </c>
    </row>
    <row r="1490">
      <c r="A1490" s="3">
        <f>RAND()</f>
        <v/>
      </c>
      <c r="B1490" s="4" t="inlineStr">
        <is>
          <t>ChIJUwuKe0TRmwARHR_JRwG9Nwk</t>
        </is>
      </c>
      <c r="C1490" s="4" t="inlineStr">
        <is>
          <t>Universal Card Shop - Downtown Barra</t>
        </is>
      </c>
      <c r="D1490" s="4" t="inlineStr">
        <is>
          <t>Rio de Janeiro</t>
        </is>
      </c>
      <c r="E1490" s="4" t="inlineStr">
        <is>
          <t>RJ</t>
        </is>
      </c>
      <c r="F1490" s="4" t="inlineStr">
        <is>
          <t>Metrópoles Nacionais</t>
        </is>
      </c>
      <c r="G1490" s="4" t="inlineStr">
        <is>
          <t>Metrópole</t>
        </is>
      </c>
      <c r="H1490" s="5">
        <f>IF(G1490="fora do recorte","",SUMPRODUCT(($G$3:$G$1723=G1490)*($A$3:$A$1723&lt;=A1490)))</f>
        <v/>
      </c>
      <c r="I1490" s="4">
        <f>IF(H1490="","",G1490&amp;"|"&amp;H1490)</f>
        <v/>
      </c>
      <c r="J1490" s="4" t="inlineStr">
        <is>
          <t>https://www.google.com/maps/search/?api=1&amp;query=Universal%20Card%20Shop%20-%20Downtown%20Barra&amp;query_place_id=ChIJUwuKe0TRmwARHR_JRwG9Nwk</t>
        </is>
      </c>
      <c r="K1490" s="4" t="inlineStr">
        <is>
          <t>Av. das Américas, 500 - Bloco 20, Loja 125 - Barra da Tijuca, Rio de Janeiro - RJ, 22640-100, Brasil</t>
        </is>
      </c>
      <c r="L1490" s="4" t="inlineStr">
        <is>
          <t>Rio de Janeiro</t>
        </is>
      </c>
      <c r="M1490" s="5" t="n">
        <v>1</v>
      </c>
    </row>
    <row r="1491">
      <c r="A1491" s="3">
        <f>RAND()</f>
        <v/>
      </c>
      <c r="B1491" s="4" t="inlineStr">
        <is>
          <t>ChIJ_cv0FwB_mQARkbW8bdLx99w</t>
        </is>
      </c>
      <c r="C1491" s="4" t="inlineStr">
        <is>
          <t>Vinoteca do Visconde Restaurante</t>
        </is>
      </c>
      <c r="D1491" s="4" t="inlineStr">
        <is>
          <t>Rio de Janeiro</t>
        </is>
      </c>
      <c r="E1491" s="4" t="inlineStr">
        <is>
          <t>RJ</t>
        </is>
      </c>
      <c r="F1491" s="4" t="inlineStr">
        <is>
          <t>Metrópoles Nacionais</t>
        </is>
      </c>
      <c r="G1491" s="4" t="inlineStr">
        <is>
          <t>Metrópole</t>
        </is>
      </c>
      <c r="H1491" s="5">
        <f>IF(G1491="fora do recorte","",SUMPRODUCT(($G$3:$G$1723=G1491)*($A$3:$A$1723&lt;=A1491)))</f>
        <v/>
      </c>
      <c r="I1491" s="4">
        <f>IF(H1491="","",G1491&amp;"|"&amp;H1491)</f>
        <v/>
      </c>
      <c r="J1491" s="4" t="inlineStr">
        <is>
          <t>https://www.google.com/maps/search/?api=1&amp;query=Vinoteca%20do%20Visconde%20Restaurante&amp;query_place_id=ChIJ_cv0FwB_mQARkbW8bdLx99w</t>
        </is>
      </c>
      <c r="K1491" s="4" t="inlineStr">
        <is>
          <t>R. Visc. de Caravelas, 121 - Botafogo, Rio de Janeiro - RJ, 22271-041, Brasil</t>
        </is>
      </c>
      <c r="L1491" s="4" t="inlineStr">
        <is>
          <t>Rio de Janeiro</t>
        </is>
      </c>
      <c r="M1491" s="5" t="n">
        <v>1</v>
      </c>
    </row>
    <row r="1492">
      <c r="A1492" s="3">
        <f>RAND()</f>
        <v/>
      </c>
      <c r="B1492" s="4" t="inlineStr">
        <is>
          <t>ChIJn-IBfmB_mQAR9tVYCLZRsaM</t>
        </is>
      </c>
      <c r="C1492" s="4" t="inlineStr">
        <is>
          <t>XT Gold Informática e Games</t>
        </is>
      </c>
      <c r="D1492" s="4" t="inlineStr">
        <is>
          <t>Rio de Janeiro</t>
        </is>
      </c>
      <c r="E1492" s="4" t="inlineStr">
        <is>
          <t>RJ</t>
        </is>
      </c>
      <c r="F1492" s="4" t="inlineStr">
        <is>
          <t>Metrópoles Nacionais</t>
        </is>
      </c>
      <c r="G1492" s="4" t="inlineStr">
        <is>
          <t>Metrópole</t>
        </is>
      </c>
      <c r="H1492" s="5">
        <f>IF(G1492="fora do recorte","",SUMPRODUCT(($G$3:$G$1723=G1492)*($A$3:$A$1723&lt;=A1492)))</f>
        <v/>
      </c>
      <c r="I1492" s="4">
        <f>IF(H1492="","",G1492&amp;"|"&amp;H1492)</f>
        <v/>
      </c>
      <c r="J1492" s="4" t="inlineStr">
        <is>
          <t>https://www.google.com/maps/search/?api=1&amp;query=XT%20Gold%20Inform%C3%A1tica%20e%20Games&amp;query_place_id=ChIJn-IBfmB_mQAR9tVYCLZRsaM</t>
        </is>
      </c>
      <c r="K1492" s="4" t="inlineStr">
        <is>
          <t>Av. Rio Branco, 156 - Loja 319 - 3º Andar - Centro, Rio de Janeiro - RJ, 20040-003, Brasil</t>
        </is>
      </c>
      <c r="L1492" s="4" t="inlineStr">
        <is>
          <t>Rio de Janeiro</t>
        </is>
      </c>
      <c r="M1492" s="5" t="n">
        <v>1</v>
      </c>
    </row>
    <row r="1493">
      <c r="A1493" s="3">
        <f>RAND()</f>
        <v/>
      </c>
      <c r="B1493" s="4" t="inlineStr">
        <is>
          <t>ChIJcSAAO0nhmwARkq55-ID_q2I</t>
        </is>
      </c>
      <c r="C1493" s="4" t="inlineStr">
        <is>
          <t>Xadrez Botticelli / Jaehrig / Chess King</t>
        </is>
      </c>
      <c r="D1493" s="4" t="inlineStr">
        <is>
          <t>Rio de Janeiro</t>
        </is>
      </c>
      <c r="E1493" s="4" t="inlineStr">
        <is>
          <t>RJ</t>
        </is>
      </c>
      <c r="F1493" s="4" t="inlineStr">
        <is>
          <t>Metrópoles Nacionais</t>
        </is>
      </c>
      <c r="G1493" s="4" t="inlineStr">
        <is>
          <t>Metrópole</t>
        </is>
      </c>
      <c r="H1493" s="5">
        <f>IF(G1493="fora do recorte","",SUMPRODUCT(($G$3:$G$1723=G1493)*($A$3:$A$1723&lt;=A1493)))</f>
        <v/>
      </c>
      <c r="I1493" s="4">
        <f>IF(H1493="","",G1493&amp;"|"&amp;H1493)</f>
        <v/>
      </c>
      <c r="J1493" s="4" t="inlineStr">
        <is>
          <t>https://www.google.com/maps/search/?api=1&amp;query=Xadrez%20Botticelli%20/%20Jaehrig%20/%20Chess%20King&amp;query_place_id=ChIJcSAAO0nhmwARkq55-ID_q2I</t>
        </is>
      </c>
      <c r="K1493" s="4" t="inlineStr">
        <is>
          <t>R. Mirtes Gomes, 14 - Senador Camará, Rio de Janeiro - RJ, 23010-050, Brasil</t>
        </is>
      </c>
      <c r="L1493" s="4" t="inlineStr">
        <is>
          <t>Rio de Janeiro</t>
        </is>
      </c>
      <c r="M1493" s="5" t="n">
        <v>1</v>
      </c>
    </row>
    <row r="1494">
      <c r="A1494" s="3">
        <f>RAND()</f>
        <v/>
      </c>
      <c r="B1494" s="4" t="inlineStr">
        <is>
          <t>ChIJ76ZKiYJ_mQAR2KMozJoLqjM</t>
        </is>
      </c>
      <c r="C1494" s="4" t="inlineStr">
        <is>
          <t>YouPlay</t>
        </is>
      </c>
      <c r="D1494" s="4" t="inlineStr">
        <is>
          <t>Rio de Janeiro</t>
        </is>
      </c>
      <c r="E1494" s="4" t="inlineStr">
        <is>
          <t>RJ</t>
        </is>
      </c>
      <c r="F1494" s="4" t="inlineStr">
        <is>
          <t>Metrópoles Nacionais</t>
        </is>
      </c>
      <c r="G1494" s="4" t="inlineStr">
        <is>
          <t>Metrópole</t>
        </is>
      </c>
      <c r="H1494" s="5">
        <f>IF(G1494="fora do recorte","",SUMPRODUCT(($G$3:$G$1723=G1494)*($A$3:$A$1723&lt;=A1494)))</f>
        <v/>
      </c>
      <c r="I1494" s="4">
        <f>IF(H1494="","",G1494&amp;"|"&amp;H1494)</f>
        <v/>
      </c>
      <c r="J1494" s="4" t="inlineStr">
        <is>
          <t>https://www.google.com/maps/search/?api=1&amp;query=YouPlay&amp;query_place_id=ChIJ76ZKiYJ_mQAR2KMozJoLqjM</t>
        </is>
      </c>
      <c r="K1494" s="4" t="inlineStr">
        <is>
          <t>Praia de Botafogo, 400 - Botafogo, Rio de Janeiro - RJ, 22250-040, Brasil</t>
        </is>
      </c>
      <c r="L1494" s="4" t="inlineStr">
        <is>
          <t>Rio de Janeiro</t>
        </is>
      </c>
      <c r="M1494" s="5" t="n">
        <v>1</v>
      </c>
    </row>
    <row r="1495">
      <c r="A1495" s="3">
        <f>RAND()</f>
        <v/>
      </c>
      <c r="B1495" s="4" t="inlineStr">
        <is>
          <t>ChIJVQecU2vjmwARwo0mrICHMHo</t>
        </is>
      </c>
      <c r="C1495" s="4" t="inlineStr">
        <is>
          <t>Zard Point</t>
        </is>
      </c>
      <c r="D1495" s="4" t="inlineStr">
        <is>
          <t>Rio de Janeiro</t>
        </is>
      </c>
      <c r="E1495" s="4" t="inlineStr">
        <is>
          <t>RJ</t>
        </is>
      </c>
      <c r="F1495" s="4" t="inlineStr">
        <is>
          <t>Metrópoles Nacionais</t>
        </is>
      </c>
      <c r="G1495" s="4" t="inlineStr">
        <is>
          <t>Metrópole</t>
        </is>
      </c>
      <c r="H1495" s="5">
        <f>IF(G1495="fora do recorte","",SUMPRODUCT(($G$3:$G$1723=G1495)*($A$3:$A$1723&lt;=A1495)))</f>
        <v/>
      </c>
      <c r="I1495" s="4">
        <f>IF(H1495="","",G1495&amp;"|"&amp;H1495)</f>
        <v/>
      </c>
      <c r="J1495" s="4" t="inlineStr">
        <is>
          <t>https://www.google.com/maps/search/?api=1&amp;query=Zard%20Point&amp;query_place_id=ChIJVQecU2vjmwARwo0mrICHMHo</t>
        </is>
      </c>
      <c r="K1495" s="4" t="inlineStr">
        <is>
          <t>R. Vítor Alves, 1091 - Campo Grande, Rio de Janeiro - RJ, 23080-181, Brasil</t>
        </is>
      </c>
      <c r="L1495" s="4" t="inlineStr">
        <is>
          <t>Rio de Janeiro</t>
        </is>
      </c>
      <c r="M1495" s="5" t="n">
        <v>1</v>
      </c>
    </row>
    <row r="1496">
      <c r="A1496" s="3">
        <f>RAND()</f>
        <v/>
      </c>
      <c r="B1496" s="4" t="inlineStr">
        <is>
          <t>ChIJt9Pld5NxGZURC2SdYCIU4WE</t>
        </is>
      </c>
      <c r="C1496" s="4" t="inlineStr">
        <is>
          <t>Jogakito</t>
        </is>
      </c>
      <c r="D1496" s="4" t="inlineStr">
        <is>
          <t>Canoas</t>
        </is>
      </c>
      <c r="E1496" s="4" t="inlineStr">
        <is>
          <t>RS</t>
        </is>
      </c>
      <c r="F1496" s="4" t="inlineStr">
        <is>
          <t>Metrópoles</t>
        </is>
      </c>
      <c r="G1496" s="4" t="inlineStr">
        <is>
          <t>Metrópole</t>
        </is>
      </c>
      <c r="H1496" s="5">
        <f>IF(G1496="fora do recorte","",SUMPRODUCT(($G$3:$G$1723=G1496)*($A$3:$A$1723&lt;=A1496)))</f>
        <v/>
      </c>
      <c r="I1496" s="4">
        <f>IF(H1496="","",G1496&amp;"|"&amp;H1496)</f>
        <v/>
      </c>
      <c r="J1496" s="4" t="inlineStr">
        <is>
          <t>https://www.google.com/maps/search/?api=1&amp;query=Jogakito&amp;query_place_id=ChIJt9Pld5NxGZURC2SdYCIU4WE</t>
        </is>
      </c>
      <c r="K1496" s="4" t="inlineStr">
        <is>
          <t>R. Padre Anchieta, 520 - Nossa Sra. das Gracas, Canoas - RS, 92110-050, Brasil</t>
        </is>
      </c>
      <c r="L1496" s="4" t="inlineStr">
        <is>
          <t>Porto Alegre</t>
        </is>
      </c>
      <c r="M1496" s="5" t="n">
        <v>1</v>
      </c>
    </row>
    <row r="1497">
      <c r="A1497" s="3">
        <f>RAND()</f>
        <v/>
      </c>
      <c r="B1497" s="4" t="inlineStr">
        <is>
          <t>ChIJgdgE5CRzGZURnSZMmKHgiJ8</t>
        </is>
      </c>
      <c r="C1497" s="4" t="inlineStr">
        <is>
          <t>Tartaleiro Board Games</t>
        </is>
      </c>
      <c r="D1497" s="4" t="inlineStr">
        <is>
          <t>Gravataí</t>
        </is>
      </c>
      <c r="E1497" s="4" t="inlineStr">
        <is>
          <t>RS</t>
        </is>
      </c>
      <c r="F1497" s="4" t="inlineStr">
        <is>
          <t>Metrópoles</t>
        </is>
      </c>
      <c r="G1497" s="4" t="inlineStr">
        <is>
          <t>Metrópole</t>
        </is>
      </c>
      <c r="H1497" s="5">
        <f>IF(G1497="fora do recorte","",SUMPRODUCT(($G$3:$G$1723=G1497)*($A$3:$A$1723&lt;=A1497)))</f>
        <v/>
      </c>
      <c r="I1497" s="4">
        <f>IF(H1497="","",G1497&amp;"|"&amp;H1497)</f>
        <v/>
      </c>
      <c r="J1497" s="4" t="inlineStr">
        <is>
          <t>https://www.google.com/maps/search/?api=1&amp;query=Tartaleiro%20Board%20Games&amp;query_place_id=ChIJgdgE5CRzGZURnSZMmKHgiJ8</t>
        </is>
      </c>
      <c r="K1497" s="4" t="inlineStr">
        <is>
          <t>R. Esperança, 235 - Barnabé, Gravataí - RS, 94150-050, Brasil</t>
        </is>
      </c>
      <c r="L1497" s="4" t="inlineStr">
        <is>
          <t>Porto Alegre</t>
        </is>
      </c>
      <c r="M1497" s="5" t="n">
        <v>1</v>
      </c>
    </row>
    <row r="1498">
      <c r="A1498" s="3">
        <f>RAND()</f>
        <v/>
      </c>
      <c r="B1498" s="4" t="inlineStr">
        <is>
          <t>ChIJt8ijl0pzGZURTCdPBQTRHF8</t>
        </is>
      </c>
      <c r="C1498" s="4" t="inlineStr">
        <is>
          <t>Távola do Dragão</t>
        </is>
      </c>
      <c r="D1498" s="4" t="inlineStr">
        <is>
          <t>Gravataí</t>
        </is>
      </c>
      <c r="E1498" s="4" t="inlineStr">
        <is>
          <t>RS</t>
        </is>
      </c>
      <c r="F1498" s="4" t="inlineStr">
        <is>
          <t>Metrópoles</t>
        </is>
      </c>
      <c r="G1498" s="4" t="inlineStr">
        <is>
          <t>Metrópole</t>
        </is>
      </c>
      <c r="H1498" s="5">
        <f>IF(G1498="fora do recorte","",SUMPRODUCT(($G$3:$G$1723=G1498)*($A$3:$A$1723&lt;=A1498)))</f>
        <v/>
      </c>
      <c r="I1498" s="4">
        <f>IF(H1498="","",G1498&amp;"|"&amp;H1498)</f>
        <v/>
      </c>
      <c r="J1498" s="4" t="inlineStr">
        <is>
          <t>https://www.google.com/maps/search/?api=1&amp;query=T%C3%A1vola%20do%20Drag%C3%A3o&amp;query_place_id=ChIJt8ijl0pzGZURTCdPBQTRHF8</t>
        </is>
      </c>
      <c r="K1498" s="4" t="inlineStr">
        <is>
          <t>R. Afonso Alves, 745 - Morada do Vale 1, Gravataí - RS, 94085-130, Brasil</t>
        </is>
      </c>
      <c r="L1498" s="4" t="inlineStr">
        <is>
          <t>Porto Alegre</t>
        </is>
      </c>
      <c r="M1498" s="5" t="n">
        <v>1</v>
      </c>
    </row>
    <row r="1499">
      <c r="A1499" s="3">
        <f>RAND()</f>
        <v/>
      </c>
      <c r="B1499" s="4" t="inlineStr">
        <is>
          <t>ChIJRcoj20fVG5URBISzTJ70bH0</t>
        </is>
      </c>
      <c r="C1499" s="4" t="inlineStr">
        <is>
          <t>Masmorra</t>
        </is>
      </c>
      <c r="D1499" s="4" t="inlineStr">
        <is>
          <t>Guaíba</t>
        </is>
      </c>
      <c r="E1499" s="4" t="inlineStr">
        <is>
          <t>RS</t>
        </is>
      </c>
      <c r="F1499" s="4" t="inlineStr">
        <is>
          <t>Metrópoles</t>
        </is>
      </c>
      <c r="G1499" s="4" t="inlineStr">
        <is>
          <t>Metrópole</t>
        </is>
      </c>
      <c r="H1499" s="5">
        <f>IF(G1499="fora do recorte","",SUMPRODUCT(($G$3:$G$1723=G1499)*($A$3:$A$1723&lt;=A1499)))</f>
        <v/>
      </c>
      <c r="I1499" s="4">
        <f>IF(H1499="","",G1499&amp;"|"&amp;H1499)</f>
        <v/>
      </c>
      <c r="J1499" s="4" t="inlineStr">
        <is>
          <t>https://www.google.com/maps/search/?api=1&amp;query=Masmorra&amp;query_place_id=ChIJRcoj20fVG5URBISzTJ70bH0</t>
        </is>
      </c>
      <c r="K1499" s="4" t="inlineStr">
        <is>
          <t>Av. Brasilia, 258 - Coronel Nassuca, Guaíba - RS, 92701-710, Brasil</t>
        </is>
      </c>
      <c r="L1499" s="4" t="inlineStr">
        <is>
          <t>Porto Alegre</t>
        </is>
      </c>
      <c r="M1499" s="5" t="n">
        <v>5</v>
      </c>
    </row>
    <row r="1500">
      <c r="A1500" s="3">
        <f>RAND()</f>
        <v/>
      </c>
      <c r="B1500" s="4" t="inlineStr">
        <is>
          <t>ChIJJdZzNAB5GZURkYcyBk7x9OE</t>
        </is>
      </c>
      <c r="C1500" s="4" t="inlineStr">
        <is>
          <t>Alcatraz Bar Porto Alegre</t>
        </is>
      </c>
      <c r="D1500" s="4" t="inlineStr">
        <is>
          <t>Porto Alegre</t>
        </is>
      </c>
      <c r="E1500" s="4" t="inlineStr">
        <is>
          <t>RS</t>
        </is>
      </c>
      <c r="F1500" s="4" t="inlineStr">
        <is>
          <t>Metrópoles</t>
        </is>
      </c>
      <c r="G1500" s="4" t="inlineStr">
        <is>
          <t>Metrópole</t>
        </is>
      </c>
      <c r="H1500" s="5">
        <f>IF(G1500="fora do recorte","",SUMPRODUCT(($G$3:$G$1723=G1500)*($A$3:$A$1723&lt;=A1500)))</f>
        <v/>
      </c>
      <c r="I1500" s="4">
        <f>IF(H1500="","",G1500&amp;"|"&amp;H1500)</f>
        <v/>
      </c>
      <c r="J1500" s="4" t="inlineStr">
        <is>
          <t>https://www.google.com/maps/search/?api=1&amp;query=Alcatraz%20Bar%20Porto%20Alegre&amp;query_place_id=ChIJJdZzNAB5GZURkYcyBk7x9OE</t>
        </is>
      </c>
      <c r="K1500" s="4" t="inlineStr">
        <is>
          <t>R. Alm. Barroso, 355 - Floresta, Porto Alegre - RS, 90220-021, Brasil</t>
        </is>
      </c>
      <c r="L1500" s="4" t="inlineStr">
        <is>
          <t>Porto Alegre</t>
        </is>
      </c>
      <c r="M1500" s="5" t="n">
        <v>1</v>
      </c>
    </row>
    <row r="1501">
      <c r="A1501" s="3">
        <f>RAND()</f>
        <v/>
      </c>
      <c r="B1501" s="4" t="inlineStr">
        <is>
          <t>ChIJHSDPTgF5GZURKmSqKITyoGM</t>
        </is>
      </c>
      <c r="C1501" s="4" t="inlineStr">
        <is>
          <t>Arcadea Gaming Pub</t>
        </is>
      </c>
      <c r="D1501" s="4" t="inlineStr">
        <is>
          <t>Porto Alegre</t>
        </is>
      </c>
      <c r="E1501" s="4" t="inlineStr">
        <is>
          <t>RS</t>
        </is>
      </c>
      <c r="F1501" s="4" t="inlineStr">
        <is>
          <t>Metrópoles</t>
        </is>
      </c>
      <c r="G1501" s="4" t="inlineStr">
        <is>
          <t>Metrópole</t>
        </is>
      </c>
      <c r="H1501" s="5">
        <f>IF(G1501="fora do recorte","",SUMPRODUCT(($G$3:$G$1723=G1501)*($A$3:$A$1723&lt;=A1501)))</f>
        <v/>
      </c>
      <c r="I1501" s="4">
        <f>IF(H1501="","",G1501&amp;"|"&amp;H1501)</f>
        <v/>
      </c>
      <c r="J1501" s="4" t="inlineStr">
        <is>
          <t>https://www.google.com/maps/search/?api=1&amp;query=Arcadea%20Gaming%20Pub&amp;query_place_id=ChIJHSDPTgF5GZURKmSqKITyoGM</t>
        </is>
      </c>
      <c r="K1501" s="4" t="inlineStr">
        <is>
          <t>R. Gen. Neto, 440 - Moinhos de Vento, Porto Alegre - RS, 90560-020, Brasil</t>
        </is>
      </c>
      <c r="L1501" s="4" t="inlineStr">
        <is>
          <t>Manaus; Porto Alegre</t>
        </is>
      </c>
      <c r="M1501" s="5" t="n">
        <v>9</v>
      </c>
    </row>
    <row r="1502">
      <c r="A1502" s="3">
        <f>RAND()</f>
        <v/>
      </c>
      <c r="B1502" s="4" t="inlineStr">
        <is>
          <t>ChIJMyZxrKuDGZURY4QmuB42th4</t>
        </is>
      </c>
      <c r="C1502" s="4" t="inlineStr">
        <is>
          <t>B&amp;B Games</t>
        </is>
      </c>
      <c r="D1502" s="4" t="inlineStr">
        <is>
          <t>Porto Alegre</t>
        </is>
      </c>
      <c r="E1502" s="4" t="inlineStr">
        <is>
          <t>RS</t>
        </is>
      </c>
      <c r="F1502" s="4" t="inlineStr">
        <is>
          <t>Metrópoles</t>
        </is>
      </c>
      <c r="G1502" s="4" t="inlineStr">
        <is>
          <t>Metrópole</t>
        </is>
      </c>
      <c r="H1502" s="5">
        <f>IF(G1502="fora do recorte","",SUMPRODUCT(($G$3:$G$1723=G1502)*($A$3:$A$1723&lt;=A1502)))</f>
        <v/>
      </c>
      <c r="I1502" s="4">
        <f>IF(H1502="","",G1502&amp;"|"&amp;H1502)</f>
        <v/>
      </c>
      <c r="J1502" s="4" t="inlineStr">
        <is>
          <t>https://www.google.com/maps/search/?api=1&amp;query=B%26B%20Games&amp;query_place_id=ChIJMyZxrKuDGZURY4QmuB42th4</t>
        </is>
      </c>
      <c r="K1502" s="4" t="inlineStr">
        <is>
          <t>R. Cel. Aparício Borges, 250 - Teresópolis, Porto Alegre - RS, 90680-570, Brasil</t>
        </is>
      </c>
      <c r="L1502" s="4" t="inlineStr">
        <is>
          <t>Porto Alegre</t>
        </is>
      </c>
      <c r="M1502" s="5" t="n">
        <v>2</v>
      </c>
    </row>
    <row r="1503">
      <c r="A1503" s="3">
        <f>RAND()</f>
        <v/>
      </c>
      <c r="B1503" s="4" t="inlineStr">
        <is>
          <t>ChIJ4d68w215GZURtJ7UClWQ4o4</t>
        </is>
      </c>
      <c r="C1503" s="4" t="inlineStr">
        <is>
          <t>BeB Games Shop</t>
        </is>
      </c>
      <c r="D1503" s="4" t="inlineStr">
        <is>
          <t>Porto Alegre</t>
        </is>
      </c>
      <c r="E1503" s="4" t="inlineStr">
        <is>
          <t>RS</t>
        </is>
      </c>
      <c r="F1503" s="4" t="inlineStr">
        <is>
          <t>Metrópoles</t>
        </is>
      </c>
      <c r="G1503" s="4" t="inlineStr">
        <is>
          <t>Metrópole</t>
        </is>
      </c>
      <c r="H1503" s="5">
        <f>IF(G1503="fora do recorte","",SUMPRODUCT(($G$3:$G$1723=G1503)*($A$3:$A$1723&lt;=A1503)))</f>
        <v/>
      </c>
      <c r="I1503" s="4">
        <f>IF(H1503="","",G1503&amp;"|"&amp;H1503)</f>
        <v/>
      </c>
      <c r="J1503" s="4" t="inlineStr">
        <is>
          <t>https://www.google.com/maps/search/?api=1&amp;query=BeB%20Games%20Shop&amp;query_place_id=ChIJ4d68w215GZURtJ7UClWQ4o4</t>
        </is>
      </c>
      <c r="K1503" s="4" t="inlineStr">
        <is>
          <t>Av. Diário de Notícias, 300 - Cristal, Porto Alegre - RS, 90810-080, Brasil</t>
        </is>
      </c>
      <c r="L1503" s="4" t="inlineStr">
        <is>
          <t>Porto Alegre</t>
        </is>
      </c>
      <c r="M1503" s="5" t="n">
        <v>1</v>
      </c>
    </row>
    <row r="1504">
      <c r="A1504" s="3">
        <f>RAND()</f>
        <v/>
      </c>
      <c r="B1504" s="4" t="inlineStr">
        <is>
          <t>ChIJs3tUWmt4GZURXTAqKYmY9UM</t>
        </is>
      </c>
      <c r="C1504" s="4" t="inlineStr">
        <is>
          <t>Bowlerama - Diner &amp; Bowling</t>
        </is>
      </c>
      <c r="D1504" s="4" t="inlineStr">
        <is>
          <t>Porto Alegre</t>
        </is>
      </c>
      <c r="E1504" s="4" t="inlineStr">
        <is>
          <t>RS</t>
        </is>
      </c>
      <c r="F1504" s="4" t="inlineStr">
        <is>
          <t>Metrópoles</t>
        </is>
      </c>
      <c r="G1504" s="4" t="inlineStr">
        <is>
          <t>Metrópole</t>
        </is>
      </c>
      <c r="H1504" s="5">
        <f>IF(G1504="fora do recorte","",SUMPRODUCT(($G$3:$G$1723=G1504)*($A$3:$A$1723&lt;=A1504)))</f>
        <v/>
      </c>
      <c r="I1504" s="4">
        <f>IF(H1504="","",G1504&amp;"|"&amp;H1504)</f>
        <v/>
      </c>
      <c r="J1504" s="4" t="inlineStr">
        <is>
          <t>https://www.google.com/maps/search/?api=1&amp;query=Bowlerama%20-%20Diner%20%26%20Bowling&amp;query_place_id=ChIJs3tUWmt4GZURXTAqKYmY9UM</t>
        </is>
      </c>
      <c r="K1504" s="4" t="inlineStr">
        <is>
          <t>Dentro do Clube Geraldo Santana - Rua Luiz de Camões, 337 - Santo Antônio, Porto Alegre - RS, 90620-150, Brasil</t>
        </is>
      </c>
      <c r="L1504" s="4" t="inlineStr">
        <is>
          <t>Porto Alegre</t>
        </is>
      </c>
      <c r="M1504" s="5" t="n">
        <v>1</v>
      </c>
    </row>
    <row r="1505">
      <c r="A1505" s="3">
        <f>RAND()</f>
        <v/>
      </c>
      <c r="B1505" s="4" t="inlineStr">
        <is>
          <t>ChIJNTkeVMx3GZURiLQ2djcIwaI</t>
        </is>
      </c>
      <c r="C1505" s="4" t="inlineStr">
        <is>
          <t>Capivara de Aço</t>
        </is>
      </c>
      <c r="D1505" s="4" t="inlineStr">
        <is>
          <t>Porto Alegre</t>
        </is>
      </c>
      <c r="E1505" s="4" t="inlineStr">
        <is>
          <t>RS</t>
        </is>
      </c>
      <c r="F1505" s="4" t="inlineStr">
        <is>
          <t>Metrópoles</t>
        </is>
      </c>
      <c r="G1505" s="4" t="inlineStr">
        <is>
          <t>Metrópole</t>
        </is>
      </c>
      <c r="H1505" s="5">
        <f>IF(G1505="fora do recorte","",SUMPRODUCT(($G$3:$G$1723=G1505)*($A$3:$A$1723&lt;=A1505)))</f>
        <v/>
      </c>
      <c r="I1505" s="4">
        <f>IF(H1505="","",G1505&amp;"|"&amp;H1505)</f>
        <v/>
      </c>
      <c r="J1505" s="4" t="inlineStr">
        <is>
          <t>https://www.google.com/maps/search/?api=1&amp;query=Capivara%20de%20A%C3%A7o&amp;query_place_id=ChIJNTkeVMx3GZURiLQ2djcIwaI</t>
        </is>
      </c>
      <c r="K1505" s="4" t="inlineStr">
        <is>
          <t>R. Jackson de Figueiredo, 523 - Sarandi, Porto Alegre - RS, 91120-380, Brasil</t>
        </is>
      </c>
      <c r="L1505" s="4" t="inlineStr">
        <is>
          <t>Porto Alegre</t>
        </is>
      </c>
      <c r="M1505" s="5" t="n">
        <v>1</v>
      </c>
    </row>
    <row r="1506">
      <c r="A1506" s="3">
        <f>RAND()</f>
        <v/>
      </c>
      <c r="B1506" s="4" t="inlineStr">
        <is>
          <t>ChIJG7V5grN5GZUR3u7aU9P43Hw</t>
        </is>
      </c>
      <c r="C1506" s="4" t="inlineStr">
        <is>
          <t>Capone Drinkeria</t>
        </is>
      </c>
      <c r="D1506" s="4" t="inlineStr">
        <is>
          <t>Porto Alegre</t>
        </is>
      </c>
      <c r="E1506" s="4" t="inlineStr">
        <is>
          <t>RS</t>
        </is>
      </c>
      <c r="F1506" s="4" t="inlineStr">
        <is>
          <t>Metrópoles</t>
        </is>
      </c>
      <c r="G1506" s="4" t="inlineStr">
        <is>
          <t>Metrópole</t>
        </is>
      </c>
      <c r="H1506" s="5">
        <f>IF(G1506="fora do recorte","",SUMPRODUCT(($G$3:$G$1723=G1506)*($A$3:$A$1723&lt;=A1506)))</f>
        <v/>
      </c>
      <c r="I1506" s="4">
        <f>IF(H1506="","",G1506&amp;"|"&amp;H1506)</f>
        <v/>
      </c>
      <c r="J1506" s="4" t="inlineStr">
        <is>
          <t>https://www.google.com/maps/search/?api=1&amp;query=Capone%20Drinkeria&amp;query_place_id=ChIJG7V5grN5GZUR3u7aU9P43Hw</t>
        </is>
      </c>
      <c r="K1506" s="4" t="inlineStr">
        <is>
          <t>R. Castro Alves, 447 - Independência, Porto Alegre - RS, 90430-131, Brasil</t>
        </is>
      </c>
      <c r="L1506" s="4" t="inlineStr">
        <is>
          <t>Porto Alegre</t>
        </is>
      </c>
      <c r="M1506" s="5" t="n">
        <v>1</v>
      </c>
    </row>
    <row r="1507">
      <c r="A1507" s="3">
        <f>RAND()</f>
        <v/>
      </c>
      <c r="B1507" s="4" t="inlineStr">
        <is>
          <t>ChIJ4TDIw5iDGZURIJBiOafxUPw</t>
        </is>
      </c>
      <c r="C1507" s="4" t="inlineStr">
        <is>
          <t>Casa Lúdica | Loja de Brinquedos Educativos em Porto Alegre - Zona Sul</t>
        </is>
      </c>
      <c r="D1507" s="4" t="inlineStr">
        <is>
          <t>Porto Alegre</t>
        </is>
      </c>
      <c r="E1507" s="4" t="inlineStr">
        <is>
          <t>RS</t>
        </is>
      </c>
      <c r="F1507" s="4" t="inlineStr">
        <is>
          <t>Metrópoles</t>
        </is>
      </c>
      <c r="G1507" s="4" t="inlineStr">
        <is>
          <t>Metrópole</t>
        </is>
      </c>
      <c r="H1507" s="5">
        <f>IF(G1507="fora do recorte","",SUMPRODUCT(($G$3:$G$1723=G1507)*($A$3:$A$1723&lt;=A1507)))</f>
        <v/>
      </c>
      <c r="I1507" s="4">
        <f>IF(H1507="","",G1507&amp;"|"&amp;H1507)</f>
        <v/>
      </c>
      <c r="J1507" s="4" t="inlineStr">
        <is>
          <t>https://www.google.com/maps/search/?api=1&amp;query=Casa%20L%C3%BAdica%20%7C%20Loja%20de%20Brinquedos%20Educativos%20em%20Porto%20Alegre%20-%20Zona%20Sul&amp;query_place_id=ChIJ4TDIw5iDGZURIJBiOafxUPw</t>
        </is>
      </c>
      <c r="K1507" s="4" t="inlineStr">
        <is>
          <t>Av. Wenceslau Escobar, 1437 - Vila Assunção, Porto Alegre - RS, 91900-605, Brasil</t>
        </is>
      </c>
      <c r="L1507" s="4" t="inlineStr">
        <is>
          <t>Porto Alegre</t>
        </is>
      </c>
      <c r="M1507" s="5" t="n">
        <v>3</v>
      </c>
    </row>
    <row r="1508">
      <c r="A1508" s="3">
        <f>RAND()</f>
        <v/>
      </c>
      <c r="B1508" s="4" t="inlineStr">
        <is>
          <t>ChIJt1KJ1xN5GZURehW5fkSmbgI</t>
        </is>
      </c>
      <c r="C1508" s="4" t="inlineStr">
        <is>
          <t>Casa de Cultura Mario Quintana (CCMQ)</t>
        </is>
      </c>
      <c r="D1508" s="4" t="inlineStr">
        <is>
          <t>Porto Alegre</t>
        </is>
      </c>
      <c r="E1508" s="4" t="inlineStr">
        <is>
          <t>RS</t>
        </is>
      </c>
      <c r="F1508" s="4" t="inlineStr">
        <is>
          <t>Metrópoles</t>
        </is>
      </c>
      <c r="G1508" s="4" t="inlineStr">
        <is>
          <t>Metrópole</t>
        </is>
      </c>
      <c r="H1508" s="5">
        <f>IF(G1508="fora do recorte","",SUMPRODUCT(($G$3:$G$1723=G1508)*($A$3:$A$1723&lt;=A1508)))</f>
        <v/>
      </c>
      <c r="I1508" s="4">
        <f>IF(H1508="","",G1508&amp;"|"&amp;H1508)</f>
        <v/>
      </c>
      <c r="J1508" s="4" t="inlineStr">
        <is>
          <t>https://www.google.com/maps/search/?api=1&amp;query=Casa%20de%20Cultura%20Mario%20Quintana%20%28CCMQ%29&amp;query_place_id=ChIJt1KJ1xN5GZURehW5fkSmbgI</t>
        </is>
      </c>
      <c r="K1508" s="4" t="inlineStr">
        <is>
          <t>R. dos Andradas, 736 - Centro Histórico, Porto Alegre - RS, 90020-004, Brasil</t>
        </is>
      </c>
      <c r="L1508" s="4" t="inlineStr">
        <is>
          <t>Porto Alegre</t>
        </is>
      </c>
      <c r="M1508" s="5" t="n">
        <v>1</v>
      </c>
    </row>
    <row r="1509">
      <c r="A1509" s="3">
        <f>RAND()</f>
        <v/>
      </c>
      <c r="B1509" s="4" t="inlineStr">
        <is>
          <t>ChIJt6eeMB95GZURSew3ja0AxJA</t>
        </is>
      </c>
      <c r="C1509" s="4" t="inlineStr">
        <is>
          <t>Casa do Xadrez Porto Alegre</t>
        </is>
      </c>
      <c r="D1509" s="4" t="inlineStr">
        <is>
          <t>Porto Alegre</t>
        </is>
      </c>
      <c r="E1509" s="4" t="inlineStr">
        <is>
          <t>RS</t>
        </is>
      </c>
      <c r="F1509" s="4" t="inlineStr">
        <is>
          <t>Metrópoles</t>
        </is>
      </c>
      <c r="G1509" s="4" t="inlineStr">
        <is>
          <t>Metrópole</t>
        </is>
      </c>
      <c r="H1509" s="5">
        <f>IF(G1509="fora do recorte","",SUMPRODUCT(($G$3:$G$1723=G1509)*($A$3:$A$1723&lt;=A1509)))</f>
        <v/>
      </c>
      <c r="I1509" s="4">
        <f>IF(H1509="","",G1509&amp;"|"&amp;H1509)</f>
        <v/>
      </c>
      <c r="J1509" s="4" t="inlineStr">
        <is>
          <t>https://www.google.com/maps/search/?api=1&amp;query=Casa%20do%20Xadrez%20Porto%20Alegre&amp;query_place_id=ChIJt6eeMB95GZURSew3ja0AxJA</t>
        </is>
      </c>
      <c r="K1509" s="4" t="inlineStr">
        <is>
          <t>R. Gonçalo de Carvalho, 209 - Sl 401 B - Floresta, Porto Alegre - RS, 90035-170, Brasil</t>
        </is>
      </c>
      <c r="L1509" s="4" t="inlineStr">
        <is>
          <t>Porto Alegre</t>
        </is>
      </c>
      <c r="M1509" s="5" t="n">
        <v>2</v>
      </c>
    </row>
    <row r="1510">
      <c r="A1510" s="3">
        <f>RAND()</f>
        <v/>
      </c>
      <c r="B1510" s="4" t="inlineStr">
        <is>
          <t>ChIJT1C0IqZ3GZURdYjywA4k4Kg</t>
        </is>
      </c>
      <c r="C1510" s="4" t="inlineStr">
        <is>
          <t>Casa lúdica shopping Iguatemi</t>
        </is>
      </c>
      <c r="D1510" s="4" t="inlineStr">
        <is>
          <t>Porto Alegre</t>
        </is>
      </c>
      <c r="E1510" s="4" t="inlineStr">
        <is>
          <t>RS</t>
        </is>
      </c>
      <c r="F1510" s="4" t="inlineStr">
        <is>
          <t>Metrópoles</t>
        </is>
      </c>
      <c r="G1510" s="4" t="inlineStr">
        <is>
          <t>Metrópole</t>
        </is>
      </c>
      <c r="H1510" s="5">
        <f>IF(G1510="fora do recorte","",SUMPRODUCT(($G$3:$G$1723=G1510)*($A$3:$A$1723&lt;=A1510)))</f>
        <v/>
      </c>
      <c r="I1510" s="4">
        <f>IF(H1510="","",G1510&amp;"|"&amp;H1510)</f>
        <v/>
      </c>
      <c r="J1510" s="4" t="inlineStr">
        <is>
          <t>https://www.google.com/maps/search/?api=1&amp;query=Casa%20l%C3%BAdica%20shopping%20Iguatemi&amp;query_place_id=ChIJT1C0IqZ3GZURdYjywA4k4Kg</t>
        </is>
      </c>
      <c r="K1510" s="4" t="inlineStr">
        <is>
          <t>Av. João Wallig, 1800 - Passo d'Areia, Porto Alegre - RS, 91349-900, Brasil</t>
        </is>
      </c>
      <c r="L1510" s="4" t="inlineStr">
        <is>
          <t>Porto Alegre</t>
        </is>
      </c>
      <c r="M1510" s="5" t="n">
        <v>1</v>
      </c>
    </row>
    <row r="1511">
      <c r="A1511" s="3">
        <f>RAND()</f>
        <v/>
      </c>
      <c r="B1511" s="4" t="inlineStr">
        <is>
          <t>ChIJR5SRYbt5GZURvDnVjioF-mE</t>
        </is>
      </c>
      <c r="C1511" s="4" t="inlineStr">
        <is>
          <t>Centro Cultural Vila Flores</t>
        </is>
      </c>
      <c r="D1511" s="4" t="inlineStr">
        <is>
          <t>Porto Alegre</t>
        </is>
      </c>
      <c r="E1511" s="4" t="inlineStr">
        <is>
          <t>RS</t>
        </is>
      </c>
      <c r="F1511" s="4" t="inlineStr">
        <is>
          <t>Metrópoles</t>
        </is>
      </c>
      <c r="G1511" s="4" t="inlineStr">
        <is>
          <t>Metrópole</t>
        </is>
      </c>
      <c r="H1511" s="5">
        <f>IF(G1511="fora do recorte","",SUMPRODUCT(($G$3:$G$1723=G1511)*($A$3:$A$1723&lt;=A1511)))</f>
        <v/>
      </c>
      <c r="I1511" s="4">
        <f>IF(H1511="","",G1511&amp;"|"&amp;H1511)</f>
        <v/>
      </c>
      <c r="J1511" s="4" t="inlineStr">
        <is>
          <t>https://www.google.com/maps/search/?api=1&amp;query=Centro%20Cultural%20Vila%20Flores&amp;query_place_id=ChIJR5SRYbt5GZURvDnVjioF-mE</t>
        </is>
      </c>
      <c r="K1511" s="4" t="inlineStr">
        <is>
          <t>R. São Carlos, 753 - Floresta, Porto Alegre - RS, 90220-120, Brasil</t>
        </is>
      </c>
      <c r="L1511" s="4" t="inlineStr">
        <is>
          <t>Porto Alegre</t>
        </is>
      </c>
      <c r="M1511" s="5" t="n">
        <v>1</v>
      </c>
    </row>
    <row r="1512">
      <c r="A1512" s="3">
        <f>RAND()</f>
        <v/>
      </c>
      <c r="B1512" s="4" t="inlineStr">
        <is>
          <t>ChIJN76CzJ53GZURfenXtnLLbOw</t>
        </is>
      </c>
      <c r="C1512" s="4" t="inlineStr">
        <is>
          <t>Checkpoint Games</t>
        </is>
      </c>
      <c r="D1512" s="4" t="inlineStr">
        <is>
          <t>Porto Alegre</t>
        </is>
      </c>
      <c r="E1512" s="4" t="inlineStr">
        <is>
          <t>RS</t>
        </is>
      </c>
      <c r="F1512" s="4" t="inlineStr">
        <is>
          <t>Metrópoles</t>
        </is>
      </c>
      <c r="G1512" s="4" t="inlineStr">
        <is>
          <t>Metrópole</t>
        </is>
      </c>
      <c r="H1512" s="5">
        <f>IF(G1512="fora do recorte","",SUMPRODUCT(($G$3:$G$1723=G1512)*($A$3:$A$1723&lt;=A1512)))</f>
        <v/>
      </c>
      <c r="I1512" s="4">
        <f>IF(H1512="","",G1512&amp;"|"&amp;H1512)</f>
        <v/>
      </c>
      <c r="J1512" s="4" t="inlineStr">
        <is>
          <t>https://www.google.com/maps/search/?api=1&amp;query=Checkpoint%20Games&amp;query_place_id=ChIJN76CzJ53GZURfenXtnLLbOw</t>
        </is>
      </c>
      <c r="K1512" s="4" t="inlineStr">
        <is>
          <t>Bourbon Shopping Country - Av. Túlio de Rose, 80 - 77 - Passo d'Areia, Porto Alegre - RS, 91340-080, Brasil</t>
        </is>
      </c>
      <c r="L1512" s="4" t="inlineStr">
        <is>
          <t>Porto Alegre</t>
        </is>
      </c>
      <c r="M1512" s="5" t="n">
        <v>2</v>
      </c>
    </row>
    <row r="1513">
      <c r="A1513" s="3">
        <f>RAND()</f>
        <v/>
      </c>
      <c r="B1513" s="4" t="inlineStr">
        <is>
          <t>ChIJi1Cdehp5GZUR6TD0jnD1iq8</t>
        </is>
      </c>
      <c r="C1513" s="4" t="inlineStr">
        <is>
          <t>Checkpoint Games Total</t>
        </is>
      </c>
      <c r="D1513" s="4" t="inlineStr">
        <is>
          <t>Porto Alegre</t>
        </is>
      </c>
      <c r="E1513" s="4" t="inlineStr">
        <is>
          <t>RS</t>
        </is>
      </c>
      <c r="F1513" s="4" t="inlineStr">
        <is>
          <t>Metrópoles</t>
        </is>
      </c>
      <c r="G1513" s="4" t="inlineStr">
        <is>
          <t>Metrópole</t>
        </is>
      </c>
      <c r="H1513" s="5">
        <f>IF(G1513="fora do recorte","",SUMPRODUCT(($G$3:$G$1723=G1513)*($A$3:$A$1723&lt;=A1513)))</f>
        <v/>
      </c>
      <c r="I1513" s="4">
        <f>IF(H1513="","",G1513&amp;"|"&amp;H1513)</f>
        <v/>
      </c>
      <c r="J1513" s="4" t="inlineStr">
        <is>
          <t>https://www.google.com/maps/search/?api=1&amp;query=Checkpoint%20Games%20Total&amp;query_place_id=ChIJi1Cdehp5GZUR6TD0jnD1iq8</t>
        </is>
      </c>
      <c r="K1513" s="4" t="inlineStr">
        <is>
          <t>Av. Cristóvão Colombo, 545 - Lj 1106 - Floresta, Porto Alegre - RS, 90035-153, Brasil</t>
        </is>
      </c>
      <c r="L1513" s="4" t="inlineStr">
        <is>
          <t>Porto Alegre</t>
        </is>
      </c>
      <c r="M1513" s="5" t="n">
        <v>1</v>
      </c>
    </row>
    <row r="1514">
      <c r="A1514" s="3">
        <f>RAND()</f>
        <v/>
      </c>
      <c r="B1514" s="4" t="inlineStr">
        <is>
          <t>ChIJT-p-do55GZUR4JhRfa3uWVM</t>
        </is>
      </c>
      <c r="C1514" s="4" t="inlineStr">
        <is>
          <t>Chipp's Bar</t>
        </is>
      </c>
      <c r="D1514" s="4" t="inlineStr">
        <is>
          <t>Porto Alegre</t>
        </is>
      </c>
      <c r="E1514" s="4" t="inlineStr">
        <is>
          <t>RS</t>
        </is>
      </c>
      <c r="F1514" s="4" t="inlineStr">
        <is>
          <t>Metrópoles</t>
        </is>
      </c>
      <c r="G1514" s="4" t="inlineStr">
        <is>
          <t>Metrópole</t>
        </is>
      </c>
      <c r="H1514" s="5">
        <f>IF(G1514="fora do recorte","",SUMPRODUCT(($G$3:$G$1723=G1514)*($A$3:$A$1723&lt;=A1514)))</f>
        <v/>
      </c>
      <c r="I1514" s="4">
        <f>IF(H1514="","",G1514&amp;"|"&amp;H1514)</f>
        <v/>
      </c>
      <c r="J1514" s="4" t="inlineStr">
        <is>
          <t>https://www.google.com/maps/search/?api=1&amp;query=Chipp%27s%20Bar&amp;query_place_id=ChIJT-p-do55GZUR4JhRfa3uWVM</t>
        </is>
      </c>
      <c r="K1514" s="4" t="inlineStr">
        <is>
          <t>Av. Getúlio Vargas, 254 - Menino Deus, Porto Alegre - RS, 90150-000, Brasil</t>
        </is>
      </c>
      <c r="L1514" s="4" t="inlineStr">
        <is>
          <t>Porto Alegre</t>
        </is>
      </c>
      <c r="M1514" s="5" t="n">
        <v>1</v>
      </c>
    </row>
    <row r="1515">
      <c r="A1515" s="3">
        <f>RAND()</f>
        <v/>
      </c>
      <c r="B1515" s="4" t="inlineStr">
        <is>
          <t>ChIJMaUOsUCCGZUR5eX8QrUL7Io</t>
        </is>
      </c>
      <c r="C1515" s="4" t="inlineStr">
        <is>
          <t>DM Games</t>
        </is>
      </c>
      <c r="D1515" s="4" t="inlineStr">
        <is>
          <t>Porto Alegre</t>
        </is>
      </c>
      <c r="E1515" s="4" t="inlineStr">
        <is>
          <t>RS</t>
        </is>
      </c>
      <c r="F1515" s="4" t="inlineStr">
        <is>
          <t>Metrópoles</t>
        </is>
      </c>
      <c r="G1515" s="4" t="inlineStr">
        <is>
          <t>Metrópole</t>
        </is>
      </c>
      <c r="H1515" s="5">
        <f>IF(G1515="fora do recorte","",SUMPRODUCT(($G$3:$G$1723=G1515)*($A$3:$A$1723&lt;=A1515)))</f>
        <v/>
      </c>
      <c r="I1515" s="4">
        <f>IF(H1515="","",G1515&amp;"|"&amp;H1515)</f>
        <v/>
      </c>
      <c r="J1515" s="4" t="inlineStr">
        <is>
          <t>https://www.google.com/maps/search/?api=1&amp;query=DM%20Games&amp;query_place_id=ChIJMaUOsUCCGZUR5eX8QrUL7Io</t>
        </is>
      </c>
      <c r="K1515" s="4" t="inlineStr">
        <is>
          <t>Rua Victor Silva, 229 - Lj 05 - Camaquã, Porto Alegre - RS, 91920-530, Brasil</t>
        </is>
      </c>
      <c r="L1515" s="4" t="inlineStr">
        <is>
          <t>Porto Alegre</t>
        </is>
      </c>
      <c r="M1515" s="5" t="n">
        <v>1</v>
      </c>
    </row>
    <row r="1516">
      <c r="A1516" s="3">
        <f>RAND()</f>
        <v/>
      </c>
      <c r="B1516" s="4" t="inlineStr">
        <is>
          <t>ChIJq6p-rQh5GZUR7QzURRGwfwA</t>
        </is>
      </c>
      <c r="C1516" s="4" t="inlineStr">
        <is>
          <t>Dream Halls (Shandalar)</t>
        </is>
      </c>
      <c r="D1516" s="4" t="inlineStr">
        <is>
          <t>Porto Alegre</t>
        </is>
      </c>
      <c r="E1516" s="4" t="inlineStr">
        <is>
          <t>RS</t>
        </is>
      </c>
      <c r="F1516" s="4" t="inlineStr">
        <is>
          <t>Metrópoles</t>
        </is>
      </c>
      <c r="G1516" s="4" t="inlineStr">
        <is>
          <t>Metrópole</t>
        </is>
      </c>
      <c r="H1516" s="5">
        <f>IF(G1516="fora do recorte","",SUMPRODUCT(($G$3:$G$1723=G1516)*($A$3:$A$1723&lt;=A1516)))</f>
        <v/>
      </c>
      <c r="I1516" s="4">
        <f>IF(H1516="","",G1516&amp;"|"&amp;H1516)</f>
        <v/>
      </c>
      <c r="J1516" s="4" t="inlineStr">
        <is>
          <t>https://www.google.com/maps/search/?api=1&amp;query=Dream%20Halls%20%28Shandalar%29&amp;query_place_id=ChIJq6p-rQh5GZUR7QzURRGwfwA</t>
        </is>
      </c>
      <c r="K1516" s="4" t="inlineStr">
        <is>
          <t>Rua Garibaldi, 770 - Independência, Porto Alegre - RS, 90035-051, Brasil</t>
        </is>
      </c>
      <c r="L1516" s="4" t="inlineStr">
        <is>
          <t>Porto Alegre</t>
        </is>
      </c>
      <c r="M1516" s="5" t="n">
        <v>2</v>
      </c>
    </row>
    <row r="1517">
      <c r="A1517" s="3">
        <f>RAND()</f>
        <v/>
      </c>
      <c r="B1517" s="4" t="inlineStr">
        <is>
          <t>ChIJ-YI0GoB5GZURaHx2Zjct0HA</t>
        </is>
      </c>
      <c r="C1517" s="4" t="inlineStr">
        <is>
          <t>Dry Moments &amp; Drinks</t>
        </is>
      </c>
      <c r="D1517" s="4" t="inlineStr">
        <is>
          <t>Porto Alegre</t>
        </is>
      </c>
      <c r="E1517" s="4" t="inlineStr">
        <is>
          <t>RS</t>
        </is>
      </c>
      <c r="F1517" s="4" t="inlineStr">
        <is>
          <t>Metrópoles</t>
        </is>
      </c>
      <c r="G1517" s="4" t="inlineStr">
        <is>
          <t>Metrópole</t>
        </is>
      </c>
      <c r="H1517" s="5">
        <f>IF(G1517="fora do recorte","",SUMPRODUCT(($G$3:$G$1723=G1517)*($A$3:$A$1723&lt;=A1517)))</f>
        <v/>
      </c>
      <c r="I1517" s="4">
        <f>IF(H1517="","",G1517&amp;"|"&amp;H1517)</f>
        <v/>
      </c>
      <c r="J1517" s="4" t="inlineStr">
        <is>
          <t>https://www.google.com/maps/search/?api=1&amp;query=Dry%20Moments%20%26%20Drinks&amp;query_place_id=ChIJ-YI0GoB5GZURaHx2Zjct0HA</t>
        </is>
      </c>
      <c r="K1517" s="4" t="inlineStr">
        <is>
          <t>Av. Nova York, 48 - Auxiliadora, Porto Alegre - RS, 90550-070, Brasil</t>
        </is>
      </c>
      <c r="L1517" s="4" t="inlineStr">
        <is>
          <t>Porto Alegre</t>
        </is>
      </c>
      <c r="M1517" s="5" t="n">
        <v>1</v>
      </c>
    </row>
    <row r="1518">
      <c r="A1518" s="3">
        <f>RAND()</f>
        <v/>
      </c>
      <c r="B1518" s="4" t="inlineStr">
        <is>
          <t>ChIJZeaWMGaCGZURbQaAIwBfxus</t>
        </is>
      </c>
      <c r="C1518" s="4" t="inlineStr">
        <is>
          <t>FM games</t>
        </is>
      </c>
      <c r="D1518" s="4" t="inlineStr">
        <is>
          <t>Porto Alegre</t>
        </is>
      </c>
      <c r="E1518" s="4" t="inlineStr">
        <is>
          <t>RS</t>
        </is>
      </c>
      <c r="F1518" s="4" t="inlineStr">
        <is>
          <t>Metrópoles</t>
        </is>
      </c>
      <c r="G1518" s="4" t="inlineStr">
        <is>
          <t>Metrópole</t>
        </is>
      </c>
      <c r="H1518" s="5">
        <f>IF(G1518="fora do recorte","",SUMPRODUCT(($G$3:$G$1723=G1518)*($A$3:$A$1723&lt;=A1518)))</f>
        <v/>
      </c>
      <c r="I1518" s="4">
        <f>IF(H1518="","",G1518&amp;"|"&amp;H1518)</f>
        <v/>
      </c>
      <c r="J1518" s="4" t="inlineStr">
        <is>
          <t>https://www.google.com/maps/search/?api=1&amp;query=FM%20games&amp;query_place_id=ChIJZeaWMGaCGZURbQaAIwBfxus</t>
        </is>
      </c>
      <c r="K1518" s="4" t="inlineStr">
        <is>
          <t>Av. da Cavalhada, 2360 - Lj 105 - Cavalhada, Porto Alegre - RS, 91740-000, Brasil</t>
        </is>
      </c>
      <c r="L1518" s="4" t="inlineStr">
        <is>
          <t>Porto Alegre</t>
        </is>
      </c>
      <c r="M1518" s="5" t="n">
        <v>1</v>
      </c>
    </row>
    <row r="1519">
      <c r="A1519" s="3">
        <f>RAND()</f>
        <v/>
      </c>
      <c r="B1519" s="4" t="inlineStr">
        <is>
          <t>ChIJQRxxxV15GZURLYiqREJXY3k</t>
        </is>
      </c>
      <c r="C1519" s="4" t="inlineStr">
        <is>
          <t>Guava - Poa</t>
        </is>
      </c>
      <c r="D1519" s="4" t="inlineStr">
        <is>
          <t>Porto Alegre</t>
        </is>
      </c>
      <c r="E1519" s="4" t="inlineStr">
        <is>
          <t>RS</t>
        </is>
      </c>
      <c r="F1519" s="4" t="inlineStr">
        <is>
          <t>Metrópoles</t>
        </is>
      </c>
      <c r="G1519" s="4" t="inlineStr">
        <is>
          <t>Metrópole</t>
        </is>
      </c>
      <c r="H1519" s="5">
        <f>IF(G1519="fora do recorte","",SUMPRODUCT(($G$3:$G$1723=G1519)*($A$3:$A$1723&lt;=A1519)))</f>
        <v/>
      </c>
      <c r="I1519" s="4">
        <f>IF(H1519="","",G1519&amp;"|"&amp;H1519)</f>
        <v/>
      </c>
      <c r="J1519" s="4" t="inlineStr">
        <is>
          <t>https://www.google.com/maps/search/?api=1&amp;query=Guava%20-%20Poa&amp;query_place_id=ChIJQRxxxV15GZURLYiqREJXY3k</t>
        </is>
      </c>
      <c r="K1519" s="4" t="inlineStr">
        <is>
          <t>R. Auxiliadora, 260 - Auxiliadora, Porto Alegre - RS, 91540-120, Brasil</t>
        </is>
      </c>
      <c r="L1519" s="4" t="inlineStr">
        <is>
          <t>Porto Alegre</t>
        </is>
      </c>
      <c r="M1519" s="5" t="n">
        <v>1</v>
      </c>
    </row>
    <row r="1520">
      <c r="A1520" s="3">
        <f>RAND()</f>
        <v/>
      </c>
      <c r="B1520" s="4" t="inlineStr">
        <is>
          <t>ChIJcRvp0r15GZURj1bFNF3n5jw</t>
        </is>
      </c>
      <c r="C1520" s="4" t="inlineStr">
        <is>
          <t>HEX Board Game Café</t>
        </is>
      </c>
      <c r="D1520" s="4" t="inlineStr">
        <is>
          <t>Porto Alegre</t>
        </is>
      </c>
      <c r="E1520" s="4" t="inlineStr">
        <is>
          <t>RS</t>
        </is>
      </c>
      <c r="F1520" s="4" t="inlineStr">
        <is>
          <t>Metrópoles</t>
        </is>
      </c>
      <c r="G1520" s="4" t="inlineStr">
        <is>
          <t>Metrópole</t>
        </is>
      </c>
      <c r="H1520" s="5">
        <f>IF(G1520="fora do recorte","",SUMPRODUCT(($G$3:$G$1723=G1520)*($A$3:$A$1723&lt;=A1520)))</f>
        <v/>
      </c>
      <c r="I1520" s="4">
        <f>IF(H1520="","",G1520&amp;"|"&amp;H1520)</f>
        <v/>
      </c>
      <c r="J1520" s="4" t="inlineStr">
        <is>
          <t>https://www.google.com/maps/search/?api=1&amp;query=HEX%20Board%20Game%20Caf%C3%A9&amp;query_place_id=ChIJcRvp0r15GZURj1bFNF3n5jw</t>
        </is>
      </c>
      <c r="K1520" s="4" t="inlineStr">
        <is>
          <t>R. Riachuelo, 1339 - Sala 1003 ( Cobertura - Centro Histórico, Porto Alegre - RS, 90010-270, Brasil</t>
        </is>
      </c>
      <c r="L1520" s="4" t="inlineStr">
        <is>
          <t>Belém; Boa Vista; Brasília; Campo Grande; Cuiabá; Florianópolis; Fortaleza; Goiânia; Macapá; Maceió; Manaus; Natal; Porto Alegre; Rio Branco; Rio de Janeiro; São Luís; São Paulo; Teresina; Vitória</t>
        </is>
      </c>
      <c r="M1520" s="5" t="n">
        <v>13</v>
      </c>
    </row>
    <row r="1521">
      <c r="A1521" s="3">
        <f>RAND()</f>
        <v/>
      </c>
      <c r="B1521" s="4" t="inlineStr">
        <is>
          <t>ChIJT7pnzXqCGZUROMEoKA8AW-w</t>
        </is>
      </c>
      <c r="C1521" s="4" t="inlineStr">
        <is>
          <t>Hidden BrewPub</t>
        </is>
      </c>
      <c r="D1521" s="4" t="inlineStr">
        <is>
          <t>Porto Alegre</t>
        </is>
      </c>
      <c r="E1521" s="4" t="inlineStr">
        <is>
          <t>RS</t>
        </is>
      </c>
      <c r="F1521" s="4" t="inlineStr">
        <is>
          <t>Metrópoles</t>
        </is>
      </c>
      <c r="G1521" s="4" t="inlineStr">
        <is>
          <t>Metrópole</t>
        </is>
      </c>
      <c r="H1521" s="5">
        <f>IF(G1521="fora do recorte","",SUMPRODUCT(($G$3:$G$1723=G1521)*($A$3:$A$1723&lt;=A1521)))</f>
        <v/>
      </c>
      <c r="I1521" s="4">
        <f>IF(H1521="","",G1521&amp;"|"&amp;H1521)</f>
        <v/>
      </c>
      <c r="J1521" s="4" t="inlineStr">
        <is>
          <t>https://www.google.com/maps/search/?api=1&amp;query=Hidden%20BrewPub&amp;query_place_id=ChIJT7pnzXqCGZUROMEoKA8AW-w</t>
        </is>
      </c>
      <c r="K1521" s="4" t="inlineStr">
        <is>
          <t>R. Gregório da Fonseca, 680 - Nonoai, Porto Alegre - RS, 90830-260, Brasil</t>
        </is>
      </c>
      <c r="L1521" s="4" t="inlineStr">
        <is>
          <t>Porto Alegre</t>
        </is>
      </c>
      <c r="M1521" s="5" t="n">
        <v>1</v>
      </c>
    </row>
    <row r="1522">
      <c r="A1522" s="3">
        <f>RAND()</f>
        <v/>
      </c>
      <c r="B1522" s="4" t="inlineStr">
        <is>
          <t>ChIJSTDJiAV5GZURG0iVNFCTGGM</t>
        </is>
      </c>
      <c r="C1522" s="4" t="inlineStr">
        <is>
          <t>Horda Nerd</t>
        </is>
      </c>
      <c r="D1522" s="4" t="inlineStr">
        <is>
          <t>Porto Alegre</t>
        </is>
      </c>
      <c r="E1522" s="4" t="inlineStr">
        <is>
          <t>RS</t>
        </is>
      </c>
      <c r="F1522" s="4" t="inlineStr">
        <is>
          <t>Metrópoles</t>
        </is>
      </c>
      <c r="G1522" s="4" t="inlineStr">
        <is>
          <t>Metrópole</t>
        </is>
      </c>
      <c r="H1522" s="5">
        <f>IF(G1522="fora do recorte","",SUMPRODUCT(($G$3:$G$1723=G1522)*($A$3:$A$1723&lt;=A1522)))</f>
        <v/>
      </c>
      <c r="I1522" s="4">
        <f>IF(H1522="","",G1522&amp;"|"&amp;H1522)</f>
        <v/>
      </c>
      <c r="J1522" s="4" t="inlineStr">
        <is>
          <t>https://www.google.com/maps/search/?api=1&amp;query=Horda%20Nerd&amp;query_place_id=ChIJSTDJiAV5GZURG0iVNFCTGGM</t>
        </is>
      </c>
      <c r="K1522" s="4" t="inlineStr">
        <is>
          <t>R. Riachuelo, 1320 - Centro Histórico, Porto Alegre - RS, 90010-273, Brasil</t>
        </is>
      </c>
      <c r="L1522" s="4" t="inlineStr">
        <is>
          <t>Porto Alegre</t>
        </is>
      </c>
      <c r="M1522" s="5" t="n">
        <v>3</v>
      </c>
    </row>
    <row r="1523">
      <c r="A1523" s="3">
        <f>RAND()</f>
        <v/>
      </c>
      <c r="B1523" s="4" t="inlineStr">
        <is>
          <t>ChIJV8oXhgV5GZURziXuQ4QUGCg</t>
        </is>
      </c>
      <c r="C1523" s="4" t="inlineStr">
        <is>
          <t>Ilusões Industriais</t>
        </is>
      </c>
      <c r="D1523" s="4" t="inlineStr">
        <is>
          <t>Porto Alegre</t>
        </is>
      </c>
      <c r="E1523" s="4" t="inlineStr">
        <is>
          <t>RS</t>
        </is>
      </c>
      <c r="F1523" s="4" t="inlineStr">
        <is>
          <t>Metrópoles</t>
        </is>
      </c>
      <c r="G1523" s="4" t="inlineStr">
        <is>
          <t>Metrópole</t>
        </is>
      </c>
      <c r="H1523" s="5">
        <f>IF(G1523="fora do recorte","",SUMPRODUCT(($G$3:$G$1723=G1523)*($A$3:$A$1723&lt;=A1523)))</f>
        <v/>
      </c>
      <c r="I1523" s="4">
        <f>IF(H1523="","",G1523&amp;"|"&amp;H1523)</f>
        <v/>
      </c>
      <c r="J1523" s="4" t="inlineStr">
        <is>
          <t>https://www.google.com/maps/search/?api=1&amp;query=Ilus%C3%B5es%20Industriais&amp;query_place_id=ChIJV8oXhgV5GZURziXuQ4QUGCg</t>
        </is>
      </c>
      <c r="K1523" s="4" t="inlineStr">
        <is>
          <t>R. Riachuelo, 1334 - Lj 6 - Centro Histórico, Porto Alegre - RS, 90010-273, Brasil</t>
        </is>
      </c>
      <c r="L1523" s="4" t="inlineStr">
        <is>
          <t>Porto Alegre</t>
        </is>
      </c>
      <c r="M1523" s="5" t="n">
        <v>6</v>
      </c>
    </row>
    <row r="1524">
      <c r="A1524" s="3">
        <f>RAND()</f>
        <v/>
      </c>
      <c r="B1524" s="4" t="inlineStr">
        <is>
          <t>ChIJE1UxnhN3GZURqblAoNB7yfo</t>
        </is>
      </c>
      <c r="C1524" s="4" t="inlineStr">
        <is>
          <t>Ilusões Industriais Bourbon Country</t>
        </is>
      </c>
      <c r="D1524" s="4" t="inlineStr">
        <is>
          <t>Porto Alegre</t>
        </is>
      </c>
      <c r="E1524" s="4" t="inlineStr">
        <is>
          <t>RS</t>
        </is>
      </c>
      <c r="F1524" s="4" t="inlineStr">
        <is>
          <t>Metrópoles</t>
        </is>
      </c>
      <c r="G1524" s="4" t="inlineStr">
        <is>
          <t>Metrópole</t>
        </is>
      </c>
      <c r="H1524" s="5">
        <f>IF(G1524="fora do recorte","",SUMPRODUCT(($G$3:$G$1723=G1524)*($A$3:$A$1723&lt;=A1524)))</f>
        <v/>
      </c>
      <c r="I1524" s="4">
        <f>IF(H1524="","",G1524&amp;"|"&amp;H1524)</f>
        <v/>
      </c>
      <c r="J1524" s="4" t="inlineStr">
        <is>
          <t>https://www.google.com/maps/search/?api=1&amp;query=Ilus%C3%B5es%20Industriais%20Bourbon%20Country&amp;query_place_id=ChIJE1UxnhN3GZURqblAoNB7yfo</t>
        </is>
      </c>
      <c r="K1524" s="4" t="inlineStr">
        <is>
          <t>Av. Túlio de Rose, 80 No 2o andar próximo as esdadas rolante - Passo d'Areia, Porto Alegre - RS, 91340-110, Brasil</t>
        </is>
      </c>
      <c r="L1524" s="4" t="inlineStr">
        <is>
          <t>Porto Alegre</t>
        </is>
      </c>
      <c r="M1524" s="5" t="n">
        <v>6</v>
      </c>
    </row>
    <row r="1525">
      <c r="A1525" s="3">
        <f>RAND()</f>
        <v/>
      </c>
      <c r="B1525" s="4" t="inlineStr">
        <is>
          <t>ChIJW5h5saN4GZURamqMy4PvK1U</t>
        </is>
      </c>
      <c r="C1525" s="4" t="inlineStr">
        <is>
          <t>Jogos Boole</t>
        </is>
      </c>
      <c r="D1525" s="4" t="inlineStr">
        <is>
          <t>Porto Alegre</t>
        </is>
      </c>
      <c r="E1525" s="4" t="inlineStr">
        <is>
          <t>RS</t>
        </is>
      </c>
      <c r="F1525" s="4" t="inlineStr">
        <is>
          <t>Metrópoles</t>
        </is>
      </c>
      <c r="G1525" s="4" t="inlineStr">
        <is>
          <t>Metrópole</t>
        </is>
      </c>
      <c r="H1525" s="5">
        <f>IF(G1525="fora do recorte","",SUMPRODUCT(($G$3:$G$1723=G1525)*($A$3:$A$1723&lt;=A1525)))</f>
        <v/>
      </c>
      <c r="I1525" s="4">
        <f>IF(H1525="","",G1525&amp;"|"&amp;H1525)</f>
        <v/>
      </c>
      <c r="J1525" s="4" t="inlineStr">
        <is>
          <t>https://www.google.com/maps/search/?api=1&amp;query=Jogos%20Boole&amp;query_place_id=ChIJW5h5saN4GZURamqMy4PvK1U</t>
        </is>
      </c>
      <c r="K1525" s="4" t="inlineStr">
        <is>
          <t>Av. Capivari, 165 - Cristal, Porto Alegre - RS, 90810-070, Brasil</t>
        </is>
      </c>
      <c r="L1525" s="4" t="inlineStr">
        <is>
          <t>Porto Alegre</t>
        </is>
      </c>
      <c r="M1525" s="5" t="n">
        <v>2</v>
      </c>
    </row>
    <row r="1526">
      <c r="A1526" s="3">
        <f>RAND()</f>
        <v/>
      </c>
      <c r="B1526" s="4" t="inlineStr">
        <is>
          <t>ChIJmyUFzQt5GZURq_vc-kMrlGI</t>
        </is>
      </c>
      <c r="C1526" s="4" t="inlineStr">
        <is>
          <t>Jogos Fantásticos e Onde Habitam - Aluguel de Jogos de Tabuleiro em Porto Alegre</t>
        </is>
      </c>
      <c r="D1526" s="4" t="inlineStr">
        <is>
          <t>Porto Alegre</t>
        </is>
      </c>
      <c r="E1526" s="4" t="inlineStr">
        <is>
          <t>RS</t>
        </is>
      </c>
      <c r="F1526" s="4" t="inlineStr">
        <is>
          <t>Metrópoles</t>
        </is>
      </c>
      <c r="G1526" s="4" t="inlineStr">
        <is>
          <t>Metrópole</t>
        </is>
      </c>
      <c r="H1526" s="5">
        <f>IF(G1526="fora do recorte","",SUMPRODUCT(($G$3:$G$1723=G1526)*($A$3:$A$1723&lt;=A1526)))</f>
        <v/>
      </c>
      <c r="I1526" s="4">
        <f>IF(H1526="","",G1526&amp;"|"&amp;H1526)</f>
        <v/>
      </c>
      <c r="J1526" s="4" t="inlineStr">
        <is>
          <t>https://www.google.com/maps/search/?api=1&amp;query=Jogos%20Fant%C3%A1sticos%20e%20Onde%20Habitam%20-%20Aluguel%20de%20Jogos%20de%20Tabuleiro%20em%20Porto%20Alegre&amp;query_place_id=ChIJmyUFzQt5GZURq_vc-kMrlGI</t>
        </is>
      </c>
      <c r="K1526" s="4" t="inlineStr">
        <is>
          <t>Av. Praia de Belas, 733 - Praia de Belas, Porto Alegre - RS, 90110-001, Brasil</t>
        </is>
      </c>
      <c r="L1526" s="4" t="inlineStr">
        <is>
          <t>Porto Alegre</t>
        </is>
      </c>
      <c r="M1526" s="5" t="n">
        <v>7</v>
      </c>
    </row>
    <row r="1527">
      <c r="A1527" s="3">
        <f>RAND()</f>
        <v/>
      </c>
      <c r="B1527" s="4" t="inlineStr">
        <is>
          <t>ChIJi8IQud95GZURGnZXARGazCw</t>
        </is>
      </c>
      <c r="C1527" s="4" t="inlineStr">
        <is>
          <t>LS Gamestore</t>
        </is>
      </c>
      <c r="D1527" s="4" t="inlineStr">
        <is>
          <t>Porto Alegre</t>
        </is>
      </c>
      <c r="E1527" s="4" t="inlineStr">
        <is>
          <t>RS</t>
        </is>
      </c>
      <c r="F1527" s="4" t="inlineStr">
        <is>
          <t>Metrópoles</t>
        </is>
      </c>
      <c r="G1527" s="4" t="inlineStr">
        <is>
          <t>Metrópole</t>
        </is>
      </c>
      <c r="H1527" s="5">
        <f>IF(G1527="fora do recorte","",SUMPRODUCT(($G$3:$G$1723=G1527)*($A$3:$A$1723&lt;=A1527)))</f>
        <v/>
      </c>
      <c r="I1527" s="4">
        <f>IF(H1527="","",G1527&amp;"|"&amp;H1527)</f>
        <v/>
      </c>
      <c r="J1527" s="4" t="inlineStr">
        <is>
          <t>https://www.google.com/maps/search/?api=1&amp;query=LS%20Gamestore&amp;query_place_id=ChIJi8IQud95GZURGnZXARGazCw</t>
        </is>
      </c>
      <c r="K1527" s="4" t="inlineStr">
        <is>
          <t>R. Riachuelo, 1038 - Sl 705 - Centro Histórico, Porto Alegre - RS, 90010-272, Brasil</t>
        </is>
      </c>
      <c r="L1527" s="4" t="inlineStr">
        <is>
          <t>Porto Alegre</t>
        </is>
      </c>
      <c r="M1527" s="5" t="n">
        <v>1</v>
      </c>
    </row>
    <row r="1528">
      <c r="A1528" s="3">
        <f>RAND()</f>
        <v/>
      </c>
      <c r="B1528" s="4" t="inlineStr">
        <is>
          <t>ChIJLQoG2xF5GZUR4YH8-IRYoRs</t>
        </is>
      </c>
      <c r="C1528" s="4" t="inlineStr">
        <is>
          <t>Livraria Leitura</t>
        </is>
      </c>
      <c r="D1528" s="4" t="inlineStr">
        <is>
          <t>Porto Alegre</t>
        </is>
      </c>
      <c r="E1528" s="4" t="inlineStr">
        <is>
          <t>RS</t>
        </is>
      </c>
      <c r="F1528" s="4" t="inlineStr">
        <is>
          <t>Metrópoles</t>
        </is>
      </c>
      <c r="G1528" s="4" t="inlineStr">
        <is>
          <t>Metrópole</t>
        </is>
      </c>
      <c r="H1528" s="5">
        <f>IF(G1528="fora do recorte","",SUMPRODUCT(($G$3:$G$1723=G1528)*($A$3:$A$1723&lt;=A1528)))</f>
        <v/>
      </c>
      <c r="I1528" s="4">
        <f>IF(H1528="","",G1528&amp;"|"&amp;H1528)</f>
        <v/>
      </c>
      <c r="J1528" s="4" t="inlineStr">
        <is>
          <t>https://www.google.com/maps/search/?api=1&amp;query=Livraria%20Leitura&amp;query_place_id=ChIJLQoG2xF5GZUR4YH8-IRYoRs</t>
        </is>
      </c>
      <c r="K1528" s="4" t="inlineStr">
        <is>
          <t>Nível Guaíba - Av. Diário de Notícias, 300 - Lj 2025 - Cristal, Porto Alegre - RS, 90810-080, Brasil</t>
        </is>
      </c>
      <c r="L1528" s="4" t="inlineStr">
        <is>
          <t>Porto Alegre</t>
        </is>
      </c>
      <c r="M1528" s="5" t="n">
        <v>1</v>
      </c>
    </row>
    <row r="1529">
      <c r="A1529" s="3">
        <f>RAND()</f>
        <v/>
      </c>
      <c r="B1529" s="4" t="inlineStr">
        <is>
          <t>ChIJeQSBxIB5GZURF_5nVdRIpoA</t>
        </is>
      </c>
      <c r="C1529" s="4" t="inlineStr">
        <is>
          <t>Ludoteca Básica</t>
        </is>
      </c>
      <c r="D1529" s="4" t="inlineStr">
        <is>
          <t>Porto Alegre</t>
        </is>
      </c>
      <c r="E1529" s="4" t="inlineStr">
        <is>
          <t>RS</t>
        </is>
      </c>
      <c r="F1529" s="4" t="inlineStr">
        <is>
          <t>Metrópoles</t>
        </is>
      </c>
      <c r="G1529" s="4" t="inlineStr">
        <is>
          <t>Metrópole</t>
        </is>
      </c>
      <c r="H1529" s="5">
        <f>IF(G1529="fora do recorte","",SUMPRODUCT(($G$3:$G$1723=G1529)*($A$3:$A$1723&lt;=A1529)))</f>
        <v/>
      </c>
      <c r="I1529" s="4">
        <f>IF(H1529="","",G1529&amp;"|"&amp;H1529)</f>
        <v/>
      </c>
      <c r="J1529" s="4" t="inlineStr">
        <is>
          <t>https://www.google.com/maps/search/?api=1&amp;query=Ludoteca%20B%C3%A1sica&amp;query_place_id=ChIJeQSBxIB5GZURF_5nVdRIpoA</t>
        </is>
      </c>
      <c r="K1529" s="4" t="inlineStr">
        <is>
          <t>R. Dr. Júlio Bocaccio, 64 - Santo Antônio, Porto Alegre - RS, 90640-020, Brasil</t>
        </is>
      </c>
      <c r="L1529" s="4" t="inlineStr">
        <is>
          <t>Porto Alegre</t>
        </is>
      </c>
      <c r="M1529" s="5" t="n">
        <v>8</v>
      </c>
    </row>
    <row r="1530">
      <c r="A1530" s="3">
        <f>RAND()</f>
        <v/>
      </c>
      <c r="B1530" s="4" t="inlineStr">
        <is>
          <t>ChIJc5Ngqb93GZURsXxqn5PFaUQ</t>
        </is>
      </c>
      <c r="C1530" s="4" t="inlineStr">
        <is>
          <t>MTG Magic Combo</t>
        </is>
      </c>
      <c r="D1530" s="4" t="inlineStr">
        <is>
          <t>Porto Alegre</t>
        </is>
      </c>
      <c r="E1530" s="4" t="inlineStr">
        <is>
          <t>RS</t>
        </is>
      </c>
      <c r="F1530" s="4" t="inlineStr">
        <is>
          <t>Metrópoles</t>
        </is>
      </c>
      <c r="G1530" s="4" t="inlineStr">
        <is>
          <t>Metrópole</t>
        </is>
      </c>
      <c r="H1530" s="5">
        <f>IF(G1530="fora do recorte","",SUMPRODUCT(($G$3:$G$1723=G1530)*($A$3:$A$1723&lt;=A1530)))</f>
        <v/>
      </c>
      <c r="I1530" s="4">
        <f>IF(H1530="","",G1530&amp;"|"&amp;H1530)</f>
        <v/>
      </c>
      <c r="J1530" s="4" t="inlineStr">
        <is>
          <t>https://www.google.com/maps/search/?api=1&amp;query=MTG%20Magic%20Combo&amp;query_place_id=ChIJc5Ngqb93GZURsXxqn5PFaUQ</t>
        </is>
      </c>
      <c r="K1530" s="4" t="inlineStr">
        <is>
          <t>R. Umbú, 99 - Passo d'Areia, Porto Alegre - RS, 91350-100, Brasil</t>
        </is>
      </c>
      <c r="L1530" s="4" t="inlineStr">
        <is>
          <t>Porto Alegre</t>
        </is>
      </c>
      <c r="M1530" s="5" t="n">
        <v>1</v>
      </c>
    </row>
    <row r="1531">
      <c r="A1531" s="3">
        <f>RAND()</f>
        <v/>
      </c>
      <c r="B1531" s="4" t="inlineStr">
        <is>
          <t>ChIJIWGq8Xt5GZURuK5FW6xiwjw</t>
        </is>
      </c>
      <c r="C1531" s="4" t="inlineStr">
        <is>
          <t>Mestre Misto</t>
        </is>
      </c>
      <c r="D1531" s="4" t="inlineStr">
        <is>
          <t>Porto Alegre</t>
        </is>
      </c>
      <c r="E1531" s="4" t="inlineStr">
        <is>
          <t>RS</t>
        </is>
      </c>
      <c r="F1531" s="4" t="inlineStr">
        <is>
          <t>Metrópoles</t>
        </is>
      </c>
      <c r="G1531" s="4" t="inlineStr">
        <is>
          <t>Metrópole</t>
        </is>
      </c>
      <c r="H1531" s="5">
        <f>IF(G1531="fora do recorte","",SUMPRODUCT(($G$3:$G$1723=G1531)*($A$3:$A$1723&lt;=A1531)))</f>
        <v/>
      </c>
      <c r="I1531" s="4">
        <f>IF(H1531="","",G1531&amp;"|"&amp;H1531)</f>
        <v/>
      </c>
      <c r="J1531" s="4" t="inlineStr">
        <is>
          <t>https://www.google.com/maps/search/?api=1&amp;query=Mestre%20Misto&amp;query_place_id=ChIJIWGq8Xt5GZURuK5FW6xiwjw</t>
        </is>
      </c>
      <c r="K1531" s="4" t="inlineStr">
        <is>
          <t>Av. Lageado, 615 - Petrópolis, Porto Alegre - RS, 90460-110, Brasil</t>
        </is>
      </c>
      <c r="L1531" s="4" t="inlineStr">
        <is>
          <t>Porto Alegre</t>
        </is>
      </c>
      <c r="M1531" s="5" t="n">
        <v>1</v>
      </c>
    </row>
    <row r="1532">
      <c r="A1532" s="3">
        <f>RAND()</f>
        <v/>
      </c>
      <c r="B1532" s="4" t="inlineStr">
        <is>
          <t>ChIJkbDJNsB5GZURMq9njXiOzvg</t>
        </is>
      </c>
      <c r="C1532" s="4" t="inlineStr">
        <is>
          <t>Mint &amp; Hood Card Games</t>
        </is>
      </c>
      <c r="D1532" s="4" t="inlineStr">
        <is>
          <t>Porto Alegre</t>
        </is>
      </c>
      <c r="E1532" s="4" t="inlineStr">
        <is>
          <t>RS</t>
        </is>
      </c>
      <c r="F1532" s="4" t="inlineStr">
        <is>
          <t>Metrópoles</t>
        </is>
      </c>
      <c r="G1532" s="4" t="inlineStr">
        <is>
          <t>Metrópole</t>
        </is>
      </c>
      <c r="H1532" s="5">
        <f>IF(G1532="fora do recorte","",SUMPRODUCT(($G$3:$G$1723=G1532)*($A$3:$A$1723&lt;=A1532)))</f>
        <v/>
      </c>
      <c r="I1532" s="4">
        <f>IF(H1532="","",G1532&amp;"|"&amp;H1532)</f>
        <v/>
      </c>
      <c r="J1532" s="4" t="inlineStr">
        <is>
          <t>https://www.google.com/maps/search/?api=1&amp;query=Mint%20%26%20Hood%20Card%20Games&amp;query_place_id=ChIJkbDJNsB5GZURMq9njXiOzvg</t>
        </is>
      </c>
      <c r="K1532" s="4" t="inlineStr">
        <is>
          <t>Rua Tenente Coronel Fabricio Pillar, 681 - 2° andar - Mont'Serrat, Porto Alegre - RS, 90450-040, Brasil</t>
        </is>
      </c>
      <c r="L1532" s="4" t="inlineStr">
        <is>
          <t>Porto Alegre</t>
        </is>
      </c>
      <c r="M1532" s="5" t="n">
        <v>2</v>
      </c>
    </row>
    <row r="1533">
      <c r="A1533" s="3">
        <f>RAND()</f>
        <v/>
      </c>
      <c r="B1533" s="4" t="inlineStr">
        <is>
          <t>ChIJ376o2QMrCgEREW6UPr-oVV0</t>
        </is>
      </c>
      <c r="C1533" s="4" t="inlineStr">
        <is>
          <t>Mulligan Resto Pub</t>
        </is>
      </c>
      <c r="D1533" s="4" t="inlineStr">
        <is>
          <t>Porto Alegre</t>
        </is>
      </c>
      <c r="E1533" s="4" t="inlineStr">
        <is>
          <t>RS</t>
        </is>
      </c>
      <c r="F1533" s="4" t="inlineStr">
        <is>
          <t>Metrópoles</t>
        </is>
      </c>
      <c r="G1533" s="4" t="inlineStr">
        <is>
          <t>Metrópole</t>
        </is>
      </c>
      <c r="H1533" s="5">
        <f>IF(G1533="fora do recorte","",SUMPRODUCT(($G$3:$G$1723=G1533)*($A$3:$A$1723&lt;=A1533)))</f>
        <v/>
      </c>
      <c r="I1533" s="4">
        <f>IF(H1533="","",G1533&amp;"|"&amp;H1533)</f>
        <v/>
      </c>
      <c r="J1533" s="4" t="inlineStr">
        <is>
          <t>https://www.google.com/maps/search/?api=1&amp;query=Mulligan%20Resto%20Pub&amp;query_place_id=ChIJ376o2QMrCgEREW6UPr-oVV0</t>
        </is>
      </c>
      <c r="K1533" s="4" t="inlineStr">
        <is>
          <t>Av. Dr. Nilo Peçanha, 3228 - Jardim Europa, Porto Alegre - RS, 90470-000, Brasil</t>
        </is>
      </c>
      <c r="L1533" s="4" t="inlineStr">
        <is>
          <t>Porto Alegre</t>
        </is>
      </c>
      <c r="M1533" s="5" t="n">
        <v>1</v>
      </c>
    </row>
    <row r="1534">
      <c r="A1534" s="3">
        <f>RAND()</f>
        <v/>
      </c>
      <c r="B1534" s="4" t="inlineStr">
        <is>
          <t>ChIJlXnY2-95GZUR4OAvG0UtQnU</t>
        </is>
      </c>
      <c r="C1534" s="4" t="inlineStr">
        <is>
          <t>Multiverso Cultura Geek</t>
        </is>
      </c>
      <c r="D1534" s="4" t="inlineStr">
        <is>
          <t>Porto Alegre</t>
        </is>
      </c>
      <c r="E1534" s="4" t="inlineStr">
        <is>
          <t>RS</t>
        </is>
      </c>
      <c r="F1534" s="4" t="inlineStr">
        <is>
          <t>Metrópoles</t>
        </is>
      </c>
      <c r="G1534" s="4" t="inlineStr">
        <is>
          <t>Metrópole</t>
        </is>
      </c>
      <c r="H1534" s="5">
        <f>IF(G1534="fora do recorte","",SUMPRODUCT(($G$3:$G$1723=G1534)*($A$3:$A$1723&lt;=A1534)))</f>
        <v/>
      </c>
      <c r="I1534" s="4">
        <f>IF(H1534="","",G1534&amp;"|"&amp;H1534)</f>
        <v/>
      </c>
      <c r="J1534" s="4" t="inlineStr">
        <is>
          <t>https://www.google.com/maps/search/?api=1&amp;query=Multiverso%20Cultura%20Geek&amp;query_place_id=ChIJlXnY2-95GZUR4OAvG0UtQnU</t>
        </is>
      </c>
      <c r="K1534" s="4" t="inlineStr">
        <is>
          <t>Shopping Total - Av. Cristóvão Colombo, 545 - Lj 2213 segundo andar - Independência, Porto Alegre - RS, 90560-003, Brasil</t>
        </is>
      </c>
      <c r="L1534" s="4" t="inlineStr">
        <is>
          <t>Porto Alegre</t>
        </is>
      </c>
      <c r="M1534" s="5" t="n">
        <v>2</v>
      </c>
    </row>
    <row r="1535">
      <c r="A1535" s="3">
        <f>RAND()</f>
        <v/>
      </c>
      <c r="B1535" s="4" t="inlineStr">
        <is>
          <t>ChIJc6LYVAd5GZURtPeFIuwNdAg</t>
        </is>
      </c>
      <c r="C1535" s="4" t="inlineStr">
        <is>
          <t>Nerdz</t>
        </is>
      </c>
      <c r="D1535" s="4" t="inlineStr">
        <is>
          <t>Porto Alegre</t>
        </is>
      </c>
      <c r="E1535" s="4" t="inlineStr">
        <is>
          <t>RS</t>
        </is>
      </c>
      <c r="F1535" s="4" t="inlineStr">
        <is>
          <t>Metrópoles</t>
        </is>
      </c>
      <c r="G1535" s="4" t="inlineStr">
        <is>
          <t>Metrópole</t>
        </is>
      </c>
      <c r="H1535" s="5">
        <f>IF(G1535="fora do recorte","",SUMPRODUCT(($G$3:$G$1723=G1535)*($A$3:$A$1723&lt;=A1535)))</f>
        <v/>
      </c>
      <c r="I1535" s="4">
        <f>IF(H1535="","",G1535&amp;"|"&amp;H1535)</f>
        <v/>
      </c>
      <c r="J1535" s="4" t="inlineStr">
        <is>
          <t>https://www.google.com/maps/search/?api=1&amp;query=Nerdz&amp;query_place_id=ChIJc6LYVAd5GZURtPeFIuwNdAg</t>
        </is>
      </c>
      <c r="K1535" s="4" t="inlineStr">
        <is>
          <t>R. Sarmento Leite, 627 - Centro Histórico, Porto Alegre - RS, 90050-170, Brasil</t>
        </is>
      </c>
      <c r="L1535" s="4" t="inlineStr">
        <is>
          <t>Curitiba; Porto Alegre; Rio de Janeiro; São Paulo</t>
        </is>
      </c>
      <c r="M1535" s="5" t="n">
        <v>8</v>
      </c>
    </row>
    <row r="1536">
      <c r="A1536" s="3">
        <f>RAND()</f>
        <v/>
      </c>
      <c r="B1536" s="4" t="inlineStr">
        <is>
          <t>ChIJ5zKpvKN5GZUR6AxgANEs1ak</t>
        </is>
      </c>
      <c r="C1536" s="4" t="inlineStr">
        <is>
          <t>Nerdz Cards</t>
        </is>
      </c>
      <c r="D1536" s="4" t="inlineStr">
        <is>
          <t>Porto Alegre</t>
        </is>
      </c>
      <c r="E1536" s="4" t="inlineStr">
        <is>
          <t>RS</t>
        </is>
      </c>
      <c r="F1536" s="4" t="inlineStr">
        <is>
          <t>Metrópoles</t>
        </is>
      </c>
      <c r="G1536" s="4" t="inlineStr">
        <is>
          <t>Metrópole</t>
        </is>
      </c>
      <c r="H1536" s="5">
        <f>IF(G1536="fora do recorte","",SUMPRODUCT(($G$3:$G$1723=G1536)*($A$3:$A$1723&lt;=A1536)))</f>
        <v/>
      </c>
      <c r="I1536" s="4">
        <f>IF(H1536="","",G1536&amp;"|"&amp;H1536)</f>
        <v/>
      </c>
      <c r="J1536" s="4" t="inlineStr">
        <is>
          <t>https://www.google.com/maps/search/?api=1&amp;query=Nerdz%20Cards&amp;query_place_id=ChIJ5zKpvKN5GZUR6AxgANEs1ak</t>
        </is>
      </c>
      <c r="K1536" s="4" t="inlineStr">
        <is>
          <t>R. Sarmento Leite, 641 - Centro Histórico, Porto Alegre - RS, 90050-170, Brasil</t>
        </is>
      </c>
      <c r="L1536" s="4" t="inlineStr">
        <is>
          <t>Porto Alegre</t>
        </is>
      </c>
      <c r="M1536" s="5" t="n">
        <v>5</v>
      </c>
    </row>
    <row r="1537">
      <c r="A1537" s="3">
        <f>RAND()</f>
        <v/>
      </c>
      <c r="B1537" s="4" t="inlineStr">
        <is>
          <t>ChIJ14EN8Kd5GZURHBv4V9HsGDw</t>
        </is>
      </c>
      <c r="C1537" s="4" t="inlineStr">
        <is>
          <t>Ninkasi Bar</t>
        </is>
      </c>
      <c r="D1537" s="4" t="inlineStr">
        <is>
          <t>Porto Alegre</t>
        </is>
      </c>
      <c r="E1537" s="4" t="inlineStr">
        <is>
          <t>RS</t>
        </is>
      </c>
      <c r="F1537" s="4" t="inlineStr">
        <is>
          <t>Metrópoles</t>
        </is>
      </c>
      <c r="G1537" s="4" t="inlineStr">
        <is>
          <t>Metrópole</t>
        </is>
      </c>
      <c r="H1537" s="5">
        <f>IF(G1537="fora do recorte","",SUMPRODUCT(($G$3:$G$1723=G1537)*($A$3:$A$1723&lt;=A1537)))</f>
        <v/>
      </c>
      <c r="I1537" s="4">
        <f>IF(H1537="","",G1537&amp;"|"&amp;H1537)</f>
        <v/>
      </c>
      <c r="J1537" s="4" t="inlineStr">
        <is>
          <t>https://www.google.com/maps/search/?api=1&amp;query=Ninkasi%20Bar&amp;query_place_id=ChIJ14EN8Kd5GZURHBv4V9HsGDw</t>
        </is>
      </c>
      <c r="K1537" s="4" t="inlineStr">
        <is>
          <t>R. João Alfredo, 557 - Cidade Baixa, Porto Alegre - RS, 90050-230, Brasil</t>
        </is>
      </c>
      <c r="L1537" s="4" t="inlineStr">
        <is>
          <t>Porto Alegre</t>
        </is>
      </c>
      <c r="M1537" s="5" t="n">
        <v>1</v>
      </c>
    </row>
    <row r="1538">
      <c r="A1538" s="3">
        <f>RAND()</f>
        <v/>
      </c>
      <c r="B1538" s="4" t="inlineStr">
        <is>
          <t>ChIJTXQ20_mDGZURZvGm6v61Yhg</t>
        </is>
      </c>
      <c r="C1538" s="4" t="inlineStr">
        <is>
          <t>Paladino Geek</t>
        </is>
      </c>
      <c r="D1538" s="4" t="inlineStr">
        <is>
          <t>Porto Alegre</t>
        </is>
      </c>
      <c r="E1538" s="4" t="inlineStr">
        <is>
          <t>RS</t>
        </is>
      </c>
      <c r="F1538" s="4" t="inlineStr">
        <is>
          <t>Metrópoles</t>
        </is>
      </c>
      <c r="G1538" s="4" t="inlineStr">
        <is>
          <t>Metrópole</t>
        </is>
      </c>
      <c r="H1538" s="5">
        <f>IF(G1538="fora do recorte","",SUMPRODUCT(($G$3:$G$1723=G1538)*($A$3:$A$1723&lt;=A1538)))</f>
        <v/>
      </c>
      <c r="I1538" s="4">
        <f>IF(H1538="","",G1538&amp;"|"&amp;H1538)</f>
        <v/>
      </c>
      <c r="J1538" s="4" t="inlineStr">
        <is>
          <t>https://www.google.com/maps/search/?api=1&amp;query=Paladino%20Geek&amp;query_place_id=ChIJTXQ20_mDGZURZvGm6v61Yhg</t>
        </is>
      </c>
      <c r="K1538" s="4" t="inlineStr">
        <is>
          <t>R. São Francisco, 30 - Santana, Porto Alegre - RS, 90620-070, Brasil</t>
        </is>
      </c>
      <c r="L1538" s="4" t="inlineStr">
        <is>
          <t>Porto Alegre</t>
        </is>
      </c>
      <c r="M1538" s="5" t="n">
        <v>1</v>
      </c>
    </row>
    <row r="1539">
      <c r="A1539" s="3">
        <f>RAND()</f>
        <v/>
      </c>
      <c r="B1539" s="4" t="inlineStr">
        <is>
          <t>ChIJNUqwIxR5GZUR0IdZDZeBNuc</t>
        </is>
      </c>
      <c r="C1539" s="4" t="inlineStr">
        <is>
          <t>Pimponeta Brinquedoteca</t>
        </is>
      </c>
      <c r="D1539" s="4" t="inlineStr">
        <is>
          <t>Porto Alegre</t>
        </is>
      </c>
      <c r="E1539" s="4" t="inlineStr">
        <is>
          <t>RS</t>
        </is>
      </c>
      <c r="F1539" s="4" t="inlineStr">
        <is>
          <t>Metrópoles</t>
        </is>
      </c>
      <c r="G1539" s="4" t="inlineStr">
        <is>
          <t>Metrópole</t>
        </is>
      </c>
      <c r="H1539" s="5">
        <f>IF(G1539="fora do recorte","",SUMPRODUCT(($G$3:$G$1723=G1539)*($A$3:$A$1723&lt;=A1539)))</f>
        <v/>
      </c>
      <c r="I1539" s="4">
        <f>IF(H1539="","",G1539&amp;"|"&amp;H1539)</f>
        <v/>
      </c>
      <c r="J1539" s="4" t="inlineStr">
        <is>
          <t>https://www.google.com/maps/search/?api=1&amp;query=Pimponeta%20Brinquedoteca&amp;query_place_id=ChIJNUqwIxR5GZUR0IdZDZeBNuc</t>
        </is>
      </c>
      <c r="K1539" s="4" t="inlineStr">
        <is>
          <t>R. Silveiro, 263 - Menino Deus, Porto Alegre - RS, 90850-000, Brasil</t>
        </is>
      </c>
      <c r="L1539" s="4" t="inlineStr">
        <is>
          <t>Porto Alegre</t>
        </is>
      </c>
      <c r="M1539" s="5" t="n">
        <v>1</v>
      </c>
    </row>
    <row r="1540">
      <c r="A1540" s="3">
        <f>RAND()</f>
        <v/>
      </c>
      <c r="B1540" s="4" t="inlineStr">
        <is>
          <t>ChIJ1TsfDQB5GZURgF65pRWt-ZI</t>
        </is>
      </c>
      <c r="C1540" s="4" t="inlineStr">
        <is>
          <t>Porto Carioca Bar</t>
        </is>
      </c>
      <c r="D1540" s="4" t="inlineStr">
        <is>
          <t>Porto Alegre</t>
        </is>
      </c>
      <c r="E1540" s="4" t="inlineStr">
        <is>
          <t>RS</t>
        </is>
      </c>
      <c r="F1540" s="4" t="inlineStr">
        <is>
          <t>Metrópoles</t>
        </is>
      </c>
      <c r="G1540" s="4" t="inlineStr">
        <is>
          <t>Metrópole</t>
        </is>
      </c>
      <c r="H1540" s="5">
        <f>IF(G1540="fora do recorte","",SUMPRODUCT(($G$3:$G$1723=G1540)*($A$3:$A$1723&lt;=A1540)))</f>
        <v/>
      </c>
      <c r="I1540" s="4">
        <f>IF(H1540="","",G1540&amp;"|"&amp;H1540)</f>
        <v/>
      </c>
      <c r="J1540" s="4" t="inlineStr">
        <is>
          <t>https://www.google.com/maps/search/?api=1&amp;query=Porto%20Carioca%20Bar&amp;query_place_id=ChIJ1TsfDQB5GZURgF65pRWt-ZI</t>
        </is>
      </c>
      <c r="K1540" s="4" t="inlineStr">
        <is>
          <t>R. da República, 188 - Cidade Baixa, Porto Alegre - RS, 90050-320, Brasil</t>
        </is>
      </c>
      <c r="L1540" s="4" t="inlineStr">
        <is>
          <t>Porto Alegre</t>
        </is>
      </c>
      <c r="M1540" s="5" t="n">
        <v>1</v>
      </c>
    </row>
    <row r="1541">
      <c r="A1541" s="3">
        <f>RAND()</f>
        <v/>
      </c>
      <c r="B1541" s="4" t="inlineStr">
        <is>
          <t>ChIJ33-Qz-Z5GZURZOEE6W88OkI</t>
        </is>
      </c>
      <c r="C1541" s="4" t="inlineStr">
        <is>
          <t>Pulo do Gato Quintal de Infâncias</t>
        </is>
      </c>
      <c r="D1541" s="4" t="inlineStr">
        <is>
          <t>Porto Alegre</t>
        </is>
      </c>
      <c r="E1541" s="4" t="inlineStr">
        <is>
          <t>RS</t>
        </is>
      </c>
      <c r="F1541" s="4" t="inlineStr">
        <is>
          <t>Metrópoles</t>
        </is>
      </c>
      <c r="G1541" s="4" t="inlineStr">
        <is>
          <t>Metrópole</t>
        </is>
      </c>
      <c r="H1541" s="5">
        <f>IF(G1541="fora do recorte","",SUMPRODUCT(($G$3:$G$1723=G1541)*($A$3:$A$1723&lt;=A1541)))</f>
        <v/>
      </c>
      <c r="I1541" s="4">
        <f>IF(H1541="","",G1541&amp;"|"&amp;H1541)</f>
        <v/>
      </c>
      <c r="J1541" s="4" t="inlineStr">
        <is>
          <t>https://www.google.com/maps/search/?api=1&amp;query=Pulo%20do%20Gato%20Quintal%20de%20Inf%C3%A2ncias&amp;query_place_id=ChIJ33-Qz-Z5GZURZOEE6W88OkI</t>
        </is>
      </c>
      <c r="K1541" s="4" t="inlineStr">
        <is>
          <t>R. Vicente da Fontoura, 1164 - Santana, Porto Alegre - RS, 90620-132, Brasil</t>
        </is>
      </c>
      <c r="L1541" s="4" t="inlineStr">
        <is>
          <t>Porto Alegre</t>
        </is>
      </c>
      <c r="M1541" s="5" t="n">
        <v>1</v>
      </c>
    </row>
    <row r="1542">
      <c r="A1542" s="3">
        <f>RAND()</f>
        <v/>
      </c>
      <c r="B1542" s="4" t="inlineStr">
        <is>
          <t>ChIJsQAebvp4GZURq9U8W7FqO1c</t>
        </is>
      </c>
      <c r="C1542" s="4" t="inlineStr">
        <is>
          <t>RI HAPPY</t>
        </is>
      </c>
      <c r="D1542" s="4" t="inlineStr">
        <is>
          <t>Porto Alegre</t>
        </is>
      </c>
      <c r="E1542" s="4" t="inlineStr">
        <is>
          <t>RS</t>
        </is>
      </c>
      <c r="F1542" s="4" t="inlineStr">
        <is>
          <t>Metrópoles</t>
        </is>
      </c>
      <c r="G1542" s="4" t="inlineStr">
        <is>
          <t>Metrópole</t>
        </is>
      </c>
      <c r="H1542" s="5">
        <f>IF(G1542="fora do recorte","",SUMPRODUCT(($G$3:$G$1723=G1542)*($A$3:$A$1723&lt;=A1542)))</f>
        <v/>
      </c>
      <c r="I1542" s="4">
        <f>IF(H1542="","",G1542&amp;"|"&amp;H1542)</f>
        <v/>
      </c>
      <c r="J1542" s="4" t="inlineStr">
        <is>
          <t>https://www.google.com/maps/search/?api=1&amp;query=RI%20HAPPY&amp;query_place_id=ChIJsQAebvp4GZURq9U8W7FqO1c</t>
        </is>
      </c>
      <c r="K1542" s="4" t="inlineStr">
        <is>
          <t>Av. Borges de Medeiros, 1181 - Piso 1 - Praia de Belas, Porto Alegre - RS, 90110-001, Brasil</t>
        </is>
      </c>
      <c r="L1542" s="4" t="inlineStr">
        <is>
          <t>Porto Alegre</t>
        </is>
      </c>
      <c r="M1542" s="5" t="n">
        <v>2</v>
      </c>
    </row>
    <row r="1543">
      <c r="A1543" s="3">
        <f>RAND()</f>
        <v/>
      </c>
      <c r="B1543" s="4" t="inlineStr">
        <is>
          <t>ChIJV3qt0E15GZURrImpTTdxeUs</t>
        </is>
      </c>
      <c r="C1543" s="4" t="inlineStr">
        <is>
          <t>Sapo Balseiro</t>
        </is>
      </c>
      <c r="D1543" s="4" t="inlineStr">
        <is>
          <t>Porto Alegre</t>
        </is>
      </c>
      <c r="E1543" s="4" t="inlineStr">
        <is>
          <t>RS</t>
        </is>
      </c>
      <c r="F1543" s="4" t="inlineStr">
        <is>
          <t>Metrópoles</t>
        </is>
      </c>
      <c r="G1543" s="4" t="inlineStr">
        <is>
          <t>Metrópole</t>
        </is>
      </c>
      <c r="H1543" s="5">
        <f>IF(G1543="fora do recorte","",SUMPRODUCT(($G$3:$G$1723=G1543)*($A$3:$A$1723&lt;=A1543)))</f>
        <v/>
      </c>
      <c r="I1543" s="4">
        <f>IF(H1543="","",G1543&amp;"|"&amp;H1543)</f>
        <v/>
      </c>
      <c r="J1543" s="4" t="inlineStr">
        <is>
          <t>https://www.google.com/maps/search/?api=1&amp;query=Sapo%20Balseiro&amp;query_place_id=ChIJV3qt0E15GZURrImpTTdxeUs</t>
        </is>
      </c>
      <c r="K1543" s="4" t="inlineStr">
        <is>
          <t>Rua Fernandes Vieira, 608 - Apto 16 - Bom Fim, Porto Alegre - RS, 90035-091, Brasil</t>
        </is>
      </c>
      <c r="L1543" s="4" t="inlineStr">
        <is>
          <t>Porto Alegre</t>
        </is>
      </c>
      <c r="M1543" s="5" t="n">
        <v>10</v>
      </c>
    </row>
    <row r="1544">
      <c r="A1544" s="3">
        <f>RAND()</f>
        <v/>
      </c>
      <c r="B1544" s="4" t="inlineStr">
        <is>
          <t>ChIJyfRSWFJ4GZURDqHy6jeJrS0</t>
        </is>
      </c>
      <c r="C1544" s="4" t="inlineStr">
        <is>
          <t>Shamrock Irish Pub</t>
        </is>
      </c>
      <c r="D1544" s="4" t="inlineStr">
        <is>
          <t>Porto Alegre</t>
        </is>
      </c>
      <c r="E1544" s="4" t="inlineStr">
        <is>
          <t>RS</t>
        </is>
      </c>
      <c r="F1544" s="4" t="inlineStr">
        <is>
          <t>Metrópoles</t>
        </is>
      </c>
      <c r="G1544" s="4" t="inlineStr">
        <is>
          <t>Metrópole</t>
        </is>
      </c>
      <c r="H1544" s="5">
        <f>IF(G1544="fora do recorte","",SUMPRODUCT(($G$3:$G$1723=G1544)*($A$3:$A$1723&lt;=A1544)))</f>
        <v/>
      </c>
      <c r="I1544" s="4">
        <f>IF(H1544="","",G1544&amp;"|"&amp;H1544)</f>
        <v/>
      </c>
      <c r="J1544" s="4" t="inlineStr">
        <is>
          <t>https://www.google.com/maps/search/?api=1&amp;query=Shamrock%20Irish%20Pub&amp;query_place_id=ChIJyfRSWFJ4GZURDqHy6jeJrS0</t>
        </is>
      </c>
      <c r="K1544" s="4" t="inlineStr">
        <is>
          <t>R. Vieira de Castro, 32 - Farroupilha, Porto Alegre - RS, 90040-320, Brasil</t>
        </is>
      </c>
      <c r="L1544" s="4" t="inlineStr">
        <is>
          <t>Porto Alegre</t>
        </is>
      </c>
      <c r="M1544" s="5" t="n">
        <v>1</v>
      </c>
    </row>
    <row r="1545">
      <c r="A1545" s="3">
        <f>RAND()</f>
        <v/>
      </c>
      <c r="B1545" s="4" t="inlineStr">
        <is>
          <t>ChIJSwgnWpl3GZUR0DOqz6-HiHk</t>
        </is>
      </c>
      <c r="C1545" s="4" t="inlineStr">
        <is>
          <t>Superlegal</t>
        </is>
      </c>
      <c r="D1545" s="4" t="inlineStr">
        <is>
          <t>Porto Alegre</t>
        </is>
      </c>
      <c r="E1545" s="4" t="inlineStr">
        <is>
          <t>RS</t>
        </is>
      </c>
      <c r="F1545" s="4" t="inlineStr">
        <is>
          <t>Metrópoles</t>
        </is>
      </c>
      <c r="G1545" s="4" t="inlineStr">
        <is>
          <t>Metrópole</t>
        </is>
      </c>
      <c r="H1545" s="5">
        <f>IF(G1545="fora do recorte","",SUMPRODUCT(($G$3:$G$1723=G1545)*($A$3:$A$1723&lt;=A1545)))</f>
        <v/>
      </c>
      <c r="I1545" s="4">
        <f>IF(H1545="","",G1545&amp;"|"&amp;H1545)</f>
        <v/>
      </c>
      <c r="J1545" s="4" t="inlineStr">
        <is>
          <t>https://www.google.com/maps/search/?api=1&amp;query=Superlegal&amp;query_place_id=ChIJSwgnWpl3GZUR0DOqz6-HiHk</t>
        </is>
      </c>
      <c r="K1545" s="4" t="inlineStr">
        <is>
          <t>Avenida João Wallig, 1800 - Loja 1225, 1226 e 1303, 1304 Shopping Iguatemi Jardim - Passo d'Areia, Porto Alegre - RS, 91349-900, Brasil</t>
        </is>
      </c>
      <c r="L1545" s="4" t="inlineStr">
        <is>
          <t>Porto Alegre</t>
        </is>
      </c>
      <c r="M1545" s="5" t="n">
        <v>3</v>
      </c>
    </row>
    <row r="1546">
      <c r="A1546" s="3">
        <f>RAND()</f>
        <v/>
      </c>
      <c r="B1546" s="4" t="inlineStr">
        <is>
          <t>ChIJvfck8qB4GZURXlox7bJj4PA</t>
        </is>
      </c>
      <c r="C1546" s="4" t="inlineStr">
        <is>
          <t>Superlegal Brinquedos</t>
        </is>
      </c>
      <c r="D1546" s="4" t="inlineStr">
        <is>
          <t>Porto Alegre</t>
        </is>
      </c>
      <c r="E1546" s="4" t="inlineStr">
        <is>
          <t>RS</t>
        </is>
      </c>
      <c r="F1546" s="4" t="inlineStr">
        <is>
          <t>Metrópoles</t>
        </is>
      </c>
      <c r="G1546" s="4" t="inlineStr">
        <is>
          <t>Metrópole</t>
        </is>
      </c>
      <c r="H1546" s="5">
        <f>IF(G1546="fora do recorte","",SUMPRODUCT(($G$3:$G$1723=G1546)*($A$3:$A$1723&lt;=A1546)))</f>
        <v/>
      </c>
      <c r="I1546" s="4">
        <f>IF(H1546="","",G1546&amp;"|"&amp;H1546)</f>
        <v/>
      </c>
      <c r="J1546" s="4" t="inlineStr">
        <is>
          <t>https://www.google.com/maps/search/?api=1&amp;query=Superlegal%20Brinquedos&amp;query_place_id=ChIJvfck8qB4GZURXlox7bJj4PA</t>
        </is>
      </c>
      <c r="K1546" s="4" t="inlineStr">
        <is>
          <t>Cristal, Porto Alegre - RS, 90810-080, Brasil</t>
        </is>
      </c>
      <c r="L1546" s="4" t="inlineStr">
        <is>
          <t>Porto Alegre</t>
        </is>
      </c>
      <c r="M1546" s="5" t="n">
        <v>2</v>
      </c>
    </row>
    <row r="1547">
      <c r="A1547" s="3">
        <f>RAND()</f>
        <v/>
      </c>
      <c r="B1547" s="4" t="inlineStr">
        <is>
          <t>ChIJd0pkf695GZURLtfDyRQIo14</t>
        </is>
      </c>
      <c r="C1547" s="4" t="inlineStr">
        <is>
          <t>Superlegal Brinquedos Shopping Total</t>
        </is>
      </c>
      <c r="D1547" s="4" t="inlineStr">
        <is>
          <t>Porto Alegre</t>
        </is>
      </c>
      <c r="E1547" s="4" t="inlineStr">
        <is>
          <t>RS</t>
        </is>
      </c>
      <c r="F1547" s="4" t="inlineStr">
        <is>
          <t>Metrópoles</t>
        </is>
      </c>
      <c r="G1547" s="4" t="inlineStr">
        <is>
          <t>Metrópole</t>
        </is>
      </c>
      <c r="H1547" s="5">
        <f>IF(G1547="fora do recorte","",SUMPRODUCT(($G$3:$G$1723=G1547)*($A$3:$A$1723&lt;=A1547)))</f>
        <v/>
      </c>
      <c r="I1547" s="4">
        <f>IF(H1547="","",G1547&amp;"|"&amp;H1547)</f>
        <v/>
      </c>
      <c r="J1547" s="4" t="inlineStr">
        <is>
          <t>https://www.google.com/maps/search/?api=1&amp;query=Superlegal%20Brinquedos%20Shopping%20Total&amp;query_place_id=ChIJd0pkf695GZURLtfDyRQIo14</t>
        </is>
      </c>
      <c r="K1547" s="4" t="inlineStr">
        <is>
          <t>Av. Cristóvão Colombo, 545 - Lj 2140 - Independência, Porto Alegre - RS, 90560-003, Brasil</t>
        </is>
      </c>
      <c r="L1547" s="4" t="inlineStr">
        <is>
          <t>Porto Alegre</t>
        </is>
      </c>
      <c r="M1547" s="5" t="n">
        <v>1</v>
      </c>
    </row>
    <row r="1548">
      <c r="A1548" s="3">
        <f>RAND()</f>
        <v/>
      </c>
      <c r="B1548" s="4" t="inlineStr">
        <is>
          <t>ChIJMxLojXp3GZURO6vAFudn0Xk</t>
        </is>
      </c>
      <c r="C1548" s="4" t="inlineStr">
        <is>
          <t>Tondin Games</t>
        </is>
      </c>
      <c r="D1548" s="4" t="inlineStr">
        <is>
          <t>Porto Alegre</t>
        </is>
      </c>
      <c r="E1548" s="4" t="inlineStr">
        <is>
          <t>RS</t>
        </is>
      </c>
      <c r="F1548" s="4" t="inlineStr">
        <is>
          <t>Metrópoles</t>
        </is>
      </c>
      <c r="G1548" s="4" t="inlineStr">
        <is>
          <t>Metrópole</t>
        </is>
      </c>
      <c r="H1548" s="5">
        <f>IF(G1548="fora do recorte","",SUMPRODUCT(($G$3:$G$1723=G1548)*($A$3:$A$1723&lt;=A1548)))</f>
        <v/>
      </c>
      <c r="I1548" s="4">
        <f>IF(H1548="","",G1548&amp;"|"&amp;H1548)</f>
        <v/>
      </c>
      <c r="J1548" s="4" t="inlineStr">
        <is>
          <t>https://www.google.com/maps/search/?api=1&amp;query=Tondin%20Games&amp;query_place_id=ChIJMxLojXp3GZURO6vAFudn0Xk</t>
        </is>
      </c>
      <c r="K1548" s="4" t="inlineStr">
        <is>
          <t>Av. Assis Brasil, 3535 - Sl 1215 - Jardim Lindóia, Porto Alegre - RS, 91010-007, Brasil</t>
        </is>
      </c>
      <c r="L1548" s="4" t="inlineStr">
        <is>
          <t>Porto Alegre</t>
        </is>
      </c>
      <c r="M1548" s="5" t="n">
        <v>1</v>
      </c>
    </row>
    <row r="1549">
      <c r="A1549" s="3">
        <f>RAND()</f>
        <v/>
      </c>
      <c r="B1549" s="4" t="inlineStr">
        <is>
          <t>ChIJT4CT4mF3GZURrHdnW8nzVuE</t>
        </is>
      </c>
      <c r="C1549" s="4" t="inlineStr">
        <is>
          <t>Tutatis Loja de Quadrinhos</t>
        </is>
      </c>
      <c r="D1549" s="4" t="inlineStr">
        <is>
          <t>Porto Alegre</t>
        </is>
      </c>
      <c r="E1549" s="4" t="inlineStr">
        <is>
          <t>RS</t>
        </is>
      </c>
      <c r="F1549" s="4" t="inlineStr">
        <is>
          <t>Metrópoles</t>
        </is>
      </c>
      <c r="G1549" s="4" t="inlineStr">
        <is>
          <t>Metrópole</t>
        </is>
      </c>
      <c r="H1549" s="5">
        <f>IF(G1549="fora do recorte","",SUMPRODUCT(($G$3:$G$1723=G1549)*($A$3:$A$1723&lt;=A1549)))</f>
        <v/>
      </c>
      <c r="I1549" s="4">
        <f>IF(H1549="","",G1549&amp;"|"&amp;H1549)</f>
        <v/>
      </c>
      <c r="J1549" s="4" t="inlineStr">
        <is>
          <t>https://www.google.com/maps/search/?api=1&amp;query=Tutatis%20Loja%20de%20Quadrinhos&amp;query_place_id=ChIJT4CT4mF3GZURrHdnW8nzVuE</t>
        </is>
      </c>
      <c r="K1549" s="4" t="inlineStr">
        <is>
          <t>Av. Assis Brasil, 582 - Passo d'Areia, Porto Alegre - RS, 91010-000, Brasil</t>
        </is>
      </c>
      <c r="L1549" s="4" t="inlineStr">
        <is>
          <t>Porto Alegre</t>
        </is>
      </c>
      <c r="M1549" s="5" t="n">
        <v>1</v>
      </c>
    </row>
    <row r="1550">
      <c r="A1550" s="3">
        <f>RAND()</f>
        <v/>
      </c>
      <c r="B1550" s="4" t="inlineStr">
        <is>
          <t>ChIJ0wN_xE15GZUR6XmCUCQxtnU</t>
        </is>
      </c>
      <c r="C1550" s="4" t="inlineStr">
        <is>
          <t>Twin Games</t>
        </is>
      </c>
      <c r="D1550" s="4" t="inlineStr">
        <is>
          <t>Porto Alegre</t>
        </is>
      </c>
      <c r="E1550" s="4" t="inlineStr">
        <is>
          <t>RS</t>
        </is>
      </c>
      <c r="F1550" s="4" t="inlineStr">
        <is>
          <t>Metrópoles</t>
        </is>
      </c>
      <c r="G1550" s="4" t="inlineStr">
        <is>
          <t>Metrópole</t>
        </is>
      </c>
      <c r="H1550" s="5">
        <f>IF(G1550="fora do recorte","",SUMPRODUCT(($G$3:$G$1723=G1550)*($A$3:$A$1723&lt;=A1550)))</f>
        <v/>
      </c>
      <c r="I1550" s="4">
        <f>IF(H1550="","",G1550&amp;"|"&amp;H1550)</f>
        <v/>
      </c>
      <c r="J1550" s="4" t="inlineStr">
        <is>
          <t>https://www.google.com/maps/search/?api=1&amp;query=Twin%20Games&amp;query_place_id=ChIJ0wN_xE15GZUR6XmCUCQxtnU</t>
        </is>
      </c>
      <c r="K1550" s="4" t="inlineStr">
        <is>
          <t>Rua Jaime Telles, 62 - Sl 101 - Petrópolis, Porto Alegre - RS, 90460-030, Brasil</t>
        </is>
      </c>
      <c r="L1550" s="4" t="inlineStr">
        <is>
          <t>Porto Alegre</t>
        </is>
      </c>
      <c r="M1550" s="5" t="n">
        <v>4</v>
      </c>
    </row>
    <row r="1551">
      <c r="A1551" s="3">
        <f>RAND()</f>
        <v/>
      </c>
      <c r="B1551" s="4" t="inlineStr">
        <is>
          <t>ChIJEbwbSLR5GZURBPqQavE4h3U</t>
        </is>
      </c>
      <c r="C1551" s="4" t="inlineStr">
        <is>
          <t>ViraLua Essência dos Brinquedos</t>
        </is>
      </c>
      <c r="D1551" s="4" t="inlineStr">
        <is>
          <t>Porto Alegre</t>
        </is>
      </c>
      <c r="E1551" s="4" t="inlineStr">
        <is>
          <t>RS</t>
        </is>
      </c>
      <c r="F1551" s="4" t="inlineStr">
        <is>
          <t>Metrópoles</t>
        </is>
      </c>
      <c r="G1551" s="4" t="inlineStr">
        <is>
          <t>Metrópole</t>
        </is>
      </c>
      <c r="H1551" s="5">
        <f>IF(G1551="fora do recorte","",SUMPRODUCT(($G$3:$G$1723=G1551)*($A$3:$A$1723&lt;=A1551)))</f>
        <v/>
      </c>
      <c r="I1551" s="4">
        <f>IF(H1551="","",G1551&amp;"|"&amp;H1551)</f>
        <v/>
      </c>
      <c r="J1551" s="4" t="inlineStr">
        <is>
          <t>https://www.google.com/maps/search/?api=1&amp;query=ViraLua%20Ess%C3%AAncia%20dos%20Brinquedos&amp;query_place_id=ChIJEbwbSLR5GZURBPqQavE4h3U</t>
        </is>
      </c>
      <c r="K1551" s="4" t="inlineStr">
        <is>
          <t>Av. Cristóvão Colombo, 1336 - Floresta, Porto Alegre - RS, 90560-001, Brasil</t>
        </is>
      </c>
      <c r="L1551" s="4" t="inlineStr">
        <is>
          <t>Porto Alegre</t>
        </is>
      </c>
      <c r="M1551" s="5" t="n">
        <v>1</v>
      </c>
    </row>
    <row r="1552">
      <c r="A1552" s="3">
        <f>RAND()</f>
        <v/>
      </c>
      <c r="B1552" s="4" t="inlineStr">
        <is>
          <t>ChIJQZTAXgh5GZUREobgHwJtGJ4</t>
        </is>
      </c>
      <c r="C1552" s="4" t="inlineStr">
        <is>
          <t>Vídeo Game Porto Alegre</t>
        </is>
      </c>
      <c r="D1552" s="4" t="inlineStr">
        <is>
          <t>Porto Alegre</t>
        </is>
      </c>
      <c r="E1552" s="4" t="inlineStr">
        <is>
          <t>RS</t>
        </is>
      </c>
      <c r="F1552" s="4" t="inlineStr">
        <is>
          <t>Metrópoles</t>
        </is>
      </c>
      <c r="G1552" s="4" t="inlineStr">
        <is>
          <t>Metrópole</t>
        </is>
      </c>
      <c r="H1552" s="5">
        <f>IF(G1552="fora do recorte","",SUMPRODUCT(($G$3:$G$1723=G1552)*($A$3:$A$1723&lt;=A1552)))</f>
        <v/>
      </c>
      <c r="I1552" s="4">
        <f>IF(H1552="","",G1552&amp;"|"&amp;H1552)</f>
        <v/>
      </c>
      <c r="J1552" s="4" t="inlineStr">
        <is>
          <t>https://www.google.com/maps/search/?api=1&amp;query=V%C3%ADdeo%20Game%20Porto%20Alegre&amp;query_place_id=ChIJQZTAXgh5GZUREobgHwJtGJ4</t>
        </is>
      </c>
      <c r="K1552" s="4" t="inlineStr">
        <is>
          <t>Av. Alberto Bins, 308 - Sl 12 - Centro Histórico, Porto Alegre - RS, 90030-140, Brasil</t>
        </is>
      </c>
      <c r="L1552" s="4" t="inlineStr">
        <is>
          <t>Porto Alegre</t>
        </is>
      </c>
      <c r="M1552" s="5" t="n">
        <v>2</v>
      </c>
    </row>
    <row r="1553">
      <c r="A1553" s="3">
        <f>RAND()</f>
        <v/>
      </c>
      <c r="B1553" s="4" t="inlineStr">
        <is>
          <t>ChIJCUw8d9J5GZURs0u7s4lBAJM</t>
        </is>
      </c>
      <c r="C1553" s="4" t="inlineStr">
        <is>
          <t>Weiss British Pub</t>
        </is>
      </c>
      <c r="D1553" s="4" t="inlineStr">
        <is>
          <t>Porto Alegre</t>
        </is>
      </c>
      <c r="E1553" s="4" t="inlineStr">
        <is>
          <t>RS</t>
        </is>
      </c>
      <c r="F1553" s="4" t="inlineStr">
        <is>
          <t>Metrópoles</t>
        </is>
      </c>
      <c r="G1553" s="4" t="inlineStr">
        <is>
          <t>Metrópole</t>
        </is>
      </c>
      <c r="H1553" s="5">
        <f>IF(G1553="fora do recorte","",SUMPRODUCT(($G$3:$G$1723=G1553)*($A$3:$A$1723&lt;=A1553)))</f>
        <v/>
      </c>
      <c r="I1553" s="4">
        <f>IF(H1553="","",G1553&amp;"|"&amp;H1553)</f>
        <v/>
      </c>
      <c r="J1553" s="4" t="inlineStr">
        <is>
          <t>https://www.google.com/maps/search/?api=1&amp;query=Weiss%20British%20Pub&amp;query_place_id=ChIJCUw8d9J5GZURs0u7s4lBAJM</t>
        </is>
      </c>
      <c r="K1553" s="4" t="inlineStr">
        <is>
          <t>Av. Benjamin Constant, 1173 - São Geraldo, Porto Alegre - RS, 90550-002, Brasil</t>
        </is>
      </c>
      <c r="L1553" s="4" t="inlineStr">
        <is>
          <t>Porto Alegre</t>
        </is>
      </c>
      <c r="M1553" s="5" t="n">
        <v>1</v>
      </c>
    </row>
    <row r="1554">
      <c r="A1554" s="3">
        <f>RAND()</f>
        <v/>
      </c>
      <c r="B1554" s="4" t="inlineStr">
        <is>
          <t>ChIJqfBIGO55GZURH4uUeRPp95E</t>
        </is>
      </c>
      <c r="C1554" s="4" t="inlineStr">
        <is>
          <t>Wow Park</t>
        </is>
      </c>
      <c r="D1554" s="4" t="inlineStr">
        <is>
          <t>Porto Alegre</t>
        </is>
      </c>
      <c r="E1554" s="4" t="inlineStr">
        <is>
          <t>RS</t>
        </is>
      </c>
      <c r="F1554" s="4" t="inlineStr">
        <is>
          <t>Metrópoles</t>
        </is>
      </c>
      <c r="G1554" s="4" t="inlineStr">
        <is>
          <t>Metrópole</t>
        </is>
      </c>
      <c r="H1554" s="5">
        <f>IF(G1554="fora do recorte","",SUMPRODUCT(($G$3:$G$1723=G1554)*($A$3:$A$1723&lt;=A1554)))</f>
        <v/>
      </c>
      <c r="I1554" s="4">
        <f>IF(H1554="","",G1554&amp;"|"&amp;H1554)</f>
        <v/>
      </c>
      <c r="J1554" s="4" t="inlineStr">
        <is>
          <t>https://www.google.com/maps/search/?api=1&amp;query=Wow%20Park&amp;query_place_id=ChIJqfBIGO55GZURH4uUeRPp95E</t>
        </is>
      </c>
      <c r="K1554" s="4" t="inlineStr">
        <is>
          <t>Av. Diário de Notícias, 300 - Cristal, Porto Alegre - RS, 90810-080, Brasil</t>
        </is>
      </c>
      <c r="L1554" s="4" t="inlineStr">
        <is>
          <t>Porto Alegre</t>
        </is>
      </c>
      <c r="M1554" s="5" t="n">
        <v>1</v>
      </c>
    </row>
    <row r="1555">
      <c r="A1555" s="3">
        <f>RAND()</f>
        <v/>
      </c>
      <c r="B1555" s="4" t="inlineStr">
        <is>
          <t>ChIJ2Sc515M7J5UR5rrpbv-hoo0</t>
        </is>
      </c>
      <c r="C1555" s="4" t="inlineStr">
        <is>
          <t>Arena Prime</t>
        </is>
      </c>
      <c r="D1555" s="4" t="inlineStr">
        <is>
          <t>Florianópolis</t>
        </is>
      </c>
      <c r="E1555" s="4" t="inlineStr">
        <is>
          <t>SC</t>
        </is>
      </c>
      <c r="F1555" s="4" t="inlineStr">
        <is>
          <t>Metrópoles</t>
        </is>
      </c>
      <c r="G1555" s="4" t="inlineStr">
        <is>
          <t>Metrópole</t>
        </is>
      </c>
      <c r="H1555" s="5">
        <f>IF(G1555="fora do recorte","",SUMPRODUCT(($G$3:$G$1723=G1555)*($A$3:$A$1723&lt;=A1555)))</f>
        <v/>
      </c>
      <c r="I1555" s="4">
        <f>IF(H1555="","",G1555&amp;"|"&amp;H1555)</f>
        <v/>
      </c>
      <c r="J1555" s="4" t="inlineStr">
        <is>
          <t>https://www.google.com/maps/search/?api=1&amp;query=Arena%20Prime&amp;query_place_id=ChIJ2Sc515M7J5UR5rrpbv-hoo0</t>
        </is>
      </c>
      <c r="K1555" s="4" t="inlineStr">
        <is>
          <t>R. Ver. Osvaldo Bittencourt, 637 - Carianos, Florianópolis - SC, 88047-700, Brasil</t>
        </is>
      </c>
      <c r="L1555" s="4" t="inlineStr">
        <is>
          <t>Florianópolis</t>
        </is>
      </c>
      <c r="M1555" s="5" t="n">
        <v>1</v>
      </c>
    </row>
    <row r="1556">
      <c r="A1556" s="3">
        <f>RAND()</f>
        <v/>
      </c>
      <c r="B1556" s="4" t="inlineStr">
        <is>
          <t>ChIJpdHXvOJBJ5UR0psgDWi1jJc</t>
        </is>
      </c>
      <c r="C1556" s="4" t="inlineStr">
        <is>
          <t>Atelier Alfredo Larre Jogos de Tabuleiro</t>
        </is>
      </c>
      <c r="D1556" s="4" t="inlineStr">
        <is>
          <t>Florianópolis</t>
        </is>
      </c>
      <c r="E1556" s="4" t="inlineStr">
        <is>
          <t>SC</t>
        </is>
      </c>
      <c r="F1556" s="4" t="inlineStr">
        <is>
          <t>Metrópoles</t>
        </is>
      </c>
      <c r="G1556" s="4" t="inlineStr">
        <is>
          <t>Metrópole</t>
        </is>
      </c>
      <c r="H1556" s="5">
        <f>IF(G1556="fora do recorte","",SUMPRODUCT(($G$3:$G$1723=G1556)*($A$3:$A$1723&lt;=A1556)))</f>
        <v/>
      </c>
      <c r="I1556" s="4">
        <f>IF(H1556="","",G1556&amp;"|"&amp;H1556)</f>
        <v/>
      </c>
      <c r="J1556" s="4" t="inlineStr">
        <is>
          <t>https://www.google.com/maps/search/?api=1&amp;query=Atelier%20Alfredo%20Larre%20Jogos%20de%20Tabuleiro&amp;query_place_id=ChIJpdHXvOJBJ5UR0psgDWi1jJc</t>
        </is>
      </c>
      <c r="K1556" s="4" t="inlineStr">
        <is>
          <t>Manoel - Servidão Manoel Amaro Nunes Pinheiro, 727 - Ratones, Florianópolis - SC, 88052-250, Brasil</t>
        </is>
      </c>
      <c r="L1556" s="4" t="inlineStr">
        <is>
          <t>Florianópolis</t>
        </is>
      </c>
      <c r="M1556" s="5" t="n">
        <v>3</v>
      </c>
    </row>
    <row r="1557">
      <c r="A1557" s="3">
        <f>RAND()</f>
        <v/>
      </c>
      <c r="B1557" s="4" t="inlineStr">
        <is>
          <t>ChIJKa_5PSU3J5URLBsCWtRR0NA</t>
        </is>
      </c>
      <c r="C1557" s="4" t="inlineStr">
        <is>
          <t>Balbúrdia Cervejeira Florianópolis</t>
        </is>
      </c>
      <c r="D1557" s="4" t="inlineStr">
        <is>
          <t>Florianópolis</t>
        </is>
      </c>
      <c r="E1557" s="4" t="inlineStr">
        <is>
          <t>SC</t>
        </is>
      </c>
      <c r="F1557" s="4" t="inlineStr">
        <is>
          <t>Metrópoles</t>
        </is>
      </c>
      <c r="G1557" s="4" t="inlineStr">
        <is>
          <t>Metrópole</t>
        </is>
      </c>
      <c r="H1557" s="5">
        <f>IF(G1557="fora do recorte","",SUMPRODUCT(($G$3:$G$1723=G1557)*($A$3:$A$1723&lt;=A1557)))</f>
        <v/>
      </c>
      <c r="I1557" s="4">
        <f>IF(H1557="","",G1557&amp;"|"&amp;H1557)</f>
        <v/>
      </c>
      <c r="J1557" s="4" t="inlineStr">
        <is>
          <t>https://www.google.com/maps/search/?api=1&amp;query=Balb%C3%BArdia%20Cervejeira%20Florian%C3%B3polis&amp;query_place_id=ChIJKa_5PSU3J5URLBsCWtRR0NA</t>
        </is>
      </c>
      <c r="K1557" s="4" t="inlineStr">
        <is>
          <t>R. Alm. Lamego, 425 - Centro, Florianópolis - SC, 88015-600, Brasil</t>
        </is>
      </c>
      <c r="L1557" s="4" t="inlineStr">
        <is>
          <t>Florianópolis</t>
        </is>
      </c>
      <c r="M1557" s="5" t="n">
        <v>1</v>
      </c>
    </row>
    <row r="1558">
      <c r="A1558" s="3">
        <f>RAND()</f>
        <v/>
      </c>
      <c r="B1558" s="4" t="inlineStr">
        <is>
          <t>ChIJWZCzZhA5J5URlScOX13XlWs</t>
        </is>
      </c>
      <c r="C1558" s="4" t="inlineStr">
        <is>
          <t>Berçário Mágico Florianópolis</t>
        </is>
      </c>
      <c r="D1558" s="4" t="inlineStr">
        <is>
          <t>Florianópolis</t>
        </is>
      </c>
      <c r="E1558" s="4" t="inlineStr">
        <is>
          <t>SC</t>
        </is>
      </c>
      <c r="F1558" s="4" t="inlineStr">
        <is>
          <t>Metrópoles</t>
        </is>
      </c>
      <c r="G1558" s="4" t="inlineStr">
        <is>
          <t>Metrópole</t>
        </is>
      </c>
      <c r="H1558" s="5">
        <f>IF(G1558="fora do recorte","",SUMPRODUCT(($G$3:$G$1723=G1558)*($A$3:$A$1723&lt;=A1558)))</f>
        <v/>
      </c>
      <c r="I1558" s="4">
        <f>IF(H1558="","",G1558&amp;"|"&amp;H1558)</f>
        <v/>
      </c>
      <c r="J1558" s="4" t="inlineStr">
        <is>
          <t>https://www.google.com/maps/search/?api=1&amp;query=Ber%C3%A7%C3%A1rio%20M%C3%A1gico%20Florian%C3%B3polis&amp;query_place_id=ChIJWZCzZhA5J5URlScOX13XlWs</t>
        </is>
      </c>
      <c r="K1558" s="4" t="inlineStr">
        <is>
          <t>SC-401 - Saco Grande, Florianópolis - SC, 88032-005, Brasil</t>
        </is>
      </c>
      <c r="L1558" s="4" t="inlineStr">
        <is>
          <t>Florianópolis</t>
        </is>
      </c>
      <c r="M1558" s="5" t="n">
        <v>1</v>
      </c>
    </row>
    <row r="1559">
      <c r="A1559" s="3">
        <f>RAND()</f>
        <v/>
      </c>
      <c r="B1559" s="4" t="inlineStr">
        <is>
          <t>ChIJJfvd9QBCJ5URPtgaiscfj5Y</t>
        </is>
      </c>
      <c r="C1559" s="4" t="inlineStr">
        <is>
          <t>Bola 8 Snooker Bar</t>
        </is>
      </c>
      <c r="D1559" s="4" t="inlineStr">
        <is>
          <t>Florianópolis</t>
        </is>
      </c>
      <c r="E1559" s="4" t="inlineStr">
        <is>
          <t>SC</t>
        </is>
      </c>
      <c r="F1559" s="4" t="inlineStr">
        <is>
          <t>Metrópoles</t>
        </is>
      </c>
      <c r="G1559" s="4" t="inlineStr">
        <is>
          <t>Metrópole</t>
        </is>
      </c>
      <c r="H1559" s="5">
        <f>IF(G1559="fora do recorte","",SUMPRODUCT(($G$3:$G$1723=G1559)*($A$3:$A$1723&lt;=A1559)))</f>
        <v/>
      </c>
      <c r="I1559" s="4">
        <f>IF(H1559="","",G1559&amp;"|"&amp;H1559)</f>
        <v/>
      </c>
      <c r="J1559" s="4" t="inlineStr">
        <is>
          <t>https://www.google.com/maps/search/?api=1&amp;query=Bola%208%20Snooker%20Bar&amp;query_place_id=ChIJJfvd9QBCJ5URPtgaiscfj5Y</t>
        </is>
      </c>
      <c r="K1559" s="4" t="inlineStr">
        <is>
          <t>Rod. Armando Calil Bulos, 6145 - 1º andar - Ingleses do Rio Vermelho, Florianópolis - SC, 88058-001, Brasil</t>
        </is>
      </c>
      <c r="L1559" s="4" t="inlineStr">
        <is>
          <t>Florianópolis</t>
        </is>
      </c>
      <c r="M1559" s="5" t="n">
        <v>1</v>
      </c>
    </row>
    <row r="1560">
      <c r="A1560" s="3">
        <f>RAND()</f>
        <v/>
      </c>
      <c r="B1560" s="4" t="inlineStr">
        <is>
          <t>ChIJ-4RQ4kk5J5URdwADbX8za7M</t>
        </is>
      </c>
      <c r="C1560" s="4" t="inlineStr">
        <is>
          <t>Box 117 - BRINQUEDOS</t>
        </is>
      </c>
      <c r="D1560" s="4" t="inlineStr">
        <is>
          <t>Florianópolis</t>
        </is>
      </c>
      <c r="E1560" s="4" t="inlineStr">
        <is>
          <t>SC</t>
        </is>
      </c>
      <c r="F1560" s="4" t="inlineStr">
        <is>
          <t>Metrópoles</t>
        </is>
      </c>
      <c r="G1560" s="4" t="inlineStr">
        <is>
          <t>Metrópole</t>
        </is>
      </c>
      <c r="H1560" s="5">
        <f>IF(G1560="fora do recorte","",SUMPRODUCT(($G$3:$G$1723=G1560)*($A$3:$A$1723&lt;=A1560)))</f>
        <v/>
      </c>
      <c r="I1560" s="4">
        <f>IF(H1560="","",G1560&amp;"|"&amp;H1560)</f>
        <v/>
      </c>
      <c r="J1560" s="4" t="inlineStr">
        <is>
          <t>https://www.google.com/maps/search/?api=1&amp;query=Box%20117%20-%20BRINQUEDOS&amp;query_place_id=ChIJ-4RQ4kk5J5URdwADbX8za7M</t>
        </is>
      </c>
      <c r="K1560" s="4" t="inlineStr">
        <is>
          <t>camelódromo municipal de Florianópolis - R. Francisco Tolentino, 315 - Centro, Florianópolis - SC, 88010-913, Brasil</t>
        </is>
      </c>
      <c r="L1560" s="4" t="inlineStr">
        <is>
          <t>Florianópolis</t>
        </is>
      </c>
      <c r="M1560" s="5" t="n">
        <v>1</v>
      </c>
    </row>
    <row r="1561">
      <c r="A1561" s="3">
        <f>RAND()</f>
        <v/>
      </c>
      <c r="B1561" s="4" t="inlineStr">
        <is>
          <t>ChIJQ40ebT1JJ5URTdocEku1P0I</t>
        </is>
      </c>
      <c r="C1561" s="4" t="inlineStr">
        <is>
          <t>Brinkidiss</t>
        </is>
      </c>
      <c r="D1561" s="4" t="inlineStr">
        <is>
          <t>Florianópolis</t>
        </is>
      </c>
      <c r="E1561" s="4" t="inlineStr">
        <is>
          <t>SC</t>
        </is>
      </c>
      <c r="F1561" s="4" t="inlineStr">
        <is>
          <t>Metrópoles</t>
        </is>
      </c>
      <c r="G1561" s="4" t="inlineStr">
        <is>
          <t>Metrópole</t>
        </is>
      </c>
      <c r="H1561" s="5">
        <f>IF(G1561="fora do recorte","",SUMPRODUCT(($G$3:$G$1723=G1561)*($A$3:$A$1723&lt;=A1561)))</f>
        <v/>
      </c>
      <c r="I1561" s="4">
        <f>IF(H1561="","",G1561&amp;"|"&amp;H1561)</f>
        <v/>
      </c>
      <c r="J1561" s="4" t="inlineStr">
        <is>
          <t>https://www.google.com/maps/search/?api=1&amp;query=Brinkidiss&amp;query_place_id=ChIJQ40ebT1JJ5URTdocEku1P0I</t>
        </is>
      </c>
      <c r="K1561" s="4" t="inlineStr">
        <is>
          <t>R. Cel. Pedro Demoro, 1955 - Estreito, Florianópolis - SC, 88075-300, Brasil</t>
        </is>
      </c>
      <c r="L1561" s="4" t="inlineStr">
        <is>
          <t>Florianópolis</t>
        </is>
      </c>
      <c r="M1561" s="5" t="n">
        <v>3</v>
      </c>
    </row>
    <row r="1562">
      <c r="A1562" s="3">
        <f>RAND()</f>
        <v/>
      </c>
      <c r="B1562" s="4" t="inlineStr">
        <is>
          <t>ChIJUyXE3OBDJ5UR-QHJbZzz4K0</t>
        </is>
      </c>
      <c r="C1562" s="4" t="inlineStr">
        <is>
          <t>Brinquedoteca Mamãe Ursa</t>
        </is>
      </c>
      <c r="D1562" s="4" t="inlineStr">
        <is>
          <t>Florianópolis</t>
        </is>
      </c>
      <c r="E1562" s="4" t="inlineStr">
        <is>
          <t>SC</t>
        </is>
      </c>
      <c r="F1562" s="4" t="inlineStr">
        <is>
          <t>Metrópoles</t>
        </is>
      </c>
      <c r="G1562" s="4" t="inlineStr">
        <is>
          <t>Metrópole</t>
        </is>
      </c>
      <c r="H1562" s="5">
        <f>IF(G1562="fora do recorte","",SUMPRODUCT(($G$3:$G$1723=G1562)*($A$3:$A$1723&lt;=A1562)))</f>
        <v/>
      </c>
      <c r="I1562" s="4">
        <f>IF(H1562="","",G1562&amp;"|"&amp;H1562)</f>
        <v/>
      </c>
      <c r="J1562" s="4" t="inlineStr">
        <is>
          <t>https://www.google.com/maps/search/?api=1&amp;query=Brinquedoteca%20Mam%C3%A3e%20Ursa&amp;query_place_id=ChIJUyXE3OBDJ5UR-QHJbZzz4K0</t>
        </is>
      </c>
      <c r="K1562" s="4" t="inlineStr">
        <is>
          <t>Servidão - R. Antenor de Souza Conceição, 818 - São João do Rio Vermelho, Florianópolis - SC, 88060-220, Brasil</t>
        </is>
      </c>
      <c r="L1562" s="4" t="inlineStr">
        <is>
          <t>Florianópolis</t>
        </is>
      </c>
      <c r="M1562" s="5" t="n">
        <v>1</v>
      </c>
    </row>
    <row r="1563">
      <c r="A1563" s="3">
        <f>RAND()</f>
        <v/>
      </c>
      <c r="B1563" s="4" t="inlineStr">
        <is>
          <t>ChIJBQtM0iE4J5URe_WL07Pj8V4</t>
        </is>
      </c>
      <c r="C1563" s="4" t="inlineStr">
        <is>
          <t>Bro Cave Pub</t>
        </is>
      </c>
      <c r="D1563" s="4" t="inlineStr">
        <is>
          <t>Florianópolis</t>
        </is>
      </c>
      <c r="E1563" s="4" t="inlineStr">
        <is>
          <t>SC</t>
        </is>
      </c>
      <c r="F1563" s="4" t="inlineStr">
        <is>
          <t>Metrópoles</t>
        </is>
      </c>
      <c r="G1563" s="4" t="inlineStr">
        <is>
          <t>Metrópole</t>
        </is>
      </c>
      <c r="H1563" s="5">
        <f>IF(G1563="fora do recorte","",SUMPRODUCT(($G$3:$G$1723=G1563)*($A$3:$A$1723&lt;=A1563)))</f>
        <v/>
      </c>
      <c r="I1563" s="4">
        <f>IF(H1563="","",G1563&amp;"|"&amp;H1563)</f>
        <v/>
      </c>
      <c r="J1563" s="4" t="inlineStr">
        <is>
          <t>https://www.google.com/maps/search/?api=1&amp;query=Bro%20Cave%20Pub&amp;query_place_id=ChIJBQtM0iE4J5URe_WL07Pj8V4</t>
        </is>
      </c>
      <c r="K1563" s="4" t="inlineStr">
        <is>
          <t>Calçadão João Pinto, 231 - Centro, Florianópolis - SC, 88010-420, Brasil</t>
        </is>
      </c>
      <c r="L1563" s="4" t="inlineStr">
        <is>
          <t>Florianópolis</t>
        </is>
      </c>
      <c r="M1563" s="5" t="n">
        <v>1</v>
      </c>
    </row>
    <row r="1564">
      <c r="A1564" s="3">
        <f>RAND()</f>
        <v/>
      </c>
      <c r="B1564" s="4" t="inlineStr">
        <is>
          <t>ChIJawIVeV0JM0oR5BtnD_poQeA</t>
        </is>
      </c>
      <c r="C1564" s="4" t="inlineStr">
        <is>
          <t>CCG Floripa</t>
        </is>
      </c>
      <c r="D1564" s="4" t="inlineStr">
        <is>
          <t>Florianópolis</t>
        </is>
      </c>
      <c r="E1564" s="4" t="inlineStr">
        <is>
          <t>SC</t>
        </is>
      </c>
      <c r="F1564" s="4" t="inlineStr">
        <is>
          <t>Metrópoles</t>
        </is>
      </c>
      <c r="G1564" s="4" t="inlineStr">
        <is>
          <t>Metrópole</t>
        </is>
      </c>
      <c r="H1564" s="5">
        <f>IF(G1564="fora do recorte","",SUMPRODUCT(($G$3:$G$1723=G1564)*($A$3:$A$1723&lt;=A1564)))</f>
        <v/>
      </c>
      <c r="I1564" s="4">
        <f>IF(H1564="","",G1564&amp;"|"&amp;H1564)</f>
        <v/>
      </c>
      <c r="J1564" s="4" t="inlineStr">
        <is>
          <t>https://www.google.com/maps/search/?api=1&amp;query=CCG%20Floripa&amp;query_place_id=ChIJawIVeV0JM0oR5BtnD_poQeA</t>
        </is>
      </c>
      <c r="K1564" s="4" t="inlineStr">
        <is>
          <t>R. Lauro Linhares, 245 - Trindade, Florianópolis - SC, 88036-000, Brasil</t>
        </is>
      </c>
      <c r="L1564" s="4" t="inlineStr">
        <is>
          <t>Florianópolis</t>
        </is>
      </c>
      <c r="M1564" s="5" t="n">
        <v>9</v>
      </c>
    </row>
    <row r="1565">
      <c r="A1565" s="3">
        <f>RAND()</f>
        <v/>
      </c>
      <c r="B1565" s="4" t="inlineStr">
        <is>
          <t>ChIJ5y2CaytJJ5UR84Op92X8Xgg</t>
        </is>
      </c>
      <c r="C1565" s="4" t="inlineStr">
        <is>
          <t>CNeutral RPG e Hobbies</t>
        </is>
      </c>
      <c r="D1565" s="4" t="inlineStr">
        <is>
          <t>Florianópolis</t>
        </is>
      </c>
      <c r="E1565" s="4" t="inlineStr">
        <is>
          <t>SC</t>
        </is>
      </c>
      <c r="F1565" s="4" t="inlineStr">
        <is>
          <t>Metrópoles</t>
        </is>
      </c>
      <c r="G1565" s="4" t="inlineStr">
        <is>
          <t>Metrópole</t>
        </is>
      </c>
      <c r="H1565" s="5">
        <f>IF(G1565="fora do recorte","",SUMPRODUCT(($G$3:$G$1723=G1565)*($A$3:$A$1723&lt;=A1565)))</f>
        <v/>
      </c>
      <c r="I1565" s="4">
        <f>IF(H1565="","",G1565&amp;"|"&amp;H1565)</f>
        <v/>
      </c>
      <c r="J1565" s="4" t="inlineStr">
        <is>
          <t>https://www.google.com/maps/search/?api=1&amp;query=CNeutral%20RPG%20e%20Hobbies&amp;query_place_id=ChIJ5y2CaytJJ5UR84Op92X8Xgg</t>
        </is>
      </c>
      <c r="K1565" s="4" t="inlineStr">
        <is>
          <t>R. Felipe Schmidt, 249 - Sl 308 - Centro, Florianópolis - SC, 88010-000, Brasil</t>
        </is>
      </c>
      <c r="L1565" s="4" t="inlineStr">
        <is>
          <t>Florianópolis</t>
        </is>
      </c>
      <c r="M1565" s="5" t="n">
        <v>1</v>
      </c>
    </row>
    <row r="1566">
      <c r="A1566" s="3">
        <f>RAND()</f>
        <v/>
      </c>
      <c r="B1566" s="4" t="inlineStr">
        <is>
          <t>ChIJp0AUDQA5J5URHwCOSienHRQ</t>
        </is>
      </c>
      <c r="C1566" s="4" t="inlineStr">
        <is>
          <t>Cartas &amp; Dados</t>
        </is>
      </c>
      <c r="D1566" s="4" t="inlineStr">
        <is>
          <t>Florianópolis</t>
        </is>
      </c>
      <c r="E1566" s="4" t="inlineStr">
        <is>
          <t>SC</t>
        </is>
      </c>
      <c r="F1566" s="4" t="inlineStr">
        <is>
          <t>Metrópoles</t>
        </is>
      </c>
      <c r="G1566" s="4" t="inlineStr">
        <is>
          <t>Metrópole</t>
        </is>
      </c>
      <c r="H1566" s="5">
        <f>IF(G1566="fora do recorte","",SUMPRODUCT(($G$3:$G$1723=G1566)*($A$3:$A$1723&lt;=A1566)))</f>
        <v/>
      </c>
      <c r="I1566" s="4">
        <f>IF(H1566="","",G1566&amp;"|"&amp;H1566)</f>
        <v/>
      </c>
      <c r="J1566" s="4" t="inlineStr">
        <is>
          <t>https://www.google.com/maps/search/?api=1&amp;query=Cartas%20%26%20Dados&amp;query_place_id=ChIJp0AUDQA5J5URHwCOSienHRQ</t>
        </is>
      </c>
      <c r="K1566" s="4" t="inlineStr">
        <is>
          <t>R. Fernando Machado, 36b - Centro, Florianópolis - SC, 88010-510, Brasil</t>
        </is>
      </c>
      <c r="L1566" s="4" t="inlineStr">
        <is>
          <t>Florianópolis</t>
        </is>
      </c>
      <c r="M1566" s="5" t="n">
        <v>4</v>
      </c>
    </row>
    <row r="1567">
      <c r="A1567" s="3">
        <f>RAND()</f>
        <v/>
      </c>
      <c r="B1567" s="4" t="inlineStr">
        <is>
          <t>ChIJ7xACdt49J5URt9-_cQ61tdk</t>
        </is>
      </c>
      <c r="C1567" s="4" t="inlineStr">
        <is>
          <t>Casa Viva - Espaço de criar, brincar e crescer</t>
        </is>
      </c>
      <c r="D1567" s="4" t="inlineStr">
        <is>
          <t>Florianópolis</t>
        </is>
      </c>
      <c r="E1567" s="4" t="inlineStr">
        <is>
          <t>SC</t>
        </is>
      </c>
      <c r="F1567" s="4" t="inlineStr">
        <is>
          <t>Metrópoles</t>
        </is>
      </c>
      <c r="G1567" s="4" t="inlineStr">
        <is>
          <t>Metrópole</t>
        </is>
      </c>
      <c r="H1567" s="5">
        <f>IF(G1567="fora do recorte","",SUMPRODUCT(($G$3:$G$1723=G1567)*($A$3:$A$1723&lt;=A1567)))</f>
        <v/>
      </c>
      <c r="I1567" s="4">
        <f>IF(H1567="","",G1567&amp;"|"&amp;H1567)</f>
        <v/>
      </c>
      <c r="J1567" s="4" t="inlineStr">
        <is>
          <t>https://www.google.com/maps/search/?api=1&amp;query=Casa%20Viva%20-%20Espa%C3%A7o%20de%20criar%2C%20brincar%20e%20crescer&amp;query_place_id=ChIJ7xACdt49J5URt9-_cQ61tdk</t>
        </is>
      </c>
      <c r="K1567" s="4" t="inlineStr">
        <is>
          <t>R. Ver. Osni Ortiga, 2854 - Porto da Lagoa, Florianópolis - SC, 88062-451, Brasil</t>
        </is>
      </c>
      <c r="L1567" s="4" t="inlineStr">
        <is>
          <t>Florianópolis</t>
        </is>
      </c>
      <c r="M1567" s="5" t="n">
        <v>1</v>
      </c>
    </row>
    <row r="1568">
      <c r="A1568" s="3">
        <f>RAND()</f>
        <v/>
      </c>
      <c r="B1568" s="4" t="inlineStr">
        <is>
          <t>ChIJc3F7ka83J5URQZ1XTl-_iak</t>
        </is>
      </c>
      <c r="C1568" s="4" t="inlineStr">
        <is>
          <t>Chef on Play</t>
        </is>
      </c>
      <c r="D1568" s="4" t="inlineStr">
        <is>
          <t>Florianópolis</t>
        </is>
      </c>
      <c r="E1568" s="4" t="inlineStr">
        <is>
          <t>SC</t>
        </is>
      </c>
      <c r="F1568" s="4" t="inlineStr">
        <is>
          <t>Metrópoles</t>
        </is>
      </c>
      <c r="G1568" s="4" t="inlineStr">
        <is>
          <t>Metrópole</t>
        </is>
      </c>
      <c r="H1568" s="5">
        <f>IF(G1568="fora do recorte","",SUMPRODUCT(($G$3:$G$1723=G1568)*($A$3:$A$1723&lt;=A1568)))</f>
        <v/>
      </c>
      <c r="I1568" s="4">
        <f>IF(H1568="","",G1568&amp;"|"&amp;H1568)</f>
        <v/>
      </c>
      <c r="J1568" s="4" t="inlineStr">
        <is>
          <t>https://www.google.com/maps/search/?api=1&amp;query=Chef%20on%20Play&amp;query_place_id=ChIJc3F7ka83J5URQZ1XTl-_iak</t>
        </is>
      </c>
      <c r="K1568" s="4" t="inlineStr">
        <is>
          <t>Rua kk - atrás do bem bolado bar - Praça Atílio ferreira, 07 - Trindade, Florianópolis - SC, 88080-701, Brasil</t>
        </is>
      </c>
      <c r="L1568" s="4" t="inlineStr">
        <is>
          <t>Florianópolis</t>
        </is>
      </c>
      <c r="M1568" s="5" t="n">
        <v>1</v>
      </c>
    </row>
    <row r="1569">
      <c r="A1569" s="3">
        <f>RAND()</f>
        <v/>
      </c>
      <c r="B1569" s="4" t="inlineStr">
        <is>
          <t>ChIJ74urMl5HJ5URF27-9sgc7Ao</t>
        </is>
      </c>
      <c r="C1569" s="4" t="inlineStr">
        <is>
          <t>Decathlon Florianópolis</t>
        </is>
      </c>
      <c r="D1569" s="4" t="inlineStr">
        <is>
          <t>Florianópolis</t>
        </is>
      </c>
      <c r="E1569" s="4" t="inlineStr">
        <is>
          <t>SC</t>
        </is>
      </c>
      <c r="F1569" s="4" t="inlineStr">
        <is>
          <t>Metrópoles</t>
        </is>
      </c>
      <c r="G1569" s="4" t="inlineStr">
        <is>
          <t>Metrópole</t>
        </is>
      </c>
      <c r="H1569" s="5">
        <f>IF(G1569="fora do recorte","",SUMPRODUCT(($G$3:$G$1723=G1569)*($A$3:$A$1723&lt;=A1569)))</f>
        <v/>
      </c>
      <c r="I1569" s="4">
        <f>IF(H1569="","",G1569&amp;"|"&amp;H1569)</f>
        <v/>
      </c>
      <c r="J1569" s="4" t="inlineStr">
        <is>
          <t>https://www.google.com/maps/search/?api=1&amp;query=Decathlon%20Florian%C3%B3polis&amp;query_place_id=ChIJ74urMl5HJ5URF27-9sgc7Ao</t>
        </is>
      </c>
      <c r="K1569" s="4" t="inlineStr">
        <is>
          <t>SC-401, 3400 - Saco Grande, Florianópolis - SC, 88032-005, Brasil</t>
        </is>
      </c>
      <c r="L1569" s="4" t="inlineStr">
        <is>
          <t>Florianópolis</t>
        </is>
      </c>
      <c r="M1569" s="5" t="n">
        <v>1</v>
      </c>
    </row>
    <row r="1570">
      <c r="A1570" s="3">
        <f>RAND()</f>
        <v/>
      </c>
      <c r="B1570" s="4" t="inlineStr">
        <is>
          <t>ChIJ26SG9CA5J5UR8CyxhDBJaAE</t>
        </is>
      </c>
      <c r="C1570" s="4" t="inlineStr">
        <is>
          <t>Divert Park</t>
        </is>
      </c>
      <c r="D1570" s="4" t="inlineStr">
        <is>
          <t>Florianópolis</t>
        </is>
      </c>
      <c r="E1570" s="4" t="inlineStr">
        <is>
          <t>SC</t>
        </is>
      </c>
      <c r="F1570" s="4" t="inlineStr">
        <is>
          <t>Metrópoles</t>
        </is>
      </c>
      <c r="G1570" s="4" t="inlineStr">
        <is>
          <t>Metrópole</t>
        </is>
      </c>
      <c r="H1570" s="5">
        <f>IF(G1570="fora do recorte","",SUMPRODUCT(($G$3:$G$1723=G1570)*($A$3:$A$1723&lt;=A1570)))</f>
        <v/>
      </c>
      <c r="I1570" s="4">
        <f>IF(H1570="","",G1570&amp;"|"&amp;H1570)</f>
        <v/>
      </c>
      <c r="J1570" s="4" t="inlineStr">
        <is>
          <t>https://www.google.com/maps/search/?api=1&amp;query=Divert%20Park&amp;query_place_id=ChIJ26SG9CA5J5UR8CyxhDBJaAE</t>
        </is>
      </c>
      <c r="K1570" s="4" t="inlineStr">
        <is>
          <t>Av. Me. Benvenuta, 687 - Loja 348 - Santa Monica, Florianópolis - SC, 88035-000, Brasil</t>
        </is>
      </c>
      <c r="L1570" s="4" t="inlineStr">
        <is>
          <t>Florianópolis</t>
        </is>
      </c>
      <c r="M1570" s="5" t="n">
        <v>1</v>
      </c>
    </row>
    <row r="1571">
      <c r="A1571" s="3">
        <f>RAND()</f>
        <v/>
      </c>
      <c r="B1571" s="4" t="inlineStr">
        <is>
          <t>ChIJJ2Bk1e05J5URgRq0pvu0Z5Q</t>
        </is>
      </c>
      <c r="C1571" s="4" t="inlineStr">
        <is>
          <t>Divert Park</t>
        </is>
      </c>
      <c r="D1571" s="4" t="inlineStr">
        <is>
          <t>Florianópolis</t>
        </is>
      </c>
      <c r="E1571" s="4" t="inlineStr">
        <is>
          <t>SC</t>
        </is>
      </c>
      <c r="F1571" s="4" t="inlineStr">
        <is>
          <t>Metrópoles</t>
        </is>
      </c>
      <c r="G1571" s="4" t="inlineStr">
        <is>
          <t>Metrópole</t>
        </is>
      </c>
      <c r="H1571" s="5">
        <f>IF(G1571="fora do recorte","",SUMPRODUCT(($G$3:$G$1723=G1571)*($A$3:$A$1723&lt;=A1571)))</f>
        <v/>
      </c>
      <c r="I1571" s="4">
        <f>IF(H1571="","",G1571&amp;"|"&amp;H1571)</f>
        <v/>
      </c>
      <c r="J1571" s="4" t="inlineStr">
        <is>
          <t>https://www.google.com/maps/search/?api=1&amp;query=Divert%20Park&amp;query_place_id=ChIJJ2Bk1e05J5URgRq0pvu0Z5Q</t>
        </is>
      </c>
      <c r="K1571" s="4" t="inlineStr">
        <is>
          <t>R. Bocaiúva, 2468 - 266 - Centro, Florianópolis - SC, 88015-902, Brasil</t>
        </is>
      </c>
      <c r="L1571" s="4" t="inlineStr">
        <is>
          <t>Florianópolis</t>
        </is>
      </c>
      <c r="M1571" s="5" t="n">
        <v>1</v>
      </c>
    </row>
    <row r="1572">
      <c r="A1572" s="3">
        <f>RAND()</f>
        <v/>
      </c>
      <c r="B1572" s="4" t="inlineStr">
        <is>
          <t>ChIJ7ZioVfU3J5URMq3PGrI4mFw</t>
        </is>
      </c>
      <c r="C1572" s="4" t="inlineStr">
        <is>
          <t>Dragon´s House Hobby Store</t>
        </is>
      </c>
      <c r="D1572" s="4" t="inlineStr">
        <is>
          <t>Florianópolis</t>
        </is>
      </c>
      <c r="E1572" s="4" t="inlineStr">
        <is>
          <t>SC</t>
        </is>
      </c>
      <c r="F1572" s="4" t="inlineStr">
        <is>
          <t>Metrópoles</t>
        </is>
      </c>
      <c r="G1572" s="4" t="inlineStr">
        <is>
          <t>Metrópole</t>
        </is>
      </c>
      <c r="H1572" s="5">
        <f>IF(G1572="fora do recorte","",SUMPRODUCT(($G$3:$G$1723=G1572)*($A$3:$A$1723&lt;=A1572)))</f>
        <v/>
      </c>
      <c r="I1572" s="4">
        <f>IF(H1572="","",G1572&amp;"|"&amp;H1572)</f>
        <v/>
      </c>
      <c r="J1572" s="4" t="inlineStr">
        <is>
          <t>https://www.google.com/maps/search/?api=1&amp;query=Dragon%C2%B4s%20House%20Hobby%20Store&amp;query_place_id=ChIJ7ZioVfU3J5URMq3PGrI4mFw</t>
        </is>
      </c>
      <c r="K1572" s="4" t="inlineStr">
        <is>
          <t>R. Conselheiro Mafra, 246 - sobreloja - Centro, Florianópolis - SC, 88010-100, Brasil</t>
        </is>
      </c>
      <c r="L1572" s="4" t="inlineStr">
        <is>
          <t>Florianópolis</t>
        </is>
      </c>
      <c r="M1572" s="5" t="n">
        <v>8</v>
      </c>
    </row>
    <row r="1573">
      <c r="A1573" s="3">
        <f>RAND()</f>
        <v/>
      </c>
      <c r="B1573" s="4" t="inlineStr">
        <is>
          <t>ChIJ_Qdle005J5URXK4SqE4NiOY</t>
        </is>
      </c>
      <c r="C1573" s="4" t="inlineStr">
        <is>
          <t>Elemental Geek</t>
        </is>
      </c>
      <c r="D1573" s="4" t="inlineStr">
        <is>
          <t>Florianópolis</t>
        </is>
      </c>
      <c r="E1573" s="4" t="inlineStr">
        <is>
          <t>SC</t>
        </is>
      </c>
      <c r="F1573" s="4" t="inlineStr">
        <is>
          <t>Metrópoles</t>
        </is>
      </c>
      <c r="G1573" s="4" t="inlineStr">
        <is>
          <t>Metrópole</t>
        </is>
      </c>
      <c r="H1573" s="5">
        <f>IF(G1573="fora do recorte","",SUMPRODUCT(($G$3:$G$1723=G1573)*($A$3:$A$1723&lt;=A1573)))</f>
        <v/>
      </c>
      <c r="I1573" s="4">
        <f>IF(H1573="","",G1573&amp;"|"&amp;H1573)</f>
        <v/>
      </c>
      <c r="J1573" s="4" t="inlineStr">
        <is>
          <t>https://www.google.com/maps/search/?api=1&amp;query=Elemental%20Geek&amp;query_place_id=ChIJ_Qdle005J5URXK4SqE4NiOY</t>
        </is>
      </c>
      <c r="K1573" s="4" t="inlineStr">
        <is>
          <t>Edifício Joana de Gusmão - Calçadão João Pinto, 30 - Lj 11 - Centro, Florianópolis - SC, 88010-420, Brasil</t>
        </is>
      </c>
      <c r="L1573" s="4" t="inlineStr">
        <is>
          <t>Florianópolis</t>
        </is>
      </c>
      <c r="M1573" s="5" t="n">
        <v>4</v>
      </c>
    </row>
    <row r="1574">
      <c r="A1574" s="3">
        <f>RAND()</f>
        <v/>
      </c>
      <c r="B1574" s="4" t="inlineStr">
        <is>
          <t>ChIJd_LpVCE5J5URwaNhjdU8a8A</t>
        </is>
      </c>
      <c r="C1574" s="4" t="inlineStr">
        <is>
          <t>EscapeOne</t>
        </is>
      </c>
      <c r="D1574" s="4" t="inlineStr">
        <is>
          <t>Florianópolis</t>
        </is>
      </c>
      <c r="E1574" s="4" t="inlineStr">
        <is>
          <t>SC</t>
        </is>
      </c>
      <c r="F1574" s="4" t="inlineStr">
        <is>
          <t>Metrópoles</t>
        </is>
      </c>
      <c r="G1574" s="4" t="inlineStr">
        <is>
          <t>Metrópole</t>
        </is>
      </c>
      <c r="H1574" s="5">
        <f>IF(G1574="fora do recorte","",SUMPRODUCT(($G$3:$G$1723=G1574)*($A$3:$A$1723&lt;=A1574)))</f>
        <v/>
      </c>
      <c r="I1574" s="4">
        <f>IF(H1574="","",G1574&amp;"|"&amp;H1574)</f>
        <v/>
      </c>
      <c r="J1574" s="4" t="inlineStr">
        <is>
          <t>https://www.google.com/maps/search/?api=1&amp;query=EscapeOne&amp;query_place_id=ChIJd_LpVCE5J5URwaNhjdU8a8A</t>
        </is>
      </c>
      <c r="K1574" s="4" t="inlineStr">
        <is>
          <t>R. Vera Linhares de Andrade, 2665 - Córrego Grande, Florianópolis - SC, 88034-700, Brasil</t>
        </is>
      </c>
      <c r="L1574" s="4" t="inlineStr">
        <is>
          <t>Florianópolis</t>
        </is>
      </c>
      <c r="M1574" s="5" t="n">
        <v>5</v>
      </c>
    </row>
    <row r="1575">
      <c r="A1575" s="3">
        <f>RAND()</f>
        <v/>
      </c>
      <c r="B1575" s="4" t="inlineStr">
        <is>
          <t>ChIJRZ1kzSY5J5URgZH5yMJ2sCw</t>
        </is>
      </c>
      <c r="C1575" s="4" t="inlineStr">
        <is>
          <t>Fantástico Mundo Delazer</t>
        </is>
      </c>
      <c r="D1575" s="4" t="inlineStr">
        <is>
          <t>Florianópolis</t>
        </is>
      </c>
      <c r="E1575" s="4" t="inlineStr">
        <is>
          <t>SC</t>
        </is>
      </c>
      <c r="F1575" s="4" t="inlineStr">
        <is>
          <t>Metrópoles</t>
        </is>
      </c>
      <c r="G1575" s="4" t="inlineStr">
        <is>
          <t>Metrópole</t>
        </is>
      </c>
      <c r="H1575" s="5">
        <f>IF(G1575="fora do recorte","",SUMPRODUCT(($G$3:$G$1723=G1575)*($A$3:$A$1723&lt;=A1575)))</f>
        <v/>
      </c>
      <c r="I1575" s="4">
        <f>IF(H1575="","",G1575&amp;"|"&amp;H1575)</f>
        <v/>
      </c>
      <c r="J1575" s="4" t="inlineStr">
        <is>
          <t>https://www.google.com/maps/search/?api=1&amp;query=Fant%C3%A1stico%20Mundo%20Delazer&amp;query_place_id=ChIJRZ1kzSY5J5URgZH5yMJ2sCw</t>
        </is>
      </c>
      <c r="K1575" s="4" t="inlineStr">
        <is>
          <t>R. Hoepcke, 168 - Lj 6 - Centro, Florianópolis - SC, 88010-130, Brasil</t>
        </is>
      </c>
      <c r="L1575" s="4" t="inlineStr">
        <is>
          <t>Florianópolis</t>
        </is>
      </c>
      <c r="M1575" s="5" t="n">
        <v>1</v>
      </c>
    </row>
    <row r="1576">
      <c r="A1576" s="3">
        <f>RAND()</f>
        <v/>
      </c>
      <c r="B1576" s="4" t="inlineStr">
        <is>
          <t>ChIJVVXlRCE4J5URyV8l3c_i4L8</t>
        </is>
      </c>
      <c r="C1576" s="4" t="inlineStr">
        <is>
          <t>Fenix GZ</t>
        </is>
      </c>
      <c r="D1576" s="4" t="inlineStr">
        <is>
          <t>Florianópolis</t>
        </is>
      </c>
      <c r="E1576" s="4" t="inlineStr">
        <is>
          <t>SC</t>
        </is>
      </c>
      <c r="F1576" s="4" t="inlineStr">
        <is>
          <t>Metrópoles</t>
        </is>
      </c>
      <c r="G1576" s="4" t="inlineStr">
        <is>
          <t>Metrópole</t>
        </is>
      </c>
      <c r="H1576" s="5">
        <f>IF(G1576="fora do recorte","",SUMPRODUCT(($G$3:$G$1723=G1576)*($A$3:$A$1723&lt;=A1576)))</f>
        <v/>
      </c>
      <c r="I1576" s="4">
        <f>IF(H1576="","",G1576&amp;"|"&amp;H1576)</f>
        <v/>
      </c>
      <c r="J1576" s="4" t="inlineStr">
        <is>
          <t>https://www.google.com/maps/search/?api=1&amp;query=Fenix%20GZ&amp;query_place_id=ChIJVVXlRCE4J5URyV8l3c_i4L8</t>
        </is>
      </c>
      <c r="K1576" s="4" t="inlineStr">
        <is>
          <t>R. Francisco Tolentino, 315 - Box 55 - Centro, Florianópolis - SC, 88010-913, Brasil</t>
        </is>
      </c>
      <c r="L1576" s="4" t="inlineStr">
        <is>
          <t>Florianópolis</t>
        </is>
      </c>
      <c r="M1576" s="5" t="n">
        <v>2</v>
      </c>
    </row>
    <row r="1577">
      <c r="A1577" s="3">
        <f>RAND()</f>
        <v/>
      </c>
      <c r="B1577" s="4" t="inlineStr">
        <is>
          <t>ChIJ5cVikgzL2JQRfcOg3KSl_DA</t>
        </is>
      </c>
      <c r="C1577" s="4" t="inlineStr">
        <is>
          <t>Game Mania</t>
        </is>
      </c>
      <c r="D1577" s="4" t="inlineStr">
        <is>
          <t>Florianópolis</t>
        </is>
      </c>
      <c r="E1577" s="4" t="inlineStr">
        <is>
          <t>SC</t>
        </is>
      </c>
      <c r="F1577" s="4" t="inlineStr">
        <is>
          <t>Metrópoles</t>
        </is>
      </c>
      <c r="G1577" s="4" t="inlineStr">
        <is>
          <t>Metrópole</t>
        </is>
      </c>
      <c r="H1577" s="5">
        <f>IF(G1577="fora do recorte","",SUMPRODUCT(($G$3:$G$1723=G1577)*($A$3:$A$1723&lt;=A1577)))</f>
        <v/>
      </c>
      <c r="I1577" s="4">
        <f>IF(H1577="","",G1577&amp;"|"&amp;H1577)</f>
        <v/>
      </c>
      <c r="J1577" s="4" t="inlineStr">
        <is>
          <t>https://www.google.com/maps/search/?api=1&amp;query=Game%20Mania&amp;query_place_id=ChIJ5cVikgzL2JQRfcOg3KSl_DA</t>
        </is>
      </c>
      <c r="K1577" s="4" t="inlineStr">
        <is>
          <t>Av. Gov. Ivo Silveira, 2445 - Sl 03 - Capoeiras, Florianópolis - SC, 88085-001, Brasil</t>
        </is>
      </c>
      <c r="L1577" s="4" t="inlineStr">
        <is>
          <t>Florianópolis</t>
        </is>
      </c>
      <c r="M1577" s="5" t="n">
        <v>1</v>
      </c>
    </row>
    <row r="1578">
      <c r="A1578" s="3">
        <f>RAND()</f>
        <v/>
      </c>
      <c r="B1578" s="4" t="inlineStr">
        <is>
          <t>ChIJ62cIJ6A4J5URgMYeNA2aqJY</t>
        </is>
      </c>
      <c r="C1578" s="4" t="inlineStr">
        <is>
          <t>Game Mania</t>
        </is>
      </c>
      <c r="D1578" s="4" t="inlineStr">
        <is>
          <t>Florianópolis</t>
        </is>
      </c>
      <c r="E1578" s="4" t="inlineStr">
        <is>
          <t>SC</t>
        </is>
      </c>
      <c r="F1578" s="4" t="inlineStr">
        <is>
          <t>Metrópoles</t>
        </is>
      </c>
      <c r="G1578" s="4" t="inlineStr">
        <is>
          <t>Metrópole</t>
        </is>
      </c>
      <c r="H1578" s="5">
        <f>IF(G1578="fora do recorte","",SUMPRODUCT(($G$3:$G$1723=G1578)*($A$3:$A$1723&lt;=A1578)))</f>
        <v/>
      </c>
      <c r="I1578" s="4">
        <f>IF(H1578="","",G1578&amp;"|"&amp;H1578)</f>
        <v/>
      </c>
      <c r="J1578" s="4" t="inlineStr">
        <is>
          <t>https://www.google.com/maps/search/?api=1&amp;query=Game%20Mania&amp;query_place_id=ChIJ62cIJ6A4J5URgMYeNA2aqJY</t>
        </is>
      </c>
      <c r="K1578" s="4" t="inlineStr">
        <is>
          <t>Rod. Virgílio Várzea, 587 - Lj 2 - Saco Grande, Florianópolis - SC, 88032-005, Brasil</t>
        </is>
      </c>
      <c r="L1578" s="4" t="inlineStr">
        <is>
          <t>Florianópolis</t>
        </is>
      </c>
      <c r="M1578" s="5" t="n">
        <v>1</v>
      </c>
    </row>
    <row r="1579">
      <c r="A1579" s="3">
        <f>RAND()</f>
        <v/>
      </c>
      <c r="B1579" s="4" t="inlineStr">
        <is>
          <t>ChIJk3dvafk4J5URzKOq9gwfq40</t>
        </is>
      </c>
      <c r="C1579" s="4" t="inlineStr">
        <is>
          <t>Game Mania</t>
        </is>
      </c>
      <c r="D1579" s="4" t="inlineStr">
        <is>
          <t>Florianópolis</t>
        </is>
      </c>
      <c r="E1579" s="4" t="inlineStr">
        <is>
          <t>SC</t>
        </is>
      </c>
      <c r="F1579" s="4" t="inlineStr">
        <is>
          <t>Metrópoles</t>
        </is>
      </c>
      <c r="G1579" s="4" t="inlineStr">
        <is>
          <t>Metrópole</t>
        </is>
      </c>
      <c r="H1579" s="5">
        <f>IF(G1579="fora do recorte","",SUMPRODUCT(($G$3:$G$1723=G1579)*($A$3:$A$1723&lt;=A1579)))</f>
        <v/>
      </c>
      <c r="I1579" s="4">
        <f>IF(H1579="","",G1579&amp;"|"&amp;H1579)</f>
        <v/>
      </c>
      <c r="J1579" s="4" t="inlineStr">
        <is>
          <t>https://www.google.com/maps/search/?api=1&amp;query=Game%20Mania&amp;query_place_id=ChIJk3dvafk4J5URzKOq9gwfq40</t>
        </is>
      </c>
      <c r="K1579" s="4" t="inlineStr">
        <is>
          <t>Av. Me. Benvenuta, 687 - Lj 123 - Trindade, Florianópolis - SC, 88035-000, Brasil</t>
        </is>
      </c>
      <c r="L1579" s="4" t="inlineStr">
        <is>
          <t>Florianópolis</t>
        </is>
      </c>
      <c r="M1579" s="5" t="n">
        <v>1</v>
      </c>
    </row>
    <row r="1580">
      <c r="A1580" s="3">
        <f>RAND()</f>
        <v/>
      </c>
      <c r="B1580" s="4" t="inlineStr">
        <is>
          <t>ChIJ4R43YPk4J5URIRNVcgKOVs4</t>
        </is>
      </c>
      <c r="C1580" s="4" t="inlineStr">
        <is>
          <t>Hang Out • Gastro Pub</t>
        </is>
      </c>
      <c r="D1580" s="4" t="inlineStr">
        <is>
          <t>Florianópolis</t>
        </is>
      </c>
      <c r="E1580" s="4" t="inlineStr">
        <is>
          <t>SC</t>
        </is>
      </c>
      <c r="F1580" s="4" t="inlineStr">
        <is>
          <t>Metrópoles</t>
        </is>
      </c>
      <c r="G1580" s="4" t="inlineStr">
        <is>
          <t>Metrópole</t>
        </is>
      </c>
      <c r="H1580" s="5">
        <f>IF(G1580="fora do recorte","",SUMPRODUCT(($G$3:$G$1723=G1580)*($A$3:$A$1723&lt;=A1580)))</f>
        <v/>
      </c>
      <c r="I1580" s="4">
        <f>IF(H1580="","",G1580&amp;"|"&amp;H1580)</f>
        <v/>
      </c>
      <c r="J1580" s="4" t="inlineStr">
        <is>
          <t>https://www.google.com/maps/search/?api=1&amp;query=Hang%20Out%20%E2%80%A2%20Gastro%20Pub&amp;query_place_id=ChIJ4R43YPk4J5URIRNVcgKOVs4</t>
        </is>
      </c>
      <c r="K1580" s="4" t="inlineStr">
        <is>
          <t>R. Clodorico Moreira, 43 - Santa Monica, Florianópolis - SC, 88035-012, Brasil</t>
        </is>
      </c>
      <c r="L1580" s="4" t="inlineStr">
        <is>
          <t>Florianópolis</t>
        </is>
      </c>
      <c r="M1580" s="5" t="n">
        <v>1</v>
      </c>
    </row>
    <row r="1581">
      <c r="A1581" s="3">
        <f>RAND()</f>
        <v/>
      </c>
      <c r="B1581" s="4" t="inlineStr">
        <is>
          <t>ChIJLzitJQA5J5URunMVHSxrSq0</t>
        </is>
      </c>
      <c r="C1581" s="4" t="inlineStr">
        <is>
          <t>Hercilia Bar</t>
        </is>
      </c>
      <c r="D1581" s="4" t="inlineStr">
        <is>
          <t>Florianópolis</t>
        </is>
      </c>
      <c r="E1581" s="4" t="inlineStr">
        <is>
          <t>SC</t>
        </is>
      </c>
      <c r="F1581" s="4" t="inlineStr">
        <is>
          <t>Metrópoles</t>
        </is>
      </c>
      <c r="G1581" s="4" t="inlineStr">
        <is>
          <t>Metrópole</t>
        </is>
      </c>
      <c r="H1581" s="5">
        <f>IF(G1581="fora do recorte","",SUMPRODUCT(($G$3:$G$1723=G1581)*($A$3:$A$1723&lt;=A1581)))</f>
        <v/>
      </c>
      <c r="I1581" s="4">
        <f>IF(H1581="","",G1581&amp;"|"&amp;H1581)</f>
        <v/>
      </c>
      <c r="J1581" s="4" t="inlineStr">
        <is>
          <t>https://www.google.com/maps/search/?api=1&amp;query=Hercilia%20Bar&amp;query_place_id=ChIJLzitJQA5J5URunMVHSxrSq0</t>
        </is>
      </c>
      <c r="K1581" s="4" t="inlineStr">
        <is>
          <t>Rua Saldanha Marinho, 252 - Centro, Florianópolis - SC, 88010-450, Brasil</t>
        </is>
      </c>
      <c r="L1581" s="4" t="inlineStr">
        <is>
          <t>Florianópolis</t>
        </is>
      </c>
      <c r="M1581" s="5" t="n">
        <v>1</v>
      </c>
    </row>
    <row r="1582">
      <c r="A1582" s="3">
        <f>RAND()</f>
        <v/>
      </c>
      <c r="B1582" s="4" t="inlineStr">
        <is>
          <t>ChIJY6jHpII7J5URz-TdE62Igr4</t>
        </is>
      </c>
      <c r="C1582" s="4" t="inlineStr">
        <is>
          <t>Honeys Board Games - Aluguel de Jogos de Tabuleiro</t>
        </is>
      </c>
      <c r="D1582" s="4" t="inlineStr">
        <is>
          <t>Florianópolis</t>
        </is>
      </c>
      <c r="E1582" s="4" t="inlineStr">
        <is>
          <t>SC</t>
        </is>
      </c>
      <c r="F1582" s="4" t="inlineStr">
        <is>
          <t>Metrópoles</t>
        </is>
      </c>
      <c r="G1582" s="4" t="inlineStr">
        <is>
          <t>Metrópole</t>
        </is>
      </c>
      <c r="H1582" s="5">
        <f>IF(G1582="fora do recorte","",SUMPRODUCT(($G$3:$G$1723=G1582)*($A$3:$A$1723&lt;=A1582)))</f>
        <v/>
      </c>
      <c r="I1582" s="4">
        <f>IF(H1582="","",G1582&amp;"|"&amp;H1582)</f>
        <v/>
      </c>
      <c r="J1582" s="4" t="inlineStr">
        <is>
          <t>https://www.google.com/maps/search/?api=1&amp;query=Honeys%20Board%20Games%20-%20Aluguel%20de%20Jogos%20de%20Tabuleiro&amp;query_place_id=ChIJY6jHpII7J5URz-TdE62Igr4</t>
        </is>
      </c>
      <c r="K1582" s="4" t="inlineStr">
        <is>
          <t>R. Recanto do Beija-Flor, 123 - Campeche, Florianópolis - SC, 88063-710, Brasil</t>
        </is>
      </c>
      <c r="L1582" s="4" t="inlineStr">
        <is>
          <t>Florianópolis</t>
        </is>
      </c>
      <c r="M1582" s="5" t="n">
        <v>7</v>
      </c>
    </row>
    <row r="1583">
      <c r="A1583" s="3">
        <f>RAND()</f>
        <v/>
      </c>
      <c r="B1583" s="4" t="inlineStr">
        <is>
          <t>ChIJNdQTUDM5J5URykOnBaZkPMI</t>
        </is>
      </c>
      <c r="C1583" s="4" t="inlineStr">
        <is>
          <t>Insight Café Bar</t>
        </is>
      </c>
      <c r="D1583" s="4" t="inlineStr">
        <is>
          <t>Florianópolis</t>
        </is>
      </c>
      <c r="E1583" s="4" t="inlineStr">
        <is>
          <t>SC</t>
        </is>
      </c>
      <c r="F1583" s="4" t="inlineStr">
        <is>
          <t>Metrópoles</t>
        </is>
      </c>
      <c r="G1583" s="4" t="inlineStr">
        <is>
          <t>Metrópole</t>
        </is>
      </c>
      <c r="H1583" s="5">
        <f>IF(G1583="fora do recorte","",SUMPRODUCT(($G$3:$G$1723=G1583)*($A$3:$A$1723&lt;=A1583)))</f>
        <v/>
      </c>
      <c r="I1583" s="4">
        <f>IF(H1583="","",G1583&amp;"|"&amp;H1583)</f>
        <v/>
      </c>
      <c r="J1583" s="4" t="inlineStr">
        <is>
          <t>https://www.google.com/maps/search/?api=1&amp;query=Insight%20Caf%C3%A9%20Bar&amp;query_place_id=ChIJNdQTUDM5J5URykOnBaZkPMI</t>
        </is>
      </c>
      <c r="K1583" s="4" t="inlineStr">
        <is>
          <t>R. Nunes Machado, 40 - Centro, Florianópolis - SC, 88015-201, Brasil</t>
        </is>
      </c>
      <c r="L1583" s="4" t="inlineStr">
        <is>
          <t>Florianópolis</t>
        </is>
      </c>
      <c r="M1583" s="5" t="n">
        <v>1</v>
      </c>
    </row>
    <row r="1584">
      <c r="A1584" s="3">
        <f>RAND()</f>
        <v/>
      </c>
      <c r="B1584" s="4" t="inlineStr">
        <is>
          <t>ChIJNVQ5QaVDJ5URKr7f3iismtY</t>
        </is>
      </c>
      <c r="C1584" s="4" t="inlineStr">
        <is>
          <t>Jogoteka</t>
        </is>
      </c>
      <c r="D1584" s="4" t="inlineStr">
        <is>
          <t>Florianópolis</t>
        </is>
      </c>
      <c r="E1584" s="4" t="inlineStr">
        <is>
          <t>SC</t>
        </is>
      </c>
      <c r="F1584" s="4" t="inlineStr">
        <is>
          <t>Metrópoles</t>
        </is>
      </c>
      <c r="G1584" s="4" t="inlineStr">
        <is>
          <t>Metrópole</t>
        </is>
      </c>
      <c r="H1584" s="5">
        <f>IF(G1584="fora do recorte","",SUMPRODUCT(($G$3:$G$1723=G1584)*($A$3:$A$1723&lt;=A1584)))</f>
        <v/>
      </c>
      <c r="I1584" s="4">
        <f>IF(H1584="","",G1584&amp;"|"&amp;H1584)</f>
        <v/>
      </c>
      <c r="J1584" s="4" t="inlineStr">
        <is>
          <t>https://www.google.com/maps/search/?api=1&amp;query=Jogoteka&amp;query_place_id=ChIJNVQ5QaVDJ5URKr7f3iismtY</t>
        </is>
      </c>
      <c r="K1584" s="4" t="inlineStr">
        <is>
          <t>local de coleta e devolução dos jogos - R. Clorinda Ventimiglia, 541 - Cachoeira do Bom Jesus, Florianópolis - SC, 88056-020, Brasil</t>
        </is>
      </c>
      <c r="L1584" s="4" t="inlineStr">
        <is>
          <t>Florianópolis</t>
        </is>
      </c>
      <c r="M1584" s="5" t="n">
        <v>10</v>
      </c>
    </row>
    <row r="1585">
      <c r="A1585" s="3">
        <f>RAND()</f>
        <v/>
      </c>
      <c r="B1585" s="4" t="inlineStr">
        <is>
          <t>ChIJE3_jwpM7J5URmnTFbXoEf_g</t>
        </is>
      </c>
      <c r="C1585" s="4" t="inlineStr">
        <is>
          <t>Jungle Park Floripa</t>
        </is>
      </c>
      <c r="D1585" s="4" t="inlineStr">
        <is>
          <t>Florianópolis</t>
        </is>
      </c>
      <c r="E1585" s="4" t="inlineStr">
        <is>
          <t>SC</t>
        </is>
      </c>
      <c r="F1585" s="4" t="inlineStr">
        <is>
          <t>Metrópoles</t>
        </is>
      </c>
      <c r="G1585" s="4" t="inlineStr">
        <is>
          <t>Metrópole</t>
        </is>
      </c>
      <c r="H1585" s="5">
        <f>IF(G1585="fora do recorte","",SUMPRODUCT(($G$3:$G$1723=G1585)*($A$3:$A$1723&lt;=A1585)))</f>
        <v/>
      </c>
      <c r="I1585" s="4">
        <f>IF(H1585="","",G1585&amp;"|"&amp;H1585)</f>
        <v/>
      </c>
      <c r="J1585" s="4" t="inlineStr">
        <is>
          <t>https://www.google.com/maps/search/?api=1&amp;query=Jungle%20Park%20Floripa&amp;query_place_id=ChIJE3_jwpM7J5URmnTFbXoEf_g</t>
        </is>
      </c>
      <c r="K1585" s="4" t="inlineStr">
        <is>
          <t>Rod SC-405 - SC-405, 3237 - Autódromo, Florianópolis - SC, 88063-700, Brasil</t>
        </is>
      </c>
      <c r="L1585" s="4" t="inlineStr">
        <is>
          <t>Florianópolis</t>
        </is>
      </c>
      <c r="M1585" s="5" t="n">
        <v>1</v>
      </c>
    </row>
    <row r="1586">
      <c r="A1586" s="3">
        <f>RAND()</f>
        <v/>
      </c>
      <c r="B1586" s="4" t="inlineStr">
        <is>
          <t>ChIJPfwZORY4J5URU37akK_YC5c</t>
        </is>
      </c>
      <c r="C1586" s="4" t="inlineStr">
        <is>
          <t>Liquorice Gastro Pub</t>
        </is>
      </c>
      <c r="D1586" s="4" t="inlineStr">
        <is>
          <t>Florianópolis</t>
        </is>
      </c>
      <c r="E1586" s="4" t="inlineStr">
        <is>
          <t>SC</t>
        </is>
      </c>
      <c r="F1586" s="4" t="inlineStr">
        <is>
          <t>Metrópoles</t>
        </is>
      </c>
      <c r="G1586" s="4" t="inlineStr">
        <is>
          <t>Metrópole</t>
        </is>
      </c>
      <c r="H1586" s="5">
        <f>IF(G1586="fora do recorte","",SUMPRODUCT(($G$3:$G$1723=G1586)*($A$3:$A$1723&lt;=A1586)))</f>
        <v/>
      </c>
      <c r="I1586" s="4">
        <f>IF(H1586="","",G1586&amp;"|"&amp;H1586)</f>
        <v/>
      </c>
      <c r="J1586" s="4" t="inlineStr">
        <is>
          <t>https://www.google.com/maps/search/?api=1&amp;query=Liquorice%20Gastro%20Pub&amp;query_place_id=ChIJPfwZORY4J5URU37akK_YC5c</t>
        </is>
      </c>
      <c r="K1586" s="4" t="inlineStr">
        <is>
          <t>R. Alves de Brito, 405 - Centro, Florianópolis - SC, 88015-440, Brasil</t>
        </is>
      </c>
      <c r="L1586" s="4" t="inlineStr">
        <is>
          <t>Florianópolis</t>
        </is>
      </c>
      <c r="M1586" s="5" t="n">
        <v>1</v>
      </c>
    </row>
    <row r="1587">
      <c r="A1587" s="3">
        <f>RAND()</f>
        <v/>
      </c>
      <c r="B1587" s="4" t="inlineStr">
        <is>
          <t>ChIJlcd23aQ5J5URTLDMAG1QSa8</t>
        </is>
      </c>
      <c r="C1587" s="4" t="inlineStr">
        <is>
          <t>Ludique Brinquedoteca</t>
        </is>
      </c>
      <c r="D1587" s="4" t="inlineStr">
        <is>
          <t>Florianópolis</t>
        </is>
      </c>
      <c r="E1587" s="4" t="inlineStr">
        <is>
          <t>SC</t>
        </is>
      </c>
      <c r="F1587" s="4" t="inlineStr">
        <is>
          <t>Metrópoles</t>
        </is>
      </c>
      <c r="G1587" s="4" t="inlineStr">
        <is>
          <t>Metrópole</t>
        </is>
      </c>
      <c r="H1587" s="5">
        <f>IF(G1587="fora do recorte","",SUMPRODUCT(($G$3:$G$1723=G1587)*($A$3:$A$1723&lt;=A1587)))</f>
        <v/>
      </c>
      <c r="I1587" s="4">
        <f>IF(H1587="","",G1587&amp;"|"&amp;H1587)</f>
        <v/>
      </c>
      <c r="J1587" s="4" t="inlineStr">
        <is>
          <t>https://www.google.com/maps/search/?api=1&amp;query=Ludique%20Brinquedoteca&amp;query_place_id=ChIJlcd23aQ5J5URTLDMAG1QSa8</t>
        </is>
      </c>
      <c r="K1587" s="4" t="inlineStr">
        <is>
          <t>R. São João Batista, 218 - Agronômica, Florianópolis - SC, 88010-400, Brasil</t>
        </is>
      </c>
      <c r="L1587" s="4" t="inlineStr">
        <is>
          <t>Florianópolis</t>
        </is>
      </c>
      <c r="M1587" s="5" t="n">
        <v>1</v>
      </c>
    </row>
    <row r="1588">
      <c r="A1588" s="3">
        <f>RAND()</f>
        <v/>
      </c>
      <c r="B1588" s="4" t="inlineStr">
        <is>
          <t>ChIJp4Zlq9g3J5URVXYuSAopakc</t>
        </is>
      </c>
      <c r="C1588" s="4" t="inlineStr">
        <is>
          <t>Man Cave Store - Unidade Florianópolis</t>
        </is>
      </c>
      <c r="D1588" s="4" t="inlineStr">
        <is>
          <t>Florianópolis</t>
        </is>
      </c>
      <c r="E1588" s="4" t="inlineStr">
        <is>
          <t>SC</t>
        </is>
      </c>
      <c r="F1588" s="4" t="inlineStr">
        <is>
          <t>Metrópoles</t>
        </is>
      </c>
      <c r="G1588" s="4" t="inlineStr">
        <is>
          <t>Metrópole</t>
        </is>
      </c>
      <c r="H1588" s="5">
        <f>IF(G1588="fora do recorte","",SUMPRODUCT(($G$3:$G$1723=G1588)*($A$3:$A$1723&lt;=A1588)))</f>
        <v/>
      </c>
      <c r="I1588" s="4">
        <f>IF(H1588="","",G1588&amp;"|"&amp;H1588)</f>
        <v/>
      </c>
      <c r="J1588" s="4" t="inlineStr">
        <is>
          <t>https://www.google.com/maps/search/?api=1&amp;query=Man%20Cave%20Store%20-%20Unidade%20Florian%C3%B3polis&amp;query_place_id=ChIJp4Zlq9g3J5URVXYuSAopakc</t>
        </is>
      </c>
      <c r="K1588" s="4" t="inlineStr">
        <is>
          <t>Rua General Liberato Bitencourt, 1885 Loja 2 e 3 , Subsolo - Supermercado Imperatriz - Canto, Florianópolis - SC, 88070-800, Brasil</t>
        </is>
      </c>
      <c r="L1588" s="4" t="inlineStr">
        <is>
          <t>Florianópolis</t>
        </is>
      </c>
      <c r="M1588" s="5" t="n">
        <v>4</v>
      </c>
    </row>
    <row r="1589">
      <c r="A1589" s="3">
        <f>RAND()</f>
        <v/>
      </c>
      <c r="B1589" s="4" t="inlineStr">
        <is>
          <t>ChIJn2Kr8VhDJ5URitVmcmBml7U</t>
        </is>
      </c>
      <c r="C1589" s="4" t="inlineStr">
        <is>
          <t>Maré de Jogos</t>
        </is>
      </c>
      <c r="D1589" s="4" t="inlineStr">
        <is>
          <t>Florianópolis</t>
        </is>
      </c>
      <c r="E1589" s="4" t="inlineStr">
        <is>
          <t>SC</t>
        </is>
      </c>
      <c r="F1589" s="4" t="inlineStr">
        <is>
          <t>Metrópoles</t>
        </is>
      </c>
      <c r="G1589" s="4" t="inlineStr">
        <is>
          <t>Metrópole</t>
        </is>
      </c>
      <c r="H1589" s="5">
        <f>IF(G1589="fora do recorte","",SUMPRODUCT(($G$3:$G$1723=G1589)*($A$3:$A$1723&lt;=A1589)))</f>
        <v/>
      </c>
      <c r="I1589" s="4">
        <f>IF(H1589="","",G1589&amp;"|"&amp;H1589)</f>
        <v/>
      </c>
      <c r="J1589" s="4" t="inlineStr">
        <is>
          <t>https://www.google.com/maps/search/?api=1&amp;query=Mar%C3%A9%20de%20Jogos&amp;query_place_id=ChIJn2Kr8VhDJ5URitVmcmBml7U</t>
        </is>
      </c>
      <c r="K1589" s="4" t="inlineStr">
        <is>
          <t>R. Abel Álvares Cabral Júnior, 646 - Ingleses do Rio Vermelho, Florianópolis - SC, 88058-580, Brasil</t>
        </is>
      </c>
      <c r="L1589" s="4" t="inlineStr">
        <is>
          <t>Florianópolis</t>
        </is>
      </c>
      <c r="M1589" s="5" t="n">
        <v>7</v>
      </c>
    </row>
    <row r="1590">
      <c r="A1590" s="3">
        <f>RAND()</f>
        <v/>
      </c>
      <c r="B1590" s="4" t="inlineStr">
        <is>
          <t>ChIJm5mbNH45J5UREKQRJ27HXdM</t>
        </is>
      </c>
      <c r="C1590" s="4" t="inlineStr">
        <is>
          <t>Nerdz Cards Floripa</t>
        </is>
      </c>
      <c r="D1590" s="4" t="inlineStr">
        <is>
          <t>Florianópolis</t>
        </is>
      </c>
      <c r="E1590" s="4" t="inlineStr">
        <is>
          <t>SC</t>
        </is>
      </c>
      <c r="F1590" s="4" t="inlineStr">
        <is>
          <t>Metrópoles</t>
        </is>
      </c>
      <c r="G1590" s="4" t="inlineStr">
        <is>
          <t>Metrópole</t>
        </is>
      </c>
      <c r="H1590" s="5">
        <f>IF(G1590="fora do recorte","",SUMPRODUCT(($G$3:$G$1723=G1590)*($A$3:$A$1723&lt;=A1590)))</f>
        <v/>
      </c>
      <c r="I1590" s="4">
        <f>IF(H1590="","",G1590&amp;"|"&amp;H1590)</f>
        <v/>
      </c>
      <c r="J1590" s="4" t="inlineStr">
        <is>
          <t>https://www.google.com/maps/search/?api=1&amp;query=Nerdz%20Cards%20Floripa&amp;query_place_id=ChIJm5mbNH45J5UREKQRJ27HXdM</t>
        </is>
      </c>
      <c r="K1590" s="4" t="inlineStr">
        <is>
          <t>R. Felipe Schmidt, 752 - Lj 10 - Centro, Florianópolis - SC, 88010-001, Brasil</t>
        </is>
      </c>
      <c r="L1590" s="4" t="inlineStr">
        <is>
          <t>Florianópolis</t>
        </is>
      </c>
      <c r="M1590" s="5" t="n">
        <v>1</v>
      </c>
    </row>
    <row r="1591">
      <c r="A1591" s="3">
        <f>RAND()</f>
        <v/>
      </c>
      <c r="B1591" s="4" t="inlineStr">
        <is>
          <t>ChIJb3N90JM5J5UR6pzUGpoBUpo</t>
        </is>
      </c>
      <c r="C1591" s="4" t="inlineStr">
        <is>
          <t>Nyx Bar e Hamburgueria</t>
        </is>
      </c>
      <c r="D1591" s="4" t="inlineStr">
        <is>
          <t>Florianópolis</t>
        </is>
      </c>
      <c r="E1591" s="4" t="inlineStr">
        <is>
          <t>SC</t>
        </is>
      </c>
      <c r="F1591" s="4" t="inlineStr">
        <is>
          <t>Metrópoles</t>
        </is>
      </c>
      <c r="G1591" s="4" t="inlineStr">
        <is>
          <t>Metrópole</t>
        </is>
      </c>
      <c r="H1591" s="5">
        <f>IF(G1591="fora do recorte","",SUMPRODUCT(($G$3:$G$1723=G1591)*($A$3:$A$1723&lt;=A1591)))</f>
        <v/>
      </c>
      <c r="I1591" s="4">
        <f>IF(H1591="","",G1591&amp;"|"&amp;H1591)</f>
        <v/>
      </c>
      <c r="J1591" s="4" t="inlineStr">
        <is>
          <t>https://www.google.com/maps/search/?api=1&amp;query=Nyx%20Bar%20e%20Hamburgueria&amp;query_place_id=ChIJb3N90JM5J5UR6pzUGpoBUpo</t>
        </is>
      </c>
      <c r="K1591" s="4" t="inlineStr">
        <is>
          <t>Rua Professor Milton Sulivan, 51 - Carvoeira, Florianópolis - SC, 88040-600, Brasil</t>
        </is>
      </c>
      <c r="L1591" s="4" t="inlineStr">
        <is>
          <t>Florianópolis</t>
        </is>
      </c>
      <c r="M1591" s="5" t="n">
        <v>1</v>
      </c>
    </row>
    <row r="1592">
      <c r="A1592" s="3">
        <f>RAND()</f>
        <v/>
      </c>
      <c r="B1592" s="4" t="inlineStr">
        <is>
          <t>ChIJgVZnH7c7J5UROVfXrmJSWl0</t>
        </is>
      </c>
      <c r="C1592" s="4" t="inlineStr">
        <is>
          <t>Oficina do Aprendiz</t>
        </is>
      </c>
      <c r="D1592" s="4" t="inlineStr">
        <is>
          <t>Florianópolis</t>
        </is>
      </c>
      <c r="E1592" s="4" t="inlineStr">
        <is>
          <t>SC</t>
        </is>
      </c>
      <c r="F1592" s="4" t="inlineStr">
        <is>
          <t>Metrópoles</t>
        </is>
      </c>
      <c r="G1592" s="4" t="inlineStr">
        <is>
          <t>Metrópole</t>
        </is>
      </c>
      <c r="H1592" s="5">
        <f>IF(G1592="fora do recorte","",SUMPRODUCT(($G$3:$G$1723=G1592)*($A$3:$A$1723&lt;=A1592)))</f>
        <v/>
      </c>
      <c r="I1592" s="4">
        <f>IF(H1592="","",G1592&amp;"|"&amp;H1592)</f>
        <v/>
      </c>
      <c r="J1592" s="4" t="inlineStr">
        <is>
          <t>https://www.google.com/maps/search/?api=1&amp;query=Oficina%20do%20Aprendiz&amp;query_place_id=ChIJgVZnH7c7J5UROVfXrmJSWl0</t>
        </is>
      </c>
      <c r="K1592" s="4" t="inlineStr">
        <is>
          <t>Rod SC 405, 1120 - Campeche, Florianópolis - SC, 88065-000, Brasil</t>
        </is>
      </c>
      <c r="L1592" s="4" t="inlineStr">
        <is>
          <t>Florianópolis</t>
        </is>
      </c>
      <c r="M1592" s="5" t="n">
        <v>3</v>
      </c>
    </row>
    <row r="1593">
      <c r="A1593" s="3">
        <f>RAND()</f>
        <v/>
      </c>
      <c r="B1593" s="4" t="inlineStr">
        <is>
          <t>ChIJMWkyk6RBJ5UR2WWx0rTuv3E</t>
        </is>
      </c>
      <c r="C1593" s="4" t="inlineStr">
        <is>
          <t>Origens Espaço Recreativo</t>
        </is>
      </c>
      <c r="D1593" s="4" t="inlineStr">
        <is>
          <t>Florianópolis</t>
        </is>
      </c>
      <c r="E1593" s="4" t="inlineStr">
        <is>
          <t>SC</t>
        </is>
      </c>
      <c r="F1593" s="4" t="inlineStr">
        <is>
          <t>Metrópoles</t>
        </is>
      </c>
      <c r="G1593" s="4" t="inlineStr">
        <is>
          <t>Metrópole</t>
        </is>
      </c>
      <c r="H1593" s="5">
        <f>IF(G1593="fora do recorte","",SUMPRODUCT(($G$3:$G$1723=G1593)*($A$3:$A$1723&lt;=A1593)))</f>
        <v/>
      </c>
      <c r="I1593" s="4">
        <f>IF(H1593="","",G1593&amp;"|"&amp;H1593)</f>
        <v/>
      </c>
      <c r="J1593" s="4" t="inlineStr">
        <is>
          <t>https://www.google.com/maps/search/?api=1&amp;query=Origens%20Espa%C3%A7o%20Recreativo&amp;query_place_id=ChIJMWkyk6RBJ5UR2WWx0rTuv3E</t>
        </is>
      </c>
      <c r="K1593" s="4" t="inlineStr">
        <is>
          <t>Rod. João Gualberto Soares, 6870 - Ingleses Norte, Florianópolis - SC, 88060-000, Brasil</t>
        </is>
      </c>
      <c r="L1593" s="4" t="inlineStr">
        <is>
          <t>Florianópolis</t>
        </is>
      </c>
      <c r="M1593" s="5" t="n">
        <v>1</v>
      </c>
    </row>
    <row r="1594">
      <c r="A1594" s="3">
        <f>RAND()</f>
        <v/>
      </c>
      <c r="B1594" s="4" t="inlineStr">
        <is>
          <t>ChIJcXMvWLw5J5URMi14sXDeTsw</t>
        </is>
      </c>
      <c r="C1594" s="4" t="inlineStr">
        <is>
          <t>Parlenda Brinquedos Educativos Santa Mônica</t>
        </is>
      </c>
      <c r="D1594" s="4" t="inlineStr">
        <is>
          <t>Florianópolis</t>
        </is>
      </c>
      <c r="E1594" s="4" t="inlineStr">
        <is>
          <t>SC</t>
        </is>
      </c>
      <c r="F1594" s="4" t="inlineStr">
        <is>
          <t>Metrópoles</t>
        </is>
      </c>
      <c r="G1594" s="4" t="inlineStr">
        <is>
          <t>Metrópole</t>
        </is>
      </c>
      <c r="H1594" s="5">
        <f>IF(G1594="fora do recorte","",SUMPRODUCT(($G$3:$G$1723=G1594)*($A$3:$A$1723&lt;=A1594)))</f>
        <v/>
      </c>
      <c r="I1594" s="4">
        <f>IF(H1594="","",G1594&amp;"|"&amp;H1594)</f>
        <v/>
      </c>
      <c r="J1594" s="4" t="inlineStr">
        <is>
          <t>https://www.google.com/maps/search/?api=1&amp;query=Parlenda%20Brinquedos%20Educativos%20Santa%20M%C3%B4nica&amp;query_place_id=ChIJcXMvWLw5J5URMi14sXDeTsw</t>
        </is>
      </c>
      <c r="K1594" s="4" t="inlineStr">
        <is>
          <t>Direto do Campo Mezanino - Av. Me. Benvenuta, 1313 - Santa Monica, Florianópolis - SC, 88035-000, Brasil</t>
        </is>
      </c>
      <c r="L1594" s="4" t="inlineStr">
        <is>
          <t>Florianópolis</t>
        </is>
      </c>
      <c r="M1594" s="5" t="n">
        <v>1</v>
      </c>
    </row>
    <row r="1595">
      <c r="A1595" s="3">
        <f>RAND()</f>
        <v/>
      </c>
      <c r="B1595" s="4" t="inlineStr">
        <is>
          <t>ChIJ4cYKt4RHJ5URSASH1VXTK8c</t>
        </is>
      </c>
      <c r="C1595" s="4" t="inlineStr">
        <is>
          <t>Passeio Kids Primavera</t>
        </is>
      </c>
      <c r="D1595" s="4" t="inlineStr">
        <is>
          <t>Florianópolis</t>
        </is>
      </c>
      <c r="E1595" s="4" t="inlineStr">
        <is>
          <t>SC</t>
        </is>
      </c>
      <c r="F1595" s="4" t="inlineStr">
        <is>
          <t>Metrópoles</t>
        </is>
      </c>
      <c r="G1595" s="4" t="inlineStr">
        <is>
          <t>Metrópole</t>
        </is>
      </c>
      <c r="H1595" s="5">
        <f>IF(G1595="fora do recorte","",SUMPRODUCT(($G$3:$G$1723=G1595)*($A$3:$A$1723&lt;=A1595)))</f>
        <v/>
      </c>
      <c r="I1595" s="4">
        <f>IF(H1595="","",G1595&amp;"|"&amp;H1595)</f>
        <v/>
      </c>
      <c r="J1595" s="4" t="inlineStr">
        <is>
          <t>https://www.google.com/maps/search/?api=1&amp;query=Passeio%20Kids%20Primavera&amp;query_place_id=ChIJ4cYKt4RHJ5URSASH1VXTK8c</t>
        </is>
      </c>
      <c r="K1595" s="4" t="inlineStr">
        <is>
          <t>SC-401, 4100 - Saco Grande, Florianópolis - SC, 88032-005, Brasil</t>
        </is>
      </c>
      <c r="L1595" s="4" t="inlineStr">
        <is>
          <t>Florianópolis</t>
        </is>
      </c>
      <c r="M1595" s="5" t="n">
        <v>1</v>
      </c>
    </row>
    <row r="1596">
      <c r="A1596" s="3">
        <f>RAND()</f>
        <v/>
      </c>
      <c r="B1596" s="4" t="inlineStr">
        <is>
          <t>ChIJyb86ys1rJ5URHZWHomWe-nc</t>
        </is>
      </c>
      <c r="C1596" s="4" t="inlineStr">
        <is>
          <t>Play Zen Kids • Floripa</t>
        </is>
      </c>
      <c r="D1596" s="4" t="inlineStr">
        <is>
          <t>Florianópolis</t>
        </is>
      </c>
      <c r="E1596" s="4" t="inlineStr">
        <is>
          <t>SC</t>
        </is>
      </c>
      <c r="F1596" s="4" t="inlineStr">
        <is>
          <t>Metrópoles</t>
        </is>
      </c>
      <c r="G1596" s="4" t="inlineStr">
        <is>
          <t>Metrópole</t>
        </is>
      </c>
      <c r="H1596" s="5">
        <f>IF(G1596="fora do recorte","",SUMPRODUCT(($G$3:$G$1723=G1596)*($A$3:$A$1723&lt;=A1596)))</f>
        <v/>
      </c>
      <c r="I1596" s="4">
        <f>IF(H1596="","",G1596&amp;"|"&amp;H1596)</f>
        <v/>
      </c>
      <c r="J1596" s="4" t="inlineStr">
        <is>
          <t>https://www.google.com/maps/search/?api=1&amp;query=Play%20Zen%20Kids%20%E2%80%A2%20Floripa&amp;query_place_id=ChIJyb86ys1rJ5URHZWHomWe-nc</t>
        </is>
      </c>
      <c r="K1596" s="4" t="inlineStr">
        <is>
          <t>Servidão dos Músicos - Sul da Ilha, Florianópolis - SC, 88048-322, Brasil</t>
        </is>
      </c>
      <c r="L1596" s="4" t="inlineStr">
        <is>
          <t>Florianópolis</t>
        </is>
      </c>
      <c r="M1596" s="5" t="n">
        <v>1</v>
      </c>
    </row>
    <row r="1597">
      <c r="A1597" s="3">
        <f>RAND()</f>
        <v/>
      </c>
      <c r="B1597" s="4" t="inlineStr">
        <is>
          <t>ChIJ4b2SSrM3J5URkj_5Y-whCXQ</t>
        </is>
      </c>
      <c r="C1597" s="4" t="inlineStr">
        <is>
          <t>Refúgio Floripa</t>
        </is>
      </c>
      <c r="D1597" s="4" t="inlineStr">
        <is>
          <t>Florianópolis</t>
        </is>
      </c>
      <c r="E1597" s="4" t="inlineStr">
        <is>
          <t>SC</t>
        </is>
      </c>
      <c r="F1597" s="4" t="inlineStr">
        <is>
          <t>Metrópoles</t>
        </is>
      </c>
      <c r="G1597" s="4" t="inlineStr">
        <is>
          <t>Metrópole</t>
        </is>
      </c>
      <c r="H1597" s="5">
        <f>IF(G1597="fora do recorte","",SUMPRODUCT(($G$3:$G$1723=G1597)*($A$3:$A$1723&lt;=A1597)))</f>
        <v/>
      </c>
      <c r="I1597" s="4">
        <f>IF(H1597="","",G1597&amp;"|"&amp;H1597)</f>
        <v/>
      </c>
      <c r="J1597" s="4" t="inlineStr">
        <is>
          <t>https://www.google.com/maps/search/?api=1&amp;query=Ref%C3%BAgio%20Floripa&amp;query_place_id=ChIJ4b2SSrM3J5URkj_5Y-whCXQ</t>
        </is>
      </c>
      <c r="K1597" s="4" t="inlineStr">
        <is>
          <t>Av. Santa Catarina, 1481 - Lj 1 - Canto, Florianópolis - SC, 88075-500, Brasil</t>
        </is>
      </c>
      <c r="L1597" s="4" t="inlineStr">
        <is>
          <t>Florianópolis</t>
        </is>
      </c>
      <c r="M1597" s="5" t="n">
        <v>10</v>
      </c>
    </row>
    <row r="1598">
      <c r="A1598" s="3">
        <f>RAND()</f>
        <v/>
      </c>
      <c r="B1598" s="4" t="inlineStr">
        <is>
          <t>ChIJhej1ia83J5URA3lrBNoiQGs</t>
        </is>
      </c>
      <c r="C1598" s="4" t="inlineStr">
        <is>
          <t>Tabuleiro Viajante</t>
        </is>
      </c>
      <c r="D1598" s="4" t="inlineStr">
        <is>
          <t>Florianópolis</t>
        </is>
      </c>
      <c r="E1598" s="4" t="inlineStr">
        <is>
          <t>SC</t>
        </is>
      </c>
      <c r="F1598" s="4" t="inlineStr">
        <is>
          <t>Metrópoles</t>
        </is>
      </c>
      <c r="G1598" s="4" t="inlineStr">
        <is>
          <t>Metrópole</t>
        </is>
      </c>
      <c r="H1598" s="5">
        <f>IF(G1598="fora do recorte","",SUMPRODUCT(($G$3:$G$1723=G1598)*($A$3:$A$1723&lt;=A1598)))</f>
        <v/>
      </c>
      <c r="I1598" s="4">
        <f>IF(H1598="","",G1598&amp;"|"&amp;H1598)</f>
        <v/>
      </c>
      <c r="J1598" s="4" t="inlineStr">
        <is>
          <t>https://www.google.com/maps/search/?api=1&amp;query=Tabuleiro%20Viajante&amp;query_place_id=ChIJhej1ia83J5URA3lrBNoiQGs</t>
        </is>
      </c>
      <c r="K1598" s="4" t="inlineStr">
        <is>
          <t>Tv. das Crianças - Capoeiras, Florianópolis - SC, 88085-020, Brasil</t>
        </is>
      </c>
      <c r="L1598" s="4" t="inlineStr">
        <is>
          <t>Florianópolis</t>
        </is>
      </c>
      <c r="M1598" s="5" t="n">
        <v>2</v>
      </c>
    </row>
    <row r="1599">
      <c r="A1599" s="3">
        <f>RAND()</f>
        <v/>
      </c>
      <c r="B1599" s="4" t="inlineStr">
        <is>
          <t>ChIJaYPlHHw3J5URGi3OzFGbBrE</t>
        </is>
      </c>
      <c r="C1599" s="4" t="inlineStr">
        <is>
          <t>Toca da Lilica Café Brincante</t>
        </is>
      </c>
      <c r="D1599" s="4" t="inlineStr">
        <is>
          <t>Florianópolis</t>
        </is>
      </c>
      <c r="E1599" s="4" t="inlineStr">
        <is>
          <t>SC</t>
        </is>
      </c>
      <c r="F1599" s="4" t="inlineStr">
        <is>
          <t>Metrópoles</t>
        </is>
      </c>
      <c r="G1599" s="4" t="inlineStr">
        <is>
          <t>Metrópole</t>
        </is>
      </c>
      <c r="H1599" s="5">
        <f>IF(G1599="fora do recorte","",SUMPRODUCT(($G$3:$G$1723=G1599)*($A$3:$A$1723&lt;=A1599)))</f>
        <v/>
      </c>
      <c r="I1599" s="4">
        <f>IF(H1599="","",G1599&amp;"|"&amp;H1599)</f>
        <v/>
      </c>
      <c r="J1599" s="4" t="inlineStr">
        <is>
          <t>https://www.google.com/maps/search/?api=1&amp;query=Toca%20da%20Lilica%20Caf%C3%A9%20Brincante&amp;query_place_id=ChIJaYPlHHw3J5URGi3OzFGbBrE</t>
        </is>
      </c>
      <c r="K1599" s="4" t="inlineStr">
        <is>
          <t>R. Des. Pedro Silva, 2958 - Coqueiros, Florianópolis - SC, 88080-701, Brasil</t>
        </is>
      </c>
      <c r="L1599" s="4" t="inlineStr">
        <is>
          <t>Florianópolis</t>
        </is>
      </c>
      <c r="M1599" s="5" t="n">
        <v>1</v>
      </c>
    </row>
    <row r="1600">
      <c r="A1600" s="3">
        <f>RAND()</f>
        <v/>
      </c>
      <c r="B1600" s="4" t="inlineStr">
        <is>
          <t>ChIJF-HFyiI4J5URURwP515flQo</t>
        </is>
      </c>
      <c r="C1600" s="4" t="inlineStr">
        <is>
          <t>Wooden Tap Beer</t>
        </is>
      </c>
      <c r="D1600" s="4" t="inlineStr">
        <is>
          <t>Florianópolis</t>
        </is>
      </c>
      <c r="E1600" s="4" t="inlineStr">
        <is>
          <t>SC</t>
        </is>
      </c>
      <c r="F1600" s="4" t="inlineStr">
        <is>
          <t>Metrópoles</t>
        </is>
      </c>
      <c r="G1600" s="4" t="inlineStr">
        <is>
          <t>Metrópole</t>
        </is>
      </c>
      <c r="H1600" s="5">
        <f>IF(G1600="fora do recorte","",SUMPRODUCT(($G$3:$G$1723=G1600)*($A$3:$A$1723&lt;=A1600)))</f>
        <v/>
      </c>
      <c r="I1600" s="4">
        <f>IF(H1600="","",G1600&amp;"|"&amp;H1600)</f>
        <v/>
      </c>
      <c r="J1600" s="4" t="inlineStr">
        <is>
          <t>https://www.google.com/maps/search/?api=1&amp;query=Wooden%20Tap%20Beer&amp;query_place_id=ChIJF-HFyiI4J5URURwP515flQo</t>
        </is>
      </c>
      <c r="K1600" s="4" t="inlineStr">
        <is>
          <t>Travessa Albertina Ganzo, 33 - Centro, Florianópolis - SC, 88015-210, Brasil</t>
        </is>
      </c>
      <c r="L1600" s="4" t="inlineStr">
        <is>
          <t>Florianópolis</t>
        </is>
      </c>
      <c r="M1600" s="5" t="n">
        <v>1</v>
      </c>
    </row>
    <row r="1601">
      <c r="A1601" s="3">
        <f>RAND()</f>
        <v/>
      </c>
      <c r="B1601" s="4" t="inlineStr">
        <is>
          <t>ChIJSRvZCyQ4J5URqYmD8UBSHUg</t>
        </is>
      </c>
      <c r="C1601" s="4" t="inlineStr">
        <is>
          <t>World Games</t>
        </is>
      </c>
      <c r="D1601" s="4" t="inlineStr">
        <is>
          <t>Florianópolis</t>
        </is>
      </c>
      <c r="E1601" s="4" t="inlineStr">
        <is>
          <t>SC</t>
        </is>
      </c>
      <c r="F1601" s="4" t="inlineStr">
        <is>
          <t>Metrópoles</t>
        </is>
      </c>
      <c r="G1601" s="4" t="inlineStr">
        <is>
          <t>Metrópole</t>
        </is>
      </c>
      <c r="H1601" s="5">
        <f>IF(G1601="fora do recorte","",SUMPRODUCT(($G$3:$G$1723=G1601)*($A$3:$A$1723&lt;=A1601)))</f>
        <v/>
      </c>
      <c r="I1601" s="4">
        <f>IF(H1601="","",G1601&amp;"|"&amp;H1601)</f>
        <v/>
      </c>
      <c r="J1601" s="4" t="inlineStr">
        <is>
          <t>https://www.google.com/maps/search/?api=1&amp;query=World%20Games&amp;query_place_id=ChIJSRvZCyQ4J5URqYmD8UBSHUg</t>
        </is>
      </c>
      <c r="K1601" s="4" t="inlineStr">
        <is>
          <t>lado esquerdo - R. Jerônimo Coelho, 95 - 1º andar - Centro, Florianópolis - SC, 88010-030, Brasil</t>
        </is>
      </c>
      <c r="L1601" s="4" t="inlineStr">
        <is>
          <t>Florianópolis</t>
        </is>
      </c>
      <c r="M1601" s="5" t="n">
        <v>2</v>
      </c>
    </row>
    <row r="1602">
      <c r="A1602" s="3">
        <f>RAND()</f>
        <v/>
      </c>
      <c r="B1602" s="4" t="inlineStr">
        <is>
          <t>ChIJzxa3ji5HJ5URs8WzxbtamQ4</t>
        </is>
      </c>
      <c r="C1602" s="4" t="inlineStr">
        <is>
          <t>Wow Park</t>
        </is>
      </c>
      <c r="D1602" s="4" t="inlineStr">
        <is>
          <t>Florianópolis</t>
        </is>
      </c>
      <c r="E1602" s="4" t="inlineStr">
        <is>
          <t>SC</t>
        </is>
      </c>
      <c r="F1602" s="4" t="inlineStr">
        <is>
          <t>Metrópoles</t>
        </is>
      </c>
      <c r="G1602" s="4" t="inlineStr">
        <is>
          <t>Metrópole</t>
        </is>
      </c>
      <c r="H1602" s="5">
        <f>IF(G1602="fora do recorte","",SUMPRODUCT(($G$3:$G$1723=G1602)*($A$3:$A$1723&lt;=A1602)))</f>
        <v/>
      </c>
      <c r="I1602" s="4">
        <f>IF(H1602="","",G1602&amp;"|"&amp;H1602)</f>
        <v/>
      </c>
      <c r="J1602" s="4" t="inlineStr">
        <is>
          <t>https://www.google.com/maps/search/?api=1&amp;query=Wow%20Park&amp;query_place_id=ChIJzxa3ji5HJ5URs8WzxbtamQ4</t>
        </is>
      </c>
      <c r="K1602" s="4" t="inlineStr">
        <is>
          <t>Square SC - Rod. José Carlos Daux, 5500 - Saco Grande, Florianópolis - SC, 88032-005, Brasil</t>
        </is>
      </c>
      <c r="L1602" s="4" t="inlineStr">
        <is>
          <t>Florianópolis</t>
        </is>
      </c>
      <c r="M1602" s="5" t="n">
        <v>1</v>
      </c>
    </row>
    <row r="1603">
      <c r="A1603" s="3">
        <f>RAND()</f>
        <v/>
      </c>
      <c r="B1603" s="4" t="inlineStr">
        <is>
          <t>ChIJXVyMzcs5J5URj-PLz3bxVBs</t>
        </is>
      </c>
      <c r="C1603" s="4" t="inlineStr">
        <is>
          <t>gris café, bar e mirante</t>
        </is>
      </c>
      <c r="D1603" s="4" t="inlineStr">
        <is>
          <t>Florianópolis</t>
        </is>
      </c>
      <c r="E1603" s="4" t="inlineStr">
        <is>
          <t>SC</t>
        </is>
      </c>
      <c r="F1603" s="4" t="inlineStr">
        <is>
          <t>Metrópoles</t>
        </is>
      </c>
      <c r="G1603" s="4" t="inlineStr">
        <is>
          <t>Metrópole</t>
        </is>
      </c>
      <c r="H1603" s="5">
        <f>IF(G1603="fora do recorte","",SUMPRODUCT(($G$3:$G$1723=G1603)*($A$3:$A$1723&lt;=A1603)))</f>
        <v/>
      </c>
      <c r="I1603" s="4">
        <f>IF(H1603="","",G1603&amp;"|"&amp;H1603)</f>
        <v/>
      </c>
      <c r="J1603" s="4" t="inlineStr">
        <is>
          <t>https://www.google.com/maps/search/?api=1&amp;query=gris%20caf%C3%A9%2C%20bar%20e%20mirante&amp;query_place_id=ChIJXVyMzcs5J5URj-PLz3bxVBs</t>
        </is>
      </c>
      <c r="K1603" s="4" t="inlineStr">
        <is>
          <t>R. Jerônimo José Dias, 591 - José Mendes, Florianópolis - SC, 88045-100, Brasil</t>
        </is>
      </c>
      <c r="L1603" s="4" t="inlineStr">
        <is>
          <t>Florianópolis</t>
        </is>
      </c>
      <c r="M1603" s="5" t="n">
        <v>1</v>
      </c>
    </row>
    <row r="1604">
      <c r="A1604" s="3">
        <f>RAND()</f>
        <v/>
      </c>
      <c r="B1604" s="4" t="inlineStr">
        <is>
          <t>ChIJZyPjxFc3J5URCNnFhJDfz20</t>
        </is>
      </c>
      <c r="C1604" s="4" t="inlineStr">
        <is>
          <t>BRINCADICA BRINQUEDOTECA e CONTRATURNO</t>
        </is>
      </c>
      <c r="D1604" s="4" t="inlineStr">
        <is>
          <t>São José</t>
        </is>
      </c>
      <c r="E1604" s="4" t="inlineStr">
        <is>
          <t>SC</t>
        </is>
      </c>
      <c r="F1604" s="4" t="inlineStr">
        <is>
          <t>Metrópoles</t>
        </is>
      </c>
      <c r="G1604" s="4" t="inlineStr">
        <is>
          <t>Metrópole</t>
        </is>
      </c>
      <c r="H1604" s="5">
        <f>IF(G1604="fora do recorte","",SUMPRODUCT(($G$3:$G$1723=G1604)*($A$3:$A$1723&lt;=A1604)))</f>
        <v/>
      </c>
      <c r="I1604" s="4">
        <f>IF(H1604="","",G1604&amp;"|"&amp;H1604)</f>
        <v/>
      </c>
      <c r="J1604" s="4" t="inlineStr">
        <is>
          <t>https://www.google.com/maps/search/?api=1&amp;query=BRINCADICA%20BRINQUEDOTECA%20e%20CONTRATURNO&amp;query_place_id=ChIJZyPjxFc3J5URCNnFhJDfz20</t>
        </is>
      </c>
      <c r="K1604" s="4" t="inlineStr">
        <is>
          <t>R. Victor Meirelles, 600 - Sl 12 - TÉRREO, São José - SC, 88101-170, Brasil</t>
        </is>
      </c>
      <c r="L1604" s="4" t="inlineStr">
        <is>
          <t>Florianópolis</t>
        </is>
      </c>
      <c r="M1604" s="5" t="n">
        <v>1</v>
      </c>
    </row>
    <row r="1605">
      <c r="A1605" s="3">
        <f>RAND()</f>
        <v/>
      </c>
      <c r="B1605" s="4" t="inlineStr">
        <is>
          <t>ChIJoSChlA1JJ5URNj9RlBZxa6U</t>
        </is>
      </c>
      <c r="C1605" s="4" t="inlineStr">
        <is>
          <t>Caverna do Coelho | Aluguel de Jogos de Tabuleiro</t>
        </is>
      </c>
      <c r="D1605" s="4" t="inlineStr">
        <is>
          <t>São José</t>
        </is>
      </c>
      <c r="E1605" s="4" t="inlineStr">
        <is>
          <t>SC</t>
        </is>
      </c>
      <c r="F1605" s="4" t="inlineStr">
        <is>
          <t>Metrópoles</t>
        </is>
      </c>
      <c r="G1605" s="4" t="inlineStr">
        <is>
          <t>Metrópole</t>
        </is>
      </c>
      <c r="H1605" s="5">
        <f>IF(G1605="fora do recorte","",SUMPRODUCT(($G$3:$G$1723=G1605)*($A$3:$A$1723&lt;=A1605)))</f>
        <v/>
      </c>
      <c r="I1605" s="4">
        <f>IF(H1605="","",G1605&amp;"|"&amp;H1605)</f>
        <v/>
      </c>
      <c r="J1605" s="4" t="inlineStr">
        <is>
          <t>https://www.google.com/maps/search/?api=1&amp;query=Caverna%20do%20Coelho%20%7C%20Aluguel%20de%20Jogos%20de%20Tabuleiro&amp;query_place_id=ChIJoSChlA1JJ5URNj9RlBZxa6U</t>
        </is>
      </c>
      <c r="K1605" s="4" t="inlineStr">
        <is>
          <t>R. César Zuchinali, 12 - Serraria, São José - SC, 88115-210, Brasil</t>
        </is>
      </c>
      <c r="L1605" s="4" t="inlineStr">
        <is>
          <t>Aracaju; Florianópolis</t>
        </is>
      </c>
      <c r="M1605" s="5" t="n">
        <v>3</v>
      </c>
    </row>
    <row r="1606">
      <c r="A1606" s="3">
        <f>RAND()</f>
        <v/>
      </c>
      <c r="B1606" s="4" t="inlineStr">
        <is>
          <t>ChIJJz8-gcY3J5URYdZrEXdHaAk</t>
        </is>
      </c>
      <c r="C1606" s="4" t="inlineStr">
        <is>
          <t>Cineplay- Restaurante e Jogos</t>
        </is>
      </c>
      <c r="D1606" s="4" t="inlineStr">
        <is>
          <t>São José</t>
        </is>
      </c>
      <c r="E1606" s="4" t="inlineStr">
        <is>
          <t>SC</t>
        </is>
      </c>
      <c r="F1606" s="4" t="inlineStr">
        <is>
          <t>Metrópoles</t>
        </is>
      </c>
      <c r="G1606" s="4" t="inlineStr">
        <is>
          <t>Metrópole</t>
        </is>
      </c>
      <c r="H1606" s="5">
        <f>IF(G1606="fora do recorte","",SUMPRODUCT(($G$3:$G$1723=G1606)*($A$3:$A$1723&lt;=A1606)))</f>
        <v/>
      </c>
      <c r="I1606" s="4">
        <f>IF(H1606="","",G1606&amp;"|"&amp;H1606)</f>
        <v/>
      </c>
      <c r="J1606" s="4" t="inlineStr">
        <is>
          <t>https://www.google.com/maps/search/?api=1&amp;query=Cineplay-%20Restaurante%20e%20Jogos&amp;query_place_id=ChIJJz8-gcY3J5URYdZrEXdHaAk</t>
        </is>
      </c>
      <c r="K1606" s="4" t="inlineStr">
        <is>
          <t>R. Getúlio Vargas, 362 - Centro, São José - SC, 88103-400, Brasil</t>
        </is>
      </c>
      <c r="L1606" s="4" t="inlineStr">
        <is>
          <t>Florianópolis</t>
        </is>
      </c>
      <c r="M1606" s="5" t="n">
        <v>2</v>
      </c>
    </row>
    <row r="1607">
      <c r="A1607" s="3">
        <f>RAND()</f>
        <v/>
      </c>
      <c r="B1607" s="4" t="inlineStr">
        <is>
          <t>ChIJnfbkPSE2J5URRbMRHhT13r8</t>
        </is>
      </c>
      <c r="C1607" s="4" t="inlineStr">
        <is>
          <t>Covil da Lua</t>
        </is>
      </c>
      <c r="D1607" s="4" t="inlineStr">
        <is>
          <t>São José</t>
        </is>
      </c>
      <c r="E1607" s="4" t="inlineStr">
        <is>
          <t>SC</t>
        </is>
      </c>
      <c r="F1607" s="4" t="inlineStr">
        <is>
          <t>Metrópoles</t>
        </is>
      </c>
      <c r="G1607" s="4" t="inlineStr">
        <is>
          <t>Metrópole</t>
        </is>
      </c>
      <c r="H1607" s="5">
        <f>IF(G1607="fora do recorte","",SUMPRODUCT(($G$3:$G$1723=G1607)*($A$3:$A$1723&lt;=A1607)))</f>
        <v/>
      </c>
      <c r="I1607" s="4">
        <f>IF(H1607="","",G1607&amp;"|"&amp;H1607)</f>
        <v/>
      </c>
      <c r="J1607" s="4" t="inlineStr">
        <is>
          <t>https://www.google.com/maps/search/?api=1&amp;query=Covil%20da%20Lua&amp;query_place_id=ChIJnfbkPSE2J5URRbMRHhT13r8</t>
        </is>
      </c>
      <c r="K1607" s="4" t="inlineStr">
        <is>
          <t>Av. Delamar José da Silva, 180 - Sl 01 - Kobrasol, São José - SC, 88102-101, Brasil</t>
        </is>
      </c>
      <c r="L1607" s="4" t="inlineStr">
        <is>
          <t>Florianópolis</t>
        </is>
      </c>
      <c r="M1607" s="5" t="n">
        <v>4</v>
      </c>
    </row>
    <row r="1608">
      <c r="A1608" s="3">
        <f>RAND()</f>
        <v/>
      </c>
      <c r="B1608" s="4" t="inlineStr">
        <is>
          <t>ChIJ186St8s5J5URi82koubWJyU</t>
        </is>
      </c>
      <c r="C1608" s="4" t="inlineStr">
        <is>
          <t>De Casa Boardgames</t>
        </is>
      </c>
      <c r="D1608" s="4" t="inlineStr">
        <is>
          <t>São José</t>
        </is>
      </c>
      <c r="E1608" s="4" t="inlineStr">
        <is>
          <t>SC</t>
        </is>
      </c>
      <c r="F1608" s="4" t="inlineStr">
        <is>
          <t>Metrópoles</t>
        </is>
      </c>
      <c r="G1608" s="4" t="inlineStr">
        <is>
          <t>Metrópole</t>
        </is>
      </c>
      <c r="H1608" s="5">
        <f>IF(G1608="fora do recorte","",SUMPRODUCT(($G$3:$G$1723=G1608)*($A$3:$A$1723&lt;=A1608)))</f>
        <v/>
      </c>
      <c r="I1608" s="4">
        <f>IF(H1608="","",G1608&amp;"|"&amp;H1608)</f>
        <v/>
      </c>
      <c r="J1608" s="4" t="inlineStr">
        <is>
          <t>https://www.google.com/maps/search/?api=1&amp;query=De%20Casa%20Boardgames&amp;query_place_id=ChIJ186St8s5J5URi82koubWJyU</t>
        </is>
      </c>
      <c r="K1608" s="4" t="inlineStr">
        <is>
          <t>R. Pedro Gregório, 157 - Barreiros, São José - SC, 88117-335, Brasil</t>
        </is>
      </c>
      <c r="L1608" s="4" t="inlineStr">
        <is>
          <t>Florianópolis</t>
        </is>
      </c>
      <c r="M1608" s="5" t="n">
        <v>10</v>
      </c>
    </row>
    <row r="1609">
      <c r="A1609" s="3">
        <f>RAND()</f>
        <v/>
      </c>
      <c r="B1609" s="4" t="inlineStr">
        <is>
          <t>ChIJK8OwZi82J5UR5WnZNxqg1zQ</t>
        </is>
      </c>
      <c r="C1609" s="4" t="inlineStr">
        <is>
          <t>Loja Game e Cia - Informática</t>
        </is>
      </c>
      <c r="D1609" s="4" t="inlineStr">
        <is>
          <t>São José</t>
        </is>
      </c>
      <c r="E1609" s="4" t="inlineStr">
        <is>
          <t>SC</t>
        </is>
      </c>
      <c r="F1609" s="4" t="inlineStr">
        <is>
          <t>Metrópoles</t>
        </is>
      </c>
      <c r="G1609" s="4" t="inlineStr">
        <is>
          <t>Metrópole</t>
        </is>
      </c>
      <c r="H1609" s="5">
        <f>IF(G1609="fora do recorte","",SUMPRODUCT(($G$3:$G$1723=G1609)*($A$3:$A$1723&lt;=A1609)))</f>
        <v/>
      </c>
      <c r="I1609" s="4">
        <f>IF(H1609="","",G1609&amp;"|"&amp;H1609)</f>
        <v/>
      </c>
      <c r="J1609" s="4" t="inlineStr">
        <is>
          <t>https://www.google.com/maps/search/?api=1&amp;query=Loja%20Game%20e%20Cia%20-%20Inform%C3%A1tica&amp;query_place_id=ChIJK8OwZi82J5UR5WnZNxqg1zQ</t>
        </is>
      </c>
      <c r="K1609" s="4" t="inlineStr">
        <is>
          <t>R. Wanderlei Júnior, 256 - Shopping Camelão - Loja 167 - Campinas, São José - SC, 88101-010, Brasil</t>
        </is>
      </c>
      <c r="L1609" s="4" t="inlineStr">
        <is>
          <t>Florianópolis</t>
        </is>
      </c>
      <c r="M1609" s="5" t="n">
        <v>2</v>
      </c>
    </row>
    <row r="1610">
      <c r="A1610" s="3">
        <f>RAND()</f>
        <v/>
      </c>
      <c r="B1610" s="4" t="inlineStr">
        <is>
          <t>ChIJuanmlmRJJ5URc1VBwA_dbEY</t>
        </is>
      </c>
      <c r="C1610" s="4" t="inlineStr">
        <is>
          <t>Man Cave Store - Unidade São José</t>
        </is>
      </c>
      <c r="D1610" s="4" t="inlineStr">
        <is>
          <t>São José</t>
        </is>
      </c>
      <c r="E1610" s="4" t="inlineStr">
        <is>
          <t>SC</t>
        </is>
      </c>
      <c r="F1610" s="4" t="inlineStr">
        <is>
          <t>Metrópoles</t>
        </is>
      </c>
      <c r="G1610" s="4" t="inlineStr">
        <is>
          <t>Metrópole</t>
        </is>
      </c>
      <c r="H1610" s="5">
        <f>IF(G1610="fora do recorte","",SUMPRODUCT(($G$3:$G$1723=G1610)*($A$3:$A$1723&lt;=A1610)))</f>
        <v/>
      </c>
      <c r="I1610" s="4">
        <f>IF(H1610="","",G1610&amp;"|"&amp;H1610)</f>
        <v/>
      </c>
      <c r="J1610" s="4" t="inlineStr">
        <is>
          <t>https://www.google.com/maps/search/?api=1&amp;query=Man%20Cave%20Store%20-%20Unidade%20S%C3%A3o%20Jos%C3%A9&amp;query_place_id=ChIJuanmlmRJJ5URc1VBwA_dbEY</t>
        </is>
      </c>
      <c r="K1610" s="4" t="inlineStr">
        <is>
          <t>Ed. Empresarial Terra Firme - R. Domingos André Zanini, 277 - Lj 15 - Barreiros, São José - SC, 88117-907, Brasil</t>
        </is>
      </c>
      <c r="L1610" s="4" t="inlineStr">
        <is>
          <t>Florianópolis</t>
        </is>
      </c>
      <c r="M1610" s="5" t="n">
        <v>1</v>
      </c>
    </row>
    <row r="1611">
      <c r="A1611" s="3">
        <f>RAND()</f>
        <v/>
      </c>
      <c r="B1611" s="4" t="inlineStr">
        <is>
          <t>ChIJjVg0h1BJJ5UR656inTUt6ac</t>
        </is>
      </c>
      <c r="C1611" s="4" t="inlineStr">
        <is>
          <t>Mané Lúdico</t>
        </is>
      </c>
      <c r="D1611" s="4" t="inlineStr">
        <is>
          <t>São José</t>
        </is>
      </c>
      <c r="E1611" s="4" t="inlineStr">
        <is>
          <t>SC</t>
        </is>
      </c>
      <c r="F1611" s="4" t="inlineStr">
        <is>
          <t>Metrópoles</t>
        </is>
      </c>
      <c r="G1611" s="4" t="inlineStr">
        <is>
          <t>Metrópole</t>
        </is>
      </c>
      <c r="H1611" s="5">
        <f>IF(G1611="fora do recorte","",SUMPRODUCT(($G$3:$G$1723=G1611)*($A$3:$A$1723&lt;=A1611)))</f>
        <v/>
      </c>
      <c r="I1611" s="4">
        <f>IF(H1611="","",G1611&amp;"|"&amp;H1611)</f>
        <v/>
      </c>
      <c r="J1611" s="4" t="inlineStr">
        <is>
          <t>https://www.google.com/maps/search/?api=1&amp;query=Man%C3%A9%20L%C3%BAdico&amp;query_place_id=ChIJjVg0h1BJJ5UR656inTUt6ac</t>
        </is>
      </c>
      <c r="K1611" s="4" t="inlineStr">
        <is>
          <t>R. Vereador, Pedro Medeiros, 100 - Serraria, São José - SC, 88115-250, Brasil</t>
        </is>
      </c>
      <c r="L1611" s="4" t="inlineStr">
        <is>
          <t>Florianópolis</t>
        </is>
      </c>
      <c r="M1611" s="5" t="n">
        <v>6</v>
      </c>
    </row>
    <row r="1612">
      <c r="A1612" s="3">
        <f>RAND()</f>
        <v/>
      </c>
      <c r="B1612" s="4" t="inlineStr">
        <is>
          <t>ChIJOV7SZY9JJ5URac0ZlEu2HYo</t>
        </is>
      </c>
      <c r="C1612" s="4" t="inlineStr">
        <is>
          <t>Offline Club - Aluguel de Jogos</t>
        </is>
      </c>
      <c r="D1612" s="4" t="inlineStr">
        <is>
          <t>São José</t>
        </is>
      </c>
      <c r="E1612" s="4" t="inlineStr">
        <is>
          <t>SC</t>
        </is>
      </c>
      <c r="F1612" s="4" t="inlineStr">
        <is>
          <t>Metrópoles</t>
        </is>
      </c>
      <c r="G1612" s="4" t="inlineStr">
        <is>
          <t>Metrópole</t>
        </is>
      </c>
      <c r="H1612" s="5">
        <f>IF(G1612="fora do recorte","",SUMPRODUCT(($G$3:$G$1723=G1612)*($A$3:$A$1723&lt;=A1612)))</f>
        <v/>
      </c>
      <c r="I1612" s="4">
        <f>IF(H1612="","",G1612&amp;"|"&amp;H1612)</f>
        <v/>
      </c>
      <c r="J1612" s="4" t="inlineStr">
        <is>
          <t>https://www.google.com/maps/search/?api=1&amp;query=Offline%20Club%20-%20Aluguel%20de%20Jogos&amp;query_place_id=ChIJOV7SZY9JJ5URac0ZlEu2HYo</t>
        </is>
      </c>
      <c r="K1612" s="4" t="inlineStr">
        <is>
          <t>R. Ver. Mário Coelho Pires, 736 - Campinas, São José - SC, 88101-280, Brasil</t>
        </is>
      </c>
      <c r="L1612" s="4" t="inlineStr">
        <is>
          <t>Florianópolis</t>
        </is>
      </c>
      <c r="M1612" s="5" t="n">
        <v>5</v>
      </c>
    </row>
    <row r="1613">
      <c r="A1613" s="3">
        <f>RAND()</f>
        <v/>
      </c>
      <c r="B1613" s="4" t="inlineStr">
        <is>
          <t>ChIJK3WLgIJJJ5UR0l6znL1hD4w</t>
        </is>
      </c>
      <c r="C1613" s="4" t="inlineStr">
        <is>
          <t>Play Up Kids - Contraturno e Brinquedoteca</t>
        </is>
      </c>
      <c r="D1613" s="4" t="inlineStr">
        <is>
          <t>São José</t>
        </is>
      </c>
      <c r="E1613" s="4" t="inlineStr">
        <is>
          <t>SC</t>
        </is>
      </c>
      <c r="F1613" s="4" t="inlineStr">
        <is>
          <t>Metrópoles</t>
        </is>
      </c>
      <c r="G1613" s="4" t="inlineStr">
        <is>
          <t>Metrópole</t>
        </is>
      </c>
      <c r="H1613" s="5">
        <f>IF(G1613="fora do recorte","",SUMPRODUCT(($G$3:$G$1723=G1613)*($A$3:$A$1723&lt;=A1613)))</f>
        <v/>
      </c>
      <c r="I1613" s="4">
        <f>IF(H1613="","",G1613&amp;"|"&amp;H1613)</f>
        <v/>
      </c>
      <c r="J1613" s="4" t="inlineStr">
        <is>
          <t>https://www.google.com/maps/search/?api=1&amp;query=Play%20Up%20Kids%20-%20Contraturno%20e%20Brinquedoteca&amp;query_place_id=ChIJK3WLgIJJJ5UR0l6znL1hD4w</t>
        </is>
      </c>
      <c r="K1613" s="4" t="inlineStr">
        <is>
          <t>R. Dom Pedro II, nº494 - Campinas, São José - SC, 88101-320, Brasil</t>
        </is>
      </c>
      <c r="L1613" s="4" t="inlineStr">
        <is>
          <t>Florianópolis</t>
        </is>
      </c>
      <c r="M1613" s="5" t="n">
        <v>1</v>
      </c>
    </row>
    <row r="1614">
      <c r="A1614" s="3">
        <f>RAND()</f>
        <v/>
      </c>
      <c r="B1614" s="4" t="inlineStr">
        <is>
          <t>ChIJISNOxQxJJ5UR1zgCl3TFoYM</t>
        </is>
      </c>
      <c r="C1614" s="4" t="inlineStr">
        <is>
          <t>Prime Games Shopping Itaguaçu</t>
        </is>
      </c>
      <c r="D1614" s="4" t="inlineStr">
        <is>
          <t>São José</t>
        </is>
      </c>
      <c r="E1614" s="4" t="inlineStr">
        <is>
          <t>SC</t>
        </is>
      </c>
      <c r="F1614" s="4" t="inlineStr">
        <is>
          <t>Metrópoles</t>
        </is>
      </c>
      <c r="G1614" s="4" t="inlineStr">
        <is>
          <t>Metrópole</t>
        </is>
      </c>
      <c r="H1614" s="5">
        <f>IF(G1614="fora do recorte","",SUMPRODUCT(($G$3:$G$1723=G1614)*($A$3:$A$1723&lt;=A1614)))</f>
        <v/>
      </c>
      <c r="I1614" s="4">
        <f>IF(H1614="","",G1614&amp;"|"&amp;H1614)</f>
        <v/>
      </c>
      <c r="J1614" s="4" t="inlineStr">
        <is>
          <t>https://www.google.com/maps/search/?api=1&amp;query=Prime%20Games%20Shopping%20Itagua%C3%A7u&amp;query_place_id=ChIJISNOxQxJJ5UR1zgCl3TFoYM</t>
        </is>
      </c>
      <c r="K1614" s="4" t="inlineStr">
        <is>
          <t>R. Gerôncio Thives, 1079 - Barreiros, São José - SC, 88117-292, Brasil</t>
        </is>
      </c>
      <c r="L1614" s="4" t="inlineStr">
        <is>
          <t>Florianópolis</t>
        </is>
      </c>
      <c r="M1614" s="5" t="n">
        <v>1</v>
      </c>
    </row>
    <row r="1615">
      <c r="A1615" s="3">
        <f>RAND()</f>
        <v/>
      </c>
      <c r="B1615" s="4" t="inlineStr">
        <is>
          <t>ChIJnT4SINE3J5UR9ZzTUW8OnwM</t>
        </is>
      </c>
      <c r="C1615" s="4" t="inlineStr">
        <is>
          <t>Storm Card Games</t>
        </is>
      </c>
      <c r="D1615" s="4" t="inlineStr">
        <is>
          <t>São José</t>
        </is>
      </c>
      <c r="E1615" s="4" t="inlineStr">
        <is>
          <t>SC</t>
        </is>
      </c>
      <c r="F1615" s="4" t="inlineStr">
        <is>
          <t>Metrópoles</t>
        </is>
      </c>
      <c r="G1615" s="4" t="inlineStr">
        <is>
          <t>Metrópole</t>
        </is>
      </c>
      <c r="H1615" s="5">
        <f>IF(G1615="fora do recorte","",SUMPRODUCT(($G$3:$G$1723=G1615)*($A$3:$A$1723&lt;=A1615)))</f>
        <v/>
      </c>
      <c r="I1615" s="4">
        <f>IF(H1615="","",G1615&amp;"|"&amp;H1615)</f>
        <v/>
      </c>
      <c r="J1615" s="4" t="inlineStr">
        <is>
          <t>https://www.google.com/maps/search/?api=1&amp;query=Storm%20Card%20Games&amp;query_place_id=ChIJnT4SINE3J5UR9ZzTUW8OnwM</t>
        </is>
      </c>
      <c r="K1615" s="4" t="inlineStr">
        <is>
          <t>R. Ver. Arthur Manoel Mariano, 362 - Lj 01 - Forquilhinhas, São José - SC, 88106-500, Brasil</t>
        </is>
      </c>
      <c r="L1615" s="4" t="inlineStr">
        <is>
          <t>Florianópolis</t>
        </is>
      </c>
      <c r="M1615" s="5" t="n">
        <v>5</v>
      </c>
    </row>
    <row r="1616">
      <c r="A1616" s="3">
        <f>RAND()</f>
        <v/>
      </c>
      <c r="B1616" s="4" t="inlineStr">
        <is>
          <t>ChIJYaaRQxY3J5URP4z5l1MMX6c</t>
        </is>
      </c>
      <c r="C1616" s="4" t="inlineStr">
        <is>
          <t>Taberna dos Heróis</t>
        </is>
      </c>
      <c r="D1616" s="4" t="inlineStr">
        <is>
          <t>São José</t>
        </is>
      </c>
      <c r="E1616" s="4" t="inlineStr">
        <is>
          <t>SC</t>
        </is>
      </c>
      <c r="F1616" s="4" t="inlineStr">
        <is>
          <t>Metrópoles</t>
        </is>
      </c>
      <c r="G1616" s="4" t="inlineStr">
        <is>
          <t>Metrópole</t>
        </is>
      </c>
      <c r="H1616" s="5">
        <f>IF(G1616="fora do recorte","",SUMPRODUCT(($G$3:$G$1723=G1616)*($A$3:$A$1723&lt;=A1616)))</f>
        <v/>
      </c>
      <c r="I1616" s="4">
        <f>IF(H1616="","",G1616&amp;"|"&amp;H1616)</f>
        <v/>
      </c>
      <c r="J1616" s="4" t="inlineStr">
        <is>
          <t>https://www.google.com/maps/search/?api=1&amp;query=Taberna%20dos%20Her%C3%B3is&amp;query_place_id=ChIJYaaRQxY3J5URP4z5l1MMX6c</t>
        </is>
      </c>
      <c r="K1616" s="4" t="inlineStr">
        <is>
          <t>R. Francisco Silveira Matos, 62 - Flor de Nápolis, São José - SC, 88106-505, Brasil</t>
        </is>
      </c>
      <c r="L1616" s="4" t="inlineStr">
        <is>
          <t>Florianópolis</t>
        </is>
      </c>
      <c r="M1616" s="5" t="n">
        <v>9</v>
      </c>
    </row>
    <row r="1617">
      <c r="A1617" s="3">
        <f>RAND()</f>
        <v/>
      </c>
      <c r="B1617" s="4" t="inlineStr">
        <is>
          <t>ChIJiZJ_DnIDz5QRaVafFCXGkUE</t>
        </is>
      </c>
      <c r="C1617" s="4" t="inlineStr">
        <is>
          <t>Dungeon Games Store - Hambúrgueria, TCG &amp; Board Games</t>
        </is>
      </c>
      <c r="D1617" s="4" t="inlineStr">
        <is>
          <t>Barueri</t>
        </is>
      </c>
      <c r="E1617" s="4" t="inlineStr">
        <is>
          <t>SP</t>
        </is>
      </c>
      <c r="F1617" s="4" t="inlineStr">
        <is>
          <t>Grande Metrópole Nacional</t>
        </is>
      </c>
      <c r="G1617" s="4" t="inlineStr">
        <is>
          <t>Metrópole</t>
        </is>
      </c>
      <c r="H1617" s="5">
        <f>IF(G1617="fora do recorte","",SUMPRODUCT(($G$3:$G$1723=G1617)*($A$3:$A$1723&lt;=A1617)))</f>
        <v/>
      </c>
      <c r="I1617" s="4">
        <f>IF(H1617="","",G1617&amp;"|"&amp;H1617)</f>
        <v/>
      </c>
      <c r="J1617" s="4" t="inlineStr">
        <is>
          <t>https://www.google.com/maps/search/?api=1&amp;query=Dungeon%20Games%20Store%20-%20Hamb%C3%BArgueria%2C%20TCG%20%26%20Board%20Games&amp;query_place_id=ChIJiZJ_DnIDz5QRaVafFCXGkUE</t>
        </is>
      </c>
      <c r="K1617" s="4" t="inlineStr">
        <is>
          <t>R. Duque de Caxias, 317 - Loja 4, 2º Subsolo - Centro, Barueri - SP, 06401-010, Brasil</t>
        </is>
      </c>
      <c r="L1617" s="4" t="inlineStr">
        <is>
          <t>São Paulo</t>
        </is>
      </c>
      <c r="M1617" s="5" t="n">
        <v>1</v>
      </c>
    </row>
    <row r="1618">
      <c r="A1618" s="3">
        <f>RAND()</f>
        <v/>
      </c>
      <c r="B1618" s="4" t="inlineStr">
        <is>
          <t>ChIJgQ8cOR-gVyYR79Nr8ppdhEw</t>
        </is>
      </c>
      <c r="C1618" s="4" t="inlineStr">
        <is>
          <t>Cabo de Guerra Jogos</t>
        </is>
      </c>
      <c r="D1618" s="4" t="inlineStr">
        <is>
          <t>Cotia</t>
        </is>
      </c>
      <c r="E1618" s="4" t="inlineStr">
        <is>
          <t>SP</t>
        </is>
      </c>
      <c r="F1618" s="4" t="inlineStr">
        <is>
          <t>Grande Metrópole Nacional</t>
        </is>
      </c>
      <c r="G1618" s="4" t="inlineStr">
        <is>
          <t>Metrópole</t>
        </is>
      </c>
      <c r="H1618" s="5">
        <f>IF(G1618="fora do recorte","",SUMPRODUCT(($G$3:$G$1723=G1618)*($A$3:$A$1723&lt;=A1618)))</f>
        <v/>
      </c>
      <c r="I1618" s="4">
        <f>IF(H1618="","",G1618&amp;"|"&amp;H1618)</f>
        <v/>
      </c>
      <c r="J1618" s="4" t="inlineStr">
        <is>
          <t>https://www.google.com/maps/search/?api=1&amp;query=Cabo%20de%20Guerra%20Jogos&amp;query_place_id=ChIJgQ8cOR-gVyYR79Nr8ppdhEw</t>
        </is>
      </c>
      <c r="K1618" s="4" t="inlineStr">
        <is>
          <t>R. Miraguai, 521 - Granja Carolina, Cotia - SP, 06700-190, Brasil</t>
        </is>
      </c>
      <c r="L1618" s="4" t="inlineStr">
        <is>
          <t>São Paulo</t>
        </is>
      </c>
      <c r="M1618" s="5" t="n">
        <v>1</v>
      </c>
    </row>
    <row r="1619">
      <c r="A1619" s="3">
        <f>RAND()</f>
        <v/>
      </c>
      <c r="B1619" s="4" t="inlineStr">
        <is>
          <t>ChIJlStZGcJVzpQRxJQ6eTrWC84</t>
        </is>
      </c>
      <c r="C1619" s="4" t="inlineStr">
        <is>
          <t>Vaca Voadora Jogos</t>
        </is>
      </c>
      <c r="D1619" s="4" t="inlineStr">
        <is>
          <t>Cotia</t>
        </is>
      </c>
      <c r="E1619" s="4" t="inlineStr">
        <is>
          <t>SP</t>
        </is>
      </c>
      <c r="F1619" s="4" t="inlineStr">
        <is>
          <t>Grande Metrópole Nacional</t>
        </is>
      </c>
      <c r="G1619" s="4" t="inlineStr">
        <is>
          <t>Metrópole</t>
        </is>
      </c>
      <c r="H1619" s="5">
        <f>IF(G1619="fora do recorte","",SUMPRODUCT(($G$3:$G$1723=G1619)*($A$3:$A$1723&lt;=A1619)))</f>
        <v/>
      </c>
      <c r="I1619" s="4">
        <f>IF(H1619="","",G1619&amp;"|"&amp;H1619)</f>
        <v/>
      </c>
      <c r="J1619" s="4" t="inlineStr">
        <is>
          <t>https://www.google.com/maps/search/?api=1&amp;query=Vaca%20Voadora%20Jogos&amp;query_place_id=ChIJlStZGcJVzpQRxJQ6eTrWC84</t>
        </is>
      </c>
      <c r="K1619" s="4" t="inlineStr">
        <is>
          <t>Estr. Velha de Sorocaba, 763 - Cs 105 - Granja Viana, Cotia - SP, 06709-320, Brasil</t>
        </is>
      </c>
      <c r="L1619" s="4" t="inlineStr">
        <is>
          <t>São Paulo</t>
        </is>
      </c>
      <c r="M1619" s="5" t="n">
        <v>1</v>
      </c>
    </row>
    <row r="1620">
      <c r="A1620" s="3">
        <f>RAND()</f>
        <v/>
      </c>
      <c r="B1620" s="4" t="inlineStr">
        <is>
          <t>ChIJlQWSbbYHz5QRnKXlq0UOMGk</t>
        </is>
      </c>
      <c r="C1620" s="4" t="inlineStr">
        <is>
          <t>Vidabgames</t>
        </is>
      </c>
      <c r="D1620" s="4" t="inlineStr">
        <is>
          <t>Cotia</t>
        </is>
      </c>
      <c r="E1620" s="4" t="inlineStr">
        <is>
          <t>SP</t>
        </is>
      </c>
      <c r="F1620" s="4" t="inlineStr">
        <is>
          <t>Grande Metrópole Nacional</t>
        </is>
      </c>
      <c r="G1620" s="4" t="inlineStr">
        <is>
          <t>Metrópole</t>
        </is>
      </c>
      <c r="H1620" s="5">
        <f>IF(G1620="fora do recorte","",SUMPRODUCT(($G$3:$G$1723=G1620)*($A$3:$A$1723&lt;=A1620)))</f>
        <v/>
      </c>
      <c r="I1620" s="4">
        <f>IF(H1620="","",G1620&amp;"|"&amp;H1620)</f>
        <v/>
      </c>
      <c r="J1620" s="4" t="inlineStr">
        <is>
          <t>https://www.google.com/maps/search/?api=1&amp;query=Vidabgames&amp;query_place_id=ChIJlQWSbbYHz5QRnKXlq0UOMGk</t>
        </is>
      </c>
      <c r="K1620" s="4" t="inlineStr">
        <is>
          <t>R. Ver. Nelson Joaquim da Silva, 204 - Lajeado, Cotia - SP, 06702-675, Brasil</t>
        </is>
      </c>
      <c r="L1620" s="4" t="inlineStr">
        <is>
          <t>São Paulo</t>
        </is>
      </c>
      <c r="M1620" s="5" t="n">
        <v>1</v>
      </c>
    </row>
    <row r="1621">
      <c r="A1621" s="3">
        <f>RAND()</f>
        <v/>
      </c>
      <c r="B1621" s="4" t="inlineStr">
        <is>
          <t>ChIJ7_DDAlH1zpQRJVJ0UHnItH8</t>
        </is>
      </c>
      <c r="C1621" s="4" t="inlineStr">
        <is>
          <t>Covil Game Bar</t>
        </is>
      </c>
      <c r="D1621" s="4" t="inlineStr">
        <is>
          <t>Guarulhos</t>
        </is>
      </c>
      <c r="E1621" s="4" t="inlineStr">
        <is>
          <t>SP</t>
        </is>
      </c>
      <c r="F1621" s="4" t="inlineStr">
        <is>
          <t>Grande Metrópole Nacional</t>
        </is>
      </c>
      <c r="G1621" s="4" t="inlineStr">
        <is>
          <t>Metrópole</t>
        </is>
      </c>
      <c r="H1621" s="5">
        <f>IF(G1621="fora do recorte","",SUMPRODUCT(($G$3:$G$1723=G1621)*($A$3:$A$1723&lt;=A1621)))</f>
        <v/>
      </c>
      <c r="I1621" s="4">
        <f>IF(H1621="","",G1621&amp;"|"&amp;H1621)</f>
        <v/>
      </c>
      <c r="J1621" s="4" t="inlineStr">
        <is>
          <t>https://www.google.com/maps/search/?api=1&amp;query=Covil%20Game%20Bar&amp;query_place_id=ChIJ7_DDAlH1zpQRJVJ0UHnItH8</t>
        </is>
      </c>
      <c r="K1621" s="4" t="inlineStr">
        <is>
          <t>Rua do Saboó, 12 - Jardim Barbosa, Guarulhos - SP, 07111-030, Brasil</t>
        </is>
      </c>
      <c r="L1621" s="4" t="inlineStr">
        <is>
          <t>São Paulo</t>
        </is>
      </c>
      <c r="M1621" s="5" t="n">
        <v>1</v>
      </c>
    </row>
    <row r="1622">
      <c r="A1622" s="3">
        <f>RAND()</f>
        <v/>
      </c>
      <c r="B1622" s="4" t="inlineStr">
        <is>
          <t>ChIJ__9TTnxCzpQRwVSzrOijkRY</t>
        </is>
      </c>
      <c r="C1622" s="4" t="inlineStr">
        <is>
          <t>Bravo Jogos | Loja de Jogos de Tabuleiro</t>
        </is>
      </c>
      <c r="D1622" s="4" t="inlineStr">
        <is>
          <t>Santo André</t>
        </is>
      </c>
      <c r="E1622" s="4" t="inlineStr">
        <is>
          <t>SP</t>
        </is>
      </c>
      <c r="F1622" s="4" t="inlineStr">
        <is>
          <t>Grande Metrópole Nacional</t>
        </is>
      </c>
      <c r="G1622" s="4" t="inlineStr">
        <is>
          <t>Metrópole</t>
        </is>
      </c>
      <c r="H1622" s="5">
        <f>IF(G1622="fora do recorte","",SUMPRODUCT(($G$3:$G$1723=G1622)*($A$3:$A$1723&lt;=A1622)))</f>
        <v/>
      </c>
      <c r="I1622" s="4">
        <f>IF(H1622="","",G1622&amp;"|"&amp;H1622)</f>
        <v/>
      </c>
      <c r="J1622" s="4" t="inlineStr">
        <is>
          <t>https://www.google.com/maps/search/?api=1&amp;query=Bravo%20Jogos%20%7C%20Loja%20de%20Jogos%20de%20Tabuleiro&amp;query_place_id=ChIJ__9TTnxCzpQRwVSzrOijkRY</t>
        </is>
      </c>
      <c r="K1622" s="4" t="inlineStr">
        <is>
          <t>Rua Coronel Alfredo Flaquer, 411 - Centro, Santo André - SP, 09020-030, Brasil</t>
        </is>
      </c>
      <c r="L1622" s="4" t="inlineStr">
        <is>
          <t>Aracaju; Belo Horizonte; Boa Vista; Brasília; Campo Grande; Cuiabá; Curitiba; Florianópolis; Goiânia; João Pessoa; Macapá; Maceió; Manaus; Natal; Palmas; Porto Alegre; Recife; Rio de Janeiro; Salvador; São Luís; São Paulo</t>
        </is>
      </c>
      <c r="M1622" s="5" t="n">
        <v>6</v>
      </c>
    </row>
    <row r="1623">
      <c r="A1623" s="3">
        <f>RAND()</f>
        <v/>
      </c>
      <c r="B1623" s="4" t="inlineStr">
        <is>
          <t>ChIJkWsGmd1czpQRGLydxc29vbw</t>
        </is>
      </c>
      <c r="C1623" s="4" t="inlineStr">
        <is>
          <t>Place Games</t>
        </is>
      </c>
      <c r="D1623" s="4" t="inlineStr">
        <is>
          <t>São Caetano do Sul</t>
        </is>
      </c>
      <c r="E1623" s="4" t="inlineStr">
        <is>
          <t>SP</t>
        </is>
      </c>
      <c r="F1623" s="4" t="inlineStr">
        <is>
          <t>Grande Metrópole Nacional</t>
        </is>
      </c>
      <c r="G1623" s="4" t="inlineStr">
        <is>
          <t>Metrópole</t>
        </is>
      </c>
      <c r="H1623" s="5">
        <f>IF(G1623="fora do recorte","",SUMPRODUCT(($G$3:$G$1723=G1623)*($A$3:$A$1723&lt;=A1623)))</f>
        <v/>
      </c>
      <c r="I1623" s="4">
        <f>IF(H1623="","",G1623&amp;"|"&amp;H1623)</f>
        <v/>
      </c>
      <c r="J1623" s="4" t="inlineStr">
        <is>
          <t>https://www.google.com/maps/search/?api=1&amp;query=Place%20Games&amp;query_place_id=ChIJkWsGmd1czpQRGLydxc29vbw</t>
        </is>
      </c>
      <c r="K1623" s="4" t="inlineStr">
        <is>
          <t>R. Martim Francisco, 554 - Santa Paula, São Caetano do Sul - SP, 09541-330, Brasil</t>
        </is>
      </c>
      <c r="L1623" s="4" t="inlineStr">
        <is>
          <t>São Paulo</t>
        </is>
      </c>
      <c r="M1623" s="5" t="n">
        <v>4</v>
      </c>
    </row>
    <row r="1624">
      <c r="A1624" s="3">
        <f>RAND()</f>
        <v/>
      </c>
      <c r="B1624" s="4" t="inlineStr">
        <is>
          <t>ChIJYTweKpBZzpQR1MoMaynUGOY</t>
        </is>
      </c>
      <c r="C1624" s="4" t="inlineStr">
        <is>
          <t>ALUGUEL DE BRINQUEDOS PARA FESTAS, MESAS E CADEIRAS</t>
        </is>
      </c>
      <c r="D1624" s="4" t="inlineStr">
        <is>
          <t>São Paulo</t>
        </is>
      </c>
      <c r="E1624" s="4" t="inlineStr">
        <is>
          <t>SP</t>
        </is>
      </c>
      <c r="F1624" s="4" t="inlineStr">
        <is>
          <t>Grande Metrópole Nacional</t>
        </is>
      </c>
      <c r="G1624" s="4" t="inlineStr">
        <is>
          <t>Metrópole</t>
        </is>
      </c>
      <c r="H1624" s="5">
        <f>IF(G1624="fora do recorte","",SUMPRODUCT(($G$3:$G$1723=G1624)*($A$3:$A$1723&lt;=A1624)))</f>
        <v/>
      </c>
      <c r="I1624" s="4">
        <f>IF(H1624="","",G1624&amp;"|"&amp;H1624)</f>
        <v/>
      </c>
      <c r="J1624" s="4" t="inlineStr">
        <is>
          <t>https://www.google.com/maps/search/?api=1&amp;query=ALUGUEL%20DE%20BRINQUEDOS%20PARA%20FESTAS%2C%20MESAS%20E%20CADEIRAS&amp;query_place_id=ChIJYTweKpBZzpQR1MoMaynUGOY</t>
        </is>
      </c>
      <c r="K1624" s="4" t="inlineStr">
        <is>
          <t>R. José Bento, 293 - Cambuci, São Paulo - SP, 01523-030, Brasil</t>
        </is>
      </c>
      <c r="L1624" s="4" t="inlineStr">
        <is>
          <t>São Paulo</t>
        </is>
      </c>
      <c r="M1624" s="5" t="n">
        <v>1</v>
      </c>
    </row>
    <row r="1625">
      <c r="A1625" s="3">
        <f>RAND()</f>
        <v/>
      </c>
      <c r="B1625" s="4" t="inlineStr">
        <is>
          <t>ChIJmeoX-RpZzpQR4joLam_WngM</t>
        </is>
      </c>
      <c r="C1625" s="4" t="inlineStr">
        <is>
          <t>Akagami Card Games e Colecionáveis</t>
        </is>
      </c>
      <c r="D1625" s="4" t="inlineStr">
        <is>
          <t>São Paulo</t>
        </is>
      </c>
      <c r="E1625" s="4" t="inlineStr">
        <is>
          <t>SP</t>
        </is>
      </c>
      <c r="F1625" s="4" t="inlineStr">
        <is>
          <t>Grande Metrópole Nacional</t>
        </is>
      </c>
      <c r="G1625" s="4" t="inlineStr">
        <is>
          <t>Metrópole</t>
        </is>
      </c>
      <c r="H1625" s="5">
        <f>IF(G1625="fora do recorte","",SUMPRODUCT(($G$3:$G$1723=G1625)*($A$3:$A$1723&lt;=A1625)))</f>
        <v/>
      </c>
      <c r="I1625" s="4">
        <f>IF(H1625="","",G1625&amp;"|"&amp;H1625)</f>
        <v/>
      </c>
      <c r="J1625" s="4" t="inlineStr">
        <is>
          <t>https://www.google.com/maps/search/?api=1&amp;query=Akagami%20Card%20Games%20e%20Colecion%C3%A1veis&amp;query_place_id=ChIJmeoX-RpZzpQR4joLam_WngM</t>
        </is>
      </c>
      <c r="K1625" s="4" t="inlineStr">
        <is>
          <t>R. Antônio Carlos, 686 - Cerqueira César, São Paulo - SP, 01309-010, Brasil</t>
        </is>
      </c>
      <c r="L1625" s="4" t="inlineStr">
        <is>
          <t>Aracaju; São Paulo</t>
        </is>
      </c>
      <c r="M1625" s="5" t="n">
        <v>1</v>
      </c>
    </row>
    <row r="1626">
      <c r="A1626" s="3">
        <f>RAND()</f>
        <v/>
      </c>
      <c r="B1626" s="4" t="inlineStr">
        <is>
          <t>ChIJIY43GQ5ZzpQRhs5RQNSLS7Y</t>
        </is>
      </c>
      <c r="C1626" s="4" t="inlineStr">
        <is>
          <t>Anime Rock Club</t>
        </is>
      </c>
      <c r="D1626" s="4" t="inlineStr">
        <is>
          <t>São Paulo</t>
        </is>
      </c>
      <c r="E1626" s="4" t="inlineStr">
        <is>
          <t>SP</t>
        </is>
      </c>
      <c r="F1626" s="4" t="inlineStr">
        <is>
          <t>Grande Metrópole Nacional</t>
        </is>
      </c>
      <c r="G1626" s="4" t="inlineStr">
        <is>
          <t>Metrópole</t>
        </is>
      </c>
      <c r="H1626" s="5">
        <f>IF(G1626="fora do recorte","",SUMPRODUCT(($G$3:$G$1723=G1626)*($A$3:$A$1723&lt;=A1626)))</f>
        <v/>
      </c>
      <c r="I1626" s="4">
        <f>IF(H1626="","",G1626&amp;"|"&amp;H1626)</f>
        <v/>
      </c>
      <c r="J1626" s="4" t="inlineStr">
        <is>
          <t>https://www.google.com/maps/search/?api=1&amp;query=Anime%20Rock%20Club&amp;query_place_id=ChIJIY43GQ5ZzpQRhs5RQNSLS7Y</t>
        </is>
      </c>
      <c r="K1626" s="4" t="inlineStr">
        <is>
          <t>R. Galvão Bueno, 40 - Liberdade, São Paulo - SP, 01506-000, Brasil</t>
        </is>
      </c>
      <c r="L1626" s="4" t="inlineStr">
        <is>
          <t>São Paulo</t>
        </is>
      </c>
      <c r="M1626" s="5" t="n">
        <v>1</v>
      </c>
    </row>
    <row r="1627">
      <c r="A1627" s="3">
        <f>RAND()</f>
        <v/>
      </c>
      <c r="B1627" s="4" t="inlineStr">
        <is>
          <t>ChIJyzOdkZBnzpQRgrkQrV8p52s</t>
        </is>
      </c>
      <c r="C1627" s="4" t="inlineStr">
        <is>
          <t>Arcade 80 - Game Lounge</t>
        </is>
      </c>
      <c r="D1627" s="4" t="inlineStr">
        <is>
          <t>São Paulo</t>
        </is>
      </c>
      <c r="E1627" s="4" t="inlineStr">
        <is>
          <t>SP</t>
        </is>
      </c>
      <c r="F1627" s="4" t="inlineStr">
        <is>
          <t>Grande Metrópole Nacional</t>
        </is>
      </c>
      <c r="G1627" s="4" t="inlineStr">
        <is>
          <t>Metrópole</t>
        </is>
      </c>
      <c r="H1627" s="5">
        <f>IF(G1627="fora do recorte","",SUMPRODUCT(($G$3:$G$1723=G1627)*($A$3:$A$1723&lt;=A1627)))</f>
        <v/>
      </c>
      <c r="I1627" s="4">
        <f>IF(H1627="","",G1627&amp;"|"&amp;H1627)</f>
        <v/>
      </c>
      <c r="J1627" s="4" t="inlineStr">
        <is>
          <t>https://www.google.com/maps/search/?api=1&amp;query=Arcade%2080%20-%20Game%20Lounge&amp;query_place_id=ChIJyzOdkZBnzpQRgrkQrV8p52s</t>
        </is>
      </c>
      <c r="K1627" s="4" t="inlineStr">
        <is>
          <t>R. Fontoura Xavier, 1314 - Itaquera, São Paulo - SP, 08295-300, Brasil</t>
        </is>
      </c>
      <c r="L1627" s="4" t="inlineStr">
        <is>
          <t>São Paulo</t>
        </is>
      </c>
      <c r="M1627" s="5" t="n">
        <v>3</v>
      </c>
    </row>
    <row r="1628">
      <c r="A1628" s="3">
        <f>RAND()</f>
        <v/>
      </c>
      <c r="B1628" s="4" t="inlineStr">
        <is>
          <t>ChIJ65egMZRRzpQR4fanDyj9Dl4</t>
        </is>
      </c>
      <c r="C1628" s="4" t="inlineStr">
        <is>
          <t>Arcade Haus - Santo Amaro</t>
        </is>
      </c>
      <c r="D1628" s="4" t="inlineStr">
        <is>
          <t>São Paulo</t>
        </is>
      </c>
      <c r="E1628" s="4" t="inlineStr">
        <is>
          <t>SP</t>
        </is>
      </c>
      <c r="F1628" s="4" t="inlineStr">
        <is>
          <t>Grande Metrópole Nacional</t>
        </is>
      </c>
      <c r="G1628" s="4" t="inlineStr">
        <is>
          <t>Metrópole</t>
        </is>
      </c>
      <c r="H1628" s="5">
        <f>IF(G1628="fora do recorte","",SUMPRODUCT(($G$3:$G$1723=G1628)*($A$3:$A$1723&lt;=A1628)))</f>
        <v/>
      </c>
      <c r="I1628" s="4">
        <f>IF(H1628="","",G1628&amp;"|"&amp;H1628)</f>
        <v/>
      </c>
      <c r="J1628" s="4" t="inlineStr">
        <is>
          <t>https://www.google.com/maps/search/?api=1&amp;query=Arcade%20Haus%20-%20Santo%20Amaro&amp;query_place_id=ChIJ65egMZRRzpQR4fanDyj9Dl4</t>
        </is>
      </c>
      <c r="K1628" s="4" t="inlineStr">
        <is>
          <t>R. Dr. Rubens Gomes Bueno, 288 - Várzea de Baixo, São Paulo - SP, 04730-000, Brasil</t>
        </is>
      </c>
      <c r="L1628" s="4" t="inlineStr">
        <is>
          <t>São Paulo</t>
        </is>
      </c>
      <c r="M1628" s="5" t="n">
        <v>1</v>
      </c>
    </row>
    <row r="1629">
      <c r="A1629" s="3">
        <f>RAND()</f>
        <v/>
      </c>
      <c r="B1629" s="4" t="inlineStr">
        <is>
          <t>ChIJoXwLEp1fzpQR4DU1dGki6VQ</t>
        </is>
      </c>
      <c r="C1629" s="4" t="inlineStr">
        <is>
          <t>Arcade Haus - Tatuapé</t>
        </is>
      </c>
      <c r="D1629" s="4" t="inlineStr">
        <is>
          <t>São Paulo</t>
        </is>
      </c>
      <c r="E1629" s="4" t="inlineStr">
        <is>
          <t>SP</t>
        </is>
      </c>
      <c r="F1629" s="4" t="inlineStr">
        <is>
          <t>Grande Metrópole Nacional</t>
        </is>
      </c>
      <c r="G1629" s="4" t="inlineStr">
        <is>
          <t>Metrópole</t>
        </is>
      </c>
      <c r="H1629" s="5">
        <f>IF(G1629="fora do recorte","",SUMPRODUCT(($G$3:$G$1723=G1629)*($A$3:$A$1723&lt;=A1629)))</f>
        <v/>
      </c>
      <c r="I1629" s="4">
        <f>IF(H1629="","",G1629&amp;"|"&amp;H1629)</f>
        <v/>
      </c>
      <c r="J1629" s="4" t="inlineStr">
        <is>
          <t>https://www.google.com/maps/search/?api=1&amp;query=Arcade%20Haus%20-%20Tatuap%C3%A9&amp;query_place_id=ChIJoXwLEp1fzpQR4DU1dGki6VQ</t>
        </is>
      </c>
      <c r="K1629" s="4" t="inlineStr">
        <is>
          <t>R. Euclides Pacheco, 483 - Vila Gomes Cardim, São Paulo - SP, 03321-000, Brasil</t>
        </is>
      </c>
      <c r="L1629" s="4" t="inlineStr">
        <is>
          <t>São Paulo</t>
        </is>
      </c>
      <c r="M1629" s="5" t="n">
        <v>1</v>
      </c>
    </row>
    <row r="1630">
      <c r="A1630" s="3">
        <f>RAND()</f>
        <v/>
      </c>
      <c r="B1630" s="4" t="inlineStr">
        <is>
          <t>ChIJYTHwWgBbzpQRFenbJdM5cxU</t>
        </is>
      </c>
      <c r="C1630" s="4" t="inlineStr">
        <is>
          <t>Arena BG | Jogos de Tabuleiro | Hamburgueria</t>
        </is>
      </c>
      <c r="D1630" s="4" t="inlineStr">
        <is>
          <t>São Paulo</t>
        </is>
      </c>
      <c r="E1630" s="4" t="inlineStr">
        <is>
          <t>SP</t>
        </is>
      </c>
      <c r="F1630" s="4" t="inlineStr">
        <is>
          <t>Grande Metrópole Nacional</t>
        </is>
      </c>
      <c r="G1630" s="4" t="inlineStr">
        <is>
          <t>Metrópole</t>
        </is>
      </c>
      <c r="H1630" s="5">
        <f>IF(G1630="fora do recorte","",SUMPRODUCT(($G$3:$G$1723=G1630)*($A$3:$A$1723&lt;=A1630)))</f>
        <v/>
      </c>
      <c r="I1630" s="4">
        <f>IF(H1630="","",G1630&amp;"|"&amp;H1630)</f>
        <v/>
      </c>
      <c r="J1630" s="4" t="inlineStr">
        <is>
          <t>https://www.google.com/maps/search/?api=1&amp;query=Arena%20BG%20%7C%20Jogos%20de%20Tabuleiro%20%7C%20Hamburgueria&amp;query_place_id=ChIJYTHwWgBbzpQRFenbJdM5cxU</t>
        </is>
      </c>
      <c r="K1630" s="4" t="inlineStr">
        <is>
          <t>R. Lino Coutinho, 1791 - Ipiranga, São Paulo - SP, 04207-002, Brasil</t>
        </is>
      </c>
      <c r="L1630" s="4" t="inlineStr">
        <is>
          <t>São Paulo</t>
        </is>
      </c>
      <c r="M1630" s="5" t="n">
        <v>5</v>
      </c>
    </row>
    <row r="1631">
      <c r="A1631" s="3">
        <f>RAND()</f>
        <v/>
      </c>
      <c r="B1631" s="4" t="inlineStr">
        <is>
          <t>ChIJP8bhwsRZzpQRO4LP-se7Y6k</t>
        </is>
      </c>
      <c r="C1631" s="4" t="inlineStr">
        <is>
          <t>Barba Games</t>
        </is>
      </c>
      <c r="D1631" s="4" t="inlineStr">
        <is>
          <t>São Paulo</t>
        </is>
      </c>
      <c r="E1631" s="4" t="inlineStr">
        <is>
          <t>SP</t>
        </is>
      </c>
      <c r="F1631" s="4" t="inlineStr">
        <is>
          <t>Grande Metrópole Nacional</t>
        </is>
      </c>
      <c r="G1631" s="4" t="inlineStr">
        <is>
          <t>Metrópole</t>
        </is>
      </c>
      <c r="H1631" s="5">
        <f>IF(G1631="fora do recorte","",SUMPRODUCT(($G$3:$G$1723=G1631)*($A$3:$A$1723&lt;=A1631)))</f>
        <v/>
      </c>
      <c r="I1631" s="4">
        <f>IF(H1631="","",G1631&amp;"|"&amp;H1631)</f>
        <v/>
      </c>
      <c r="J1631" s="4" t="inlineStr">
        <is>
          <t>https://www.google.com/maps/search/?api=1&amp;query=Barba%20Games&amp;query_place_id=ChIJP8bhwsRZzpQRO4LP-se7Y6k</t>
        </is>
      </c>
      <c r="K1631" s="4" t="inlineStr">
        <is>
          <t>Av. Paulista, 726 - Sl 1202 - Bela Vista, São Paulo - SP, 01310-910, Brasil</t>
        </is>
      </c>
      <c r="L1631" s="4" t="inlineStr">
        <is>
          <t>São Paulo</t>
        </is>
      </c>
      <c r="M1631" s="5" t="n">
        <v>2</v>
      </c>
    </row>
    <row r="1632">
      <c r="A1632" s="3">
        <f>RAND()</f>
        <v/>
      </c>
      <c r="B1632" s="4" t="inlineStr">
        <is>
          <t>ChIJG7Rd97lXzpQRkRPRs-orliI</t>
        </is>
      </c>
      <c r="C1632" s="4" t="inlineStr">
        <is>
          <t>Bario Bar - Pinheiros</t>
        </is>
      </c>
      <c r="D1632" s="4" t="inlineStr">
        <is>
          <t>São Paulo</t>
        </is>
      </c>
      <c r="E1632" s="4" t="inlineStr">
        <is>
          <t>SP</t>
        </is>
      </c>
      <c r="F1632" s="4" t="inlineStr">
        <is>
          <t>Grande Metrópole Nacional</t>
        </is>
      </c>
      <c r="G1632" s="4" t="inlineStr">
        <is>
          <t>Metrópole</t>
        </is>
      </c>
      <c r="H1632" s="5">
        <f>IF(G1632="fora do recorte","",SUMPRODUCT(($G$3:$G$1723=G1632)*($A$3:$A$1723&lt;=A1632)))</f>
        <v/>
      </c>
      <c r="I1632" s="4">
        <f>IF(H1632="","",G1632&amp;"|"&amp;H1632)</f>
        <v/>
      </c>
      <c r="J1632" s="4" t="inlineStr">
        <is>
          <t>https://www.google.com/maps/search/?api=1&amp;query=Bario%20Bar%20-%20Pinheiros&amp;query_place_id=ChIJG7Rd97lXzpQRkRPRs-orliI</t>
        </is>
      </c>
      <c r="K1632" s="4" t="inlineStr">
        <is>
          <t>Rua Coropé, 41 - Pinheiros, São Paulo - SP, 05426-010, Brasil</t>
        </is>
      </c>
      <c r="L1632" s="4" t="inlineStr">
        <is>
          <t>São Paulo</t>
        </is>
      </c>
      <c r="M1632" s="5" t="n">
        <v>5</v>
      </c>
    </row>
    <row r="1633">
      <c r="A1633" s="3">
        <f>RAND()</f>
        <v/>
      </c>
      <c r="B1633" s="4" t="inlineStr">
        <is>
          <t>ChIJwUN2GSxRzpQR3UiUaRbic6s</t>
        </is>
      </c>
      <c r="C1633" s="4" t="inlineStr">
        <is>
          <t>Bario Bar - Santo Amaro</t>
        </is>
      </c>
      <c r="D1633" s="4" t="inlineStr">
        <is>
          <t>São Paulo</t>
        </is>
      </c>
      <c r="E1633" s="4" t="inlineStr">
        <is>
          <t>SP</t>
        </is>
      </c>
      <c r="F1633" s="4" t="inlineStr">
        <is>
          <t>Grande Metrópole Nacional</t>
        </is>
      </c>
      <c r="G1633" s="4" t="inlineStr">
        <is>
          <t>Metrópole</t>
        </is>
      </c>
      <c r="H1633" s="5">
        <f>IF(G1633="fora do recorte","",SUMPRODUCT(($G$3:$G$1723=G1633)*($A$3:$A$1723&lt;=A1633)))</f>
        <v/>
      </c>
      <c r="I1633" s="4">
        <f>IF(H1633="","",G1633&amp;"|"&amp;H1633)</f>
        <v/>
      </c>
      <c r="J1633" s="4" t="inlineStr">
        <is>
          <t>https://www.google.com/maps/search/?api=1&amp;query=Bario%20Bar%20-%20Santo%20Amaro&amp;query_place_id=ChIJwUN2GSxRzpQR3UiUaRbic6s</t>
        </is>
      </c>
      <c r="K1633" s="4" t="inlineStr">
        <is>
          <t>Av. Washington Luís, 1860 - Santo Amaro, São Paulo - SP, 04627-006, Brasil</t>
        </is>
      </c>
      <c r="L1633" s="4" t="inlineStr">
        <is>
          <t>São Paulo</t>
        </is>
      </c>
      <c r="M1633" s="5" t="n">
        <v>1</v>
      </c>
    </row>
    <row r="1634">
      <c r="A1634" s="3">
        <f>RAND()</f>
        <v/>
      </c>
      <c r="B1634" s="4" t="inlineStr">
        <is>
          <t>ChIJs7acMQBfzpQR_Kvok08mGAo</t>
        </is>
      </c>
      <c r="C1634" s="4" t="inlineStr">
        <is>
          <t>Bario Bar - Tatuapé</t>
        </is>
      </c>
      <c r="D1634" s="4" t="inlineStr">
        <is>
          <t>São Paulo</t>
        </is>
      </c>
      <c r="E1634" s="4" t="inlineStr">
        <is>
          <t>SP</t>
        </is>
      </c>
      <c r="F1634" s="4" t="inlineStr">
        <is>
          <t>Grande Metrópole Nacional</t>
        </is>
      </c>
      <c r="G1634" s="4" t="inlineStr">
        <is>
          <t>Metrópole</t>
        </is>
      </c>
      <c r="H1634" s="5">
        <f>IF(G1634="fora do recorte","",SUMPRODUCT(($G$3:$G$1723=G1634)*($A$3:$A$1723&lt;=A1634)))</f>
        <v/>
      </c>
      <c r="I1634" s="4">
        <f>IF(H1634="","",G1634&amp;"|"&amp;H1634)</f>
        <v/>
      </c>
      <c r="J1634" s="4" t="inlineStr">
        <is>
          <t>https://www.google.com/maps/search/?api=1&amp;query=Bario%20Bar%20-%20Tatuap%C3%A9&amp;query_place_id=ChIJs7acMQBfzpQR_Kvok08mGAo</t>
        </is>
      </c>
      <c r="K1634" s="4" t="inlineStr">
        <is>
          <t>R. Euclides Pacheco, 880 - Vila Gomes Cardim, São Paulo - SP, 03321-000, Brasil</t>
        </is>
      </c>
      <c r="L1634" s="4" t="inlineStr">
        <is>
          <t>São Paulo</t>
        </is>
      </c>
      <c r="M1634" s="5" t="n">
        <v>1</v>
      </c>
    </row>
    <row r="1635">
      <c r="A1635" s="3">
        <f>RAND()</f>
        <v/>
      </c>
      <c r="B1635" s="4" t="inlineStr">
        <is>
          <t>ChIJRcspZi_2zpQRgrUD3Gommbc</t>
        </is>
      </c>
      <c r="C1635" s="4" t="inlineStr">
        <is>
          <t>Bazar de Bagdá</t>
        </is>
      </c>
      <c r="D1635" s="4" t="inlineStr">
        <is>
          <t>São Paulo</t>
        </is>
      </c>
      <c r="E1635" s="4" t="inlineStr">
        <is>
          <t>SP</t>
        </is>
      </c>
      <c r="F1635" s="4" t="inlineStr">
        <is>
          <t>Grande Metrópole Nacional</t>
        </is>
      </c>
      <c r="G1635" s="4" t="inlineStr">
        <is>
          <t>Metrópole</t>
        </is>
      </c>
      <c r="H1635" s="5">
        <f>IF(G1635="fora do recorte","",SUMPRODUCT(($G$3:$G$1723=G1635)*($A$3:$A$1723&lt;=A1635)))</f>
        <v/>
      </c>
      <c r="I1635" s="4">
        <f>IF(H1635="","",G1635&amp;"|"&amp;H1635)</f>
        <v/>
      </c>
      <c r="J1635" s="4" t="inlineStr">
        <is>
          <t>https://www.google.com/maps/search/?api=1&amp;query=Bazar%20de%20Bagd%C3%A1&amp;query_place_id=ChIJRcspZi_2zpQRgrUD3Gommbc</t>
        </is>
      </c>
      <c r="K1635" s="4" t="inlineStr">
        <is>
          <t>R. Dr. Gabriel Piza, 463 - Santana, São Paulo - SP, 02036-011, Brasil</t>
        </is>
      </c>
      <c r="L1635" s="4" t="inlineStr">
        <is>
          <t>São Paulo</t>
        </is>
      </c>
      <c r="M1635" s="5" t="n">
        <v>1</v>
      </c>
    </row>
    <row r="1636">
      <c r="A1636" s="3">
        <f>RAND()</f>
        <v/>
      </c>
      <c r="B1636" s="4" t="inlineStr">
        <is>
          <t>ChIJq3IYM2VZzpQRi5svNs0EGg0</t>
        </is>
      </c>
      <c r="C1636" s="4" t="inlineStr">
        <is>
          <t>Berserkrjogos</t>
        </is>
      </c>
      <c r="D1636" s="4" t="inlineStr">
        <is>
          <t>São Paulo</t>
        </is>
      </c>
      <c r="E1636" s="4" t="inlineStr">
        <is>
          <t>SP</t>
        </is>
      </c>
      <c r="F1636" s="4" t="inlineStr">
        <is>
          <t>Grande Metrópole Nacional</t>
        </is>
      </c>
      <c r="G1636" s="4" t="inlineStr">
        <is>
          <t>Metrópole</t>
        </is>
      </c>
      <c r="H1636" s="5">
        <f>IF(G1636="fora do recorte","",SUMPRODUCT(($G$3:$G$1723=G1636)*($A$3:$A$1723&lt;=A1636)))</f>
        <v/>
      </c>
      <c r="I1636" s="4">
        <f>IF(H1636="","",G1636&amp;"|"&amp;H1636)</f>
        <v/>
      </c>
      <c r="J1636" s="4" t="inlineStr">
        <is>
          <t>https://www.google.com/maps/search/?api=1&amp;query=Berserkrjogos&amp;query_place_id=ChIJq3IYM2VZzpQRi5svNs0EGg0</t>
        </is>
      </c>
      <c r="K1636" s="4" t="inlineStr">
        <is>
          <t>R. Cel. Frias, 304 - Vila Monumento, São Paulo - SP, 01552-010, Brasil</t>
        </is>
      </c>
      <c r="L1636" s="4" t="inlineStr">
        <is>
          <t>São Paulo</t>
        </is>
      </c>
      <c r="M1636" s="5" t="n">
        <v>1</v>
      </c>
    </row>
    <row r="1637">
      <c r="A1637" s="3">
        <f>RAND()</f>
        <v/>
      </c>
      <c r="B1637" s="4" t="inlineStr">
        <is>
          <t>ChIJfXYIkbVQzpQR_yzJGmbIchY</t>
        </is>
      </c>
      <c r="C1637" s="4" t="inlineStr">
        <is>
          <t>Blend Bar</t>
        </is>
      </c>
      <c r="D1637" s="4" t="inlineStr">
        <is>
          <t>São Paulo</t>
        </is>
      </c>
      <c r="E1637" s="4" t="inlineStr">
        <is>
          <t>SP</t>
        </is>
      </c>
      <c r="F1637" s="4" t="inlineStr">
        <is>
          <t>Grande Metrópole Nacional</t>
        </is>
      </c>
      <c r="G1637" s="4" t="inlineStr">
        <is>
          <t>Metrópole</t>
        </is>
      </c>
      <c r="H1637" s="5">
        <f>IF(G1637="fora do recorte","",SUMPRODUCT(($G$3:$G$1723=G1637)*($A$3:$A$1723&lt;=A1637)))</f>
        <v/>
      </c>
      <c r="I1637" s="4">
        <f>IF(H1637="","",G1637&amp;"|"&amp;H1637)</f>
        <v/>
      </c>
      <c r="J1637" s="4" t="inlineStr">
        <is>
          <t>https://www.google.com/maps/search/?api=1&amp;query=Blend%20Bar&amp;query_place_id=ChIJfXYIkbVQzpQR_yzJGmbIchY</t>
        </is>
      </c>
      <c r="K1637" s="4" t="inlineStr">
        <is>
          <t>Av. Padre Antônio José dos Santos, 1207 - Itaim Bibi, São Paulo - SP, 04563-013, Brasil</t>
        </is>
      </c>
      <c r="L1637" s="4" t="inlineStr">
        <is>
          <t>São Paulo</t>
        </is>
      </c>
      <c r="M1637" s="5" t="n">
        <v>1</v>
      </c>
    </row>
    <row r="1638">
      <c r="A1638" s="3">
        <f>RAND()</f>
        <v/>
      </c>
      <c r="B1638" s="4" t="inlineStr">
        <is>
          <t>ChIJKeHwNv5ZzpQRlmzx9rCTWdM</t>
        </is>
      </c>
      <c r="C1638" s="4" t="inlineStr">
        <is>
          <t>Bodogami Restaurante e Cafeteria</t>
        </is>
      </c>
      <c r="D1638" s="4" t="inlineStr">
        <is>
          <t>São Paulo</t>
        </is>
      </c>
      <c r="E1638" s="4" t="inlineStr">
        <is>
          <t>SP</t>
        </is>
      </c>
      <c r="F1638" s="4" t="inlineStr">
        <is>
          <t>Grande Metrópole Nacional</t>
        </is>
      </c>
      <c r="G1638" s="4" t="inlineStr">
        <is>
          <t>Metrópole</t>
        </is>
      </c>
      <c r="H1638" s="5">
        <f>IF(G1638="fora do recorte","",SUMPRODUCT(($G$3:$G$1723=G1638)*($A$3:$A$1723&lt;=A1638)))</f>
        <v/>
      </c>
      <c r="I1638" s="4">
        <f>IF(H1638="","",G1638&amp;"|"&amp;H1638)</f>
        <v/>
      </c>
      <c r="J1638" s="4" t="inlineStr">
        <is>
          <t>https://www.google.com/maps/search/?api=1&amp;query=Bodogami%20Restaurante%20e%20Cafeteria&amp;query_place_id=ChIJKeHwNv5ZzpQRlmzx9rCTWdM</t>
        </is>
      </c>
      <c r="K1638" s="4" t="inlineStr">
        <is>
          <t>Av. da Liberdade, 456 - Liberdade, São Paulo - SP, 01502-001, Brasil</t>
        </is>
      </c>
      <c r="L1638" s="4" t="inlineStr">
        <is>
          <t>Boa Vista; Goiânia; Rio de Janeiro; São Paulo</t>
        </is>
      </c>
      <c r="M1638" s="5" t="n">
        <v>10</v>
      </c>
    </row>
    <row r="1639">
      <c r="A1639" s="3">
        <f>RAND()</f>
        <v/>
      </c>
      <c r="B1639" s="4" t="inlineStr">
        <is>
          <t>ChIJ12nmpudbzpQR2nKy8UViS0Q</t>
        </is>
      </c>
      <c r="C1639" s="4" t="inlineStr">
        <is>
          <t>Caffè Boardgames - Jogos e Tabuleiros 🎲 ☕️</t>
        </is>
      </c>
      <c r="D1639" s="4" t="inlineStr">
        <is>
          <t>São Paulo</t>
        </is>
      </c>
      <c r="E1639" s="4" t="inlineStr">
        <is>
          <t>SP</t>
        </is>
      </c>
      <c r="F1639" s="4" t="inlineStr">
        <is>
          <t>Grande Metrópole Nacional</t>
        </is>
      </c>
      <c r="G1639" s="4" t="inlineStr">
        <is>
          <t>Metrópole</t>
        </is>
      </c>
      <c r="H1639" s="5">
        <f>IF(G1639="fora do recorte","",SUMPRODUCT(($G$3:$G$1723=G1639)*($A$3:$A$1723&lt;=A1639)))</f>
        <v/>
      </c>
      <c r="I1639" s="4">
        <f>IF(H1639="","",G1639&amp;"|"&amp;H1639)</f>
        <v/>
      </c>
      <c r="J1639" s="4" t="inlineStr">
        <is>
          <t>https://www.google.com/maps/search/?api=1&amp;query=Caff%C3%A8%20Boardgames%20-%20Jogos%20e%20Tabuleiros%20%F0%9F%8E%B2%20%E2%98%95%EF%B8%8F&amp;query_place_id=ChIJ12nmpudbzpQR2nKy8UViS0Q</t>
        </is>
      </c>
      <c r="K1639" s="4" t="inlineStr">
        <is>
          <t>R. Tiquatira, 604 - Bosque da Saúde, São Paulo - SP, 04137-111, Brasil</t>
        </is>
      </c>
      <c r="L1639" s="4" t="inlineStr">
        <is>
          <t>Boa Vista; São Paulo</t>
        </is>
      </c>
      <c r="M1639" s="5" t="n">
        <v>2</v>
      </c>
    </row>
    <row r="1640">
      <c r="A1640" s="3">
        <f>RAND()</f>
        <v/>
      </c>
      <c r="B1640" s="4" t="inlineStr">
        <is>
          <t>ChIJrT_EWwBZzpQRGAZzptZbtsY</t>
        </is>
      </c>
      <c r="C1640" s="4" t="inlineStr">
        <is>
          <t>Cartola Luderia Bar</t>
        </is>
      </c>
      <c r="D1640" s="4" t="inlineStr">
        <is>
          <t>São Paulo</t>
        </is>
      </c>
      <c r="E1640" s="4" t="inlineStr">
        <is>
          <t>SP</t>
        </is>
      </c>
      <c r="F1640" s="4" t="inlineStr">
        <is>
          <t>Grande Metrópole Nacional</t>
        </is>
      </c>
      <c r="G1640" s="4" t="inlineStr">
        <is>
          <t>Metrópole</t>
        </is>
      </c>
      <c r="H1640" s="5">
        <f>IF(G1640="fora do recorte","",SUMPRODUCT(($G$3:$G$1723=G1640)*($A$3:$A$1723&lt;=A1640)))</f>
        <v/>
      </c>
      <c r="I1640" s="4">
        <f>IF(H1640="","",G1640&amp;"|"&amp;H1640)</f>
        <v/>
      </c>
      <c r="J1640" s="4" t="inlineStr">
        <is>
          <t>https://www.google.com/maps/search/?api=1&amp;query=Cartola%20Luderia%20Bar&amp;query_place_id=ChIJrT_EWwBZzpQRGAZzptZbtsY</t>
        </is>
      </c>
      <c r="K1640" s="4" t="inlineStr">
        <is>
          <t>R. Dr. Siqueira Campos, 42 - Liberdade, São Paulo - SP, 01153-000, Brasil</t>
        </is>
      </c>
      <c r="L1640" s="4" t="inlineStr">
        <is>
          <t>São Paulo</t>
        </is>
      </c>
      <c r="M1640" s="5" t="n">
        <v>1</v>
      </c>
    </row>
    <row r="1641">
      <c r="A1641" s="3">
        <f>RAND()</f>
        <v/>
      </c>
      <c r="B1641" s="4" t="inlineStr">
        <is>
          <t>ChIJbZRHQPRfzpQRz97-ZOg0yXA</t>
        </is>
      </c>
      <c r="C1641" s="4" t="inlineStr">
        <is>
          <t>Castelos Bar &amp; Boardgames</t>
        </is>
      </c>
      <c r="D1641" s="4" t="inlineStr">
        <is>
          <t>São Paulo</t>
        </is>
      </c>
      <c r="E1641" s="4" t="inlineStr">
        <is>
          <t>SP</t>
        </is>
      </c>
      <c r="F1641" s="4" t="inlineStr">
        <is>
          <t>Grande Metrópole Nacional</t>
        </is>
      </c>
      <c r="G1641" s="4" t="inlineStr">
        <is>
          <t>Metrópole</t>
        </is>
      </c>
      <c r="H1641" s="5">
        <f>IF(G1641="fora do recorte","",SUMPRODUCT(($G$3:$G$1723=G1641)*($A$3:$A$1723&lt;=A1641)))</f>
        <v/>
      </c>
      <c r="I1641" s="4">
        <f>IF(H1641="","",G1641&amp;"|"&amp;H1641)</f>
        <v/>
      </c>
      <c r="J1641" s="4" t="inlineStr">
        <is>
          <t>https://www.google.com/maps/search/?api=1&amp;query=Castelos%20Bar%20%26%20Boardgames&amp;query_place_id=ChIJbZRHQPRfzpQRz97-ZOg0yXA</t>
        </is>
      </c>
      <c r="K1641" s="4" t="inlineStr">
        <is>
          <t>R. Serra de Botucatu, 995 - Vila Gomes Cardim, São Paulo - SP, 03317-000, Brasil</t>
        </is>
      </c>
      <c r="L1641" s="4" t="inlineStr">
        <is>
          <t>Aracaju; São Paulo</t>
        </is>
      </c>
      <c r="M1641" s="5" t="n">
        <v>9</v>
      </c>
    </row>
    <row r="1642">
      <c r="A1642" s="3">
        <f>RAND()</f>
        <v/>
      </c>
      <c r="B1642" s="4" t="inlineStr">
        <is>
          <t>ChIJ3f1Q4k5XzpQRxXbCl46NthA</t>
        </is>
      </c>
      <c r="C1642" s="4" t="inlineStr">
        <is>
          <t>Clube do Jacaré Itaim - Brinquedos Educativos e Brinquedoteca</t>
        </is>
      </c>
      <c r="D1642" s="4" t="inlineStr">
        <is>
          <t>São Paulo</t>
        </is>
      </c>
      <c r="E1642" s="4" t="inlineStr">
        <is>
          <t>SP</t>
        </is>
      </c>
      <c r="F1642" s="4" t="inlineStr">
        <is>
          <t>Grande Metrópole Nacional</t>
        </is>
      </c>
      <c r="G1642" s="4" t="inlineStr">
        <is>
          <t>Metrópole</t>
        </is>
      </c>
      <c r="H1642" s="5">
        <f>IF(G1642="fora do recorte","",SUMPRODUCT(($G$3:$G$1723=G1642)*($A$3:$A$1723&lt;=A1642)))</f>
        <v/>
      </c>
      <c r="I1642" s="4">
        <f>IF(H1642="","",G1642&amp;"|"&amp;H1642)</f>
        <v/>
      </c>
      <c r="J1642" s="4" t="inlineStr">
        <is>
          <t>https://www.google.com/maps/search/?api=1&amp;query=Clube%20do%20Jacar%C3%A9%20Itaim%20-%20Brinquedos%20Educativos%20e%20Brinquedoteca&amp;query_place_id=ChIJ3f1Q4k5XzpQRxXbCl46NthA</t>
        </is>
      </c>
      <c r="K1642" s="4" t="inlineStr">
        <is>
          <t>R. Pedroso Alvarenga, 387 - Itaim Bibi, São Paulo - SP, 04531-000, Brasil</t>
        </is>
      </c>
      <c r="L1642" s="4" t="inlineStr">
        <is>
          <t>São Paulo</t>
        </is>
      </c>
      <c r="M1642" s="5" t="n">
        <v>1</v>
      </c>
    </row>
    <row r="1643">
      <c r="A1643" s="3">
        <f>RAND()</f>
        <v/>
      </c>
      <c r="B1643" s="4" t="inlineStr">
        <is>
          <t>ChIJ5Y6lk2tZzpQR4cX6YPqm-_Y</t>
        </is>
      </c>
      <c r="C1643" s="4" t="inlineStr">
        <is>
          <t>Clube do Jacaré Jardins - Brinquedos Educativos e Brinquedoteca</t>
        </is>
      </c>
      <c r="D1643" s="4" t="inlineStr">
        <is>
          <t>São Paulo</t>
        </is>
      </c>
      <c r="E1643" s="4" t="inlineStr">
        <is>
          <t>SP</t>
        </is>
      </c>
      <c r="F1643" s="4" t="inlineStr">
        <is>
          <t>Grande Metrópole Nacional</t>
        </is>
      </c>
      <c r="G1643" s="4" t="inlineStr">
        <is>
          <t>Metrópole</t>
        </is>
      </c>
      <c r="H1643" s="5">
        <f>IF(G1643="fora do recorte","",SUMPRODUCT(($G$3:$G$1723=G1643)*($A$3:$A$1723&lt;=A1643)))</f>
        <v/>
      </c>
      <c r="I1643" s="4">
        <f>IF(H1643="","",G1643&amp;"|"&amp;H1643)</f>
        <v/>
      </c>
      <c r="J1643" s="4" t="inlineStr">
        <is>
          <t>https://www.google.com/maps/search/?api=1&amp;query=Clube%20do%20Jacar%C3%A9%20Jardins%20-%20Brinquedos%20Educativos%20e%20Brinquedoteca&amp;query_place_id=ChIJ5Y6lk2tZzpQR4cX6YPqm-_Y</t>
        </is>
      </c>
      <c r="K1643" s="4" t="inlineStr">
        <is>
          <t>Alameda Lorena, 889 - Jardim Paulista, São Paulo - SP, 01424-005, Brasil</t>
        </is>
      </c>
      <c r="L1643" s="4" t="inlineStr">
        <is>
          <t>São Paulo</t>
        </is>
      </c>
      <c r="M1643" s="5" t="n">
        <v>1</v>
      </c>
    </row>
    <row r="1644">
      <c r="A1644" s="3">
        <f>RAND()</f>
        <v/>
      </c>
      <c r="B1644" s="4" t="inlineStr">
        <is>
          <t>ChIJ50EwkwD3zpQRzbm57--WeqE</t>
        </is>
      </c>
      <c r="C1644" s="4" t="inlineStr">
        <is>
          <t>Clube do Jacaré Santana - Brinquedos Educativos, Jogos, Livros e Brinquedoteca</t>
        </is>
      </c>
      <c r="D1644" s="4" t="inlineStr">
        <is>
          <t>São Paulo</t>
        </is>
      </c>
      <c r="E1644" s="4" t="inlineStr">
        <is>
          <t>SP</t>
        </is>
      </c>
      <c r="F1644" s="4" t="inlineStr">
        <is>
          <t>Grande Metrópole Nacional</t>
        </is>
      </c>
      <c r="G1644" s="4" t="inlineStr">
        <is>
          <t>Metrópole</t>
        </is>
      </c>
      <c r="H1644" s="5">
        <f>IF(G1644="fora do recorte","",SUMPRODUCT(($G$3:$G$1723=G1644)*($A$3:$A$1723&lt;=A1644)))</f>
        <v/>
      </c>
      <c r="I1644" s="4">
        <f>IF(H1644="","",G1644&amp;"|"&amp;H1644)</f>
        <v/>
      </c>
      <c r="J1644" s="4" t="inlineStr">
        <is>
          <t>https://www.google.com/maps/search/?api=1&amp;query=Clube%20do%20Jacar%C3%A9%20Santana%20-%20Brinquedos%20Educativos%2C%20Jogos%2C%20Livros%20e%20Brinquedoteca&amp;query_place_id=ChIJ50EwkwD3zpQRzbm57--WeqE</t>
        </is>
      </c>
      <c r="K1644" s="4" t="inlineStr">
        <is>
          <t>R. Ana Benvinda de Andrade, 79 - Santana, São Paulo - SP, 02403-030, Brasil</t>
        </is>
      </c>
      <c r="L1644" s="4" t="inlineStr">
        <is>
          <t>São Paulo</t>
        </is>
      </c>
      <c r="M1644" s="5" t="n">
        <v>1</v>
      </c>
    </row>
    <row r="1645">
      <c r="A1645" s="3">
        <f>RAND()</f>
        <v/>
      </c>
      <c r="B1645" s="4" t="inlineStr">
        <is>
          <t>ChIJF9j3OCRbzpQRkk74_QtOk_0</t>
        </is>
      </c>
      <c r="C1645" s="4" t="inlineStr">
        <is>
          <t>Coletivo Geek</t>
        </is>
      </c>
      <c r="D1645" s="4" t="inlineStr">
        <is>
          <t>São Paulo</t>
        </is>
      </c>
      <c r="E1645" s="4" t="inlineStr">
        <is>
          <t>SP</t>
        </is>
      </c>
      <c r="F1645" s="4" t="inlineStr">
        <is>
          <t>Grande Metrópole Nacional</t>
        </is>
      </c>
      <c r="G1645" s="4" t="inlineStr">
        <is>
          <t>Metrópole</t>
        </is>
      </c>
      <c r="H1645" s="5">
        <f>IF(G1645="fora do recorte","",SUMPRODUCT(($G$3:$G$1723=G1645)*($A$3:$A$1723&lt;=A1645)))</f>
        <v/>
      </c>
      <c r="I1645" s="4">
        <f>IF(H1645="","",G1645&amp;"|"&amp;H1645)</f>
        <v/>
      </c>
      <c r="J1645" s="4" t="inlineStr">
        <is>
          <t>https://www.google.com/maps/search/?api=1&amp;query=Coletivo%20Geek&amp;query_place_id=ChIJF9j3OCRbzpQRkk74_QtOk_0</t>
        </is>
      </c>
      <c r="K1645" s="4" t="inlineStr">
        <is>
          <t>Alameda dos Nhambiquaras, 2013 - Moema, São Paulo - SP, 04090-013, Brasil</t>
        </is>
      </c>
      <c r="L1645" s="4" t="inlineStr">
        <is>
          <t>São Paulo</t>
        </is>
      </c>
      <c r="M1645" s="5" t="n">
        <v>4</v>
      </c>
    </row>
    <row r="1646">
      <c r="A1646" s="3">
        <f>RAND()</f>
        <v/>
      </c>
      <c r="B1646" s="4" t="inlineStr">
        <is>
          <t>ChIJncQmhSxYzpQR_HPl3Gz3GrU</t>
        </is>
      </c>
      <c r="C1646" s="4" t="inlineStr">
        <is>
          <t>Comix Book Shop - Consolação</t>
        </is>
      </c>
      <c r="D1646" s="4" t="inlineStr">
        <is>
          <t>São Paulo</t>
        </is>
      </c>
      <c r="E1646" s="4" t="inlineStr">
        <is>
          <t>SP</t>
        </is>
      </c>
      <c r="F1646" s="4" t="inlineStr">
        <is>
          <t>Grande Metrópole Nacional</t>
        </is>
      </c>
      <c r="G1646" s="4" t="inlineStr">
        <is>
          <t>Metrópole</t>
        </is>
      </c>
      <c r="H1646" s="5">
        <f>IF(G1646="fora do recorte","",SUMPRODUCT(($G$3:$G$1723=G1646)*($A$3:$A$1723&lt;=A1646)))</f>
        <v/>
      </c>
      <c r="I1646" s="4">
        <f>IF(H1646="","",G1646&amp;"|"&amp;H1646)</f>
        <v/>
      </c>
      <c r="J1646" s="4" t="inlineStr">
        <is>
          <t>https://www.google.com/maps/search/?api=1&amp;query=Comix%20Book%20Shop%20-%20Consola%C3%A7%C3%A3o&amp;query_place_id=ChIJncQmhSxYzpQR_HPl3Gz3GrU</t>
        </is>
      </c>
      <c r="K1646" s="4" t="inlineStr">
        <is>
          <t>R. da Consolação, 2685 - Cerqueira César, São Paulo - SP, 01416-001, Brasil</t>
        </is>
      </c>
      <c r="L1646" s="4" t="inlineStr">
        <is>
          <t>São Paulo</t>
        </is>
      </c>
      <c r="M1646" s="5" t="n">
        <v>1</v>
      </c>
    </row>
    <row r="1647">
      <c r="A1647" s="3">
        <f>RAND()</f>
        <v/>
      </c>
      <c r="B1647" s="4" t="inlineStr">
        <is>
          <t>ChIJp8b-UQpYzpQR22M2OZdxqqs</t>
        </is>
      </c>
      <c r="C1647" s="4" t="inlineStr">
        <is>
          <t>Cruzeiros Bar</t>
        </is>
      </c>
      <c r="D1647" s="4" t="inlineStr">
        <is>
          <t>São Paulo</t>
        </is>
      </c>
      <c r="E1647" s="4" t="inlineStr">
        <is>
          <t>SP</t>
        </is>
      </c>
      <c r="F1647" s="4" t="inlineStr">
        <is>
          <t>Grande Metrópole Nacional</t>
        </is>
      </c>
      <c r="G1647" s="4" t="inlineStr">
        <is>
          <t>Metrópole</t>
        </is>
      </c>
      <c r="H1647" s="5">
        <f>IF(G1647="fora do recorte","",SUMPRODUCT(($G$3:$G$1723=G1647)*($A$3:$A$1723&lt;=A1647)))</f>
        <v/>
      </c>
      <c r="I1647" s="4">
        <f>IF(H1647="","",G1647&amp;"|"&amp;H1647)</f>
        <v/>
      </c>
      <c r="J1647" s="4" t="inlineStr">
        <is>
          <t>https://www.google.com/maps/search/?api=1&amp;query=Cruzeiros%20Bar&amp;query_place_id=ChIJp8b-UQpYzpQR22M2OZdxqqs</t>
        </is>
      </c>
      <c r="K1647" s="4" t="inlineStr">
        <is>
          <t>R. Cruzeiro, 952 - Barra Funda, São Paulo - SP, 01137-000, Brasil</t>
        </is>
      </c>
      <c r="L1647" s="4" t="inlineStr">
        <is>
          <t>São Paulo</t>
        </is>
      </c>
      <c r="M1647" s="5" t="n">
        <v>1</v>
      </c>
    </row>
    <row r="1648">
      <c r="A1648" s="3">
        <f>RAND()</f>
        <v/>
      </c>
      <c r="B1648" s="4" t="inlineStr">
        <is>
          <t>ChIJ3SSHFIVZzpQROFCQyQ174H0</t>
        </is>
      </c>
      <c r="C1648" s="4" t="inlineStr">
        <is>
          <t>Domain Games</t>
        </is>
      </c>
      <c r="D1648" s="4" t="inlineStr">
        <is>
          <t>São Paulo</t>
        </is>
      </c>
      <c r="E1648" s="4" t="inlineStr">
        <is>
          <t>SP</t>
        </is>
      </c>
      <c r="F1648" s="4" t="inlineStr">
        <is>
          <t>Grande Metrópole Nacional</t>
        </is>
      </c>
      <c r="G1648" s="4" t="inlineStr">
        <is>
          <t>Metrópole</t>
        </is>
      </c>
      <c r="H1648" s="5">
        <f>IF(G1648="fora do recorte","",SUMPRODUCT(($G$3:$G$1723=G1648)*($A$3:$A$1723&lt;=A1648)))</f>
        <v/>
      </c>
      <c r="I1648" s="4">
        <f>IF(H1648="","",G1648&amp;"|"&amp;H1648)</f>
        <v/>
      </c>
      <c r="J1648" s="4" t="inlineStr">
        <is>
          <t>https://www.google.com/maps/search/?api=1&amp;query=Domain%20Games&amp;query_place_id=ChIJ3SSHFIVZzpQROFCQyQ174H0</t>
        </is>
      </c>
      <c r="K1648" s="4" t="inlineStr">
        <is>
          <t>R. Domingos de Morais, 1837 - Vila Mariana, São Paulo - SP, 04009-003, Brasil</t>
        </is>
      </c>
      <c r="L1648" s="4" t="inlineStr">
        <is>
          <t>São Paulo</t>
        </is>
      </c>
      <c r="M1648" s="5" t="n">
        <v>4</v>
      </c>
    </row>
    <row r="1649">
      <c r="A1649" s="3">
        <f>RAND()</f>
        <v/>
      </c>
      <c r="B1649" s="4" t="inlineStr">
        <is>
          <t>ChIJ5fezD7BZzpQRrccO-Yml3V0</t>
        </is>
      </c>
      <c r="C1649" s="4" t="inlineStr">
        <is>
          <t>Dominaria Cards &amp; Games</t>
        </is>
      </c>
      <c r="D1649" s="4" t="inlineStr">
        <is>
          <t>São Paulo</t>
        </is>
      </c>
      <c r="E1649" s="4" t="inlineStr">
        <is>
          <t>SP</t>
        </is>
      </c>
      <c r="F1649" s="4" t="inlineStr">
        <is>
          <t>Grande Metrópole Nacional</t>
        </is>
      </c>
      <c r="G1649" s="4" t="inlineStr">
        <is>
          <t>Metrópole</t>
        </is>
      </c>
      <c r="H1649" s="5">
        <f>IF(G1649="fora do recorte","",SUMPRODUCT(($G$3:$G$1723=G1649)*($A$3:$A$1723&lt;=A1649)))</f>
        <v/>
      </c>
      <c r="I1649" s="4">
        <f>IF(H1649="","",G1649&amp;"|"&amp;H1649)</f>
        <v/>
      </c>
      <c r="J1649" s="4" t="inlineStr">
        <is>
          <t>https://www.google.com/maps/search/?api=1&amp;query=Dominaria%20Cards%20%26%20Games&amp;query_place_id=ChIJ5fezD7BZzpQRrccO-Yml3V0</t>
        </is>
      </c>
      <c r="K1649" s="4" t="inlineStr">
        <is>
          <t>R. Dr. Siqueira Campos, 307 - Liberdade, São Paulo - SP, 01509-020, Brasil</t>
        </is>
      </c>
      <c r="L1649" s="4" t="inlineStr">
        <is>
          <t>São Paulo</t>
        </is>
      </c>
      <c r="M1649" s="5" t="n">
        <v>3</v>
      </c>
    </row>
    <row r="1650">
      <c r="A1650" s="3">
        <f>RAND()</f>
        <v/>
      </c>
      <c r="B1650" s="4" t="inlineStr">
        <is>
          <t>ChIJORJxE81ZzpQRNp35MpSMmYM</t>
        </is>
      </c>
      <c r="C1650" s="4" t="inlineStr">
        <is>
          <t>Dragon Toys Colecionáveis</t>
        </is>
      </c>
      <c r="D1650" s="4" t="inlineStr">
        <is>
          <t>São Paulo</t>
        </is>
      </c>
      <c r="E1650" s="4" t="inlineStr">
        <is>
          <t>SP</t>
        </is>
      </c>
      <c r="F1650" s="4" t="inlineStr">
        <is>
          <t>Grande Metrópole Nacional</t>
        </is>
      </c>
      <c r="G1650" s="4" t="inlineStr">
        <is>
          <t>Metrópole</t>
        </is>
      </c>
      <c r="H1650" s="5">
        <f>IF(G1650="fora do recorte","",SUMPRODUCT(($G$3:$G$1723=G1650)*($A$3:$A$1723&lt;=A1650)))</f>
        <v/>
      </c>
      <c r="I1650" s="4">
        <f>IF(H1650="","",G1650&amp;"|"&amp;H1650)</f>
        <v/>
      </c>
      <c r="J1650" s="4" t="inlineStr">
        <is>
          <t>https://www.google.com/maps/search/?api=1&amp;query=Dragon%20Toys%20Colecion%C3%A1veis&amp;query_place_id=ChIJORJxE81ZzpQRNp35MpSMmYM</t>
        </is>
      </c>
      <c r="K1650" s="4" t="inlineStr">
        <is>
          <t>R. Augusta, 1524 - loja 34 - Consolação, São Paulo - SP, 01304-001, Brasil</t>
        </is>
      </c>
      <c r="L1650" s="4" t="inlineStr">
        <is>
          <t>São Paulo</t>
        </is>
      </c>
      <c r="M1650" s="5" t="n">
        <v>1</v>
      </c>
    </row>
    <row r="1651">
      <c r="A1651" s="3">
        <f>RAND()</f>
        <v/>
      </c>
      <c r="B1651" s="4" t="inlineStr">
        <is>
          <t>ChIJb4eJJP1bzpQRx71OQ_oLMGA</t>
        </is>
      </c>
      <c r="C1651" s="4" t="inlineStr">
        <is>
          <t>Dream Up TCG</t>
        </is>
      </c>
      <c r="D1651" s="4" t="inlineStr">
        <is>
          <t>São Paulo</t>
        </is>
      </c>
      <c r="E1651" s="4" t="inlineStr">
        <is>
          <t>SP</t>
        </is>
      </c>
      <c r="F1651" s="4" t="inlineStr">
        <is>
          <t>Grande Metrópole Nacional</t>
        </is>
      </c>
      <c r="G1651" s="4" t="inlineStr">
        <is>
          <t>Metrópole</t>
        </is>
      </c>
      <c r="H1651" s="5">
        <f>IF(G1651="fora do recorte","",SUMPRODUCT(($G$3:$G$1723=G1651)*($A$3:$A$1723&lt;=A1651)))</f>
        <v/>
      </c>
      <c r="I1651" s="4">
        <f>IF(H1651="","",G1651&amp;"|"&amp;H1651)</f>
        <v/>
      </c>
      <c r="J1651" s="4" t="inlineStr">
        <is>
          <t>https://www.google.com/maps/search/?api=1&amp;query=Dream%20Up%20TCG&amp;query_place_id=ChIJb4eJJP1bzpQRx71OQ_oLMGA</t>
        </is>
      </c>
      <c r="K1651" s="4" t="inlineStr">
        <is>
          <t>Rua Loefgren, 927 - Vila Mariana, São Paulo - SP, 04040-030, Brasil</t>
        </is>
      </c>
      <c r="L1651" s="4" t="inlineStr">
        <is>
          <t>São Paulo</t>
        </is>
      </c>
      <c r="M1651" s="5" t="n">
        <v>1</v>
      </c>
    </row>
    <row r="1652">
      <c r="A1652" s="3">
        <f>RAND()</f>
        <v/>
      </c>
      <c r="B1652" s="4" t="inlineStr">
        <is>
          <t>ChIJ9SkRAaNZzpQRvKN5crM-sQk</t>
        </is>
      </c>
      <c r="C1652" s="4" t="inlineStr">
        <is>
          <t>Duel Shop Games</t>
        </is>
      </c>
      <c r="D1652" s="4" t="inlineStr">
        <is>
          <t>São Paulo</t>
        </is>
      </c>
      <c r="E1652" s="4" t="inlineStr">
        <is>
          <t>SP</t>
        </is>
      </c>
      <c r="F1652" s="4" t="inlineStr">
        <is>
          <t>Grande Metrópole Nacional</t>
        </is>
      </c>
      <c r="G1652" s="4" t="inlineStr">
        <is>
          <t>Metrópole</t>
        </is>
      </c>
      <c r="H1652" s="5">
        <f>IF(G1652="fora do recorte","",SUMPRODUCT(($G$3:$G$1723=G1652)*($A$3:$A$1723&lt;=A1652)))</f>
        <v/>
      </c>
      <c r="I1652" s="4">
        <f>IF(H1652="","",G1652&amp;"|"&amp;H1652)</f>
        <v/>
      </c>
      <c r="J1652" s="4" t="inlineStr">
        <is>
          <t>https://www.google.com/maps/search/?api=1&amp;query=Duel%20Shop%20Games&amp;query_place_id=ChIJ9SkRAaNZzpQRvKN5crM-sQk</t>
        </is>
      </c>
      <c r="K1652" s="4" t="inlineStr">
        <is>
          <t>R. Castro Alves, 31 - Loja14 - Liberdade, São Paulo - SP, 01532-000, Brasil</t>
        </is>
      </c>
      <c r="L1652" s="4" t="inlineStr">
        <is>
          <t>São Paulo</t>
        </is>
      </c>
      <c r="M1652" s="5" t="n">
        <v>2</v>
      </c>
    </row>
    <row r="1653">
      <c r="A1653" s="3">
        <f>RAND()</f>
        <v/>
      </c>
      <c r="B1653" s="4" t="inlineStr">
        <is>
          <t>ChIJtQep4oVfzpQRkRevLLB5zK8</t>
        </is>
      </c>
      <c r="C1653" s="4" t="inlineStr">
        <is>
          <t>Dutch Food &amp; Beer</t>
        </is>
      </c>
      <c r="D1653" s="4" t="inlineStr">
        <is>
          <t>São Paulo</t>
        </is>
      </c>
      <c r="E1653" s="4" t="inlineStr">
        <is>
          <t>SP</t>
        </is>
      </c>
      <c r="F1653" s="4" t="inlineStr">
        <is>
          <t>Grande Metrópole Nacional</t>
        </is>
      </c>
      <c r="G1653" s="4" t="inlineStr">
        <is>
          <t>Metrópole</t>
        </is>
      </c>
      <c r="H1653" s="5">
        <f>IF(G1653="fora do recorte","",SUMPRODUCT(($G$3:$G$1723=G1653)*($A$3:$A$1723&lt;=A1653)))</f>
        <v/>
      </c>
      <c r="I1653" s="4">
        <f>IF(H1653="","",G1653&amp;"|"&amp;H1653)</f>
        <v/>
      </c>
      <c r="J1653" s="4" t="inlineStr">
        <is>
          <t>https://www.google.com/maps/search/?api=1&amp;query=Dutch%20Food%20%26%20Beer&amp;query_place_id=ChIJtQep4oVfzpQRkRevLLB5zK8</t>
        </is>
      </c>
      <c r="K1653" s="4" t="inlineStr">
        <is>
          <t>Av. Ver. Abel Ferreira, 1080 - Vila Reg. Feijó, São Paulo - SP, 03340-000, Brasil</t>
        </is>
      </c>
      <c r="L1653" s="4" t="inlineStr">
        <is>
          <t>São Paulo</t>
        </is>
      </c>
      <c r="M1653" s="5" t="n">
        <v>1</v>
      </c>
    </row>
    <row r="1654">
      <c r="A1654" s="3">
        <f>RAND()</f>
        <v/>
      </c>
      <c r="B1654" s="4" t="inlineStr">
        <is>
          <t>ChIJZz29dnVXzpQRvRh7_YKyUN4</t>
        </is>
      </c>
      <c r="C1654" s="4" t="inlineStr">
        <is>
          <t>Encounter | Jogos de Tabuleiro | Board Games</t>
        </is>
      </c>
      <c r="D1654" s="4" t="inlineStr">
        <is>
          <t>São Paulo</t>
        </is>
      </c>
      <c r="E1654" s="4" t="inlineStr">
        <is>
          <t>SP</t>
        </is>
      </c>
      <c r="F1654" s="4" t="inlineStr">
        <is>
          <t>Grande Metrópole Nacional</t>
        </is>
      </c>
      <c r="G1654" s="4" t="inlineStr">
        <is>
          <t>Metrópole</t>
        </is>
      </c>
      <c r="H1654" s="5">
        <f>IF(G1654="fora do recorte","",SUMPRODUCT(($G$3:$G$1723=G1654)*($A$3:$A$1723&lt;=A1654)))</f>
        <v/>
      </c>
      <c r="I1654" s="4">
        <f>IF(H1654="","",G1654&amp;"|"&amp;H1654)</f>
        <v/>
      </c>
      <c r="J1654" s="4" t="inlineStr">
        <is>
          <t>https://www.google.com/maps/search/?api=1&amp;query=Encounter%20%7C%20Jogos%20de%20Tabuleiro%20%7C%20Board%20Games&amp;query_place_id=ChIJZz29dnVXzpQRvRh7_YKyUN4</t>
        </is>
      </c>
      <c r="K1654" s="4" t="inlineStr">
        <is>
          <t>Av. dos Eucaliptos, 204 - Moema, São Paulo - SP, 04517-050, Brasil</t>
        </is>
      </c>
      <c r="L1654" s="4" t="inlineStr">
        <is>
          <t>Belém; Campo Grande; João Pessoa; Maceió; Recife; São Paulo</t>
        </is>
      </c>
      <c r="M1654" s="5" t="n">
        <v>11</v>
      </c>
    </row>
    <row r="1655">
      <c r="A1655" s="3">
        <f>RAND()</f>
        <v/>
      </c>
      <c r="B1655" s="4" t="inlineStr">
        <is>
          <t>ChIJN3xqoKlZzpQR-64Cv9fqOdo</t>
        </is>
      </c>
      <c r="C1655" s="4" t="inlineStr">
        <is>
          <t>Epic Game</t>
        </is>
      </c>
      <c r="D1655" s="4" t="inlineStr">
        <is>
          <t>São Paulo</t>
        </is>
      </c>
      <c r="E1655" s="4" t="inlineStr">
        <is>
          <t>SP</t>
        </is>
      </c>
      <c r="F1655" s="4" t="inlineStr">
        <is>
          <t>Grande Metrópole Nacional</t>
        </is>
      </c>
      <c r="G1655" s="4" t="inlineStr">
        <is>
          <t>Metrópole</t>
        </is>
      </c>
      <c r="H1655" s="5">
        <f>IF(G1655="fora do recorte","",SUMPRODUCT(($G$3:$G$1723=G1655)*($A$3:$A$1723&lt;=A1655)))</f>
        <v/>
      </c>
      <c r="I1655" s="4">
        <f>IF(H1655="","",G1655&amp;"|"&amp;H1655)</f>
        <v/>
      </c>
      <c r="J1655" s="4" t="inlineStr">
        <is>
          <t>https://www.google.com/maps/search/?api=1&amp;query=Epic%20Game&amp;query_place_id=ChIJN3xqoKlZzpQR-64Cv9fqOdo</t>
        </is>
      </c>
      <c r="K1655" s="4" t="inlineStr">
        <is>
          <t>R. da Glória, 117 - Liberdade, São Paulo - SP, 01510-001, Brasil</t>
        </is>
      </c>
      <c r="L1655" s="4" t="inlineStr">
        <is>
          <t>São Paulo</t>
        </is>
      </c>
      <c r="M1655" s="5" t="n">
        <v>5</v>
      </c>
    </row>
    <row r="1656">
      <c r="A1656" s="3">
        <f>RAND()</f>
        <v/>
      </c>
      <c r="B1656" s="4" t="inlineStr">
        <is>
          <t>ChIJXbP37X1RzpQRZPCh6OsX9IM</t>
        </is>
      </c>
      <c r="C1656" s="4" t="inlineStr">
        <is>
          <t>Expresso Board Games | Jogos de Tabuleiro - Board Games, Card Games &amp; Acessórios</t>
        </is>
      </c>
      <c r="D1656" s="4" t="inlineStr">
        <is>
          <t>São Paulo</t>
        </is>
      </c>
      <c r="E1656" s="4" t="inlineStr">
        <is>
          <t>SP</t>
        </is>
      </c>
      <c r="F1656" s="4" t="inlineStr">
        <is>
          <t>Grande Metrópole Nacional</t>
        </is>
      </c>
      <c r="G1656" s="4" t="inlineStr">
        <is>
          <t>Metrópole</t>
        </is>
      </c>
      <c r="H1656" s="5">
        <f>IF(G1656="fora do recorte","",SUMPRODUCT(($G$3:$G$1723=G1656)*($A$3:$A$1723&lt;=A1656)))</f>
        <v/>
      </c>
      <c r="I1656" s="4">
        <f>IF(H1656="","",G1656&amp;"|"&amp;H1656)</f>
        <v/>
      </c>
      <c r="J1656" s="4" t="inlineStr">
        <is>
          <t>https://www.google.com/maps/search/?api=1&amp;query=Expresso%20Board%20Games%20%7C%20Jogos%20de%20Tabuleiro%20-%20Board%20Games%2C%20Card%20Games%20%26%20Acess%C3%B3rios&amp;query_place_id=ChIJXbP37X1RzpQRZPCh6OsX9IM</t>
        </is>
      </c>
      <c r="K1656" s="4" t="inlineStr">
        <is>
          <t>Rua Euclides Stoffel de Lima, 56 - Vila Cruzeiro, São Paulo - SP, 04726-050, Brasil</t>
        </is>
      </c>
      <c r="L1656" s="4" t="inlineStr">
        <is>
          <t>São Paulo</t>
        </is>
      </c>
      <c r="M1656" s="5" t="n">
        <v>4</v>
      </c>
    </row>
    <row r="1657">
      <c r="A1657" s="3">
        <f>RAND()</f>
        <v/>
      </c>
      <c r="B1657" s="4" t="inlineStr">
        <is>
          <t>ChIJ_aN4OAxXzpQR0UH63sAeVCA</t>
        </is>
      </c>
      <c r="C1657" s="4" t="inlineStr">
        <is>
          <t>Fan Hour Games and Burgers</t>
        </is>
      </c>
      <c r="D1657" s="4" t="inlineStr">
        <is>
          <t>São Paulo</t>
        </is>
      </c>
      <c r="E1657" s="4" t="inlineStr">
        <is>
          <t>SP</t>
        </is>
      </c>
      <c r="F1657" s="4" t="inlineStr">
        <is>
          <t>Grande Metrópole Nacional</t>
        </is>
      </c>
      <c r="G1657" s="4" t="inlineStr">
        <is>
          <t>Metrópole</t>
        </is>
      </c>
      <c r="H1657" s="5">
        <f>IF(G1657="fora do recorte","",SUMPRODUCT(($G$3:$G$1723=G1657)*($A$3:$A$1723&lt;=A1657)))</f>
        <v/>
      </c>
      <c r="I1657" s="4">
        <f>IF(H1657="","",G1657&amp;"|"&amp;H1657)</f>
        <v/>
      </c>
      <c r="J1657" s="4" t="inlineStr">
        <is>
          <t>https://www.google.com/maps/search/?api=1&amp;query=Fan%20Hour%20Games%20and%20Burgers&amp;query_place_id=ChIJ_aN4OAxXzpQR0UH63sAeVCA</t>
        </is>
      </c>
      <c r="K1657" s="4" t="inlineStr">
        <is>
          <t>R. Artur de Azevedo, 898 - Pinheiros, São Paulo - SP, 05404-002, Brasil</t>
        </is>
      </c>
      <c r="L1657" s="4" t="inlineStr">
        <is>
          <t>São Paulo</t>
        </is>
      </c>
      <c r="M1657" s="5" t="n">
        <v>5</v>
      </c>
    </row>
    <row r="1658">
      <c r="A1658" s="3">
        <f>RAND()</f>
        <v/>
      </c>
      <c r="B1658" s="4" t="inlineStr">
        <is>
          <t>ChIJzftMuYNXzpQRN2JwEZPp1DQ</t>
        </is>
      </c>
      <c r="C1658" s="4" t="inlineStr">
        <is>
          <t>Finnegan's Pub</t>
        </is>
      </c>
      <c r="D1658" s="4" t="inlineStr">
        <is>
          <t>São Paulo</t>
        </is>
      </c>
      <c r="E1658" s="4" t="inlineStr">
        <is>
          <t>SP</t>
        </is>
      </c>
      <c r="F1658" s="4" t="inlineStr">
        <is>
          <t>Grande Metrópole Nacional</t>
        </is>
      </c>
      <c r="G1658" s="4" t="inlineStr">
        <is>
          <t>Metrópole</t>
        </is>
      </c>
      <c r="H1658" s="5">
        <f>IF(G1658="fora do recorte","",SUMPRODUCT(($G$3:$G$1723=G1658)*($A$3:$A$1723&lt;=A1658)))</f>
        <v/>
      </c>
      <c r="I1658" s="4">
        <f>IF(H1658="","",G1658&amp;"|"&amp;H1658)</f>
        <v/>
      </c>
      <c r="J1658" s="4" t="inlineStr">
        <is>
          <t>https://www.google.com/maps/search/?api=1&amp;query=Finnegan%27s%20Pub&amp;query_place_id=ChIJzftMuYNXzpQRN2JwEZPp1DQ</t>
        </is>
      </c>
      <c r="K1658" s="4" t="inlineStr">
        <is>
          <t>R. Cristiano Viana, 358 - Pinheiros, São Paulo - SP, 05411-000, Brasil</t>
        </is>
      </c>
      <c r="L1658" s="4" t="inlineStr">
        <is>
          <t>São Paulo</t>
        </is>
      </c>
      <c r="M1658" s="5" t="n">
        <v>1</v>
      </c>
    </row>
    <row r="1659">
      <c r="A1659" s="3">
        <f>RAND()</f>
        <v/>
      </c>
      <c r="B1659" s="4" t="inlineStr">
        <is>
          <t>ChIJa3UsDhRczpQRPPSuDl6acO8</t>
        </is>
      </c>
      <c r="C1659" s="4" t="inlineStr">
        <is>
          <t>Flow Games - Burgers, Cards &amp; Comunidade</t>
        </is>
      </c>
      <c r="D1659" s="4" t="inlineStr">
        <is>
          <t>São Paulo</t>
        </is>
      </c>
      <c r="E1659" s="4" t="inlineStr">
        <is>
          <t>SP</t>
        </is>
      </c>
      <c r="F1659" s="4" t="inlineStr">
        <is>
          <t>Grande Metrópole Nacional</t>
        </is>
      </c>
      <c r="G1659" s="4" t="inlineStr">
        <is>
          <t>Metrópole</t>
        </is>
      </c>
      <c r="H1659" s="5">
        <f>IF(G1659="fora do recorte","",SUMPRODUCT(($G$3:$G$1723=G1659)*($A$3:$A$1723&lt;=A1659)))</f>
        <v/>
      </c>
      <c r="I1659" s="4">
        <f>IF(H1659="","",G1659&amp;"|"&amp;H1659)</f>
        <v/>
      </c>
      <c r="J1659" s="4" t="inlineStr">
        <is>
          <t>https://www.google.com/maps/search/?api=1&amp;query=Flow%20Games%20-%20Burgers%2C%20Cards%20%26%20Comunidade&amp;query_place_id=ChIJa3UsDhRczpQRPPSuDl6acO8</t>
        </is>
      </c>
      <c r="K1659" s="4" t="inlineStr">
        <is>
          <t>Rua Dona Genoveva D'Ascoli, 17 - Vila Prudente, São Paulo - SP, 03132-070, Brasil</t>
        </is>
      </c>
      <c r="L1659" s="4" t="inlineStr">
        <is>
          <t>São Paulo</t>
        </is>
      </c>
      <c r="M1659" s="5" t="n">
        <v>3</v>
      </c>
    </row>
    <row r="1660">
      <c r="A1660" s="3">
        <f>RAND()</f>
        <v/>
      </c>
      <c r="B1660" s="4" t="inlineStr">
        <is>
          <t>ChIJU4gvvaJXzpQR1SPX6E4t1jQ</t>
        </is>
      </c>
      <c r="C1660" s="4" t="inlineStr">
        <is>
          <t>Good Game E-Sports Bar</t>
        </is>
      </c>
      <c r="D1660" s="4" t="inlineStr">
        <is>
          <t>São Paulo</t>
        </is>
      </c>
      <c r="E1660" s="4" t="inlineStr">
        <is>
          <t>SP</t>
        </is>
      </c>
      <c r="F1660" s="4" t="inlineStr">
        <is>
          <t>Grande Metrópole Nacional</t>
        </is>
      </c>
      <c r="G1660" s="4" t="inlineStr">
        <is>
          <t>Metrópole</t>
        </is>
      </c>
      <c r="H1660" s="5">
        <f>IF(G1660="fora do recorte","",SUMPRODUCT(($G$3:$G$1723=G1660)*($A$3:$A$1723&lt;=A1660)))</f>
        <v/>
      </c>
      <c r="I1660" s="4">
        <f>IF(H1660="","",G1660&amp;"|"&amp;H1660)</f>
        <v/>
      </c>
      <c r="J1660" s="4" t="inlineStr">
        <is>
          <t>https://www.google.com/maps/search/?api=1&amp;query=Good%20Game%20E-Sports%20Bar&amp;query_place_id=ChIJU4gvvaJXzpQR1SPX6E4t1jQ</t>
        </is>
      </c>
      <c r="K1660" s="4" t="inlineStr">
        <is>
          <t>R. Mourato Coelho, 992 - Pinheiros, São Paulo - SP, 05417-001, Brasil</t>
        </is>
      </c>
      <c r="L1660" s="4" t="inlineStr">
        <is>
          <t>São Paulo</t>
        </is>
      </c>
      <c r="M1660" s="5" t="n">
        <v>3</v>
      </c>
    </row>
    <row r="1661">
      <c r="A1661" s="3">
        <f>RAND()</f>
        <v/>
      </c>
      <c r="B1661" s="4" t="inlineStr">
        <is>
          <t>ChIJ8yllCuBXzpQRSLqthbvqDKQ</t>
        </is>
      </c>
      <c r="C1661" s="4" t="inlineStr">
        <is>
          <t>Heavy House</t>
        </is>
      </c>
      <c r="D1661" s="4" t="inlineStr">
        <is>
          <t>São Paulo</t>
        </is>
      </c>
      <c r="E1661" s="4" t="inlineStr">
        <is>
          <t>SP</t>
        </is>
      </c>
      <c r="F1661" s="4" t="inlineStr">
        <is>
          <t>Grande Metrópole Nacional</t>
        </is>
      </c>
      <c r="G1661" s="4" t="inlineStr">
        <is>
          <t>Metrópole</t>
        </is>
      </c>
      <c r="H1661" s="5">
        <f>IF(G1661="fora do recorte","",SUMPRODUCT(($G$3:$G$1723=G1661)*($A$3:$A$1723&lt;=A1661)))</f>
        <v/>
      </c>
      <c r="I1661" s="4">
        <f>IF(H1661="","",G1661&amp;"|"&amp;H1661)</f>
        <v/>
      </c>
      <c r="J1661" s="4" t="inlineStr">
        <is>
          <t>https://www.google.com/maps/search/?api=1&amp;query=Heavy%20House&amp;query_place_id=ChIJ8yllCuBXzpQRSLqthbvqDKQ</t>
        </is>
      </c>
      <c r="K1661" s="4" t="inlineStr">
        <is>
          <t>Rua Benjamim Egas, 297 - Pinheiros, São Paulo - SP, 01452-020, Brasil</t>
        </is>
      </c>
      <c r="L1661" s="4" t="inlineStr">
        <is>
          <t>São Paulo</t>
        </is>
      </c>
      <c r="M1661" s="5" t="n">
        <v>1</v>
      </c>
    </row>
    <row r="1662">
      <c r="A1662" s="3">
        <f>RAND()</f>
        <v/>
      </c>
      <c r="B1662" s="4" t="inlineStr">
        <is>
          <t>ChIJYWaY5qhZzpQRmmO3L2JjaoE</t>
        </is>
      </c>
      <c r="C1662" s="4" t="inlineStr">
        <is>
          <t>Hotyugioh Cards &amp; Toys</t>
        </is>
      </c>
      <c r="D1662" s="4" t="inlineStr">
        <is>
          <t>São Paulo</t>
        </is>
      </c>
      <c r="E1662" s="4" t="inlineStr">
        <is>
          <t>SP</t>
        </is>
      </c>
      <c r="F1662" s="4" t="inlineStr">
        <is>
          <t>Grande Metrópole Nacional</t>
        </is>
      </c>
      <c r="G1662" s="4" t="inlineStr">
        <is>
          <t>Metrópole</t>
        </is>
      </c>
      <c r="H1662" s="5">
        <f>IF(G1662="fora do recorte","",SUMPRODUCT(($G$3:$G$1723=G1662)*($A$3:$A$1723&lt;=A1662)))</f>
        <v/>
      </c>
      <c r="I1662" s="4">
        <f>IF(H1662="","",G1662&amp;"|"&amp;H1662)</f>
        <v/>
      </c>
      <c r="J1662" s="4" t="inlineStr">
        <is>
          <t>https://www.google.com/maps/search/?api=1&amp;query=Hotyugioh%20Cards%20%26%20Toys&amp;query_place_id=ChIJYWaY5qhZzpQRmmO3L2JjaoE</t>
        </is>
      </c>
      <c r="K1662" s="4" t="inlineStr">
        <is>
          <t>R. Galvão Bueno, 40/44 - Lj 220 - Liberdade, São Paulo - SP, 01506-000, Brasil</t>
        </is>
      </c>
      <c r="L1662" s="4" t="inlineStr">
        <is>
          <t>São Paulo</t>
        </is>
      </c>
      <c r="M1662" s="5" t="n">
        <v>2</v>
      </c>
    </row>
    <row r="1663">
      <c r="A1663" s="3">
        <f>RAND()</f>
        <v/>
      </c>
      <c r="B1663" s="4" t="inlineStr">
        <is>
          <t>ChIJw81FIxpdzpQRPUHcMmebUY0</t>
        </is>
      </c>
      <c r="C1663" s="4" t="inlineStr">
        <is>
          <t>Itabuleiros</t>
        </is>
      </c>
      <c r="D1663" s="4" t="inlineStr">
        <is>
          <t>São Paulo</t>
        </is>
      </c>
      <c r="E1663" s="4" t="inlineStr">
        <is>
          <t>SP</t>
        </is>
      </c>
      <c r="F1663" s="4" t="inlineStr">
        <is>
          <t>Grande Metrópole Nacional</t>
        </is>
      </c>
      <c r="G1663" s="4" t="inlineStr">
        <is>
          <t>Metrópole</t>
        </is>
      </c>
      <c r="H1663" s="5">
        <f>IF(G1663="fora do recorte","",SUMPRODUCT(($G$3:$G$1723=G1663)*($A$3:$A$1723&lt;=A1663)))</f>
        <v/>
      </c>
      <c r="I1663" s="4">
        <f>IF(H1663="","",G1663&amp;"|"&amp;H1663)</f>
        <v/>
      </c>
      <c r="J1663" s="4" t="inlineStr">
        <is>
          <t>https://www.google.com/maps/search/?api=1&amp;query=Itabuleiros&amp;query_place_id=ChIJw81FIxpdzpQRPUHcMmebUY0</t>
        </is>
      </c>
      <c r="K1663" s="4" t="inlineStr">
        <is>
          <t>Av. Dr. Eduardo Cotching, 1495 - Vila Formosa, São Paulo - SP, 03356-001, Brasil</t>
        </is>
      </c>
      <c r="L1663" s="4" t="inlineStr">
        <is>
          <t>São Paulo</t>
        </is>
      </c>
      <c r="M1663" s="5" t="n">
        <v>3</v>
      </c>
    </row>
    <row r="1664">
      <c r="A1664" s="3">
        <f>RAND()</f>
        <v/>
      </c>
      <c r="B1664" s="4" t="inlineStr">
        <is>
          <t>ChIJn7uU0RNbzpQRI4GI9KHOo_s</t>
        </is>
      </c>
      <c r="C1664" s="4" t="inlineStr">
        <is>
          <t>Jogasampa</t>
        </is>
      </c>
      <c r="D1664" s="4" t="inlineStr">
        <is>
          <t>São Paulo</t>
        </is>
      </c>
      <c r="E1664" s="4" t="inlineStr">
        <is>
          <t>SP</t>
        </is>
      </c>
      <c r="F1664" s="4" t="inlineStr">
        <is>
          <t>Grande Metrópole Nacional</t>
        </is>
      </c>
      <c r="G1664" s="4" t="inlineStr">
        <is>
          <t>Metrópole</t>
        </is>
      </c>
      <c r="H1664" s="5">
        <f>IF(G1664="fora do recorte","",SUMPRODUCT(($G$3:$G$1723=G1664)*($A$3:$A$1723&lt;=A1664)))</f>
        <v/>
      </c>
      <c r="I1664" s="4">
        <f>IF(H1664="","",G1664&amp;"|"&amp;H1664)</f>
        <v/>
      </c>
      <c r="J1664" s="4" t="inlineStr">
        <is>
          <t>https://www.google.com/maps/search/?api=1&amp;query=Jogasampa&amp;query_place_id=ChIJn7uU0RNbzpQRI4GI9KHOo_s</t>
        </is>
      </c>
      <c r="K1664" s="4" t="inlineStr">
        <is>
          <t>Alameda dos Anapurus, 1664 - Moema, São Paulo - SP, 04087-006, Brasil</t>
        </is>
      </c>
      <c r="L1664" s="4" t="inlineStr">
        <is>
          <t>São Paulo</t>
        </is>
      </c>
      <c r="M1664" s="5" t="n">
        <v>8</v>
      </c>
    </row>
    <row r="1665">
      <c r="A1665" s="3">
        <f>RAND()</f>
        <v/>
      </c>
      <c r="B1665" s="4" t="inlineStr">
        <is>
          <t>ChIJdfJPFaVRzpQRy3NieWEkGLo</t>
        </is>
      </c>
      <c r="C1665" s="4" t="inlineStr">
        <is>
          <t>Jogos Bonitos</t>
        </is>
      </c>
      <c r="D1665" s="4" t="inlineStr">
        <is>
          <t>São Paulo</t>
        </is>
      </c>
      <c r="E1665" s="4" t="inlineStr">
        <is>
          <t>SP</t>
        </is>
      </c>
      <c r="F1665" s="4" t="inlineStr">
        <is>
          <t>Grande Metrópole Nacional</t>
        </is>
      </c>
      <c r="G1665" s="4" t="inlineStr">
        <is>
          <t>Metrópole</t>
        </is>
      </c>
      <c r="H1665" s="5">
        <f>IF(G1665="fora do recorte","",SUMPRODUCT(($G$3:$G$1723=G1665)*($A$3:$A$1723&lt;=A1665)))</f>
        <v/>
      </c>
      <c r="I1665" s="4">
        <f>IF(H1665="","",G1665&amp;"|"&amp;H1665)</f>
        <v/>
      </c>
      <c r="J1665" s="4" t="inlineStr">
        <is>
          <t>https://www.google.com/maps/search/?api=1&amp;query=Jogos%20Bonitos&amp;query_place_id=ChIJdfJPFaVRzpQRy3NieWEkGLo</t>
        </is>
      </c>
      <c r="K1665" s="4" t="inlineStr">
        <is>
          <t>Av. Rouxinol, 431 - Moema, São Paulo - SP, 04516-000, Brasil</t>
        </is>
      </c>
      <c r="L1665" s="4" t="inlineStr">
        <is>
          <t>São Paulo</t>
        </is>
      </c>
      <c r="M1665" s="5" t="n">
        <v>1</v>
      </c>
    </row>
    <row r="1666">
      <c r="A1666" s="3">
        <f>RAND()</f>
        <v/>
      </c>
      <c r="B1666" s="4" t="inlineStr">
        <is>
          <t>ChIJBWiCAwBfzpQR3y8JZajZyuI</t>
        </is>
      </c>
      <c r="C1666" s="4" t="inlineStr">
        <is>
          <t>Lendario Card Games</t>
        </is>
      </c>
      <c r="D1666" s="4" t="inlineStr">
        <is>
          <t>São Paulo</t>
        </is>
      </c>
      <c r="E1666" s="4" t="inlineStr">
        <is>
          <t>SP</t>
        </is>
      </c>
      <c r="F1666" s="4" t="inlineStr">
        <is>
          <t>Grande Metrópole Nacional</t>
        </is>
      </c>
      <c r="G1666" s="4" t="inlineStr">
        <is>
          <t>Metrópole</t>
        </is>
      </c>
      <c r="H1666" s="5">
        <f>IF(G1666="fora do recorte","",SUMPRODUCT(($G$3:$G$1723=G1666)*($A$3:$A$1723&lt;=A1666)))</f>
        <v/>
      </c>
      <c r="I1666" s="4">
        <f>IF(H1666="","",G1666&amp;"|"&amp;H1666)</f>
        <v/>
      </c>
      <c r="J1666" s="4" t="inlineStr">
        <is>
          <t>https://www.google.com/maps/search/?api=1&amp;query=Lendario%20Card%20Games&amp;query_place_id=ChIJBWiCAwBfzpQR3y8JZajZyuI</t>
        </is>
      </c>
      <c r="K1666" s="4" t="inlineStr">
        <is>
          <t>Av. Celso Garcia, 4367 - Tatuapé, São Paulo - SP, 03063-000, Brasil</t>
        </is>
      </c>
      <c r="L1666" s="4" t="inlineStr">
        <is>
          <t>Porto Velho; Rio Branco; São Paulo</t>
        </is>
      </c>
      <c r="M1666" s="5" t="n">
        <v>1</v>
      </c>
    </row>
    <row r="1667">
      <c r="A1667" s="3">
        <f>RAND()</f>
        <v/>
      </c>
      <c r="B1667" s="4" t="inlineStr">
        <is>
          <t>ChIJO8W2hThfzpQRjeWplqhAyKQ</t>
        </is>
      </c>
      <c r="C1667" s="4" t="inlineStr">
        <is>
          <t>Lendário Game Bar</t>
        </is>
      </c>
      <c r="D1667" s="4" t="inlineStr">
        <is>
          <t>São Paulo</t>
        </is>
      </c>
      <c r="E1667" s="4" t="inlineStr">
        <is>
          <t>SP</t>
        </is>
      </c>
      <c r="F1667" s="4" t="inlineStr">
        <is>
          <t>Grande Metrópole Nacional</t>
        </is>
      </c>
      <c r="G1667" s="4" t="inlineStr">
        <is>
          <t>Metrópole</t>
        </is>
      </c>
      <c r="H1667" s="5">
        <f>IF(G1667="fora do recorte","",SUMPRODUCT(($G$3:$G$1723=G1667)*($A$3:$A$1723&lt;=A1667)))</f>
        <v/>
      </c>
      <c r="I1667" s="4">
        <f>IF(H1667="","",G1667&amp;"|"&amp;H1667)</f>
        <v/>
      </c>
      <c r="J1667" s="4" t="inlineStr">
        <is>
          <t>https://www.google.com/maps/search/?api=1&amp;query=Lend%C3%A1rio%20Game%20Bar&amp;query_place_id=ChIJO8W2hThfzpQRjeWplqhAyKQ</t>
        </is>
      </c>
      <c r="K1667" s="4" t="inlineStr">
        <is>
          <t>No mesmo prédio da Lendário Card Games - Av. Celso Garcia, 4367 - Tatuapé, São Paulo - SP, 03063-000, Brasil</t>
        </is>
      </c>
      <c r="L1667" s="4" t="inlineStr">
        <is>
          <t>São Paulo</t>
        </is>
      </c>
      <c r="M1667" s="5" t="n">
        <v>4</v>
      </c>
    </row>
    <row r="1668">
      <c r="A1668" s="3">
        <f>RAND()</f>
        <v/>
      </c>
      <c r="B1668" s="4" t="inlineStr">
        <is>
          <t>ChIJA9zBb5D3zpQRrh4mcYWHBRI</t>
        </is>
      </c>
      <c r="C1668" s="4" t="inlineStr">
        <is>
          <t>Loca Tabuleiro</t>
        </is>
      </c>
      <c r="D1668" s="4" t="inlineStr">
        <is>
          <t>São Paulo</t>
        </is>
      </c>
      <c r="E1668" s="4" t="inlineStr">
        <is>
          <t>SP</t>
        </is>
      </c>
      <c r="F1668" s="4" t="inlineStr">
        <is>
          <t>Grande Metrópole Nacional</t>
        </is>
      </c>
      <c r="G1668" s="4" t="inlineStr">
        <is>
          <t>Metrópole</t>
        </is>
      </c>
      <c r="H1668" s="5">
        <f>IF(G1668="fora do recorte","",SUMPRODUCT(($G$3:$G$1723=G1668)*($A$3:$A$1723&lt;=A1668)))</f>
        <v/>
      </c>
      <c r="I1668" s="4">
        <f>IF(H1668="","",G1668&amp;"|"&amp;H1668)</f>
        <v/>
      </c>
      <c r="J1668" s="4" t="inlineStr">
        <is>
          <t>https://www.google.com/maps/search/?api=1&amp;query=Loca%20Tabuleiro&amp;query_place_id=ChIJA9zBb5D3zpQRrh4mcYWHBRI</t>
        </is>
      </c>
      <c r="K1668" s="4" t="inlineStr">
        <is>
          <t>R. Reims, 120 - Jardim das Laranjeiras, São Paulo - SP, 02517-010, Brasil</t>
        </is>
      </c>
      <c r="L1668" s="4" t="inlineStr">
        <is>
          <t>Campo Grande; São Paulo</t>
        </is>
      </c>
      <c r="M1668" s="5" t="n">
        <v>2</v>
      </c>
    </row>
    <row r="1669">
      <c r="A1669" s="3">
        <f>RAND()</f>
        <v/>
      </c>
      <c r="B1669" s="4" t="inlineStr">
        <is>
          <t>ChIJwxy21gBRzpQR_H0EEtBoaqw</t>
        </is>
      </c>
      <c r="C1669" s="4" t="inlineStr">
        <is>
          <t>LudoStation</t>
        </is>
      </c>
      <c r="D1669" s="4" t="inlineStr">
        <is>
          <t>São Paulo</t>
        </is>
      </c>
      <c r="E1669" s="4" t="inlineStr">
        <is>
          <t>SP</t>
        </is>
      </c>
      <c r="F1669" s="4" t="inlineStr">
        <is>
          <t>Grande Metrópole Nacional</t>
        </is>
      </c>
      <c r="G1669" s="4" t="inlineStr">
        <is>
          <t>Metrópole</t>
        </is>
      </c>
      <c r="H1669" s="5">
        <f>IF(G1669="fora do recorte","",SUMPRODUCT(($G$3:$G$1723=G1669)*($A$3:$A$1723&lt;=A1669)))</f>
        <v/>
      </c>
      <c r="I1669" s="4">
        <f>IF(H1669="","",G1669&amp;"|"&amp;H1669)</f>
        <v/>
      </c>
      <c r="J1669" s="4" t="inlineStr">
        <is>
          <t>https://www.google.com/maps/search/?api=1&amp;query=LudoStation&amp;query_place_id=ChIJwxy21gBRzpQR_H0EEtBoaqw</t>
        </is>
      </c>
      <c r="K1669" s="4" t="inlineStr">
        <is>
          <t>R. Joaquim Nabuco, 66 - Lj 02 - Brooklin, São Paulo - SP, 04621-000, Brasil</t>
        </is>
      </c>
      <c r="L1669" s="4" t="inlineStr">
        <is>
          <t>Natal; Rio Branco; São Luís; São Paulo</t>
        </is>
      </c>
      <c r="M1669" s="5" t="n">
        <v>4</v>
      </c>
    </row>
    <row r="1670">
      <c r="A1670" s="3">
        <f>RAND()</f>
        <v/>
      </c>
      <c r="B1670" s="4" t="inlineStr">
        <is>
          <t>ChIJ5a8Oem5XzpQRsTG-a8fQi0I</t>
        </is>
      </c>
      <c r="C1670" s="4" t="inlineStr">
        <is>
          <t>Ludoverso</t>
        </is>
      </c>
      <c r="D1670" s="4" t="inlineStr">
        <is>
          <t>São Paulo</t>
        </is>
      </c>
      <c r="E1670" s="4" t="inlineStr">
        <is>
          <t>SP</t>
        </is>
      </c>
      <c r="F1670" s="4" t="inlineStr">
        <is>
          <t>Grande Metrópole Nacional</t>
        </is>
      </c>
      <c r="G1670" s="4" t="inlineStr">
        <is>
          <t>Metrópole</t>
        </is>
      </c>
      <c r="H1670" s="5">
        <f>IF(G1670="fora do recorte","",SUMPRODUCT(($G$3:$G$1723=G1670)*($A$3:$A$1723&lt;=A1670)))</f>
        <v/>
      </c>
      <c r="I1670" s="4">
        <f>IF(H1670="","",G1670&amp;"|"&amp;H1670)</f>
        <v/>
      </c>
      <c r="J1670" s="4" t="inlineStr">
        <is>
          <t>https://www.google.com/maps/search/?api=1&amp;query=Ludoverso&amp;query_place_id=ChIJ5a8Oem5XzpQRsTG-a8fQi0I</t>
        </is>
      </c>
      <c r="K1670" s="4" t="inlineStr">
        <is>
          <t>Praça Professora Emília Barbosa Lima, 32 - Vila Madalena, São Paulo - SP, 05448-070, Brasil</t>
        </is>
      </c>
      <c r="L1670" s="4" t="inlineStr">
        <is>
          <t>São Paulo</t>
        </is>
      </c>
      <c r="M1670" s="5" t="n">
        <v>6</v>
      </c>
    </row>
    <row r="1671">
      <c r="A1671" s="3">
        <f>RAND()</f>
        <v/>
      </c>
      <c r="B1671" s="4" t="inlineStr">
        <is>
          <t>ChIJTaG5ALpZzpQRUDErQ-RkfTs</t>
        </is>
      </c>
      <c r="C1671" s="4" t="inlineStr">
        <is>
          <t>Ludus Luderia</t>
        </is>
      </c>
      <c r="D1671" s="4" t="inlineStr">
        <is>
          <t>São Paulo</t>
        </is>
      </c>
      <c r="E1671" s="4" t="inlineStr">
        <is>
          <t>SP</t>
        </is>
      </c>
      <c r="F1671" s="4" t="inlineStr">
        <is>
          <t>Grande Metrópole Nacional</t>
        </is>
      </c>
      <c r="G1671" s="4" t="inlineStr">
        <is>
          <t>Metrópole</t>
        </is>
      </c>
      <c r="H1671" s="5">
        <f>IF(G1671="fora do recorte","",SUMPRODUCT(($G$3:$G$1723=G1671)*($A$3:$A$1723&lt;=A1671)))</f>
        <v/>
      </c>
      <c r="I1671" s="4">
        <f>IF(H1671="","",G1671&amp;"|"&amp;H1671)</f>
        <v/>
      </c>
      <c r="J1671" s="4" t="inlineStr">
        <is>
          <t>https://www.google.com/maps/search/?api=1&amp;query=Ludus%20Luderia&amp;query_place_id=ChIJTaG5ALpZzpQRUDErQ-RkfTs</t>
        </is>
      </c>
      <c r="K1671" s="4" t="inlineStr">
        <is>
          <t>R. Treze de Maio, 972 - Bela Vista, São Paulo - SP, 01327-000, Brasil</t>
        </is>
      </c>
      <c r="L1671" s="4" t="inlineStr">
        <is>
          <t>Belém; Boa Vista; Campo Grande; Cuiabá; Macapá; Maceió; Manaus; Natal; Palmas; Porto Velho; Rio de Janeiro; São Luís; São Paulo; Teresina; Vitória</t>
        </is>
      </c>
      <c r="M1671" s="5" t="n">
        <v>13</v>
      </c>
    </row>
    <row r="1672">
      <c r="A1672" s="3">
        <f>RAND()</f>
        <v/>
      </c>
      <c r="B1672" s="4" t="inlineStr">
        <is>
          <t>ChIJ7TPg_5dZzpQRfmEpVxwhF_k</t>
        </is>
      </c>
      <c r="C1672" s="4" t="inlineStr">
        <is>
          <t>Lumicá Vila de Brincar</t>
        </is>
      </c>
      <c r="D1672" s="4" t="inlineStr">
        <is>
          <t>São Paulo</t>
        </is>
      </c>
      <c r="E1672" s="4" t="inlineStr">
        <is>
          <t>SP</t>
        </is>
      </c>
      <c r="F1672" s="4" t="inlineStr">
        <is>
          <t>Grande Metrópole Nacional</t>
        </is>
      </c>
      <c r="G1672" s="4" t="inlineStr">
        <is>
          <t>Metrópole</t>
        </is>
      </c>
      <c r="H1672" s="5">
        <f>IF(G1672="fora do recorte","",SUMPRODUCT(($G$3:$G$1723=G1672)*($A$3:$A$1723&lt;=A1672)))</f>
        <v/>
      </c>
      <c r="I1672" s="4">
        <f>IF(H1672="","",G1672&amp;"|"&amp;H1672)</f>
        <v/>
      </c>
      <c r="J1672" s="4" t="inlineStr">
        <is>
          <t>https://www.google.com/maps/search/?api=1&amp;query=Lumic%C3%A1%20Vila%20de%20Brincar&amp;query_place_id=ChIJ7TPg_5dZzpQRfmEpVxwhF_k</t>
        </is>
      </c>
      <c r="K1672" s="4" t="inlineStr">
        <is>
          <t>R. Dr. Fabrício Vampré, 232 - Vila Mariana, São Paulo - SP, 04014-020, Brasil</t>
        </is>
      </c>
      <c r="L1672" s="4" t="inlineStr">
        <is>
          <t>São Paulo</t>
        </is>
      </c>
      <c r="M1672" s="5" t="n">
        <v>1</v>
      </c>
    </row>
    <row r="1673">
      <c r="A1673" s="3">
        <f>RAND()</f>
        <v/>
      </c>
      <c r="B1673" s="4" t="inlineStr">
        <is>
          <t>ChIJEbaEK_X1zpQR5zMLUPhrkUE</t>
        </is>
      </c>
      <c r="C1673" s="4" t="inlineStr">
        <is>
          <t>Légola Board Games</t>
        </is>
      </c>
      <c r="D1673" s="4" t="inlineStr">
        <is>
          <t>São Paulo</t>
        </is>
      </c>
      <c r="E1673" s="4" t="inlineStr">
        <is>
          <t>SP</t>
        </is>
      </c>
      <c r="F1673" s="4" t="inlineStr">
        <is>
          <t>Grande Metrópole Nacional</t>
        </is>
      </c>
      <c r="G1673" s="4" t="inlineStr">
        <is>
          <t>Metrópole</t>
        </is>
      </c>
      <c r="H1673" s="5">
        <f>IF(G1673="fora do recorte","",SUMPRODUCT(($G$3:$G$1723=G1673)*($A$3:$A$1723&lt;=A1673)))</f>
        <v/>
      </c>
      <c r="I1673" s="4">
        <f>IF(H1673="","",G1673&amp;"|"&amp;H1673)</f>
        <v/>
      </c>
      <c r="J1673" s="4" t="inlineStr">
        <is>
          <t>https://www.google.com/maps/search/?api=1&amp;query=L%C3%A9gola%20Board%20Games&amp;query_place_id=ChIJEbaEK_X1zpQR5zMLUPhrkUE</t>
        </is>
      </c>
      <c r="K1673" s="4" t="inlineStr">
        <is>
          <t>Rua Thomaz Cyro Pozzi, pozzy, 564 - Vila Nova Carolina, São Paulo - SP, 02263-030, Brasil</t>
        </is>
      </c>
      <c r="L1673" s="4" t="inlineStr">
        <is>
          <t>São Paulo</t>
        </is>
      </c>
      <c r="M1673" s="5" t="n">
        <v>3</v>
      </c>
    </row>
    <row r="1674">
      <c r="A1674" s="3">
        <f>RAND()</f>
        <v/>
      </c>
      <c r="B1674" s="4" t="inlineStr">
        <is>
          <t>ChIJAfog1rL5zpQRrkw6_F9zX3k</t>
        </is>
      </c>
      <c r="C1674" s="4" t="inlineStr">
        <is>
          <t>MTG Cards Games</t>
        </is>
      </c>
      <c r="D1674" s="4" t="inlineStr">
        <is>
          <t>São Paulo</t>
        </is>
      </c>
      <c r="E1674" s="4" t="inlineStr">
        <is>
          <t>SP</t>
        </is>
      </c>
      <c r="F1674" s="4" t="inlineStr">
        <is>
          <t>Grande Metrópole Nacional</t>
        </is>
      </c>
      <c r="G1674" s="4" t="inlineStr">
        <is>
          <t>Metrópole</t>
        </is>
      </c>
      <c r="H1674" s="5">
        <f>IF(G1674="fora do recorte","",SUMPRODUCT(($G$3:$G$1723=G1674)*($A$3:$A$1723&lt;=A1674)))</f>
        <v/>
      </c>
      <c r="I1674" s="4">
        <f>IF(H1674="","",G1674&amp;"|"&amp;H1674)</f>
        <v/>
      </c>
      <c r="J1674" s="4" t="inlineStr">
        <is>
          <t>https://www.google.com/maps/search/?api=1&amp;query=MTG%20Cards%20Games&amp;query_place_id=ChIJAfog1rL5zpQRrkw6_F9zX3k</t>
        </is>
      </c>
      <c r="K1674" s="4" t="inlineStr">
        <is>
          <t>R. Valentim de Barros, 142 - Freguesia do Ó, São Paulo - SP, 02733-070, Brasil</t>
        </is>
      </c>
      <c r="L1674" s="4" t="inlineStr">
        <is>
          <t>São Paulo</t>
        </is>
      </c>
      <c r="M1674" s="5" t="n">
        <v>1</v>
      </c>
    </row>
    <row r="1675">
      <c r="A1675" s="3">
        <f>RAND()</f>
        <v/>
      </c>
      <c r="B1675" s="4" t="inlineStr">
        <is>
          <t>ChIJH_2Y3hhZzpQRugQWaocGzpU</t>
        </is>
      </c>
      <c r="C1675" s="4" t="inlineStr">
        <is>
          <t>MainDeck Card Games e Acessórios</t>
        </is>
      </c>
      <c r="D1675" s="4" t="inlineStr">
        <is>
          <t>São Paulo</t>
        </is>
      </c>
      <c r="E1675" s="4" t="inlineStr">
        <is>
          <t>SP</t>
        </is>
      </c>
      <c r="F1675" s="4" t="inlineStr">
        <is>
          <t>Grande Metrópole Nacional</t>
        </is>
      </c>
      <c r="G1675" s="4" t="inlineStr">
        <is>
          <t>Metrópole</t>
        </is>
      </c>
      <c r="H1675" s="5">
        <f>IF(G1675="fora do recorte","",SUMPRODUCT(($G$3:$G$1723=G1675)*($A$3:$A$1723&lt;=A1675)))</f>
        <v/>
      </c>
      <c r="I1675" s="4">
        <f>IF(H1675="","",G1675&amp;"|"&amp;H1675)</f>
        <v/>
      </c>
      <c r="J1675" s="4" t="inlineStr">
        <is>
          <t>https://www.google.com/maps/search/?api=1&amp;query=MainDeck%20Card%20Games%20e%20Acess%C3%B3rios&amp;query_place_id=ChIJH_2Y3hhZzpQRugQWaocGzpU</t>
        </is>
      </c>
      <c r="K1675" s="4" t="inlineStr">
        <is>
          <t>R. Galvão Bueno, 714 - 2º Andar - Liberdade, São Paulo - SP, 01506-000, Brasil</t>
        </is>
      </c>
      <c r="L1675" s="4" t="inlineStr">
        <is>
          <t>São Paulo</t>
        </is>
      </c>
      <c r="M1675" s="5" t="n">
        <v>1</v>
      </c>
    </row>
    <row r="1676">
      <c r="A1676" s="3">
        <f>RAND()</f>
        <v/>
      </c>
      <c r="B1676" s="4" t="inlineStr">
        <is>
          <t>ChIJEXWGxDD5zpQRc6mmlhKeyuI</t>
        </is>
      </c>
      <c r="C1676" s="4" t="inlineStr">
        <is>
          <t>Meca dos Jogos - Loja de Boardgames!</t>
        </is>
      </c>
      <c r="D1676" s="4" t="inlineStr">
        <is>
          <t>São Paulo</t>
        </is>
      </c>
      <c r="E1676" s="4" t="inlineStr">
        <is>
          <t>SP</t>
        </is>
      </c>
      <c r="F1676" s="4" t="inlineStr">
        <is>
          <t>Grande Metrópole Nacional</t>
        </is>
      </c>
      <c r="G1676" s="4" t="inlineStr">
        <is>
          <t>Metrópole</t>
        </is>
      </c>
      <c r="H1676" s="5">
        <f>IF(G1676="fora do recorte","",SUMPRODUCT(($G$3:$G$1723=G1676)*($A$3:$A$1723&lt;=A1676)))</f>
        <v/>
      </c>
      <c r="I1676" s="4">
        <f>IF(H1676="","",G1676&amp;"|"&amp;H1676)</f>
        <v/>
      </c>
      <c r="J1676" s="4" t="inlineStr">
        <is>
          <t>https://www.google.com/maps/search/?api=1&amp;query=Meca%20dos%20Jogos%20-%20Loja%20de%20Boardgames%21&amp;query_place_id=ChIJEXWGxDD5zpQRc6mmlhKeyuI</t>
        </is>
      </c>
      <c r="K1676" s="4" t="inlineStr">
        <is>
          <t>R. Jesuíno Antônio Batista, 417 - Jardim Guarani, São Paulo - SP, 02851-080, Brasil</t>
        </is>
      </c>
      <c r="L1676" s="4" t="inlineStr">
        <is>
          <t>Aracaju; São Paulo</t>
        </is>
      </c>
      <c r="M1676" s="5" t="n">
        <v>1</v>
      </c>
    </row>
    <row r="1677">
      <c r="A1677" s="3">
        <f>RAND()</f>
        <v/>
      </c>
      <c r="B1677" s="4" t="inlineStr">
        <is>
          <t>ChIJmSJuo3f4zpQRDHjNYLgkD6E</t>
        </is>
      </c>
      <c r="C1677" s="4" t="inlineStr">
        <is>
          <t>Mtg Brasil</t>
        </is>
      </c>
      <c r="D1677" s="4" t="inlineStr">
        <is>
          <t>São Paulo</t>
        </is>
      </c>
      <c r="E1677" s="4" t="inlineStr">
        <is>
          <t>SP</t>
        </is>
      </c>
      <c r="F1677" s="4" t="inlineStr">
        <is>
          <t>Grande Metrópole Nacional</t>
        </is>
      </c>
      <c r="G1677" s="4" t="inlineStr">
        <is>
          <t>Metrópole</t>
        </is>
      </c>
      <c r="H1677" s="5">
        <f>IF(G1677="fora do recorte","",SUMPRODUCT(($G$3:$G$1723=G1677)*($A$3:$A$1723&lt;=A1677)))</f>
        <v/>
      </c>
      <c r="I1677" s="4">
        <f>IF(H1677="","",G1677&amp;"|"&amp;H1677)</f>
        <v/>
      </c>
      <c r="J1677" s="4" t="inlineStr">
        <is>
          <t>https://www.google.com/maps/search/?api=1&amp;query=Mtg%20Brasil&amp;query_place_id=ChIJmSJuo3f4zpQRDHjNYLgkD6E</t>
        </is>
      </c>
      <c r="K1677" s="4" t="inlineStr">
        <is>
          <t>Praça Baronesa da Bocaina, 123 - Alto de Pinheiros, São Paulo - SP, 05440-030, Brasil</t>
        </is>
      </c>
      <c r="L1677" s="4" t="inlineStr">
        <is>
          <t>São Paulo</t>
        </is>
      </c>
      <c r="M1677" s="5" t="n">
        <v>1</v>
      </c>
    </row>
    <row r="1678">
      <c r="A1678" s="3">
        <f>RAND()</f>
        <v/>
      </c>
      <c r="B1678" s="4" t="inlineStr">
        <is>
          <t>ChIJn-dZ8xxZzpQR0Fk7YSpK4aU</t>
        </is>
      </c>
      <c r="C1678" s="4" t="inlineStr">
        <is>
          <t>My Fucking Comedy Club</t>
        </is>
      </c>
      <c r="D1678" s="4" t="inlineStr">
        <is>
          <t>São Paulo</t>
        </is>
      </c>
      <c r="E1678" s="4" t="inlineStr">
        <is>
          <t>SP</t>
        </is>
      </c>
      <c r="F1678" s="4" t="inlineStr">
        <is>
          <t>Grande Metrópole Nacional</t>
        </is>
      </c>
      <c r="G1678" s="4" t="inlineStr">
        <is>
          <t>Metrópole</t>
        </is>
      </c>
      <c r="H1678" s="5">
        <f>IF(G1678="fora do recorte","",SUMPRODUCT(($G$3:$G$1723=G1678)*($A$3:$A$1723&lt;=A1678)))</f>
        <v/>
      </c>
      <c r="I1678" s="4">
        <f>IF(H1678="","",G1678&amp;"|"&amp;H1678)</f>
        <v/>
      </c>
      <c r="J1678" s="4" t="inlineStr">
        <is>
          <t>https://www.google.com/maps/search/?api=1&amp;query=My%20Fucking%20Comedy%20Club&amp;query_place_id=ChIJn-dZ8xxZzpQR0Fk7YSpK4aU</t>
        </is>
      </c>
      <c r="K1678" s="4" t="inlineStr">
        <is>
          <t>Alameda Santos, 1518 - Cj 71/72 - Jardim Paulista, São Paulo - SP, 01418-102, Brasil</t>
        </is>
      </c>
      <c r="L1678" s="4" t="inlineStr">
        <is>
          <t>São Paulo</t>
        </is>
      </c>
      <c r="M1678" s="5" t="n">
        <v>1</v>
      </c>
    </row>
    <row r="1679">
      <c r="A1679" s="3">
        <f>RAND()</f>
        <v/>
      </c>
      <c r="B1679" s="4" t="inlineStr">
        <is>
          <t>ChIJyY3PwpX7zpQRxfkKlHJ59Jk</t>
        </is>
      </c>
      <c r="C1679" s="4" t="inlineStr">
        <is>
          <t>Nerdev - Jogos de Tabuleiro</t>
        </is>
      </c>
      <c r="D1679" s="4" t="inlineStr">
        <is>
          <t>São Paulo</t>
        </is>
      </c>
      <c r="E1679" s="4" t="inlineStr">
        <is>
          <t>SP</t>
        </is>
      </c>
      <c r="F1679" s="4" t="inlineStr">
        <is>
          <t>Grande Metrópole Nacional</t>
        </is>
      </c>
      <c r="G1679" s="4" t="inlineStr">
        <is>
          <t>Metrópole</t>
        </is>
      </c>
      <c r="H1679" s="5">
        <f>IF(G1679="fora do recorte","",SUMPRODUCT(($G$3:$G$1723=G1679)*($A$3:$A$1723&lt;=A1679)))</f>
        <v/>
      </c>
      <c r="I1679" s="4">
        <f>IF(H1679="","",G1679&amp;"|"&amp;H1679)</f>
        <v/>
      </c>
      <c r="J1679" s="4" t="inlineStr">
        <is>
          <t>https://www.google.com/maps/search/?api=1&amp;query=Nerdev%20-%20Jogos%20de%20Tabuleiro&amp;query_place_id=ChIJyY3PwpX7zpQRxfkKlHJ59Jk</t>
        </is>
      </c>
      <c r="K1679" s="4" t="inlineStr">
        <is>
          <t>Rua Antônio Nápoli, 564 - Parada, São Paulo - SP, 02987-030, Brasil</t>
        </is>
      </c>
      <c r="L1679" s="4" t="inlineStr">
        <is>
          <t>São Paulo</t>
        </is>
      </c>
      <c r="M1679" s="5" t="n">
        <v>1</v>
      </c>
    </row>
    <row r="1680">
      <c r="A1680" s="3">
        <f>RAND()</f>
        <v/>
      </c>
      <c r="B1680" s="4" t="inlineStr">
        <is>
          <t>ChIJST8r-n9bzpQRA5qbMN8HZ1w</t>
        </is>
      </c>
      <c r="C1680" s="4" t="inlineStr">
        <is>
          <t>Nerdforge</t>
        </is>
      </c>
      <c r="D1680" s="4" t="inlineStr">
        <is>
          <t>São Paulo</t>
        </is>
      </c>
      <c r="E1680" s="4" t="inlineStr">
        <is>
          <t>SP</t>
        </is>
      </c>
      <c r="F1680" s="4" t="inlineStr">
        <is>
          <t>Grande Metrópole Nacional</t>
        </is>
      </c>
      <c r="G1680" s="4" t="inlineStr">
        <is>
          <t>Metrópole</t>
        </is>
      </c>
      <c r="H1680" s="5">
        <f>IF(G1680="fora do recorte","",SUMPRODUCT(($G$3:$G$1723=G1680)*($A$3:$A$1723&lt;=A1680)))</f>
        <v/>
      </c>
      <c r="I1680" s="4">
        <f>IF(H1680="","",G1680&amp;"|"&amp;H1680)</f>
        <v/>
      </c>
      <c r="J1680" s="4" t="inlineStr">
        <is>
          <t>https://www.google.com/maps/search/?api=1&amp;query=Nerdforge&amp;query_place_id=ChIJST8r-n9bzpQRA5qbMN8HZ1w</t>
        </is>
      </c>
      <c r="K1680" s="4" t="inlineStr">
        <is>
          <t>R. Cuminapanema, 26 - Vila da Saúde, São Paulo - SP, 04145-060, Brasil</t>
        </is>
      </c>
      <c r="L1680" s="4" t="inlineStr">
        <is>
          <t>São Paulo</t>
        </is>
      </c>
      <c r="M1680" s="5" t="n">
        <v>1</v>
      </c>
    </row>
    <row r="1681">
      <c r="A1681" s="3">
        <f>RAND()</f>
        <v/>
      </c>
      <c r="B1681" s="4" t="inlineStr">
        <is>
          <t>ChIJGw1wLolZzpQRZGdr_DjXmUE</t>
        </is>
      </c>
      <c r="C1681" s="4" t="inlineStr">
        <is>
          <t>Newstation SP</t>
        </is>
      </c>
      <c r="D1681" s="4" t="inlineStr">
        <is>
          <t>São Paulo</t>
        </is>
      </c>
      <c r="E1681" s="4" t="inlineStr">
        <is>
          <t>SP</t>
        </is>
      </c>
      <c r="F1681" s="4" t="inlineStr">
        <is>
          <t>Grande Metrópole Nacional</t>
        </is>
      </c>
      <c r="G1681" s="4" t="inlineStr">
        <is>
          <t>Metrópole</t>
        </is>
      </c>
      <c r="H1681" s="5">
        <f>IF(G1681="fora do recorte","",SUMPRODUCT(($G$3:$G$1723=G1681)*($A$3:$A$1723&lt;=A1681)))</f>
        <v/>
      </c>
      <c r="I1681" s="4">
        <f>IF(H1681="","",G1681&amp;"|"&amp;H1681)</f>
        <v/>
      </c>
      <c r="J1681" s="4" t="inlineStr">
        <is>
          <t>https://www.google.com/maps/search/?api=1&amp;query=Newstation%20SP&amp;query_place_id=ChIJGw1wLolZzpQRZGdr_DjXmUE</t>
        </is>
      </c>
      <c r="K1681" s="4" t="inlineStr">
        <is>
          <t>R. Rio Grande, 48 - LOJA1 - Vila Mariana, São Paulo - SP, 04018-000, Brasil</t>
        </is>
      </c>
      <c r="L1681" s="4" t="inlineStr">
        <is>
          <t>São Paulo</t>
        </is>
      </c>
      <c r="M1681" s="5" t="n">
        <v>3</v>
      </c>
    </row>
    <row r="1682">
      <c r="A1682" s="3">
        <f>RAND()</f>
        <v/>
      </c>
      <c r="B1682" s="4" t="inlineStr">
        <is>
          <t>ChIJSzrB53BZzpQRxrFNk8rwMkU</t>
        </is>
      </c>
      <c r="C1682" s="4" t="inlineStr">
        <is>
          <t>O Pasquim Bar e Prosa Mercado Municipal</t>
        </is>
      </c>
      <c r="D1682" s="4" t="inlineStr">
        <is>
          <t>São Paulo</t>
        </is>
      </c>
      <c r="E1682" s="4" t="inlineStr">
        <is>
          <t>SP</t>
        </is>
      </c>
      <c r="F1682" s="4" t="inlineStr">
        <is>
          <t>Grande Metrópole Nacional</t>
        </is>
      </c>
      <c r="G1682" s="4" t="inlineStr">
        <is>
          <t>Metrópole</t>
        </is>
      </c>
      <c r="H1682" s="5">
        <f>IF(G1682="fora do recorte","",SUMPRODUCT(($G$3:$G$1723=G1682)*($A$3:$A$1723&lt;=A1682)))</f>
        <v/>
      </c>
      <c r="I1682" s="4">
        <f>IF(H1682="","",G1682&amp;"|"&amp;H1682)</f>
        <v/>
      </c>
      <c r="J1682" s="4" t="inlineStr">
        <is>
          <t>https://www.google.com/maps/search/?api=1&amp;query=O%20Pasquim%20Bar%20e%20Prosa%20Mercado%20Municipal&amp;query_place_id=ChIJSzrB53BZzpQRxrFNk8rwMkU</t>
        </is>
      </c>
      <c r="K1682" s="4" t="inlineStr">
        <is>
          <t>R. da Cantareira, 306 - Centro Histórico de São Paulo, São Paulo - SP, 01024-900, Brasil</t>
        </is>
      </c>
      <c r="L1682" s="4" t="inlineStr">
        <is>
          <t>São Paulo</t>
        </is>
      </c>
      <c r="M1682" s="5" t="n">
        <v>1</v>
      </c>
    </row>
    <row r="1683">
      <c r="A1683" s="3">
        <f>RAND()</f>
        <v/>
      </c>
      <c r="B1683" s="4" t="inlineStr">
        <is>
          <t>ChIJE43rt29ZzpQRnvADt6pXfto</t>
        </is>
      </c>
      <c r="C1683" s="4" t="inlineStr">
        <is>
          <t>Omniverse</t>
        </is>
      </c>
      <c r="D1683" s="4" t="inlineStr">
        <is>
          <t>São Paulo</t>
        </is>
      </c>
      <c r="E1683" s="4" t="inlineStr">
        <is>
          <t>SP</t>
        </is>
      </c>
      <c r="F1683" s="4" t="inlineStr">
        <is>
          <t>Grande Metrópole Nacional</t>
        </is>
      </c>
      <c r="G1683" s="4" t="inlineStr">
        <is>
          <t>Metrópole</t>
        </is>
      </c>
      <c r="H1683" s="5">
        <f>IF(G1683="fora do recorte","",SUMPRODUCT(($G$3:$G$1723=G1683)*($A$3:$A$1723&lt;=A1683)))</f>
        <v/>
      </c>
      <c r="I1683" s="4">
        <f>IF(H1683="","",G1683&amp;"|"&amp;H1683)</f>
        <v/>
      </c>
      <c r="J1683" s="4" t="inlineStr">
        <is>
          <t>https://www.google.com/maps/search/?api=1&amp;query=Omniverse&amp;query_place_id=ChIJE43rt29ZzpQRnvADt6pXfto</t>
        </is>
      </c>
      <c r="K1683" s="4" t="inlineStr">
        <is>
          <t>Rua Comendador Eduardo Saccab, 180 - Brooklin, São Paulo - SP, 04601-070, Brasil</t>
        </is>
      </c>
      <c r="L1683" s="4" t="inlineStr">
        <is>
          <t>São Paulo</t>
        </is>
      </c>
      <c r="M1683" s="5" t="n">
        <v>5</v>
      </c>
    </row>
    <row r="1684">
      <c r="A1684" s="3">
        <f>RAND()</f>
        <v/>
      </c>
      <c r="B1684" s="4" t="inlineStr">
        <is>
          <t>ChIJK4DoYZxXzpQRrag7bYI86KM</t>
        </is>
      </c>
      <c r="C1684" s="4" t="inlineStr">
        <is>
          <t>PARTISANS PUB</t>
        </is>
      </c>
      <c r="D1684" s="4" t="inlineStr">
        <is>
          <t>São Paulo</t>
        </is>
      </c>
      <c r="E1684" s="4" t="inlineStr">
        <is>
          <t>SP</t>
        </is>
      </c>
      <c r="F1684" s="4" t="inlineStr">
        <is>
          <t>Grande Metrópole Nacional</t>
        </is>
      </c>
      <c r="G1684" s="4" t="inlineStr">
        <is>
          <t>Metrópole</t>
        </is>
      </c>
      <c r="H1684" s="5">
        <f>IF(G1684="fora do recorte","",SUMPRODUCT(($G$3:$G$1723=G1684)*($A$3:$A$1723&lt;=A1684)))</f>
        <v/>
      </c>
      <c r="I1684" s="4">
        <f>IF(H1684="","",G1684&amp;"|"&amp;H1684)</f>
        <v/>
      </c>
      <c r="J1684" s="4" t="inlineStr">
        <is>
          <t>https://www.google.com/maps/search/?api=1&amp;query=PARTISANS%20PUB&amp;query_place_id=ChIJK4DoYZxXzpQRrag7bYI86KM</t>
        </is>
      </c>
      <c r="K1684" s="4" t="inlineStr">
        <is>
          <t>R. Cônego Eugênio Leite, 944 - Pinheiros, São Paulo - SP, 05414-001, Brasil</t>
        </is>
      </c>
      <c r="L1684" s="4" t="inlineStr">
        <is>
          <t>São Paulo</t>
        </is>
      </c>
      <c r="M1684" s="5" t="n">
        <v>1</v>
      </c>
    </row>
    <row r="1685">
      <c r="A1685" s="3">
        <f>RAND()</f>
        <v/>
      </c>
      <c r="B1685" s="4" t="inlineStr">
        <is>
          <t>ChIJrVmMsgNbzpQR1TR-vMoDB2s</t>
        </is>
      </c>
      <c r="C1685" s="4" t="inlineStr">
        <is>
          <t>Pac-Deck | Loja de Card Games e acessórios (TCG)</t>
        </is>
      </c>
      <c r="D1685" s="4" t="inlineStr">
        <is>
          <t>São Paulo</t>
        </is>
      </c>
      <c r="E1685" s="4" t="inlineStr">
        <is>
          <t>SP</t>
        </is>
      </c>
      <c r="F1685" s="4" t="inlineStr">
        <is>
          <t>Grande Metrópole Nacional</t>
        </is>
      </c>
      <c r="G1685" s="4" t="inlineStr">
        <is>
          <t>Metrópole</t>
        </is>
      </c>
      <c r="H1685" s="5">
        <f>IF(G1685="fora do recorte","",SUMPRODUCT(($G$3:$G$1723=G1685)*($A$3:$A$1723&lt;=A1685)))</f>
        <v/>
      </c>
      <c r="I1685" s="4">
        <f>IF(H1685="","",G1685&amp;"|"&amp;H1685)</f>
        <v/>
      </c>
      <c r="J1685" s="4" t="inlineStr">
        <is>
          <t>https://www.google.com/maps/search/?api=1&amp;query=Pac-Deck%20%7C%20Loja%20de%20Card%20Games%20e%20acess%C3%B3rios%20%28TCG%29&amp;query_place_id=ChIJrVmMsgNbzpQR1TR-vMoDB2s</t>
        </is>
      </c>
      <c r="K1685" s="4" t="inlineStr">
        <is>
          <t>Av. Miguel Estefno, 413 - Vila da Saúde, São Paulo - SP, 04341-010, Brasil</t>
        </is>
      </c>
      <c r="L1685" s="4" t="inlineStr">
        <is>
          <t>São Paulo</t>
        </is>
      </c>
      <c r="M1685" s="5" t="n">
        <v>1</v>
      </c>
    </row>
    <row r="1686">
      <c r="A1686" s="3">
        <f>RAND()</f>
        <v/>
      </c>
      <c r="B1686" s="4" t="inlineStr">
        <is>
          <t>ChIJo-6lZMlezpQRmgUpUPfmRIs</t>
        </is>
      </c>
      <c r="C1686" s="4" t="inlineStr">
        <is>
          <t>Pittas Board Games | Jogos de Tabuleiro</t>
        </is>
      </c>
      <c r="D1686" s="4" t="inlineStr">
        <is>
          <t>São Paulo</t>
        </is>
      </c>
      <c r="E1686" s="4" t="inlineStr">
        <is>
          <t>SP</t>
        </is>
      </c>
      <c r="F1686" s="4" t="inlineStr">
        <is>
          <t>Grande Metrópole Nacional</t>
        </is>
      </c>
      <c r="G1686" s="4" t="inlineStr">
        <is>
          <t>Metrópole</t>
        </is>
      </c>
      <c r="H1686" s="5">
        <f>IF(G1686="fora do recorte","",SUMPRODUCT(($G$3:$G$1723=G1686)*($A$3:$A$1723&lt;=A1686)))</f>
        <v/>
      </c>
      <c r="I1686" s="4">
        <f>IF(H1686="","",G1686&amp;"|"&amp;H1686)</f>
        <v/>
      </c>
      <c r="J1686" s="4" t="inlineStr">
        <is>
          <t>https://www.google.com/maps/search/?api=1&amp;query=Pittas%20Board%20Games%20%7C%20Jogos%20de%20Tabuleiro&amp;query_place_id=ChIJo-6lZMlezpQRmgUpUPfmRIs</t>
        </is>
      </c>
      <c r="K1686" s="4" t="inlineStr">
        <is>
          <t>R. Paraupava, 80 - Belenzinho, São Paulo - SP, 03171-060, Brasil</t>
        </is>
      </c>
      <c r="L1686" s="4" t="inlineStr">
        <is>
          <t>Boa Vista; Curitiba; João Pessoa; Porto Alegre; Recife; São Paulo</t>
        </is>
      </c>
      <c r="M1686" s="5" t="n">
        <v>12</v>
      </c>
    </row>
    <row r="1687">
      <c r="A1687" s="3">
        <f>RAND()</f>
        <v/>
      </c>
      <c r="B1687" s="4" t="inlineStr">
        <is>
          <t>ChIJNcHw7jNYzpQRKRHPOrb4jEw</t>
        </is>
      </c>
      <c r="C1687" s="4" t="inlineStr">
        <is>
          <t>Play Easy</t>
        </is>
      </c>
      <c r="D1687" s="4" t="inlineStr">
        <is>
          <t>São Paulo</t>
        </is>
      </c>
      <c r="E1687" s="4" t="inlineStr">
        <is>
          <t>SP</t>
        </is>
      </c>
      <c r="F1687" s="4" t="inlineStr">
        <is>
          <t>Grande Metrópole Nacional</t>
        </is>
      </c>
      <c r="G1687" s="4" t="inlineStr">
        <is>
          <t>Metrópole</t>
        </is>
      </c>
      <c r="H1687" s="5">
        <f>IF(G1687="fora do recorte","",SUMPRODUCT(($G$3:$G$1723=G1687)*($A$3:$A$1723&lt;=A1687)))</f>
        <v/>
      </c>
      <c r="I1687" s="4">
        <f>IF(H1687="","",G1687&amp;"|"&amp;H1687)</f>
        <v/>
      </c>
      <c r="J1687" s="4" t="inlineStr">
        <is>
          <t>https://www.google.com/maps/search/?api=1&amp;query=Play%20Easy&amp;query_place_id=ChIJNcHw7jNYzpQRKRHPOrb4jEw</t>
        </is>
      </c>
      <c r="K1687" s="4" t="inlineStr">
        <is>
          <t>R. Pedro Taques, 47 - Cerqueira César, São Paulo - SP, 01415-010, Brasil</t>
        </is>
      </c>
      <c r="L1687" s="4" t="inlineStr">
        <is>
          <t>Aracaju; Natal; Porto Alegre; São Paulo; Vitória</t>
        </is>
      </c>
      <c r="M1687" s="5" t="n">
        <v>10</v>
      </c>
    </row>
    <row r="1688">
      <c r="A1688" s="3">
        <f>RAND()</f>
        <v/>
      </c>
      <c r="B1688" s="4" t="inlineStr">
        <is>
          <t>ChIJ0zYc8D9RzpQReJKcEHzxZrM</t>
        </is>
      </c>
      <c r="C1688" s="4" t="inlineStr">
        <is>
          <t>Point da Amizade</t>
        </is>
      </c>
      <c r="D1688" s="4" t="inlineStr">
        <is>
          <t>São Paulo</t>
        </is>
      </c>
      <c r="E1688" s="4" t="inlineStr">
        <is>
          <t>SP</t>
        </is>
      </c>
      <c r="F1688" s="4" t="inlineStr">
        <is>
          <t>Grande Metrópole Nacional</t>
        </is>
      </c>
      <c r="G1688" s="4" t="inlineStr">
        <is>
          <t>Metrópole</t>
        </is>
      </c>
      <c r="H1688" s="5">
        <f>IF(G1688="fora do recorte","",SUMPRODUCT(($G$3:$G$1723=G1688)*($A$3:$A$1723&lt;=A1688)))</f>
        <v/>
      </c>
      <c r="I1688" s="4">
        <f>IF(H1688="","",G1688&amp;"|"&amp;H1688)</f>
        <v/>
      </c>
      <c r="J1688" s="4" t="inlineStr">
        <is>
          <t>https://www.google.com/maps/search/?api=1&amp;query=Point%20da%20Amizade&amp;query_place_id=ChIJ0zYc8D9RzpQReJKcEHzxZrM</t>
        </is>
      </c>
      <c r="K1688" s="4" t="inlineStr">
        <is>
          <t>Unnamed Road - Jardim Mirante, São Paulo - SP, 05801-110, Brasil</t>
        </is>
      </c>
      <c r="L1688" s="4" t="inlineStr">
        <is>
          <t>São Paulo</t>
        </is>
      </c>
      <c r="M1688" s="5" t="n">
        <v>2</v>
      </c>
    </row>
    <row r="1689">
      <c r="A1689" s="3">
        <f>RAND()</f>
        <v/>
      </c>
      <c r="B1689" s="4" t="inlineStr">
        <is>
          <t>ChIJO7xc2qZbzpQRfyZR6yK538I</t>
        </is>
      </c>
      <c r="C1689" s="4" t="inlineStr">
        <is>
          <t>Polar Jogos</t>
        </is>
      </c>
      <c r="D1689" s="4" t="inlineStr">
        <is>
          <t>São Paulo</t>
        </is>
      </c>
      <c r="E1689" s="4" t="inlineStr">
        <is>
          <t>SP</t>
        </is>
      </c>
      <c r="F1689" s="4" t="inlineStr">
        <is>
          <t>Grande Metrópole Nacional</t>
        </is>
      </c>
      <c r="G1689" s="4" t="inlineStr">
        <is>
          <t>Metrópole</t>
        </is>
      </c>
      <c r="H1689" s="5">
        <f>IF(G1689="fora do recorte","",SUMPRODUCT(($G$3:$G$1723=G1689)*($A$3:$A$1723&lt;=A1689)))</f>
        <v/>
      </c>
      <c r="I1689" s="4">
        <f>IF(H1689="","",G1689&amp;"|"&amp;H1689)</f>
        <v/>
      </c>
      <c r="J1689" s="4" t="inlineStr">
        <is>
          <t>https://www.google.com/maps/search/?api=1&amp;query=Polar%20Jogos&amp;query_place_id=ChIJO7xc2qZbzpQRfyZR6yK538I</t>
        </is>
      </c>
      <c r="K1689" s="4" t="inlineStr">
        <is>
          <t>Alameda dos Nhambiquaras, 2013 - Moema, São Paulo - SP, 04090-013, Brasil</t>
        </is>
      </c>
      <c r="L1689" s="4" t="inlineStr">
        <is>
          <t>São Paulo</t>
        </is>
      </c>
      <c r="M1689" s="5" t="n">
        <v>1</v>
      </c>
    </row>
    <row r="1690">
      <c r="A1690" s="3">
        <f>RAND()</f>
        <v/>
      </c>
      <c r="B1690" s="4" t="inlineStr">
        <is>
          <t>ChIJZeLd3Nn3zpQRUACWDZ_zURE</t>
        </is>
      </c>
      <c r="C1690" s="4" t="inlineStr">
        <is>
          <t>Polvo Ludoteca</t>
        </is>
      </c>
      <c r="D1690" s="4" t="inlineStr">
        <is>
          <t>São Paulo</t>
        </is>
      </c>
      <c r="E1690" s="4" t="inlineStr">
        <is>
          <t>SP</t>
        </is>
      </c>
      <c r="F1690" s="4" t="inlineStr">
        <is>
          <t>Grande Metrópole Nacional</t>
        </is>
      </c>
      <c r="G1690" s="4" t="inlineStr">
        <is>
          <t>Metrópole</t>
        </is>
      </c>
      <c r="H1690" s="5">
        <f>IF(G1690="fora do recorte","",SUMPRODUCT(($G$3:$G$1723=G1690)*($A$3:$A$1723&lt;=A1690)))</f>
        <v/>
      </c>
      <c r="I1690" s="4">
        <f>IF(H1690="","",G1690&amp;"|"&amp;H1690)</f>
        <v/>
      </c>
      <c r="J1690" s="4" t="inlineStr">
        <is>
          <t>https://www.google.com/maps/search/?api=1&amp;query=Polvo%20Ludoteca&amp;query_place_id=ChIJZeLd3Nn3zpQRUACWDZ_zURE</t>
        </is>
      </c>
      <c r="K1690" s="4" t="inlineStr">
        <is>
          <t>R. Pedro Doll, 71 - Santana, São Paulo - SP, 02404-000, Brasil</t>
        </is>
      </c>
      <c r="L1690" s="4" t="inlineStr">
        <is>
          <t>São Paulo</t>
        </is>
      </c>
      <c r="M1690" s="5" t="n">
        <v>1</v>
      </c>
    </row>
    <row r="1691">
      <c r="A1691" s="3">
        <f>RAND()</f>
        <v/>
      </c>
      <c r="B1691" s="4" t="inlineStr">
        <is>
          <t>ChIJVSU8VJlfzpQRUKpj8DVvpVg</t>
        </is>
      </c>
      <c r="C1691" s="4" t="inlineStr">
        <is>
          <t>PopHaus - Tatuapé</t>
        </is>
      </c>
      <c r="D1691" s="4" t="inlineStr">
        <is>
          <t>São Paulo</t>
        </is>
      </c>
      <c r="E1691" s="4" t="inlineStr">
        <is>
          <t>SP</t>
        </is>
      </c>
      <c r="F1691" s="4" t="inlineStr">
        <is>
          <t>Grande Metrópole Nacional</t>
        </is>
      </c>
      <c r="G1691" s="4" t="inlineStr">
        <is>
          <t>Metrópole</t>
        </is>
      </c>
      <c r="H1691" s="5">
        <f>IF(G1691="fora do recorte","",SUMPRODUCT(($G$3:$G$1723=G1691)*($A$3:$A$1723&lt;=A1691)))</f>
        <v/>
      </c>
      <c r="I1691" s="4">
        <f>IF(H1691="","",G1691&amp;"|"&amp;H1691)</f>
        <v/>
      </c>
      <c r="J1691" s="4" t="inlineStr">
        <is>
          <t>https://www.google.com/maps/search/?api=1&amp;query=PopHaus%20-%20Tatuap%C3%A9&amp;query_place_id=ChIJVSU8VJlfzpQRUKpj8DVvpVg</t>
        </is>
      </c>
      <c r="K1691" s="4" t="inlineStr">
        <is>
          <t>R. Euclides Pacheco, 483 - Vila Gomes Cardim, São Paulo - SP, 03321-000, Brasil</t>
        </is>
      </c>
      <c r="L1691" s="4" t="inlineStr">
        <is>
          <t>São Paulo</t>
        </is>
      </c>
      <c r="M1691" s="5" t="n">
        <v>1</v>
      </c>
    </row>
    <row r="1692">
      <c r="A1692" s="3">
        <f>RAND()</f>
        <v/>
      </c>
      <c r="B1692" s="4" t="inlineStr">
        <is>
          <t>ChIJxdfaXGNZzpQRhb1uhFqtZGU</t>
        </is>
      </c>
      <c r="C1692" s="4" t="inlineStr">
        <is>
          <t>Quiz Eventos</t>
        </is>
      </c>
      <c r="D1692" s="4" t="inlineStr">
        <is>
          <t>São Paulo</t>
        </is>
      </c>
      <c r="E1692" s="4" t="inlineStr">
        <is>
          <t>SP</t>
        </is>
      </c>
      <c r="F1692" s="4" t="inlineStr">
        <is>
          <t>Grande Metrópole Nacional</t>
        </is>
      </c>
      <c r="G1692" s="4" t="inlineStr">
        <is>
          <t>Metrópole</t>
        </is>
      </c>
      <c r="H1692" s="5">
        <f>IF(G1692="fora do recorte","",SUMPRODUCT(($G$3:$G$1723=G1692)*($A$3:$A$1723&lt;=A1692)))</f>
        <v/>
      </c>
      <c r="I1692" s="4">
        <f>IF(H1692="","",G1692&amp;"|"&amp;H1692)</f>
        <v/>
      </c>
      <c r="J1692" s="4" t="inlineStr">
        <is>
          <t>https://www.google.com/maps/search/?api=1&amp;query=Quiz%20Eventos&amp;query_place_id=ChIJxdfaXGNZzpQRhb1uhFqtZGU</t>
        </is>
      </c>
      <c r="K1692" s="4" t="inlineStr">
        <is>
          <t>R. Caiacanga, 168 - Mirandópolis, São Paulo - SP, 04051-040, Brasil</t>
        </is>
      </c>
      <c r="L1692" s="4" t="inlineStr">
        <is>
          <t>São Paulo</t>
        </is>
      </c>
      <c r="M1692" s="5" t="n">
        <v>1</v>
      </c>
    </row>
    <row r="1693">
      <c r="A1693" s="3">
        <f>RAND()</f>
        <v/>
      </c>
      <c r="B1693" s="4" t="inlineStr">
        <is>
          <t>ChIJe9btJaFZzpQRAGxgBZnQ7LA</t>
        </is>
      </c>
      <c r="C1693" s="4" t="inlineStr">
        <is>
          <t>Shinozaki</t>
        </is>
      </c>
      <c r="D1693" s="4" t="inlineStr">
        <is>
          <t>São Paulo</t>
        </is>
      </c>
      <c r="E1693" s="4" t="inlineStr">
        <is>
          <t>SP</t>
        </is>
      </c>
      <c r="F1693" s="4" t="inlineStr">
        <is>
          <t>Grande Metrópole Nacional</t>
        </is>
      </c>
      <c r="G1693" s="4" t="inlineStr">
        <is>
          <t>Metrópole</t>
        </is>
      </c>
      <c r="H1693" s="5">
        <f>IF(G1693="fora do recorte","",SUMPRODUCT(($G$3:$G$1723=G1693)*($A$3:$A$1723&lt;=A1693)))</f>
        <v/>
      </c>
      <c r="I1693" s="4">
        <f>IF(H1693="","",G1693&amp;"|"&amp;H1693)</f>
        <v/>
      </c>
      <c r="J1693" s="4" t="inlineStr">
        <is>
          <t>https://www.google.com/maps/search/?api=1&amp;query=Shinozaki&amp;query_place_id=ChIJe9btJaFZzpQRAGxgBZnQ7LA</t>
        </is>
      </c>
      <c r="K1693" s="4" t="inlineStr">
        <is>
          <t>R. Galvão Bueno, 40 - Lj 233 - Liberdade, São Paulo - SP, 01506-000, Brasil</t>
        </is>
      </c>
      <c r="L1693" s="4" t="inlineStr">
        <is>
          <t>São Paulo</t>
        </is>
      </c>
      <c r="M1693" s="5" t="n">
        <v>1</v>
      </c>
    </row>
    <row r="1694">
      <c r="A1694" s="3">
        <f>RAND()</f>
        <v/>
      </c>
      <c r="B1694" s="4" t="inlineStr">
        <is>
          <t>ChIJG1R0tatQzpQRweiB3piW95s</t>
        </is>
      </c>
      <c r="C1694" s="4" t="inlineStr">
        <is>
          <t>Spellbox</t>
        </is>
      </c>
      <c r="D1694" s="4" t="inlineStr">
        <is>
          <t>São Paulo</t>
        </is>
      </c>
      <c r="E1694" s="4" t="inlineStr">
        <is>
          <t>SP</t>
        </is>
      </c>
      <c r="F1694" s="4" t="inlineStr">
        <is>
          <t>Grande Metrópole Nacional</t>
        </is>
      </c>
      <c r="G1694" s="4" t="inlineStr">
        <is>
          <t>Metrópole</t>
        </is>
      </c>
      <c r="H1694" s="5">
        <f>IF(G1694="fora do recorte","",SUMPRODUCT(($G$3:$G$1723=G1694)*($A$3:$A$1723&lt;=A1694)))</f>
        <v/>
      </c>
      <c r="I1694" s="4">
        <f>IF(H1694="","",G1694&amp;"|"&amp;H1694)</f>
        <v/>
      </c>
      <c r="J1694" s="4" t="inlineStr">
        <is>
          <t>https://www.google.com/maps/search/?api=1&amp;query=Spellbox&amp;query_place_id=ChIJG1R0tatQzpQRweiB3piW95s</t>
        </is>
      </c>
      <c r="K1694" s="4" t="inlineStr">
        <is>
          <t>Rua Tuim, 1038 - Moema, São Paulo - SP, 04514-103, Brasil</t>
        </is>
      </c>
      <c r="L1694" s="4" t="inlineStr">
        <is>
          <t>São Paulo</t>
        </is>
      </c>
      <c r="M1694" s="5" t="n">
        <v>1</v>
      </c>
    </row>
    <row r="1695">
      <c r="A1695" s="3">
        <f>RAND()</f>
        <v/>
      </c>
      <c r="B1695" s="4" t="inlineStr">
        <is>
          <t>ChIJP-6DqydazpQRu-n58Xh30HU</t>
        </is>
      </c>
      <c r="C1695" s="4" t="inlineStr">
        <is>
          <t>Taverna Medieval</t>
        </is>
      </c>
      <c r="D1695" s="4" t="inlineStr">
        <is>
          <t>São Paulo</t>
        </is>
      </c>
      <c r="E1695" s="4" t="inlineStr">
        <is>
          <t>SP</t>
        </is>
      </c>
      <c r="F1695" s="4" t="inlineStr">
        <is>
          <t>Grande Metrópole Nacional</t>
        </is>
      </c>
      <c r="G1695" s="4" t="inlineStr">
        <is>
          <t>Metrópole</t>
        </is>
      </c>
      <c r="H1695" s="5">
        <f>IF(G1695="fora do recorte","",SUMPRODUCT(($G$3:$G$1723=G1695)*($A$3:$A$1723&lt;=A1695)))</f>
        <v/>
      </c>
      <c r="I1695" s="4">
        <f>IF(H1695="","",G1695&amp;"|"&amp;H1695)</f>
        <v/>
      </c>
      <c r="J1695" s="4" t="inlineStr">
        <is>
          <t>https://www.google.com/maps/search/?api=1&amp;query=Taverna%20Medieval&amp;query_place_id=ChIJP-6DqydazpQRu-n58Xh30HU</t>
        </is>
      </c>
      <c r="K1695" s="4" t="inlineStr">
        <is>
          <t>R. Gandavo, 456 - Vila Clementino, São Paulo - SP, 04023-001, Brasil</t>
        </is>
      </c>
      <c r="L1695" s="4" t="inlineStr">
        <is>
          <t>São Paulo</t>
        </is>
      </c>
      <c r="M1695" s="5" t="n">
        <v>1</v>
      </c>
    </row>
    <row r="1696">
      <c r="A1696" s="3">
        <f>RAND()</f>
        <v/>
      </c>
      <c r="B1696" s="4" t="inlineStr">
        <is>
          <t>ChIJldDb9bdZzpQRGCliHfXqlY4</t>
        </is>
      </c>
      <c r="C1696" s="4" t="inlineStr">
        <is>
          <t>The Blue Pub</t>
        </is>
      </c>
      <c r="D1696" s="4" t="inlineStr">
        <is>
          <t>São Paulo</t>
        </is>
      </c>
      <c r="E1696" s="4" t="inlineStr">
        <is>
          <t>SP</t>
        </is>
      </c>
      <c r="F1696" s="4" t="inlineStr">
        <is>
          <t>Grande Metrópole Nacional</t>
        </is>
      </c>
      <c r="G1696" s="4" t="inlineStr">
        <is>
          <t>Metrópole</t>
        </is>
      </c>
      <c r="H1696" s="5">
        <f>IF(G1696="fora do recorte","",SUMPRODUCT(($G$3:$G$1723=G1696)*($A$3:$A$1723&lt;=A1696)))</f>
        <v/>
      </c>
      <c r="I1696" s="4">
        <f>IF(H1696="","",G1696&amp;"|"&amp;H1696)</f>
        <v/>
      </c>
      <c r="J1696" s="4" t="inlineStr">
        <is>
          <t>https://www.google.com/maps/search/?api=1&amp;query=The%20Blue%20Pub&amp;query_place_id=ChIJldDb9bdZzpQRGCliHfXqlY4</t>
        </is>
      </c>
      <c r="K1696" s="4" t="inlineStr">
        <is>
          <t>Alameda Ribeirão Preto, 384 - Bela Vista, São Paulo - SP, 01331-000, Brasil</t>
        </is>
      </c>
      <c r="L1696" s="4" t="inlineStr">
        <is>
          <t>São Paulo</t>
        </is>
      </c>
      <c r="M1696" s="5" t="n">
        <v>1</v>
      </c>
    </row>
    <row r="1697">
      <c r="A1697" s="3">
        <f>RAND()</f>
        <v/>
      </c>
      <c r="B1697" s="4" t="inlineStr">
        <is>
          <t>ChIJw-d4GUJXzpQR6eIiaPq4ses</t>
        </is>
      </c>
      <c r="C1697" s="4" t="inlineStr">
        <is>
          <t>The Blue Pub - Itaim</t>
        </is>
      </c>
      <c r="D1697" s="4" t="inlineStr">
        <is>
          <t>São Paulo</t>
        </is>
      </c>
      <c r="E1697" s="4" t="inlineStr">
        <is>
          <t>SP</t>
        </is>
      </c>
      <c r="F1697" s="4" t="inlineStr">
        <is>
          <t>Grande Metrópole Nacional</t>
        </is>
      </c>
      <c r="G1697" s="4" t="inlineStr">
        <is>
          <t>Metrópole</t>
        </is>
      </c>
      <c r="H1697" s="5">
        <f>IF(G1697="fora do recorte","",SUMPRODUCT(($G$3:$G$1723=G1697)*($A$3:$A$1723&lt;=A1697)))</f>
        <v/>
      </c>
      <c r="I1697" s="4">
        <f>IF(H1697="","",G1697&amp;"|"&amp;H1697)</f>
        <v/>
      </c>
      <c r="J1697" s="4" t="inlineStr">
        <is>
          <t>https://www.google.com/maps/search/?api=1&amp;query=The%20Blue%20Pub%20-%20Itaim&amp;query_place_id=ChIJw-d4GUJXzpQR6eIiaPq4ses</t>
        </is>
      </c>
      <c r="K1697" s="4" t="inlineStr">
        <is>
          <t>Rua Tabapuã, 1439 - Itaim Bibi, São Paulo - SP, 04533-014, Brasil</t>
        </is>
      </c>
      <c r="L1697" s="4" t="inlineStr">
        <is>
          <t>São Paulo</t>
        </is>
      </c>
      <c r="M1697" s="5" t="n">
        <v>1</v>
      </c>
    </row>
    <row r="1698">
      <c r="A1698" s="3">
        <f>RAND()</f>
        <v/>
      </c>
      <c r="B1698" s="4" t="inlineStr">
        <is>
          <t>ChIJQSTYYLVVzpQRYvXUW9v8NhU</t>
        </is>
      </c>
      <c r="C1698" s="4" t="inlineStr">
        <is>
          <t>Thutti Jogos</t>
        </is>
      </c>
      <c r="D1698" s="4" t="inlineStr">
        <is>
          <t>São Paulo</t>
        </is>
      </c>
      <c r="E1698" s="4" t="inlineStr">
        <is>
          <t>SP</t>
        </is>
      </c>
      <c r="F1698" s="4" t="inlineStr">
        <is>
          <t>Grande Metrópole Nacional</t>
        </is>
      </c>
      <c r="G1698" s="4" t="inlineStr">
        <is>
          <t>Metrópole</t>
        </is>
      </c>
      <c r="H1698" s="5">
        <f>IF(G1698="fora do recorte","",SUMPRODUCT(($G$3:$G$1723=G1698)*($A$3:$A$1723&lt;=A1698)))</f>
        <v/>
      </c>
      <c r="I1698" s="4">
        <f>IF(H1698="","",G1698&amp;"|"&amp;H1698)</f>
        <v/>
      </c>
      <c r="J1698" s="4" t="inlineStr">
        <is>
          <t>https://www.google.com/maps/search/?api=1&amp;query=Thutti%20Jogos&amp;query_place_id=ChIJQSTYYLVVzpQRYvXUW9v8NhU</t>
        </is>
      </c>
      <c r="K1698" s="4" t="inlineStr">
        <is>
          <t>R. Alfredo Xavier de Andrade, 152 - Jardim Esmeralda, São Paulo - SP, 05596-030, Brasil</t>
        </is>
      </c>
      <c r="L1698" s="4" t="inlineStr">
        <is>
          <t>São Paulo</t>
        </is>
      </c>
      <c r="M1698" s="5" t="n">
        <v>1</v>
      </c>
    </row>
    <row r="1699">
      <c r="A1699" s="3">
        <f>RAND()</f>
        <v/>
      </c>
      <c r="B1699" s="4" t="inlineStr">
        <is>
          <t>ChIJsU5BAwBRzpQRAgLVvqg68os</t>
        </is>
      </c>
      <c r="C1699" s="4" t="inlineStr">
        <is>
          <t>Tubaleria - Clube de Jogos de Tabuleiro e Hamburgueria</t>
        </is>
      </c>
      <c r="D1699" s="4" t="inlineStr">
        <is>
          <t>São Paulo</t>
        </is>
      </c>
      <c r="E1699" s="4" t="inlineStr">
        <is>
          <t>SP</t>
        </is>
      </c>
      <c r="F1699" s="4" t="inlineStr">
        <is>
          <t>Grande Metrópole Nacional</t>
        </is>
      </c>
      <c r="G1699" s="4" t="inlineStr">
        <is>
          <t>Metrópole</t>
        </is>
      </c>
      <c r="H1699" s="5">
        <f>IF(G1699="fora do recorte","",SUMPRODUCT(($G$3:$G$1723=G1699)*($A$3:$A$1723&lt;=A1699)))</f>
        <v/>
      </c>
      <c r="I1699" s="4">
        <f>IF(H1699="","",G1699&amp;"|"&amp;H1699)</f>
        <v/>
      </c>
      <c r="J1699" s="4" t="inlineStr">
        <is>
          <t>https://www.google.com/maps/search/?api=1&amp;query=Tubaleria%20-%20Clube%20de%20Jogos%20de%20Tabuleiro%20e%20Hamburgueria&amp;query_place_id=ChIJsU5BAwBRzpQRAgLVvqg68os</t>
        </is>
      </c>
      <c r="K1699" s="4" t="inlineStr">
        <is>
          <t>R. Paul Valery, 76 - Chácara Santo Antônio (Zona Sul), São Paulo - SP, 04719-050, Brasil</t>
        </is>
      </c>
      <c r="L1699" s="4" t="inlineStr">
        <is>
          <t>São Paulo</t>
        </is>
      </c>
      <c r="M1699" s="5" t="n">
        <v>2</v>
      </c>
    </row>
    <row r="1700">
      <c r="A1700" s="3">
        <f>RAND()</f>
        <v/>
      </c>
      <c r="B1700" s="4" t="inlineStr">
        <is>
          <t>ChIJCx56LglXzpQRjsVd_C36FN4</t>
        </is>
      </c>
      <c r="C1700" s="4" t="inlineStr">
        <is>
          <t>UZ Games</t>
        </is>
      </c>
      <c r="D1700" s="4" t="inlineStr">
        <is>
          <t>São Paulo</t>
        </is>
      </c>
      <c r="E1700" s="4" t="inlineStr">
        <is>
          <t>SP</t>
        </is>
      </c>
      <c r="F1700" s="4" t="inlineStr">
        <is>
          <t>Grande Metrópole Nacional</t>
        </is>
      </c>
      <c r="G1700" s="4" t="inlineStr">
        <is>
          <t>Metrópole</t>
        </is>
      </c>
      <c r="H1700" s="5">
        <f>IF(G1700="fora do recorte","",SUMPRODUCT(($G$3:$G$1723=G1700)*($A$3:$A$1723&lt;=A1700)))</f>
        <v/>
      </c>
      <c r="I1700" s="4">
        <f>IF(H1700="","",G1700&amp;"|"&amp;H1700)</f>
        <v/>
      </c>
      <c r="J1700" s="4" t="inlineStr">
        <is>
          <t>https://www.google.com/maps/search/?api=1&amp;query=UZ%20Games&amp;query_place_id=ChIJCx56LglXzpQRjsVd_C36FN4</t>
        </is>
      </c>
      <c r="K1700" s="4" t="inlineStr">
        <is>
          <t>Av. Rebouças, 3970 - Pinheiros, São Paulo - SP, 05402-600, Brasil</t>
        </is>
      </c>
      <c r="L1700" s="4" t="inlineStr">
        <is>
          <t>São Paulo</t>
        </is>
      </c>
      <c r="M1700" s="5" t="n">
        <v>1</v>
      </c>
    </row>
    <row r="1701">
      <c r="A1701" s="3">
        <f>RAND()</f>
        <v/>
      </c>
      <c r="B1701" s="4" t="inlineStr">
        <is>
          <t>ChIJb5S1-l_J9QkR2Vc6LTSknZo</t>
        </is>
      </c>
      <c r="C1701" s="4" t="inlineStr">
        <is>
          <t>Visga Jogos Aluguel de Jogos de Tabuleiro</t>
        </is>
      </c>
      <c r="D1701" s="4" t="inlineStr">
        <is>
          <t>São Paulo</t>
        </is>
      </c>
      <c r="E1701" s="4" t="inlineStr">
        <is>
          <t>SP</t>
        </is>
      </c>
      <c r="F1701" s="4" t="inlineStr">
        <is>
          <t>Grande Metrópole Nacional</t>
        </is>
      </c>
      <c r="G1701" s="4" t="inlineStr">
        <is>
          <t>Metrópole</t>
        </is>
      </c>
      <c r="H1701" s="5">
        <f>IF(G1701="fora do recorte","",SUMPRODUCT(($G$3:$G$1723=G1701)*($A$3:$A$1723&lt;=A1701)))</f>
        <v/>
      </c>
      <c r="I1701" s="4">
        <f>IF(H1701="","",G1701&amp;"|"&amp;H1701)</f>
        <v/>
      </c>
      <c r="J1701" s="4" t="inlineStr">
        <is>
          <t>https://www.google.com/maps/search/?api=1&amp;query=Visga%20Jogos%20Aluguel%20de%20Jogos%20de%20Tabuleiro&amp;query_place_id=ChIJb5S1-l_J9QkR2Vc6LTSknZo</t>
        </is>
      </c>
      <c r="K1701" s="4" t="inlineStr">
        <is>
          <t>Praça Dom Francisco de Sousa, 126 - 154A - Santo Amaro, São Paulo - SP, 04745-050, Brasil</t>
        </is>
      </c>
      <c r="L1701" s="4" t="inlineStr">
        <is>
          <t>João Pessoa; Recife; São Paulo</t>
        </is>
      </c>
      <c r="M1701" s="5" t="n">
        <v>9</v>
      </c>
    </row>
    <row r="1702">
      <c r="A1702" s="3">
        <f>RAND()</f>
        <v/>
      </c>
      <c r="B1702" s="4" t="inlineStr">
        <is>
          <t>ChIJi5zbZadgzpQRIYeuK_eqQio</t>
        </is>
      </c>
      <c r="C1702" s="4" t="inlineStr">
        <is>
          <t>XPlace</t>
        </is>
      </c>
      <c r="D1702" s="4" t="inlineStr">
        <is>
          <t>São Paulo</t>
        </is>
      </c>
      <c r="E1702" s="4" t="inlineStr">
        <is>
          <t>SP</t>
        </is>
      </c>
      <c r="F1702" s="4" t="inlineStr">
        <is>
          <t>Grande Metrópole Nacional</t>
        </is>
      </c>
      <c r="G1702" s="4" t="inlineStr">
        <is>
          <t>Metrópole</t>
        </is>
      </c>
      <c r="H1702" s="5">
        <f>IF(G1702="fora do recorte","",SUMPRODUCT(($G$3:$G$1723=G1702)*($A$3:$A$1723&lt;=A1702)))</f>
        <v/>
      </c>
      <c r="I1702" s="4">
        <f>IF(H1702="","",G1702&amp;"|"&amp;H1702)</f>
        <v/>
      </c>
      <c r="J1702" s="4" t="inlineStr">
        <is>
          <t>https://www.google.com/maps/search/?api=1&amp;query=XPlace&amp;query_place_id=ChIJi5zbZadgzpQRIYeuK_eqQio</t>
        </is>
      </c>
      <c r="K1702" s="4" t="inlineStr">
        <is>
          <t>R. Jordânia, 32 - Vila Guilhermina, São Paulo - SP, 03543-000, Brasil</t>
        </is>
      </c>
      <c r="L1702" s="4" t="inlineStr">
        <is>
          <t>São Paulo</t>
        </is>
      </c>
      <c r="M1702" s="5" t="n">
        <v>1</v>
      </c>
    </row>
    <row r="1703">
      <c r="A1703" s="3">
        <f>RAND()</f>
        <v/>
      </c>
      <c r="B1703" s="4" t="inlineStr">
        <is>
          <t>ChIJKXD-OZlZzpQRfcjYR9ZCqak</t>
        </is>
      </c>
      <c r="C1703" s="4" t="inlineStr">
        <is>
          <t>sheep toys</t>
        </is>
      </c>
      <c r="D1703" s="4" t="inlineStr">
        <is>
          <t>São Paulo</t>
        </is>
      </c>
      <c r="E1703" s="4" t="inlineStr">
        <is>
          <t>SP</t>
        </is>
      </c>
      <c r="F1703" s="4" t="inlineStr">
        <is>
          <t>Grande Metrópole Nacional</t>
        </is>
      </c>
      <c r="G1703" s="4" t="inlineStr">
        <is>
          <t>Metrópole</t>
        </is>
      </c>
      <c r="H1703" s="5">
        <f>IF(G1703="fora do recorte","",SUMPRODUCT(($G$3:$G$1723=G1703)*($A$3:$A$1723&lt;=A1703)))</f>
        <v/>
      </c>
      <c r="I1703" s="4">
        <f>IF(H1703="","",G1703&amp;"|"&amp;H1703)</f>
        <v/>
      </c>
      <c r="J1703" s="4" t="inlineStr">
        <is>
          <t>https://www.google.com/maps/search/?api=1&amp;query=sheep%20toys&amp;query_place_id=ChIJKXD-OZlZzpQRfcjYR9ZCqak</t>
        </is>
      </c>
      <c r="K1703" s="4" t="inlineStr">
        <is>
          <t>Av. Sen. Queirós, 305 - 8 andar sala 1 - Centro Histórico de São Paulo, São Paulo - SP, 01017-040, Brasil</t>
        </is>
      </c>
      <c r="L1703" s="4" t="inlineStr">
        <is>
          <t>São Paulo</t>
        </is>
      </c>
      <c r="M1703" s="5" t="n">
        <v>1</v>
      </c>
    </row>
    <row r="1704">
      <c r="A1704" s="3">
        <f>RAND()</f>
        <v/>
      </c>
      <c r="B1704" s="4" t="inlineStr">
        <is>
          <t>ChIJpZbpu_zVBQcRuPFD4K5R8Co</t>
        </is>
      </c>
      <c r="C1704" s="4" t="inlineStr">
        <is>
          <t>Taverna: Game &amp; Café</t>
        </is>
      </c>
      <c r="D1704" s="4" t="inlineStr">
        <is>
          <t>Arapiraca</t>
        </is>
      </c>
      <c r="E1704" s="4" t="inlineStr">
        <is>
          <t>AL</t>
        </is>
      </c>
      <c r="F1704" s="4" t="inlineStr"/>
      <c r="G1704" s="4" t="inlineStr">
        <is>
          <t>fora do recorte</t>
        </is>
      </c>
      <c r="H1704" s="5">
        <f>IF(G1704="fora do recorte","",SUMPRODUCT(($G$3:$G$1723=G1704)*($A$3:$A$1723&lt;=A1704)))</f>
        <v/>
      </c>
      <c r="I1704" s="4">
        <f>IF(H1704="","",G1704&amp;"|"&amp;H1704)</f>
        <v/>
      </c>
      <c r="J1704" s="4" t="inlineStr">
        <is>
          <t>https://www.google.com/maps/search/?api=1&amp;query=Taverna%3A%20Game%20%26%20Caf%C3%A9&amp;query_place_id=ChIJpZbpu_zVBQcRuPFD4K5R8Co</t>
        </is>
      </c>
      <c r="K1704" s="4" t="inlineStr">
        <is>
          <t>R. Srg. Benevides Montes, 214 - Primavera, Arapiraca - AL, 57300-230, Brasil</t>
        </is>
      </c>
      <c r="L1704" s="4" t="inlineStr">
        <is>
          <t>Maceió</t>
        </is>
      </c>
      <c r="M1704" s="5" t="n">
        <v>3</v>
      </c>
    </row>
    <row r="1705">
      <c r="A1705" s="3">
        <f>RAND()</f>
        <v/>
      </c>
      <c r="B1705" s="4" t="inlineStr">
        <is>
          <t>ChIJOxz30nqrOQcRX7Hke7sTIqQ</t>
        </is>
      </c>
      <c r="C1705" s="4" t="inlineStr">
        <is>
          <t>Brinquedoteca Sonho de Criança</t>
        </is>
      </c>
      <c r="D1705" s="4" t="inlineStr">
        <is>
          <t>Itabuna</t>
        </is>
      </c>
      <c r="E1705" s="4" t="inlineStr">
        <is>
          <t>BA</t>
        </is>
      </c>
      <c r="F1705" s="4" t="inlineStr"/>
      <c r="G1705" s="4" t="inlineStr">
        <is>
          <t>fora do recorte</t>
        </is>
      </c>
      <c r="H1705" s="5">
        <f>IF(G1705="fora do recorte","",SUMPRODUCT(($G$3:$G$1723=G1705)*($A$3:$A$1723&lt;=A1705)))</f>
        <v/>
      </c>
      <c r="I1705" s="4">
        <f>IF(H1705="","",G1705&amp;"|"&amp;H1705)</f>
        <v/>
      </c>
      <c r="J1705" s="4" t="inlineStr">
        <is>
          <t>https://www.google.com/maps/search/?api=1&amp;query=Brinquedoteca%20Sonho%20de%20Crian%C3%A7a&amp;query_place_id=ChIJOxz30nqrOQcRX7Hke7sTIqQ</t>
        </is>
      </c>
      <c r="K1705" s="4" t="inlineStr">
        <is>
          <t>R. Pernambuco, 314 - Jardim Vitoria, Itabuna - BA, 45605-510, Brasil</t>
        </is>
      </c>
      <c r="L1705" s="4" t="inlineStr">
        <is>
          <t>Vitória</t>
        </is>
      </c>
      <c r="M1705" s="5" t="n">
        <v>1</v>
      </c>
    </row>
    <row r="1706">
      <c r="A1706" s="3">
        <f>RAND()</f>
        <v/>
      </c>
      <c r="B1706" s="4" t="inlineStr">
        <is>
          <t>ChIJV3s2yaE7RgcRE85rRfLI7Zg</t>
        </is>
      </c>
      <c r="C1706" s="4" t="inlineStr">
        <is>
          <t>BatePapo</t>
        </is>
      </c>
      <c r="D1706" s="4" t="inlineStr">
        <is>
          <t>Vitória da Conquista</t>
        </is>
      </c>
      <c r="E1706" s="4" t="inlineStr">
        <is>
          <t>BA</t>
        </is>
      </c>
      <c r="F1706" s="4" t="inlineStr"/>
      <c r="G1706" s="4" t="inlineStr">
        <is>
          <t>fora do recorte</t>
        </is>
      </c>
      <c r="H1706" s="5">
        <f>IF(G1706="fora do recorte","",SUMPRODUCT(($G$3:$G$1723=G1706)*($A$3:$A$1723&lt;=A1706)))</f>
        <v/>
      </c>
      <c r="I1706" s="4">
        <f>IF(H1706="","",G1706&amp;"|"&amp;H1706)</f>
        <v/>
      </c>
      <c r="J1706" s="4" t="inlineStr">
        <is>
          <t>https://www.google.com/maps/search/?api=1&amp;query=BatePapo&amp;query_place_id=ChIJV3s2yaE7RgcRE85rRfLI7Zg</t>
        </is>
      </c>
      <c r="K1706" s="4" t="inlineStr">
        <is>
          <t>Av. Alziro Prates, 71 - Candeias, Vitória da Conquista - BA, 45028-075, Brasil</t>
        </is>
      </c>
      <c r="L1706" s="4" t="inlineStr">
        <is>
          <t>Vitória</t>
        </is>
      </c>
      <c r="M1706" s="5" t="n">
        <v>1</v>
      </c>
    </row>
    <row r="1707">
      <c r="A1707" s="3">
        <f>RAND()</f>
        <v/>
      </c>
      <c r="B1707" s="4" t="inlineStr">
        <is>
          <t>ChIJKUt41jAltgARthoxe_e-_pY</t>
        </is>
      </c>
      <c r="C1707" s="4" t="inlineStr">
        <is>
          <t>Toca do Lobo - Locadora de Jogos Lúdicos</t>
        </is>
      </c>
      <c r="D1707" s="4" t="inlineStr">
        <is>
          <t>Linhares</t>
        </is>
      </c>
      <c r="E1707" s="4" t="inlineStr">
        <is>
          <t>ES</t>
        </is>
      </c>
      <c r="F1707" s="4" t="inlineStr"/>
      <c r="G1707" s="4" t="inlineStr">
        <is>
          <t>fora do recorte</t>
        </is>
      </c>
      <c r="H1707" s="5">
        <f>IF(G1707="fora do recorte","",SUMPRODUCT(($G$3:$G$1723=G1707)*($A$3:$A$1723&lt;=A1707)))</f>
        <v/>
      </c>
      <c r="I1707" s="4">
        <f>IF(H1707="","",G1707&amp;"|"&amp;H1707)</f>
        <v/>
      </c>
      <c r="J1707" s="4" t="inlineStr">
        <is>
          <t>https://www.google.com/maps/search/?api=1&amp;query=Toca%20do%20Lobo%20-%20Locadora%20de%20Jogos%20L%C3%BAdicos&amp;query_place_id=ChIJKUt41jAltgARthoxe_e-_pY</t>
        </is>
      </c>
      <c r="K1707" s="4" t="inlineStr">
        <is>
          <t>R. Carlos Almeida Neto, nº 14 - quadra 15 - Juparanã, Linhares - ES, 29900-600, Brasil</t>
        </is>
      </c>
      <c r="L1707" s="4" t="inlineStr">
        <is>
          <t>Vitória</t>
        </is>
      </c>
      <c r="M1707" s="5" t="n">
        <v>1</v>
      </c>
    </row>
    <row r="1708">
      <c r="A1708" s="3">
        <f>RAND()</f>
        <v/>
      </c>
      <c r="B1708" s="4" t="inlineStr">
        <is>
          <t>ChIJlR3mn93bYZMRP6xg5L4vg_M</t>
        </is>
      </c>
      <c r="C1708" s="4" t="inlineStr">
        <is>
          <t>Loja Fantasma Card Game Center</t>
        </is>
      </c>
      <c r="D1708" s="4" t="inlineStr">
        <is>
          <t>Rio Verde</t>
        </is>
      </c>
      <c r="E1708" s="4" t="inlineStr">
        <is>
          <t>GO</t>
        </is>
      </c>
      <c r="F1708" s="4" t="inlineStr"/>
      <c r="G1708" s="4" t="inlineStr">
        <is>
          <t>fora do recorte</t>
        </is>
      </c>
      <c r="H1708" s="5">
        <f>IF(G1708="fora do recorte","",SUMPRODUCT(($G$3:$G$1723=G1708)*($A$3:$A$1723&lt;=A1708)))</f>
        <v/>
      </c>
      <c r="I1708" s="4">
        <f>IF(H1708="","",G1708&amp;"|"&amp;H1708)</f>
        <v/>
      </c>
      <c r="J1708" s="4" t="inlineStr">
        <is>
          <t>https://www.google.com/maps/search/?api=1&amp;query=Loja%20Fantasma%20Card%20Game%20Center&amp;query_place_id=ChIJlR3mn93bYZMRP6xg5L4vg_M</t>
        </is>
      </c>
      <c r="K1708" s="4" t="inlineStr">
        <is>
          <t>Av. Jk, 140 - Q.02 L.35 SALA 2 - Res. Tocantins, Rio Verde - GO, 75909-456, Brasil</t>
        </is>
      </c>
      <c r="L1708" s="4" t="inlineStr">
        <is>
          <t>Rio Branco</t>
        </is>
      </c>
      <c r="M1708" s="5" t="n">
        <v>1</v>
      </c>
    </row>
    <row r="1709">
      <c r="A1709" s="3">
        <f>RAND()</f>
        <v/>
      </c>
      <c r="B1709" s="4" t="inlineStr">
        <is>
          <t>ChIJq92vt8sxpJQR-lNNTdp0RLQ</t>
        </is>
      </c>
      <c r="C1709" s="4" t="inlineStr">
        <is>
          <t>TABLE GAMES (Burgers)</t>
        </is>
      </c>
      <c r="D1709" s="4" t="inlineStr">
        <is>
          <t>Araguari</t>
        </is>
      </c>
      <c r="E1709" s="4" t="inlineStr">
        <is>
          <t>MG</t>
        </is>
      </c>
      <c r="F1709" s="4" t="inlineStr"/>
      <c r="G1709" s="4" t="inlineStr">
        <is>
          <t>fora do recorte</t>
        </is>
      </c>
      <c r="H1709" s="5">
        <f>IF(G1709="fora do recorte","",SUMPRODUCT(($G$3:$G$1723=G1709)*($A$3:$A$1723&lt;=A1709)))</f>
        <v/>
      </c>
      <c r="I1709" s="4">
        <f>IF(H1709="","",G1709&amp;"|"&amp;H1709)</f>
        <v/>
      </c>
      <c r="J1709" s="4" t="inlineStr">
        <is>
          <t>https://www.google.com/maps/search/?api=1&amp;query=TABLE%20GAMES%20%28Burgers%29&amp;query_place_id=ChIJq92vt8sxpJQR-lNNTdp0RLQ</t>
        </is>
      </c>
      <c r="K1709" s="4" t="inlineStr">
        <is>
          <t>Av. Cel. Belchior de Godói, 1330 - Santa Terezinha, Araguari - MG, 38447-218, Brasil</t>
        </is>
      </c>
      <c r="L1709" s="4" t="inlineStr">
        <is>
          <t>Boa Vista; Teresina</t>
        </is>
      </c>
      <c r="M1709" s="5" t="n">
        <v>2</v>
      </c>
    </row>
    <row r="1710">
      <c r="A1710" s="3">
        <f>RAND()</f>
        <v/>
      </c>
      <c r="B1710" s="4" t="inlineStr">
        <is>
          <t>ChIJCdEZv21PpJQRg6vLc_9tIcc</t>
        </is>
      </c>
      <c r="C1710" s="4" t="inlineStr">
        <is>
          <t>Mestre dos Jogos LudoBar</t>
        </is>
      </c>
      <c r="D1710" s="4" t="inlineStr">
        <is>
          <t>Uberlândia</t>
        </is>
      </c>
      <c r="E1710" s="4" t="inlineStr">
        <is>
          <t>MG</t>
        </is>
      </c>
      <c r="F1710" s="4" t="inlineStr"/>
      <c r="G1710" s="4" t="inlineStr">
        <is>
          <t>fora do recorte</t>
        </is>
      </c>
      <c r="H1710" s="5">
        <f>IF(G1710="fora do recorte","",SUMPRODUCT(($G$3:$G$1723=G1710)*($A$3:$A$1723&lt;=A1710)))</f>
        <v/>
      </c>
      <c r="I1710" s="4">
        <f>IF(H1710="","",G1710&amp;"|"&amp;H1710)</f>
        <v/>
      </c>
      <c r="J1710" s="4" t="inlineStr">
        <is>
          <t>https://www.google.com/maps/search/?api=1&amp;query=Mestre%20dos%20Jogos%20LudoBar&amp;query_place_id=ChIJCdEZv21PpJQRg6vLc_9tIcc</t>
        </is>
      </c>
      <c r="K1710" s="4" t="inlineStr">
        <is>
          <t>R. João Balbino, 537 - Santa Mônica, Uberlândia - MG, 38408-265, Brasil</t>
        </is>
      </c>
      <c r="L1710" s="4" t="inlineStr">
        <is>
          <t>Palmas</t>
        </is>
      </c>
      <c r="M1710" s="5" t="n">
        <v>1</v>
      </c>
    </row>
    <row r="1711">
      <c r="A1711" s="3">
        <f>RAND()</f>
        <v/>
      </c>
      <c r="B1711" s="4" t="inlineStr">
        <is>
          <t>ChIJzcQ9t_ND65QRqkeUm-aANaE</t>
        </is>
      </c>
      <c r="C1711" s="4" t="inlineStr">
        <is>
          <t>BoardGame in Box</t>
        </is>
      </c>
      <c r="D1711" s="4" t="inlineStr">
        <is>
          <t>Londrina</t>
        </is>
      </c>
      <c r="E1711" s="4" t="inlineStr">
        <is>
          <t>PR</t>
        </is>
      </c>
      <c r="F1711" s="4" t="inlineStr"/>
      <c r="G1711" s="4" t="inlineStr">
        <is>
          <t>fora do recorte</t>
        </is>
      </c>
      <c r="H1711" s="5">
        <f>IF(G1711="fora do recorte","",SUMPRODUCT(($G$3:$G$1723=G1711)*($A$3:$A$1723&lt;=A1711)))</f>
        <v/>
      </c>
      <c r="I1711" s="4">
        <f>IF(H1711="","",G1711&amp;"|"&amp;H1711)</f>
        <v/>
      </c>
      <c r="J1711" s="4" t="inlineStr">
        <is>
          <t>https://www.google.com/maps/search/?api=1&amp;query=BoardGame%20in%20Box&amp;query_place_id=ChIJzcQ9t_ND65QRqkeUm-aANaE</t>
        </is>
      </c>
      <c r="K1711" s="4" t="inlineStr">
        <is>
          <t>R. Raja Gabaglia, 326 - Quebec, Londrina - PR, 86060-190, Brasil</t>
        </is>
      </c>
      <c r="L1711" s="4" t="inlineStr">
        <is>
          <t>Natal</t>
        </is>
      </c>
      <c r="M1711" s="5" t="n">
        <v>1</v>
      </c>
    </row>
    <row r="1712">
      <c r="A1712" s="3">
        <f>RAND()</f>
        <v/>
      </c>
      <c r="B1712" s="4" t="inlineStr">
        <is>
          <t>ChIJaWBHOg21lwARHT8gg8Y7xEg</t>
        </is>
      </c>
      <c r="C1712" s="4" t="inlineStr">
        <is>
          <t>Armazém dos Jogos</t>
        </is>
      </c>
      <c r="D1712" s="4" t="inlineStr">
        <is>
          <t>Rio das Ostras</t>
        </is>
      </c>
      <c r="E1712" s="4" t="inlineStr">
        <is>
          <t>RJ</t>
        </is>
      </c>
      <c r="F1712" s="4" t="inlineStr"/>
      <c r="G1712" s="4" t="inlineStr">
        <is>
          <t>fora do recorte</t>
        </is>
      </c>
      <c r="H1712" s="5">
        <f>IF(G1712="fora do recorte","",SUMPRODUCT(($G$3:$G$1723=G1712)*($A$3:$A$1723&lt;=A1712)))</f>
        <v/>
      </c>
      <c r="I1712" s="4">
        <f>IF(H1712="","",G1712&amp;"|"&amp;H1712)</f>
        <v/>
      </c>
      <c r="J1712" s="4" t="inlineStr">
        <is>
          <t>https://www.google.com/maps/search/?api=1&amp;query=Armaz%C3%A9m%20dos%20Jogos&amp;query_place_id=ChIJaWBHOg21lwARHT8gg8Y7xEg</t>
        </is>
      </c>
      <c r="K1712" s="4" t="inlineStr">
        <is>
          <t>R. Niterói, 580 - Jardim Mariléa, Rio das Ostras - RJ, 28895-547, Brasil</t>
        </is>
      </c>
      <c r="L1712" s="4" t="inlineStr">
        <is>
          <t>Rio Branco</t>
        </is>
      </c>
      <c r="M1712" s="5" t="n">
        <v>2</v>
      </c>
    </row>
    <row r="1713">
      <c r="A1713" s="3">
        <f>RAND()</f>
        <v/>
      </c>
      <c r="B1713" s="4" t="inlineStr">
        <is>
          <t>ChIJO9bPE0GdEZURRD6c41YpCRI</t>
        </is>
      </c>
      <c r="C1713" s="4" t="inlineStr">
        <is>
          <t>Beer &amp; Boards</t>
        </is>
      </c>
      <c r="D1713" s="4" t="inlineStr">
        <is>
          <t>Rio Grande</t>
        </is>
      </c>
      <c r="E1713" s="4" t="inlineStr">
        <is>
          <t>RS</t>
        </is>
      </c>
      <c r="F1713" s="4" t="inlineStr"/>
      <c r="G1713" s="4" t="inlineStr">
        <is>
          <t>fora do recorte</t>
        </is>
      </c>
      <c r="H1713" s="5">
        <f>IF(G1713="fora do recorte","",SUMPRODUCT(($G$3:$G$1723=G1713)*($A$3:$A$1723&lt;=A1713)))</f>
        <v/>
      </c>
      <c r="I1713" s="4">
        <f>IF(H1713="","",G1713&amp;"|"&amp;H1713)</f>
        <v/>
      </c>
      <c r="J1713" s="4" t="inlineStr">
        <is>
          <t>https://www.google.com/maps/search/?api=1&amp;query=Beer%20%26%20Boards&amp;query_place_id=ChIJO9bPE0GdEZURRD6c41YpCRI</t>
        </is>
      </c>
      <c r="K1713" s="4" t="inlineStr">
        <is>
          <t>R. Gen. Abreu, 342 - Cidade Nova, Rio Grande - RS, 96202-570, Brasil</t>
        </is>
      </c>
      <c r="L1713" s="4" t="inlineStr">
        <is>
          <t>Aracaju; Belém; Boa Vista; Campo Grande; Natal; Porto Velho; Rio de Janeiro</t>
        </is>
      </c>
      <c r="M1713" s="5" t="n">
        <v>3</v>
      </c>
    </row>
    <row r="1714">
      <c r="A1714" s="3">
        <f>RAND()</f>
        <v/>
      </c>
      <c r="B1714" s="4" t="inlineStr">
        <is>
          <t>ChIJqUbogQucEZURHO-GUHAfDs4</t>
        </is>
      </c>
      <c r="C1714" s="4" t="inlineStr">
        <is>
          <t>Stop Games</t>
        </is>
      </c>
      <c r="D1714" s="4" t="inlineStr">
        <is>
          <t>Rio Grande</t>
        </is>
      </c>
      <c r="E1714" s="4" t="inlineStr">
        <is>
          <t>RS</t>
        </is>
      </c>
      <c r="F1714" s="4" t="inlineStr"/>
      <c r="G1714" s="4" t="inlineStr">
        <is>
          <t>fora do recorte</t>
        </is>
      </c>
      <c r="H1714" s="5">
        <f>IF(G1714="fora do recorte","",SUMPRODUCT(($G$3:$G$1723=G1714)*($A$3:$A$1723&lt;=A1714)))</f>
        <v/>
      </c>
      <c r="I1714" s="4">
        <f>IF(H1714="","",G1714&amp;"|"&amp;H1714)</f>
        <v/>
      </c>
      <c r="J1714" s="4" t="inlineStr">
        <is>
          <t>https://www.google.com/maps/search/?api=1&amp;query=Stop%20Games&amp;query_place_id=ChIJqUbogQucEZURHO-GUHAfDs4</t>
        </is>
      </c>
      <c r="K1714" s="4" t="inlineStr">
        <is>
          <t>R. Dom Bosco, 484 - Cidade Nova, Rio Grande - RS, 96211-090, Brasil</t>
        </is>
      </c>
      <c r="L1714" s="4" t="inlineStr">
        <is>
          <t>Campo Grande; Rio Branco</t>
        </is>
      </c>
      <c r="M1714" s="5" t="n">
        <v>1</v>
      </c>
    </row>
    <row r="1715">
      <c r="A1715" s="3">
        <f>RAND()</f>
        <v/>
      </c>
      <c r="B1715" s="4" t="inlineStr">
        <is>
          <t>ChIJN40KG6z645QR2XQSR2syQMY</t>
        </is>
      </c>
      <c r="C1715" s="4" t="inlineStr">
        <is>
          <t>Loja Happy Nerd</t>
        </is>
      </c>
      <c r="D1715" s="4" t="inlineStr">
        <is>
          <t>Joaçaba</t>
        </is>
      </c>
      <c r="E1715" s="4" t="inlineStr">
        <is>
          <t>SC</t>
        </is>
      </c>
      <c r="F1715" s="4" t="inlineStr"/>
      <c r="G1715" s="4" t="inlineStr">
        <is>
          <t>fora do recorte</t>
        </is>
      </c>
      <c r="H1715" s="5">
        <f>IF(G1715="fora do recorte","",SUMPRODUCT(($G$3:$G$1723=G1715)*($A$3:$A$1723&lt;=A1715)))</f>
        <v/>
      </c>
      <c r="I1715" s="4">
        <f>IF(H1715="","",G1715&amp;"|"&amp;H1715)</f>
        <v/>
      </c>
      <c r="J1715" s="4" t="inlineStr">
        <is>
          <t>https://www.google.com/maps/search/?api=1&amp;query=Loja%20Happy%20Nerd&amp;query_place_id=ChIJN40KG6z645QR2XQSR2syQMY</t>
        </is>
      </c>
      <c r="K1715" s="4" t="inlineStr">
        <is>
          <t>R. Frei Edgar, 89 - Sl 05 - Centro, Joaçaba - SC, 89600-000, Brasil</t>
        </is>
      </c>
      <c r="L1715" s="4" t="inlineStr">
        <is>
          <t>Campo Grande; Cuiabá</t>
        </is>
      </c>
      <c r="M1715" s="5" t="n">
        <v>2</v>
      </c>
    </row>
    <row r="1716">
      <c r="A1716" s="3">
        <f>RAND()</f>
        <v/>
      </c>
      <c r="B1716" s="4" t="inlineStr">
        <is>
          <t>ChIJbd5rjOCx3pQRXkBpFSLvsOk</t>
        </is>
      </c>
      <c r="C1716" s="4" t="inlineStr">
        <is>
          <t>Grãomestre Boards &amp; Brew</t>
        </is>
      </c>
      <c r="D1716" s="4" t="inlineStr">
        <is>
          <t>Joinville</t>
        </is>
      </c>
      <c r="E1716" s="4" t="inlineStr">
        <is>
          <t>SC</t>
        </is>
      </c>
      <c r="F1716" s="4" t="inlineStr"/>
      <c r="G1716" s="4" t="inlineStr">
        <is>
          <t>fora do recorte</t>
        </is>
      </c>
      <c r="H1716" s="5">
        <f>IF(G1716="fora do recorte","",SUMPRODUCT(($G$3:$G$1723=G1716)*($A$3:$A$1723&lt;=A1716)))</f>
        <v/>
      </c>
      <c r="I1716" s="4">
        <f>IF(H1716="","",G1716&amp;"|"&amp;H1716)</f>
        <v/>
      </c>
      <c r="J1716" s="4" t="inlineStr">
        <is>
          <t>https://www.google.com/maps/search/?api=1&amp;query=Gr%C3%A3omestre%20Boards%20%26%20Brew&amp;query_place_id=ChIJbd5rjOCx3pQRXkBpFSLvsOk</t>
        </is>
      </c>
      <c r="K1716" s="4" t="inlineStr">
        <is>
          <t>R. Gothard Kaesemodel, 928 - Sala 2 - Anita Garibaldi, Joinville - SC, 89203-522, Brasil</t>
        </is>
      </c>
      <c r="L1716" s="4" t="inlineStr">
        <is>
          <t>Boa Vista; Florianópolis</t>
        </is>
      </c>
      <c r="M1716" s="5" t="n">
        <v>1</v>
      </c>
    </row>
    <row r="1717">
      <c r="A1717" s="3">
        <f>RAND()</f>
        <v/>
      </c>
      <c r="B1717" s="4" t="inlineStr">
        <is>
          <t>ChIJJe6LbmTP2JQRekuDVD0eEVA</t>
        </is>
      </c>
      <c r="C1717" s="4" t="inlineStr">
        <is>
          <t>Ludonave - Jogos e Drinks</t>
        </is>
      </c>
      <c r="D1717" s="4" t="inlineStr">
        <is>
          <t>Navegantes</t>
        </is>
      </c>
      <c r="E1717" s="4" t="inlineStr">
        <is>
          <t>SC</t>
        </is>
      </c>
      <c r="F1717" s="4" t="inlineStr"/>
      <c r="G1717" s="4" t="inlineStr">
        <is>
          <t>fora do recorte</t>
        </is>
      </c>
      <c r="H1717" s="5">
        <f>IF(G1717="fora do recorte","",SUMPRODUCT(($G$3:$G$1723=G1717)*($A$3:$A$1723&lt;=A1717)))</f>
        <v/>
      </c>
      <c r="I1717" s="4">
        <f>IF(H1717="","",G1717&amp;"|"&amp;H1717)</f>
        <v/>
      </c>
      <c r="J1717" s="4" t="inlineStr">
        <is>
          <t>https://www.google.com/maps/search/?api=1&amp;query=Ludonave%20-%20Jogos%20e%20Drinks&amp;query_place_id=ChIJJe6LbmTP2JQRekuDVD0eEVA</t>
        </is>
      </c>
      <c r="K1717" s="4" t="inlineStr">
        <is>
          <t>R. Osvaldo Schimitz, 26 - Gravatá, Navegantes - SC, 88372-706, Brasil</t>
        </is>
      </c>
      <c r="L1717" s="4" t="inlineStr">
        <is>
          <t>Aracaju; Rio Branco; São Luís</t>
        </is>
      </c>
      <c r="M1717" s="5" t="n">
        <v>2</v>
      </c>
    </row>
    <row r="1718">
      <c r="A1718" s="3">
        <f>RAND()</f>
        <v/>
      </c>
      <c r="B1718" s="4" t="inlineStr">
        <is>
          <t>ChIJ73mEeqQdzpQRKti9DbyjiWM</t>
        </is>
      </c>
      <c r="C1718" s="4" t="inlineStr">
        <is>
          <t>House Rules Ludobar</t>
        </is>
      </c>
      <c r="D1718" s="4" t="inlineStr">
        <is>
          <t>Praia Grande</t>
        </is>
      </c>
      <c r="E1718" s="4" t="inlineStr">
        <is>
          <t>SP</t>
        </is>
      </c>
      <c r="F1718" s="4" t="inlineStr"/>
      <c r="G1718" s="4" t="inlineStr">
        <is>
          <t>fora do recorte</t>
        </is>
      </c>
      <c r="H1718" s="5">
        <f>IF(G1718="fora do recorte","",SUMPRODUCT(($G$3:$G$1723=G1718)*($A$3:$A$1723&lt;=A1718)))</f>
        <v/>
      </c>
      <c r="I1718" s="4">
        <f>IF(H1718="","",G1718&amp;"|"&amp;H1718)</f>
        <v/>
      </c>
      <c r="J1718" s="4" t="inlineStr">
        <is>
          <t>https://www.google.com/maps/search/?api=1&amp;query=House%20Rules%20Ludobar&amp;query_place_id=ChIJ73mEeqQdzpQRKti9DbyjiWM</t>
        </is>
      </c>
      <c r="K1718" s="4" t="inlineStr">
        <is>
          <t>Av. São Paulo, 614 - Boqueirão, Praia Grande - SP, 11701-380, Brasil</t>
        </is>
      </c>
      <c r="L1718" s="4" t="inlineStr">
        <is>
          <t>Boa Vista; Campo Grande; Natal; São Paulo</t>
        </is>
      </c>
      <c r="M1718" s="5" t="n">
        <v>2</v>
      </c>
    </row>
    <row r="1719">
      <c r="A1719" s="3">
        <f>RAND()</f>
        <v/>
      </c>
      <c r="B1719" s="4" t="inlineStr">
        <is>
          <t>ChIJkVYmMsr1k5QR0TGqAKCrN7g</t>
        </is>
      </c>
      <c r="C1719" s="4" t="inlineStr">
        <is>
          <t>Geex Hobby Store</t>
        </is>
      </c>
      <c r="D1719" s="4" t="inlineStr">
        <is>
          <t>Pres. Prudente</t>
        </is>
      </c>
      <c r="E1719" s="4" t="inlineStr">
        <is>
          <t>SP</t>
        </is>
      </c>
      <c r="F1719" s="4" t="inlineStr"/>
      <c r="G1719" s="4" t="inlineStr">
        <is>
          <t>fora do recorte</t>
        </is>
      </c>
      <c r="H1719" s="5">
        <f>IF(G1719="fora do recorte","",SUMPRODUCT(($G$3:$G$1723=G1719)*($A$3:$A$1723&lt;=A1719)))</f>
        <v/>
      </c>
      <c r="I1719" s="4">
        <f>IF(H1719="","",G1719&amp;"|"&amp;H1719)</f>
        <v/>
      </c>
      <c r="J1719" s="4" t="inlineStr">
        <is>
          <t>https://www.google.com/maps/search/?api=1&amp;query=Geex%20Hobby%20Store&amp;query_place_id=ChIJkVYmMsr1k5QR0TGqAKCrN7g</t>
        </is>
      </c>
      <c r="K1719" s="4" t="inlineStr">
        <is>
          <t>R. Barão do Rio Branco, 1252 - Vila do Estadio, Pres. Prudente - SP, 19015-120, Brasil</t>
        </is>
      </c>
      <c r="L1719" s="4" t="inlineStr">
        <is>
          <t>Rio Branco</t>
        </is>
      </c>
      <c r="M1719" s="5" t="n">
        <v>1</v>
      </c>
    </row>
    <row r="1720">
      <c r="A1720" s="3">
        <f>RAND()</f>
        <v/>
      </c>
      <c r="B1720" s="4" t="inlineStr">
        <is>
          <t>ChIJ-emmf1YDzpQRC8b--AztRFM</t>
        </is>
      </c>
      <c r="C1720" s="4" t="inlineStr">
        <is>
          <t>Coala Games Locadora de Jogos de Tabuleiro</t>
        </is>
      </c>
      <c r="D1720" s="4" t="inlineStr">
        <is>
          <t>Santos</t>
        </is>
      </c>
      <c r="E1720" s="4" t="inlineStr">
        <is>
          <t>SP</t>
        </is>
      </c>
      <c r="F1720" s="4" t="inlineStr"/>
      <c r="G1720" s="4" t="inlineStr">
        <is>
          <t>fora do recorte</t>
        </is>
      </c>
      <c r="H1720" s="5">
        <f>IF(G1720="fora do recorte","",SUMPRODUCT(($G$3:$G$1723=G1720)*($A$3:$A$1723&lt;=A1720)))</f>
        <v/>
      </c>
      <c r="I1720" s="4">
        <f>IF(H1720="","",G1720&amp;"|"&amp;H1720)</f>
        <v/>
      </c>
      <c r="J1720" s="4" t="inlineStr">
        <is>
          <t>https://www.google.com/maps/search/?api=1&amp;query=Coala%20Games%20Locadora%20de%20Jogos%20de%20Tabuleiro&amp;query_place_id=ChIJ-emmf1YDzpQRC8b--AztRFM</t>
        </is>
      </c>
      <c r="K1720" s="4" t="inlineStr">
        <is>
          <t>Av. Mal. Deodoro, 73 - Gonzaga, Santos - SP, 11060-401, Brasil</t>
        </is>
      </c>
      <c r="L1720" s="4" t="inlineStr">
        <is>
          <t>São Paulo</t>
        </is>
      </c>
      <c r="M1720" s="5" t="n">
        <v>1</v>
      </c>
    </row>
    <row r="1721">
      <c r="A1721" s="3">
        <f>RAND()</f>
        <v/>
      </c>
      <c r="B1721" s="4" t="inlineStr">
        <is>
          <t>ChIJ10i8IRlTvJQR06hMJvl7yms</t>
        </is>
      </c>
      <c r="C1721" s="4" t="inlineStr">
        <is>
          <t>Ludum</t>
        </is>
      </c>
      <c r="D1721" s="4" t="inlineStr">
        <is>
          <t>São José do Rio Preto</t>
        </is>
      </c>
      <c r="E1721" s="4" t="inlineStr">
        <is>
          <t>SP</t>
        </is>
      </c>
      <c r="F1721" s="4" t="inlineStr"/>
      <c r="G1721" s="4" t="inlineStr">
        <is>
          <t>fora do recorte</t>
        </is>
      </c>
      <c r="H1721" s="5">
        <f>IF(G1721="fora do recorte","",SUMPRODUCT(($G$3:$G$1723=G1721)*($A$3:$A$1723&lt;=A1721)))</f>
        <v/>
      </c>
      <c r="I1721" s="4">
        <f>IF(H1721="","",G1721&amp;"|"&amp;H1721)</f>
        <v/>
      </c>
      <c r="J1721" s="4" t="inlineStr">
        <is>
          <t>https://www.google.com/maps/search/?api=1&amp;query=Ludum&amp;query_place_id=ChIJ10i8IRlTvJQR06hMJvl7yms</t>
        </is>
      </c>
      <c r="K1721" s="4" t="inlineStr">
        <is>
          <t>R. Constantino Cherubini, 89 - Jardim Nazareth, São José do Rio Preto - SP, 15054-120, Brasil</t>
        </is>
      </c>
      <c r="L1721" s="4" t="inlineStr">
        <is>
          <t>João Pessoa</t>
        </is>
      </c>
      <c r="M1721" s="5" t="n">
        <v>1</v>
      </c>
    </row>
    <row r="1722">
      <c r="A1722" s="3">
        <f>RAND()</f>
        <v/>
      </c>
      <c r="B1722" s="4" t="inlineStr">
        <is>
          <t>ChIJ5xTjWy-zvZQRuKHrl2Evgl4</t>
        </is>
      </c>
      <c r="C1722" s="4" t="inlineStr">
        <is>
          <t>PlayCards</t>
        </is>
      </c>
      <c r="D1722" s="4" t="inlineStr">
        <is>
          <t>São José do Rio Preto</t>
        </is>
      </c>
      <c r="E1722" s="4" t="inlineStr">
        <is>
          <t>SP</t>
        </is>
      </c>
      <c r="F1722" s="4" t="inlineStr"/>
      <c r="G1722" s="4" t="inlineStr">
        <is>
          <t>fora do recorte</t>
        </is>
      </c>
      <c r="H1722" s="5">
        <f>IF(G1722="fora do recorte","",SUMPRODUCT(($G$3:$G$1723=G1722)*($A$3:$A$1723&lt;=A1722)))</f>
        <v/>
      </c>
      <c r="I1722" s="4">
        <f>IF(H1722="","",G1722&amp;"|"&amp;H1722)</f>
        <v/>
      </c>
      <c r="J1722" s="4" t="inlineStr">
        <is>
          <t>https://www.google.com/maps/search/?api=1&amp;query=PlayCards&amp;query_place_id=ChIJ5xTjWy-zvZQRuKHrl2Evgl4</t>
        </is>
      </c>
      <c r="K1722" s="4" t="inlineStr">
        <is>
          <t>R. Independência, 3861 - Vila Santo Antonio, São José do Rio Preto - SP, 15014-400, Brasil</t>
        </is>
      </c>
      <c r="L1722" s="4" t="inlineStr">
        <is>
          <t>Rio Branco</t>
        </is>
      </c>
      <c r="M1722" s="5" t="n">
        <v>1</v>
      </c>
    </row>
    <row r="1723">
      <c r="A1723" s="6">
        <f>RAND()</f>
        <v/>
      </c>
      <c r="B1723" s="7" t="inlineStr">
        <is>
          <t>ChIJfbpAYqzLyZQRNv5blbdB9Kk</t>
        </is>
      </c>
      <c r="C1723" s="7" t="inlineStr">
        <is>
          <t>Bardos Game Store</t>
        </is>
      </c>
      <c r="D1723" s="7" t="inlineStr">
        <is>
          <t>São João da Boa Vista</t>
        </is>
      </c>
      <c r="E1723" s="7" t="inlineStr">
        <is>
          <t>SP</t>
        </is>
      </c>
      <c r="F1723" s="7" t="inlineStr"/>
      <c r="G1723" s="7" t="inlineStr">
        <is>
          <t>fora do recorte</t>
        </is>
      </c>
      <c r="H1723" s="8">
        <f>IF(G1723="fora do recorte","",SUMPRODUCT(($G$3:$G$1723=G1723)*($A$3:$A$1723&lt;=A1723)))</f>
        <v/>
      </c>
      <c r="I1723" s="7">
        <f>IF(H1723="","",G1723&amp;"|"&amp;H1723)</f>
        <v/>
      </c>
      <c r="J1723" s="7" t="inlineStr">
        <is>
          <t>https://www.google.com/maps/search/?api=1&amp;query=Bardos%20Game%20Store&amp;query_place_id=ChIJfbpAYqzLyZQRNv5blbdB9Kk</t>
        </is>
      </c>
      <c r="K1723" s="7" t="inlineStr">
        <is>
          <t>R. Cel. Ernesto de Oliveira, 440 - Centro, São João da Boa Vista - SP, 13870-249, Brasil</t>
        </is>
      </c>
      <c r="L1723" s="7" t="inlineStr">
        <is>
          <t>Boa Vista; João Pessoa</t>
        </is>
      </c>
      <c r="M1723" s="8" t="n">
        <v>8</v>
      </c>
    </row>
  </sheetData>
  <autoFilter ref="A2:M1723"/>
  <mergeCells count="1">
    <mergeCell ref="A1:M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6" r:id="rId24"/>
    <hyperlink xmlns:r="http://schemas.openxmlformats.org/officeDocument/2006/relationships" ref="J27" r:id="rId25"/>
    <hyperlink xmlns:r="http://schemas.openxmlformats.org/officeDocument/2006/relationships" ref="J28" r:id="rId26"/>
    <hyperlink xmlns:r="http://schemas.openxmlformats.org/officeDocument/2006/relationships" ref="J29" r:id="rId27"/>
    <hyperlink xmlns:r="http://schemas.openxmlformats.org/officeDocument/2006/relationships" ref="J30" r:id="rId28"/>
    <hyperlink xmlns:r="http://schemas.openxmlformats.org/officeDocument/2006/relationships" ref="J31" r:id="rId29"/>
    <hyperlink xmlns:r="http://schemas.openxmlformats.org/officeDocument/2006/relationships" ref="J32" r:id="rId30"/>
    <hyperlink xmlns:r="http://schemas.openxmlformats.org/officeDocument/2006/relationships" ref="J33" r:id="rId31"/>
    <hyperlink xmlns:r="http://schemas.openxmlformats.org/officeDocument/2006/relationships" ref="J34" r:id="rId32"/>
    <hyperlink xmlns:r="http://schemas.openxmlformats.org/officeDocument/2006/relationships" ref="J35" r:id="rId33"/>
    <hyperlink xmlns:r="http://schemas.openxmlformats.org/officeDocument/2006/relationships" ref="J36" r:id="rId34"/>
    <hyperlink xmlns:r="http://schemas.openxmlformats.org/officeDocument/2006/relationships" ref="J37" r:id="rId35"/>
    <hyperlink xmlns:r="http://schemas.openxmlformats.org/officeDocument/2006/relationships" ref="J38" r:id="rId36"/>
    <hyperlink xmlns:r="http://schemas.openxmlformats.org/officeDocument/2006/relationships" ref="J39" r:id="rId37"/>
    <hyperlink xmlns:r="http://schemas.openxmlformats.org/officeDocument/2006/relationships" ref="J40" r:id="rId38"/>
    <hyperlink xmlns:r="http://schemas.openxmlformats.org/officeDocument/2006/relationships" ref="J41" r:id="rId39"/>
    <hyperlink xmlns:r="http://schemas.openxmlformats.org/officeDocument/2006/relationships" ref="J42" r:id="rId40"/>
    <hyperlink xmlns:r="http://schemas.openxmlformats.org/officeDocument/2006/relationships" ref="J43" r:id="rId41"/>
    <hyperlink xmlns:r="http://schemas.openxmlformats.org/officeDocument/2006/relationships" ref="J44" r:id="rId42"/>
    <hyperlink xmlns:r="http://schemas.openxmlformats.org/officeDocument/2006/relationships" ref="J45" r:id="rId43"/>
    <hyperlink xmlns:r="http://schemas.openxmlformats.org/officeDocument/2006/relationships" ref="J46" r:id="rId44"/>
    <hyperlink xmlns:r="http://schemas.openxmlformats.org/officeDocument/2006/relationships" ref="J47" r:id="rId45"/>
    <hyperlink xmlns:r="http://schemas.openxmlformats.org/officeDocument/2006/relationships" ref="J48" r:id="rId46"/>
    <hyperlink xmlns:r="http://schemas.openxmlformats.org/officeDocument/2006/relationships" ref="J49" r:id="rId47"/>
    <hyperlink xmlns:r="http://schemas.openxmlformats.org/officeDocument/2006/relationships" ref="J50" r:id="rId48"/>
    <hyperlink xmlns:r="http://schemas.openxmlformats.org/officeDocument/2006/relationships" ref="J51" r:id="rId49"/>
    <hyperlink xmlns:r="http://schemas.openxmlformats.org/officeDocument/2006/relationships" ref="J52" r:id="rId50"/>
    <hyperlink xmlns:r="http://schemas.openxmlformats.org/officeDocument/2006/relationships" ref="J53" r:id="rId51"/>
    <hyperlink xmlns:r="http://schemas.openxmlformats.org/officeDocument/2006/relationships" ref="J54" r:id="rId52"/>
    <hyperlink xmlns:r="http://schemas.openxmlformats.org/officeDocument/2006/relationships" ref="J55" r:id="rId53"/>
    <hyperlink xmlns:r="http://schemas.openxmlformats.org/officeDocument/2006/relationships" ref="J56" r:id="rId54"/>
    <hyperlink xmlns:r="http://schemas.openxmlformats.org/officeDocument/2006/relationships" ref="J57" r:id="rId55"/>
    <hyperlink xmlns:r="http://schemas.openxmlformats.org/officeDocument/2006/relationships" ref="J58" r:id="rId56"/>
    <hyperlink xmlns:r="http://schemas.openxmlformats.org/officeDocument/2006/relationships" ref="J59" r:id="rId57"/>
    <hyperlink xmlns:r="http://schemas.openxmlformats.org/officeDocument/2006/relationships" ref="J60" r:id="rId58"/>
    <hyperlink xmlns:r="http://schemas.openxmlformats.org/officeDocument/2006/relationships" ref="J61" r:id="rId59"/>
    <hyperlink xmlns:r="http://schemas.openxmlformats.org/officeDocument/2006/relationships" ref="J62" r:id="rId60"/>
    <hyperlink xmlns:r="http://schemas.openxmlformats.org/officeDocument/2006/relationships" ref="J63" r:id="rId61"/>
    <hyperlink xmlns:r="http://schemas.openxmlformats.org/officeDocument/2006/relationships" ref="J64" r:id="rId62"/>
    <hyperlink xmlns:r="http://schemas.openxmlformats.org/officeDocument/2006/relationships" ref="J65" r:id="rId63"/>
    <hyperlink xmlns:r="http://schemas.openxmlformats.org/officeDocument/2006/relationships" ref="J66" r:id="rId64"/>
    <hyperlink xmlns:r="http://schemas.openxmlformats.org/officeDocument/2006/relationships" ref="J67" r:id="rId65"/>
    <hyperlink xmlns:r="http://schemas.openxmlformats.org/officeDocument/2006/relationships" ref="J68" r:id="rId66"/>
    <hyperlink xmlns:r="http://schemas.openxmlformats.org/officeDocument/2006/relationships" ref="J69" r:id="rId67"/>
    <hyperlink xmlns:r="http://schemas.openxmlformats.org/officeDocument/2006/relationships" ref="J70" r:id="rId68"/>
    <hyperlink xmlns:r="http://schemas.openxmlformats.org/officeDocument/2006/relationships" ref="J71" r:id="rId69"/>
    <hyperlink xmlns:r="http://schemas.openxmlformats.org/officeDocument/2006/relationships" ref="J72" r:id="rId70"/>
    <hyperlink xmlns:r="http://schemas.openxmlformats.org/officeDocument/2006/relationships" ref="J73" r:id="rId71"/>
    <hyperlink xmlns:r="http://schemas.openxmlformats.org/officeDocument/2006/relationships" ref="J74" r:id="rId72"/>
    <hyperlink xmlns:r="http://schemas.openxmlformats.org/officeDocument/2006/relationships" ref="J75" r:id="rId73"/>
    <hyperlink xmlns:r="http://schemas.openxmlformats.org/officeDocument/2006/relationships" ref="J76" r:id="rId74"/>
    <hyperlink xmlns:r="http://schemas.openxmlformats.org/officeDocument/2006/relationships" ref="J77" r:id="rId75"/>
    <hyperlink xmlns:r="http://schemas.openxmlformats.org/officeDocument/2006/relationships" ref="J78" r:id="rId76"/>
    <hyperlink xmlns:r="http://schemas.openxmlformats.org/officeDocument/2006/relationships" ref="J79" r:id="rId77"/>
    <hyperlink xmlns:r="http://schemas.openxmlformats.org/officeDocument/2006/relationships" ref="J80" r:id="rId78"/>
    <hyperlink xmlns:r="http://schemas.openxmlformats.org/officeDocument/2006/relationships" ref="J81" r:id="rId79"/>
    <hyperlink xmlns:r="http://schemas.openxmlformats.org/officeDocument/2006/relationships" ref="J82" r:id="rId80"/>
    <hyperlink xmlns:r="http://schemas.openxmlformats.org/officeDocument/2006/relationships" ref="J83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  <hyperlink xmlns:r="http://schemas.openxmlformats.org/officeDocument/2006/relationships" ref="J95" r:id="rId93"/>
    <hyperlink xmlns:r="http://schemas.openxmlformats.org/officeDocument/2006/relationships" ref="J96" r:id="rId94"/>
    <hyperlink xmlns:r="http://schemas.openxmlformats.org/officeDocument/2006/relationships" ref="J97" r:id="rId95"/>
    <hyperlink xmlns:r="http://schemas.openxmlformats.org/officeDocument/2006/relationships" ref="J98" r:id="rId96"/>
    <hyperlink xmlns:r="http://schemas.openxmlformats.org/officeDocument/2006/relationships" ref="J99" r:id="rId97"/>
    <hyperlink xmlns:r="http://schemas.openxmlformats.org/officeDocument/2006/relationships" ref="J100" r:id="rId98"/>
    <hyperlink xmlns:r="http://schemas.openxmlformats.org/officeDocument/2006/relationships" ref="J101" r:id="rId99"/>
    <hyperlink xmlns:r="http://schemas.openxmlformats.org/officeDocument/2006/relationships" ref="J102" r:id="rId100"/>
    <hyperlink xmlns:r="http://schemas.openxmlformats.org/officeDocument/2006/relationships" ref="J103" r:id="rId101"/>
    <hyperlink xmlns:r="http://schemas.openxmlformats.org/officeDocument/2006/relationships" ref="J104" r:id="rId102"/>
    <hyperlink xmlns:r="http://schemas.openxmlformats.org/officeDocument/2006/relationships" ref="J105" r:id="rId103"/>
    <hyperlink xmlns:r="http://schemas.openxmlformats.org/officeDocument/2006/relationships" ref="J106" r:id="rId104"/>
    <hyperlink xmlns:r="http://schemas.openxmlformats.org/officeDocument/2006/relationships" ref="J107" r:id="rId105"/>
    <hyperlink xmlns:r="http://schemas.openxmlformats.org/officeDocument/2006/relationships" ref="J108" r:id="rId106"/>
    <hyperlink xmlns:r="http://schemas.openxmlformats.org/officeDocument/2006/relationships" ref="J109" r:id="rId107"/>
    <hyperlink xmlns:r="http://schemas.openxmlformats.org/officeDocument/2006/relationships" ref="J110" r:id="rId108"/>
    <hyperlink xmlns:r="http://schemas.openxmlformats.org/officeDocument/2006/relationships" ref="J111" r:id="rId109"/>
    <hyperlink xmlns:r="http://schemas.openxmlformats.org/officeDocument/2006/relationships" ref="J112" r:id="rId110"/>
    <hyperlink xmlns:r="http://schemas.openxmlformats.org/officeDocument/2006/relationships" ref="J113" r:id="rId111"/>
    <hyperlink xmlns:r="http://schemas.openxmlformats.org/officeDocument/2006/relationships" ref="J114" r:id="rId112"/>
    <hyperlink xmlns:r="http://schemas.openxmlformats.org/officeDocument/2006/relationships" ref="J115" r:id="rId113"/>
    <hyperlink xmlns:r="http://schemas.openxmlformats.org/officeDocument/2006/relationships" ref="J116" r:id="rId114"/>
    <hyperlink xmlns:r="http://schemas.openxmlformats.org/officeDocument/2006/relationships" ref="J117" r:id="rId115"/>
    <hyperlink xmlns:r="http://schemas.openxmlformats.org/officeDocument/2006/relationships" ref="J118" r:id="rId116"/>
    <hyperlink xmlns:r="http://schemas.openxmlformats.org/officeDocument/2006/relationships" ref="J119" r:id="rId117"/>
    <hyperlink xmlns:r="http://schemas.openxmlformats.org/officeDocument/2006/relationships" ref="J120" r:id="rId118"/>
    <hyperlink xmlns:r="http://schemas.openxmlformats.org/officeDocument/2006/relationships" ref="J121" r:id="rId119"/>
    <hyperlink xmlns:r="http://schemas.openxmlformats.org/officeDocument/2006/relationships" ref="J122" r:id="rId120"/>
    <hyperlink xmlns:r="http://schemas.openxmlformats.org/officeDocument/2006/relationships" ref="J123" r:id="rId121"/>
    <hyperlink xmlns:r="http://schemas.openxmlformats.org/officeDocument/2006/relationships" ref="J124" r:id="rId122"/>
    <hyperlink xmlns:r="http://schemas.openxmlformats.org/officeDocument/2006/relationships" ref="J125" r:id="rId123"/>
    <hyperlink xmlns:r="http://schemas.openxmlformats.org/officeDocument/2006/relationships" ref="J126" r:id="rId124"/>
    <hyperlink xmlns:r="http://schemas.openxmlformats.org/officeDocument/2006/relationships" ref="J127" r:id="rId125"/>
    <hyperlink xmlns:r="http://schemas.openxmlformats.org/officeDocument/2006/relationships" ref="J128" r:id="rId126"/>
    <hyperlink xmlns:r="http://schemas.openxmlformats.org/officeDocument/2006/relationships" ref="J129" r:id="rId127"/>
    <hyperlink xmlns:r="http://schemas.openxmlformats.org/officeDocument/2006/relationships" ref="J130" r:id="rId128"/>
    <hyperlink xmlns:r="http://schemas.openxmlformats.org/officeDocument/2006/relationships" ref="J131" r:id="rId129"/>
    <hyperlink xmlns:r="http://schemas.openxmlformats.org/officeDocument/2006/relationships" ref="J132" r:id="rId130"/>
    <hyperlink xmlns:r="http://schemas.openxmlformats.org/officeDocument/2006/relationships" ref="J133" r:id="rId131"/>
    <hyperlink xmlns:r="http://schemas.openxmlformats.org/officeDocument/2006/relationships" ref="J134" r:id="rId132"/>
    <hyperlink xmlns:r="http://schemas.openxmlformats.org/officeDocument/2006/relationships" ref="J135" r:id="rId133"/>
    <hyperlink xmlns:r="http://schemas.openxmlformats.org/officeDocument/2006/relationships" ref="J136" r:id="rId134"/>
    <hyperlink xmlns:r="http://schemas.openxmlformats.org/officeDocument/2006/relationships" ref="J137" r:id="rId135"/>
    <hyperlink xmlns:r="http://schemas.openxmlformats.org/officeDocument/2006/relationships" ref="J138" r:id="rId136"/>
    <hyperlink xmlns:r="http://schemas.openxmlformats.org/officeDocument/2006/relationships" ref="J139" r:id="rId137"/>
    <hyperlink xmlns:r="http://schemas.openxmlformats.org/officeDocument/2006/relationships" ref="J140" r:id="rId138"/>
    <hyperlink xmlns:r="http://schemas.openxmlformats.org/officeDocument/2006/relationships" ref="J141" r:id="rId139"/>
    <hyperlink xmlns:r="http://schemas.openxmlformats.org/officeDocument/2006/relationships" ref="J142" r:id="rId140"/>
    <hyperlink xmlns:r="http://schemas.openxmlformats.org/officeDocument/2006/relationships" ref="J143" r:id="rId141"/>
    <hyperlink xmlns:r="http://schemas.openxmlformats.org/officeDocument/2006/relationships" ref="J144" r:id="rId142"/>
    <hyperlink xmlns:r="http://schemas.openxmlformats.org/officeDocument/2006/relationships" ref="J145" r:id="rId143"/>
    <hyperlink xmlns:r="http://schemas.openxmlformats.org/officeDocument/2006/relationships" ref="J146" r:id="rId144"/>
    <hyperlink xmlns:r="http://schemas.openxmlformats.org/officeDocument/2006/relationships" ref="J147" r:id="rId145"/>
    <hyperlink xmlns:r="http://schemas.openxmlformats.org/officeDocument/2006/relationships" ref="J148" r:id="rId146"/>
    <hyperlink xmlns:r="http://schemas.openxmlformats.org/officeDocument/2006/relationships" ref="J149" r:id="rId147"/>
    <hyperlink xmlns:r="http://schemas.openxmlformats.org/officeDocument/2006/relationships" ref="J150" r:id="rId148"/>
    <hyperlink xmlns:r="http://schemas.openxmlformats.org/officeDocument/2006/relationships" ref="J151" r:id="rId149"/>
    <hyperlink xmlns:r="http://schemas.openxmlformats.org/officeDocument/2006/relationships" ref="J152" r:id="rId150"/>
    <hyperlink xmlns:r="http://schemas.openxmlformats.org/officeDocument/2006/relationships" ref="J153" r:id="rId151"/>
    <hyperlink xmlns:r="http://schemas.openxmlformats.org/officeDocument/2006/relationships" ref="J154" r:id="rId152"/>
    <hyperlink xmlns:r="http://schemas.openxmlformats.org/officeDocument/2006/relationships" ref="J155" r:id="rId153"/>
    <hyperlink xmlns:r="http://schemas.openxmlformats.org/officeDocument/2006/relationships" ref="J156" r:id="rId154"/>
    <hyperlink xmlns:r="http://schemas.openxmlformats.org/officeDocument/2006/relationships" ref="J157" r:id="rId155"/>
    <hyperlink xmlns:r="http://schemas.openxmlformats.org/officeDocument/2006/relationships" ref="J158" r:id="rId156"/>
    <hyperlink xmlns:r="http://schemas.openxmlformats.org/officeDocument/2006/relationships" ref="J159" r:id="rId157"/>
    <hyperlink xmlns:r="http://schemas.openxmlformats.org/officeDocument/2006/relationships" ref="J160" r:id="rId158"/>
    <hyperlink xmlns:r="http://schemas.openxmlformats.org/officeDocument/2006/relationships" ref="J161" r:id="rId159"/>
    <hyperlink xmlns:r="http://schemas.openxmlformats.org/officeDocument/2006/relationships" ref="J162" r:id="rId160"/>
    <hyperlink xmlns:r="http://schemas.openxmlformats.org/officeDocument/2006/relationships" ref="J163" r:id="rId161"/>
    <hyperlink xmlns:r="http://schemas.openxmlformats.org/officeDocument/2006/relationships" ref="J164" r:id="rId162"/>
    <hyperlink xmlns:r="http://schemas.openxmlformats.org/officeDocument/2006/relationships" ref="J165" r:id="rId163"/>
    <hyperlink xmlns:r="http://schemas.openxmlformats.org/officeDocument/2006/relationships" ref="J166" r:id="rId164"/>
    <hyperlink xmlns:r="http://schemas.openxmlformats.org/officeDocument/2006/relationships" ref="J167" r:id="rId165"/>
    <hyperlink xmlns:r="http://schemas.openxmlformats.org/officeDocument/2006/relationships" ref="J168" r:id="rId166"/>
    <hyperlink xmlns:r="http://schemas.openxmlformats.org/officeDocument/2006/relationships" ref="J169" r:id="rId167"/>
    <hyperlink xmlns:r="http://schemas.openxmlformats.org/officeDocument/2006/relationships" ref="J170" r:id="rId168"/>
    <hyperlink xmlns:r="http://schemas.openxmlformats.org/officeDocument/2006/relationships" ref="J171" r:id="rId169"/>
    <hyperlink xmlns:r="http://schemas.openxmlformats.org/officeDocument/2006/relationships" ref="J172" r:id="rId170"/>
    <hyperlink xmlns:r="http://schemas.openxmlformats.org/officeDocument/2006/relationships" ref="J173" r:id="rId171"/>
    <hyperlink xmlns:r="http://schemas.openxmlformats.org/officeDocument/2006/relationships" ref="J174" r:id="rId172"/>
    <hyperlink xmlns:r="http://schemas.openxmlformats.org/officeDocument/2006/relationships" ref="J175" r:id="rId173"/>
    <hyperlink xmlns:r="http://schemas.openxmlformats.org/officeDocument/2006/relationships" ref="J176" r:id="rId174"/>
    <hyperlink xmlns:r="http://schemas.openxmlformats.org/officeDocument/2006/relationships" ref="J177" r:id="rId175"/>
    <hyperlink xmlns:r="http://schemas.openxmlformats.org/officeDocument/2006/relationships" ref="J178" r:id="rId176"/>
    <hyperlink xmlns:r="http://schemas.openxmlformats.org/officeDocument/2006/relationships" ref="J179" r:id="rId177"/>
    <hyperlink xmlns:r="http://schemas.openxmlformats.org/officeDocument/2006/relationships" ref="J180" r:id="rId178"/>
    <hyperlink xmlns:r="http://schemas.openxmlformats.org/officeDocument/2006/relationships" ref="J181" r:id="rId179"/>
    <hyperlink xmlns:r="http://schemas.openxmlformats.org/officeDocument/2006/relationships" ref="J182" r:id="rId180"/>
    <hyperlink xmlns:r="http://schemas.openxmlformats.org/officeDocument/2006/relationships" ref="J183" r:id="rId181"/>
    <hyperlink xmlns:r="http://schemas.openxmlformats.org/officeDocument/2006/relationships" ref="J184" r:id="rId182"/>
    <hyperlink xmlns:r="http://schemas.openxmlformats.org/officeDocument/2006/relationships" ref="J185" r:id="rId183"/>
    <hyperlink xmlns:r="http://schemas.openxmlformats.org/officeDocument/2006/relationships" ref="J186" r:id="rId184"/>
    <hyperlink xmlns:r="http://schemas.openxmlformats.org/officeDocument/2006/relationships" ref="J187" r:id="rId185"/>
    <hyperlink xmlns:r="http://schemas.openxmlformats.org/officeDocument/2006/relationships" ref="J188" r:id="rId186"/>
    <hyperlink xmlns:r="http://schemas.openxmlformats.org/officeDocument/2006/relationships" ref="J189" r:id="rId187"/>
    <hyperlink xmlns:r="http://schemas.openxmlformats.org/officeDocument/2006/relationships" ref="J190" r:id="rId188"/>
    <hyperlink xmlns:r="http://schemas.openxmlformats.org/officeDocument/2006/relationships" ref="J191" r:id="rId189"/>
    <hyperlink xmlns:r="http://schemas.openxmlformats.org/officeDocument/2006/relationships" ref="J192" r:id="rId190"/>
    <hyperlink xmlns:r="http://schemas.openxmlformats.org/officeDocument/2006/relationships" ref="J193" r:id="rId191"/>
    <hyperlink xmlns:r="http://schemas.openxmlformats.org/officeDocument/2006/relationships" ref="J194" r:id="rId192"/>
    <hyperlink xmlns:r="http://schemas.openxmlformats.org/officeDocument/2006/relationships" ref="J195" r:id="rId193"/>
    <hyperlink xmlns:r="http://schemas.openxmlformats.org/officeDocument/2006/relationships" ref="J196" r:id="rId194"/>
    <hyperlink xmlns:r="http://schemas.openxmlformats.org/officeDocument/2006/relationships" ref="J197" r:id="rId195"/>
    <hyperlink xmlns:r="http://schemas.openxmlformats.org/officeDocument/2006/relationships" ref="J198" r:id="rId196"/>
    <hyperlink xmlns:r="http://schemas.openxmlformats.org/officeDocument/2006/relationships" ref="J199" r:id="rId197"/>
    <hyperlink xmlns:r="http://schemas.openxmlformats.org/officeDocument/2006/relationships" ref="J200" r:id="rId198"/>
    <hyperlink xmlns:r="http://schemas.openxmlformats.org/officeDocument/2006/relationships" ref="J201" r:id="rId199"/>
    <hyperlink xmlns:r="http://schemas.openxmlformats.org/officeDocument/2006/relationships" ref="J202" r:id="rId200"/>
    <hyperlink xmlns:r="http://schemas.openxmlformats.org/officeDocument/2006/relationships" ref="J203" r:id="rId201"/>
    <hyperlink xmlns:r="http://schemas.openxmlformats.org/officeDocument/2006/relationships" ref="J204" r:id="rId202"/>
    <hyperlink xmlns:r="http://schemas.openxmlformats.org/officeDocument/2006/relationships" ref="J205" r:id="rId203"/>
    <hyperlink xmlns:r="http://schemas.openxmlformats.org/officeDocument/2006/relationships" ref="J206" r:id="rId204"/>
    <hyperlink xmlns:r="http://schemas.openxmlformats.org/officeDocument/2006/relationships" ref="J207" r:id="rId205"/>
    <hyperlink xmlns:r="http://schemas.openxmlformats.org/officeDocument/2006/relationships" ref="J208" r:id="rId206"/>
    <hyperlink xmlns:r="http://schemas.openxmlformats.org/officeDocument/2006/relationships" ref="J209" r:id="rId207"/>
    <hyperlink xmlns:r="http://schemas.openxmlformats.org/officeDocument/2006/relationships" ref="J210" r:id="rId208"/>
    <hyperlink xmlns:r="http://schemas.openxmlformats.org/officeDocument/2006/relationships" ref="J211" r:id="rId209"/>
    <hyperlink xmlns:r="http://schemas.openxmlformats.org/officeDocument/2006/relationships" ref="J212" r:id="rId210"/>
    <hyperlink xmlns:r="http://schemas.openxmlformats.org/officeDocument/2006/relationships" ref="J213" r:id="rId211"/>
    <hyperlink xmlns:r="http://schemas.openxmlformats.org/officeDocument/2006/relationships" ref="J214" r:id="rId212"/>
    <hyperlink xmlns:r="http://schemas.openxmlformats.org/officeDocument/2006/relationships" ref="J215" r:id="rId213"/>
    <hyperlink xmlns:r="http://schemas.openxmlformats.org/officeDocument/2006/relationships" ref="J216" r:id="rId214"/>
    <hyperlink xmlns:r="http://schemas.openxmlformats.org/officeDocument/2006/relationships" ref="J217" r:id="rId215"/>
    <hyperlink xmlns:r="http://schemas.openxmlformats.org/officeDocument/2006/relationships" ref="J218" r:id="rId216"/>
    <hyperlink xmlns:r="http://schemas.openxmlformats.org/officeDocument/2006/relationships" ref="J219" r:id="rId217"/>
    <hyperlink xmlns:r="http://schemas.openxmlformats.org/officeDocument/2006/relationships" ref="J220" r:id="rId218"/>
    <hyperlink xmlns:r="http://schemas.openxmlformats.org/officeDocument/2006/relationships" ref="J221" r:id="rId219"/>
    <hyperlink xmlns:r="http://schemas.openxmlformats.org/officeDocument/2006/relationships" ref="J222" r:id="rId220"/>
    <hyperlink xmlns:r="http://schemas.openxmlformats.org/officeDocument/2006/relationships" ref="J223" r:id="rId221"/>
    <hyperlink xmlns:r="http://schemas.openxmlformats.org/officeDocument/2006/relationships" ref="J224" r:id="rId222"/>
    <hyperlink xmlns:r="http://schemas.openxmlformats.org/officeDocument/2006/relationships" ref="J225" r:id="rId223"/>
    <hyperlink xmlns:r="http://schemas.openxmlformats.org/officeDocument/2006/relationships" ref="J226" r:id="rId224"/>
    <hyperlink xmlns:r="http://schemas.openxmlformats.org/officeDocument/2006/relationships" ref="J227" r:id="rId225"/>
    <hyperlink xmlns:r="http://schemas.openxmlformats.org/officeDocument/2006/relationships" ref="J228" r:id="rId226"/>
    <hyperlink xmlns:r="http://schemas.openxmlformats.org/officeDocument/2006/relationships" ref="J229" r:id="rId227"/>
    <hyperlink xmlns:r="http://schemas.openxmlformats.org/officeDocument/2006/relationships" ref="J230" r:id="rId228"/>
    <hyperlink xmlns:r="http://schemas.openxmlformats.org/officeDocument/2006/relationships" ref="J231" r:id="rId229"/>
    <hyperlink xmlns:r="http://schemas.openxmlformats.org/officeDocument/2006/relationships" ref="J232" r:id="rId230"/>
    <hyperlink xmlns:r="http://schemas.openxmlformats.org/officeDocument/2006/relationships" ref="J233" r:id="rId231"/>
    <hyperlink xmlns:r="http://schemas.openxmlformats.org/officeDocument/2006/relationships" ref="J234" r:id="rId232"/>
    <hyperlink xmlns:r="http://schemas.openxmlformats.org/officeDocument/2006/relationships" ref="J235" r:id="rId233"/>
    <hyperlink xmlns:r="http://schemas.openxmlformats.org/officeDocument/2006/relationships" ref="J236" r:id="rId234"/>
    <hyperlink xmlns:r="http://schemas.openxmlformats.org/officeDocument/2006/relationships" ref="J237" r:id="rId235"/>
    <hyperlink xmlns:r="http://schemas.openxmlformats.org/officeDocument/2006/relationships" ref="J238" r:id="rId236"/>
    <hyperlink xmlns:r="http://schemas.openxmlformats.org/officeDocument/2006/relationships" ref="J239" r:id="rId237"/>
    <hyperlink xmlns:r="http://schemas.openxmlformats.org/officeDocument/2006/relationships" ref="J240" r:id="rId238"/>
    <hyperlink xmlns:r="http://schemas.openxmlformats.org/officeDocument/2006/relationships" ref="J241" r:id="rId239"/>
    <hyperlink xmlns:r="http://schemas.openxmlformats.org/officeDocument/2006/relationships" ref="J242" r:id="rId240"/>
    <hyperlink xmlns:r="http://schemas.openxmlformats.org/officeDocument/2006/relationships" ref="J243" r:id="rId241"/>
    <hyperlink xmlns:r="http://schemas.openxmlformats.org/officeDocument/2006/relationships" ref="J244" r:id="rId242"/>
    <hyperlink xmlns:r="http://schemas.openxmlformats.org/officeDocument/2006/relationships" ref="J245" r:id="rId243"/>
    <hyperlink xmlns:r="http://schemas.openxmlformats.org/officeDocument/2006/relationships" ref="J246" r:id="rId244"/>
    <hyperlink xmlns:r="http://schemas.openxmlformats.org/officeDocument/2006/relationships" ref="J247" r:id="rId245"/>
    <hyperlink xmlns:r="http://schemas.openxmlformats.org/officeDocument/2006/relationships" ref="J248" r:id="rId246"/>
    <hyperlink xmlns:r="http://schemas.openxmlformats.org/officeDocument/2006/relationships" ref="J249" r:id="rId247"/>
    <hyperlink xmlns:r="http://schemas.openxmlformats.org/officeDocument/2006/relationships" ref="J250" r:id="rId248"/>
    <hyperlink xmlns:r="http://schemas.openxmlformats.org/officeDocument/2006/relationships" ref="J251" r:id="rId249"/>
    <hyperlink xmlns:r="http://schemas.openxmlformats.org/officeDocument/2006/relationships" ref="J252" r:id="rId250"/>
    <hyperlink xmlns:r="http://schemas.openxmlformats.org/officeDocument/2006/relationships" ref="J253" r:id="rId251"/>
    <hyperlink xmlns:r="http://schemas.openxmlformats.org/officeDocument/2006/relationships" ref="J254" r:id="rId252"/>
    <hyperlink xmlns:r="http://schemas.openxmlformats.org/officeDocument/2006/relationships" ref="J255" r:id="rId253"/>
    <hyperlink xmlns:r="http://schemas.openxmlformats.org/officeDocument/2006/relationships" ref="J256" r:id="rId254"/>
    <hyperlink xmlns:r="http://schemas.openxmlformats.org/officeDocument/2006/relationships" ref="J257" r:id="rId255"/>
    <hyperlink xmlns:r="http://schemas.openxmlformats.org/officeDocument/2006/relationships" ref="J258" r:id="rId256"/>
    <hyperlink xmlns:r="http://schemas.openxmlformats.org/officeDocument/2006/relationships" ref="J259" r:id="rId257"/>
    <hyperlink xmlns:r="http://schemas.openxmlformats.org/officeDocument/2006/relationships" ref="J260" r:id="rId258"/>
    <hyperlink xmlns:r="http://schemas.openxmlformats.org/officeDocument/2006/relationships" ref="J261" r:id="rId259"/>
    <hyperlink xmlns:r="http://schemas.openxmlformats.org/officeDocument/2006/relationships" ref="J262" r:id="rId260"/>
    <hyperlink xmlns:r="http://schemas.openxmlformats.org/officeDocument/2006/relationships" ref="J263" r:id="rId261"/>
    <hyperlink xmlns:r="http://schemas.openxmlformats.org/officeDocument/2006/relationships" ref="J264" r:id="rId262"/>
    <hyperlink xmlns:r="http://schemas.openxmlformats.org/officeDocument/2006/relationships" ref="J265" r:id="rId263"/>
    <hyperlink xmlns:r="http://schemas.openxmlformats.org/officeDocument/2006/relationships" ref="J266" r:id="rId264"/>
    <hyperlink xmlns:r="http://schemas.openxmlformats.org/officeDocument/2006/relationships" ref="J267" r:id="rId265"/>
    <hyperlink xmlns:r="http://schemas.openxmlformats.org/officeDocument/2006/relationships" ref="J268" r:id="rId266"/>
    <hyperlink xmlns:r="http://schemas.openxmlformats.org/officeDocument/2006/relationships" ref="J269" r:id="rId267"/>
    <hyperlink xmlns:r="http://schemas.openxmlformats.org/officeDocument/2006/relationships" ref="J270" r:id="rId268"/>
    <hyperlink xmlns:r="http://schemas.openxmlformats.org/officeDocument/2006/relationships" ref="J271" r:id="rId269"/>
    <hyperlink xmlns:r="http://schemas.openxmlformats.org/officeDocument/2006/relationships" ref="J272" r:id="rId270"/>
    <hyperlink xmlns:r="http://schemas.openxmlformats.org/officeDocument/2006/relationships" ref="J273" r:id="rId271"/>
    <hyperlink xmlns:r="http://schemas.openxmlformats.org/officeDocument/2006/relationships" ref="J274" r:id="rId272"/>
    <hyperlink xmlns:r="http://schemas.openxmlformats.org/officeDocument/2006/relationships" ref="J275" r:id="rId273"/>
    <hyperlink xmlns:r="http://schemas.openxmlformats.org/officeDocument/2006/relationships" ref="J276" r:id="rId274"/>
    <hyperlink xmlns:r="http://schemas.openxmlformats.org/officeDocument/2006/relationships" ref="J277" r:id="rId275"/>
    <hyperlink xmlns:r="http://schemas.openxmlformats.org/officeDocument/2006/relationships" ref="J278" r:id="rId276"/>
    <hyperlink xmlns:r="http://schemas.openxmlformats.org/officeDocument/2006/relationships" ref="J279" r:id="rId277"/>
    <hyperlink xmlns:r="http://schemas.openxmlformats.org/officeDocument/2006/relationships" ref="J280" r:id="rId278"/>
    <hyperlink xmlns:r="http://schemas.openxmlformats.org/officeDocument/2006/relationships" ref="J281" r:id="rId279"/>
    <hyperlink xmlns:r="http://schemas.openxmlformats.org/officeDocument/2006/relationships" ref="J282" r:id="rId280"/>
    <hyperlink xmlns:r="http://schemas.openxmlformats.org/officeDocument/2006/relationships" ref="J283" r:id="rId281"/>
    <hyperlink xmlns:r="http://schemas.openxmlformats.org/officeDocument/2006/relationships" ref="J284" r:id="rId282"/>
    <hyperlink xmlns:r="http://schemas.openxmlformats.org/officeDocument/2006/relationships" ref="J285" r:id="rId283"/>
    <hyperlink xmlns:r="http://schemas.openxmlformats.org/officeDocument/2006/relationships" ref="J286" r:id="rId284"/>
    <hyperlink xmlns:r="http://schemas.openxmlformats.org/officeDocument/2006/relationships" ref="J287" r:id="rId285"/>
    <hyperlink xmlns:r="http://schemas.openxmlformats.org/officeDocument/2006/relationships" ref="J288" r:id="rId286"/>
    <hyperlink xmlns:r="http://schemas.openxmlformats.org/officeDocument/2006/relationships" ref="J289" r:id="rId287"/>
    <hyperlink xmlns:r="http://schemas.openxmlformats.org/officeDocument/2006/relationships" ref="J290" r:id="rId288"/>
    <hyperlink xmlns:r="http://schemas.openxmlformats.org/officeDocument/2006/relationships" ref="J291" r:id="rId289"/>
    <hyperlink xmlns:r="http://schemas.openxmlformats.org/officeDocument/2006/relationships" ref="J292" r:id="rId290"/>
    <hyperlink xmlns:r="http://schemas.openxmlformats.org/officeDocument/2006/relationships" ref="J293" r:id="rId291"/>
    <hyperlink xmlns:r="http://schemas.openxmlformats.org/officeDocument/2006/relationships" ref="J294" r:id="rId292"/>
    <hyperlink xmlns:r="http://schemas.openxmlformats.org/officeDocument/2006/relationships" ref="J295" r:id="rId293"/>
    <hyperlink xmlns:r="http://schemas.openxmlformats.org/officeDocument/2006/relationships" ref="J296" r:id="rId294"/>
    <hyperlink xmlns:r="http://schemas.openxmlformats.org/officeDocument/2006/relationships" ref="J297" r:id="rId295"/>
    <hyperlink xmlns:r="http://schemas.openxmlformats.org/officeDocument/2006/relationships" ref="J298" r:id="rId296"/>
    <hyperlink xmlns:r="http://schemas.openxmlformats.org/officeDocument/2006/relationships" ref="J299" r:id="rId297"/>
    <hyperlink xmlns:r="http://schemas.openxmlformats.org/officeDocument/2006/relationships" ref="J300" r:id="rId298"/>
    <hyperlink xmlns:r="http://schemas.openxmlformats.org/officeDocument/2006/relationships" ref="J301" r:id="rId299"/>
    <hyperlink xmlns:r="http://schemas.openxmlformats.org/officeDocument/2006/relationships" ref="J302" r:id="rId300"/>
    <hyperlink xmlns:r="http://schemas.openxmlformats.org/officeDocument/2006/relationships" ref="J303" r:id="rId301"/>
    <hyperlink xmlns:r="http://schemas.openxmlformats.org/officeDocument/2006/relationships" ref="J304" r:id="rId302"/>
    <hyperlink xmlns:r="http://schemas.openxmlformats.org/officeDocument/2006/relationships" ref="J305" r:id="rId303"/>
    <hyperlink xmlns:r="http://schemas.openxmlformats.org/officeDocument/2006/relationships" ref="J306" r:id="rId304"/>
    <hyperlink xmlns:r="http://schemas.openxmlformats.org/officeDocument/2006/relationships" ref="J307" r:id="rId305"/>
    <hyperlink xmlns:r="http://schemas.openxmlformats.org/officeDocument/2006/relationships" ref="J308" r:id="rId306"/>
    <hyperlink xmlns:r="http://schemas.openxmlformats.org/officeDocument/2006/relationships" ref="J309" r:id="rId307"/>
    <hyperlink xmlns:r="http://schemas.openxmlformats.org/officeDocument/2006/relationships" ref="J310" r:id="rId308"/>
    <hyperlink xmlns:r="http://schemas.openxmlformats.org/officeDocument/2006/relationships" ref="J311" r:id="rId309"/>
    <hyperlink xmlns:r="http://schemas.openxmlformats.org/officeDocument/2006/relationships" ref="J312" r:id="rId310"/>
    <hyperlink xmlns:r="http://schemas.openxmlformats.org/officeDocument/2006/relationships" ref="J313" r:id="rId311"/>
    <hyperlink xmlns:r="http://schemas.openxmlformats.org/officeDocument/2006/relationships" ref="J314" r:id="rId312"/>
    <hyperlink xmlns:r="http://schemas.openxmlformats.org/officeDocument/2006/relationships" ref="J315" r:id="rId313"/>
    <hyperlink xmlns:r="http://schemas.openxmlformats.org/officeDocument/2006/relationships" ref="J316" r:id="rId314"/>
    <hyperlink xmlns:r="http://schemas.openxmlformats.org/officeDocument/2006/relationships" ref="J317" r:id="rId315"/>
    <hyperlink xmlns:r="http://schemas.openxmlformats.org/officeDocument/2006/relationships" ref="J318" r:id="rId316"/>
    <hyperlink xmlns:r="http://schemas.openxmlformats.org/officeDocument/2006/relationships" ref="J319" r:id="rId317"/>
    <hyperlink xmlns:r="http://schemas.openxmlformats.org/officeDocument/2006/relationships" ref="J320" r:id="rId318"/>
    <hyperlink xmlns:r="http://schemas.openxmlformats.org/officeDocument/2006/relationships" ref="J321" r:id="rId319"/>
    <hyperlink xmlns:r="http://schemas.openxmlformats.org/officeDocument/2006/relationships" ref="J322" r:id="rId320"/>
    <hyperlink xmlns:r="http://schemas.openxmlformats.org/officeDocument/2006/relationships" ref="J323" r:id="rId321"/>
    <hyperlink xmlns:r="http://schemas.openxmlformats.org/officeDocument/2006/relationships" ref="J324" r:id="rId322"/>
    <hyperlink xmlns:r="http://schemas.openxmlformats.org/officeDocument/2006/relationships" ref="J325" r:id="rId323"/>
    <hyperlink xmlns:r="http://schemas.openxmlformats.org/officeDocument/2006/relationships" ref="J326" r:id="rId324"/>
    <hyperlink xmlns:r="http://schemas.openxmlformats.org/officeDocument/2006/relationships" ref="J327" r:id="rId325"/>
    <hyperlink xmlns:r="http://schemas.openxmlformats.org/officeDocument/2006/relationships" ref="J328" r:id="rId326"/>
    <hyperlink xmlns:r="http://schemas.openxmlformats.org/officeDocument/2006/relationships" ref="J329" r:id="rId327"/>
    <hyperlink xmlns:r="http://schemas.openxmlformats.org/officeDocument/2006/relationships" ref="J330" r:id="rId328"/>
    <hyperlink xmlns:r="http://schemas.openxmlformats.org/officeDocument/2006/relationships" ref="J331" r:id="rId329"/>
    <hyperlink xmlns:r="http://schemas.openxmlformats.org/officeDocument/2006/relationships" ref="J332" r:id="rId330"/>
    <hyperlink xmlns:r="http://schemas.openxmlformats.org/officeDocument/2006/relationships" ref="J333" r:id="rId331"/>
    <hyperlink xmlns:r="http://schemas.openxmlformats.org/officeDocument/2006/relationships" ref="J334" r:id="rId332"/>
    <hyperlink xmlns:r="http://schemas.openxmlformats.org/officeDocument/2006/relationships" ref="J335" r:id="rId333"/>
    <hyperlink xmlns:r="http://schemas.openxmlformats.org/officeDocument/2006/relationships" ref="J336" r:id="rId334"/>
    <hyperlink xmlns:r="http://schemas.openxmlformats.org/officeDocument/2006/relationships" ref="J337" r:id="rId335"/>
    <hyperlink xmlns:r="http://schemas.openxmlformats.org/officeDocument/2006/relationships" ref="J338" r:id="rId336"/>
    <hyperlink xmlns:r="http://schemas.openxmlformats.org/officeDocument/2006/relationships" ref="J339" r:id="rId337"/>
    <hyperlink xmlns:r="http://schemas.openxmlformats.org/officeDocument/2006/relationships" ref="J340" r:id="rId338"/>
    <hyperlink xmlns:r="http://schemas.openxmlformats.org/officeDocument/2006/relationships" ref="J341" r:id="rId339"/>
    <hyperlink xmlns:r="http://schemas.openxmlformats.org/officeDocument/2006/relationships" ref="J342" r:id="rId340"/>
    <hyperlink xmlns:r="http://schemas.openxmlformats.org/officeDocument/2006/relationships" ref="J343" r:id="rId341"/>
    <hyperlink xmlns:r="http://schemas.openxmlformats.org/officeDocument/2006/relationships" ref="J344" r:id="rId342"/>
    <hyperlink xmlns:r="http://schemas.openxmlformats.org/officeDocument/2006/relationships" ref="J345" r:id="rId343"/>
    <hyperlink xmlns:r="http://schemas.openxmlformats.org/officeDocument/2006/relationships" ref="J346" r:id="rId344"/>
    <hyperlink xmlns:r="http://schemas.openxmlformats.org/officeDocument/2006/relationships" ref="J347" r:id="rId345"/>
    <hyperlink xmlns:r="http://schemas.openxmlformats.org/officeDocument/2006/relationships" ref="J348" r:id="rId346"/>
    <hyperlink xmlns:r="http://schemas.openxmlformats.org/officeDocument/2006/relationships" ref="J349" r:id="rId347"/>
    <hyperlink xmlns:r="http://schemas.openxmlformats.org/officeDocument/2006/relationships" ref="J350" r:id="rId348"/>
    <hyperlink xmlns:r="http://schemas.openxmlformats.org/officeDocument/2006/relationships" ref="J351" r:id="rId349"/>
    <hyperlink xmlns:r="http://schemas.openxmlformats.org/officeDocument/2006/relationships" ref="J352" r:id="rId350"/>
    <hyperlink xmlns:r="http://schemas.openxmlformats.org/officeDocument/2006/relationships" ref="J353" r:id="rId351"/>
    <hyperlink xmlns:r="http://schemas.openxmlformats.org/officeDocument/2006/relationships" ref="J354" r:id="rId352"/>
    <hyperlink xmlns:r="http://schemas.openxmlformats.org/officeDocument/2006/relationships" ref="J355" r:id="rId353"/>
    <hyperlink xmlns:r="http://schemas.openxmlformats.org/officeDocument/2006/relationships" ref="J356" r:id="rId354"/>
    <hyperlink xmlns:r="http://schemas.openxmlformats.org/officeDocument/2006/relationships" ref="J357" r:id="rId355"/>
    <hyperlink xmlns:r="http://schemas.openxmlformats.org/officeDocument/2006/relationships" ref="J358" r:id="rId356"/>
    <hyperlink xmlns:r="http://schemas.openxmlformats.org/officeDocument/2006/relationships" ref="J359" r:id="rId357"/>
    <hyperlink xmlns:r="http://schemas.openxmlformats.org/officeDocument/2006/relationships" ref="J360" r:id="rId358"/>
    <hyperlink xmlns:r="http://schemas.openxmlformats.org/officeDocument/2006/relationships" ref="J361" r:id="rId359"/>
    <hyperlink xmlns:r="http://schemas.openxmlformats.org/officeDocument/2006/relationships" ref="J362" r:id="rId360"/>
    <hyperlink xmlns:r="http://schemas.openxmlformats.org/officeDocument/2006/relationships" ref="J363" r:id="rId361"/>
    <hyperlink xmlns:r="http://schemas.openxmlformats.org/officeDocument/2006/relationships" ref="J364" r:id="rId362"/>
    <hyperlink xmlns:r="http://schemas.openxmlformats.org/officeDocument/2006/relationships" ref="J365" r:id="rId363"/>
    <hyperlink xmlns:r="http://schemas.openxmlformats.org/officeDocument/2006/relationships" ref="J366" r:id="rId364"/>
    <hyperlink xmlns:r="http://schemas.openxmlformats.org/officeDocument/2006/relationships" ref="J367" r:id="rId365"/>
    <hyperlink xmlns:r="http://schemas.openxmlformats.org/officeDocument/2006/relationships" ref="J368" r:id="rId366"/>
    <hyperlink xmlns:r="http://schemas.openxmlformats.org/officeDocument/2006/relationships" ref="J369" r:id="rId367"/>
    <hyperlink xmlns:r="http://schemas.openxmlformats.org/officeDocument/2006/relationships" ref="J370" r:id="rId368"/>
    <hyperlink xmlns:r="http://schemas.openxmlformats.org/officeDocument/2006/relationships" ref="J371" r:id="rId369"/>
    <hyperlink xmlns:r="http://schemas.openxmlformats.org/officeDocument/2006/relationships" ref="J372" r:id="rId370"/>
    <hyperlink xmlns:r="http://schemas.openxmlformats.org/officeDocument/2006/relationships" ref="J373" r:id="rId371"/>
    <hyperlink xmlns:r="http://schemas.openxmlformats.org/officeDocument/2006/relationships" ref="J374" r:id="rId372"/>
    <hyperlink xmlns:r="http://schemas.openxmlformats.org/officeDocument/2006/relationships" ref="J375" r:id="rId373"/>
    <hyperlink xmlns:r="http://schemas.openxmlformats.org/officeDocument/2006/relationships" ref="J376" r:id="rId374"/>
    <hyperlink xmlns:r="http://schemas.openxmlformats.org/officeDocument/2006/relationships" ref="J377" r:id="rId375"/>
    <hyperlink xmlns:r="http://schemas.openxmlformats.org/officeDocument/2006/relationships" ref="J378" r:id="rId376"/>
    <hyperlink xmlns:r="http://schemas.openxmlformats.org/officeDocument/2006/relationships" ref="J379" r:id="rId377"/>
    <hyperlink xmlns:r="http://schemas.openxmlformats.org/officeDocument/2006/relationships" ref="J380" r:id="rId378"/>
    <hyperlink xmlns:r="http://schemas.openxmlformats.org/officeDocument/2006/relationships" ref="J381" r:id="rId379"/>
    <hyperlink xmlns:r="http://schemas.openxmlformats.org/officeDocument/2006/relationships" ref="J382" r:id="rId380"/>
    <hyperlink xmlns:r="http://schemas.openxmlformats.org/officeDocument/2006/relationships" ref="J383" r:id="rId381"/>
    <hyperlink xmlns:r="http://schemas.openxmlformats.org/officeDocument/2006/relationships" ref="J384" r:id="rId382"/>
    <hyperlink xmlns:r="http://schemas.openxmlformats.org/officeDocument/2006/relationships" ref="J385" r:id="rId383"/>
    <hyperlink xmlns:r="http://schemas.openxmlformats.org/officeDocument/2006/relationships" ref="J386" r:id="rId384"/>
    <hyperlink xmlns:r="http://schemas.openxmlformats.org/officeDocument/2006/relationships" ref="J387" r:id="rId385"/>
    <hyperlink xmlns:r="http://schemas.openxmlformats.org/officeDocument/2006/relationships" ref="J388" r:id="rId386"/>
    <hyperlink xmlns:r="http://schemas.openxmlformats.org/officeDocument/2006/relationships" ref="J389" r:id="rId387"/>
    <hyperlink xmlns:r="http://schemas.openxmlformats.org/officeDocument/2006/relationships" ref="J390" r:id="rId388"/>
    <hyperlink xmlns:r="http://schemas.openxmlformats.org/officeDocument/2006/relationships" ref="J391" r:id="rId389"/>
    <hyperlink xmlns:r="http://schemas.openxmlformats.org/officeDocument/2006/relationships" ref="J392" r:id="rId390"/>
    <hyperlink xmlns:r="http://schemas.openxmlformats.org/officeDocument/2006/relationships" ref="J393" r:id="rId391"/>
    <hyperlink xmlns:r="http://schemas.openxmlformats.org/officeDocument/2006/relationships" ref="J394" r:id="rId392"/>
    <hyperlink xmlns:r="http://schemas.openxmlformats.org/officeDocument/2006/relationships" ref="J395" r:id="rId393"/>
    <hyperlink xmlns:r="http://schemas.openxmlformats.org/officeDocument/2006/relationships" ref="J396" r:id="rId394"/>
    <hyperlink xmlns:r="http://schemas.openxmlformats.org/officeDocument/2006/relationships" ref="J397" r:id="rId395"/>
    <hyperlink xmlns:r="http://schemas.openxmlformats.org/officeDocument/2006/relationships" ref="J398" r:id="rId396"/>
    <hyperlink xmlns:r="http://schemas.openxmlformats.org/officeDocument/2006/relationships" ref="J399" r:id="rId397"/>
    <hyperlink xmlns:r="http://schemas.openxmlformats.org/officeDocument/2006/relationships" ref="J400" r:id="rId398"/>
    <hyperlink xmlns:r="http://schemas.openxmlformats.org/officeDocument/2006/relationships" ref="J401" r:id="rId399"/>
    <hyperlink xmlns:r="http://schemas.openxmlformats.org/officeDocument/2006/relationships" ref="J402" r:id="rId400"/>
    <hyperlink xmlns:r="http://schemas.openxmlformats.org/officeDocument/2006/relationships" ref="J403" r:id="rId401"/>
    <hyperlink xmlns:r="http://schemas.openxmlformats.org/officeDocument/2006/relationships" ref="J404" r:id="rId402"/>
    <hyperlink xmlns:r="http://schemas.openxmlformats.org/officeDocument/2006/relationships" ref="J405" r:id="rId403"/>
    <hyperlink xmlns:r="http://schemas.openxmlformats.org/officeDocument/2006/relationships" ref="J406" r:id="rId404"/>
    <hyperlink xmlns:r="http://schemas.openxmlformats.org/officeDocument/2006/relationships" ref="J407" r:id="rId405"/>
    <hyperlink xmlns:r="http://schemas.openxmlformats.org/officeDocument/2006/relationships" ref="J408" r:id="rId406"/>
    <hyperlink xmlns:r="http://schemas.openxmlformats.org/officeDocument/2006/relationships" ref="J409" r:id="rId407"/>
    <hyperlink xmlns:r="http://schemas.openxmlformats.org/officeDocument/2006/relationships" ref="J410" r:id="rId408"/>
    <hyperlink xmlns:r="http://schemas.openxmlformats.org/officeDocument/2006/relationships" ref="J411" r:id="rId409"/>
    <hyperlink xmlns:r="http://schemas.openxmlformats.org/officeDocument/2006/relationships" ref="J412" r:id="rId410"/>
    <hyperlink xmlns:r="http://schemas.openxmlformats.org/officeDocument/2006/relationships" ref="J413" r:id="rId411"/>
    <hyperlink xmlns:r="http://schemas.openxmlformats.org/officeDocument/2006/relationships" ref="J414" r:id="rId412"/>
    <hyperlink xmlns:r="http://schemas.openxmlformats.org/officeDocument/2006/relationships" ref="J415" r:id="rId413"/>
    <hyperlink xmlns:r="http://schemas.openxmlformats.org/officeDocument/2006/relationships" ref="J416" r:id="rId414"/>
    <hyperlink xmlns:r="http://schemas.openxmlformats.org/officeDocument/2006/relationships" ref="J417" r:id="rId415"/>
    <hyperlink xmlns:r="http://schemas.openxmlformats.org/officeDocument/2006/relationships" ref="J418" r:id="rId416"/>
    <hyperlink xmlns:r="http://schemas.openxmlformats.org/officeDocument/2006/relationships" ref="J419" r:id="rId417"/>
    <hyperlink xmlns:r="http://schemas.openxmlformats.org/officeDocument/2006/relationships" ref="J420" r:id="rId418"/>
    <hyperlink xmlns:r="http://schemas.openxmlformats.org/officeDocument/2006/relationships" ref="J421" r:id="rId419"/>
    <hyperlink xmlns:r="http://schemas.openxmlformats.org/officeDocument/2006/relationships" ref="J422" r:id="rId420"/>
    <hyperlink xmlns:r="http://schemas.openxmlformats.org/officeDocument/2006/relationships" ref="J423" r:id="rId421"/>
    <hyperlink xmlns:r="http://schemas.openxmlformats.org/officeDocument/2006/relationships" ref="J424" r:id="rId422"/>
    <hyperlink xmlns:r="http://schemas.openxmlformats.org/officeDocument/2006/relationships" ref="J425" r:id="rId423"/>
    <hyperlink xmlns:r="http://schemas.openxmlformats.org/officeDocument/2006/relationships" ref="J426" r:id="rId424"/>
    <hyperlink xmlns:r="http://schemas.openxmlformats.org/officeDocument/2006/relationships" ref="J427" r:id="rId425"/>
    <hyperlink xmlns:r="http://schemas.openxmlformats.org/officeDocument/2006/relationships" ref="J428" r:id="rId426"/>
    <hyperlink xmlns:r="http://schemas.openxmlformats.org/officeDocument/2006/relationships" ref="J429" r:id="rId427"/>
    <hyperlink xmlns:r="http://schemas.openxmlformats.org/officeDocument/2006/relationships" ref="J430" r:id="rId428"/>
    <hyperlink xmlns:r="http://schemas.openxmlformats.org/officeDocument/2006/relationships" ref="J431" r:id="rId429"/>
    <hyperlink xmlns:r="http://schemas.openxmlformats.org/officeDocument/2006/relationships" ref="J432" r:id="rId430"/>
    <hyperlink xmlns:r="http://schemas.openxmlformats.org/officeDocument/2006/relationships" ref="J433" r:id="rId431"/>
    <hyperlink xmlns:r="http://schemas.openxmlformats.org/officeDocument/2006/relationships" ref="J434" r:id="rId432"/>
    <hyperlink xmlns:r="http://schemas.openxmlformats.org/officeDocument/2006/relationships" ref="J435" r:id="rId433"/>
    <hyperlink xmlns:r="http://schemas.openxmlformats.org/officeDocument/2006/relationships" ref="J436" r:id="rId434"/>
    <hyperlink xmlns:r="http://schemas.openxmlformats.org/officeDocument/2006/relationships" ref="J437" r:id="rId435"/>
    <hyperlink xmlns:r="http://schemas.openxmlformats.org/officeDocument/2006/relationships" ref="J438" r:id="rId436"/>
    <hyperlink xmlns:r="http://schemas.openxmlformats.org/officeDocument/2006/relationships" ref="J439" r:id="rId437"/>
    <hyperlink xmlns:r="http://schemas.openxmlformats.org/officeDocument/2006/relationships" ref="J440" r:id="rId438"/>
    <hyperlink xmlns:r="http://schemas.openxmlformats.org/officeDocument/2006/relationships" ref="J441" r:id="rId439"/>
    <hyperlink xmlns:r="http://schemas.openxmlformats.org/officeDocument/2006/relationships" ref="J442" r:id="rId440"/>
    <hyperlink xmlns:r="http://schemas.openxmlformats.org/officeDocument/2006/relationships" ref="J443" r:id="rId441"/>
    <hyperlink xmlns:r="http://schemas.openxmlformats.org/officeDocument/2006/relationships" ref="J444" r:id="rId442"/>
    <hyperlink xmlns:r="http://schemas.openxmlformats.org/officeDocument/2006/relationships" ref="J445" r:id="rId443"/>
    <hyperlink xmlns:r="http://schemas.openxmlformats.org/officeDocument/2006/relationships" ref="J446" r:id="rId444"/>
    <hyperlink xmlns:r="http://schemas.openxmlformats.org/officeDocument/2006/relationships" ref="J447" r:id="rId445"/>
    <hyperlink xmlns:r="http://schemas.openxmlformats.org/officeDocument/2006/relationships" ref="J448" r:id="rId446"/>
    <hyperlink xmlns:r="http://schemas.openxmlformats.org/officeDocument/2006/relationships" ref="J449" r:id="rId447"/>
    <hyperlink xmlns:r="http://schemas.openxmlformats.org/officeDocument/2006/relationships" ref="J450" r:id="rId448"/>
    <hyperlink xmlns:r="http://schemas.openxmlformats.org/officeDocument/2006/relationships" ref="J451" r:id="rId449"/>
    <hyperlink xmlns:r="http://schemas.openxmlformats.org/officeDocument/2006/relationships" ref="J452" r:id="rId450"/>
    <hyperlink xmlns:r="http://schemas.openxmlformats.org/officeDocument/2006/relationships" ref="J453" r:id="rId451"/>
    <hyperlink xmlns:r="http://schemas.openxmlformats.org/officeDocument/2006/relationships" ref="J454" r:id="rId452"/>
    <hyperlink xmlns:r="http://schemas.openxmlformats.org/officeDocument/2006/relationships" ref="J455" r:id="rId453"/>
    <hyperlink xmlns:r="http://schemas.openxmlformats.org/officeDocument/2006/relationships" ref="J456" r:id="rId454"/>
    <hyperlink xmlns:r="http://schemas.openxmlformats.org/officeDocument/2006/relationships" ref="J457" r:id="rId455"/>
    <hyperlink xmlns:r="http://schemas.openxmlformats.org/officeDocument/2006/relationships" ref="J458" r:id="rId456"/>
    <hyperlink xmlns:r="http://schemas.openxmlformats.org/officeDocument/2006/relationships" ref="J459" r:id="rId457"/>
    <hyperlink xmlns:r="http://schemas.openxmlformats.org/officeDocument/2006/relationships" ref="J460" r:id="rId458"/>
    <hyperlink xmlns:r="http://schemas.openxmlformats.org/officeDocument/2006/relationships" ref="J461" r:id="rId459"/>
    <hyperlink xmlns:r="http://schemas.openxmlformats.org/officeDocument/2006/relationships" ref="J462" r:id="rId460"/>
    <hyperlink xmlns:r="http://schemas.openxmlformats.org/officeDocument/2006/relationships" ref="J463" r:id="rId461"/>
    <hyperlink xmlns:r="http://schemas.openxmlformats.org/officeDocument/2006/relationships" ref="J464" r:id="rId462"/>
    <hyperlink xmlns:r="http://schemas.openxmlformats.org/officeDocument/2006/relationships" ref="J465" r:id="rId463"/>
    <hyperlink xmlns:r="http://schemas.openxmlformats.org/officeDocument/2006/relationships" ref="J466" r:id="rId464"/>
    <hyperlink xmlns:r="http://schemas.openxmlformats.org/officeDocument/2006/relationships" ref="J467" r:id="rId465"/>
    <hyperlink xmlns:r="http://schemas.openxmlformats.org/officeDocument/2006/relationships" ref="J468" r:id="rId466"/>
    <hyperlink xmlns:r="http://schemas.openxmlformats.org/officeDocument/2006/relationships" ref="J469" r:id="rId467"/>
    <hyperlink xmlns:r="http://schemas.openxmlformats.org/officeDocument/2006/relationships" ref="J470" r:id="rId468"/>
    <hyperlink xmlns:r="http://schemas.openxmlformats.org/officeDocument/2006/relationships" ref="J471" r:id="rId469"/>
    <hyperlink xmlns:r="http://schemas.openxmlformats.org/officeDocument/2006/relationships" ref="J472" r:id="rId470"/>
    <hyperlink xmlns:r="http://schemas.openxmlformats.org/officeDocument/2006/relationships" ref="J473" r:id="rId471"/>
    <hyperlink xmlns:r="http://schemas.openxmlformats.org/officeDocument/2006/relationships" ref="J474" r:id="rId472"/>
    <hyperlink xmlns:r="http://schemas.openxmlformats.org/officeDocument/2006/relationships" ref="J475" r:id="rId473"/>
    <hyperlink xmlns:r="http://schemas.openxmlformats.org/officeDocument/2006/relationships" ref="J476" r:id="rId474"/>
    <hyperlink xmlns:r="http://schemas.openxmlformats.org/officeDocument/2006/relationships" ref="J477" r:id="rId475"/>
    <hyperlink xmlns:r="http://schemas.openxmlformats.org/officeDocument/2006/relationships" ref="J478" r:id="rId476"/>
    <hyperlink xmlns:r="http://schemas.openxmlformats.org/officeDocument/2006/relationships" ref="J479" r:id="rId477"/>
    <hyperlink xmlns:r="http://schemas.openxmlformats.org/officeDocument/2006/relationships" ref="J480" r:id="rId478"/>
    <hyperlink xmlns:r="http://schemas.openxmlformats.org/officeDocument/2006/relationships" ref="J481" r:id="rId479"/>
    <hyperlink xmlns:r="http://schemas.openxmlformats.org/officeDocument/2006/relationships" ref="J482" r:id="rId480"/>
    <hyperlink xmlns:r="http://schemas.openxmlformats.org/officeDocument/2006/relationships" ref="J483" r:id="rId481"/>
    <hyperlink xmlns:r="http://schemas.openxmlformats.org/officeDocument/2006/relationships" ref="J484" r:id="rId482"/>
    <hyperlink xmlns:r="http://schemas.openxmlformats.org/officeDocument/2006/relationships" ref="J485" r:id="rId483"/>
    <hyperlink xmlns:r="http://schemas.openxmlformats.org/officeDocument/2006/relationships" ref="J486" r:id="rId484"/>
    <hyperlink xmlns:r="http://schemas.openxmlformats.org/officeDocument/2006/relationships" ref="J487" r:id="rId485"/>
    <hyperlink xmlns:r="http://schemas.openxmlformats.org/officeDocument/2006/relationships" ref="J488" r:id="rId486"/>
    <hyperlink xmlns:r="http://schemas.openxmlformats.org/officeDocument/2006/relationships" ref="J489" r:id="rId487"/>
    <hyperlink xmlns:r="http://schemas.openxmlformats.org/officeDocument/2006/relationships" ref="J490" r:id="rId488"/>
    <hyperlink xmlns:r="http://schemas.openxmlformats.org/officeDocument/2006/relationships" ref="J491" r:id="rId489"/>
    <hyperlink xmlns:r="http://schemas.openxmlformats.org/officeDocument/2006/relationships" ref="J492" r:id="rId490"/>
    <hyperlink xmlns:r="http://schemas.openxmlformats.org/officeDocument/2006/relationships" ref="J493" r:id="rId491"/>
    <hyperlink xmlns:r="http://schemas.openxmlformats.org/officeDocument/2006/relationships" ref="J494" r:id="rId492"/>
    <hyperlink xmlns:r="http://schemas.openxmlformats.org/officeDocument/2006/relationships" ref="J495" r:id="rId493"/>
    <hyperlink xmlns:r="http://schemas.openxmlformats.org/officeDocument/2006/relationships" ref="J496" r:id="rId494"/>
    <hyperlink xmlns:r="http://schemas.openxmlformats.org/officeDocument/2006/relationships" ref="J497" r:id="rId495"/>
    <hyperlink xmlns:r="http://schemas.openxmlformats.org/officeDocument/2006/relationships" ref="J498" r:id="rId496"/>
    <hyperlink xmlns:r="http://schemas.openxmlformats.org/officeDocument/2006/relationships" ref="J499" r:id="rId497"/>
    <hyperlink xmlns:r="http://schemas.openxmlformats.org/officeDocument/2006/relationships" ref="J500" r:id="rId498"/>
    <hyperlink xmlns:r="http://schemas.openxmlformats.org/officeDocument/2006/relationships" ref="J501" r:id="rId499"/>
    <hyperlink xmlns:r="http://schemas.openxmlformats.org/officeDocument/2006/relationships" ref="J502" r:id="rId500"/>
    <hyperlink xmlns:r="http://schemas.openxmlformats.org/officeDocument/2006/relationships" ref="J503" r:id="rId501"/>
    <hyperlink xmlns:r="http://schemas.openxmlformats.org/officeDocument/2006/relationships" ref="J504" r:id="rId502"/>
    <hyperlink xmlns:r="http://schemas.openxmlformats.org/officeDocument/2006/relationships" ref="J505" r:id="rId503"/>
    <hyperlink xmlns:r="http://schemas.openxmlformats.org/officeDocument/2006/relationships" ref="J506" r:id="rId504"/>
    <hyperlink xmlns:r="http://schemas.openxmlformats.org/officeDocument/2006/relationships" ref="J507" r:id="rId505"/>
    <hyperlink xmlns:r="http://schemas.openxmlformats.org/officeDocument/2006/relationships" ref="J508" r:id="rId506"/>
    <hyperlink xmlns:r="http://schemas.openxmlformats.org/officeDocument/2006/relationships" ref="J509" r:id="rId507"/>
    <hyperlink xmlns:r="http://schemas.openxmlformats.org/officeDocument/2006/relationships" ref="J510" r:id="rId508"/>
    <hyperlink xmlns:r="http://schemas.openxmlformats.org/officeDocument/2006/relationships" ref="J511" r:id="rId509"/>
    <hyperlink xmlns:r="http://schemas.openxmlformats.org/officeDocument/2006/relationships" ref="J512" r:id="rId510"/>
    <hyperlink xmlns:r="http://schemas.openxmlformats.org/officeDocument/2006/relationships" ref="J513" r:id="rId511"/>
    <hyperlink xmlns:r="http://schemas.openxmlformats.org/officeDocument/2006/relationships" ref="J514" r:id="rId512"/>
    <hyperlink xmlns:r="http://schemas.openxmlformats.org/officeDocument/2006/relationships" ref="J515" r:id="rId513"/>
    <hyperlink xmlns:r="http://schemas.openxmlformats.org/officeDocument/2006/relationships" ref="J516" r:id="rId514"/>
    <hyperlink xmlns:r="http://schemas.openxmlformats.org/officeDocument/2006/relationships" ref="J517" r:id="rId515"/>
    <hyperlink xmlns:r="http://schemas.openxmlformats.org/officeDocument/2006/relationships" ref="J518" r:id="rId516"/>
    <hyperlink xmlns:r="http://schemas.openxmlformats.org/officeDocument/2006/relationships" ref="J519" r:id="rId517"/>
    <hyperlink xmlns:r="http://schemas.openxmlformats.org/officeDocument/2006/relationships" ref="J520" r:id="rId518"/>
    <hyperlink xmlns:r="http://schemas.openxmlformats.org/officeDocument/2006/relationships" ref="J521" r:id="rId519"/>
    <hyperlink xmlns:r="http://schemas.openxmlformats.org/officeDocument/2006/relationships" ref="J522" r:id="rId520"/>
    <hyperlink xmlns:r="http://schemas.openxmlformats.org/officeDocument/2006/relationships" ref="J523" r:id="rId521"/>
    <hyperlink xmlns:r="http://schemas.openxmlformats.org/officeDocument/2006/relationships" ref="J524" r:id="rId522"/>
    <hyperlink xmlns:r="http://schemas.openxmlformats.org/officeDocument/2006/relationships" ref="J525" r:id="rId523"/>
    <hyperlink xmlns:r="http://schemas.openxmlformats.org/officeDocument/2006/relationships" ref="J526" r:id="rId524"/>
    <hyperlink xmlns:r="http://schemas.openxmlformats.org/officeDocument/2006/relationships" ref="J527" r:id="rId525"/>
    <hyperlink xmlns:r="http://schemas.openxmlformats.org/officeDocument/2006/relationships" ref="J528" r:id="rId526"/>
    <hyperlink xmlns:r="http://schemas.openxmlformats.org/officeDocument/2006/relationships" ref="J529" r:id="rId527"/>
    <hyperlink xmlns:r="http://schemas.openxmlformats.org/officeDocument/2006/relationships" ref="J530" r:id="rId528"/>
    <hyperlink xmlns:r="http://schemas.openxmlformats.org/officeDocument/2006/relationships" ref="J531" r:id="rId529"/>
    <hyperlink xmlns:r="http://schemas.openxmlformats.org/officeDocument/2006/relationships" ref="J532" r:id="rId530"/>
    <hyperlink xmlns:r="http://schemas.openxmlformats.org/officeDocument/2006/relationships" ref="J533" r:id="rId531"/>
    <hyperlink xmlns:r="http://schemas.openxmlformats.org/officeDocument/2006/relationships" ref="J534" r:id="rId532"/>
    <hyperlink xmlns:r="http://schemas.openxmlformats.org/officeDocument/2006/relationships" ref="J535" r:id="rId533"/>
    <hyperlink xmlns:r="http://schemas.openxmlformats.org/officeDocument/2006/relationships" ref="J536" r:id="rId534"/>
    <hyperlink xmlns:r="http://schemas.openxmlformats.org/officeDocument/2006/relationships" ref="J537" r:id="rId535"/>
    <hyperlink xmlns:r="http://schemas.openxmlformats.org/officeDocument/2006/relationships" ref="J538" r:id="rId536"/>
    <hyperlink xmlns:r="http://schemas.openxmlformats.org/officeDocument/2006/relationships" ref="J539" r:id="rId537"/>
    <hyperlink xmlns:r="http://schemas.openxmlformats.org/officeDocument/2006/relationships" ref="J540" r:id="rId538"/>
    <hyperlink xmlns:r="http://schemas.openxmlformats.org/officeDocument/2006/relationships" ref="J541" r:id="rId539"/>
    <hyperlink xmlns:r="http://schemas.openxmlformats.org/officeDocument/2006/relationships" ref="J542" r:id="rId540"/>
    <hyperlink xmlns:r="http://schemas.openxmlformats.org/officeDocument/2006/relationships" ref="J543" r:id="rId541"/>
    <hyperlink xmlns:r="http://schemas.openxmlformats.org/officeDocument/2006/relationships" ref="J544" r:id="rId542"/>
    <hyperlink xmlns:r="http://schemas.openxmlformats.org/officeDocument/2006/relationships" ref="J545" r:id="rId543"/>
    <hyperlink xmlns:r="http://schemas.openxmlformats.org/officeDocument/2006/relationships" ref="J546" r:id="rId544"/>
    <hyperlink xmlns:r="http://schemas.openxmlformats.org/officeDocument/2006/relationships" ref="J547" r:id="rId545"/>
    <hyperlink xmlns:r="http://schemas.openxmlformats.org/officeDocument/2006/relationships" ref="J548" r:id="rId546"/>
    <hyperlink xmlns:r="http://schemas.openxmlformats.org/officeDocument/2006/relationships" ref="J549" r:id="rId547"/>
    <hyperlink xmlns:r="http://schemas.openxmlformats.org/officeDocument/2006/relationships" ref="J550" r:id="rId548"/>
    <hyperlink xmlns:r="http://schemas.openxmlformats.org/officeDocument/2006/relationships" ref="J551" r:id="rId549"/>
    <hyperlink xmlns:r="http://schemas.openxmlformats.org/officeDocument/2006/relationships" ref="J552" r:id="rId550"/>
    <hyperlink xmlns:r="http://schemas.openxmlformats.org/officeDocument/2006/relationships" ref="J553" r:id="rId551"/>
    <hyperlink xmlns:r="http://schemas.openxmlformats.org/officeDocument/2006/relationships" ref="J554" r:id="rId552"/>
    <hyperlink xmlns:r="http://schemas.openxmlformats.org/officeDocument/2006/relationships" ref="J555" r:id="rId553"/>
    <hyperlink xmlns:r="http://schemas.openxmlformats.org/officeDocument/2006/relationships" ref="J556" r:id="rId554"/>
    <hyperlink xmlns:r="http://schemas.openxmlformats.org/officeDocument/2006/relationships" ref="J557" r:id="rId555"/>
    <hyperlink xmlns:r="http://schemas.openxmlformats.org/officeDocument/2006/relationships" ref="J558" r:id="rId556"/>
    <hyperlink xmlns:r="http://schemas.openxmlformats.org/officeDocument/2006/relationships" ref="J559" r:id="rId557"/>
    <hyperlink xmlns:r="http://schemas.openxmlformats.org/officeDocument/2006/relationships" ref="J560" r:id="rId558"/>
    <hyperlink xmlns:r="http://schemas.openxmlformats.org/officeDocument/2006/relationships" ref="J561" r:id="rId559"/>
    <hyperlink xmlns:r="http://schemas.openxmlformats.org/officeDocument/2006/relationships" ref="J562" r:id="rId560"/>
    <hyperlink xmlns:r="http://schemas.openxmlformats.org/officeDocument/2006/relationships" ref="J563" r:id="rId561"/>
    <hyperlink xmlns:r="http://schemas.openxmlformats.org/officeDocument/2006/relationships" ref="J564" r:id="rId562"/>
    <hyperlink xmlns:r="http://schemas.openxmlformats.org/officeDocument/2006/relationships" ref="J565" r:id="rId563"/>
    <hyperlink xmlns:r="http://schemas.openxmlformats.org/officeDocument/2006/relationships" ref="J566" r:id="rId564"/>
    <hyperlink xmlns:r="http://schemas.openxmlformats.org/officeDocument/2006/relationships" ref="J567" r:id="rId565"/>
    <hyperlink xmlns:r="http://schemas.openxmlformats.org/officeDocument/2006/relationships" ref="J568" r:id="rId566"/>
    <hyperlink xmlns:r="http://schemas.openxmlformats.org/officeDocument/2006/relationships" ref="J569" r:id="rId567"/>
    <hyperlink xmlns:r="http://schemas.openxmlformats.org/officeDocument/2006/relationships" ref="J570" r:id="rId568"/>
    <hyperlink xmlns:r="http://schemas.openxmlformats.org/officeDocument/2006/relationships" ref="J571" r:id="rId569"/>
    <hyperlink xmlns:r="http://schemas.openxmlformats.org/officeDocument/2006/relationships" ref="J572" r:id="rId570"/>
    <hyperlink xmlns:r="http://schemas.openxmlformats.org/officeDocument/2006/relationships" ref="J573" r:id="rId571"/>
    <hyperlink xmlns:r="http://schemas.openxmlformats.org/officeDocument/2006/relationships" ref="J574" r:id="rId572"/>
    <hyperlink xmlns:r="http://schemas.openxmlformats.org/officeDocument/2006/relationships" ref="J575" r:id="rId573"/>
    <hyperlink xmlns:r="http://schemas.openxmlformats.org/officeDocument/2006/relationships" ref="J576" r:id="rId574"/>
    <hyperlink xmlns:r="http://schemas.openxmlformats.org/officeDocument/2006/relationships" ref="J577" r:id="rId575"/>
    <hyperlink xmlns:r="http://schemas.openxmlformats.org/officeDocument/2006/relationships" ref="J578" r:id="rId576"/>
    <hyperlink xmlns:r="http://schemas.openxmlformats.org/officeDocument/2006/relationships" ref="J579" r:id="rId577"/>
    <hyperlink xmlns:r="http://schemas.openxmlformats.org/officeDocument/2006/relationships" ref="J580" r:id="rId578"/>
    <hyperlink xmlns:r="http://schemas.openxmlformats.org/officeDocument/2006/relationships" ref="J581" r:id="rId579"/>
    <hyperlink xmlns:r="http://schemas.openxmlformats.org/officeDocument/2006/relationships" ref="J582" r:id="rId580"/>
    <hyperlink xmlns:r="http://schemas.openxmlformats.org/officeDocument/2006/relationships" ref="J583" r:id="rId581"/>
    <hyperlink xmlns:r="http://schemas.openxmlformats.org/officeDocument/2006/relationships" ref="J584" r:id="rId582"/>
    <hyperlink xmlns:r="http://schemas.openxmlformats.org/officeDocument/2006/relationships" ref="J585" r:id="rId583"/>
    <hyperlink xmlns:r="http://schemas.openxmlformats.org/officeDocument/2006/relationships" ref="J586" r:id="rId584"/>
    <hyperlink xmlns:r="http://schemas.openxmlformats.org/officeDocument/2006/relationships" ref="J587" r:id="rId585"/>
    <hyperlink xmlns:r="http://schemas.openxmlformats.org/officeDocument/2006/relationships" ref="J588" r:id="rId586"/>
    <hyperlink xmlns:r="http://schemas.openxmlformats.org/officeDocument/2006/relationships" ref="J589" r:id="rId587"/>
    <hyperlink xmlns:r="http://schemas.openxmlformats.org/officeDocument/2006/relationships" ref="J590" r:id="rId588"/>
    <hyperlink xmlns:r="http://schemas.openxmlformats.org/officeDocument/2006/relationships" ref="J591" r:id="rId589"/>
    <hyperlink xmlns:r="http://schemas.openxmlformats.org/officeDocument/2006/relationships" ref="J592" r:id="rId590"/>
    <hyperlink xmlns:r="http://schemas.openxmlformats.org/officeDocument/2006/relationships" ref="J593" r:id="rId591"/>
    <hyperlink xmlns:r="http://schemas.openxmlformats.org/officeDocument/2006/relationships" ref="J594" r:id="rId592"/>
    <hyperlink xmlns:r="http://schemas.openxmlformats.org/officeDocument/2006/relationships" ref="J595" r:id="rId593"/>
    <hyperlink xmlns:r="http://schemas.openxmlformats.org/officeDocument/2006/relationships" ref="J596" r:id="rId594"/>
    <hyperlink xmlns:r="http://schemas.openxmlformats.org/officeDocument/2006/relationships" ref="J597" r:id="rId595"/>
    <hyperlink xmlns:r="http://schemas.openxmlformats.org/officeDocument/2006/relationships" ref="J598" r:id="rId596"/>
    <hyperlink xmlns:r="http://schemas.openxmlformats.org/officeDocument/2006/relationships" ref="J599" r:id="rId597"/>
    <hyperlink xmlns:r="http://schemas.openxmlformats.org/officeDocument/2006/relationships" ref="J600" r:id="rId598"/>
    <hyperlink xmlns:r="http://schemas.openxmlformats.org/officeDocument/2006/relationships" ref="J601" r:id="rId599"/>
    <hyperlink xmlns:r="http://schemas.openxmlformats.org/officeDocument/2006/relationships" ref="J602" r:id="rId600"/>
    <hyperlink xmlns:r="http://schemas.openxmlformats.org/officeDocument/2006/relationships" ref="J603" r:id="rId601"/>
    <hyperlink xmlns:r="http://schemas.openxmlformats.org/officeDocument/2006/relationships" ref="J604" r:id="rId602"/>
    <hyperlink xmlns:r="http://schemas.openxmlformats.org/officeDocument/2006/relationships" ref="J605" r:id="rId603"/>
    <hyperlink xmlns:r="http://schemas.openxmlformats.org/officeDocument/2006/relationships" ref="J606" r:id="rId604"/>
    <hyperlink xmlns:r="http://schemas.openxmlformats.org/officeDocument/2006/relationships" ref="J607" r:id="rId605"/>
    <hyperlink xmlns:r="http://schemas.openxmlformats.org/officeDocument/2006/relationships" ref="J608" r:id="rId606"/>
    <hyperlink xmlns:r="http://schemas.openxmlformats.org/officeDocument/2006/relationships" ref="J609" r:id="rId607"/>
    <hyperlink xmlns:r="http://schemas.openxmlformats.org/officeDocument/2006/relationships" ref="J610" r:id="rId608"/>
    <hyperlink xmlns:r="http://schemas.openxmlformats.org/officeDocument/2006/relationships" ref="J611" r:id="rId609"/>
    <hyperlink xmlns:r="http://schemas.openxmlformats.org/officeDocument/2006/relationships" ref="J612" r:id="rId610"/>
    <hyperlink xmlns:r="http://schemas.openxmlformats.org/officeDocument/2006/relationships" ref="J613" r:id="rId611"/>
    <hyperlink xmlns:r="http://schemas.openxmlformats.org/officeDocument/2006/relationships" ref="J614" r:id="rId612"/>
    <hyperlink xmlns:r="http://schemas.openxmlformats.org/officeDocument/2006/relationships" ref="J615" r:id="rId613"/>
    <hyperlink xmlns:r="http://schemas.openxmlformats.org/officeDocument/2006/relationships" ref="J616" r:id="rId614"/>
    <hyperlink xmlns:r="http://schemas.openxmlformats.org/officeDocument/2006/relationships" ref="J617" r:id="rId615"/>
    <hyperlink xmlns:r="http://schemas.openxmlformats.org/officeDocument/2006/relationships" ref="J618" r:id="rId616"/>
    <hyperlink xmlns:r="http://schemas.openxmlformats.org/officeDocument/2006/relationships" ref="J619" r:id="rId617"/>
    <hyperlink xmlns:r="http://schemas.openxmlformats.org/officeDocument/2006/relationships" ref="J620" r:id="rId618"/>
    <hyperlink xmlns:r="http://schemas.openxmlformats.org/officeDocument/2006/relationships" ref="J621" r:id="rId619"/>
    <hyperlink xmlns:r="http://schemas.openxmlformats.org/officeDocument/2006/relationships" ref="J622" r:id="rId620"/>
    <hyperlink xmlns:r="http://schemas.openxmlformats.org/officeDocument/2006/relationships" ref="J623" r:id="rId621"/>
    <hyperlink xmlns:r="http://schemas.openxmlformats.org/officeDocument/2006/relationships" ref="J624" r:id="rId622"/>
    <hyperlink xmlns:r="http://schemas.openxmlformats.org/officeDocument/2006/relationships" ref="J625" r:id="rId623"/>
    <hyperlink xmlns:r="http://schemas.openxmlformats.org/officeDocument/2006/relationships" ref="J626" r:id="rId624"/>
    <hyperlink xmlns:r="http://schemas.openxmlformats.org/officeDocument/2006/relationships" ref="J627" r:id="rId625"/>
    <hyperlink xmlns:r="http://schemas.openxmlformats.org/officeDocument/2006/relationships" ref="J628" r:id="rId626"/>
    <hyperlink xmlns:r="http://schemas.openxmlformats.org/officeDocument/2006/relationships" ref="J629" r:id="rId627"/>
    <hyperlink xmlns:r="http://schemas.openxmlformats.org/officeDocument/2006/relationships" ref="J630" r:id="rId628"/>
    <hyperlink xmlns:r="http://schemas.openxmlformats.org/officeDocument/2006/relationships" ref="J631" r:id="rId629"/>
    <hyperlink xmlns:r="http://schemas.openxmlformats.org/officeDocument/2006/relationships" ref="J632" r:id="rId630"/>
    <hyperlink xmlns:r="http://schemas.openxmlformats.org/officeDocument/2006/relationships" ref="J633" r:id="rId631"/>
    <hyperlink xmlns:r="http://schemas.openxmlformats.org/officeDocument/2006/relationships" ref="J634" r:id="rId632"/>
    <hyperlink xmlns:r="http://schemas.openxmlformats.org/officeDocument/2006/relationships" ref="J635" r:id="rId633"/>
    <hyperlink xmlns:r="http://schemas.openxmlformats.org/officeDocument/2006/relationships" ref="J636" r:id="rId634"/>
    <hyperlink xmlns:r="http://schemas.openxmlformats.org/officeDocument/2006/relationships" ref="J637" r:id="rId635"/>
    <hyperlink xmlns:r="http://schemas.openxmlformats.org/officeDocument/2006/relationships" ref="J638" r:id="rId636"/>
    <hyperlink xmlns:r="http://schemas.openxmlformats.org/officeDocument/2006/relationships" ref="J639" r:id="rId637"/>
    <hyperlink xmlns:r="http://schemas.openxmlformats.org/officeDocument/2006/relationships" ref="J640" r:id="rId638"/>
    <hyperlink xmlns:r="http://schemas.openxmlformats.org/officeDocument/2006/relationships" ref="J641" r:id="rId639"/>
    <hyperlink xmlns:r="http://schemas.openxmlformats.org/officeDocument/2006/relationships" ref="J642" r:id="rId640"/>
    <hyperlink xmlns:r="http://schemas.openxmlformats.org/officeDocument/2006/relationships" ref="J643" r:id="rId641"/>
    <hyperlink xmlns:r="http://schemas.openxmlformats.org/officeDocument/2006/relationships" ref="J644" r:id="rId642"/>
    <hyperlink xmlns:r="http://schemas.openxmlformats.org/officeDocument/2006/relationships" ref="J645" r:id="rId643"/>
    <hyperlink xmlns:r="http://schemas.openxmlformats.org/officeDocument/2006/relationships" ref="J646" r:id="rId644"/>
    <hyperlink xmlns:r="http://schemas.openxmlformats.org/officeDocument/2006/relationships" ref="J647" r:id="rId645"/>
    <hyperlink xmlns:r="http://schemas.openxmlformats.org/officeDocument/2006/relationships" ref="J648" r:id="rId646"/>
    <hyperlink xmlns:r="http://schemas.openxmlformats.org/officeDocument/2006/relationships" ref="J649" r:id="rId647"/>
    <hyperlink xmlns:r="http://schemas.openxmlformats.org/officeDocument/2006/relationships" ref="J650" r:id="rId648"/>
    <hyperlink xmlns:r="http://schemas.openxmlformats.org/officeDocument/2006/relationships" ref="J651" r:id="rId649"/>
    <hyperlink xmlns:r="http://schemas.openxmlformats.org/officeDocument/2006/relationships" ref="J652" r:id="rId650"/>
    <hyperlink xmlns:r="http://schemas.openxmlformats.org/officeDocument/2006/relationships" ref="J653" r:id="rId651"/>
    <hyperlink xmlns:r="http://schemas.openxmlformats.org/officeDocument/2006/relationships" ref="J654" r:id="rId652"/>
    <hyperlink xmlns:r="http://schemas.openxmlformats.org/officeDocument/2006/relationships" ref="J655" r:id="rId653"/>
    <hyperlink xmlns:r="http://schemas.openxmlformats.org/officeDocument/2006/relationships" ref="J656" r:id="rId654"/>
    <hyperlink xmlns:r="http://schemas.openxmlformats.org/officeDocument/2006/relationships" ref="J657" r:id="rId655"/>
    <hyperlink xmlns:r="http://schemas.openxmlformats.org/officeDocument/2006/relationships" ref="J658" r:id="rId656"/>
    <hyperlink xmlns:r="http://schemas.openxmlformats.org/officeDocument/2006/relationships" ref="J659" r:id="rId657"/>
    <hyperlink xmlns:r="http://schemas.openxmlformats.org/officeDocument/2006/relationships" ref="J660" r:id="rId658"/>
    <hyperlink xmlns:r="http://schemas.openxmlformats.org/officeDocument/2006/relationships" ref="J661" r:id="rId659"/>
    <hyperlink xmlns:r="http://schemas.openxmlformats.org/officeDocument/2006/relationships" ref="J662" r:id="rId660"/>
    <hyperlink xmlns:r="http://schemas.openxmlformats.org/officeDocument/2006/relationships" ref="J663" r:id="rId661"/>
    <hyperlink xmlns:r="http://schemas.openxmlformats.org/officeDocument/2006/relationships" ref="J664" r:id="rId662"/>
    <hyperlink xmlns:r="http://schemas.openxmlformats.org/officeDocument/2006/relationships" ref="J665" r:id="rId663"/>
    <hyperlink xmlns:r="http://schemas.openxmlformats.org/officeDocument/2006/relationships" ref="J666" r:id="rId664"/>
    <hyperlink xmlns:r="http://schemas.openxmlformats.org/officeDocument/2006/relationships" ref="J667" r:id="rId665"/>
    <hyperlink xmlns:r="http://schemas.openxmlformats.org/officeDocument/2006/relationships" ref="J668" r:id="rId666"/>
    <hyperlink xmlns:r="http://schemas.openxmlformats.org/officeDocument/2006/relationships" ref="J669" r:id="rId667"/>
    <hyperlink xmlns:r="http://schemas.openxmlformats.org/officeDocument/2006/relationships" ref="J670" r:id="rId668"/>
    <hyperlink xmlns:r="http://schemas.openxmlformats.org/officeDocument/2006/relationships" ref="J671" r:id="rId669"/>
    <hyperlink xmlns:r="http://schemas.openxmlformats.org/officeDocument/2006/relationships" ref="J672" r:id="rId670"/>
    <hyperlink xmlns:r="http://schemas.openxmlformats.org/officeDocument/2006/relationships" ref="J673" r:id="rId671"/>
    <hyperlink xmlns:r="http://schemas.openxmlformats.org/officeDocument/2006/relationships" ref="J674" r:id="rId672"/>
    <hyperlink xmlns:r="http://schemas.openxmlformats.org/officeDocument/2006/relationships" ref="J675" r:id="rId673"/>
    <hyperlink xmlns:r="http://schemas.openxmlformats.org/officeDocument/2006/relationships" ref="J676" r:id="rId674"/>
    <hyperlink xmlns:r="http://schemas.openxmlformats.org/officeDocument/2006/relationships" ref="J677" r:id="rId675"/>
    <hyperlink xmlns:r="http://schemas.openxmlformats.org/officeDocument/2006/relationships" ref="J678" r:id="rId676"/>
    <hyperlink xmlns:r="http://schemas.openxmlformats.org/officeDocument/2006/relationships" ref="J679" r:id="rId677"/>
    <hyperlink xmlns:r="http://schemas.openxmlformats.org/officeDocument/2006/relationships" ref="J680" r:id="rId678"/>
    <hyperlink xmlns:r="http://schemas.openxmlformats.org/officeDocument/2006/relationships" ref="J681" r:id="rId679"/>
    <hyperlink xmlns:r="http://schemas.openxmlformats.org/officeDocument/2006/relationships" ref="J682" r:id="rId680"/>
    <hyperlink xmlns:r="http://schemas.openxmlformats.org/officeDocument/2006/relationships" ref="J683" r:id="rId681"/>
    <hyperlink xmlns:r="http://schemas.openxmlformats.org/officeDocument/2006/relationships" ref="J684" r:id="rId682"/>
    <hyperlink xmlns:r="http://schemas.openxmlformats.org/officeDocument/2006/relationships" ref="J685" r:id="rId683"/>
    <hyperlink xmlns:r="http://schemas.openxmlformats.org/officeDocument/2006/relationships" ref="J686" r:id="rId684"/>
    <hyperlink xmlns:r="http://schemas.openxmlformats.org/officeDocument/2006/relationships" ref="J687" r:id="rId685"/>
    <hyperlink xmlns:r="http://schemas.openxmlformats.org/officeDocument/2006/relationships" ref="J688" r:id="rId686"/>
    <hyperlink xmlns:r="http://schemas.openxmlformats.org/officeDocument/2006/relationships" ref="J689" r:id="rId687"/>
    <hyperlink xmlns:r="http://schemas.openxmlformats.org/officeDocument/2006/relationships" ref="J690" r:id="rId688"/>
    <hyperlink xmlns:r="http://schemas.openxmlformats.org/officeDocument/2006/relationships" ref="J691" r:id="rId689"/>
    <hyperlink xmlns:r="http://schemas.openxmlformats.org/officeDocument/2006/relationships" ref="J692" r:id="rId690"/>
    <hyperlink xmlns:r="http://schemas.openxmlformats.org/officeDocument/2006/relationships" ref="J693" r:id="rId691"/>
    <hyperlink xmlns:r="http://schemas.openxmlformats.org/officeDocument/2006/relationships" ref="J694" r:id="rId692"/>
    <hyperlink xmlns:r="http://schemas.openxmlformats.org/officeDocument/2006/relationships" ref="J695" r:id="rId693"/>
    <hyperlink xmlns:r="http://schemas.openxmlformats.org/officeDocument/2006/relationships" ref="J696" r:id="rId694"/>
    <hyperlink xmlns:r="http://schemas.openxmlformats.org/officeDocument/2006/relationships" ref="J697" r:id="rId695"/>
    <hyperlink xmlns:r="http://schemas.openxmlformats.org/officeDocument/2006/relationships" ref="J698" r:id="rId696"/>
    <hyperlink xmlns:r="http://schemas.openxmlformats.org/officeDocument/2006/relationships" ref="J699" r:id="rId697"/>
    <hyperlink xmlns:r="http://schemas.openxmlformats.org/officeDocument/2006/relationships" ref="J700" r:id="rId698"/>
    <hyperlink xmlns:r="http://schemas.openxmlformats.org/officeDocument/2006/relationships" ref="J701" r:id="rId699"/>
    <hyperlink xmlns:r="http://schemas.openxmlformats.org/officeDocument/2006/relationships" ref="J702" r:id="rId700"/>
    <hyperlink xmlns:r="http://schemas.openxmlformats.org/officeDocument/2006/relationships" ref="J703" r:id="rId701"/>
    <hyperlink xmlns:r="http://schemas.openxmlformats.org/officeDocument/2006/relationships" ref="J704" r:id="rId702"/>
    <hyperlink xmlns:r="http://schemas.openxmlformats.org/officeDocument/2006/relationships" ref="J705" r:id="rId703"/>
    <hyperlink xmlns:r="http://schemas.openxmlformats.org/officeDocument/2006/relationships" ref="J706" r:id="rId704"/>
    <hyperlink xmlns:r="http://schemas.openxmlformats.org/officeDocument/2006/relationships" ref="J707" r:id="rId705"/>
    <hyperlink xmlns:r="http://schemas.openxmlformats.org/officeDocument/2006/relationships" ref="J708" r:id="rId706"/>
    <hyperlink xmlns:r="http://schemas.openxmlformats.org/officeDocument/2006/relationships" ref="J709" r:id="rId707"/>
    <hyperlink xmlns:r="http://schemas.openxmlformats.org/officeDocument/2006/relationships" ref="J710" r:id="rId708"/>
    <hyperlink xmlns:r="http://schemas.openxmlformats.org/officeDocument/2006/relationships" ref="J711" r:id="rId709"/>
    <hyperlink xmlns:r="http://schemas.openxmlformats.org/officeDocument/2006/relationships" ref="J712" r:id="rId710"/>
    <hyperlink xmlns:r="http://schemas.openxmlformats.org/officeDocument/2006/relationships" ref="J713" r:id="rId711"/>
    <hyperlink xmlns:r="http://schemas.openxmlformats.org/officeDocument/2006/relationships" ref="J714" r:id="rId712"/>
    <hyperlink xmlns:r="http://schemas.openxmlformats.org/officeDocument/2006/relationships" ref="J715" r:id="rId713"/>
    <hyperlink xmlns:r="http://schemas.openxmlformats.org/officeDocument/2006/relationships" ref="J716" r:id="rId714"/>
    <hyperlink xmlns:r="http://schemas.openxmlformats.org/officeDocument/2006/relationships" ref="J717" r:id="rId715"/>
    <hyperlink xmlns:r="http://schemas.openxmlformats.org/officeDocument/2006/relationships" ref="J718" r:id="rId716"/>
    <hyperlink xmlns:r="http://schemas.openxmlformats.org/officeDocument/2006/relationships" ref="J719" r:id="rId717"/>
    <hyperlink xmlns:r="http://schemas.openxmlformats.org/officeDocument/2006/relationships" ref="J720" r:id="rId718"/>
    <hyperlink xmlns:r="http://schemas.openxmlformats.org/officeDocument/2006/relationships" ref="J721" r:id="rId719"/>
    <hyperlink xmlns:r="http://schemas.openxmlformats.org/officeDocument/2006/relationships" ref="J722" r:id="rId720"/>
    <hyperlink xmlns:r="http://schemas.openxmlformats.org/officeDocument/2006/relationships" ref="J723" r:id="rId721"/>
    <hyperlink xmlns:r="http://schemas.openxmlformats.org/officeDocument/2006/relationships" ref="J724" r:id="rId722"/>
    <hyperlink xmlns:r="http://schemas.openxmlformats.org/officeDocument/2006/relationships" ref="J725" r:id="rId723"/>
    <hyperlink xmlns:r="http://schemas.openxmlformats.org/officeDocument/2006/relationships" ref="J726" r:id="rId724"/>
    <hyperlink xmlns:r="http://schemas.openxmlformats.org/officeDocument/2006/relationships" ref="J727" r:id="rId725"/>
    <hyperlink xmlns:r="http://schemas.openxmlformats.org/officeDocument/2006/relationships" ref="J728" r:id="rId726"/>
    <hyperlink xmlns:r="http://schemas.openxmlformats.org/officeDocument/2006/relationships" ref="J729" r:id="rId727"/>
    <hyperlink xmlns:r="http://schemas.openxmlformats.org/officeDocument/2006/relationships" ref="J730" r:id="rId728"/>
    <hyperlink xmlns:r="http://schemas.openxmlformats.org/officeDocument/2006/relationships" ref="J731" r:id="rId729"/>
    <hyperlink xmlns:r="http://schemas.openxmlformats.org/officeDocument/2006/relationships" ref="J732" r:id="rId730"/>
    <hyperlink xmlns:r="http://schemas.openxmlformats.org/officeDocument/2006/relationships" ref="J733" r:id="rId731"/>
    <hyperlink xmlns:r="http://schemas.openxmlformats.org/officeDocument/2006/relationships" ref="J734" r:id="rId732"/>
    <hyperlink xmlns:r="http://schemas.openxmlformats.org/officeDocument/2006/relationships" ref="J735" r:id="rId733"/>
    <hyperlink xmlns:r="http://schemas.openxmlformats.org/officeDocument/2006/relationships" ref="J736" r:id="rId734"/>
    <hyperlink xmlns:r="http://schemas.openxmlformats.org/officeDocument/2006/relationships" ref="J737" r:id="rId735"/>
    <hyperlink xmlns:r="http://schemas.openxmlformats.org/officeDocument/2006/relationships" ref="J738" r:id="rId736"/>
    <hyperlink xmlns:r="http://schemas.openxmlformats.org/officeDocument/2006/relationships" ref="J739" r:id="rId737"/>
    <hyperlink xmlns:r="http://schemas.openxmlformats.org/officeDocument/2006/relationships" ref="J740" r:id="rId738"/>
    <hyperlink xmlns:r="http://schemas.openxmlformats.org/officeDocument/2006/relationships" ref="J741" r:id="rId739"/>
    <hyperlink xmlns:r="http://schemas.openxmlformats.org/officeDocument/2006/relationships" ref="J742" r:id="rId740"/>
    <hyperlink xmlns:r="http://schemas.openxmlformats.org/officeDocument/2006/relationships" ref="J743" r:id="rId741"/>
    <hyperlink xmlns:r="http://schemas.openxmlformats.org/officeDocument/2006/relationships" ref="J744" r:id="rId742"/>
    <hyperlink xmlns:r="http://schemas.openxmlformats.org/officeDocument/2006/relationships" ref="J745" r:id="rId743"/>
    <hyperlink xmlns:r="http://schemas.openxmlformats.org/officeDocument/2006/relationships" ref="J746" r:id="rId744"/>
    <hyperlink xmlns:r="http://schemas.openxmlformats.org/officeDocument/2006/relationships" ref="J747" r:id="rId745"/>
    <hyperlink xmlns:r="http://schemas.openxmlformats.org/officeDocument/2006/relationships" ref="J748" r:id="rId746"/>
    <hyperlink xmlns:r="http://schemas.openxmlformats.org/officeDocument/2006/relationships" ref="J749" r:id="rId747"/>
    <hyperlink xmlns:r="http://schemas.openxmlformats.org/officeDocument/2006/relationships" ref="J750" r:id="rId748"/>
    <hyperlink xmlns:r="http://schemas.openxmlformats.org/officeDocument/2006/relationships" ref="J751" r:id="rId749"/>
    <hyperlink xmlns:r="http://schemas.openxmlformats.org/officeDocument/2006/relationships" ref="J752" r:id="rId750"/>
    <hyperlink xmlns:r="http://schemas.openxmlformats.org/officeDocument/2006/relationships" ref="J753" r:id="rId751"/>
    <hyperlink xmlns:r="http://schemas.openxmlformats.org/officeDocument/2006/relationships" ref="J754" r:id="rId752"/>
    <hyperlink xmlns:r="http://schemas.openxmlformats.org/officeDocument/2006/relationships" ref="J755" r:id="rId753"/>
    <hyperlink xmlns:r="http://schemas.openxmlformats.org/officeDocument/2006/relationships" ref="J756" r:id="rId754"/>
    <hyperlink xmlns:r="http://schemas.openxmlformats.org/officeDocument/2006/relationships" ref="J757" r:id="rId755"/>
    <hyperlink xmlns:r="http://schemas.openxmlformats.org/officeDocument/2006/relationships" ref="J758" r:id="rId756"/>
    <hyperlink xmlns:r="http://schemas.openxmlformats.org/officeDocument/2006/relationships" ref="J759" r:id="rId757"/>
    <hyperlink xmlns:r="http://schemas.openxmlformats.org/officeDocument/2006/relationships" ref="J760" r:id="rId758"/>
    <hyperlink xmlns:r="http://schemas.openxmlformats.org/officeDocument/2006/relationships" ref="J761" r:id="rId759"/>
    <hyperlink xmlns:r="http://schemas.openxmlformats.org/officeDocument/2006/relationships" ref="J762" r:id="rId760"/>
    <hyperlink xmlns:r="http://schemas.openxmlformats.org/officeDocument/2006/relationships" ref="J763" r:id="rId761"/>
    <hyperlink xmlns:r="http://schemas.openxmlformats.org/officeDocument/2006/relationships" ref="J764" r:id="rId762"/>
    <hyperlink xmlns:r="http://schemas.openxmlformats.org/officeDocument/2006/relationships" ref="J765" r:id="rId763"/>
    <hyperlink xmlns:r="http://schemas.openxmlformats.org/officeDocument/2006/relationships" ref="J766" r:id="rId764"/>
    <hyperlink xmlns:r="http://schemas.openxmlformats.org/officeDocument/2006/relationships" ref="J767" r:id="rId765"/>
    <hyperlink xmlns:r="http://schemas.openxmlformats.org/officeDocument/2006/relationships" ref="J768" r:id="rId766"/>
    <hyperlink xmlns:r="http://schemas.openxmlformats.org/officeDocument/2006/relationships" ref="J769" r:id="rId767"/>
    <hyperlink xmlns:r="http://schemas.openxmlformats.org/officeDocument/2006/relationships" ref="J770" r:id="rId768"/>
    <hyperlink xmlns:r="http://schemas.openxmlformats.org/officeDocument/2006/relationships" ref="J771" r:id="rId769"/>
    <hyperlink xmlns:r="http://schemas.openxmlformats.org/officeDocument/2006/relationships" ref="J772" r:id="rId770"/>
    <hyperlink xmlns:r="http://schemas.openxmlformats.org/officeDocument/2006/relationships" ref="J773" r:id="rId771"/>
    <hyperlink xmlns:r="http://schemas.openxmlformats.org/officeDocument/2006/relationships" ref="J774" r:id="rId772"/>
    <hyperlink xmlns:r="http://schemas.openxmlformats.org/officeDocument/2006/relationships" ref="J775" r:id="rId773"/>
    <hyperlink xmlns:r="http://schemas.openxmlformats.org/officeDocument/2006/relationships" ref="J776" r:id="rId774"/>
    <hyperlink xmlns:r="http://schemas.openxmlformats.org/officeDocument/2006/relationships" ref="J777" r:id="rId775"/>
    <hyperlink xmlns:r="http://schemas.openxmlformats.org/officeDocument/2006/relationships" ref="J778" r:id="rId776"/>
    <hyperlink xmlns:r="http://schemas.openxmlformats.org/officeDocument/2006/relationships" ref="J779" r:id="rId777"/>
    <hyperlink xmlns:r="http://schemas.openxmlformats.org/officeDocument/2006/relationships" ref="J780" r:id="rId778"/>
    <hyperlink xmlns:r="http://schemas.openxmlformats.org/officeDocument/2006/relationships" ref="J781" r:id="rId779"/>
    <hyperlink xmlns:r="http://schemas.openxmlformats.org/officeDocument/2006/relationships" ref="J782" r:id="rId780"/>
    <hyperlink xmlns:r="http://schemas.openxmlformats.org/officeDocument/2006/relationships" ref="J783" r:id="rId781"/>
    <hyperlink xmlns:r="http://schemas.openxmlformats.org/officeDocument/2006/relationships" ref="J784" r:id="rId782"/>
    <hyperlink xmlns:r="http://schemas.openxmlformats.org/officeDocument/2006/relationships" ref="J785" r:id="rId783"/>
    <hyperlink xmlns:r="http://schemas.openxmlformats.org/officeDocument/2006/relationships" ref="J786" r:id="rId784"/>
    <hyperlink xmlns:r="http://schemas.openxmlformats.org/officeDocument/2006/relationships" ref="J787" r:id="rId785"/>
    <hyperlink xmlns:r="http://schemas.openxmlformats.org/officeDocument/2006/relationships" ref="J788" r:id="rId786"/>
    <hyperlink xmlns:r="http://schemas.openxmlformats.org/officeDocument/2006/relationships" ref="J789" r:id="rId787"/>
    <hyperlink xmlns:r="http://schemas.openxmlformats.org/officeDocument/2006/relationships" ref="J790" r:id="rId788"/>
    <hyperlink xmlns:r="http://schemas.openxmlformats.org/officeDocument/2006/relationships" ref="J791" r:id="rId789"/>
    <hyperlink xmlns:r="http://schemas.openxmlformats.org/officeDocument/2006/relationships" ref="J792" r:id="rId790"/>
    <hyperlink xmlns:r="http://schemas.openxmlformats.org/officeDocument/2006/relationships" ref="J793" r:id="rId791"/>
    <hyperlink xmlns:r="http://schemas.openxmlformats.org/officeDocument/2006/relationships" ref="J794" r:id="rId792"/>
    <hyperlink xmlns:r="http://schemas.openxmlformats.org/officeDocument/2006/relationships" ref="J795" r:id="rId793"/>
    <hyperlink xmlns:r="http://schemas.openxmlformats.org/officeDocument/2006/relationships" ref="J796" r:id="rId794"/>
    <hyperlink xmlns:r="http://schemas.openxmlformats.org/officeDocument/2006/relationships" ref="J797" r:id="rId795"/>
    <hyperlink xmlns:r="http://schemas.openxmlformats.org/officeDocument/2006/relationships" ref="J798" r:id="rId796"/>
    <hyperlink xmlns:r="http://schemas.openxmlformats.org/officeDocument/2006/relationships" ref="J799" r:id="rId797"/>
    <hyperlink xmlns:r="http://schemas.openxmlformats.org/officeDocument/2006/relationships" ref="J800" r:id="rId798"/>
    <hyperlink xmlns:r="http://schemas.openxmlformats.org/officeDocument/2006/relationships" ref="J801" r:id="rId799"/>
    <hyperlink xmlns:r="http://schemas.openxmlformats.org/officeDocument/2006/relationships" ref="J802" r:id="rId800"/>
    <hyperlink xmlns:r="http://schemas.openxmlformats.org/officeDocument/2006/relationships" ref="J803" r:id="rId801"/>
    <hyperlink xmlns:r="http://schemas.openxmlformats.org/officeDocument/2006/relationships" ref="J804" r:id="rId802"/>
    <hyperlink xmlns:r="http://schemas.openxmlformats.org/officeDocument/2006/relationships" ref="J805" r:id="rId803"/>
    <hyperlink xmlns:r="http://schemas.openxmlformats.org/officeDocument/2006/relationships" ref="J806" r:id="rId804"/>
    <hyperlink xmlns:r="http://schemas.openxmlformats.org/officeDocument/2006/relationships" ref="J807" r:id="rId805"/>
    <hyperlink xmlns:r="http://schemas.openxmlformats.org/officeDocument/2006/relationships" ref="J808" r:id="rId806"/>
    <hyperlink xmlns:r="http://schemas.openxmlformats.org/officeDocument/2006/relationships" ref="J809" r:id="rId807"/>
    <hyperlink xmlns:r="http://schemas.openxmlformats.org/officeDocument/2006/relationships" ref="J810" r:id="rId808"/>
    <hyperlink xmlns:r="http://schemas.openxmlformats.org/officeDocument/2006/relationships" ref="J811" r:id="rId809"/>
    <hyperlink xmlns:r="http://schemas.openxmlformats.org/officeDocument/2006/relationships" ref="J812" r:id="rId810"/>
    <hyperlink xmlns:r="http://schemas.openxmlformats.org/officeDocument/2006/relationships" ref="J813" r:id="rId811"/>
    <hyperlink xmlns:r="http://schemas.openxmlformats.org/officeDocument/2006/relationships" ref="J814" r:id="rId812"/>
    <hyperlink xmlns:r="http://schemas.openxmlformats.org/officeDocument/2006/relationships" ref="J815" r:id="rId813"/>
    <hyperlink xmlns:r="http://schemas.openxmlformats.org/officeDocument/2006/relationships" ref="J816" r:id="rId814"/>
    <hyperlink xmlns:r="http://schemas.openxmlformats.org/officeDocument/2006/relationships" ref="J817" r:id="rId815"/>
    <hyperlink xmlns:r="http://schemas.openxmlformats.org/officeDocument/2006/relationships" ref="J818" r:id="rId816"/>
    <hyperlink xmlns:r="http://schemas.openxmlformats.org/officeDocument/2006/relationships" ref="J819" r:id="rId817"/>
    <hyperlink xmlns:r="http://schemas.openxmlformats.org/officeDocument/2006/relationships" ref="J820" r:id="rId818"/>
    <hyperlink xmlns:r="http://schemas.openxmlformats.org/officeDocument/2006/relationships" ref="J821" r:id="rId819"/>
    <hyperlink xmlns:r="http://schemas.openxmlformats.org/officeDocument/2006/relationships" ref="J822" r:id="rId820"/>
    <hyperlink xmlns:r="http://schemas.openxmlformats.org/officeDocument/2006/relationships" ref="J823" r:id="rId821"/>
    <hyperlink xmlns:r="http://schemas.openxmlformats.org/officeDocument/2006/relationships" ref="J824" r:id="rId822"/>
    <hyperlink xmlns:r="http://schemas.openxmlformats.org/officeDocument/2006/relationships" ref="J825" r:id="rId823"/>
    <hyperlink xmlns:r="http://schemas.openxmlformats.org/officeDocument/2006/relationships" ref="J826" r:id="rId824"/>
    <hyperlink xmlns:r="http://schemas.openxmlformats.org/officeDocument/2006/relationships" ref="J827" r:id="rId825"/>
    <hyperlink xmlns:r="http://schemas.openxmlformats.org/officeDocument/2006/relationships" ref="J828" r:id="rId826"/>
    <hyperlink xmlns:r="http://schemas.openxmlformats.org/officeDocument/2006/relationships" ref="J829" r:id="rId827"/>
    <hyperlink xmlns:r="http://schemas.openxmlformats.org/officeDocument/2006/relationships" ref="J830" r:id="rId828"/>
    <hyperlink xmlns:r="http://schemas.openxmlformats.org/officeDocument/2006/relationships" ref="J831" r:id="rId829"/>
    <hyperlink xmlns:r="http://schemas.openxmlformats.org/officeDocument/2006/relationships" ref="J832" r:id="rId830"/>
    <hyperlink xmlns:r="http://schemas.openxmlformats.org/officeDocument/2006/relationships" ref="J833" r:id="rId831"/>
    <hyperlink xmlns:r="http://schemas.openxmlformats.org/officeDocument/2006/relationships" ref="J834" r:id="rId832"/>
    <hyperlink xmlns:r="http://schemas.openxmlformats.org/officeDocument/2006/relationships" ref="J835" r:id="rId833"/>
    <hyperlink xmlns:r="http://schemas.openxmlformats.org/officeDocument/2006/relationships" ref="J836" r:id="rId834"/>
    <hyperlink xmlns:r="http://schemas.openxmlformats.org/officeDocument/2006/relationships" ref="J837" r:id="rId835"/>
    <hyperlink xmlns:r="http://schemas.openxmlformats.org/officeDocument/2006/relationships" ref="J838" r:id="rId836"/>
    <hyperlink xmlns:r="http://schemas.openxmlformats.org/officeDocument/2006/relationships" ref="J839" r:id="rId837"/>
    <hyperlink xmlns:r="http://schemas.openxmlformats.org/officeDocument/2006/relationships" ref="J840" r:id="rId838"/>
    <hyperlink xmlns:r="http://schemas.openxmlformats.org/officeDocument/2006/relationships" ref="J841" r:id="rId839"/>
    <hyperlink xmlns:r="http://schemas.openxmlformats.org/officeDocument/2006/relationships" ref="J842" r:id="rId840"/>
    <hyperlink xmlns:r="http://schemas.openxmlformats.org/officeDocument/2006/relationships" ref="J843" r:id="rId841"/>
    <hyperlink xmlns:r="http://schemas.openxmlformats.org/officeDocument/2006/relationships" ref="J844" r:id="rId842"/>
    <hyperlink xmlns:r="http://schemas.openxmlformats.org/officeDocument/2006/relationships" ref="J845" r:id="rId843"/>
    <hyperlink xmlns:r="http://schemas.openxmlformats.org/officeDocument/2006/relationships" ref="J846" r:id="rId844"/>
    <hyperlink xmlns:r="http://schemas.openxmlformats.org/officeDocument/2006/relationships" ref="J847" r:id="rId845"/>
    <hyperlink xmlns:r="http://schemas.openxmlformats.org/officeDocument/2006/relationships" ref="J848" r:id="rId846"/>
    <hyperlink xmlns:r="http://schemas.openxmlformats.org/officeDocument/2006/relationships" ref="J849" r:id="rId847"/>
    <hyperlink xmlns:r="http://schemas.openxmlformats.org/officeDocument/2006/relationships" ref="J850" r:id="rId848"/>
    <hyperlink xmlns:r="http://schemas.openxmlformats.org/officeDocument/2006/relationships" ref="J851" r:id="rId849"/>
    <hyperlink xmlns:r="http://schemas.openxmlformats.org/officeDocument/2006/relationships" ref="J852" r:id="rId850"/>
    <hyperlink xmlns:r="http://schemas.openxmlformats.org/officeDocument/2006/relationships" ref="J853" r:id="rId851"/>
    <hyperlink xmlns:r="http://schemas.openxmlformats.org/officeDocument/2006/relationships" ref="J854" r:id="rId852"/>
    <hyperlink xmlns:r="http://schemas.openxmlformats.org/officeDocument/2006/relationships" ref="J855" r:id="rId853"/>
    <hyperlink xmlns:r="http://schemas.openxmlformats.org/officeDocument/2006/relationships" ref="J856" r:id="rId854"/>
    <hyperlink xmlns:r="http://schemas.openxmlformats.org/officeDocument/2006/relationships" ref="J857" r:id="rId855"/>
    <hyperlink xmlns:r="http://schemas.openxmlformats.org/officeDocument/2006/relationships" ref="J858" r:id="rId856"/>
    <hyperlink xmlns:r="http://schemas.openxmlformats.org/officeDocument/2006/relationships" ref="J859" r:id="rId857"/>
    <hyperlink xmlns:r="http://schemas.openxmlformats.org/officeDocument/2006/relationships" ref="J860" r:id="rId858"/>
    <hyperlink xmlns:r="http://schemas.openxmlformats.org/officeDocument/2006/relationships" ref="J861" r:id="rId859"/>
    <hyperlink xmlns:r="http://schemas.openxmlformats.org/officeDocument/2006/relationships" ref="J862" r:id="rId860"/>
    <hyperlink xmlns:r="http://schemas.openxmlformats.org/officeDocument/2006/relationships" ref="J863" r:id="rId861"/>
    <hyperlink xmlns:r="http://schemas.openxmlformats.org/officeDocument/2006/relationships" ref="J864" r:id="rId862"/>
    <hyperlink xmlns:r="http://schemas.openxmlformats.org/officeDocument/2006/relationships" ref="J865" r:id="rId863"/>
    <hyperlink xmlns:r="http://schemas.openxmlformats.org/officeDocument/2006/relationships" ref="J866" r:id="rId864"/>
    <hyperlink xmlns:r="http://schemas.openxmlformats.org/officeDocument/2006/relationships" ref="J867" r:id="rId865"/>
    <hyperlink xmlns:r="http://schemas.openxmlformats.org/officeDocument/2006/relationships" ref="J868" r:id="rId866"/>
    <hyperlink xmlns:r="http://schemas.openxmlformats.org/officeDocument/2006/relationships" ref="J869" r:id="rId867"/>
    <hyperlink xmlns:r="http://schemas.openxmlformats.org/officeDocument/2006/relationships" ref="J870" r:id="rId868"/>
    <hyperlink xmlns:r="http://schemas.openxmlformats.org/officeDocument/2006/relationships" ref="J871" r:id="rId869"/>
    <hyperlink xmlns:r="http://schemas.openxmlformats.org/officeDocument/2006/relationships" ref="J872" r:id="rId870"/>
    <hyperlink xmlns:r="http://schemas.openxmlformats.org/officeDocument/2006/relationships" ref="J873" r:id="rId871"/>
    <hyperlink xmlns:r="http://schemas.openxmlformats.org/officeDocument/2006/relationships" ref="J874" r:id="rId872"/>
    <hyperlink xmlns:r="http://schemas.openxmlformats.org/officeDocument/2006/relationships" ref="J875" r:id="rId873"/>
    <hyperlink xmlns:r="http://schemas.openxmlformats.org/officeDocument/2006/relationships" ref="J876" r:id="rId874"/>
    <hyperlink xmlns:r="http://schemas.openxmlformats.org/officeDocument/2006/relationships" ref="J877" r:id="rId875"/>
    <hyperlink xmlns:r="http://schemas.openxmlformats.org/officeDocument/2006/relationships" ref="J878" r:id="rId876"/>
    <hyperlink xmlns:r="http://schemas.openxmlformats.org/officeDocument/2006/relationships" ref="J879" r:id="rId877"/>
    <hyperlink xmlns:r="http://schemas.openxmlformats.org/officeDocument/2006/relationships" ref="J880" r:id="rId878"/>
    <hyperlink xmlns:r="http://schemas.openxmlformats.org/officeDocument/2006/relationships" ref="J881" r:id="rId879"/>
    <hyperlink xmlns:r="http://schemas.openxmlformats.org/officeDocument/2006/relationships" ref="J882" r:id="rId880"/>
    <hyperlink xmlns:r="http://schemas.openxmlformats.org/officeDocument/2006/relationships" ref="J883" r:id="rId881"/>
    <hyperlink xmlns:r="http://schemas.openxmlformats.org/officeDocument/2006/relationships" ref="J884" r:id="rId882"/>
    <hyperlink xmlns:r="http://schemas.openxmlformats.org/officeDocument/2006/relationships" ref="J885" r:id="rId883"/>
    <hyperlink xmlns:r="http://schemas.openxmlformats.org/officeDocument/2006/relationships" ref="J886" r:id="rId884"/>
    <hyperlink xmlns:r="http://schemas.openxmlformats.org/officeDocument/2006/relationships" ref="J887" r:id="rId885"/>
    <hyperlink xmlns:r="http://schemas.openxmlformats.org/officeDocument/2006/relationships" ref="J888" r:id="rId886"/>
    <hyperlink xmlns:r="http://schemas.openxmlformats.org/officeDocument/2006/relationships" ref="J889" r:id="rId887"/>
    <hyperlink xmlns:r="http://schemas.openxmlformats.org/officeDocument/2006/relationships" ref="J890" r:id="rId888"/>
    <hyperlink xmlns:r="http://schemas.openxmlformats.org/officeDocument/2006/relationships" ref="J891" r:id="rId889"/>
    <hyperlink xmlns:r="http://schemas.openxmlformats.org/officeDocument/2006/relationships" ref="J892" r:id="rId890"/>
    <hyperlink xmlns:r="http://schemas.openxmlformats.org/officeDocument/2006/relationships" ref="J893" r:id="rId891"/>
    <hyperlink xmlns:r="http://schemas.openxmlformats.org/officeDocument/2006/relationships" ref="J894" r:id="rId892"/>
    <hyperlink xmlns:r="http://schemas.openxmlformats.org/officeDocument/2006/relationships" ref="J895" r:id="rId893"/>
    <hyperlink xmlns:r="http://schemas.openxmlformats.org/officeDocument/2006/relationships" ref="J896" r:id="rId894"/>
    <hyperlink xmlns:r="http://schemas.openxmlformats.org/officeDocument/2006/relationships" ref="J897" r:id="rId895"/>
    <hyperlink xmlns:r="http://schemas.openxmlformats.org/officeDocument/2006/relationships" ref="J898" r:id="rId896"/>
    <hyperlink xmlns:r="http://schemas.openxmlformats.org/officeDocument/2006/relationships" ref="J899" r:id="rId897"/>
    <hyperlink xmlns:r="http://schemas.openxmlformats.org/officeDocument/2006/relationships" ref="J900" r:id="rId898"/>
    <hyperlink xmlns:r="http://schemas.openxmlformats.org/officeDocument/2006/relationships" ref="J901" r:id="rId899"/>
    <hyperlink xmlns:r="http://schemas.openxmlformats.org/officeDocument/2006/relationships" ref="J902" r:id="rId900"/>
    <hyperlink xmlns:r="http://schemas.openxmlformats.org/officeDocument/2006/relationships" ref="J903" r:id="rId901"/>
    <hyperlink xmlns:r="http://schemas.openxmlformats.org/officeDocument/2006/relationships" ref="J904" r:id="rId902"/>
    <hyperlink xmlns:r="http://schemas.openxmlformats.org/officeDocument/2006/relationships" ref="J905" r:id="rId903"/>
    <hyperlink xmlns:r="http://schemas.openxmlformats.org/officeDocument/2006/relationships" ref="J906" r:id="rId904"/>
    <hyperlink xmlns:r="http://schemas.openxmlformats.org/officeDocument/2006/relationships" ref="J907" r:id="rId905"/>
    <hyperlink xmlns:r="http://schemas.openxmlformats.org/officeDocument/2006/relationships" ref="J908" r:id="rId906"/>
    <hyperlink xmlns:r="http://schemas.openxmlformats.org/officeDocument/2006/relationships" ref="J909" r:id="rId907"/>
    <hyperlink xmlns:r="http://schemas.openxmlformats.org/officeDocument/2006/relationships" ref="J910" r:id="rId908"/>
    <hyperlink xmlns:r="http://schemas.openxmlformats.org/officeDocument/2006/relationships" ref="J911" r:id="rId909"/>
    <hyperlink xmlns:r="http://schemas.openxmlformats.org/officeDocument/2006/relationships" ref="J912" r:id="rId910"/>
    <hyperlink xmlns:r="http://schemas.openxmlformats.org/officeDocument/2006/relationships" ref="J913" r:id="rId911"/>
    <hyperlink xmlns:r="http://schemas.openxmlformats.org/officeDocument/2006/relationships" ref="J914" r:id="rId912"/>
    <hyperlink xmlns:r="http://schemas.openxmlformats.org/officeDocument/2006/relationships" ref="J915" r:id="rId913"/>
    <hyperlink xmlns:r="http://schemas.openxmlformats.org/officeDocument/2006/relationships" ref="J916" r:id="rId914"/>
    <hyperlink xmlns:r="http://schemas.openxmlformats.org/officeDocument/2006/relationships" ref="J917" r:id="rId915"/>
    <hyperlink xmlns:r="http://schemas.openxmlformats.org/officeDocument/2006/relationships" ref="J918" r:id="rId916"/>
    <hyperlink xmlns:r="http://schemas.openxmlformats.org/officeDocument/2006/relationships" ref="J919" r:id="rId917"/>
    <hyperlink xmlns:r="http://schemas.openxmlformats.org/officeDocument/2006/relationships" ref="J920" r:id="rId918"/>
    <hyperlink xmlns:r="http://schemas.openxmlformats.org/officeDocument/2006/relationships" ref="J921" r:id="rId919"/>
    <hyperlink xmlns:r="http://schemas.openxmlformats.org/officeDocument/2006/relationships" ref="J922" r:id="rId920"/>
    <hyperlink xmlns:r="http://schemas.openxmlformats.org/officeDocument/2006/relationships" ref="J923" r:id="rId921"/>
    <hyperlink xmlns:r="http://schemas.openxmlformats.org/officeDocument/2006/relationships" ref="J924" r:id="rId922"/>
    <hyperlink xmlns:r="http://schemas.openxmlformats.org/officeDocument/2006/relationships" ref="J925" r:id="rId923"/>
    <hyperlink xmlns:r="http://schemas.openxmlformats.org/officeDocument/2006/relationships" ref="J926" r:id="rId924"/>
    <hyperlink xmlns:r="http://schemas.openxmlformats.org/officeDocument/2006/relationships" ref="J927" r:id="rId925"/>
    <hyperlink xmlns:r="http://schemas.openxmlformats.org/officeDocument/2006/relationships" ref="J928" r:id="rId926"/>
    <hyperlink xmlns:r="http://schemas.openxmlformats.org/officeDocument/2006/relationships" ref="J929" r:id="rId927"/>
    <hyperlink xmlns:r="http://schemas.openxmlformats.org/officeDocument/2006/relationships" ref="J930" r:id="rId928"/>
    <hyperlink xmlns:r="http://schemas.openxmlformats.org/officeDocument/2006/relationships" ref="J931" r:id="rId929"/>
    <hyperlink xmlns:r="http://schemas.openxmlformats.org/officeDocument/2006/relationships" ref="J932" r:id="rId930"/>
    <hyperlink xmlns:r="http://schemas.openxmlformats.org/officeDocument/2006/relationships" ref="J933" r:id="rId931"/>
    <hyperlink xmlns:r="http://schemas.openxmlformats.org/officeDocument/2006/relationships" ref="J934" r:id="rId932"/>
    <hyperlink xmlns:r="http://schemas.openxmlformats.org/officeDocument/2006/relationships" ref="J935" r:id="rId933"/>
    <hyperlink xmlns:r="http://schemas.openxmlformats.org/officeDocument/2006/relationships" ref="J936" r:id="rId934"/>
    <hyperlink xmlns:r="http://schemas.openxmlformats.org/officeDocument/2006/relationships" ref="J937" r:id="rId935"/>
    <hyperlink xmlns:r="http://schemas.openxmlformats.org/officeDocument/2006/relationships" ref="J938" r:id="rId936"/>
    <hyperlink xmlns:r="http://schemas.openxmlformats.org/officeDocument/2006/relationships" ref="J939" r:id="rId937"/>
    <hyperlink xmlns:r="http://schemas.openxmlformats.org/officeDocument/2006/relationships" ref="J940" r:id="rId938"/>
    <hyperlink xmlns:r="http://schemas.openxmlformats.org/officeDocument/2006/relationships" ref="J941" r:id="rId939"/>
    <hyperlink xmlns:r="http://schemas.openxmlformats.org/officeDocument/2006/relationships" ref="J942" r:id="rId940"/>
    <hyperlink xmlns:r="http://schemas.openxmlformats.org/officeDocument/2006/relationships" ref="J943" r:id="rId941"/>
    <hyperlink xmlns:r="http://schemas.openxmlformats.org/officeDocument/2006/relationships" ref="J944" r:id="rId942"/>
    <hyperlink xmlns:r="http://schemas.openxmlformats.org/officeDocument/2006/relationships" ref="J945" r:id="rId943"/>
    <hyperlink xmlns:r="http://schemas.openxmlformats.org/officeDocument/2006/relationships" ref="J946" r:id="rId944"/>
    <hyperlink xmlns:r="http://schemas.openxmlformats.org/officeDocument/2006/relationships" ref="J947" r:id="rId945"/>
    <hyperlink xmlns:r="http://schemas.openxmlformats.org/officeDocument/2006/relationships" ref="J948" r:id="rId946"/>
    <hyperlink xmlns:r="http://schemas.openxmlformats.org/officeDocument/2006/relationships" ref="J949" r:id="rId947"/>
    <hyperlink xmlns:r="http://schemas.openxmlformats.org/officeDocument/2006/relationships" ref="J950" r:id="rId948"/>
    <hyperlink xmlns:r="http://schemas.openxmlformats.org/officeDocument/2006/relationships" ref="J951" r:id="rId949"/>
    <hyperlink xmlns:r="http://schemas.openxmlformats.org/officeDocument/2006/relationships" ref="J952" r:id="rId950"/>
    <hyperlink xmlns:r="http://schemas.openxmlformats.org/officeDocument/2006/relationships" ref="J953" r:id="rId951"/>
    <hyperlink xmlns:r="http://schemas.openxmlformats.org/officeDocument/2006/relationships" ref="J954" r:id="rId952"/>
    <hyperlink xmlns:r="http://schemas.openxmlformats.org/officeDocument/2006/relationships" ref="J955" r:id="rId953"/>
    <hyperlink xmlns:r="http://schemas.openxmlformats.org/officeDocument/2006/relationships" ref="J956" r:id="rId954"/>
    <hyperlink xmlns:r="http://schemas.openxmlformats.org/officeDocument/2006/relationships" ref="J957" r:id="rId955"/>
    <hyperlink xmlns:r="http://schemas.openxmlformats.org/officeDocument/2006/relationships" ref="J958" r:id="rId956"/>
    <hyperlink xmlns:r="http://schemas.openxmlformats.org/officeDocument/2006/relationships" ref="J959" r:id="rId957"/>
    <hyperlink xmlns:r="http://schemas.openxmlformats.org/officeDocument/2006/relationships" ref="J960" r:id="rId958"/>
    <hyperlink xmlns:r="http://schemas.openxmlformats.org/officeDocument/2006/relationships" ref="J961" r:id="rId959"/>
    <hyperlink xmlns:r="http://schemas.openxmlformats.org/officeDocument/2006/relationships" ref="J962" r:id="rId960"/>
    <hyperlink xmlns:r="http://schemas.openxmlformats.org/officeDocument/2006/relationships" ref="J963" r:id="rId961"/>
    <hyperlink xmlns:r="http://schemas.openxmlformats.org/officeDocument/2006/relationships" ref="J964" r:id="rId962"/>
    <hyperlink xmlns:r="http://schemas.openxmlformats.org/officeDocument/2006/relationships" ref="J965" r:id="rId963"/>
    <hyperlink xmlns:r="http://schemas.openxmlformats.org/officeDocument/2006/relationships" ref="J966" r:id="rId964"/>
    <hyperlink xmlns:r="http://schemas.openxmlformats.org/officeDocument/2006/relationships" ref="J967" r:id="rId965"/>
    <hyperlink xmlns:r="http://schemas.openxmlformats.org/officeDocument/2006/relationships" ref="J968" r:id="rId966"/>
    <hyperlink xmlns:r="http://schemas.openxmlformats.org/officeDocument/2006/relationships" ref="J969" r:id="rId967"/>
    <hyperlink xmlns:r="http://schemas.openxmlformats.org/officeDocument/2006/relationships" ref="J970" r:id="rId968"/>
    <hyperlink xmlns:r="http://schemas.openxmlformats.org/officeDocument/2006/relationships" ref="J971" r:id="rId969"/>
    <hyperlink xmlns:r="http://schemas.openxmlformats.org/officeDocument/2006/relationships" ref="J972" r:id="rId970"/>
    <hyperlink xmlns:r="http://schemas.openxmlformats.org/officeDocument/2006/relationships" ref="J973" r:id="rId971"/>
    <hyperlink xmlns:r="http://schemas.openxmlformats.org/officeDocument/2006/relationships" ref="J974" r:id="rId972"/>
    <hyperlink xmlns:r="http://schemas.openxmlformats.org/officeDocument/2006/relationships" ref="J975" r:id="rId973"/>
    <hyperlink xmlns:r="http://schemas.openxmlformats.org/officeDocument/2006/relationships" ref="J976" r:id="rId974"/>
    <hyperlink xmlns:r="http://schemas.openxmlformats.org/officeDocument/2006/relationships" ref="J977" r:id="rId975"/>
    <hyperlink xmlns:r="http://schemas.openxmlformats.org/officeDocument/2006/relationships" ref="J978" r:id="rId976"/>
    <hyperlink xmlns:r="http://schemas.openxmlformats.org/officeDocument/2006/relationships" ref="J979" r:id="rId977"/>
    <hyperlink xmlns:r="http://schemas.openxmlformats.org/officeDocument/2006/relationships" ref="J980" r:id="rId978"/>
    <hyperlink xmlns:r="http://schemas.openxmlformats.org/officeDocument/2006/relationships" ref="J981" r:id="rId979"/>
    <hyperlink xmlns:r="http://schemas.openxmlformats.org/officeDocument/2006/relationships" ref="J982" r:id="rId980"/>
    <hyperlink xmlns:r="http://schemas.openxmlformats.org/officeDocument/2006/relationships" ref="J983" r:id="rId981"/>
    <hyperlink xmlns:r="http://schemas.openxmlformats.org/officeDocument/2006/relationships" ref="J984" r:id="rId982"/>
    <hyperlink xmlns:r="http://schemas.openxmlformats.org/officeDocument/2006/relationships" ref="J985" r:id="rId983"/>
    <hyperlink xmlns:r="http://schemas.openxmlformats.org/officeDocument/2006/relationships" ref="J986" r:id="rId984"/>
    <hyperlink xmlns:r="http://schemas.openxmlformats.org/officeDocument/2006/relationships" ref="J987" r:id="rId985"/>
    <hyperlink xmlns:r="http://schemas.openxmlformats.org/officeDocument/2006/relationships" ref="J988" r:id="rId986"/>
    <hyperlink xmlns:r="http://schemas.openxmlformats.org/officeDocument/2006/relationships" ref="J989" r:id="rId987"/>
    <hyperlink xmlns:r="http://schemas.openxmlformats.org/officeDocument/2006/relationships" ref="J990" r:id="rId988"/>
    <hyperlink xmlns:r="http://schemas.openxmlformats.org/officeDocument/2006/relationships" ref="J991" r:id="rId989"/>
    <hyperlink xmlns:r="http://schemas.openxmlformats.org/officeDocument/2006/relationships" ref="J992" r:id="rId990"/>
    <hyperlink xmlns:r="http://schemas.openxmlformats.org/officeDocument/2006/relationships" ref="J993" r:id="rId991"/>
    <hyperlink xmlns:r="http://schemas.openxmlformats.org/officeDocument/2006/relationships" ref="J994" r:id="rId992"/>
    <hyperlink xmlns:r="http://schemas.openxmlformats.org/officeDocument/2006/relationships" ref="J995" r:id="rId993"/>
    <hyperlink xmlns:r="http://schemas.openxmlformats.org/officeDocument/2006/relationships" ref="J996" r:id="rId994"/>
    <hyperlink xmlns:r="http://schemas.openxmlformats.org/officeDocument/2006/relationships" ref="J997" r:id="rId995"/>
    <hyperlink xmlns:r="http://schemas.openxmlformats.org/officeDocument/2006/relationships" ref="J998" r:id="rId996"/>
    <hyperlink xmlns:r="http://schemas.openxmlformats.org/officeDocument/2006/relationships" ref="J999" r:id="rId997"/>
    <hyperlink xmlns:r="http://schemas.openxmlformats.org/officeDocument/2006/relationships" ref="J1000" r:id="rId998"/>
    <hyperlink xmlns:r="http://schemas.openxmlformats.org/officeDocument/2006/relationships" ref="J1001" r:id="rId999"/>
    <hyperlink xmlns:r="http://schemas.openxmlformats.org/officeDocument/2006/relationships" ref="J1002" r:id="rId1000"/>
    <hyperlink xmlns:r="http://schemas.openxmlformats.org/officeDocument/2006/relationships" ref="J1003" r:id="rId1001"/>
    <hyperlink xmlns:r="http://schemas.openxmlformats.org/officeDocument/2006/relationships" ref="J1004" r:id="rId1002"/>
    <hyperlink xmlns:r="http://schemas.openxmlformats.org/officeDocument/2006/relationships" ref="J1005" r:id="rId1003"/>
    <hyperlink xmlns:r="http://schemas.openxmlformats.org/officeDocument/2006/relationships" ref="J1006" r:id="rId1004"/>
    <hyperlink xmlns:r="http://schemas.openxmlformats.org/officeDocument/2006/relationships" ref="J1007" r:id="rId1005"/>
    <hyperlink xmlns:r="http://schemas.openxmlformats.org/officeDocument/2006/relationships" ref="J1008" r:id="rId1006"/>
    <hyperlink xmlns:r="http://schemas.openxmlformats.org/officeDocument/2006/relationships" ref="J1009" r:id="rId1007"/>
    <hyperlink xmlns:r="http://schemas.openxmlformats.org/officeDocument/2006/relationships" ref="J1010" r:id="rId1008"/>
    <hyperlink xmlns:r="http://schemas.openxmlformats.org/officeDocument/2006/relationships" ref="J1011" r:id="rId1009"/>
    <hyperlink xmlns:r="http://schemas.openxmlformats.org/officeDocument/2006/relationships" ref="J1012" r:id="rId1010"/>
    <hyperlink xmlns:r="http://schemas.openxmlformats.org/officeDocument/2006/relationships" ref="J1013" r:id="rId1011"/>
    <hyperlink xmlns:r="http://schemas.openxmlformats.org/officeDocument/2006/relationships" ref="J1014" r:id="rId1012"/>
    <hyperlink xmlns:r="http://schemas.openxmlformats.org/officeDocument/2006/relationships" ref="J1015" r:id="rId1013"/>
    <hyperlink xmlns:r="http://schemas.openxmlformats.org/officeDocument/2006/relationships" ref="J1016" r:id="rId1014"/>
    <hyperlink xmlns:r="http://schemas.openxmlformats.org/officeDocument/2006/relationships" ref="J1017" r:id="rId1015"/>
    <hyperlink xmlns:r="http://schemas.openxmlformats.org/officeDocument/2006/relationships" ref="J1018" r:id="rId1016"/>
    <hyperlink xmlns:r="http://schemas.openxmlformats.org/officeDocument/2006/relationships" ref="J1019" r:id="rId1017"/>
    <hyperlink xmlns:r="http://schemas.openxmlformats.org/officeDocument/2006/relationships" ref="J1020" r:id="rId1018"/>
    <hyperlink xmlns:r="http://schemas.openxmlformats.org/officeDocument/2006/relationships" ref="J1021" r:id="rId1019"/>
    <hyperlink xmlns:r="http://schemas.openxmlformats.org/officeDocument/2006/relationships" ref="J1022" r:id="rId1020"/>
    <hyperlink xmlns:r="http://schemas.openxmlformats.org/officeDocument/2006/relationships" ref="J1023" r:id="rId1021"/>
    <hyperlink xmlns:r="http://schemas.openxmlformats.org/officeDocument/2006/relationships" ref="J1024" r:id="rId1022"/>
    <hyperlink xmlns:r="http://schemas.openxmlformats.org/officeDocument/2006/relationships" ref="J1025" r:id="rId1023"/>
    <hyperlink xmlns:r="http://schemas.openxmlformats.org/officeDocument/2006/relationships" ref="J1026" r:id="rId1024"/>
    <hyperlink xmlns:r="http://schemas.openxmlformats.org/officeDocument/2006/relationships" ref="J1027" r:id="rId1025"/>
    <hyperlink xmlns:r="http://schemas.openxmlformats.org/officeDocument/2006/relationships" ref="J1028" r:id="rId1026"/>
    <hyperlink xmlns:r="http://schemas.openxmlformats.org/officeDocument/2006/relationships" ref="J1029" r:id="rId1027"/>
    <hyperlink xmlns:r="http://schemas.openxmlformats.org/officeDocument/2006/relationships" ref="J1030" r:id="rId1028"/>
    <hyperlink xmlns:r="http://schemas.openxmlformats.org/officeDocument/2006/relationships" ref="J1031" r:id="rId1029"/>
    <hyperlink xmlns:r="http://schemas.openxmlformats.org/officeDocument/2006/relationships" ref="J1032" r:id="rId1030"/>
    <hyperlink xmlns:r="http://schemas.openxmlformats.org/officeDocument/2006/relationships" ref="J1033" r:id="rId1031"/>
    <hyperlink xmlns:r="http://schemas.openxmlformats.org/officeDocument/2006/relationships" ref="J1034" r:id="rId1032"/>
    <hyperlink xmlns:r="http://schemas.openxmlformats.org/officeDocument/2006/relationships" ref="J1035" r:id="rId1033"/>
    <hyperlink xmlns:r="http://schemas.openxmlformats.org/officeDocument/2006/relationships" ref="J1036" r:id="rId1034"/>
    <hyperlink xmlns:r="http://schemas.openxmlformats.org/officeDocument/2006/relationships" ref="J1037" r:id="rId1035"/>
    <hyperlink xmlns:r="http://schemas.openxmlformats.org/officeDocument/2006/relationships" ref="J1038" r:id="rId1036"/>
    <hyperlink xmlns:r="http://schemas.openxmlformats.org/officeDocument/2006/relationships" ref="J1039" r:id="rId1037"/>
    <hyperlink xmlns:r="http://schemas.openxmlformats.org/officeDocument/2006/relationships" ref="J1040" r:id="rId1038"/>
    <hyperlink xmlns:r="http://schemas.openxmlformats.org/officeDocument/2006/relationships" ref="J1041" r:id="rId1039"/>
    <hyperlink xmlns:r="http://schemas.openxmlformats.org/officeDocument/2006/relationships" ref="J1042" r:id="rId1040"/>
    <hyperlink xmlns:r="http://schemas.openxmlformats.org/officeDocument/2006/relationships" ref="J1043" r:id="rId1041"/>
    <hyperlink xmlns:r="http://schemas.openxmlformats.org/officeDocument/2006/relationships" ref="J1044" r:id="rId1042"/>
    <hyperlink xmlns:r="http://schemas.openxmlformats.org/officeDocument/2006/relationships" ref="J1045" r:id="rId1043"/>
    <hyperlink xmlns:r="http://schemas.openxmlformats.org/officeDocument/2006/relationships" ref="J1046" r:id="rId1044"/>
    <hyperlink xmlns:r="http://schemas.openxmlformats.org/officeDocument/2006/relationships" ref="J1047" r:id="rId1045"/>
    <hyperlink xmlns:r="http://schemas.openxmlformats.org/officeDocument/2006/relationships" ref="J1048" r:id="rId1046"/>
    <hyperlink xmlns:r="http://schemas.openxmlformats.org/officeDocument/2006/relationships" ref="J1049" r:id="rId1047"/>
    <hyperlink xmlns:r="http://schemas.openxmlformats.org/officeDocument/2006/relationships" ref="J1050" r:id="rId1048"/>
    <hyperlink xmlns:r="http://schemas.openxmlformats.org/officeDocument/2006/relationships" ref="J1051" r:id="rId1049"/>
    <hyperlink xmlns:r="http://schemas.openxmlformats.org/officeDocument/2006/relationships" ref="J1052" r:id="rId1050"/>
    <hyperlink xmlns:r="http://schemas.openxmlformats.org/officeDocument/2006/relationships" ref="J1053" r:id="rId1051"/>
    <hyperlink xmlns:r="http://schemas.openxmlformats.org/officeDocument/2006/relationships" ref="J1054" r:id="rId1052"/>
    <hyperlink xmlns:r="http://schemas.openxmlformats.org/officeDocument/2006/relationships" ref="J1055" r:id="rId1053"/>
    <hyperlink xmlns:r="http://schemas.openxmlformats.org/officeDocument/2006/relationships" ref="J1056" r:id="rId1054"/>
    <hyperlink xmlns:r="http://schemas.openxmlformats.org/officeDocument/2006/relationships" ref="J1057" r:id="rId1055"/>
    <hyperlink xmlns:r="http://schemas.openxmlformats.org/officeDocument/2006/relationships" ref="J1058" r:id="rId1056"/>
    <hyperlink xmlns:r="http://schemas.openxmlformats.org/officeDocument/2006/relationships" ref="J1059" r:id="rId1057"/>
    <hyperlink xmlns:r="http://schemas.openxmlformats.org/officeDocument/2006/relationships" ref="J1060" r:id="rId1058"/>
    <hyperlink xmlns:r="http://schemas.openxmlformats.org/officeDocument/2006/relationships" ref="J1061" r:id="rId1059"/>
    <hyperlink xmlns:r="http://schemas.openxmlformats.org/officeDocument/2006/relationships" ref="J1062" r:id="rId1060"/>
    <hyperlink xmlns:r="http://schemas.openxmlformats.org/officeDocument/2006/relationships" ref="J1063" r:id="rId1061"/>
    <hyperlink xmlns:r="http://schemas.openxmlformats.org/officeDocument/2006/relationships" ref="J1064" r:id="rId1062"/>
    <hyperlink xmlns:r="http://schemas.openxmlformats.org/officeDocument/2006/relationships" ref="J1065" r:id="rId1063"/>
    <hyperlink xmlns:r="http://schemas.openxmlformats.org/officeDocument/2006/relationships" ref="J1066" r:id="rId1064"/>
    <hyperlink xmlns:r="http://schemas.openxmlformats.org/officeDocument/2006/relationships" ref="J1067" r:id="rId1065"/>
    <hyperlink xmlns:r="http://schemas.openxmlformats.org/officeDocument/2006/relationships" ref="J1068" r:id="rId1066"/>
    <hyperlink xmlns:r="http://schemas.openxmlformats.org/officeDocument/2006/relationships" ref="J1069" r:id="rId1067"/>
    <hyperlink xmlns:r="http://schemas.openxmlformats.org/officeDocument/2006/relationships" ref="J1070" r:id="rId1068"/>
    <hyperlink xmlns:r="http://schemas.openxmlformats.org/officeDocument/2006/relationships" ref="J1071" r:id="rId1069"/>
    <hyperlink xmlns:r="http://schemas.openxmlformats.org/officeDocument/2006/relationships" ref="J1072" r:id="rId1070"/>
    <hyperlink xmlns:r="http://schemas.openxmlformats.org/officeDocument/2006/relationships" ref="J1073" r:id="rId1071"/>
    <hyperlink xmlns:r="http://schemas.openxmlformats.org/officeDocument/2006/relationships" ref="J1074" r:id="rId1072"/>
    <hyperlink xmlns:r="http://schemas.openxmlformats.org/officeDocument/2006/relationships" ref="J1075" r:id="rId1073"/>
    <hyperlink xmlns:r="http://schemas.openxmlformats.org/officeDocument/2006/relationships" ref="J1076" r:id="rId1074"/>
    <hyperlink xmlns:r="http://schemas.openxmlformats.org/officeDocument/2006/relationships" ref="J1077" r:id="rId1075"/>
    <hyperlink xmlns:r="http://schemas.openxmlformats.org/officeDocument/2006/relationships" ref="J1078" r:id="rId1076"/>
    <hyperlink xmlns:r="http://schemas.openxmlformats.org/officeDocument/2006/relationships" ref="J1079" r:id="rId1077"/>
    <hyperlink xmlns:r="http://schemas.openxmlformats.org/officeDocument/2006/relationships" ref="J1080" r:id="rId1078"/>
    <hyperlink xmlns:r="http://schemas.openxmlformats.org/officeDocument/2006/relationships" ref="J1081" r:id="rId1079"/>
    <hyperlink xmlns:r="http://schemas.openxmlformats.org/officeDocument/2006/relationships" ref="J1082" r:id="rId1080"/>
    <hyperlink xmlns:r="http://schemas.openxmlformats.org/officeDocument/2006/relationships" ref="J1083" r:id="rId1081"/>
    <hyperlink xmlns:r="http://schemas.openxmlformats.org/officeDocument/2006/relationships" ref="J1084" r:id="rId1082"/>
    <hyperlink xmlns:r="http://schemas.openxmlformats.org/officeDocument/2006/relationships" ref="J1085" r:id="rId1083"/>
    <hyperlink xmlns:r="http://schemas.openxmlformats.org/officeDocument/2006/relationships" ref="J1086" r:id="rId1084"/>
    <hyperlink xmlns:r="http://schemas.openxmlformats.org/officeDocument/2006/relationships" ref="J1087" r:id="rId1085"/>
    <hyperlink xmlns:r="http://schemas.openxmlformats.org/officeDocument/2006/relationships" ref="J1088" r:id="rId1086"/>
    <hyperlink xmlns:r="http://schemas.openxmlformats.org/officeDocument/2006/relationships" ref="J1089" r:id="rId1087"/>
    <hyperlink xmlns:r="http://schemas.openxmlformats.org/officeDocument/2006/relationships" ref="J1090" r:id="rId1088"/>
    <hyperlink xmlns:r="http://schemas.openxmlformats.org/officeDocument/2006/relationships" ref="J1091" r:id="rId1089"/>
    <hyperlink xmlns:r="http://schemas.openxmlformats.org/officeDocument/2006/relationships" ref="J1092" r:id="rId1090"/>
    <hyperlink xmlns:r="http://schemas.openxmlformats.org/officeDocument/2006/relationships" ref="J1093" r:id="rId1091"/>
    <hyperlink xmlns:r="http://schemas.openxmlformats.org/officeDocument/2006/relationships" ref="J1094" r:id="rId1092"/>
    <hyperlink xmlns:r="http://schemas.openxmlformats.org/officeDocument/2006/relationships" ref="J1095" r:id="rId1093"/>
    <hyperlink xmlns:r="http://schemas.openxmlformats.org/officeDocument/2006/relationships" ref="J1096" r:id="rId1094"/>
    <hyperlink xmlns:r="http://schemas.openxmlformats.org/officeDocument/2006/relationships" ref="J1097" r:id="rId1095"/>
    <hyperlink xmlns:r="http://schemas.openxmlformats.org/officeDocument/2006/relationships" ref="J1098" r:id="rId1096"/>
    <hyperlink xmlns:r="http://schemas.openxmlformats.org/officeDocument/2006/relationships" ref="J1099" r:id="rId1097"/>
    <hyperlink xmlns:r="http://schemas.openxmlformats.org/officeDocument/2006/relationships" ref="J1100" r:id="rId1098"/>
    <hyperlink xmlns:r="http://schemas.openxmlformats.org/officeDocument/2006/relationships" ref="J1101" r:id="rId1099"/>
    <hyperlink xmlns:r="http://schemas.openxmlformats.org/officeDocument/2006/relationships" ref="J1102" r:id="rId1100"/>
    <hyperlink xmlns:r="http://schemas.openxmlformats.org/officeDocument/2006/relationships" ref="J1103" r:id="rId1101"/>
    <hyperlink xmlns:r="http://schemas.openxmlformats.org/officeDocument/2006/relationships" ref="J1104" r:id="rId1102"/>
    <hyperlink xmlns:r="http://schemas.openxmlformats.org/officeDocument/2006/relationships" ref="J1105" r:id="rId1103"/>
    <hyperlink xmlns:r="http://schemas.openxmlformats.org/officeDocument/2006/relationships" ref="J1106" r:id="rId1104"/>
    <hyperlink xmlns:r="http://schemas.openxmlformats.org/officeDocument/2006/relationships" ref="J1107" r:id="rId1105"/>
    <hyperlink xmlns:r="http://schemas.openxmlformats.org/officeDocument/2006/relationships" ref="J1108" r:id="rId1106"/>
    <hyperlink xmlns:r="http://schemas.openxmlformats.org/officeDocument/2006/relationships" ref="J1109" r:id="rId1107"/>
    <hyperlink xmlns:r="http://schemas.openxmlformats.org/officeDocument/2006/relationships" ref="J1110" r:id="rId1108"/>
    <hyperlink xmlns:r="http://schemas.openxmlformats.org/officeDocument/2006/relationships" ref="J1111" r:id="rId1109"/>
    <hyperlink xmlns:r="http://schemas.openxmlformats.org/officeDocument/2006/relationships" ref="J1112" r:id="rId1110"/>
    <hyperlink xmlns:r="http://schemas.openxmlformats.org/officeDocument/2006/relationships" ref="J1113" r:id="rId1111"/>
    <hyperlink xmlns:r="http://schemas.openxmlformats.org/officeDocument/2006/relationships" ref="J1114" r:id="rId1112"/>
    <hyperlink xmlns:r="http://schemas.openxmlformats.org/officeDocument/2006/relationships" ref="J1115" r:id="rId1113"/>
    <hyperlink xmlns:r="http://schemas.openxmlformats.org/officeDocument/2006/relationships" ref="J1116" r:id="rId1114"/>
    <hyperlink xmlns:r="http://schemas.openxmlformats.org/officeDocument/2006/relationships" ref="J1117" r:id="rId1115"/>
    <hyperlink xmlns:r="http://schemas.openxmlformats.org/officeDocument/2006/relationships" ref="J1118" r:id="rId1116"/>
    <hyperlink xmlns:r="http://schemas.openxmlformats.org/officeDocument/2006/relationships" ref="J1119" r:id="rId1117"/>
    <hyperlink xmlns:r="http://schemas.openxmlformats.org/officeDocument/2006/relationships" ref="J1120" r:id="rId1118"/>
    <hyperlink xmlns:r="http://schemas.openxmlformats.org/officeDocument/2006/relationships" ref="J1121" r:id="rId1119"/>
    <hyperlink xmlns:r="http://schemas.openxmlformats.org/officeDocument/2006/relationships" ref="J1122" r:id="rId1120"/>
    <hyperlink xmlns:r="http://schemas.openxmlformats.org/officeDocument/2006/relationships" ref="J1123" r:id="rId1121"/>
    <hyperlink xmlns:r="http://schemas.openxmlformats.org/officeDocument/2006/relationships" ref="J1124" r:id="rId1122"/>
    <hyperlink xmlns:r="http://schemas.openxmlformats.org/officeDocument/2006/relationships" ref="J1125" r:id="rId1123"/>
    <hyperlink xmlns:r="http://schemas.openxmlformats.org/officeDocument/2006/relationships" ref="J1126" r:id="rId1124"/>
    <hyperlink xmlns:r="http://schemas.openxmlformats.org/officeDocument/2006/relationships" ref="J1127" r:id="rId1125"/>
    <hyperlink xmlns:r="http://schemas.openxmlformats.org/officeDocument/2006/relationships" ref="J1128" r:id="rId1126"/>
    <hyperlink xmlns:r="http://schemas.openxmlformats.org/officeDocument/2006/relationships" ref="J1129" r:id="rId1127"/>
    <hyperlink xmlns:r="http://schemas.openxmlformats.org/officeDocument/2006/relationships" ref="J1130" r:id="rId1128"/>
    <hyperlink xmlns:r="http://schemas.openxmlformats.org/officeDocument/2006/relationships" ref="J1131" r:id="rId1129"/>
    <hyperlink xmlns:r="http://schemas.openxmlformats.org/officeDocument/2006/relationships" ref="J1132" r:id="rId1130"/>
    <hyperlink xmlns:r="http://schemas.openxmlformats.org/officeDocument/2006/relationships" ref="J1133" r:id="rId1131"/>
    <hyperlink xmlns:r="http://schemas.openxmlformats.org/officeDocument/2006/relationships" ref="J1134" r:id="rId1132"/>
    <hyperlink xmlns:r="http://schemas.openxmlformats.org/officeDocument/2006/relationships" ref="J1135" r:id="rId1133"/>
    <hyperlink xmlns:r="http://schemas.openxmlformats.org/officeDocument/2006/relationships" ref="J1136" r:id="rId1134"/>
    <hyperlink xmlns:r="http://schemas.openxmlformats.org/officeDocument/2006/relationships" ref="J1137" r:id="rId1135"/>
    <hyperlink xmlns:r="http://schemas.openxmlformats.org/officeDocument/2006/relationships" ref="J1138" r:id="rId1136"/>
    <hyperlink xmlns:r="http://schemas.openxmlformats.org/officeDocument/2006/relationships" ref="J1139" r:id="rId1137"/>
    <hyperlink xmlns:r="http://schemas.openxmlformats.org/officeDocument/2006/relationships" ref="J1140" r:id="rId1138"/>
    <hyperlink xmlns:r="http://schemas.openxmlformats.org/officeDocument/2006/relationships" ref="J1141" r:id="rId1139"/>
    <hyperlink xmlns:r="http://schemas.openxmlformats.org/officeDocument/2006/relationships" ref="J1142" r:id="rId1140"/>
    <hyperlink xmlns:r="http://schemas.openxmlformats.org/officeDocument/2006/relationships" ref="J1143" r:id="rId1141"/>
    <hyperlink xmlns:r="http://schemas.openxmlformats.org/officeDocument/2006/relationships" ref="J1144" r:id="rId1142"/>
    <hyperlink xmlns:r="http://schemas.openxmlformats.org/officeDocument/2006/relationships" ref="J1145" r:id="rId1143"/>
    <hyperlink xmlns:r="http://schemas.openxmlformats.org/officeDocument/2006/relationships" ref="J1146" r:id="rId1144"/>
    <hyperlink xmlns:r="http://schemas.openxmlformats.org/officeDocument/2006/relationships" ref="J1147" r:id="rId1145"/>
    <hyperlink xmlns:r="http://schemas.openxmlformats.org/officeDocument/2006/relationships" ref="J1148" r:id="rId1146"/>
    <hyperlink xmlns:r="http://schemas.openxmlformats.org/officeDocument/2006/relationships" ref="J1149" r:id="rId1147"/>
    <hyperlink xmlns:r="http://schemas.openxmlformats.org/officeDocument/2006/relationships" ref="J1150" r:id="rId1148"/>
    <hyperlink xmlns:r="http://schemas.openxmlformats.org/officeDocument/2006/relationships" ref="J1151" r:id="rId1149"/>
    <hyperlink xmlns:r="http://schemas.openxmlformats.org/officeDocument/2006/relationships" ref="J1152" r:id="rId1150"/>
    <hyperlink xmlns:r="http://schemas.openxmlformats.org/officeDocument/2006/relationships" ref="J1153" r:id="rId1151"/>
    <hyperlink xmlns:r="http://schemas.openxmlformats.org/officeDocument/2006/relationships" ref="J1154" r:id="rId1152"/>
    <hyperlink xmlns:r="http://schemas.openxmlformats.org/officeDocument/2006/relationships" ref="J1155" r:id="rId1153"/>
    <hyperlink xmlns:r="http://schemas.openxmlformats.org/officeDocument/2006/relationships" ref="J1156" r:id="rId1154"/>
    <hyperlink xmlns:r="http://schemas.openxmlformats.org/officeDocument/2006/relationships" ref="J1157" r:id="rId1155"/>
    <hyperlink xmlns:r="http://schemas.openxmlformats.org/officeDocument/2006/relationships" ref="J1158" r:id="rId1156"/>
    <hyperlink xmlns:r="http://schemas.openxmlformats.org/officeDocument/2006/relationships" ref="J1159" r:id="rId1157"/>
    <hyperlink xmlns:r="http://schemas.openxmlformats.org/officeDocument/2006/relationships" ref="J1160" r:id="rId1158"/>
    <hyperlink xmlns:r="http://schemas.openxmlformats.org/officeDocument/2006/relationships" ref="J1161" r:id="rId1159"/>
    <hyperlink xmlns:r="http://schemas.openxmlformats.org/officeDocument/2006/relationships" ref="J1162" r:id="rId1160"/>
    <hyperlink xmlns:r="http://schemas.openxmlformats.org/officeDocument/2006/relationships" ref="J1163" r:id="rId1161"/>
    <hyperlink xmlns:r="http://schemas.openxmlformats.org/officeDocument/2006/relationships" ref="J1164" r:id="rId1162"/>
    <hyperlink xmlns:r="http://schemas.openxmlformats.org/officeDocument/2006/relationships" ref="J1165" r:id="rId1163"/>
    <hyperlink xmlns:r="http://schemas.openxmlformats.org/officeDocument/2006/relationships" ref="J1166" r:id="rId1164"/>
    <hyperlink xmlns:r="http://schemas.openxmlformats.org/officeDocument/2006/relationships" ref="J1167" r:id="rId1165"/>
    <hyperlink xmlns:r="http://schemas.openxmlformats.org/officeDocument/2006/relationships" ref="J1168" r:id="rId1166"/>
    <hyperlink xmlns:r="http://schemas.openxmlformats.org/officeDocument/2006/relationships" ref="J1169" r:id="rId1167"/>
    <hyperlink xmlns:r="http://schemas.openxmlformats.org/officeDocument/2006/relationships" ref="J1170" r:id="rId1168"/>
    <hyperlink xmlns:r="http://schemas.openxmlformats.org/officeDocument/2006/relationships" ref="J1171" r:id="rId1169"/>
    <hyperlink xmlns:r="http://schemas.openxmlformats.org/officeDocument/2006/relationships" ref="J1172" r:id="rId1170"/>
    <hyperlink xmlns:r="http://schemas.openxmlformats.org/officeDocument/2006/relationships" ref="J1173" r:id="rId1171"/>
    <hyperlink xmlns:r="http://schemas.openxmlformats.org/officeDocument/2006/relationships" ref="J1174" r:id="rId1172"/>
    <hyperlink xmlns:r="http://schemas.openxmlformats.org/officeDocument/2006/relationships" ref="J1175" r:id="rId1173"/>
    <hyperlink xmlns:r="http://schemas.openxmlformats.org/officeDocument/2006/relationships" ref="J1176" r:id="rId1174"/>
    <hyperlink xmlns:r="http://schemas.openxmlformats.org/officeDocument/2006/relationships" ref="J1177" r:id="rId1175"/>
    <hyperlink xmlns:r="http://schemas.openxmlformats.org/officeDocument/2006/relationships" ref="J1178" r:id="rId1176"/>
    <hyperlink xmlns:r="http://schemas.openxmlformats.org/officeDocument/2006/relationships" ref="J1179" r:id="rId1177"/>
    <hyperlink xmlns:r="http://schemas.openxmlformats.org/officeDocument/2006/relationships" ref="J1180" r:id="rId1178"/>
    <hyperlink xmlns:r="http://schemas.openxmlformats.org/officeDocument/2006/relationships" ref="J1181" r:id="rId1179"/>
    <hyperlink xmlns:r="http://schemas.openxmlformats.org/officeDocument/2006/relationships" ref="J1182" r:id="rId1180"/>
    <hyperlink xmlns:r="http://schemas.openxmlformats.org/officeDocument/2006/relationships" ref="J1183" r:id="rId1181"/>
    <hyperlink xmlns:r="http://schemas.openxmlformats.org/officeDocument/2006/relationships" ref="J1184" r:id="rId1182"/>
    <hyperlink xmlns:r="http://schemas.openxmlformats.org/officeDocument/2006/relationships" ref="J1185" r:id="rId1183"/>
    <hyperlink xmlns:r="http://schemas.openxmlformats.org/officeDocument/2006/relationships" ref="J1186" r:id="rId1184"/>
    <hyperlink xmlns:r="http://schemas.openxmlformats.org/officeDocument/2006/relationships" ref="J1187" r:id="rId1185"/>
    <hyperlink xmlns:r="http://schemas.openxmlformats.org/officeDocument/2006/relationships" ref="J1188" r:id="rId1186"/>
    <hyperlink xmlns:r="http://schemas.openxmlformats.org/officeDocument/2006/relationships" ref="J1189" r:id="rId1187"/>
    <hyperlink xmlns:r="http://schemas.openxmlformats.org/officeDocument/2006/relationships" ref="J1190" r:id="rId1188"/>
    <hyperlink xmlns:r="http://schemas.openxmlformats.org/officeDocument/2006/relationships" ref="J1191" r:id="rId1189"/>
    <hyperlink xmlns:r="http://schemas.openxmlformats.org/officeDocument/2006/relationships" ref="J1192" r:id="rId1190"/>
    <hyperlink xmlns:r="http://schemas.openxmlformats.org/officeDocument/2006/relationships" ref="J1193" r:id="rId1191"/>
    <hyperlink xmlns:r="http://schemas.openxmlformats.org/officeDocument/2006/relationships" ref="J1194" r:id="rId1192"/>
    <hyperlink xmlns:r="http://schemas.openxmlformats.org/officeDocument/2006/relationships" ref="J1195" r:id="rId1193"/>
    <hyperlink xmlns:r="http://schemas.openxmlformats.org/officeDocument/2006/relationships" ref="J1196" r:id="rId1194"/>
    <hyperlink xmlns:r="http://schemas.openxmlformats.org/officeDocument/2006/relationships" ref="J1197" r:id="rId1195"/>
    <hyperlink xmlns:r="http://schemas.openxmlformats.org/officeDocument/2006/relationships" ref="J1198" r:id="rId1196"/>
    <hyperlink xmlns:r="http://schemas.openxmlformats.org/officeDocument/2006/relationships" ref="J1199" r:id="rId1197"/>
    <hyperlink xmlns:r="http://schemas.openxmlformats.org/officeDocument/2006/relationships" ref="J1200" r:id="rId1198"/>
    <hyperlink xmlns:r="http://schemas.openxmlformats.org/officeDocument/2006/relationships" ref="J1201" r:id="rId1199"/>
    <hyperlink xmlns:r="http://schemas.openxmlformats.org/officeDocument/2006/relationships" ref="J1202" r:id="rId1200"/>
    <hyperlink xmlns:r="http://schemas.openxmlformats.org/officeDocument/2006/relationships" ref="J1203" r:id="rId1201"/>
    <hyperlink xmlns:r="http://schemas.openxmlformats.org/officeDocument/2006/relationships" ref="J1204" r:id="rId1202"/>
    <hyperlink xmlns:r="http://schemas.openxmlformats.org/officeDocument/2006/relationships" ref="J1205" r:id="rId1203"/>
    <hyperlink xmlns:r="http://schemas.openxmlformats.org/officeDocument/2006/relationships" ref="J1206" r:id="rId1204"/>
    <hyperlink xmlns:r="http://schemas.openxmlformats.org/officeDocument/2006/relationships" ref="J1207" r:id="rId1205"/>
    <hyperlink xmlns:r="http://schemas.openxmlformats.org/officeDocument/2006/relationships" ref="J1208" r:id="rId1206"/>
    <hyperlink xmlns:r="http://schemas.openxmlformats.org/officeDocument/2006/relationships" ref="J1209" r:id="rId1207"/>
    <hyperlink xmlns:r="http://schemas.openxmlformats.org/officeDocument/2006/relationships" ref="J1210" r:id="rId1208"/>
    <hyperlink xmlns:r="http://schemas.openxmlformats.org/officeDocument/2006/relationships" ref="J1211" r:id="rId1209"/>
    <hyperlink xmlns:r="http://schemas.openxmlformats.org/officeDocument/2006/relationships" ref="J1212" r:id="rId1210"/>
    <hyperlink xmlns:r="http://schemas.openxmlformats.org/officeDocument/2006/relationships" ref="J1213" r:id="rId1211"/>
    <hyperlink xmlns:r="http://schemas.openxmlformats.org/officeDocument/2006/relationships" ref="J1214" r:id="rId1212"/>
    <hyperlink xmlns:r="http://schemas.openxmlformats.org/officeDocument/2006/relationships" ref="J1215" r:id="rId1213"/>
    <hyperlink xmlns:r="http://schemas.openxmlformats.org/officeDocument/2006/relationships" ref="J1216" r:id="rId1214"/>
    <hyperlink xmlns:r="http://schemas.openxmlformats.org/officeDocument/2006/relationships" ref="J1217" r:id="rId1215"/>
    <hyperlink xmlns:r="http://schemas.openxmlformats.org/officeDocument/2006/relationships" ref="J1218" r:id="rId1216"/>
    <hyperlink xmlns:r="http://schemas.openxmlformats.org/officeDocument/2006/relationships" ref="J1219" r:id="rId1217"/>
    <hyperlink xmlns:r="http://schemas.openxmlformats.org/officeDocument/2006/relationships" ref="J1220" r:id="rId1218"/>
    <hyperlink xmlns:r="http://schemas.openxmlformats.org/officeDocument/2006/relationships" ref="J1221" r:id="rId1219"/>
    <hyperlink xmlns:r="http://schemas.openxmlformats.org/officeDocument/2006/relationships" ref="J1222" r:id="rId1220"/>
    <hyperlink xmlns:r="http://schemas.openxmlformats.org/officeDocument/2006/relationships" ref="J1223" r:id="rId1221"/>
    <hyperlink xmlns:r="http://schemas.openxmlformats.org/officeDocument/2006/relationships" ref="J1224" r:id="rId1222"/>
    <hyperlink xmlns:r="http://schemas.openxmlformats.org/officeDocument/2006/relationships" ref="J1225" r:id="rId1223"/>
    <hyperlink xmlns:r="http://schemas.openxmlformats.org/officeDocument/2006/relationships" ref="J1226" r:id="rId1224"/>
    <hyperlink xmlns:r="http://schemas.openxmlformats.org/officeDocument/2006/relationships" ref="J1227" r:id="rId1225"/>
    <hyperlink xmlns:r="http://schemas.openxmlformats.org/officeDocument/2006/relationships" ref="J1228" r:id="rId1226"/>
    <hyperlink xmlns:r="http://schemas.openxmlformats.org/officeDocument/2006/relationships" ref="J1229" r:id="rId1227"/>
    <hyperlink xmlns:r="http://schemas.openxmlformats.org/officeDocument/2006/relationships" ref="J1230" r:id="rId1228"/>
    <hyperlink xmlns:r="http://schemas.openxmlformats.org/officeDocument/2006/relationships" ref="J1231" r:id="rId1229"/>
    <hyperlink xmlns:r="http://schemas.openxmlformats.org/officeDocument/2006/relationships" ref="J1232" r:id="rId1230"/>
    <hyperlink xmlns:r="http://schemas.openxmlformats.org/officeDocument/2006/relationships" ref="J1233" r:id="rId1231"/>
    <hyperlink xmlns:r="http://schemas.openxmlformats.org/officeDocument/2006/relationships" ref="J1234" r:id="rId1232"/>
    <hyperlink xmlns:r="http://schemas.openxmlformats.org/officeDocument/2006/relationships" ref="J1235" r:id="rId1233"/>
    <hyperlink xmlns:r="http://schemas.openxmlformats.org/officeDocument/2006/relationships" ref="J1236" r:id="rId1234"/>
    <hyperlink xmlns:r="http://schemas.openxmlformats.org/officeDocument/2006/relationships" ref="J1237" r:id="rId1235"/>
    <hyperlink xmlns:r="http://schemas.openxmlformats.org/officeDocument/2006/relationships" ref="J1238" r:id="rId1236"/>
    <hyperlink xmlns:r="http://schemas.openxmlformats.org/officeDocument/2006/relationships" ref="J1239" r:id="rId1237"/>
    <hyperlink xmlns:r="http://schemas.openxmlformats.org/officeDocument/2006/relationships" ref="J1240" r:id="rId1238"/>
    <hyperlink xmlns:r="http://schemas.openxmlformats.org/officeDocument/2006/relationships" ref="J1241" r:id="rId1239"/>
    <hyperlink xmlns:r="http://schemas.openxmlformats.org/officeDocument/2006/relationships" ref="J1242" r:id="rId1240"/>
    <hyperlink xmlns:r="http://schemas.openxmlformats.org/officeDocument/2006/relationships" ref="J1243" r:id="rId1241"/>
    <hyperlink xmlns:r="http://schemas.openxmlformats.org/officeDocument/2006/relationships" ref="J1244" r:id="rId1242"/>
    <hyperlink xmlns:r="http://schemas.openxmlformats.org/officeDocument/2006/relationships" ref="J1245" r:id="rId1243"/>
    <hyperlink xmlns:r="http://schemas.openxmlformats.org/officeDocument/2006/relationships" ref="J1246" r:id="rId1244"/>
    <hyperlink xmlns:r="http://schemas.openxmlformats.org/officeDocument/2006/relationships" ref="J1247" r:id="rId1245"/>
    <hyperlink xmlns:r="http://schemas.openxmlformats.org/officeDocument/2006/relationships" ref="J1248" r:id="rId1246"/>
    <hyperlink xmlns:r="http://schemas.openxmlformats.org/officeDocument/2006/relationships" ref="J1249" r:id="rId1247"/>
    <hyperlink xmlns:r="http://schemas.openxmlformats.org/officeDocument/2006/relationships" ref="J1250" r:id="rId1248"/>
    <hyperlink xmlns:r="http://schemas.openxmlformats.org/officeDocument/2006/relationships" ref="J1251" r:id="rId1249"/>
    <hyperlink xmlns:r="http://schemas.openxmlformats.org/officeDocument/2006/relationships" ref="J1252" r:id="rId1250"/>
    <hyperlink xmlns:r="http://schemas.openxmlformats.org/officeDocument/2006/relationships" ref="J1253" r:id="rId1251"/>
    <hyperlink xmlns:r="http://schemas.openxmlformats.org/officeDocument/2006/relationships" ref="J1254" r:id="rId1252"/>
    <hyperlink xmlns:r="http://schemas.openxmlformats.org/officeDocument/2006/relationships" ref="J1255" r:id="rId1253"/>
    <hyperlink xmlns:r="http://schemas.openxmlformats.org/officeDocument/2006/relationships" ref="J1256" r:id="rId1254"/>
    <hyperlink xmlns:r="http://schemas.openxmlformats.org/officeDocument/2006/relationships" ref="J1257" r:id="rId1255"/>
    <hyperlink xmlns:r="http://schemas.openxmlformats.org/officeDocument/2006/relationships" ref="J1258" r:id="rId1256"/>
    <hyperlink xmlns:r="http://schemas.openxmlformats.org/officeDocument/2006/relationships" ref="J1259" r:id="rId1257"/>
    <hyperlink xmlns:r="http://schemas.openxmlformats.org/officeDocument/2006/relationships" ref="J1260" r:id="rId1258"/>
    <hyperlink xmlns:r="http://schemas.openxmlformats.org/officeDocument/2006/relationships" ref="J1261" r:id="rId1259"/>
    <hyperlink xmlns:r="http://schemas.openxmlformats.org/officeDocument/2006/relationships" ref="J1262" r:id="rId1260"/>
    <hyperlink xmlns:r="http://schemas.openxmlformats.org/officeDocument/2006/relationships" ref="J1263" r:id="rId1261"/>
    <hyperlink xmlns:r="http://schemas.openxmlformats.org/officeDocument/2006/relationships" ref="J1264" r:id="rId1262"/>
    <hyperlink xmlns:r="http://schemas.openxmlformats.org/officeDocument/2006/relationships" ref="J1265" r:id="rId1263"/>
    <hyperlink xmlns:r="http://schemas.openxmlformats.org/officeDocument/2006/relationships" ref="J1266" r:id="rId1264"/>
    <hyperlink xmlns:r="http://schemas.openxmlformats.org/officeDocument/2006/relationships" ref="J1267" r:id="rId1265"/>
    <hyperlink xmlns:r="http://schemas.openxmlformats.org/officeDocument/2006/relationships" ref="J1268" r:id="rId1266"/>
    <hyperlink xmlns:r="http://schemas.openxmlformats.org/officeDocument/2006/relationships" ref="J1269" r:id="rId1267"/>
    <hyperlink xmlns:r="http://schemas.openxmlformats.org/officeDocument/2006/relationships" ref="J1270" r:id="rId1268"/>
    <hyperlink xmlns:r="http://schemas.openxmlformats.org/officeDocument/2006/relationships" ref="J1271" r:id="rId1269"/>
    <hyperlink xmlns:r="http://schemas.openxmlformats.org/officeDocument/2006/relationships" ref="J1272" r:id="rId1270"/>
    <hyperlink xmlns:r="http://schemas.openxmlformats.org/officeDocument/2006/relationships" ref="J1273" r:id="rId1271"/>
    <hyperlink xmlns:r="http://schemas.openxmlformats.org/officeDocument/2006/relationships" ref="J1274" r:id="rId1272"/>
    <hyperlink xmlns:r="http://schemas.openxmlformats.org/officeDocument/2006/relationships" ref="J1275" r:id="rId1273"/>
    <hyperlink xmlns:r="http://schemas.openxmlformats.org/officeDocument/2006/relationships" ref="J1276" r:id="rId1274"/>
    <hyperlink xmlns:r="http://schemas.openxmlformats.org/officeDocument/2006/relationships" ref="J1277" r:id="rId1275"/>
    <hyperlink xmlns:r="http://schemas.openxmlformats.org/officeDocument/2006/relationships" ref="J1278" r:id="rId1276"/>
    <hyperlink xmlns:r="http://schemas.openxmlformats.org/officeDocument/2006/relationships" ref="J1279" r:id="rId1277"/>
    <hyperlink xmlns:r="http://schemas.openxmlformats.org/officeDocument/2006/relationships" ref="J1280" r:id="rId1278"/>
    <hyperlink xmlns:r="http://schemas.openxmlformats.org/officeDocument/2006/relationships" ref="J1281" r:id="rId1279"/>
    <hyperlink xmlns:r="http://schemas.openxmlformats.org/officeDocument/2006/relationships" ref="J1282" r:id="rId1280"/>
    <hyperlink xmlns:r="http://schemas.openxmlformats.org/officeDocument/2006/relationships" ref="J1283" r:id="rId1281"/>
    <hyperlink xmlns:r="http://schemas.openxmlformats.org/officeDocument/2006/relationships" ref="J1284" r:id="rId1282"/>
    <hyperlink xmlns:r="http://schemas.openxmlformats.org/officeDocument/2006/relationships" ref="J1285" r:id="rId1283"/>
    <hyperlink xmlns:r="http://schemas.openxmlformats.org/officeDocument/2006/relationships" ref="J1286" r:id="rId1284"/>
    <hyperlink xmlns:r="http://schemas.openxmlformats.org/officeDocument/2006/relationships" ref="J1287" r:id="rId1285"/>
    <hyperlink xmlns:r="http://schemas.openxmlformats.org/officeDocument/2006/relationships" ref="J1288" r:id="rId1286"/>
    <hyperlink xmlns:r="http://schemas.openxmlformats.org/officeDocument/2006/relationships" ref="J1289" r:id="rId1287"/>
    <hyperlink xmlns:r="http://schemas.openxmlformats.org/officeDocument/2006/relationships" ref="J1290" r:id="rId1288"/>
    <hyperlink xmlns:r="http://schemas.openxmlformats.org/officeDocument/2006/relationships" ref="J1291" r:id="rId1289"/>
    <hyperlink xmlns:r="http://schemas.openxmlformats.org/officeDocument/2006/relationships" ref="J1292" r:id="rId1290"/>
    <hyperlink xmlns:r="http://schemas.openxmlformats.org/officeDocument/2006/relationships" ref="J1293" r:id="rId1291"/>
    <hyperlink xmlns:r="http://schemas.openxmlformats.org/officeDocument/2006/relationships" ref="J1294" r:id="rId1292"/>
    <hyperlink xmlns:r="http://schemas.openxmlformats.org/officeDocument/2006/relationships" ref="J1295" r:id="rId1293"/>
    <hyperlink xmlns:r="http://schemas.openxmlformats.org/officeDocument/2006/relationships" ref="J1296" r:id="rId1294"/>
    <hyperlink xmlns:r="http://schemas.openxmlformats.org/officeDocument/2006/relationships" ref="J1297" r:id="rId1295"/>
    <hyperlink xmlns:r="http://schemas.openxmlformats.org/officeDocument/2006/relationships" ref="J1298" r:id="rId1296"/>
    <hyperlink xmlns:r="http://schemas.openxmlformats.org/officeDocument/2006/relationships" ref="J1299" r:id="rId1297"/>
    <hyperlink xmlns:r="http://schemas.openxmlformats.org/officeDocument/2006/relationships" ref="J1300" r:id="rId1298"/>
    <hyperlink xmlns:r="http://schemas.openxmlformats.org/officeDocument/2006/relationships" ref="J1301" r:id="rId1299"/>
    <hyperlink xmlns:r="http://schemas.openxmlformats.org/officeDocument/2006/relationships" ref="J1302" r:id="rId1300"/>
    <hyperlink xmlns:r="http://schemas.openxmlformats.org/officeDocument/2006/relationships" ref="J1303" r:id="rId1301"/>
    <hyperlink xmlns:r="http://schemas.openxmlformats.org/officeDocument/2006/relationships" ref="J1304" r:id="rId1302"/>
    <hyperlink xmlns:r="http://schemas.openxmlformats.org/officeDocument/2006/relationships" ref="J1305" r:id="rId1303"/>
    <hyperlink xmlns:r="http://schemas.openxmlformats.org/officeDocument/2006/relationships" ref="J1306" r:id="rId1304"/>
    <hyperlink xmlns:r="http://schemas.openxmlformats.org/officeDocument/2006/relationships" ref="J1307" r:id="rId1305"/>
    <hyperlink xmlns:r="http://schemas.openxmlformats.org/officeDocument/2006/relationships" ref="J1308" r:id="rId1306"/>
    <hyperlink xmlns:r="http://schemas.openxmlformats.org/officeDocument/2006/relationships" ref="J1309" r:id="rId1307"/>
    <hyperlink xmlns:r="http://schemas.openxmlformats.org/officeDocument/2006/relationships" ref="J1310" r:id="rId1308"/>
    <hyperlink xmlns:r="http://schemas.openxmlformats.org/officeDocument/2006/relationships" ref="J1311" r:id="rId1309"/>
    <hyperlink xmlns:r="http://schemas.openxmlformats.org/officeDocument/2006/relationships" ref="J1312" r:id="rId1310"/>
    <hyperlink xmlns:r="http://schemas.openxmlformats.org/officeDocument/2006/relationships" ref="J1313" r:id="rId1311"/>
    <hyperlink xmlns:r="http://schemas.openxmlformats.org/officeDocument/2006/relationships" ref="J1314" r:id="rId1312"/>
    <hyperlink xmlns:r="http://schemas.openxmlformats.org/officeDocument/2006/relationships" ref="J1315" r:id="rId1313"/>
    <hyperlink xmlns:r="http://schemas.openxmlformats.org/officeDocument/2006/relationships" ref="J1316" r:id="rId1314"/>
    <hyperlink xmlns:r="http://schemas.openxmlformats.org/officeDocument/2006/relationships" ref="J1317" r:id="rId1315"/>
    <hyperlink xmlns:r="http://schemas.openxmlformats.org/officeDocument/2006/relationships" ref="J1318" r:id="rId1316"/>
    <hyperlink xmlns:r="http://schemas.openxmlformats.org/officeDocument/2006/relationships" ref="J1319" r:id="rId1317"/>
    <hyperlink xmlns:r="http://schemas.openxmlformats.org/officeDocument/2006/relationships" ref="J1320" r:id="rId1318"/>
    <hyperlink xmlns:r="http://schemas.openxmlformats.org/officeDocument/2006/relationships" ref="J1321" r:id="rId1319"/>
    <hyperlink xmlns:r="http://schemas.openxmlformats.org/officeDocument/2006/relationships" ref="J1322" r:id="rId1320"/>
    <hyperlink xmlns:r="http://schemas.openxmlformats.org/officeDocument/2006/relationships" ref="J1323" r:id="rId1321"/>
    <hyperlink xmlns:r="http://schemas.openxmlformats.org/officeDocument/2006/relationships" ref="J1324" r:id="rId1322"/>
    <hyperlink xmlns:r="http://schemas.openxmlformats.org/officeDocument/2006/relationships" ref="J1325" r:id="rId1323"/>
    <hyperlink xmlns:r="http://schemas.openxmlformats.org/officeDocument/2006/relationships" ref="J1326" r:id="rId1324"/>
    <hyperlink xmlns:r="http://schemas.openxmlformats.org/officeDocument/2006/relationships" ref="J1327" r:id="rId1325"/>
    <hyperlink xmlns:r="http://schemas.openxmlformats.org/officeDocument/2006/relationships" ref="J1328" r:id="rId1326"/>
    <hyperlink xmlns:r="http://schemas.openxmlformats.org/officeDocument/2006/relationships" ref="J1329" r:id="rId1327"/>
    <hyperlink xmlns:r="http://schemas.openxmlformats.org/officeDocument/2006/relationships" ref="J1330" r:id="rId1328"/>
    <hyperlink xmlns:r="http://schemas.openxmlformats.org/officeDocument/2006/relationships" ref="J1331" r:id="rId1329"/>
    <hyperlink xmlns:r="http://schemas.openxmlformats.org/officeDocument/2006/relationships" ref="J1332" r:id="rId1330"/>
    <hyperlink xmlns:r="http://schemas.openxmlformats.org/officeDocument/2006/relationships" ref="J1333" r:id="rId1331"/>
    <hyperlink xmlns:r="http://schemas.openxmlformats.org/officeDocument/2006/relationships" ref="J1334" r:id="rId1332"/>
    <hyperlink xmlns:r="http://schemas.openxmlformats.org/officeDocument/2006/relationships" ref="J1335" r:id="rId1333"/>
    <hyperlink xmlns:r="http://schemas.openxmlformats.org/officeDocument/2006/relationships" ref="J1336" r:id="rId1334"/>
    <hyperlink xmlns:r="http://schemas.openxmlformats.org/officeDocument/2006/relationships" ref="J1337" r:id="rId1335"/>
    <hyperlink xmlns:r="http://schemas.openxmlformats.org/officeDocument/2006/relationships" ref="J1338" r:id="rId1336"/>
    <hyperlink xmlns:r="http://schemas.openxmlformats.org/officeDocument/2006/relationships" ref="J1339" r:id="rId1337"/>
    <hyperlink xmlns:r="http://schemas.openxmlformats.org/officeDocument/2006/relationships" ref="J1340" r:id="rId1338"/>
    <hyperlink xmlns:r="http://schemas.openxmlformats.org/officeDocument/2006/relationships" ref="J1341" r:id="rId1339"/>
    <hyperlink xmlns:r="http://schemas.openxmlformats.org/officeDocument/2006/relationships" ref="J1342" r:id="rId1340"/>
    <hyperlink xmlns:r="http://schemas.openxmlformats.org/officeDocument/2006/relationships" ref="J1343" r:id="rId1341"/>
    <hyperlink xmlns:r="http://schemas.openxmlformats.org/officeDocument/2006/relationships" ref="J1344" r:id="rId1342"/>
    <hyperlink xmlns:r="http://schemas.openxmlformats.org/officeDocument/2006/relationships" ref="J1345" r:id="rId1343"/>
    <hyperlink xmlns:r="http://schemas.openxmlformats.org/officeDocument/2006/relationships" ref="J1346" r:id="rId1344"/>
    <hyperlink xmlns:r="http://schemas.openxmlformats.org/officeDocument/2006/relationships" ref="J1347" r:id="rId1345"/>
    <hyperlink xmlns:r="http://schemas.openxmlformats.org/officeDocument/2006/relationships" ref="J1348" r:id="rId1346"/>
    <hyperlink xmlns:r="http://schemas.openxmlformats.org/officeDocument/2006/relationships" ref="J1349" r:id="rId1347"/>
    <hyperlink xmlns:r="http://schemas.openxmlformats.org/officeDocument/2006/relationships" ref="J1350" r:id="rId1348"/>
    <hyperlink xmlns:r="http://schemas.openxmlformats.org/officeDocument/2006/relationships" ref="J1351" r:id="rId1349"/>
    <hyperlink xmlns:r="http://schemas.openxmlformats.org/officeDocument/2006/relationships" ref="J1352" r:id="rId1350"/>
    <hyperlink xmlns:r="http://schemas.openxmlformats.org/officeDocument/2006/relationships" ref="J1353" r:id="rId1351"/>
    <hyperlink xmlns:r="http://schemas.openxmlformats.org/officeDocument/2006/relationships" ref="J1354" r:id="rId1352"/>
    <hyperlink xmlns:r="http://schemas.openxmlformats.org/officeDocument/2006/relationships" ref="J1355" r:id="rId1353"/>
    <hyperlink xmlns:r="http://schemas.openxmlformats.org/officeDocument/2006/relationships" ref="J1356" r:id="rId1354"/>
    <hyperlink xmlns:r="http://schemas.openxmlformats.org/officeDocument/2006/relationships" ref="J1357" r:id="rId1355"/>
    <hyperlink xmlns:r="http://schemas.openxmlformats.org/officeDocument/2006/relationships" ref="J1358" r:id="rId1356"/>
    <hyperlink xmlns:r="http://schemas.openxmlformats.org/officeDocument/2006/relationships" ref="J1359" r:id="rId1357"/>
    <hyperlink xmlns:r="http://schemas.openxmlformats.org/officeDocument/2006/relationships" ref="J1360" r:id="rId1358"/>
    <hyperlink xmlns:r="http://schemas.openxmlformats.org/officeDocument/2006/relationships" ref="J1361" r:id="rId1359"/>
    <hyperlink xmlns:r="http://schemas.openxmlformats.org/officeDocument/2006/relationships" ref="J1362" r:id="rId1360"/>
    <hyperlink xmlns:r="http://schemas.openxmlformats.org/officeDocument/2006/relationships" ref="J1363" r:id="rId1361"/>
    <hyperlink xmlns:r="http://schemas.openxmlformats.org/officeDocument/2006/relationships" ref="J1364" r:id="rId1362"/>
    <hyperlink xmlns:r="http://schemas.openxmlformats.org/officeDocument/2006/relationships" ref="J1365" r:id="rId1363"/>
    <hyperlink xmlns:r="http://schemas.openxmlformats.org/officeDocument/2006/relationships" ref="J1366" r:id="rId1364"/>
    <hyperlink xmlns:r="http://schemas.openxmlformats.org/officeDocument/2006/relationships" ref="J1367" r:id="rId1365"/>
    <hyperlink xmlns:r="http://schemas.openxmlformats.org/officeDocument/2006/relationships" ref="J1368" r:id="rId1366"/>
    <hyperlink xmlns:r="http://schemas.openxmlformats.org/officeDocument/2006/relationships" ref="J1369" r:id="rId1367"/>
    <hyperlink xmlns:r="http://schemas.openxmlformats.org/officeDocument/2006/relationships" ref="J1370" r:id="rId1368"/>
    <hyperlink xmlns:r="http://schemas.openxmlformats.org/officeDocument/2006/relationships" ref="J1371" r:id="rId1369"/>
    <hyperlink xmlns:r="http://schemas.openxmlformats.org/officeDocument/2006/relationships" ref="J1372" r:id="rId1370"/>
    <hyperlink xmlns:r="http://schemas.openxmlformats.org/officeDocument/2006/relationships" ref="J1373" r:id="rId1371"/>
    <hyperlink xmlns:r="http://schemas.openxmlformats.org/officeDocument/2006/relationships" ref="J1374" r:id="rId1372"/>
    <hyperlink xmlns:r="http://schemas.openxmlformats.org/officeDocument/2006/relationships" ref="J1375" r:id="rId1373"/>
    <hyperlink xmlns:r="http://schemas.openxmlformats.org/officeDocument/2006/relationships" ref="J1376" r:id="rId1374"/>
    <hyperlink xmlns:r="http://schemas.openxmlformats.org/officeDocument/2006/relationships" ref="J1377" r:id="rId1375"/>
    <hyperlink xmlns:r="http://schemas.openxmlformats.org/officeDocument/2006/relationships" ref="J1378" r:id="rId1376"/>
    <hyperlink xmlns:r="http://schemas.openxmlformats.org/officeDocument/2006/relationships" ref="J1379" r:id="rId1377"/>
    <hyperlink xmlns:r="http://schemas.openxmlformats.org/officeDocument/2006/relationships" ref="J1380" r:id="rId1378"/>
    <hyperlink xmlns:r="http://schemas.openxmlformats.org/officeDocument/2006/relationships" ref="J1381" r:id="rId1379"/>
    <hyperlink xmlns:r="http://schemas.openxmlformats.org/officeDocument/2006/relationships" ref="J1382" r:id="rId1380"/>
    <hyperlink xmlns:r="http://schemas.openxmlformats.org/officeDocument/2006/relationships" ref="J1383" r:id="rId1381"/>
    <hyperlink xmlns:r="http://schemas.openxmlformats.org/officeDocument/2006/relationships" ref="J1384" r:id="rId1382"/>
    <hyperlink xmlns:r="http://schemas.openxmlformats.org/officeDocument/2006/relationships" ref="J1385" r:id="rId1383"/>
    <hyperlink xmlns:r="http://schemas.openxmlformats.org/officeDocument/2006/relationships" ref="J1386" r:id="rId1384"/>
    <hyperlink xmlns:r="http://schemas.openxmlformats.org/officeDocument/2006/relationships" ref="J1387" r:id="rId1385"/>
    <hyperlink xmlns:r="http://schemas.openxmlformats.org/officeDocument/2006/relationships" ref="J1388" r:id="rId1386"/>
    <hyperlink xmlns:r="http://schemas.openxmlformats.org/officeDocument/2006/relationships" ref="J1389" r:id="rId1387"/>
    <hyperlink xmlns:r="http://schemas.openxmlformats.org/officeDocument/2006/relationships" ref="J1390" r:id="rId1388"/>
    <hyperlink xmlns:r="http://schemas.openxmlformats.org/officeDocument/2006/relationships" ref="J1391" r:id="rId1389"/>
    <hyperlink xmlns:r="http://schemas.openxmlformats.org/officeDocument/2006/relationships" ref="J1392" r:id="rId1390"/>
    <hyperlink xmlns:r="http://schemas.openxmlformats.org/officeDocument/2006/relationships" ref="J1393" r:id="rId1391"/>
    <hyperlink xmlns:r="http://schemas.openxmlformats.org/officeDocument/2006/relationships" ref="J1394" r:id="rId1392"/>
    <hyperlink xmlns:r="http://schemas.openxmlformats.org/officeDocument/2006/relationships" ref="J1395" r:id="rId1393"/>
    <hyperlink xmlns:r="http://schemas.openxmlformats.org/officeDocument/2006/relationships" ref="J1396" r:id="rId1394"/>
    <hyperlink xmlns:r="http://schemas.openxmlformats.org/officeDocument/2006/relationships" ref="J1397" r:id="rId1395"/>
    <hyperlink xmlns:r="http://schemas.openxmlformats.org/officeDocument/2006/relationships" ref="J1398" r:id="rId1396"/>
    <hyperlink xmlns:r="http://schemas.openxmlformats.org/officeDocument/2006/relationships" ref="J1399" r:id="rId1397"/>
    <hyperlink xmlns:r="http://schemas.openxmlformats.org/officeDocument/2006/relationships" ref="J1400" r:id="rId1398"/>
    <hyperlink xmlns:r="http://schemas.openxmlformats.org/officeDocument/2006/relationships" ref="J1401" r:id="rId1399"/>
    <hyperlink xmlns:r="http://schemas.openxmlformats.org/officeDocument/2006/relationships" ref="J1402" r:id="rId1400"/>
    <hyperlink xmlns:r="http://schemas.openxmlformats.org/officeDocument/2006/relationships" ref="J1403" r:id="rId1401"/>
    <hyperlink xmlns:r="http://schemas.openxmlformats.org/officeDocument/2006/relationships" ref="J1404" r:id="rId1402"/>
    <hyperlink xmlns:r="http://schemas.openxmlformats.org/officeDocument/2006/relationships" ref="J1405" r:id="rId1403"/>
    <hyperlink xmlns:r="http://schemas.openxmlformats.org/officeDocument/2006/relationships" ref="J1406" r:id="rId1404"/>
    <hyperlink xmlns:r="http://schemas.openxmlformats.org/officeDocument/2006/relationships" ref="J1407" r:id="rId1405"/>
    <hyperlink xmlns:r="http://schemas.openxmlformats.org/officeDocument/2006/relationships" ref="J1408" r:id="rId1406"/>
    <hyperlink xmlns:r="http://schemas.openxmlformats.org/officeDocument/2006/relationships" ref="J1409" r:id="rId1407"/>
    <hyperlink xmlns:r="http://schemas.openxmlformats.org/officeDocument/2006/relationships" ref="J1410" r:id="rId1408"/>
    <hyperlink xmlns:r="http://schemas.openxmlformats.org/officeDocument/2006/relationships" ref="J1411" r:id="rId1409"/>
    <hyperlink xmlns:r="http://schemas.openxmlformats.org/officeDocument/2006/relationships" ref="J1412" r:id="rId1410"/>
    <hyperlink xmlns:r="http://schemas.openxmlformats.org/officeDocument/2006/relationships" ref="J1413" r:id="rId1411"/>
    <hyperlink xmlns:r="http://schemas.openxmlformats.org/officeDocument/2006/relationships" ref="J1414" r:id="rId1412"/>
    <hyperlink xmlns:r="http://schemas.openxmlformats.org/officeDocument/2006/relationships" ref="J1415" r:id="rId1413"/>
    <hyperlink xmlns:r="http://schemas.openxmlformats.org/officeDocument/2006/relationships" ref="J1416" r:id="rId1414"/>
    <hyperlink xmlns:r="http://schemas.openxmlformats.org/officeDocument/2006/relationships" ref="J1417" r:id="rId1415"/>
    <hyperlink xmlns:r="http://schemas.openxmlformats.org/officeDocument/2006/relationships" ref="J1418" r:id="rId1416"/>
    <hyperlink xmlns:r="http://schemas.openxmlformats.org/officeDocument/2006/relationships" ref="J1419" r:id="rId1417"/>
    <hyperlink xmlns:r="http://schemas.openxmlformats.org/officeDocument/2006/relationships" ref="J1420" r:id="rId1418"/>
    <hyperlink xmlns:r="http://schemas.openxmlformats.org/officeDocument/2006/relationships" ref="J1421" r:id="rId1419"/>
    <hyperlink xmlns:r="http://schemas.openxmlformats.org/officeDocument/2006/relationships" ref="J1422" r:id="rId1420"/>
    <hyperlink xmlns:r="http://schemas.openxmlformats.org/officeDocument/2006/relationships" ref="J1423" r:id="rId1421"/>
    <hyperlink xmlns:r="http://schemas.openxmlformats.org/officeDocument/2006/relationships" ref="J1424" r:id="rId1422"/>
    <hyperlink xmlns:r="http://schemas.openxmlformats.org/officeDocument/2006/relationships" ref="J1425" r:id="rId1423"/>
    <hyperlink xmlns:r="http://schemas.openxmlformats.org/officeDocument/2006/relationships" ref="J1426" r:id="rId1424"/>
    <hyperlink xmlns:r="http://schemas.openxmlformats.org/officeDocument/2006/relationships" ref="J1427" r:id="rId1425"/>
    <hyperlink xmlns:r="http://schemas.openxmlformats.org/officeDocument/2006/relationships" ref="J1428" r:id="rId1426"/>
    <hyperlink xmlns:r="http://schemas.openxmlformats.org/officeDocument/2006/relationships" ref="J1429" r:id="rId1427"/>
    <hyperlink xmlns:r="http://schemas.openxmlformats.org/officeDocument/2006/relationships" ref="J1430" r:id="rId1428"/>
    <hyperlink xmlns:r="http://schemas.openxmlformats.org/officeDocument/2006/relationships" ref="J1431" r:id="rId1429"/>
    <hyperlink xmlns:r="http://schemas.openxmlformats.org/officeDocument/2006/relationships" ref="J1432" r:id="rId1430"/>
    <hyperlink xmlns:r="http://schemas.openxmlformats.org/officeDocument/2006/relationships" ref="J1433" r:id="rId1431"/>
    <hyperlink xmlns:r="http://schemas.openxmlformats.org/officeDocument/2006/relationships" ref="J1434" r:id="rId1432"/>
    <hyperlink xmlns:r="http://schemas.openxmlformats.org/officeDocument/2006/relationships" ref="J1435" r:id="rId1433"/>
    <hyperlink xmlns:r="http://schemas.openxmlformats.org/officeDocument/2006/relationships" ref="J1436" r:id="rId1434"/>
    <hyperlink xmlns:r="http://schemas.openxmlformats.org/officeDocument/2006/relationships" ref="J1437" r:id="rId1435"/>
    <hyperlink xmlns:r="http://schemas.openxmlformats.org/officeDocument/2006/relationships" ref="J1438" r:id="rId1436"/>
    <hyperlink xmlns:r="http://schemas.openxmlformats.org/officeDocument/2006/relationships" ref="J1439" r:id="rId1437"/>
    <hyperlink xmlns:r="http://schemas.openxmlformats.org/officeDocument/2006/relationships" ref="J1440" r:id="rId1438"/>
    <hyperlink xmlns:r="http://schemas.openxmlformats.org/officeDocument/2006/relationships" ref="J1441" r:id="rId1439"/>
    <hyperlink xmlns:r="http://schemas.openxmlformats.org/officeDocument/2006/relationships" ref="J1442" r:id="rId1440"/>
    <hyperlink xmlns:r="http://schemas.openxmlformats.org/officeDocument/2006/relationships" ref="J1443" r:id="rId1441"/>
    <hyperlink xmlns:r="http://schemas.openxmlformats.org/officeDocument/2006/relationships" ref="J1444" r:id="rId1442"/>
    <hyperlink xmlns:r="http://schemas.openxmlformats.org/officeDocument/2006/relationships" ref="J1445" r:id="rId1443"/>
    <hyperlink xmlns:r="http://schemas.openxmlformats.org/officeDocument/2006/relationships" ref="J1446" r:id="rId1444"/>
    <hyperlink xmlns:r="http://schemas.openxmlformats.org/officeDocument/2006/relationships" ref="J1447" r:id="rId1445"/>
    <hyperlink xmlns:r="http://schemas.openxmlformats.org/officeDocument/2006/relationships" ref="J1448" r:id="rId1446"/>
    <hyperlink xmlns:r="http://schemas.openxmlformats.org/officeDocument/2006/relationships" ref="J1449" r:id="rId1447"/>
    <hyperlink xmlns:r="http://schemas.openxmlformats.org/officeDocument/2006/relationships" ref="J1450" r:id="rId1448"/>
    <hyperlink xmlns:r="http://schemas.openxmlformats.org/officeDocument/2006/relationships" ref="J1451" r:id="rId1449"/>
    <hyperlink xmlns:r="http://schemas.openxmlformats.org/officeDocument/2006/relationships" ref="J1452" r:id="rId1450"/>
    <hyperlink xmlns:r="http://schemas.openxmlformats.org/officeDocument/2006/relationships" ref="J1453" r:id="rId1451"/>
    <hyperlink xmlns:r="http://schemas.openxmlformats.org/officeDocument/2006/relationships" ref="J1454" r:id="rId1452"/>
    <hyperlink xmlns:r="http://schemas.openxmlformats.org/officeDocument/2006/relationships" ref="J1455" r:id="rId1453"/>
    <hyperlink xmlns:r="http://schemas.openxmlformats.org/officeDocument/2006/relationships" ref="J1456" r:id="rId1454"/>
    <hyperlink xmlns:r="http://schemas.openxmlformats.org/officeDocument/2006/relationships" ref="J1457" r:id="rId1455"/>
    <hyperlink xmlns:r="http://schemas.openxmlformats.org/officeDocument/2006/relationships" ref="J1458" r:id="rId1456"/>
    <hyperlink xmlns:r="http://schemas.openxmlformats.org/officeDocument/2006/relationships" ref="J1459" r:id="rId1457"/>
    <hyperlink xmlns:r="http://schemas.openxmlformats.org/officeDocument/2006/relationships" ref="J1460" r:id="rId1458"/>
    <hyperlink xmlns:r="http://schemas.openxmlformats.org/officeDocument/2006/relationships" ref="J1461" r:id="rId1459"/>
    <hyperlink xmlns:r="http://schemas.openxmlformats.org/officeDocument/2006/relationships" ref="J1462" r:id="rId1460"/>
    <hyperlink xmlns:r="http://schemas.openxmlformats.org/officeDocument/2006/relationships" ref="J1463" r:id="rId1461"/>
    <hyperlink xmlns:r="http://schemas.openxmlformats.org/officeDocument/2006/relationships" ref="J1464" r:id="rId1462"/>
    <hyperlink xmlns:r="http://schemas.openxmlformats.org/officeDocument/2006/relationships" ref="J1465" r:id="rId1463"/>
    <hyperlink xmlns:r="http://schemas.openxmlformats.org/officeDocument/2006/relationships" ref="J1466" r:id="rId1464"/>
    <hyperlink xmlns:r="http://schemas.openxmlformats.org/officeDocument/2006/relationships" ref="J1467" r:id="rId1465"/>
    <hyperlink xmlns:r="http://schemas.openxmlformats.org/officeDocument/2006/relationships" ref="J1468" r:id="rId1466"/>
    <hyperlink xmlns:r="http://schemas.openxmlformats.org/officeDocument/2006/relationships" ref="J1469" r:id="rId1467"/>
    <hyperlink xmlns:r="http://schemas.openxmlformats.org/officeDocument/2006/relationships" ref="J1470" r:id="rId1468"/>
    <hyperlink xmlns:r="http://schemas.openxmlformats.org/officeDocument/2006/relationships" ref="J1471" r:id="rId1469"/>
    <hyperlink xmlns:r="http://schemas.openxmlformats.org/officeDocument/2006/relationships" ref="J1472" r:id="rId1470"/>
    <hyperlink xmlns:r="http://schemas.openxmlformats.org/officeDocument/2006/relationships" ref="J1473" r:id="rId1471"/>
    <hyperlink xmlns:r="http://schemas.openxmlformats.org/officeDocument/2006/relationships" ref="J1474" r:id="rId1472"/>
    <hyperlink xmlns:r="http://schemas.openxmlformats.org/officeDocument/2006/relationships" ref="J1475" r:id="rId1473"/>
    <hyperlink xmlns:r="http://schemas.openxmlformats.org/officeDocument/2006/relationships" ref="J1476" r:id="rId1474"/>
    <hyperlink xmlns:r="http://schemas.openxmlformats.org/officeDocument/2006/relationships" ref="J1477" r:id="rId1475"/>
    <hyperlink xmlns:r="http://schemas.openxmlformats.org/officeDocument/2006/relationships" ref="J1478" r:id="rId1476"/>
    <hyperlink xmlns:r="http://schemas.openxmlformats.org/officeDocument/2006/relationships" ref="J1479" r:id="rId1477"/>
    <hyperlink xmlns:r="http://schemas.openxmlformats.org/officeDocument/2006/relationships" ref="J1480" r:id="rId1478"/>
    <hyperlink xmlns:r="http://schemas.openxmlformats.org/officeDocument/2006/relationships" ref="J1481" r:id="rId1479"/>
    <hyperlink xmlns:r="http://schemas.openxmlformats.org/officeDocument/2006/relationships" ref="J1482" r:id="rId1480"/>
    <hyperlink xmlns:r="http://schemas.openxmlformats.org/officeDocument/2006/relationships" ref="J1483" r:id="rId1481"/>
    <hyperlink xmlns:r="http://schemas.openxmlformats.org/officeDocument/2006/relationships" ref="J1484" r:id="rId1482"/>
    <hyperlink xmlns:r="http://schemas.openxmlformats.org/officeDocument/2006/relationships" ref="J1485" r:id="rId1483"/>
    <hyperlink xmlns:r="http://schemas.openxmlformats.org/officeDocument/2006/relationships" ref="J1486" r:id="rId1484"/>
    <hyperlink xmlns:r="http://schemas.openxmlformats.org/officeDocument/2006/relationships" ref="J1487" r:id="rId1485"/>
    <hyperlink xmlns:r="http://schemas.openxmlformats.org/officeDocument/2006/relationships" ref="J1488" r:id="rId1486"/>
    <hyperlink xmlns:r="http://schemas.openxmlformats.org/officeDocument/2006/relationships" ref="J1489" r:id="rId1487"/>
    <hyperlink xmlns:r="http://schemas.openxmlformats.org/officeDocument/2006/relationships" ref="J1490" r:id="rId1488"/>
    <hyperlink xmlns:r="http://schemas.openxmlformats.org/officeDocument/2006/relationships" ref="J1491" r:id="rId1489"/>
    <hyperlink xmlns:r="http://schemas.openxmlformats.org/officeDocument/2006/relationships" ref="J1492" r:id="rId1490"/>
    <hyperlink xmlns:r="http://schemas.openxmlformats.org/officeDocument/2006/relationships" ref="J1493" r:id="rId1491"/>
    <hyperlink xmlns:r="http://schemas.openxmlformats.org/officeDocument/2006/relationships" ref="J1494" r:id="rId1492"/>
    <hyperlink xmlns:r="http://schemas.openxmlformats.org/officeDocument/2006/relationships" ref="J1495" r:id="rId1493"/>
    <hyperlink xmlns:r="http://schemas.openxmlformats.org/officeDocument/2006/relationships" ref="J1496" r:id="rId1494"/>
    <hyperlink xmlns:r="http://schemas.openxmlformats.org/officeDocument/2006/relationships" ref="J1497" r:id="rId1495"/>
    <hyperlink xmlns:r="http://schemas.openxmlformats.org/officeDocument/2006/relationships" ref="J1498" r:id="rId1496"/>
    <hyperlink xmlns:r="http://schemas.openxmlformats.org/officeDocument/2006/relationships" ref="J1499" r:id="rId1497"/>
    <hyperlink xmlns:r="http://schemas.openxmlformats.org/officeDocument/2006/relationships" ref="J1500" r:id="rId1498"/>
    <hyperlink xmlns:r="http://schemas.openxmlformats.org/officeDocument/2006/relationships" ref="J1501" r:id="rId1499"/>
    <hyperlink xmlns:r="http://schemas.openxmlformats.org/officeDocument/2006/relationships" ref="J1502" r:id="rId1500"/>
    <hyperlink xmlns:r="http://schemas.openxmlformats.org/officeDocument/2006/relationships" ref="J1503" r:id="rId1501"/>
    <hyperlink xmlns:r="http://schemas.openxmlformats.org/officeDocument/2006/relationships" ref="J1504" r:id="rId1502"/>
    <hyperlink xmlns:r="http://schemas.openxmlformats.org/officeDocument/2006/relationships" ref="J1505" r:id="rId1503"/>
    <hyperlink xmlns:r="http://schemas.openxmlformats.org/officeDocument/2006/relationships" ref="J1506" r:id="rId1504"/>
    <hyperlink xmlns:r="http://schemas.openxmlformats.org/officeDocument/2006/relationships" ref="J1507" r:id="rId1505"/>
    <hyperlink xmlns:r="http://schemas.openxmlformats.org/officeDocument/2006/relationships" ref="J1508" r:id="rId1506"/>
    <hyperlink xmlns:r="http://schemas.openxmlformats.org/officeDocument/2006/relationships" ref="J1509" r:id="rId1507"/>
    <hyperlink xmlns:r="http://schemas.openxmlformats.org/officeDocument/2006/relationships" ref="J1510" r:id="rId1508"/>
    <hyperlink xmlns:r="http://schemas.openxmlformats.org/officeDocument/2006/relationships" ref="J1511" r:id="rId1509"/>
    <hyperlink xmlns:r="http://schemas.openxmlformats.org/officeDocument/2006/relationships" ref="J1512" r:id="rId1510"/>
    <hyperlink xmlns:r="http://schemas.openxmlformats.org/officeDocument/2006/relationships" ref="J1513" r:id="rId1511"/>
    <hyperlink xmlns:r="http://schemas.openxmlformats.org/officeDocument/2006/relationships" ref="J1514" r:id="rId1512"/>
    <hyperlink xmlns:r="http://schemas.openxmlformats.org/officeDocument/2006/relationships" ref="J1515" r:id="rId1513"/>
    <hyperlink xmlns:r="http://schemas.openxmlformats.org/officeDocument/2006/relationships" ref="J1516" r:id="rId1514"/>
    <hyperlink xmlns:r="http://schemas.openxmlformats.org/officeDocument/2006/relationships" ref="J1517" r:id="rId1515"/>
    <hyperlink xmlns:r="http://schemas.openxmlformats.org/officeDocument/2006/relationships" ref="J1518" r:id="rId1516"/>
    <hyperlink xmlns:r="http://schemas.openxmlformats.org/officeDocument/2006/relationships" ref="J1519" r:id="rId1517"/>
    <hyperlink xmlns:r="http://schemas.openxmlformats.org/officeDocument/2006/relationships" ref="J1520" r:id="rId1518"/>
    <hyperlink xmlns:r="http://schemas.openxmlformats.org/officeDocument/2006/relationships" ref="J1521" r:id="rId1519"/>
    <hyperlink xmlns:r="http://schemas.openxmlformats.org/officeDocument/2006/relationships" ref="J1522" r:id="rId1520"/>
    <hyperlink xmlns:r="http://schemas.openxmlformats.org/officeDocument/2006/relationships" ref="J1523" r:id="rId1521"/>
    <hyperlink xmlns:r="http://schemas.openxmlformats.org/officeDocument/2006/relationships" ref="J1524" r:id="rId1522"/>
    <hyperlink xmlns:r="http://schemas.openxmlformats.org/officeDocument/2006/relationships" ref="J1525" r:id="rId1523"/>
    <hyperlink xmlns:r="http://schemas.openxmlformats.org/officeDocument/2006/relationships" ref="J1526" r:id="rId1524"/>
    <hyperlink xmlns:r="http://schemas.openxmlformats.org/officeDocument/2006/relationships" ref="J1527" r:id="rId1525"/>
    <hyperlink xmlns:r="http://schemas.openxmlformats.org/officeDocument/2006/relationships" ref="J1528" r:id="rId1526"/>
    <hyperlink xmlns:r="http://schemas.openxmlformats.org/officeDocument/2006/relationships" ref="J1529" r:id="rId1527"/>
    <hyperlink xmlns:r="http://schemas.openxmlformats.org/officeDocument/2006/relationships" ref="J1530" r:id="rId1528"/>
    <hyperlink xmlns:r="http://schemas.openxmlformats.org/officeDocument/2006/relationships" ref="J1531" r:id="rId1529"/>
    <hyperlink xmlns:r="http://schemas.openxmlformats.org/officeDocument/2006/relationships" ref="J1532" r:id="rId1530"/>
    <hyperlink xmlns:r="http://schemas.openxmlformats.org/officeDocument/2006/relationships" ref="J1533" r:id="rId1531"/>
    <hyperlink xmlns:r="http://schemas.openxmlformats.org/officeDocument/2006/relationships" ref="J1534" r:id="rId1532"/>
    <hyperlink xmlns:r="http://schemas.openxmlformats.org/officeDocument/2006/relationships" ref="J1535" r:id="rId1533"/>
    <hyperlink xmlns:r="http://schemas.openxmlformats.org/officeDocument/2006/relationships" ref="J1536" r:id="rId1534"/>
    <hyperlink xmlns:r="http://schemas.openxmlformats.org/officeDocument/2006/relationships" ref="J1537" r:id="rId1535"/>
    <hyperlink xmlns:r="http://schemas.openxmlformats.org/officeDocument/2006/relationships" ref="J1538" r:id="rId1536"/>
    <hyperlink xmlns:r="http://schemas.openxmlformats.org/officeDocument/2006/relationships" ref="J1539" r:id="rId1537"/>
    <hyperlink xmlns:r="http://schemas.openxmlformats.org/officeDocument/2006/relationships" ref="J1540" r:id="rId1538"/>
    <hyperlink xmlns:r="http://schemas.openxmlformats.org/officeDocument/2006/relationships" ref="J1541" r:id="rId1539"/>
    <hyperlink xmlns:r="http://schemas.openxmlformats.org/officeDocument/2006/relationships" ref="J1542" r:id="rId1540"/>
    <hyperlink xmlns:r="http://schemas.openxmlformats.org/officeDocument/2006/relationships" ref="J1543" r:id="rId1541"/>
    <hyperlink xmlns:r="http://schemas.openxmlformats.org/officeDocument/2006/relationships" ref="J1544" r:id="rId1542"/>
    <hyperlink xmlns:r="http://schemas.openxmlformats.org/officeDocument/2006/relationships" ref="J1545" r:id="rId1543"/>
    <hyperlink xmlns:r="http://schemas.openxmlformats.org/officeDocument/2006/relationships" ref="J1546" r:id="rId1544"/>
    <hyperlink xmlns:r="http://schemas.openxmlformats.org/officeDocument/2006/relationships" ref="J1547" r:id="rId1545"/>
    <hyperlink xmlns:r="http://schemas.openxmlformats.org/officeDocument/2006/relationships" ref="J1548" r:id="rId1546"/>
    <hyperlink xmlns:r="http://schemas.openxmlformats.org/officeDocument/2006/relationships" ref="J1549" r:id="rId1547"/>
    <hyperlink xmlns:r="http://schemas.openxmlformats.org/officeDocument/2006/relationships" ref="J1550" r:id="rId1548"/>
    <hyperlink xmlns:r="http://schemas.openxmlformats.org/officeDocument/2006/relationships" ref="J1551" r:id="rId1549"/>
    <hyperlink xmlns:r="http://schemas.openxmlformats.org/officeDocument/2006/relationships" ref="J1552" r:id="rId1550"/>
    <hyperlink xmlns:r="http://schemas.openxmlformats.org/officeDocument/2006/relationships" ref="J1553" r:id="rId1551"/>
    <hyperlink xmlns:r="http://schemas.openxmlformats.org/officeDocument/2006/relationships" ref="J1554" r:id="rId1552"/>
    <hyperlink xmlns:r="http://schemas.openxmlformats.org/officeDocument/2006/relationships" ref="J1555" r:id="rId1553"/>
    <hyperlink xmlns:r="http://schemas.openxmlformats.org/officeDocument/2006/relationships" ref="J1556" r:id="rId1554"/>
    <hyperlink xmlns:r="http://schemas.openxmlformats.org/officeDocument/2006/relationships" ref="J1557" r:id="rId1555"/>
    <hyperlink xmlns:r="http://schemas.openxmlformats.org/officeDocument/2006/relationships" ref="J1558" r:id="rId1556"/>
    <hyperlink xmlns:r="http://schemas.openxmlformats.org/officeDocument/2006/relationships" ref="J1559" r:id="rId1557"/>
    <hyperlink xmlns:r="http://schemas.openxmlformats.org/officeDocument/2006/relationships" ref="J1560" r:id="rId1558"/>
    <hyperlink xmlns:r="http://schemas.openxmlformats.org/officeDocument/2006/relationships" ref="J1561" r:id="rId1559"/>
    <hyperlink xmlns:r="http://schemas.openxmlformats.org/officeDocument/2006/relationships" ref="J1562" r:id="rId1560"/>
    <hyperlink xmlns:r="http://schemas.openxmlformats.org/officeDocument/2006/relationships" ref="J1563" r:id="rId1561"/>
    <hyperlink xmlns:r="http://schemas.openxmlformats.org/officeDocument/2006/relationships" ref="J1564" r:id="rId1562"/>
    <hyperlink xmlns:r="http://schemas.openxmlformats.org/officeDocument/2006/relationships" ref="J1565" r:id="rId1563"/>
    <hyperlink xmlns:r="http://schemas.openxmlformats.org/officeDocument/2006/relationships" ref="J1566" r:id="rId1564"/>
    <hyperlink xmlns:r="http://schemas.openxmlformats.org/officeDocument/2006/relationships" ref="J1567" r:id="rId1565"/>
    <hyperlink xmlns:r="http://schemas.openxmlformats.org/officeDocument/2006/relationships" ref="J1568" r:id="rId1566"/>
    <hyperlink xmlns:r="http://schemas.openxmlformats.org/officeDocument/2006/relationships" ref="J1569" r:id="rId1567"/>
    <hyperlink xmlns:r="http://schemas.openxmlformats.org/officeDocument/2006/relationships" ref="J1570" r:id="rId1568"/>
    <hyperlink xmlns:r="http://schemas.openxmlformats.org/officeDocument/2006/relationships" ref="J1571" r:id="rId1569"/>
    <hyperlink xmlns:r="http://schemas.openxmlformats.org/officeDocument/2006/relationships" ref="J1572" r:id="rId1570"/>
    <hyperlink xmlns:r="http://schemas.openxmlformats.org/officeDocument/2006/relationships" ref="J1573" r:id="rId1571"/>
    <hyperlink xmlns:r="http://schemas.openxmlformats.org/officeDocument/2006/relationships" ref="J1574" r:id="rId1572"/>
    <hyperlink xmlns:r="http://schemas.openxmlformats.org/officeDocument/2006/relationships" ref="J1575" r:id="rId1573"/>
    <hyperlink xmlns:r="http://schemas.openxmlformats.org/officeDocument/2006/relationships" ref="J1576" r:id="rId1574"/>
    <hyperlink xmlns:r="http://schemas.openxmlformats.org/officeDocument/2006/relationships" ref="J1577" r:id="rId1575"/>
    <hyperlink xmlns:r="http://schemas.openxmlformats.org/officeDocument/2006/relationships" ref="J1578" r:id="rId1576"/>
    <hyperlink xmlns:r="http://schemas.openxmlformats.org/officeDocument/2006/relationships" ref="J1579" r:id="rId1577"/>
    <hyperlink xmlns:r="http://schemas.openxmlformats.org/officeDocument/2006/relationships" ref="J1580" r:id="rId1578"/>
    <hyperlink xmlns:r="http://schemas.openxmlformats.org/officeDocument/2006/relationships" ref="J1581" r:id="rId1579"/>
    <hyperlink xmlns:r="http://schemas.openxmlformats.org/officeDocument/2006/relationships" ref="J1582" r:id="rId1580"/>
    <hyperlink xmlns:r="http://schemas.openxmlformats.org/officeDocument/2006/relationships" ref="J1583" r:id="rId1581"/>
    <hyperlink xmlns:r="http://schemas.openxmlformats.org/officeDocument/2006/relationships" ref="J1584" r:id="rId1582"/>
    <hyperlink xmlns:r="http://schemas.openxmlformats.org/officeDocument/2006/relationships" ref="J1585" r:id="rId1583"/>
    <hyperlink xmlns:r="http://schemas.openxmlformats.org/officeDocument/2006/relationships" ref="J1586" r:id="rId1584"/>
    <hyperlink xmlns:r="http://schemas.openxmlformats.org/officeDocument/2006/relationships" ref="J1587" r:id="rId1585"/>
    <hyperlink xmlns:r="http://schemas.openxmlformats.org/officeDocument/2006/relationships" ref="J1588" r:id="rId1586"/>
    <hyperlink xmlns:r="http://schemas.openxmlformats.org/officeDocument/2006/relationships" ref="J1589" r:id="rId1587"/>
    <hyperlink xmlns:r="http://schemas.openxmlformats.org/officeDocument/2006/relationships" ref="J1590" r:id="rId1588"/>
    <hyperlink xmlns:r="http://schemas.openxmlformats.org/officeDocument/2006/relationships" ref="J1591" r:id="rId1589"/>
    <hyperlink xmlns:r="http://schemas.openxmlformats.org/officeDocument/2006/relationships" ref="J1592" r:id="rId1590"/>
    <hyperlink xmlns:r="http://schemas.openxmlformats.org/officeDocument/2006/relationships" ref="J1593" r:id="rId1591"/>
    <hyperlink xmlns:r="http://schemas.openxmlformats.org/officeDocument/2006/relationships" ref="J1594" r:id="rId1592"/>
    <hyperlink xmlns:r="http://schemas.openxmlformats.org/officeDocument/2006/relationships" ref="J1595" r:id="rId1593"/>
    <hyperlink xmlns:r="http://schemas.openxmlformats.org/officeDocument/2006/relationships" ref="J1596" r:id="rId1594"/>
    <hyperlink xmlns:r="http://schemas.openxmlformats.org/officeDocument/2006/relationships" ref="J1597" r:id="rId1595"/>
    <hyperlink xmlns:r="http://schemas.openxmlformats.org/officeDocument/2006/relationships" ref="J1598" r:id="rId1596"/>
    <hyperlink xmlns:r="http://schemas.openxmlformats.org/officeDocument/2006/relationships" ref="J1599" r:id="rId1597"/>
    <hyperlink xmlns:r="http://schemas.openxmlformats.org/officeDocument/2006/relationships" ref="J1600" r:id="rId1598"/>
    <hyperlink xmlns:r="http://schemas.openxmlformats.org/officeDocument/2006/relationships" ref="J1601" r:id="rId1599"/>
    <hyperlink xmlns:r="http://schemas.openxmlformats.org/officeDocument/2006/relationships" ref="J1602" r:id="rId1600"/>
    <hyperlink xmlns:r="http://schemas.openxmlformats.org/officeDocument/2006/relationships" ref="J1603" r:id="rId1601"/>
    <hyperlink xmlns:r="http://schemas.openxmlformats.org/officeDocument/2006/relationships" ref="J1604" r:id="rId1602"/>
    <hyperlink xmlns:r="http://schemas.openxmlformats.org/officeDocument/2006/relationships" ref="J1605" r:id="rId1603"/>
    <hyperlink xmlns:r="http://schemas.openxmlformats.org/officeDocument/2006/relationships" ref="J1606" r:id="rId1604"/>
    <hyperlink xmlns:r="http://schemas.openxmlformats.org/officeDocument/2006/relationships" ref="J1607" r:id="rId1605"/>
    <hyperlink xmlns:r="http://schemas.openxmlformats.org/officeDocument/2006/relationships" ref="J1608" r:id="rId1606"/>
    <hyperlink xmlns:r="http://schemas.openxmlformats.org/officeDocument/2006/relationships" ref="J1609" r:id="rId1607"/>
    <hyperlink xmlns:r="http://schemas.openxmlformats.org/officeDocument/2006/relationships" ref="J1610" r:id="rId1608"/>
    <hyperlink xmlns:r="http://schemas.openxmlformats.org/officeDocument/2006/relationships" ref="J1611" r:id="rId1609"/>
    <hyperlink xmlns:r="http://schemas.openxmlformats.org/officeDocument/2006/relationships" ref="J1612" r:id="rId1610"/>
    <hyperlink xmlns:r="http://schemas.openxmlformats.org/officeDocument/2006/relationships" ref="J1613" r:id="rId1611"/>
    <hyperlink xmlns:r="http://schemas.openxmlformats.org/officeDocument/2006/relationships" ref="J1614" r:id="rId1612"/>
    <hyperlink xmlns:r="http://schemas.openxmlformats.org/officeDocument/2006/relationships" ref="J1615" r:id="rId1613"/>
    <hyperlink xmlns:r="http://schemas.openxmlformats.org/officeDocument/2006/relationships" ref="J1616" r:id="rId1614"/>
    <hyperlink xmlns:r="http://schemas.openxmlformats.org/officeDocument/2006/relationships" ref="J1617" r:id="rId1615"/>
    <hyperlink xmlns:r="http://schemas.openxmlformats.org/officeDocument/2006/relationships" ref="J1618" r:id="rId1616"/>
    <hyperlink xmlns:r="http://schemas.openxmlformats.org/officeDocument/2006/relationships" ref="J1619" r:id="rId1617"/>
    <hyperlink xmlns:r="http://schemas.openxmlformats.org/officeDocument/2006/relationships" ref="J1620" r:id="rId1618"/>
    <hyperlink xmlns:r="http://schemas.openxmlformats.org/officeDocument/2006/relationships" ref="J1621" r:id="rId1619"/>
    <hyperlink xmlns:r="http://schemas.openxmlformats.org/officeDocument/2006/relationships" ref="J1622" r:id="rId1620"/>
    <hyperlink xmlns:r="http://schemas.openxmlformats.org/officeDocument/2006/relationships" ref="J1623" r:id="rId1621"/>
    <hyperlink xmlns:r="http://schemas.openxmlformats.org/officeDocument/2006/relationships" ref="J1624" r:id="rId1622"/>
    <hyperlink xmlns:r="http://schemas.openxmlformats.org/officeDocument/2006/relationships" ref="J1625" r:id="rId1623"/>
    <hyperlink xmlns:r="http://schemas.openxmlformats.org/officeDocument/2006/relationships" ref="J1626" r:id="rId1624"/>
    <hyperlink xmlns:r="http://schemas.openxmlformats.org/officeDocument/2006/relationships" ref="J1627" r:id="rId1625"/>
    <hyperlink xmlns:r="http://schemas.openxmlformats.org/officeDocument/2006/relationships" ref="J1628" r:id="rId1626"/>
    <hyperlink xmlns:r="http://schemas.openxmlformats.org/officeDocument/2006/relationships" ref="J1629" r:id="rId1627"/>
    <hyperlink xmlns:r="http://schemas.openxmlformats.org/officeDocument/2006/relationships" ref="J1630" r:id="rId1628"/>
    <hyperlink xmlns:r="http://schemas.openxmlformats.org/officeDocument/2006/relationships" ref="J1631" r:id="rId1629"/>
    <hyperlink xmlns:r="http://schemas.openxmlformats.org/officeDocument/2006/relationships" ref="J1632" r:id="rId1630"/>
    <hyperlink xmlns:r="http://schemas.openxmlformats.org/officeDocument/2006/relationships" ref="J1633" r:id="rId1631"/>
    <hyperlink xmlns:r="http://schemas.openxmlformats.org/officeDocument/2006/relationships" ref="J1634" r:id="rId1632"/>
    <hyperlink xmlns:r="http://schemas.openxmlformats.org/officeDocument/2006/relationships" ref="J1635" r:id="rId1633"/>
    <hyperlink xmlns:r="http://schemas.openxmlformats.org/officeDocument/2006/relationships" ref="J1636" r:id="rId1634"/>
    <hyperlink xmlns:r="http://schemas.openxmlformats.org/officeDocument/2006/relationships" ref="J1637" r:id="rId1635"/>
    <hyperlink xmlns:r="http://schemas.openxmlformats.org/officeDocument/2006/relationships" ref="J1638" r:id="rId1636"/>
    <hyperlink xmlns:r="http://schemas.openxmlformats.org/officeDocument/2006/relationships" ref="J1639" r:id="rId1637"/>
    <hyperlink xmlns:r="http://schemas.openxmlformats.org/officeDocument/2006/relationships" ref="J1640" r:id="rId1638"/>
    <hyperlink xmlns:r="http://schemas.openxmlformats.org/officeDocument/2006/relationships" ref="J1641" r:id="rId1639"/>
    <hyperlink xmlns:r="http://schemas.openxmlformats.org/officeDocument/2006/relationships" ref="J1642" r:id="rId1640"/>
    <hyperlink xmlns:r="http://schemas.openxmlformats.org/officeDocument/2006/relationships" ref="J1643" r:id="rId1641"/>
    <hyperlink xmlns:r="http://schemas.openxmlformats.org/officeDocument/2006/relationships" ref="J1644" r:id="rId1642"/>
    <hyperlink xmlns:r="http://schemas.openxmlformats.org/officeDocument/2006/relationships" ref="J1645" r:id="rId1643"/>
    <hyperlink xmlns:r="http://schemas.openxmlformats.org/officeDocument/2006/relationships" ref="J1646" r:id="rId1644"/>
    <hyperlink xmlns:r="http://schemas.openxmlformats.org/officeDocument/2006/relationships" ref="J1647" r:id="rId1645"/>
    <hyperlink xmlns:r="http://schemas.openxmlformats.org/officeDocument/2006/relationships" ref="J1648" r:id="rId1646"/>
    <hyperlink xmlns:r="http://schemas.openxmlformats.org/officeDocument/2006/relationships" ref="J1649" r:id="rId1647"/>
    <hyperlink xmlns:r="http://schemas.openxmlformats.org/officeDocument/2006/relationships" ref="J1650" r:id="rId1648"/>
    <hyperlink xmlns:r="http://schemas.openxmlformats.org/officeDocument/2006/relationships" ref="J1651" r:id="rId1649"/>
    <hyperlink xmlns:r="http://schemas.openxmlformats.org/officeDocument/2006/relationships" ref="J1652" r:id="rId1650"/>
    <hyperlink xmlns:r="http://schemas.openxmlformats.org/officeDocument/2006/relationships" ref="J1653" r:id="rId1651"/>
    <hyperlink xmlns:r="http://schemas.openxmlformats.org/officeDocument/2006/relationships" ref="J1654" r:id="rId1652"/>
    <hyperlink xmlns:r="http://schemas.openxmlformats.org/officeDocument/2006/relationships" ref="J1655" r:id="rId1653"/>
    <hyperlink xmlns:r="http://schemas.openxmlformats.org/officeDocument/2006/relationships" ref="J1656" r:id="rId1654"/>
    <hyperlink xmlns:r="http://schemas.openxmlformats.org/officeDocument/2006/relationships" ref="J1657" r:id="rId1655"/>
    <hyperlink xmlns:r="http://schemas.openxmlformats.org/officeDocument/2006/relationships" ref="J1658" r:id="rId1656"/>
    <hyperlink xmlns:r="http://schemas.openxmlformats.org/officeDocument/2006/relationships" ref="J1659" r:id="rId1657"/>
    <hyperlink xmlns:r="http://schemas.openxmlformats.org/officeDocument/2006/relationships" ref="J1660" r:id="rId1658"/>
    <hyperlink xmlns:r="http://schemas.openxmlformats.org/officeDocument/2006/relationships" ref="J1661" r:id="rId1659"/>
    <hyperlink xmlns:r="http://schemas.openxmlformats.org/officeDocument/2006/relationships" ref="J1662" r:id="rId1660"/>
    <hyperlink xmlns:r="http://schemas.openxmlformats.org/officeDocument/2006/relationships" ref="J1663" r:id="rId1661"/>
    <hyperlink xmlns:r="http://schemas.openxmlformats.org/officeDocument/2006/relationships" ref="J1664" r:id="rId1662"/>
    <hyperlink xmlns:r="http://schemas.openxmlformats.org/officeDocument/2006/relationships" ref="J1665" r:id="rId1663"/>
    <hyperlink xmlns:r="http://schemas.openxmlformats.org/officeDocument/2006/relationships" ref="J1666" r:id="rId1664"/>
    <hyperlink xmlns:r="http://schemas.openxmlformats.org/officeDocument/2006/relationships" ref="J1667" r:id="rId1665"/>
    <hyperlink xmlns:r="http://schemas.openxmlformats.org/officeDocument/2006/relationships" ref="J1668" r:id="rId1666"/>
    <hyperlink xmlns:r="http://schemas.openxmlformats.org/officeDocument/2006/relationships" ref="J1669" r:id="rId1667"/>
    <hyperlink xmlns:r="http://schemas.openxmlformats.org/officeDocument/2006/relationships" ref="J1670" r:id="rId1668"/>
    <hyperlink xmlns:r="http://schemas.openxmlformats.org/officeDocument/2006/relationships" ref="J1671" r:id="rId1669"/>
    <hyperlink xmlns:r="http://schemas.openxmlformats.org/officeDocument/2006/relationships" ref="J1672" r:id="rId1670"/>
    <hyperlink xmlns:r="http://schemas.openxmlformats.org/officeDocument/2006/relationships" ref="J1673" r:id="rId1671"/>
    <hyperlink xmlns:r="http://schemas.openxmlformats.org/officeDocument/2006/relationships" ref="J1674" r:id="rId1672"/>
    <hyperlink xmlns:r="http://schemas.openxmlformats.org/officeDocument/2006/relationships" ref="J1675" r:id="rId1673"/>
    <hyperlink xmlns:r="http://schemas.openxmlformats.org/officeDocument/2006/relationships" ref="J1676" r:id="rId1674"/>
    <hyperlink xmlns:r="http://schemas.openxmlformats.org/officeDocument/2006/relationships" ref="J1677" r:id="rId1675"/>
    <hyperlink xmlns:r="http://schemas.openxmlformats.org/officeDocument/2006/relationships" ref="J1678" r:id="rId1676"/>
    <hyperlink xmlns:r="http://schemas.openxmlformats.org/officeDocument/2006/relationships" ref="J1679" r:id="rId1677"/>
    <hyperlink xmlns:r="http://schemas.openxmlformats.org/officeDocument/2006/relationships" ref="J1680" r:id="rId1678"/>
    <hyperlink xmlns:r="http://schemas.openxmlformats.org/officeDocument/2006/relationships" ref="J1681" r:id="rId1679"/>
    <hyperlink xmlns:r="http://schemas.openxmlformats.org/officeDocument/2006/relationships" ref="J1682" r:id="rId1680"/>
    <hyperlink xmlns:r="http://schemas.openxmlformats.org/officeDocument/2006/relationships" ref="J1683" r:id="rId1681"/>
    <hyperlink xmlns:r="http://schemas.openxmlformats.org/officeDocument/2006/relationships" ref="J1684" r:id="rId1682"/>
    <hyperlink xmlns:r="http://schemas.openxmlformats.org/officeDocument/2006/relationships" ref="J1685" r:id="rId1683"/>
    <hyperlink xmlns:r="http://schemas.openxmlformats.org/officeDocument/2006/relationships" ref="J1686" r:id="rId1684"/>
    <hyperlink xmlns:r="http://schemas.openxmlformats.org/officeDocument/2006/relationships" ref="J1687" r:id="rId1685"/>
    <hyperlink xmlns:r="http://schemas.openxmlformats.org/officeDocument/2006/relationships" ref="J1688" r:id="rId1686"/>
    <hyperlink xmlns:r="http://schemas.openxmlformats.org/officeDocument/2006/relationships" ref="J1689" r:id="rId1687"/>
    <hyperlink xmlns:r="http://schemas.openxmlformats.org/officeDocument/2006/relationships" ref="J1690" r:id="rId1688"/>
    <hyperlink xmlns:r="http://schemas.openxmlformats.org/officeDocument/2006/relationships" ref="J1691" r:id="rId1689"/>
    <hyperlink xmlns:r="http://schemas.openxmlformats.org/officeDocument/2006/relationships" ref="J1692" r:id="rId1690"/>
    <hyperlink xmlns:r="http://schemas.openxmlformats.org/officeDocument/2006/relationships" ref="J1693" r:id="rId1691"/>
    <hyperlink xmlns:r="http://schemas.openxmlformats.org/officeDocument/2006/relationships" ref="J1694" r:id="rId1692"/>
    <hyperlink xmlns:r="http://schemas.openxmlformats.org/officeDocument/2006/relationships" ref="J1695" r:id="rId1693"/>
    <hyperlink xmlns:r="http://schemas.openxmlformats.org/officeDocument/2006/relationships" ref="J1696" r:id="rId1694"/>
    <hyperlink xmlns:r="http://schemas.openxmlformats.org/officeDocument/2006/relationships" ref="J1697" r:id="rId1695"/>
    <hyperlink xmlns:r="http://schemas.openxmlformats.org/officeDocument/2006/relationships" ref="J1698" r:id="rId1696"/>
    <hyperlink xmlns:r="http://schemas.openxmlformats.org/officeDocument/2006/relationships" ref="J1699" r:id="rId1697"/>
    <hyperlink xmlns:r="http://schemas.openxmlformats.org/officeDocument/2006/relationships" ref="J1700" r:id="rId1698"/>
    <hyperlink xmlns:r="http://schemas.openxmlformats.org/officeDocument/2006/relationships" ref="J1701" r:id="rId1699"/>
    <hyperlink xmlns:r="http://schemas.openxmlformats.org/officeDocument/2006/relationships" ref="J1702" r:id="rId1700"/>
    <hyperlink xmlns:r="http://schemas.openxmlformats.org/officeDocument/2006/relationships" ref="J1703" r:id="rId1701"/>
    <hyperlink xmlns:r="http://schemas.openxmlformats.org/officeDocument/2006/relationships" ref="J1704" r:id="rId1702"/>
    <hyperlink xmlns:r="http://schemas.openxmlformats.org/officeDocument/2006/relationships" ref="J1705" r:id="rId1703"/>
    <hyperlink xmlns:r="http://schemas.openxmlformats.org/officeDocument/2006/relationships" ref="J1706" r:id="rId1704"/>
    <hyperlink xmlns:r="http://schemas.openxmlformats.org/officeDocument/2006/relationships" ref="J1707" r:id="rId1705"/>
    <hyperlink xmlns:r="http://schemas.openxmlformats.org/officeDocument/2006/relationships" ref="J1708" r:id="rId1706"/>
    <hyperlink xmlns:r="http://schemas.openxmlformats.org/officeDocument/2006/relationships" ref="J1709" r:id="rId1707"/>
    <hyperlink xmlns:r="http://schemas.openxmlformats.org/officeDocument/2006/relationships" ref="J1710" r:id="rId1708"/>
    <hyperlink xmlns:r="http://schemas.openxmlformats.org/officeDocument/2006/relationships" ref="J1711" r:id="rId1709"/>
    <hyperlink xmlns:r="http://schemas.openxmlformats.org/officeDocument/2006/relationships" ref="J1712" r:id="rId1710"/>
    <hyperlink xmlns:r="http://schemas.openxmlformats.org/officeDocument/2006/relationships" ref="J1713" r:id="rId1711"/>
    <hyperlink xmlns:r="http://schemas.openxmlformats.org/officeDocument/2006/relationships" ref="J1714" r:id="rId1712"/>
    <hyperlink xmlns:r="http://schemas.openxmlformats.org/officeDocument/2006/relationships" ref="J1715" r:id="rId1713"/>
    <hyperlink xmlns:r="http://schemas.openxmlformats.org/officeDocument/2006/relationships" ref="J1716" r:id="rId1714"/>
    <hyperlink xmlns:r="http://schemas.openxmlformats.org/officeDocument/2006/relationships" ref="J1717" r:id="rId1715"/>
    <hyperlink xmlns:r="http://schemas.openxmlformats.org/officeDocument/2006/relationships" ref="J1718" r:id="rId1716"/>
    <hyperlink xmlns:r="http://schemas.openxmlformats.org/officeDocument/2006/relationships" ref="J1719" r:id="rId1717"/>
    <hyperlink xmlns:r="http://schemas.openxmlformats.org/officeDocument/2006/relationships" ref="J1720" r:id="rId1718"/>
    <hyperlink xmlns:r="http://schemas.openxmlformats.org/officeDocument/2006/relationships" ref="J1721" r:id="rId1719"/>
    <hyperlink xmlns:r="http://schemas.openxmlformats.org/officeDocument/2006/relationships" ref="J1722" r:id="rId1720"/>
    <hyperlink xmlns:r="http://schemas.openxmlformats.org/officeDocument/2006/relationships" ref="J1723" r:id="rId17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2" customWidth="1" min="4" max="4"/>
    <col width="30" customWidth="1" min="5" max="5"/>
    <col width="40" customWidth="1" min="6" max="6"/>
    <col width="20" customWidth="1" min="7" max="7"/>
    <col width="6" customWidth="1" min="8" max="8"/>
    <col width="14" customWidth="1" min="9" max="9"/>
    <col width="11" customWidth="1" min="10" max="10"/>
    <col width="14" customWidth="1" min="11" max="11"/>
    <col width="11" customWidth="1" min="12" max="12"/>
    <col width="14" customWidth="1" min="13" max="13"/>
    <col width="12" customWidth="1" min="14" max="14"/>
    <col width="12" customWidth="1" min="15" max="15"/>
    <col width="12" customWidth="1" min="16" max="16"/>
    <col width="22" customWidth="1" min="17" max="17"/>
    <col width="12" customWidth="1" min="18" max="18"/>
    <col width="13" customWidth="1" min="19" max="19"/>
    <col width="40" customWidth="1" min="20" max="20"/>
  </cols>
  <sheetData>
    <row r="1">
      <c r="A1" s="1" t="inlineStr">
        <is>
          <t>Amostragem do Bloco A: registro das casas sorteadas por estrato</t>
        </is>
      </c>
    </row>
    <row r="2" ht="40" customHeight="1">
      <c r="A2" s="2" t="inlineStr">
        <is>
          <t>Nº do item</t>
        </is>
      </c>
      <c r="B2" s="2" t="inlineStr">
        <is>
          <t>Estrato</t>
        </is>
      </c>
      <c r="C2" s="2" t="inlineStr">
        <is>
          <t>Ordem no estrato</t>
        </is>
      </c>
      <c r="D2" s="2" t="inlineStr">
        <is>
          <t>Número aleatório sorteado</t>
        </is>
      </c>
      <c r="E2" s="2" t="inlineStr">
        <is>
          <t>place_id</t>
        </is>
      </c>
      <c r="F2" s="2" t="inlineStr">
        <is>
          <t>Nome do estabelecimento</t>
        </is>
      </c>
      <c r="G2" s="2" t="inlineStr">
        <is>
          <t>Município</t>
        </is>
      </c>
      <c r="H2" s="2" t="inlineStr">
        <is>
          <t>UF</t>
        </is>
      </c>
      <c r="I2" s="2" t="inlineStr">
        <is>
          <t>Link do Google Maps</t>
        </is>
      </c>
      <c r="J2" s="2" t="inlineStr">
        <is>
          <t>Tem fotos no Maps?</t>
        </is>
      </c>
      <c r="K2" s="2" t="inlineStr">
        <is>
          <t>Fotos comprovam espaço de jogo?</t>
        </is>
      </c>
      <c r="L2" s="2" t="inlineStr">
        <is>
          <t>Tem Instagram?</t>
        </is>
      </c>
      <c r="M2" s="2" t="inlineStr">
        <is>
          <t>Instagram comprova espaço de jogo?</t>
        </is>
      </c>
      <c r="N2" s="2" t="inlineStr">
        <is>
          <t>É do tipo?</t>
        </is>
      </c>
      <c r="O2" s="2" t="inlineStr">
        <is>
          <t>Casas do tipo acumuladas no estrato</t>
        </is>
      </c>
      <c r="P2" s="2" t="inlineStr">
        <is>
          <t>Nº de avaliações no Maps</t>
        </is>
      </c>
      <c r="Q2" s="2" t="inlineStr">
        <is>
          <t>Usuário do Instagram</t>
        </is>
      </c>
      <c r="R2" s="2" t="inlineStr">
        <is>
          <t>Nº de publicações no Instagram</t>
        </is>
      </c>
      <c r="S2" s="2" t="inlineStr">
        <is>
          <t>Data da última publicação</t>
        </is>
      </c>
      <c r="T2" s="2" t="inlineStr">
        <is>
          <t>Observação</t>
        </is>
      </c>
    </row>
    <row r="3">
      <c r="A3" s="5">
        <f>ROW()-2</f>
        <v/>
      </c>
      <c r="B3" s="4" t="inlineStr">
        <is>
          <t>Metrópole</t>
        </is>
      </c>
      <c r="C3" s="5" t="n">
        <v>1</v>
      </c>
      <c r="D3" s="5">
        <f>IFERROR(INDEX('Base de sorteio'!$A$3:$A$1723,MATCH($B3&amp;"|"&amp;$C3,'Base de sorteio'!$I$3:$I$1723,0)),"")</f>
        <v/>
      </c>
      <c r="E3" s="4">
        <f>IFERROR(INDEX('Base de sorteio'!$B$3:$B$1723,MATCH($B3&amp;"|"&amp;$C3,'Base de sorteio'!$I$3:$I$1723,0)),"")</f>
        <v/>
      </c>
      <c r="F3" s="4">
        <f>IFERROR(INDEX('Base de sorteio'!$C$3:$C$1723,MATCH($B3&amp;"|"&amp;$C3,'Base de sorteio'!$I$3:$I$1723,0)),"")</f>
        <v/>
      </c>
      <c r="G3" s="4">
        <f>IFERROR(INDEX('Base de sorteio'!$D$3:$D$1723,MATCH($B3&amp;"|"&amp;$C3,'Base de sorteio'!$I$3:$I$1723,0)),"")</f>
        <v/>
      </c>
      <c r="H3" s="4">
        <f>IFERROR(INDEX('Base de sorteio'!$E$3:$E$1723,MATCH($B3&amp;"|"&amp;$C3,'Base de sorteio'!$I$3:$I$1723,0)),"")</f>
        <v/>
      </c>
      <c r="I3" s="4">
        <f>IF(E3="","",HYPERLINK(IFERROR(INDEX('Base de sorteio'!$J$3:$J$1723,MATCH($B3&amp;"|"&amp;$C3,'Base de sorteio'!$I$3:$I$1723,0)),""),"abrir"))</f>
        <v/>
      </c>
      <c r="J3" s="4" t="n"/>
      <c r="K3" s="4" t="n"/>
      <c r="L3" s="4" t="n"/>
      <c r="M3" s="4" t="n"/>
      <c r="N3" s="4">
        <f>IF(AND(K3="",M3=""),"",IF(OR(K3="sim",M3="sim"),"sim",IF(OR(K3="inconclusivo",M3="inconclusivo"),"inconclusivo","não")))</f>
        <v/>
      </c>
      <c r="O3" s="5">
        <f>IF(N3="sim",COUNTIFS($B$3:$B3,$B3,$N$3:$N3,"sim"),"")</f>
        <v/>
      </c>
      <c r="P3" s="5" t="n"/>
      <c r="Q3" s="4" t="n"/>
      <c r="R3" s="5" t="n"/>
      <c r="S3" s="9" t="n"/>
      <c r="T3" s="4" t="n"/>
    </row>
    <row r="4">
      <c r="A4" s="5">
        <f>ROW()-2</f>
        <v/>
      </c>
      <c r="B4" s="4" t="inlineStr">
        <is>
          <t>Metrópole</t>
        </is>
      </c>
      <c r="C4" s="5" t="n">
        <v>2</v>
      </c>
      <c r="D4" s="5">
        <f>IFERROR(INDEX('Base de sorteio'!$A$3:$A$1723,MATCH($B4&amp;"|"&amp;$C4,'Base de sorteio'!$I$3:$I$1723,0)),"")</f>
        <v/>
      </c>
      <c r="E4" s="4">
        <f>IFERROR(INDEX('Base de sorteio'!$B$3:$B$1723,MATCH($B4&amp;"|"&amp;$C4,'Base de sorteio'!$I$3:$I$1723,0)),"")</f>
        <v/>
      </c>
      <c r="F4" s="4">
        <f>IFERROR(INDEX('Base de sorteio'!$C$3:$C$1723,MATCH($B4&amp;"|"&amp;$C4,'Base de sorteio'!$I$3:$I$1723,0)),"")</f>
        <v/>
      </c>
      <c r="G4" s="4">
        <f>IFERROR(INDEX('Base de sorteio'!$D$3:$D$1723,MATCH($B4&amp;"|"&amp;$C4,'Base de sorteio'!$I$3:$I$1723,0)),"")</f>
        <v/>
      </c>
      <c r="H4" s="4">
        <f>IFERROR(INDEX('Base de sorteio'!$E$3:$E$1723,MATCH($B4&amp;"|"&amp;$C4,'Base de sorteio'!$I$3:$I$1723,0)),"")</f>
        <v/>
      </c>
      <c r="I4" s="4">
        <f>IF(E4="","",HYPERLINK(IFERROR(INDEX('Base de sorteio'!$J$3:$J$1723,MATCH($B4&amp;"|"&amp;$C4,'Base de sorteio'!$I$3:$I$1723,0)),""),"abrir"))</f>
        <v/>
      </c>
      <c r="J4" s="4" t="n"/>
      <c r="K4" s="4" t="n"/>
      <c r="L4" s="4" t="n"/>
      <c r="M4" s="4" t="n"/>
      <c r="N4" s="4">
        <f>IF(AND(K4="",M4=""),"",IF(OR(K4="sim",M4="sim"),"sim",IF(OR(K4="inconclusivo",M4="inconclusivo"),"inconclusivo","não")))</f>
        <v/>
      </c>
      <c r="O4" s="5">
        <f>IF(N4="sim",COUNTIFS($B$3:$B4,$B4,$N$3:$N4,"sim"),"")</f>
        <v/>
      </c>
      <c r="P4" s="5" t="n"/>
      <c r="Q4" s="4" t="n"/>
      <c r="R4" s="5" t="n"/>
      <c r="S4" s="9" t="n"/>
      <c r="T4" s="4" t="n"/>
    </row>
    <row r="5">
      <c r="A5" s="5">
        <f>ROW()-2</f>
        <v/>
      </c>
      <c r="B5" s="4" t="inlineStr">
        <is>
          <t>Metrópole</t>
        </is>
      </c>
      <c r="C5" s="5" t="n">
        <v>3</v>
      </c>
      <c r="D5" s="5">
        <f>IFERROR(INDEX('Base de sorteio'!$A$3:$A$1723,MATCH($B5&amp;"|"&amp;$C5,'Base de sorteio'!$I$3:$I$1723,0)),"")</f>
        <v/>
      </c>
      <c r="E5" s="4">
        <f>IFERROR(INDEX('Base de sorteio'!$B$3:$B$1723,MATCH($B5&amp;"|"&amp;$C5,'Base de sorteio'!$I$3:$I$1723,0)),"")</f>
        <v/>
      </c>
      <c r="F5" s="4">
        <f>IFERROR(INDEX('Base de sorteio'!$C$3:$C$1723,MATCH($B5&amp;"|"&amp;$C5,'Base de sorteio'!$I$3:$I$1723,0)),"")</f>
        <v/>
      </c>
      <c r="G5" s="4">
        <f>IFERROR(INDEX('Base de sorteio'!$D$3:$D$1723,MATCH($B5&amp;"|"&amp;$C5,'Base de sorteio'!$I$3:$I$1723,0)),"")</f>
        <v/>
      </c>
      <c r="H5" s="4">
        <f>IFERROR(INDEX('Base de sorteio'!$E$3:$E$1723,MATCH($B5&amp;"|"&amp;$C5,'Base de sorteio'!$I$3:$I$1723,0)),"")</f>
        <v/>
      </c>
      <c r="I5" s="4">
        <f>IF(E5="","",HYPERLINK(IFERROR(INDEX('Base de sorteio'!$J$3:$J$1723,MATCH($B5&amp;"|"&amp;$C5,'Base de sorteio'!$I$3:$I$1723,0)),""),"abrir"))</f>
        <v/>
      </c>
      <c r="J5" s="4" t="n"/>
      <c r="K5" s="4" t="n"/>
      <c r="L5" s="4" t="n"/>
      <c r="M5" s="4" t="n"/>
      <c r="N5" s="4">
        <f>IF(AND(K5="",M5=""),"",IF(OR(K5="sim",M5="sim"),"sim",IF(OR(K5="inconclusivo",M5="inconclusivo"),"inconclusivo","não")))</f>
        <v/>
      </c>
      <c r="O5" s="5">
        <f>IF(N5="sim",COUNTIFS($B$3:$B5,$B5,$N$3:$N5,"sim"),"")</f>
        <v/>
      </c>
      <c r="P5" s="5" t="n"/>
      <c r="Q5" s="4" t="n"/>
      <c r="R5" s="5" t="n"/>
      <c r="S5" s="9" t="n"/>
      <c r="T5" s="4" t="n"/>
    </row>
    <row r="6">
      <c r="A6" s="5">
        <f>ROW()-2</f>
        <v/>
      </c>
      <c r="B6" s="4" t="inlineStr">
        <is>
          <t>Metrópole</t>
        </is>
      </c>
      <c r="C6" s="5" t="n">
        <v>4</v>
      </c>
      <c r="D6" s="5">
        <f>IFERROR(INDEX('Base de sorteio'!$A$3:$A$1723,MATCH($B6&amp;"|"&amp;$C6,'Base de sorteio'!$I$3:$I$1723,0)),"")</f>
        <v/>
      </c>
      <c r="E6" s="4">
        <f>IFERROR(INDEX('Base de sorteio'!$B$3:$B$1723,MATCH($B6&amp;"|"&amp;$C6,'Base de sorteio'!$I$3:$I$1723,0)),"")</f>
        <v/>
      </c>
      <c r="F6" s="4">
        <f>IFERROR(INDEX('Base de sorteio'!$C$3:$C$1723,MATCH($B6&amp;"|"&amp;$C6,'Base de sorteio'!$I$3:$I$1723,0)),"")</f>
        <v/>
      </c>
      <c r="G6" s="4">
        <f>IFERROR(INDEX('Base de sorteio'!$D$3:$D$1723,MATCH($B6&amp;"|"&amp;$C6,'Base de sorteio'!$I$3:$I$1723,0)),"")</f>
        <v/>
      </c>
      <c r="H6" s="4">
        <f>IFERROR(INDEX('Base de sorteio'!$E$3:$E$1723,MATCH($B6&amp;"|"&amp;$C6,'Base de sorteio'!$I$3:$I$1723,0)),"")</f>
        <v/>
      </c>
      <c r="I6" s="4">
        <f>IF(E6="","",HYPERLINK(IFERROR(INDEX('Base de sorteio'!$J$3:$J$1723,MATCH($B6&amp;"|"&amp;$C6,'Base de sorteio'!$I$3:$I$1723,0)),""),"abrir"))</f>
        <v/>
      </c>
      <c r="J6" s="4" t="n"/>
      <c r="K6" s="4" t="n"/>
      <c r="L6" s="4" t="n"/>
      <c r="M6" s="4" t="n"/>
      <c r="N6" s="4">
        <f>IF(AND(K6="",M6=""),"",IF(OR(K6="sim",M6="sim"),"sim",IF(OR(K6="inconclusivo",M6="inconclusivo"),"inconclusivo","não")))</f>
        <v/>
      </c>
      <c r="O6" s="5">
        <f>IF(N6="sim",COUNTIFS($B$3:$B6,$B6,$N$3:$N6,"sim"),"")</f>
        <v/>
      </c>
      <c r="P6" s="5" t="n"/>
      <c r="Q6" s="4" t="n"/>
      <c r="R6" s="5" t="n"/>
      <c r="S6" s="9" t="n"/>
      <c r="T6" s="4" t="n"/>
    </row>
    <row r="7">
      <c r="A7" s="5">
        <f>ROW()-2</f>
        <v/>
      </c>
      <c r="B7" s="4" t="inlineStr">
        <is>
          <t>Metrópole</t>
        </is>
      </c>
      <c r="C7" s="5" t="n">
        <v>5</v>
      </c>
      <c r="D7" s="5">
        <f>IFERROR(INDEX('Base de sorteio'!$A$3:$A$1723,MATCH($B7&amp;"|"&amp;$C7,'Base de sorteio'!$I$3:$I$1723,0)),"")</f>
        <v/>
      </c>
      <c r="E7" s="4">
        <f>IFERROR(INDEX('Base de sorteio'!$B$3:$B$1723,MATCH($B7&amp;"|"&amp;$C7,'Base de sorteio'!$I$3:$I$1723,0)),"")</f>
        <v/>
      </c>
      <c r="F7" s="4">
        <f>IFERROR(INDEX('Base de sorteio'!$C$3:$C$1723,MATCH($B7&amp;"|"&amp;$C7,'Base de sorteio'!$I$3:$I$1723,0)),"")</f>
        <v/>
      </c>
      <c r="G7" s="4">
        <f>IFERROR(INDEX('Base de sorteio'!$D$3:$D$1723,MATCH($B7&amp;"|"&amp;$C7,'Base de sorteio'!$I$3:$I$1723,0)),"")</f>
        <v/>
      </c>
      <c r="H7" s="4">
        <f>IFERROR(INDEX('Base de sorteio'!$E$3:$E$1723,MATCH($B7&amp;"|"&amp;$C7,'Base de sorteio'!$I$3:$I$1723,0)),"")</f>
        <v/>
      </c>
      <c r="I7" s="4">
        <f>IF(E7="","",HYPERLINK(IFERROR(INDEX('Base de sorteio'!$J$3:$J$1723,MATCH($B7&amp;"|"&amp;$C7,'Base de sorteio'!$I$3:$I$1723,0)),""),"abrir"))</f>
        <v/>
      </c>
      <c r="J7" s="4" t="n"/>
      <c r="K7" s="4" t="n"/>
      <c r="L7" s="4" t="n"/>
      <c r="M7" s="4" t="n"/>
      <c r="N7" s="4">
        <f>IF(AND(K7="",M7=""),"",IF(OR(K7="sim",M7="sim"),"sim",IF(OR(K7="inconclusivo",M7="inconclusivo"),"inconclusivo","não")))</f>
        <v/>
      </c>
      <c r="O7" s="5">
        <f>IF(N7="sim",COUNTIFS($B$3:$B7,$B7,$N$3:$N7,"sim"),"")</f>
        <v/>
      </c>
      <c r="P7" s="5" t="n"/>
      <c r="Q7" s="4" t="n"/>
      <c r="R7" s="5" t="n"/>
      <c r="S7" s="9" t="n"/>
      <c r="T7" s="4" t="n"/>
    </row>
    <row r="8">
      <c r="A8" s="5">
        <f>ROW()-2</f>
        <v/>
      </c>
      <c r="B8" s="4" t="inlineStr">
        <is>
          <t>Metrópole</t>
        </is>
      </c>
      <c r="C8" s="5" t="n">
        <v>6</v>
      </c>
      <c r="D8" s="5">
        <f>IFERROR(INDEX('Base de sorteio'!$A$3:$A$1723,MATCH($B8&amp;"|"&amp;$C8,'Base de sorteio'!$I$3:$I$1723,0)),"")</f>
        <v/>
      </c>
      <c r="E8" s="4">
        <f>IFERROR(INDEX('Base de sorteio'!$B$3:$B$1723,MATCH($B8&amp;"|"&amp;$C8,'Base de sorteio'!$I$3:$I$1723,0)),"")</f>
        <v/>
      </c>
      <c r="F8" s="4">
        <f>IFERROR(INDEX('Base de sorteio'!$C$3:$C$1723,MATCH($B8&amp;"|"&amp;$C8,'Base de sorteio'!$I$3:$I$1723,0)),"")</f>
        <v/>
      </c>
      <c r="G8" s="4">
        <f>IFERROR(INDEX('Base de sorteio'!$D$3:$D$1723,MATCH($B8&amp;"|"&amp;$C8,'Base de sorteio'!$I$3:$I$1723,0)),"")</f>
        <v/>
      </c>
      <c r="H8" s="4">
        <f>IFERROR(INDEX('Base de sorteio'!$E$3:$E$1723,MATCH($B8&amp;"|"&amp;$C8,'Base de sorteio'!$I$3:$I$1723,0)),"")</f>
        <v/>
      </c>
      <c r="I8" s="4">
        <f>IF(E8="","",HYPERLINK(IFERROR(INDEX('Base de sorteio'!$J$3:$J$1723,MATCH($B8&amp;"|"&amp;$C8,'Base de sorteio'!$I$3:$I$1723,0)),""),"abrir"))</f>
        <v/>
      </c>
      <c r="J8" s="4" t="n"/>
      <c r="K8" s="4" t="n"/>
      <c r="L8" s="4" t="n"/>
      <c r="M8" s="4" t="n"/>
      <c r="N8" s="4">
        <f>IF(AND(K8="",M8=""),"",IF(OR(K8="sim",M8="sim"),"sim",IF(OR(K8="inconclusivo",M8="inconclusivo"),"inconclusivo","não")))</f>
        <v/>
      </c>
      <c r="O8" s="5">
        <f>IF(N8="sim",COUNTIFS($B$3:$B8,$B8,$N$3:$N8,"sim"),"")</f>
        <v/>
      </c>
      <c r="P8" s="5" t="n"/>
      <c r="Q8" s="4" t="n"/>
      <c r="R8" s="5" t="n"/>
      <c r="S8" s="9" t="n"/>
      <c r="T8" s="4" t="n"/>
    </row>
    <row r="9">
      <c r="A9" s="5">
        <f>ROW()-2</f>
        <v/>
      </c>
      <c r="B9" s="4" t="inlineStr">
        <is>
          <t>Metrópole</t>
        </is>
      </c>
      <c r="C9" s="5" t="n">
        <v>7</v>
      </c>
      <c r="D9" s="5">
        <f>IFERROR(INDEX('Base de sorteio'!$A$3:$A$1723,MATCH($B9&amp;"|"&amp;$C9,'Base de sorteio'!$I$3:$I$1723,0)),"")</f>
        <v/>
      </c>
      <c r="E9" s="4">
        <f>IFERROR(INDEX('Base de sorteio'!$B$3:$B$1723,MATCH($B9&amp;"|"&amp;$C9,'Base de sorteio'!$I$3:$I$1723,0)),"")</f>
        <v/>
      </c>
      <c r="F9" s="4">
        <f>IFERROR(INDEX('Base de sorteio'!$C$3:$C$1723,MATCH($B9&amp;"|"&amp;$C9,'Base de sorteio'!$I$3:$I$1723,0)),"")</f>
        <v/>
      </c>
      <c r="G9" s="4">
        <f>IFERROR(INDEX('Base de sorteio'!$D$3:$D$1723,MATCH($B9&amp;"|"&amp;$C9,'Base de sorteio'!$I$3:$I$1723,0)),"")</f>
        <v/>
      </c>
      <c r="H9" s="4">
        <f>IFERROR(INDEX('Base de sorteio'!$E$3:$E$1723,MATCH($B9&amp;"|"&amp;$C9,'Base de sorteio'!$I$3:$I$1723,0)),"")</f>
        <v/>
      </c>
      <c r="I9" s="4">
        <f>IF(E9="","",HYPERLINK(IFERROR(INDEX('Base de sorteio'!$J$3:$J$1723,MATCH($B9&amp;"|"&amp;$C9,'Base de sorteio'!$I$3:$I$1723,0)),""),"abrir"))</f>
        <v/>
      </c>
      <c r="J9" s="4" t="n"/>
      <c r="K9" s="4" t="n"/>
      <c r="L9" s="4" t="n"/>
      <c r="M9" s="4" t="n"/>
      <c r="N9" s="4">
        <f>IF(AND(K9="",M9=""),"",IF(OR(K9="sim",M9="sim"),"sim",IF(OR(K9="inconclusivo",M9="inconclusivo"),"inconclusivo","não")))</f>
        <v/>
      </c>
      <c r="O9" s="5">
        <f>IF(N9="sim",COUNTIFS($B$3:$B9,$B9,$N$3:$N9,"sim"),"")</f>
        <v/>
      </c>
      <c r="P9" s="5" t="n"/>
      <c r="Q9" s="4" t="n"/>
      <c r="R9" s="5" t="n"/>
      <c r="S9" s="9" t="n"/>
      <c r="T9" s="4" t="n"/>
    </row>
    <row r="10">
      <c r="A10" s="5">
        <f>ROW()-2</f>
        <v/>
      </c>
      <c r="B10" s="4" t="inlineStr">
        <is>
          <t>Metrópole</t>
        </is>
      </c>
      <c r="C10" s="5" t="n">
        <v>8</v>
      </c>
      <c r="D10" s="5">
        <f>IFERROR(INDEX('Base de sorteio'!$A$3:$A$1723,MATCH($B10&amp;"|"&amp;$C10,'Base de sorteio'!$I$3:$I$1723,0)),"")</f>
        <v/>
      </c>
      <c r="E10" s="4">
        <f>IFERROR(INDEX('Base de sorteio'!$B$3:$B$1723,MATCH($B10&amp;"|"&amp;$C10,'Base de sorteio'!$I$3:$I$1723,0)),"")</f>
        <v/>
      </c>
      <c r="F10" s="4">
        <f>IFERROR(INDEX('Base de sorteio'!$C$3:$C$1723,MATCH($B10&amp;"|"&amp;$C10,'Base de sorteio'!$I$3:$I$1723,0)),"")</f>
        <v/>
      </c>
      <c r="G10" s="4">
        <f>IFERROR(INDEX('Base de sorteio'!$D$3:$D$1723,MATCH($B10&amp;"|"&amp;$C10,'Base de sorteio'!$I$3:$I$1723,0)),"")</f>
        <v/>
      </c>
      <c r="H10" s="4">
        <f>IFERROR(INDEX('Base de sorteio'!$E$3:$E$1723,MATCH($B10&amp;"|"&amp;$C10,'Base de sorteio'!$I$3:$I$1723,0)),"")</f>
        <v/>
      </c>
      <c r="I10" s="4">
        <f>IF(E10="","",HYPERLINK(IFERROR(INDEX('Base de sorteio'!$J$3:$J$1723,MATCH($B10&amp;"|"&amp;$C10,'Base de sorteio'!$I$3:$I$1723,0)),""),"abrir"))</f>
        <v/>
      </c>
      <c r="J10" s="4" t="n"/>
      <c r="K10" s="4" t="n"/>
      <c r="L10" s="4" t="n"/>
      <c r="M10" s="4" t="n"/>
      <c r="N10" s="4">
        <f>IF(AND(K10="",M10=""),"",IF(OR(K10="sim",M10="sim"),"sim",IF(OR(K10="inconclusivo",M10="inconclusivo"),"inconclusivo","não")))</f>
        <v/>
      </c>
      <c r="O10" s="5">
        <f>IF(N10="sim",COUNTIFS($B$3:$B10,$B10,$N$3:$N10,"sim"),"")</f>
        <v/>
      </c>
      <c r="P10" s="5" t="n"/>
      <c r="Q10" s="4" t="n"/>
      <c r="R10" s="5" t="n"/>
      <c r="S10" s="9" t="n"/>
      <c r="T10" s="4" t="n"/>
    </row>
    <row r="11">
      <c r="A11" s="5">
        <f>ROW()-2</f>
        <v/>
      </c>
      <c r="B11" s="4" t="inlineStr">
        <is>
          <t>Metrópole</t>
        </is>
      </c>
      <c r="C11" s="5" t="n">
        <v>9</v>
      </c>
      <c r="D11" s="5">
        <f>IFERROR(INDEX('Base de sorteio'!$A$3:$A$1723,MATCH($B11&amp;"|"&amp;$C11,'Base de sorteio'!$I$3:$I$1723,0)),"")</f>
        <v/>
      </c>
      <c r="E11" s="4">
        <f>IFERROR(INDEX('Base de sorteio'!$B$3:$B$1723,MATCH($B11&amp;"|"&amp;$C11,'Base de sorteio'!$I$3:$I$1723,0)),"")</f>
        <v/>
      </c>
      <c r="F11" s="4">
        <f>IFERROR(INDEX('Base de sorteio'!$C$3:$C$1723,MATCH($B11&amp;"|"&amp;$C11,'Base de sorteio'!$I$3:$I$1723,0)),"")</f>
        <v/>
      </c>
      <c r="G11" s="4">
        <f>IFERROR(INDEX('Base de sorteio'!$D$3:$D$1723,MATCH($B11&amp;"|"&amp;$C11,'Base de sorteio'!$I$3:$I$1723,0)),"")</f>
        <v/>
      </c>
      <c r="H11" s="4">
        <f>IFERROR(INDEX('Base de sorteio'!$E$3:$E$1723,MATCH($B11&amp;"|"&amp;$C11,'Base de sorteio'!$I$3:$I$1723,0)),"")</f>
        <v/>
      </c>
      <c r="I11" s="4">
        <f>IF(E11="","",HYPERLINK(IFERROR(INDEX('Base de sorteio'!$J$3:$J$1723,MATCH($B11&amp;"|"&amp;$C11,'Base de sorteio'!$I$3:$I$1723,0)),""),"abrir"))</f>
        <v/>
      </c>
      <c r="J11" s="4" t="n"/>
      <c r="K11" s="4" t="n"/>
      <c r="L11" s="4" t="n"/>
      <c r="M11" s="4" t="n"/>
      <c r="N11" s="4">
        <f>IF(AND(K11="",M11=""),"",IF(OR(K11="sim",M11="sim"),"sim",IF(OR(K11="inconclusivo",M11="inconclusivo"),"inconclusivo","não")))</f>
        <v/>
      </c>
      <c r="O11" s="5">
        <f>IF(N11="sim",COUNTIFS($B$3:$B11,$B11,$N$3:$N11,"sim"),"")</f>
        <v/>
      </c>
      <c r="P11" s="5" t="n"/>
      <c r="Q11" s="4" t="n"/>
      <c r="R11" s="5" t="n"/>
      <c r="S11" s="9" t="n"/>
      <c r="T11" s="4" t="n"/>
    </row>
    <row r="12">
      <c r="A12" s="5">
        <f>ROW()-2</f>
        <v/>
      </c>
      <c r="B12" s="4" t="inlineStr">
        <is>
          <t>Metrópole</t>
        </is>
      </c>
      <c r="C12" s="5" t="n">
        <v>10</v>
      </c>
      <c r="D12" s="5">
        <f>IFERROR(INDEX('Base de sorteio'!$A$3:$A$1723,MATCH($B12&amp;"|"&amp;$C12,'Base de sorteio'!$I$3:$I$1723,0)),"")</f>
        <v/>
      </c>
      <c r="E12" s="4">
        <f>IFERROR(INDEX('Base de sorteio'!$B$3:$B$1723,MATCH($B12&amp;"|"&amp;$C12,'Base de sorteio'!$I$3:$I$1723,0)),"")</f>
        <v/>
      </c>
      <c r="F12" s="4">
        <f>IFERROR(INDEX('Base de sorteio'!$C$3:$C$1723,MATCH($B12&amp;"|"&amp;$C12,'Base de sorteio'!$I$3:$I$1723,0)),"")</f>
        <v/>
      </c>
      <c r="G12" s="4">
        <f>IFERROR(INDEX('Base de sorteio'!$D$3:$D$1723,MATCH($B12&amp;"|"&amp;$C12,'Base de sorteio'!$I$3:$I$1723,0)),"")</f>
        <v/>
      </c>
      <c r="H12" s="4">
        <f>IFERROR(INDEX('Base de sorteio'!$E$3:$E$1723,MATCH($B12&amp;"|"&amp;$C12,'Base de sorteio'!$I$3:$I$1723,0)),"")</f>
        <v/>
      </c>
      <c r="I12" s="4">
        <f>IF(E12="","",HYPERLINK(IFERROR(INDEX('Base de sorteio'!$J$3:$J$1723,MATCH($B12&amp;"|"&amp;$C12,'Base de sorteio'!$I$3:$I$1723,0)),""),"abrir"))</f>
        <v/>
      </c>
      <c r="J12" s="4" t="n"/>
      <c r="K12" s="4" t="n"/>
      <c r="L12" s="4" t="n"/>
      <c r="M12" s="4" t="n"/>
      <c r="N12" s="4">
        <f>IF(AND(K12="",M12=""),"",IF(OR(K12="sim",M12="sim"),"sim",IF(OR(K12="inconclusivo",M12="inconclusivo"),"inconclusivo","não")))</f>
        <v/>
      </c>
      <c r="O12" s="5">
        <f>IF(N12="sim",COUNTIFS($B$3:$B12,$B12,$N$3:$N12,"sim"),"")</f>
        <v/>
      </c>
      <c r="P12" s="5" t="n"/>
      <c r="Q12" s="4" t="n"/>
      <c r="R12" s="5" t="n"/>
      <c r="S12" s="9" t="n"/>
      <c r="T12" s="4" t="n"/>
    </row>
    <row r="13">
      <c r="A13" s="5">
        <f>ROW()-2</f>
        <v/>
      </c>
      <c r="B13" s="4" t="inlineStr">
        <is>
          <t>Metrópole</t>
        </is>
      </c>
      <c r="C13" s="5" t="n">
        <v>11</v>
      </c>
      <c r="D13" s="5">
        <f>IFERROR(INDEX('Base de sorteio'!$A$3:$A$1723,MATCH($B13&amp;"|"&amp;$C13,'Base de sorteio'!$I$3:$I$1723,0)),"")</f>
        <v/>
      </c>
      <c r="E13" s="4">
        <f>IFERROR(INDEX('Base de sorteio'!$B$3:$B$1723,MATCH($B13&amp;"|"&amp;$C13,'Base de sorteio'!$I$3:$I$1723,0)),"")</f>
        <v/>
      </c>
      <c r="F13" s="4">
        <f>IFERROR(INDEX('Base de sorteio'!$C$3:$C$1723,MATCH($B13&amp;"|"&amp;$C13,'Base de sorteio'!$I$3:$I$1723,0)),"")</f>
        <v/>
      </c>
      <c r="G13" s="4">
        <f>IFERROR(INDEX('Base de sorteio'!$D$3:$D$1723,MATCH($B13&amp;"|"&amp;$C13,'Base de sorteio'!$I$3:$I$1723,0)),"")</f>
        <v/>
      </c>
      <c r="H13" s="4">
        <f>IFERROR(INDEX('Base de sorteio'!$E$3:$E$1723,MATCH($B13&amp;"|"&amp;$C13,'Base de sorteio'!$I$3:$I$1723,0)),"")</f>
        <v/>
      </c>
      <c r="I13" s="4">
        <f>IF(E13="","",HYPERLINK(IFERROR(INDEX('Base de sorteio'!$J$3:$J$1723,MATCH($B13&amp;"|"&amp;$C13,'Base de sorteio'!$I$3:$I$1723,0)),""),"abrir"))</f>
        <v/>
      </c>
      <c r="J13" s="4" t="n"/>
      <c r="K13" s="4" t="n"/>
      <c r="L13" s="4" t="n"/>
      <c r="M13" s="4" t="n"/>
      <c r="N13" s="4">
        <f>IF(AND(K13="",M13=""),"",IF(OR(K13="sim",M13="sim"),"sim",IF(OR(K13="inconclusivo",M13="inconclusivo"),"inconclusivo","não")))</f>
        <v/>
      </c>
      <c r="O13" s="5">
        <f>IF(N13="sim",COUNTIFS($B$3:$B13,$B13,$N$3:$N13,"sim"),"")</f>
        <v/>
      </c>
      <c r="P13" s="5" t="n"/>
      <c r="Q13" s="4" t="n"/>
      <c r="R13" s="5" t="n"/>
      <c r="S13" s="9" t="n"/>
      <c r="T13" s="4" t="n"/>
    </row>
    <row r="14">
      <c r="A14" s="5">
        <f>ROW()-2</f>
        <v/>
      </c>
      <c r="B14" s="4" t="inlineStr">
        <is>
          <t>Metrópole</t>
        </is>
      </c>
      <c r="C14" s="5" t="n">
        <v>12</v>
      </c>
      <c r="D14" s="5">
        <f>IFERROR(INDEX('Base de sorteio'!$A$3:$A$1723,MATCH($B14&amp;"|"&amp;$C14,'Base de sorteio'!$I$3:$I$1723,0)),"")</f>
        <v/>
      </c>
      <c r="E14" s="4">
        <f>IFERROR(INDEX('Base de sorteio'!$B$3:$B$1723,MATCH($B14&amp;"|"&amp;$C14,'Base de sorteio'!$I$3:$I$1723,0)),"")</f>
        <v/>
      </c>
      <c r="F14" s="4">
        <f>IFERROR(INDEX('Base de sorteio'!$C$3:$C$1723,MATCH($B14&amp;"|"&amp;$C14,'Base de sorteio'!$I$3:$I$1723,0)),"")</f>
        <v/>
      </c>
      <c r="G14" s="4">
        <f>IFERROR(INDEX('Base de sorteio'!$D$3:$D$1723,MATCH($B14&amp;"|"&amp;$C14,'Base de sorteio'!$I$3:$I$1723,0)),"")</f>
        <v/>
      </c>
      <c r="H14" s="4">
        <f>IFERROR(INDEX('Base de sorteio'!$E$3:$E$1723,MATCH($B14&amp;"|"&amp;$C14,'Base de sorteio'!$I$3:$I$1723,0)),"")</f>
        <v/>
      </c>
      <c r="I14" s="4">
        <f>IF(E14="","",HYPERLINK(IFERROR(INDEX('Base de sorteio'!$J$3:$J$1723,MATCH($B14&amp;"|"&amp;$C14,'Base de sorteio'!$I$3:$I$1723,0)),""),"abrir"))</f>
        <v/>
      </c>
      <c r="J14" s="4" t="n"/>
      <c r="K14" s="4" t="n"/>
      <c r="L14" s="4" t="n"/>
      <c r="M14" s="4" t="n"/>
      <c r="N14" s="4">
        <f>IF(AND(K14="",M14=""),"",IF(OR(K14="sim",M14="sim"),"sim",IF(OR(K14="inconclusivo",M14="inconclusivo"),"inconclusivo","não")))</f>
        <v/>
      </c>
      <c r="O14" s="5">
        <f>IF(N14="sim",COUNTIFS($B$3:$B14,$B14,$N$3:$N14,"sim"),"")</f>
        <v/>
      </c>
      <c r="P14" s="5" t="n"/>
      <c r="Q14" s="4" t="n"/>
      <c r="R14" s="5" t="n"/>
      <c r="S14" s="9" t="n"/>
      <c r="T14" s="4" t="n"/>
    </row>
    <row r="15">
      <c r="A15" s="5">
        <f>ROW()-2</f>
        <v/>
      </c>
      <c r="B15" s="4" t="inlineStr">
        <is>
          <t>Metrópole</t>
        </is>
      </c>
      <c r="C15" s="5" t="n">
        <v>13</v>
      </c>
      <c r="D15" s="5">
        <f>IFERROR(INDEX('Base de sorteio'!$A$3:$A$1723,MATCH($B15&amp;"|"&amp;$C15,'Base de sorteio'!$I$3:$I$1723,0)),"")</f>
        <v/>
      </c>
      <c r="E15" s="4">
        <f>IFERROR(INDEX('Base de sorteio'!$B$3:$B$1723,MATCH($B15&amp;"|"&amp;$C15,'Base de sorteio'!$I$3:$I$1723,0)),"")</f>
        <v/>
      </c>
      <c r="F15" s="4">
        <f>IFERROR(INDEX('Base de sorteio'!$C$3:$C$1723,MATCH($B15&amp;"|"&amp;$C15,'Base de sorteio'!$I$3:$I$1723,0)),"")</f>
        <v/>
      </c>
      <c r="G15" s="4">
        <f>IFERROR(INDEX('Base de sorteio'!$D$3:$D$1723,MATCH($B15&amp;"|"&amp;$C15,'Base de sorteio'!$I$3:$I$1723,0)),"")</f>
        <v/>
      </c>
      <c r="H15" s="4">
        <f>IFERROR(INDEX('Base de sorteio'!$E$3:$E$1723,MATCH($B15&amp;"|"&amp;$C15,'Base de sorteio'!$I$3:$I$1723,0)),"")</f>
        <v/>
      </c>
      <c r="I15" s="4">
        <f>IF(E15="","",HYPERLINK(IFERROR(INDEX('Base de sorteio'!$J$3:$J$1723,MATCH($B15&amp;"|"&amp;$C15,'Base de sorteio'!$I$3:$I$1723,0)),""),"abrir"))</f>
        <v/>
      </c>
      <c r="J15" s="4" t="n"/>
      <c r="K15" s="4" t="n"/>
      <c r="L15" s="4" t="n"/>
      <c r="M15" s="4" t="n"/>
      <c r="N15" s="4">
        <f>IF(AND(K15="",M15=""),"",IF(OR(K15="sim",M15="sim"),"sim",IF(OR(K15="inconclusivo",M15="inconclusivo"),"inconclusivo","não")))</f>
        <v/>
      </c>
      <c r="O15" s="5">
        <f>IF(N15="sim",COUNTIFS($B$3:$B15,$B15,$N$3:$N15,"sim"),"")</f>
        <v/>
      </c>
      <c r="P15" s="5" t="n"/>
      <c r="Q15" s="4" t="n"/>
      <c r="R15" s="5" t="n"/>
      <c r="S15" s="9" t="n"/>
      <c r="T15" s="4" t="n"/>
    </row>
    <row r="16">
      <c r="A16" s="5">
        <f>ROW()-2</f>
        <v/>
      </c>
      <c r="B16" s="4" t="inlineStr">
        <is>
          <t>Metrópole</t>
        </is>
      </c>
      <c r="C16" s="5" t="n">
        <v>14</v>
      </c>
      <c r="D16" s="5">
        <f>IFERROR(INDEX('Base de sorteio'!$A$3:$A$1723,MATCH($B16&amp;"|"&amp;$C16,'Base de sorteio'!$I$3:$I$1723,0)),"")</f>
        <v/>
      </c>
      <c r="E16" s="4">
        <f>IFERROR(INDEX('Base de sorteio'!$B$3:$B$1723,MATCH($B16&amp;"|"&amp;$C16,'Base de sorteio'!$I$3:$I$1723,0)),"")</f>
        <v/>
      </c>
      <c r="F16" s="4">
        <f>IFERROR(INDEX('Base de sorteio'!$C$3:$C$1723,MATCH($B16&amp;"|"&amp;$C16,'Base de sorteio'!$I$3:$I$1723,0)),"")</f>
        <v/>
      </c>
      <c r="G16" s="4">
        <f>IFERROR(INDEX('Base de sorteio'!$D$3:$D$1723,MATCH($B16&amp;"|"&amp;$C16,'Base de sorteio'!$I$3:$I$1723,0)),"")</f>
        <v/>
      </c>
      <c r="H16" s="4">
        <f>IFERROR(INDEX('Base de sorteio'!$E$3:$E$1723,MATCH($B16&amp;"|"&amp;$C16,'Base de sorteio'!$I$3:$I$1723,0)),"")</f>
        <v/>
      </c>
      <c r="I16" s="4">
        <f>IF(E16="","",HYPERLINK(IFERROR(INDEX('Base de sorteio'!$J$3:$J$1723,MATCH($B16&amp;"|"&amp;$C16,'Base de sorteio'!$I$3:$I$1723,0)),""),"abrir"))</f>
        <v/>
      </c>
      <c r="J16" s="4" t="n"/>
      <c r="K16" s="4" t="n"/>
      <c r="L16" s="4" t="n"/>
      <c r="M16" s="4" t="n"/>
      <c r="N16" s="4">
        <f>IF(AND(K16="",M16=""),"",IF(OR(K16="sim",M16="sim"),"sim",IF(OR(K16="inconclusivo",M16="inconclusivo"),"inconclusivo","não")))</f>
        <v/>
      </c>
      <c r="O16" s="5">
        <f>IF(N16="sim",COUNTIFS($B$3:$B16,$B16,$N$3:$N16,"sim"),"")</f>
        <v/>
      </c>
      <c r="P16" s="5" t="n"/>
      <c r="Q16" s="4" t="n"/>
      <c r="R16" s="5" t="n"/>
      <c r="S16" s="9" t="n"/>
      <c r="T16" s="4" t="n"/>
    </row>
    <row r="17">
      <c r="A17" s="5">
        <f>ROW()-2</f>
        <v/>
      </c>
      <c r="B17" s="4" t="inlineStr">
        <is>
          <t>Metrópole</t>
        </is>
      </c>
      <c r="C17" s="5" t="n">
        <v>15</v>
      </c>
      <c r="D17" s="5">
        <f>IFERROR(INDEX('Base de sorteio'!$A$3:$A$1723,MATCH($B17&amp;"|"&amp;$C17,'Base de sorteio'!$I$3:$I$1723,0)),"")</f>
        <v/>
      </c>
      <c r="E17" s="4">
        <f>IFERROR(INDEX('Base de sorteio'!$B$3:$B$1723,MATCH($B17&amp;"|"&amp;$C17,'Base de sorteio'!$I$3:$I$1723,0)),"")</f>
        <v/>
      </c>
      <c r="F17" s="4">
        <f>IFERROR(INDEX('Base de sorteio'!$C$3:$C$1723,MATCH($B17&amp;"|"&amp;$C17,'Base de sorteio'!$I$3:$I$1723,0)),"")</f>
        <v/>
      </c>
      <c r="G17" s="4">
        <f>IFERROR(INDEX('Base de sorteio'!$D$3:$D$1723,MATCH($B17&amp;"|"&amp;$C17,'Base de sorteio'!$I$3:$I$1723,0)),"")</f>
        <v/>
      </c>
      <c r="H17" s="4">
        <f>IFERROR(INDEX('Base de sorteio'!$E$3:$E$1723,MATCH($B17&amp;"|"&amp;$C17,'Base de sorteio'!$I$3:$I$1723,0)),"")</f>
        <v/>
      </c>
      <c r="I17" s="4">
        <f>IF(E17="","",HYPERLINK(IFERROR(INDEX('Base de sorteio'!$J$3:$J$1723,MATCH($B17&amp;"|"&amp;$C17,'Base de sorteio'!$I$3:$I$1723,0)),""),"abrir"))</f>
        <v/>
      </c>
      <c r="J17" s="4" t="n"/>
      <c r="K17" s="4" t="n"/>
      <c r="L17" s="4" t="n"/>
      <c r="M17" s="4" t="n"/>
      <c r="N17" s="4">
        <f>IF(AND(K17="",M17=""),"",IF(OR(K17="sim",M17="sim"),"sim",IF(OR(K17="inconclusivo",M17="inconclusivo"),"inconclusivo","não")))</f>
        <v/>
      </c>
      <c r="O17" s="5">
        <f>IF(N17="sim",COUNTIFS($B$3:$B17,$B17,$N$3:$N17,"sim"),"")</f>
        <v/>
      </c>
      <c r="P17" s="5" t="n"/>
      <c r="Q17" s="4" t="n"/>
      <c r="R17" s="5" t="n"/>
      <c r="S17" s="9" t="n"/>
      <c r="T17" s="4" t="n"/>
    </row>
    <row r="18">
      <c r="A18" s="5">
        <f>ROW()-2</f>
        <v/>
      </c>
      <c r="B18" s="4" t="inlineStr">
        <is>
          <t>Metrópole</t>
        </is>
      </c>
      <c r="C18" s="5" t="n">
        <v>16</v>
      </c>
      <c r="D18" s="5">
        <f>IFERROR(INDEX('Base de sorteio'!$A$3:$A$1723,MATCH($B18&amp;"|"&amp;$C18,'Base de sorteio'!$I$3:$I$1723,0)),"")</f>
        <v/>
      </c>
      <c r="E18" s="4">
        <f>IFERROR(INDEX('Base de sorteio'!$B$3:$B$1723,MATCH($B18&amp;"|"&amp;$C18,'Base de sorteio'!$I$3:$I$1723,0)),"")</f>
        <v/>
      </c>
      <c r="F18" s="4">
        <f>IFERROR(INDEX('Base de sorteio'!$C$3:$C$1723,MATCH($B18&amp;"|"&amp;$C18,'Base de sorteio'!$I$3:$I$1723,0)),"")</f>
        <v/>
      </c>
      <c r="G18" s="4">
        <f>IFERROR(INDEX('Base de sorteio'!$D$3:$D$1723,MATCH($B18&amp;"|"&amp;$C18,'Base de sorteio'!$I$3:$I$1723,0)),"")</f>
        <v/>
      </c>
      <c r="H18" s="4">
        <f>IFERROR(INDEX('Base de sorteio'!$E$3:$E$1723,MATCH($B18&amp;"|"&amp;$C18,'Base de sorteio'!$I$3:$I$1723,0)),"")</f>
        <v/>
      </c>
      <c r="I18" s="4">
        <f>IF(E18="","",HYPERLINK(IFERROR(INDEX('Base de sorteio'!$J$3:$J$1723,MATCH($B18&amp;"|"&amp;$C18,'Base de sorteio'!$I$3:$I$1723,0)),""),"abrir"))</f>
        <v/>
      </c>
      <c r="J18" s="4" t="n"/>
      <c r="K18" s="4" t="n"/>
      <c r="L18" s="4" t="n"/>
      <c r="M18" s="4" t="n"/>
      <c r="N18" s="4">
        <f>IF(AND(K18="",M18=""),"",IF(OR(K18="sim",M18="sim"),"sim",IF(OR(K18="inconclusivo",M18="inconclusivo"),"inconclusivo","não")))</f>
        <v/>
      </c>
      <c r="O18" s="5">
        <f>IF(N18="sim",COUNTIFS($B$3:$B18,$B18,$N$3:$N18,"sim"),"")</f>
        <v/>
      </c>
      <c r="P18" s="5" t="n"/>
      <c r="Q18" s="4" t="n"/>
      <c r="R18" s="5" t="n"/>
      <c r="S18" s="9" t="n"/>
      <c r="T18" s="4" t="n"/>
    </row>
    <row r="19">
      <c r="A19" s="5">
        <f>ROW()-2</f>
        <v/>
      </c>
      <c r="B19" s="4" t="inlineStr">
        <is>
          <t>Metrópole</t>
        </is>
      </c>
      <c r="C19" s="5" t="n">
        <v>17</v>
      </c>
      <c r="D19" s="5">
        <f>IFERROR(INDEX('Base de sorteio'!$A$3:$A$1723,MATCH($B19&amp;"|"&amp;$C19,'Base de sorteio'!$I$3:$I$1723,0)),"")</f>
        <v/>
      </c>
      <c r="E19" s="4">
        <f>IFERROR(INDEX('Base de sorteio'!$B$3:$B$1723,MATCH($B19&amp;"|"&amp;$C19,'Base de sorteio'!$I$3:$I$1723,0)),"")</f>
        <v/>
      </c>
      <c r="F19" s="4">
        <f>IFERROR(INDEX('Base de sorteio'!$C$3:$C$1723,MATCH($B19&amp;"|"&amp;$C19,'Base de sorteio'!$I$3:$I$1723,0)),"")</f>
        <v/>
      </c>
      <c r="G19" s="4">
        <f>IFERROR(INDEX('Base de sorteio'!$D$3:$D$1723,MATCH($B19&amp;"|"&amp;$C19,'Base de sorteio'!$I$3:$I$1723,0)),"")</f>
        <v/>
      </c>
      <c r="H19" s="4">
        <f>IFERROR(INDEX('Base de sorteio'!$E$3:$E$1723,MATCH($B19&amp;"|"&amp;$C19,'Base de sorteio'!$I$3:$I$1723,0)),"")</f>
        <v/>
      </c>
      <c r="I19" s="4">
        <f>IF(E19="","",HYPERLINK(IFERROR(INDEX('Base de sorteio'!$J$3:$J$1723,MATCH($B19&amp;"|"&amp;$C19,'Base de sorteio'!$I$3:$I$1723,0)),""),"abrir"))</f>
        <v/>
      </c>
      <c r="J19" s="4" t="n"/>
      <c r="K19" s="4" t="n"/>
      <c r="L19" s="4" t="n"/>
      <c r="M19" s="4" t="n"/>
      <c r="N19" s="4">
        <f>IF(AND(K19="",M19=""),"",IF(OR(K19="sim",M19="sim"),"sim",IF(OR(K19="inconclusivo",M19="inconclusivo"),"inconclusivo","não")))</f>
        <v/>
      </c>
      <c r="O19" s="5">
        <f>IF(N19="sim",COUNTIFS($B$3:$B19,$B19,$N$3:$N19,"sim"),"")</f>
        <v/>
      </c>
      <c r="P19" s="5" t="n"/>
      <c r="Q19" s="4" t="n"/>
      <c r="R19" s="5" t="n"/>
      <c r="S19" s="9" t="n"/>
      <c r="T19" s="4" t="n"/>
    </row>
    <row r="20">
      <c r="A20" s="5">
        <f>ROW()-2</f>
        <v/>
      </c>
      <c r="B20" s="4" t="inlineStr">
        <is>
          <t>Metrópole</t>
        </is>
      </c>
      <c r="C20" s="5" t="n">
        <v>18</v>
      </c>
      <c r="D20" s="5">
        <f>IFERROR(INDEX('Base de sorteio'!$A$3:$A$1723,MATCH($B20&amp;"|"&amp;$C20,'Base de sorteio'!$I$3:$I$1723,0)),"")</f>
        <v/>
      </c>
      <c r="E20" s="4">
        <f>IFERROR(INDEX('Base de sorteio'!$B$3:$B$1723,MATCH($B20&amp;"|"&amp;$C20,'Base de sorteio'!$I$3:$I$1723,0)),"")</f>
        <v/>
      </c>
      <c r="F20" s="4">
        <f>IFERROR(INDEX('Base de sorteio'!$C$3:$C$1723,MATCH($B20&amp;"|"&amp;$C20,'Base de sorteio'!$I$3:$I$1723,0)),"")</f>
        <v/>
      </c>
      <c r="G20" s="4">
        <f>IFERROR(INDEX('Base de sorteio'!$D$3:$D$1723,MATCH($B20&amp;"|"&amp;$C20,'Base de sorteio'!$I$3:$I$1723,0)),"")</f>
        <v/>
      </c>
      <c r="H20" s="4">
        <f>IFERROR(INDEX('Base de sorteio'!$E$3:$E$1723,MATCH($B20&amp;"|"&amp;$C20,'Base de sorteio'!$I$3:$I$1723,0)),"")</f>
        <v/>
      </c>
      <c r="I20" s="4">
        <f>IF(E20="","",HYPERLINK(IFERROR(INDEX('Base de sorteio'!$J$3:$J$1723,MATCH($B20&amp;"|"&amp;$C20,'Base de sorteio'!$I$3:$I$1723,0)),""),"abrir"))</f>
        <v/>
      </c>
      <c r="J20" s="4" t="n"/>
      <c r="K20" s="4" t="n"/>
      <c r="L20" s="4" t="n"/>
      <c r="M20" s="4" t="n"/>
      <c r="N20" s="4">
        <f>IF(AND(K20="",M20=""),"",IF(OR(K20="sim",M20="sim"),"sim",IF(OR(K20="inconclusivo",M20="inconclusivo"),"inconclusivo","não")))</f>
        <v/>
      </c>
      <c r="O20" s="5">
        <f>IF(N20="sim",COUNTIFS($B$3:$B20,$B20,$N$3:$N20,"sim"),"")</f>
        <v/>
      </c>
      <c r="P20" s="5" t="n"/>
      <c r="Q20" s="4" t="n"/>
      <c r="R20" s="5" t="n"/>
      <c r="S20" s="9" t="n"/>
      <c r="T20" s="4" t="n"/>
    </row>
    <row r="21">
      <c r="A21" s="5">
        <f>ROW()-2</f>
        <v/>
      </c>
      <c r="B21" s="4" t="inlineStr">
        <is>
          <t>Metrópole</t>
        </is>
      </c>
      <c r="C21" s="5" t="n">
        <v>19</v>
      </c>
      <c r="D21" s="5">
        <f>IFERROR(INDEX('Base de sorteio'!$A$3:$A$1723,MATCH($B21&amp;"|"&amp;$C21,'Base de sorteio'!$I$3:$I$1723,0)),"")</f>
        <v/>
      </c>
      <c r="E21" s="4">
        <f>IFERROR(INDEX('Base de sorteio'!$B$3:$B$1723,MATCH($B21&amp;"|"&amp;$C21,'Base de sorteio'!$I$3:$I$1723,0)),"")</f>
        <v/>
      </c>
      <c r="F21" s="4">
        <f>IFERROR(INDEX('Base de sorteio'!$C$3:$C$1723,MATCH($B21&amp;"|"&amp;$C21,'Base de sorteio'!$I$3:$I$1723,0)),"")</f>
        <v/>
      </c>
      <c r="G21" s="4">
        <f>IFERROR(INDEX('Base de sorteio'!$D$3:$D$1723,MATCH($B21&amp;"|"&amp;$C21,'Base de sorteio'!$I$3:$I$1723,0)),"")</f>
        <v/>
      </c>
      <c r="H21" s="4">
        <f>IFERROR(INDEX('Base de sorteio'!$E$3:$E$1723,MATCH($B21&amp;"|"&amp;$C21,'Base de sorteio'!$I$3:$I$1723,0)),"")</f>
        <v/>
      </c>
      <c r="I21" s="4">
        <f>IF(E21="","",HYPERLINK(IFERROR(INDEX('Base de sorteio'!$J$3:$J$1723,MATCH($B21&amp;"|"&amp;$C21,'Base de sorteio'!$I$3:$I$1723,0)),""),"abrir"))</f>
        <v/>
      </c>
      <c r="J21" s="4" t="n"/>
      <c r="K21" s="4" t="n"/>
      <c r="L21" s="4" t="n"/>
      <c r="M21" s="4" t="n"/>
      <c r="N21" s="4">
        <f>IF(AND(K21="",M21=""),"",IF(OR(K21="sim",M21="sim"),"sim",IF(OR(K21="inconclusivo",M21="inconclusivo"),"inconclusivo","não")))</f>
        <v/>
      </c>
      <c r="O21" s="5">
        <f>IF(N21="sim",COUNTIFS($B$3:$B21,$B21,$N$3:$N21,"sim"),"")</f>
        <v/>
      </c>
      <c r="P21" s="5" t="n"/>
      <c r="Q21" s="4" t="n"/>
      <c r="R21" s="5" t="n"/>
      <c r="S21" s="9" t="n"/>
      <c r="T21" s="4" t="n"/>
    </row>
    <row r="22">
      <c r="A22" s="5">
        <f>ROW()-2</f>
        <v/>
      </c>
      <c r="B22" s="4" t="inlineStr">
        <is>
          <t>Metrópole</t>
        </is>
      </c>
      <c r="C22" s="5" t="n">
        <v>20</v>
      </c>
      <c r="D22" s="5">
        <f>IFERROR(INDEX('Base de sorteio'!$A$3:$A$1723,MATCH($B22&amp;"|"&amp;$C22,'Base de sorteio'!$I$3:$I$1723,0)),"")</f>
        <v/>
      </c>
      <c r="E22" s="4">
        <f>IFERROR(INDEX('Base de sorteio'!$B$3:$B$1723,MATCH($B22&amp;"|"&amp;$C22,'Base de sorteio'!$I$3:$I$1723,0)),"")</f>
        <v/>
      </c>
      <c r="F22" s="4">
        <f>IFERROR(INDEX('Base de sorteio'!$C$3:$C$1723,MATCH($B22&amp;"|"&amp;$C22,'Base de sorteio'!$I$3:$I$1723,0)),"")</f>
        <v/>
      </c>
      <c r="G22" s="4">
        <f>IFERROR(INDEX('Base de sorteio'!$D$3:$D$1723,MATCH($B22&amp;"|"&amp;$C22,'Base de sorteio'!$I$3:$I$1723,0)),"")</f>
        <v/>
      </c>
      <c r="H22" s="4">
        <f>IFERROR(INDEX('Base de sorteio'!$E$3:$E$1723,MATCH($B22&amp;"|"&amp;$C22,'Base de sorteio'!$I$3:$I$1723,0)),"")</f>
        <v/>
      </c>
      <c r="I22" s="4">
        <f>IF(E22="","",HYPERLINK(IFERROR(INDEX('Base de sorteio'!$J$3:$J$1723,MATCH($B22&amp;"|"&amp;$C22,'Base de sorteio'!$I$3:$I$1723,0)),""),"abrir"))</f>
        <v/>
      </c>
      <c r="J22" s="4" t="n"/>
      <c r="K22" s="4" t="n"/>
      <c r="L22" s="4" t="n"/>
      <c r="M22" s="4" t="n"/>
      <c r="N22" s="4">
        <f>IF(AND(K22="",M22=""),"",IF(OR(K22="sim",M22="sim"),"sim",IF(OR(K22="inconclusivo",M22="inconclusivo"),"inconclusivo","não")))</f>
        <v/>
      </c>
      <c r="O22" s="5">
        <f>IF(N22="sim",COUNTIFS($B$3:$B22,$B22,$N$3:$N22,"sim"),"")</f>
        <v/>
      </c>
      <c r="P22" s="5" t="n"/>
      <c r="Q22" s="4" t="n"/>
      <c r="R22" s="5" t="n"/>
      <c r="S22" s="9" t="n"/>
      <c r="T22" s="4" t="n"/>
    </row>
    <row r="23">
      <c r="A23" s="5">
        <f>ROW()-2</f>
        <v/>
      </c>
      <c r="B23" s="4" t="inlineStr">
        <is>
          <t>Metrópole</t>
        </is>
      </c>
      <c r="C23" s="5" t="n">
        <v>21</v>
      </c>
      <c r="D23" s="5">
        <f>IFERROR(INDEX('Base de sorteio'!$A$3:$A$1723,MATCH($B23&amp;"|"&amp;$C23,'Base de sorteio'!$I$3:$I$1723,0)),"")</f>
        <v/>
      </c>
      <c r="E23" s="4">
        <f>IFERROR(INDEX('Base de sorteio'!$B$3:$B$1723,MATCH($B23&amp;"|"&amp;$C23,'Base de sorteio'!$I$3:$I$1723,0)),"")</f>
        <v/>
      </c>
      <c r="F23" s="4">
        <f>IFERROR(INDEX('Base de sorteio'!$C$3:$C$1723,MATCH($B23&amp;"|"&amp;$C23,'Base de sorteio'!$I$3:$I$1723,0)),"")</f>
        <v/>
      </c>
      <c r="G23" s="4">
        <f>IFERROR(INDEX('Base de sorteio'!$D$3:$D$1723,MATCH($B23&amp;"|"&amp;$C23,'Base de sorteio'!$I$3:$I$1723,0)),"")</f>
        <v/>
      </c>
      <c r="H23" s="4">
        <f>IFERROR(INDEX('Base de sorteio'!$E$3:$E$1723,MATCH($B23&amp;"|"&amp;$C23,'Base de sorteio'!$I$3:$I$1723,0)),"")</f>
        <v/>
      </c>
      <c r="I23" s="4">
        <f>IF(E23="","",HYPERLINK(IFERROR(INDEX('Base de sorteio'!$J$3:$J$1723,MATCH($B23&amp;"|"&amp;$C23,'Base de sorteio'!$I$3:$I$1723,0)),""),"abrir"))</f>
        <v/>
      </c>
      <c r="J23" s="4" t="n"/>
      <c r="K23" s="4" t="n"/>
      <c r="L23" s="4" t="n"/>
      <c r="M23" s="4" t="n"/>
      <c r="N23" s="4">
        <f>IF(AND(K23="",M23=""),"",IF(OR(K23="sim",M23="sim"),"sim",IF(OR(K23="inconclusivo",M23="inconclusivo"),"inconclusivo","não")))</f>
        <v/>
      </c>
      <c r="O23" s="5">
        <f>IF(N23="sim",COUNTIFS($B$3:$B23,$B23,$N$3:$N23,"sim"),"")</f>
        <v/>
      </c>
      <c r="P23" s="5" t="n"/>
      <c r="Q23" s="4" t="n"/>
      <c r="R23" s="5" t="n"/>
      <c r="S23" s="9" t="n"/>
      <c r="T23" s="4" t="n"/>
    </row>
    <row r="24">
      <c r="A24" s="5">
        <f>ROW()-2</f>
        <v/>
      </c>
      <c r="B24" s="4" t="inlineStr">
        <is>
          <t>Metrópole</t>
        </is>
      </c>
      <c r="C24" s="5" t="n">
        <v>22</v>
      </c>
      <c r="D24" s="5">
        <f>IFERROR(INDEX('Base de sorteio'!$A$3:$A$1723,MATCH($B24&amp;"|"&amp;$C24,'Base de sorteio'!$I$3:$I$1723,0)),"")</f>
        <v/>
      </c>
      <c r="E24" s="4">
        <f>IFERROR(INDEX('Base de sorteio'!$B$3:$B$1723,MATCH($B24&amp;"|"&amp;$C24,'Base de sorteio'!$I$3:$I$1723,0)),"")</f>
        <v/>
      </c>
      <c r="F24" s="4">
        <f>IFERROR(INDEX('Base de sorteio'!$C$3:$C$1723,MATCH($B24&amp;"|"&amp;$C24,'Base de sorteio'!$I$3:$I$1723,0)),"")</f>
        <v/>
      </c>
      <c r="G24" s="4">
        <f>IFERROR(INDEX('Base de sorteio'!$D$3:$D$1723,MATCH($B24&amp;"|"&amp;$C24,'Base de sorteio'!$I$3:$I$1723,0)),"")</f>
        <v/>
      </c>
      <c r="H24" s="4">
        <f>IFERROR(INDEX('Base de sorteio'!$E$3:$E$1723,MATCH($B24&amp;"|"&amp;$C24,'Base de sorteio'!$I$3:$I$1723,0)),"")</f>
        <v/>
      </c>
      <c r="I24" s="4">
        <f>IF(E24="","",HYPERLINK(IFERROR(INDEX('Base de sorteio'!$J$3:$J$1723,MATCH($B24&amp;"|"&amp;$C24,'Base de sorteio'!$I$3:$I$1723,0)),""),"abrir"))</f>
        <v/>
      </c>
      <c r="J24" s="4" t="n"/>
      <c r="K24" s="4" t="n"/>
      <c r="L24" s="4" t="n"/>
      <c r="M24" s="4" t="n"/>
      <c r="N24" s="4">
        <f>IF(AND(K24="",M24=""),"",IF(OR(K24="sim",M24="sim"),"sim",IF(OR(K24="inconclusivo",M24="inconclusivo"),"inconclusivo","não")))</f>
        <v/>
      </c>
      <c r="O24" s="5">
        <f>IF(N24="sim",COUNTIFS($B$3:$B24,$B24,$N$3:$N24,"sim"),"")</f>
        <v/>
      </c>
      <c r="P24" s="5" t="n"/>
      <c r="Q24" s="4" t="n"/>
      <c r="R24" s="5" t="n"/>
      <c r="S24" s="9" t="n"/>
      <c r="T24" s="4" t="n"/>
    </row>
    <row r="25">
      <c r="A25" s="5">
        <f>ROW()-2</f>
        <v/>
      </c>
      <c r="B25" s="4" t="inlineStr">
        <is>
          <t>Metrópole</t>
        </is>
      </c>
      <c r="C25" s="5" t="n">
        <v>23</v>
      </c>
      <c r="D25" s="5">
        <f>IFERROR(INDEX('Base de sorteio'!$A$3:$A$1723,MATCH($B25&amp;"|"&amp;$C25,'Base de sorteio'!$I$3:$I$1723,0)),"")</f>
        <v/>
      </c>
      <c r="E25" s="4">
        <f>IFERROR(INDEX('Base de sorteio'!$B$3:$B$1723,MATCH($B25&amp;"|"&amp;$C25,'Base de sorteio'!$I$3:$I$1723,0)),"")</f>
        <v/>
      </c>
      <c r="F25" s="4">
        <f>IFERROR(INDEX('Base de sorteio'!$C$3:$C$1723,MATCH($B25&amp;"|"&amp;$C25,'Base de sorteio'!$I$3:$I$1723,0)),"")</f>
        <v/>
      </c>
      <c r="G25" s="4">
        <f>IFERROR(INDEX('Base de sorteio'!$D$3:$D$1723,MATCH($B25&amp;"|"&amp;$C25,'Base de sorteio'!$I$3:$I$1723,0)),"")</f>
        <v/>
      </c>
      <c r="H25" s="4">
        <f>IFERROR(INDEX('Base de sorteio'!$E$3:$E$1723,MATCH($B25&amp;"|"&amp;$C25,'Base de sorteio'!$I$3:$I$1723,0)),"")</f>
        <v/>
      </c>
      <c r="I25" s="4">
        <f>IF(E25="","",HYPERLINK(IFERROR(INDEX('Base de sorteio'!$J$3:$J$1723,MATCH($B25&amp;"|"&amp;$C25,'Base de sorteio'!$I$3:$I$1723,0)),""),"abrir"))</f>
        <v/>
      </c>
      <c r="J25" s="4" t="n"/>
      <c r="K25" s="4" t="n"/>
      <c r="L25" s="4" t="n"/>
      <c r="M25" s="4" t="n"/>
      <c r="N25" s="4">
        <f>IF(AND(K25="",M25=""),"",IF(OR(K25="sim",M25="sim"),"sim",IF(OR(K25="inconclusivo",M25="inconclusivo"),"inconclusivo","não")))</f>
        <v/>
      </c>
      <c r="O25" s="5">
        <f>IF(N25="sim",COUNTIFS($B$3:$B25,$B25,$N$3:$N25,"sim"),"")</f>
        <v/>
      </c>
      <c r="P25" s="5" t="n"/>
      <c r="Q25" s="4" t="n"/>
      <c r="R25" s="5" t="n"/>
      <c r="S25" s="9" t="n"/>
      <c r="T25" s="4" t="n"/>
    </row>
    <row r="26">
      <c r="A26" s="5">
        <f>ROW()-2</f>
        <v/>
      </c>
      <c r="B26" s="4" t="inlineStr">
        <is>
          <t>Metrópole</t>
        </is>
      </c>
      <c r="C26" s="5" t="n">
        <v>24</v>
      </c>
      <c r="D26" s="5">
        <f>IFERROR(INDEX('Base de sorteio'!$A$3:$A$1723,MATCH($B26&amp;"|"&amp;$C26,'Base de sorteio'!$I$3:$I$1723,0)),"")</f>
        <v/>
      </c>
      <c r="E26" s="4">
        <f>IFERROR(INDEX('Base de sorteio'!$B$3:$B$1723,MATCH($B26&amp;"|"&amp;$C26,'Base de sorteio'!$I$3:$I$1723,0)),"")</f>
        <v/>
      </c>
      <c r="F26" s="4">
        <f>IFERROR(INDEX('Base de sorteio'!$C$3:$C$1723,MATCH($B26&amp;"|"&amp;$C26,'Base de sorteio'!$I$3:$I$1723,0)),"")</f>
        <v/>
      </c>
      <c r="G26" s="4">
        <f>IFERROR(INDEX('Base de sorteio'!$D$3:$D$1723,MATCH($B26&amp;"|"&amp;$C26,'Base de sorteio'!$I$3:$I$1723,0)),"")</f>
        <v/>
      </c>
      <c r="H26" s="4">
        <f>IFERROR(INDEX('Base de sorteio'!$E$3:$E$1723,MATCH($B26&amp;"|"&amp;$C26,'Base de sorteio'!$I$3:$I$1723,0)),"")</f>
        <v/>
      </c>
      <c r="I26" s="4">
        <f>IF(E26="","",HYPERLINK(IFERROR(INDEX('Base de sorteio'!$J$3:$J$1723,MATCH($B26&amp;"|"&amp;$C26,'Base de sorteio'!$I$3:$I$1723,0)),""),"abrir"))</f>
        <v/>
      </c>
      <c r="J26" s="4" t="n"/>
      <c r="K26" s="4" t="n"/>
      <c r="L26" s="4" t="n"/>
      <c r="M26" s="4" t="n"/>
      <c r="N26" s="4">
        <f>IF(AND(K26="",M26=""),"",IF(OR(K26="sim",M26="sim"),"sim",IF(OR(K26="inconclusivo",M26="inconclusivo"),"inconclusivo","não")))</f>
        <v/>
      </c>
      <c r="O26" s="5">
        <f>IF(N26="sim",COUNTIFS($B$3:$B26,$B26,$N$3:$N26,"sim"),"")</f>
        <v/>
      </c>
      <c r="P26" s="5" t="n"/>
      <c r="Q26" s="4" t="n"/>
      <c r="R26" s="5" t="n"/>
      <c r="S26" s="9" t="n"/>
      <c r="T26" s="4" t="n"/>
    </row>
    <row r="27">
      <c r="A27" s="5">
        <f>ROW()-2</f>
        <v/>
      </c>
      <c r="B27" s="4" t="inlineStr">
        <is>
          <t>Metrópole</t>
        </is>
      </c>
      <c r="C27" s="5" t="n">
        <v>25</v>
      </c>
      <c r="D27" s="5">
        <f>IFERROR(INDEX('Base de sorteio'!$A$3:$A$1723,MATCH($B27&amp;"|"&amp;$C27,'Base de sorteio'!$I$3:$I$1723,0)),"")</f>
        <v/>
      </c>
      <c r="E27" s="4">
        <f>IFERROR(INDEX('Base de sorteio'!$B$3:$B$1723,MATCH($B27&amp;"|"&amp;$C27,'Base de sorteio'!$I$3:$I$1723,0)),"")</f>
        <v/>
      </c>
      <c r="F27" s="4">
        <f>IFERROR(INDEX('Base de sorteio'!$C$3:$C$1723,MATCH($B27&amp;"|"&amp;$C27,'Base de sorteio'!$I$3:$I$1723,0)),"")</f>
        <v/>
      </c>
      <c r="G27" s="4">
        <f>IFERROR(INDEX('Base de sorteio'!$D$3:$D$1723,MATCH($B27&amp;"|"&amp;$C27,'Base de sorteio'!$I$3:$I$1723,0)),"")</f>
        <v/>
      </c>
      <c r="H27" s="4">
        <f>IFERROR(INDEX('Base de sorteio'!$E$3:$E$1723,MATCH($B27&amp;"|"&amp;$C27,'Base de sorteio'!$I$3:$I$1723,0)),"")</f>
        <v/>
      </c>
      <c r="I27" s="4">
        <f>IF(E27="","",HYPERLINK(IFERROR(INDEX('Base de sorteio'!$J$3:$J$1723,MATCH($B27&amp;"|"&amp;$C27,'Base de sorteio'!$I$3:$I$1723,0)),""),"abrir"))</f>
        <v/>
      </c>
      <c r="J27" s="4" t="n"/>
      <c r="K27" s="4" t="n"/>
      <c r="L27" s="4" t="n"/>
      <c r="M27" s="4" t="n"/>
      <c r="N27" s="4">
        <f>IF(AND(K27="",M27=""),"",IF(OR(K27="sim",M27="sim"),"sim",IF(OR(K27="inconclusivo",M27="inconclusivo"),"inconclusivo","não")))</f>
        <v/>
      </c>
      <c r="O27" s="5">
        <f>IF(N27="sim",COUNTIFS($B$3:$B27,$B27,$N$3:$N27,"sim"),"")</f>
        <v/>
      </c>
      <c r="P27" s="5" t="n"/>
      <c r="Q27" s="4" t="n"/>
      <c r="R27" s="5" t="n"/>
      <c r="S27" s="9" t="n"/>
      <c r="T27" s="4" t="n"/>
    </row>
    <row r="28">
      <c r="A28" s="5">
        <f>ROW()-2</f>
        <v/>
      </c>
      <c r="B28" s="4" t="inlineStr">
        <is>
          <t>Metrópole</t>
        </is>
      </c>
      <c r="C28" s="5" t="n">
        <v>26</v>
      </c>
      <c r="D28" s="5">
        <f>IFERROR(INDEX('Base de sorteio'!$A$3:$A$1723,MATCH($B28&amp;"|"&amp;$C28,'Base de sorteio'!$I$3:$I$1723,0)),"")</f>
        <v/>
      </c>
      <c r="E28" s="4">
        <f>IFERROR(INDEX('Base de sorteio'!$B$3:$B$1723,MATCH($B28&amp;"|"&amp;$C28,'Base de sorteio'!$I$3:$I$1723,0)),"")</f>
        <v/>
      </c>
      <c r="F28" s="4">
        <f>IFERROR(INDEX('Base de sorteio'!$C$3:$C$1723,MATCH($B28&amp;"|"&amp;$C28,'Base de sorteio'!$I$3:$I$1723,0)),"")</f>
        <v/>
      </c>
      <c r="G28" s="4">
        <f>IFERROR(INDEX('Base de sorteio'!$D$3:$D$1723,MATCH($B28&amp;"|"&amp;$C28,'Base de sorteio'!$I$3:$I$1723,0)),"")</f>
        <v/>
      </c>
      <c r="H28" s="4">
        <f>IFERROR(INDEX('Base de sorteio'!$E$3:$E$1723,MATCH($B28&amp;"|"&amp;$C28,'Base de sorteio'!$I$3:$I$1723,0)),"")</f>
        <v/>
      </c>
      <c r="I28" s="4">
        <f>IF(E28="","",HYPERLINK(IFERROR(INDEX('Base de sorteio'!$J$3:$J$1723,MATCH($B28&amp;"|"&amp;$C28,'Base de sorteio'!$I$3:$I$1723,0)),""),"abrir"))</f>
        <v/>
      </c>
      <c r="J28" s="4" t="n"/>
      <c r="K28" s="4" t="n"/>
      <c r="L28" s="4" t="n"/>
      <c r="M28" s="4" t="n"/>
      <c r="N28" s="4">
        <f>IF(AND(K28="",M28=""),"",IF(OR(K28="sim",M28="sim"),"sim",IF(OR(K28="inconclusivo",M28="inconclusivo"),"inconclusivo","não")))</f>
        <v/>
      </c>
      <c r="O28" s="5">
        <f>IF(N28="sim",COUNTIFS($B$3:$B28,$B28,$N$3:$N28,"sim"),"")</f>
        <v/>
      </c>
      <c r="P28" s="5" t="n"/>
      <c r="Q28" s="4" t="n"/>
      <c r="R28" s="5" t="n"/>
      <c r="S28" s="9" t="n"/>
      <c r="T28" s="4" t="n"/>
    </row>
    <row r="29">
      <c r="A29" s="5">
        <f>ROW()-2</f>
        <v/>
      </c>
      <c r="B29" s="4" t="inlineStr">
        <is>
          <t>Metrópole</t>
        </is>
      </c>
      <c r="C29" s="5" t="n">
        <v>27</v>
      </c>
      <c r="D29" s="5">
        <f>IFERROR(INDEX('Base de sorteio'!$A$3:$A$1723,MATCH($B29&amp;"|"&amp;$C29,'Base de sorteio'!$I$3:$I$1723,0)),"")</f>
        <v/>
      </c>
      <c r="E29" s="4">
        <f>IFERROR(INDEX('Base de sorteio'!$B$3:$B$1723,MATCH($B29&amp;"|"&amp;$C29,'Base de sorteio'!$I$3:$I$1723,0)),"")</f>
        <v/>
      </c>
      <c r="F29" s="4">
        <f>IFERROR(INDEX('Base de sorteio'!$C$3:$C$1723,MATCH($B29&amp;"|"&amp;$C29,'Base de sorteio'!$I$3:$I$1723,0)),"")</f>
        <v/>
      </c>
      <c r="G29" s="4">
        <f>IFERROR(INDEX('Base de sorteio'!$D$3:$D$1723,MATCH($B29&amp;"|"&amp;$C29,'Base de sorteio'!$I$3:$I$1723,0)),"")</f>
        <v/>
      </c>
      <c r="H29" s="4">
        <f>IFERROR(INDEX('Base de sorteio'!$E$3:$E$1723,MATCH($B29&amp;"|"&amp;$C29,'Base de sorteio'!$I$3:$I$1723,0)),"")</f>
        <v/>
      </c>
      <c r="I29" s="4">
        <f>IF(E29="","",HYPERLINK(IFERROR(INDEX('Base de sorteio'!$J$3:$J$1723,MATCH($B29&amp;"|"&amp;$C29,'Base de sorteio'!$I$3:$I$1723,0)),""),"abrir"))</f>
        <v/>
      </c>
      <c r="J29" s="4" t="n"/>
      <c r="K29" s="4" t="n"/>
      <c r="L29" s="4" t="n"/>
      <c r="M29" s="4" t="n"/>
      <c r="N29" s="4">
        <f>IF(AND(K29="",M29=""),"",IF(OR(K29="sim",M29="sim"),"sim",IF(OR(K29="inconclusivo",M29="inconclusivo"),"inconclusivo","não")))</f>
        <v/>
      </c>
      <c r="O29" s="5">
        <f>IF(N29="sim",COUNTIFS($B$3:$B29,$B29,$N$3:$N29,"sim"),"")</f>
        <v/>
      </c>
      <c r="P29" s="5" t="n"/>
      <c r="Q29" s="4" t="n"/>
      <c r="R29" s="5" t="n"/>
      <c r="S29" s="9" t="n"/>
      <c r="T29" s="4" t="n"/>
    </row>
    <row r="30">
      <c r="A30" s="5">
        <f>ROW()-2</f>
        <v/>
      </c>
      <c r="B30" s="4" t="inlineStr">
        <is>
          <t>Metrópole</t>
        </is>
      </c>
      <c r="C30" s="5" t="n">
        <v>28</v>
      </c>
      <c r="D30" s="5">
        <f>IFERROR(INDEX('Base de sorteio'!$A$3:$A$1723,MATCH($B30&amp;"|"&amp;$C30,'Base de sorteio'!$I$3:$I$1723,0)),"")</f>
        <v/>
      </c>
      <c r="E30" s="4">
        <f>IFERROR(INDEX('Base de sorteio'!$B$3:$B$1723,MATCH($B30&amp;"|"&amp;$C30,'Base de sorteio'!$I$3:$I$1723,0)),"")</f>
        <v/>
      </c>
      <c r="F30" s="4">
        <f>IFERROR(INDEX('Base de sorteio'!$C$3:$C$1723,MATCH($B30&amp;"|"&amp;$C30,'Base de sorteio'!$I$3:$I$1723,0)),"")</f>
        <v/>
      </c>
      <c r="G30" s="4">
        <f>IFERROR(INDEX('Base de sorteio'!$D$3:$D$1723,MATCH($B30&amp;"|"&amp;$C30,'Base de sorteio'!$I$3:$I$1723,0)),"")</f>
        <v/>
      </c>
      <c r="H30" s="4">
        <f>IFERROR(INDEX('Base de sorteio'!$E$3:$E$1723,MATCH($B30&amp;"|"&amp;$C30,'Base de sorteio'!$I$3:$I$1723,0)),"")</f>
        <v/>
      </c>
      <c r="I30" s="4">
        <f>IF(E30="","",HYPERLINK(IFERROR(INDEX('Base de sorteio'!$J$3:$J$1723,MATCH($B30&amp;"|"&amp;$C30,'Base de sorteio'!$I$3:$I$1723,0)),""),"abrir"))</f>
        <v/>
      </c>
      <c r="J30" s="4" t="n"/>
      <c r="K30" s="4" t="n"/>
      <c r="L30" s="4" t="n"/>
      <c r="M30" s="4" t="n"/>
      <c r="N30" s="4">
        <f>IF(AND(K30="",M30=""),"",IF(OR(K30="sim",M30="sim"),"sim",IF(OR(K30="inconclusivo",M30="inconclusivo"),"inconclusivo","não")))</f>
        <v/>
      </c>
      <c r="O30" s="5">
        <f>IF(N30="sim",COUNTIFS($B$3:$B30,$B30,$N$3:$N30,"sim"),"")</f>
        <v/>
      </c>
      <c r="P30" s="5" t="n"/>
      <c r="Q30" s="4" t="n"/>
      <c r="R30" s="5" t="n"/>
      <c r="S30" s="9" t="n"/>
      <c r="T30" s="4" t="n"/>
    </row>
    <row r="31">
      <c r="A31" s="5">
        <f>ROW()-2</f>
        <v/>
      </c>
      <c r="B31" s="4" t="inlineStr">
        <is>
          <t>Metrópole</t>
        </is>
      </c>
      <c r="C31" s="5" t="n">
        <v>29</v>
      </c>
      <c r="D31" s="5">
        <f>IFERROR(INDEX('Base de sorteio'!$A$3:$A$1723,MATCH($B31&amp;"|"&amp;$C31,'Base de sorteio'!$I$3:$I$1723,0)),"")</f>
        <v/>
      </c>
      <c r="E31" s="4">
        <f>IFERROR(INDEX('Base de sorteio'!$B$3:$B$1723,MATCH($B31&amp;"|"&amp;$C31,'Base de sorteio'!$I$3:$I$1723,0)),"")</f>
        <v/>
      </c>
      <c r="F31" s="4">
        <f>IFERROR(INDEX('Base de sorteio'!$C$3:$C$1723,MATCH($B31&amp;"|"&amp;$C31,'Base de sorteio'!$I$3:$I$1723,0)),"")</f>
        <v/>
      </c>
      <c r="G31" s="4">
        <f>IFERROR(INDEX('Base de sorteio'!$D$3:$D$1723,MATCH($B31&amp;"|"&amp;$C31,'Base de sorteio'!$I$3:$I$1723,0)),"")</f>
        <v/>
      </c>
      <c r="H31" s="4">
        <f>IFERROR(INDEX('Base de sorteio'!$E$3:$E$1723,MATCH($B31&amp;"|"&amp;$C31,'Base de sorteio'!$I$3:$I$1723,0)),"")</f>
        <v/>
      </c>
      <c r="I31" s="4">
        <f>IF(E31="","",HYPERLINK(IFERROR(INDEX('Base de sorteio'!$J$3:$J$1723,MATCH($B31&amp;"|"&amp;$C31,'Base de sorteio'!$I$3:$I$1723,0)),""),"abrir"))</f>
        <v/>
      </c>
      <c r="J31" s="4" t="n"/>
      <c r="K31" s="4" t="n"/>
      <c r="L31" s="4" t="n"/>
      <c r="M31" s="4" t="n"/>
      <c r="N31" s="4">
        <f>IF(AND(K31="",M31=""),"",IF(OR(K31="sim",M31="sim"),"sim",IF(OR(K31="inconclusivo",M31="inconclusivo"),"inconclusivo","não")))</f>
        <v/>
      </c>
      <c r="O31" s="5">
        <f>IF(N31="sim",COUNTIFS($B$3:$B31,$B31,$N$3:$N31,"sim"),"")</f>
        <v/>
      </c>
      <c r="P31" s="5" t="n"/>
      <c r="Q31" s="4" t="n"/>
      <c r="R31" s="5" t="n"/>
      <c r="S31" s="9" t="n"/>
      <c r="T31" s="4" t="n"/>
    </row>
    <row r="32">
      <c r="A32" s="5">
        <f>ROW()-2</f>
        <v/>
      </c>
      <c r="B32" s="4" t="inlineStr">
        <is>
          <t>Metrópole</t>
        </is>
      </c>
      <c r="C32" s="5" t="n">
        <v>30</v>
      </c>
      <c r="D32" s="5">
        <f>IFERROR(INDEX('Base de sorteio'!$A$3:$A$1723,MATCH($B32&amp;"|"&amp;$C32,'Base de sorteio'!$I$3:$I$1723,0)),"")</f>
        <v/>
      </c>
      <c r="E32" s="4">
        <f>IFERROR(INDEX('Base de sorteio'!$B$3:$B$1723,MATCH($B32&amp;"|"&amp;$C32,'Base de sorteio'!$I$3:$I$1723,0)),"")</f>
        <v/>
      </c>
      <c r="F32" s="4">
        <f>IFERROR(INDEX('Base de sorteio'!$C$3:$C$1723,MATCH($B32&amp;"|"&amp;$C32,'Base de sorteio'!$I$3:$I$1723,0)),"")</f>
        <v/>
      </c>
      <c r="G32" s="4">
        <f>IFERROR(INDEX('Base de sorteio'!$D$3:$D$1723,MATCH($B32&amp;"|"&amp;$C32,'Base de sorteio'!$I$3:$I$1723,0)),"")</f>
        <v/>
      </c>
      <c r="H32" s="4">
        <f>IFERROR(INDEX('Base de sorteio'!$E$3:$E$1723,MATCH($B32&amp;"|"&amp;$C32,'Base de sorteio'!$I$3:$I$1723,0)),"")</f>
        <v/>
      </c>
      <c r="I32" s="4">
        <f>IF(E32="","",HYPERLINK(IFERROR(INDEX('Base de sorteio'!$J$3:$J$1723,MATCH($B32&amp;"|"&amp;$C32,'Base de sorteio'!$I$3:$I$1723,0)),""),"abrir"))</f>
        <v/>
      </c>
      <c r="J32" s="4" t="n"/>
      <c r="K32" s="4" t="n"/>
      <c r="L32" s="4" t="n"/>
      <c r="M32" s="4" t="n"/>
      <c r="N32" s="4">
        <f>IF(AND(K32="",M32=""),"",IF(OR(K32="sim",M32="sim"),"sim",IF(OR(K32="inconclusivo",M32="inconclusivo"),"inconclusivo","não")))</f>
        <v/>
      </c>
      <c r="O32" s="5">
        <f>IF(N32="sim",COUNTIFS($B$3:$B32,$B32,$N$3:$N32,"sim"),"")</f>
        <v/>
      </c>
      <c r="P32" s="5" t="n"/>
      <c r="Q32" s="4" t="n"/>
      <c r="R32" s="5" t="n"/>
      <c r="S32" s="9" t="n"/>
      <c r="T32" s="4" t="n"/>
    </row>
    <row r="33">
      <c r="A33" s="5">
        <f>ROW()-2</f>
        <v/>
      </c>
      <c r="B33" s="4" t="inlineStr">
        <is>
          <t>Metrópole</t>
        </is>
      </c>
      <c r="C33" s="5" t="n">
        <v>31</v>
      </c>
      <c r="D33" s="5">
        <f>IFERROR(INDEX('Base de sorteio'!$A$3:$A$1723,MATCH($B33&amp;"|"&amp;$C33,'Base de sorteio'!$I$3:$I$1723,0)),"")</f>
        <v/>
      </c>
      <c r="E33" s="4">
        <f>IFERROR(INDEX('Base de sorteio'!$B$3:$B$1723,MATCH($B33&amp;"|"&amp;$C33,'Base de sorteio'!$I$3:$I$1723,0)),"")</f>
        <v/>
      </c>
      <c r="F33" s="4">
        <f>IFERROR(INDEX('Base de sorteio'!$C$3:$C$1723,MATCH($B33&amp;"|"&amp;$C33,'Base de sorteio'!$I$3:$I$1723,0)),"")</f>
        <v/>
      </c>
      <c r="G33" s="4">
        <f>IFERROR(INDEX('Base de sorteio'!$D$3:$D$1723,MATCH($B33&amp;"|"&amp;$C33,'Base de sorteio'!$I$3:$I$1723,0)),"")</f>
        <v/>
      </c>
      <c r="H33" s="4">
        <f>IFERROR(INDEX('Base de sorteio'!$E$3:$E$1723,MATCH($B33&amp;"|"&amp;$C33,'Base de sorteio'!$I$3:$I$1723,0)),"")</f>
        <v/>
      </c>
      <c r="I33" s="4">
        <f>IF(E33="","",HYPERLINK(IFERROR(INDEX('Base de sorteio'!$J$3:$J$1723,MATCH($B33&amp;"|"&amp;$C33,'Base de sorteio'!$I$3:$I$1723,0)),""),"abrir"))</f>
        <v/>
      </c>
      <c r="J33" s="4" t="n"/>
      <c r="K33" s="4" t="n"/>
      <c r="L33" s="4" t="n"/>
      <c r="M33" s="4" t="n"/>
      <c r="N33" s="4">
        <f>IF(AND(K33="",M33=""),"",IF(OR(K33="sim",M33="sim"),"sim",IF(OR(K33="inconclusivo",M33="inconclusivo"),"inconclusivo","não")))</f>
        <v/>
      </c>
      <c r="O33" s="5">
        <f>IF(N33="sim",COUNTIFS($B$3:$B33,$B33,$N$3:$N33,"sim"),"")</f>
        <v/>
      </c>
      <c r="P33" s="5" t="n"/>
      <c r="Q33" s="4" t="n"/>
      <c r="R33" s="5" t="n"/>
      <c r="S33" s="9" t="n"/>
      <c r="T33" s="4" t="n"/>
    </row>
    <row r="34">
      <c r="A34" s="5">
        <f>ROW()-2</f>
        <v/>
      </c>
      <c r="B34" s="4" t="inlineStr">
        <is>
          <t>Metrópole</t>
        </is>
      </c>
      <c r="C34" s="5" t="n">
        <v>32</v>
      </c>
      <c r="D34" s="5">
        <f>IFERROR(INDEX('Base de sorteio'!$A$3:$A$1723,MATCH($B34&amp;"|"&amp;$C34,'Base de sorteio'!$I$3:$I$1723,0)),"")</f>
        <v/>
      </c>
      <c r="E34" s="4">
        <f>IFERROR(INDEX('Base de sorteio'!$B$3:$B$1723,MATCH($B34&amp;"|"&amp;$C34,'Base de sorteio'!$I$3:$I$1723,0)),"")</f>
        <v/>
      </c>
      <c r="F34" s="4">
        <f>IFERROR(INDEX('Base de sorteio'!$C$3:$C$1723,MATCH($B34&amp;"|"&amp;$C34,'Base de sorteio'!$I$3:$I$1723,0)),"")</f>
        <v/>
      </c>
      <c r="G34" s="4">
        <f>IFERROR(INDEX('Base de sorteio'!$D$3:$D$1723,MATCH($B34&amp;"|"&amp;$C34,'Base de sorteio'!$I$3:$I$1723,0)),"")</f>
        <v/>
      </c>
      <c r="H34" s="4">
        <f>IFERROR(INDEX('Base de sorteio'!$E$3:$E$1723,MATCH($B34&amp;"|"&amp;$C34,'Base de sorteio'!$I$3:$I$1723,0)),"")</f>
        <v/>
      </c>
      <c r="I34" s="4">
        <f>IF(E34="","",HYPERLINK(IFERROR(INDEX('Base de sorteio'!$J$3:$J$1723,MATCH($B34&amp;"|"&amp;$C34,'Base de sorteio'!$I$3:$I$1723,0)),""),"abrir"))</f>
        <v/>
      </c>
      <c r="J34" s="4" t="n"/>
      <c r="K34" s="4" t="n"/>
      <c r="L34" s="4" t="n"/>
      <c r="M34" s="4" t="n"/>
      <c r="N34" s="4">
        <f>IF(AND(K34="",M34=""),"",IF(OR(K34="sim",M34="sim"),"sim",IF(OR(K34="inconclusivo",M34="inconclusivo"),"inconclusivo","não")))</f>
        <v/>
      </c>
      <c r="O34" s="5">
        <f>IF(N34="sim",COUNTIFS($B$3:$B34,$B34,$N$3:$N34,"sim"),"")</f>
        <v/>
      </c>
      <c r="P34" s="5" t="n"/>
      <c r="Q34" s="4" t="n"/>
      <c r="R34" s="5" t="n"/>
      <c r="S34" s="9" t="n"/>
      <c r="T34" s="4" t="n"/>
    </row>
    <row r="35">
      <c r="A35" s="5">
        <f>ROW()-2</f>
        <v/>
      </c>
      <c r="B35" s="4" t="inlineStr">
        <is>
          <t>Metrópole</t>
        </is>
      </c>
      <c r="C35" s="5" t="n">
        <v>33</v>
      </c>
      <c r="D35" s="5">
        <f>IFERROR(INDEX('Base de sorteio'!$A$3:$A$1723,MATCH($B35&amp;"|"&amp;$C35,'Base de sorteio'!$I$3:$I$1723,0)),"")</f>
        <v/>
      </c>
      <c r="E35" s="4">
        <f>IFERROR(INDEX('Base de sorteio'!$B$3:$B$1723,MATCH($B35&amp;"|"&amp;$C35,'Base de sorteio'!$I$3:$I$1723,0)),"")</f>
        <v/>
      </c>
      <c r="F35" s="4">
        <f>IFERROR(INDEX('Base de sorteio'!$C$3:$C$1723,MATCH($B35&amp;"|"&amp;$C35,'Base de sorteio'!$I$3:$I$1723,0)),"")</f>
        <v/>
      </c>
      <c r="G35" s="4">
        <f>IFERROR(INDEX('Base de sorteio'!$D$3:$D$1723,MATCH($B35&amp;"|"&amp;$C35,'Base de sorteio'!$I$3:$I$1723,0)),"")</f>
        <v/>
      </c>
      <c r="H35" s="4">
        <f>IFERROR(INDEX('Base de sorteio'!$E$3:$E$1723,MATCH($B35&amp;"|"&amp;$C35,'Base de sorteio'!$I$3:$I$1723,0)),"")</f>
        <v/>
      </c>
      <c r="I35" s="4">
        <f>IF(E35="","",HYPERLINK(IFERROR(INDEX('Base de sorteio'!$J$3:$J$1723,MATCH($B35&amp;"|"&amp;$C35,'Base de sorteio'!$I$3:$I$1723,0)),""),"abrir"))</f>
        <v/>
      </c>
      <c r="J35" s="4" t="n"/>
      <c r="K35" s="4" t="n"/>
      <c r="L35" s="4" t="n"/>
      <c r="M35" s="4" t="n"/>
      <c r="N35" s="4">
        <f>IF(AND(K35="",M35=""),"",IF(OR(K35="sim",M35="sim"),"sim",IF(OR(K35="inconclusivo",M35="inconclusivo"),"inconclusivo","não")))</f>
        <v/>
      </c>
      <c r="O35" s="5">
        <f>IF(N35="sim",COUNTIFS($B$3:$B35,$B35,$N$3:$N35,"sim"),"")</f>
        <v/>
      </c>
      <c r="P35" s="5" t="n"/>
      <c r="Q35" s="4" t="n"/>
      <c r="R35" s="5" t="n"/>
      <c r="S35" s="9" t="n"/>
      <c r="T35" s="4" t="n"/>
    </row>
    <row r="36">
      <c r="A36" s="5">
        <f>ROW()-2</f>
        <v/>
      </c>
      <c r="B36" s="4" t="inlineStr">
        <is>
          <t>Metrópole</t>
        </is>
      </c>
      <c r="C36" s="5" t="n">
        <v>34</v>
      </c>
      <c r="D36" s="5">
        <f>IFERROR(INDEX('Base de sorteio'!$A$3:$A$1723,MATCH($B36&amp;"|"&amp;$C36,'Base de sorteio'!$I$3:$I$1723,0)),"")</f>
        <v/>
      </c>
      <c r="E36" s="4">
        <f>IFERROR(INDEX('Base de sorteio'!$B$3:$B$1723,MATCH($B36&amp;"|"&amp;$C36,'Base de sorteio'!$I$3:$I$1723,0)),"")</f>
        <v/>
      </c>
      <c r="F36" s="4">
        <f>IFERROR(INDEX('Base de sorteio'!$C$3:$C$1723,MATCH($B36&amp;"|"&amp;$C36,'Base de sorteio'!$I$3:$I$1723,0)),"")</f>
        <v/>
      </c>
      <c r="G36" s="4">
        <f>IFERROR(INDEX('Base de sorteio'!$D$3:$D$1723,MATCH($B36&amp;"|"&amp;$C36,'Base de sorteio'!$I$3:$I$1723,0)),"")</f>
        <v/>
      </c>
      <c r="H36" s="4">
        <f>IFERROR(INDEX('Base de sorteio'!$E$3:$E$1723,MATCH($B36&amp;"|"&amp;$C36,'Base de sorteio'!$I$3:$I$1723,0)),"")</f>
        <v/>
      </c>
      <c r="I36" s="4">
        <f>IF(E36="","",HYPERLINK(IFERROR(INDEX('Base de sorteio'!$J$3:$J$1723,MATCH($B36&amp;"|"&amp;$C36,'Base de sorteio'!$I$3:$I$1723,0)),""),"abrir"))</f>
        <v/>
      </c>
      <c r="J36" s="4" t="n"/>
      <c r="K36" s="4" t="n"/>
      <c r="L36" s="4" t="n"/>
      <c r="M36" s="4" t="n"/>
      <c r="N36" s="4">
        <f>IF(AND(K36="",M36=""),"",IF(OR(K36="sim",M36="sim"),"sim",IF(OR(K36="inconclusivo",M36="inconclusivo"),"inconclusivo","não")))</f>
        <v/>
      </c>
      <c r="O36" s="5">
        <f>IF(N36="sim",COUNTIFS($B$3:$B36,$B36,$N$3:$N36,"sim"),"")</f>
        <v/>
      </c>
      <c r="P36" s="5" t="n"/>
      <c r="Q36" s="4" t="n"/>
      <c r="R36" s="5" t="n"/>
      <c r="S36" s="9" t="n"/>
      <c r="T36" s="4" t="n"/>
    </row>
    <row r="37">
      <c r="A37" s="5">
        <f>ROW()-2</f>
        <v/>
      </c>
      <c r="B37" s="4" t="inlineStr">
        <is>
          <t>Metrópole</t>
        </is>
      </c>
      <c r="C37" s="5" t="n">
        <v>35</v>
      </c>
      <c r="D37" s="5">
        <f>IFERROR(INDEX('Base de sorteio'!$A$3:$A$1723,MATCH($B37&amp;"|"&amp;$C37,'Base de sorteio'!$I$3:$I$1723,0)),"")</f>
        <v/>
      </c>
      <c r="E37" s="4">
        <f>IFERROR(INDEX('Base de sorteio'!$B$3:$B$1723,MATCH($B37&amp;"|"&amp;$C37,'Base de sorteio'!$I$3:$I$1723,0)),"")</f>
        <v/>
      </c>
      <c r="F37" s="4">
        <f>IFERROR(INDEX('Base de sorteio'!$C$3:$C$1723,MATCH($B37&amp;"|"&amp;$C37,'Base de sorteio'!$I$3:$I$1723,0)),"")</f>
        <v/>
      </c>
      <c r="G37" s="4">
        <f>IFERROR(INDEX('Base de sorteio'!$D$3:$D$1723,MATCH($B37&amp;"|"&amp;$C37,'Base de sorteio'!$I$3:$I$1723,0)),"")</f>
        <v/>
      </c>
      <c r="H37" s="4">
        <f>IFERROR(INDEX('Base de sorteio'!$E$3:$E$1723,MATCH($B37&amp;"|"&amp;$C37,'Base de sorteio'!$I$3:$I$1723,0)),"")</f>
        <v/>
      </c>
      <c r="I37" s="4">
        <f>IF(E37="","",HYPERLINK(IFERROR(INDEX('Base de sorteio'!$J$3:$J$1723,MATCH($B37&amp;"|"&amp;$C37,'Base de sorteio'!$I$3:$I$1723,0)),""),"abrir"))</f>
        <v/>
      </c>
      <c r="J37" s="4" t="n"/>
      <c r="K37" s="4" t="n"/>
      <c r="L37" s="4" t="n"/>
      <c r="M37" s="4" t="n"/>
      <c r="N37" s="4">
        <f>IF(AND(K37="",M37=""),"",IF(OR(K37="sim",M37="sim"),"sim",IF(OR(K37="inconclusivo",M37="inconclusivo"),"inconclusivo","não")))</f>
        <v/>
      </c>
      <c r="O37" s="5">
        <f>IF(N37="sim",COUNTIFS($B$3:$B37,$B37,$N$3:$N37,"sim"),"")</f>
        <v/>
      </c>
      <c r="P37" s="5" t="n"/>
      <c r="Q37" s="4" t="n"/>
      <c r="R37" s="5" t="n"/>
      <c r="S37" s="9" t="n"/>
      <c r="T37" s="4" t="n"/>
    </row>
    <row r="38">
      <c r="A38" s="5">
        <f>ROW()-2</f>
        <v/>
      </c>
      <c r="B38" s="4" t="inlineStr">
        <is>
          <t>Metrópole</t>
        </is>
      </c>
      <c r="C38" s="5" t="n">
        <v>36</v>
      </c>
      <c r="D38" s="5">
        <f>IFERROR(INDEX('Base de sorteio'!$A$3:$A$1723,MATCH($B38&amp;"|"&amp;$C38,'Base de sorteio'!$I$3:$I$1723,0)),"")</f>
        <v/>
      </c>
      <c r="E38" s="4">
        <f>IFERROR(INDEX('Base de sorteio'!$B$3:$B$1723,MATCH($B38&amp;"|"&amp;$C38,'Base de sorteio'!$I$3:$I$1723,0)),"")</f>
        <v/>
      </c>
      <c r="F38" s="4">
        <f>IFERROR(INDEX('Base de sorteio'!$C$3:$C$1723,MATCH($B38&amp;"|"&amp;$C38,'Base de sorteio'!$I$3:$I$1723,0)),"")</f>
        <v/>
      </c>
      <c r="G38" s="4">
        <f>IFERROR(INDEX('Base de sorteio'!$D$3:$D$1723,MATCH($B38&amp;"|"&amp;$C38,'Base de sorteio'!$I$3:$I$1723,0)),"")</f>
        <v/>
      </c>
      <c r="H38" s="4">
        <f>IFERROR(INDEX('Base de sorteio'!$E$3:$E$1723,MATCH($B38&amp;"|"&amp;$C38,'Base de sorteio'!$I$3:$I$1723,0)),"")</f>
        <v/>
      </c>
      <c r="I38" s="4">
        <f>IF(E38="","",HYPERLINK(IFERROR(INDEX('Base de sorteio'!$J$3:$J$1723,MATCH($B38&amp;"|"&amp;$C38,'Base de sorteio'!$I$3:$I$1723,0)),""),"abrir"))</f>
        <v/>
      </c>
      <c r="J38" s="4" t="n"/>
      <c r="K38" s="4" t="n"/>
      <c r="L38" s="4" t="n"/>
      <c r="M38" s="4" t="n"/>
      <c r="N38" s="4">
        <f>IF(AND(K38="",M38=""),"",IF(OR(K38="sim",M38="sim"),"sim",IF(OR(K38="inconclusivo",M38="inconclusivo"),"inconclusivo","não")))</f>
        <v/>
      </c>
      <c r="O38" s="5">
        <f>IF(N38="sim",COUNTIFS($B$3:$B38,$B38,$N$3:$N38,"sim"),"")</f>
        <v/>
      </c>
      <c r="P38" s="5" t="n"/>
      <c r="Q38" s="4" t="n"/>
      <c r="R38" s="5" t="n"/>
      <c r="S38" s="9" t="n"/>
      <c r="T38" s="4" t="n"/>
    </row>
    <row r="39">
      <c r="A39" s="5">
        <f>ROW()-2</f>
        <v/>
      </c>
      <c r="B39" s="4" t="inlineStr">
        <is>
          <t>Metrópole</t>
        </is>
      </c>
      <c r="C39" s="5" t="n">
        <v>37</v>
      </c>
      <c r="D39" s="5">
        <f>IFERROR(INDEX('Base de sorteio'!$A$3:$A$1723,MATCH($B39&amp;"|"&amp;$C39,'Base de sorteio'!$I$3:$I$1723,0)),"")</f>
        <v/>
      </c>
      <c r="E39" s="4">
        <f>IFERROR(INDEX('Base de sorteio'!$B$3:$B$1723,MATCH($B39&amp;"|"&amp;$C39,'Base de sorteio'!$I$3:$I$1723,0)),"")</f>
        <v/>
      </c>
      <c r="F39" s="4">
        <f>IFERROR(INDEX('Base de sorteio'!$C$3:$C$1723,MATCH($B39&amp;"|"&amp;$C39,'Base de sorteio'!$I$3:$I$1723,0)),"")</f>
        <v/>
      </c>
      <c r="G39" s="4">
        <f>IFERROR(INDEX('Base de sorteio'!$D$3:$D$1723,MATCH($B39&amp;"|"&amp;$C39,'Base de sorteio'!$I$3:$I$1723,0)),"")</f>
        <v/>
      </c>
      <c r="H39" s="4">
        <f>IFERROR(INDEX('Base de sorteio'!$E$3:$E$1723,MATCH($B39&amp;"|"&amp;$C39,'Base de sorteio'!$I$3:$I$1723,0)),"")</f>
        <v/>
      </c>
      <c r="I39" s="4">
        <f>IF(E39="","",HYPERLINK(IFERROR(INDEX('Base de sorteio'!$J$3:$J$1723,MATCH($B39&amp;"|"&amp;$C39,'Base de sorteio'!$I$3:$I$1723,0)),""),"abrir"))</f>
        <v/>
      </c>
      <c r="J39" s="4" t="n"/>
      <c r="K39" s="4" t="n"/>
      <c r="L39" s="4" t="n"/>
      <c r="M39" s="4" t="n"/>
      <c r="N39" s="4">
        <f>IF(AND(K39="",M39=""),"",IF(OR(K39="sim",M39="sim"),"sim",IF(OR(K39="inconclusivo",M39="inconclusivo"),"inconclusivo","não")))</f>
        <v/>
      </c>
      <c r="O39" s="5">
        <f>IF(N39="sim",COUNTIFS($B$3:$B39,$B39,$N$3:$N39,"sim"),"")</f>
        <v/>
      </c>
      <c r="P39" s="5" t="n"/>
      <c r="Q39" s="4" t="n"/>
      <c r="R39" s="5" t="n"/>
      <c r="S39" s="9" t="n"/>
      <c r="T39" s="4" t="n"/>
    </row>
    <row r="40">
      <c r="A40" s="5">
        <f>ROW()-2</f>
        <v/>
      </c>
      <c r="B40" s="4" t="inlineStr">
        <is>
          <t>Metrópole</t>
        </is>
      </c>
      <c r="C40" s="5" t="n">
        <v>38</v>
      </c>
      <c r="D40" s="5">
        <f>IFERROR(INDEX('Base de sorteio'!$A$3:$A$1723,MATCH($B40&amp;"|"&amp;$C40,'Base de sorteio'!$I$3:$I$1723,0)),"")</f>
        <v/>
      </c>
      <c r="E40" s="4">
        <f>IFERROR(INDEX('Base de sorteio'!$B$3:$B$1723,MATCH($B40&amp;"|"&amp;$C40,'Base de sorteio'!$I$3:$I$1723,0)),"")</f>
        <v/>
      </c>
      <c r="F40" s="4">
        <f>IFERROR(INDEX('Base de sorteio'!$C$3:$C$1723,MATCH($B40&amp;"|"&amp;$C40,'Base de sorteio'!$I$3:$I$1723,0)),"")</f>
        <v/>
      </c>
      <c r="G40" s="4">
        <f>IFERROR(INDEX('Base de sorteio'!$D$3:$D$1723,MATCH($B40&amp;"|"&amp;$C40,'Base de sorteio'!$I$3:$I$1723,0)),"")</f>
        <v/>
      </c>
      <c r="H40" s="4">
        <f>IFERROR(INDEX('Base de sorteio'!$E$3:$E$1723,MATCH($B40&amp;"|"&amp;$C40,'Base de sorteio'!$I$3:$I$1723,0)),"")</f>
        <v/>
      </c>
      <c r="I40" s="4">
        <f>IF(E40="","",HYPERLINK(IFERROR(INDEX('Base de sorteio'!$J$3:$J$1723,MATCH($B40&amp;"|"&amp;$C40,'Base de sorteio'!$I$3:$I$1723,0)),""),"abrir"))</f>
        <v/>
      </c>
      <c r="J40" s="4" t="n"/>
      <c r="K40" s="4" t="n"/>
      <c r="L40" s="4" t="n"/>
      <c r="M40" s="4" t="n"/>
      <c r="N40" s="4">
        <f>IF(AND(K40="",M40=""),"",IF(OR(K40="sim",M40="sim"),"sim",IF(OR(K40="inconclusivo",M40="inconclusivo"),"inconclusivo","não")))</f>
        <v/>
      </c>
      <c r="O40" s="5">
        <f>IF(N40="sim",COUNTIFS($B$3:$B40,$B40,$N$3:$N40,"sim"),"")</f>
        <v/>
      </c>
      <c r="P40" s="5" t="n"/>
      <c r="Q40" s="4" t="n"/>
      <c r="R40" s="5" t="n"/>
      <c r="S40" s="9" t="n"/>
      <c r="T40" s="4" t="n"/>
    </row>
    <row r="41">
      <c r="A41" s="5">
        <f>ROW()-2</f>
        <v/>
      </c>
      <c r="B41" s="4" t="inlineStr">
        <is>
          <t>Metrópole</t>
        </is>
      </c>
      <c r="C41" s="5" t="n">
        <v>39</v>
      </c>
      <c r="D41" s="5">
        <f>IFERROR(INDEX('Base de sorteio'!$A$3:$A$1723,MATCH($B41&amp;"|"&amp;$C41,'Base de sorteio'!$I$3:$I$1723,0)),"")</f>
        <v/>
      </c>
      <c r="E41" s="4">
        <f>IFERROR(INDEX('Base de sorteio'!$B$3:$B$1723,MATCH($B41&amp;"|"&amp;$C41,'Base de sorteio'!$I$3:$I$1723,0)),"")</f>
        <v/>
      </c>
      <c r="F41" s="4">
        <f>IFERROR(INDEX('Base de sorteio'!$C$3:$C$1723,MATCH($B41&amp;"|"&amp;$C41,'Base de sorteio'!$I$3:$I$1723,0)),"")</f>
        <v/>
      </c>
      <c r="G41" s="4">
        <f>IFERROR(INDEX('Base de sorteio'!$D$3:$D$1723,MATCH($B41&amp;"|"&amp;$C41,'Base de sorteio'!$I$3:$I$1723,0)),"")</f>
        <v/>
      </c>
      <c r="H41" s="4">
        <f>IFERROR(INDEX('Base de sorteio'!$E$3:$E$1723,MATCH($B41&amp;"|"&amp;$C41,'Base de sorteio'!$I$3:$I$1723,0)),"")</f>
        <v/>
      </c>
      <c r="I41" s="4">
        <f>IF(E41="","",HYPERLINK(IFERROR(INDEX('Base de sorteio'!$J$3:$J$1723,MATCH($B41&amp;"|"&amp;$C41,'Base de sorteio'!$I$3:$I$1723,0)),""),"abrir"))</f>
        <v/>
      </c>
      <c r="J41" s="4" t="n"/>
      <c r="K41" s="4" t="n"/>
      <c r="L41" s="4" t="n"/>
      <c r="M41" s="4" t="n"/>
      <c r="N41" s="4">
        <f>IF(AND(K41="",M41=""),"",IF(OR(K41="sim",M41="sim"),"sim",IF(OR(K41="inconclusivo",M41="inconclusivo"),"inconclusivo","não")))</f>
        <v/>
      </c>
      <c r="O41" s="5">
        <f>IF(N41="sim",COUNTIFS($B$3:$B41,$B41,$N$3:$N41,"sim"),"")</f>
        <v/>
      </c>
      <c r="P41" s="5" t="n"/>
      <c r="Q41" s="4" t="n"/>
      <c r="R41" s="5" t="n"/>
      <c r="S41" s="9" t="n"/>
      <c r="T41" s="4" t="n"/>
    </row>
    <row r="42">
      <c r="A42" s="5">
        <f>ROW()-2</f>
        <v/>
      </c>
      <c r="B42" s="4" t="inlineStr">
        <is>
          <t>Metrópole</t>
        </is>
      </c>
      <c r="C42" s="5" t="n">
        <v>40</v>
      </c>
      <c r="D42" s="5">
        <f>IFERROR(INDEX('Base de sorteio'!$A$3:$A$1723,MATCH($B42&amp;"|"&amp;$C42,'Base de sorteio'!$I$3:$I$1723,0)),"")</f>
        <v/>
      </c>
      <c r="E42" s="4">
        <f>IFERROR(INDEX('Base de sorteio'!$B$3:$B$1723,MATCH($B42&amp;"|"&amp;$C42,'Base de sorteio'!$I$3:$I$1723,0)),"")</f>
        <v/>
      </c>
      <c r="F42" s="4">
        <f>IFERROR(INDEX('Base de sorteio'!$C$3:$C$1723,MATCH($B42&amp;"|"&amp;$C42,'Base de sorteio'!$I$3:$I$1723,0)),"")</f>
        <v/>
      </c>
      <c r="G42" s="4">
        <f>IFERROR(INDEX('Base de sorteio'!$D$3:$D$1723,MATCH($B42&amp;"|"&amp;$C42,'Base de sorteio'!$I$3:$I$1723,0)),"")</f>
        <v/>
      </c>
      <c r="H42" s="4">
        <f>IFERROR(INDEX('Base de sorteio'!$E$3:$E$1723,MATCH($B42&amp;"|"&amp;$C42,'Base de sorteio'!$I$3:$I$1723,0)),"")</f>
        <v/>
      </c>
      <c r="I42" s="4">
        <f>IF(E42="","",HYPERLINK(IFERROR(INDEX('Base de sorteio'!$J$3:$J$1723,MATCH($B42&amp;"|"&amp;$C42,'Base de sorteio'!$I$3:$I$1723,0)),""),"abrir"))</f>
        <v/>
      </c>
      <c r="J42" s="4" t="n"/>
      <c r="K42" s="4" t="n"/>
      <c r="L42" s="4" t="n"/>
      <c r="M42" s="4" t="n"/>
      <c r="N42" s="4">
        <f>IF(AND(K42="",M42=""),"",IF(OR(K42="sim",M42="sim"),"sim",IF(OR(K42="inconclusivo",M42="inconclusivo"),"inconclusivo","não")))</f>
        <v/>
      </c>
      <c r="O42" s="5">
        <f>IF(N42="sim",COUNTIFS($B$3:$B42,$B42,$N$3:$N42,"sim"),"")</f>
        <v/>
      </c>
      <c r="P42" s="5" t="n"/>
      <c r="Q42" s="4" t="n"/>
      <c r="R42" s="5" t="n"/>
      <c r="S42" s="9" t="n"/>
      <c r="T42" s="4" t="n"/>
    </row>
    <row r="43">
      <c r="A43" s="5">
        <f>ROW()-2</f>
        <v/>
      </c>
      <c r="B43" s="4" t="inlineStr">
        <is>
          <t>Metrópole</t>
        </is>
      </c>
      <c r="C43" s="5" t="n">
        <v>41</v>
      </c>
      <c r="D43" s="5">
        <f>IFERROR(INDEX('Base de sorteio'!$A$3:$A$1723,MATCH($B43&amp;"|"&amp;$C43,'Base de sorteio'!$I$3:$I$1723,0)),"")</f>
        <v/>
      </c>
      <c r="E43" s="4">
        <f>IFERROR(INDEX('Base de sorteio'!$B$3:$B$1723,MATCH($B43&amp;"|"&amp;$C43,'Base de sorteio'!$I$3:$I$1723,0)),"")</f>
        <v/>
      </c>
      <c r="F43" s="4">
        <f>IFERROR(INDEX('Base de sorteio'!$C$3:$C$1723,MATCH($B43&amp;"|"&amp;$C43,'Base de sorteio'!$I$3:$I$1723,0)),"")</f>
        <v/>
      </c>
      <c r="G43" s="4">
        <f>IFERROR(INDEX('Base de sorteio'!$D$3:$D$1723,MATCH($B43&amp;"|"&amp;$C43,'Base de sorteio'!$I$3:$I$1723,0)),"")</f>
        <v/>
      </c>
      <c r="H43" s="4">
        <f>IFERROR(INDEX('Base de sorteio'!$E$3:$E$1723,MATCH($B43&amp;"|"&amp;$C43,'Base de sorteio'!$I$3:$I$1723,0)),"")</f>
        <v/>
      </c>
      <c r="I43" s="4">
        <f>IF(E43="","",HYPERLINK(IFERROR(INDEX('Base de sorteio'!$J$3:$J$1723,MATCH($B43&amp;"|"&amp;$C43,'Base de sorteio'!$I$3:$I$1723,0)),""),"abrir"))</f>
        <v/>
      </c>
      <c r="J43" s="4" t="n"/>
      <c r="K43" s="4" t="n"/>
      <c r="L43" s="4" t="n"/>
      <c r="M43" s="4" t="n"/>
      <c r="N43" s="4">
        <f>IF(AND(K43="",M43=""),"",IF(OR(K43="sim",M43="sim"),"sim",IF(OR(K43="inconclusivo",M43="inconclusivo"),"inconclusivo","não")))</f>
        <v/>
      </c>
      <c r="O43" s="5">
        <f>IF(N43="sim",COUNTIFS($B$3:$B43,$B43,$N$3:$N43,"sim"),"")</f>
        <v/>
      </c>
      <c r="P43" s="5" t="n"/>
      <c r="Q43" s="4" t="n"/>
      <c r="R43" s="5" t="n"/>
      <c r="S43" s="9" t="n"/>
      <c r="T43" s="4" t="n"/>
    </row>
    <row r="44">
      <c r="A44" s="5">
        <f>ROW()-2</f>
        <v/>
      </c>
      <c r="B44" s="4" t="inlineStr">
        <is>
          <t>Metrópole</t>
        </is>
      </c>
      <c r="C44" s="5" t="n">
        <v>42</v>
      </c>
      <c r="D44" s="5">
        <f>IFERROR(INDEX('Base de sorteio'!$A$3:$A$1723,MATCH($B44&amp;"|"&amp;$C44,'Base de sorteio'!$I$3:$I$1723,0)),"")</f>
        <v/>
      </c>
      <c r="E44" s="4">
        <f>IFERROR(INDEX('Base de sorteio'!$B$3:$B$1723,MATCH($B44&amp;"|"&amp;$C44,'Base de sorteio'!$I$3:$I$1723,0)),"")</f>
        <v/>
      </c>
      <c r="F44" s="4">
        <f>IFERROR(INDEX('Base de sorteio'!$C$3:$C$1723,MATCH($B44&amp;"|"&amp;$C44,'Base de sorteio'!$I$3:$I$1723,0)),"")</f>
        <v/>
      </c>
      <c r="G44" s="4">
        <f>IFERROR(INDEX('Base de sorteio'!$D$3:$D$1723,MATCH($B44&amp;"|"&amp;$C44,'Base de sorteio'!$I$3:$I$1723,0)),"")</f>
        <v/>
      </c>
      <c r="H44" s="4">
        <f>IFERROR(INDEX('Base de sorteio'!$E$3:$E$1723,MATCH($B44&amp;"|"&amp;$C44,'Base de sorteio'!$I$3:$I$1723,0)),"")</f>
        <v/>
      </c>
      <c r="I44" s="4">
        <f>IF(E44="","",HYPERLINK(IFERROR(INDEX('Base de sorteio'!$J$3:$J$1723,MATCH($B44&amp;"|"&amp;$C44,'Base de sorteio'!$I$3:$I$1723,0)),""),"abrir"))</f>
        <v/>
      </c>
      <c r="J44" s="4" t="n"/>
      <c r="K44" s="4" t="n"/>
      <c r="L44" s="4" t="n"/>
      <c r="M44" s="4" t="n"/>
      <c r="N44" s="4">
        <f>IF(AND(K44="",M44=""),"",IF(OR(K44="sim",M44="sim"),"sim",IF(OR(K44="inconclusivo",M44="inconclusivo"),"inconclusivo","não")))</f>
        <v/>
      </c>
      <c r="O44" s="5">
        <f>IF(N44="sim",COUNTIFS($B$3:$B44,$B44,$N$3:$N44,"sim"),"")</f>
        <v/>
      </c>
      <c r="P44" s="5" t="n"/>
      <c r="Q44" s="4" t="n"/>
      <c r="R44" s="5" t="n"/>
      <c r="S44" s="9" t="n"/>
      <c r="T44" s="4" t="n"/>
    </row>
    <row r="45">
      <c r="A45" s="5">
        <f>ROW()-2</f>
        <v/>
      </c>
      <c r="B45" s="4" t="inlineStr">
        <is>
          <t>Metrópole</t>
        </is>
      </c>
      <c r="C45" s="5" t="n">
        <v>43</v>
      </c>
      <c r="D45" s="5">
        <f>IFERROR(INDEX('Base de sorteio'!$A$3:$A$1723,MATCH($B45&amp;"|"&amp;$C45,'Base de sorteio'!$I$3:$I$1723,0)),"")</f>
        <v/>
      </c>
      <c r="E45" s="4">
        <f>IFERROR(INDEX('Base de sorteio'!$B$3:$B$1723,MATCH($B45&amp;"|"&amp;$C45,'Base de sorteio'!$I$3:$I$1723,0)),"")</f>
        <v/>
      </c>
      <c r="F45" s="4">
        <f>IFERROR(INDEX('Base de sorteio'!$C$3:$C$1723,MATCH($B45&amp;"|"&amp;$C45,'Base de sorteio'!$I$3:$I$1723,0)),"")</f>
        <v/>
      </c>
      <c r="G45" s="4">
        <f>IFERROR(INDEX('Base de sorteio'!$D$3:$D$1723,MATCH($B45&amp;"|"&amp;$C45,'Base de sorteio'!$I$3:$I$1723,0)),"")</f>
        <v/>
      </c>
      <c r="H45" s="4">
        <f>IFERROR(INDEX('Base de sorteio'!$E$3:$E$1723,MATCH($B45&amp;"|"&amp;$C45,'Base de sorteio'!$I$3:$I$1723,0)),"")</f>
        <v/>
      </c>
      <c r="I45" s="4">
        <f>IF(E45="","",HYPERLINK(IFERROR(INDEX('Base de sorteio'!$J$3:$J$1723,MATCH($B45&amp;"|"&amp;$C45,'Base de sorteio'!$I$3:$I$1723,0)),""),"abrir"))</f>
        <v/>
      </c>
      <c r="J45" s="4" t="n"/>
      <c r="K45" s="4" t="n"/>
      <c r="L45" s="4" t="n"/>
      <c r="M45" s="4" t="n"/>
      <c r="N45" s="4">
        <f>IF(AND(K45="",M45=""),"",IF(OR(K45="sim",M45="sim"),"sim",IF(OR(K45="inconclusivo",M45="inconclusivo"),"inconclusivo","não")))</f>
        <v/>
      </c>
      <c r="O45" s="5">
        <f>IF(N45="sim",COUNTIFS($B$3:$B45,$B45,$N$3:$N45,"sim"),"")</f>
        <v/>
      </c>
      <c r="P45" s="5" t="n"/>
      <c r="Q45" s="4" t="n"/>
      <c r="R45" s="5" t="n"/>
      <c r="S45" s="9" t="n"/>
      <c r="T45" s="4" t="n"/>
    </row>
    <row r="46">
      <c r="A46" s="5">
        <f>ROW()-2</f>
        <v/>
      </c>
      <c r="B46" s="4" t="inlineStr">
        <is>
          <t>Metrópole</t>
        </is>
      </c>
      <c r="C46" s="5" t="n">
        <v>44</v>
      </c>
      <c r="D46" s="5">
        <f>IFERROR(INDEX('Base de sorteio'!$A$3:$A$1723,MATCH($B46&amp;"|"&amp;$C46,'Base de sorteio'!$I$3:$I$1723,0)),"")</f>
        <v/>
      </c>
      <c r="E46" s="4">
        <f>IFERROR(INDEX('Base de sorteio'!$B$3:$B$1723,MATCH($B46&amp;"|"&amp;$C46,'Base de sorteio'!$I$3:$I$1723,0)),"")</f>
        <v/>
      </c>
      <c r="F46" s="4">
        <f>IFERROR(INDEX('Base de sorteio'!$C$3:$C$1723,MATCH($B46&amp;"|"&amp;$C46,'Base de sorteio'!$I$3:$I$1723,0)),"")</f>
        <v/>
      </c>
      <c r="G46" s="4">
        <f>IFERROR(INDEX('Base de sorteio'!$D$3:$D$1723,MATCH($B46&amp;"|"&amp;$C46,'Base de sorteio'!$I$3:$I$1723,0)),"")</f>
        <v/>
      </c>
      <c r="H46" s="4">
        <f>IFERROR(INDEX('Base de sorteio'!$E$3:$E$1723,MATCH($B46&amp;"|"&amp;$C46,'Base de sorteio'!$I$3:$I$1723,0)),"")</f>
        <v/>
      </c>
      <c r="I46" s="4">
        <f>IF(E46="","",HYPERLINK(IFERROR(INDEX('Base de sorteio'!$J$3:$J$1723,MATCH($B46&amp;"|"&amp;$C46,'Base de sorteio'!$I$3:$I$1723,0)),""),"abrir"))</f>
        <v/>
      </c>
      <c r="J46" s="4" t="n"/>
      <c r="K46" s="4" t="n"/>
      <c r="L46" s="4" t="n"/>
      <c r="M46" s="4" t="n"/>
      <c r="N46" s="4">
        <f>IF(AND(K46="",M46=""),"",IF(OR(K46="sim",M46="sim"),"sim",IF(OR(K46="inconclusivo",M46="inconclusivo"),"inconclusivo","não")))</f>
        <v/>
      </c>
      <c r="O46" s="5">
        <f>IF(N46="sim",COUNTIFS($B$3:$B46,$B46,$N$3:$N46,"sim"),"")</f>
        <v/>
      </c>
      <c r="P46" s="5" t="n"/>
      <c r="Q46" s="4" t="n"/>
      <c r="R46" s="5" t="n"/>
      <c r="S46" s="9" t="n"/>
      <c r="T46" s="4" t="n"/>
    </row>
    <row r="47">
      <c r="A47" s="5">
        <f>ROW()-2</f>
        <v/>
      </c>
      <c r="B47" s="4" t="inlineStr">
        <is>
          <t>Metrópole</t>
        </is>
      </c>
      <c r="C47" s="5" t="n">
        <v>45</v>
      </c>
      <c r="D47" s="5">
        <f>IFERROR(INDEX('Base de sorteio'!$A$3:$A$1723,MATCH($B47&amp;"|"&amp;$C47,'Base de sorteio'!$I$3:$I$1723,0)),"")</f>
        <v/>
      </c>
      <c r="E47" s="4">
        <f>IFERROR(INDEX('Base de sorteio'!$B$3:$B$1723,MATCH($B47&amp;"|"&amp;$C47,'Base de sorteio'!$I$3:$I$1723,0)),"")</f>
        <v/>
      </c>
      <c r="F47" s="4">
        <f>IFERROR(INDEX('Base de sorteio'!$C$3:$C$1723,MATCH($B47&amp;"|"&amp;$C47,'Base de sorteio'!$I$3:$I$1723,0)),"")</f>
        <v/>
      </c>
      <c r="G47" s="4">
        <f>IFERROR(INDEX('Base de sorteio'!$D$3:$D$1723,MATCH($B47&amp;"|"&amp;$C47,'Base de sorteio'!$I$3:$I$1723,0)),"")</f>
        <v/>
      </c>
      <c r="H47" s="4">
        <f>IFERROR(INDEX('Base de sorteio'!$E$3:$E$1723,MATCH($B47&amp;"|"&amp;$C47,'Base de sorteio'!$I$3:$I$1723,0)),"")</f>
        <v/>
      </c>
      <c r="I47" s="4">
        <f>IF(E47="","",HYPERLINK(IFERROR(INDEX('Base de sorteio'!$J$3:$J$1723,MATCH($B47&amp;"|"&amp;$C47,'Base de sorteio'!$I$3:$I$1723,0)),""),"abrir"))</f>
        <v/>
      </c>
      <c r="J47" s="4" t="n"/>
      <c r="K47" s="4" t="n"/>
      <c r="L47" s="4" t="n"/>
      <c r="M47" s="4" t="n"/>
      <c r="N47" s="4">
        <f>IF(AND(K47="",M47=""),"",IF(OR(K47="sim",M47="sim"),"sim",IF(OR(K47="inconclusivo",M47="inconclusivo"),"inconclusivo","não")))</f>
        <v/>
      </c>
      <c r="O47" s="5">
        <f>IF(N47="sim",COUNTIFS($B$3:$B47,$B47,$N$3:$N47,"sim"),"")</f>
        <v/>
      </c>
      <c r="P47" s="5" t="n"/>
      <c r="Q47" s="4" t="n"/>
      <c r="R47" s="5" t="n"/>
      <c r="S47" s="9" t="n"/>
      <c r="T47" s="4" t="n"/>
    </row>
    <row r="48">
      <c r="A48" s="5">
        <f>ROW()-2</f>
        <v/>
      </c>
      <c r="B48" s="4" t="inlineStr">
        <is>
          <t>Metrópole</t>
        </is>
      </c>
      <c r="C48" s="5" t="n">
        <v>46</v>
      </c>
      <c r="D48" s="5">
        <f>IFERROR(INDEX('Base de sorteio'!$A$3:$A$1723,MATCH($B48&amp;"|"&amp;$C48,'Base de sorteio'!$I$3:$I$1723,0)),"")</f>
        <v/>
      </c>
      <c r="E48" s="4">
        <f>IFERROR(INDEX('Base de sorteio'!$B$3:$B$1723,MATCH($B48&amp;"|"&amp;$C48,'Base de sorteio'!$I$3:$I$1723,0)),"")</f>
        <v/>
      </c>
      <c r="F48" s="4">
        <f>IFERROR(INDEX('Base de sorteio'!$C$3:$C$1723,MATCH($B48&amp;"|"&amp;$C48,'Base de sorteio'!$I$3:$I$1723,0)),"")</f>
        <v/>
      </c>
      <c r="G48" s="4">
        <f>IFERROR(INDEX('Base de sorteio'!$D$3:$D$1723,MATCH($B48&amp;"|"&amp;$C48,'Base de sorteio'!$I$3:$I$1723,0)),"")</f>
        <v/>
      </c>
      <c r="H48" s="4">
        <f>IFERROR(INDEX('Base de sorteio'!$E$3:$E$1723,MATCH($B48&amp;"|"&amp;$C48,'Base de sorteio'!$I$3:$I$1723,0)),"")</f>
        <v/>
      </c>
      <c r="I48" s="4">
        <f>IF(E48="","",HYPERLINK(IFERROR(INDEX('Base de sorteio'!$J$3:$J$1723,MATCH($B48&amp;"|"&amp;$C48,'Base de sorteio'!$I$3:$I$1723,0)),""),"abrir"))</f>
        <v/>
      </c>
      <c r="J48" s="4" t="n"/>
      <c r="K48" s="4" t="n"/>
      <c r="L48" s="4" t="n"/>
      <c r="M48" s="4" t="n"/>
      <c r="N48" s="4">
        <f>IF(AND(K48="",M48=""),"",IF(OR(K48="sim",M48="sim"),"sim",IF(OR(K48="inconclusivo",M48="inconclusivo"),"inconclusivo","não")))</f>
        <v/>
      </c>
      <c r="O48" s="5">
        <f>IF(N48="sim",COUNTIFS($B$3:$B48,$B48,$N$3:$N48,"sim"),"")</f>
        <v/>
      </c>
      <c r="P48" s="5" t="n"/>
      <c r="Q48" s="4" t="n"/>
      <c r="R48" s="5" t="n"/>
      <c r="S48" s="9" t="n"/>
      <c r="T48" s="4" t="n"/>
    </row>
    <row r="49">
      <c r="A49" s="5">
        <f>ROW()-2</f>
        <v/>
      </c>
      <c r="B49" s="4" t="inlineStr">
        <is>
          <t>Metrópole</t>
        </is>
      </c>
      <c r="C49" s="5" t="n">
        <v>47</v>
      </c>
      <c r="D49" s="5">
        <f>IFERROR(INDEX('Base de sorteio'!$A$3:$A$1723,MATCH($B49&amp;"|"&amp;$C49,'Base de sorteio'!$I$3:$I$1723,0)),"")</f>
        <v/>
      </c>
      <c r="E49" s="4">
        <f>IFERROR(INDEX('Base de sorteio'!$B$3:$B$1723,MATCH($B49&amp;"|"&amp;$C49,'Base de sorteio'!$I$3:$I$1723,0)),"")</f>
        <v/>
      </c>
      <c r="F49" s="4">
        <f>IFERROR(INDEX('Base de sorteio'!$C$3:$C$1723,MATCH($B49&amp;"|"&amp;$C49,'Base de sorteio'!$I$3:$I$1723,0)),"")</f>
        <v/>
      </c>
      <c r="G49" s="4">
        <f>IFERROR(INDEX('Base de sorteio'!$D$3:$D$1723,MATCH($B49&amp;"|"&amp;$C49,'Base de sorteio'!$I$3:$I$1723,0)),"")</f>
        <v/>
      </c>
      <c r="H49" s="4">
        <f>IFERROR(INDEX('Base de sorteio'!$E$3:$E$1723,MATCH($B49&amp;"|"&amp;$C49,'Base de sorteio'!$I$3:$I$1723,0)),"")</f>
        <v/>
      </c>
      <c r="I49" s="4">
        <f>IF(E49="","",HYPERLINK(IFERROR(INDEX('Base de sorteio'!$J$3:$J$1723,MATCH($B49&amp;"|"&amp;$C49,'Base de sorteio'!$I$3:$I$1723,0)),""),"abrir"))</f>
        <v/>
      </c>
      <c r="J49" s="4" t="n"/>
      <c r="K49" s="4" t="n"/>
      <c r="L49" s="4" t="n"/>
      <c r="M49" s="4" t="n"/>
      <c r="N49" s="4">
        <f>IF(AND(K49="",M49=""),"",IF(OR(K49="sim",M49="sim"),"sim",IF(OR(K49="inconclusivo",M49="inconclusivo"),"inconclusivo","não")))</f>
        <v/>
      </c>
      <c r="O49" s="5">
        <f>IF(N49="sim",COUNTIFS($B$3:$B49,$B49,$N$3:$N49,"sim"),"")</f>
        <v/>
      </c>
      <c r="P49" s="5" t="n"/>
      <c r="Q49" s="4" t="n"/>
      <c r="R49" s="5" t="n"/>
      <c r="S49" s="9" t="n"/>
      <c r="T49" s="4" t="n"/>
    </row>
    <row r="50">
      <c r="A50" s="5">
        <f>ROW()-2</f>
        <v/>
      </c>
      <c r="B50" s="4" t="inlineStr">
        <is>
          <t>Metrópole</t>
        </is>
      </c>
      <c r="C50" s="5" t="n">
        <v>48</v>
      </c>
      <c r="D50" s="5">
        <f>IFERROR(INDEX('Base de sorteio'!$A$3:$A$1723,MATCH($B50&amp;"|"&amp;$C50,'Base de sorteio'!$I$3:$I$1723,0)),"")</f>
        <v/>
      </c>
      <c r="E50" s="4">
        <f>IFERROR(INDEX('Base de sorteio'!$B$3:$B$1723,MATCH($B50&amp;"|"&amp;$C50,'Base de sorteio'!$I$3:$I$1723,0)),"")</f>
        <v/>
      </c>
      <c r="F50" s="4">
        <f>IFERROR(INDEX('Base de sorteio'!$C$3:$C$1723,MATCH($B50&amp;"|"&amp;$C50,'Base de sorteio'!$I$3:$I$1723,0)),"")</f>
        <v/>
      </c>
      <c r="G50" s="4">
        <f>IFERROR(INDEX('Base de sorteio'!$D$3:$D$1723,MATCH($B50&amp;"|"&amp;$C50,'Base de sorteio'!$I$3:$I$1723,0)),"")</f>
        <v/>
      </c>
      <c r="H50" s="4">
        <f>IFERROR(INDEX('Base de sorteio'!$E$3:$E$1723,MATCH($B50&amp;"|"&amp;$C50,'Base de sorteio'!$I$3:$I$1723,0)),"")</f>
        <v/>
      </c>
      <c r="I50" s="4">
        <f>IF(E50="","",HYPERLINK(IFERROR(INDEX('Base de sorteio'!$J$3:$J$1723,MATCH($B50&amp;"|"&amp;$C50,'Base de sorteio'!$I$3:$I$1723,0)),""),"abrir"))</f>
        <v/>
      </c>
      <c r="J50" s="4" t="n"/>
      <c r="K50" s="4" t="n"/>
      <c r="L50" s="4" t="n"/>
      <c r="M50" s="4" t="n"/>
      <c r="N50" s="4">
        <f>IF(AND(K50="",M50=""),"",IF(OR(K50="sim",M50="sim"),"sim",IF(OR(K50="inconclusivo",M50="inconclusivo"),"inconclusivo","não")))</f>
        <v/>
      </c>
      <c r="O50" s="5">
        <f>IF(N50="sim",COUNTIFS($B$3:$B50,$B50,$N$3:$N50,"sim"),"")</f>
        <v/>
      </c>
      <c r="P50" s="5" t="n"/>
      <c r="Q50" s="4" t="n"/>
      <c r="R50" s="5" t="n"/>
      <c r="S50" s="9" t="n"/>
      <c r="T50" s="4" t="n"/>
    </row>
    <row r="51">
      <c r="A51" s="5">
        <f>ROW()-2</f>
        <v/>
      </c>
      <c r="B51" s="4" t="inlineStr">
        <is>
          <t>Metrópole</t>
        </is>
      </c>
      <c r="C51" s="5" t="n">
        <v>49</v>
      </c>
      <c r="D51" s="5">
        <f>IFERROR(INDEX('Base de sorteio'!$A$3:$A$1723,MATCH($B51&amp;"|"&amp;$C51,'Base de sorteio'!$I$3:$I$1723,0)),"")</f>
        <v/>
      </c>
      <c r="E51" s="4">
        <f>IFERROR(INDEX('Base de sorteio'!$B$3:$B$1723,MATCH($B51&amp;"|"&amp;$C51,'Base de sorteio'!$I$3:$I$1723,0)),"")</f>
        <v/>
      </c>
      <c r="F51" s="4">
        <f>IFERROR(INDEX('Base de sorteio'!$C$3:$C$1723,MATCH($B51&amp;"|"&amp;$C51,'Base de sorteio'!$I$3:$I$1723,0)),"")</f>
        <v/>
      </c>
      <c r="G51" s="4">
        <f>IFERROR(INDEX('Base de sorteio'!$D$3:$D$1723,MATCH($B51&amp;"|"&amp;$C51,'Base de sorteio'!$I$3:$I$1723,0)),"")</f>
        <v/>
      </c>
      <c r="H51" s="4">
        <f>IFERROR(INDEX('Base de sorteio'!$E$3:$E$1723,MATCH($B51&amp;"|"&amp;$C51,'Base de sorteio'!$I$3:$I$1723,0)),"")</f>
        <v/>
      </c>
      <c r="I51" s="4">
        <f>IF(E51="","",HYPERLINK(IFERROR(INDEX('Base de sorteio'!$J$3:$J$1723,MATCH($B51&amp;"|"&amp;$C51,'Base de sorteio'!$I$3:$I$1723,0)),""),"abrir"))</f>
        <v/>
      </c>
      <c r="J51" s="4" t="n"/>
      <c r="K51" s="4" t="n"/>
      <c r="L51" s="4" t="n"/>
      <c r="M51" s="4" t="n"/>
      <c r="N51" s="4">
        <f>IF(AND(K51="",M51=""),"",IF(OR(K51="sim",M51="sim"),"sim",IF(OR(K51="inconclusivo",M51="inconclusivo"),"inconclusivo","não")))</f>
        <v/>
      </c>
      <c r="O51" s="5">
        <f>IF(N51="sim",COUNTIFS($B$3:$B51,$B51,$N$3:$N51,"sim"),"")</f>
        <v/>
      </c>
      <c r="P51" s="5" t="n"/>
      <c r="Q51" s="4" t="n"/>
      <c r="R51" s="5" t="n"/>
      <c r="S51" s="9" t="n"/>
      <c r="T51" s="4" t="n"/>
    </row>
    <row r="52">
      <c r="A52" s="5">
        <f>ROW()-2</f>
        <v/>
      </c>
      <c r="B52" s="4" t="inlineStr">
        <is>
          <t>Metrópole</t>
        </is>
      </c>
      <c r="C52" s="5" t="n">
        <v>50</v>
      </c>
      <c r="D52" s="5">
        <f>IFERROR(INDEX('Base de sorteio'!$A$3:$A$1723,MATCH($B52&amp;"|"&amp;$C52,'Base de sorteio'!$I$3:$I$1723,0)),"")</f>
        <v/>
      </c>
      <c r="E52" s="4">
        <f>IFERROR(INDEX('Base de sorteio'!$B$3:$B$1723,MATCH($B52&amp;"|"&amp;$C52,'Base de sorteio'!$I$3:$I$1723,0)),"")</f>
        <v/>
      </c>
      <c r="F52" s="4">
        <f>IFERROR(INDEX('Base de sorteio'!$C$3:$C$1723,MATCH($B52&amp;"|"&amp;$C52,'Base de sorteio'!$I$3:$I$1723,0)),"")</f>
        <v/>
      </c>
      <c r="G52" s="4">
        <f>IFERROR(INDEX('Base de sorteio'!$D$3:$D$1723,MATCH($B52&amp;"|"&amp;$C52,'Base de sorteio'!$I$3:$I$1723,0)),"")</f>
        <v/>
      </c>
      <c r="H52" s="4">
        <f>IFERROR(INDEX('Base de sorteio'!$E$3:$E$1723,MATCH($B52&amp;"|"&amp;$C52,'Base de sorteio'!$I$3:$I$1723,0)),"")</f>
        <v/>
      </c>
      <c r="I52" s="4">
        <f>IF(E52="","",HYPERLINK(IFERROR(INDEX('Base de sorteio'!$J$3:$J$1723,MATCH($B52&amp;"|"&amp;$C52,'Base de sorteio'!$I$3:$I$1723,0)),""),"abrir"))</f>
        <v/>
      </c>
      <c r="J52" s="4" t="n"/>
      <c r="K52" s="4" t="n"/>
      <c r="L52" s="4" t="n"/>
      <c r="M52" s="4" t="n"/>
      <c r="N52" s="4">
        <f>IF(AND(K52="",M52=""),"",IF(OR(K52="sim",M52="sim"),"sim",IF(OR(K52="inconclusivo",M52="inconclusivo"),"inconclusivo","não")))</f>
        <v/>
      </c>
      <c r="O52" s="5">
        <f>IF(N52="sim",COUNTIFS($B$3:$B52,$B52,$N$3:$N52,"sim"),"")</f>
        <v/>
      </c>
      <c r="P52" s="5" t="n"/>
      <c r="Q52" s="4" t="n"/>
      <c r="R52" s="5" t="n"/>
      <c r="S52" s="9" t="n"/>
      <c r="T52" s="4" t="n"/>
    </row>
    <row r="53">
      <c r="A53" s="5">
        <f>ROW()-2</f>
        <v/>
      </c>
      <c r="B53" s="4" t="inlineStr">
        <is>
          <t>Metrópole</t>
        </is>
      </c>
      <c r="C53" s="5" t="n">
        <v>51</v>
      </c>
      <c r="D53" s="5">
        <f>IFERROR(INDEX('Base de sorteio'!$A$3:$A$1723,MATCH($B53&amp;"|"&amp;$C53,'Base de sorteio'!$I$3:$I$1723,0)),"")</f>
        <v/>
      </c>
      <c r="E53" s="4">
        <f>IFERROR(INDEX('Base de sorteio'!$B$3:$B$1723,MATCH($B53&amp;"|"&amp;$C53,'Base de sorteio'!$I$3:$I$1723,0)),"")</f>
        <v/>
      </c>
      <c r="F53" s="4">
        <f>IFERROR(INDEX('Base de sorteio'!$C$3:$C$1723,MATCH($B53&amp;"|"&amp;$C53,'Base de sorteio'!$I$3:$I$1723,0)),"")</f>
        <v/>
      </c>
      <c r="G53" s="4">
        <f>IFERROR(INDEX('Base de sorteio'!$D$3:$D$1723,MATCH($B53&amp;"|"&amp;$C53,'Base de sorteio'!$I$3:$I$1723,0)),"")</f>
        <v/>
      </c>
      <c r="H53" s="4">
        <f>IFERROR(INDEX('Base de sorteio'!$E$3:$E$1723,MATCH($B53&amp;"|"&amp;$C53,'Base de sorteio'!$I$3:$I$1723,0)),"")</f>
        <v/>
      </c>
      <c r="I53" s="4">
        <f>IF(E53="","",HYPERLINK(IFERROR(INDEX('Base de sorteio'!$J$3:$J$1723,MATCH($B53&amp;"|"&amp;$C53,'Base de sorteio'!$I$3:$I$1723,0)),""),"abrir"))</f>
        <v/>
      </c>
      <c r="J53" s="4" t="n"/>
      <c r="K53" s="4" t="n"/>
      <c r="L53" s="4" t="n"/>
      <c r="M53" s="4" t="n"/>
      <c r="N53" s="4">
        <f>IF(AND(K53="",M53=""),"",IF(OR(K53="sim",M53="sim"),"sim",IF(OR(K53="inconclusivo",M53="inconclusivo"),"inconclusivo","não")))</f>
        <v/>
      </c>
      <c r="O53" s="5">
        <f>IF(N53="sim",COUNTIFS($B$3:$B53,$B53,$N$3:$N53,"sim"),"")</f>
        <v/>
      </c>
      <c r="P53" s="5" t="n"/>
      <c r="Q53" s="4" t="n"/>
      <c r="R53" s="5" t="n"/>
      <c r="S53" s="9" t="n"/>
      <c r="T53" s="4" t="n"/>
    </row>
    <row r="54">
      <c r="A54" s="5">
        <f>ROW()-2</f>
        <v/>
      </c>
      <c r="B54" s="4" t="inlineStr">
        <is>
          <t>Metrópole</t>
        </is>
      </c>
      <c r="C54" s="5" t="n">
        <v>52</v>
      </c>
      <c r="D54" s="5">
        <f>IFERROR(INDEX('Base de sorteio'!$A$3:$A$1723,MATCH($B54&amp;"|"&amp;$C54,'Base de sorteio'!$I$3:$I$1723,0)),"")</f>
        <v/>
      </c>
      <c r="E54" s="4">
        <f>IFERROR(INDEX('Base de sorteio'!$B$3:$B$1723,MATCH($B54&amp;"|"&amp;$C54,'Base de sorteio'!$I$3:$I$1723,0)),"")</f>
        <v/>
      </c>
      <c r="F54" s="4">
        <f>IFERROR(INDEX('Base de sorteio'!$C$3:$C$1723,MATCH($B54&amp;"|"&amp;$C54,'Base de sorteio'!$I$3:$I$1723,0)),"")</f>
        <v/>
      </c>
      <c r="G54" s="4">
        <f>IFERROR(INDEX('Base de sorteio'!$D$3:$D$1723,MATCH($B54&amp;"|"&amp;$C54,'Base de sorteio'!$I$3:$I$1723,0)),"")</f>
        <v/>
      </c>
      <c r="H54" s="4">
        <f>IFERROR(INDEX('Base de sorteio'!$E$3:$E$1723,MATCH($B54&amp;"|"&amp;$C54,'Base de sorteio'!$I$3:$I$1723,0)),"")</f>
        <v/>
      </c>
      <c r="I54" s="4">
        <f>IF(E54="","",HYPERLINK(IFERROR(INDEX('Base de sorteio'!$J$3:$J$1723,MATCH($B54&amp;"|"&amp;$C54,'Base de sorteio'!$I$3:$I$1723,0)),""),"abrir"))</f>
        <v/>
      </c>
      <c r="J54" s="4" t="n"/>
      <c r="K54" s="4" t="n"/>
      <c r="L54" s="4" t="n"/>
      <c r="M54" s="4" t="n"/>
      <c r="N54" s="4">
        <f>IF(AND(K54="",M54=""),"",IF(OR(K54="sim",M54="sim"),"sim",IF(OR(K54="inconclusivo",M54="inconclusivo"),"inconclusivo","não")))</f>
        <v/>
      </c>
      <c r="O54" s="5">
        <f>IF(N54="sim",COUNTIFS($B$3:$B54,$B54,$N$3:$N54,"sim"),"")</f>
        <v/>
      </c>
      <c r="P54" s="5" t="n"/>
      <c r="Q54" s="4" t="n"/>
      <c r="R54" s="5" t="n"/>
      <c r="S54" s="9" t="n"/>
      <c r="T54" s="4" t="n"/>
    </row>
    <row r="55">
      <c r="A55" s="5">
        <f>ROW()-2</f>
        <v/>
      </c>
      <c r="B55" s="4" t="inlineStr">
        <is>
          <t>Metrópole</t>
        </is>
      </c>
      <c r="C55" s="5" t="n">
        <v>53</v>
      </c>
      <c r="D55" s="5">
        <f>IFERROR(INDEX('Base de sorteio'!$A$3:$A$1723,MATCH($B55&amp;"|"&amp;$C55,'Base de sorteio'!$I$3:$I$1723,0)),"")</f>
        <v/>
      </c>
      <c r="E55" s="4">
        <f>IFERROR(INDEX('Base de sorteio'!$B$3:$B$1723,MATCH($B55&amp;"|"&amp;$C55,'Base de sorteio'!$I$3:$I$1723,0)),"")</f>
        <v/>
      </c>
      <c r="F55" s="4">
        <f>IFERROR(INDEX('Base de sorteio'!$C$3:$C$1723,MATCH($B55&amp;"|"&amp;$C55,'Base de sorteio'!$I$3:$I$1723,0)),"")</f>
        <v/>
      </c>
      <c r="G55" s="4">
        <f>IFERROR(INDEX('Base de sorteio'!$D$3:$D$1723,MATCH($B55&amp;"|"&amp;$C55,'Base de sorteio'!$I$3:$I$1723,0)),"")</f>
        <v/>
      </c>
      <c r="H55" s="4">
        <f>IFERROR(INDEX('Base de sorteio'!$E$3:$E$1723,MATCH($B55&amp;"|"&amp;$C55,'Base de sorteio'!$I$3:$I$1723,0)),"")</f>
        <v/>
      </c>
      <c r="I55" s="4">
        <f>IF(E55="","",HYPERLINK(IFERROR(INDEX('Base de sorteio'!$J$3:$J$1723,MATCH($B55&amp;"|"&amp;$C55,'Base de sorteio'!$I$3:$I$1723,0)),""),"abrir"))</f>
        <v/>
      </c>
      <c r="J55" s="4" t="n"/>
      <c r="K55" s="4" t="n"/>
      <c r="L55" s="4" t="n"/>
      <c r="M55" s="4" t="n"/>
      <c r="N55" s="4">
        <f>IF(AND(K55="",M55=""),"",IF(OR(K55="sim",M55="sim"),"sim",IF(OR(K55="inconclusivo",M55="inconclusivo"),"inconclusivo","não")))</f>
        <v/>
      </c>
      <c r="O55" s="5">
        <f>IF(N55="sim",COUNTIFS($B$3:$B55,$B55,$N$3:$N55,"sim"),"")</f>
        <v/>
      </c>
      <c r="P55" s="5" t="n"/>
      <c r="Q55" s="4" t="n"/>
      <c r="R55" s="5" t="n"/>
      <c r="S55" s="9" t="n"/>
      <c r="T55" s="4" t="n"/>
    </row>
    <row r="56">
      <c r="A56" s="5">
        <f>ROW()-2</f>
        <v/>
      </c>
      <c r="B56" s="4" t="inlineStr">
        <is>
          <t>Metrópole</t>
        </is>
      </c>
      <c r="C56" s="5" t="n">
        <v>54</v>
      </c>
      <c r="D56" s="5">
        <f>IFERROR(INDEX('Base de sorteio'!$A$3:$A$1723,MATCH($B56&amp;"|"&amp;$C56,'Base de sorteio'!$I$3:$I$1723,0)),"")</f>
        <v/>
      </c>
      <c r="E56" s="4">
        <f>IFERROR(INDEX('Base de sorteio'!$B$3:$B$1723,MATCH($B56&amp;"|"&amp;$C56,'Base de sorteio'!$I$3:$I$1723,0)),"")</f>
        <v/>
      </c>
      <c r="F56" s="4">
        <f>IFERROR(INDEX('Base de sorteio'!$C$3:$C$1723,MATCH($B56&amp;"|"&amp;$C56,'Base de sorteio'!$I$3:$I$1723,0)),"")</f>
        <v/>
      </c>
      <c r="G56" s="4">
        <f>IFERROR(INDEX('Base de sorteio'!$D$3:$D$1723,MATCH($B56&amp;"|"&amp;$C56,'Base de sorteio'!$I$3:$I$1723,0)),"")</f>
        <v/>
      </c>
      <c r="H56" s="4">
        <f>IFERROR(INDEX('Base de sorteio'!$E$3:$E$1723,MATCH($B56&amp;"|"&amp;$C56,'Base de sorteio'!$I$3:$I$1723,0)),"")</f>
        <v/>
      </c>
      <c r="I56" s="4">
        <f>IF(E56="","",HYPERLINK(IFERROR(INDEX('Base de sorteio'!$J$3:$J$1723,MATCH($B56&amp;"|"&amp;$C56,'Base de sorteio'!$I$3:$I$1723,0)),""),"abrir"))</f>
        <v/>
      </c>
      <c r="J56" s="4" t="n"/>
      <c r="K56" s="4" t="n"/>
      <c r="L56" s="4" t="n"/>
      <c r="M56" s="4" t="n"/>
      <c r="N56" s="4">
        <f>IF(AND(K56="",M56=""),"",IF(OR(K56="sim",M56="sim"),"sim",IF(OR(K56="inconclusivo",M56="inconclusivo"),"inconclusivo","não")))</f>
        <v/>
      </c>
      <c r="O56" s="5">
        <f>IF(N56="sim",COUNTIFS($B$3:$B56,$B56,$N$3:$N56,"sim"),"")</f>
        <v/>
      </c>
      <c r="P56" s="5" t="n"/>
      <c r="Q56" s="4" t="n"/>
      <c r="R56" s="5" t="n"/>
      <c r="S56" s="9" t="n"/>
      <c r="T56" s="4" t="n"/>
    </row>
    <row r="57">
      <c r="A57" s="5">
        <f>ROW()-2</f>
        <v/>
      </c>
      <c r="B57" s="4" t="inlineStr">
        <is>
          <t>Metrópole</t>
        </is>
      </c>
      <c r="C57" s="5" t="n">
        <v>55</v>
      </c>
      <c r="D57" s="5">
        <f>IFERROR(INDEX('Base de sorteio'!$A$3:$A$1723,MATCH($B57&amp;"|"&amp;$C57,'Base de sorteio'!$I$3:$I$1723,0)),"")</f>
        <v/>
      </c>
      <c r="E57" s="4">
        <f>IFERROR(INDEX('Base de sorteio'!$B$3:$B$1723,MATCH($B57&amp;"|"&amp;$C57,'Base de sorteio'!$I$3:$I$1723,0)),"")</f>
        <v/>
      </c>
      <c r="F57" s="4">
        <f>IFERROR(INDEX('Base de sorteio'!$C$3:$C$1723,MATCH($B57&amp;"|"&amp;$C57,'Base de sorteio'!$I$3:$I$1723,0)),"")</f>
        <v/>
      </c>
      <c r="G57" s="4">
        <f>IFERROR(INDEX('Base de sorteio'!$D$3:$D$1723,MATCH($B57&amp;"|"&amp;$C57,'Base de sorteio'!$I$3:$I$1723,0)),"")</f>
        <v/>
      </c>
      <c r="H57" s="4">
        <f>IFERROR(INDEX('Base de sorteio'!$E$3:$E$1723,MATCH($B57&amp;"|"&amp;$C57,'Base de sorteio'!$I$3:$I$1723,0)),"")</f>
        <v/>
      </c>
      <c r="I57" s="4">
        <f>IF(E57="","",HYPERLINK(IFERROR(INDEX('Base de sorteio'!$J$3:$J$1723,MATCH($B57&amp;"|"&amp;$C57,'Base de sorteio'!$I$3:$I$1723,0)),""),"abrir"))</f>
        <v/>
      </c>
      <c r="J57" s="4" t="n"/>
      <c r="K57" s="4" t="n"/>
      <c r="L57" s="4" t="n"/>
      <c r="M57" s="4" t="n"/>
      <c r="N57" s="4">
        <f>IF(AND(K57="",M57=""),"",IF(OR(K57="sim",M57="sim"),"sim",IF(OR(K57="inconclusivo",M57="inconclusivo"),"inconclusivo","não")))</f>
        <v/>
      </c>
      <c r="O57" s="5">
        <f>IF(N57="sim",COUNTIFS($B$3:$B57,$B57,$N$3:$N57,"sim"),"")</f>
        <v/>
      </c>
      <c r="P57" s="5" t="n"/>
      <c r="Q57" s="4" t="n"/>
      <c r="R57" s="5" t="n"/>
      <c r="S57" s="9" t="n"/>
      <c r="T57" s="4" t="n"/>
    </row>
    <row r="58">
      <c r="A58" s="5">
        <f>ROW()-2</f>
        <v/>
      </c>
      <c r="B58" s="4" t="inlineStr">
        <is>
          <t>Metrópole</t>
        </is>
      </c>
      <c r="C58" s="5" t="n">
        <v>56</v>
      </c>
      <c r="D58" s="5">
        <f>IFERROR(INDEX('Base de sorteio'!$A$3:$A$1723,MATCH($B58&amp;"|"&amp;$C58,'Base de sorteio'!$I$3:$I$1723,0)),"")</f>
        <v/>
      </c>
      <c r="E58" s="4">
        <f>IFERROR(INDEX('Base de sorteio'!$B$3:$B$1723,MATCH($B58&amp;"|"&amp;$C58,'Base de sorteio'!$I$3:$I$1723,0)),"")</f>
        <v/>
      </c>
      <c r="F58" s="4">
        <f>IFERROR(INDEX('Base de sorteio'!$C$3:$C$1723,MATCH($B58&amp;"|"&amp;$C58,'Base de sorteio'!$I$3:$I$1723,0)),"")</f>
        <v/>
      </c>
      <c r="G58" s="4">
        <f>IFERROR(INDEX('Base de sorteio'!$D$3:$D$1723,MATCH($B58&amp;"|"&amp;$C58,'Base de sorteio'!$I$3:$I$1723,0)),"")</f>
        <v/>
      </c>
      <c r="H58" s="4">
        <f>IFERROR(INDEX('Base de sorteio'!$E$3:$E$1723,MATCH($B58&amp;"|"&amp;$C58,'Base de sorteio'!$I$3:$I$1723,0)),"")</f>
        <v/>
      </c>
      <c r="I58" s="4">
        <f>IF(E58="","",HYPERLINK(IFERROR(INDEX('Base de sorteio'!$J$3:$J$1723,MATCH($B58&amp;"|"&amp;$C58,'Base de sorteio'!$I$3:$I$1723,0)),""),"abrir"))</f>
        <v/>
      </c>
      <c r="J58" s="4" t="n"/>
      <c r="K58" s="4" t="n"/>
      <c r="L58" s="4" t="n"/>
      <c r="M58" s="4" t="n"/>
      <c r="N58" s="4">
        <f>IF(AND(K58="",M58=""),"",IF(OR(K58="sim",M58="sim"),"sim",IF(OR(K58="inconclusivo",M58="inconclusivo"),"inconclusivo","não")))</f>
        <v/>
      </c>
      <c r="O58" s="5">
        <f>IF(N58="sim",COUNTIFS($B$3:$B58,$B58,$N$3:$N58,"sim"),"")</f>
        <v/>
      </c>
      <c r="P58" s="5" t="n"/>
      <c r="Q58" s="4" t="n"/>
      <c r="R58" s="5" t="n"/>
      <c r="S58" s="9" t="n"/>
      <c r="T58" s="4" t="n"/>
    </row>
    <row r="59">
      <c r="A59" s="5">
        <f>ROW()-2</f>
        <v/>
      </c>
      <c r="B59" s="4" t="inlineStr">
        <is>
          <t>Metrópole</t>
        </is>
      </c>
      <c r="C59" s="5" t="n">
        <v>57</v>
      </c>
      <c r="D59" s="5">
        <f>IFERROR(INDEX('Base de sorteio'!$A$3:$A$1723,MATCH($B59&amp;"|"&amp;$C59,'Base de sorteio'!$I$3:$I$1723,0)),"")</f>
        <v/>
      </c>
      <c r="E59" s="4">
        <f>IFERROR(INDEX('Base de sorteio'!$B$3:$B$1723,MATCH($B59&amp;"|"&amp;$C59,'Base de sorteio'!$I$3:$I$1723,0)),"")</f>
        <v/>
      </c>
      <c r="F59" s="4">
        <f>IFERROR(INDEX('Base de sorteio'!$C$3:$C$1723,MATCH($B59&amp;"|"&amp;$C59,'Base de sorteio'!$I$3:$I$1723,0)),"")</f>
        <v/>
      </c>
      <c r="G59" s="4">
        <f>IFERROR(INDEX('Base de sorteio'!$D$3:$D$1723,MATCH($B59&amp;"|"&amp;$C59,'Base de sorteio'!$I$3:$I$1723,0)),"")</f>
        <v/>
      </c>
      <c r="H59" s="4">
        <f>IFERROR(INDEX('Base de sorteio'!$E$3:$E$1723,MATCH($B59&amp;"|"&amp;$C59,'Base de sorteio'!$I$3:$I$1723,0)),"")</f>
        <v/>
      </c>
      <c r="I59" s="4">
        <f>IF(E59="","",HYPERLINK(IFERROR(INDEX('Base de sorteio'!$J$3:$J$1723,MATCH($B59&amp;"|"&amp;$C59,'Base de sorteio'!$I$3:$I$1723,0)),""),"abrir"))</f>
        <v/>
      </c>
      <c r="J59" s="4" t="n"/>
      <c r="K59" s="4" t="n"/>
      <c r="L59" s="4" t="n"/>
      <c r="M59" s="4" t="n"/>
      <c r="N59" s="4">
        <f>IF(AND(K59="",M59=""),"",IF(OR(K59="sim",M59="sim"),"sim",IF(OR(K59="inconclusivo",M59="inconclusivo"),"inconclusivo","não")))</f>
        <v/>
      </c>
      <c r="O59" s="5">
        <f>IF(N59="sim",COUNTIFS($B$3:$B59,$B59,$N$3:$N59,"sim"),"")</f>
        <v/>
      </c>
      <c r="P59" s="5" t="n"/>
      <c r="Q59" s="4" t="n"/>
      <c r="R59" s="5" t="n"/>
      <c r="S59" s="9" t="n"/>
      <c r="T59" s="4" t="n"/>
    </row>
    <row r="60">
      <c r="A60" s="5">
        <f>ROW()-2</f>
        <v/>
      </c>
      <c r="B60" s="4" t="inlineStr">
        <is>
          <t>Metrópole</t>
        </is>
      </c>
      <c r="C60" s="5" t="n">
        <v>58</v>
      </c>
      <c r="D60" s="5">
        <f>IFERROR(INDEX('Base de sorteio'!$A$3:$A$1723,MATCH($B60&amp;"|"&amp;$C60,'Base de sorteio'!$I$3:$I$1723,0)),"")</f>
        <v/>
      </c>
      <c r="E60" s="4">
        <f>IFERROR(INDEX('Base de sorteio'!$B$3:$B$1723,MATCH($B60&amp;"|"&amp;$C60,'Base de sorteio'!$I$3:$I$1723,0)),"")</f>
        <v/>
      </c>
      <c r="F60" s="4">
        <f>IFERROR(INDEX('Base de sorteio'!$C$3:$C$1723,MATCH($B60&amp;"|"&amp;$C60,'Base de sorteio'!$I$3:$I$1723,0)),"")</f>
        <v/>
      </c>
      <c r="G60" s="4">
        <f>IFERROR(INDEX('Base de sorteio'!$D$3:$D$1723,MATCH($B60&amp;"|"&amp;$C60,'Base de sorteio'!$I$3:$I$1723,0)),"")</f>
        <v/>
      </c>
      <c r="H60" s="4">
        <f>IFERROR(INDEX('Base de sorteio'!$E$3:$E$1723,MATCH($B60&amp;"|"&amp;$C60,'Base de sorteio'!$I$3:$I$1723,0)),"")</f>
        <v/>
      </c>
      <c r="I60" s="4">
        <f>IF(E60="","",HYPERLINK(IFERROR(INDEX('Base de sorteio'!$J$3:$J$1723,MATCH($B60&amp;"|"&amp;$C60,'Base de sorteio'!$I$3:$I$1723,0)),""),"abrir"))</f>
        <v/>
      </c>
      <c r="J60" s="4" t="n"/>
      <c r="K60" s="4" t="n"/>
      <c r="L60" s="4" t="n"/>
      <c r="M60" s="4" t="n"/>
      <c r="N60" s="4">
        <f>IF(AND(K60="",M60=""),"",IF(OR(K60="sim",M60="sim"),"sim",IF(OR(K60="inconclusivo",M60="inconclusivo"),"inconclusivo","não")))</f>
        <v/>
      </c>
      <c r="O60" s="5">
        <f>IF(N60="sim",COUNTIFS($B$3:$B60,$B60,$N$3:$N60,"sim"),"")</f>
        <v/>
      </c>
      <c r="P60" s="5" t="n"/>
      <c r="Q60" s="4" t="n"/>
      <c r="R60" s="5" t="n"/>
      <c r="S60" s="9" t="n"/>
      <c r="T60" s="4" t="n"/>
    </row>
    <row r="61">
      <c r="A61" s="5">
        <f>ROW()-2</f>
        <v/>
      </c>
      <c r="B61" s="4" t="inlineStr">
        <is>
          <t>Metrópole</t>
        </is>
      </c>
      <c r="C61" s="5" t="n">
        <v>59</v>
      </c>
      <c r="D61" s="5">
        <f>IFERROR(INDEX('Base de sorteio'!$A$3:$A$1723,MATCH($B61&amp;"|"&amp;$C61,'Base de sorteio'!$I$3:$I$1723,0)),"")</f>
        <v/>
      </c>
      <c r="E61" s="4">
        <f>IFERROR(INDEX('Base de sorteio'!$B$3:$B$1723,MATCH($B61&amp;"|"&amp;$C61,'Base de sorteio'!$I$3:$I$1723,0)),"")</f>
        <v/>
      </c>
      <c r="F61" s="4">
        <f>IFERROR(INDEX('Base de sorteio'!$C$3:$C$1723,MATCH($B61&amp;"|"&amp;$C61,'Base de sorteio'!$I$3:$I$1723,0)),"")</f>
        <v/>
      </c>
      <c r="G61" s="4">
        <f>IFERROR(INDEX('Base de sorteio'!$D$3:$D$1723,MATCH($B61&amp;"|"&amp;$C61,'Base de sorteio'!$I$3:$I$1723,0)),"")</f>
        <v/>
      </c>
      <c r="H61" s="4">
        <f>IFERROR(INDEX('Base de sorteio'!$E$3:$E$1723,MATCH($B61&amp;"|"&amp;$C61,'Base de sorteio'!$I$3:$I$1723,0)),"")</f>
        <v/>
      </c>
      <c r="I61" s="4">
        <f>IF(E61="","",HYPERLINK(IFERROR(INDEX('Base de sorteio'!$J$3:$J$1723,MATCH($B61&amp;"|"&amp;$C61,'Base de sorteio'!$I$3:$I$1723,0)),""),"abrir"))</f>
        <v/>
      </c>
      <c r="J61" s="4" t="n"/>
      <c r="K61" s="4" t="n"/>
      <c r="L61" s="4" t="n"/>
      <c r="M61" s="4" t="n"/>
      <c r="N61" s="4">
        <f>IF(AND(K61="",M61=""),"",IF(OR(K61="sim",M61="sim"),"sim",IF(OR(K61="inconclusivo",M61="inconclusivo"),"inconclusivo","não")))</f>
        <v/>
      </c>
      <c r="O61" s="5">
        <f>IF(N61="sim",COUNTIFS($B$3:$B61,$B61,$N$3:$N61,"sim"),"")</f>
        <v/>
      </c>
      <c r="P61" s="5" t="n"/>
      <c r="Q61" s="4" t="n"/>
      <c r="R61" s="5" t="n"/>
      <c r="S61" s="9" t="n"/>
      <c r="T61" s="4" t="n"/>
    </row>
    <row r="62">
      <c r="A62" s="5">
        <f>ROW()-2</f>
        <v/>
      </c>
      <c r="B62" s="4" t="inlineStr">
        <is>
          <t>Metrópole</t>
        </is>
      </c>
      <c r="C62" s="5" t="n">
        <v>60</v>
      </c>
      <c r="D62" s="5">
        <f>IFERROR(INDEX('Base de sorteio'!$A$3:$A$1723,MATCH($B62&amp;"|"&amp;$C62,'Base de sorteio'!$I$3:$I$1723,0)),"")</f>
        <v/>
      </c>
      <c r="E62" s="4">
        <f>IFERROR(INDEX('Base de sorteio'!$B$3:$B$1723,MATCH($B62&amp;"|"&amp;$C62,'Base de sorteio'!$I$3:$I$1723,0)),"")</f>
        <v/>
      </c>
      <c r="F62" s="4">
        <f>IFERROR(INDEX('Base de sorteio'!$C$3:$C$1723,MATCH($B62&amp;"|"&amp;$C62,'Base de sorteio'!$I$3:$I$1723,0)),"")</f>
        <v/>
      </c>
      <c r="G62" s="4">
        <f>IFERROR(INDEX('Base de sorteio'!$D$3:$D$1723,MATCH($B62&amp;"|"&amp;$C62,'Base de sorteio'!$I$3:$I$1723,0)),"")</f>
        <v/>
      </c>
      <c r="H62" s="4">
        <f>IFERROR(INDEX('Base de sorteio'!$E$3:$E$1723,MATCH($B62&amp;"|"&amp;$C62,'Base de sorteio'!$I$3:$I$1723,0)),"")</f>
        <v/>
      </c>
      <c r="I62" s="4">
        <f>IF(E62="","",HYPERLINK(IFERROR(INDEX('Base de sorteio'!$J$3:$J$1723,MATCH($B62&amp;"|"&amp;$C62,'Base de sorteio'!$I$3:$I$1723,0)),""),"abrir"))</f>
        <v/>
      </c>
      <c r="J62" s="4" t="n"/>
      <c r="K62" s="4" t="n"/>
      <c r="L62" s="4" t="n"/>
      <c r="M62" s="4" t="n"/>
      <c r="N62" s="4">
        <f>IF(AND(K62="",M62=""),"",IF(OR(K62="sim",M62="sim"),"sim",IF(OR(K62="inconclusivo",M62="inconclusivo"),"inconclusivo","não")))</f>
        <v/>
      </c>
      <c r="O62" s="5">
        <f>IF(N62="sim",COUNTIFS($B$3:$B62,$B62,$N$3:$N62,"sim"),"")</f>
        <v/>
      </c>
      <c r="P62" s="5" t="n"/>
      <c r="Q62" s="4" t="n"/>
      <c r="R62" s="5" t="n"/>
      <c r="S62" s="9" t="n"/>
      <c r="T62" s="4" t="n"/>
    </row>
    <row r="63">
      <c r="A63" s="5">
        <f>ROW()-2</f>
        <v/>
      </c>
      <c r="B63" s="4" t="inlineStr">
        <is>
          <t>Metrópole</t>
        </is>
      </c>
      <c r="C63" s="5" t="n">
        <v>61</v>
      </c>
      <c r="D63" s="5">
        <f>IFERROR(INDEX('Base de sorteio'!$A$3:$A$1723,MATCH($B63&amp;"|"&amp;$C63,'Base de sorteio'!$I$3:$I$1723,0)),"")</f>
        <v/>
      </c>
      <c r="E63" s="4">
        <f>IFERROR(INDEX('Base de sorteio'!$B$3:$B$1723,MATCH($B63&amp;"|"&amp;$C63,'Base de sorteio'!$I$3:$I$1723,0)),"")</f>
        <v/>
      </c>
      <c r="F63" s="4">
        <f>IFERROR(INDEX('Base de sorteio'!$C$3:$C$1723,MATCH($B63&amp;"|"&amp;$C63,'Base de sorteio'!$I$3:$I$1723,0)),"")</f>
        <v/>
      </c>
      <c r="G63" s="4">
        <f>IFERROR(INDEX('Base de sorteio'!$D$3:$D$1723,MATCH($B63&amp;"|"&amp;$C63,'Base de sorteio'!$I$3:$I$1723,0)),"")</f>
        <v/>
      </c>
      <c r="H63" s="4">
        <f>IFERROR(INDEX('Base de sorteio'!$E$3:$E$1723,MATCH($B63&amp;"|"&amp;$C63,'Base de sorteio'!$I$3:$I$1723,0)),"")</f>
        <v/>
      </c>
      <c r="I63" s="4">
        <f>IF(E63="","",HYPERLINK(IFERROR(INDEX('Base de sorteio'!$J$3:$J$1723,MATCH($B63&amp;"|"&amp;$C63,'Base de sorteio'!$I$3:$I$1723,0)),""),"abrir"))</f>
        <v/>
      </c>
      <c r="J63" s="4" t="n"/>
      <c r="K63" s="4" t="n"/>
      <c r="L63" s="4" t="n"/>
      <c r="M63" s="4" t="n"/>
      <c r="N63" s="4">
        <f>IF(AND(K63="",M63=""),"",IF(OR(K63="sim",M63="sim"),"sim",IF(OR(K63="inconclusivo",M63="inconclusivo"),"inconclusivo","não")))</f>
        <v/>
      </c>
      <c r="O63" s="5">
        <f>IF(N63="sim",COUNTIFS($B$3:$B63,$B63,$N$3:$N63,"sim"),"")</f>
        <v/>
      </c>
      <c r="P63" s="5" t="n"/>
      <c r="Q63" s="4" t="n"/>
      <c r="R63" s="5" t="n"/>
      <c r="S63" s="9" t="n"/>
      <c r="T63" s="4" t="n"/>
    </row>
    <row r="64">
      <c r="A64" s="5">
        <f>ROW()-2</f>
        <v/>
      </c>
      <c r="B64" s="4" t="inlineStr">
        <is>
          <t>Metrópole</t>
        </is>
      </c>
      <c r="C64" s="5" t="n">
        <v>62</v>
      </c>
      <c r="D64" s="5">
        <f>IFERROR(INDEX('Base de sorteio'!$A$3:$A$1723,MATCH($B64&amp;"|"&amp;$C64,'Base de sorteio'!$I$3:$I$1723,0)),"")</f>
        <v/>
      </c>
      <c r="E64" s="4">
        <f>IFERROR(INDEX('Base de sorteio'!$B$3:$B$1723,MATCH($B64&amp;"|"&amp;$C64,'Base de sorteio'!$I$3:$I$1723,0)),"")</f>
        <v/>
      </c>
      <c r="F64" s="4">
        <f>IFERROR(INDEX('Base de sorteio'!$C$3:$C$1723,MATCH($B64&amp;"|"&amp;$C64,'Base de sorteio'!$I$3:$I$1723,0)),"")</f>
        <v/>
      </c>
      <c r="G64" s="4">
        <f>IFERROR(INDEX('Base de sorteio'!$D$3:$D$1723,MATCH($B64&amp;"|"&amp;$C64,'Base de sorteio'!$I$3:$I$1723,0)),"")</f>
        <v/>
      </c>
      <c r="H64" s="4">
        <f>IFERROR(INDEX('Base de sorteio'!$E$3:$E$1723,MATCH($B64&amp;"|"&amp;$C64,'Base de sorteio'!$I$3:$I$1723,0)),"")</f>
        <v/>
      </c>
      <c r="I64" s="4">
        <f>IF(E64="","",HYPERLINK(IFERROR(INDEX('Base de sorteio'!$J$3:$J$1723,MATCH($B64&amp;"|"&amp;$C64,'Base de sorteio'!$I$3:$I$1723,0)),""),"abrir"))</f>
        <v/>
      </c>
      <c r="J64" s="4" t="n"/>
      <c r="K64" s="4" t="n"/>
      <c r="L64" s="4" t="n"/>
      <c r="M64" s="4" t="n"/>
      <c r="N64" s="4">
        <f>IF(AND(K64="",M64=""),"",IF(OR(K64="sim",M64="sim"),"sim",IF(OR(K64="inconclusivo",M64="inconclusivo"),"inconclusivo","não")))</f>
        <v/>
      </c>
      <c r="O64" s="5">
        <f>IF(N64="sim",COUNTIFS($B$3:$B64,$B64,$N$3:$N64,"sim"),"")</f>
        <v/>
      </c>
      <c r="P64" s="5" t="n"/>
      <c r="Q64" s="4" t="n"/>
      <c r="R64" s="5" t="n"/>
      <c r="S64" s="9" t="n"/>
      <c r="T64" s="4" t="n"/>
    </row>
    <row r="65">
      <c r="A65" s="5">
        <f>ROW()-2</f>
        <v/>
      </c>
      <c r="B65" s="4" t="inlineStr">
        <is>
          <t>Metrópole</t>
        </is>
      </c>
      <c r="C65" s="5" t="n">
        <v>63</v>
      </c>
      <c r="D65" s="5">
        <f>IFERROR(INDEX('Base de sorteio'!$A$3:$A$1723,MATCH($B65&amp;"|"&amp;$C65,'Base de sorteio'!$I$3:$I$1723,0)),"")</f>
        <v/>
      </c>
      <c r="E65" s="4">
        <f>IFERROR(INDEX('Base de sorteio'!$B$3:$B$1723,MATCH($B65&amp;"|"&amp;$C65,'Base de sorteio'!$I$3:$I$1723,0)),"")</f>
        <v/>
      </c>
      <c r="F65" s="4">
        <f>IFERROR(INDEX('Base de sorteio'!$C$3:$C$1723,MATCH($B65&amp;"|"&amp;$C65,'Base de sorteio'!$I$3:$I$1723,0)),"")</f>
        <v/>
      </c>
      <c r="G65" s="4">
        <f>IFERROR(INDEX('Base de sorteio'!$D$3:$D$1723,MATCH($B65&amp;"|"&amp;$C65,'Base de sorteio'!$I$3:$I$1723,0)),"")</f>
        <v/>
      </c>
      <c r="H65" s="4">
        <f>IFERROR(INDEX('Base de sorteio'!$E$3:$E$1723,MATCH($B65&amp;"|"&amp;$C65,'Base de sorteio'!$I$3:$I$1723,0)),"")</f>
        <v/>
      </c>
      <c r="I65" s="4">
        <f>IF(E65="","",HYPERLINK(IFERROR(INDEX('Base de sorteio'!$J$3:$J$1723,MATCH($B65&amp;"|"&amp;$C65,'Base de sorteio'!$I$3:$I$1723,0)),""),"abrir"))</f>
        <v/>
      </c>
      <c r="J65" s="4" t="n"/>
      <c r="K65" s="4" t="n"/>
      <c r="L65" s="4" t="n"/>
      <c r="M65" s="4" t="n"/>
      <c r="N65" s="4">
        <f>IF(AND(K65="",M65=""),"",IF(OR(K65="sim",M65="sim"),"sim",IF(OR(K65="inconclusivo",M65="inconclusivo"),"inconclusivo","não")))</f>
        <v/>
      </c>
      <c r="O65" s="5">
        <f>IF(N65="sim",COUNTIFS($B$3:$B65,$B65,$N$3:$N65,"sim"),"")</f>
        <v/>
      </c>
      <c r="P65" s="5" t="n"/>
      <c r="Q65" s="4" t="n"/>
      <c r="R65" s="5" t="n"/>
      <c r="S65" s="9" t="n"/>
      <c r="T65" s="4" t="n"/>
    </row>
    <row r="66">
      <c r="A66" s="5">
        <f>ROW()-2</f>
        <v/>
      </c>
      <c r="B66" s="4" t="inlineStr">
        <is>
          <t>Metrópole</t>
        </is>
      </c>
      <c r="C66" s="5" t="n">
        <v>64</v>
      </c>
      <c r="D66" s="5">
        <f>IFERROR(INDEX('Base de sorteio'!$A$3:$A$1723,MATCH($B66&amp;"|"&amp;$C66,'Base de sorteio'!$I$3:$I$1723,0)),"")</f>
        <v/>
      </c>
      <c r="E66" s="4">
        <f>IFERROR(INDEX('Base de sorteio'!$B$3:$B$1723,MATCH($B66&amp;"|"&amp;$C66,'Base de sorteio'!$I$3:$I$1723,0)),"")</f>
        <v/>
      </c>
      <c r="F66" s="4">
        <f>IFERROR(INDEX('Base de sorteio'!$C$3:$C$1723,MATCH($B66&amp;"|"&amp;$C66,'Base de sorteio'!$I$3:$I$1723,0)),"")</f>
        <v/>
      </c>
      <c r="G66" s="4">
        <f>IFERROR(INDEX('Base de sorteio'!$D$3:$D$1723,MATCH($B66&amp;"|"&amp;$C66,'Base de sorteio'!$I$3:$I$1723,0)),"")</f>
        <v/>
      </c>
      <c r="H66" s="4">
        <f>IFERROR(INDEX('Base de sorteio'!$E$3:$E$1723,MATCH($B66&amp;"|"&amp;$C66,'Base de sorteio'!$I$3:$I$1723,0)),"")</f>
        <v/>
      </c>
      <c r="I66" s="4">
        <f>IF(E66="","",HYPERLINK(IFERROR(INDEX('Base de sorteio'!$J$3:$J$1723,MATCH($B66&amp;"|"&amp;$C66,'Base de sorteio'!$I$3:$I$1723,0)),""),"abrir"))</f>
        <v/>
      </c>
      <c r="J66" s="4" t="n"/>
      <c r="K66" s="4" t="n"/>
      <c r="L66" s="4" t="n"/>
      <c r="M66" s="4" t="n"/>
      <c r="N66" s="4">
        <f>IF(AND(K66="",M66=""),"",IF(OR(K66="sim",M66="sim"),"sim",IF(OR(K66="inconclusivo",M66="inconclusivo"),"inconclusivo","não")))</f>
        <v/>
      </c>
      <c r="O66" s="5">
        <f>IF(N66="sim",COUNTIFS($B$3:$B66,$B66,$N$3:$N66,"sim"),"")</f>
        <v/>
      </c>
      <c r="P66" s="5" t="n"/>
      <c r="Q66" s="4" t="n"/>
      <c r="R66" s="5" t="n"/>
      <c r="S66" s="9" t="n"/>
      <c r="T66" s="4" t="n"/>
    </row>
    <row r="67">
      <c r="A67" s="5">
        <f>ROW()-2</f>
        <v/>
      </c>
      <c r="B67" s="4" t="inlineStr">
        <is>
          <t>Metrópole</t>
        </is>
      </c>
      <c r="C67" s="5" t="n">
        <v>65</v>
      </c>
      <c r="D67" s="5">
        <f>IFERROR(INDEX('Base de sorteio'!$A$3:$A$1723,MATCH($B67&amp;"|"&amp;$C67,'Base de sorteio'!$I$3:$I$1723,0)),"")</f>
        <v/>
      </c>
      <c r="E67" s="4">
        <f>IFERROR(INDEX('Base de sorteio'!$B$3:$B$1723,MATCH($B67&amp;"|"&amp;$C67,'Base de sorteio'!$I$3:$I$1723,0)),"")</f>
        <v/>
      </c>
      <c r="F67" s="4">
        <f>IFERROR(INDEX('Base de sorteio'!$C$3:$C$1723,MATCH($B67&amp;"|"&amp;$C67,'Base de sorteio'!$I$3:$I$1723,0)),"")</f>
        <v/>
      </c>
      <c r="G67" s="4">
        <f>IFERROR(INDEX('Base de sorteio'!$D$3:$D$1723,MATCH($B67&amp;"|"&amp;$C67,'Base de sorteio'!$I$3:$I$1723,0)),"")</f>
        <v/>
      </c>
      <c r="H67" s="4">
        <f>IFERROR(INDEX('Base de sorteio'!$E$3:$E$1723,MATCH($B67&amp;"|"&amp;$C67,'Base de sorteio'!$I$3:$I$1723,0)),"")</f>
        <v/>
      </c>
      <c r="I67" s="4">
        <f>IF(E67="","",HYPERLINK(IFERROR(INDEX('Base de sorteio'!$J$3:$J$1723,MATCH($B67&amp;"|"&amp;$C67,'Base de sorteio'!$I$3:$I$1723,0)),""),"abrir"))</f>
        <v/>
      </c>
      <c r="J67" s="4" t="n"/>
      <c r="K67" s="4" t="n"/>
      <c r="L67" s="4" t="n"/>
      <c r="M67" s="4" t="n"/>
      <c r="N67" s="4">
        <f>IF(AND(K67="",M67=""),"",IF(OR(K67="sim",M67="sim"),"sim",IF(OR(K67="inconclusivo",M67="inconclusivo"),"inconclusivo","não")))</f>
        <v/>
      </c>
      <c r="O67" s="5">
        <f>IF(N67="sim",COUNTIFS($B$3:$B67,$B67,$N$3:$N67,"sim"),"")</f>
        <v/>
      </c>
      <c r="P67" s="5" t="n"/>
      <c r="Q67" s="4" t="n"/>
      <c r="R67" s="5" t="n"/>
      <c r="S67" s="9" t="n"/>
      <c r="T67" s="4" t="n"/>
    </row>
    <row r="68">
      <c r="A68" s="5">
        <f>ROW()-2</f>
        <v/>
      </c>
      <c r="B68" s="4" t="inlineStr">
        <is>
          <t>Metrópole</t>
        </is>
      </c>
      <c r="C68" s="5" t="n">
        <v>66</v>
      </c>
      <c r="D68" s="5">
        <f>IFERROR(INDEX('Base de sorteio'!$A$3:$A$1723,MATCH($B68&amp;"|"&amp;$C68,'Base de sorteio'!$I$3:$I$1723,0)),"")</f>
        <v/>
      </c>
      <c r="E68" s="4">
        <f>IFERROR(INDEX('Base de sorteio'!$B$3:$B$1723,MATCH($B68&amp;"|"&amp;$C68,'Base de sorteio'!$I$3:$I$1723,0)),"")</f>
        <v/>
      </c>
      <c r="F68" s="4">
        <f>IFERROR(INDEX('Base de sorteio'!$C$3:$C$1723,MATCH($B68&amp;"|"&amp;$C68,'Base de sorteio'!$I$3:$I$1723,0)),"")</f>
        <v/>
      </c>
      <c r="G68" s="4">
        <f>IFERROR(INDEX('Base de sorteio'!$D$3:$D$1723,MATCH($B68&amp;"|"&amp;$C68,'Base de sorteio'!$I$3:$I$1723,0)),"")</f>
        <v/>
      </c>
      <c r="H68" s="4">
        <f>IFERROR(INDEX('Base de sorteio'!$E$3:$E$1723,MATCH($B68&amp;"|"&amp;$C68,'Base de sorteio'!$I$3:$I$1723,0)),"")</f>
        <v/>
      </c>
      <c r="I68" s="4">
        <f>IF(E68="","",HYPERLINK(IFERROR(INDEX('Base de sorteio'!$J$3:$J$1723,MATCH($B68&amp;"|"&amp;$C68,'Base de sorteio'!$I$3:$I$1723,0)),""),"abrir"))</f>
        <v/>
      </c>
      <c r="J68" s="4" t="n"/>
      <c r="K68" s="4" t="n"/>
      <c r="L68" s="4" t="n"/>
      <c r="M68" s="4" t="n"/>
      <c r="N68" s="4">
        <f>IF(AND(K68="",M68=""),"",IF(OR(K68="sim",M68="sim"),"sim",IF(OR(K68="inconclusivo",M68="inconclusivo"),"inconclusivo","não")))</f>
        <v/>
      </c>
      <c r="O68" s="5">
        <f>IF(N68="sim",COUNTIFS($B$3:$B68,$B68,$N$3:$N68,"sim"),"")</f>
        <v/>
      </c>
      <c r="P68" s="5" t="n"/>
      <c r="Q68" s="4" t="n"/>
      <c r="R68" s="5" t="n"/>
      <c r="S68" s="9" t="n"/>
      <c r="T68" s="4" t="n"/>
    </row>
    <row r="69">
      <c r="A69" s="5">
        <f>ROW()-2</f>
        <v/>
      </c>
      <c r="B69" s="4" t="inlineStr">
        <is>
          <t>Metrópole</t>
        </is>
      </c>
      <c r="C69" s="5" t="n">
        <v>67</v>
      </c>
      <c r="D69" s="5">
        <f>IFERROR(INDEX('Base de sorteio'!$A$3:$A$1723,MATCH($B69&amp;"|"&amp;$C69,'Base de sorteio'!$I$3:$I$1723,0)),"")</f>
        <v/>
      </c>
      <c r="E69" s="4">
        <f>IFERROR(INDEX('Base de sorteio'!$B$3:$B$1723,MATCH($B69&amp;"|"&amp;$C69,'Base de sorteio'!$I$3:$I$1723,0)),"")</f>
        <v/>
      </c>
      <c r="F69" s="4">
        <f>IFERROR(INDEX('Base de sorteio'!$C$3:$C$1723,MATCH($B69&amp;"|"&amp;$C69,'Base de sorteio'!$I$3:$I$1723,0)),"")</f>
        <v/>
      </c>
      <c r="G69" s="4">
        <f>IFERROR(INDEX('Base de sorteio'!$D$3:$D$1723,MATCH($B69&amp;"|"&amp;$C69,'Base de sorteio'!$I$3:$I$1723,0)),"")</f>
        <v/>
      </c>
      <c r="H69" s="4">
        <f>IFERROR(INDEX('Base de sorteio'!$E$3:$E$1723,MATCH($B69&amp;"|"&amp;$C69,'Base de sorteio'!$I$3:$I$1723,0)),"")</f>
        <v/>
      </c>
      <c r="I69" s="4">
        <f>IF(E69="","",HYPERLINK(IFERROR(INDEX('Base de sorteio'!$J$3:$J$1723,MATCH($B69&amp;"|"&amp;$C69,'Base de sorteio'!$I$3:$I$1723,0)),""),"abrir"))</f>
        <v/>
      </c>
      <c r="J69" s="4" t="n"/>
      <c r="K69" s="4" t="n"/>
      <c r="L69" s="4" t="n"/>
      <c r="M69" s="4" t="n"/>
      <c r="N69" s="4">
        <f>IF(AND(K69="",M69=""),"",IF(OR(K69="sim",M69="sim"),"sim",IF(OR(K69="inconclusivo",M69="inconclusivo"),"inconclusivo","não")))</f>
        <v/>
      </c>
      <c r="O69" s="5">
        <f>IF(N69="sim",COUNTIFS($B$3:$B69,$B69,$N$3:$N69,"sim"),"")</f>
        <v/>
      </c>
      <c r="P69" s="5" t="n"/>
      <c r="Q69" s="4" t="n"/>
      <c r="R69" s="5" t="n"/>
      <c r="S69" s="9" t="n"/>
      <c r="T69" s="4" t="n"/>
    </row>
    <row r="70">
      <c r="A70" s="5">
        <f>ROW()-2</f>
        <v/>
      </c>
      <c r="B70" s="4" t="inlineStr">
        <is>
          <t>Metrópole</t>
        </is>
      </c>
      <c r="C70" s="5" t="n">
        <v>68</v>
      </c>
      <c r="D70" s="5">
        <f>IFERROR(INDEX('Base de sorteio'!$A$3:$A$1723,MATCH($B70&amp;"|"&amp;$C70,'Base de sorteio'!$I$3:$I$1723,0)),"")</f>
        <v/>
      </c>
      <c r="E70" s="4">
        <f>IFERROR(INDEX('Base de sorteio'!$B$3:$B$1723,MATCH($B70&amp;"|"&amp;$C70,'Base de sorteio'!$I$3:$I$1723,0)),"")</f>
        <v/>
      </c>
      <c r="F70" s="4">
        <f>IFERROR(INDEX('Base de sorteio'!$C$3:$C$1723,MATCH($B70&amp;"|"&amp;$C70,'Base de sorteio'!$I$3:$I$1723,0)),"")</f>
        <v/>
      </c>
      <c r="G70" s="4">
        <f>IFERROR(INDEX('Base de sorteio'!$D$3:$D$1723,MATCH($B70&amp;"|"&amp;$C70,'Base de sorteio'!$I$3:$I$1723,0)),"")</f>
        <v/>
      </c>
      <c r="H70" s="4">
        <f>IFERROR(INDEX('Base de sorteio'!$E$3:$E$1723,MATCH($B70&amp;"|"&amp;$C70,'Base de sorteio'!$I$3:$I$1723,0)),"")</f>
        <v/>
      </c>
      <c r="I70" s="4">
        <f>IF(E70="","",HYPERLINK(IFERROR(INDEX('Base de sorteio'!$J$3:$J$1723,MATCH($B70&amp;"|"&amp;$C70,'Base de sorteio'!$I$3:$I$1723,0)),""),"abrir"))</f>
        <v/>
      </c>
      <c r="J70" s="4" t="n"/>
      <c r="K70" s="4" t="n"/>
      <c r="L70" s="4" t="n"/>
      <c r="M70" s="4" t="n"/>
      <c r="N70" s="4">
        <f>IF(AND(K70="",M70=""),"",IF(OR(K70="sim",M70="sim"),"sim",IF(OR(K70="inconclusivo",M70="inconclusivo"),"inconclusivo","não")))</f>
        <v/>
      </c>
      <c r="O70" s="5">
        <f>IF(N70="sim",COUNTIFS($B$3:$B70,$B70,$N$3:$N70,"sim"),"")</f>
        <v/>
      </c>
      <c r="P70" s="5" t="n"/>
      <c r="Q70" s="4" t="n"/>
      <c r="R70" s="5" t="n"/>
      <c r="S70" s="9" t="n"/>
      <c r="T70" s="4" t="n"/>
    </row>
    <row r="71">
      <c r="A71" s="5">
        <f>ROW()-2</f>
        <v/>
      </c>
      <c r="B71" s="4" t="inlineStr">
        <is>
          <t>Metrópole</t>
        </is>
      </c>
      <c r="C71" s="5" t="n">
        <v>69</v>
      </c>
      <c r="D71" s="5">
        <f>IFERROR(INDEX('Base de sorteio'!$A$3:$A$1723,MATCH($B71&amp;"|"&amp;$C71,'Base de sorteio'!$I$3:$I$1723,0)),"")</f>
        <v/>
      </c>
      <c r="E71" s="4">
        <f>IFERROR(INDEX('Base de sorteio'!$B$3:$B$1723,MATCH($B71&amp;"|"&amp;$C71,'Base de sorteio'!$I$3:$I$1723,0)),"")</f>
        <v/>
      </c>
      <c r="F71" s="4">
        <f>IFERROR(INDEX('Base de sorteio'!$C$3:$C$1723,MATCH($B71&amp;"|"&amp;$C71,'Base de sorteio'!$I$3:$I$1723,0)),"")</f>
        <v/>
      </c>
      <c r="G71" s="4">
        <f>IFERROR(INDEX('Base de sorteio'!$D$3:$D$1723,MATCH($B71&amp;"|"&amp;$C71,'Base de sorteio'!$I$3:$I$1723,0)),"")</f>
        <v/>
      </c>
      <c r="H71" s="4">
        <f>IFERROR(INDEX('Base de sorteio'!$E$3:$E$1723,MATCH($B71&amp;"|"&amp;$C71,'Base de sorteio'!$I$3:$I$1723,0)),"")</f>
        <v/>
      </c>
      <c r="I71" s="4">
        <f>IF(E71="","",HYPERLINK(IFERROR(INDEX('Base de sorteio'!$J$3:$J$1723,MATCH($B71&amp;"|"&amp;$C71,'Base de sorteio'!$I$3:$I$1723,0)),""),"abrir"))</f>
        <v/>
      </c>
      <c r="J71" s="4" t="n"/>
      <c r="K71" s="4" t="n"/>
      <c r="L71" s="4" t="n"/>
      <c r="M71" s="4" t="n"/>
      <c r="N71" s="4">
        <f>IF(AND(K71="",M71=""),"",IF(OR(K71="sim",M71="sim"),"sim",IF(OR(K71="inconclusivo",M71="inconclusivo"),"inconclusivo","não")))</f>
        <v/>
      </c>
      <c r="O71" s="5">
        <f>IF(N71="sim",COUNTIFS($B$3:$B71,$B71,$N$3:$N71,"sim"),"")</f>
        <v/>
      </c>
      <c r="P71" s="5" t="n"/>
      <c r="Q71" s="4" t="n"/>
      <c r="R71" s="5" t="n"/>
      <c r="S71" s="9" t="n"/>
      <c r="T71" s="4" t="n"/>
    </row>
    <row r="72">
      <c r="A72" s="5">
        <f>ROW()-2</f>
        <v/>
      </c>
      <c r="B72" s="4" t="inlineStr">
        <is>
          <t>Metrópole</t>
        </is>
      </c>
      <c r="C72" s="5" t="n">
        <v>70</v>
      </c>
      <c r="D72" s="5">
        <f>IFERROR(INDEX('Base de sorteio'!$A$3:$A$1723,MATCH($B72&amp;"|"&amp;$C72,'Base de sorteio'!$I$3:$I$1723,0)),"")</f>
        <v/>
      </c>
      <c r="E72" s="4">
        <f>IFERROR(INDEX('Base de sorteio'!$B$3:$B$1723,MATCH($B72&amp;"|"&amp;$C72,'Base de sorteio'!$I$3:$I$1723,0)),"")</f>
        <v/>
      </c>
      <c r="F72" s="4">
        <f>IFERROR(INDEX('Base de sorteio'!$C$3:$C$1723,MATCH($B72&amp;"|"&amp;$C72,'Base de sorteio'!$I$3:$I$1723,0)),"")</f>
        <v/>
      </c>
      <c r="G72" s="4">
        <f>IFERROR(INDEX('Base de sorteio'!$D$3:$D$1723,MATCH($B72&amp;"|"&amp;$C72,'Base de sorteio'!$I$3:$I$1723,0)),"")</f>
        <v/>
      </c>
      <c r="H72" s="4">
        <f>IFERROR(INDEX('Base de sorteio'!$E$3:$E$1723,MATCH($B72&amp;"|"&amp;$C72,'Base de sorteio'!$I$3:$I$1723,0)),"")</f>
        <v/>
      </c>
      <c r="I72" s="4">
        <f>IF(E72="","",HYPERLINK(IFERROR(INDEX('Base de sorteio'!$J$3:$J$1723,MATCH($B72&amp;"|"&amp;$C72,'Base de sorteio'!$I$3:$I$1723,0)),""),"abrir"))</f>
        <v/>
      </c>
      <c r="J72" s="4" t="n"/>
      <c r="K72" s="4" t="n"/>
      <c r="L72" s="4" t="n"/>
      <c r="M72" s="4" t="n"/>
      <c r="N72" s="4">
        <f>IF(AND(K72="",M72=""),"",IF(OR(K72="sim",M72="sim"),"sim",IF(OR(K72="inconclusivo",M72="inconclusivo"),"inconclusivo","não")))</f>
        <v/>
      </c>
      <c r="O72" s="5">
        <f>IF(N72="sim",COUNTIFS($B$3:$B72,$B72,$N$3:$N72,"sim"),"")</f>
        <v/>
      </c>
      <c r="P72" s="5" t="n"/>
      <c r="Q72" s="4" t="n"/>
      <c r="R72" s="5" t="n"/>
      <c r="S72" s="9" t="n"/>
      <c r="T72" s="4" t="n"/>
    </row>
    <row r="73">
      <c r="A73" s="5">
        <f>ROW()-2</f>
        <v/>
      </c>
      <c r="B73" s="4" t="inlineStr">
        <is>
          <t>Metrópole</t>
        </is>
      </c>
      <c r="C73" s="5" t="n">
        <v>71</v>
      </c>
      <c r="D73" s="5">
        <f>IFERROR(INDEX('Base de sorteio'!$A$3:$A$1723,MATCH($B73&amp;"|"&amp;$C73,'Base de sorteio'!$I$3:$I$1723,0)),"")</f>
        <v/>
      </c>
      <c r="E73" s="4">
        <f>IFERROR(INDEX('Base de sorteio'!$B$3:$B$1723,MATCH($B73&amp;"|"&amp;$C73,'Base de sorteio'!$I$3:$I$1723,0)),"")</f>
        <v/>
      </c>
      <c r="F73" s="4">
        <f>IFERROR(INDEX('Base de sorteio'!$C$3:$C$1723,MATCH($B73&amp;"|"&amp;$C73,'Base de sorteio'!$I$3:$I$1723,0)),"")</f>
        <v/>
      </c>
      <c r="G73" s="4">
        <f>IFERROR(INDEX('Base de sorteio'!$D$3:$D$1723,MATCH($B73&amp;"|"&amp;$C73,'Base de sorteio'!$I$3:$I$1723,0)),"")</f>
        <v/>
      </c>
      <c r="H73" s="4">
        <f>IFERROR(INDEX('Base de sorteio'!$E$3:$E$1723,MATCH($B73&amp;"|"&amp;$C73,'Base de sorteio'!$I$3:$I$1723,0)),"")</f>
        <v/>
      </c>
      <c r="I73" s="4">
        <f>IF(E73="","",HYPERLINK(IFERROR(INDEX('Base de sorteio'!$J$3:$J$1723,MATCH($B73&amp;"|"&amp;$C73,'Base de sorteio'!$I$3:$I$1723,0)),""),"abrir"))</f>
        <v/>
      </c>
      <c r="J73" s="4" t="n"/>
      <c r="K73" s="4" t="n"/>
      <c r="L73" s="4" t="n"/>
      <c r="M73" s="4" t="n"/>
      <c r="N73" s="4">
        <f>IF(AND(K73="",M73=""),"",IF(OR(K73="sim",M73="sim"),"sim",IF(OR(K73="inconclusivo",M73="inconclusivo"),"inconclusivo","não")))</f>
        <v/>
      </c>
      <c r="O73" s="5">
        <f>IF(N73="sim",COUNTIFS($B$3:$B73,$B73,$N$3:$N73,"sim"),"")</f>
        <v/>
      </c>
      <c r="P73" s="5" t="n"/>
      <c r="Q73" s="4" t="n"/>
      <c r="R73" s="5" t="n"/>
      <c r="S73" s="9" t="n"/>
      <c r="T73" s="4" t="n"/>
    </row>
    <row r="74">
      <c r="A74" s="5">
        <f>ROW()-2</f>
        <v/>
      </c>
      <c r="B74" s="4" t="inlineStr">
        <is>
          <t>Metrópole</t>
        </is>
      </c>
      <c r="C74" s="5" t="n">
        <v>72</v>
      </c>
      <c r="D74" s="5">
        <f>IFERROR(INDEX('Base de sorteio'!$A$3:$A$1723,MATCH($B74&amp;"|"&amp;$C74,'Base de sorteio'!$I$3:$I$1723,0)),"")</f>
        <v/>
      </c>
      <c r="E74" s="4">
        <f>IFERROR(INDEX('Base de sorteio'!$B$3:$B$1723,MATCH($B74&amp;"|"&amp;$C74,'Base de sorteio'!$I$3:$I$1723,0)),"")</f>
        <v/>
      </c>
      <c r="F74" s="4">
        <f>IFERROR(INDEX('Base de sorteio'!$C$3:$C$1723,MATCH($B74&amp;"|"&amp;$C74,'Base de sorteio'!$I$3:$I$1723,0)),"")</f>
        <v/>
      </c>
      <c r="G74" s="4">
        <f>IFERROR(INDEX('Base de sorteio'!$D$3:$D$1723,MATCH($B74&amp;"|"&amp;$C74,'Base de sorteio'!$I$3:$I$1723,0)),"")</f>
        <v/>
      </c>
      <c r="H74" s="4">
        <f>IFERROR(INDEX('Base de sorteio'!$E$3:$E$1723,MATCH($B74&amp;"|"&amp;$C74,'Base de sorteio'!$I$3:$I$1723,0)),"")</f>
        <v/>
      </c>
      <c r="I74" s="4">
        <f>IF(E74="","",HYPERLINK(IFERROR(INDEX('Base de sorteio'!$J$3:$J$1723,MATCH($B74&amp;"|"&amp;$C74,'Base de sorteio'!$I$3:$I$1723,0)),""),"abrir"))</f>
        <v/>
      </c>
      <c r="J74" s="4" t="n"/>
      <c r="K74" s="4" t="n"/>
      <c r="L74" s="4" t="n"/>
      <c r="M74" s="4" t="n"/>
      <c r="N74" s="4">
        <f>IF(AND(K74="",M74=""),"",IF(OR(K74="sim",M74="sim"),"sim",IF(OR(K74="inconclusivo",M74="inconclusivo"),"inconclusivo","não")))</f>
        <v/>
      </c>
      <c r="O74" s="5">
        <f>IF(N74="sim",COUNTIFS($B$3:$B74,$B74,$N$3:$N74,"sim"),"")</f>
        <v/>
      </c>
      <c r="P74" s="5" t="n"/>
      <c r="Q74" s="4" t="n"/>
      <c r="R74" s="5" t="n"/>
      <c r="S74" s="9" t="n"/>
      <c r="T74" s="4" t="n"/>
    </row>
    <row r="75">
      <c r="A75" s="5">
        <f>ROW()-2</f>
        <v/>
      </c>
      <c r="B75" s="4" t="inlineStr">
        <is>
          <t>Metrópole</t>
        </is>
      </c>
      <c r="C75" s="5" t="n">
        <v>73</v>
      </c>
      <c r="D75" s="5">
        <f>IFERROR(INDEX('Base de sorteio'!$A$3:$A$1723,MATCH($B75&amp;"|"&amp;$C75,'Base de sorteio'!$I$3:$I$1723,0)),"")</f>
        <v/>
      </c>
      <c r="E75" s="4">
        <f>IFERROR(INDEX('Base de sorteio'!$B$3:$B$1723,MATCH($B75&amp;"|"&amp;$C75,'Base de sorteio'!$I$3:$I$1723,0)),"")</f>
        <v/>
      </c>
      <c r="F75" s="4">
        <f>IFERROR(INDEX('Base de sorteio'!$C$3:$C$1723,MATCH($B75&amp;"|"&amp;$C75,'Base de sorteio'!$I$3:$I$1723,0)),"")</f>
        <v/>
      </c>
      <c r="G75" s="4">
        <f>IFERROR(INDEX('Base de sorteio'!$D$3:$D$1723,MATCH($B75&amp;"|"&amp;$C75,'Base de sorteio'!$I$3:$I$1723,0)),"")</f>
        <v/>
      </c>
      <c r="H75" s="4">
        <f>IFERROR(INDEX('Base de sorteio'!$E$3:$E$1723,MATCH($B75&amp;"|"&amp;$C75,'Base de sorteio'!$I$3:$I$1723,0)),"")</f>
        <v/>
      </c>
      <c r="I75" s="4">
        <f>IF(E75="","",HYPERLINK(IFERROR(INDEX('Base de sorteio'!$J$3:$J$1723,MATCH($B75&amp;"|"&amp;$C75,'Base de sorteio'!$I$3:$I$1723,0)),""),"abrir"))</f>
        <v/>
      </c>
      <c r="J75" s="4" t="n"/>
      <c r="K75" s="4" t="n"/>
      <c r="L75" s="4" t="n"/>
      <c r="M75" s="4" t="n"/>
      <c r="N75" s="4">
        <f>IF(AND(K75="",M75=""),"",IF(OR(K75="sim",M75="sim"),"sim",IF(OR(K75="inconclusivo",M75="inconclusivo"),"inconclusivo","não")))</f>
        <v/>
      </c>
      <c r="O75" s="5">
        <f>IF(N75="sim",COUNTIFS($B$3:$B75,$B75,$N$3:$N75,"sim"),"")</f>
        <v/>
      </c>
      <c r="P75" s="5" t="n"/>
      <c r="Q75" s="4" t="n"/>
      <c r="R75" s="5" t="n"/>
      <c r="S75" s="9" t="n"/>
      <c r="T75" s="4" t="n"/>
    </row>
    <row r="76">
      <c r="A76" s="5">
        <f>ROW()-2</f>
        <v/>
      </c>
      <c r="B76" s="4" t="inlineStr">
        <is>
          <t>Metrópole</t>
        </is>
      </c>
      <c r="C76" s="5" t="n">
        <v>74</v>
      </c>
      <c r="D76" s="5">
        <f>IFERROR(INDEX('Base de sorteio'!$A$3:$A$1723,MATCH($B76&amp;"|"&amp;$C76,'Base de sorteio'!$I$3:$I$1723,0)),"")</f>
        <v/>
      </c>
      <c r="E76" s="4">
        <f>IFERROR(INDEX('Base de sorteio'!$B$3:$B$1723,MATCH($B76&amp;"|"&amp;$C76,'Base de sorteio'!$I$3:$I$1723,0)),"")</f>
        <v/>
      </c>
      <c r="F76" s="4">
        <f>IFERROR(INDEX('Base de sorteio'!$C$3:$C$1723,MATCH($B76&amp;"|"&amp;$C76,'Base de sorteio'!$I$3:$I$1723,0)),"")</f>
        <v/>
      </c>
      <c r="G76" s="4">
        <f>IFERROR(INDEX('Base de sorteio'!$D$3:$D$1723,MATCH($B76&amp;"|"&amp;$C76,'Base de sorteio'!$I$3:$I$1723,0)),"")</f>
        <v/>
      </c>
      <c r="H76" s="4">
        <f>IFERROR(INDEX('Base de sorteio'!$E$3:$E$1723,MATCH($B76&amp;"|"&amp;$C76,'Base de sorteio'!$I$3:$I$1723,0)),"")</f>
        <v/>
      </c>
      <c r="I76" s="4">
        <f>IF(E76="","",HYPERLINK(IFERROR(INDEX('Base de sorteio'!$J$3:$J$1723,MATCH($B76&amp;"|"&amp;$C76,'Base de sorteio'!$I$3:$I$1723,0)),""),"abrir"))</f>
        <v/>
      </c>
      <c r="J76" s="4" t="n"/>
      <c r="K76" s="4" t="n"/>
      <c r="L76" s="4" t="n"/>
      <c r="M76" s="4" t="n"/>
      <c r="N76" s="4">
        <f>IF(AND(K76="",M76=""),"",IF(OR(K76="sim",M76="sim"),"sim",IF(OR(K76="inconclusivo",M76="inconclusivo"),"inconclusivo","não")))</f>
        <v/>
      </c>
      <c r="O76" s="5">
        <f>IF(N76="sim",COUNTIFS($B$3:$B76,$B76,$N$3:$N76,"sim"),"")</f>
        <v/>
      </c>
      <c r="P76" s="5" t="n"/>
      <c r="Q76" s="4" t="n"/>
      <c r="R76" s="5" t="n"/>
      <c r="S76" s="9" t="n"/>
      <c r="T76" s="4" t="n"/>
    </row>
    <row r="77">
      <c r="A77" s="5">
        <f>ROW()-2</f>
        <v/>
      </c>
      <c r="B77" s="4" t="inlineStr">
        <is>
          <t>Metrópole</t>
        </is>
      </c>
      <c r="C77" s="5" t="n">
        <v>75</v>
      </c>
      <c r="D77" s="5">
        <f>IFERROR(INDEX('Base de sorteio'!$A$3:$A$1723,MATCH($B77&amp;"|"&amp;$C77,'Base de sorteio'!$I$3:$I$1723,0)),"")</f>
        <v/>
      </c>
      <c r="E77" s="4">
        <f>IFERROR(INDEX('Base de sorteio'!$B$3:$B$1723,MATCH($B77&amp;"|"&amp;$C77,'Base de sorteio'!$I$3:$I$1723,0)),"")</f>
        <v/>
      </c>
      <c r="F77" s="4">
        <f>IFERROR(INDEX('Base de sorteio'!$C$3:$C$1723,MATCH($B77&amp;"|"&amp;$C77,'Base de sorteio'!$I$3:$I$1723,0)),"")</f>
        <v/>
      </c>
      <c r="G77" s="4">
        <f>IFERROR(INDEX('Base de sorteio'!$D$3:$D$1723,MATCH($B77&amp;"|"&amp;$C77,'Base de sorteio'!$I$3:$I$1723,0)),"")</f>
        <v/>
      </c>
      <c r="H77" s="4">
        <f>IFERROR(INDEX('Base de sorteio'!$E$3:$E$1723,MATCH($B77&amp;"|"&amp;$C77,'Base de sorteio'!$I$3:$I$1723,0)),"")</f>
        <v/>
      </c>
      <c r="I77" s="4">
        <f>IF(E77="","",HYPERLINK(IFERROR(INDEX('Base de sorteio'!$J$3:$J$1723,MATCH($B77&amp;"|"&amp;$C77,'Base de sorteio'!$I$3:$I$1723,0)),""),"abrir"))</f>
        <v/>
      </c>
      <c r="J77" s="4" t="n"/>
      <c r="K77" s="4" t="n"/>
      <c r="L77" s="4" t="n"/>
      <c r="M77" s="4" t="n"/>
      <c r="N77" s="4">
        <f>IF(AND(K77="",M77=""),"",IF(OR(K77="sim",M77="sim"),"sim",IF(OR(K77="inconclusivo",M77="inconclusivo"),"inconclusivo","não")))</f>
        <v/>
      </c>
      <c r="O77" s="5">
        <f>IF(N77="sim",COUNTIFS($B$3:$B77,$B77,$N$3:$N77,"sim"),"")</f>
        <v/>
      </c>
      <c r="P77" s="5" t="n"/>
      <c r="Q77" s="4" t="n"/>
      <c r="R77" s="5" t="n"/>
      <c r="S77" s="9" t="n"/>
      <c r="T77" s="4" t="n"/>
    </row>
    <row r="78">
      <c r="A78" s="5">
        <f>ROW()-2</f>
        <v/>
      </c>
      <c r="B78" s="4" t="inlineStr">
        <is>
          <t>Metrópole</t>
        </is>
      </c>
      <c r="C78" s="5" t="n">
        <v>76</v>
      </c>
      <c r="D78" s="5">
        <f>IFERROR(INDEX('Base de sorteio'!$A$3:$A$1723,MATCH($B78&amp;"|"&amp;$C78,'Base de sorteio'!$I$3:$I$1723,0)),"")</f>
        <v/>
      </c>
      <c r="E78" s="4">
        <f>IFERROR(INDEX('Base de sorteio'!$B$3:$B$1723,MATCH($B78&amp;"|"&amp;$C78,'Base de sorteio'!$I$3:$I$1723,0)),"")</f>
        <v/>
      </c>
      <c r="F78" s="4">
        <f>IFERROR(INDEX('Base de sorteio'!$C$3:$C$1723,MATCH($B78&amp;"|"&amp;$C78,'Base de sorteio'!$I$3:$I$1723,0)),"")</f>
        <v/>
      </c>
      <c r="G78" s="4">
        <f>IFERROR(INDEX('Base de sorteio'!$D$3:$D$1723,MATCH($B78&amp;"|"&amp;$C78,'Base de sorteio'!$I$3:$I$1723,0)),"")</f>
        <v/>
      </c>
      <c r="H78" s="4">
        <f>IFERROR(INDEX('Base de sorteio'!$E$3:$E$1723,MATCH($B78&amp;"|"&amp;$C78,'Base de sorteio'!$I$3:$I$1723,0)),"")</f>
        <v/>
      </c>
      <c r="I78" s="4">
        <f>IF(E78="","",HYPERLINK(IFERROR(INDEX('Base de sorteio'!$J$3:$J$1723,MATCH($B78&amp;"|"&amp;$C78,'Base de sorteio'!$I$3:$I$1723,0)),""),"abrir"))</f>
        <v/>
      </c>
      <c r="J78" s="4" t="n"/>
      <c r="K78" s="4" t="n"/>
      <c r="L78" s="4" t="n"/>
      <c r="M78" s="4" t="n"/>
      <c r="N78" s="4">
        <f>IF(AND(K78="",M78=""),"",IF(OR(K78="sim",M78="sim"),"sim",IF(OR(K78="inconclusivo",M78="inconclusivo"),"inconclusivo","não")))</f>
        <v/>
      </c>
      <c r="O78" s="5">
        <f>IF(N78="sim",COUNTIFS($B$3:$B78,$B78,$N$3:$N78,"sim"),"")</f>
        <v/>
      </c>
      <c r="P78" s="5" t="n"/>
      <c r="Q78" s="4" t="n"/>
      <c r="R78" s="5" t="n"/>
      <c r="S78" s="9" t="n"/>
      <c r="T78" s="4" t="n"/>
    </row>
    <row r="79">
      <c r="A79" s="5">
        <f>ROW()-2</f>
        <v/>
      </c>
      <c r="B79" s="4" t="inlineStr">
        <is>
          <t>Metrópole</t>
        </is>
      </c>
      <c r="C79" s="5" t="n">
        <v>77</v>
      </c>
      <c r="D79" s="5">
        <f>IFERROR(INDEX('Base de sorteio'!$A$3:$A$1723,MATCH($B79&amp;"|"&amp;$C79,'Base de sorteio'!$I$3:$I$1723,0)),"")</f>
        <v/>
      </c>
      <c r="E79" s="4">
        <f>IFERROR(INDEX('Base de sorteio'!$B$3:$B$1723,MATCH($B79&amp;"|"&amp;$C79,'Base de sorteio'!$I$3:$I$1723,0)),"")</f>
        <v/>
      </c>
      <c r="F79" s="4">
        <f>IFERROR(INDEX('Base de sorteio'!$C$3:$C$1723,MATCH($B79&amp;"|"&amp;$C79,'Base de sorteio'!$I$3:$I$1723,0)),"")</f>
        <v/>
      </c>
      <c r="G79" s="4">
        <f>IFERROR(INDEX('Base de sorteio'!$D$3:$D$1723,MATCH($B79&amp;"|"&amp;$C79,'Base de sorteio'!$I$3:$I$1723,0)),"")</f>
        <v/>
      </c>
      <c r="H79" s="4">
        <f>IFERROR(INDEX('Base de sorteio'!$E$3:$E$1723,MATCH($B79&amp;"|"&amp;$C79,'Base de sorteio'!$I$3:$I$1723,0)),"")</f>
        <v/>
      </c>
      <c r="I79" s="4">
        <f>IF(E79="","",HYPERLINK(IFERROR(INDEX('Base de sorteio'!$J$3:$J$1723,MATCH($B79&amp;"|"&amp;$C79,'Base de sorteio'!$I$3:$I$1723,0)),""),"abrir"))</f>
        <v/>
      </c>
      <c r="J79" s="4" t="n"/>
      <c r="K79" s="4" t="n"/>
      <c r="L79" s="4" t="n"/>
      <c r="M79" s="4" t="n"/>
      <c r="N79" s="4">
        <f>IF(AND(K79="",M79=""),"",IF(OR(K79="sim",M79="sim"),"sim",IF(OR(K79="inconclusivo",M79="inconclusivo"),"inconclusivo","não")))</f>
        <v/>
      </c>
      <c r="O79" s="5">
        <f>IF(N79="sim",COUNTIFS($B$3:$B79,$B79,$N$3:$N79,"sim"),"")</f>
        <v/>
      </c>
      <c r="P79" s="5" t="n"/>
      <c r="Q79" s="4" t="n"/>
      <c r="R79" s="5" t="n"/>
      <c r="S79" s="9" t="n"/>
      <c r="T79" s="4" t="n"/>
    </row>
    <row r="80">
      <c r="A80" s="5">
        <f>ROW()-2</f>
        <v/>
      </c>
      <c r="B80" s="4" t="inlineStr">
        <is>
          <t>Metrópole</t>
        </is>
      </c>
      <c r="C80" s="5" t="n">
        <v>78</v>
      </c>
      <c r="D80" s="5">
        <f>IFERROR(INDEX('Base de sorteio'!$A$3:$A$1723,MATCH($B80&amp;"|"&amp;$C80,'Base de sorteio'!$I$3:$I$1723,0)),"")</f>
        <v/>
      </c>
      <c r="E80" s="4">
        <f>IFERROR(INDEX('Base de sorteio'!$B$3:$B$1723,MATCH($B80&amp;"|"&amp;$C80,'Base de sorteio'!$I$3:$I$1723,0)),"")</f>
        <v/>
      </c>
      <c r="F80" s="4">
        <f>IFERROR(INDEX('Base de sorteio'!$C$3:$C$1723,MATCH($B80&amp;"|"&amp;$C80,'Base de sorteio'!$I$3:$I$1723,0)),"")</f>
        <v/>
      </c>
      <c r="G80" s="4">
        <f>IFERROR(INDEX('Base de sorteio'!$D$3:$D$1723,MATCH($B80&amp;"|"&amp;$C80,'Base de sorteio'!$I$3:$I$1723,0)),"")</f>
        <v/>
      </c>
      <c r="H80" s="4">
        <f>IFERROR(INDEX('Base de sorteio'!$E$3:$E$1723,MATCH($B80&amp;"|"&amp;$C80,'Base de sorteio'!$I$3:$I$1723,0)),"")</f>
        <v/>
      </c>
      <c r="I80" s="4">
        <f>IF(E80="","",HYPERLINK(IFERROR(INDEX('Base de sorteio'!$J$3:$J$1723,MATCH($B80&amp;"|"&amp;$C80,'Base de sorteio'!$I$3:$I$1723,0)),""),"abrir"))</f>
        <v/>
      </c>
      <c r="J80" s="4" t="n"/>
      <c r="K80" s="4" t="n"/>
      <c r="L80" s="4" t="n"/>
      <c r="M80" s="4" t="n"/>
      <c r="N80" s="4">
        <f>IF(AND(K80="",M80=""),"",IF(OR(K80="sim",M80="sim"),"sim",IF(OR(K80="inconclusivo",M80="inconclusivo"),"inconclusivo","não")))</f>
        <v/>
      </c>
      <c r="O80" s="5">
        <f>IF(N80="sim",COUNTIFS($B$3:$B80,$B80,$N$3:$N80,"sim"),"")</f>
        <v/>
      </c>
      <c r="P80" s="5" t="n"/>
      <c r="Q80" s="4" t="n"/>
      <c r="R80" s="5" t="n"/>
      <c r="S80" s="9" t="n"/>
      <c r="T80" s="4" t="n"/>
    </row>
    <row r="81">
      <c r="A81" s="5">
        <f>ROW()-2</f>
        <v/>
      </c>
      <c r="B81" s="4" t="inlineStr">
        <is>
          <t>Metrópole</t>
        </is>
      </c>
      <c r="C81" s="5" t="n">
        <v>79</v>
      </c>
      <c r="D81" s="5">
        <f>IFERROR(INDEX('Base de sorteio'!$A$3:$A$1723,MATCH($B81&amp;"|"&amp;$C81,'Base de sorteio'!$I$3:$I$1723,0)),"")</f>
        <v/>
      </c>
      <c r="E81" s="4">
        <f>IFERROR(INDEX('Base de sorteio'!$B$3:$B$1723,MATCH($B81&amp;"|"&amp;$C81,'Base de sorteio'!$I$3:$I$1723,0)),"")</f>
        <v/>
      </c>
      <c r="F81" s="4">
        <f>IFERROR(INDEX('Base de sorteio'!$C$3:$C$1723,MATCH($B81&amp;"|"&amp;$C81,'Base de sorteio'!$I$3:$I$1723,0)),"")</f>
        <v/>
      </c>
      <c r="G81" s="4">
        <f>IFERROR(INDEX('Base de sorteio'!$D$3:$D$1723,MATCH($B81&amp;"|"&amp;$C81,'Base de sorteio'!$I$3:$I$1723,0)),"")</f>
        <v/>
      </c>
      <c r="H81" s="4">
        <f>IFERROR(INDEX('Base de sorteio'!$E$3:$E$1723,MATCH($B81&amp;"|"&amp;$C81,'Base de sorteio'!$I$3:$I$1723,0)),"")</f>
        <v/>
      </c>
      <c r="I81" s="4">
        <f>IF(E81="","",HYPERLINK(IFERROR(INDEX('Base de sorteio'!$J$3:$J$1723,MATCH($B81&amp;"|"&amp;$C81,'Base de sorteio'!$I$3:$I$1723,0)),""),"abrir"))</f>
        <v/>
      </c>
      <c r="J81" s="4" t="n"/>
      <c r="K81" s="4" t="n"/>
      <c r="L81" s="4" t="n"/>
      <c r="M81" s="4" t="n"/>
      <c r="N81" s="4">
        <f>IF(AND(K81="",M81=""),"",IF(OR(K81="sim",M81="sim"),"sim",IF(OR(K81="inconclusivo",M81="inconclusivo"),"inconclusivo","não")))</f>
        <v/>
      </c>
      <c r="O81" s="5">
        <f>IF(N81="sim",COUNTIFS($B$3:$B81,$B81,$N$3:$N81,"sim"),"")</f>
        <v/>
      </c>
      <c r="P81" s="5" t="n"/>
      <c r="Q81" s="4" t="n"/>
      <c r="R81" s="5" t="n"/>
      <c r="S81" s="9" t="n"/>
      <c r="T81" s="4" t="n"/>
    </row>
    <row r="82">
      <c r="A82" s="5">
        <f>ROW()-2</f>
        <v/>
      </c>
      <c r="B82" s="4" t="inlineStr">
        <is>
          <t>Metrópole</t>
        </is>
      </c>
      <c r="C82" s="5" t="n">
        <v>80</v>
      </c>
      <c r="D82" s="5">
        <f>IFERROR(INDEX('Base de sorteio'!$A$3:$A$1723,MATCH($B82&amp;"|"&amp;$C82,'Base de sorteio'!$I$3:$I$1723,0)),"")</f>
        <v/>
      </c>
      <c r="E82" s="4">
        <f>IFERROR(INDEX('Base de sorteio'!$B$3:$B$1723,MATCH($B82&amp;"|"&amp;$C82,'Base de sorteio'!$I$3:$I$1723,0)),"")</f>
        <v/>
      </c>
      <c r="F82" s="4">
        <f>IFERROR(INDEX('Base de sorteio'!$C$3:$C$1723,MATCH($B82&amp;"|"&amp;$C82,'Base de sorteio'!$I$3:$I$1723,0)),"")</f>
        <v/>
      </c>
      <c r="G82" s="4">
        <f>IFERROR(INDEX('Base de sorteio'!$D$3:$D$1723,MATCH($B82&amp;"|"&amp;$C82,'Base de sorteio'!$I$3:$I$1723,0)),"")</f>
        <v/>
      </c>
      <c r="H82" s="4">
        <f>IFERROR(INDEX('Base de sorteio'!$E$3:$E$1723,MATCH($B82&amp;"|"&amp;$C82,'Base de sorteio'!$I$3:$I$1723,0)),"")</f>
        <v/>
      </c>
      <c r="I82" s="4">
        <f>IF(E82="","",HYPERLINK(IFERROR(INDEX('Base de sorteio'!$J$3:$J$1723,MATCH($B82&amp;"|"&amp;$C82,'Base de sorteio'!$I$3:$I$1723,0)),""),"abrir"))</f>
        <v/>
      </c>
      <c r="J82" s="4" t="n"/>
      <c r="K82" s="4" t="n"/>
      <c r="L82" s="4" t="n"/>
      <c r="M82" s="4" t="n"/>
      <c r="N82" s="4">
        <f>IF(AND(K82="",M82=""),"",IF(OR(K82="sim",M82="sim"),"sim",IF(OR(K82="inconclusivo",M82="inconclusivo"),"inconclusivo","não")))</f>
        <v/>
      </c>
      <c r="O82" s="5">
        <f>IF(N82="sim",COUNTIFS($B$3:$B82,$B82,$N$3:$N82,"sim"),"")</f>
        <v/>
      </c>
      <c r="P82" s="5" t="n"/>
      <c r="Q82" s="4" t="n"/>
      <c r="R82" s="5" t="n"/>
      <c r="S82" s="9" t="n"/>
      <c r="T82" s="4" t="n"/>
    </row>
    <row r="83">
      <c r="A83" s="5">
        <f>ROW()-2</f>
        <v/>
      </c>
      <c r="B83" s="4" t="inlineStr">
        <is>
          <t>Metrópole</t>
        </is>
      </c>
      <c r="C83" s="5" t="n">
        <v>81</v>
      </c>
      <c r="D83" s="5">
        <f>IFERROR(INDEX('Base de sorteio'!$A$3:$A$1723,MATCH($B83&amp;"|"&amp;$C83,'Base de sorteio'!$I$3:$I$1723,0)),"")</f>
        <v/>
      </c>
      <c r="E83" s="4">
        <f>IFERROR(INDEX('Base de sorteio'!$B$3:$B$1723,MATCH($B83&amp;"|"&amp;$C83,'Base de sorteio'!$I$3:$I$1723,0)),"")</f>
        <v/>
      </c>
      <c r="F83" s="4">
        <f>IFERROR(INDEX('Base de sorteio'!$C$3:$C$1723,MATCH($B83&amp;"|"&amp;$C83,'Base de sorteio'!$I$3:$I$1723,0)),"")</f>
        <v/>
      </c>
      <c r="G83" s="4">
        <f>IFERROR(INDEX('Base de sorteio'!$D$3:$D$1723,MATCH($B83&amp;"|"&amp;$C83,'Base de sorteio'!$I$3:$I$1723,0)),"")</f>
        <v/>
      </c>
      <c r="H83" s="4">
        <f>IFERROR(INDEX('Base de sorteio'!$E$3:$E$1723,MATCH($B83&amp;"|"&amp;$C83,'Base de sorteio'!$I$3:$I$1723,0)),"")</f>
        <v/>
      </c>
      <c r="I83" s="4">
        <f>IF(E83="","",HYPERLINK(IFERROR(INDEX('Base de sorteio'!$J$3:$J$1723,MATCH($B83&amp;"|"&amp;$C83,'Base de sorteio'!$I$3:$I$1723,0)),""),"abrir"))</f>
        <v/>
      </c>
      <c r="J83" s="4" t="n"/>
      <c r="K83" s="4" t="n"/>
      <c r="L83" s="4" t="n"/>
      <c r="M83" s="4" t="n"/>
      <c r="N83" s="4">
        <f>IF(AND(K83="",M83=""),"",IF(OR(K83="sim",M83="sim"),"sim",IF(OR(K83="inconclusivo",M83="inconclusivo"),"inconclusivo","não")))</f>
        <v/>
      </c>
      <c r="O83" s="5">
        <f>IF(N83="sim",COUNTIFS($B$3:$B83,$B83,$N$3:$N83,"sim"),"")</f>
        <v/>
      </c>
      <c r="P83" s="5" t="n"/>
      <c r="Q83" s="4" t="n"/>
      <c r="R83" s="5" t="n"/>
      <c r="S83" s="9" t="n"/>
      <c r="T83" s="4" t="n"/>
    </row>
    <row r="84">
      <c r="A84" s="5">
        <f>ROW()-2</f>
        <v/>
      </c>
      <c r="B84" s="4" t="inlineStr">
        <is>
          <t>Metrópole</t>
        </is>
      </c>
      <c r="C84" s="5" t="n">
        <v>82</v>
      </c>
      <c r="D84" s="5">
        <f>IFERROR(INDEX('Base de sorteio'!$A$3:$A$1723,MATCH($B84&amp;"|"&amp;$C84,'Base de sorteio'!$I$3:$I$1723,0)),"")</f>
        <v/>
      </c>
      <c r="E84" s="4">
        <f>IFERROR(INDEX('Base de sorteio'!$B$3:$B$1723,MATCH($B84&amp;"|"&amp;$C84,'Base de sorteio'!$I$3:$I$1723,0)),"")</f>
        <v/>
      </c>
      <c r="F84" s="4">
        <f>IFERROR(INDEX('Base de sorteio'!$C$3:$C$1723,MATCH($B84&amp;"|"&amp;$C84,'Base de sorteio'!$I$3:$I$1723,0)),"")</f>
        <v/>
      </c>
      <c r="G84" s="4">
        <f>IFERROR(INDEX('Base de sorteio'!$D$3:$D$1723,MATCH($B84&amp;"|"&amp;$C84,'Base de sorteio'!$I$3:$I$1723,0)),"")</f>
        <v/>
      </c>
      <c r="H84" s="4">
        <f>IFERROR(INDEX('Base de sorteio'!$E$3:$E$1723,MATCH($B84&amp;"|"&amp;$C84,'Base de sorteio'!$I$3:$I$1723,0)),"")</f>
        <v/>
      </c>
      <c r="I84" s="4">
        <f>IF(E84="","",HYPERLINK(IFERROR(INDEX('Base de sorteio'!$J$3:$J$1723,MATCH($B84&amp;"|"&amp;$C84,'Base de sorteio'!$I$3:$I$1723,0)),""),"abrir"))</f>
        <v/>
      </c>
      <c r="J84" s="4" t="n"/>
      <c r="K84" s="4" t="n"/>
      <c r="L84" s="4" t="n"/>
      <c r="M84" s="4" t="n"/>
      <c r="N84" s="4">
        <f>IF(AND(K84="",M84=""),"",IF(OR(K84="sim",M84="sim"),"sim",IF(OR(K84="inconclusivo",M84="inconclusivo"),"inconclusivo","não")))</f>
        <v/>
      </c>
      <c r="O84" s="5">
        <f>IF(N84="sim",COUNTIFS($B$3:$B84,$B84,$N$3:$N84,"sim"),"")</f>
        <v/>
      </c>
      <c r="P84" s="5" t="n"/>
      <c r="Q84" s="4" t="n"/>
      <c r="R84" s="5" t="n"/>
      <c r="S84" s="9" t="n"/>
      <c r="T84" s="4" t="n"/>
    </row>
    <row r="85">
      <c r="A85" s="5">
        <f>ROW()-2</f>
        <v/>
      </c>
      <c r="B85" s="4" t="inlineStr">
        <is>
          <t>Metrópole</t>
        </is>
      </c>
      <c r="C85" s="5" t="n">
        <v>83</v>
      </c>
      <c r="D85" s="5">
        <f>IFERROR(INDEX('Base de sorteio'!$A$3:$A$1723,MATCH($B85&amp;"|"&amp;$C85,'Base de sorteio'!$I$3:$I$1723,0)),"")</f>
        <v/>
      </c>
      <c r="E85" s="4">
        <f>IFERROR(INDEX('Base de sorteio'!$B$3:$B$1723,MATCH($B85&amp;"|"&amp;$C85,'Base de sorteio'!$I$3:$I$1723,0)),"")</f>
        <v/>
      </c>
      <c r="F85" s="4">
        <f>IFERROR(INDEX('Base de sorteio'!$C$3:$C$1723,MATCH($B85&amp;"|"&amp;$C85,'Base de sorteio'!$I$3:$I$1723,0)),"")</f>
        <v/>
      </c>
      <c r="G85" s="4">
        <f>IFERROR(INDEX('Base de sorteio'!$D$3:$D$1723,MATCH($B85&amp;"|"&amp;$C85,'Base de sorteio'!$I$3:$I$1723,0)),"")</f>
        <v/>
      </c>
      <c r="H85" s="4">
        <f>IFERROR(INDEX('Base de sorteio'!$E$3:$E$1723,MATCH($B85&amp;"|"&amp;$C85,'Base de sorteio'!$I$3:$I$1723,0)),"")</f>
        <v/>
      </c>
      <c r="I85" s="4">
        <f>IF(E85="","",HYPERLINK(IFERROR(INDEX('Base de sorteio'!$J$3:$J$1723,MATCH($B85&amp;"|"&amp;$C85,'Base de sorteio'!$I$3:$I$1723,0)),""),"abrir"))</f>
        <v/>
      </c>
      <c r="J85" s="4" t="n"/>
      <c r="K85" s="4" t="n"/>
      <c r="L85" s="4" t="n"/>
      <c r="M85" s="4" t="n"/>
      <c r="N85" s="4">
        <f>IF(AND(K85="",M85=""),"",IF(OR(K85="sim",M85="sim"),"sim",IF(OR(K85="inconclusivo",M85="inconclusivo"),"inconclusivo","não")))</f>
        <v/>
      </c>
      <c r="O85" s="5">
        <f>IF(N85="sim",COUNTIFS($B$3:$B85,$B85,$N$3:$N85,"sim"),"")</f>
        <v/>
      </c>
      <c r="P85" s="5" t="n"/>
      <c r="Q85" s="4" t="n"/>
      <c r="R85" s="5" t="n"/>
      <c r="S85" s="9" t="n"/>
      <c r="T85" s="4" t="n"/>
    </row>
    <row r="86">
      <c r="A86" s="5">
        <f>ROW()-2</f>
        <v/>
      </c>
      <c r="B86" s="4" t="inlineStr">
        <is>
          <t>Metrópole</t>
        </is>
      </c>
      <c r="C86" s="5" t="n">
        <v>84</v>
      </c>
      <c r="D86" s="5">
        <f>IFERROR(INDEX('Base de sorteio'!$A$3:$A$1723,MATCH($B86&amp;"|"&amp;$C86,'Base de sorteio'!$I$3:$I$1723,0)),"")</f>
        <v/>
      </c>
      <c r="E86" s="4">
        <f>IFERROR(INDEX('Base de sorteio'!$B$3:$B$1723,MATCH($B86&amp;"|"&amp;$C86,'Base de sorteio'!$I$3:$I$1723,0)),"")</f>
        <v/>
      </c>
      <c r="F86" s="4">
        <f>IFERROR(INDEX('Base de sorteio'!$C$3:$C$1723,MATCH($B86&amp;"|"&amp;$C86,'Base de sorteio'!$I$3:$I$1723,0)),"")</f>
        <v/>
      </c>
      <c r="G86" s="4">
        <f>IFERROR(INDEX('Base de sorteio'!$D$3:$D$1723,MATCH($B86&amp;"|"&amp;$C86,'Base de sorteio'!$I$3:$I$1723,0)),"")</f>
        <v/>
      </c>
      <c r="H86" s="4">
        <f>IFERROR(INDEX('Base de sorteio'!$E$3:$E$1723,MATCH($B86&amp;"|"&amp;$C86,'Base de sorteio'!$I$3:$I$1723,0)),"")</f>
        <v/>
      </c>
      <c r="I86" s="4">
        <f>IF(E86="","",HYPERLINK(IFERROR(INDEX('Base de sorteio'!$J$3:$J$1723,MATCH($B86&amp;"|"&amp;$C86,'Base de sorteio'!$I$3:$I$1723,0)),""),"abrir"))</f>
        <v/>
      </c>
      <c r="J86" s="4" t="n"/>
      <c r="K86" s="4" t="n"/>
      <c r="L86" s="4" t="n"/>
      <c r="M86" s="4" t="n"/>
      <c r="N86" s="4">
        <f>IF(AND(K86="",M86=""),"",IF(OR(K86="sim",M86="sim"),"sim",IF(OR(K86="inconclusivo",M86="inconclusivo"),"inconclusivo","não")))</f>
        <v/>
      </c>
      <c r="O86" s="5">
        <f>IF(N86="sim",COUNTIFS($B$3:$B86,$B86,$N$3:$N86,"sim"),"")</f>
        <v/>
      </c>
      <c r="P86" s="5" t="n"/>
      <c r="Q86" s="4" t="n"/>
      <c r="R86" s="5" t="n"/>
      <c r="S86" s="9" t="n"/>
      <c r="T86" s="4" t="n"/>
    </row>
    <row r="87">
      <c r="A87" s="5">
        <f>ROW()-2</f>
        <v/>
      </c>
      <c r="B87" s="4" t="inlineStr">
        <is>
          <t>Metrópole</t>
        </is>
      </c>
      <c r="C87" s="5" t="n">
        <v>85</v>
      </c>
      <c r="D87" s="5">
        <f>IFERROR(INDEX('Base de sorteio'!$A$3:$A$1723,MATCH($B87&amp;"|"&amp;$C87,'Base de sorteio'!$I$3:$I$1723,0)),"")</f>
        <v/>
      </c>
      <c r="E87" s="4">
        <f>IFERROR(INDEX('Base de sorteio'!$B$3:$B$1723,MATCH($B87&amp;"|"&amp;$C87,'Base de sorteio'!$I$3:$I$1723,0)),"")</f>
        <v/>
      </c>
      <c r="F87" s="4">
        <f>IFERROR(INDEX('Base de sorteio'!$C$3:$C$1723,MATCH($B87&amp;"|"&amp;$C87,'Base de sorteio'!$I$3:$I$1723,0)),"")</f>
        <v/>
      </c>
      <c r="G87" s="4">
        <f>IFERROR(INDEX('Base de sorteio'!$D$3:$D$1723,MATCH($B87&amp;"|"&amp;$C87,'Base de sorteio'!$I$3:$I$1723,0)),"")</f>
        <v/>
      </c>
      <c r="H87" s="4">
        <f>IFERROR(INDEX('Base de sorteio'!$E$3:$E$1723,MATCH($B87&amp;"|"&amp;$C87,'Base de sorteio'!$I$3:$I$1723,0)),"")</f>
        <v/>
      </c>
      <c r="I87" s="4">
        <f>IF(E87="","",HYPERLINK(IFERROR(INDEX('Base de sorteio'!$J$3:$J$1723,MATCH($B87&amp;"|"&amp;$C87,'Base de sorteio'!$I$3:$I$1723,0)),""),"abrir"))</f>
        <v/>
      </c>
      <c r="J87" s="4" t="n"/>
      <c r="K87" s="4" t="n"/>
      <c r="L87" s="4" t="n"/>
      <c r="M87" s="4" t="n"/>
      <c r="N87" s="4">
        <f>IF(AND(K87="",M87=""),"",IF(OR(K87="sim",M87="sim"),"sim",IF(OR(K87="inconclusivo",M87="inconclusivo"),"inconclusivo","não")))</f>
        <v/>
      </c>
      <c r="O87" s="5">
        <f>IF(N87="sim",COUNTIFS($B$3:$B87,$B87,$N$3:$N87,"sim"),"")</f>
        <v/>
      </c>
      <c r="P87" s="5" t="n"/>
      <c r="Q87" s="4" t="n"/>
      <c r="R87" s="5" t="n"/>
      <c r="S87" s="9" t="n"/>
      <c r="T87" s="4" t="n"/>
    </row>
    <row r="88">
      <c r="A88" s="5">
        <f>ROW()-2</f>
        <v/>
      </c>
      <c r="B88" s="4" t="inlineStr">
        <is>
          <t>Metrópole</t>
        </is>
      </c>
      <c r="C88" s="5" t="n">
        <v>86</v>
      </c>
      <c r="D88" s="5">
        <f>IFERROR(INDEX('Base de sorteio'!$A$3:$A$1723,MATCH($B88&amp;"|"&amp;$C88,'Base de sorteio'!$I$3:$I$1723,0)),"")</f>
        <v/>
      </c>
      <c r="E88" s="4">
        <f>IFERROR(INDEX('Base de sorteio'!$B$3:$B$1723,MATCH($B88&amp;"|"&amp;$C88,'Base de sorteio'!$I$3:$I$1723,0)),"")</f>
        <v/>
      </c>
      <c r="F88" s="4">
        <f>IFERROR(INDEX('Base de sorteio'!$C$3:$C$1723,MATCH($B88&amp;"|"&amp;$C88,'Base de sorteio'!$I$3:$I$1723,0)),"")</f>
        <v/>
      </c>
      <c r="G88" s="4">
        <f>IFERROR(INDEX('Base de sorteio'!$D$3:$D$1723,MATCH($B88&amp;"|"&amp;$C88,'Base de sorteio'!$I$3:$I$1723,0)),"")</f>
        <v/>
      </c>
      <c r="H88" s="4">
        <f>IFERROR(INDEX('Base de sorteio'!$E$3:$E$1723,MATCH($B88&amp;"|"&amp;$C88,'Base de sorteio'!$I$3:$I$1723,0)),"")</f>
        <v/>
      </c>
      <c r="I88" s="4">
        <f>IF(E88="","",HYPERLINK(IFERROR(INDEX('Base de sorteio'!$J$3:$J$1723,MATCH($B88&amp;"|"&amp;$C88,'Base de sorteio'!$I$3:$I$1723,0)),""),"abrir"))</f>
        <v/>
      </c>
      <c r="J88" s="4" t="n"/>
      <c r="K88" s="4" t="n"/>
      <c r="L88" s="4" t="n"/>
      <c r="M88" s="4" t="n"/>
      <c r="N88" s="4">
        <f>IF(AND(K88="",M88=""),"",IF(OR(K88="sim",M88="sim"),"sim",IF(OR(K88="inconclusivo",M88="inconclusivo"),"inconclusivo","não")))</f>
        <v/>
      </c>
      <c r="O88" s="5">
        <f>IF(N88="sim",COUNTIFS($B$3:$B88,$B88,$N$3:$N88,"sim"),"")</f>
        <v/>
      </c>
      <c r="P88" s="5" t="n"/>
      <c r="Q88" s="4" t="n"/>
      <c r="R88" s="5" t="n"/>
      <c r="S88" s="9" t="n"/>
      <c r="T88" s="4" t="n"/>
    </row>
    <row r="89">
      <c r="A89" s="5">
        <f>ROW()-2</f>
        <v/>
      </c>
      <c r="B89" s="4" t="inlineStr">
        <is>
          <t>Metrópole</t>
        </is>
      </c>
      <c r="C89" s="5" t="n">
        <v>87</v>
      </c>
      <c r="D89" s="5">
        <f>IFERROR(INDEX('Base de sorteio'!$A$3:$A$1723,MATCH($B89&amp;"|"&amp;$C89,'Base de sorteio'!$I$3:$I$1723,0)),"")</f>
        <v/>
      </c>
      <c r="E89" s="4">
        <f>IFERROR(INDEX('Base de sorteio'!$B$3:$B$1723,MATCH($B89&amp;"|"&amp;$C89,'Base de sorteio'!$I$3:$I$1723,0)),"")</f>
        <v/>
      </c>
      <c r="F89" s="4">
        <f>IFERROR(INDEX('Base de sorteio'!$C$3:$C$1723,MATCH($B89&amp;"|"&amp;$C89,'Base de sorteio'!$I$3:$I$1723,0)),"")</f>
        <v/>
      </c>
      <c r="G89" s="4">
        <f>IFERROR(INDEX('Base de sorteio'!$D$3:$D$1723,MATCH($B89&amp;"|"&amp;$C89,'Base de sorteio'!$I$3:$I$1723,0)),"")</f>
        <v/>
      </c>
      <c r="H89" s="4">
        <f>IFERROR(INDEX('Base de sorteio'!$E$3:$E$1723,MATCH($B89&amp;"|"&amp;$C89,'Base de sorteio'!$I$3:$I$1723,0)),"")</f>
        <v/>
      </c>
      <c r="I89" s="4">
        <f>IF(E89="","",HYPERLINK(IFERROR(INDEX('Base de sorteio'!$J$3:$J$1723,MATCH($B89&amp;"|"&amp;$C89,'Base de sorteio'!$I$3:$I$1723,0)),""),"abrir"))</f>
        <v/>
      </c>
      <c r="J89" s="4" t="n"/>
      <c r="K89" s="4" t="n"/>
      <c r="L89" s="4" t="n"/>
      <c r="M89" s="4" t="n"/>
      <c r="N89" s="4">
        <f>IF(AND(K89="",M89=""),"",IF(OR(K89="sim",M89="sim"),"sim",IF(OR(K89="inconclusivo",M89="inconclusivo"),"inconclusivo","não")))</f>
        <v/>
      </c>
      <c r="O89" s="5">
        <f>IF(N89="sim",COUNTIFS($B$3:$B89,$B89,$N$3:$N89,"sim"),"")</f>
        <v/>
      </c>
      <c r="P89" s="5" t="n"/>
      <c r="Q89" s="4" t="n"/>
      <c r="R89" s="5" t="n"/>
      <c r="S89" s="9" t="n"/>
      <c r="T89" s="4" t="n"/>
    </row>
    <row r="90">
      <c r="A90" s="5">
        <f>ROW()-2</f>
        <v/>
      </c>
      <c r="B90" s="4" t="inlineStr">
        <is>
          <t>Metrópole</t>
        </is>
      </c>
      <c r="C90" s="5" t="n">
        <v>88</v>
      </c>
      <c r="D90" s="5">
        <f>IFERROR(INDEX('Base de sorteio'!$A$3:$A$1723,MATCH($B90&amp;"|"&amp;$C90,'Base de sorteio'!$I$3:$I$1723,0)),"")</f>
        <v/>
      </c>
      <c r="E90" s="4">
        <f>IFERROR(INDEX('Base de sorteio'!$B$3:$B$1723,MATCH($B90&amp;"|"&amp;$C90,'Base de sorteio'!$I$3:$I$1723,0)),"")</f>
        <v/>
      </c>
      <c r="F90" s="4">
        <f>IFERROR(INDEX('Base de sorteio'!$C$3:$C$1723,MATCH($B90&amp;"|"&amp;$C90,'Base de sorteio'!$I$3:$I$1723,0)),"")</f>
        <v/>
      </c>
      <c r="G90" s="4">
        <f>IFERROR(INDEX('Base de sorteio'!$D$3:$D$1723,MATCH($B90&amp;"|"&amp;$C90,'Base de sorteio'!$I$3:$I$1723,0)),"")</f>
        <v/>
      </c>
      <c r="H90" s="4">
        <f>IFERROR(INDEX('Base de sorteio'!$E$3:$E$1723,MATCH($B90&amp;"|"&amp;$C90,'Base de sorteio'!$I$3:$I$1723,0)),"")</f>
        <v/>
      </c>
      <c r="I90" s="4">
        <f>IF(E90="","",HYPERLINK(IFERROR(INDEX('Base de sorteio'!$J$3:$J$1723,MATCH($B90&amp;"|"&amp;$C90,'Base de sorteio'!$I$3:$I$1723,0)),""),"abrir"))</f>
        <v/>
      </c>
      <c r="J90" s="4" t="n"/>
      <c r="K90" s="4" t="n"/>
      <c r="L90" s="4" t="n"/>
      <c r="M90" s="4" t="n"/>
      <c r="N90" s="4">
        <f>IF(AND(K90="",M90=""),"",IF(OR(K90="sim",M90="sim"),"sim",IF(OR(K90="inconclusivo",M90="inconclusivo"),"inconclusivo","não")))</f>
        <v/>
      </c>
      <c r="O90" s="5">
        <f>IF(N90="sim",COUNTIFS($B$3:$B90,$B90,$N$3:$N90,"sim"),"")</f>
        <v/>
      </c>
      <c r="P90" s="5" t="n"/>
      <c r="Q90" s="4" t="n"/>
      <c r="R90" s="5" t="n"/>
      <c r="S90" s="9" t="n"/>
      <c r="T90" s="4" t="n"/>
    </row>
    <row r="91">
      <c r="A91" s="5">
        <f>ROW()-2</f>
        <v/>
      </c>
      <c r="B91" s="4" t="inlineStr">
        <is>
          <t>Metrópole</t>
        </is>
      </c>
      <c r="C91" s="5" t="n">
        <v>89</v>
      </c>
      <c r="D91" s="5">
        <f>IFERROR(INDEX('Base de sorteio'!$A$3:$A$1723,MATCH($B91&amp;"|"&amp;$C91,'Base de sorteio'!$I$3:$I$1723,0)),"")</f>
        <v/>
      </c>
      <c r="E91" s="4">
        <f>IFERROR(INDEX('Base de sorteio'!$B$3:$B$1723,MATCH($B91&amp;"|"&amp;$C91,'Base de sorteio'!$I$3:$I$1723,0)),"")</f>
        <v/>
      </c>
      <c r="F91" s="4">
        <f>IFERROR(INDEX('Base de sorteio'!$C$3:$C$1723,MATCH($B91&amp;"|"&amp;$C91,'Base de sorteio'!$I$3:$I$1723,0)),"")</f>
        <v/>
      </c>
      <c r="G91" s="4">
        <f>IFERROR(INDEX('Base de sorteio'!$D$3:$D$1723,MATCH($B91&amp;"|"&amp;$C91,'Base de sorteio'!$I$3:$I$1723,0)),"")</f>
        <v/>
      </c>
      <c r="H91" s="4">
        <f>IFERROR(INDEX('Base de sorteio'!$E$3:$E$1723,MATCH($B91&amp;"|"&amp;$C91,'Base de sorteio'!$I$3:$I$1723,0)),"")</f>
        <v/>
      </c>
      <c r="I91" s="4">
        <f>IF(E91="","",HYPERLINK(IFERROR(INDEX('Base de sorteio'!$J$3:$J$1723,MATCH($B91&amp;"|"&amp;$C91,'Base de sorteio'!$I$3:$I$1723,0)),""),"abrir"))</f>
        <v/>
      </c>
      <c r="J91" s="4" t="n"/>
      <c r="K91" s="4" t="n"/>
      <c r="L91" s="4" t="n"/>
      <c r="M91" s="4" t="n"/>
      <c r="N91" s="4">
        <f>IF(AND(K91="",M91=""),"",IF(OR(K91="sim",M91="sim"),"sim",IF(OR(K91="inconclusivo",M91="inconclusivo"),"inconclusivo","não")))</f>
        <v/>
      </c>
      <c r="O91" s="5">
        <f>IF(N91="sim",COUNTIFS($B$3:$B91,$B91,$N$3:$N91,"sim"),"")</f>
        <v/>
      </c>
      <c r="P91" s="5" t="n"/>
      <c r="Q91" s="4" t="n"/>
      <c r="R91" s="5" t="n"/>
      <c r="S91" s="9" t="n"/>
      <c r="T91" s="4" t="n"/>
    </row>
    <row r="92">
      <c r="A92" s="5">
        <f>ROW()-2</f>
        <v/>
      </c>
      <c r="B92" s="4" t="inlineStr">
        <is>
          <t>Metrópole</t>
        </is>
      </c>
      <c r="C92" s="5" t="n">
        <v>90</v>
      </c>
      <c r="D92" s="5">
        <f>IFERROR(INDEX('Base de sorteio'!$A$3:$A$1723,MATCH($B92&amp;"|"&amp;$C92,'Base de sorteio'!$I$3:$I$1723,0)),"")</f>
        <v/>
      </c>
      <c r="E92" s="4">
        <f>IFERROR(INDEX('Base de sorteio'!$B$3:$B$1723,MATCH($B92&amp;"|"&amp;$C92,'Base de sorteio'!$I$3:$I$1723,0)),"")</f>
        <v/>
      </c>
      <c r="F92" s="4">
        <f>IFERROR(INDEX('Base de sorteio'!$C$3:$C$1723,MATCH($B92&amp;"|"&amp;$C92,'Base de sorteio'!$I$3:$I$1723,0)),"")</f>
        <v/>
      </c>
      <c r="G92" s="4">
        <f>IFERROR(INDEX('Base de sorteio'!$D$3:$D$1723,MATCH($B92&amp;"|"&amp;$C92,'Base de sorteio'!$I$3:$I$1723,0)),"")</f>
        <v/>
      </c>
      <c r="H92" s="4">
        <f>IFERROR(INDEX('Base de sorteio'!$E$3:$E$1723,MATCH($B92&amp;"|"&amp;$C92,'Base de sorteio'!$I$3:$I$1723,0)),"")</f>
        <v/>
      </c>
      <c r="I92" s="4">
        <f>IF(E92="","",HYPERLINK(IFERROR(INDEX('Base de sorteio'!$J$3:$J$1723,MATCH($B92&amp;"|"&amp;$C92,'Base de sorteio'!$I$3:$I$1723,0)),""),"abrir"))</f>
        <v/>
      </c>
      <c r="J92" s="4" t="n"/>
      <c r="K92" s="4" t="n"/>
      <c r="L92" s="4" t="n"/>
      <c r="M92" s="4" t="n"/>
      <c r="N92" s="4">
        <f>IF(AND(K92="",M92=""),"",IF(OR(K92="sim",M92="sim"),"sim",IF(OR(K92="inconclusivo",M92="inconclusivo"),"inconclusivo","não")))</f>
        <v/>
      </c>
      <c r="O92" s="5">
        <f>IF(N92="sim",COUNTIFS($B$3:$B92,$B92,$N$3:$N92,"sim"),"")</f>
        <v/>
      </c>
      <c r="P92" s="5" t="n"/>
      <c r="Q92" s="4" t="n"/>
      <c r="R92" s="5" t="n"/>
      <c r="S92" s="9" t="n"/>
      <c r="T92" s="4" t="n"/>
    </row>
    <row r="93">
      <c r="A93" s="5">
        <f>ROW()-2</f>
        <v/>
      </c>
      <c r="B93" s="4" t="inlineStr">
        <is>
          <t>Metrópole</t>
        </is>
      </c>
      <c r="C93" s="5" t="n">
        <v>91</v>
      </c>
      <c r="D93" s="5">
        <f>IFERROR(INDEX('Base de sorteio'!$A$3:$A$1723,MATCH($B93&amp;"|"&amp;$C93,'Base de sorteio'!$I$3:$I$1723,0)),"")</f>
        <v/>
      </c>
      <c r="E93" s="4">
        <f>IFERROR(INDEX('Base de sorteio'!$B$3:$B$1723,MATCH($B93&amp;"|"&amp;$C93,'Base de sorteio'!$I$3:$I$1723,0)),"")</f>
        <v/>
      </c>
      <c r="F93" s="4">
        <f>IFERROR(INDEX('Base de sorteio'!$C$3:$C$1723,MATCH($B93&amp;"|"&amp;$C93,'Base de sorteio'!$I$3:$I$1723,0)),"")</f>
        <v/>
      </c>
      <c r="G93" s="4">
        <f>IFERROR(INDEX('Base de sorteio'!$D$3:$D$1723,MATCH($B93&amp;"|"&amp;$C93,'Base de sorteio'!$I$3:$I$1723,0)),"")</f>
        <v/>
      </c>
      <c r="H93" s="4">
        <f>IFERROR(INDEX('Base de sorteio'!$E$3:$E$1723,MATCH($B93&amp;"|"&amp;$C93,'Base de sorteio'!$I$3:$I$1723,0)),"")</f>
        <v/>
      </c>
      <c r="I93" s="4">
        <f>IF(E93="","",HYPERLINK(IFERROR(INDEX('Base de sorteio'!$J$3:$J$1723,MATCH($B93&amp;"|"&amp;$C93,'Base de sorteio'!$I$3:$I$1723,0)),""),"abrir"))</f>
        <v/>
      </c>
      <c r="J93" s="4" t="n"/>
      <c r="K93" s="4" t="n"/>
      <c r="L93" s="4" t="n"/>
      <c r="M93" s="4" t="n"/>
      <c r="N93" s="4">
        <f>IF(AND(K93="",M93=""),"",IF(OR(K93="sim",M93="sim"),"sim",IF(OR(K93="inconclusivo",M93="inconclusivo"),"inconclusivo","não")))</f>
        <v/>
      </c>
      <c r="O93" s="5">
        <f>IF(N93="sim",COUNTIFS($B$3:$B93,$B93,$N$3:$N93,"sim"),"")</f>
        <v/>
      </c>
      <c r="P93" s="5" t="n"/>
      <c r="Q93" s="4" t="n"/>
      <c r="R93" s="5" t="n"/>
      <c r="S93" s="9" t="n"/>
      <c r="T93" s="4" t="n"/>
    </row>
    <row r="94">
      <c r="A94" s="5">
        <f>ROW()-2</f>
        <v/>
      </c>
      <c r="B94" s="4" t="inlineStr">
        <is>
          <t>Metrópole</t>
        </is>
      </c>
      <c r="C94" s="5" t="n">
        <v>92</v>
      </c>
      <c r="D94" s="5">
        <f>IFERROR(INDEX('Base de sorteio'!$A$3:$A$1723,MATCH($B94&amp;"|"&amp;$C94,'Base de sorteio'!$I$3:$I$1723,0)),"")</f>
        <v/>
      </c>
      <c r="E94" s="4">
        <f>IFERROR(INDEX('Base de sorteio'!$B$3:$B$1723,MATCH($B94&amp;"|"&amp;$C94,'Base de sorteio'!$I$3:$I$1723,0)),"")</f>
        <v/>
      </c>
      <c r="F94" s="4">
        <f>IFERROR(INDEX('Base de sorteio'!$C$3:$C$1723,MATCH($B94&amp;"|"&amp;$C94,'Base de sorteio'!$I$3:$I$1723,0)),"")</f>
        <v/>
      </c>
      <c r="G94" s="4">
        <f>IFERROR(INDEX('Base de sorteio'!$D$3:$D$1723,MATCH($B94&amp;"|"&amp;$C94,'Base de sorteio'!$I$3:$I$1723,0)),"")</f>
        <v/>
      </c>
      <c r="H94" s="4">
        <f>IFERROR(INDEX('Base de sorteio'!$E$3:$E$1723,MATCH($B94&amp;"|"&amp;$C94,'Base de sorteio'!$I$3:$I$1723,0)),"")</f>
        <v/>
      </c>
      <c r="I94" s="4">
        <f>IF(E94="","",HYPERLINK(IFERROR(INDEX('Base de sorteio'!$J$3:$J$1723,MATCH($B94&amp;"|"&amp;$C94,'Base de sorteio'!$I$3:$I$1723,0)),""),"abrir"))</f>
        <v/>
      </c>
      <c r="J94" s="4" t="n"/>
      <c r="K94" s="4" t="n"/>
      <c r="L94" s="4" t="n"/>
      <c r="M94" s="4" t="n"/>
      <c r="N94" s="4">
        <f>IF(AND(K94="",M94=""),"",IF(OR(K94="sim",M94="sim"),"sim",IF(OR(K94="inconclusivo",M94="inconclusivo"),"inconclusivo","não")))</f>
        <v/>
      </c>
      <c r="O94" s="5">
        <f>IF(N94="sim",COUNTIFS($B$3:$B94,$B94,$N$3:$N94,"sim"),"")</f>
        <v/>
      </c>
      <c r="P94" s="5" t="n"/>
      <c r="Q94" s="4" t="n"/>
      <c r="R94" s="5" t="n"/>
      <c r="S94" s="9" t="n"/>
      <c r="T94" s="4" t="n"/>
    </row>
    <row r="95">
      <c r="A95" s="5">
        <f>ROW()-2</f>
        <v/>
      </c>
      <c r="B95" s="4" t="inlineStr">
        <is>
          <t>Metrópole</t>
        </is>
      </c>
      <c r="C95" s="5" t="n">
        <v>93</v>
      </c>
      <c r="D95" s="5">
        <f>IFERROR(INDEX('Base de sorteio'!$A$3:$A$1723,MATCH($B95&amp;"|"&amp;$C95,'Base de sorteio'!$I$3:$I$1723,0)),"")</f>
        <v/>
      </c>
      <c r="E95" s="4">
        <f>IFERROR(INDEX('Base de sorteio'!$B$3:$B$1723,MATCH($B95&amp;"|"&amp;$C95,'Base de sorteio'!$I$3:$I$1723,0)),"")</f>
        <v/>
      </c>
      <c r="F95" s="4">
        <f>IFERROR(INDEX('Base de sorteio'!$C$3:$C$1723,MATCH($B95&amp;"|"&amp;$C95,'Base de sorteio'!$I$3:$I$1723,0)),"")</f>
        <v/>
      </c>
      <c r="G95" s="4">
        <f>IFERROR(INDEX('Base de sorteio'!$D$3:$D$1723,MATCH($B95&amp;"|"&amp;$C95,'Base de sorteio'!$I$3:$I$1723,0)),"")</f>
        <v/>
      </c>
      <c r="H95" s="4">
        <f>IFERROR(INDEX('Base de sorteio'!$E$3:$E$1723,MATCH($B95&amp;"|"&amp;$C95,'Base de sorteio'!$I$3:$I$1723,0)),"")</f>
        <v/>
      </c>
      <c r="I95" s="4">
        <f>IF(E95="","",HYPERLINK(IFERROR(INDEX('Base de sorteio'!$J$3:$J$1723,MATCH($B95&amp;"|"&amp;$C95,'Base de sorteio'!$I$3:$I$1723,0)),""),"abrir"))</f>
        <v/>
      </c>
      <c r="J95" s="4" t="n"/>
      <c r="K95" s="4" t="n"/>
      <c r="L95" s="4" t="n"/>
      <c r="M95" s="4" t="n"/>
      <c r="N95" s="4">
        <f>IF(AND(K95="",M95=""),"",IF(OR(K95="sim",M95="sim"),"sim",IF(OR(K95="inconclusivo",M95="inconclusivo"),"inconclusivo","não")))</f>
        <v/>
      </c>
      <c r="O95" s="5">
        <f>IF(N95="sim",COUNTIFS($B$3:$B95,$B95,$N$3:$N95,"sim"),"")</f>
        <v/>
      </c>
      <c r="P95" s="5" t="n"/>
      <c r="Q95" s="4" t="n"/>
      <c r="R95" s="5" t="n"/>
      <c r="S95" s="9" t="n"/>
      <c r="T95" s="4" t="n"/>
    </row>
    <row r="96">
      <c r="A96" s="5">
        <f>ROW()-2</f>
        <v/>
      </c>
      <c r="B96" s="4" t="inlineStr">
        <is>
          <t>Metrópole</t>
        </is>
      </c>
      <c r="C96" s="5" t="n">
        <v>94</v>
      </c>
      <c r="D96" s="5">
        <f>IFERROR(INDEX('Base de sorteio'!$A$3:$A$1723,MATCH($B96&amp;"|"&amp;$C96,'Base de sorteio'!$I$3:$I$1723,0)),"")</f>
        <v/>
      </c>
      <c r="E96" s="4">
        <f>IFERROR(INDEX('Base de sorteio'!$B$3:$B$1723,MATCH($B96&amp;"|"&amp;$C96,'Base de sorteio'!$I$3:$I$1723,0)),"")</f>
        <v/>
      </c>
      <c r="F96" s="4">
        <f>IFERROR(INDEX('Base de sorteio'!$C$3:$C$1723,MATCH($B96&amp;"|"&amp;$C96,'Base de sorteio'!$I$3:$I$1723,0)),"")</f>
        <v/>
      </c>
      <c r="G96" s="4">
        <f>IFERROR(INDEX('Base de sorteio'!$D$3:$D$1723,MATCH($B96&amp;"|"&amp;$C96,'Base de sorteio'!$I$3:$I$1723,0)),"")</f>
        <v/>
      </c>
      <c r="H96" s="4">
        <f>IFERROR(INDEX('Base de sorteio'!$E$3:$E$1723,MATCH($B96&amp;"|"&amp;$C96,'Base de sorteio'!$I$3:$I$1723,0)),"")</f>
        <v/>
      </c>
      <c r="I96" s="4">
        <f>IF(E96="","",HYPERLINK(IFERROR(INDEX('Base de sorteio'!$J$3:$J$1723,MATCH($B96&amp;"|"&amp;$C96,'Base de sorteio'!$I$3:$I$1723,0)),""),"abrir"))</f>
        <v/>
      </c>
      <c r="J96" s="4" t="n"/>
      <c r="K96" s="4" t="n"/>
      <c r="L96" s="4" t="n"/>
      <c r="M96" s="4" t="n"/>
      <c r="N96" s="4">
        <f>IF(AND(K96="",M96=""),"",IF(OR(K96="sim",M96="sim"),"sim",IF(OR(K96="inconclusivo",M96="inconclusivo"),"inconclusivo","não")))</f>
        <v/>
      </c>
      <c r="O96" s="5">
        <f>IF(N96="sim",COUNTIFS($B$3:$B96,$B96,$N$3:$N96,"sim"),"")</f>
        <v/>
      </c>
      <c r="P96" s="5" t="n"/>
      <c r="Q96" s="4" t="n"/>
      <c r="R96" s="5" t="n"/>
      <c r="S96" s="9" t="n"/>
      <c r="T96" s="4" t="n"/>
    </row>
    <row r="97">
      <c r="A97" s="5">
        <f>ROW()-2</f>
        <v/>
      </c>
      <c r="B97" s="4" t="inlineStr">
        <is>
          <t>Metrópole</t>
        </is>
      </c>
      <c r="C97" s="5" t="n">
        <v>95</v>
      </c>
      <c r="D97" s="5">
        <f>IFERROR(INDEX('Base de sorteio'!$A$3:$A$1723,MATCH($B97&amp;"|"&amp;$C97,'Base de sorteio'!$I$3:$I$1723,0)),"")</f>
        <v/>
      </c>
      <c r="E97" s="4">
        <f>IFERROR(INDEX('Base de sorteio'!$B$3:$B$1723,MATCH($B97&amp;"|"&amp;$C97,'Base de sorteio'!$I$3:$I$1723,0)),"")</f>
        <v/>
      </c>
      <c r="F97" s="4">
        <f>IFERROR(INDEX('Base de sorteio'!$C$3:$C$1723,MATCH($B97&amp;"|"&amp;$C97,'Base de sorteio'!$I$3:$I$1723,0)),"")</f>
        <v/>
      </c>
      <c r="G97" s="4">
        <f>IFERROR(INDEX('Base de sorteio'!$D$3:$D$1723,MATCH($B97&amp;"|"&amp;$C97,'Base de sorteio'!$I$3:$I$1723,0)),"")</f>
        <v/>
      </c>
      <c r="H97" s="4">
        <f>IFERROR(INDEX('Base de sorteio'!$E$3:$E$1723,MATCH($B97&amp;"|"&amp;$C97,'Base de sorteio'!$I$3:$I$1723,0)),"")</f>
        <v/>
      </c>
      <c r="I97" s="4">
        <f>IF(E97="","",HYPERLINK(IFERROR(INDEX('Base de sorteio'!$J$3:$J$1723,MATCH($B97&amp;"|"&amp;$C97,'Base de sorteio'!$I$3:$I$1723,0)),""),"abrir"))</f>
        <v/>
      </c>
      <c r="J97" s="4" t="n"/>
      <c r="K97" s="4" t="n"/>
      <c r="L97" s="4" t="n"/>
      <c r="M97" s="4" t="n"/>
      <c r="N97" s="4">
        <f>IF(AND(K97="",M97=""),"",IF(OR(K97="sim",M97="sim"),"sim",IF(OR(K97="inconclusivo",M97="inconclusivo"),"inconclusivo","não")))</f>
        <v/>
      </c>
      <c r="O97" s="5">
        <f>IF(N97="sim",COUNTIFS($B$3:$B97,$B97,$N$3:$N97,"sim"),"")</f>
        <v/>
      </c>
      <c r="P97" s="5" t="n"/>
      <c r="Q97" s="4" t="n"/>
      <c r="R97" s="5" t="n"/>
      <c r="S97" s="9" t="n"/>
      <c r="T97" s="4" t="n"/>
    </row>
    <row r="98">
      <c r="A98" s="5">
        <f>ROW()-2</f>
        <v/>
      </c>
      <c r="B98" s="4" t="inlineStr">
        <is>
          <t>Metrópole</t>
        </is>
      </c>
      <c r="C98" s="5" t="n">
        <v>96</v>
      </c>
      <c r="D98" s="5">
        <f>IFERROR(INDEX('Base de sorteio'!$A$3:$A$1723,MATCH($B98&amp;"|"&amp;$C98,'Base de sorteio'!$I$3:$I$1723,0)),"")</f>
        <v/>
      </c>
      <c r="E98" s="4">
        <f>IFERROR(INDEX('Base de sorteio'!$B$3:$B$1723,MATCH($B98&amp;"|"&amp;$C98,'Base de sorteio'!$I$3:$I$1723,0)),"")</f>
        <v/>
      </c>
      <c r="F98" s="4">
        <f>IFERROR(INDEX('Base de sorteio'!$C$3:$C$1723,MATCH($B98&amp;"|"&amp;$C98,'Base de sorteio'!$I$3:$I$1723,0)),"")</f>
        <v/>
      </c>
      <c r="G98" s="4">
        <f>IFERROR(INDEX('Base de sorteio'!$D$3:$D$1723,MATCH($B98&amp;"|"&amp;$C98,'Base de sorteio'!$I$3:$I$1723,0)),"")</f>
        <v/>
      </c>
      <c r="H98" s="4">
        <f>IFERROR(INDEX('Base de sorteio'!$E$3:$E$1723,MATCH($B98&amp;"|"&amp;$C98,'Base de sorteio'!$I$3:$I$1723,0)),"")</f>
        <v/>
      </c>
      <c r="I98" s="4">
        <f>IF(E98="","",HYPERLINK(IFERROR(INDEX('Base de sorteio'!$J$3:$J$1723,MATCH($B98&amp;"|"&amp;$C98,'Base de sorteio'!$I$3:$I$1723,0)),""),"abrir"))</f>
        <v/>
      </c>
      <c r="J98" s="4" t="n"/>
      <c r="K98" s="4" t="n"/>
      <c r="L98" s="4" t="n"/>
      <c r="M98" s="4" t="n"/>
      <c r="N98" s="4">
        <f>IF(AND(K98="",M98=""),"",IF(OR(K98="sim",M98="sim"),"sim",IF(OR(K98="inconclusivo",M98="inconclusivo"),"inconclusivo","não")))</f>
        <v/>
      </c>
      <c r="O98" s="5">
        <f>IF(N98="sim",COUNTIFS($B$3:$B98,$B98,$N$3:$N98,"sim"),"")</f>
        <v/>
      </c>
      <c r="P98" s="5" t="n"/>
      <c r="Q98" s="4" t="n"/>
      <c r="R98" s="5" t="n"/>
      <c r="S98" s="9" t="n"/>
      <c r="T98" s="4" t="n"/>
    </row>
    <row r="99">
      <c r="A99" s="5">
        <f>ROW()-2</f>
        <v/>
      </c>
      <c r="B99" s="4" t="inlineStr">
        <is>
          <t>Metrópole</t>
        </is>
      </c>
      <c r="C99" s="5" t="n">
        <v>97</v>
      </c>
      <c r="D99" s="5">
        <f>IFERROR(INDEX('Base de sorteio'!$A$3:$A$1723,MATCH($B99&amp;"|"&amp;$C99,'Base de sorteio'!$I$3:$I$1723,0)),"")</f>
        <v/>
      </c>
      <c r="E99" s="4">
        <f>IFERROR(INDEX('Base de sorteio'!$B$3:$B$1723,MATCH($B99&amp;"|"&amp;$C99,'Base de sorteio'!$I$3:$I$1723,0)),"")</f>
        <v/>
      </c>
      <c r="F99" s="4">
        <f>IFERROR(INDEX('Base de sorteio'!$C$3:$C$1723,MATCH($B99&amp;"|"&amp;$C99,'Base de sorteio'!$I$3:$I$1723,0)),"")</f>
        <v/>
      </c>
      <c r="G99" s="4">
        <f>IFERROR(INDEX('Base de sorteio'!$D$3:$D$1723,MATCH($B99&amp;"|"&amp;$C99,'Base de sorteio'!$I$3:$I$1723,0)),"")</f>
        <v/>
      </c>
      <c r="H99" s="4">
        <f>IFERROR(INDEX('Base de sorteio'!$E$3:$E$1723,MATCH($B99&amp;"|"&amp;$C99,'Base de sorteio'!$I$3:$I$1723,0)),"")</f>
        <v/>
      </c>
      <c r="I99" s="4">
        <f>IF(E99="","",HYPERLINK(IFERROR(INDEX('Base de sorteio'!$J$3:$J$1723,MATCH($B99&amp;"|"&amp;$C99,'Base de sorteio'!$I$3:$I$1723,0)),""),"abrir"))</f>
        <v/>
      </c>
      <c r="J99" s="4" t="n"/>
      <c r="K99" s="4" t="n"/>
      <c r="L99" s="4" t="n"/>
      <c r="M99" s="4" t="n"/>
      <c r="N99" s="4">
        <f>IF(AND(K99="",M99=""),"",IF(OR(K99="sim",M99="sim"),"sim",IF(OR(K99="inconclusivo",M99="inconclusivo"),"inconclusivo","não")))</f>
        <v/>
      </c>
      <c r="O99" s="5">
        <f>IF(N99="sim",COUNTIFS($B$3:$B99,$B99,$N$3:$N99,"sim"),"")</f>
        <v/>
      </c>
      <c r="P99" s="5" t="n"/>
      <c r="Q99" s="4" t="n"/>
      <c r="R99" s="5" t="n"/>
      <c r="S99" s="9" t="n"/>
      <c r="T99" s="4" t="n"/>
    </row>
    <row r="100">
      <c r="A100" s="5">
        <f>ROW()-2</f>
        <v/>
      </c>
      <c r="B100" s="4" t="inlineStr">
        <is>
          <t>Metrópole</t>
        </is>
      </c>
      <c r="C100" s="5" t="n">
        <v>98</v>
      </c>
      <c r="D100" s="5">
        <f>IFERROR(INDEX('Base de sorteio'!$A$3:$A$1723,MATCH($B100&amp;"|"&amp;$C100,'Base de sorteio'!$I$3:$I$1723,0)),"")</f>
        <v/>
      </c>
      <c r="E100" s="4">
        <f>IFERROR(INDEX('Base de sorteio'!$B$3:$B$1723,MATCH($B100&amp;"|"&amp;$C100,'Base de sorteio'!$I$3:$I$1723,0)),"")</f>
        <v/>
      </c>
      <c r="F100" s="4">
        <f>IFERROR(INDEX('Base de sorteio'!$C$3:$C$1723,MATCH($B100&amp;"|"&amp;$C100,'Base de sorteio'!$I$3:$I$1723,0)),"")</f>
        <v/>
      </c>
      <c r="G100" s="4">
        <f>IFERROR(INDEX('Base de sorteio'!$D$3:$D$1723,MATCH($B100&amp;"|"&amp;$C100,'Base de sorteio'!$I$3:$I$1723,0)),"")</f>
        <v/>
      </c>
      <c r="H100" s="4">
        <f>IFERROR(INDEX('Base de sorteio'!$E$3:$E$1723,MATCH($B100&amp;"|"&amp;$C100,'Base de sorteio'!$I$3:$I$1723,0)),"")</f>
        <v/>
      </c>
      <c r="I100" s="4">
        <f>IF(E100="","",HYPERLINK(IFERROR(INDEX('Base de sorteio'!$J$3:$J$1723,MATCH($B100&amp;"|"&amp;$C100,'Base de sorteio'!$I$3:$I$1723,0)),""),"abrir"))</f>
        <v/>
      </c>
      <c r="J100" s="4" t="n"/>
      <c r="K100" s="4" t="n"/>
      <c r="L100" s="4" t="n"/>
      <c r="M100" s="4" t="n"/>
      <c r="N100" s="4">
        <f>IF(AND(K100="",M100=""),"",IF(OR(K100="sim",M100="sim"),"sim",IF(OR(K100="inconclusivo",M100="inconclusivo"),"inconclusivo","não")))</f>
        <v/>
      </c>
      <c r="O100" s="5">
        <f>IF(N100="sim",COUNTIFS($B$3:$B100,$B100,$N$3:$N100,"sim"),"")</f>
        <v/>
      </c>
      <c r="P100" s="5" t="n"/>
      <c r="Q100" s="4" t="n"/>
      <c r="R100" s="5" t="n"/>
      <c r="S100" s="9" t="n"/>
      <c r="T100" s="4" t="n"/>
    </row>
    <row r="101">
      <c r="A101" s="5">
        <f>ROW()-2</f>
        <v/>
      </c>
      <c r="B101" s="4" t="inlineStr">
        <is>
          <t>Metrópole</t>
        </is>
      </c>
      <c r="C101" s="5" t="n">
        <v>99</v>
      </c>
      <c r="D101" s="5">
        <f>IFERROR(INDEX('Base de sorteio'!$A$3:$A$1723,MATCH($B101&amp;"|"&amp;$C101,'Base de sorteio'!$I$3:$I$1723,0)),"")</f>
        <v/>
      </c>
      <c r="E101" s="4">
        <f>IFERROR(INDEX('Base de sorteio'!$B$3:$B$1723,MATCH($B101&amp;"|"&amp;$C101,'Base de sorteio'!$I$3:$I$1723,0)),"")</f>
        <v/>
      </c>
      <c r="F101" s="4">
        <f>IFERROR(INDEX('Base de sorteio'!$C$3:$C$1723,MATCH($B101&amp;"|"&amp;$C101,'Base de sorteio'!$I$3:$I$1723,0)),"")</f>
        <v/>
      </c>
      <c r="G101" s="4">
        <f>IFERROR(INDEX('Base de sorteio'!$D$3:$D$1723,MATCH($B101&amp;"|"&amp;$C101,'Base de sorteio'!$I$3:$I$1723,0)),"")</f>
        <v/>
      </c>
      <c r="H101" s="4">
        <f>IFERROR(INDEX('Base de sorteio'!$E$3:$E$1723,MATCH($B101&amp;"|"&amp;$C101,'Base de sorteio'!$I$3:$I$1723,0)),"")</f>
        <v/>
      </c>
      <c r="I101" s="4">
        <f>IF(E101="","",HYPERLINK(IFERROR(INDEX('Base de sorteio'!$J$3:$J$1723,MATCH($B101&amp;"|"&amp;$C101,'Base de sorteio'!$I$3:$I$1723,0)),""),"abrir"))</f>
        <v/>
      </c>
      <c r="J101" s="4" t="n"/>
      <c r="K101" s="4" t="n"/>
      <c r="L101" s="4" t="n"/>
      <c r="M101" s="4" t="n"/>
      <c r="N101" s="4">
        <f>IF(AND(K101="",M101=""),"",IF(OR(K101="sim",M101="sim"),"sim",IF(OR(K101="inconclusivo",M101="inconclusivo"),"inconclusivo","não")))</f>
        <v/>
      </c>
      <c r="O101" s="5">
        <f>IF(N101="sim",COUNTIFS($B$3:$B101,$B101,$N$3:$N101,"sim"),"")</f>
        <v/>
      </c>
      <c r="P101" s="5" t="n"/>
      <c r="Q101" s="4" t="n"/>
      <c r="R101" s="5" t="n"/>
      <c r="S101" s="9" t="n"/>
      <c r="T101" s="4" t="n"/>
    </row>
    <row r="102">
      <c r="A102" s="5">
        <f>ROW()-2</f>
        <v/>
      </c>
      <c r="B102" s="4" t="inlineStr">
        <is>
          <t>Metrópole</t>
        </is>
      </c>
      <c r="C102" s="5" t="n">
        <v>100</v>
      </c>
      <c r="D102" s="5">
        <f>IFERROR(INDEX('Base de sorteio'!$A$3:$A$1723,MATCH($B102&amp;"|"&amp;$C102,'Base de sorteio'!$I$3:$I$1723,0)),"")</f>
        <v/>
      </c>
      <c r="E102" s="4">
        <f>IFERROR(INDEX('Base de sorteio'!$B$3:$B$1723,MATCH($B102&amp;"|"&amp;$C102,'Base de sorteio'!$I$3:$I$1723,0)),"")</f>
        <v/>
      </c>
      <c r="F102" s="4">
        <f>IFERROR(INDEX('Base de sorteio'!$C$3:$C$1723,MATCH($B102&amp;"|"&amp;$C102,'Base de sorteio'!$I$3:$I$1723,0)),"")</f>
        <v/>
      </c>
      <c r="G102" s="4">
        <f>IFERROR(INDEX('Base de sorteio'!$D$3:$D$1723,MATCH($B102&amp;"|"&amp;$C102,'Base de sorteio'!$I$3:$I$1723,0)),"")</f>
        <v/>
      </c>
      <c r="H102" s="4">
        <f>IFERROR(INDEX('Base de sorteio'!$E$3:$E$1723,MATCH($B102&amp;"|"&amp;$C102,'Base de sorteio'!$I$3:$I$1723,0)),"")</f>
        <v/>
      </c>
      <c r="I102" s="4">
        <f>IF(E102="","",HYPERLINK(IFERROR(INDEX('Base de sorteio'!$J$3:$J$1723,MATCH($B102&amp;"|"&amp;$C102,'Base de sorteio'!$I$3:$I$1723,0)),""),"abrir"))</f>
        <v/>
      </c>
      <c r="J102" s="4" t="n"/>
      <c r="K102" s="4" t="n"/>
      <c r="L102" s="4" t="n"/>
      <c r="M102" s="4" t="n"/>
      <c r="N102" s="4">
        <f>IF(AND(K102="",M102=""),"",IF(OR(K102="sim",M102="sim"),"sim",IF(OR(K102="inconclusivo",M102="inconclusivo"),"inconclusivo","não")))</f>
        <v/>
      </c>
      <c r="O102" s="5">
        <f>IF(N102="sim",COUNTIFS($B$3:$B102,$B102,$N$3:$N102,"sim"),"")</f>
        <v/>
      </c>
      <c r="P102" s="5" t="n"/>
      <c r="Q102" s="4" t="n"/>
      <c r="R102" s="5" t="n"/>
      <c r="S102" s="9" t="n"/>
      <c r="T102" s="4" t="n"/>
    </row>
    <row r="103">
      <c r="A103" s="5">
        <f>ROW()-2</f>
        <v/>
      </c>
      <c r="B103" s="4" t="inlineStr">
        <is>
          <t>Metrópole</t>
        </is>
      </c>
      <c r="C103" s="5" t="n">
        <v>101</v>
      </c>
      <c r="D103" s="5">
        <f>IFERROR(INDEX('Base de sorteio'!$A$3:$A$1723,MATCH($B103&amp;"|"&amp;$C103,'Base de sorteio'!$I$3:$I$1723,0)),"")</f>
        <v/>
      </c>
      <c r="E103" s="4">
        <f>IFERROR(INDEX('Base de sorteio'!$B$3:$B$1723,MATCH($B103&amp;"|"&amp;$C103,'Base de sorteio'!$I$3:$I$1723,0)),"")</f>
        <v/>
      </c>
      <c r="F103" s="4">
        <f>IFERROR(INDEX('Base de sorteio'!$C$3:$C$1723,MATCH($B103&amp;"|"&amp;$C103,'Base de sorteio'!$I$3:$I$1723,0)),"")</f>
        <v/>
      </c>
      <c r="G103" s="4">
        <f>IFERROR(INDEX('Base de sorteio'!$D$3:$D$1723,MATCH($B103&amp;"|"&amp;$C103,'Base de sorteio'!$I$3:$I$1723,0)),"")</f>
        <v/>
      </c>
      <c r="H103" s="4">
        <f>IFERROR(INDEX('Base de sorteio'!$E$3:$E$1723,MATCH($B103&amp;"|"&amp;$C103,'Base de sorteio'!$I$3:$I$1723,0)),"")</f>
        <v/>
      </c>
      <c r="I103" s="4">
        <f>IF(E103="","",HYPERLINK(IFERROR(INDEX('Base de sorteio'!$J$3:$J$1723,MATCH($B103&amp;"|"&amp;$C103,'Base de sorteio'!$I$3:$I$1723,0)),""),"abrir"))</f>
        <v/>
      </c>
      <c r="J103" s="4" t="n"/>
      <c r="K103" s="4" t="n"/>
      <c r="L103" s="4" t="n"/>
      <c r="M103" s="4" t="n"/>
      <c r="N103" s="4">
        <f>IF(AND(K103="",M103=""),"",IF(OR(K103="sim",M103="sim"),"sim",IF(OR(K103="inconclusivo",M103="inconclusivo"),"inconclusivo","não")))</f>
        <v/>
      </c>
      <c r="O103" s="5">
        <f>IF(N103="sim",COUNTIFS($B$3:$B103,$B103,$N$3:$N103,"sim"),"")</f>
        <v/>
      </c>
      <c r="P103" s="5" t="n"/>
      <c r="Q103" s="4" t="n"/>
      <c r="R103" s="5" t="n"/>
      <c r="S103" s="9" t="n"/>
      <c r="T103" s="4" t="n"/>
    </row>
    <row r="104">
      <c r="A104" s="5">
        <f>ROW()-2</f>
        <v/>
      </c>
      <c r="B104" s="4" t="inlineStr">
        <is>
          <t>Metrópole</t>
        </is>
      </c>
      <c r="C104" s="5" t="n">
        <v>102</v>
      </c>
      <c r="D104" s="5">
        <f>IFERROR(INDEX('Base de sorteio'!$A$3:$A$1723,MATCH($B104&amp;"|"&amp;$C104,'Base de sorteio'!$I$3:$I$1723,0)),"")</f>
        <v/>
      </c>
      <c r="E104" s="4">
        <f>IFERROR(INDEX('Base de sorteio'!$B$3:$B$1723,MATCH($B104&amp;"|"&amp;$C104,'Base de sorteio'!$I$3:$I$1723,0)),"")</f>
        <v/>
      </c>
      <c r="F104" s="4">
        <f>IFERROR(INDEX('Base de sorteio'!$C$3:$C$1723,MATCH($B104&amp;"|"&amp;$C104,'Base de sorteio'!$I$3:$I$1723,0)),"")</f>
        <v/>
      </c>
      <c r="G104" s="4">
        <f>IFERROR(INDEX('Base de sorteio'!$D$3:$D$1723,MATCH($B104&amp;"|"&amp;$C104,'Base de sorteio'!$I$3:$I$1723,0)),"")</f>
        <v/>
      </c>
      <c r="H104" s="4">
        <f>IFERROR(INDEX('Base de sorteio'!$E$3:$E$1723,MATCH($B104&amp;"|"&amp;$C104,'Base de sorteio'!$I$3:$I$1723,0)),"")</f>
        <v/>
      </c>
      <c r="I104" s="4">
        <f>IF(E104="","",HYPERLINK(IFERROR(INDEX('Base de sorteio'!$J$3:$J$1723,MATCH($B104&amp;"|"&amp;$C104,'Base de sorteio'!$I$3:$I$1723,0)),""),"abrir"))</f>
        <v/>
      </c>
      <c r="J104" s="4" t="n"/>
      <c r="K104" s="4" t="n"/>
      <c r="L104" s="4" t="n"/>
      <c r="M104" s="4" t="n"/>
      <c r="N104" s="4">
        <f>IF(AND(K104="",M104=""),"",IF(OR(K104="sim",M104="sim"),"sim",IF(OR(K104="inconclusivo",M104="inconclusivo"),"inconclusivo","não")))</f>
        <v/>
      </c>
      <c r="O104" s="5">
        <f>IF(N104="sim",COUNTIFS($B$3:$B104,$B104,$N$3:$N104,"sim"),"")</f>
        <v/>
      </c>
      <c r="P104" s="5" t="n"/>
      <c r="Q104" s="4" t="n"/>
      <c r="R104" s="5" t="n"/>
      <c r="S104" s="9" t="n"/>
      <c r="T104" s="4" t="n"/>
    </row>
    <row r="105">
      <c r="A105" s="5">
        <f>ROW()-2</f>
        <v/>
      </c>
      <c r="B105" s="4" t="inlineStr">
        <is>
          <t>Metrópole</t>
        </is>
      </c>
      <c r="C105" s="5" t="n">
        <v>103</v>
      </c>
      <c r="D105" s="5">
        <f>IFERROR(INDEX('Base de sorteio'!$A$3:$A$1723,MATCH($B105&amp;"|"&amp;$C105,'Base de sorteio'!$I$3:$I$1723,0)),"")</f>
        <v/>
      </c>
      <c r="E105" s="4">
        <f>IFERROR(INDEX('Base de sorteio'!$B$3:$B$1723,MATCH($B105&amp;"|"&amp;$C105,'Base de sorteio'!$I$3:$I$1723,0)),"")</f>
        <v/>
      </c>
      <c r="F105" s="4">
        <f>IFERROR(INDEX('Base de sorteio'!$C$3:$C$1723,MATCH($B105&amp;"|"&amp;$C105,'Base de sorteio'!$I$3:$I$1723,0)),"")</f>
        <v/>
      </c>
      <c r="G105" s="4">
        <f>IFERROR(INDEX('Base de sorteio'!$D$3:$D$1723,MATCH($B105&amp;"|"&amp;$C105,'Base de sorteio'!$I$3:$I$1723,0)),"")</f>
        <v/>
      </c>
      <c r="H105" s="4">
        <f>IFERROR(INDEX('Base de sorteio'!$E$3:$E$1723,MATCH($B105&amp;"|"&amp;$C105,'Base de sorteio'!$I$3:$I$1723,0)),"")</f>
        <v/>
      </c>
      <c r="I105" s="4">
        <f>IF(E105="","",HYPERLINK(IFERROR(INDEX('Base de sorteio'!$J$3:$J$1723,MATCH($B105&amp;"|"&amp;$C105,'Base de sorteio'!$I$3:$I$1723,0)),""),"abrir"))</f>
        <v/>
      </c>
      <c r="J105" s="4" t="n"/>
      <c r="K105" s="4" t="n"/>
      <c r="L105" s="4" t="n"/>
      <c r="M105" s="4" t="n"/>
      <c r="N105" s="4">
        <f>IF(AND(K105="",M105=""),"",IF(OR(K105="sim",M105="sim"),"sim",IF(OR(K105="inconclusivo",M105="inconclusivo"),"inconclusivo","não")))</f>
        <v/>
      </c>
      <c r="O105" s="5">
        <f>IF(N105="sim",COUNTIFS($B$3:$B105,$B105,$N$3:$N105,"sim"),"")</f>
        <v/>
      </c>
      <c r="P105" s="5" t="n"/>
      <c r="Q105" s="4" t="n"/>
      <c r="R105" s="5" t="n"/>
      <c r="S105" s="9" t="n"/>
      <c r="T105" s="4" t="n"/>
    </row>
    <row r="106">
      <c r="A106" s="5">
        <f>ROW()-2</f>
        <v/>
      </c>
      <c r="B106" s="4" t="inlineStr">
        <is>
          <t>Metrópole</t>
        </is>
      </c>
      <c r="C106" s="5" t="n">
        <v>104</v>
      </c>
      <c r="D106" s="5">
        <f>IFERROR(INDEX('Base de sorteio'!$A$3:$A$1723,MATCH($B106&amp;"|"&amp;$C106,'Base de sorteio'!$I$3:$I$1723,0)),"")</f>
        <v/>
      </c>
      <c r="E106" s="4">
        <f>IFERROR(INDEX('Base de sorteio'!$B$3:$B$1723,MATCH($B106&amp;"|"&amp;$C106,'Base de sorteio'!$I$3:$I$1723,0)),"")</f>
        <v/>
      </c>
      <c r="F106" s="4">
        <f>IFERROR(INDEX('Base de sorteio'!$C$3:$C$1723,MATCH($B106&amp;"|"&amp;$C106,'Base de sorteio'!$I$3:$I$1723,0)),"")</f>
        <v/>
      </c>
      <c r="G106" s="4">
        <f>IFERROR(INDEX('Base de sorteio'!$D$3:$D$1723,MATCH($B106&amp;"|"&amp;$C106,'Base de sorteio'!$I$3:$I$1723,0)),"")</f>
        <v/>
      </c>
      <c r="H106" s="4">
        <f>IFERROR(INDEX('Base de sorteio'!$E$3:$E$1723,MATCH($B106&amp;"|"&amp;$C106,'Base de sorteio'!$I$3:$I$1723,0)),"")</f>
        <v/>
      </c>
      <c r="I106" s="4">
        <f>IF(E106="","",HYPERLINK(IFERROR(INDEX('Base de sorteio'!$J$3:$J$1723,MATCH($B106&amp;"|"&amp;$C106,'Base de sorteio'!$I$3:$I$1723,0)),""),"abrir"))</f>
        <v/>
      </c>
      <c r="J106" s="4" t="n"/>
      <c r="K106" s="4" t="n"/>
      <c r="L106" s="4" t="n"/>
      <c r="M106" s="4" t="n"/>
      <c r="N106" s="4">
        <f>IF(AND(K106="",M106=""),"",IF(OR(K106="sim",M106="sim"),"sim",IF(OR(K106="inconclusivo",M106="inconclusivo"),"inconclusivo","não")))</f>
        <v/>
      </c>
      <c r="O106" s="5">
        <f>IF(N106="sim",COUNTIFS($B$3:$B106,$B106,$N$3:$N106,"sim"),"")</f>
        <v/>
      </c>
      <c r="P106" s="5" t="n"/>
      <c r="Q106" s="4" t="n"/>
      <c r="R106" s="5" t="n"/>
      <c r="S106" s="9" t="n"/>
      <c r="T106" s="4" t="n"/>
    </row>
    <row r="107">
      <c r="A107" s="5">
        <f>ROW()-2</f>
        <v/>
      </c>
      <c r="B107" s="4" t="inlineStr">
        <is>
          <t>Metrópole</t>
        </is>
      </c>
      <c r="C107" s="5" t="n">
        <v>105</v>
      </c>
      <c r="D107" s="5">
        <f>IFERROR(INDEX('Base de sorteio'!$A$3:$A$1723,MATCH($B107&amp;"|"&amp;$C107,'Base de sorteio'!$I$3:$I$1723,0)),"")</f>
        <v/>
      </c>
      <c r="E107" s="4">
        <f>IFERROR(INDEX('Base de sorteio'!$B$3:$B$1723,MATCH($B107&amp;"|"&amp;$C107,'Base de sorteio'!$I$3:$I$1723,0)),"")</f>
        <v/>
      </c>
      <c r="F107" s="4">
        <f>IFERROR(INDEX('Base de sorteio'!$C$3:$C$1723,MATCH($B107&amp;"|"&amp;$C107,'Base de sorteio'!$I$3:$I$1723,0)),"")</f>
        <v/>
      </c>
      <c r="G107" s="4">
        <f>IFERROR(INDEX('Base de sorteio'!$D$3:$D$1723,MATCH($B107&amp;"|"&amp;$C107,'Base de sorteio'!$I$3:$I$1723,0)),"")</f>
        <v/>
      </c>
      <c r="H107" s="4">
        <f>IFERROR(INDEX('Base de sorteio'!$E$3:$E$1723,MATCH($B107&amp;"|"&amp;$C107,'Base de sorteio'!$I$3:$I$1723,0)),"")</f>
        <v/>
      </c>
      <c r="I107" s="4">
        <f>IF(E107="","",HYPERLINK(IFERROR(INDEX('Base de sorteio'!$J$3:$J$1723,MATCH($B107&amp;"|"&amp;$C107,'Base de sorteio'!$I$3:$I$1723,0)),""),"abrir"))</f>
        <v/>
      </c>
      <c r="J107" s="4" t="n"/>
      <c r="K107" s="4" t="n"/>
      <c r="L107" s="4" t="n"/>
      <c r="M107" s="4" t="n"/>
      <c r="N107" s="4">
        <f>IF(AND(K107="",M107=""),"",IF(OR(K107="sim",M107="sim"),"sim",IF(OR(K107="inconclusivo",M107="inconclusivo"),"inconclusivo","não")))</f>
        <v/>
      </c>
      <c r="O107" s="5">
        <f>IF(N107="sim",COUNTIFS($B$3:$B107,$B107,$N$3:$N107,"sim"),"")</f>
        <v/>
      </c>
      <c r="P107" s="5" t="n"/>
      <c r="Q107" s="4" t="n"/>
      <c r="R107" s="5" t="n"/>
      <c r="S107" s="9" t="n"/>
      <c r="T107" s="4" t="n"/>
    </row>
    <row r="108">
      <c r="A108" s="5">
        <f>ROW()-2</f>
        <v/>
      </c>
      <c r="B108" s="4" t="inlineStr">
        <is>
          <t>Metrópole</t>
        </is>
      </c>
      <c r="C108" s="5" t="n">
        <v>106</v>
      </c>
      <c r="D108" s="5">
        <f>IFERROR(INDEX('Base de sorteio'!$A$3:$A$1723,MATCH($B108&amp;"|"&amp;$C108,'Base de sorteio'!$I$3:$I$1723,0)),"")</f>
        <v/>
      </c>
      <c r="E108" s="4">
        <f>IFERROR(INDEX('Base de sorteio'!$B$3:$B$1723,MATCH($B108&amp;"|"&amp;$C108,'Base de sorteio'!$I$3:$I$1723,0)),"")</f>
        <v/>
      </c>
      <c r="F108" s="4">
        <f>IFERROR(INDEX('Base de sorteio'!$C$3:$C$1723,MATCH($B108&amp;"|"&amp;$C108,'Base de sorteio'!$I$3:$I$1723,0)),"")</f>
        <v/>
      </c>
      <c r="G108" s="4">
        <f>IFERROR(INDEX('Base de sorteio'!$D$3:$D$1723,MATCH($B108&amp;"|"&amp;$C108,'Base de sorteio'!$I$3:$I$1723,0)),"")</f>
        <v/>
      </c>
      <c r="H108" s="4">
        <f>IFERROR(INDEX('Base de sorteio'!$E$3:$E$1723,MATCH($B108&amp;"|"&amp;$C108,'Base de sorteio'!$I$3:$I$1723,0)),"")</f>
        <v/>
      </c>
      <c r="I108" s="4">
        <f>IF(E108="","",HYPERLINK(IFERROR(INDEX('Base de sorteio'!$J$3:$J$1723,MATCH($B108&amp;"|"&amp;$C108,'Base de sorteio'!$I$3:$I$1723,0)),""),"abrir"))</f>
        <v/>
      </c>
      <c r="J108" s="4" t="n"/>
      <c r="K108" s="4" t="n"/>
      <c r="L108" s="4" t="n"/>
      <c r="M108" s="4" t="n"/>
      <c r="N108" s="4">
        <f>IF(AND(K108="",M108=""),"",IF(OR(K108="sim",M108="sim"),"sim",IF(OR(K108="inconclusivo",M108="inconclusivo"),"inconclusivo","não")))</f>
        <v/>
      </c>
      <c r="O108" s="5">
        <f>IF(N108="sim",COUNTIFS($B$3:$B108,$B108,$N$3:$N108,"sim"),"")</f>
        <v/>
      </c>
      <c r="P108" s="5" t="n"/>
      <c r="Q108" s="4" t="n"/>
      <c r="R108" s="5" t="n"/>
      <c r="S108" s="9" t="n"/>
      <c r="T108" s="4" t="n"/>
    </row>
    <row r="109">
      <c r="A109" s="5">
        <f>ROW()-2</f>
        <v/>
      </c>
      <c r="B109" s="4" t="inlineStr">
        <is>
          <t>Metrópole</t>
        </is>
      </c>
      <c r="C109" s="5" t="n">
        <v>107</v>
      </c>
      <c r="D109" s="5">
        <f>IFERROR(INDEX('Base de sorteio'!$A$3:$A$1723,MATCH($B109&amp;"|"&amp;$C109,'Base de sorteio'!$I$3:$I$1723,0)),"")</f>
        <v/>
      </c>
      <c r="E109" s="4">
        <f>IFERROR(INDEX('Base de sorteio'!$B$3:$B$1723,MATCH($B109&amp;"|"&amp;$C109,'Base de sorteio'!$I$3:$I$1723,0)),"")</f>
        <v/>
      </c>
      <c r="F109" s="4">
        <f>IFERROR(INDEX('Base de sorteio'!$C$3:$C$1723,MATCH($B109&amp;"|"&amp;$C109,'Base de sorteio'!$I$3:$I$1723,0)),"")</f>
        <v/>
      </c>
      <c r="G109" s="4">
        <f>IFERROR(INDEX('Base de sorteio'!$D$3:$D$1723,MATCH($B109&amp;"|"&amp;$C109,'Base de sorteio'!$I$3:$I$1723,0)),"")</f>
        <v/>
      </c>
      <c r="H109" s="4">
        <f>IFERROR(INDEX('Base de sorteio'!$E$3:$E$1723,MATCH($B109&amp;"|"&amp;$C109,'Base de sorteio'!$I$3:$I$1723,0)),"")</f>
        <v/>
      </c>
      <c r="I109" s="4">
        <f>IF(E109="","",HYPERLINK(IFERROR(INDEX('Base de sorteio'!$J$3:$J$1723,MATCH($B109&amp;"|"&amp;$C109,'Base de sorteio'!$I$3:$I$1723,0)),""),"abrir"))</f>
        <v/>
      </c>
      <c r="J109" s="4" t="n"/>
      <c r="K109" s="4" t="n"/>
      <c r="L109" s="4" t="n"/>
      <c r="M109" s="4" t="n"/>
      <c r="N109" s="4">
        <f>IF(AND(K109="",M109=""),"",IF(OR(K109="sim",M109="sim"),"sim",IF(OR(K109="inconclusivo",M109="inconclusivo"),"inconclusivo","não")))</f>
        <v/>
      </c>
      <c r="O109" s="5">
        <f>IF(N109="sim",COUNTIFS($B$3:$B109,$B109,$N$3:$N109,"sim"),"")</f>
        <v/>
      </c>
      <c r="P109" s="5" t="n"/>
      <c r="Q109" s="4" t="n"/>
      <c r="R109" s="5" t="n"/>
      <c r="S109" s="9" t="n"/>
      <c r="T109" s="4" t="n"/>
    </row>
    <row r="110">
      <c r="A110" s="5">
        <f>ROW()-2</f>
        <v/>
      </c>
      <c r="B110" s="4" t="inlineStr">
        <is>
          <t>Metrópole</t>
        </is>
      </c>
      <c r="C110" s="5" t="n">
        <v>108</v>
      </c>
      <c r="D110" s="5">
        <f>IFERROR(INDEX('Base de sorteio'!$A$3:$A$1723,MATCH($B110&amp;"|"&amp;$C110,'Base de sorteio'!$I$3:$I$1723,0)),"")</f>
        <v/>
      </c>
      <c r="E110" s="4">
        <f>IFERROR(INDEX('Base de sorteio'!$B$3:$B$1723,MATCH($B110&amp;"|"&amp;$C110,'Base de sorteio'!$I$3:$I$1723,0)),"")</f>
        <v/>
      </c>
      <c r="F110" s="4">
        <f>IFERROR(INDEX('Base de sorteio'!$C$3:$C$1723,MATCH($B110&amp;"|"&amp;$C110,'Base de sorteio'!$I$3:$I$1723,0)),"")</f>
        <v/>
      </c>
      <c r="G110" s="4">
        <f>IFERROR(INDEX('Base de sorteio'!$D$3:$D$1723,MATCH($B110&amp;"|"&amp;$C110,'Base de sorteio'!$I$3:$I$1723,0)),"")</f>
        <v/>
      </c>
      <c r="H110" s="4">
        <f>IFERROR(INDEX('Base de sorteio'!$E$3:$E$1723,MATCH($B110&amp;"|"&amp;$C110,'Base de sorteio'!$I$3:$I$1723,0)),"")</f>
        <v/>
      </c>
      <c r="I110" s="4">
        <f>IF(E110="","",HYPERLINK(IFERROR(INDEX('Base de sorteio'!$J$3:$J$1723,MATCH($B110&amp;"|"&amp;$C110,'Base de sorteio'!$I$3:$I$1723,0)),""),"abrir"))</f>
        <v/>
      </c>
      <c r="J110" s="4" t="n"/>
      <c r="K110" s="4" t="n"/>
      <c r="L110" s="4" t="n"/>
      <c r="M110" s="4" t="n"/>
      <c r="N110" s="4">
        <f>IF(AND(K110="",M110=""),"",IF(OR(K110="sim",M110="sim"),"sim",IF(OR(K110="inconclusivo",M110="inconclusivo"),"inconclusivo","não")))</f>
        <v/>
      </c>
      <c r="O110" s="5">
        <f>IF(N110="sim",COUNTIFS($B$3:$B110,$B110,$N$3:$N110,"sim"),"")</f>
        <v/>
      </c>
      <c r="P110" s="5" t="n"/>
      <c r="Q110" s="4" t="n"/>
      <c r="R110" s="5" t="n"/>
      <c r="S110" s="9" t="n"/>
      <c r="T110" s="4" t="n"/>
    </row>
    <row r="111">
      <c r="A111" s="5">
        <f>ROW()-2</f>
        <v/>
      </c>
      <c r="B111" s="4" t="inlineStr">
        <is>
          <t>Metrópole</t>
        </is>
      </c>
      <c r="C111" s="5" t="n">
        <v>109</v>
      </c>
      <c r="D111" s="5">
        <f>IFERROR(INDEX('Base de sorteio'!$A$3:$A$1723,MATCH($B111&amp;"|"&amp;$C111,'Base de sorteio'!$I$3:$I$1723,0)),"")</f>
        <v/>
      </c>
      <c r="E111" s="4">
        <f>IFERROR(INDEX('Base de sorteio'!$B$3:$B$1723,MATCH($B111&amp;"|"&amp;$C111,'Base de sorteio'!$I$3:$I$1723,0)),"")</f>
        <v/>
      </c>
      <c r="F111" s="4">
        <f>IFERROR(INDEX('Base de sorteio'!$C$3:$C$1723,MATCH($B111&amp;"|"&amp;$C111,'Base de sorteio'!$I$3:$I$1723,0)),"")</f>
        <v/>
      </c>
      <c r="G111" s="4">
        <f>IFERROR(INDEX('Base de sorteio'!$D$3:$D$1723,MATCH($B111&amp;"|"&amp;$C111,'Base de sorteio'!$I$3:$I$1723,0)),"")</f>
        <v/>
      </c>
      <c r="H111" s="4">
        <f>IFERROR(INDEX('Base de sorteio'!$E$3:$E$1723,MATCH($B111&amp;"|"&amp;$C111,'Base de sorteio'!$I$3:$I$1723,0)),"")</f>
        <v/>
      </c>
      <c r="I111" s="4">
        <f>IF(E111="","",HYPERLINK(IFERROR(INDEX('Base de sorteio'!$J$3:$J$1723,MATCH($B111&amp;"|"&amp;$C111,'Base de sorteio'!$I$3:$I$1723,0)),""),"abrir"))</f>
        <v/>
      </c>
      <c r="J111" s="4" t="n"/>
      <c r="K111" s="4" t="n"/>
      <c r="L111" s="4" t="n"/>
      <c r="M111" s="4" t="n"/>
      <c r="N111" s="4">
        <f>IF(AND(K111="",M111=""),"",IF(OR(K111="sim",M111="sim"),"sim",IF(OR(K111="inconclusivo",M111="inconclusivo"),"inconclusivo","não")))</f>
        <v/>
      </c>
      <c r="O111" s="5">
        <f>IF(N111="sim",COUNTIFS($B$3:$B111,$B111,$N$3:$N111,"sim"),"")</f>
        <v/>
      </c>
      <c r="P111" s="5" t="n"/>
      <c r="Q111" s="4" t="n"/>
      <c r="R111" s="5" t="n"/>
      <c r="S111" s="9" t="n"/>
      <c r="T111" s="4" t="n"/>
    </row>
    <row r="112">
      <c r="A112" s="5">
        <f>ROW()-2</f>
        <v/>
      </c>
      <c r="B112" s="4" t="inlineStr">
        <is>
          <t>Metrópole</t>
        </is>
      </c>
      <c r="C112" s="5" t="n">
        <v>110</v>
      </c>
      <c r="D112" s="5">
        <f>IFERROR(INDEX('Base de sorteio'!$A$3:$A$1723,MATCH($B112&amp;"|"&amp;$C112,'Base de sorteio'!$I$3:$I$1723,0)),"")</f>
        <v/>
      </c>
      <c r="E112" s="4">
        <f>IFERROR(INDEX('Base de sorteio'!$B$3:$B$1723,MATCH($B112&amp;"|"&amp;$C112,'Base de sorteio'!$I$3:$I$1723,0)),"")</f>
        <v/>
      </c>
      <c r="F112" s="4">
        <f>IFERROR(INDEX('Base de sorteio'!$C$3:$C$1723,MATCH($B112&amp;"|"&amp;$C112,'Base de sorteio'!$I$3:$I$1723,0)),"")</f>
        <v/>
      </c>
      <c r="G112" s="4">
        <f>IFERROR(INDEX('Base de sorteio'!$D$3:$D$1723,MATCH($B112&amp;"|"&amp;$C112,'Base de sorteio'!$I$3:$I$1723,0)),"")</f>
        <v/>
      </c>
      <c r="H112" s="4">
        <f>IFERROR(INDEX('Base de sorteio'!$E$3:$E$1723,MATCH($B112&amp;"|"&amp;$C112,'Base de sorteio'!$I$3:$I$1723,0)),"")</f>
        <v/>
      </c>
      <c r="I112" s="4">
        <f>IF(E112="","",HYPERLINK(IFERROR(INDEX('Base de sorteio'!$J$3:$J$1723,MATCH($B112&amp;"|"&amp;$C112,'Base de sorteio'!$I$3:$I$1723,0)),""),"abrir"))</f>
        <v/>
      </c>
      <c r="J112" s="4" t="n"/>
      <c r="K112" s="4" t="n"/>
      <c r="L112" s="4" t="n"/>
      <c r="M112" s="4" t="n"/>
      <c r="N112" s="4">
        <f>IF(AND(K112="",M112=""),"",IF(OR(K112="sim",M112="sim"),"sim",IF(OR(K112="inconclusivo",M112="inconclusivo"),"inconclusivo","não")))</f>
        <v/>
      </c>
      <c r="O112" s="5">
        <f>IF(N112="sim",COUNTIFS($B$3:$B112,$B112,$N$3:$N112,"sim"),"")</f>
        <v/>
      </c>
      <c r="P112" s="5" t="n"/>
      <c r="Q112" s="4" t="n"/>
      <c r="R112" s="5" t="n"/>
      <c r="S112" s="9" t="n"/>
      <c r="T112" s="4" t="n"/>
    </row>
    <row r="113">
      <c r="A113" s="5">
        <f>ROW()-2</f>
        <v/>
      </c>
      <c r="B113" s="4" t="inlineStr">
        <is>
          <t>Metrópole</t>
        </is>
      </c>
      <c r="C113" s="5" t="n">
        <v>111</v>
      </c>
      <c r="D113" s="5">
        <f>IFERROR(INDEX('Base de sorteio'!$A$3:$A$1723,MATCH($B113&amp;"|"&amp;$C113,'Base de sorteio'!$I$3:$I$1723,0)),"")</f>
        <v/>
      </c>
      <c r="E113" s="4">
        <f>IFERROR(INDEX('Base de sorteio'!$B$3:$B$1723,MATCH($B113&amp;"|"&amp;$C113,'Base de sorteio'!$I$3:$I$1723,0)),"")</f>
        <v/>
      </c>
      <c r="F113" s="4">
        <f>IFERROR(INDEX('Base de sorteio'!$C$3:$C$1723,MATCH($B113&amp;"|"&amp;$C113,'Base de sorteio'!$I$3:$I$1723,0)),"")</f>
        <v/>
      </c>
      <c r="G113" s="4">
        <f>IFERROR(INDEX('Base de sorteio'!$D$3:$D$1723,MATCH($B113&amp;"|"&amp;$C113,'Base de sorteio'!$I$3:$I$1723,0)),"")</f>
        <v/>
      </c>
      <c r="H113" s="4">
        <f>IFERROR(INDEX('Base de sorteio'!$E$3:$E$1723,MATCH($B113&amp;"|"&amp;$C113,'Base de sorteio'!$I$3:$I$1723,0)),"")</f>
        <v/>
      </c>
      <c r="I113" s="4">
        <f>IF(E113="","",HYPERLINK(IFERROR(INDEX('Base de sorteio'!$J$3:$J$1723,MATCH($B113&amp;"|"&amp;$C113,'Base de sorteio'!$I$3:$I$1723,0)),""),"abrir"))</f>
        <v/>
      </c>
      <c r="J113" s="4" t="n"/>
      <c r="K113" s="4" t="n"/>
      <c r="L113" s="4" t="n"/>
      <c r="M113" s="4" t="n"/>
      <c r="N113" s="4">
        <f>IF(AND(K113="",M113=""),"",IF(OR(K113="sim",M113="sim"),"sim",IF(OR(K113="inconclusivo",M113="inconclusivo"),"inconclusivo","não")))</f>
        <v/>
      </c>
      <c r="O113" s="5">
        <f>IF(N113="sim",COUNTIFS($B$3:$B113,$B113,$N$3:$N113,"sim"),"")</f>
        <v/>
      </c>
      <c r="P113" s="5" t="n"/>
      <c r="Q113" s="4" t="n"/>
      <c r="R113" s="5" t="n"/>
      <c r="S113" s="9" t="n"/>
      <c r="T113" s="4" t="n"/>
    </row>
    <row r="114">
      <c r="A114" s="5">
        <f>ROW()-2</f>
        <v/>
      </c>
      <c r="B114" s="4" t="inlineStr">
        <is>
          <t>Metrópole</t>
        </is>
      </c>
      <c r="C114" s="5" t="n">
        <v>112</v>
      </c>
      <c r="D114" s="5">
        <f>IFERROR(INDEX('Base de sorteio'!$A$3:$A$1723,MATCH($B114&amp;"|"&amp;$C114,'Base de sorteio'!$I$3:$I$1723,0)),"")</f>
        <v/>
      </c>
      <c r="E114" s="4">
        <f>IFERROR(INDEX('Base de sorteio'!$B$3:$B$1723,MATCH($B114&amp;"|"&amp;$C114,'Base de sorteio'!$I$3:$I$1723,0)),"")</f>
        <v/>
      </c>
      <c r="F114" s="4">
        <f>IFERROR(INDEX('Base de sorteio'!$C$3:$C$1723,MATCH($B114&amp;"|"&amp;$C114,'Base de sorteio'!$I$3:$I$1723,0)),"")</f>
        <v/>
      </c>
      <c r="G114" s="4">
        <f>IFERROR(INDEX('Base de sorteio'!$D$3:$D$1723,MATCH($B114&amp;"|"&amp;$C114,'Base de sorteio'!$I$3:$I$1723,0)),"")</f>
        <v/>
      </c>
      <c r="H114" s="4">
        <f>IFERROR(INDEX('Base de sorteio'!$E$3:$E$1723,MATCH($B114&amp;"|"&amp;$C114,'Base de sorteio'!$I$3:$I$1723,0)),"")</f>
        <v/>
      </c>
      <c r="I114" s="4">
        <f>IF(E114="","",HYPERLINK(IFERROR(INDEX('Base de sorteio'!$J$3:$J$1723,MATCH($B114&amp;"|"&amp;$C114,'Base de sorteio'!$I$3:$I$1723,0)),""),"abrir"))</f>
        <v/>
      </c>
      <c r="J114" s="4" t="n"/>
      <c r="K114" s="4" t="n"/>
      <c r="L114" s="4" t="n"/>
      <c r="M114" s="4" t="n"/>
      <c r="N114" s="4">
        <f>IF(AND(K114="",M114=""),"",IF(OR(K114="sim",M114="sim"),"sim",IF(OR(K114="inconclusivo",M114="inconclusivo"),"inconclusivo","não")))</f>
        <v/>
      </c>
      <c r="O114" s="5">
        <f>IF(N114="sim",COUNTIFS($B$3:$B114,$B114,$N$3:$N114,"sim"),"")</f>
        <v/>
      </c>
      <c r="P114" s="5" t="n"/>
      <c r="Q114" s="4" t="n"/>
      <c r="R114" s="5" t="n"/>
      <c r="S114" s="9" t="n"/>
      <c r="T114" s="4" t="n"/>
    </row>
    <row r="115">
      <c r="A115" s="5">
        <f>ROW()-2</f>
        <v/>
      </c>
      <c r="B115" s="4" t="inlineStr">
        <is>
          <t>Metrópole</t>
        </is>
      </c>
      <c r="C115" s="5" t="n">
        <v>113</v>
      </c>
      <c r="D115" s="5">
        <f>IFERROR(INDEX('Base de sorteio'!$A$3:$A$1723,MATCH($B115&amp;"|"&amp;$C115,'Base de sorteio'!$I$3:$I$1723,0)),"")</f>
        <v/>
      </c>
      <c r="E115" s="4">
        <f>IFERROR(INDEX('Base de sorteio'!$B$3:$B$1723,MATCH($B115&amp;"|"&amp;$C115,'Base de sorteio'!$I$3:$I$1723,0)),"")</f>
        <v/>
      </c>
      <c r="F115" s="4">
        <f>IFERROR(INDEX('Base de sorteio'!$C$3:$C$1723,MATCH($B115&amp;"|"&amp;$C115,'Base de sorteio'!$I$3:$I$1723,0)),"")</f>
        <v/>
      </c>
      <c r="G115" s="4">
        <f>IFERROR(INDEX('Base de sorteio'!$D$3:$D$1723,MATCH($B115&amp;"|"&amp;$C115,'Base de sorteio'!$I$3:$I$1723,0)),"")</f>
        <v/>
      </c>
      <c r="H115" s="4">
        <f>IFERROR(INDEX('Base de sorteio'!$E$3:$E$1723,MATCH($B115&amp;"|"&amp;$C115,'Base de sorteio'!$I$3:$I$1723,0)),"")</f>
        <v/>
      </c>
      <c r="I115" s="4">
        <f>IF(E115="","",HYPERLINK(IFERROR(INDEX('Base de sorteio'!$J$3:$J$1723,MATCH($B115&amp;"|"&amp;$C115,'Base de sorteio'!$I$3:$I$1723,0)),""),"abrir"))</f>
        <v/>
      </c>
      <c r="J115" s="4" t="n"/>
      <c r="K115" s="4" t="n"/>
      <c r="L115" s="4" t="n"/>
      <c r="M115" s="4" t="n"/>
      <c r="N115" s="4">
        <f>IF(AND(K115="",M115=""),"",IF(OR(K115="sim",M115="sim"),"sim",IF(OR(K115="inconclusivo",M115="inconclusivo"),"inconclusivo","não")))</f>
        <v/>
      </c>
      <c r="O115" s="5">
        <f>IF(N115="sim",COUNTIFS($B$3:$B115,$B115,$N$3:$N115,"sim"),"")</f>
        <v/>
      </c>
      <c r="P115" s="5" t="n"/>
      <c r="Q115" s="4" t="n"/>
      <c r="R115" s="5" t="n"/>
      <c r="S115" s="9" t="n"/>
      <c r="T115" s="4" t="n"/>
    </row>
    <row r="116">
      <c r="A116" s="5">
        <f>ROW()-2</f>
        <v/>
      </c>
      <c r="B116" s="4" t="inlineStr">
        <is>
          <t>Metrópole</t>
        </is>
      </c>
      <c r="C116" s="5" t="n">
        <v>114</v>
      </c>
      <c r="D116" s="5">
        <f>IFERROR(INDEX('Base de sorteio'!$A$3:$A$1723,MATCH($B116&amp;"|"&amp;$C116,'Base de sorteio'!$I$3:$I$1723,0)),"")</f>
        <v/>
      </c>
      <c r="E116" s="4">
        <f>IFERROR(INDEX('Base de sorteio'!$B$3:$B$1723,MATCH($B116&amp;"|"&amp;$C116,'Base de sorteio'!$I$3:$I$1723,0)),"")</f>
        <v/>
      </c>
      <c r="F116" s="4">
        <f>IFERROR(INDEX('Base de sorteio'!$C$3:$C$1723,MATCH($B116&amp;"|"&amp;$C116,'Base de sorteio'!$I$3:$I$1723,0)),"")</f>
        <v/>
      </c>
      <c r="G116" s="4">
        <f>IFERROR(INDEX('Base de sorteio'!$D$3:$D$1723,MATCH($B116&amp;"|"&amp;$C116,'Base de sorteio'!$I$3:$I$1723,0)),"")</f>
        <v/>
      </c>
      <c r="H116" s="4">
        <f>IFERROR(INDEX('Base de sorteio'!$E$3:$E$1723,MATCH($B116&amp;"|"&amp;$C116,'Base de sorteio'!$I$3:$I$1723,0)),"")</f>
        <v/>
      </c>
      <c r="I116" s="4">
        <f>IF(E116="","",HYPERLINK(IFERROR(INDEX('Base de sorteio'!$J$3:$J$1723,MATCH($B116&amp;"|"&amp;$C116,'Base de sorteio'!$I$3:$I$1723,0)),""),"abrir"))</f>
        <v/>
      </c>
      <c r="J116" s="4" t="n"/>
      <c r="K116" s="4" t="n"/>
      <c r="L116" s="4" t="n"/>
      <c r="M116" s="4" t="n"/>
      <c r="N116" s="4">
        <f>IF(AND(K116="",M116=""),"",IF(OR(K116="sim",M116="sim"),"sim",IF(OR(K116="inconclusivo",M116="inconclusivo"),"inconclusivo","não")))</f>
        <v/>
      </c>
      <c r="O116" s="5">
        <f>IF(N116="sim",COUNTIFS($B$3:$B116,$B116,$N$3:$N116,"sim"),"")</f>
        <v/>
      </c>
      <c r="P116" s="5" t="n"/>
      <c r="Q116" s="4" t="n"/>
      <c r="R116" s="5" t="n"/>
      <c r="S116" s="9" t="n"/>
      <c r="T116" s="4" t="n"/>
    </row>
    <row r="117">
      <c r="A117" s="5">
        <f>ROW()-2</f>
        <v/>
      </c>
      <c r="B117" s="4" t="inlineStr">
        <is>
          <t>Metrópole</t>
        </is>
      </c>
      <c r="C117" s="5" t="n">
        <v>115</v>
      </c>
      <c r="D117" s="5">
        <f>IFERROR(INDEX('Base de sorteio'!$A$3:$A$1723,MATCH($B117&amp;"|"&amp;$C117,'Base de sorteio'!$I$3:$I$1723,0)),"")</f>
        <v/>
      </c>
      <c r="E117" s="4">
        <f>IFERROR(INDEX('Base de sorteio'!$B$3:$B$1723,MATCH($B117&amp;"|"&amp;$C117,'Base de sorteio'!$I$3:$I$1723,0)),"")</f>
        <v/>
      </c>
      <c r="F117" s="4">
        <f>IFERROR(INDEX('Base de sorteio'!$C$3:$C$1723,MATCH($B117&amp;"|"&amp;$C117,'Base de sorteio'!$I$3:$I$1723,0)),"")</f>
        <v/>
      </c>
      <c r="G117" s="4">
        <f>IFERROR(INDEX('Base de sorteio'!$D$3:$D$1723,MATCH($B117&amp;"|"&amp;$C117,'Base de sorteio'!$I$3:$I$1723,0)),"")</f>
        <v/>
      </c>
      <c r="H117" s="4">
        <f>IFERROR(INDEX('Base de sorteio'!$E$3:$E$1723,MATCH($B117&amp;"|"&amp;$C117,'Base de sorteio'!$I$3:$I$1723,0)),"")</f>
        <v/>
      </c>
      <c r="I117" s="4">
        <f>IF(E117="","",HYPERLINK(IFERROR(INDEX('Base de sorteio'!$J$3:$J$1723,MATCH($B117&amp;"|"&amp;$C117,'Base de sorteio'!$I$3:$I$1723,0)),""),"abrir"))</f>
        <v/>
      </c>
      <c r="J117" s="4" t="n"/>
      <c r="K117" s="4" t="n"/>
      <c r="L117" s="4" t="n"/>
      <c r="M117" s="4" t="n"/>
      <c r="N117" s="4">
        <f>IF(AND(K117="",M117=""),"",IF(OR(K117="sim",M117="sim"),"sim",IF(OR(K117="inconclusivo",M117="inconclusivo"),"inconclusivo","não")))</f>
        <v/>
      </c>
      <c r="O117" s="5">
        <f>IF(N117="sim",COUNTIFS($B$3:$B117,$B117,$N$3:$N117,"sim"),"")</f>
        <v/>
      </c>
      <c r="P117" s="5" t="n"/>
      <c r="Q117" s="4" t="n"/>
      <c r="R117" s="5" t="n"/>
      <c r="S117" s="9" t="n"/>
      <c r="T117" s="4" t="n"/>
    </row>
    <row r="118">
      <c r="A118" s="5">
        <f>ROW()-2</f>
        <v/>
      </c>
      <c r="B118" s="4" t="inlineStr">
        <is>
          <t>Metrópole</t>
        </is>
      </c>
      <c r="C118" s="5" t="n">
        <v>116</v>
      </c>
      <c r="D118" s="5">
        <f>IFERROR(INDEX('Base de sorteio'!$A$3:$A$1723,MATCH($B118&amp;"|"&amp;$C118,'Base de sorteio'!$I$3:$I$1723,0)),"")</f>
        <v/>
      </c>
      <c r="E118" s="4">
        <f>IFERROR(INDEX('Base de sorteio'!$B$3:$B$1723,MATCH($B118&amp;"|"&amp;$C118,'Base de sorteio'!$I$3:$I$1723,0)),"")</f>
        <v/>
      </c>
      <c r="F118" s="4">
        <f>IFERROR(INDEX('Base de sorteio'!$C$3:$C$1723,MATCH($B118&amp;"|"&amp;$C118,'Base de sorteio'!$I$3:$I$1723,0)),"")</f>
        <v/>
      </c>
      <c r="G118" s="4">
        <f>IFERROR(INDEX('Base de sorteio'!$D$3:$D$1723,MATCH($B118&amp;"|"&amp;$C118,'Base de sorteio'!$I$3:$I$1723,0)),"")</f>
        <v/>
      </c>
      <c r="H118" s="4">
        <f>IFERROR(INDEX('Base de sorteio'!$E$3:$E$1723,MATCH($B118&amp;"|"&amp;$C118,'Base de sorteio'!$I$3:$I$1723,0)),"")</f>
        <v/>
      </c>
      <c r="I118" s="4">
        <f>IF(E118="","",HYPERLINK(IFERROR(INDEX('Base de sorteio'!$J$3:$J$1723,MATCH($B118&amp;"|"&amp;$C118,'Base de sorteio'!$I$3:$I$1723,0)),""),"abrir"))</f>
        <v/>
      </c>
      <c r="J118" s="4" t="n"/>
      <c r="K118" s="4" t="n"/>
      <c r="L118" s="4" t="n"/>
      <c r="M118" s="4" t="n"/>
      <c r="N118" s="4">
        <f>IF(AND(K118="",M118=""),"",IF(OR(K118="sim",M118="sim"),"sim",IF(OR(K118="inconclusivo",M118="inconclusivo"),"inconclusivo","não")))</f>
        <v/>
      </c>
      <c r="O118" s="5">
        <f>IF(N118="sim",COUNTIFS($B$3:$B118,$B118,$N$3:$N118,"sim"),"")</f>
        <v/>
      </c>
      <c r="P118" s="5" t="n"/>
      <c r="Q118" s="4" t="n"/>
      <c r="R118" s="5" t="n"/>
      <c r="S118" s="9" t="n"/>
      <c r="T118" s="4" t="n"/>
    </row>
    <row r="119">
      <c r="A119" s="5">
        <f>ROW()-2</f>
        <v/>
      </c>
      <c r="B119" s="4" t="inlineStr">
        <is>
          <t>Metrópole</t>
        </is>
      </c>
      <c r="C119" s="5" t="n">
        <v>117</v>
      </c>
      <c r="D119" s="5">
        <f>IFERROR(INDEX('Base de sorteio'!$A$3:$A$1723,MATCH($B119&amp;"|"&amp;$C119,'Base de sorteio'!$I$3:$I$1723,0)),"")</f>
        <v/>
      </c>
      <c r="E119" s="4">
        <f>IFERROR(INDEX('Base de sorteio'!$B$3:$B$1723,MATCH($B119&amp;"|"&amp;$C119,'Base de sorteio'!$I$3:$I$1723,0)),"")</f>
        <v/>
      </c>
      <c r="F119" s="4">
        <f>IFERROR(INDEX('Base de sorteio'!$C$3:$C$1723,MATCH($B119&amp;"|"&amp;$C119,'Base de sorteio'!$I$3:$I$1723,0)),"")</f>
        <v/>
      </c>
      <c r="G119" s="4">
        <f>IFERROR(INDEX('Base de sorteio'!$D$3:$D$1723,MATCH($B119&amp;"|"&amp;$C119,'Base de sorteio'!$I$3:$I$1723,0)),"")</f>
        <v/>
      </c>
      <c r="H119" s="4">
        <f>IFERROR(INDEX('Base de sorteio'!$E$3:$E$1723,MATCH($B119&amp;"|"&amp;$C119,'Base de sorteio'!$I$3:$I$1723,0)),"")</f>
        <v/>
      </c>
      <c r="I119" s="4">
        <f>IF(E119="","",HYPERLINK(IFERROR(INDEX('Base de sorteio'!$J$3:$J$1723,MATCH($B119&amp;"|"&amp;$C119,'Base de sorteio'!$I$3:$I$1723,0)),""),"abrir"))</f>
        <v/>
      </c>
      <c r="J119" s="4" t="n"/>
      <c r="K119" s="4" t="n"/>
      <c r="L119" s="4" t="n"/>
      <c r="M119" s="4" t="n"/>
      <c r="N119" s="4">
        <f>IF(AND(K119="",M119=""),"",IF(OR(K119="sim",M119="sim"),"sim",IF(OR(K119="inconclusivo",M119="inconclusivo"),"inconclusivo","não")))</f>
        <v/>
      </c>
      <c r="O119" s="5">
        <f>IF(N119="sim",COUNTIFS($B$3:$B119,$B119,$N$3:$N119,"sim"),"")</f>
        <v/>
      </c>
      <c r="P119" s="5" t="n"/>
      <c r="Q119" s="4" t="n"/>
      <c r="R119" s="5" t="n"/>
      <c r="S119" s="9" t="n"/>
      <c r="T119" s="4" t="n"/>
    </row>
    <row r="120">
      <c r="A120" s="5">
        <f>ROW()-2</f>
        <v/>
      </c>
      <c r="B120" s="4" t="inlineStr">
        <is>
          <t>Metrópole</t>
        </is>
      </c>
      <c r="C120" s="5" t="n">
        <v>118</v>
      </c>
      <c r="D120" s="5">
        <f>IFERROR(INDEX('Base de sorteio'!$A$3:$A$1723,MATCH($B120&amp;"|"&amp;$C120,'Base de sorteio'!$I$3:$I$1723,0)),"")</f>
        <v/>
      </c>
      <c r="E120" s="4">
        <f>IFERROR(INDEX('Base de sorteio'!$B$3:$B$1723,MATCH($B120&amp;"|"&amp;$C120,'Base de sorteio'!$I$3:$I$1723,0)),"")</f>
        <v/>
      </c>
      <c r="F120" s="4">
        <f>IFERROR(INDEX('Base de sorteio'!$C$3:$C$1723,MATCH($B120&amp;"|"&amp;$C120,'Base de sorteio'!$I$3:$I$1723,0)),"")</f>
        <v/>
      </c>
      <c r="G120" s="4">
        <f>IFERROR(INDEX('Base de sorteio'!$D$3:$D$1723,MATCH($B120&amp;"|"&amp;$C120,'Base de sorteio'!$I$3:$I$1723,0)),"")</f>
        <v/>
      </c>
      <c r="H120" s="4">
        <f>IFERROR(INDEX('Base de sorteio'!$E$3:$E$1723,MATCH($B120&amp;"|"&amp;$C120,'Base de sorteio'!$I$3:$I$1723,0)),"")</f>
        <v/>
      </c>
      <c r="I120" s="4">
        <f>IF(E120="","",HYPERLINK(IFERROR(INDEX('Base de sorteio'!$J$3:$J$1723,MATCH($B120&amp;"|"&amp;$C120,'Base de sorteio'!$I$3:$I$1723,0)),""),"abrir"))</f>
        <v/>
      </c>
      <c r="J120" s="4" t="n"/>
      <c r="K120" s="4" t="n"/>
      <c r="L120" s="4" t="n"/>
      <c r="M120" s="4" t="n"/>
      <c r="N120" s="4">
        <f>IF(AND(K120="",M120=""),"",IF(OR(K120="sim",M120="sim"),"sim",IF(OR(K120="inconclusivo",M120="inconclusivo"),"inconclusivo","não")))</f>
        <v/>
      </c>
      <c r="O120" s="5">
        <f>IF(N120="sim",COUNTIFS($B$3:$B120,$B120,$N$3:$N120,"sim"),"")</f>
        <v/>
      </c>
      <c r="P120" s="5" t="n"/>
      <c r="Q120" s="4" t="n"/>
      <c r="R120" s="5" t="n"/>
      <c r="S120" s="9" t="n"/>
      <c r="T120" s="4" t="n"/>
    </row>
    <row r="121">
      <c r="A121" s="5">
        <f>ROW()-2</f>
        <v/>
      </c>
      <c r="B121" s="4" t="inlineStr">
        <is>
          <t>Metrópole</t>
        </is>
      </c>
      <c r="C121" s="5" t="n">
        <v>119</v>
      </c>
      <c r="D121" s="5">
        <f>IFERROR(INDEX('Base de sorteio'!$A$3:$A$1723,MATCH($B121&amp;"|"&amp;$C121,'Base de sorteio'!$I$3:$I$1723,0)),"")</f>
        <v/>
      </c>
      <c r="E121" s="4">
        <f>IFERROR(INDEX('Base de sorteio'!$B$3:$B$1723,MATCH($B121&amp;"|"&amp;$C121,'Base de sorteio'!$I$3:$I$1723,0)),"")</f>
        <v/>
      </c>
      <c r="F121" s="4">
        <f>IFERROR(INDEX('Base de sorteio'!$C$3:$C$1723,MATCH($B121&amp;"|"&amp;$C121,'Base de sorteio'!$I$3:$I$1723,0)),"")</f>
        <v/>
      </c>
      <c r="G121" s="4">
        <f>IFERROR(INDEX('Base de sorteio'!$D$3:$D$1723,MATCH($B121&amp;"|"&amp;$C121,'Base de sorteio'!$I$3:$I$1723,0)),"")</f>
        <v/>
      </c>
      <c r="H121" s="4">
        <f>IFERROR(INDEX('Base de sorteio'!$E$3:$E$1723,MATCH($B121&amp;"|"&amp;$C121,'Base de sorteio'!$I$3:$I$1723,0)),"")</f>
        <v/>
      </c>
      <c r="I121" s="4">
        <f>IF(E121="","",HYPERLINK(IFERROR(INDEX('Base de sorteio'!$J$3:$J$1723,MATCH($B121&amp;"|"&amp;$C121,'Base de sorteio'!$I$3:$I$1723,0)),""),"abrir"))</f>
        <v/>
      </c>
      <c r="J121" s="4" t="n"/>
      <c r="K121" s="4" t="n"/>
      <c r="L121" s="4" t="n"/>
      <c r="M121" s="4" t="n"/>
      <c r="N121" s="4">
        <f>IF(AND(K121="",M121=""),"",IF(OR(K121="sim",M121="sim"),"sim",IF(OR(K121="inconclusivo",M121="inconclusivo"),"inconclusivo","não")))</f>
        <v/>
      </c>
      <c r="O121" s="5">
        <f>IF(N121="sim",COUNTIFS($B$3:$B121,$B121,$N$3:$N121,"sim"),"")</f>
        <v/>
      </c>
      <c r="P121" s="5" t="n"/>
      <c r="Q121" s="4" t="n"/>
      <c r="R121" s="5" t="n"/>
      <c r="S121" s="9" t="n"/>
      <c r="T121" s="4" t="n"/>
    </row>
    <row r="122">
      <c r="A122" s="5">
        <f>ROW()-2</f>
        <v/>
      </c>
      <c r="B122" s="4" t="inlineStr">
        <is>
          <t>Metrópole</t>
        </is>
      </c>
      <c r="C122" s="5" t="n">
        <v>120</v>
      </c>
      <c r="D122" s="5">
        <f>IFERROR(INDEX('Base de sorteio'!$A$3:$A$1723,MATCH($B122&amp;"|"&amp;$C122,'Base de sorteio'!$I$3:$I$1723,0)),"")</f>
        <v/>
      </c>
      <c r="E122" s="4">
        <f>IFERROR(INDEX('Base de sorteio'!$B$3:$B$1723,MATCH($B122&amp;"|"&amp;$C122,'Base de sorteio'!$I$3:$I$1723,0)),"")</f>
        <v/>
      </c>
      <c r="F122" s="4">
        <f>IFERROR(INDEX('Base de sorteio'!$C$3:$C$1723,MATCH($B122&amp;"|"&amp;$C122,'Base de sorteio'!$I$3:$I$1723,0)),"")</f>
        <v/>
      </c>
      <c r="G122" s="4">
        <f>IFERROR(INDEX('Base de sorteio'!$D$3:$D$1723,MATCH($B122&amp;"|"&amp;$C122,'Base de sorteio'!$I$3:$I$1723,0)),"")</f>
        <v/>
      </c>
      <c r="H122" s="4">
        <f>IFERROR(INDEX('Base de sorteio'!$E$3:$E$1723,MATCH($B122&amp;"|"&amp;$C122,'Base de sorteio'!$I$3:$I$1723,0)),"")</f>
        <v/>
      </c>
      <c r="I122" s="4">
        <f>IF(E122="","",HYPERLINK(IFERROR(INDEX('Base de sorteio'!$J$3:$J$1723,MATCH($B122&amp;"|"&amp;$C122,'Base de sorteio'!$I$3:$I$1723,0)),""),"abrir"))</f>
        <v/>
      </c>
      <c r="J122" s="4" t="n"/>
      <c r="K122" s="4" t="n"/>
      <c r="L122" s="4" t="n"/>
      <c r="M122" s="4" t="n"/>
      <c r="N122" s="4">
        <f>IF(AND(K122="",M122=""),"",IF(OR(K122="sim",M122="sim"),"sim",IF(OR(K122="inconclusivo",M122="inconclusivo"),"inconclusivo","não")))</f>
        <v/>
      </c>
      <c r="O122" s="5">
        <f>IF(N122="sim",COUNTIFS($B$3:$B122,$B122,$N$3:$N122,"sim"),"")</f>
        <v/>
      </c>
      <c r="P122" s="5" t="n"/>
      <c r="Q122" s="4" t="n"/>
      <c r="R122" s="5" t="n"/>
      <c r="S122" s="9" t="n"/>
      <c r="T122" s="4" t="n"/>
    </row>
    <row r="123">
      <c r="A123" s="5">
        <f>ROW()-2</f>
        <v/>
      </c>
      <c r="B123" s="4" t="inlineStr">
        <is>
          <t>Metrópole</t>
        </is>
      </c>
      <c r="C123" s="5" t="n">
        <v>121</v>
      </c>
      <c r="D123" s="5">
        <f>IFERROR(INDEX('Base de sorteio'!$A$3:$A$1723,MATCH($B123&amp;"|"&amp;$C123,'Base de sorteio'!$I$3:$I$1723,0)),"")</f>
        <v/>
      </c>
      <c r="E123" s="4">
        <f>IFERROR(INDEX('Base de sorteio'!$B$3:$B$1723,MATCH($B123&amp;"|"&amp;$C123,'Base de sorteio'!$I$3:$I$1723,0)),"")</f>
        <v/>
      </c>
      <c r="F123" s="4">
        <f>IFERROR(INDEX('Base de sorteio'!$C$3:$C$1723,MATCH($B123&amp;"|"&amp;$C123,'Base de sorteio'!$I$3:$I$1723,0)),"")</f>
        <v/>
      </c>
      <c r="G123" s="4">
        <f>IFERROR(INDEX('Base de sorteio'!$D$3:$D$1723,MATCH($B123&amp;"|"&amp;$C123,'Base de sorteio'!$I$3:$I$1723,0)),"")</f>
        <v/>
      </c>
      <c r="H123" s="4">
        <f>IFERROR(INDEX('Base de sorteio'!$E$3:$E$1723,MATCH($B123&amp;"|"&amp;$C123,'Base de sorteio'!$I$3:$I$1723,0)),"")</f>
        <v/>
      </c>
      <c r="I123" s="4">
        <f>IF(E123="","",HYPERLINK(IFERROR(INDEX('Base de sorteio'!$J$3:$J$1723,MATCH($B123&amp;"|"&amp;$C123,'Base de sorteio'!$I$3:$I$1723,0)),""),"abrir"))</f>
        <v/>
      </c>
      <c r="J123" s="4" t="n"/>
      <c r="K123" s="4" t="n"/>
      <c r="L123" s="4" t="n"/>
      <c r="M123" s="4" t="n"/>
      <c r="N123" s="4">
        <f>IF(AND(K123="",M123=""),"",IF(OR(K123="sim",M123="sim"),"sim",IF(OR(K123="inconclusivo",M123="inconclusivo"),"inconclusivo","não")))</f>
        <v/>
      </c>
      <c r="O123" s="5">
        <f>IF(N123="sim",COUNTIFS($B$3:$B123,$B123,$N$3:$N123,"sim"),"")</f>
        <v/>
      </c>
      <c r="P123" s="5" t="n"/>
      <c r="Q123" s="4" t="n"/>
      <c r="R123" s="5" t="n"/>
      <c r="S123" s="9" t="n"/>
      <c r="T123" s="4" t="n"/>
    </row>
    <row r="124">
      <c r="A124" s="5">
        <f>ROW()-2</f>
        <v/>
      </c>
      <c r="B124" s="4" t="inlineStr">
        <is>
          <t>Metrópole</t>
        </is>
      </c>
      <c r="C124" s="5" t="n">
        <v>122</v>
      </c>
      <c r="D124" s="5">
        <f>IFERROR(INDEX('Base de sorteio'!$A$3:$A$1723,MATCH($B124&amp;"|"&amp;$C124,'Base de sorteio'!$I$3:$I$1723,0)),"")</f>
        <v/>
      </c>
      <c r="E124" s="4">
        <f>IFERROR(INDEX('Base de sorteio'!$B$3:$B$1723,MATCH($B124&amp;"|"&amp;$C124,'Base de sorteio'!$I$3:$I$1723,0)),"")</f>
        <v/>
      </c>
      <c r="F124" s="4">
        <f>IFERROR(INDEX('Base de sorteio'!$C$3:$C$1723,MATCH($B124&amp;"|"&amp;$C124,'Base de sorteio'!$I$3:$I$1723,0)),"")</f>
        <v/>
      </c>
      <c r="G124" s="4">
        <f>IFERROR(INDEX('Base de sorteio'!$D$3:$D$1723,MATCH($B124&amp;"|"&amp;$C124,'Base de sorteio'!$I$3:$I$1723,0)),"")</f>
        <v/>
      </c>
      <c r="H124" s="4">
        <f>IFERROR(INDEX('Base de sorteio'!$E$3:$E$1723,MATCH($B124&amp;"|"&amp;$C124,'Base de sorteio'!$I$3:$I$1723,0)),"")</f>
        <v/>
      </c>
      <c r="I124" s="4">
        <f>IF(E124="","",HYPERLINK(IFERROR(INDEX('Base de sorteio'!$J$3:$J$1723,MATCH($B124&amp;"|"&amp;$C124,'Base de sorteio'!$I$3:$I$1723,0)),""),"abrir"))</f>
        <v/>
      </c>
      <c r="J124" s="4" t="n"/>
      <c r="K124" s="4" t="n"/>
      <c r="L124" s="4" t="n"/>
      <c r="M124" s="4" t="n"/>
      <c r="N124" s="4">
        <f>IF(AND(K124="",M124=""),"",IF(OR(K124="sim",M124="sim"),"sim",IF(OR(K124="inconclusivo",M124="inconclusivo"),"inconclusivo","não")))</f>
        <v/>
      </c>
      <c r="O124" s="5">
        <f>IF(N124="sim",COUNTIFS($B$3:$B124,$B124,$N$3:$N124,"sim"),"")</f>
        <v/>
      </c>
      <c r="P124" s="5" t="n"/>
      <c r="Q124" s="4" t="n"/>
      <c r="R124" s="5" t="n"/>
      <c r="S124" s="9" t="n"/>
      <c r="T124" s="4" t="n"/>
    </row>
    <row r="125">
      <c r="A125" s="5">
        <f>ROW()-2</f>
        <v/>
      </c>
      <c r="B125" s="4" t="inlineStr">
        <is>
          <t>Metrópole</t>
        </is>
      </c>
      <c r="C125" s="5" t="n">
        <v>123</v>
      </c>
      <c r="D125" s="5">
        <f>IFERROR(INDEX('Base de sorteio'!$A$3:$A$1723,MATCH($B125&amp;"|"&amp;$C125,'Base de sorteio'!$I$3:$I$1723,0)),"")</f>
        <v/>
      </c>
      <c r="E125" s="4">
        <f>IFERROR(INDEX('Base de sorteio'!$B$3:$B$1723,MATCH($B125&amp;"|"&amp;$C125,'Base de sorteio'!$I$3:$I$1723,0)),"")</f>
        <v/>
      </c>
      <c r="F125" s="4">
        <f>IFERROR(INDEX('Base de sorteio'!$C$3:$C$1723,MATCH($B125&amp;"|"&amp;$C125,'Base de sorteio'!$I$3:$I$1723,0)),"")</f>
        <v/>
      </c>
      <c r="G125" s="4">
        <f>IFERROR(INDEX('Base de sorteio'!$D$3:$D$1723,MATCH($B125&amp;"|"&amp;$C125,'Base de sorteio'!$I$3:$I$1723,0)),"")</f>
        <v/>
      </c>
      <c r="H125" s="4">
        <f>IFERROR(INDEX('Base de sorteio'!$E$3:$E$1723,MATCH($B125&amp;"|"&amp;$C125,'Base de sorteio'!$I$3:$I$1723,0)),"")</f>
        <v/>
      </c>
      <c r="I125" s="4">
        <f>IF(E125="","",HYPERLINK(IFERROR(INDEX('Base de sorteio'!$J$3:$J$1723,MATCH($B125&amp;"|"&amp;$C125,'Base de sorteio'!$I$3:$I$1723,0)),""),"abrir"))</f>
        <v/>
      </c>
      <c r="J125" s="4" t="n"/>
      <c r="K125" s="4" t="n"/>
      <c r="L125" s="4" t="n"/>
      <c r="M125" s="4" t="n"/>
      <c r="N125" s="4">
        <f>IF(AND(K125="",M125=""),"",IF(OR(K125="sim",M125="sim"),"sim",IF(OR(K125="inconclusivo",M125="inconclusivo"),"inconclusivo","não")))</f>
        <v/>
      </c>
      <c r="O125" s="5">
        <f>IF(N125="sim",COUNTIFS($B$3:$B125,$B125,$N$3:$N125,"sim"),"")</f>
        <v/>
      </c>
      <c r="P125" s="5" t="n"/>
      <c r="Q125" s="4" t="n"/>
      <c r="R125" s="5" t="n"/>
      <c r="S125" s="9" t="n"/>
      <c r="T125" s="4" t="n"/>
    </row>
    <row r="126">
      <c r="A126" s="5">
        <f>ROW()-2</f>
        <v/>
      </c>
      <c r="B126" s="4" t="inlineStr">
        <is>
          <t>Metrópole</t>
        </is>
      </c>
      <c r="C126" s="5" t="n">
        <v>124</v>
      </c>
      <c r="D126" s="5">
        <f>IFERROR(INDEX('Base de sorteio'!$A$3:$A$1723,MATCH($B126&amp;"|"&amp;$C126,'Base de sorteio'!$I$3:$I$1723,0)),"")</f>
        <v/>
      </c>
      <c r="E126" s="4">
        <f>IFERROR(INDEX('Base de sorteio'!$B$3:$B$1723,MATCH($B126&amp;"|"&amp;$C126,'Base de sorteio'!$I$3:$I$1723,0)),"")</f>
        <v/>
      </c>
      <c r="F126" s="4">
        <f>IFERROR(INDEX('Base de sorteio'!$C$3:$C$1723,MATCH($B126&amp;"|"&amp;$C126,'Base de sorteio'!$I$3:$I$1723,0)),"")</f>
        <v/>
      </c>
      <c r="G126" s="4">
        <f>IFERROR(INDEX('Base de sorteio'!$D$3:$D$1723,MATCH($B126&amp;"|"&amp;$C126,'Base de sorteio'!$I$3:$I$1723,0)),"")</f>
        <v/>
      </c>
      <c r="H126" s="4">
        <f>IFERROR(INDEX('Base de sorteio'!$E$3:$E$1723,MATCH($B126&amp;"|"&amp;$C126,'Base de sorteio'!$I$3:$I$1723,0)),"")</f>
        <v/>
      </c>
      <c r="I126" s="4">
        <f>IF(E126="","",HYPERLINK(IFERROR(INDEX('Base de sorteio'!$J$3:$J$1723,MATCH($B126&amp;"|"&amp;$C126,'Base de sorteio'!$I$3:$I$1723,0)),""),"abrir"))</f>
        <v/>
      </c>
      <c r="J126" s="4" t="n"/>
      <c r="K126" s="4" t="n"/>
      <c r="L126" s="4" t="n"/>
      <c r="M126" s="4" t="n"/>
      <c r="N126" s="4">
        <f>IF(AND(K126="",M126=""),"",IF(OR(K126="sim",M126="sim"),"sim",IF(OR(K126="inconclusivo",M126="inconclusivo"),"inconclusivo","não")))</f>
        <v/>
      </c>
      <c r="O126" s="5">
        <f>IF(N126="sim",COUNTIFS($B$3:$B126,$B126,$N$3:$N126,"sim"),"")</f>
        <v/>
      </c>
      <c r="P126" s="5" t="n"/>
      <c r="Q126" s="4" t="n"/>
      <c r="R126" s="5" t="n"/>
      <c r="S126" s="9" t="n"/>
      <c r="T126" s="4" t="n"/>
    </row>
    <row r="127">
      <c r="A127" s="5">
        <f>ROW()-2</f>
        <v/>
      </c>
      <c r="B127" s="4" t="inlineStr">
        <is>
          <t>Metrópole</t>
        </is>
      </c>
      <c r="C127" s="5" t="n">
        <v>125</v>
      </c>
      <c r="D127" s="5">
        <f>IFERROR(INDEX('Base de sorteio'!$A$3:$A$1723,MATCH($B127&amp;"|"&amp;$C127,'Base de sorteio'!$I$3:$I$1723,0)),"")</f>
        <v/>
      </c>
      <c r="E127" s="4">
        <f>IFERROR(INDEX('Base de sorteio'!$B$3:$B$1723,MATCH($B127&amp;"|"&amp;$C127,'Base de sorteio'!$I$3:$I$1723,0)),"")</f>
        <v/>
      </c>
      <c r="F127" s="4">
        <f>IFERROR(INDEX('Base de sorteio'!$C$3:$C$1723,MATCH($B127&amp;"|"&amp;$C127,'Base de sorteio'!$I$3:$I$1723,0)),"")</f>
        <v/>
      </c>
      <c r="G127" s="4">
        <f>IFERROR(INDEX('Base de sorteio'!$D$3:$D$1723,MATCH($B127&amp;"|"&amp;$C127,'Base de sorteio'!$I$3:$I$1723,0)),"")</f>
        <v/>
      </c>
      <c r="H127" s="4">
        <f>IFERROR(INDEX('Base de sorteio'!$E$3:$E$1723,MATCH($B127&amp;"|"&amp;$C127,'Base de sorteio'!$I$3:$I$1723,0)),"")</f>
        <v/>
      </c>
      <c r="I127" s="4">
        <f>IF(E127="","",HYPERLINK(IFERROR(INDEX('Base de sorteio'!$J$3:$J$1723,MATCH($B127&amp;"|"&amp;$C127,'Base de sorteio'!$I$3:$I$1723,0)),""),"abrir"))</f>
        <v/>
      </c>
      <c r="J127" s="4" t="n"/>
      <c r="K127" s="4" t="n"/>
      <c r="L127" s="4" t="n"/>
      <c r="M127" s="4" t="n"/>
      <c r="N127" s="4">
        <f>IF(AND(K127="",M127=""),"",IF(OR(K127="sim",M127="sim"),"sim",IF(OR(K127="inconclusivo",M127="inconclusivo"),"inconclusivo","não")))</f>
        <v/>
      </c>
      <c r="O127" s="5">
        <f>IF(N127="sim",COUNTIFS($B$3:$B127,$B127,$N$3:$N127,"sim"),"")</f>
        <v/>
      </c>
      <c r="P127" s="5" t="n"/>
      <c r="Q127" s="4" t="n"/>
      <c r="R127" s="5" t="n"/>
      <c r="S127" s="9" t="n"/>
      <c r="T127" s="4" t="n"/>
    </row>
    <row r="128">
      <c r="A128" s="5">
        <f>ROW()-2</f>
        <v/>
      </c>
      <c r="B128" s="4" t="inlineStr">
        <is>
          <t>Metrópole</t>
        </is>
      </c>
      <c r="C128" s="5" t="n">
        <v>126</v>
      </c>
      <c r="D128" s="5">
        <f>IFERROR(INDEX('Base de sorteio'!$A$3:$A$1723,MATCH($B128&amp;"|"&amp;$C128,'Base de sorteio'!$I$3:$I$1723,0)),"")</f>
        <v/>
      </c>
      <c r="E128" s="4">
        <f>IFERROR(INDEX('Base de sorteio'!$B$3:$B$1723,MATCH($B128&amp;"|"&amp;$C128,'Base de sorteio'!$I$3:$I$1723,0)),"")</f>
        <v/>
      </c>
      <c r="F128" s="4">
        <f>IFERROR(INDEX('Base de sorteio'!$C$3:$C$1723,MATCH($B128&amp;"|"&amp;$C128,'Base de sorteio'!$I$3:$I$1723,0)),"")</f>
        <v/>
      </c>
      <c r="G128" s="4">
        <f>IFERROR(INDEX('Base de sorteio'!$D$3:$D$1723,MATCH($B128&amp;"|"&amp;$C128,'Base de sorteio'!$I$3:$I$1723,0)),"")</f>
        <v/>
      </c>
      <c r="H128" s="4">
        <f>IFERROR(INDEX('Base de sorteio'!$E$3:$E$1723,MATCH($B128&amp;"|"&amp;$C128,'Base de sorteio'!$I$3:$I$1723,0)),"")</f>
        <v/>
      </c>
      <c r="I128" s="4">
        <f>IF(E128="","",HYPERLINK(IFERROR(INDEX('Base de sorteio'!$J$3:$J$1723,MATCH($B128&amp;"|"&amp;$C128,'Base de sorteio'!$I$3:$I$1723,0)),""),"abrir"))</f>
        <v/>
      </c>
      <c r="J128" s="4" t="n"/>
      <c r="K128" s="4" t="n"/>
      <c r="L128" s="4" t="n"/>
      <c r="M128" s="4" t="n"/>
      <c r="N128" s="4">
        <f>IF(AND(K128="",M128=""),"",IF(OR(K128="sim",M128="sim"),"sim",IF(OR(K128="inconclusivo",M128="inconclusivo"),"inconclusivo","não")))</f>
        <v/>
      </c>
      <c r="O128" s="5">
        <f>IF(N128="sim",COUNTIFS($B$3:$B128,$B128,$N$3:$N128,"sim"),"")</f>
        <v/>
      </c>
      <c r="P128" s="5" t="n"/>
      <c r="Q128" s="4" t="n"/>
      <c r="R128" s="5" t="n"/>
      <c r="S128" s="9" t="n"/>
      <c r="T128" s="4" t="n"/>
    </row>
    <row r="129">
      <c r="A129" s="5">
        <f>ROW()-2</f>
        <v/>
      </c>
      <c r="B129" s="4" t="inlineStr">
        <is>
          <t>Metrópole</t>
        </is>
      </c>
      <c r="C129" s="5" t="n">
        <v>127</v>
      </c>
      <c r="D129" s="5">
        <f>IFERROR(INDEX('Base de sorteio'!$A$3:$A$1723,MATCH($B129&amp;"|"&amp;$C129,'Base de sorteio'!$I$3:$I$1723,0)),"")</f>
        <v/>
      </c>
      <c r="E129" s="4">
        <f>IFERROR(INDEX('Base de sorteio'!$B$3:$B$1723,MATCH($B129&amp;"|"&amp;$C129,'Base de sorteio'!$I$3:$I$1723,0)),"")</f>
        <v/>
      </c>
      <c r="F129" s="4">
        <f>IFERROR(INDEX('Base de sorteio'!$C$3:$C$1723,MATCH($B129&amp;"|"&amp;$C129,'Base de sorteio'!$I$3:$I$1723,0)),"")</f>
        <v/>
      </c>
      <c r="G129" s="4">
        <f>IFERROR(INDEX('Base de sorteio'!$D$3:$D$1723,MATCH($B129&amp;"|"&amp;$C129,'Base de sorteio'!$I$3:$I$1723,0)),"")</f>
        <v/>
      </c>
      <c r="H129" s="4">
        <f>IFERROR(INDEX('Base de sorteio'!$E$3:$E$1723,MATCH($B129&amp;"|"&amp;$C129,'Base de sorteio'!$I$3:$I$1723,0)),"")</f>
        <v/>
      </c>
      <c r="I129" s="4">
        <f>IF(E129="","",HYPERLINK(IFERROR(INDEX('Base de sorteio'!$J$3:$J$1723,MATCH($B129&amp;"|"&amp;$C129,'Base de sorteio'!$I$3:$I$1723,0)),""),"abrir"))</f>
        <v/>
      </c>
      <c r="J129" s="4" t="n"/>
      <c r="K129" s="4" t="n"/>
      <c r="L129" s="4" t="n"/>
      <c r="M129" s="4" t="n"/>
      <c r="N129" s="4">
        <f>IF(AND(K129="",M129=""),"",IF(OR(K129="sim",M129="sim"),"sim",IF(OR(K129="inconclusivo",M129="inconclusivo"),"inconclusivo","não")))</f>
        <v/>
      </c>
      <c r="O129" s="5">
        <f>IF(N129="sim",COUNTIFS($B$3:$B129,$B129,$N$3:$N129,"sim"),"")</f>
        <v/>
      </c>
      <c r="P129" s="5" t="n"/>
      <c r="Q129" s="4" t="n"/>
      <c r="R129" s="5" t="n"/>
      <c r="S129" s="9" t="n"/>
      <c r="T129" s="4" t="n"/>
    </row>
    <row r="130">
      <c r="A130" s="5">
        <f>ROW()-2</f>
        <v/>
      </c>
      <c r="B130" s="4" t="inlineStr">
        <is>
          <t>Metrópole</t>
        </is>
      </c>
      <c r="C130" s="5" t="n">
        <v>128</v>
      </c>
      <c r="D130" s="5">
        <f>IFERROR(INDEX('Base de sorteio'!$A$3:$A$1723,MATCH($B130&amp;"|"&amp;$C130,'Base de sorteio'!$I$3:$I$1723,0)),"")</f>
        <v/>
      </c>
      <c r="E130" s="4">
        <f>IFERROR(INDEX('Base de sorteio'!$B$3:$B$1723,MATCH($B130&amp;"|"&amp;$C130,'Base de sorteio'!$I$3:$I$1723,0)),"")</f>
        <v/>
      </c>
      <c r="F130" s="4">
        <f>IFERROR(INDEX('Base de sorteio'!$C$3:$C$1723,MATCH($B130&amp;"|"&amp;$C130,'Base de sorteio'!$I$3:$I$1723,0)),"")</f>
        <v/>
      </c>
      <c r="G130" s="4">
        <f>IFERROR(INDEX('Base de sorteio'!$D$3:$D$1723,MATCH($B130&amp;"|"&amp;$C130,'Base de sorteio'!$I$3:$I$1723,0)),"")</f>
        <v/>
      </c>
      <c r="H130" s="4">
        <f>IFERROR(INDEX('Base de sorteio'!$E$3:$E$1723,MATCH($B130&amp;"|"&amp;$C130,'Base de sorteio'!$I$3:$I$1723,0)),"")</f>
        <v/>
      </c>
      <c r="I130" s="4">
        <f>IF(E130="","",HYPERLINK(IFERROR(INDEX('Base de sorteio'!$J$3:$J$1723,MATCH($B130&amp;"|"&amp;$C130,'Base de sorteio'!$I$3:$I$1723,0)),""),"abrir"))</f>
        <v/>
      </c>
      <c r="J130" s="4" t="n"/>
      <c r="K130" s="4" t="n"/>
      <c r="L130" s="4" t="n"/>
      <c r="M130" s="4" t="n"/>
      <c r="N130" s="4">
        <f>IF(AND(K130="",M130=""),"",IF(OR(K130="sim",M130="sim"),"sim",IF(OR(K130="inconclusivo",M130="inconclusivo"),"inconclusivo","não")))</f>
        <v/>
      </c>
      <c r="O130" s="5">
        <f>IF(N130="sim",COUNTIFS($B$3:$B130,$B130,$N$3:$N130,"sim"),"")</f>
        <v/>
      </c>
      <c r="P130" s="5" t="n"/>
      <c r="Q130" s="4" t="n"/>
      <c r="R130" s="5" t="n"/>
      <c r="S130" s="9" t="n"/>
      <c r="T130" s="4" t="n"/>
    </row>
    <row r="131">
      <c r="A131" s="5">
        <f>ROW()-2</f>
        <v/>
      </c>
      <c r="B131" s="4" t="inlineStr">
        <is>
          <t>Metrópole</t>
        </is>
      </c>
      <c r="C131" s="5" t="n">
        <v>129</v>
      </c>
      <c r="D131" s="5">
        <f>IFERROR(INDEX('Base de sorteio'!$A$3:$A$1723,MATCH($B131&amp;"|"&amp;$C131,'Base de sorteio'!$I$3:$I$1723,0)),"")</f>
        <v/>
      </c>
      <c r="E131" s="4">
        <f>IFERROR(INDEX('Base de sorteio'!$B$3:$B$1723,MATCH($B131&amp;"|"&amp;$C131,'Base de sorteio'!$I$3:$I$1723,0)),"")</f>
        <v/>
      </c>
      <c r="F131" s="4">
        <f>IFERROR(INDEX('Base de sorteio'!$C$3:$C$1723,MATCH($B131&amp;"|"&amp;$C131,'Base de sorteio'!$I$3:$I$1723,0)),"")</f>
        <v/>
      </c>
      <c r="G131" s="4">
        <f>IFERROR(INDEX('Base de sorteio'!$D$3:$D$1723,MATCH($B131&amp;"|"&amp;$C131,'Base de sorteio'!$I$3:$I$1723,0)),"")</f>
        <v/>
      </c>
      <c r="H131" s="4">
        <f>IFERROR(INDEX('Base de sorteio'!$E$3:$E$1723,MATCH($B131&amp;"|"&amp;$C131,'Base de sorteio'!$I$3:$I$1723,0)),"")</f>
        <v/>
      </c>
      <c r="I131" s="4">
        <f>IF(E131="","",HYPERLINK(IFERROR(INDEX('Base de sorteio'!$J$3:$J$1723,MATCH($B131&amp;"|"&amp;$C131,'Base de sorteio'!$I$3:$I$1723,0)),""),"abrir"))</f>
        <v/>
      </c>
      <c r="J131" s="4" t="n"/>
      <c r="K131" s="4" t="n"/>
      <c r="L131" s="4" t="n"/>
      <c r="M131" s="4" t="n"/>
      <c r="N131" s="4">
        <f>IF(AND(K131="",M131=""),"",IF(OR(K131="sim",M131="sim"),"sim",IF(OR(K131="inconclusivo",M131="inconclusivo"),"inconclusivo","não")))</f>
        <v/>
      </c>
      <c r="O131" s="5">
        <f>IF(N131="sim",COUNTIFS($B$3:$B131,$B131,$N$3:$N131,"sim"),"")</f>
        <v/>
      </c>
      <c r="P131" s="5" t="n"/>
      <c r="Q131" s="4" t="n"/>
      <c r="R131" s="5" t="n"/>
      <c r="S131" s="9" t="n"/>
      <c r="T131" s="4" t="n"/>
    </row>
    <row r="132">
      <c r="A132" s="5">
        <f>ROW()-2</f>
        <v/>
      </c>
      <c r="B132" s="4" t="inlineStr">
        <is>
          <t>Metrópole</t>
        </is>
      </c>
      <c r="C132" s="5" t="n">
        <v>130</v>
      </c>
      <c r="D132" s="5">
        <f>IFERROR(INDEX('Base de sorteio'!$A$3:$A$1723,MATCH($B132&amp;"|"&amp;$C132,'Base de sorteio'!$I$3:$I$1723,0)),"")</f>
        <v/>
      </c>
      <c r="E132" s="4">
        <f>IFERROR(INDEX('Base de sorteio'!$B$3:$B$1723,MATCH($B132&amp;"|"&amp;$C132,'Base de sorteio'!$I$3:$I$1723,0)),"")</f>
        <v/>
      </c>
      <c r="F132" s="4">
        <f>IFERROR(INDEX('Base de sorteio'!$C$3:$C$1723,MATCH($B132&amp;"|"&amp;$C132,'Base de sorteio'!$I$3:$I$1723,0)),"")</f>
        <v/>
      </c>
      <c r="G132" s="4">
        <f>IFERROR(INDEX('Base de sorteio'!$D$3:$D$1723,MATCH($B132&amp;"|"&amp;$C132,'Base de sorteio'!$I$3:$I$1723,0)),"")</f>
        <v/>
      </c>
      <c r="H132" s="4">
        <f>IFERROR(INDEX('Base de sorteio'!$E$3:$E$1723,MATCH($B132&amp;"|"&amp;$C132,'Base de sorteio'!$I$3:$I$1723,0)),"")</f>
        <v/>
      </c>
      <c r="I132" s="4">
        <f>IF(E132="","",HYPERLINK(IFERROR(INDEX('Base de sorteio'!$J$3:$J$1723,MATCH($B132&amp;"|"&amp;$C132,'Base de sorteio'!$I$3:$I$1723,0)),""),"abrir"))</f>
        <v/>
      </c>
      <c r="J132" s="4" t="n"/>
      <c r="K132" s="4" t="n"/>
      <c r="L132" s="4" t="n"/>
      <c r="M132" s="4" t="n"/>
      <c r="N132" s="4">
        <f>IF(AND(K132="",M132=""),"",IF(OR(K132="sim",M132="sim"),"sim",IF(OR(K132="inconclusivo",M132="inconclusivo"),"inconclusivo","não")))</f>
        <v/>
      </c>
      <c r="O132" s="5">
        <f>IF(N132="sim",COUNTIFS($B$3:$B132,$B132,$N$3:$N132,"sim"),"")</f>
        <v/>
      </c>
      <c r="P132" s="5" t="n"/>
      <c r="Q132" s="4" t="n"/>
      <c r="R132" s="5" t="n"/>
      <c r="S132" s="9" t="n"/>
      <c r="T132" s="4" t="n"/>
    </row>
    <row r="133">
      <c r="A133" s="5">
        <f>ROW()-2</f>
        <v/>
      </c>
      <c r="B133" s="4" t="inlineStr">
        <is>
          <t>Metrópole</t>
        </is>
      </c>
      <c r="C133" s="5" t="n">
        <v>131</v>
      </c>
      <c r="D133" s="5">
        <f>IFERROR(INDEX('Base de sorteio'!$A$3:$A$1723,MATCH($B133&amp;"|"&amp;$C133,'Base de sorteio'!$I$3:$I$1723,0)),"")</f>
        <v/>
      </c>
      <c r="E133" s="4">
        <f>IFERROR(INDEX('Base de sorteio'!$B$3:$B$1723,MATCH($B133&amp;"|"&amp;$C133,'Base de sorteio'!$I$3:$I$1723,0)),"")</f>
        <v/>
      </c>
      <c r="F133" s="4">
        <f>IFERROR(INDEX('Base de sorteio'!$C$3:$C$1723,MATCH($B133&amp;"|"&amp;$C133,'Base de sorteio'!$I$3:$I$1723,0)),"")</f>
        <v/>
      </c>
      <c r="G133" s="4">
        <f>IFERROR(INDEX('Base de sorteio'!$D$3:$D$1723,MATCH($B133&amp;"|"&amp;$C133,'Base de sorteio'!$I$3:$I$1723,0)),"")</f>
        <v/>
      </c>
      <c r="H133" s="4">
        <f>IFERROR(INDEX('Base de sorteio'!$E$3:$E$1723,MATCH($B133&amp;"|"&amp;$C133,'Base de sorteio'!$I$3:$I$1723,0)),"")</f>
        <v/>
      </c>
      <c r="I133" s="4">
        <f>IF(E133="","",HYPERLINK(IFERROR(INDEX('Base de sorteio'!$J$3:$J$1723,MATCH($B133&amp;"|"&amp;$C133,'Base de sorteio'!$I$3:$I$1723,0)),""),"abrir"))</f>
        <v/>
      </c>
      <c r="J133" s="4" t="n"/>
      <c r="K133" s="4" t="n"/>
      <c r="L133" s="4" t="n"/>
      <c r="M133" s="4" t="n"/>
      <c r="N133" s="4">
        <f>IF(AND(K133="",M133=""),"",IF(OR(K133="sim",M133="sim"),"sim",IF(OR(K133="inconclusivo",M133="inconclusivo"),"inconclusivo","não")))</f>
        <v/>
      </c>
      <c r="O133" s="5">
        <f>IF(N133="sim",COUNTIFS($B$3:$B133,$B133,$N$3:$N133,"sim"),"")</f>
        <v/>
      </c>
      <c r="P133" s="5" t="n"/>
      <c r="Q133" s="4" t="n"/>
      <c r="R133" s="5" t="n"/>
      <c r="S133" s="9" t="n"/>
      <c r="T133" s="4" t="n"/>
    </row>
    <row r="134">
      <c r="A134" s="5">
        <f>ROW()-2</f>
        <v/>
      </c>
      <c r="B134" s="4" t="inlineStr">
        <is>
          <t>Metrópole</t>
        </is>
      </c>
      <c r="C134" s="5" t="n">
        <v>132</v>
      </c>
      <c r="D134" s="5">
        <f>IFERROR(INDEX('Base de sorteio'!$A$3:$A$1723,MATCH($B134&amp;"|"&amp;$C134,'Base de sorteio'!$I$3:$I$1723,0)),"")</f>
        <v/>
      </c>
      <c r="E134" s="4">
        <f>IFERROR(INDEX('Base de sorteio'!$B$3:$B$1723,MATCH($B134&amp;"|"&amp;$C134,'Base de sorteio'!$I$3:$I$1723,0)),"")</f>
        <v/>
      </c>
      <c r="F134" s="4">
        <f>IFERROR(INDEX('Base de sorteio'!$C$3:$C$1723,MATCH($B134&amp;"|"&amp;$C134,'Base de sorteio'!$I$3:$I$1723,0)),"")</f>
        <v/>
      </c>
      <c r="G134" s="4">
        <f>IFERROR(INDEX('Base de sorteio'!$D$3:$D$1723,MATCH($B134&amp;"|"&amp;$C134,'Base de sorteio'!$I$3:$I$1723,0)),"")</f>
        <v/>
      </c>
      <c r="H134" s="4">
        <f>IFERROR(INDEX('Base de sorteio'!$E$3:$E$1723,MATCH($B134&amp;"|"&amp;$C134,'Base de sorteio'!$I$3:$I$1723,0)),"")</f>
        <v/>
      </c>
      <c r="I134" s="4">
        <f>IF(E134="","",HYPERLINK(IFERROR(INDEX('Base de sorteio'!$J$3:$J$1723,MATCH($B134&amp;"|"&amp;$C134,'Base de sorteio'!$I$3:$I$1723,0)),""),"abrir"))</f>
        <v/>
      </c>
      <c r="J134" s="4" t="n"/>
      <c r="K134" s="4" t="n"/>
      <c r="L134" s="4" t="n"/>
      <c r="M134" s="4" t="n"/>
      <c r="N134" s="4">
        <f>IF(AND(K134="",M134=""),"",IF(OR(K134="sim",M134="sim"),"sim",IF(OR(K134="inconclusivo",M134="inconclusivo"),"inconclusivo","não")))</f>
        <v/>
      </c>
      <c r="O134" s="5">
        <f>IF(N134="sim",COUNTIFS($B$3:$B134,$B134,$N$3:$N134,"sim"),"")</f>
        <v/>
      </c>
      <c r="P134" s="5" t="n"/>
      <c r="Q134" s="4" t="n"/>
      <c r="R134" s="5" t="n"/>
      <c r="S134" s="9" t="n"/>
      <c r="T134" s="4" t="n"/>
    </row>
    <row r="135">
      <c r="A135" s="5">
        <f>ROW()-2</f>
        <v/>
      </c>
      <c r="B135" s="4" t="inlineStr">
        <is>
          <t>Metrópole</t>
        </is>
      </c>
      <c r="C135" s="5" t="n">
        <v>133</v>
      </c>
      <c r="D135" s="5">
        <f>IFERROR(INDEX('Base de sorteio'!$A$3:$A$1723,MATCH($B135&amp;"|"&amp;$C135,'Base de sorteio'!$I$3:$I$1723,0)),"")</f>
        <v/>
      </c>
      <c r="E135" s="4">
        <f>IFERROR(INDEX('Base de sorteio'!$B$3:$B$1723,MATCH($B135&amp;"|"&amp;$C135,'Base de sorteio'!$I$3:$I$1723,0)),"")</f>
        <v/>
      </c>
      <c r="F135" s="4">
        <f>IFERROR(INDEX('Base de sorteio'!$C$3:$C$1723,MATCH($B135&amp;"|"&amp;$C135,'Base de sorteio'!$I$3:$I$1723,0)),"")</f>
        <v/>
      </c>
      <c r="G135" s="4">
        <f>IFERROR(INDEX('Base de sorteio'!$D$3:$D$1723,MATCH($B135&amp;"|"&amp;$C135,'Base de sorteio'!$I$3:$I$1723,0)),"")</f>
        <v/>
      </c>
      <c r="H135" s="4">
        <f>IFERROR(INDEX('Base de sorteio'!$E$3:$E$1723,MATCH($B135&amp;"|"&amp;$C135,'Base de sorteio'!$I$3:$I$1723,0)),"")</f>
        <v/>
      </c>
      <c r="I135" s="4">
        <f>IF(E135="","",HYPERLINK(IFERROR(INDEX('Base de sorteio'!$J$3:$J$1723,MATCH($B135&amp;"|"&amp;$C135,'Base de sorteio'!$I$3:$I$1723,0)),""),"abrir"))</f>
        <v/>
      </c>
      <c r="J135" s="4" t="n"/>
      <c r="K135" s="4" t="n"/>
      <c r="L135" s="4" t="n"/>
      <c r="M135" s="4" t="n"/>
      <c r="N135" s="4">
        <f>IF(AND(K135="",M135=""),"",IF(OR(K135="sim",M135="sim"),"sim",IF(OR(K135="inconclusivo",M135="inconclusivo"),"inconclusivo","não")))</f>
        <v/>
      </c>
      <c r="O135" s="5">
        <f>IF(N135="sim",COUNTIFS($B$3:$B135,$B135,$N$3:$N135,"sim"),"")</f>
        <v/>
      </c>
      <c r="P135" s="5" t="n"/>
      <c r="Q135" s="4" t="n"/>
      <c r="R135" s="5" t="n"/>
      <c r="S135" s="9" t="n"/>
      <c r="T135" s="4" t="n"/>
    </row>
    <row r="136">
      <c r="A136" s="5">
        <f>ROW()-2</f>
        <v/>
      </c>
      <c r="B136" s="4" t="inlineStr">
        <is>
          <t>Metrópole</t>
        </is>
      </c>
      <c r="C136" s="5" t="n">
        <v>134</v>
      </c>
      <c r="D136" s="5">
        <f>IFERROR(INDEX('Base de sorteio'!$A$3:$A$1723,MATCH($B136&amp;"|"&amp;$C136,'Base de sorteio'!$I$3:$I$1723,0)),"")</f>
        <v/>
      </c>
      <c r="E136" s="4">
        <f>IFERROR(INDEX('Base de sorteio'!$B$3:$B$1723,MATCH($B136&amp;"|"&amp;$C136,'Base de sorteio'!$I$3:$I$1723,0)),"")</f>
        <v/>
      </c>
      <c r="F136" s="4">
        <f>IFERROR(INDEX('Base de sorteio'!$C$3:$C$1723,MATCH($B136&amp;"|"&amp;$C136,'Base de sorteio'!$I$3:$I$1723,0)),"")</f>
        <v/>
      </c>
      <c r="G136" s="4">
        <f>IFERROR(INDEX('Base de sorteio'!$D$3:$D$1723,MATCH($B136&amp;"|"&amp;$C136,'Base de sorteio'!$I$3:$I$1723,0)),"")</f>
        <v/>
      </c>
      <c r="H136" s="4">
        <f>IFERROR(INDEX('Base de sorteio'!$E$3:$E$1723,MATCH($B136&amp;"|"&amp;$C136,'Base de sorteio'!$I$3:$I$1723,0)),"")</f>
        <v/>
      </c>
      <c r="I136" s="4">
        <f>IF(E136="","",HYPERLINK(IFERROR(INDEX('Base de sorteio'!$J$3:$J$1723,MATCH($B136&amp;"|"&amp;$C136,'Base de sorteio'!$I$3:$I$1723,0)),""),"abrir"))</f>
        <v/>
      </c>
      <c r="J136" s="4" t="n"/>
      <c r="K136" s="4" t="n"/>
      <c r="L136" s="4" t="n"/>
      <c r="M136" s="4" t="n"/>
      <c r="N136" s="4">
        <f>IF(AND(K136="",M136=""),"",IF(OR(K136="sim",M136="sim"),"sim",IF(OR(K136="inconclusivo",M136="inconclusivo"),"inconclusivo","não")))</f>
        <v/>
      </c>
      <c r="O136" s="5">
        <f>IF(N136="sim",COUNTIFS($B$3:$B136,$B136,$N$3:$N136,"sim"),"")</f>
        <v/>
      </c>
      <c r="P136" s="5" t="n"/>
      <c r="Q136" s="4" t="n"/>
      <c r="R136" s="5" t="n"/>
      <c r="S136" s="9" t="n"/>
      <c r="T136" s="4" t="n"/>
    </row>
    <row r="137">
      <c r="A137" s="5">
        <f>ROW()-2</f>
        <v/>
      </c>
      <c r="B137" s="4" t="inlineStr">
        <is>
          <t>Metrópole</t>
        </is>
      </c>
      <c r="C137" s="5" t="n">
        <v>135</v>
      </c>
      <c r="D137" s="5">
        <f>IFERROR(INDEX('Base de sorteio'!$A$3:$A$1723,MATCH($B137&amp;"|"&amp;$C137,'Base de sorteio'!$I$3:$I$1723,0)),"")</f>
        <v/>
      </c>
      <c r="E137" s="4">
        <f>IFERROR(INDEX('Base de sorteio'!$B$3:$B$1723,MATCH($B137&amp;"|"&amp;$C137,'Base de sorteio'!$I$3:$I$1723,0)),"")</f>
        <v/>
      </c>
      <c r="F137" s="4">
        <f>IFERROR(INDEX('Base de sorteio'!$C$3:$C$1723,MATCH($B137&amp;"|"&amp;$C137,'Base de sorteio'!$I$3:$I$1723,0)),"")</f>
        <v/>
      </c>
      <c r="G137" s="4">
        <f>IFERROR(INDEX('Base de sorteio'!$D$3:$D$1723,MATCH($B137&amp;"|"&amp;$C137,'Base de sorteio'!$I$3:$I$1723,0)),"")</f>
        <v/>
      </c>
      <c r="H137" s="4">
        <f>IFERROR(INDEX('Base de sorteio'!$E$3:$E$1723,MATCH($B137&amp;"|"&amp;$C137,'Base de sorteio'!$I$3:$I$1723,0)),"")</f>
        <v/>
      </c>
      <c r="I137" s="4">
        <f>IF(E137="","",HYPERLINK(IFERROR(INDEX('Base de sorteio'!$J$3:$J$1723,MATCH($B137&amp;"|"&amp;$C137,'Base de sorteio'!$I$3:$I$1723,0)),""),"abrir"))</f>
        <v/>
      </c>
      <c r="J137" s="4" t="n"/>
      <c r="K137" s="4" t="n"/>
      <c r="L137" s="4" t="n"/>
      <c r="M137" s="4" t="n"/>
      <c r="N137" s="4">
        <f>IF(AND(K137="",M137=""),"",IF(OR(K137="sim",M137="sim"),"sim",IF(OR(K137="inconclusivo",M137="inconclusivo"),"inconclusivo","não")))</f>
        <v/>
      </c>
      <c r="O137" s="5">
        <f>IF(N137="sim",COUNTIFS($B$3:$B137,$B137,$N$3:$N137,"sim"),"")</f>
        <v/>
      </c>
      <c r="P137" s="5" t="n"/>
      <c r="Q137" s="4" t="n"/>
      <c r="R137" s="5" t="n"/>
      <c r="S137" s="9" t="n"/>
      <c r="T137" s="4" t="n"/>
    </row>
    <row r="138">
      <c r="A138" s="5">
        <f>ROW()-2</f>
        <v/>
      </c>
      <c r="B138" s="4" t="inlineStr">
        <is>
          <t>Metrópole</t>
        </is>
      </c>
      <c r="C138" s="5" t="n">
        <v>136</v>
      </c>
      <c r="D138" s="5">
        <f>IFERROR(INDEX('Base de sorteio'!$A$3:$A$1723,MATCH($B138&amp;"|"&amp;$C138,'Base de sorteio'!$I$3:$I$1723,0)),"")</f>
        <v/>
      </c>
      <c r="E138" s="4">
        <f>IFERROR(INDEX('Base de sorteio'!$B$3:$B$1723,MATCH($B138&amp;"|"&amp;$C138,'Base de sorteio'!$I$3:$I$1723,0)),"")</f>
        <v/>
      </c>
      <c r="F138" s="4">
        <f>IFERROR(INDEX('Base de sorteio'!$C$3:$C$1723,MATCH($B138&amp;"|"&amp;$C138,'Base de sorteio'!$I$3:$I$1723,0)),"")</f>
        <v/>
      </c>
      <c r="G138" s="4">
        <f>IFERROR(INDEX('Base de sorteio'!$D$3:$D$1723,MATCH($B138&amp;"|"&amp;$C138,'Base de sorteio'!$I$3:$I$1723,0)),"")</f>
        <v/>
      </c>
      <c r="H138" s="4">
        <f>IFERROR(INDEX('Base de sorteio'!$E$3:$E$1723,MATCH($B138&amp;"|"&amp;$C138,'Base de sorteio'!$I$3:$I$1723,0)),"")</f>
        <v/>
      </c>
      <c r="I138" s="4">
        <f>IF(E138="","",HYPERLINK(IFERROR(INDEX('Base de sorteio'!$J$3:$J$1723,MATCH($B138&amp;"|"&amp;$C138,'Base de sorteio'!$I$3:$I$1723,0)),""),"abrir"))</f>
        <v/>
      </c>
      <c r="J138" s="4" t="n"/>
      <c r="K138" s="4" t="n"/>
      <c r="L138" s="4" t="n"/>
      <c r="M138" s="4" t="n"/>
      <c r="N138" s="4">
        <f>IF(AND(K138="",M138=""),"",IF(OR(K138="sim",M138="sim"),"sim",IF(OR(K138="inconclusivo",M138="inconclusivo"),"inconclusivo","não")))</f>
        <v/>
      </c>
      <c r="O138" s="5">
        <f>IF(N138="sim",COUNTIFS($B$3:$B138,$B138,$N$3:$N138,"sim"),"")</f>
        <v/>
      </c>
      <c r="P138" s="5" t="n"/>
      <c r="Q138" s="4" t="n"/>
      <c r="R138" s="5" t="n"/>
      <c r="S138" s="9" t="n"/>
      <c r="T138" s="4" t="n"/>
    </row>
    <row r="139">
      <c r="A139" s="5">
        <f>ROW()-2</f>
        <v/>
      </c>
      <c r="B139" s="4" t="inlineStr">
        <is>
          <t>Metrópole</t>
        </is>
      </c>
      <c r="C139" s="5" t="n">
        <v>137</v>
      </c>
      <c r="D139" s="5">
        <f>IFERROR(INDEX('Base de sorteio'!$A$3:$A$1723,MATCH($B139&amp;"|"&amp;$C139,'Base de sorteio'!$I$3:$I$1723,0)),"")</f>
        <v/>
      </c>
      <c r="E139" s="4">
        <f>IFERROR(INDEX('Base de sorteio'!$B$3:$B$1723,MATCH($B139&amp;"|"&amp;$C139,'Base de sorteio'!$I$3:$I$1723,0)),"")</f>
        <v/>
      </c>
      <c r="F139" s="4">
        <f>IFERROR(INDEX('Base de sorteio'!$C$3:$C$1723,MATCH($B139&amp;"|"&amp;$C139,'Base de sorteio'!$I$3:$I$1723,0)),"")</f>
        <v/>
      </c>
      <c r="G139" s="4">
        <f>IFERROR(INDEX('Base de sorteio'!$D$3:$D$1723,MATCH($B139&amp;"|"&amp;$C139,'Base de sorteio'!$I$3:$I$1723,0)),"")</f>
        <v/>
      </c>
      <c r="H139" s="4">
        <f>IFERROR(INDEX('Base de sorteio'!$E$3:$E$1723,MATCH($B139&amp;"|"&amp;$C139,'Base de sorteio'!$I$3:$I$1723,0)),"")</f>
        <v/>
      </c>
      <c r="I139" s="4">
        <f>IF(E139="","",HYPERLINK(IFERROR(INDEX('Base de sorteio'!$J$3:$J$1723,MATCH($B139&amp;"|"&amp;$C139,'Base de sorteio'!$I$3:$I$1723,0)),""),"abrir"))</f>
        <v/>
      </c>
      <c r="J139" s="4" t="n"/>
      <c r="K139" s="4" t="n"/>
      <c r="L139" s="4" t="n"/>
      <c r="M139" s="4" t="n"/>
      <c r="N139" s="4">
        <f>IF(AND(K139="",M139=""),"",IF(OR(K139="sim",M139="sim"),"sim",IF(OR(K139="inconclusivo",M139="inconclusivo"),"inconclusivo","não")))</f>
        <v/>
      </c>
      <c r="O139" s="5">
        <f>IF(N139="sim",COUNTIFS($B$3:$B139,$B139,$N$3:$N139,"sim"),"")</f>
        <v/>
      </c>
      <c r="P139" s="5" t="n"/>
      <c r="Q139" s="4" t="n"/>
      <c r="R139" s="5" t="n"/>
      <c r="S139" s="9" t="n"/>
      <c r="T139" s="4" t="n"/>
    </row>
    <row r="140">
      <c r="A140" s="5">
        <f>ROW()-2</f>
        <v/>
      </c>
      <c r="B140" s="4" t="inlineStr">
        <is>
          <t>Metrópole</t>
        </is>
      </c>
      <c r="C140" s="5" t="n">
        <v>138</v>
      </c>
      <c r="D140" s="5">
        <f>IFERROR(INDEX('Base de sorteio'!$A$3:$A$1723,MATCH($B140&amp;"|"&amp;$C140,'Base de sorteio'!$I$3:$I$1723,0)),"")</f>
        <v/>
      </c>
      <c r="E140" s="4">
        <f>IFERROR(INDEX('Base de sorteio'!$B$3:$B$1723,MATCH($B140&amp;"|"&amp;$C140,'Base de sorteio'!$I$3:$I$1723,0)),"")</f>
        <v/>
      </c>
      <c r="F140" s="4">
        <f>IFERROR(INDEX('Base de sorteio'!$C$3:$C$1723,MATCH($B140&amp;"|"&amp;$C140,'Base de sorteio'!$I$3:$I$1723,0)),"")</f>
        <v/>
      </c>
      <c r="G140" s="4">
        <f>IFERROR(INDEX('Base de sorteio'!$D$3:$D$1723,MATCH($B140&amp;"|"&amp;$C140,'Base de sorteio'!$I$3:$I$1723,0)),"")</f>
        <v/>
      </c>
      <c r="H140" s="4">
        <f>IFERROR(INDEX('Base de sorteio'!$E$3:$E$1723,MATCH($B140&amp;"|"&amp;$C140,'Base de sorteio'!$I$3:$I$1723,0)),"")</f>
        <v/>
      </c>
      <c r="I140" s="4">
        <f>IF(E140="","",HYPERLINK(IFERROR(INDEX('Base de sorteio'!$J$3:$J$1723,MATCH($B140&amp;"|"&amp;$C140,'Base de sorteio'!$I$3:$I$1723,0)),""),"abrir"))</f>
        <v/>
      </c>
      <c r="J140" s="4" t="n"/>
      <c r="K140" s="4" t="n"/>
      <c r="L140" s="4" t="n"/>
      <c r="M140" s="4" t="n"/>
      <c r="N140" s="4">
        <f>IF(AND(K140="",M140=""),"",IF(OR(K140="sim",M140="sim"),"sim",IF(OR(K140="inconclusivo",M140="inconclusivo"),"inconclusivo","não")))</f>
        <v/>
      </c>
      <c r="O140" s="5">
        <f>IF(N140="sim",COUNTIFS($B$3:$B140,$B140,$N$3:$N140,"sim"),"")</f>
        <v/>
      </c>
      <c r="P140" s="5" t="n"/>
      <c r="Q140" s="4" t="n"/>
      <c r="R140" s="5" t="n"/>
      <c r="S140" s="9" t="n"/>
      <c r="T140" s="4" t="n"/>
    </row>
    <row r="141">
      <c r="A141" s="5">
        <f>ROW()-2</f>
        <v/>
      </c>
      <c r="B141" s="4" t="inlineStr">
        <is>
          <t>Metrópole</t>
        </is>
      </c>
      <c r="C141" s="5" t="n">
        <v>139</v>
      </c>
      <c r="D141" s="5">
        <f>IFERROR(INDEX('Base de sorteio'!$A$3:$A$1723,MATCH($B141&amp;"|"&amp;$C141,'Base de sorteio'!$I$3:$I$1723,0)),"")</f>
        <v/>
      </c>
      <c r="E141" s="4">
        <f>IFERROR(INDEX('Base de sorteio'!$B$3:$B$1723,MATCH($B141&amp;"|"&amp;$C141,'Base de sorteio'!$I$3:$I$1723,0)),"")</f>
        <v/>
      </c>
      <c r="F141" s="4">
        <f>IFERROR(INDEX('Base de sorteio'!$C$3:$C$1723,MATCH($B141&amp;"|"&amp;$C141,'Base de sorteio'!$I$3:$I$1723,0)),"")</f>
        <v/>
      </c>
      <c r="G141" s="4">
        <f>IFERROR(INDEX('Base de sorteio'!$D$3:$D$1723,MATCH($B141&amp;"|"&amp;$C141,'Base de sorteio'!$I$3:$I$1723,0)),"")</f>
        <v/>
      </c>
      <c r="H141" s="4">
        <f>IFERROR(INDEX('Base de sorteio'!$E$3:$E$1723,MATCH($B141&amp;"|"&amp;$C141,'Base de sorteio'!$I$3:$I$1723,0)),"")</f>
        <v/>
      </c>
      <c r="I141" s="4">
        <f>IF(E141="","",HYPERLINK(IFERROR(INDEX('Base de sorteio'!$J$3:$J$1723,MATCH($B141&amp;"|"&amp;$C141,'Base de sorteio'!$I$3:$I$1723,0)),""),"abrir"))</f>
        <v/>
      </c>
      <c r="J141" s="4" t="n"/>
      <c r="K141" s="4" t="n"/>
      <c r="L141" s="4" t="n"/>
      <c r="M141" s="4" t="n"/>
      <c r="N141" s="4">
        <f>IF(AND(K141="",M141=""),"",IF(OR(K141="sim",M141="sim"),"sim",IF(OR(K141="inconclusivo",M141="inconclusivo"),"inconclusivo","não")))</f>
        <v/>
      </c>
      <c r="O141" s="5">
        <f>IF(N141="sim",COUNTIFS($B$3:$B141,$B141,$N$3:$N141,"sim"),"")</f>
        <v/>
      </c>
      <c r="P141" s="5" t="n"/>
      <c r="Q141" s="4" t="n"/>
      <c r="R141" s="5" t="n"/>
      <c r="S141" s="9" t="n"/>
      <c r="T141" s="4" t="n"/>
    </row>
    <row r="142">
      <c r="A142" s="5">
        <f>ROW()-2</f>
        <v/>
      </c>
      <c r="B142" s="4" t="inlineStr">
        <is>
          <t>Metrópole</t>
        </is>
      </c>
      <c r="C142" s="5" t="n">
        <v>140</v>
      </c>
      <c r="D142" s="5">
        <f>IFERROR(INDEX('Base de sorteio'!$A$3:$A$1723,MATCH($B142&amp;"|"&amp;$C142,'Base de sorteio'!$I$3:$I$1723,0)),"")</f>
        <v/>
      </c>
      <c r="E142" s="4">
        <f>IFERROR(INDEX('Base de sorteio'!$B$3:$B$1723,MATCH($B142&amp;"|"&amp;$C142,'Base de sorteio'!$I$3:$I$1723,0)),"")</f>
        <v/>
      </c>
      <c r="F142" s="4">
        <f>IFERROR(INDEX('Base de sorteio'!$C$3:$C$1723,MATCH($B142&amp;"|"&amp;$C142,'Base de sorteio'!$I$3:$I$1723,0)),"")</f>
        <v/>
      </c>
      <c r="G142" s="4">
        <f>IFERROR(INDEX('Base de sorteio'!$D$3:$D$1723,MATCH($B142&amp;"|"&amp;$C142,'Base de sorteio'!$I$3:$I$1723,0)),"")</f>
        <v/>
      </c>
      <c r="H142" s="4">
        <f>IFERROR(INDEX('Base de sorteio'!$E$3:$E$1723,MATCH($B142&amp;"|"&amp;$C142,'Base de sorteio'!$I$3:$I$1723,0)),"")</f>
        <v/>
      </c>
      <c r="I142" s="4">
        <f>IF(E142="","",HYPERLINK(IFERROR(INDEX('Base de sorteio'!$J$3:$J$1723,MATCH($B142&amp;"|"&amp;$C142,'Base de sorteio'!$I$3:$I$1723,0)),""),"abrir"))</f>
        <v/>
      </c>
      <c r="J142" s="4" t="n"/>
      <c r="K142" s="4" t="n"/>
      <c r="L142" s="4" t="n"/>
      <c r="M142" s="4" t="n"/>
      <c r="N142" s="4">
        <f>IF(AND(K142="",M142=""),"",IF(OR(K142="sim",M142="sim"),"sim",IF(OR(K142="inconclusivo",M142="inconclusivo"),"inconclusivo","não")))</f>
        <v/>
      </c>
      <c r="O142" s="5">
        <f>IF(N142="sim",COUNTIFS($B$3:$B142,$B142,$N$3:$N142,"sim"),"")</f>
        <v/>
      </c>
      <c r="P142" s="5" t="n"/>
      <c r="Q142" s="4" t="n"/>
      <c r="R142" s="5" t="n"/>
      <c r="S142" s="9" t="n"/>
      <c r="T142" s="4" t="n"/>
    </row>
    <row r="143">
      <c r="A143" s="5">
        <f>ROW()-2</f>
        <v/>
      </c>
      <c r="B143" s="4" t="inlineStr">
        <is>
          <t>Metrópole</t>
        </is>
      </c>
      <c r="C143" s="5" t="n">
        <v>141</v>
      </c>
      <c r="D143" s="5">
        <f>IFERROR(INDEX('Base de sorteio'!$A$3:$A$1723,MATCH($B143&amp;"|"&amp;$C143,'Base de sorteio'!$I$3:$I$1723,0)),"")</f>
        <v/>
      </c>
      <c r="E143" s="4">
        <f>IFERROR(INDEX('Base de sorteio'!$B$3:$B$1723,MATCH($B143&amp;"|"&amp;$C143,'Base de sorteio'!$I$3:$I$1723,0)),"")</f>
        <v/>
      </c>
      <c r="F143" s="4">
        <f>IFERROR(INDEX('Base de sorteio'!$C$3:$C$1723,MATCH($B143&amp;"|"&amp;$C143,'Base de sorteio'!$I$3:$I$1723,0)),"")</f>
        <v/>
      </c>
      <c r="G143" s="4">
        <f>IFERROR(INDEX('Base de sorteio'!$D$3:$D$1723,MATCH($B143&amp;"|"&amp;$C143,'Base de sorteio'!$I$3:$I$1723,0)),"")</f>
        <v/>
      </c>
      <c r="H143" s="4">
        <f>IFERROR(INDEX('Base de sorteio'!$E$3:$E$1723,MATCH($B143&amp;"|"&amp;$C143,'Base de sorteio'!$I$3:$I$1723,0)),"")</f>
        <v/>
      </c>
      <c r="I143" s="4">
        <f>IF(E143="","",HYPERLINK(IFERROR(INDEX('Base de sorteio'!$J$3:$J$1723,MATCH($B143&amp;"|"&amp;$C143,'Base de sorteio'!$I$3:$I$1723,0)),""),"abrir"))</f>
        <v/>
      </c>
      <c r="J143" s="4" t="n"/>
      <c r="K143" s="4" t="n"/>
      <c r="L143" s="4" t="n"/>
      <c r="M143" s="4" t="n"/>
      <c r="N143" s="4">
        <f>IF(AND(K143="",M143=""),"",IF(OR(K143="sim",M143="sim"),"sim",IF(OR(K143="inconclusivo",M143="inconclusivo"),"inconclusivo","não")))</f>
        <v/>
      </c>
      <c r="O143" s="5">
        <f>IF(N143="sim",COUNTIFS($B$3:$B143,$B143,$N$3:$N143,"sim"),"")</f>
        <v/>
      </c>
      <c r="P143" s="5" t="n"/>
      <c r="Q143" s="4" t="n"/>
      <c r="R143" s="5" t="n"/>
      <c r="S143" s="9" t="n"/>
      <c r="T143" s="4" t="n"/>
    </row>
    <row r="144">
      <c r="A144" s="5">
        <f>ROW()-2</f>
        <v/>
      </c>
      <c r="B144" s="4" t="inlineStr">
        <is>
          <t>Metrópole</t>
        </is>
      </c>
      <c r="C144" s="5" t="n">
        <v>142</v>
      </c>
      <c r="D144" s="5">
        <f>IFERROR(INDEX('Base de sorteio'!$A$3:$A$1723,MATCH($B144&amp;"|"&amp;$C144,'Base de sorteio'!$I$3:$I$1723,0)),"")</f>
        <v/>
      </c>
      <c r="E144" s="4">
        <f>IFERROR(INDEX('Base de sorteio'!$B$3:$B$1723,MATCH($B144&amp;"|"&amp;$C144,'Base de sorteio'!$I$3:$I$1723,0)),"")</f>
        <v/>
      </c>
      <c r="F144" s="4">
        <f>IFERROR(INDEX('Base de sorteio'!$C$3:$C$1723,MATCH($B144&amp;"|"&amp;$C144,'Base de sorteio'!$I$3:$I$1723,0)),"")</f>
        <v/>
      </c>
      <c r="G144" s="4">
        <f>IFERROR(INDEX('Base de sorteio'!$D$3:$D$1723,MATCH($B144&amp;"|"&amp;$C144,'Base de sorteio'!$I$3:$I$1723,0)),"")</f>
        <v/>
      </c>
      <c r="H144" s="4">
        <f>IFERROR(INDEX('Base de sorteio'!$E$3:$E$1723,MATCH($B144&amp;"|"&amp;$C144,'Base de sorteio'!$I$3:$I$1723,0)),"")</f>
        <v/>
      </c>
      <c r="I144" s="4">
        <f>IF(E144="","",HYPERLINK(IFERROR(INDEX('Base de sorteio'!$J$3:$J$1723,MATCH($B144&amp;"|"&amp;$C144,'Base de sorteio'!$I$3:$I$1723,0)),""),"abrir"))</f>
        <v/>
      </c>
      <c r="J144" s="4" t="n"/>
      <c r="K144" s="4" t="n"/>
      <c r="L144" s="4" t="n"/>
      <c r="M144" s="4" t="n"/>
      <c r="N144" s="4">
        <f>IF(AND(K144="",M144=""),"",IF(OR(K144="sim",M144="sim"),"sim",IF(OR(K144="inconclusivo",M144="inconclusivo"),"inconclusivo","não")))</f>
        <v/>
      </c>
      <c r="O144" s="5">
        <f>IF(N144="sim",COUNTIFS($B$3:$B144,$B144,$N$3:$N144,"sim"),"")</f>
        <v/>
      </c>
      <c r="P144" s="5" t="n"/>
      <c r="Q144" s="4" t="n"/>
      <c r="R144" s="5" t="n"/>
      <c r="S144" s="9" t="n"/>
      <c r="T144" s="4" t="n"/>
    </row>
    <row r="145">
      <c r="A145" s="5">
        <f>ROW()-2</f>
        <v/>
      </c>
      <c r="B145" s="4" t="inlineStr">
        <is>
          <t>Metrópole</t>
        </is>
      </c>
      <c r="C145" s="5" t="n">
        <v>143</v>
      </c>
      <c r="D145" s="5">
        <f>IFERROR(INDEX('Base de sorteio'!$A$3:$A$1723,MATCH($B145&amp;"|"&amp;$C145,'Base de sorteio'!$I$3:$I$1723,0)),"")</f>
        <v/>
      </c>
      <c r="E145" s="4">
        <f>IFERROR(INDEX('Base de sorteio'!$B$3:$B$1723,MATCH($B145&amp;"|"&amp;$C145,'Base de sorteio'!$I$3:$I$1723,0)),"")</f>
        <v/>
      </c>
      <c r="F145" s="4">
        <f>IFERROR(INDEX('Base de sorteio'!$C$3:$C$1723,MATCH($B145&amp;"|"&amp;$C145,'Base de sorteio'!$I$3:$I$1723,0)),"")</f>
        <v/>
      </c>
      <c r="G145" s="4">
        <f>IFERROR(INDEX('Base de sorteio'!$D$3:$D$1723,MATCH($B145&amp;"|"&amp;$C145,'Base de sorteio'!$I$3:$I$1723,0)),"")</f>
        <v/>
      </c>
      <c r="H145" s="4">
        <f>IFERROR(INDEX('Base de sorteio'!$E$3:$E$1723,MATCH($B145&amp;"|"&amp;$C145,'Base de sorteio'!$I$3:$I$1723,0)),"")</f>
        <v/>
      </c>
      <c r="I145" s="4">
        <f>IF(E145="","",HYPERLINK(IFERROR(INDEX('Base de sorteio'!$J$3:$J$1723,MATCH($B145&amp;"|"&amp;$C145,'Base de sorteio'!$I$3:$I$1723,0)),""),"abrir"))</f>
        <v/>
      </c>
      <c r="J145" s="4" t="n"/>
      <c r="K145" s="4" t="n"/>
      <c r="L145" s="4" t="n"/>
      <c r="M145" s="4" t="n"/>
      <c r="N145" s="4">
        <f>IF(AND(K145="",M145=""),"",IF(OR(K145="sim",M145="sim"),"sim",IF(OR(K145="inconclusivo",M145="inconclusivo"),"inconclusivo","não")))</f>
        <v/>
      </c>
      <c r="O145" s="5">
        <f>IF(N145="sim",COUNTIFS($B$3:$B145,$B145,$N$3:$N145,"sim"),"")</f>
        <v/>
      </c>
      <c r="P145" s="5" t="n"/>
      <c r="Q145" s="4" t="n"/>
      <c r="R145" s="5" t="n"/>
      <c r="S145" s="9" t="n"/>
      <c r="T145" s="4" t="n"/>
    </row>
    <row r="146">
      <c r="A146" s="5">
        <f>ROW()-2</f>
        <v/>
      </c>
      <c r="B146" s="4" t="inlineStr">
        <is>
          <t>Metrópole</t>
        </is>
      </c>
      <c r="C146" s="5" t="n">
        <v>144</v>
      </c>
      <c r="D146" s="5">
        <f>IFERROR(INDEX('Base de sorteio'!$A$3:$A$1723,MATCH($B146&amp;"|"&amp;$C146,'Base de sorteio'!$I$3:$I$1723,0)),"")</f>
        <v/>
      </c>
      <c r="E146" s="4">
        <f>IFERROR(INDEX('Base de sorteio'!$B$3:$B$1723,MATCH($B146&amp;"|"&amp;$C146,'Base de sorteio'!$I$3:$I$1723,0)),"")</f>
        <v/>
      </c>
      <c r="F146" s="4">
        <f>IFERROR(INDEX('Base de sorteio'!$C$3:$C$1723,MATCH($B146&amp;"|"&amp;$C146,'Base de sorteio'!$I$3:$I$1723,0)),"")</f>
        <v/>
      </c>
      <c r="G146" s="4">
        <f>IFERROR(INDEX('Base de sorteio'!$D$3:$D$1723,MATCH($B146&amp;"|"&amp;$C146,'Base de sorteio'!$I$3:$I$1723,0)),"")</f>
        <v/>
      </c>
      <c r="H146" s="4">
        <f>IFERROR(INDEX('Base de sorteio'!$E$3:$E$1723,MATCH($B146&amp;"|"&amp;$C146,'Base de sorteio'!$I$3:$I$1723,0)),"")</f>
        <v/>
      </c>
      <c r="I146" s="4">
        <f>IF(E146="","",HYPERLINK(IFERROR(INDEX('Base de sorteio'!$J$3:$J$1723,MATCH($B146&amp;"|"&amp;$C146,'Base de sorteio'!$I$3:$I$1723,0)),""),"abrir"))</f>
        <v/>
      </c>
      <c r="J146" s="4" t="n"/>
      <c r="K146" s="4" t="n"/>
      <c r="L146" s="4" t="n"/>
      <c r="M146" s="4" t="n"/>
      <c r="N146" s="4">
        <f>IF(AND(K146="",M146=""),"",IF(OR(K146="sim",M146="sim"),"sim",IF(OR(K146="inconclusivo",M146="inconclusivo"),"inconclusivo","não")))</f>
        <v/>
      </c>
      <c r="O146" s="5">
        <f>IF(N146="sim",COUNTIFS($B$3:$B146,$B146,$N$3:$N146,"sim"),"")</f>
        <v/>
      </c>
      <c r="P146" s="5" t="n"/>
      <c r="Q146" s="4" t="n"/>
      <c r="R146" s="5" t="n"/>
      <c r="S146" s="9" t="n"/>
      <c r="T146" s="4" t="n"/>
    </row>
    <row r="147">
      <c r="A147" s="5">
        <f>ROW()-2</f>
        <v/>
      </c>
      <c r="B147" s="4" t="inlineStr">
        <is>
          <t>Metrópole</t>
        </is>
      </c>
      <c r="C147" s="5" t="n">
        <v>145</v>
      </c>
      <c r="D147" s="5">
        <f>IFERROR(INDEX('Base de sorteio'!$A$3:$A$1723,MATCH($B147&amp;"|"&amp;$C147,'Base de sorteio'!$I$3:$I$1723,0)),"")</f>
        <v/>
      </c>
      <c r="E147" s="4">
        <f>IFERROR(INDEX('Base de sorteio'!$B$3:$B$1723,MATCH($B147&amp;"|"&amp;$C147,'Base de sorteio'!$I$3:$I$1723,0)),"")</f>
        <v/>
      </c>
      <c r="F147" s="4">
        <f>IFERROR(INDEX('Base de sorteio'!$C$3:$C$1723,MATCH($B147&amp;"|"&amp;$C147,'Base de sorteio'!$I$3:$I$1723,0)),"")</f>
        <v/>
      </c>
      <c r="G147" s="4">
        <f>IFERROR(INDEX('Base de sorteio'!$D$3:$D$1723,MATCH($B147&amp;"|"&amp;$C147,'Base de sorteio'!$I$3:$I$1723,0)),"")</f>
        <v/>
      </c>
      <c r="H147" s="4">
        <f>IFERROR(INDEX('Base de sorteio'!$E$3:$E$1723,MATCH($B147&amp;"|"&amp;$C147,'Base de sorteio'!$I$3:$I$1723,0)),"")</f>
        <v/>
      </c>
      <c r="I147" s="4">
        <f>IF(E147="","",HYPERLINK(IFERROR(INDEX('Base de sorteio'!$J$3:$J$1723,MATCH($B147&amp;"|"&amp;$C147,'Base de sorteio'!$I$3:$I$1723,0)),""),"abrir"))</f>
        <v/>
      </c>
      <c r="J147" s="4" t="n"/>
      <c r="K147" s="4" t="n"/>
      <c r="L147" s="4" t="n"/>
      <c r="M147" s="4" t="n"/>
      <c r="N147" s="4">
        <f>IF(AND(K147="",M147=""),"",IF(OR(K147="sim",M147="sim"),"sim",IF(OR(K147="inconclusivo",M147="inconclusivo"),"inconclusivo","não")))</f>
        <v/>
      </c>
      <c r="O147" s="5">
        <f>IF(N147="sim",COUNTIFS($B$3:$B147,$B147,$N$3:$N147,"sim"),"")</f>
        <v/>
      </c>
      <c r="P147" s="5" t="n"/>
      <c r="Q147" s="4" t="n"/>
      <c r="R147" s="5" t="n"/>
      <c r="S147" s="9" t="n"/>
      <c r="T147" s="4" t="n"/>
    </row>
    <row r="148">
      <c r="A148" s="5">
        <f>ROW()-2</f>
        <v/>
      </c>
      <c r="B148" s="4" t="inlineStr">
        <is>
          <t>Metrópole</t>
        </is>
      </c>
      <c r="C148" s="5" t="n">
        <v>146</v>
      </c>
      <c r="D148" s="5">
        <f>IFERROR(INDEX('Base de sorteio'!$A$3:$A$1723,MATCH($B148&amp;"|"&amp;$C148,'Base de sorteio'!$I$3:$I$1723,0)),"")</f>
        <v/>
      </c>
      <c r="E148" s="4">
        <f>IFERROR(INDEX('Base de sorteio'!$B$3:$B$1723,MATCH($B148&amp;"|"&amp;$C148,'Base de sorteio'!$I$3:$I$1723,0)),"")</f>
        <v/>
      </c>
      <c r="F148" s="4">
        <f>IFERROR(INDEX('Base de sorteio'!$C$3:$C$1723,MATCH($B148&amp;"|"&amp;$C148,'Base de sorteio'!$I$3:$I$1723,0)),"")</f>
        <v/>
      </c>
      <c r="G148" s="4">
        <f>IFERROR(INDEX('Base de sorteio'!$D$3:$D$1723,MATCH($B148&amp;"|"&amp;$C148,'Base de sorteio'!$I$3:$I$1723,0)),"")</f>
        <v/>
      </c>
      <c r="H148" s="4">
        <f>IFERROR(INDEX('Base de sorteio'!$E$3:$E$1723,MATCH($B148&amp;"|"&amp;$C148,'Base de sorteio'!$I$3:$I$1723,0)),"")</f>
        <v/>
      </c>
      <c r="I148" s="4">
        <f>IF(E148="","",HYPERLINK(IFERROR(INDEX('Base de sorteio'!$J$3:$J$1723,MATCH($B148&amp;"|"&amp;$C148,'Base de sorteio'!$I$3:$I$1723,0)),""),"abrir"))</f>
        <v/>
      </c>
      <c r="J148" s="4" t="n"/>
      <c r="K148" s="4" t="n"/>
      <c r="L148" s="4" t="n"/>
      <c r="M148" s="4" t="n"/>
      <c r="N148" s="4">
        <f>IF(AND(K148="",M148=""),"",IF(OR(K148="sim",M148="sim"),"sim",IF(OR(K148="inconclusivo",M148="inconclusivo"),"inconclusivo","não")))</f>
        <v/>
      </c>
      <c r="O148" s="5">
        <f>IF(N148="sim",COUNTIFS($B$3:$B148,$B148,$N$3:$N148,"sim"),"")</f>
        <v/>
      </c>
      <c r="P148" s="5" t="n"/>
      <c r="Q148" s="4" t="n"/>
      <c r="R148" s="5" t="n"/>
      <c r="S148" s="9" t="n"/>
      <c r="T148" s="4" t="n"/>
    </row>
    <row r="149">
      <c r="A149" s="5">
        <f>ROW()-2</f>
        <v/>
      </c>
      <c r="B149" s="4" t="inlineStr">
        <is>
          <t>Metrópole</t>
        </is>
      </c>
      <c r="C149" s="5" t="n">
        <v>147</v>
      </c>
      <c r="D149" s="5">
        <f>IFERROR(INDEX('Base de sorteio'!$A$3:$A$1723,MATCH($B149&amp;"|"&amp;$C149,'Base de sorteio'!$I$3:$I$1723,0)),"")</f>
        <v/>
      </c>
      <c r="E149" s="4">
        <f>IFERROR(INDEX('Base de sorteio'!$B$3:$B$1723,MATCH($B149&amp;"|"&amp;$C149,'Base de sorteio'!$I$3:$I$1723,0)),"")</f>
        <v/>
      </c>
      <c r="F149" s="4">
        <f>IFERROR(INDEX('Base de sorteio'!$C$3:$C$1723,MATCH($B149&amp;"|"&amp;$C149,'Base de sorteio'!$I$3:$I$1723,0)),"")</f>
        <v/>
      </c>
      <c r="G149" s="4">
        <f>IFERROR(INDEX('Base de sorteio'!$D$3:$D$1723,MATCH($B149&amp;"|"&amp;$C149,'Base de sorteio'!$I$3:$I$1723,0)),"")</f>
        <v/>
      </c>
      <c r="H149" s="4">
        <f>IFERROR(INDEX('Base de sorteio'!$E$3:$E$1723,MATCH($B149&amp;"|"&amp;$C149,'Base de sorteio'!$I$3:$I$1723,0)),"")</f>
        <v/>
      </c>
      <c r="I149" s="4">
        <f>IF(E149="","",HYPERLINK(IFERROR(INDEX('Base de sorteio'!$J$3:$J$1723,MATCH($B149&amp;"|"&amp;$C149,'Base de sorteio'!$I$3:$I$1723,0)),""),"abrir"))</f>
        <v/>
      </c>
      <c r="J149" s="4" t="n"/>
      <c r="K149" s="4" t="n"/>
      <c r="L149" s="4" t="n"/>
      <c r="M149" s="4" t="n"/>
      <c r="N149" s="4">
        <f>IF(AND(K149="",M149=""),"",IF(OR(K149="sim",M149="sim"),"sim",IF(OR(K149="inconclusivo",M149="inconclusivo"),"inconclusivo","não")))</f>
        <v/>
      </c>
      <c r="O149" s="5">
        <f>IF(N149="sim",COUNTIFS($B$3:$B149,$B149,$N$3:$N149,"sim"),"")</f>
        <v/>
      </c>
      <c r="P149" s="5" t="n"/>
      <c r="Q149" s="4" t="n"/>
      <c r="R149" s="5" t="n"/>
      <c r="S149" s="9" t="n"/>
      <c r="T149" s="4" t="n"/>
    </row>
    <row r="150">
      <c r="A150" s="5">
        <f>ROW()-2</f>
        <v/>
      </c>
      <c r="B150" s="4" t="inlineStr">
        <is>
          <t>Metrópole</t>
        </is>
      </c>
      <c r="C150" s="5" t="n">
        <v>148</v>
      </c>
      <c r="D150" s="5">
        <f>IFERROR(INDEX('Base de sorteio'!$A$3:$A$1723,MATCH($B150&amp;"|"&amp;$C150,'Base de sorteio'!$I$3:$I$1723,0)),"")</f>
        <v/>
      </c>
      <c r="E150" s="4">
        <f>IFERROR(INDEX('Base de sorteio'!$B$3:$B$1723,MATCH($B150&amp;"|"&amp;$C150,'Base de sorteio'!$I$3:$I$1723,0)),"")</f>
        <v/>
      </c>
      <c r="F150" s="4">
        <f>IFERROR(INDEX('Base de sorteio'!$C$3:$C$1723,MATCH($B150&amp;"|"&amp;$C150,'Base de sorteio'!$I$3:$I$1723,0)),"")</f>
        <v/>
      </c>
      <c r="G150" s="4">
        <f>IFERROR(INDEX('Base de sorteio'!$D$3:$D$1723,MATCH($B150&amp;"|"&amp;$C150,'Base de sorteio'!$I$3:$I$1723,0)),"")</f>
        <v/>
      </c>
      <c r="H150" s="4">
        <f>IFERROR(INDEX('Base de sorteio'!$E$3:$E$1723,MATCH($B150&amp;"|"&amp;$C150,'Base de sorteio'!$I$3:$I$1723,0)),"")</f>
        <v/>
      </c>
      <c r="I150" s="4">
        <f>IF(E150="","",HYPERLINK(IFERROR(INDEX('Base de sorteio'!$J$3:$J$1723,MATCH($B150&amp;"|"&amp;$C150,'Base de sorteio'!$I$3:$I$1723,0)),""),"abrir"))</f>
        <v/>
      </c>
      <c r="J150" s="4" t="n"/>
      <c r="K150" s="4" t="n"/>
      <c r="L150" s="4" t="n"/>
      <c r="M150" s="4" t="n"/>
      <c r="N150" s="4">
        <f>IF(AND(K150="",M150=""),"",IF(OR(K150="sim",M150="sim"),"sim",IF(OR(K150="inconclusivo",M150="inconclusivo"),"inconclusivo","não")))</f>
        <v/>
      </c>
      <c r="O150" s="5">
        <f>IF(N150="sim",COUNTIFS($B$3:$B150,$B150,$N$3:$N150,"sim"),"")</f>
        <v/>
      </c>
      <c r="P150" s="5" t="n"/>
      <c r="Q150" s="4" t="n"/>
      <c r="R150" s="5" t="n"/>
      <c r="S150" s="9" t="n"/>
      <c r="T150" s="4" t="n"/>
    </row>
    <row r="151">
      <c r="A151" s="5">
        <f>ROW()-2</f>
        <v/>
      </c>
      <c r="B151" s="4" t="inlineStr">
        <is>
          <t>Metrópole</t>
        </is>
      </c>
      <c r="C151" s="5" t="n">
        <v>149</v>
      </c>
      <c r="D151" s="5">
        <f>IFERROR(INDEX('Base de sorteio'!$A$3:$A$1723,MATCH($B151&amp;"|"&amp;$C151,'Base de sorteio'!$I$3:$I$1723,0)),"")</f>
        <v/>
      </c>
      <c r="E151" s="4">
        <f>IFERROR(INDEX('Base de sorteio'!$B$3:$B$1723,MATCH($B151&amp;"|"&amp;$C151,'Base de sorteio'!$I$3:$I$1723,0)),"")</f>
        <v/>
      </c>
      <c r="F151" s="4">
        <f>IFERROR(INDEX('Base de sorteio'!$C$3:$C$1723,MATCH($B151&amp;"|"&amp;$C151,'Base de sorteio'!$I$3:$I$1723,0)),"")</f>
        <v/>
      </c>
      <c r="G151" s="4">
        <f>IFERROR(INDEX('Base de sorteio'!$D$3:$D$1723,MATCH($B151&amp;"|"&amp;$C151,'Base de sorteio'!$I$3:$I$1723,0)),"")</f>
        <v/>
      </c>
      <c r="H151" s="4">
        <f>IFERROR(INDEX('Base de sorteio'!$E$3:$E$1723,MATCH($B151&amp;"|"&amp;$C151,'Base de sorteio'!$I$3:$I$1723,0)),"")</f>
        <v/>
      </c>
      <c r="I151" s="4">
        <f>IF(E151="","",HYPERLINK(IFERROR(INDEX('Base de sorteio'!$J$3:$J$1723,MATCH($B151&amp;"|"&amp;$C151,'Base de sorteio'!$I$3:$I$1723,0)),""),"abrir"))</f>
        <v/>
      </c>
      <c r="J151" s="4" t="n"/>
      <c r="K151" s="4" t="n"/>
      <c r="L151" s="4" t="n"/>
      <c r="M151" s="4" t="n"/>
      <c r="N151" s="4">
        <f>IF(AND(K151="",M151=""),"",IF(OR(K151="sim",M151="sim"),"sim",IF(OR(K151="inconclusivo",M151="inconclusivo"),"inconclusivo","não")))</f>
        <v/>
      </c>
      <c r="O151" s="5">
        <f>IF(N151="sim",COUNTIFS($B$3:$B151,$B151,$N$3:$N151,"sim"),"")</f>
        <v/>
      </c>
      <c r="P151" s="5" t="n"/>
      <c r="Q151" s="4" t="n"/>
      <c r="R151" s="5" t="n"/>
      <c r="S151" s="9" t="n"/>
      <c r="T151" s="4" t="n"/>
    </row>
    <row r="152">
      <c r="A152" s="5">
        <f>ROW()-2</f>
        <v/>
      </c>
      <c r="B152" s="4" t="inlineStr">
        <is>
          <t>Metrópole</t>
        </is>
      </c>
      <c r="C152" s="5" t="n">
        <v>150</v>
      </c>
      <c r="D152" s="5">
        <f>IFERROR(INDEX('Base de sorteio'!$A$3:$A$1723,MATCH($B152&amp;"|"&amp;$C152,'Base de sorteio'!$I$3:$I$1723,0)),"")</f>
        <v/>
      </c>
      <c r="E152" s="4">
        <f>IFERROR(INDEX('Base de sorteio'!$B$3:$B$1723,MATCH($B152&amp;"|"&amp;$C152,'Base de sorteio'!$I$3:$I$1723,0)),"")</f>
        <v/>
      </c>
      <c r="F152" s="4">
        <f>IFERROR(INDEX('Base de sorteio'!$C$3:$C$1723,MATCH($B152&amp;"|"&amp;$C152,'Base de sorteio'!$I$3:$I$1723,0)),"")</f>
        <v/>
      </c>
      <c r="G152" s="4">
        <f>IFERROR(INDEX('Base de sorteio'!$D$3:$D$1723,MATCH($B152&amp;"|"&amp;$C152,'Base de sorteio'!$I$3:$I$1723,0)),"")</f>
        <v/>
      </c>
      <c r="H152" s="4">
        <f>IFERROR(INDEX('Base de sorteio'!$E$3:$E$1723,MATCH($B152&amp;"|"&amp;$C152,'Base de sorteio'!$I$3:$I$1723,0)),"")</f>
        <v/>
      </c>
      <c r="I152" s="4">
        <f>IF(E152="","",HYPERLINK(IFERROR(INDEX('Base de sorteio'!$J$3:$J$1723,MATCH($B152&amp;"|"&amp;$C152,'Base de sorteio'!$I$3:$I$1723,0)),""),"abrir"))</f>
        <v/>
      </c>
      <c r="J152" s="4" t="n"/>
      <c r="K152" s="4" t="n"/>
      <c r="L152" s="4" t="n"/>
      <c r="M152" s="4" t="n"/>
      <c r="N152" s="4">
        <f>IF(AND(K152="",M152=""),"",IF(OR(K152="sim",M152="sim"),"sim",IF(OR(K152="inconclusivo",M152="inconclusivo"),"inconclusivo","não")))</f>
        <v/>
      </c>
      <c r="O152" s="5">
        <f>IF(N152="sim",COUNTIFS($B$3:$B152,$B152,$N$3:$N152,"sim"),"")</f>
        <v/>
      </c>
      <c r="P152" s="5" t="n"/>
      <c r="Q152" s="4" t="n"/>
      <c r="R152" s="5" t="n"/>
      <c r="S152" s="9" t="n"/>
      <c r="T152" s="4" t="n"/>
    </row>
    <row r="153">
      <c r="A153" s="5">
        <f>ROW()-2</f>
        <v/>
      </c>
      <c r="B153" s="4" t="inlineStr">
        <is>
          <t>Metrópole</t>
        </is>
      </c>
      <c r="C153" s="5" t="n">
        <v>151</v>
      </c>
      <c r="D153" s="5">
        <f>IFERROR(INDEX('Base de sorteio'!$A$3:$A$1723,MATCH($B153&amp;"|"&amp;$C153,'Base de sorteio'!$I$3:$I$1723,0)),"")</f>
        <v/>
      </c>
      <c r="E153" s="4">
        <f>IFERROR(INDEX('Base de sorteio'!$B$3:$B$1723,MATCH($B153&amp;"|"&amp;$C153,'Base de sorteio'!$I$3:$I$1723,0)),"")</f>
        <v/>
      </c>
      <c r="F153" s="4">
        <f>IFERROR(INDEX('Base de sorteio'!$C$3:$C$1723,MATCH($B153&amp;"|"&amp;$C153,'Base de sorteio'!$I$3:$I$1723,0)),"")</f>
        <v/>
      </c>
      <c r="G153" s="4">
        <f>IFERROR(INDEX('Base de sorteio'!$D$3:$D$1723,MATCH($B153&amp;"|"&amp;$C153,'Base de sorteio'!$I$3:$I$1723,0)),"")</f>
        <v/>
      </c>
      <c r="H153" s="4">
        <f>IFERROR(INDEX('Base de sorteio'!$E$3:$E$1723,MATCH($B153&amp;"|"&amp;$C153,'Base de sorteio'!$I$3:$I$1723,0)),"")</f>
        <v/>
      </c>
      <c r="I153" s="4">
        <f>IF(E153="","",HYPERLINK(IFERROR(INDEX('Base de sorteio'!$J$3:$J$1723,MATCH($B153&amp;"|"&amp;$C153,'Base de sorteio'!$I$3:$I$1723,0)),""),"abrir"))</f>
        <v/>
      </c>
      <c r="J153" s="4" t="n"/>
      <c r="K153" s="4" t="n"/>
      <c r="L153" s="4" t="n"/>
      <c r="M153" s="4" t="n"/>
      <c r="N153" s="4">
        <f>IF(AND(K153="",M153=""),"",IF(OR(K153="sim",M153="sim"),"sim",IF(OR(K153="inconclusivo",M153="inconclusivo"),"inconclusivo","não")))</f>
        <v/>
      </c>
      <c r="O153" s="5">
        <f>IF(N153="sim",COUNTIFS($B$3:$B153,$B153,$N$3:$N153,"sim"),"")</f>
        <v/>
      </c>
      <c r="P153" s="5" t="n"/>
      <c r="Q153" s="4" t="n"/>
      <c r="R153" s="5" t="n"/>
      <c r="S153" s="9" t="n"/>
      <c r="T153" s="4" t="n"/>
    </row>
    <row r="154">
      <c r="A154" s="5">
        <f>ROW()-2</f>
        <v/>
      </c>
      <c r="B154" s="4" t="inlineStr">
        <is>
          <t>Metrópole</t>
        </is>
      </c>
      <c r="C154" s="5" t="n">
        <v>152</v>
      </c>
      <c r="D154" s="5">
        <f>IFERROR(INDEX('Base de sorteio'!$A$3:$A$1723,MATCH($B154&amp;"|"&amp;$C154,'Base de sorteio'!$I$3:$I$1723,0)),"")</f>
        <v/>
      </c>
      <c r="E154" s="4">
        <f>IFERROR(INDEX('Base de sorteio'!$B$3:$B$1723,MATCH($B154&amp;"|"&amp;$C154,'Base de sorteio'!$I$3:$I$1723,0)),"")</f>
        <v/>
      </c>
      <c r="F154" s="4">
        <f>IFERROR(INDEX('Base de sorteio'!$C$3:$C$1723,MATCH($B154&amp;"|"&amp;$C154,'Base de sorteio'!$I$3:$I$1723,0)),"")</f>
        <v/>
      </c>
      <c r="G154" s="4">
        <f>IFERROR(INDEX('Base de sorteio'!$D$3:$D$1723,MATCH($B154&amp;"|"&amp;$C154,'Base de sorteio'!$I$3:$I$1723,0)),"")</f>
        <v/>
      </c>
      <c r="H154" s="4">
        <f>IFERROR(INDEX('Base de sorteio'!$E$3:$E$1723,MATCH($B154&amp;"|"&amp;$C154,'Base de sorteio'!$I$3:$I$1723,0)),"")</f>
        <v/>
      </c>
      <c r="I154" s="4">
        <f>IF(E154="","",HYPERLINK(IFERROR(INDEX('Base de sorteio'!$J$3:$J$1723,MATCH($B154&amp;"|"&amp;$C154,'Base de sorteio'!$I$3:$I$1723,0)),""),"abrir"))</f>
        <v/>
      </c>
      <c r="J154" s="4" t="n"/>
      <c r="K154" s="4" t="n"/>
      <c r="L154" s="4" t="n"/>
      <c r="M154" s="4" t="n"/>
      <c r="N154" s="4">
        <f>IF(AND(K154="",M154=""),"",IF(OR(K154="sim",M154="sim"),"sim",IF(OR(K154="inconclusivo",M154="inconclusivo"),"inconclusivo","não")))</f>
        <v/>
      </c>
      <c r="O154" s="5">
        <f>IF(N154="sim",COUNTIFS($B$3:$B154,$B154,$N$3:$N154,"sim"),"")</f>
        <v/>
      </c>
      <c r="P154" s="5" t="n"/>
      <c r="Q154" s="4" t="n"/>
      <c r="R154" s="5" t="n"/>
      <c r="S154" s="9" t="n"/>
      <c r="T154" s="4" t="n"/>
    </row>
    <row r="155">
      <c r="A155" s="5">
        <f>ROW()-2</f>
        <v/>
      </c>
      <c r="B155" s="4" t="inlineStr">
        <is>
          <t>Metrópole</t>
        </is>
      </c>
      <c r="C155" s="5" t="n">
        <v>153</v>
      </c>
      <c r="D155" s="5">
        <f>IFERROR(INDEX('Base de sorteio'!$A$3:$A$1723,MATCH($B155&amp;"|"&amp;$C155,'Base de sorteio'!$I$3:$I$1723,0)),"")</f>
        <v/>
      </c>
      <c r="E155" s="4">
        <f>IFERROR(INDEX('Base de sorteio'!$B$3:$B$1723,MATCH($B155&amp;"|"&amp;$C155,'Base de sorteio'!$I$3:$I$1723,0)),"")</f>
        <v/>
      </c>
      <c r="F155" s="4">
        <f>IFERROR(INDEX('Base de sorteio'!$C$3:$C$1723,MATCH($B155&amp;"|"&amp;$C155,'Base de sorteio'!$I$3:$I$1723,0)),"")</f>
        <v/>
      </c>
      <c r="G155" s="4">
        <f>IFERROR(INDEX('Base de sorteio'!$D$3:$D$1723,MATCH($B155&amp;"|"&amp;$C155,'Base de sorteio'!$I$3:$I$1723,0)),"")</f>
        <v/>
      </c>
      <c r="H155" s="4">
        <f>IFERROR(INDEX('Base de sorteio'!$E$3:$E$1723,MATCH($B155&amp;"|"&amp;$C155,'Base de sorteio'!$I$3:$I$1723,0)),"")</f>
        <v/>
      </c>
      <c r="I155" s="4">
        <f>IF(E155="","",HYPERLINK(IFERROR(INDEX('Base de sorteio'!$J$3:$J$1723,MATCH($B155&amp;"|"&amp;$C155,'Base de sorteio'!$I$3:$I$1723,0)),""),"abrir"))</f>
        <v/>
      </c>
      <c r="J155" s="4" t="n"/>
      <c r="K155" s="4" t="n"/>
      <c r="L155" s="4" t="n"/>
      <c r="M155" s="4" t="n"/>
      <c r="N155" s="4">
        <f>IF(AND(K155="",M155=""),"",IF(OR(K155="sim",M155="sim"),"sim",IF(OR(K155="inconclusivo",M155="inconclusivo"),"inconclusivo","não")))</f>
        <v/>
      </c>
      <c r="O155" s="5">
        <f>IF(N155="sim",COUNTIFS($B$3:$B155,$B155,$N$3:$N155,"sim"),"")</f>
        <v/>
      </c>
      <c r="P155" s="5" t="n"/>
      <c r="Q155" s="4" t="n"/>
      <c r="R155" s="5" t="n"/>
      <c r="S155" s="9" t="n"/>
      <c r="T155" s="4" t="n"/>
    </row>
    <row r="156">
      <c r="A156" s="5">
        <f>ROW()-2</f>
        <v/>
      </c>
      <c r="B156" s="4" t="inlineStr">
        <is>
          <t>Metrópole</t>
        </is>
      </c>
      <c r="C156" s="5" t="n">
        <v>154</v>
      </c>
      <c r="D156" s="5">
        <f>IFERROR(INDEX('Base de sorteio'!$A$3:$A$1723,MATCH($B156&amp;"|"&amp;$C156,'Base de sorteio'!$I$3:$I$1723,0)),"")</f>
        <v/>
      </c>
      <c r="E156" s="4">
        <f>IFERROR(INDEX('Base de sorteio'!$B$3:$B$1723,MATCH($B156&amp;"|"&amp;$C156,'Base de sorteio'!$I$3:$I$1723,0)),"")</f>
        <v/>
      </c>
      <c r="F156" s="4">
        <f>IFERROR(INDEX('Base de sorteio'!$C$3:$C$1723,MATCH($B156&amp;"|"&amp;$C156,'Base de sorteio'!$I$3:$I$1723,0)),"")</f>
        <v/>
      </c>
      <c r="G156" s="4">
        <f>IFERROR(INDEX('Base de sorteio'!$D$3:$D$1723,MATCH($B156&amp;"|"&amp;$C156,'Base de sorteio'!$I$3:$I$1723,0)),"")</f>
        <v/>
      </c>
      <c r="H156" s="4">
        <f>IFERROR(INDEX('Base de sorteio'!$E$3:$E$1723,MATCH($B156&amp;"|"&amp;$C156,'Base de sorteio'!$I$3:$I$1723,0)),"")</f>
        <v/>
      </c>
      <c r="I156" s="4">
        <f>IF(E156="","",HYPERLINK(IFERROR(INDEX('Base de sorteio'!$J$3:$J$1723,MATCH($B156&amp;"|"&amp;$C156,'Base de sorteio'!$I$3:$I$1723,0)),""),"abrir"))</f>
        <v/>
      </c>
      <c r="J156" s="4" t="n"/>
      <c r="K156" s="4" t="n"/>
      <c r="L156" s="4" t="n"/>
      <c r="M156" s="4" t="n"/>
      <c r="N156" s="4">
        <f>IF(AND(K156="",M156=""),"",IF(OR(K156="sim",M156="sim"),"sim",IF(OR(K156="inconclusivo",M156="inconclusivo"),"inconclusivo","não")))</f>
        <v/>
      </c>
      <c r="O156" s="5">
        <f>IF(N156="sim",COUNTIFS($B$3:$B156,$B156,$N$3:$N156,"sim"),"")</f>
        <v/>
      </c>
      <c r="P156" s="5" t="n"/>
      <c r="Q156" s="4" t="n"/>
      <c r="R156" s="5" t="n"/>
      <c r="S156" s="9" t="n"/>
      <c r="T156" s="4" t="n"/>
    </row>
    <row r="157">
      <c r="A157" s="5">
        <f>ROW()-2</f>
        <v/>
      </c>
      <c r="B157" s="4" t="inlineStr">
        <is>
          <t>Metrópole</t>
        </is>
      </c>
      <c r="C157" s="5" t="n">
        <v>155</v>
      </c>
      <c r="D157" s="5">
        <f>IFERROR(INDEX('Base de sorteio'!$A$3:$A$1723,MATCH($B157&amp;"|"&amp;$C157,'Base de sorteio'!$I$3:$I$1723,0)),"")</f>
        <v/>
      </c>
      <c r="E157" s="4">
        <f>IFERROR(INDEX('Base de sorteio'!$B$3:$B$1723,MATCH($B157&amp;"|"&amp;$C157,'Base de sorteio'!$I$3:$I$1723,0)),"")</f>
        <v/>
      </c>
      <c r="F157" s="4">
        <f>IFERROR(INDEX('Base de sorteio'!$C$3:$C$1723,MATCH($B157&amp;"|"&amp;$C157,'Base de sorteio'!$I$3:$I$1723,0)),"")</f>
        <v/>
      </c>
      <c r="G157" s="4">
        <f>IFERROR(INDEX('Base de sorteio'!$D$3:$D$1723,MATCH($B157&amp;"|"&amp;$C157,'Base de sorteio'!$I$3:$I$1723,0)),"")</f>
        <v/>
      </c>
      <c r="H157" s="4">
        <f>IFERROR(INDEX('Base de sorteio'!$E$3:$E$1723,MATCH($B157&amp;"|"&amp;$C157,'Base de sorteio'!$I$3:$I$1723,0)),"")</f>
        <v/>
      </c>
      <c r="I157" s="4">
        <f>IF(E157="","",HYPERLINK(IFERROR(INDEX('Base de sorteio'!$J$3:$J$1723,MATCH($B157&amp;"|"&amp;$C157,'Base de sorteio'!$I$3:$I$1723,0)),""),"abrir"))</f>
        <v/>
      </c>
      <c r="J157" s="4" t="n"/>
      <c r="K157" s="4" t="n"/>
      <c r="L157" s="4" t="n"/>
      <c r="M157" s="4" t="n"/>
      <c r="N157" s="4">
        <f>IF(AND(K157="",M157=""),"",IF(OR(K157="sim",M157="sim"),"sim",IF(OR(K157="inconclusivo",M157="inconclusivo"),"inconclusivo","não")))</f>
        <v/>
      </c>
      <c r="O157" s="5">
        <f>IF(N157="sim",COUNTIFS($B$3:$B157,$B157,$N$3:$N157,"sim"),"")</f>
        <v/>
      </c>
      <c r="P157" s="5" t="n"/>
      <c r="Q157" s="4" t="n"/>
      <c r="R157" s="5" t="n"/>
      <c r="S157" s="9" t="n"/>
      <c r="T157" s="4" t="n"/>
    </row>
    <row r="158">
      <c r="A158" s="5">
        <f>ROW()-2</f>
        <v/>
      </c>
      <c r="B158" s="4" t="inlineStr">
        <is>
          <t>Metrópole</t>
        </is>
      </c>
      <c r="C158" s="5" t="n">
        <v>156</v>
      </c>
      <c r="D158" s="5">
        <f>IFERROR(INDEX('Base de sorteio'!$A$3:$A$1723,MATCH($B158&amp;"|"&amp;$C158,'Base de sorteio'!$I$3:$I$1723,0)),"")</f>
        <v/>
      </c>
      <c r="E158" s="4">
        <f>IFERROR(INDEX('Base de sorteio'!$B$3:$B$1723,MATCH($B158&amp;"|"&amp;$C158,'Base de sorteio'!$I$3:$I$1723,0)),"")</f>
        <v/>
      </c>
      <c r="F158" s="4">
        <f>IFERROR(INDEX('Base de sorteio'!$C$3:$C$1723,MATCH($B158&amp;"|"&amp;$C158,'Base de sorteio'!$I$3:$I$1723,0)),"")</f>
        <v/>
      </c>
      <c r="G158" s="4">
        <f>IFERROR(INDEX('Base de sorteio'!$D$3:$D$1723,MATCH($B158&amp;"|"&amp;$C158,'Base de sorteio'!$I$3:$I$1723,0)),"")</f>
        <v/>
      </c>
      <c r="H158" s="4">
        <f>IFERROR(INDEX('Base de sorteio'!$E$3:$E$1723,MATCH($B158&amp;"|"&amp;$C158,'Base de sorteio'!$I$3:$I$1723,0)),"")</f>
        <v/>
      </c>
      <c r="I158" s="4">
        <f>IF(E158="","",HYPERLINK(IFERROR(INDEX('Base de sorteio'!$J$3:$J$1723,MATCH($B158&amp;"|"&amp;$C158,'Base de sorteio'!$I$3:$I$1723,0)),""),"abrir"))</f>
        <v/>
      </c>
      <c r="J158" s="4" t="n"/>
      <c r="K158" s="4" t="n"/>
      <c r="L158" s="4" t="n"/>
      <c r="M158" s="4" t="n"/>
      <c r="N158" s="4">
        <f>IF(AND(K158="",M158=""),"",IF(OR(K158="sim",M158="sim"),"sim",IF(OR(K158="inconclusivo",M158="inconclusivo"),"inconclusivo","não")))</f>
        <v/>
      </c>
      <c r="O158" s="5">
        <f>IF(N158="sim",COUNTIFS($B$3:$B158,$B158,$N$3:$N158,"sim"),"")</f>
        <v/>
      </c>
      <c r="P158" s="5" t="n"/>
      <c r="Q158" s="4" t="n"/>
      <c r="R158" s="5" t="n"/>
      <c r="S158" s="9" t="n"/>
      <c r="T158" s="4" t="n"/>
    </row>
    <row r="159">
      <c r="A159" s="5">
        <f>ROW()-2</f>
        <v/>
      </c>
      <c r="B159" s="4" t="inlineStr">
        <is>
          <t>Metrópole</t>
        </is>
      </c>
      <c r="C159" s="5" t="n">
        <v>157</v>
      </c>
      <c r="D159" s="5">
        <f>IFERROR(INDEX('Base de sorteio'!$A$3:$A$1723,MATCH($B159&amp;"|"&amp;$C159,'Base de sorteio'!$I$3:$I$1723,0)),"")</f>
        <v/>
      </c>
      <c r="E159" s="4">
        <f>IFERROR(INDEX('Base de sorteio'!$B$3:$B$1723,MATCH($B159&amp;"|"&amp;$C159,'Base de sorteio'!$I$3:$I$1723,0)),"")</f>
        <v/>
      </c>
      <c r="F159" s="4">
        <f>IFERROR(INDEX('Base de sorteio'!$C$3:$C$1723,MATCH($B159&amp;"|"&amp;$C159,'Base de sorteio'!$I$3:$I$1723,0)),"")</f>
        <v/>
      </c>
      <c r="G159" s="4">
        <f>IFERROR(INDEX('Base de sorteio'!$D$3:$D$1723,MATCH($B159&amp;"|"&amp;$C159,'Base de sorteio'!$I$3:$I$1723,0)),"")</f>
        <v/>
      </c>
      <c r="H159" s="4">
        <f>IFERROR(INDEX('Base de sorteio'!$E$3:$E$1723,MATCH($B159&amp;"|"&amp;$C159,'Base de sorteio'!$I$3:$I$1723,0)),"")</f>
        <v/>
      </c>
      <c r="I159" s="4">
        <f>IF(E159="","",HYPERLINK(IFERROR(INDEX('Base de sorteio'!$J$3:$J$1723,MATCH($B159&amp;"|"&amp;$C159,'Base de sorteio'!$I$3:$I$1723,0)),""),"abrir"))</f>
        <v/>
      </c>
      <c r="J159" s="4" t="n"/>
      <c r="K159" s="4" t="n"/>
      <c r="L159" s="4" t="n"/>
      <c r="M159" s="4" t="n"/>
      <c r="N159" s="4">
        <f>IF(AND(K159="",M159=""),"",IF(OR(K159="sim",M159="sim"),"sim",IF(OR(K159="inconclusivo",M159="inconclusivo"),"inconclusivo","não")))</f>
        <v/>
      </c>
      <c r="O159" s="5">
        <f>IF(N159="sim",COUNTIFS($B$3:$B159,$B159,$N$3:$N159,"sim"),"")</f>
        <v/>
      </c>
      <c r="P159" s="5" t="n"/>
      <c r="Q159" s="4" t="n"/>
      <c r="R159" s="5" t="n"/>
      <c r="S159" s="9" t="n"/>
      <c r="T159" s="4" t="n"/>
    </row>
    <row r="160">
      <c r="A160" s="5">
        <f>ROW()-2</f>
        <v/>
      </c>
      <c r="B160" s="4" t="inlineStr">
        <is>
          <t>Metrópole</t>
        </is>
      </c>
      <c r="C160" s="5" t="n">
        <v>158</v>
      </c>
      <c r="D160" s="5">
        <f>IFERROR(INDEX('Base de sorteio'!$A$3:$A$1723,MATCH($B160&amp;"|"&amp;$C160,'Base de sorteio'!$I$3:$I$1723,0)),"")</f>
        <v/>
      </c>
      <c r="E160" s="4">
        <f>IFERROR(INDEX('Base de sorteio'!$B$3:$B$1723,MATCH($B160&amp;"|"&amp;$C160,'Base de sorteio'!$I$3:$I$1723,0)),"")</f>
        <v/>
      </c>
      <c r="F160" s="4">
        <f>IFERROR(INDEX('Base de sorteio'!$C$3:$C$1723,MATCH($B160&amp;"|"&amp;$C160,'Base de sorteio'!$I$3:$I$1723,0)),"")</f>
        <v/>
      </c>
      <c r="G160" s="4">
        <f>IFERROR(INDEX('Base de sorteio'!$D$3:$D$1723,MATCH($B160&amp;"|"&amp;$C160,'Base de sorteio'!$I$3:$I$1723,0)),"")</f>
        <v/>
      </c>
      <c r="H160" s="4">
        <f>IFERROR(INDEX('Base de sorteio'!$E$3:$E$1723,MATCH($B160&amp;"|"&amp;$C160,'Base de sorteio'!$I$3:$I$1723,0)),"")</f>
        <v/>
      </c>
      <c r="I160" s="4">
        <f>IF(E160="","",HYPERLINK(IFERROR(INDEX('Base de sorteio'!$J$3:$J$1723,MATCH($B160&amp;"|"&amp;$C160,'Base de sorteio'!$I$3:$I$1723,0)),""),"abrir"))</f>
        <v/>
      </c>
      <c r="J160" s="4" t="n"/>
      <c r="K160" s="4" t="n"/>
      <c r="L160" s="4" t="n"/>
      <c r="M160" s="4" t="n"/>
      <c r="N160" s="4">
        <f>IF(AND(K160="",M160=""),"",IF(OR(K160="sim",M160="sim"),"sim",IF(OR(K160="inconclusivo",M160="inconclusivo"),"inconclusivo","não")))</f>
        <v/>
      </c>
      <c r="O160" s="5">
        <f>IF(N160="sim",COUNTIFS($B$3:$B160,$B160,$N$3:$N160,"sim"),"")</f>
        <v/>
      </c>
      <c r="P160" s="5" t="n"/>
      <c r="Q160" s="4" t="n"/>
      <c r="R160" s="5" t="n"/>
      <c r="S160" s="9" t="n"/>
      <c r="T160" s="4" t="n"/>
    </row>
    <row r="161">
      <c r="A161" s="5">
        <f>ROW()-2</f>
        <v/>
      </c>
      <c r="B161" s="4" t="inlineStr">
        <is>
          <t>Metrópole</t>
        </is>
      </c>
      <c r="C161" s="5" t="n">
        <v>159</v>
      </c>
      <c r="D161" s="5">
        <f>IFERROR(INDEX('Base de sorteio'!$A$3:$A$1723,MATCH($B161&amp;"|"&amp;$C161,'Base de sorteio'!$I$3:$I$1723,0)),"")</f>
        <v/>
      </c>
      <c r="E161" s="4">
        <f>IFERROR(INDEX('Base de sorteio'!$B$3:$B$1723,MATCH($B161&amp;"|"&amp;$C161,'Base de sorteio'!$I$3:$I$1723,0)),"")</f>
        <v/>
      </c>
      <c r="F161" s="4">
        <f>IFERROR(INDEX('Base de sorteio'!$C$3:$C$1723,MATCH($B161&amp;"|"&amp;$C161,'Base de sorteio'!$I$3:$I$1723,0)),"")</f>
        <v/>
      </c>
      <c r="G161" s="4">
        <f>IFERROR(INDEX('Base de sorteio'!$D$3:$D$1723,MATCH($B161&amp;"|"&amp;$C161,'Base de sorteio'!$I$3:$I$1723,0)),"")</f>
        <v/>
      </c>
      <c r="H161" s="4">
        <f>IFERROR(INDEX('Base de sorteio'!$E$3:$E$1723,MATCH($B161&amp;"|"&amp;$C161,'Base de sorteio'!$I$3:$I$1723,0)),"")</f>
        <v/>
      </c>
      <c r="I161" s="4">
        <f>IF(E161="","",HYPERLINK(IFERROR(INDEX('Base de sorteio'!$J$3:$J$1723,MATCH($B161&amp;"|"&amp;$C161,'Base de sorteio'!$I$3:$I$1723,0)),""),"abrir"))</f>
        <v/>
      </c>
      <c r="J161" s="4" t="n"/>
      <c r="K161" s="4" t="n"/>
      <c r="L161" s="4" t="n"/>
      <c r="M161" s="4" t="n"/>
      <c r="N161" s="4">
        <f>IF(AND(K161="",M161=""),"",IF(OR(K161="sim",M161="sim"),"sim",IF(OR(K161="inconclusivo",M161="inconclusivo"),"inconclusivo","não")))</f>
        <v/>
      </c>
      <c r="O161" s="5">
        <f>IF(N161="sim",COUNTIFS($B$3:$B161,$B161,$N$3:$N161,"sim"),"")</f>
        <v/>
      </c>
      <c r="P161" s="5" t="n"/>
      <c r="Q161" s="4" t="n"/>
      <c r="R161" s="5" t="n"/>
      <c r="S161" s="9" t="n"/>
      <c r="T161" s="4" t="n"/>
    </row>
    <row r="162">
      <c r="A162" s="5">
        <f>ROW()-2</f>
        <v/>
      </c>
      <c r="B162" s="4" t="inlineStr">
        <is>
          <t>Metrópole</t>
        </is>
      </c>
      <c r="C162" s="5" t="n">
        <v>160</v>
      </c>
      <c r="D162" s="5">
        <f>IFERROR(INDEX('Base de sorteio'!$A$3:$A$1723,MATCH($B162&amp;"|"&amp;$C162,'Base de sorteio'!$I$3:$I$1723,0)),"")</f>
        <v/>
      </c>
      <c r="E162" s="4">
        <f>IFERROR(INDEX('Base de sorteio'!$B$3:$B$1723,MATCH($B162&amp;"|"&amp;$C162,'Base de sorteio'!$I$3:$I$1723,0)),"")</f>
        <v/>
      </c>
      <c r="F162" s="4">
        <f>IFERROR(INDEX('Base de sorteio'!$C$3:$C$1723,MATCH($B162&amp;"|"&amp;$C162,'Base de sorteio'!$I$3:$I$1723,0)),"")</f>
        <v/>
      </c>
      <c r="G162" s="4">
        <f>IFERROR(INDEX('Base de sorteio'!$D$3:$D$1723,MATCH($B162&amp;"|"&amp;$C162,'Base de sorteio'!$I$3:$I$1723,0)),"")</f>
        <v/>
      </c>
      <c r="H162" s="4">
        <f>IFERROR(INDEX('Base de sorteio'!$E$3:$E$1723,MATCH($B162&amp;"|"&amp;$C162,'Base de sorteio'!$I$3:$I$1723,0)),"")</f>
        <v/>
      </c>
      <c r="I162" s="4">
        <f>IF(E162="","",HYPERLINK(IFERROR(INDEX('Base de sorteio'!$J$3:$J$1723,MATCH($B162&amp;"|"&amp;$C162,'Base de sorteio'!$I$3:$I$1723,0)),""),"abrir"))</f>
        <v/>
      </c>
      <c r="J162" s="4" t="n"/>
      <c r="K162" s="4" t="n"/>
      <c r="L162" s="4" t="n"/>
      <c r="M162" s="4" t="n"/>
      <c r="N162" s="4">
        <f>IF(AND(K162="",M162=""),"",IF(OR(K162="sim",M162="sim"),"sim",IF(OR(K162="inconclusivo",M162="inconclusivo"),"inconclusivo","não")))</f>
        <v/>
      </c>
      <c r="O162" s="5">
        <f>IF(N162="sim",COUNTIFS($B$3:$B162,$B162,$N$3:$N162,"sim"),"")</f>
        <v/>
      </c>
      <c r="P162" s="5" t="n"/>
      <c r="Q162" s="4" t="n"/>
      <c r="R162" s="5" t="n"/>
      <c r="S162" s="9" t="n"/>
      <c r="T162" s="4" t="n"/>
    </row>
    <row r="163">
      <c r="A163" s="5">
        <f>ROW()-2</f>
        <v/>
      </c>
      <c r="B163" s="4" t="inlineStr">
        <is>
          <t>Metrópole</t>
        </is>
      </c>
      <c r="C163" s="5" t="n">
        <v>161</v>
      </c>
      <c r="D163" s="5">
        <f>IFERROR(INDEX('Base de sorteio'!$A$3:$A$1723,MATCH($B163&amp;"|"&amp;$C163,'Base de sorteio'!$I$3:$I$1723,0)),"")</f>
        <v/>
      </c>
      <c r="E163" s="4">
        <f>IFERROR(INDEX('Base de sorteio'!$B$3:$B$1723,MATCH($B163&amp;"|"&amp;$C163,'Base de sorteio'!$I$3:$I$1723,0)),"")</f>
        <v/>
      </c>
      <c r="F163" s="4">
        <f>IFERROR(INDEX('Base de sorteio'!$C$3:$C$1723,MATCH($B163&amp;"|"&amp;$C163,'Base de sorteio'!$I$3:$I$1723,0)),"")</f>
        <v/>
      </c>
      <c r="G163" s="4">
        <f>IFERROR(INDEX('Base de sorteio'!$D$3:$D$1723,MATCH($B163&amp;"|"&amp;$C163,'Base de sorteio'!$I$3:$I$1723,0)),"")</f>
        <v/>
      </c>
      <c r="H163" s="4">
        <f>IFERROR(INDEX('Base de sorteio'!$E$3:$E$1723,MATCH($B163&amp;"|"&amp;$C163,'Base de sorteio'!$I$3:$I$1723,0)),"")</f>
        <v/>
      </c>
      <c r="I163" s="4">
        <f>IF(E163="","",HYPERLINK(IFERROR(INDEX('Base de sorteio'!$J$3:$J$1723,MATCH($B163&amp;"|"&amp;$C163,'Base de sorteio'!$I$3:$I$1723,0)),""),"abrir"))</f>
        <v/>
      </c>
      <c r="J163" s="4" t="n"/>
      <c r="K163" s="4" t="n"/>
      <c r="L163" s="4" t="n"/>
      <c r="M163" s="4" t="n"/>
      <c r="N163" s="4">
        <f>IF(AND(K163="",M163=""),"",IF(OR(K163="sim",M163="sim"),"sim",IF(OR(K163="inconclusivo",M163="inconclusivo"),"inconclusivo","não")))</f>
        <v/>
      </c>
      <c r="O163" s="5">
        <f>IF(N163="sim",COUNTIFS($B$3:$B163,$B163,$N$3:$N163,"sim"),"")</f>
        <v/>
      </c>
      <c r="P163" s="5" t="n"/>
      <c r="Q163" s="4" t="n"/>
      <c r="R163" s="5" t="n"/>
      <c r="S163" s="9" t="n"/>
      <c r="T163" s="4" t="n"/>
    </row>
    <row r="164">
      <c r="A164" s="5">
        <f>ROW()-2</f>
        <v/>
      </c>
      <c r="B164" s="4" t="inlineStr">
        <is>
          <t>Metrópole</t>
        </is>
      </c>
      <c r="C164" s="5" t="n">
        <v>162</v>
      </c>
      <c r="D164" s="5">
        <f>IFERROR(INDEX('Base de sorteio'!$A$3:$A$1723,MATCH($B164&amp;"|"&amp;$C164,'Base de sorteio'!$I$3:$I$1723,0)),"")</f>
        <v/>
      </c>
      <c r="E164" s="4">
        <f>IFERROR(INDEX('Base de sorteio'!$B$3:$B$1723,MATCH($B164&amp;"|"&amp;$C164,'Base de sorteio'!$I$3:$I$1723,0)),"")</f>
        <v/>
      </c>
      <c r="F164" s="4">
        <f>IFERROR(INDEX('Base de sorteio'!$C$3:$C$1723,MATCH($B164&amp;"|"&amp;$C164,'Base de sorteio'!$I$3:$I$1723,0)),"")</f>
        <v/>
      </c>
      <c r="G164" s="4">
        <f>IFERROR(INDEX('Base de sorteio'!$D$3:$D$1723,MATCH($B164&amp;"|"&amp;$C164,'Base de sorteio'!$I$3:$I$1723,0)),"")</f>
        <v/>
      </c>
      <c r="H164" s="4">
        <f>IFERROR(INDEX('Base de sorteio'!$E$3:$E$1723,MATCH($B164&amp;"|"&amp;$C164,'Base de sorteio'!$I$3:$I$1723,0)),"")</f>
        <v/>
      </c>
      <c r="I164" s="4">
        <f>IF(E164="","",HYPERLINK(IFERROR(INDEX('Base de sorteio'!$J$3:$J$1723,MATCH($B164&amp;"|"&amp;$C164,'Base de sorteio'!$I$3:$I$1723,0)),""),"abrir"))</f>
        <v/>
      </c>
      <c r="J164" s="4" t="n"/>
      <c r="K164" s="4" t="n"/>
      <c r="L164" s="4" t="n"/>
      <c r="M164" s="4" t="n"/>
      <c r="N164" s="4">
        <f>IF(AND(K164="",M164=""),"",IF(OR(K164="sim",M164="sim"),"sim",IF(OR(K164="inconclusivo",M164="inconclusivo"),"inconclusivo","não")))</f>
        <v/>
      </c>
      <c r="O164" s="5">
        <f>IF(N164="sim",COUNTIFS($B$3:$B164,$B164,$N$3:$N164,"sim"),"")</f>
        <v/>
      </c>
      <c r="P164" s="5" t="n"/>
      <c r="Q164" s="4" t="n"/>
      <c r="R164" s="5" t="n"/>
      <c r="S164" s="9" t="n"/>
      <c r="T164" s="4" t="n"/>
    </row>
    <row r="165">
      <c r="A165" s="5">
        <f>ROW()-2</f>
        <v/>
      </c>
      <c r="B165" s="4" t="inlineStr">
        <is>
          <t>Metrópole</t>
        </is>
      </c>
      <c r="C165" s="5" t="n">
        <v>163</v>
      </c>
      <c r="D165" s="5">
        <f>IFERROR(INDEX('Base de sorteio'!$A$3:$A$1723,MATCH($B165&amp;"|"&amp;$C165,'Base de sorteio'!$I$3:$I$1723,0)),"")</f>
        <v/>
      </c>
      <c r="E165" s="4">
        <f>IFERROR(INDEX('Base de sorteio'!$B$3:$B$1723,MATCH($B165&amp;"|"&amp;$C165,'Base de sorteio'!$I$3:$I$1723,0)),"")</f>
        <v/>
      </c>
      <c r="F165" s="4">
        <f>IFERROR(INDEX('Base de sorteio'!$C$3:$C$1723,MATCH($B165&amp;"|"&amp;$C165,'Base de sorteio'!$I$3:$I$1723,0)),"")</f>
        <v/>
      </c>
      <c r="G165" s="4">
        <f>IFERROR(INDEX('Base de sorteio'!$D$3:$D$1723,MATCH($B165&amp;"|"&amp;$C165,'Base de sorteio'!$I$3:$I$1723,0)),"")</f>
        <v/>
      </c>
      <c r="H165" s="4">
        <f>IFERROR(INDEX('Base de sorteio'!$E$3:$E$1723,MATCH($B165&amp;"|"&amp;$C165,'Base de sorteio'!$I$3:$I$1723,0)),"")</f>
        <v/>
      </c>
      <c r="I165" s="4">
        <f>IF(E165="","",HYPERLINK(IFERROR(INDEX('Base de sorteio'!$J$3:$J$1723,MATCH($B165&amp;"|"&amp;$C165,'Base de sorteio'!$I$3:$I$1723,0)),""),"abrir"))</f>
        <v/>
      </c>
      <c r="J165" s="4" t="n"/>
      <c r="K165" s="4" t="n"/>
      <c r="L165" s="4" t="n"/>
      <c r="M165" s="4" t="n"/>
      <c r="N165" s="4">
        <f>IF(AND(K165="",M165=""),"",IF(OR(K165="sim",M165="sim"),"sim",IF(OR(K165="inconclusivo",M165="inconclusivo"),"inconclusivo","não")))</f>
        <v/>
      </c>
      <c r="O165" s="5">
        <f>IF(N165="sim",COUNTIFS($B$3:$B165,$B165,$N$3:$N165,"sim"),"")</f>
        <v/>
      </c>
      <c r="P165" s="5" t="n"/>
      <c r="Q165" s="4" t="n"/>
      <c r="R165" s="5" t="n"/>
      <c r="S165" s="9" t="n"/>
      <c r="T165" s="4" t="n"/>
    </row>
    <row r="166">
      <c r="A166" s="5">
        <f>ROW()-2</f>
        <v/>
      </c>
      <c r="B166" s="4" t="inlineStr">
        <is>
          <t>Metrópole</t>
        </is>
      </c>
      <c r="C166" s="5" t="n">
        <v>164</v>
      </c>
      <c r="D166" s="5">
        <f>IFERROR(INDEX('Base de sorteio'!$A$3:$A$1723,MATCH($B166&amp;"|"&amp;$C166,'Base de sorteio'!$I$3:$I$1723,0)),"")</f>
        <v/>
      </c>
      <c r="E166" s="4">
        <f>IFERROR(INDEX('Base de sorteio'!$B$3:$B$1723,MATCH($B166&amp;"|"&amp;$C166,'Base de sorteio'!$I$3:$I$1723,0)),"")</f>
        <v/>
      </c>
      <c r="F166" s="4">
        <f>IFERROR(INDEX('Base de sorteio'!$C$3:$C$1723,MATCH($B166&amp;"|"&amp;$C166,'Base de sorteio'!$I$3:$I$1723,0)),"")</f>
        <v/>
      </c>
      <c r="G166" s="4">
        <f>IFERROR(INDEX('Base de sorteio'!$D$3:$D$1723,MATCH($B166&amp;"|"&amp;$C166,'Base de sorteio'!$I$3:$I$1723,0)),"")</f>
        <v/>
      </c>
      <c r="H166" s="4">
        <f>IFERROR(INDEX('Base de sorteio'!$E$3:$E$1723,MATCH($B166&amp;"|"&amp;$C166,'Base de sorteio'!$I$3:$I$1723,0)),"")</f>
        <v/>
      </c>
      <c r="I166" s="4">
        <f>IF(E166="","",HYPERLINK(IFERROR(INDEX('Base de sorteio'!$J$3:$J$1723,MATCH($B166&amp;"|"&amp;$C166,'Base de sorteio'!$I$3:$I$1723,0)),""),"abrir"))</f>
        <v/>
      </c>
      <c r="J166" s="4" t="n"/>
      <c r="K166" s="4" t="n"/>
      <c r="L166" s="4" t="n"/>
      <c r="M166" s="4" t="n"/>
      <c r="N166" s="4">
        <f>IF(AND(K166="",M166=""),"",IF(OR(K166="sim",M166="sim"),"sim",IF(OR(K166="inconclusivo",M166="inconclusivo"),"inconclusivo","não")))</f>
        <v/>
      </c>
      <c r="O166" s="5">
        <f>IF(N166="sim",COUNTIFS($B$3:$B166,$B166,$N$3:$N166,"sim"),"")</f>
        <v/>
      </c>
      <c r="P166" s="5" t="n"/>
      <c r="Q166" s="4" t="n"/>
      <c r="R166" s="5" t="n"/>
      <c r="S166" s="9" t="n"/>
      <c r="T166" s="4" t="n"/>
    </row>
    <row r="167">
      <c r="A167" s="5">
        <f>ROW()-2</f>
        <v/>
      </c>
      <c r="B167" s="4" t="inlineStr">
        <is>
          <t>Metrópole</t>
        </is>
      </c>
      <c r="C167" s="5" t="n">
        <v>165</v>
      </c>
      <c r="D167" s="5">
        <f>IFERROR(INDEX('Base de sorteio'!$A$3:$A$1723,MATCH($B167&amp;"|"&amp;$C167,'Base de sorteio'!$I$3:$I$1723,0)),"")</f>
        <v/>
      </c>
      <c r="E167" s="4">
        <f>IFERROR(INDEX('Base de sorteio'!$B$3:$B$1723,MATCH($B167&amp;"|"&amp;$C167,'Base de sorteio'!$I$3:$I$1723,0)),"")</f>
        <v/>
      </c>
      <c r="F167" s="4">
        <f>IFERROR(INDEX('Base de sorteio'!$C$3:$C$1723,MATCH($B167&amp;"|"&amp;$C167,'Base de sorteio'!$I$3:$I$1723,0)),"")</f>
        <v/>
      </c>
      <c r="G167" s="4">
        <f>IFERROR(INDEX('Base de sorteio'!$D$3:$D$1723,MATCH($B167&amp;"|"&amp;$C167,'Base de sorteio'!$I$3:$I$1723,0)),"")</f>
        <v/>
      </c>
      <c r="H167" s="4">
        <f>IFERROR(INDEX('Base de sorteio'!$E$3:$E$1723,MATCH($B167&amp;"|"&amp;$C167,'Base de sorteio'!$I$3:$I$1723,0)),"")</f>
        <v/>
      </c>
      <c r="I167" s="4">
        <f>IF(E167="","",HYPERLINK(IFERROR(INDEX('Base de sorteio'!$J$3:$J$1723,MATCH($B167&amp;"|"&amp;$C167,'Base de sorteio'!$I$3:$I$1723,0)),""),"abrir"))</f>
        <v/>
      </c>
      <c r="J167" s="4" t="n"/>
      <c r="K167" s="4" t="n"/>
      <c r="L167" s="4" t="n"/>
      <c r="M167" s="4" t="n"/>
      <c r="N167" s="4">
        <f>IF(AND(K167="",M167=""),"",IF(OR(K167="sim",M167="sim"),"sim",IF(OR(K167="inconclusivo",M167="inconclusivo"),"inconclusivo","não")))</f>
        <v/>
      </c>
      <c r="O167" s="5">
        <f>IF(N167="sim",COUNTIFS($B$3:$B167,$B167,$N$3:$N167,"sim"),"")</f>
        <v/>
      </c>
      <c r="P167" s="5" t="n"/>
      <c r="Q167" s="4" t="n"/>
      <c r="R167" s="5" t="n"/>
      <c r="S167" s="9" t="n"/>
      <c r="T167" s="4" t="n"/>
    </row>
    <row r="168">
      <c r="A168" s="5">
        <f>ROW()-2</f>
        <v/>
      </c>
      <c r="B168" s="4" t="inlineStr">
        <is>
          <t>Metrópole</t>
        </is>
      </c>
      <c r="C168" s="5" t="n">
        <v>166</v>
      </c>
      <c r="D168" s="5">
        <f>IFERROR(INDEX('Base de sorteio'!$A$3:$A$1723,MATCH($B168&amp;"|"&amp;$C168,'Base de sorteio'!$I$3:$I$1723,0)),"")</f>
        <v/>
      </c>
      <c r="E168" s="4">
        <f>IFERROR(INDEX('Base de sorteio'!$B$3:$B$1723,MATCH($B168&amp;"|"&amp;$C168,'Base de sorteio'!$I$3:$I$1723,0)),"")</f>
        <v/>
      </c>
      <c r="F168" s="4">
        <f>IFERROR(INDEX('Base de sorteio'!$C$3:$C$1723,MATCH($B168&amp;"|"&amp;$C168,'Base de sorteio'!$I$3:$I$1723,0)),"")</f>
        <v/>
      </c>
      <c r="G168" s="4">
        <f>IFERROR(INDEX('Base de sorteio'!$D$3:$D$1723,MATCH($B168&amp;"|"&amp;$C168,'Base de sorteio'!$I$3:$I$1723,0)),"")</f>
        <v/>
      </c>
      <c r="H168" s="4">
        <f>IFERROR(INDEX('Base de sorteio'!$E$3:$E$1723,MATCH($B168&amp;"|"&amp;$C168,'Base de sorteio'!$I$3:$I$1723,0)),"")</f>
        <v/>
      </c>
      <c r="I168" s="4">
        <f>IF(E168="","",HYPERLINK(IFERROR(INDEX('Base de sorteio'!$J$3:$J$1723,MATCH($B168&amp;"|"&amp;$C168,'Base de sorteio'!$I$3:$I$1723,0)),""),"abrir"))</f>
        <v/>
      </c>
      <c r="J168" s="4" t="n"/>
      <c r="K168" s="4" t="n"/>
      <c r="L168" s="4" t="n"/>
      <c r="M168" s="4" t="n"/>
      <c r="N168" s="4">
        <f>IF(AND(K168="",M168=""),"",IF(OR(K168="sim",M168="sim"),"sim",IF(OR(K168="inconclusivo",M168="inconclusivo"),"inconclusivo","não")))</f>
        <v/>
      </c>
      <c r="O168" s="5">
        <f>IF(N168="sim",COUNTIFS($B$3:$B168,$B168,$N$3:$N168,"sim"),"")</f>
        <v/>
      </c>
      <c r="P168" s="5" t="n"/>
      <c r="Q168" s="4" t="n"/>
      <c r="R168" s="5" t="n"/>
      <c r="S168" s="9" t="n"/>
      <c r="T168" s="4" t="n"/>
    </row>
    <row r="169">
      <c r="A169" s="5">
        <f>ROW()-2</f>
        <v/>
      </c>
      <c r="B169" s="4" t="inlineStr">
        <is>
          <t>Metrópole</t>
        </is>
      </c>
      <c r="C169" s="5" t="n">
        <v>167</v>
      </c>
      <c r="D169" s="5">
        <f>IFERROR(INDEX('Base de sorteio'!$A$3:$A$1723,MATCH($B169&amp;"|"&amp;$C169,'Base de sorteio'!$I$3:$I$1723,0)),"")</f>
        <v/>
      </c>
      <c r="E169" s="4">
        <f>IFERROR(INDEX('Base de sorteio'!$B$3:$B$1723,MATCH($B169&amp;"|"&amp;$C169,'Base de sorteio'!$I$3:$I$1723,0)),"")</f>
        <v/>
      </c>
      <c r="F169" s="4">
        <f>IFERROR(INDEX('Base de sorteio'!$C$3:$C$1723,MATCH($B169&amp;"|"&amp;$C169,'Base de sorteio'!$I$3:$I$1723,0)),"")</f>
        <v/>
      </c>
      <c r="G169" s="4">
        <f>IFERROR(INDEX('Base de sorteio'!$D$3:$D$1723,MATCH($B169&amp;"|"&amp;$C169,'Base de sorteio'!$I$3:$I$1723,0)),"")</f>
        <v/>
      </c>
      <c r="H169" s="4">
        <f>IFERROR(INDEX('Base de sorteio'!$E$3:$E$1723,MATCH($B169&amp;"|"&amp;$C169,'Base de sorteio'!$I$3:$I$1723,0)),"")</f>
        <v/>
      </c>
      <c r="I169" s="4">
        <f>IF(E169="","",HYPERLINK(IFERROR(INDEX('Base de sorteio'!$J$3:$J$1723,MATCH($B169&amp;"|"&amp;$C169,'Base de sorteio'!$I$3:$I$1723,0)),""),"abrir"))</f>
        <v/>
      </c>
      <c r="J169" s="4" t="n"/>
      <c r="K169" s="4" t="n"/>
      <c r="L169" s="4" t="n"/>
      <c r="M169" s="4" t="n"/>
      <c r="N169" s="4">
        <f>IF(AND(K169="",M169=""),"",IF(OR(K169="sim",M169="sim"),"sim",IF(OR(K169="inconclusivo",M169="inconclusivo"),"inconclusivo","não")))</f>
        <v/>
      </c>
      <c r="O169" s="5">
        <f>IF(N169="sim",COUNTIFS($B$3:$B169,$B169,$N$3:$N169,"sim"),"")</f>
        <v/>
      </c>
      <c r="P169" s="5" t="n"/>
      <c r="Q169" s="4" t="n"/>
      <c r="R169" s="5" t="n"/>
      <c r="S169" s="9" t="n"/>
      <c r="T169" s="4" t="n"/>
    </row>
    <row r="170">
      <c r="A170" s="5">
        <f>ROW()-2</f>
        <v/>
      </c>
      <c r="B170" s="4" t="inlineStr">
        <is>
          <t>Metrópole</t>
        </is>
      </c>
      <c r="C170" s="5" t="n">
        <v>168</v>
      </c>
      <c r="D170" s="5">
        <f>IFERROR(INDEX('Base de sorteio'!$A$3:$A$1723,MATCH($B170&amp;"|"&amp;$C170,'Base de sorteio'!$I$3:$I$1723,0)),"")</f>
        <v/>
      </c>
      <c r="E170" s="4">
        <f>IFERROR(INDEX('Base de sorteio'!$B$3:$B$1723,MATCH($B170&amp;"|"&amp;$C170,'Base de sorteio'!$I$3:$I$1723,0)),"")</f>
        <v/>
      </c>
      <c r="F170" s="4">
        <f>IFERROR(INDEX('Base de sorteio'!$C$3:$C$1723,MATCH($B170&amp;"|"&amp;$C170,'Base de sorteio'!$I$3:$I$1723,0)),"")</f>
        <v/>
      </c>
      <c r="G170" s="4">
        <f>IFERROR(INDEX('Base de sorteio'!$D$3:$D$1723,MATCH($B170&amp;"|"&amp;$C170,'Base de sorteio'!$I$3:$I$1723,0)),"")</f>
        <v/>
      </c>
      <c r="H170" s="4">
        <f>IFERROR(INDEX('Base de sorteio'!$E$3:$E$1723,MATCH($B170&amp;"|"&amp;$C170,'Base de sorteio'!$I$3:$I$1723,0)),"")</f>
        <v/>
      </c>
      <c r="I170" s="4">
        <f>IF(E170="","",HYPERLINK(IFERROR(INDEX('Base de sorteio'!$J$3:$J$1723,MATCH($B170&amp;"|"&amp;$C170,'Base de sorteio'!$I$3:$I$1723,0)),""),"abrir"))</f>
        <v/>
      </c>
      <c r="J170" s="4" t="n"/>
      <c r="K170" s="4" t="n"/>
      <c r="L170" s="4" t="n"/>
      <c r="M170" s="4" t="n"/>
      <c r="N170" s="4">
        <f>IF(AND(K170="",M170=""),"",IF(OR(K170="sim",M170="sim"),"sim",IF(OR(K170="inconclusivo",M170="inconclusivo"),"inconclusivo","não")))</f>
        <v/>
      </c>
      <c r="O170" s="5">
        <f>IF(N170="sim",COUNTIFS($B$3:$B170,$B170,$N$3:$N170,"sim"),"")</f>
        <v/>
      </c>
      <c r="P170" s="5" t="n"/>
      <c r="Q170" s="4" t="n"/>
      <c r="R170" s="5" t="n"/>
      <c r="S170" s="9" t="n"/>
      <c r="T170" s="4" t="n"/>
    </row>
    <row r="171">
      <c r="A171" s="5">
        <f>ROW()-2</f>
        <v/>
      </c>
      <c r="B171" s="4" t="inlineStr">
        <is>
          <t>Metrópole</t>
        </is>
      </c>
      <c r="C171" s="5" t="n">
        <v>169</v>
      </c>
      <c r="D171" s="5">
        <f>IFERROR(INDEX('Base de sorteio'!$A$3:$A$1723,MATCH($B171&amp;"|"&amp;$C171,'Base de sorteio'!$I$3:$I$1723,0)),"")</f>
        <v/>
      </c>
      <c r="E171" s="4">
        <f>IFERROR(INDEX('Base de sorteio'!$B$3:$B$1723,MATCH($B171&amp;"|"&amp;$C171,'Base de sorteio'!$I$3:$I$1723,0)),"")</f>
        <v/>
      </c>
      <c r="F171" s="4">
        <f>IFERROR(INDEX('Base de sorteio'!$C$3:$C$1723,MATCH($B171&amp;"|"&amp;$C171,'Base de sorteio'!$I$3:$I$1723,0)),"")</f>
        <v/>
      </c>
      <c r="G171" s="4">
        <f>IFERROR(INDEX('Base de sorteio'!$D$3:$D$1723,MATCH($B171&amp;"|"&amp;$C171,'Base de sorteio'!$I$3:$I$1723,0)),"")</f>
        <v/>
      </c>
      <c r="H171" s="4">
        <f>IFERROR(INDEX('Base de sorteio'!$E$3:$E$1723,MATCH($B171&amp;"|"&amp;$C171,'Base de sorteio'!$I$3:$I$1723,0)),"")</f>
        <v/>
      </c>
      <c r="I171" s="4">
        <f>IF(E171="","",HYPERLINK(IFERROR(INDEX('Base de sorteio'!$J$3:$J$1723,MATCH($B171&amp;"|"&amp;$C171,'Base de sorteio'!$I$3:$I$1723,0)),""),"abrir"))</f>
        <v/>
      </c>
      <c r="J171" s="4" t="n"/>
      <c r="K171" s="4" t="n"/>
      <c r="L171" s="4" t="n"/>
      <c r="M171" s="4" t="n"/>
      <c r="N171" s="4">
        <f>IF(AND(K171="",M171=""),"",IF(OR(K171="sim",M171="sim"),"sim",IF(OR(K171="inconclusivo",M171="inconclusivo"),"inconclusivo","não")))</f>
        <v/>
      </c>
      <c r="O171" s="5">
        <f>IF(N171="sim",COUNTIFS($B$3:$B171,$B171,$N$3:$N171,"sim"),"")</f>
        <v/>
      </c>
      <c r="P171" s="5" t="n"/>
      <c r="Q171" s="4" t="n"/>
      <c r="R171" s="5" t="n"/>
      <c r="S171" s="9" t="n"/>
      <c r="T171" s="4" t="n"/>
    </row>
    <row r="172">
      <c r="A172" s="5">
        <f>ROW()-2</f>
        <v/>
      </c>
      <c r="B172" s="4" t="inlineStr">
        <is>
          <t>Metrópole</t>
        </is>
      </c>
      <c r="C172" s="5" t="n">
        <v>170</v>
      </c>
      <c r="D172" s="5">
        <f>IFERROR(INDEX('Base de sorteio'!$A$3:$A$1723,MATCH($B172&amp;"|"&amp;$C172,'Base de sorteio'!$I$3:$I$1723,0)),"")</f>
        <v/>
      </c>
      <c r="E172" s="4">
        <f>IFERROR(INDEX('Base de sorteio'!$B$3:$B$1723,MATCH($B172&amp;"|"&amp;$C172,'Base de sorteio'!$I$3:$I$1723,0)),"")</f>
        <v/>
      </c>
      <c r="F172" s="4">
        <f>IFERROR(INDEX('Base de sorteio'!$C$3:$C$1723,MATCH($B172&amp;"|"&amp;$C172,'Base de sorteio'!$I$3:$I$1723,0)),"")</f>
        <v/>
      </c>
      <c r="G172" s="4">
        <f>IFERROR(INDEX('Base de sorteio'!$D$3:$D$1723,MATCH($B172&amp;"|"&amp;$C172,'Base de sorteio'!$I$3:$I$1723,0)),"")</f>
        <v/>
      </c>
      <c r="H172" s="4">
        <f>IFERROR(INDEX('Base de sorteio'!$E$3:$E$1723,MATCH($B172&amp;"|"&amp;$C172,'Base de sorteio'!$I$3:$I$1723,0)),"")</f>
        <v/>
      </c>
      <c r="I172" s="4">
        <f>IF(E172="","",HYPERLINK(IFERROR(INDEX('Base de sorteio'!$J$3:$J$1723,MATCH($B172&amp;"|"&amp;$C172,'Base de sorteio'!$I$3:$I$1723,0)),""),"abrir"))</f>
        <v/>
      </c>
      <c r="J172" s="4" t="n"/>
      <c r="K172" s="4" t="n"/>
      <c r="L172" s="4" t="n"/>
      <c r="M172" s="4" t="n"/>
      <c r="N172" s="4">
        <f>IF(AND(K172="",M172=""),"",IF(OR(K172="sim",M172="sim"),"sim",IF(OR(K172="inconclusivo",M172="inconclusivo"),"inconclusivo","não")))</f>
        <v/>
      </c>
      <c r="O172" s="5">
        <f>IF(N172="sim",COUNTIFS($B$3:$B172,$B172,$N$3:$N172,"sim"),"")</f>
        <v/>
      </c>
      <c r="P172" s="5" t="n"/>
      <c r="Q172" s="4" t="n"/>
      <c r="R172" s="5" t="n"/>
      <c r="S172" s="9" t="n"/>
      <c r="T172" s="4" t="n"/>
    </row>
    <row r="173">
      <c r="A173" s="5">
        <f>ROW()-2</f>
        <v/>
      </c>
      <c r="B173" s="4" t="inlineStr">
        <is>
          <t>Metrópole</t>
        </is>
      </c>
      <c r="C173" s="5" t="n">
        <v>171</v>
      </c>
      <c r="D173" s="5">
        <f>IFERROR(INDEX('Base de sorteio'!$A$3:$A$1723,MATCH($B173&amp;"|"&amp;$C173,'Base de sorteio'!$I$3:$I$1723,0)),"")</f>
        <v/>
      </c>
      <c r="E173" s="4">
        <f>IFERROR(INDEX('Base de sorteio'!$B$3:$B$1723,MATCH($B173&amp;"|"&amp;$C173,'Base de sorteio'!$I$3:$I$1723,0)),"")</f>
        <v/>
      </c>
      <c r="F173" s="4">
        <f>IFERROR(INDEX('Base de sorteio'!$C$3:$C$1723,MATCH($B173&amp;"|"&amp;$C173,'Base de sorteio'!$I$3:$I$1723,0)),"")</f>
        <v/>
      </c>
      <c r="G173" s="4">
        <f>IFERROR(INDEX('Base de sorteio'!$D$3:$D$1723,MATCH($B173&amp;"|"&amp;$C173,'Base de sorteio'!$I$3:$I$1723,0)),"")</f>
        <v/>
      </c>
      <c r="H173" s="4">
        <f>IFERROR(INDEX('Base de sorteio'!$E$3:$E$1723,MATCH($B173&amp;"|"&amp;$C173,'Base de sorteio'!$I$3:$I$1723,0)),"")</f>
        <v/>
      </c>
      <c r="I173" s="4">
        <f>IF(E173="","",HYPERLINK(IFERROR(INDEX('Base de sorteio'!$J$3:$J$1723,MATCH($B173&amp;"|"&amp;$C173,'Base de sorteio'!$I$3:$I$1723,0)),""),"abrir"))</f>
        <v/>
      </c>
      <c r="J173" s="4" t="n"/>
      <c r="K173" s="4" t="n"/>
      <c r="L173" s="4" t="n"/>
      <c r="M173" s="4" t="n"/>
      <c r="N173" s="4">
        <f>IF(AND(K173="",M173=""),"",IF(OR(K173="sim",M173="sim"),"sim",IF(OR(K173="inconclusivo",M173="inconclusivo"),"inconclusivo","não")))</f>
        <v/>
      </c>
      <c r="O173" s="5">
        <f>IF(N173="sim",COUNTIFS($B$3:$B173,$B173,$N$3:$N173,"sim"),"")</f>
        <v/>
      </c>
      <c r="P173" s="5" t="n"/>
      <c r="Q173" s="4" t="n"/>
      <c r="R173" s="5" t="n"/>
      <c r="S173" s="9" t="n"/>
      <c r="T173" s="4" t="n"/>
    </row>
    <row r="174">
      <c r="A174" s="5">
        <f>ROW()-2</f>
        <v/>
      </c>
      <c r="B174" s="4" t="inlineStr">
        <is>
          <t>Metrópole</t>
        </is>
      </c>
      <c r="C174" s="5" t="n">
        <v>172</v>
      </c>
      <c r="D174" s="5">
        <f>IFERROR(INDEX('Base de sorteio'!$A$3:$A$1723,MATCH($B174&amp;"|"&amp;$C174,'Base de sorteio'!$I$3:$I$1723,0)),"")</f>
        <v/>
      </c>
      <c r="E174" s="4">
        <f>IFERROR(INDEX('Base de sorteio'!$B$3:$B$1723,MATCH($B174&amp;"|"&amp;$C174,'Base de sorteio'!$I$3:$I$1723,0)),"")</f>
        <v/>
      </c>
      <c r="F174" s="4">
        <f>IFERROR(INDEX('Base de sorteio'!$C$3:$C$1723,MATCH($B174&amp;"|"&amp;$C174,'Base de sorteio'!$I$3:$I$1723,0)),"")</f>
        <v/>
      </c>
      <c r="G174" s="4">
        <f>IFERROR(INDEX('Base de sorteio'!$D$3:$D$1723,MATCH($B174&amp;"|"&amp;$C174,'Base de sorteio'!$I$3:$I$1723,0)),"")</f>
        <v/>
      </c>
      <c r="H174" s="4">
        <f>IFERROR(INDEX('Base de sorteio'!$E$3:$E$1723,MATCH($B174&amp;"|"&amp;$C174,'Base de sorteio'!$I$3:$I$1723,0)),"")</f>
        <v/>
      </c>
      <c r="I174" s="4">
        <f>IF(E174="","",HYPERLINK(IFERROR(INDEX('Base de sorteio'!$J$3:$J$1723,MATCH($B174&amp;"|"&amp;$C174,'Base de sorteio'!$I$3:$I$1723,0)),""),"abrir"))</f>
        <v/>
      </c>
      <c r="J174" s="4" t="n"/>
      <c r="K174" s="4" t="n"/>
      <c r="L174" s="4" t="n"/>
      <c r="M174" s="4" t="n"/>
      <c r="N174" s="4">
        <f>IF(AND(K174="",M174=""),"",IF(OR(K174="sim",M174="sim"),"sim",IF(OR(K174="inconclusivo",M174="inconclusivo"),"inconclusivo","não")))</f>
        <v/>
      </c>
      <c r="O174" s="5">
        <f>IF(N174="sim",COUNTIFS($B$3:$B174,$B174,$N$3:$N174,"sim"),"")</f>
        <v/>
      </c>
      <c r="P174" s="5" t="n"/>
      <c r="Q174" s="4" t="n"/>
      <c r="R174" s="5" t="n"/>
      <c r="S174" s="9" t="n"/>
      <c r="T174" s="4" t="n"/>
    </row>
    <row r="175">
      <c r="A175" s="5">
        <f>ROW()-2</f>
        <v/>
      </c>
      <c r="B175" s="4" t="inlineStr">
        <is>
          <t>Metrópole</t>
        </is>
      </c>
      <c r="C175" s="5" t="n">
        <v>173</v>
      </c>
      <c r="D175" s="5">
        <f>IFERROR(INDEX('Base de sorteio'!$A$3:$A$1723,MATCH($B175&amp;"|"&amp;$C175,'Base de sorteio'!$I$3:$I$1723,0)),"")</f>
        <v/>
      </c>
      <c r="E175" s="4">
        <f>IFERROR(INDEX('Base de sorteio'!$B$3:$B$1723,MATCH($B175&amp;"|"&amp;$C175,'Base de sorteio'!$I$3:$I$1723,0)),"")</f>
        <v/>
      </c>
      <c r="F175" s="4">
        <f>IFERROR(INDEX('Base de sorteio'!$C$3:$C$1723,MATCH($B175&amp;"|"&amp;$C175,'Base de sorteio'!$I$3:$I$1723,0)),"")</f>
        <v/>
      </c>
      <c r="G175" s="4">
        <f>IFERROR(INDEX('Base de sorteio'!$D$3:$D$1723,MATCH($B175&amp;"|"&amp;$C175,'Base de sorteio'!$I$3:$I$1723,0)),"")</f>
        <v/>
      </c>
      <c r="H175" s="4">
        <f>IFERROR(INDEX('Base de sorteio'!$E$3:$E$1723,MATCH($B175&amp;"|"&amp;$C175,'Base de sorteio'!$I$3:$I$1723,0)),"")</f>
        <v/>
      </c>
      <c r="I175" s="4">
        <f>IF(E175="","",HYPERLINK(IFERROR(INDEX('Base de sorteio'!$J$3:$J$1723,MATCH($B175&amp;"|"&amp;$C175,'Base de sorteio'!$I$3:$I$1723,0)),""),"abrir"))</f>
        <v/>
      </c>
      <c r="J175" s="4" t="n"/>
      <c r="K175" s="4" t="n"/>
      <c r="L175" s="4" t="n"/>
      <c r="M175" s="4" t="n"/>
      <c r="N175" s="4">
        <f>IF(AND(K175="",M175=""),"",IF(OR(K175="sim",M175="sim"),"sim",IF(OR(K175="inconclusivo",M175="inconclusivo"),"inconclusivo","não")))</f>
        <v/>
      </c>
      <c r="O175" s="5">
        <f>IF(N175="sim",COUNTIFS($B$3:$B175,$B175,$N$3:$N175,"sim"),"")</f>
        <v/>
      </c>
      <c r="P175" s="5" t="n"/>
      <c r="Q175" s="4" t="n"/>
      <c r="R175" s="5" t="n"/>
      <c r="S175" s="9" t="n"/>
      <c r="T175" s="4" t="n"/>
    </row>
    <row r="176">
      <c r="A176" s="5">
        <f>ROW()-2</f>
        <v/>
      </c>
      <c r="B176" s="4" t="inlineStr">
        <is>
          <t>Metrópole</t>
        </is>
      </c>
      <c r="C176" s="5" t="n">
        <v>174</v>
      </c>
      <c r="D176" s="5">
        <f>IFERROR(INDEX('Base de sorteio'!$A$3:$A$1723,MATCH($B176&amp;"|"&amp;$C176,'Base de sorteio'!$I$3:$I$1723,0)),"")</f>
        <v/>
      </c>
      <c r="E176" s="4">
        <f>IFERROR(INDEX('Base de sorteio'!$B$3:$B$1723,MATCH($B176&amp;"|"&amp;$C176,'Base de sorteio'!$I$3:$I$1723,0)),"")</f>
        <v/>
      </c>
      <c r="F176" s="4">
        <f>IFERROR(INDEX('Base de sorteio'!$C$3:$C$1723,MATCH($B176&amp;"|"&amp;$C176,'Base de sorteio'!$I$3:$I$1723,0)),"")</f>
        <v/>
      </c>
      <c r="G176" s="4">
        <f>IFERROR(INDEX('Base de sorteio'!$D$3:$D$1723,MATCH($B176&amp;"|"&amp;$C176,'Base de sorteio'!$I$3:$I$1723,0)),"")</f>
        <v/>
      </c>
      <c r="H176" s="4">
        <f>IFERROR(INDEX('Base de sorteio'!$E$3:$E$1723,MATCH($B176&amp;"|"&amp;$C176,'Base de sorteio'!$I$3:$I$1723,0)),"")</f>
        <v/>
      </c>
      <c r="I176" s="4">
        <f>IF(E176="","",HYPERLINK(IFERROR(INDEX('Base de sorteio'!$J$3:$J$1723,MATCH($B176&amp;"|"&amp;$C176,'Base de sorteio'!$I$3:$I$1723,0)),""),"abrir"))</f>
        <v/>
      </c>
      <c r="J176" s="4" t="n"/>
      <c r="K176" s="4" t="n"/>
      <c r="L176" s="4" t="n"/>
      <c r="M176" s="4" t="n"/>
      <c r="N176" s="4">
        <f>IF(AND(K176="",M176=""),"",IF(OR(K176="sim",M176="sim"),"sim",IF(OR(K176="inconclusivo",M176="inconclusivo"),"inconclusivo","não")))</f>
        <v/>
      </c>
      <c r="O176" s="5">
        <f>IF(N176="sim",COUNTIFS($B$3:$B176,$B176,$N$3:$N176,"sim"),"")</f>
        <v/>
      </c>
      <c r="P176" s="5" t="n"/>
      <c r="Q176" s="4" t="n"/>
      <c r="R176" s="5" t="n"/>
      <c r="S176" s="9" t="n"/>
      <c r="T176" s="4" t="n"/>
    </row>
    <row r="177">
      <c r="A177" s="5">
        <f>ROW()-2</f>
        <v/>
      </c>
      <c r="B177" s="4" t="inlineStr">
        <is>
          <t>Metrópole</t>
        </is>
      </c>
      <c r="C177" s="5" t="n">
        <v>175</v>
      </c>
      <c r="D177" s="5">
        <f>IFERROR(INDEX('Base de sorteio'!$A$3:$A$1723,MATCH($B177&amp;"|"&amp;$C177,'Base de sorteio'!$I$3:$I$1723,0)),"")</f>
        <v/>
      </c>
      <c r="E177" s="4">
        <f>IFERROR(INDEX('Base de sorteio'!$B$3:$B$1723,MATCH($B177&amp;"|"&amp;$C177,'Base de sorteio'!$I$3:$I$1723,0)),"")</f>
        <v/>
      </c>
      <c r="F177" s="4">
        <f>IFERROR(INDEX('Base de sorteio'!$C$3:$C$1723,MATCH($B177&amp;"|"&amp;$C177,'Base de sorteio'!$I$3:$I$1723,0)),"")</f>
        <v/>
      </c>
      <c r="G177" s="4">
        <f>IFERROR(INDEX('Base de sorteio'!$D$3:$D$1723,MATCH($B177&amp;"|"&amp;$C177,'Base de sorteio'!$I$3:$I$1723,0)),"")</f>
        <v/>
      </c>
      <c r="H177" s="4">
        <f>IFERROR(INDEX('Base de sorteio'!$E$3:$E$1723,MATCH($B177&amp;"|"&amp;$C177,'Base de sorteio'!$I$3:$I$1723,0)),"")</f>
        <v/>
      </c>
      <c r="I177" s="4">
        <f>IF(E177="","",HYPERLINK(IFERROR(INDEX('Base de sorteio'!$J$3:$J$1723,MATCH($B177&amp;"|"&amp;$C177,'Base de sorteio'!$I$3:$I$1723,0)),""),"abrir"))</f>
        <v/>
      </c>
      <c r="J177" s="4" t="n"/>
      <c r="K177" s="4" t="n"/>
      <c r="L177" s="4" t="n"/>
      <c r="M177" s="4" t="n"/>
      <c r="N177" s="4">
        <f>IF(AND(K177="",M177=""),"",IF(OR(K177="sim",M177="sim"),"sim",IF(OR(K177="inconclusivo",M177="inconclusivo"),"inconclusivo","não")))</f>
        <v/>
      </c>
      <c r="O177" s="5">
        <f>IF(N177="sim",COUNTIFS($B$3:$B177,$B177,$N$3:$N177,"sim"),"")</f>
        <v/>
      </c>
      <c r="P177" s="5" t="n"/>
      <c r="Q177" s="4" t="n"/>
      <c r="R177" s="5" t="n"/>
      <c r="S177" s="9" t="n"/>
      <c r="T177" s="4" t="n"/>
    </row>
    <row r="178">
      <c r="A178" s="5">
        <f>ROW()-2</f>
        <v/>
      </c>
      <c r="B178" s="4" t="inlineStr">
        <is>
          <t>Metrópole</t>
        </is>
      </c>
      <c r="C178" s="5" t="n">
        <v>176</v>
      </c>
      <c r="D178" s="5">
        <f>IFERROR(INDEX('Base de sorteio'!$A$3:$A$1723,MATCH($B178&amp;"|"&amp;$C178,'Base de sorteio'!$I$3:$I$1723,0)),"")</f>
        <v/>
      </c>
      <c r="E178" s="4">
        <f>IFERROR(INDEX('Base de sorteio'!$B$3:$B$1723,MATCH($B178&amp;"|"&amp;$C178,'Base de sorteio'!$I$3:$I$1723,0)),"")</f>
        <v/>
      </c>
      <c r="F178" s="4">
        <f>IFERROR(INDEX('Base de sorteio'!$C$3:$C$1723,MATCH($B178&amp;"|"&amp;$C178,'Base de sorteio'!$I$3:$I$1723,0)),"")</f>
        <v/>
      </c>
      <c r="G178" s="4">
        <f>IFERROR(INDEX('Base de sorteio'!$D$3:$D$1723,MATCH($B178&amp;"|"&amp;$C178,'Base de sorteio'!$I$3:$I$1723,0)),"")</f>
        <v/>
      </c>
      <c r="H178" s="4">
        <f>IFERROR(INDEX('Base de sorteio'!$E$3:$E$1723,MATCH($B178&amp;"|"&amp;$C178,'Base de sorteio'!$I$3:$I$1723,0)),"")</f>
        <v/>
      </c>
      <c r="I178" s="4">
        <f>IF(E178="","",HYPERLINK(IFERROR(INDEX('Base de sorteio'!$J$3:$J$1723,MATCH($B178&amp;"|"&amp;$C178,'Base de sorteio'!$I$3:$I$1723,0)),""),"abrir"))</f>
        <v/>
      </c>
      <c r="J178" s="4" t="n"/>
      <c r="K178" s="4" t="n"/>
      <c r="L178" s="4" t="n"/>
      <c r="M178" s="4" t="n"/>
      <c r="N178" s="4">
        <f>IF(AND(K178="",M178=""),"",IF(OR(K178="sim",M178="sim"),"sim",IF(OR(K178="inconclusivo",M178="inconclusivo"),"inconclusivo","não")))</f>
        <v/>
      </c>
      <c r="O178" s="5">
        <f>IF(N178="sim",COUNTIFS($B$3:$B178,$B178,$N$3:$N178,"sim"),"")</f>
        <v/>
      </c>
      <c r="P178" s="5" t="n"/>
      <c r="Q178" s="4" t="n"/>
      <c r="R178" s="5" t="n"/>
      <c r="S178" s="9" t="n"/>
      <c r="T178" s="4" t="n"/>
    </row>
    <row r="179">
      <c r="A179" s="5">
        <f>ROW()-2</f>
        <v/>
      </c>
      <c r="B179" s="4" t="inlineStr">
        <is>
          <t>Metrópole</t>
        </is>
      </c>
      <c r="C179" s="5" t="n">
        <v>177</v>
      </c>
      <c r="D179" s="5">
        <f>IFERROR(INDEX('Base de sorteio'!$A$3:$A$1723,MATCH($B179&amp;"|"&amp;$C179,'Base de sorteio'!$I$3:$I$1723,0)),"")</f>
        <v/>
      </c>
      <c r="E179" s="4">
        <f>IFERROR(INDEX('Base de sorteio'!$B$3:$B$1723,MATCH($B179&amp;"|"&amp;$C179,'Base de sorteio'!$I$3:$I$1723,0)),"")</f>
        <v/>
      </c>
      <c r="F179" s="4">
        <f>IFERROR(INDEX('Base de sorteio'!$C$3:$C$1723,MATCH($B179&amp;"|"&amp;$C179,'Base de sorteio'!$I$3:$I$1723,0)),"")</f>
        <v/>
      </c>
      <c r="G179" s="4">
        <f>IFERROR(INDEX('Base de sorteio'!$D$3:$D$1723,MATCH($B179&amp;"|"&amp;$C179,'Base de sorteio'!$I$3:$I$1723,0)),"")</f>
        <v/>
      </c>
      <c r="H179" s="4">
        <f>IFERROR(INDEX('Base de sorteio'!$E$3:$E$1723,MATCH($B179&amp;"|"&amp;$C179,'Base de sorteio'!$I$3:$I$1723,0)),"")</f>
        <v/>
      </c>
      <c r="I179" s="4">
        <f>IF(E179="","",HYPERLINK(IFERROR(INDEX('Base de sorteio'!$J$3:$J$1723,MATCH($B179&amp;"|"&amp;$C179,'Base de sorteio'!$I$3:$I$1723,0)),""),"abrir"))</f>
        <v/>
      </c>
      <c r="J179" s="4" t="n"/>
      <c r="K179" s="4" t="n"/>
      <c r="L179" s="4" t="n"/>
      <c r="M179" s="4" t="n"/>
      <c r="N179" s="4">
        <f>IF(AND(K179="",M179=""),"",IF(OR(K179="sim",M179="sim"),"sim",IF(OR(K179="inconclusivo",M179="inconclusivo"),"inconclusivo","não")))</f>
        <v/>
      </c>
      <c r="O179" s="5">
        <f>IF(N179="sim",COUNTIFS($B$3:$B179,$B179,$N$3:$N179,"sim"),"")</f>
        <v/>
      </c>
      <c r="P179" s="5" t="n"/>
      <c r="Q179" s="4" t="n"/>
      <c r="R179" s="5" t="n"/>
      <c r="S179" s="9" t="n"/>
      <c r="T179" s="4" t="n"/>
    </row>
    <row r="180">
      <c r="A180" s="5">
        <f>ROW()-2</f>
        <v/>
      </c>
      <c r="B180" s="4" t="inlineStr">
        <is>
          <t>Metrópole</t>
        </is>
      </c>
      <c r="C180" s="5" t="n">
        <v>178</v>
      </c>
      <c r="D180" s="5">
        <f>IFERROR(INDEX('Base de sorteio'!$A$3:$A$1723,MATCH($B180&amp;"|"&amp;$C180,'Base de sorteio'!$I$3:$I$1723,0)),"")</f>
        <v/>
      </c>
      <c r="E180" s="4">
        <f>IFERROR(INDEX('Base de sorteio'!$B$3:$B$1723,MATCH($B180&amp;"|"&amp;$C180,'Base de sorteio'!$I$3:$I$1723,0)),"")</f>
        <v/>
      </c>
      <c r="F180" s="4">
        <f>IFERROR(INDEX('Base de sorteio'!$C$3:$C$1723,MATCH($B180&amp;"|"&amp;$C180,'Base de sorteio'!$I$3:$I$1723,0)),"")</f>
        <v/>
      </c>
      <c r="G180" s="4">
        <f>IFERROR(INDEX('Base de sorteio'!$D$3:$D$1723,MATCH($B180&amp;"|"&amp;$C180,'Base de sorteio'!$I$3:$I$1723,0)),"")</f>
        <v/>
      </c>
      <c r="H180" s="4">
        <f>IFERROR(INDEX('Base de sorteio'!$E$3:$E$1723,MATCH($B180&amp;"|"&amp;$C180,'Base de sorteio'!$I$3:$I$1723,0)),"")</f>
        <v/>
      </c>
      <c r="I180" s="4">
        <f>IF(E180="","",HYPERLINK(IFERROR(INDEX('Base de sorteio'!$J$3:$J$1723,MATCH($B180&amp;"|"&amp;$C180,'Base de sorteio'!$I$3:$I$1723,0)),""),"abrir"))</f>
        <v/>
      </c>
      <c r="J180" s="4" t="n"/>
      <c r="K180" s="4" t="n"/>
      <c r="L180" s="4" t="n"/>
      <c r="M180" s="4" t="n"/>
      <c r="N180" s="4">
        <f>IF(AND(K180="",M180=""),"",IF(OR(K180="sim",M180="sim"),"sim",IF(OR(K180="inconclusivo",M180="inconclusivo"),"inconclusivo","não")))</f>
        <v/>
      </c>
      <c r="O180" s="5">
        <f>IF(N180="sim",COUNTIFS($B$3:$B180,$B180,$N$3:$N180,"sim"),"")</f>
        <v/>
      </c>
      <c r="P180" s="5" t="n"/>
      <c r="Q180" s="4" t="n"/>
      <c r="R180" s="5" t="n"/>
      <c r="S180" s="9" t="n"/>
      <c r="T180" s="4" t="n"/>
    </row>
    <row r="181">
      <c r="A181" s="5">
        <f>ROW()-2</f>
        <v/>
      </c>
      <c r="B181" s="4" t="inlineStr">
        <is>
          <t>Metrópole</t>
        </is>
      </c>
      <c r="C181" s="5" t="n">
        <v>179</v>
      </c>
      <c r="D181" s="5">
        <f>IFERROR(INDEX('Base de sorteio'!$A$3:$A$1723,MATCH($B181&amp;"|"&amp;$C181,'Base de sorteio'!$I$3:$I$1723,0)),"")</f>
        <v/>
      </c>
      <c r="E181" s="4">
        <f>IFERROR(INDEX('Base de sorteio'!$B$3:$B$1723,MATCH($B181&amp;"|"&amp;$C181,'Base de sorteio'!$I$3:$I$1723,0)),"")</f>
        <v/>
      </c>
      <c r="F181" s="4">
        <f>IFERROR(INDEX('Base de sorteio'!$C$3:$C$1723,MATCH($B181&amp;"|"&amp;$C181,'Base de sorteio'!$I$3:$I$1723,0)),"")</f>
        <v/>
      </c>
      <c r="G181" s="4">
        <f>IFERROR(INDEX('Base de sorteio'!$D$3:$D$1723,MATCH($B181&amp;"|"&amp;$C181,'Base de sorteio'!$I$3:$I$1723,0)),"")</f>
        <v/>
      </c>
      <c r="H181" s="4">
        <f>IFERROR(INDEX('Base de sorteio'!$E$3:$E$1723,MATCH($B181&amp;"|"&amp;$C181,'Base de sorteio'!$I$3:$I$1723,0)),"")</f>
        <v/>
      </c>
      <c r="I181" s="4">
        <f>IF(E181="","",HYPERLINK(IFERROR(INDEX('Base de sorteio'!$J$3:$J$1723,MATCH($B181&amp;"|"&amp;$C181,'Base de sorteio'!$I$3:$I$1723,0)),""),"abrir"))</f>
        <v/>
      </c>
      <c r="J181" s="4" t="n"/>
      <c r="K181" s="4" t="n"/>
      <c r="L181" s="4" t="n"/>
      <c r="M181" s="4" t="n"/>
      <c r="N181" s="4">
        <f>IF(AND(K181="",M181=""),"",IF(OR(K181="sim",M181="sim"),"sim",IF(OR(K181="inconclusivo",M181="inconclusivo"),"inconclusivo","não")))</f>
        <v/>
      </c>
      <c r="O181" s="5">
        <f>IF(N181="sim",COUNTIFS($B$3:$B181,$B181,$N$3:$N181,"sim"),"")</f>
        <v/>
      </c>
      <c r="P181" s="5" t="n"/>
      <c r="Q181" s="4" t="n"/>
      <c r="R181" s="5" t="n"/>
      <c r="S181" s="9" t="n"/>
      <c r="T181" s="4" t="n"/>
    </row>
    <row r="182">
      <c r="A182" s="5">
        <f>ROW()-2</f>
        <v/>
      </c>
      <c r="B182" s="4" t="inlineStr">
        <is>
          <t>Metrópole</t>
        </is>
      </c>
      <c r="C182" s="5" t="n">
        <v>180</v>
      </c>
      <c r="D182" s="5">
        <f>IFERROR(INDEX('Base de sorteio'!$A$3:$A$1723,MATCH($B182&amp;"|"&amp;$C182,'Base de sorteio'!$I$3:$I$1723,0)),"")</f>
        <v/>
      </c>
      <c r="E182" s="4">
        <f>IFERROR(INDEX('Base de sorteio'!$B$3:$B$1723,MATCH($B182&amp;"|"&amp;$C182,'Base de sorteio'!$I$3:$I$1723,0)),"")</f>
        <v/>
      </c>
      <c r="F182" s="4">
        <f>IFERROR(INDEX('Base de sorteio'!$C$3:$C$1723,MATCH($B182&amp;"|"&amp;$C182,'Base de sorteio'!$I$3:$I$1723,0)),"")</f>
        <v/>
      </c>
      <c r="G182" s="4">
        <f>IFERROR(INDEX('Base de sorteio'!$D$3:$D$1723,MATCH($B182&amp;"|"&amp;$C182,'Base de sorteio'!$I$3:$I$1723,0)),"")</f>
        <v/>
      </c>
      <c r="H182" s="4">
        <f>IFERROR(INDEX('Base de sorteio'!$E$3:$E$1723,MATCH($B182&amp;"|"&amp;$C182,'Base de sorteio'!$I$3:$I$1723,0)),"")</f>
        <v/>
      </c>
      <c r="I182" s="4">
        <f>IF(E182="","",HYPERLINK(IFERROR(INDEX('Base de sorteio'!$J$3:$J$1723,MATCH($B182&amp;"|"&amp;$C182,'Base de sorteio'!$I$3:$I$1723,0)),""),"abrir"))</f>
        <v/>
      </c>
      <c r="J182" s="4" t="n"/>
      <c r="K182" s="4" t="n"/>
      <c r="L182" s="4" t="n"/>
      <c r="M182" s="4" t="n"/>
      <c r="N182" s="4">
        <f>IF(AND(K182="",M182=""),"",IF(OR(K182="sim",M182="sim"),"sim",IF(OR(K182="inconclusivo",M182="inconclusivo"),"inconclusivo","não")))</f>
        <v/>
      </c>
      <c r="O182" s="5">
        <f>IF(N182="sim",COUNTIFS($B$3:$B182,$B182,$N$3:$N182,"sim"),"")</f>
        <v/>
      </c>
      <c r="P182" s="5" t="n"/>
      <c r="Q182" s="4" t="n"/>
      <c r="R182" s="5" t="n"/>
      <c r="S182" s="9" t="n"/>
      <c r="T182" s="4" t="n"/>
    </row>
    <row r="183">
      <c r="A183" s="5">
        <f>ROW()-2</f>
        <v/>
      </c>
      <c r="B183" s="4" t="inlineStr">
        <is>
          <t>Metrópole</t>
        </is>
      </c>
      <c r="C183" s="5" t="n">
        <v>181</v>
      </c>
      <c r="D183" s="5">
        <f>IFERROR(INDEX('Base de sorteio'!$A$3:$A$1723,MATCH($B183&amp;"|"&amp;$C183,'Base de sorteio'!$I$3:$I$1723,0)),"")</f>
        <v/>
      </c>
      <c r="E183" s="4">
        <f>IFERROR(INDEX('Base de sorteio'!$B$3:$B$1723,MATCH($B183&amp;"|"&amp;$C183,'Base de sorteio'!$I$3:$I$1723,0)),"")</f>
        <v/>
      </c>
      <c r="F183" s="4">
        <f>IFERROR(INDEX('Base de sorteio'!$C$3:$C$1723,MATCH($B183&amp;"|"&amp;$C183,'Base de sorteio'!$I$3:$I$1723,0)),"")</f>
        <v/>
      </c>
      <c r="G183" s="4">
        <f>IFERROR(INDEX('Base de sorteio'!$D$3:$D$1723,MATCH($B183&amp;"|"&amp;$C183,'Base de sorteio'!$I$3:$I$1723,0)),"")</f>
        <v/>
      </c>
      <c r="H183" s="4">
        <f>IFERROR(INDEX('Base de sorteio'!$E$3:$E$1723,MATCH($B183&amp;"|"&amp;$C183,'Base de sorteio'!$I$3:$I$1723,0)),"")</f>
        <v/>
      </c>
      <c r="I183" s="4">
        <f>IF(E183="","",HYPERLINK(IFERROR(INDEX('Base de sorteio'!$J$3:$J$1723,MATCH($B183&amp;"|"&amp;$C183,'Base de sorteio'!$I$3:$I$1723,0)),""),"abrir"))</f>
        <v/>
      </c>
      <c r="J183" s="4" t="n"/>
      <c r="K183" s="4" t="n"/>
      <c r="L183" s="4" t="n"/>
      <c r="M183" s="4" t="n"/>
      <c r="N183" s="4">
        <f>IF(AND(K183="",M183=""),"",IF(OR(K183="sim",M183="sim"),"sim",IF(OR(K183="inconclusivo",M183="inconclusivo"),"inconclusivo","não")))</f>
        <v/>
      </c>
      <c r="O183" s="5">
        <f>IF(N183="sim",COUNTIFS($B$3:$B183,$B183,$N$3:$N183,"sim"),"")</f>
        <v/>
      </c>
      <c r="P183" s="5" t="n"/>
      <c r="Q183" s="4" t="n"/>
      <c r="R183" s="5" t="n"/>
      <c r="S183" s="9" t="n"/>
      <c r="T183" s="4" t="n"/>
    </row>
    <row r="184">
      <c r="A184" s="5">
        <f>ROW()-2</f>
        <v/>
      </c>
      <c r="B184" s="4" t="inlineStr">
        <is>
          <t>Metrópole</t>
        </is>
      </c>
      <c r="C184" s="5" t="n">
        <v>182</v>
      </c>
      <c r="D184" s="5">
        <f>IFERROR(INDEX('Base de sorteio'!$A$3:$A$1723,MATCH($B184&amp;"|"&amp;$C184,'Base de sorteio'!$I$3:$I$1723,0)),"")</f>
        <v/>
      </c>
      <c r="E184" s="4">
        <f>IFERROR(INDEX('Base de sorteio'!$B$3:$B$1723,MATCH($B184&amp;"|"&amp;$C184,'Base de sorteio'!$I$3:$I$1723,0)),"")</f>
        <v/>
      </c>
      <c r="F184" s="4">
        <f>IFERROR(INDEX('Base de sorteio'!$C$3:$C$1723,MATCH($B184&amp;"|"&amp;$C184,'Base de sorteio'!$I$3:$I$1723,0)),"")</f>
        <v/>
      </c>
      <c r="G184" s="4">
        <f>IFERROR(INDEX('Base de sorteio'!$D$3:$D$1723,MATCH($B184&amp;"|"&amp;$C184,'Base de sorteio'!$I$3:$I$1723,0)),"")</f>
        <v/>
      </c>
      <c r="H184" s="4">
        <f>IFERROR(INDEX('Base de sorteio'!$E$3:$E$1723,MATCH($B184&amp;"|"&amp;$C184,'Base de sorteio'!$I$3:$I$1723,0)),"")</f>
        <v/>
      </c>
      <c r="I184" s="4">
        <f>IF(E184="","",HYPERLINK(IFERROR(INDEX('Base de sorteio'!$J$3:$J$1723,MATCH($B184&amp;"|"&amp;$C184,'Base de sorteio'!$I$3:$I$1723,0)),""),"abrir"))</f>
        <v/>
      </c>
      <c r="J184" s="4" t="n"/>
      <c r="K184" s="4" t="n"/>
      <c r="L184" s="4" t="n"/>
      <c r="M184" s="4" t="n"/>
      <c r="N184" s="4">
        <f>IF(AND(K184="",M184=""),"",IF(OR(K184="sim",M184="sim"),"sim",IF(OR(K184="inconclusivo",M184="inconclusivo"),"inconclusivo","não")))</f>
        <v/>
      </c>
      <c r="O184" s="5">
        <f>IF(N184="sim",COUNTIFS($B$3:$B184,$B184,$N$3:$N184,"sim"),"")</f>
        <v/>
      </c>
      <c r="P184" s="5" t="n"/>
      <c r="Q184" s="4" t="n"/>
      <c r="R184" s="5" t="n"/>
      <c r="S184" s="9" t="n"/>
      <c r="T184" s="4" t="n"/>
    </row>
    <row r="185">
      <c r="A185" s="5">
        <f>ROW()-2</f>
        <v/>
      </c>
      <c r="B185" s="4" t="inlineStr">
        <is>
          <t>Metrópole</t>
        </is>
      </c>
      <c r="C185" s="5" t="n">
        <v>183</v>
      </c>
      <c r="D185" s="5">
        <f>IFERROR(INDEX('Base de sorteio'!$A$3:$A$1723,MATCH($B185&amp;"|"&amp;$C185,'Base de sorteio'!$I$3:$I$1723,0)),"")</f>
        <v/>
      </c>
      <c r="E185" s="4">
        <f>IFERROR(INDEX('Base de sorteio'!$B$3:$B$1723,MATCH($B185&amp;"|"&amp;$C185,'Base de sorteio'!$I$3:$I$1723,0)),"")</f>
        <v/>
      </c>
      <c r="F185" s="4">
        <f>IFERROR(INDEX('Base de sorteio'!$C$3:$C$1723,MATCH($B185&amp;"|"&amp;$C185,'Base de sorteio'!$I$3:$I$1723,0)),"")</f>
        <v/>
      </c>
      <c r="G185" s="4">
        <f>IFERROR(INDEX('Base de sorteio'!$D$3:$D$1723,MATCH($B185&amp;"|"&amp;$C185,'Base de sorteio'!$I$3:$I$1723,0)),"")</f>
        <v/>
      </c>
      <c r="H185" s="4">
        <f>IFERROR(INDEX('Base de sorteio'!$E$3:$E$1723,MATCH($B185&amp;"|"&amp;$C185,'Base de sorteio'!$I$3:$I$1723,0)),"")</f>
        <v/>
      </c>
      <c r="I185" s="4">
        <f>IF(E185="","",HYPERLINK(IFERROR(INDEX('Base de sorteio'!$J$3:$J$1723,MATCH($B185&amp;"|"&amp;$C185,'Base de sorteio'!$I$3:$I$1723,0)),""),"abrir"))</f>
        <v/>
      </c>
      <c r="J185" s="4" t="n"/>
      <c r="K185" s="4" t="n"/>
      <c r="L185" s="4" t="n"/>
      <c r="M185" s="4" t="n"/>
      <c r="N185" s="4">
        <f>IF(AND(K185="",M185=""),"",IF(OR(K185="sim",M185="sim"),"sim",IF(OR(K185="inconclusivo",M185="inconclusivo"),"inconclusivo","não")))</f>
        <v/>
      </c>
      <c r="O185" s="5">
        <f>IF(N185="sim",COUNTIFS($B$3:$B185,$B185,$N$3:$N185,"sim"),"")</f>
        <v/>
      </c>
      <c r="P185" s="5" t="n"/>
      <c r="Q185" s="4" t="n"/>
      <c r="R185" s="5" t="n"/>
      <c r="S185" s="9" t="n"/>
      <c r="T185" s="4" t="n"/>
    </row>
    <row r="186">
      <c r="A186" s="5">
        <f>ROW()-2</f>
        <v/>
      </c>
      <c r="B186" s="4" t="inlineStr">
        <is>
          <t>Metrópole</t>
        </is>
      </c>
      <c r="C186" s="5" t="n">
        <v>184</v>
      </c>
      <c r="D186" s="5">
        <f>IFERROR(INDEX('Base de sorteio'!$A$3:$A$1723,MATCH($B186&amp;"|"&amp;$C186,'Base de sorteio'!$I$3:$I$1723,0)),"")</f>
        <v/>
      </c>
      <c r="E186" s="4">
        <f>IFERROR(INDEX('Base de sorteio'!$B$3:$B$1723,MATCH($B186&amp;"|"&amp;$C186,'Base de sorteio'!$I$3:$I$1723,0)),"")</f>
        <v/>
      </c>
      <c r="F186" s="4">
        <f>IFERROR(INDEX('Base de sorteio'!$C$3:$C$1723,MATCH($B186&amp;"|"&amp;$C186,'Base de sorteio'!$I$3:$I$1723,0)),"")</f>
        <v/>
      </c>
      <c r="G186" s="4">
        <f>IFERROR(INDEX('Base de sorteio'!$D$3:$D$1723,MATCH($B186&amp;"|"&amp;$C186,'Base de sorteio'!$I$3:$I$1723,0)),"")</f>
        <v/>
      </c>
      <c r="H186" s="4">
        <f>IFERROR(INDEX('Base de sorteio'!$E$3:$E$1723,MATCH($B186&amp;"|"&amp;$C186,'Base de sorteio'!$I$3:$I$1723,0)),"")</f>
        <v/>
      </c>
      <c r="I186" s="4">
        <f>IF(E186="","",HYPERLINK(IFERROR(INDEX('Base de sorteio'!$J$3:$J$1723,MATCH($B186&amp;"|"&amp;$C186,'Base de sorteio'!$I$3:$I$1723,0)),""),"abrir"))</f>
        <v/>
      </c>
      <c r="J186" s="4" t="n"/>
      <c r="K186" s="4" t="n"/>
      <c r="L186" s="4" t="n"/>
      <c r="M186" s="4" t="n"/>
      <c r="N186" s="4">
        <f>IF(AND(K186="",M186=""),"",IF(OR(K186="sim",M186="sim"),"sim",IF(OR(K186="inconclusivo",M186="inconclusivo"),"inconclusivo","não")))</f>
        <v/>
      </c>
      <c r="O186" s="5">
        <f>IF(N186="sim",COUNTIFS($B$3:$B186,$B186,$N$3:$N186,"sim"),"")</f>
        <v/>
      </c>
      <c r="P186" s="5" t="n"/>
      <c r="Q186" s="4" t="n"/>
      <c r="R186" s="5" t="n"/>
      <c r="S186" s="9" t="n"/>
      <c r="T186" s="4" t="n"/>
    </row>
    <row r="187">
      <c r="A187" s="5">
        <f>ROW()-2</f>
        <v/>
      </c>
      <c r="B187" s="4" t="inlineStr">
        <is>
          <t>Metrópole</t>
        </is>
      </c>
      <c r="C187" s="5" t="n">
        <v>185</v>
      </c>
      <c r="D187" s="5">
        <f>IFERROR(INDEX('Base de sorteio'!$A$3:$A$1723,MATCH($B187&amp;"|"&amp;$C187,'Base de sorteio'!$I$3:$I$1723,0)),"")</f>
        <v/>
      </c>
      <c r="E187" s="4">
        <f>IFERROR(INDEX('Base de sorteio'!$B$3:$B$1723,MATCH($B187&amp;"|"&amp;$C187,'Base de sorteio'!$I$3:$I$1723,0)),"")</f>
        <v/>
      </c>
      <c r="F187" s="4">
        <f>IFERROR(INDEX('Base de sorteio'!$C$3:$C$1723,MATCH($B187&amp;"|"&amp;$C187,'Base de sorteio'!$I$3:$I$1723,0)),"")</f>
        <v/>
      </c>
      <c r="G187" s="4">
        <f>IFERROR(INDEX('Base de sorteio'!$D$3:$D$1723,MATCH($B187&amp;"|"&amp;$C187,'Base de sorteio'!$I$3:$I$1723,0)),"")</f>
        <v/>
      </c>
      <c r="H187" s="4">
        <f>IFERROR(INDEX('Base de sorteio'!$E$3:$E$1723,MATCH($B187&amp;"|"&amp;$C187,'Base de sorteio'!$I$3:$I$1723,0)),"")</f>
        <v/>
      </c>
      <c r="I187" s="4">
        <f>IF(E187="","",HYPERLINK(IFERROR(INDEX('Base de sorteio'!$J$3:$J$1723,MATCH($B187&amp;"|"&amp;$C187,'Base de sorteio'!$I$3:$I$1723,0)),""),"abrir"))</f>
        <v/>
      </c>
      <c r="J187" s="4" t="n"/>
      <c r="K187" s="4" t="n"/>
      <c r="L187" s="4" t="n"/>
      <c r="M187" s="4" t="n"/>
      <c r="N187" s="4">
        <f>IF(AND(K187="",M187=""),"",IF(OR(K187="sim",M187="sim"),"sim",IF(OR(K187="inconclusivo",M187="inconclusivo"),"inconclusivo","não")))</f>
        <v/>
      </c>
      <c r="O187" s="5">
        <f>IF(N187="sim",COUNTIFS($B$3:$B187,$B187,$N$3:$N187,"sim"),"")</f>
        <v/>
      </c>
      <c r="P187" s="5" t="n"/>
      <c r="Q187" s="4" t="n"/>
      <c r="R187" s="5" t="n"/>
      <c r="S187" s="9" t="n"/>
      <c r="T187" s="4" t="n"/>
    </row>
    <row r="188">
      <c r="A188" s="5">
        <f>ROW()-2</f>
        <v/>
      </c>
      <c r="B188" s="4" t="inlineStr">
        <is>
          <t>Metrópole</t>
        </is>
      </c>
      <c r="C188" s="5" t="n">
        <v>186</v>
      </c>
      <c r="D188" s="5">
        <f>IFERROR(INDEX('Base de sorteio'!$A$3:$A$1723,MATCH($B188&amp;"|"&amp;$C188,'Base de sorteio'!$I$3:$I$1723,0)),"")</f>
        <v/>
      </c>
      <c r="E188" s="4">
        <f>IFERROR(INDEX('Base de sorteio'!$B$3:$B$1723,MATCH($B188&amp;"|"&amp;$C188,'Base de sorteio'!$I$3:$I$1723,0)),"")</f>
        <v/>
      </c>
      <c r="F188" s="4">
        <f>IFERROR(INDEX('Base de sorteio'!$C$3:$C$1723,MATCH($B188&amp;"|"&amp;$C188,'Base de sorteio'!$I$3:$I$1723,0)),"")</f>
        <v/>
      </c>
      <c r="G188" s="4">
        <f>IFERROR(INDEX('Base de sorteio'!$D$3:$D$1723,MATCH($B188&amp;"|"&amp;$C188,'Base de sorteio'!$I$3:$I$1723,0)),"")</f>
        <v/>
      </c>
      <c r="H188" s="4">
        <f>IFERROR(INDEX('Base de sorteio'!$E$3:$E$1723,MATCH($B188&amp;"|"&amp;$C188,'Base de sorteio'!$I$3:$I$1723,0)),"")</f>
        <v/>
      </c>
      <c r="I188" s="4">
        <f>IF(E188="","",HYPERLINK(IFERROR(INDEX('Base de sorteio'!$J$3:$J$1723,MATCH($B188&amp;"|"&amp;$C188,'Base de sorteio'!$I$3:$I$1723,0)),""),"abrir"))</f>
        <v/>
      </c>
      <c r="J188" s="4" t="n"/>
      <c r="K188" s="4" t="n"/>
      <c r="L188" s="4" t="n"/>
      <c r="M188" s="4" t="n"/>
      <c r="N188" s="4">
        <f>IF(AND(K188="",M188=""),"",IF(OR(K188="sim",M188="sim"),"sim",IF(OR(K188="inconclusivo",M188="inconclusivo"),"inconclusivo","não")))</f>
        <v/>
      </c>
      <c r="O188" s="5">
        <f>IF(N188="sim",COUNTIFS($B$3:$B188,$B188,$N$3:$N188,"sim"),"")</f>
        <v/>
      </c>
      <c r="P188" s="5" t="n"/>
      <c r="Q188" s="4" t="n"/>
      <c r="R188" s="5" t="n"/>
      <c r="S188" s="9" t="n"/>
      <c r="T188" s="4" t="n"/>
    </row>
    <row r="189">
      <c r="A189" s="5">
        <f>ROW()-2</f>
        <v/>
      </c>
      <c r="B189" s="4" t="inlineStr">
        <is>
          <t>Metrópole</t>
        </is>
      </c>
      <c r="C189" s="5" t="n">
        <v>187</v>
      </c>
      <c r="D189" s="5">
        <f>IFERROR(INDEX('Base de sorteio'!$A$3:$A$1723,MATCH($B189&amp;"|"&amp;$C189,'Base de sorteio'!$I$3:$I$1723,0)),"")</f>
        <v/>
      </c>
      <c r="E189" s="4">
        <f>IFERROR(INDEX('Base de sorteio'!$B$3:$B$1723,MATCH($B189&amp;"|"&amp;$C189,'Base de sorteio'!$I$3:$I$1723,0)),"")</f>
        <v/>
      </c>
      <c r="F189" s="4">
        <f>IFERROR(INDEX('Base de sorteio'!$C$3:$C$1723,MATCH($B189&amp;"|"&amp;$C189,'Base de sorteio'!$I$3:$I$1723,0)),"")</f>
        <v/>
      </c>
      <c r="G189" s="4">
        <f>IFERROR(INDEX('Base de sorteio'!$D$3:$D$1723,MATCH($B189&amp;"|"&amp;$C189,'Base de sorteio'!$I$3:$I$1723,0)),"")</f>
        <v/>
      </c>
      <c r="H189" s="4">
        <f>IFERROR(INDEX('Base de sorteio'!$E$3:$E$1723,MATCH($B189&amp;"|"&amp;$C189,'Base de sorteio'!$I$3:$I$1723,0)),"")</f>
        <v/>
      </c>
      <c r="I189" s="4">
        <f>IF(E189="","",HYPERLINK(IFERROR(INDEX('Base de sorteio'!$J$3:$J$1723,MATCH($B189&amp;"|"&amp;$C189,'Base de sorteio'!$I$3:$I$1723,0)),""),"abrir"))</f>
        <v/>
      </c>
      <c r="J189" s="4" t="n"/>
      <c r="K189" s="4" t="n"/>
      <c r="L189" s="4" t="n"/>
      <c r="M189" s="4" t="n"/>
      <c r="N189" s="4">
        <f>IF(AND(K189="",M189=""),"",IF(OR(K189="sim",M189="sim"),"sim",IF(OR(K189="inconclusivo",M189="inconclusivo"),"inconclusivo","não")))</f>
        <v/>
      </c>
      <c r="O189" s="5">
        <f>IF(N189="sim",COUNTIFS($B$3:$B189,$B189,$N$3:$N189,"sim"),"")</f>
        <v/>
      </c>
      <c r="P189" s="5" t="n"/>
      <c r="Q189" s="4" t="n"/>
      <c r="R189" s="5" t="n"/>
      <c r="S189" s="9" t="n"/>
      <c r="T189" s="4" t="n"/>
    </row>
    <row r="190">
      <c r="A190" s="5">
        <f>ROW()-2</f>
        <v/>
      </c>
      <c r="B190" s="4" t="inlineStr">
        <is>
          <t>Metrópole</t>
        </is>
      </c>
      <c r="C190" s="5" t="n">
        <v>188</v>
      </c>
      <c r="D190" s="5">
        <f>IFERROR(INDEX('Base de sorteio'!$A$3:$A$1723,MATCH($B190&amp;"|"&amp;$C190,'Base de sorteio'!$I$3:$I$1723,0)),"")</f>
        <v/>
      </c>
      <c r="E190" s="4">
        <f>IFERROR(INDEX('Base de sorteio'!$B$3:$B$1723,MATCH($B190&amp;"|"&amp;$C190,'Base de sorteio'!$I$3:$I$1723,0)),"")</f>
        <v/>
      </c>
      <c r="F190" s="4">
        <f>IFERROR(INDEX('Base de sorteio'!$C$3:$C$1723,MATCH($B190&amp;"|"&amp;$C190,'Base de sorteio'!$I$3:$I$1723,0)),"")</f>
        <v/>
      </c>
      <c r="G190" s="4">
        <f>IFERROR(INDEX('Base de sorteio'!$D$3:$D$1723,MATCH($B190&amp;"|"&amp;$C190,'Base de sorteio'!$I$3:$I$1723,0)),"")</f>
        <v/>
      </c>
      <c r="H190" s="4">
        <f>IFERROR(INDEX('Base de sorteio'!$E$3:$E$1723,MATCH($B190&amp;"|"&amp;$C190,'Base de sorteio'!$I$3:$I$1723,0)),"")</f>
        <v/>
      </c>
      <c r="I190" s="4">
        <f>IF(E190="","",HYPERLINK(IFERROR(INDEX('Base de sorteio'!$J$3:$J$1723,MATCH($B190&amp;"|"&amp;$C190,'Base de sorteio'!$I$3:$I$1723,0)),""),"abrir"))</f>
        <v/>
      </c>
      <c r="J190" s="4" t="n"/>
      <c r="K190" s="4" t="n"/>
      <c r="L190" s="4" t="n"/>
      <c r="M190" s="4" t="n"/>
      <c r="N190" s="4">
        <f>IF(AND(K190="",M190=""),"",IF(OR(K190="sim",M190="sim"),"sim",IF(OR(K190="inconclusivo",M190="inconclusivo"),"inconclusivo","não")))</f>
        <v/>
      </c>
      <c r="O190" s="5">
        <f>IF(N190="sim",COUNTIFS($B$3:$B190,$B190,$N$3:$N190,"sim"),"")</f>
        <v/>
      </c>
      <c r="P190" s="5" t="n"/>
      <c r="Q190" s="4" t="n"/>
      <c r="R190" s="5" t="n"/>
      <c r="S190" s="9" t="n"/>
      <c r="T190" s="4" t="n"/>
    </row>
    <row r="191">
      <c r="A191" s="5">
        <f>ROW()-2</f>
        <v/>
      </c>
      <c r="B191" s="4" t="inlineStr">
        <is>
          <t>Metrópole</t>
        </is>
      </c>
      <c r="C191" s="5" t="n">
        <v>189</v>
      </c>
      <c r="D191" s="5">
        <f>IFERROR(INDEX('Base de sorteio'!$A$3:$A$1723,MATCH($B191&amp;"|"&amp;$C191,'Base de sorteio'!$I$3:$I$1723,0)),"")</f>
        <v/>
      </c>
      <c r="E191" s="4">
        <f>IFERROR(INDEX('Base de sorteio'!$B$3:$B$1723,MATCH($B191&amp;"|"&amp;$C191,'Base de sorteio'!$I$3:$I$1723,0)),"")</f>
        <v/>
      </c>
      <c r="F191" s="4">
        <f>IFERROR(INDEX('Base de sorteio'!$C$3:$C$1723,MATCH($B191&amp;"|"&amp;$C191,'Base de sorteio'!$I$3:$I$1723,0)),"")</f>
        <v/>
      </c>
      <c r="G191" s="4">
        <f>IFERROR(INDEX('Base de sorteio'!$D$3:$D$1723,MATCH($B191&amp;"|"&amp;$C191,'Base de sorteio'!$I$3:$I$1723,0)),"")</f>
        <v/>
      </c>
      <c r="H191" s="4">
        <f>IFERROR(INDEX('Base de sorteio'!$E$3:$E$1723,MATCH($B191&amp;"|"&amp;$C191,'Base de sorteio'!$I$3:$I$1723,0)),"")</f>
        <v/>
      </c>
      <c r="I191" s="4">
        <f>IF(E191="","",HYPERLINK(IFERROR(INDEX('Base de sorteio'!$J$3:$J$1723,MATCH($B191&amp;"|"&amp;$C191,'Base de sorteio'!$I$3:$I$1723,0)),""),"abrir"))</f>
        <v/>
      </c>
      <c r="J191" s="4" t="n"/>
      <c r="K191" s="4" t="n"/>
      <c r="L191" s="4" t="n"/>
      <c r="M191" s="4" t="n"/>
      <c r="N191" s="4">
        <f>IF(AND(K191="",M191=""),"",IF(OR(K191="sim",M191="sim"),"sim",IF(OR(K191="inconclusivo",M191="inconclusivo"),"inconclusivo","não")))</f>
        <v/>
      </c>
      <c r="O191" s="5">
        <f>IF(N191="sim",COUNTIFS($B$3:$B191,$B191,$N$3:$N191,"sim"),"")</f>
        <v/>
      </c>
      <c r="P191" s="5" t="n"/>
      <c r="Q191" s="4" t="n"/>
      <c r="R191" s="5" t="n"/>
      <c r="S191" s="9" t="n"/>
      <c r="T191" s="4" t="n"/>
    </row>
    <row r="192">
      <c r="A192" s="5">
        <f>ROW()-2</f>
        <v/>
      </c>
      <c r="B192" s="4" t="inlineStr">
        <is>
          <t>Metrópole</t>
        </is>
      </c>
      <c r="C192" s="5" t="n">
        <v>190</v>
      </c>
      <c r="D192" s="5">
        <f>IFERROR(INDEX('Base de sorteio'!$A$3:$A$1723,MATCH($B192&amp;"|"&amp;$C192,'Base de sorteio'!$I$3:$I$1723,0)),"")</f>
        <v/>
      </c>
      <c r="E192" s="4">
        <f>IFERROR(INDEX('Base de sorteio'!$B$3:$B$1723,MATCH($B192&amp;"|"&amp;$C192,'Base de sorteio'!$I$3:$I$1723,0)),"")</f>
        <v/>
      </c>
      <c r="F192" s="4">
        <f>IFERROR(INDEX('Base de sorteio'!$C$3:$C$1723,MATCH($B192&amp;"|"&amp;$C192,'Base de sorteio'!$I$3:$I$1723,0)),"")</f>
        <v/>
      </c>
      <c r="G192" s="4">
        <f>IFERROR(INDEX('Base de sorteio'!$D$3:$D$1723,MATCH($B192&amp;"|"&amp;$C192,'Base de sorteio'!$I$3:$I$1723,0)),"")</f>
        <v/>
      </c>
      <c r="H192" s="4">
        <f>IFERROR(INDEX('Base de sorteio'!$E$3:$E$1723,MATCH($B192&amp;"|"&amp;$C192,'Base de sorteio'!$I$3:$I$1723,0)),"")</f>
        <v/>
      </c>
      <c r="I192" s="4">
        <f>IF(E192="","",HYPERLINK(IFERROR(INDEX('Base de sorteio'!$J$3:$J$1723,MATCH($B192&amp;"|"&amp;$C192,'Base de sorteio'!$I$3:$I$1723,0)),""),"abrir"))</f>
        <v/>
      </c>
      <c r="J192" s="4" t="n"/>
      <c r="K192" s="4" t="n"/>
      <c r="L192" s="4" t="n"/>
      <c r="M192" s="4" t="n"/>
      <c r="N192" s="4">
        <f>IF(AND(K192="",M192=""),"",IF(OR(K192="sim",M192="sim"),"sim",IF(OR(K192="inconclusivo",M192="inconclusivo"),"inconclusivo","não")))</f>
        <v/>
      </c>
      <c r="O192" s="5">
        <f>IF(N192="sim",COUNTIFS($B$3:$B192,$B192,$N$3:$N192,"sim"),"")</f>
        <v/>
      </c>
      <c r="P192" s="5" t="n"/>
      <c r="Q192" s="4" t="n"/>
      <c r="R192" s="5" t="n"/>
      <c r="S192" s="9" t="n"/>
      <c r="T192" s="4" t="n"/>
    </row>
    <row r="193">
      <c r="A193" s="5">
        <f>ROW()-2</f>
        <v/>
      </c>
      <c r="B193" s="4" t="inlineStr">
        <is>
          <t>Metrópole</t>
        </is>
      </c>
      <c r="C193" s="5" t="n">
        <v>191</v>
      </c>
      <c r="D193" s="5">
        <f>IFERROR(INDEX('Base de sorteio'!$A$3:$A$1723,MATCH($B193&amp;"|"&amp;$C193,'Base de sorteio'!$I$3:$I$1723,0)),"")</f>
        <v/>
      </c>
      <c r="E193" s="4">
        <f>IFERROR(INDEX('Base de sorteio'!$B$3:$B$1723,MATCH($B193&amp;"|"&amp;$C193,'Base de sorteio'!$I$3:$I$1723,0)),"")</f>
        <v/>
      </c>
      <c r="F193" s="4">
        <f>IFERROR(INDEX('Base de sorteio'!$C$3:$C$1723,MATCH($B193&amp;"|"&amp;$C193,'Base de sorteio'!$I$3:$I$1723,0)),"")</f>
        <v/>
      </c>
      <c r="G193" s="4">
        <f>IFERROR(INDEX('Base de sorteio'!$D$3:$D$1723,MATCH($B193&amp;"|"&amp;$C193,'Base de sorteio'!$I$3:$I$1723,0)),"")</f>
        <v/>
      </c>
      <c r="H193" s="4">
        <f>IFERROR(INDEX('Base de sorteio'!$E$3:$E$1723,MATCH($B193&amp;"|"&amp;$C193,'Base de sorteio'!$I$3:$I$1723,0)),"")</f>
        <v/>
      </c>
      <c r="I193" s="4">
        <f>IF(E193="","",HYPERLINK(IFERROR(INDEX('Base de sorteio'!$J$3:$J$1723,MATCH($B193&amp;"|"&amp;$C193,'Base de sorteio'!$I$3:$I$1723,0)),""),"abrir"))</f>
        <v/>
      </c>
      <c r="J193" s="4" t="n"/>
      <c r="K193" s="4" t="n"/>
      <c r="L193" s="4" t="n"/>
      <c r="M193" s="4" t="n"/>
      <c r="N193" s="4">
        <f>IF(AND(K193="",M193=""),"",IF(OR(K193="sim",M193="sim"),"sim",IF(OR(K193="inconclusivo",M193="inconclusivo"),"inconclusivo","não")))</f>
        <v/>
      </c>
      <c r="O193" s="5">
        <f>IF(N193="sim",COUNTIFS($B$3:$B193,$B193,$N$3:$N193,"sim"),"")</f>
        <v/>
      </c>
      <c r="P193" s="5" t="n"/>
      <c r="Q193" s="4" t="n"/>
      <c r="R193" s="5" t="n"/>
      <c r="S193" s="9" t="n"/>
      <c r="T193" s="4" t="n"/>
    </row>
    <row r="194">
      <c r="A194" s="5">
        <f>ROW()-2</f>
        <v/>
      </c>
      <c r="B194" s="4" t="inlineStr">
        <is>
          <t>Metrópole</t>
        </is>
      </c>
      <c r="C194" s="5" t="n">
        <v>192</v>
      </c>
      <c r="D194" s="5">
        <f>IFERROR(INDEX('Base de sorteio'!$A$3:$A$1723,MATCH($B194&amp;"|"&amp;$C194,'Base de sorteio'!$I$3:$I$1723,0)),"")</f>
        <v/>
      </c>
      <c r="E194" s="4">
        <f>IFERROR(INDEX('Base de sorteio'!$B$3:$B$1723,MATCH($B194&amp;"|"&amp;$C194,'Base de sorteio'!$I$3:$I$1723,0)),"")</f>
        <v/>
      </c>
      <c r="F194" s="4">
        <f>IFERROR(INDEX('Base de sorteio'!$C$3:$C$1723,MATCH($B194&amp;"|"&amp;$C194,'Base de sorteio'!$I$3:$I$1723,0)),"")</f>
        <v/>
      </c>
      <c r="G194" s="4">
        <f>IFERROR(INDEX('Base de sorteio'!$D$3:$D$1723,MATCH($B194&amp;"|"&amp;$C194,'Base de sorteio'!$I$3:$I$1723,0)),"")</f>
        <v/>
      </c>
      <c r="H194" s="4">
        <f>IFERROR(INDEX('Base de sorteio'!$E$3:$E$1723,MATCH($B194&amp;"|"&amp;$C194,'Base de sorteio'!$I$3:$I$1723,0)),"")</f>
        <v/>
      </c>
      <c r="I194" s="4">
        <f>IF(E194="","",HYPERLINK(IFERROR(INDEX('Base de sorteio'!$J$3:$J$1723,MATCH($B194&amp;"|"&amp;$C194,'Base de sorteio'!$I$3:$I$1723,0)),""),"abrir"))</f>
        <v/>
      </c>
      <c r="J194" s="4" t="n"/>
      <c r="K194" s="4" t="n"/>
      <c r="L194" s="4" t="n"/>
      <c r="M194" s="4" t="n"/>
      <c r="N194" s="4">
        <f>IF(AND(K194="",M194=""),"",IF(OR(K194="sim",M194="sim"),"sim",IF(OR(K194="inconclusivo",M194="inconclusivo"),"inconclusivo","não")))</f>
        <v/>
      </c>
      <c r="O194" s="5">
        <f>IF(N194="sim",COUNTIFS($B$3:$B194,$B194,$N$3:$N194,"sim"),"")</f>
        <v/>
      </c>
      <c r="P194" s="5" t="n"/>
      <c r="Q194" s="4" t="n"/>
      <c r="R194" s="5" t="n"/>
      <c r="S194" s="9" t="n"/>
      <c r="T194" s="4" t="n"/>
    </row>
    <row r="195">
      <c r="A195" s="5">
        <f>ROW()-2</f>
        <v/>
      </c>
      <c r="B195" s="4" t="inlineStr">
        <is>
          <t>Metrópole</t>
        </is>
      </c>
      <c r="C195" s="5" t="n">
        <v>193</v>
      </c>
      <c r="D195" s="5">
        <f>IFERROR(INDEX('Base de sorteio'!$A$3:$A$1723,MATCH($B195&amp;"|"&amp;$C195,'Base de sorteio'!$I$3:$I$1723,0)),"")</f>
        <v/>
      </c>
      <c r="E195" s="4">
        <f>IFERROR(INDEX('Base de sorteio'!$B$3:$B$1723,MATCH($B195&amp;"|"&amp;$C195,'Base de sorteio'!$I$3:$I$1723,0)),"")</f>
        <v/>
      </c>
      <c r="F195" s="4">
        <f>IFERROR(INDEX('Base de sorteio'!$C$3:$C$1723,MATCH($B195&amp;"|"&amp;$C195,'Base de sorteio'!$I$3:$I$1723,0)),"")</f>
        <v/>
      </c>
      <c r="G195" s="4">
        <f>IFERROR(INDEX('Base de sorteio'!$D$3:$D$1723,MATCH($B195&amp;"|"&amp;$C195,'Base de sorteio'!$I$3:$I$1723,0)),"")</f>
        <v/>
      </c>
      <c r="H195" s="4">
        <f>IFERROR(INDEX('Base de sorteio'!$E$3:$E$1723,MATCH($B195&amp;"|"&amp;$C195,'Base de sorteio'!$I$3:$I$1723,0)),"")</f>
        <v/>
      </c>
      <c r="I195" s="4">
        <f>IF(E195="","",HYPERLINK(IFERROR(INDEX('Base de sorteio'!$J$3:$J$1723,MATCH($B195&amp;"|"&amp;$C195,'Base de sorteio'!$I$3:$I$1723,0)),""),"abrir"))</f>
        <v/>
      </c>
      <c r="J195" s="4" t="n"/>
      <c r="K195" s="4" t="n"/>
      <c r="L195" s="4" t="n"/>
      <c r="M195" s="4" t="n"/>
      <c r="N195" s="4">
        <f>IF(AND(K195="",M195=""),"",IF(OR(K195="sim",M195="sim"),"sim",IF(OR(K195="inconclusivo",M195="inconclusivo"),"inconclusivo","não")))</f>
        <v/>
      </c>
      <c r="O195" s="5">
        <f>IF(N195="sim",COUNTIFS($B$3:$B195,$B195,$N$3:$N195,"sim"),"")</f>
        <v/>
      </c>
      <c r="P195" s="5" t="n"/>
      <c r="Q195" s="4" t="n"/>
      <c r="R195" s="5" t="n"/>
      <c r="S195" s="9" t="n"/>
      <c r="T195" s="4" t="n"/>
    </row>
    <row r="196">
      <c r="A196" s="5">
        <f>ROW()-2</f>
        <v/>
      </c>
      <c r="B196" s="4" t="inlineStr">
        <is>
          <t>Metrópole</t>
        </is>
      </c>
      <c r="C196" s="5" t="n">
        <v>194</v>
      </c>
      <c r="D196" s="5">
        <f>IFERROR(INDEX('Base de sorteio'!$A$3:$A$1723,MATCH($B196&amp;"|"&amp;$C196,'Base de sorteio'!$I$3:$I$1723,0)),"")</f>
        <v/>
      </c>
      <c r="E196" s="4">
        <f>IFERROR(INDEX('Base de sorteio'!$B$3:$B$1723,MATCH($B196&amp;"|"&amp;$C196,'Base de sorteio'!$I$3:$I$1723,0)),"")</f>
        <v/>
      </c>
      <c r="F196" s="4">
        <f>IFERROR(INDEX('Base de sorteio'!$C$3:$C$1723,MATCH($B196&amp;"|"&amp;$C196,'Base de sorteio'!$I$3:$I$1723,0)),"")</f>
        <v/>
      </c>
      <c r="G196" s="4">
        <f>IFERROR(INDEX('Base de sorteio'!$D$3:$D$1723,MATCH($B196&amp;"|"&amp;$C196,'Base de sorteio'!$I$3:$I$1723,0)),"")</f>
        <v/>
      </c>
      <c r="H196" s="4">
        <f>IFERROR(INDEX('Base de sorteio'!$E$3:$E$1723,MATCH($B196&amp;"|"&amp;$C196,'Base de sorteio'!$I$3:$I$1723,0)),"")</f>
        <v/>
      </c>
      <c r="I196" s="4">
        <f>IF(E196="","",HYPERLINK(IFERROR(INDEX('Base de sorteio'!$J$3:$J$1723,MATCH($B196&amp;"|"&amp;$C196,'Base de sorteio'!$I$3:$I$1723,0)),""),"abrir"))</f>
        <v/>
      </c>
      <c r="J196" s="4" t="n"/>
      <c r="K196" s="4" t="n"/>
      <c r="L196" s="4" t="n"/>
      <c r="M196" s="4" t="n"/>
      <c r="N196" s="4">
        <f>IF(AND(K196="",M196=""),"",IF(OR(K196="sim",M196="sim"),"sim",IF(OR(K196="inconclusivo",M196="inconclusivo"),"inconclusivo","não")))</f>
        <v/>
      </c>
      <c r="O196" s="5">
        <f>IF(N196="sim",COUNTIFS($B$3:$B196,$B196,$N$3:$N196,"sim"),"")</f>
        <v/>
      </c>
      <c r="P196" s="5" t="n"/>
      <c r="Q196" s="4" t="n"/>
      <c r="R196" s="5" t="n"/>
      <c r="S196" s="9" t="n"/>
      <c r="T196" s="4" t="n"/>
    </row>
    <row r="197">
      <c r="A197" s="5">
        <f>ROW()-2</f>
        <v/>
      </c>
      <c r="B197" s="4" t="inlineStr">
        <is>
          <t>Metrópole</t>
        </is>
      </c>
      <c r="C197" s="5" t="n">
        <v>195</v>
      </c>
      <c r="D197" s="5">
        <f>IFERROR(INDEX('Base de sorteio'!$A$3:$A$1723,MATCH($B197&amp;"|"&amp;$C197,'Base de sorteio'!$I$3:$I$1723,0)),"")</f>
        <v/>
      </c>
      <c r="E197" s="4">
        <f>IFERROR(INDEX('Base de sorteio'!$B$3:$B$1723,MATCH($B197&amp;"|"&amp;$C197,'Base de sorteio'!$I$3:$I$1723,0)),"")</f>
        <v/>
      </c>
      <c r="F197" s="4">
        <f>IFERROR(INDEX('Base de sorteio'!$C$3:$C$1723,MATCH($B197&amp;"|"&amp;$C197,'Base de sorteio'!$I$3:$I$1723,0)),"")</f>
        <v/>
      </c>
      <c r="G197" s="4">
        <f>IFERROR(INDEX('Base de sorteio'!$D$3:$D$1723,MATCH($B197&amp;"|"&amp;$C197,'Base de sorteio'!$I$3:$I$1723,0)),"")</f>
        <v/>
      </c>
      <c r="H197" s="4">
        <f>IFERROR(INDEX('Base de sorteio'!$E$3:$E$1723,MATCH($B197&amp;"|"&amp;$C197,'Base de sorteio'!$I$3:$I$1723,0)),"")</f>
        <v/>
      </c>
      <c r="I197" s="4">
        <f>IF(E197="","",HYPERLINK(IFERROR(INDEX('Base de sorteio'!$J$3:$J$1723,MATCH($B197&amp;"|"&amp;$C197,'Base de sorteio'!$I$3:$I$1723,0)),""),"abrir"))</f>
        <v/>
      </c>
      <c r="J197" s="4" t="n"/>
      <c r="K197" s="4" t="n"/>
      <c r="L197" s="4" t="n"/>
      <c r="M197" s="4" t="n"/>
      <c r="N197" s="4">
        <f>IF(AND(K197="",M197=""),"",IF(OR(K197="sim",M197="sim"),"sim",IF(OR(K197="inconclusivo",M197="inconclusivo"),"inconclusivo","não")))</f>
        <v/>
      </c>
      <c r="O197" s="5">
        <f>IF(N197="sim",COUNTIFS($B$3:$B197,$B197,$N$3:$N197,"sim"),"")</f>
        <v/>
      </c>
      <c r="P197" s="5" t="n"/>
      <c r="Q197" s="4" t="n"/>
      <c r="R197" s="5" t="n"/>
      <c r="S197" s="9" t="n"/>
      <c r="T197" s="4" t="n"/>
    </row>
    <row r="198">
      <c r="A198" s="5">
        <f>ROW()-2</f>
        <v/>
      </c>
      <c r="B198" s="4" t="inlineStr">
        <is>
          <t>Metrópole</t>
        </is>
      </c>
      <c r="C198" s="5" t="n">
        <v>196</v>
      </c>
      <c r="D198" s="5">
        <f>IFERROR(INDEX('Base de sorteio'!$A$3:$A$1723,MATCH($B198&amp;"|"&amp;$C198,'Base de sorteio'!$I$3:$I$1723,0)),"")</f>
        <v/>
      </c>
      <c r="E198" s="4">
        <f>IFERROR(INDEX('Base de sorteio'!$B$3:$B$1723,MATCH($B198&amp;"|"&amp;$C198,'Base de sorteio'!$I$3:$I$1723,0)),"")</f>
        <v/>
      </c>
      <c r="F198" s="4">
        <f>IFERROR(INDEX('Base de sorteio'!$C$3:$C$1723,MATCH($B198&amp;"|"&amp;$C198,'Base de sorteio'!$I$3:$I$1723,0)),"")</f>
        <v/>
      </c>
      <c r="G198" s="4">
        <f>IFERROR(INDEX('Base de sorteio'!$D$3:$D$1723,MATCH($B198&amp;"|"&amp;$C198,'Base de sorteio'!$I$3:$I$1723,0)),"")</f>
        <v/>
      </c>
      <c r="H198" s="4">
        <f>IFERROR(INDEX('Base de sorteio'!$E$3:$E$1723,MATCH($B198&amp;"|"&amp;$C198,'Base de sorteio'!$I$3:$I$1723,0)),"")</f>
        <v/>
      </c>
      <c r="I198" s="4">
        <f>IF(E198="","",HYPERLINK(IFERROR(INDEX('Base de sorteio'!$J$3:$J$1723,MATCH($B198&amp;"|"&amp;$C198,'Base de sorteio'!$I$3:$I$1723,0)),""),"abrir"))</f>
        <v/>
      </c>
      <c r="J198" s="4" t="n"/>
      <c r="K198" s="4" t="n"/>
      <c r="L198" s="4" t="n"/>
      <c r="M198" s="4" t="n"/>
      <c r="N198" s="4">
        <f>IF(AND(K198="",M198=""),"",IF(OR(K198="sim",M198="sim"),"sim",IF(OR(K198="inconclusivo",M198="inconclusivo"),"inconclusivo","não")))</f>
        <v/>
      </c>
      <c r="O198" s="5">
        <f>IF(N198="sim",COUNTIFS($B$3:$B198,$B198,$N$3:$N198,"sim"),"")</f>
        <v/>
      </c>
      <c r="P198" s="5" t="n"/>
      <c r="Q198" s="4" t="n"/>
      <c r="R198" s="5" t="n"/>
      <c r="S198" s="9" t="n"/>
      <c r="T198" s="4" t="n"/>
    </row>
    <row r="199">
      <c r="A199" s="5">
        <f>ROW()-2</f>
        <v/>
      </c>
      <c r="B199" s="4" t="inlineStr">
        <is>
          <t>Metrópole</t>
        </is>
      </c>
      <c r="C199" s="5" t="n">
        <v>197</v>
      </c>
      <c r="D199" s="5">
        <f>IFERROR(INDEX('Base de sorteio'!$A$3:$A$1723,MATCH($B199&amp;"|"&amp;$C199,'Base de sorteio'!$I$3:$I$1723,0)),"")</f>
        <v/>
      </c>
      <c r="E199" s="4">
        <f>IFERROR(INDEX('Base de sorteio'!$B$3:$B$1723,MATCH($B199&amp;"|"&amp;$C199,'Base de sorteio'!$I$3:$I$1723,0)),"")</f>
        <v/>
      </c>
      <c r="F199" s="4">
        <f>IFERROR(INDEX('Base de sorteio'!$C$3:$C$1723,MATCH($B199&amp;"|"&amp;$C199,'Base de sorteio'!$I$3:$I$1723,0)),"")</f>
        <v/>
      </c>
      <c r="G199" s="4">
        <f>IFERROR(INDEX('Base de sorteio'!$D$3:$D$1723,MATCH($B199&amp;"|"&amp;$C199,'Base de sorteio'!$I$3:$I$1723,0)),"")</f>
        <v/>
      </c>
      <c r="H199" s="4">
        <f>IFERROR(INDEX('Base de sorteio'!$E$3:$E$1723,MATCH($B199&amp;"|"&amp;$C199,'Base de sorteio'!$I$3:$I$1723,0)),"")</f>
        <v/>
      </c>
      <c r="I199" s="4">
        <f>IF(E199="","",HYPERLINK(IFERROR(INDEX('Base de sorteio'!$J$3:$J$1723,MATCH($B199&amp;"|"&amp;$C199,'Base de sorteio'!$I$3:$I$1723,0)),""),"abrir"))</f>
        <v/>
      </c>
      <c r="J199" s="4" t="n"/>
      <c r="K199" s="4" t="n"/>
      <c r="L199" s="4" t="n"/>
      <c r="M199" s="4" t="n"/>
      <c r="N199" s="4">
        <f>IF(AND(K199="",M199=""),"",IF(OR(K199="sim",M199="sim"),"sim",IF(OR(K199="inconclusivo",M199="inconclusivo"),"inconclusivo","não")))</f>
        <v/>
      </c>
      <c r="O199" s="5">
        <f>IF(N199="sim",COUNTIFS($B$3:$B199,$B199,$N$3:$N199,"sim"),"")</f>
        <v/>
      </c>
      <c r="P199" s="5" t="n"/>
      <c r="Q199" s="4" t="n"/>
      <c r="R199" s="5" t="n"/>
      <c r="S199" s="9" t="n"/>
      <c r="T199" s="4" t="n"/>
    </row>
    <row r="200">
      <c r="A200" s="5">
        <f>ROW()-2</f>
        <v/>
      </c>
      <c r="B200" s="4" t="inlineStr">
        <is>
          <t>Metrópole</t>
        </is>
      </c>
      <c r="C200" s="5" t="n">
        <v>198</v>
      </c>
      <c r="D200" s="5">
        <f>IFERROR(INDEX('Base de sorteio'!$A$3:$A$1723,MATCH($B200&amp;"|"&amp;$C200,'Base de sorteio'!$I$3:$I$1723,0)),"")</f>
        <v/>
      </c>
      <c r="E200" s="4">
        <f>IFERROR(INDEX('Base de sorteio'!$B$3:$B$1723,MATCH($B200&amp;"|"&amp;$C200,'Base de sorteio'!$I$3:$I$1723,0)),"")</f>
        <v/>
      </c>
      <c r="F200" s="4">
        <f>IFERROR(INDEX('Base de sorteio'!$C$3:$C$1723,MATCH($B200&amp;"|"&amp;$C200,'Base de sorteio'!$I$3:$I$1723,0)),"")</f>
        <v/>
      </c>
      <c r="G200" s="4">
        <f>IFERROR(INDEX('Base de sorteio'!$D$3:$D$1723,MATCH($B200&amp;"|"&amp;$C200,'Base de sorteio'!$I$3:$I$1723,0)),"")</f>
        <v/>
      </c>
      <c r="H200" s="4">
        <f>IFERROR(INDEX('Base de sorteio'!$E$3:$E$1723,MATCH($B200&amp;"|"&amp;$C200,'Base de sorteio'!$I$3:$I$1723,0)),"")</f>
        <v/>
      </c>
      <c r="I200" s="4">
        <f>IF(E200="","",HYPERLINK(IFERROR(INDEX('Base de sorteio'!$J$3:$J$1723,MATCH($B200&amp;"|"&amp;$C200,'Base de sorteio'!$I$3:$I$1723,0)),""),"abrir"))</f>
        <v/>
      </c>
      <c r="J200" s="4" t="n"/>
      <c r="K200" s="4" t="n"/>
      <c r="L200" s="4" t="n"/>
      <c r="M200" s="4" t="n"/>
      <c r="N200" s="4">
        <f>IF(AND(K200="",M200=""),"",IF(OR(K200="sim",M200="sim"),"sim",IF(OR(K200="inconclusivo",M200="inconclusivo"),"inconclusivo","não")))</f>
        <v/>
      </c>
      <c r="O200" s="5">
        <f>IF(N200="sim",COUNTIFS($B$3:$B200,$B200,$N$3:$N200,"sim"),"")</f>
        <v/>
      </c>
      <c r="P200" s="5" t="n"/>
      <c r="Q200" s="4" t="n"/>
      <c r="R200" s="5" t="n"/>
      <c r="S200" s="9" t="n"/>
      <c r="T200" s="4" t="n"/>
    </row>
    <row r="201">
      <c r="A201" s="5">
        <f>ROW()-2</f>
        <v/>
      </c>
      <c r="B201" s="4" t="inlineStr">
        <is>
          <t>Metrópole</t>
        </is>
      </c>
      <c r="C201" s="5" t="n">
        <v>199</v>
      </c>
      <c r="D201" s="5">
        <f>IFERROR(INDEX('Base de sorteio'!$A$3:$A$1723,MATCH($B201&amp;"|"&amp;$C201,'Base de sorteio'!$I$3:$I$1723,0)),"")</f>
        <v/>
      </c>
      <c r="E201" s="4">
        <f>IFERROR(INDEX('Base de sorteio'!$B$3:$B$1723,MATCH($B201&amp;"|"&amp;$C201,'Base de sorteio'!$I$3:$I$1723,0)),"")</f>
        <v/>
      </c>
      <c r="F201" s="4">
        <f>IFERROR(INDEX('Base de sorteio'!$C$3:$C$1723,MATCH($B201&amp;"|"&amp;$C201,'Base de sorteio'!$I$3:$I$1723,0)),"")</f>
        <v/>
      </c>
      <c r="G201" s="4">
        <f>IFERROR(INDEX('Base de sorteio'!$D$3:$D$1723,MATCH($B201&amp;"|"&amp;$C201,'Base de sorteio'!$I$3:$I$1723,0)),"")</f>
        <v/>
      </c>
      <c r="H201" s="4">
        <f>IFERROR(INDEX('Base de sorteio'!$E$3:$E$1723,MATCH($B201&amp;"|"&amp;$C201,'Base de sorteio'!$I$3:$I$1723,0)),"")</f>
        <v/>
      </c>
      <c r="I201" s="4">
        <f>IF(E201="","",HYPERLINK(IFERROR(INDEX('Base de sorteio'!$J$3:$J$1723,MATCH($B201&amp;"|"&amp;$C201,'Base de sorteio'!$I$3:$I$1723,0)),""),"abrir"))</f>
        <v/>
      </c>
      <c r="J201" s="4" t="n"/>
      <c r="K201" s="4" t="n"/>
      <c r="L201" s="4" t="n"/>
      <c r="M201" s="4" t="n"/>
      <c r="N201" s="4">
        <f>IF(AND(K201="",M201=""),"",IF(OR(K201="sim",M201="sim"),"sim",IF(OR(K201="inconclusivo",M201="inconclusivo"),"inconclusivo","não")))</f>
        <v/>
      </c>
      <c r="O201" s="5">
        <f>IF(N201="sim",COUNTIFS($B$3:$B201,$B201,$N$3:$N201,"sim"),"")</f>
        <v/>
      </c>
      <c r="P201" s="5" t="n"/>
      <c r="Q201" s="4" t="n"/>
      <c r="R201" s="5" t="n"/>
      <c r="S201" s="9" t="n"/>
      <c r="T201" s="4" t="n"/>
    </row>
    <row r="202">
      <c r="A202" s="5">
        <f>ROW()-2</f>
        <v/>
      </c>
      <c r="B202" s="4" t="inlineStr">
        <is>
          <t>Metrópole</t>
        </is>
      </c>
      <c r="C202" s="5" t="n">
        <v>200</v>
      </c>
      <c r="D202" s="5">
        <f>IFERROR(INDEX('Base de sorteio'!$A$3:$A$1723,MATCH($B202&amp;"|"&amp;$C202,'Base de sorteio'!$I$3:$I$1723,0)),"")</f>
        <v/>
      </c>
      <c r="E202" s="4">
        <f>IFERROR(INDEX('Base de sorteio'!$B$3:$B$1723,MATCH($B202&amp;"|"&amp;$C202,'Base de sorteio'!$I$3:$I$1723,0)),"")</f>
        <v/>
      </c>
      <c r="F202" s="4">
        <f>IFERROR(INDEX('Base de sorteio'!$C$3:$C$1723,MATCH($B202&amp;"|"&amp;$C202,'Base de sorteio'!$I$3:$I$1723,0)),"")</f>
        <v/>
      </c>
      <c r="G202" s="4">
        <f>IFERROR(INDEX('Base de sorteio'!$D$3:$D$1723,MATCH($B202&amp;"|"&amp;$C202,'Base de sorteio'!$I$3:$I$1723,0)),"")</f>
        <v/>
      </c>
      <c r="H202" s="4">
        <f>IFERROR(INDEX('Base de sorteio'!$E$3:$E$1723,MATCH($B202&amp;"|"&amp;$C202,'Base de sorteio'!$I$3:$I$1723,0)),"")</f>
        <v/>
      </c>
      <c r="I202" s="4">
        <f>IF(E202="","",HYPERLINK(IFERROR(INDEX('Base de sorteio'!$J$3:$J$1723,MATCH($B202&amp;"|"&amp;$C202,'Base de sorteio'!$I$3:$I$1723,0)),""),"abrir"))</f>
        <v/>
      </c>
      <c r="J202" s="4" t="n"/>
      <c r="K202" s="4" t="n"/>
      <c r="L202" s="4" t="n"/>
      <c r="M202" s="4" t="n"/>
      <c r="N202" s="4">
        <f>IF(AND(K202="",M202=""),"",IF(OR(K202="sim",M202="sim"),"sim",IF(OR(K202="inconclusivo",M202="inconclusivo"),"inconclusivo","não")))</f>
        <v/>
      </c>
      <c r="O202" s="5">
        <f>IF(N202="sim",COUNTIFS($B$3:$B202,$B202,$N$3:$N202,"sim"),"")</f>
        <v/>
      </c>
      <c r="P202" s="5" t="n"/>
      <c r="Q202" s="4" t="n"/>
      <c r="R202" s="5" t="n"/>
      <c r="S202" s="9" t="n"/>
      <c r="T202" s="4" t="n"/>
    </row>
    <row r="203">
      <c r="A203" s="5">
        <f>ROW()-2</f>
        <v/>
      </c>
      <c r="B203" s="4" t="inlineStr">
        <is>
          <t>Metrópole</t>
        </is>
      </c>
      <c r="C203" s="5" t="n">
        <v>201</v>
      </c>
      <c r="D203" s="5">
        <f>IFERROR(INDEX('Base de sorteio'!$A$3:$A$1723,MATCH($B203&amp;"|"&amp;$C203,'Base de sorteio'!$I$3:$I$1723,0)),"")</f>
        <v/>
      </c>
      <c r="E203" s="4">
        <f>IFERROR(INDEX('Base de sorteio'!$B$3:$B$1723,MATCH($B203&amp;"|"&amp;$C203,'Base de sorteio'!$I$3:$I$1723,0)),"")</f>
        <v/>
      </c>
      <c r="F203" s="4">
        <f>IFERROR(INDEX('Base de sorteio'!$C$3:$C$1723,MATCH($B203&amp;"|"&amp;$C203,'Base de sorteio'!$I$3:$I$1723,0)),"")</f>
        <v/>
      </c>
      <c r="G203" s="4">
        <f>IFERROR(INDEX('Base de sorteio'!$D$3:$D$1723,MATCH($B203&amp;"|"&amp;$C203,'Base de sorteio'!$I$3:$I$1723,0)),"")</f>
        <v/>
      </c>
      <c r="H203" s="4">
        <f>IFERROR(INDEX('Base de sorteio'!$E$3:$E$1723,MATCH($B203&amp;"|"&amp;$C203,'Base de sorteio'!$I$3:$I$1723,0)),"")</f>
        <v/>
      </c>
      <c r="I203" s="4">
        <f>IF(E203="","",HYPERLINK(IFERROR(INDEX('Base de sorteio'!$J$3:$J$1723,MATCH($B203&amp;"|"&amp;$C203,'Base de sorteio'!$I$3:$I$1723,0)),""),"abrir"))</f>
        <v/>
      </c>
      <c r="J203" s="4" t="n"/>
      <c r="K203" s="4" t="n"/>
      <c r="L203" s="4" t="n"/>
      <c r="M203" s="4" t="n"/>
      <c r="N203" s="4">
        <f>IF(AND(K203="",M203=""),"",IF(OR(K203="sim",M203="sim"),"sim",IF(OR(K203="inconclusivo",M203="inconclusivo"),"inconclusivo","não")))</f>
        <v/>
      </c>
      <c r="O203" s="5">
        <f>IF(N203="sim",COUNTIFS($B$3:$B203,$B203,$N$3:$N203,"sim"),"")</f>
        <v/>
      </c>
      <c r="P203" s="5" t="n"/>
      <c r="Q203" s="4" t="n"/>
      <c r="R203" s="5" t="n"/>
      <c r="S203" s="9" t="n"/>
      <c r="T203" s="4" t="n"/>
    </row>
    <row r="204">
      <c r="A204" s="5">
        <f>ROW()-2</f>
        <v/>
      </c>
      <c r="B204" s="4" t="inlineStr">
        <is>
          <t>Metrópole</t>
        </is>
      </c>
      <c r="C204" s="5" t="n">
        <v>202</v>
      </c>
      <c r="D204" s="5">
        <f>IFERROR(INDEX('Base de sorteio'!$A$3:$A$1723,MATCH($B204&amp;"|"&amp;$C204,'Base de sorteio'!$I$3:$I$1723,0)),"")</f>
        <v/>
      </c>
      <c r="E204" s="4">
        <f>IFERROR(INDEX('Base de sorteio'!$B$3:$B$1723,MATCH($B204&amp;"|"&amp;$C204,'Base de sorteio'!$I$3:$I$1723,0)),"")</f>
        <v/>
      </c>
      <c r="F204" s="4">
        <f>IFERROR(INDEX('Base de sorteio'!$C$3:$C$1723,MATCH($B204&amp;"|"&amp;$C204,'Base de sorteio'!$I$3:$I$1723,0)),"")</f>
        <v/>
      </c>
      <c r="G204" s="4">
        <f>IFERROR(INDEX('Base de sorteio'!$D$3:$D$1723,MATCH($B204&amp;"|"&amp;$C204,'Base de sorteio'!$I$3:$I$1723,0)),"")</f>
        <v/>
      </c>
      <c r="H204" s="4">
        <f>IFERROR(INDEX('Base de sorteio'!$E$3:$E$1723,MATCH($B204&amp;"|"&amp;$C204,'Base de sorteio'!$I$3:$I$1723,0)),"")</f>
        <v/>
      </c>
      <c r="I204" s="4">
        <f>IF(E204="","",HYPERLINK(IFERROR(INDEX('Base de sorteio'!$J$3:$J$1723,MATCH($B204&amp;"|"&amp;$C204,'Base de sorteio'!$I$3:$I$1723,0)),""),"abrir"))</f>
        <v/>
      </c>
      <c r="J204" s="4" t="n"/>
      <c r="K204" s="4" t="n"/>
      <c r="L204" s="4" t="n"/>
      <c r="M204" s="4" t="n"/>
      <c r="N204" s="4">
        <f>IF(AND(K204="",M204=""),"",IF(OR(K204="sim",M204="sim"),"sim",IF(OR(K204="inconclusivo",M204="inconclusivo"),"inconclusivo","não")))</f>
        <v/>
      </c>
      <c r="O204" s="5">
        <f>IF(N204="sim",COUNTIFS($B$3:$B204,$B204,$N$3:$N204,"sim"),"")</f>
        <v/>
      </c>
      <c r="P204" s="5" t="n"/>
      <c r="Q204" s="4" t="n"/>
      <c r="R204" s="5" t="n"/>
      <c r="S204" s="9" t="n"/>
      <c r="T204" s="4" t="n"/>
    </row>
    <row r="205">
      <c r="A205" s="5">
        <f>ROW()-2</f>
        <v/>
      </c>
      <c r="B205" s="4" t="inlineStr">
        <is>
          <t>Metrópole</t>
        </is>
      </c>
      <c r="C205" s="5" t="n">
        <v>203</v>
      </c>
      <c r="D205" s="5">
        <f>IFERROR(INDEX('Base de sorteio'!$A$3:$A$1723,MATCH($B205&amp;"|"&amp;$C205,'Base de sorteio'!$I$3:$I$1723,0)),"")</f>
        <v/>
      </c>
      <c r="E205" s="4">
        <f>IFERROR(INDEX('Base de sorteio'!$B$3:$B$1723,MATCH($B205&amp;"|"&amp;$C205,'Base de sorteio'!$I$3:$I$1723,0)),"")</f>
        <v/>
      </c>
      <c r="F205" s="4">
        <f>IFERROR(INDEX('Base de sorteio'!$C$3:$C$1723,MATCH($B205&amp;"|"&amp;$C205,'Base de sorteio'!$I$3:$I$1723,0)),"")</f>
        <v/>
      </c>
      <c r="G205" s="4">
        <f>IFERROR(INDEX('Base de sorteio'!$D$3:$D$1723,MATCH($B205&amp;"|"&amp;$C205,'Base de sorteio'!$I$3:$I$1723,0)),"")</f>
        <v/>
      </c>
      <c r="H205" s="4">
        <f>IFERROR(INDEX('Base de sorteio'!$E$3:$E$1723,MATCH($B205&amp;"|"&amp;$C205,'Base de sorteio'!$I$3:$I$1723,0)),"")</f>
        <v/>
      </c>
      <c r="I205" s="4">
        <f>IF(E205="","",HYPERLINK(IFERROR(INDEX('Base de sorteio'!$J$3:$J$1723,MATCH($B205&amp;"|"&amp;$C205,'Base de sorteio'!$I$3:$I$1723,0)),""),"abrir"))</f>
        <v/>
      </c>
      <c r="J205" s="4" t="n"/>
      <c r="K205" s="4" t="n"/>
      <c r="L205" s="4" t="n"/>
      <c r="M205" s="4" t="n"/>
      <c r="N205" s="4">
        <f>IF(AND(K205="",M205=""),"",IF(OR(K205="sim",M205="sim"),"sim",IF(OR(K205="inconclusivo",M205="inconclusivo"),"inconclusivo","não")))</f>
        <v/>
      </c>
      <c r="O205" s="5">
        <f>IF(N205="sim",COUNTIFS($B$3:$B205,$B205,$N$3:$N205,"sim"),"")</f>
        <v/>
      </c>
      <c r="P205" s="5" t="n"/>
      <c r="Q205" s="4" t="n"/>
      <c r="R205" s="5" t="n"/>
      <c r="S205" s="9" t="n"/>
      <c r="T205" s="4" t="n"/>
    </row>
    <row r="206">
      <c r="A206" s="5">
        <f>ROW()-2</f>
        <v/>
      </c>
      <c r="B206" s="4" t="inlineStr">
        <is>
          <t>Metrópole</t>
        </is>
      </c>
      <c r="C206" s="5" t="n">
        <v>204</v>
      </c>
      <c r="D206" s="5">
        <f>IFERROR(INDEX('Base de sorteio'!$A$3:$A$1723,MATCH($B206&amp;"|"&amp;$C206,'Base de sorteio'!$I$3:$I$1723,0)),"")</f>
        <v/>
      </c>
      <c r="E206" s="4">
        <f>IFERROR(INDEX('Base de sorteio'!$B$3:$B$1723,MATCH($B206&amp;"|"&amp;$C206,'Base de sorteio'!$I$3:$I$1723,0)),"")</f>
        <v/>
      </c>
      <c r="F206" s="4">
        <f>IFERROR(INDEX('Base de sorteio'!$C$3:$C$1723,MATCH($B206&amp;"|"&amp;$C206,'Base de sorteio'!$I$3:$I$1723,0)),"")</f>
        <v/>
      </c>
      <c r="G206" s="4">
        <f>IFERROR(INDEX('Base de sorteio'!$D$3:$D$1723,MATCH($B206&amp;"|"&amp;$C206,'Base de sorteio'!$I$3:$I$1723,0)),"")</f>
        <v/>
      </c>
      <c r="H206" s="4">
        <f>IFERROR(INDEX('Base de sorteio'!$E$3:$E$1723,MATCH($B206&amp;"|"&amp;$C206,'Base de sorteio'!$I$3:$I$1723,0)),"")</f>
        <v/>
      </c>
      <c r="I206" s="4">
        <f>IF(E206="","",HYPERLINK(IFERROR(INDEX('Base de sorteio'!$J$3:$J$1723,MATCH($B206&amp;"|"&amp;$C206,'Base de sorteio'!$I$3:$I$1723,0)),""),"abrir"))</f>
        <v/>
      </c>
      <c r="J206" s="4" t="n"/>
      <c r="K206" s="4" t="n"/>
      <c r="L206" s="4" t="n"/>
      <c r="M206" s="4" t="n"/>
      <c r="N206" s="4">
        <f>IF(AND(K206="",M206=""),"",IF(OR(K206="sim",M206="sim"),"sim",IF(OR(K206="inconclusivo",M206="inconclusivo"),"inconclusivo","não")))</f>
        <v/>
      </c>
      <c r="O206" s="5">
        <f>IF(N206="sim",COUNTIFS($B$3:$B206,$B206,$N$3:$N206,"sim"),"")</f>
        <v/>
      </c>
      <c r="P206" s="5" t="n"/>
      <c r="Q206" s="4" t="n"/>
      <c r="R206" s="5" t="n"/>
      <c r="S206" s="9" t="n"/>
      <c r="T206" s="4" t="n"/>
    </row>
    <row r="207">
      <c r="A207" s="5">
        <f>ROW()-2</f>
        <v/>
      </c>
      <c r="B207" s="4" t="inlineStr">
        <is>
          <t>Metrópole</t>
        </is>
      </c>
      <c r="C207" s="5" t="n">
        <v>205</v>
      </c>
      <c r="D207" s="5">
        <f>IFERROR(INDEX('Base de sorteio'!$A$3:$A$1723,MATCH($B207&amp;"|"&amp;$C207,'Base de sorteio'!$I$3:$I$1723,0)),"")</f>
        <v/>
      </c>
      <c r="E207" s="4">
        <f>IFERROR(INDEX('Base de sorteio'!$B$3:$B$1723,MATCH($B207&amp;"|"&amp;$C207,'Base de sorteio'!$I$3:$I$1723,0)),"")</f>
        <v/>
      </c>
      <c r="F207" s="4">
        <f>IFERROR(INDEX('Base de sorteio'!$C$3:$C$1723,MATCH($B207&amp;"|"&amp;$C207,'Base de sorteio'!$I$3:$I$1723,0)),"")</f>
        <v/>
      </c>
      <c r="G207" s="4">
        <f>IFERROR(INDEX('Base de sorteio'!$D$3:$D$1723,MATCH($B207&amp;"|"&amp;$C207,'Base de sorteio'!$I$3:$I$1723,0)),"")</f>
        <v/>
      </c>
      <c r="H207" s="4">
        <f>IFERROR(INDEX('Base de sorteio'!$E$3:$E$1723,MATCH($B207&amp;"|"&amp;$C207,'Base de sorteio'!$I$3:$I$1723,0)),"")</f>
        <v/>
      </c>
      <c r="I207" s="4">
        <f>IF(E207="","",HYPERLINK(IFERROR(INDEX('Base de sorteio'!$J$3:$J$1723,MATCH($B207&amp;"|"&amp;$C207,'Base de sorteio'!$I$3:$I$1723,0)),""),"abrir"))</f>
        <v/>
      </c>
      <c r="J207" s="4" t="n"/>
      <c r="K207" s="4" t="n"/>
      <c r="L207" s="4" t="n"/>
      <c r="M207" s="4" t="n"/>
      <c r="N207" s="4">
        <f>IF(AND(K207="",M207=""),"",IF(OR(K207="sim",M207="sim"),"sim",IF(OR(K207="inconclusivo",M207="inconclusivo"),"inconclusivo","não")))</f>
        <v/>
      </c>
      <c r="O207" s="5">
        <f>IF(N207="sim",COUNTIFS($B$3:$B207,$B207,$N$3:$N207,"sim"),"")</f>
        <v/>
      </c>
      <c r="P207" s="5" t="n"/>
      <c r="Q207" s="4" t="n"/>
      <c r="R207" s="5" t="n"/>
      <c r="S207" s="9" t="n"/>
      <c r="T207" s="4" t="n"/>
    </row>
    <row r="208">
      <c r="A208" s="5">
        <f>ROW()-2</f>
        <v/>
      </c>
      <c r="B208" s="4" t="inlineStr">
        <is>
          <t>Metrópole</t>
        </is>
      </c>
      <c r="C208" s="5" t="n">
        <v>206</v>
      </c>
      <c r="D208" s="5">
        <f>IFERROR(INDEX('Base de sorteio'!$A$3:$A$1723,MATCH($B208&amp;"|"&amp;$C208,'Base de sorteio'!$I$3:$I$1723,0)),"")</f>
        <v/>
      </c>
      <c r="E208" s="4">
        <f>IFERROR(INDEX('Base de sorteio'!$B$3:$B$1723,MATCH($B208&amp;"|"&amp;$C208,'Base de sorteio'!$I$3:$I$1723,0)),"")</f>
        <v/>
      </c>
      <c r="F208" s="4">
        <f>IFERROR(INDEX('Base de sorteio'!$C$3:$C$1723,MATCH($B208&amp;"|"&amp;$C208,'Base de sorteio'!$I$3:$I$1723,0)),"")</f>
        <v/>
      </c>
      <c r="G208" s="4">
        <f>IFERROR(INDEX('Base de sorteio'!$D$3:$D$1723,MATCH($B208&amp;"|"&amp;$C208,'Base de sorteio'!$I$3:$I$1723,0)),"")</f>
        <v/>
      </c>
      <c r="H208" s="4">
        <f>IFERROR(INDEX('Base de sorteio'!$E$3:$E$1723,MATCH($B208&amp;"|"&amp;$C208,'Base de sorteio'!$I$3:$I$1723,0)),"")</f>
        <v/>
      </c>
      <c r="I208" s="4">
        <f>IF(E208="","",HYPERLINK(IFERROR(INDEX('Base de sorteio'!$J$3:$J$1723,MATCH($B208&amp;"|"&amp;$C208,'Base de sorteio'!$I$3:$I$1723,0)),""),"abrir"))</f>
        <v/>
      </c>
      <c r="J208" s="4" t="n"/>
      <c r="K208" s="4" t="n"/>
      <c r="L208" s="4" t="n"/>
      <c r="M208" s="4" t="n"/>
      <c r="N208" s="4">
        <f>IF(AND(K208="",M208=""),"",IF(OR(K208="sim",M208="sim"),"sim",IF(OR(K208="inconclusivo",M208="inconclusivo"),"inconclusivo","não")))</f>
        <v/>
      </c>
      <c r="O208" s="5">
        <f>IF(N208="sim",COUNTIFS($B$3:$B208,$B208,$N$3:$N208,"sim"),"")</f>
        <v/>
      </c>
      <c r="P208" s="5" t="n"/>
      <c r="Q208" s="4" t="n"/>
      <c r="R208" s="5" t="n"/>
      <c r="S208" s="9" t="n"/>
      <c r="T208" s="4" t="n"/>
    </row>
    <row r="209">
      <c r="A209" s="5">
        <f>ROW()-2</f>
        <v/>
      </c>
      <c r="B209" s="4" t="inlineStr">
        <is>
          <t>Metrópole</t>
        </is>
      </c>
      <c r="C209" s="5" t="n">
        <v>207</v>
      </c>
      <c r="D209" s="5">
        <f>IFERROR(INDEX('Base de sorteio'!$A$3:$A$1723,MATCH($B209&amp;"|"&amp;$C209,'Base de sorteio'!$I$3:$I$1723,0)),"")</f>
        <v/>
      </c>
      <c r="E209" s="4">
        <f>IFERROR(INDEX('Base de sorteio'!$B$3:$B$1723,MATCH($B209&amp;"|"&amp;$C209,'Base de sorteio'!$I$3:$I$1723,0)),"")</f>
        <v/>
      </c>
      <c r="F209" s="4">
        <f>IFERROR(INDEX('Base de sorteio'!$C$3:$C$1723,MATCH($B209&amp;"|"&amp;$C209,'Base de sorteio'!$I$3:$I$1723,0)),"")</f>
        <v/>
      </c>
      <c r="G209" s="4">
        <f>IFERROR(INDEX('Base de sorteio'!$D$3:$D$1723,MATCH($B209&amp;"|"&amp;$C209,'Base de sorteio'!$I$3:$I$1723,0)),"")</f>
        <v/>
      </c>
      <c r="H209" s="4">
        <f>IFERROR(INDEX('Base de sorteio'!$E$3:$E$1723,MATCH($B209&amp;"|"&amp;$C209,'Base de sorteio'!$I$3:$I$1723,0)),"")</f>
        <v/>
      </c>
      <c r="I209" s="4">
        <f>IF(E209="","",HYPERLINK(IFERROR(INDEX('Base de sorteio'!$J$3:$J$1723,MATCH($B209&amp;"|"&amp;$C209,'Base de sorteio'!$I$3:$I$1723,0)),""),"abrir"))</f>
        <v/>
      </c>
      <c r="J209" s="4" t="n"/>
      <c r="K209" s="4" t="n"/>
      <c r="L209" s="4" t="n"/>
      <c r="M209" s="4" t="n"/>
      <c r="N209" s="4">
        <f>IF(AND(K209="",M209=""),"",IF(OR(K209="sim",M209="sim"),"sim",IF(OR(K209="inconclusivo",M209="inconclusivo"),"inconclusivo","não")))</f>
        <v/>
      </c>
      <c r="O209" s="5">
        <f>IF(N209="sim",COUNTIFS($B$3:$B209,$B209,$N$3:$N209,"sim"),"")</f>
        <v/>
      </c>
      <c r="P209" s="5" t="n"/>
      <c r="Q209" s="4" t="n"/>
      <c r="R209" s="5" t="n"/>
      <c r="S209" s="9" t="n"/>
      <c r="T209" s="4" t="n"/>
    </row>
    <row r="210">
      <c r="A210" s="5">
        <f>ROW()-2</f>
        <v/>
      </c>
      <c r="B210" s="4" t="inlineStr">
        <is>
          <t>Metrópole</t>
        </is>
      </c>
      <c r="C210" s="5" t="n">
        <v>208</v>
      </c>
      <c r="D210" s="5">
        <f>IFERROR(INDEX('Base de sorteio'!$A$3:$A$1723,MATCH($B210&amp;"|"&amp;$C210,'Base de sorteio'!$I$3:$I$1723,0)),"")</f>
        <v/>
      </c>
      <c r="E210" s="4">
        <f>IFERROR(INDEX('Base de sorteio'!$B$3:$B$1723,MATCH($B210&amp;"|"&amp;$C210,'Base de sorteio'!$I$3:$I$1723,0)),"")</f>
        <v/>
      </c>
      <c r="F210" s="4">
        <f>IFERROR(INDEX('Base de sorteio'!$C$3:$C$1723,MATCH($B210&amp;"|"&amp;$C210,'Base de sorteio'!$I$3:$I$1723,0)),"")</f>
        <v/>
      </c>
      <c r="G210" s="4">
        <f>IFERROR(INDEX('Base de sorteio'!$D$3:$D$1723,MATCH($B210&amp;"|"&amp;$C210,'Base de sorteio'!$I$3:$I$1723,0)),"")</f>
        <v/>
      </c>
      <c r="H210" s="4">
        <f>IFERROR(INDEX('Base de sorteio'!$E$3:$E$1723,MATCH($B210&amp;"|"&amp;$C210,'Base de sorteio'!$I$3:$I$1723,0)),"")</f>
        <v/>
      </c>
      <c r="I210" s="4">
        <f>IF(E210="","",HYPERLINK(IFERROR(INDEX('Base de sorteio'!$J$3:$J$1723,MATCH($B210&amp;"|"&amp;$C210,'Base de sorteio'!$I$3:$I$1723,0)),""),"abrir"))</f>
        <v/>
      </c>
      <c r="J210" s="4" t="n"/>
      <c r="K210" s="4" t="n"/>
      <c r="L210" s="4" t="n"/>
      <c r="M210" s="4" t="n"/>
      <c r="N210" s="4">
        <f>IF(AND(K210="",M210=""),"",IF(OR(K210="sim",M210="sim"),"sim",IF(OR(K210="inconclusivo",M210="inconclusivo"),"inconclusivo","não")))</f>
        <v/>
      </c>
      <c r="O210" s="5">
        <f>IF(N210="sim",COUNTIFS($B$3:$B210,$B210,$N$3:$N210,"sim"),"")</f>
        <v/>
      </c>
      <c r="P210" s="5" t="n"/>
      <c r="Q210" s="4" t="n"/>
      <c r="R210" s="5" t="n"/>
      <c r="S210" s="9" t="n"/>
      <c r="T210" s="4" t="n"/>
    </row>
    <row r="211">
      <c r="A211" s="5">
        <f>ROW()-2</f>
        <v/>
      </c>
      <c r="B211" s="4" t="inlineStr">
        <is>
          <t>Metrópole</t>
        </is>
      </c>
      <c r="C211" s="5" t="n">
        <v>209</v>
      </c>
      <c r="D211" s="5">
        <f>IFERROR(INDEX('Base de sorteio'!$A$3:$A$1723,MATCH($B211&amp;"|"&amp;$C211,'Base de sorteio'!$I$3:$I$1723,0)),"")</f>
        <v/>
      </c>
      <c r="E211" s="4">
        <f>IFERROR(INDEX('Base de sorteio'!$B$3:$B$1723,MATCH($B211&amp;"|"&amp;$C211,'Base de sorteio'!$I$3:$I$1723,0)),"")</f>
        <v/>
      </c>
      <c r="F211" s="4">
        <f>IFERROR(INDEX('Base de sorteio'!$C$3:$C$1723,MATCH($B211&amp;"|"&amp;$C211,'Base de sorteio'!$I$3:$I$1723,0)),"")</f>
        <v/>
      </c>
      <c r="G211" s="4">
        <f>IFERROR(INDEX('Base de sorteio'!$D$3:$D$1723,MATCH($B211&amp;"|"&amp;$C211,'Base de sorteio'!$I$3:$I$1723,0)),"")</f>
        <v/>
      </c>
      <c r="H211" s="4">
        <f>IFERROR(INDEX('Base de sorteio'!$E$3:$E$1723,MATCH($B211&amp;"|"&amp;$C211,'Base de sorteio'!$I$3:$I$1723,0)),"")</f>
        <v/>
      </c>
      <c r="I211" s="4">
        <f>IF(E211="","",HYPERLINK(IFERROR(INDEX('Base de sorteio'!$J$3:$J$1723,MATCH($B211&amp;"|"&amp;$C211,'Base de sorteio'!$I$3:$I$1723,0)),""),"abrir"))</f>
        <v/>
      </c>
      <c r="J211" s="4" t="n"/>
      <c r="K211" s="4" t="n"/>
      <c r="L211" s="4" t="n"/>
      <c r="M211" s="4" t="n"/>
      <c r="N211" s="4">
        <f>IF(AND(K211="",M211=""),"",IF(OR(K211="sim",M211="sim"),"sim",IF(OR(K211="inconclusivo",M211="inconclusivo"),"inconclusivo","não")))</f>
        <v/>
      </c>
      <c r="O211" s="5">
        <f>IF(N211="sim",COUNTIFS($B$3:$B211,$B211,$N$3:$N211,"sim"),"")</f>
        <v/>
      </c>
      <c r="P211" s="5" t="n"/>
      <c r="Q211" s="4" t="n"/>
      <c r="R211" s="5" t="n"/>
      <c r="S211" s="9" t="n"/>
      <c r="T211" s="4" t="n"/>
    </row>
    <row r="212">
      <c r="A212" s="5">
        <f>ROW()-2</f>
        <v/>
      </c>
      <c r="B212" s="4" t="inlineStr">
        <is>
          <t>Metrópole</t>
        </is>
      </c>
      <c r="C212" s="5" t="n">
        <v>210</v>
      </c>
      <c r="D212" s="5">
        <f>IFERROR(INDEX('Base de sorteio'!$A$3:$A$1723,MATCH($B212&amp;"|"&amp;$C212,'Base de sorteio'!$I$3:$I$1723,0)),"")</f>
        <v/>
      </c>
      <c r="E212" s="4">
        <f>IFERROR(INDEX('Base de sorteio'!$B$3:$B$1723,MATCH($B212&amp;"|"&amp;$C212,'Base de sorteio'!$I$3:$I$1723,0)),"")</f>
        <v/>
      </c>
      <c r="F212" s="4">
        <f>IFERROR(INDEX('Base de sorteio'!$C$3:$C$1723,MATCH($B212&amp;"|"&amp;$C212,'Base de sorteio'!$I$3:$I$1723,0)),"")</f>
        <v/>
      </c>
      <c r="G212" s="4">
        <f>IFERROR(INDEX('Base de sorteio'!$D$3:$D$1723,MATCH($B212&amp;"|"&amp;$C212,'Base de sorteio'!$I$3:$I$1723,0)),"")</f>
        <v/>
      </c>
      <c r="H212" s="4">
        <f>IFERROR(INDEX('Base de sorteio'!$E$3:$E$1723,MATCH($B212&amp;"|"&amp;$C212,'Base de sorteio'!$I$3:$I$1723,0)),"")</f>
        <v/>
      </c>
      <c r="I212" s="4">
        <f>IF(E212="","",HYPERLINK(IFERROR(INDEX('Base de sorteio'!$J$3:$J$1723,MATCH($B212&amp;"|"&amp;$C212,'Base de sorteio'!$I$3:$I$1723,0)),""),"abrir"))</f>
        <v/>
      </c>
      <c r="J212" s="4" t="n"/>
      <c r="K212" s="4" t="n"/>
      <c r="L212" s="4" t="n"/>
      <c r="M212" s="4" t="n"/>
      <c r="N212" s="4">
        <f>IF(AND(K212="",M212=""),"",IF(OR(K212="sim",M212="sim"),"sim",IF(OR(K212="inconclusivo",M212="inconclusivo"),"inconclusivo","não")))</f>
        <v/>
      </c>
      <c r="O212" s="5">
        <f>IF(N212="sim",COUNTIFS($B$3:$B212,$B212,$N$3:$N212,"sim"),"")</f>
        <v/>
      </c>
      <c r="P212" s="5" t="n"/>
      <c r="Q212" s="4" t="n"/>
      <c r="R212" s="5" t="n"/>
      <c r="S212" s="9" t="n"/>
      <c r="T212" s="4" t="n"/>
    </row>
    <row r="213">
      <c r="A213" s="5">
        <f>ROW()-2</f>
        <v/>
      </c>
      <c r="B213" s="4" t="inlineStr">
        <is>
          <t>Metrópole</t>
        </is>
      </c>
      <c r="C213" s="5" t="n">
        <v>211</v>
      </c>
      <c r="D213" s="5">
        <f>IFERROR(INDEX('Base de sorteio'!$A$3:$A$1723,MATCH($B213&amp;"|"&amp;$C213,'Base de sorteio'!$I$3:$I$1723,0)),"")</f>
        <v/>
      </c>
      <c r="E213" s="4">
        <f>IFERROR(INDEX('Base de sorteio'!$B$3:$B$1723,MATCH($B213&amp;"|"&amp;$C213,'Base de sorteio'!$I$3:$I$1723,0)),"")</f>
        <v/>
      </c>
      <c r="F213" s="4">
        <f>IFERROR(INDEX('Base de sorteio'!$C$3:$C$1723,MATCH($B213&amp;"|"&amp;$C213,'Base de sorteio'!$I$3:$I$1723,0)),"")</f>
        <v/>
      </c>
      <c r="G213" s="4">
        <f>IFERROR(INDEX('Base de sorteio'!$D$3:$D$1723,MATCH($B213&amp;"|"&amp;$C213,'Base de sorteio'!$I$3:$I$1723,0)),"")</f>
        <v/>
      </c>
      <c r="H213" s="4">
        <f>IFERROR(INDEX('Base de sorteio'!$E$3:$E$1723,MATCH($B213&amp;"|"&amp;$C213,'Base de sorteio'!$I$3:$I$1723,0)),"")</f>
        <v/>
      </c>
      <c r="I213" s="4">
        <f>IF(E213="","",HYPERLINK(IFERROR(INDEX('Base de sorteio'!$J$3:$J$1723,MATCH($B213&amp;"|"&amp;$C213,'Base de sorteio'!$I$3:$I$1723,0)),""),"abrir"))</f>
        <v/>
      </c>
      <c r="J213" s="4" t="n"/>
      <c r="K213" s="4" t="n"/>
      <c r="L213" s="4" t="n"/>
      <c r="M213" s="4" t="n"/>
      <c r="N213" s="4">
        <f>IF(AND(K213="",M213=""),"",IF(OR(K213="sim",M213="sim"),"sim",IF(OR(K213="inconclusivo",M213="inconclusivo"),"inconclusivo","não")))</f>
        <v/>
      </c>
      <c r="O213" s="5">
        <f>IF(N213="sim",COUNTIFS($B$3:$B213,$B213,$N$3:$N213,"sim"),"")</f>
        <v/>
      </c>
      <c r="P213" s="5" t="n"/>
      <c r="Q213" s="4" t="n"/>
      <c r="R213" s="5" t="n"/>
      <c r="S213" s="9" t="n"/>
      <c r="T213" s="4" t="n"/>
    </row>
    <row r="214">
      <c r="A214" s="5">
        <f>ROW()-2</f>
        <v/>
      </c>
      <c r="B214" s="4" t="inlineStr">
        <is>
          <t>Metrópole</t>
        </is>
      </c>
      <c r="C214" s="5" t="n">
        <v>212</v>
      </c>
      <c r="D214" s="5">
        <f>IFERROR(INDEX('Base de sorteio'!$A$3:$A$1723,MATCH($B214&amp;"|"&amp;$C214,'Base de sorteio'!$I$3:$I$1723,0)),"")</f>
        <v/>
      </c>
      <c r="E214" s="4">
        <f>IFERROR(INDEX('Base de sorteio'!$B$3:$B$1723,MATCH($B214&amp;"|"&amp;$C214,'Base de sorteio'!$I$3:$I$1723,0)),"")</f>
        <v/>
      </c>
      <c r="F214" s="4">
        <f>IFERROR(INDEX('Base de sorteio'!$C$3:$C$1723,MATCH($B214&amp;"|"&amp;$C214,'Base de sorteio'!$I$3:$I$1723,0)),"")</f>
        <v/>
      </c>
      <c r="G214" s="4">
        <f>IFERROR(INDEX('Base de sorteio'!$D$3:$D$1723,MATCH($B214&amp;"|"&amp;$C214,'Base de sorteio'!$I$3:$I$1723,0)),"")</f>
        <v/>
      </c>
      <c r="H214" s="4">
        <f>IFERROR(INDEX('Base de sorteio'!$E$3:$E$1723,MATCH($B214&amp;"|"&amp;$C214,'Base de sorteio'!$I$3:$I$1723,0)),"")</f>
        <v/>
      </c>
      <c r="I214" s="4">
        <f>IF(E214="","",HYPERLINK(IFERROR(INDEX('Base de sorteio'!$J$3:$J$1723,MATCH($B214&amp;"|"&amp;$C214,'Base de sorteio'!$I$3:$I$1723,0)),""),"abrir"))</f>
        <v/>
      </c>
      <c r="J214" s="4" t="n"/>
      <c r="K214" s="4" t="n"/>
      <c r="L214" s="4" t="n"/>
      <c r="M214" s="4" t="n"/>
      <c r="N214" s="4">
        <f>IF(AND(K214="",M214=""),"",IF(OR(K214="sim",M214="sim"),"sim",IF(OR(K214="inconclusivo",M214="inconclusivo"),"inconclusivo","não")))</f>
        <v/>
      </c>
      <c r="O214" s="5">
        <f>IF(N214="sim",COUNTIFS($B$3:$B214,$B214,$N$3:$N214,"sim"),"")</f>
        <v/>
      </c>
      <c r="P214" s="5" t="n"/>
      <c r="Q214" s="4" t="n"/>
      <c r="R214" s="5" t="n"/>
      <c r="S214" s="9" t="n"/>
      <c r="T214" s="4" t="n"/>
    </row>
    <row r="215">
      <c r="A215" s="5">
        <f>ROW()-2</f>
        <v/>
      </c>
      <c r="B215" s="4" t="inlineStr">
        <is>
          <t>Metrópole</t>
        </is>
      </c>
      <c r="C215" s="5" t="n">
        <v>213</v>
      </c>
      <c r="D215" s="5">
        <f>IFERROR(INDEX('Base de sorteio'!$A$3:$A$1723,MATCH($B215&amp;"|"&amp;$C215,'Base de sorteio'!$I$3:$I$1723,0)),"")</f>
        <v/>
      </c>
      <c r="E215" s="4">
        <f>IFERROR(INDEX('Base de sorteio'!$B$3:$B$1723,MATCH($B215&amp;"|"&amp;$C215,'Base de sorteio'!$I$3:$I$1723,0)),"")</f>
        <v/>
      </c>
      <c r="F215" s="4">
        <f>IFERROR(INDEX('Base de sorteio'!$C$3:$C$1723,MATCH($B215&amp;"|"&amp;$C215,'Base de sorteio'!$I$3:$I$1723,0)),"")</f>
        <v/>
      </c>
      <c r="G215" s="4">
        <f>IFERROR(INDEX('Base de sorteio'!$D$3:$D$1723,MATCH($B215&amp;"|"&amp;$C215,'Base de sorteio'!$I$3:$I$1723,0)),"")</f>
        <v/>
      </c>
      <c r="H215" s="4">
        <f>IFERROR(INDEX('Base de sorteio'!$E$3:$E$1723,MATCH($B215&amp;"|"&amp;$C215,'Base de sorteio'!$I$3:$I$1723,0)),"")</f>
        <v/>
      </c>
      <c r="I215" s="4">
        <f>IF(E215="","",HYPERLINK(IFERROR(INDEX('Base de sorteio'!$J$3:$J$1723,MATCH($B215&amp;"|"&amp;$C215,'Base de sorteio'!$I$3:$I$1723,0)),""),"abrir"))</f>
        <v/>
      </c>
      <c r="J215" s="4" t="n"/>
      <c r="K215" s="4" t="n"/>
      <c r="L215" s="4" t="n"/>
      <c r="M215" s="4" t="n"/>
      <c r="N215" s="4">
        <f>IF(AND(K215="",M215=""),"",IF(OR(K215="sim",M215="sim"),"sim",IF(OR(K215="inconclusivo",M215="inconclusivo"),"inconclusivo","não")))</f>
        <v/>
      </c>
      <c r="O215" s="5">
        <f>IF(N215="sim",COUNTIFS($B$3:$B215,$B215,$N$3:$N215,"sim"),"")</f>
        <v/>
      </c>
      <c r="P215" s="5" t="n"/>
      <c r="Q215" s="4" t="n"/>
      <c r="R215" s="5" t="n"/>
      <c r="S215" s="9" t="n"/>
      <c r="T215" s="4" t="n"/>
    </row>
    <row r="216">
      <c r="A216" s="5">
        <f>ROW()-2</f>
        <v/>
      </c>
      <c r="B216" s="4" t="inlineStr">
        <is>
          <t>Metrópole</t>
        </is>
      </c>
      <c r="C216" s="5" t="n">
        <v>214</v>
      </c>
      <c r="D216" s="5">
        <f>IFERROR(INDEX('Base de sorteio'!$A$3:$A$1723,MATCH($B216&amp;"|"&amp;$C216,'Base de sorteio'!$I$3:$I$1723,0)),"")</f>
        <v/>
      </c>
      <c r="E216" s="4">
        <f>IFERROR(INDEX('Base de sorteio'!$B$3:$B$1723,MATCH($B216&amp;"|"&amp;$C216,'Base de sorteio'!$I$3:$I$1723,0)),"")</f>
        <v/>
      </c>
      <c r="F216" s="4">
        <f>IFERROR(INDEX('Base de sorteio'!$C$3:$C$1723,MATCH($B216&amp;"|"&amp;$C216,'Base de sorteio'!$I$3:$I$1723,0)),"")</f>
        <v/>
      </c>
      <c r="G216" s="4">
        <f>IFERROR(INDEX('Base de sorteio'!$D$3:$D$1723,MATCH($B216&amp;"|"&amp;$C216,'Base de sorteio'!$I$3:$I$1723,0)),"")</f>
        <v/>
      </c>
      <c r="H216" s="4">
        <f>IFERROR(INDEX('Base de sorteio'!$E$3:$E$1723,MATCH($B216&amp;"|"&amp;$C216,'Base de sorteio'!$I$3:$I$1723,0)),"")</f>
        <v/>
      </c>
      <c r="I216" s="4">
        <f>IF(E216="","",HYPERLINK(IFERROR(INDEX('Base de sorteio'!$J$3:$J$1723,MATCH($B216&amp;"|"&amp;$C216,'Base de sorteio'!$I$3:$I$1723,0)),""),"abrir"))</f>
        <v/>
      </c>
      <c r="J216" s="4" t="n"/>
      <c r="K216" s="4" t="n"/>
      <c r="L216" s="4" t="n"/>
      <c r="M216" s="4" t="n"/>
      <c r="N216" s="4">
        <f>IF(AND(K216="",M216=""),"",IF(OR(K216="sim",M216="sim"),"sim",IF(OR(K216="inconclusivo",M216="inconclusivo"),"inconclusivo","não")))</f>
        <v/>
      </c>
      <c r="O216" s="5">
        <f>IF(N216="sim",COUNTIFS($B$3:$B216,$B216,$N$3:$N216,"sim"),"")</f>
        <v/>
      </c>
      <c r="P216" s="5" t="n"/>
      <c r="Q216" s="4" t="n"/>
      <c r="R216" s="5" t="n"/>
      <c r="S216" s="9" t="n"/>
      <c r="T216" s="4" t="n"/>
    </row>
    <row r="217">
      <c r="A217" s="5">
        <f>ROW()-2</f>
        <v/>
      </c>
      <c r="B217" s="4" t="inlineStr">
        <is>
          <t>Metrópole</t>
        </is>
      </c>
      <c r="C217" s="5" t="n">
        <v>215</v>
      </c>
      <c r="D217" s="5">
        <f>IFERROR(INDEX('Base de sorteio'!$A$3:$A$1723,MATCH($B217&amp;"|"&amp;$C217,'Base de sorteio'!$I$3:$I$1723,0)),"")</f>
        <v/>
      </c>
      <c r="E217" s="4">
        <f>IFERROR(INDEX('Base de sorteio'!$B$3:$B$1723,MATCH($B217&amp;"|"&amp;$C217,'Base de sorteio'!$I$3:$I$1723,0)),"")</f>
        <v/>
      </c>
      <c r="F217" s="4">
        <f>IFERROR(INDEX('Base de sorteio'!$C$3:$C$1723,MATCH($B217&amp;"|"&amp;$C217,'Base de sorteio'!$I$3:$I$1723,0)),"")</f>
        <v/>
      </c>
      <c r="G217" s="4">
        <f>IFERROR(INDEX('Base de sorteio'!$D$3:$D$1723,MATCH($B217&amp;"|"&amp;$C217,'Base de sorteio'!$I$3:$I$1723,0)),"")</f>
        <v/>
      </c>
      <c r="H217" s="4">
        <f>IFERROR(INDEX('Base de sorteio'!$E$3:$E$1723,MATCH($B217&amp;"|"&amp;$C217,'Base de sorteio'!$I$3:$I$1723,0)),"")</f>
        <v/>
      </c>
      <c r="I217" s="4">
        <f>IF(E217="","",HYPERLINK(IFERROR(INDEX('Base de sorteio'!$J$3:$J$1723,MATCH($B217&amp;"|"&amp;$C217,'Base de sorteio'!$I$3:$I$1723,0)),""),"abrir"))</f>
        <v/>
      </c>
      <c r="J217" s="4" t="n"/>
      <c r="K217" s="4" t="n"/>
      <c r="L217" s="4" t="n"/>
      <c r="M217" s="4" t="n"/>
      <c r="N217" s="4">
        <f>IF(AND(K217="",M217=""),"",IF(OR(K217="sim",M217="sim"),"sim",IF(OR(K217="inconclusivo",M217="inconclusivo"),"inconclusivo","não")))</f>
        <v/>
      </c>
      <c r="O217" s="5">
        <f>IF(N217="sim",COUNTIFS($B$3:$B217,$B217,$N$3:$N217,"sim"),"")</f>
        <v/>
      </c>
      <c r="P217" s="5" t="n"/>
      <c r="Q217" s="4" t="n"/>
      <c r="R217" s="5" t="n"/>
      <c r="S217" s="9" t="n"/>
      <c r="T217" s="4" t="n"/>
    </row>
    <row r="218">
      <c r="A218" s="5">
        <f>ROW()-2</f>
        <v/>
      </c>
      <c r="B218" s="4" t="inlineStr">
        <is>
          <t>Metrópole</t>
        </is>
      </c>
      <c r="C218" s="5" t="n">
        <v>216</v>
      </c>
      <c r="D218" s="5">
        <f>IFERROR(INDEX('Base de sorteio'!$A$3:$A$1723,MATCH($B218&amp;"|"&amp;$C218,'Base de sorteio'!$I$3:$I$1723,0)),"")</f>
        <v/>
      </c>
      <c r="E218" s="4">
        <f>IFERROR(INDEX('Base de sorteio'!$B$3:$B$1723,MATCH($B218&amp;"|"&amp;$C218,'Base de sorteio'!$I$3:$I$1723,0)),"")</f>
        <v/>
      </c>
      <c r="F218" s="4">
        <f>IFERROR(INDEX('Base de sorteio'!$C$3:$C$1723,MATCH($B218&amp;"|"&amp;$C218,'Base de sorteio'!$I$3:$I$1723,0)),"")</f>
        <v/>
      </c>
      <c r="G218" s="4">
        <f>IFERROR(INDEX('Base de sorteio'!$D$3:$D$1723,MATCH($B218&amp;"|"&amp;$C218,'Base de sorteio'!$I$3:$I$1723,0)),"")</f>
        <v/>
      </c>
      <c r="H218" s="4">
        <f>IFERROR(INDEX('Base de sorteio'!$E$3:$E$1723,MATCH($B218&amp;"|"&amp;$C218,'Base de sorteio'!$I$3:$I$1723,0)),"")</f>
        <v/>
      </c>
      <c r="I218" s="4">
        <f>IF(E218="","",HYPERLINK(IFERROR(INDEX('Base de sorteio'!$J$3:$J$1723,MATCH($B218&amp;"|"&amp;$C218,'Base de sorteio'!$I$3:$I$1723,0)),""),"abrir"))</f>
        <v/>
      </c>
      <c r="J218" s="4" t="n"/>
      <c r="K218" s="4" t="n"/>
      <c r="L218" s="4" t="n"/>
      <c r="M218" s="4" t="n"/>
      <c r="N218" s="4">
        <f>IF(AND(K218="",M218=""),"",IF(OR(K218="sim",M218="sim"),"sim",IF(OR(K218="inconclusivo",M218="inconclusivo"),"inconclusivo","não")))</f>
        <v/>
      </c>
      <c r="O218" s="5">
        <f>IF(N218="sim",COUNTIFS($B$3:$B218,$B218,$N$3:$N218,"sim"),"")</f>
        <v/>
      </c>
      <c r="P218" s="5" t="n"/>
      <c r="Q218" s="4" t="n"/>
      <c r="R218" s="5" t="n"/>
      <c r="S218" s="9" t="n"/>
      <c r="T218" s="4" t="n"/>
    </row>
    <row r="219">
      <c r="A219" s="5">
        <f>ROW()-2</f>
        <v/>
      </c>
      <c r="B219" s="4" t="inlineStr">
        <is>
          <t>Metrópole</t>
        </is>
      </c>
      <c r="C219" s="5" t="n">
        <v>217</v>
      </c>
      <c r="D219" s="5">
        <f>IFERROR(INDEX('Base de sorteio'!$A$3:$A$1723,MATCH($B219&amp;"|"&amp;$C219,'Base de sorteio'!$I$3:$I$1723,0)),"")</f>
        <v/>
      </c>
      <c r="E219" s="4">
        <f>IFERROR(INDEX('Base de sorteio'!$B$3:$B$1723,MATCH($B219&amp;"|"&amp;$C219,'Base de sorteio'!$I$3:$I$1723,0)),"")</f>
        <v/>
      </c>
      <c r="F219" s="4">
        <f>IFERROR(INDEX('Base de sorteio'!$C$3:$C$1723,MATCH($B219&amp;"|"&amp;$C219,'Base de sorteio'!$I$3:$I$1723,0)),"")</f>
        <v/>
      </c>
      <c r="G219" s="4">
        <f>IFERROR(INDEX('Base de sorteio'!$D$3:$D$1723,MATCH($B219&amp;"|"&amp;$C219,'Base de sorteio'!$I$3:$I$1723,0)),"")</f>
        <v/>
      </c>
      <c r="H219" s="4">
        <f>IFERROR(INDEX('Base de sorteio'!$E$3:$E$1723,MATCH($B219&amp;"|"&amp;$C219,'Base de sorteio'!$I$3:$I$1723,0)),"")</f>
        <v/>
      </c>
      <c r="I219" s="4">
        <f>IF(E219="","",HYPERLINK(IFERROR(INDEX('Base de sorteio'!$J$3:$J$1723,MATCH($B219&amp;"|"&amp;$C219,'Base de sorteio'!$I$3:$I$1723,0)),""),"abrir"))</f>
        <v/>
      </c>
      <c r="J219" s="4" t="n"/>
      <c r="K219" s="4" t="n"/>
      <c r="L219" s="4" t="n"/>
      <c r="M219" s="4" t="n"/>
      <c r="N219" s="4">
        <f>IF(AND(K219="",M219=""),"",IF(OR(K219="sim",M219="sim"),"sim",IF(OR(K219="inconclusivo",M219="inconclusivo"),"inconclusivo","não")))</f>
        <v/>
      </c>
      <c r="O219" s="5">
        <f>IF(N219="sim",COUNTIFS($B$3:$B219,$B219,$N$3:$N219,"sim"),"")</f>
        <v/>
      </c>
      <c r="P219" s="5" t="n"/>
      <c r="Q219" s="4" t="n"/>
      <c r="R219" s="5" t="n"/>
      <c r="S219" s="9" t="n"/>
      <c r="T219" s="4" t="n"/>
    </row>
    <row r="220">
      <c r="A220" s="5">
        <f>ROW()-2</f>
        <v/>
      </c>
      <c r="B220" s="4" t="inlineStr">
        <is>
          <t>Metrópole</t>
        </is>
      </c>
      <c r="C220" s="5" t="n">
        <v>218</v>
      </c>
      <c r="D220" s="5">
        <f>IFERROR(INDEX('Base de sorteio'!$A$3:$A$1723,MATCH($B220&amp;"|"&amp;$C220,'Base de sorteio'!$I$3:$I$1723,0)),"")</f>
        <v/>
      </c>
      <c r="E220" s="4">
        <f>IFERROR(INDEX('Base de sorteio'!$B$3:$B$1723,MATCH($B220&amp;"|"&amp;$C220,'Base de sorteio'!$I$3:$I$1723,0)),"")</f>
        <v/>
      </c>
      <c r="F220" s="4">
        <f>IFERROR(INDEX('Base de sorteio'!$C$3:$C$1723,MATCH($B220&amp;"|"&amp;$C220,'Base de sorteio'!$I$3:$I$1723,0)),"")</f>
        <v/>
      </c>
      <c r="G220" s="4">
        <f>IFERROR(INDEX('Base de sorteio'!$D$3:$D$1723,MATCH($B220&amp;"|"&amp;$C220,'Base de sorteio'!$I$3:$I$1723,0)),"")</f>
        <v/>
      </c>
      <c r="H220" s="4">
        <f>IFERROR(INDEX('Base de sorteio'!$E$3:$E$1723,MATCH($B220&amp;"|"&amp;$C220,'Base de sorteio'!$I$3:$I$1723,0)),"")</f>
        <v/>
      </c>
      <c r="I220" s="4">
        <f>IF(E220="","",HYPERLINK(IFERROR(INDEX('Base de sorteio'!$J$3:$J$1723,MATCH($B220&amp;"|"&amp;$C220,'Base de sorteio'!$I$3:$I$1723,0)),""),"abrir"))</f>
        <v/>
      </c>
      <c r="J220" s="4" t="n"/>
      <c r="K220" s="4" t="n"/>
      <c r="L220" s="4" t="n"/>
      <c r="M220" s="4" t="n"/>
      <c r="N220" s="4">
        <f>IF(AND(K220="",M220=""),"",IF(OR(K220="sim",M220="sim"),"sim",IF(OR(K220="inconclusivo",M220="inconclusivo"),"inconclusivo","não")))</f>
        <v/>
      </c>
      <c r="O220" s="5">
        <f>IF(N220="sim",COUNTIFS($B$3:$B220,$B220,$N$3:$N220,"sim"),"")</f>
        <v/>
      </c>
      <c r="P220" s="5" t="n"/>
      <c r="Q220" s="4" t="n"/>
      <c r="R220" s="5" t="n"/>
      <c r="S220" s="9" t="n"/>
      <c r="T220" s="4" t="n"/>
    </row>
    <row r="221">
      <c r="A221" s="5">
        <f>ROW()-2</f>
        <v/>
      </c>
      <c r="B221" s="4" t="inlineStr">
        <is>
          <t>Metrópole</t>
        </is>
      </c>
      <c r="C221" s="5" t="n">
        <v>219</v>
      </c>
      <c r="D221" s="5">
        <f>IFERROR(INDEX('Base de sorteio'!$A$3:$A$1723,MATCH($B221&amp;"|"&amp;$C221,'Base de sorteio'!$I$3:$I$1723,0)),"")</f>
        <v/>
      </c>
      <c r="E221" s="4">
        <f>IFERROR(INDEX('Base de sorteio'!$B$3:$B$1723,MATCH($B221&amp;"|"&amp;$C221,'Base de sorteio'!$I$3:$I$1723,0)),"")</f>
        <v/>
      </c>
      <c r="F221" s="4">
        <f>IFERROR(INDEX('Base de sorteio'!$C$3:$C$1723,MATCH($B221&amp;"|"&amp;$C221,'Base de sorteio'!$I$3:$I$1723,0)),"")</f>
        <v/>
      </c>
      <c r="G221" s="4">
        <f>IFERROR(INDEX('Base de sorteio'!$D$3:$D$1723,MATCH($B221&amp;"|"&amp;$C221,'Base de sorteio'!$I$3:$I$1723,0)),"")</f>
        <v/>
      </c>
      <c r="H221" s="4">
        <f>IFERROR(INDEX('Base de sorteio'!$E$3:$E$1723,MATCH($B221&amp;"|"&amp;$C221,'Base de sorteio'!$I$3:$I$1723,0)),"")</f>
        <v/>
      </c>
      <c r="I221" s="4">
        <f>IF(E221="","",HYPERLINK(IFERROR(INDEX('Base de sorteio'!$J$3:$J$1723,MATCH($B221&amp;"|"&amp;$C221,'Base de sorteio'!$I$3:$I$1723,0)),""),"abrir"))</f>
        <v/>
      </c>
      <c r="J221" s="4" t="n"/>
      <c r="K221" s="4" t="n"/>
      <c r="L221" s="4" t="n"/>
      <c r="M221" s="4" t="n"/>
      <c r="N221" s="4">
        <f>IF(AND(K221="",M221=""),"",IF(OR(K221="sim",M221="sim"),"sim",IF(OR(K221="inconclusivo",M221="inconclusivo"),"inconclusivo","não")))</f>
        <v/>
      </c>
      <c r="O221" s="5">
        <f>IF(N221="sim",COUNTIFS($B$3:$B221,$B221,$N$3:$N221,"sim"),"")</f>
        <v/>
      </c>
      <c r="P221" s="5" t="n"/>
      <c r="Q221" s="4" t="n"/>
      <c r="R221" s="5" t="n"/>
      <c r="S221" s="9" t="n"/>
      <c r="T221" s="4" t="n"/>
    </row>
    <row r="222">
      <c r="A222" s="5">
        <f>ROW()-2</f>
        <v/>
      </c>
      <c r="B222" s="4" t="inlineStr">
        <is>
          <t>Metrópole</t>
        </is>
      </c>
      <c r="C222" s="5" t="n">
        <v>220</v>
      </c>
      <c r="D222" s="5">
        <f>IFERROR(INDEX('Base de sorteio'!$A$3:$A$1723,MATCH($B222&amp;"|"&amp;$C222,'Base de sorteio'!$I$3:$I$1723,0)),"")</f>
        <v/>
      </c>
      <c r="E222" s="4">
        <f>IFERROR(INDEX('Base de sorteio'!$B$3:$B$1723,MATCH($B222&amp;"|"&amp;$C222,'Base de sorteio'!$I$3:$I$1723,0)),"")</f>
        <v/>
      </c>
      <c r="F222" s="4">
        <f>IFERROR(INDEX('Base de sorteio'!$C$3:$C$1723,MATCH($B222&amp;"|"&amp;$C222,'Base de sorteio'!$I$3:$I$1723,0)),"")</f>
        <v/>
      </c>
      <c r="G222" s="4">
        <f>IFERROR(INDEX('Base de sorteio'!$D$3:$D$1723,MATCH($B222&amp;"|"&amp;$C222,'Base de sorteio'!$I$3:$I$1723,0)),"")</f>
        <v/>
      </c>
      <c r="H222" s="4">
        <f>IFERROR(INDEX('Base de sorteio'!$E$3:$E$1723,MATCH($B222&amp;"|"&amp;$C222,'Base de sorteio'!$I$3:$I$1723,0)),"")</f>
        <v/>
      </c>
      <c r="I222" s="4">
        <f>IF(E222="","",HYPERLINK(IFERROR(INDEX('Base de sorteio'!$J$3:$J$1723,MATCH($B222&amp;"|"&amp;$C222,'Base de sorteio'!$I$3:$I$1723,0)),""),"abrir"))</f>
        <v/>
      </c>
      <c r="J222" s="4" t="n"/>
      <c r="K222" s="4" t="n"/>
      <c r="L222" s="4" t="n"/>
      <c r="M222" s="4" t="n"/>
      <c r="N222" s="4">
        <f>IF(AND(K222="",M222=""),"",IF(OR(K222="sim",M222="sim"),"sim",IF(OR(K222="inconclusivo",M222="inconclusivo"),"inconclusivo","não")))</f>
        <v/>
      </c>
      <c r="O222" s="5">
        <f>IF(N222="sim",COUNTIFS($B$3:$B222,$B222,$N$3:$N222,"sim"),"")</f>
        <v/>
      </c>
      <c r="P222" s="5" t="n"/>
      <c r="Q222" s="4" t="n"/>
      <c r="R222" s="5" t="n"/>
      <c r="S222" s="9" t="n"/>
      <c r="T222" s="4" t="n"/>
    </row>
    <row r="223">
      <c r="A223" s="5">
        <f>ROW()-2</f>
        <v/>
      </c>
      <c r="B223" s="4" t="inlineStr">
        <is>
          <t>Metrópole</t>
        </is>
      </c>
      <c r="C223" s="5" t="n">
        <v>221</v>
      </c>
      <c r="D223" s="5">
        <f>IFERROR(INDEX('Base de sorteio'!$A$3:$A$1723,MATCH($B223&amp;"|"&amp;$C223,'Base de sorteio'!$I$3:$I$1723,0)),"")</f>
        <v/>
      </c>
      <c r="E223" s="4">
        <f>IFERROR(INDEX('Base de sorteio'!$B$3:$B$1723,MATCH($B223&amp;"|"&amp;$C223,'Base de sorteio'!$I$3:$I$1723,0)),"")</f>
        <v/>
      </c>
      <c r="F223" s="4">
        <f>IFERROR(INDEX('Base de sorteio'!$C$3:$C$1723,MATCH($B223&amp;"|"&amp;$C223,'Base de sorteio'!$I$3:$I$1723,0)),"")</f>
        <v/>
      </c>
      <c r="G223" s="4">
        <f>IFERROR(INDEX('Base de sorteio'!$D$3:$D$1723,MATCH($B223&amp;"|"&amp;$C223,'Base de sorteio'!$I$3:$I$1723,0)),"")</f>
        <v/>
      </c>
      <c r="H223" s="4">
        <f>IFERROR(INDEX('Base de sorteio'!$E$3:$E$1723,MATCH($B223&amp;"|"&amp;$C223,'Base de sorteio'!$I$3:$I$1723,0)),"")</f>
        <v/>
      </c>
      <c r="I223" s="4">
        <f>IF(E223="","",HYPERLINK(IFERROR(INDEX('Base de sorteio'!$J$3:$J$1723,MATCH($B223&amp;"|"&amp;$C223,'Base de sorteio'!$I$3:$I$1723,0)),""),"abrir"))</f>
        <v/>
      </c>
      <c r="J223" s="4" t="n"/>
      <c r="K223" s="4" t="n"/>
      <c r="L223" s="4" t="n"/>
      <c r="M223" s="4" t="n"/>
      <c r="N223" s="4">
        <f>IF(AND(K223="",M223=""),"",IF(OR(K223="sim",M223="sim"),"sim",IF(OR(K223="inconclusivo",M223="inconclusivo"),"inconclusivo","não")))</f>
        <v/>
      </c>
      <c r="O223" s="5">
        <f>IF(N223="sim",COUNTIFS($B$3:$B223,$B223,$N$3:$N223,"sim"),"")</f>
        <v/>
      </c>
      <c r="P223" s="5" t="n"/>
      <c r="Q223" s="4" t="n"/>
      <c r="R223" s="5" t="n"/>
      <c r="S223" s="9" t="n"/>
      <c r="T223" s="4" t="n"/>
    </row>
    <row r="224">
      <c r="A224" s="5">
        <f>ROW()-2</f>
        <v/>
      </c>
      <c r="B224" s="4" t="inlineStr">
        <is>
          <t>Metrópole</t>
        </is>
      </c>
      <c r="C224" s="5" t="n">
        <v>222</v>
      </c>
      <c r="D224" s="5">
        <f>IFERROR(INDEX('Base de sorteio'!$A$3:$A$1723,MATCH($B224&amp;"|"&amp;$C224,'Base de sorteio'!$I$3:$I$1723,0)),"")</f>
        <v/>
      </c>
      <c r="E224" s="4">
        <f>IFERROR(INDEX('Base de sorteio'!$B$3:$B$1723,MATCH($B224&amp;"|"&amp;$C224,'Base de sorteio'!$I$3:$I$1723,0)),"")</f>
        <v/>
      </c>
      <c r="F224" s="4">
        <f>IFERROR(INDEX('Base de sorteio'!$C$3:$C$1723,MATCH($B224&amp;"|"&amp;$C224,'Base de sorteio'!$I$3:$I$1723,0)),"")</f>
        <v/>
      </c>
      <c r="G224" s="4">
        <f>IFERROR(INDEX('Base de sorteio'!$D$3:$D$1723,MATCH($B224&amp;"|"&amp;$C224,'Base de sorteio'!$I$3:$I$1723,0)),"")</f>
        <v/>
      </c>
      <c r="H224" s="4">
        <f>IFERROR(INDEX('Base de sorteio'!$E$3:$E$1723,MATCH($B224&amp;"|"&amp;$C224,'Base de sorteio'!$I$3:$I$1723,0)),"")</f>
        <v/>
      </c>
      <c r="I224" s="4">
        <f>IF(E224="","",HYPERLINK(IFERROR(INDEX('Base de sorteio'!$J$3:$J$1723,MATCH($B224&amp;"|"&amp;$C224,'Base de sorteio'!$I$3:$I$1723,0)),""),"abrir"))</f>
        <v/>
      </c>
      <c r="J224" s="4" t="n"/>
      <c r="K224" s="4" t="n"/>
      <c r="L224" s="4" t="n"/>
      <c r="M224" s="4" t="n"/>
      <c r="N224" s="4">
        <f>IF(AND(K224="",M224=""),"",IF(OR(K224="sim",M224="sim"),"sim",IF(OR(K224="inconclusivo",M224="inconclusivo"),"inconclusivo","não")))</f>
        <v/>
      </c>
      <c r="O224" s="5">
        <f>IF(N224="sim",COUNTIFS($B$3:$B224,$B224,$N$3:$N224,"sim"),"")</f>
        <v/>
      </c>
      <c r="P224" s="5" t="n"/>
      <c r="Q224" s="4" t="n"/>
      <c r="R224" s="5" t="n"/>
      <c r="S224" s="9" t="n"/>
      <c r="T224" s="4" t="n"/>
    </row>
    <row r="225">
      <c r="A225" s="5">
        <f>ROW()-2</f>
        <v/>
      </c>
      <c r="B225" s="4" t="inlineStr">
        <is>
          <t>Metrópole</t>
        </is>
      </c>
      <c r="C225" s="5" t="n">
        <v>223</v>
      </c>
      <c r="D225" s="5">
        <f>IFERROR(INDEX('Base de sorteio'!$A$3:$A$1723,MATCH($B225&amp;"|"&amp;$C225,'Base de sorteio'!$I$3:$I$1723,0)),"")</f>
        <v/>
      </c>
      <c r="E225" s="4">
        <f>IFERROR(INDEX('Base de sorteio'!$B$3:$B$1723,MATCH($B225&amp;"|"&amp;$C225,'Base de sorteio'!$I$3:$I$1723,0)),"")</f>
        <v/>
      </c>
      <c r="F225" s="4">
        <f>IFERROR(INDEX('Base de sorteio'!$C$3:$C$1723,MATCH($B225&amp;"|"&amp;$C225,'Base de sorteio'!$I$3:$I$1723,0)),"")</f>
        <v/>
      </c>
      <c r="G225" s="4">
        <f>IFERROR(INDEX('Base de sorteio'!$D$3:$D$1723,MATCH($B225&amp;"|"&amp;$C225,'Base de sorteio'!$I$3:$I$1723,0)),"")</f>
        <v/>
      </c>
      <c r="H225" s="4">
        <f>IFERROR(INDEX('Base de sorteio'!$E$3:$E$1723,MATCH($B225&amp;"|"&amp;$C225,'Base de sorteio'!$I$3:$I$1723,0)),"")</f>
        <v/>
      </c>
      <c r="I225" s="4">
        <f>IF(E225="","",HYPERLINK(IFERROR(INDEX('Base de sorteio'!$J$3:$J$1723,MATCH($B225&amp;"|"&amp;$C225,'Base de sorteio'!$I$3:$I$1723,0)),""),"abrir"))</f>
        <v/>
      </c>
      <c r="J225" s="4" t="n"/>
      <c r="K225" s="4" t="n"/>
      <c r="L225" s="4" t="n"/>
      <c r="M225" s="4" t="n"/>
      <c r="N225" s="4">
        <f>IF(AND(K225="",M225=""),"",IF(OR(K225="sim",M225="sim"),"sim",IF(OR(K225="inconclusivo",M225="inconclusivo"),"inconclusivo","não")))</f>
        <v/>
      </c>
      <c r="O225" s="5">
        <f>IF(N225="sim",COUNTIFS($B$3:$B225,$B225,$N$3:$N225,"sim"),"")</f>
        <v/>
      </c>
      <c r="P225" s="5" t="n"/>
      <c r="Q225" s="4" t="n"/>
      <c r="R225" s="5" t="n"/>
      <c r="S225" s="9" t="n"/>
      <c r="T225" s="4" t="n"/>
    </row>
    <row r="226">
      <c r="A226" s="5">
        <f>ROW()-2</f>
        <v/>
      </c>
      <c r="B226" s="4" t="inlineStr">
        <is>
          <t>Metrópole</t>
        </is>
      </c>
      <c r="C226" s="5" t="n">
        <v>224</v>
      </c>
      <c r="D226" s="5">
        <f>IFERROR(INDEX('Base de sorteio'!$A$3:$A$1723,MATCH($B226&amp;"|"&amp;$C226,'Base de sorteio'!$I$3:$I$1723,0)),"")</f>
        <v/>
      </c>
      <c r="E226" s="4">
        <f>IFERROR(INDEX('Base de sorteio'!$B$3:$B$1723,MATCH($B226&amp;"|"&amp;$C226,'Base de sorteio'!$I$3:$I$1723,0)),"")</f>
        <v/>
      </c>
      <c r="F226" s="4">
        <f>IFERROR(INDEX('Base de sorteio'!$C$3:$C$1723,MATCH($B226&amp;"|"&amp;$C226,'Base de sorteio'!$I$3:$I$1723,0)),"")</f>
        <v/>
      </c>
      <c r="G226" s="4">
        <f>IFERROR(INDEX('Base de sorteio'!$D$3:$D$1723,MATCH($B226&amp;"|"&amp;$C226,'Base de sorteio'!$I$3:$I$1723,0)),"")</f>
        <v/>
      </c>
      <c r="H226" s="4">
        <f>IFERROR(INDEX('Base de sorteio'!$E$3:$E$1723,MATCH($B226&amp;"|"&amp;$C226,'Base de sorteio'!$I$3:$I$1723,0)),"")</f>
        <v/>
      </c>
      <c r="I226" s="4">
        <f>IF(E226="","",HYPERLINK(IFERROR(INDEX('Base de sorteio'!$J$3:$J$1723,MATCH($B226&amp;"|"&amp;$C226,'Base de sorteio'!$I$3:$I$1723,0)),""),"abrir"))</f>
        <v/>
      </c>
      <c r="J226" s="4" t="n"/>
      <c r="K226" s="4" t="n"/>
      <c r="L226" s="4" t="n"/>
      <c r="M226" s="4" t="n"/>
      <c r="N226" s="4">
        <f>IF(AND(K226="",M226=""),"",IF(OR(K226="sim",M226="sim"),"sim",IF(OR(K226="inconclusivo",M226="inconclusivo"),"inconclusivo","não")))</f>
        <v/>
      </c>
      <c r="O226" s="5">
        <f>IF(N226="sim",COUNTIFS($B$3:$B226,$B226,$N$3:$N226,"sim"),"")</f>
        <v/>
      </c>
      <c r="P226" s="5" t="n"/>
      <c r="Q226" s="4" t="n"/>
      <c r="R226" s="5" t="n"/>
      <c r="S226" s="9" t="n"/>
      <c r="T226" s="4" t="n"/>
    </row>
    <row r="227">
      <c r="A227" s="5">
        <f>ROW()-2</f>
        <v/>
      </c>
      <c r="B227" s="4" t="inlineStr">
        <is>
          <t>Metrópole</t>
        </is>
      </c>
      <c r="C227" s="5" t="n">
        <v>225</v>
      </c>
      <c r="D227" s="5">
        <f>IFERROR(INDEX('Base de sorteio'!$A$3:$A$1723,MATCH($B227&amp;"|"&amp;$C227,'Base de sorteio'!$I$3:$I$1723,0)),"")</f>
        <v/>
      </c>
      <c r="E227" s="4">
        <f>IFERROR(INDEX('Base de sorteio'!$B$3:$B$1723,MATCH($B227&amp;"|"&amp;$C227,'Base de sorteio'!$I$3:$I$1723,0)),"")</f>
        <v/>
      </c>
      <c r="F227" s="4">
        <f>IFERROR(INDEX('Base de sorteio'!$C$3:$C$1723,MATCH($B227&amp;"|"&amp;$C227,'Base de sorteio'!$I$3:$I$1723,0)),"")</f>
        <v/>
      </c>
      <c r="G227" s="4">
        <f>IFERROR(INDEX('Base de sorteio'!$D$3:$D$1723,MATCH($B227&amp;"|"&amp;$C227,'Base de sorteio'!$I$3:$I$1723,0)),"")</f>
        <v/>
      </c>
      <c r="H227" s="4">
        <f>IFERROR(INDEX('Base de sorteio'!$E$3:$E$1723,MATCH($B227&amp;"|"&amp;$C227,'Base de sorteio'!$I$3:$I$1723,0)),"")</f>
        <v/>
      </c>
      <c r="I227" s="4">
        <f>IF(E227="","",HYPERLINK(IFERROR(INDEX('Base de sorteio'!$J$3:$J$1723,MATCH($B227&amp;"|"&amp;$C227,'Base de sorteio'!$I$3:$I$1723,0)),""),"abrir"))</f>
        <v/>
      </c>
      <c r="J227" s="4" t="n"/>
      <c r="K227" s="4" t="n"/>
      <c r="L227" s="4" t="n"/>
      <c r="M227" s="4" t="n"/>
      <c r="N227" s="4">
        <f>IF(AND(K227="",M227=""),"",IF(OR(K227="sim",M227="sim"),"sim",IF(OR(K227="inconclusivo",M227="inconclusivo"),"inconclusivo","não")))</f>
        <v/>
      </c>
      <c r="O227" s="5">
        <f>IF(N227="sim",COUNTIFS($B$3:$B227,$B227,$N$3:$N227,"sim"),"")</f>
        <v/>
      </c>
      <c r="P227" s="5" t="n"/>
      <c r="Q227" s="4" t="n"/>
      <c r="R227" s="5" t="n"/>
      <c r="S227" s="9" t="n"/>
      <c r="T227" s="4" t="n"/>
    </row>
    <row r="228">
      <c r="A228" s="5">
        <f>ROW()-2</f>
        <v/>
      </c>
      <c r="B228" s="4" t="inlineStr">
        <is>
          <t>Metrópole</t>
        </is>
      </c>
      <c r="C228" s="5" t="n">
        <v>226</v>
      </c>
      <c r="D228" s="5">
        <f>IFERROR(INDEX('Base de sorteio'!$A$3:$A$1723,MATCH($B228&amp;"|"&amp;$C228,'Base de sorteio'!$I$3:$I$1723,0)),"")</f>
        <v/>
      </c>
      <c r="E228" s="4">
        <f>IFERROR(INDEX('Base de sorteio'!$B$3:$B$1723,MATCH($B228&amp;"|"&amp;$C228,'Base de sorteio'!$I$3:$I$1723,0)),"")</f>
        <v/>
      </c>
      <c r="F228" s="4">
        <f>IFERROR(INDEX('Base de sorteio'!$C$3:$C$1723,MATCH($B228&amp;"|"&amp;$C228,'Base de sorteio'!$I$3:$I$1723,0)),"")</f>
        <v/>
      </c>
      <c r="G228" s="4">
        <f>IFERROR(INDEX('Base de sorteio'!$D$3:$D$1723,MATCH($B228&amp;"|"&amp;$C228,'Base de sorteio'!$I$3:$I$1723,0)),"")</f>
        <v/>
      </c>
      <c r="H228" s="4">
        <f>IFERROR(INDEX('Base de sorteio'!$E$3:$E$1723,MATCH($B228&amp;"|"&amp;$C228,'Base de sorteio'!$I$3:$I$1723,0)),"")</f>
        <v/>
      </c>
      <c r="I228" s="4">
        <f>IF(E228="","",HYPERLINK(IFERROR(INDEX('Base de sorteio'!$J$3:$J$1723,MATCH($B228&amp;"|"&amp;$C228,'Base de sorteio'!$I$3:$I$1723,0)),""),"abrir"))</f>
        <v/>
      </c>
      <c r="J228" s="4" t="n"/>
      <c r="K228" s="4" t="n"/>
      <c r="L228" s="4" t="n"/>
      <c r="M228" s="4" t="n"/>
      <c r="N228" s="4">
        <f>IF(AND(K228="",M228=""),"",IF(OR(K228="sim",M228="sim"),"sim",IF(OR(K228="inconclusivo",M228="inconclusivo"),"inconclusivo","não")))</f>
        <v/>
      </c>
      <c r="O228" s="5">
        <f>IF(N228="sim",COUNTIFS($B$3:$B228,$B228,$N$3:$N228,"sim"),"")</f>
        <v/>
      </c>
      <c r="P228" s="5" t="n"/>
      <c r="Q228" s="4" t="n"/>
      <c r="R228" s="5" t="n"/>
      <c r="S228" s="9" t="n"/>
      <c r="T228" s="4" t="n"/>
    </row>
    <row r="229">
      <c r="A229" s="5">
        <f>ROW()-2</f>
        <v/>
      </c>
      <c r="B229" s="4" t="inlineStr">
        <is>
          <t>Metrópole</t>
        </is>
      </c>
      <c r="C229" s="5" t="n">
        <v>227</v>
      </c>
      <c r="D229" s="5">
        <f>IFERROR(INDEX('Base de sorteio'!$A$3:$A$1723,MATCH($B229&amp;"|"&amp;$C229,'Base de sorteio'!$I$3:$I$1723,0)),"")</f>
        <v/>
      </c>
      <c r="E229" s="4">
        <f>IFERROR(INDEX('Base de sorteio'!$B$3:$B$1723,MATCH($B229&amp;"|"&amp;$C229,'Base de sorteio'!$I$3:$I$1723,0)),"")</f>
        <v/>
      </c>
      <c r="F229" s="4">
        <f>IFERROR(INDEX('Base de sorteio'!$C$3:$C$1723,MATCH($B229&amp;"|"&amp;$C229,'Base de sorteio'!$I$3:$I$1723,0)),"")</f>
        <v/>
      </c>
      <c r="G229" s="4">
        <f>IFERROR(INDEX('Base de sorteio'!$D$3:$D$1723,MATCH($B229&amp;"|"&amp;$C229,'Base de sorteio'!$I$3:$I$1723,0)),"")</f>
        <v/>
      </c>
      <c r="H229" s="4">
        <f>IFERROR(INDEX('Base de sorteio'!$E$3:$E$1723,MATCH($B229&amp;"|"&amp;$C229,'Base de sorteio'!$I$3:$I$1723,0)),"")</f>
        <v/>
      </c>
      <c r="I229" s="4">
        <f>IF(E229="","",HYPERLINK(IFERROR(INDEX('Base de sorteio'!$J$3:$J$1723,MATCH($B229&amp;"|"&amp;$C229,'Base de sorteio'!$I$3:$I$1723,0)),""),"abrir"))</f>
        <v/>
      </c>
      <c r="J229" s="4" t="n"/>
      <c r="K229" s="4" t="n"/>
      <c r="L229" s="4" t="n"/>
      <c r="M229" s="4" t="n"/>
      <c r="N229" s="4">
        <f>IF(AND(K229="",M229=""),"",IF(OR(K229="sim",M229="sim"),"sim",IF(OR(K229="inconclusivo",M229="inconclusivo"),"inconclusivo","não")))</f>
        <v/>
      </c>
      <c r="O229" s="5">
        <f>IF(N229="sim",COUNTIFS($B$3:$B229,$B229,$N$3:$N229,"sim"),"")</f>
        <v/>
      </c>
      <c r="P229" s="5" t="n"/>
      <c r="Q229" s="4" t="n"/>
      <c r="R229" s="5" t="n"/>
      <c r="S229" s="9" t="n"/>
      <c r="T229" s="4" t="n"/>
    </row>
    <row r="230">
      <c r="A230" s="5">
        <f>ROW()-2</f>
        <v/>
      </c>
      <c r="B230" s="4" t="inlineStr">
        <is>
          <t>Metrópole</t>
        </is>
      </c>
      <c r="C230" s="5" t="n">
        <v>228</v>
      </c>
      <c r="D230" s="5">
        <f>IFERROR(INDEX('Base de sorteio'!$A$3:$A$1723,MATCH($B230&amp;"|"&amp;$C230,'Base de sorteio'!$I$3:$I$1723,0)),"")</f>
        <v/>
      </c>
      <c r="E230" s="4">
        <f>IFERROR(INDEX('Base de sorteio'!$B$3:$B$1723,MATCH($B230&amp;"|"&amp;$C230,'Base de sorteio'!$I$3:$I$1723,0)),"")</f>
        <v/>
      </c>
      <c r="F230" s="4">
        <f>IFERROR(INDEX('Base de sorteio'!$C$3:$C$1723,MATCH($B230&amp;"|"&amp;$C230,'Base de sorteio'!$I$3:$I$1723,0)),"")</f>
        <v/>
      </c>
      <c r="G230" s="4">
        <f>IFERROR(INDEX('Base de sorteio'!$D$3:$D$1723,MATCH($B230&amp;"|"&amp;$C230,'Base de sorteio'!$I$3:$I$1723,0)),"")</f>
        <v/>
      </c>
      <c r="H230" s="4">
        <f>IFERROR(INDEX('Base de sorteio'!$E$3:$E$1723,MATCH($B230&amp;"|"&amp;$C230,'Base de sorteio'!$I$3:$I$1723,0)),"")</f>
        <v/>
      </c>
      <c r="I230" s="4">
        <f>IF(E230="","",HYPERLINK(IFERROR(INDEX('Base de sorteio'!$J$3:$J$1723,MATCH($B230&amp;"|"&amp;$C230,'Base de sorteio'!$I$3:$I$1723,0)),""),"abrir"))</f>
        <v/>
      </c>
      <c r="J230" s="4" t="n"/>
      <c r="K230" s="4" t="n"/>
      <c r="L230" s="4" t="n"/>
      <c r="M230" s="4" t="n"/>
      <c r="N230" s="4">
        <f>IF(AND(K230="",M230=""),"",IF(OR(K230="sim",M230="sim"),"sim",IF(OR(K230="inconclusivo",M230="inconclusivo"),"inconclusivo","não")))</f>
        <v/>
      </c>
      <c r="O230" s="5">
        <f>IF(N230="sim",COUNTIFS($B$3:$B230,$B230,$N$3:$N230,"sim"),"")</f>
        <v/>
      </c>
      <c r="P230" s="5" t="n"/>
      <c r="Q230" s="4" t="n"/>
      <c r="R230" s="5" t="n"/>
      <c r="S230" s="9" t="n"/>
      <c r="T230" s="4" t="n"/>
    </row>
    <row r="231">
      <c r="A231" s="5">
        <f>ROW()-2</f>
        <v/>
      </c>
      <c r="B231" s="4" t="inlineStr">
        <is>
          <t>Metrópole</t>
        </is>
      </c>
      <c r="C231" s="5" t="n">
        <v>229</v>
      </c>
      <c r="D231" s="5">
        <f>IFERROR(INDEX('Base de sorteio'!$A$3:$A$1723,MATCH($B231&amp;"|"&amp;$C231,'Base de sorteio'!$I$3:$I$1723,0)),"")</f>
        <v/>
      </c>
      <c r="E231" s="4">
        <f>IFERROR(INDEX('Base de sorteio'!$B$3:$B$1723,MATCH($B231&amp;"|"&amp;$C231,'Base de sorteio'!$I$3:$I$1723,0)),"")</f>
        <v/>
      </c>
      <c r="F231" s="4">
        <f>IFERROR(INDEX('Base de sorteio'!$C$3:$C$1723,MATCH($B231&amp;"|"&amp;$C231,'Base de sorteio'!$I$3:$I$1723,0)),"")</f>
        <v/>
      </c>
      <c r="G231" s="4">
        <f>IFERROR(INDEX('Base de sorteio'!$D$3:$D$1723,MATCH($B231&amp;"|"&amp;$C231,'Base de sorteio'!$I$3:$I$1723,0)),"")</f>
        <v/>
      </c>
      <c r="H231" s="4">
        <f>IFERROR(INDEX('Base de sorteio'!$E$3:$E$1723,MATCH($B231&amp;"|"&amp;$C231,'Base de sorteio'!$I$3:$I$1723,0)),"")</f>
        <v/>
      </c>
      <c r="I231" s="4">
        <f>IF(E231="","",HYPERLINK(IFERROR(INDEX('Base de sorteio'!$J$3:$J$1723,MATCH($B231&amp;"|"&amp;$C231,'Base de sorteio'!$I$3:$I$1723,0)),""),"abrir"))</f>
        <v/>
      </c>
      <c r="J231" s="4" t="n"/>
      <c r="K231" s="4" t="n"/>
      <c r="L231" s="4" t="n"/>
      <c r="M231" s="4" t="n"/>
      <c r="N231" s="4">
        <f>IF(AND(K231="",M231=""),"",IF(OR(K231="sim",M231="sim"),"sim",IF(OR(K231="inconclusivo",M231="inconclusivo"),"inconclusivo","não")))</f>
        <v/>
      </c>
      <c r="O231" s="5">
        <f>IF(N231="sim",COUNTIFS($B$3:$B231,$B231,$N$3:$N231,"sim"),"")</f>
        <v/>
      </c>
      <c r="P231" s="5" t="n"/>
      <c r="Q231" s="4" t="n"/>
      <c r="R231" s="5" t="n"/>
      <c r="S231" s="9" t="n"/>
      <c r="T231" s="4" t="n"/>
    </row>
    <row r="232">
      <c r="A232" s="5">
        <f>ROW()-2</f>
        <v/>
      </c>
      <c r="B232" s="4" t="inlineStr">
        <is>
          <t>Metrópole</t>
        </is>
      </c>
      <c r="C232" s="5" t="n">
        <v>230</v>
      </c>
      <c r="D232" s="5">
        <f>IFERROR(INDEX('Base de sorteio'!$A$3:$A$1723,MATCH($B232&amp;"|"&amp;$C232,'Base de sorteio'!$I$3:$I$1723,0)),"")</f>
        <v/>
      </c>
      <c r="E232" s="4">
        <f>IFERROR(INDEX('Base de sorteio'!$B$3:$B$1723,MATCH($B232&amp;"|"&amp;$C232,'Base de sorteio'!$I$3:$I$1723,0)),"")</f>
        <v/>
      </c>
      <c r="F232" s="4">
        <f>IFERROR(INDEX('Base de sorteio'!$C$3:$C$1723,MATCH($B232&amp;"|"&amp;$C232,'Base de sorteio'!$I$3:$I$1723,0)),"")</f>
        <v/>
      </c>
      <c r="G232" s="4">
        <f>IFERROR(INDEX('Base de sorteio'!$D$3:$D$1723,MATCH($B232&amp;"|"&amp;$C232,'Base de sorteio'!$I$3:$I$1723,0)),"")</f>
        <v/>
      </c>
      <c r="H232" s="4">
        <f>IFERROR(INDEX('Base de sorteio'!$E$3:$E$1723,MATCH($B232&amp;"|"&amp;$C232,'Base de sorteio'!$I$3:$I$1723,0)),"")</f>
        <v/>
      </c>
      <c r="I232" s="4">
        <f>IF(E232="","",HYPERLINK(IFERROR(INDEX('Base de sorteio'!$J$3:$J$1723,MATCH($B232&amp;"|"&amp;$C232,'Base de sorteio'!$I$3:$I$1723,0)),""),"abrir"))</f>
        <v/>
      </c>
      <c r="J232" s="4" t="n"/>
      <c r="K232" s="4" t="n"/>
      <c r="L232" s="4" t="n"/>
      <c r="M232" s="4" t="n"/>
      <c r="N232" s="4">
        <f>IF(AND(K232="",M232=""),"",IF(OR(K232="sim",M232="sim"),"sim",IF(OR(K232="inconclusivo",M232="inconclusivo"),"inconclusivo","não")))</f>
        <v/>
      </c>
      <c r="O232" s="5">
        <f>IF(N232="sim",COUNTIFS($B$3:$B232,$B232,$N$3:$N232,"sim"),"")</f>
        <v/>
      </c>
      <c r="P232" s="5" t="n"/>
      <c r="Q232" s="4" t="n"/>
      <c r="R232" s="5" t="n"/>
      <c r="S232" s="9" t="n"/>
      <c r="T232" s="4" t="n"/>
    </row>
    <row r="233">
      <c r="A233" s="5">
        <f>ROW()-2</f>
        <v/>
      </c>
      <c r="B233" s="4" t="inlineStr">
        <is>
          <t>Metrópole</t>
        </is>
      </c>
      <c r="C233" s="5" t="n">
        <v>231</v>
      </c>
      <c r="D233" s="5">
        <f>IFERROR(INDEX('Base de sorteio'!$A$3:$A$1723,MATCH($B233&amp;"|"&amp;$C233,'Base de sorteio'!$I$3:$I$1723,0)),"")</f>
        <v/>
      </c>
      <c r="E233" s="4">
        <f>IFERROR(INDEX('Base de sorteio'!$B$3:$B$1723,MATCH($B233&amp;"|"&amp;$C233,'Base de sorteio'!$I$3:$I$1723,0)),"")</f>
        <v/>
      </c>
      <c r="F233" s="4">
        <f>IFERROR(INDEX('Base de sorteio'!$C$3:$C$1723,MATCH($B233&amp;"|"&amp;$C233,'Base de sorteio'!$I$3:$I$1723,0)),"")</f>
        <v/>
      </c>
      <c r="G233" s="4">
        <f>IFERROR(INDEX('Base de sorteio'!$D$3:$D$1723,MATCH($B233&amp;"|"&amp;$C233,'Base de sorteio'!$I$3:$I$1723,0)),"")</f>
        <v/>
      </c>
      <c r="H233" s="4">
        <f>IFERROR(INDEX('Base de sorteio'!$E$3:$E$1723,MATCH($B233&amp;"|"&amp;$C233,'Base de sorteio'!$I$3:$I$1723,0)),"")</f>
        <v/>
      </c>
      <c r="I233" s="4">
        <f>IF(E233="","",HYPERLINK(IFERROR(INDEX('Base de sorteio'!$J$3:$J$1723,MATCH($B233&amp;"|"&amp;$C233,'Base de sorteio'!$I$3:$I$1723,0)),""),"abrir"))</f>
        <v/>
      </c>
      <c r="J233" s="4" t="n"/>
      <c r="K233" s="4" t="n"/>
      <c r="L233" s="4" t="n"/>
      <c r="M233" s="4" t="n"/>
      <c r="N233" s="4">
        <f>IF(AND(K233="",M233=""),"",IF(OR(K233="sim",M233="sim"),"sim",IF(OR(K233="inconclusivo",M233="inconclusivo"),"inconclusivo","não")))</f>
        <v/>
      </c>
      <c r="O233" s="5">
        <f>IF(N233="sim",COUNTIFS($B$3:$B233,$B233,$N$3:$N233,"sim"),"")</f>
        <v/>
      </c>
      <c r="P233" s="5" t="n"/>
      <c r="Q233" s="4" t="n"/>
      <c r="R233" s="5" t="n"/>
      <c r="S233" s="9" t="n"/>
      <c r="T233" s="4" t="n"/>
    </row>
    <row r="234">
      <c r="A234" s="5">
        <f>ROW()-2</f>
        <v/>
      </c>
      <c r="B234" s="4" t="inlineStr">
        <is>
          <t>Metrópole</t>
        </is>
      </c>
      <c r="C234" s="5" t="n">
        <v>232</v>
      </c>
      <c r="D234" s="5">
        <f>IFERROR(INDEX('Base de sorteio'!$A$3:$A$1723,MATCH($B234&amp;"|"&amp;$C234,'Base de sorteio'!$I$3:$I$1723,0)),"")</f>
        <v/>
      </c>
      <c r="E234" s="4">
        <f>IFERROR(INDEX('Base de sorteio'!$B$3:$B$1723,MATCH($B234&amp;"|"&amp;$C234,'Base de sorteio'!$I$3:$I$1723,0)),"")</f>
        <v/>
      </c>
      <c r="F234" s="4">
        <f>IFERROR(INDEX('Base de sorteio'!$C$3:$C$1723,MATCH($B234&amp;"|"&amp;$C234,'Base de sorteio'!$I$3:$I$1723,0)),"")</f>
        <v/>
      </c>
      <c r="G234" s="4">
        <f>IFERROR(INDEX('Base de sorteio'!$D$3:$D$1723,MATCH($B234&amp;"|"&amp;$C234,'Base de sorteio'!$I$3:$I$1723,0)),"")</f>
        <v/>
      </c>
      <c r="H234" s="4">
        <f>IFERROR(INDEX('Base de sorteio'!$E$3:$E$1723,MATCH($B234&amp;"|"&amp;$C234,'Base de sorteio'!$I$3:$I$1723,0)),"")</f>
        <v/>
      </c>
      <c r="I234" s="4">
        <f>IF(E234="","",HYPERLINK(IFERROR(INDEX('Base de sorteio'!$J$3:$J$1723,MATCH($B234&amp;"|"&amp;$C234,'Base de sorteio'!$I$3:$I$1723,0)),""),"abrir"))</f>
        <v/>
      </c>
      <c r="J234" s="4" t="n"/>
      <c r="K234" s="4" t="n"/>
      <c r="L234" s="4" t="n"/>
      <c r="M234" s="4" t="n"/>
      <c r="N234" s="4">
        <f>IF(AND(K234="",M234=""),"",IF(OR(K234="sim",M234="sim"),"sim",IF(OR(K234="inconclusivo",M234="inconclusivo"),"inconclusivo","não")))</f>
        <v/>
      </c>
      <c r="O234" s="5">
        <f>IF(N234="sim",COUNTIFS($B$3:$B234,$B234,$N$3:$N234,"sim"),"")</f>
        <v/>
      </c>
      <c r="P234" s="5" t="n"/>
      <c r="Q234" s="4" t="n"/>
      <c r="R234" s="5" t="n"/>
      <c r="S234" s="9" t="n"/>
      <c r="T234" s="4" t="n"/>
    </row>
    <row r="235">
      <c r="A235" s="5">
        <f>ROW()-2</f>
        <v/>
      </c>
      <c r="B235" s="4" t="inlineStr">
        <is>
          <t>Metrópole</t>
        </is>
      </c>
      <c r="C235" s="5" t="n">
        <v>233</v>
      </c>
      <c r="D235" s="5">
        <f>IFERROR(INDEX('Base de sorteio'!$A$3:$A$1723,MATCH($B235&amp;"|"&amp;$C235,'Base de sorteio'!$I$3:$I$1723,0)),"")</f>
        <v/>
      </c>
      <c r="E235" s="4">
        <f>IFERROR(INDEX('Base de sorteio'!$B$3:$B$1723,MATCH($B235&amp;"|"&amp;$C235,'Base de sorteio'!$I$3:$I$1723,0)),"")</f>
        <v/>
      </c>
      <c r="F235" s="4">
        <f>IFERROR(INDEX('Base de sorteio'!$C$3:$C$1723,MATCH($B235&amp;"|"&amp;$C235,'Base de sorteio'!$I$3:$I$1723,0)),"")</f>
        <v/>
      </c>
      <c r="G235" s="4">
        <f>IFERROR(INDEX('Base de sorteio'!$D$3:$D$1723,MATCH($B235&amp;"|"&amp;$C235,'Base de sorteio'!$I$3:$I$1723,0)),"")</f>
        <v/>
      </c>
      <c r="H235" s="4">
        <f>IFERROR(INDEX('Base de sorteio'!$E$3:$E$1723,MATCH($B235&amp;"|"&amp;$C235,'Base de sorteio'!$I$3:$I$1723,0)),"")</f>
        <v/>
      </c>
      <c r="I235" s="4">
        <f>IF(E235="","",HYPERLINK(IFERROR(INDEX('Base de sorteio'!$J$3:$J$1723,MATCH($B235&amp;"|"&amp;$C235,'Base de sorteio'!$I$3:$I$1723,0)),""),"abrir"))</f>
        <v/>
      </c>
      <c r="J235" s="4" t="n"/>
      <c r="K235" s="4" t="n"/>
      <c r="L235" s="4" t="n"/>
      <c r="M235" s="4" t="n"/>
      <c r="N235" s="4">
        <f>IF(AND(K235="",M235=""),"",IF(OR(K235="sim",M235="sim"),"sim",IF(OR(K235="inconclusivo",M235="inconclusivo"),"inconclusivo","não")))</f>
        <v/>
      </c>
      <c r="O235" s="5">
        <f>IF(N235="sim",COUNTIFS($B$3:$B235,$B235,$N$3:$N235,"sim"),"")</f>
        <v/>
      </c>
      <c r="P235" s="5" t="n"/>
      <c r="Q235" s="4" t="n"/>
      <c r="R235" s="5" t="n"/>
      <c r="S235" s="9" t="n"/>
      <c r="T235" s="4" t="n"/>
    </row>
    <row r="236">
      <c r="A236" s="5">
        <f>ROW()-2</f>
        <v/>
      </c>
      <c r="B236" s="4" t="inlineStr">
        <is>
          <t>Metrópole</t>
        </is>
      </c>
      <c r="C236" s="5" t="n">
        <v>234</v>
      </c>
      <c r="D236" s="5">
        <f>IFERROR(INDEX('Base de sorteio'!$A$3:$A$1723,MATCH($B236&amp;"|"&amp;$C236,'Base de sorteio'!$I$3:$I$1723,0)),"")</f>
        <v/>
      </c>
      <c r="E236" s="4">
        <f>IFERROR(INDEX('Base de sorteio'!$B$3:$B$1723,MATCH($B236&amp;"|"&amp;$C236,'Base de sorteio'!$I$3:$I$1723,0)),"")</f>
        <v/>
      </c>
      <c r="F236" s="4">
        <f>IFERROR(INDEX('Base de sorteio'!$C$3:$C$1723,MATCH($B236&amp;"|"&amp;$C236,'Base de sorteio'!$I$3:$I$1723,0)),"")</f>
        <v/>
      </c>
      <c r="G236" s="4">
        <f>IFERROR(INDEX('Base de sorteio'!$D$3:$D$1723,MATCH($B236&amp;"|"&amp;$C236,'Base de sorteio'!$I$3:$I$1723,0)),"")</f>
        <v/>
      </c>
      <c r="H236" s="4">
        <f>IFERROR(INDEX('Base de sorteio'!$E$3:$E$1723,MATCH($B236&amp;"|"&amp;$C236,'Base de sorteio'!$I$3:$I$1723,0)),"")</f>
        <v/>
      </c>
      <c r="I236" s="4">
        <f>IF(E236="","",HYPERLINK(IFERROR(INDEX('Base de sorteio'!$J$3:$J$1723,MATCH($B236&amp;"|"&amp;$C236,'Base de sorteio'!$I$3:$I$1723,0)),""),"abrir"))</f>
        <v/>
      </c>
      <c r="J236" s="4" t="n"/>
      <c r="K236" s="4" t="n"/>
      <c r="L236" s="4" t="n"/>
      <c r="M236" s="4" t="n"/>
      <c r="N236" s="4">
        <f>IF(AND(K236="",M236=""),"",IF(OR(K236="sim",M236="sim"),"sim",IF(OR(K236="inconclusivo",M236="inconclusivo"),"inconclusivo","não")))</f>
        <v/>
      </c>
      <c r="O236" s="5">
        <f>IF(N236="sim",COUNTIFS($B$3:$B236,$B236,$N$3:$N236,"sim"),"")</f>
        <v/>
      </c>
      <c r="P236" s="5" t="n"/>
      <c r="Q236" s="4" t="n"/>
      <c r="R236" s="5" t="n"/>
      <c r="S236" s="9" t="n"/>
      <c r="T236" s="4" t="n"/>
    </row>
    <row r="237">
      <c r="A237" s="5">
        <f>ROW()-2</f>
        <v/>
      </c>
      <c r="B237" s="4" t="inlineStr">
        <is>
          <t>Metrópole</t>
        </is>
      </c>
      <c r="C237" s="5" t="n">
        <v>235</v>
      </c>
      <c r="D237" s="5">
        <f>IFERROR(INDEX('Base de sorteio'!$A$3:$A$1723,MATCH($B237&amp;"|"&amp;$C237,'Base de sorteio'!$I$3:$I$1723,0)),"")</f>
        <v/>
      </c>
      <c r="E237" s="4">
        <f>IFERROR(INDEX('Base de sorteio'!$B$3:$B$1723,MATCH($B237&amp;"|"&amp;$C237,'Base de sorteio'!$I$3:$I$1723,0)),"")</f>
        <v/>
      </c>
      <c r="F237" s="4">
        <f>IFERROR(INDEX('Base de sorteio'!$C$3:$C$1723,MATCH($B237&amp;"|"&amp;$C237,'Base de sorteio'!$I$3:$I$1723,0)),"")</f>
        <v/>
      </c>
      <c r="G237" s="4">
        <f>IFERROR(INDEX('Base de sorteio'!$D$3:$D$1723,MATCH($B237&amp;"|"&amp;$C237,'Base de sorteio'!$I$3:$I$1723,0)),"")</f>
        <v/>
      </c>
      <c r="H237" s="4">
        <f>IFERROR(INDEX('Base de sorteio'!$E$3:$E$1723,MATCH($B237&amp;"|"&amp;$C237,'Base de sorteio'!$I$3:$I$1723,0)),"")</f>
        <v/>
      </c>
      <c r="I237" s="4">
        <f>IF(E237="","",HYPERLINK(IFERROR(INDEX('Base de sorteio'!$J$3:$J$1723,MATCH($B237&amp;"|"&amp;$C237,'Base de sorteio'!$I$3:$I$1723,0)),""),"abrir"))</f>
        <v/>
      </c>
      <c r="J237" s="4" t="n"/>
      <c r="K237" s="4" t="n"/>
      <c r="L237" s="4" t="n"/>
      <c r="M237" s="4" t="n"/>
      <c r="N237" s="4">
        <f>IF(AND(K237="",M237=""),"",IF(OR(K237="sim",M237="sim"),"sim",IF(OR(K237="inconclusivo",M237="inconclusivo"),"inconclusivo","não")))</f>
        <v/>
      </c>
      <c r="O237" s="5">
        <f>IF(N237="sim",COUNTIFS($B$3:$B237,$B237,$N$3:$N237,"sim"),"")</f>
        <v/>
      </c>
      <c r="P237" s="5" t="n"/>
      <c r="Q237" s="4" t="n"/>
      <c r="R237" s="5" t="n"/>
      <c r="S237" s="9" t="n"/>
      <c r="T237" s="4" t="n"/>
    </row>
    <row r="238">
      <c r="A238" s="5">
        <f>ROW()-2</f>
        <v/>
      </c>
      <c r="B238" s="4" t="inlineStr">
        <is>
          <t>Metrópole</t>
        </is>
      </c>
      <c r="C238" s="5" t="n">
        <v>236</v>
      </c>
      <c r="D238" s="5">
        <f>IFERROR(INDEX('Base de sorteio'!$A$3:$A$1723,MATCH($B238&amp;"|"&amp;$C238,'Base de sorteio'!$I$3:$I$1723,0)),"")</f>
        <v/>
      </c>
      <c r="E238" s="4">
        <f>IFERROR(INDEX('Base de sorteio'!$B$3:$B$1723,MATCH($B238&amp;"|"&amp;$C238,'Base de sorteio'!$I$3:$I$1723,0)),"")</f>
        <v/>
      </c>
      <c r="F238" s="4">
        <f>IFERROR(INDEX('Base de sorteio'!$C$3:$C$1723,MATCH($B238&amp;"|"&amp;$C238,'Base de sorteio'!$I$3:$I$1723,0)),"")</f>
        <v/>
      </c>
      <c r="G238" s="4">
        <f>IFERROR(INDEX('Base de sorteio'!$D$3:$D$1723,MATCH($B238&amp;"|"&amp;$C238,'Base de sorteio'!$I$3:$I$1723,0)),"")</f>
        <v/>
      </c>
      <c r="H238" s="4">
        <f>IFERROR(INDEX('Base de sorteio'!$E$3:$E$1723,MATCH($B238&amp;"|"&amp;$C238,'Base de sorteio'!$I$3:$I$1723,0)),"")</f>
        <v/>
      </c>
      <c r="I238" s="4">
        <f>IF(E238="","",HYPERLINK(IFERROR(INDEX('Base de sorteio'!$J$3:$J$1723,MATCH($B238&amp;"|"&amp;$C238,'Base de sorteio'!$I$3:$I$1723,0)),""),"abrir"))</f>
        <v/>
      </c>
      <c r="J238" s="4" t="n"/>
      <c r="K238" s="4" t="n"/>
      <c r="L238" s="4" t="n"/>
      <c r="M238" s="4" t="n"/>
      <c r="N238" s="4">
        <f>IF(AND(K238="",M238=""),"",IF(OR(K238="sim",M238="sim"),"sim",IF(OR(K238="inconclusivo",M238="inconclusivo"),"inconclusivo","não")))</f>
        <v/>
      </c>
      <c r="O238" s="5">
        <f>IF(N238="sim",COUNTIFS($B$3:$B238,$B238,$N$3:$N238,"sim"),"")</f>
        <v/>
      </c>
      <c r="P238" s="5" t="n"/>
      <c r="Q238" s="4" t="n"/>
      <c r="R238" s="5" t="n"/>
      <c r="S238" s="9" t="n"/>
      <c r="T238" s="4" t="n"/>
    </row>
    <row r="239">
      <c r="A239" s="5">
        <f>ROW()-2</f>
        <v/>
      </c>
      <c r="B239" s="4" t="inlineStr">
        <is>
          <t>Metrópole</t>
        </is>
      </c>
      <c r="C239" s="5" t="n">
        <v>237</v>
      </c>
      <c r="D239" s="5">
        <f>IFERROR(INDEX('Base de sorteio'!$A$3:$A$1723,MATCH($B239&amp;"|"&amp;$C239,'Base de sorteio'!$I$3:$I$1723,0)),"")</f>
        <v/>
      </c>
      <c r="E239" s="4">
        <f>IFERROR(INDEX('Base de sorteio'!$B$3:$B$1723,MATCH($B239&amp;"|"&amp;$C239,'Base de sorteio'!$I$3:$I$1723,0)),"")</f>
        <v/>
      </c>
      <c r="F239" s="4">
        <f>IFERROR(INDEX('Base de sorteio'!$C$3:$C$1723,MATCH($B239&amp;"|"&amp;$C239,'Base de sorteio'!$I$3:$I$1723,0)),"")</f>
        <v/>
      </c>
      <c r="G239" s="4">
        <f>IFERROR(INDEX('Base de sorteio'!$D$3:$D$1723,MATCH($B239&amp;"|"&amp;$C239,'Base de sorteio'!$I$3:$I$1723,0)),"")</f>
        <v/>
      </c>
      <c r="H239" s="4">
        <f>IFERROR(INDEX('Base de sorteio'!$E$3:$E$1723,MATCH($B239&amp;"|"&amp;$C239,'Base de sorteio'!$I$3:$I$1723,0)),"")</f>
        <v/>
      </c>
      <c r="I239" s="4">
        <f>IF(E239="","",HYPERLINK(IFERROR(INDEX('Base de sorteio'!$J$3:$J$1723,MATCH($B239&amp;"|"&amp;$C239,'Base de sorteio'!$I$3:$I$1723,0)),""),"abrir"))</f>
        <v/>
      </c>
      <c r="J239" s="4" t="n"/>
      <c r="K239" s="4" t="n"/>
      <c r="L239" s="4" t="n"/>
      <c r="M239" s="4" t="n"/>
      <c r="N239" s="4">
        <f>IF(AND(K239="",M239=""),"",IF(OR(K239="sim",M239="sim"),"sim",IF(OR(K239="inconclusivo",M239="inconclusivo"),"inconclusivo","não")))</f>
        <v/>
      </c>
      <c r="O239" s="5">
        <f>IF(N239="sim",COUNTIFS($B$3:$B239,$B239,$N$3:$N239,"sim"),"")</f>
        <v/>
      </c>
      <c r="P239" s="5" t="n"/>
      <c r="Q239" s="4" t="n"/>
      <c r="R239" s="5" t="n"/>
      <c r="S239" s="9" t="n"/>
      <c r="T239" s="4" t="n"/>
    </row>
    <row r="240">
      <c r="A240" s="5">
        <f>ROW()-2</f>
        <v/>
      </c>
      <c r="B240" s="4" t="inlineStr">
        <is>
          <t>Metrópole</t>
        </is>
      </c>
      <c r="C240" s="5" t="n">
        <v>238</v>
      </c>
      <c r="D240" s="5">
        <f>IFERROR(INDEX('Base de sorteio'!$A$3:$A$1723,MATCH($B240&amp;"|"&amp;$C240,'Base de sorteio'!$I$3:$I$1723,0)),"")</f>
        <v/>
      </c>
      <c r="E240" s="4">
        <f>IFERROR(INDEX('Base de sorteio'!$B$3:$B$1723,MATCH($B240&amp;"|"&amp;$C240,'Base de sorteio'!$I$3:$I$1723,0)),"")</f>
        <v/>
      </c>
      <c r="F240" s="4">
        <f>IFERROR(INDEX('Base de sorteio'!$C$3:$C$1723,MATCH($B240&amp;"|"&amp;$C240,'Base de sorteio'!$I$3:$I$1723,0)),"")</f>
        <v/>
      </c>
      <c r="G240" s="4">
        <f>IFERROR(INDEX('Base de sorteio'!$D$3:$D$1723,MATCH($B240&amp;"|"&amp;$C240,'Base de sorteio'!$I$3:$I$1723,0)),"")</f>
        <v/>
      </c>
      <c r="H240" s="4">
        <f>IFERROR(INDEX('Base de sorteio'!$E$3:$E$1723,MATCH($B240&amp;"|"&amp;$C240,'Base de sorteio'!$I$3:$I$1723,0)),"")</f>
        <v/>
      </c>
      <c r="I240" s="4">
        <f>IF(E240="","",HYPERLINK(IFERROR(INDEX('Base de sorteio'!$J$3:$J$1723,MATCH($B240&amp;"|"&amp;$C240,'Base de sorteio'!$I$3:$I$1723,0)),""),"abrir"))</f>
        <v/>
      </c>
      <c r="J240" s="4" t="n"/>
      <c r="K240" s="4" t="n"/>
      <c r="L240" s="4" t="n"/>
      <c r="M240" s="4" t="n"/>
      <c r="N240" s="4">
        <f>IF(AND(K240="",M240=""),"",IF(OR(K240="sim",M240="sim"),"sim",IF(OR(K240="inconclusivo",M240="inconclusivo"),"inconclusivo","não")))</f>
        <v/>
      </c>
      <c r="O240" s="5">
        <f>IF(N240="sim",COUNTIFS($B$3:$B240,$B240,$N$3:$N240,"sim"),"")</f>
        <v/>
      </c>
      <c r="P240" s="5" t="n"/>
      <c r="Q240" s="4" t="n"/>
      <c r="R240" s="5" t="n"/>
      <c r="S240" s="9" t="n"/>
      <c r="T240" s="4" t="n"/>
    </row>
    <row r="241">
      <c r="A241" s="5">
        <f>ROW()-2</f>
        <v/>
      </c>
      <c r="B241" s="4" t="inlineStr">
        <is>
          <t>Metrópole</t>
        </is>
      </c>
      <c r="C241" s="5" t="n">
        <v>239</v>
      </c>
      <c r="D241" s="5">
        <f>IFERROR(INDEX('Base de sorteio'!$A$3:$A$1723,MATCH($B241&amp;"|"&amp;$C241,'Base de sorteio'!$I$3:$I$1723,0)),"")</f>
        <v/>
      </c>
      <c r="E241" s="4">
        <f>IFERROR(INDEX('Base de sorteio'!$B$3:$B$1723,MATCH($B241&amp;"|"&amp;$C241,'Base de sorteio'!$I$3:$I$1723,0)),"")</f>
        <v/>
      </c>
      <c r="F241" s="4">
        <f>IFERROR(INDEX('Base de sorteio'!$C$3:$C$1723,MATCH($B241&amp;"|"&amp;$C241,'Base de sorteio'!$I$3:$I$1723,0)),"")</f>
        <v/>
      </c>
      <c r="G241" s="4">
        <f>IFERROR(INDEX('Base de sorteio'!$D$3:$D$1723,MATCH($B241&amp;"|"&amp;$C241,'Base de sorteio'!$I$3:$I$1723,0)),"")</f>
        <v/>
      </c>
      <c r="H241" s="4">
        <f>IFERROR(INDEX('Base de sorteio'!$E$3:$E$1723,MATCH($B241&amp;"|"&amp;$C241,'Base de sorteio'!$I$3:$I$1723,0)),"")</f>
        <v/>
      </c>
      <c r="I241" s="4">
        <f>IF(E241="","",HYPERLINK(IFERROR(INDEX('Base de sorteio'!$J$3:$J$1723,MATCH($B241&amp;"|"&amp;$C241,'Base de sorteio'!$I$3:$I$1723,0)),""),"abrir"))</f>
        <v/>
      </c>
      <c r="J241" s="4" t="n"/>
      <c r="K241" s="4" t="n"/>
      <c r="L241" s="4" t="n"/>
      <c r="M241" s="4" t="n"/>
      <c r="N241" s="4">
        <f>IF(AND(K241="",M241=""),"",IF(OR(K241="sim",M241="sim"),"sim",IF(OR(K241="inconclusivo",M241="inconclusivo"),"inconclusivo","não")))</f>
        <v/>
      </c>
      <c r="O241" s="5">
        <f>IF(N241="sim",COUNTIFS($B$3:$B241,$B241,$N$3:$N241,"sim"),"")</f>
        <v/>
      </c>
      <c r="P241" s="5" t="n"/>
      <c r="Q241" s="4" t="n"/>
      <c r="R241" s="5" t="n"/>
      <c r="S241" s="9" t="n"/>
      <c r="T241" s="4" t="n"/>
    </row>
    <row r="242">
      <c r="A242" s="5">
        <f>ROW()-2</f>
        <v/>
      </c>
      <c r="B242" s="4" t="inlineStr">
        <is>
          <t>Metrópole</t>
        </is>
      </c>
      <c r="C242" s="5" t="n">
        <v>240</v>
      </c>
      <c r="D242" s="5">
        <f>IFERROR(INDEX('Base de sorteio'!$A$3:$A$1723,MATCH($B242&amp;"|"&amp;$C242,'Base de sorteio'!$I$3:$I$1723,0)),"")</f>
        <v/>
      </c>
      <c r="E242" s="4">
        <f>IFERROR(INDEX('Base de sorteio'!$B$3:$B$1723,MATCH($B242&amp;"|"&amp;$C242,'Base de sorteio'!$I$3:$I$1723,0)),"")</f>
        <v/>
      </c>
      <c r="F242" s="4">
        <f>IFERROR(INDEX('Base de sorteio'!$C$3:$C$1723,MATCH($B242&amp;"|"&amp;$C242,'Base de sorteio'!$I$3:$I$1723,0)),"")</f>
        <v/>
      </c>
      <c r="G242" s="4">
        <f>IFERROR(INDEX('Base de sorteio'!$D$3:$D$1723,MATCH($B242&amp;"|"&amp;$C242,'Base de sorteio'!$I$3:$I$1723,0)),"")</f>
        <v/>
      </c>
      <c r="H242" s="4">
        <f>IFERROR(INDEX('Base de sorteio'!$E$3:$E$1723,MATCH($B242&amp;"|"&amp;$C242,'Base de sorteio'!$I$3:$I$1723,0)),"")</f>
        <v/>
      </c>
      <c r="I242" s="4">
        <f>IF(E242="","",HYPERLINK(IFERROR(INDEX('Base de sorteio'!$J$3:$J$1723,MATCH($B242&amp;"|"&amp;$C242,'Base de sorteio'!$I$3:$I$1723,0)),""),"abrir"))</f>
        <v/>
      </c>
      <c r="J242" s="4" t="n"/>
      <c r="K242" s="4" t="n"/>
      <c r="L242" s="4" t="n"/>
      <c r="M242" s="4" t="n"/>
      <c r="N242" s="4">
        <f>IF(AND(K242="",M242=""),"",IF(OR(K242="sim",M242="sim"),"sim",IF(OR(K242="inconclusivo",M242="inconclusivo"),"inconclusivo","não")))</f>
        <v/>
      </c>
      <c r="O242" s="5">
        <f>IF(N242="sim",COUNTIFS($B$3:$B242,$B242,$N$3:$N242,"sim"),"")</f>
        <v/>
      </c>
      <c r="P242" s="5" t="n"/>
      <c r="Q242" s="4" t="n"/>
      <c r="R242" s="5" t="n"/>
      <c r="S242" s="9" t="n"/>
      <c r="T242" s="4" t="n"/>
    </row>
    <row r="243">
      <c r="A243" s="5">
        <f>ROW()-2</f>
        <v/>
      </c>
      <c r="B243" s="4" t="inlineStr">
        <is>
          <t>Metrópole</t>
        </is>
      </c>
      <c r="C243" s="5" t="n">
        <v>241</v>
      </c>
      <c r="D243" s="5">
        <f>IFERROR(INDEX('Base de sorteio'!$A$3:$A$1723,MATCH($B243&amp;"|"&amp;$C243,'Base de sorteio'!$I$3:$I$1723,0)),"")</f>
        <v/>
      </c>
      <c r="E243" s="4">
        <f>IFERROR(INDEX('Base de sorteio'!$B$3:$B$1723,MATCH($B243&amp;"|"&amp;$C243,'Base de sorteio'!$I$3:$I$1723,0)),"")</f>
        <v/>
      </c>
      <c r="F243" s="4">
        <f>IFERROR(INDEX('Base de sorteio'!$C$3:$C$1723,MATCH($B243&amp;"|"&amp;$C243,'Base de sorteio'!$I$3:$I$1723,0)),"")</f>
        <v/>
      </c>
      <c r="G243" s="4">
        <f>IFERROR(INDEX('Base de sorteio'!$D$3:$D$1723,MATCH($B243&amp;"|"&amp;$C243,'Base de sorteio'!$I$3:$I$1723,0)),"")</f>
        <v/>
      </c>
      <c r="H243" s="4">
        <f>IFERROR(INDEX('Base de sorteio'!$E$3:$E$1723,MATCH($B243&amp;"|"&amp;$C243,'Base de sorteio'!$I$3:$I$1723,0)),"")</f>
        <v/>
      </c>
      <c r="I243" s="4">
        <f>IF(E243="","",HYPERLINK(IFERROR(INDEX('Base de sorteio'!$J$3:$J$1723,MATCH($B243&amp;"|"&amp;$C243,'Base de sorteio'!$I$3:$I$1723,0)),""),"abrir"))</f>
        <v/>
      </c>
      <c r="J243" s="4" t="n"/>
      <c r="K243" s="4" t="n"/>
      <c r="L243" s="4" t="n"/>
      <c r="M243" s="4" t="n"/>
      <c r="N243" s="4">
        <f>IF(AND(K243="",M243=""),"",IF(OR(K243="sim",M243="sim"),"sim",IF(OR(K243="inconclusivo",M243="inconclusivo"),"inconclusivo","não")))</f>
        <v/>
      </c>
      <c r="O243" s="5">
        <f>IF(N243="sim",COUNTIFS($B$3:$B243,$B243,$N$3:$N243,"sim"),"")</f>
        <v/>
      </c>
      <c r="P243" s="5" t="n"/>
      <c r="Q243" s="4" t="n"/>
      <c r="R243" s="5" t="n"/>
      <c r="S243" s="9" t="n"/>
      <c r="T243" s="4" t="n"/>
    </row>
    <row r="244">
      <c r="A244" s="5">
        <f>ROW()-2</f>
        <v/>
      </c>
      <c r="B244" s="4" t="inlineStr">
        <is>
          <t>Metrópole</t>
        </is>
      </c>
      <c r="C244" s="5" t="n">
        <v>242</v>
      </c>
      <c r="D244" s="5">
        <f>IFERROR(INDEX('Base de sorteio'!$A$3:$A$1723,MATCH($B244&amp;"|"&amp;$C244,'Base de sorteio'!$I$3:$I$1723,0)),"")</f>
        <v/>
      </c>
      <c r="E244" s="4">
        <f>IFERROR(INDEX('Base de sorteio'!$B$3:$B$1723,MATCH($B244&amp;"|"&amp;$C244,'Base de sorteio'!$I$3:$I$1723,0)),"")</f>
        <v/>
      </c>
      <c r="F244" s="4">
        <f>IFERROR(INDEX('Base de sorteio'!$C$3:$C$1723,MATCH($B244&amp;"|"&amp;$C244,'Base de sorteio'!$I$3:$I$1723,0)),"")</f>
        <v/>
      </c>
      <c r="G244" s="4">
        <f>IFERROR(INDEX('Base de sorteio'!$D$3:$D$1723,MATCH($B244&amp;"|"&amp;$C244,'Base de sorteio'!$I$3:$I$1723,0)),"")</f>
        <v/>
      </c>
      <c r="H244" s="4">
        <f>IFERROR(INDEX('Base de sorteio'!$E$3:$E$1723,MATCH($B244&amp;"|"&amp;$C244,'Base de sorteio'!$I$3:$I$1723,0)),"")</f>
        <v/>
      </c>
      <c r="I244" s="4">
        <f>IF(E244="","",HYPERLINK(IFERROR(INDEX('Base de sorteio'!$J$3:$J$1723,MATCH($B244&amp;"|"&amp;$C244,'Base de sorteio'!$I$3:$I$1723,0)),""),"abrir"))</f>
        <v/>
      </c>
      <c r="J244" s="4" t="n"/>
      <c r="K244" s="4" t="n"/>
      <c r="L244" s="4" t="n"/>
      <c r="M244" s="4" t="n"/>
      <c r="N244" s="4">
        <f>IF(AND(K244="",M244=""),"",IF(OR(K244="sim",M244="sim"),"sim",IF(OR(K244="inconclusivo",M244="inconclusivo"),"inconclusivo","não")))</f>
        <v/>
      </c>
      <c r="O244" s="5">
        <f>IF(N244="sim",COUNTIFS($B$3:$B244,$B244,$N$3:$N244,"sim"),"")</f>
        <v/>
      </c>
      <c r="P244" s="5" t="n"/>
      <c r="Q244" s="4" t="n"/>
      <c r="R244" s="5" t="n"/>
      <c r="S244" s="9" t="n"/>
      <c r="T244" s="4" t="n"/>
    </row>
    <row r="245">
      <c r="A245" s="5">
        <f>ROW()-2</f>
        <v/>
      </c>
      <c r="B245" s="4" t="inlineStr">
        <is>
          <t>Metrópole</t>
        </is>
      </c>
      <c r="C245" s="5" t="n">
        <v>243</v>
      </c>
      <c r="D245" s="5">
        <f>IFERROR(INDEX('Base de sorteio'!$A$3:$A$1723,MATCH($B245&amp;"|"&amp;$C245,'Base de sorteio'!$I$3:$I$1723,0)),"")</f>
        <v/>
      </c>
      <c r="E245" s="4">
        <f>IFERROR(INDEX('Base de sorteio'!$B$3:$B$1723,MATCH($B245&amp;"|"&amp;$C245,'Base de sorteio'!$I$3:$I$1723,0)),"")</f>
        <v/>
      </c>
      <c r="F245" s="4">
        <f>IFERROR(INDEX('Base de sorteio'!$C$3:$C$1723,MATCH($B245&amp;"|"&amp;$C245,'Base de sorteio'!$I$3:$I$1723,0)),"")</f>
        <v/>
      </c>
      <c r="G245" s="4">
        <f>IFERROR(INDEX('Base de sorteio'!$D$3:$D$1723,MATCH($B245&amp;"|"&amp;$C245,'Base de sorteio'!$I$3:$I$1723,0)),"")</f>
        <v/>
      </c>
      <c r="H245" s="4">
        <f>IFERROR(INDEX('Base de sorteio'!$E$3:$E$1723,MATCH($B245&amp;"|"&amp;$C245,'Base de sorteio'!$I$3:$I$1723,0)),"")</f>
        <v/>
      </c>
      <c r="I245" s="4">
        <f>IF(E245="","",HYPERLINK(IFERROR(INDEX('Base de sorteio'!$J$3:$J$1723,MATCH($B245&amp;"|"&amp;$C245,'Base de sorteio'!$I$3:$I$1723,0)),""),"abrir"))</f>
        <v/>
      </c>
      <c r="J245" s="4" t="n"/>
      <c r="K245" s="4" t="n"/>
      <c r="L245" s="4" t="n"/>
      <c r="M245" s="4" t="n"/>
      <c r="N245" s="4">
        <f>IF(AND(K245="",M245=""),"",IF(OR(K245="sim",M245="sim"),"sim",IF(OR(K245="inconclusivo",M245="inconclusivo"),"inconclusivo","não")))</f>
        <v/>
      </c>
      <c r="O245" s="5">
        <f>IF(N245="sim",COUNTIFS($B$3:$B245,$B245,$N$3:$N245,"sim"),"")</f>
        <v/>
      </c>
      <c r="P245" s="5" t="n"/>
      <c r="Q245" s="4" t="n"/>
      <c r="R245" s="5" t="n"/>
      <c r="S245" s="9" t="n"/>
      <c r="T245" s="4" t="n"/>
    </row>
    <row r="246">
      <c r="A246" s="5">
        <f>ROW()-2</f>
        <v/>
      </c>
      <c r="B246" s="4" t="inlineStr">
        <is>
          <t>Metrópole</t>
        </is>
      </c>
      <c r="C246" s="5" t="n">
        <v>244</v>
      </c>
      <c r="D246" s="5">
        <f>IFERROR(INDEX('Base de sorteio'!$A$3:$A$1723,MATCH($B246&amp;"|"&amp;$C246,'Base de sorteio'!$I$3:$I$1723,0)),"")</f>
        <v/>
      </c>
      <c r="E246" s="4">
        <f>IFERROR(INDEX('Base de sorteio'!$B$3:$B$1723,MATCH($B246&amp;"|"&amp;$C246,'Base de sorteio'!$I$3:$I$1723,0)),"")</f>
        <v/>
      </c>
      <c r="F246" s="4">
        <f>IFERROR(INDEX('Base de sorteio'!$C$3:$C$1723,MATCH($B246&amp;"|"&amp;$C246,'Base de sorteio'!$I$3:$I$1723,0)),"")</f>
        <v/>
      </c>
      <c r="G246" s="4">
        <f>IFERROR(INDEX('Base de sorteio'!$D$3:$D$1723,MATCH($B246&amp;"|"&amp;$C246,'Base de sorteio'!$I$3:$I$1723,0)),"")</f>
        <v/>
      </c>
      <c r="H246" s="4">
        <f>IFERROR(INDEX('Base de sorteio'!$E$3:$E$1723,MATCH($B246&amp;"|"&amp;$C246,'Base de sorteio'!$I$3:$I$1723,0)),"")</f>
        <v/>
      </c>
      <c r="I246" s="4">
        <f>IF(E246="","",HYPERLINK(IFERROR(INDEX('Base de sorteio'!$J$3:$J$1723,MATCH($B246&amp;"|"&amp;$C246,'Base de sorteio'!$I$3:$I$1723,0)),""),"abrir"))</f>
        <v/>
      </c>
      <c r="J246" s="4" t="n"/>
      <c r="K246" s="4" t="n"/>
      <c r="L246" s="4" t="n"/>
      <c r="M246" s="4" t="n"/>
      <c r="N246" s="4">
        <f>IF(AND(K246="",M246=""),"",IF(OR(K246="sim",M246="sim"),"sim",IF(OR(K246="inconclusivo",M246="inconclusivo"),"inconclusivo","não")))</f>
        <v/>
      </c>
      <c r="O246" s="5">
        <f>IF(N246="sim",COUNTIFS($B$3:$B246,$B246,$N$3:$N246,"sim"),"")</f>
        <v/>
      </c>
      <c r="P246" s="5" t="n"/>
      <c r="Q246" s="4" t="n"/>
      <c r="R246" s="5" t="n"/>
      <c r="S246" s="9" t="n"/>
      <c r="T246" s="4" t="n"/>
    </row>
    <row r="247">
      <c r="A247" s="5">
        <f>ROW()-2</f>
        <v/>
      </c>
      <c r="B247" s="4" t="inlineStr">
        <is>
          <t>Metrópole</t>
        </is>
      </c>
      <c r="C247" s="5" t="n">
        <v>245</v>
      </c>
      <c r="D247" s="5">
        <f>IFERROR(INDEX('Base de sorteio'!$A$3:$A$1723,MATCH($B247&amp;"|"&amp;$C247,'Base de sorteio'!$I$3:$I$1723,0)),"")</f>
        <v/>
      </c>
      <c r="E247" s="4">
        <f>IFERROR(INDEX('Base de sorteio'!$B$3:$B$1723,MATCH($B247&amp;"|"&amp;$C247,'Base de sorteio'!$I$3:$I$1723,0)),"")</f>
        <v/>
      </c>
      <c r="F247" s="4">
        <f>IFERROR(INDEX('Base de sorteio'!$C$3:$C$1723,MATCH($B247&amp;"|"&amp;$C247,'Base de sorteio'!$I$3:$I$1723,0)),"")</f>
        <v/>
      </c>
      <c r="G247" s="4">
        <f>IFERROR(INDEX('Base de sorteio'!$D$3:$D$1723,MATCH($B247&amp;"|"&amp;$C247,'Base de sorteio'!$I$3:$I$1723,0)),"")</f>
        <v/>
      </c>
      <c r="H247" s="4">
        <f>IFERROR(INDEX('Base de sorteio'!$E$3:$E$1723,MATCH($B247&amp;"|"&amp;$C247,'Base de sorteio'!$I$3:$I$1723,0)),"")</f>
        <v/>
      </c>
      <c r="I247" s="4">
        <f>IF(E247="","",HYPERLINK(IFERROR(INDEX('Base de sorteio'!$J$3:$J$1723,MATCH($B247&amp;"|"&amp;$C247,'Base de sorteio'!$I$3:$I$1723,0)),""),"abrir"))</f>
        <v/>
      </c>
      <c r="J247" s="4" t="n"/>
      <c r="K247" s="4" t="n"/>
      <c r="L247" s="4" t="n"/>
      <c r="M247" s="4" t="n"/>
      <c r="N247" s="4">
        <f>IF(AND(K247="",M247=""),"",IF(OR(K247="sim",M247="sim"),"sim",IF(OR(K247="inconclusivo",M247="inconclusivo"),"inconclusivo","não")))</f>
        <v/>
      </c>
      <c r="O247" s="5">
        <f>IF(N247="sim",COUNTIFS($B$3:$B247,$B247,$N$3:$N247,"sim"),"")</f>
        <v/>
      </c>
      <c r="P247" s="5" t="n"/>
      <c r="Q247" s="4" t="n"/>
      <c r="R247" s="5" t="n"/>
      <c r="S247" s="9" t="n"/>
      <c r="T247" s="4" t="n"/>
    </row>
    <row r="248">
      <c r="A248" s="5">
        <f>ROW()-2</f>
        <v/>
      </c>
      <c r="B248" s="4" t="inlineStr">
        <is>
          <t>Metrópole</t>
        </is>
      </c>
      <c r="C248" s="5" t="n">
        <v>246</v>
      </c>
      <c r="D248" s="5">
        <f>IFERROR(INDEX('Base de sorteio'!$A$3:$A$1723,MATCH($B248&amp;"|"&amp;$C248,'Base de sorteio'!$I$3:$I$1723,0)),"")</f>
        <v/>
      </c>
      <c r="E248" s="4">
        <f>IFERROR(INDEX('Base de sorteio'!$B$3:$B$1723,MATCH($B248&amp;"|"&amp;$C248,'Base de sorteio'!$I$3:$I$1723,0)),"")</f>
        <v/>
      </c>
      <c r="F248" s="4">
        <f>IFERROR(INDEX('Base de sorteio'!$C$3:$C$1723,MATCH($B248&amp;"|"&amp;$C248,'Base de sorteio'!$I$3:$I$1723,0)),"")</f>
        <v/>
      </c>
      <c r="G248" s="4">
        <f>IFERROR(INDEX('Base de sorteio'!$D$3:$D$1723,MATCH($B248&amp;"|"&amp;$C248,'Base de sorteio'!$I$3:$I$1723,0)),"")</f>
        <v/>
      </c>
      <c r="H248" s="4">
        <f>IFERROR(INDEX('Base de sorteio'!$E$3:$E$1723,MATCH($B248&amp;"|"&amp;$C248,'Base de sorteio'!$I$3:$I$1723,0)),"")</f>
        <v/>
      </c>
      <c r="I248" s="4">
        <f>IF(E248="","",HYPERLINK(IFERROR(INDEX('Base de sorteio'!$J$3:$J$1723,MATCH($B248&amp;"|"&amp;$C248,'Base de sorteio'!$I$3:$I$1723,0)),""),"abrir"))</f>
        <v/>
      </c>
      <c r="J248" s="4" t="n"/>
      <c r="K248" s="4" t="n"/>
      <c r="L248" s="4" t="n"/>
      <c r="M248" s="4" t="n"/>
      <c r="N248" s="4">
        <f>IF(AND(K248="",M248=""),"",IF(OR(K248="sim",M248="sim"),"sim",IF(OR(K248="inconclusivo",M248="inconclusivo"),"inconclusivo","não")))</f>
        <v/>
      </c>
      <c r="O248" s="5">
        <f>IF(N248="sim",COUNTIFS($B$3:$B248,$B248,$N$3:$N248,"sim"),"")</f>
        <v/>
      </c>
      <c r="P248" s="5" t="n"/>
      <c r="Q248" s="4" t="n"/>
      <c r="R248" s="5" t="n"/>
      <c r="S248" s="9" t="n"/>
      <c r="T248" s="4" t="n"/>
    </row>
    <row r="249">
      <c r="A249" s="5">
        <f>ROW()-2</f>
        <v/>
      </c>
      <c r="B249" s="4" t="inlineStr">
        <is>
          <t>Metrópole</t>
        </is>
      </c>
      <c r="C249" s="5" t="n">
        <v>247</v>
      </c>
      <c r="D249" s="5">
        <f>IFERROR(INDEX('Base de sorteio'!$A$3:$A$1723,MATCH($B249&amp;"|"&amp;$C249,'Base de sorteio'!$I$3:$I$1723,0)),"")</f>
        <v/>
      </c>
      <c r="E249" s="4">
        <f>IFERROR(INDEX('Base de sorteio'!$B$3:$B$1723,MATCH($B249&amp;"|"&amp;$C249,'Base de sorteio'!$I$3:$I$1723,0)),"")</f>
        <v/>
      </c>
      <c r="F249" s="4">
        <f>IFERROR(INDEX('Base de sorteio'!$C$3:$C$1723,MATCH($B249&amp;"|"&amp;$C249,'Base de sorteio'!$I$3:$I$1723,0)),"")</f>
        <v/>
      </c>
      <c r="G249" s="4">
        <f>IFERROR(INDEX('Base de sorteio'!$D$3:$D$1723,MATCH($B249&amp;"|"&amp;$C249,'Base de sorteio'!$I$3:$I$1723,0)),"")</f>
        <v/>
      </c>
      <c r="H249" s="4">
        <f>IFERROR(INDEX('Base de sorteio'!$E$3:$E$1723,MATCH($B249&amp;"|"&amp;$C249,'Base de sorteio'!$I$3:$I$1723,0)),"")</f>
        <v/>
      </c>
      <c r="I249" s="4">
        <f>IF(E249="","",HYPERLINK(IFERROR(INDEX('Base de sorteio'!$J$3:$J$1723,MATCH($B249&amp;"|"&amp;$C249,'Base de sorteio'!$I$3:$I$1723,0)),""),"abrir"))</f>
        <v/>
      </c>
      <c r="J249" s="4" t="n"/>
      <c r="K249" s="4" t="n"/>
      <c r="L249" s="4" t="n"/>
      <c r="M249" s="4" t="n"/>
      <c r="N249" s="4">
        <f>IF(AND(K249="",M249=""),"",IF(OR(K249="sim",M249="sim"),"sim",IF(OR(K249="inconclusivo",M249="inconclusivo"),"inconclusivo","não")))</f>
        <v/>
      </c>
      <c r="O249" s="5">
        <f>IF(N249="sim",COUNTIFS($B$3:$B249,$B249,$N$3:$N249,"sim"),"")</f>
        <v/>
      </c>
      <c r="P249" s="5" t="n"/>
      <c r="Q249" s="4" t="n"/>
      <c r="R249" s="5" t="n"/>
      <c r="S249" s="9" t="n"/>
      <c r="T249" s="4" t="n"/>
    </row>
    <row r="250">
      <c r="A250" s="5">
        <f>ROW()-2</f>
        <v/>
      </c>
      <c r="B250" s="4" t="inlineStr">
        <is>
          <t>Metrópole</t>
        </is>
      </c>
      <c r="C250" s="5" t="n">
        <v>248</v>
      </c>
      <c r="D250" s="5">
        <f>IFERROR(INDEX('Base de sorteio'!$A$3:$A$1723,MATCH($B250&amp;"|"&amp;$C250,'Base de sorteio'!$I$3:$I$1723,0)),"")</f>
        <v/>
      </c>
      <c r="E250" s="4">
        <f>IFERROR(INDEX('Base de sorteio'!$B$3:$B$1723,MATCH($B250&amp;"|"&amp;$C250,'Base de sorteio'!$I$3:$I$1723,0)),"")</f>
        <v/>
      </c>
      <c r="F250" s="4">
        <f>IFERROR(INDEX('Base de sorteio'!$C$3:$C$1723,MATCH($B250&amp;"|"&amp;$C250,'Base de sorteio'!$I$3:$I$1723,0)),"")</f>
        <v/>
      </c>
      <c r="G250" s="4">
        <f>IFERROR(INDEX('Base de sorteio'!$D$3:$D$1723,MATCH($B250&amp;"|"&amp;$C250,'Base de sorteio'!$I$3:$I$1723,0)),"")</f>
        <v/>
      </c>
      <c r="H250" s="4">
        <f>IFERROR(INDEX('Base de sorteio'!$E$3:$E$1723,MATCH($B250&amp;"|"&amp;$C250,'Base de sorteio'!$I$3:$I$1723,0)),"")</f>
        <v/>
      </c>
      <c r="I250" s="4">
        <f>IF(E250="","",HYPERLINK(IFERROR(INDEX('Base de sorteio'!$J$3:$J$1723,MATCH($B250&amp;"|"&amp;$C250,'Base de sorteio'!$I$3:$I$1723,0)),""),"abrir"))</f>
        <v/>
      </c>
      <c r="J250" s="4" t="n"/>
      <c r="K250" s="4" t="n"/>
      <c r="L250" s="4" t="n"/>
      <c r="M250" s="4" t="n"/>
      <c r="N250" s="4">
        <f>IF(AND(K250="",M250=""),"",IF(OR(K250="sim",M250="sim"),"sim",IF(OR(K250="inconclusivo",M250="inconclusivo"),"inconclusivo","não")))</f>
        <v/>
      </c>
      <c r="O250" s="5">
        <f>IF(N250="sim",COUNTIFS($B$3:$B250,$B250,$N$3:$N250,"sim"),"")</f>
        <v/>
      </c>
      <c r="P250" s="5" t="n"/>
      <c r="Q250" s="4" t="n"/>
      <c r="R250" s="5" t="n"/>
      <c r="S250" s="9" t="n"/>
      <c r="T250" s="4" t="n"/>
    </row>
    <row r="251">
      <c r="A251" s="5">
        <f>ROW()-2</f>
        <v/>
      </c>
      <c r="B251" s="4" t="inlineStr">
        <is>
          <t>Metrópole</t>
        </is>
      </c>
      <c r="C251" s="5" t="n">
        <v>249</v>
      </c>
      <c r="D251" s="5">
        <f>IFERROR(INDEX('Base de sorteio'!$A$3:$A$1723,MATCH($B251&amp;"|"&amp;$C251,'Base de sorteio'!$I$3:$I$1723,0)),"")</f>
        <v/>
      </c>
      <c r="E251" s="4">
        <f>IFERROR(INDEX('Base de sorteio'!$B$3:$B$1723,MATCH($B251&amp;"|"&amp;$C251,'Base de sorteio'!$I$3:$I$1723,0)),"")</f>
        <v/>
      </c>
      <c r="F251" s="4">
        <f>IFERROR(INDEX('Base de sorteio'!$C$3:$C$1723,MATCH($B251&amp;"|"&amp;$C251,'Base de sorteio'!$I$3:$I$1723,0)),"")</f>
        <v/>
      </c>
      <c r="G251" s="4">
        <f>IFERROR(INDEX('Base de sorteio'!$D$3:$D$1723,MATCH($B251&amp;"|"&amp;$C251,'Base de sorteio'!$I$3:$I$1723,0)),"")</f>
        <v/>
      </c>
      <c r="H251" s="4">
        <f>IFERROR(INDEX('Base de sorteio'!$E$3:$E$1723,MATCH($B251&amp;"|"&amp;$C251,'Base de sorteio'!$I$3:$I$1723,0)),"")</f>
        <v/>
      </c>
      <c r="I251" s="4">
        <f>IF(E251="","",HYPERLINK(IFERROR(INDEX('Base de sorteio'!$J$3:$J$1723,MATCH($B251&amp;"|"&amp;$C251,'Base de sorteio'!$I$3:$I$1723,0)),""),"abrir"))</f>
        <v/>
      </c>
      <c r="J251" s="4" t="n"/>
      <c r="K251" s="4" t="n"/>
      <c r="L251" s="4" t="n"/>
      <c r="M251" s="4" t="n"/>
      <c r="N251" s="4">
        <f>IF(AND(K251="",M251=""),"",IF(OR(K251="sim",M251="sim"),"sim",IF(OR(K251="inconclusivo",M251="inconclusivo"),"inconclusivo","não")))</f>
        <v/>
      </c>
      <c r="O251" s="5">
        <f>IF(N251="sim",COUNTIFS($B$3:$B251,$B251,$N$3:$N251,"sim"),"")</f>
        <v/>
      </c>
      <c r="P251" s="5" t="n"/>
      <c r="Q251" s="4" t="n"/>
      <c r="R251" s="5" t="n"/>
      <c r="S251" s="9" t="n"/>
      <c r="T251" s="4" t="n"/>
    </row>
    <row r="252">
      <c r="A252" s="5">
        <f>ROW()-2</f>
        <v/>
      </c>
      <c r="B252" s="4" t="inlineStr">
        <is>
          <t>Metrópole</t>
        </is>
      </c>
      <c r="C252" s="5" t="n">
        <v>250</v>
      </c>
      <c r="D252" s="5">
        <f>IFERROR(INDEX('Base de sorteio'!$A$3:$A$1723,MATCH($B252&amp;"|"&amp;$C252,'Base de sorteio'!$I$3:$I$1723,0)),"")</f>
        <v/>
      </c>
      <c r="E252" s="4">
        <f>IFERROR(INDEX('Base de sorteio'!$B$3:$B$1723,MATCH($B252&amp;"|"&amp;$C252,'Base de sorteio'!$I$3:$I$1723,0)),"")</f>
        <v/>
      </c>
      <c r="F252" s="4">
        <f>IFERROR(INDEX('Base de sorteio'!$C$3:$C$1723,MATCH($B252&amp;"|"&amp;$C252,'Base de sorteio'!$I$3:$I$1723,0)),"")</f>
        <v/>
      </c>
      <c r="G252" s="4">
        <f>IFERROR(INDEX('Base de sorteio'!$D$3:$D$1723,MATCH($B252&amp;"|"&amp;$C252,'Base de sorteio'!$I$3:$I$1723,0)),"")</f>
        <v/>
      </c>
      <c r="H252" s="4">
        <f>IFERROR(INDEX('Base de sorteio'!$E$3:$E$1723,MATCH($B252&amp;"|"&amp;$C252,'Base de sorteio'!$I$3:$I$1723,0)),"")</f>
        <v/>
      </c>
      <c r="I252" s="4">
        <f>IF(E252="","",HYPERLINK(IFERROR(INDEX('Base de sorteio'!$J$3:$J$1723,MATCH($B252&amp;"|"&amp;$C252,'Base de sorteio'!$I$3:$I$1723,0)),""),"abrir"))</f>
        <v/>
      </c>
      <c r="J252" s="4" t="n"/>
      <c r="K252" s="4" t="n"/>
      <c r="L252" s="4" t="n"/>
      <c r="M252" s="4" t="n"/>
      <c r="N252" s="4">
        <f>IF(AND(K252="",M252=""),"",IF(OR(K252="sim",M252="sim"),"sim",IF(OR(K252="inconclusivo",M252="inconclusivo"),"inconclusivo","não")))</f>
        <v/>
      </c>
      <c r="O252" s="5">
        <f>IF(N252="sim",COUNTIFS($B$3:$B252,$B252,$N$3:$N252,"sim"),"")</f>
        <v/>
      </c>
      <c r="P252" s="5" t="n"/>
      <c r="Q252" s="4" t="n"/>
      <c r="R252" s="5" t="n"/>
      <c r="S252" s="9" t="n"/>
      <c r="T252" s="4" t="n"/>
    </row>
    <row r="253">
      <c r="A253" s="5">
        <f>ROW()-2</f>
        <v/>
      </c>
      <c r="B253" s="4" t="inlineStr">
        <is>
          <t>Metrópole</t>
        </is>
      </c>
      <c r="C253" s="5" t="n">
        <v>251</v>
      </c>
      <c r="D253" s="5">
        <f>IFERROR(INDEX('Base de sorteio'!$A$3:$A$1723,MATCH($B253&amp;"|"&amp;$C253,'Base de sorteio'!$I$3:$I$1723,0)),"")</f>
        <v/>
      </c>
      <c r="E253" s="4">
        <f>IFERROR(INDEX('Base de sorteio'!$B$3:$B$1723,MATCH($B253&amp;"|"&amp;$C253,'Base de sorteio'!$I$3:$I$1723,0)),"")</f>
        <v/>
      </c>
      <c r="F253" s="4">
        <f>IFERROR(INDEX('Base de sorteio'!$C$3:$C$1723,MATCH($B253&amp;"|"&amp;$C253,'Base de sorteio'!$I$3:$I$1723,0)),"")</f>
        <v/>
      </c>
      <c r="G253" s="4">
        <f>IFERROR(INDEX('Base de sorteio'!$D$3:$D$1723,MATCH($B253&amp;"|"&amp;$C253,'Base de sorteio'!$I$3:$I$1723,0)),"")</f>
        <v/>
      </c>
      <c r="H253" s="4">
        <f>IFERROR(INDEX('Base de sorteio'!$E$3:$E$1723,MATCH($B253&amp;"|"&amp;$C253,'Base de sorteio'!$I$3:$I$1723,0)),"")</f>
        <v/>
      </c>
      <c r="I253" s="4">
        <f>IF(E253="","",HYPERLINK(IFERROR(INDEX('Base de sorteio'!$J$3:$J$1723,MATCH($B253&amp;"|"&amp;$C253,'Base de sorteio'!$I$3:$I$1723,0)),""),"abrir"))</f>
        <v/>
      </c>
      <c r="J253" s="4" t="n"/>
      <c r="K253" s="4" t="n"/>
      <c r="L253" s="4" t="n"/>
      <c r="M253" s="4" t="n"/>
      <c r="N253" s="4">
        <f>IF(AND(K253="",M253=""),"",IF(OR(K253="sim",M253="sim"),"sim",IF(OR(K253="inconclusivo",M253="inconclusivo"),"inconclusivo","não")))</f>
        <v/>
      </c>
      <c r="O253" s="5">
        <f>IF(N253="sim",COUNTIFS($B$3:$B253,$B253,$N$3:$N253,"sim"),"")</f>
        <v/>
      </c>
      <c r="P253" s="5" t="n"/>
      <c r="Q253" s="4" t="n"/>
      <c r="R253" s="5" t="n"/>
      <c r="S253" s="9" t="n"/>
      <c r="T253" s="4" t="n"/>
    </row>
    <row r="254">
      <c r="A254" s="5">
        <f>ROW()-2</f>
        <v/>
      </c>
      <c r="B254" s="4" t="inlineStr">
        <is>
          <t>Metrópole</t>
        </is>
      </c>
      <c r="C254" s="5" t="n">
        <v>252</v>
      </c>
      <c r="D254" s="5">
        <f>IFERROR(INDEX('Base de sorteio'!$A$3:$A$1723,MATCH($B254&amp;"|"&amp;$C254,'Base de sorteio'!$I$3:$I$1723,0)),"")</f>
        <v/>
      </c>
      <c r="E254" s="4">
        <f>IFERROR(INDEX('Base de sorteio'!$B$3:$B$1723,MATCH($B254&amp;"|"&amp;$C254,'Base de sorteio'!$I$3:$I$1723,0)),"")</f>
        <v/>
      </c>
      <c r="F254" s="4">
        <f>IFERROR(INDEX('Base de sorteio'!$C$3:$C$1723,MATCH($B254&amp;"|"&amp;$C254,'Base de sorteio'!$I$3:$I$1723,0)),"")</f>
        <v/>
      </c>
      <c r="G254" s="4">
        <f>IFERROR(INDEX('Base de sorteio'!$D$3:$D$1723,MATCH($B254&amp;"|"&amp;$C254,'Base de sorteio'!$I$3:$I$1723,0)),"")</f>
        <v/>
      </c>
      <c r="H254" s="4">
        <f>IFERROR(INDEX('Base de sorteio'!$E$3:$E$1723,MATCH($B254&amp;"|"&amp;$C254,'Base de sorteio'!$I$3:$I$1723,0)),"")</f>
        <v/>
      </c>
      <c r="I254" s="4">
        <f>IF(E254="","",HYPERLINK(IFERROR(INDEX('Base de sorteio'!$J$3:$J$1723,MATCH($B254&amp;"|"&amp;$C254,'Base de sorteio'!$I$3:$I$1723,0)),""),"abrir"))</f>
        <v/>
      </c>
      <c r="J254" s="4" t="n"/>
      <c r="K254" s="4" t="n"/>
      <c r="L254" s="4" t="n"/>
      <c r="M254" s="4" t="n"/>
      <c r="N254" s="4">
        <f>IF(AND(K254="",M254=""),"",IF(OR(K254="sim",M254="sim"),"sim",IF(OR(K254="inconclusivo",M254="inconclusivo"),"inconclusivo","não")))</f>
        <v/>
      </c>
      <c r="O254" s="5">
        <f>IF(N254="sim",COUNTIFS($B$3:$B254,$B254,$N$3:$N254,"sim"),"")</f>
        <v/>
      </c>
      <c r="P254" s="5" t="n"/>
      <c r="Q254" s="4" t="n"/>
      <c r="R254" s="5" t="n"/>
      <c r="S254" s="9" t="n"/>
      <c r="T254" s="4" t="n"/>
    </row>
    <row r="255">
      <c r="A255" s="5">
        <f>ROW()-2</f>
        <v/>
      </c>
      <c r="B255" s="4" t="inlineStr">
        <is>
          <t>Metrópole</t>
        </is>
      </c>
      <c r="C255" s="5" t="n">
        <v>253</v>
      </c>
      <c r="D255" s="5">
        <f>IFERROR(INDEX('Base de sorteio'!$A$3:$A$1723,MATCH($B255&amp;"|"&amp;$C255,'Base de sorteio'!$I$3:$I$1723,0)),"")</f>
        <v/>
      </c>
      <c r="E255" s="4">
        <f>IFERROR(INDEX('Base de sorteio'!$B$3:$B$1723,MATCH($B255&amp;"|"&amp;$C255,'Base de sorteio'!$I$3:$I$1723,0)),"")</f>
        <v/>
      </c>
      <c r="F255" s="4">
        <f>IFERROR(INDEX('Base de sorteio'!$C$3:$C$1723,MATCH($B255&amp;"|"&amp;$C255,'Base de sorteio'!$I$3:$I$1723,0)),"")</f>
        <v/>
      </c>
      <c r="G255" s="4">
        <f>IFERROR(INDEX('Base de sorteio'!$D$3:$D$1723,MATCH($B255&amp;"|"&amp;$C255,'Base de sorteio'!$I$3:$I$1723,0)),"")</f>
        <v/>
      </c>
      <c r="H255" s="4">
        <f>IFERROR(INDEX('Base de sorteio'!$E$3:$E$1723,MATCH($B255&amp;"|"&amp;$C255,'Base de sorteio'!$I$3:$I$1723,0)),"")</f>
        <v/>
      </c>
      <c r="I255" s="4">
        <f>IF(E255="","",HYPERLINK(IFERROR(INDEX('Base de sorteio'!$J$3:$J$1723,MATCH($B255&amp;"|"&amp;$C255,'Base de sorteio'!$I$3:$I$1723,0)),""),"abrir"))</f>
        <v/>
      </c>
      <c r="J255" s="4" t="n"/>
      <c r="K255" s="4" t="n"/>
      <c r="L255" s="4" t="n"/>
      <c r="M255" s="4" t="n"/>
      <c r="N255" s="4">
        <f>IF(AND(K255="",M255=""),"",IF(OR(K255="sim",M255="sim"),"sim",IF(OR(K255="inconclusivo",M255="inconclusivo"),"inconclusivo","não")))</f>
        <v/>
      </c>
      <c r="O255" s="5">
        <f>IF(N255="sim",COUNTIFS($B$3:$B255,$B255,$N$3:$N255,"sim"),"")</f>
        <v/>
      </c>
      <c r="P255" s="5" t="n"/>
      <c r="Q255" s="4" t="n"/>
      <c r="R255" s="5" t="n"/>
      <c r="S255" s="9" t="n"/>
      <c r="T255" s="4" t="n"/>
    </row>
    <row r="256">
      <c r="A256" s="5">
        <f>ROW()-2</f>
        <v/>
      </c>
      <c r="B256" s="4" t="inlineStr">
        <is>
          <t>Metrópole</t>
        </is>
      </c>
      <c r="C256" s="5" t="n">
        <v>254</v>
      </c>
      <c r="D256" s="5">
        <f>IFERROR(INDEX('Base de sorteio'!$A$3:$A$1723,MATCH($B256&amp;"|"&amp;$C256,'Base de sorteio'!$I$3:$I$1723,0)),"")</f>
        <v/>
      </c>
      <c r="E256" s="4">
        <f>IFERROR(INDEX('Base de sorteio'!$B$3:$B$1723,MATCH($B256&amp;"|"&amp;$C256,'Base de sorteio'!$I$3:$I$1723,0)),"")</f>
        <v/>
      </c>
      <c r="F256" s="4">
        <f>IFERROR(INDEX('Base de sorteio'!$C$3:$C$1723,MATCH($B256&amp;"|"&amp;$C256,'Base de sorteio'!$I$3:$I$1723,0)),"")</f>
        <v/>
      </c>
      <c r="G256" s="4">
        <f>IFERROR(INDEX('Base de sorteio'!$D$3:$D$1723,MATCH($B256&amp;"|"&amp;$C256,'Base de sorteio'!$I$3:$I$1723,0)),"")</f>
        <v/>
      </c>
      <c r="H256" s="4">
        <f>IFERROR(INDEX('Base de sorteio'!$E$3:$E$1723,MATCH($B256&amp;"|"&amp;$C256,'Base de sorteio'!$I$3:$I$1723,0)),"")</f>
        <v/>
      </c>
      <c r="I256" s="4">
        <f>IF(E256="","",HYPERLINK(IFERROR(INDEX('Base de sorteio'!$J$3:$J$1723,MATCH($B256&amp;"|"&amp;$C256,'Base de sorteio'!$I$3:$I$1723,0)),""),"abrir"))</f>
        <v/>
      </c>
      <c r="J256" s="4" t="n"/>
      <c r="K256" s="4" t="n"/>
      <c r="L256" s="4" t="n"/>
      <c r="M256" s="4" t="n"/>
      <c r="N256" s="4">
        <f>IF(AND(K256="",M256=""),"",IF(OR(K256="sim",M256="sim"),"sim",IF(OR(K256="inconclusivo",M256="inconclusivo"),"inconclusivo","não")))</f>
        <v/>
      </c>
      <c r="O256" s="5">
        <f>IF(N256="sim",COUNTIFS($B$3:$B256,$B256,$N$3:$N256,"sim"),"")</f>
        <v/>
      </c>
      <c r="P256" s="5" t="n"/>
      <c r="Q256" s="4" t="n"/>
      <c r="R256" s="5" t="n"/>
      <c r="S256" s="9" t="n"/>
      <c r="T256" s="4" t="n"/>
    </row>
    <row r="257">
      <c r="A257" s="5">
        <f>ROW()-2</f>
        <v/>
      </c>
      <c r="B257" s="4" t="inlineStr">
        <is>
          <t>Metrópole</t>
        </is>
      </c>
      <c r="C257" s="5" t="n">
        <v>255</v>
      </c>
      <c r="D257" s="5">
        <f>IFERROR(INDEX('Base de sorteio'!$A$3:$A$1723,MATCH($B257&amp;"|"&amp;$C257,'Base de sorteio'!$I$3:$I$1723,0)),"")</f>
        <v/>
      </c>
      <c r="E257" s="4">
        <f>IFERROR(INDEX('Base de sorteio'!$B$3:$B$1723,MATCH($B257&amp;"|"&amp;$C257,'Base de sorteio'!$I$3:$I$1723,0)),"")</f>
        <v/>
      </c>
      <c r="F257" s="4">
        <f>IFERROR(INDEX('Base de sorteio'!$C$3:$C$1723,MATCH($B257&amp;"|"&amp;$C257,'Base de sorteio'!$I$3:$I$1723,0)),"")</f>
        <v/>
      </c>
      <c r="G257" s="4">
        <f>IFERROR(INDEX('Base de sorteio'!$D$3:$D$1723,MATCH($B257&amp;"|"&amp;$C257,'Base de sorteio'!$I$3:$I$1723,0)),"")</f>
        <v/>
      </c>
      <c r="H257" s="4">
        <f>IFERROR(INDEX('Base de sorteio'!$E$3:$E$1723,MATCH($B257&amp;"|"&amp;$C257,'Base de sorteio'!$I$3:$I$1723,0)),"")</f>
        <v/>
      </c>
      <c r="I257" s="4">
        <f>IF(E257="","",HYPERLINK(IFERROR(INDEX('Base de sorteio'!$J$3:$J$1723,MATCH($B257&amp;"|"&amp;$C257,'Base de sorteio'!$I$3:$I$1723,0)),""),"abrir"))</f>
        <v/>
      </c>
      <c r="J257" s="4" t="n"/>
      <c r="K257" s="4" t="n"/>
      <c r="L257" s="4" t="n"/>
      <c r="M257" s="4" t="n"/>
      <c r="N257" s="4">
        <f>IF(AND(K257="",M257=""),"",IF(OR(K257="sim",M257="sim"),"sim",IF(OR(K257="inconclusivo",M257="inconclusivo"),"inconclusivo","não")))</f>
        <v/>
      </c>
      <c r="O257" s="5">
        <f>IF(N257="sim",COUNTIFS($B$3:$B257,$B257,$N$3:$N257,"sim"),"")</f>
        <v/>
      </c>
      <c r="P257" s="5" t="n"/>
      <c r="Q257" s="4" t="n"/>
      <c r="R257" s="5" t="n"/>
      <c r="S257" s="9" t="n"/>
      <c r="T257" s="4" t="n"/>
    </row>
    <row r="258">
      <c r="A258" s="5">
        <f>ROW()-2</f>
        <v/>
      </c>
      <c r="B258" s="4" t="inlineStr">
        <is>
          <t>Metrópole</t>
        </is>
      </c>
      <c r="C258" s="5" t="n">
        <v>256</v>
      </c>
      <c r="D258" s="5">
        <f>IFERROR(INDEX('Base de sorteio'!$A$3:$A$1723,MATCH($B258&amp;"|"&amp;$C258,'Base de sorteio'!$I$3:$I$1723,0)),"")</f>
        <v/>
      </c>
      <c r="E258" s="4">
        <f>IFERROR(INDEX('Base de sorteio'!$B$3:$B$1723,MATCH($B258&amp;"|"&amp;$C258,'Base de sorteio'!$I$3:$I$1723,0)),"")</f>
        <v/>
      </c>
      <c r="F258" s="4">
        <f>IFERROR(INDEX('Base de sorteio'!$C$3:$C$1723,MATCH($B258&amp;"|"&amp;$C258,'Base de sorteio'!$I$3:$I$1723,0)),"")</f>
        <v/>
      </c>
      <c r="G258" s="4">
        <f>IFERROR(INDEX('Base de sorteio'!$D$3:$D$1723,MATCH($B258&amp;"|"&amp;$C258,'Base de sorteio'!$I$3:$I$1723,0)),"")</f>
        <v/>
      </c>
      <c r="H258" s="4">
        <f>IFERROR(INDEX('Base de sorteio'!$E$3:$E$1723,MATCH($B258&amp;"|"&amp;$C258,'Base de sorteio'!$I$3:$I$1723,0)),"")</f>
        <v/>
      </c>
      <c r="I258" s="4">
        <f>IF(E258="","",HYPERLINK(IFERROR(INDEX('Base de sorteio'!$J$3:$J$1723,MATCH($B258&amp;"|"&amp;$C258,'Base de sorteio'!$I$3:$I$1723,0)),""),"abrir"))</f>
        <v/>
      </c>
      <c r="J258" s="4" t="n"/>
      <c r="K258" s="4" t="n"/>
      <c r="L258" s="4" t="n"/>
      <c r="M258" s="4" t="n"/>
      <c r="N258" s="4">
        <f>IF(AND(K258="",M258=""),"",IF(OR(K258="sim",M258="sim"),"sim",IF(OR(K258="inconclusivo",M258="inconclusivo"),"inconclusivo","não")))</f>
        <v/>
      </c>
      <c r="O258" s="5">
        <f>IF(N258="sim",COUNTIFS($B$3:$B258,$B258,$N$3:$N258,"sim"),"")</f>
        <v/>
      </c>
      <c r="P258" s="5" t="n"/>
      <c r="Q258" s="4" t="n"/>
      <c r="R258" s="5" t="n"/>
      <c r="S258" s="9" t="n"/>
      <c r="T258" s="4" t="n"/>
    </row>
    <row r="259">
      <c r="A259" s="5">
        <f>ROW()-2</f>
        <v/>
      </c>
      <c r="B259" s="4" t="inlineStr">
        <is>
          <t>Metrópole</t>
        </is>
      </c>
      <c r="C259" s="5" t="n">
        <v>257</v>
      </c>
      <c r="D259" s="5">
        <f>IFERROR(INDEX('Base de sorteio'!$A$3:$A$1723,MATCH($B259&amp;"|"&amp;$C259,'Base de sorteio'!$I$3:$I$1723,0)),"")</f>
        <v/>
      </c>
      <c r="E259" s="4">
        <f>IFERROR(INDEX('Base de sorteio'!$B$3:$B$1723,MATCH($B259&amp;"|"&amp;$C259,'Base de sorteio'!$I$3:$I$1723,0)),"")</f>
        <v/>
      </c>
      <c r="F259" s="4">
        <f>IFERROR(INDEX('Base de sorteio'!$C$3:$C$1723,MATCH($B259&amp;"|"&amp;$C259,'Base de sorteio'!$I$3:$I$1723,0)),"")</f>
        <v/>
      </c>
      <c r="G259" s="4">
        <f>IFERROR(INDEX('Base de sorteio'!$D$3:$D$1723,MATCH($B259&amp;"|"&amp;$C259,'Base de sorteio'!$I$3:$I$1723,0)),"")</f>
        <v/>
      </c>
      <c r="H259" s="4">
        <f>IFERROR(INDEX('Base de sorteio'!$E$3:$E$1723,MATCH($B259&amp;"|"&amp;$C259,'Base de sorteio'!$I$3:$I$1723,0)),"")</f>
        <v/>
      </c>
      <c r="I259" s="4">
        <f>IF(E259="","",HYPERLINK(IFERROR(INDEX('Base de sorteio'!$J$3:$J$1723,MATCH($B259&amp;"|"&amp;$C259,'Base de sorteio'!$I$3:$I$1723,0)),""),"abrir"))</f>
        <v/>
      </c>
      <c r="J259" s="4" t="n"/>
      <c r="K259" s="4" t="n"/>
      <c r="L259" s="4" t="n"/>
      <c r="M259" s="4" t="n"/>
      <c r="N259" s="4">
        <f>IF(AND(K259="",M259=""),"",IF(OR(K259="sim",M259="sim"),"sim",IF(OR(K259="inconclusivo",M259="inconclusivo"),"inconclusivo","não")))</f>
        <v/>
      </c>
      <c r="O259" s="5">
        <f>IF(N259="sim",COUNTIFS($B$3:$B259,$B259,$N$3:$N259,"sim"),"")</f>
        <v/>
      </c>
      <c r="P259" s="5" t="n"/>
      <c r="Q259" s="4" t="n"/>
      <c r="R259" s="5" t="n"/>
      <c r="S259" s="9" t="n"/>
      <c r="T259" s="4" t="n"/>
    </row>
    <row r="260">
      <c r="A260" s="5">
        <f>ROW()-2</f>
        <v/>
      </c>
      <c r="B260" s="4" t="inlineStr">
        <is>
          <t>Metrópole</t>
        </is>
      </c>
      <c r="C260" s="5" t="n">
        <v>258</v>
      </c>
      <c r="D260" s="5">
        <f>IFERROR(INDEX('Base de sorteio'!$A$3:$A$1723,MATCH($B260&amp;"|"&amp;$C260,'Base de sorteio'!$I$3:$I$1723,0)),"")</f>
        <v/>
      </c>
      <c r="E260" s="4">
        <f>IFERROR(INDEX('Base de sorteio'!$B$3:$B$1723,MATCH($B260&amp;"|"&amp;$C260,'Base de sorteio'!$I$3:$I$1723,0)),"")</f>
        <v/>
      </c>
      <c r="F260" s="4">
        <f>IFERROR(INDEX('Base de sorteio'!$C$3:$C$1723,MATCH($B260&amp;"|"&amp;$C260,'Base de sorteio'!$I$3:$I$1723,0)),"")</f>
        <v/>
      </c>
      <c r="G260" s="4">
        <f>IFERROR(INDEX('Base de sorteio'!$D$3:$D$1723,MATCH($B260&amp;"|"&amp;$C260,'Base de sorteio'!$I$3:$I$1723,0)),"")</f>
        <v/>
      </c>
      <c r="H260" s="4">
        <f>IFERROR(INDEX('Base de sorteio'!$E$3:$E$1723,MATCH($B260&amp;"|"&amp;$C260,'Base de sorteio'!$I$3:$I$1723,0)),"")</f>
        <v/>
      </c>
      <c r="I260" s="4">
        <f>IF(E260="","",HYPERLINK(IFERROR(INDEX('Base de sorteio'!$J$3:$J$1723,MATCH($B260&amp;"|"&amp;$C260,'Base de sorteio'!$I$3:$I$1723,0)),""),"abrir"))</f>
        <v/>
      </c>
      <c r="J260" s="4" t="n"/>
      <c r="K260" s="4" t="n"/>
      <c r="L260" s="4" t="n"/>
      <c r="M260" s="4" t="n"/>
      <c r="N260" s="4">
        <f>IF(AND(K260="",M260=""),"",IF(OR(K260="sim",M260="sim"),"sim",IF(OR(K260="inconclusivo",M260="inconclusivo"),"inconclusivo","não")))</f>
        <v/>
      </c>
      <c r="O260" s="5">
        <f>IF(N260="sim",COUNTIFS($B$3:$B260,$B260,$N$3:$N260,"sim"),"")</f>
        <v/>
      </c>
      <c r="P260" s="5" t="n"/>
      <c r="Q260" s="4" t="n"/>
      <c r="R260" s="5" t="n"/>
      <c r="S260" s="9" t="n"/>
      <c r="T260" s="4" t="n"/>
    </row>
    <row r="261">
      <c r="A261" s="5">
        <f>ROW()-2</f>
        <v/>
      </c>
      <c r="B261" s="4" t="inlineStr">
        <is>
          <t>Metrópole</t>
        </is>
      </c>
      <c r="C261" s="5" t="n">
        <v>259</v>
      </c>
      <c r="D261" s="5">
        <f>IFERROR(INDEX('Base de sorteio'!$A$3:$A$1723,MATCH($B261&amp;"|"&amp;$C261,'Base de sorteio'!$I$3:$I$1723,0)),"")</f>
        <v/>
      </c>
      <c r="E261" s="4">
        <f>IFERROR(INDEX('Base de sorteio'!$B$3:$B$1723,MATCH($B261&amp;"|"&amp;$C261,'Base de sorteio'!$I$3:$I$1723,0)),"")</f>
        <v/>
      </c>
      <c r="F261" s="4">
        <f>IFERROR(INDEX('Base de sorteio'!$C$3:$C$1723,MATCH($B261&amp;"|"&amp;$C261,'Base de sorteio'!$I$3:$I$1723,0)),"")</f>
        <v/>
      </c>
      <c r="G261" s="4">
        <f>IFERROR(INDEX('Base de sorteio'!$D$3:$D$1723,MATCH($B261&amp;"|"&amp;$C261,'Base de sorteio'!$I$3:$I$1723,0)),"")</f>
        <v/>
      </c>
      <c r="H261" s="4">
        <f>IFERROR(INDEX('Base de sorteio'!$E$3:$E$1723,MATCH($B261&amp;"|"&amp;$C261,'Base de sorteio'!$I$3:$I$1723,0)),"")</f>
        <v/>
      </c>
      <c r="I261" s="4">
        <f>IF(E261="","",HYPERLINK(IFERROR(INDEX('Base de sorteio'!$J$3:$J$1723,MATCH($B261&amp;"|"&amp;$C261,'Base de sorteio'!$I$3:$I$1723,0)),""),"abrir"))</f>
        <v/>
      </c>
      <c r="J261" s="4" t="n"/>
      <c r="K261" s="4" t="n"/>
      <c r="L261" s="4" t="n"/>
      <c r="M261" s="4" t="n"/>
      <c r="N261" s="4">
        <f>IF(AND(K261="",M261=""),"",IF(OR(K261="sim",M261="sim"),"sim",IF(OR(K261="inconclusivo",M261="inconclusivo"),"inconclusivo","não")))</f>
        <v/>
      </c>
      <c r="O261" s="5">
        <f>IF(N261="sim",COUNTIFS($B$3:$B261,$B261,$N$3:$N261,"sim"),"")</f>
        <v/>
      </c>
      <c r="P261" s="5" t="n"/>
      <c r="Q261" s="4" t="n"/>
      <c r="R261" s="5" t="n"/>
      <c r="S261" s="9" t="n"/>
      <c r="T261" s="4" t="n"/>
    </row>
    <row r="262">
      <c r="A262" s="5">
        <f>ROW()-2</f>
        <v/>
      </c>
      <c r="B262" s="4" t="inlineStr">
        <is>
          <t>Metrópole</t>
        </is>
      </c>
      <c r="C262" s="5" t="n">
        <v>260</v>
      </c>
      <c r="D262" s="5">
        <f>IFERROR(INDEX('Base de sorteio'!$A$3:$A$1723,MATCH($B262&amp;"|"&amp;$C262,'Base de sorteio'!$I$3:$I$1723,0)),"")</f>
        <v/>
      </c>
      <c r="E262" s="4">
        <f>IFERROR(INDEX('Base de sorteio'!$B$3:$B$1723,MATCH($B262&amp;"|"&amp;$C262,'Base de sorteio'!$I$3:$I$1723,0)),"")</f>
        <v/>
      </c>
      <c r="F262" s="4">
        <f>IFERROR(INDEX('Base de sorteio'!$C$3:$C$1723,MATCH($B262&amp;"|"&amp;$C262,'Base de sorteio'!$I$3:$I$1723,0)),"")</f>
        <v/>
      </c>
      <c r="G262" s="4">
        <f>IFERROR(INDEX('Base de sorteio'!$D$3:$D$1723,MATCH($B262&amp;"|"&amp;$C262,'Base de sorteio'!$I$3:$I$1723,0)),"")</f>
        <v/>
      </c>
      <c r="H262" s="4">
        <f>IFERROR(INDEX('Base de sorteio'!$E$3:$E$1723,MATCH($B262&amp;"|"&amp;$C262,'Base de sorteio'!$I$3:$I$1723,0)),"")</f>
        <v/>
      </c>
      <c r="I262" s="4">
        <f>IF(E262="","",HYPERLINK(IFERROR(INDEX('Base de sorteio'!$J$3:$J$1723,MATCH($B262&amp;"|"&amp;$C262,'Base de sorteio'!$I$3:$I$1723,0)),""),"abrir"))</f>
        <v/>
      </c>
      <c r="J262" s="4" t="n"/>
      <c r="K262" s="4" t="n"/>
      <c r="L262" s="4" t="n"/>
      <c r="M262" s="4" t="n"/>
      <c r="N262" s="4">
        <f>IF(AND(K262="",M262=""),"",IF(OR(K262="sim",M262="sim"),"sim",IF(OR(K262="inconclusivo",M262="inconclusivo"),"inconclusivo","não")))</f>
        <v/>
      </c>
      <c r="O262" s="5">
        <f>IF(N262="sim",COUNTIFS($B$3:$B262,$B262,$N$3:$N262,"sim"),"")</f>
        <v/>
      </c>
      <c r="P262" s="5" t="n"/>
      <c r="Q262" s="4" t="n"/>
      <c r="R262" s="5" t="n"/>
      <c r="S262" s="9" t="n"/>
      <c r="T262" s="4" t="n"/>
    </row>
    <row r="263">
      <c r="A263" s="5">
        <f>ROW()-2</f>
        <v/>
      </c>
      <c r="B263" s="4" t="inlineStr">
        <is>
          <t>Metrópole</t>
        </is>
      </c>
      <c r="C263" s="5" t="n">
        <v>261</v>
      </c>
      <c r="D263" s="5">
        <f>IFERROR(INDEX('Base de sorteio'!$A$3:$A$1723,MATCH($B263&amp;"|"&amp;$C263,'Base de sorteio'!$I$3:$I$1723,0)),"")</f>
        <v/>
      </c>
      <c r="E263" s="4">
        <f>IFERROR(INDEX('Base de sorteio'!$B$3:$B$1723,MATCH($B263&amp;"|"&amp;$C263,'Base de sorteio'!$I$3:$I$1723,0)),"")</f>
        <v/>
      </c>
      <c r="F263" s="4">
        <f>IFERROR(INDEX('Base de sorteio'!$C$3:$C$1723,MATCH($B263&amp;"|"&amp;$C263,'Base de sorteio'!$I$3:$I$1723,0)),"")</f>
        <v/>
      </c>
      <c r="G263" s="4">
        <f>IFERROR(INDEX('Base de sorteio'!$D$3:$D$1723,MATCH($B263&amp;"|"&amp;$C263,'Base de sorteio'!$I$3:$I$1723,0)),"")</f>
        <v/>
      </c>
      <c r="H263" s="4">
        <f>IFERROR(INDEX('Base de sorteio'!$E$3:$E$1723,MATCH($B263&amp;"|"&amp;$C263,'Base de sorteio'!$I$3:$I$1723,0)),"")</f>
        <v/>
      </c>
      <c r="I263" s="4">
        <f>IF(E263="","",HYPERLINK(IFERROR(INDEX('Base de sorteio'!$J$3:$J$1723,MATCH($B263&amp;"|"&amp;$C263,'Base de sorteio'!$I$3:$I$1723,0)),""),"abrir"))</f>
        <v/>
      </c>
      <c r="J263" s="4" t="n"/>
      <c r="K263" s="4" t="n"/>
      <c r="L263" s="4" t="n"/>
      <c r="M263" s="4" t="n"/>
      <c r="N263" s="4">
        <f>IF(AND(K263="",M263=""),"",IF(OR(K263="sim",M263="sim"),"sim",IF(OR(K263="inconclusivo",M263="inconclusivo"),"inconclusivo","não")))</f>
        <v/>
      </c>
      <c r="O263" s="5">
        <f>IF(N263="sim",COUNTIFS($B$3:$B263,$B263,$N$3:$N263,"sim"),"")</f>
        <v/>
      </c>
      <c r="P263" s="5" t="n"/>
      <c r="Q263" s="4" t="n"/>
      <c r="R263" s="5" t="n"/>
      <c r="S263" s="9" t="n"/>
      <c r="T263" s="4" t="n"/>
    </row>
    <row r="264">
      <c r="A264" s="5">
        <f>ROW()-2</f>
        <v/>
      </c>
      <c r="B264" s="4" t="inlineStr">
        <is>
          <t>Metrópole</t>
        </is>
      </c>
      <c r="C264" s="5" t="n">
        <v>262</v>
      </c>
      <c r="D264" s="5">
        <f>IFERROR(INDEX('Base de sorteio'!$A$3:$A$1723,MATCH($B264&amp;"|"&amp;$C264,'Base de sorteio'!$I$3:$I$1723,0)),"")</f>
        <v/>
      </c>
      <c r="E264" s="4">
        <f>IFERROR(INDEX('Base de sorteio'!$B$3:$B$1723,MATCH($B264&amp;"|"&amp;$C264,'Base de sorteio'!$I$3:$I$1723,0)),"")</f>
        <v/>
      </c>
      <c r="F264" s="4">
        <f>IFERROR(INDEX('Base de sorteio'!$C$3:$C$1723,MATCH($B264&amp;"|"&amp;$C264,'Base de sorteio'!$I$3:$I$1723,0)),"")</f>
        <v/>
      </c>
      <c r="G264" s="4">
        <f>IFERROR(INDEX('Base de sorteio'!$D$3:$D$1723,MATCH($B264&amp;"|"&amp;$C264,'Base de sorteio'!$I$3:$I$1723,0)),"")</f>
        <v/>
      </c>
      <c r="H264" s="4">
        <f>IFERROR(INDEX('Base de sorteio'!$E$3:$E$1723,MATCH($B264&amp;"|"&amp;$C264,'Base de sorteio'!$I$3:$I$1723,0)),"")</f>
        <v/>
      </c>
      <c r="I264" s="4">
        <f>IF(E264="","",HYPERLINK(IFERROR(INDEX('Base de sorteio'!$J$3:$J$1723,MATCH($B264&amp;"|"&amp;$C264,'Base de sorteio'!$I$3:$I$1723,0)),""),"abrir"))</f>
        <v/>
      </c>
      <c r="J264" s="4" t="n"/>
      <c r="K264" s="4" t="n"/>
      <c r="L264" s="4" t="n"/>
      <c r="M264" s="4" t="n"/>
      <c r="N264" s="4">
        <f>IF(AND(K264="",M264=""),"",IF(OR(K264="sim",M264="sim"),"sim",IF(OR(K264="inconclusivo",M264="inconclusivo"),"inconclusivo","não")))</f>
        <v/>
      </c>
      <c r="O264" s="5">
        <f>IF(N264="sim",COUNTIFS($B$3:$B264,$B264,$N$3:$N264,"sim"),"")</f>
        <v/>
      </c>
      <c r="P264" s="5" t="n"/>
      <c r="Q264" s="4" t="n"/>
      <c r="R264" s="5" t="n"/>
      <c r="S264" s="9" t="n"/>
      <c r="T264" s="4" t="n"/>
    </row>
    <row r="265">
      <c r="A265" s="5">
        <f>ROW()-2</f>
        <v/>
      </c>
      <c r="B265" s="4" t="inlineStr">
        <is>
          <t>Metrópole</t>
        </is>
      </c>
      <c r="C265" s="5" t="n">
        <v>263</v>
      </c>
      <c r="D265" s="5">
        <f>IFERROR(INDEX('Base de sorteio'!$A$3:$A$1723,MATCH($B265&amp;"|"&amp;$C265,'Base de sorteio'!$I$3:$I$1723,0)),"")</f>
        <v/>
      </c>
      <c r="E265" s="4">
        <f>IFERROR(INDEX('Base de sorteio'!$B$3:$B$1723,MATCH($B265&amp;"|"&amp;$C265,'Base de sorteio'!$I$3:$I$1723,0)),"")</f>
        <v/>
      </c>
      <c r="F265" s="4">
        <f>IFERROR(INDEX('Base de sorteio'!$C$3:$C$1723,MATCH($B265&amp;"|"&amp;$C265,'Base de sorteio'!$I$3:$I$1723,0)),"")</f>
        <v/>
      </c>
      <c r="G265" s="4">
        <f>IFERROR(INDEX('Base de sorteio'!$D$3:$D$1723,MATCH($B265&amp;"|"&amp;$C265,'Base de sorteio'!$I$3:$I$1723,0)),"")</f>
        <v/>
      </c>
      <c r="H265" s="4">
        <f>IFERROR(INDEX('Base de sorteio'!$E$3:$E$1723,MATCH($B265&amp;"|"&amp;$C265,'Base de sorteio'!$I$3:$I$1723,0)),"")</f>
        <v/>
      </c>
      <c r="I265" s="4">
        <f>IF(E265="","",HYPERLINK(IFERROR(INDEX('Base de sorteio'!$J$3:$J$1723,MATCH($B265&amp;"|"&amp;$C265,'Base de sorteio'!$I$3:$I$1723,0)),""),"abrir"))</f>
        <v/>
      </c>
      <c r="J265" s="4" t="n"/>
      <c r="K265" s="4" t="n"/>
      <c r="L265" s="4" t="n"/>
      <c r="M265" s="4" t="n"/>
      <c r="N265" s="4">
        <f>IF(AND(K265="",M265=""),"",IF(OR(K265="sim",M265="sim"),"sim",IF(OR(K265="inconclusivo",M265="inconclusivo"),"inconclusivo","não")))</f>
        <v/>
      </c>
      <c r="O265" s="5">
        <f>IF(N265="sim",COUNTIFS($B$3:$B265,$B265,$N$3:$N265,"sim"),"")</f>
        <v/>
      </c>
      <c r="P265" s="5" t="n"/>
      <c r="Q265" s="4" t="n"/>
      <c r="R265" s="5" t="n"/>
      <c r="S265" s="9" t="n"/>
      <c r="T265" s="4" t="n"/>
    </row>
    <row r="266">
      <c r="A266" s="5">
        <f>ROW()-2</f>
        <v/>
      </c>
      <c r="B266" s="4" t="inlineStr">
        <is>
          <t>Metrópole</t>
        </is>
      </c>
      <c r="C266" s="5" t="n">
        <v>264</v>
      </c>
      <c r="D266" s="5">
        <f>IFERROR(INDEX('Base de sorteio'!$A$3:$A$1723,MATCH($B266&amp;"|"&amp;$C266,'Base de sorteio'!$I$3:$I$1723,0)),"")</f>
        <v/>
      </c>
      <c r="E266" s="4">
        <f>IFERROR(INDEX('Base de sorteio'!$B$3:$B$1723,MATCH($B266&amp;"|"&amp;$C266,'Base de sorteio'!$I$3:$I$1723,0)),"")</f>
        <v/>
      </c>
      <c r="F266" s="4">
        <f>IFERROR(INDEX('Base de sorteio'!$C$3:$C$1723,MATCH($B266&amp;"|"&amp;$C266,'Base de sorteio'!$I$3:$I$1723,0)),"")</f>
        <v/>
      </c>
      <c r="G266" s="4">
        <f>IFERROR(INDEX('Base de sorteio'!$D$3:$D$1723,MATCH($B266&amp;"|"&amp;$C266,'Base de sorteio'!$I$3:$I$1723,0)),"")</f>
        <v/>
      </c>
      <c r="H266" s="4">
        <f>IFERROR(INDEX('Base de sorteio'!$E$3:$E$1723,MATCH($B266&amp;"|"&amp;$C266,'Base de sorteio'!$I$3:$I$1723,0)),"")</f>
        <v/>
      </c>
      <c r="I266" s="4">
        <f>IF(E266="","",HYPERLINK(IFERROR(INDEX('Base de sorteio'!$J$3:$J$1723,MATCH($B266&amp;"|"&amp;$C266,'Base de sorteio'!$I$3:$I$1723,0)),""),"abrir"))</f>
        <v/>
      </c>
      <c r="J266" s="4" t="n"/>
      <c r="K266" s="4" t="n"/>
      <c r="L266" s="4" t="n"/>
      <c r="M266" s="4" t="n"/>
      <c r="N266" s="4">
        <f>IF(AND(K266="",M266=""),"",IF(OR(K266="sim",M266="sim"),"sim",IF(OR(K266="inconclusivo",M266="inconclusivo"),"inconclusivo","não")))</f>
        <v/>
      </c>
      <c r="O266" s="5">
        <f>IF(N266="sim",COUNTIFS($B$3:$B266,$B266,$N$3:$N266,"sim"),"")</f>
        <v/>
      </c>
      <c r="P266" s="5" t="n"/>
      <c r="Q266" s="4" t="n"/>
      <c r="R266" s="5" t="n"/>
      <c r="S266" s="9" t="n"/>
      <c r="T266" s="4" t="n"/>
    </row>
    <row r="267">
      <c r="A267" s="5">
        <f>ROW()-2</f>
        <v/>
      </c>
      <c r="B267" s="4" t="inlineStr">
        <is>
          <t>Metrópole</t>
        </is>
      </c>
      <c r="C267" s="5" t="n">
        <v>265</v>
      </c>
      <c r="D267" s="5">
        <f>IFERROR(INDEX('Base de sorteio'!$A$3:$A$1723,MATCH($B267&amp;"|"&amp;$C267,'Base de sorteio'!$I$3:$I$1723,0)),"")</f>
        <v/>
      </c>
      <c r="E267" s="4">
        <f>IFERROR(INDEX('Base de sorteio'!$B$3:$B$1723,MATCH($B267&amp;"|"&amp;$C267,'Base de sorteio'!$I$3:$I$1723,0)),"")</f>
        <v/>
      </c>
      <c r="F267" s="4">
        <f>IFERROR(INDEX('Base de sorteio'!$C$3:$C$1723,MATCH($B267&amp;"|"&amp;$C267,'Base de sorteio'!$I$3:$I$1723,0)),"")</f>
        <v/>
      </c>
      <c r="G267" s="4">
        <f>IFERROR(INDEX('Base de sorteio'!$D$3:$D$1723,MATCH($B267&amp;"|"&amp;$C267,'Base de sorteio'!$I$3:$I$1723,0)),"")</f>
        <v/>
      </c>
      <c r="H267" s="4">
        <f>IFERROR(INDEX('Base de sorteio'!$E$3:$E$1723,MATCH($B267&amp;"|"&amp;$C267,'Base de sorteio'!$I$3:$I$1723,0)),"")</f>
        <v/>
      </c>
      <c r="I267" s="4">
        <f>IF(E267="","",HYPERLINK(IFERROR(INDEX('Base de sorteio'!$J$3:$J$1723,MATCH($B267&amp;"|"&amp;$C267,'Base de sorteio'!$I$3:$I$1723,0)),""),"abrir"))</f>
        <v/>
      </c>
      <c r="J267" s="4" t="n"/>
      <c r="K267" s="4" t="n"/>
      <c r="L267" s="4" t="n"/>
      <c r="M267" s="4" t="n"/>
      <c r="N267" s="4">
        <f>IF(AND(K267="",M267=""),"",IF(OR(K267="sim",M267="sim"),"sim",IF(OR(K267="inconclusivo",M267="inconclusivo"),"inconclusivo","não")))</f>
        <v/>
      </c>
      <c r="O267" s="5">
        <f>IF(N267="sim",COUNTIFS($B$3:$B267,$B267,$N$3:$N267,"sim"),"")</f>
        <v/>
      </c>
      <c r="P267" s="5" t="n"/>
      <c r="Q267" s="4" t="n"/>
      <c r="R267" s="5" t="n"/>
      <c r="S267" s="9" t="n"/>
      <c r="T267" s="4" t="n"/>
    </row>
    <row r="268">
      <c r="A268" s="5">
        <f>ROW()-2</f>
        <v/>
      </c>
      <c r="B268" s="4" t="inlineStr">
        <is>
          <t>Metrópole</t>
        </is>
      </c>
      <c r="C268" s="5" t="n">
        <v>266</v>
      </c>
      <c r="D268" s="5">
        <f>IFERROR(INDEX('Base de sorteio'!$A$3:$A$1723,MATCH($B268&amp;"|"&amp;$C268,'Base de sorteio'!$I$3:$I$1723,0)),"")</f>
        <v/>
      </c>
      <c r="E268" s="4">
        <f>IFERROR(INDEX('Base de sorteio'!$B$3:$B$1723,MATCH($B268&amp;"|"&amp;$C268,'Base de sorteio'!$I$3:$I$1723,0)),"")</f>
        <v/>
      </c>
      <c r="F268" s="4">
        <f>IFERROR(INDEX('Base de sorteio'!$C$3:$C$1723,MATCH($B268&amp;"|"&amp;$C268,'Base de sorteio'!$I$3:$I$1723,0)),"")</f>
        <v/>
      </c>
      <c r="G268" s="4">
        <f>IFERROR(INDEX('Base de sorteio'!$D$3:$D$1723,MATCH($B268&amp;"|"&amp;$C268,'Base de sorteio'!$I$3:$I$1723,0)),"")</f>
        <v/>
      </c>
      <c r="H268" s="4">
        <f>IFERROR(INDEX('Base de sorteio'!$E$3:$E$1723,MATCH($B268&amp;"|"&amp;$C268,'Base de sorteio'!$I$3:$I$1723,0)),"")</f>
        <v/>
      </c>
      <c r="I268" s="4">
        <f>IF(E268="","",HYPERLINK(IFERROR(INDEX('Base de sorteio'!$J$3:$J$1723,MATCH($B268&amp;"|"&amp;$C268,'Base de sorteio'!$I$3:$I$1723,0)),""),"abrir"))</f>
        <v/>
      </c>
      <c r="J268" s="4" t="n"/>
      <c r="K268" s="4" t="n"/>
      <c r="L268" s="4" t="n"/>
      <c r="M268" s="4" t="n"/>
      <c r="N268" s="4">
        <f>IF(AND(K268="",M268=""),"",IF(OR(K268="sim",M268="sim"),"sim",IF(OR(K268="inconclusivo",M268="inconclusivo"),"inconclusivo","não")))</f>
        <v/>
      </c>
      <c r="O268" s="5">
        <f>IF(N268="sim",COUNTIFS($B$3:$B268,$B268,$N$3:$N268,"sim"),"")</f>
        <v/>
      </c>
      <c r="P268" s="5" t="n"/>
      <c r="Q268" s="4" t="n"/>
      <c r="R268" s="5" t="n"/>
      <c r="S268" s="9" t="n"/>
      <c r="T268" s="4" t="n"/>
    </row>
    <row r="269">
      <c r="A269" s="5">
        <f>ROW()-2</f>
        <v/>
      </c>
      <c r="B269" s="4" t="inlineStr">
        <is>
          <t>Metrópole</t>
        </is>
      </c>
      <c r="C269" s="5" t="n">
        <v>267</v>
      </c>
      <c r="D269" s="5">
        <f>IFERROR(INDEX('Base de sorteio'!$A$3:$A$1723,MATCH($B269&amp;"|"&amp;$C269,'Base de sorteio'!$I$3:$I$1723,0)),"")</f>
        <v/>
      </c>
      <c r="E269" s="4">
        <f>IFERROR(INDEX('Base de sorteio'!$B$3:$B$1723,MATCH($B269&amp;"|"&amp;$C269,'Base de sorteio'!$I$3:$I$1723,0)),"")</f>
        <v/>
      </c>
      <c r="F269" s="4">
        <f>IFERROR(INDEX('Base de sorteio'!$C$3:$C$1723,MATCH($B269&amp;"|"&amp;$C269,'Base de sorteio'!$I$3:$I$1723,0)),"")</f>
        <v/>
      </c>
      <c r="G269" s="4">
        <f>IFERROR(INDEX('Base de sorteio'!$D$3:$D$1723,MATCH($B269&amp;"|"&amp;$C269,'Base de sorteio'!$I$3:$I$1723,0)),"")</f>
        <v/>
      </c>
      <c r="H269" s="4">
        <f>IFERROR(INDEX('Base de sorteio'!$E$3:$E$1723,MATCH($B269&amp;"|"&amp;$C269,'Base de sorteio'!$I$3:$I$1723,0)),"")</f>
        <v/>
      </c>
      <c r="I269" s="4">
        <f>IF(E269="","",HYPERLINK(IFERROR(INDEX('Base de sorteio'!$J$3:$J$1723,MATCH($B269&amp;"|"&amp;$C269,'Base de sorteio'!$I$3:$I$1723,0)),""),"abrir"))</f>
        <v/>
      </c>
      <c r="J269" s="4" t="n"/>
      <c r="K269" s="4" t="n"/>
      <c r="L269" s="4" t="n"/>
      <c r="M269" s="4" t="n"/>
      <c r="N269" s="4">
        <f>IF(AND(K269="",M269=""),"",IF(OR(K269="sim",M269="sim"),"sim",IF(OR(K269="inconclusivo",M269="inconclusivo"),"inconclusivo","não")))</f>
        <v/>
      </c>
      <c r="O269" s="5">
        <f>IF(N269="sim",COUNTIFS($B$3:$B269,$B269,$N$3:$N269,"sim"),"")</f>
        <v/>
      </c>
      <c r="P269" s="5" t="n"/>
      <c r="Q269" s="4" t="n"/>
      <c r="R269" s="5" t="n"/>
      <c r="S269" s="9" t="n"/>
      <c r="T269" s="4" t="n"/>
    </row>
    <row r="270">
      <c r="A270" s="5">
        <f>ROW()-2</f>
        <v/>
      </c>
      <c r="B270" s="4" t="inlineStr">
        <is>
          <t>Metrópole</t>
        </is>
      </c>
      <c r="C270" s="5" t="n">
        <v>268</v>
      </c>
      <c r="D270" s="5">
        <f>IFERROR(INDEX('Base de sorteio'!$A$3:$A$1723,MATCH($B270&amp;"|"&amp;$C270,'Base de sorteio'!$I$3:$I$1723,0)),"")</f>
        <v/>
      </c>
      <c r="E270" s="4">
        <f>IFERROR(INDEX('Base de sorteio'!$B$3:$B$1723,MATCH($B270&amp;"|"&amp;$C270,'Base de sorteio'!$I$3:$I$1723,0)),"")</f>
        <v/>
      </c>
      <c r="F270" s="4">
        <f>IFERROR(INDEX('Base de sorteio'!$C$3:$C$1723,MATCH($B270&amp;"|"&amp;$C270,'Base de sorteio'!$I$3:$I$1723,0)),"")</f>
        <v/>
      </c>
      <c r="G270" s="4">
        <f>IFERROR(INDEX('Base de sorteio'!$D$3:$D$1723,MATCH($B270&amp;"|"&amp;$C270,'Base de sorteio'!$I$3:$I$1723,0)),"")</f>
        <v/>
      </c>
      <c r="H270" s="4">
        <f>IFERROR(INDEX('Base de sorteio'!$E$3:$E$1723,MATCH($B270&amp;"|"&amp;$C270,'Base de sorteio'!$I$3:$I$1723,0)),"")</f>
        <v/>
      </c>
      <c r="I270" s="4">
        <f>IF(E270="","",HYPERLINK(IFERROR(INDEX('Base de sorteio'!$J$3:$J$1723,MATCH($B270&amp;"|"&amp;$C270,'Base de sorteio'!$I$3:$I$1723,0)),""),"abrir"))</f>
        <v/>
      </c>
      <c r="J270" s="4" t="n"/>
      <c r="K270" s="4" t="n"/>
      <c r="L270" s="4" t="n"/>
      <c r="M270" s="4" t="n"/>
      <c r="N270" s="4">
        <f>IF(AND(K270="",M270=""),"",IF(OR(K270="sim",M270="sim"),"sim",IF(OR(K270="inconclusivo",M270="inconclusivo"),"inconclusivo","não")))</f>
        <v/>
      </c>
      <c r="O270" s="5">
        <f>IF(N270="sim",COUNTIFS($B$3:$B270,$B270,$N$3:$N270,"sim"),"")</f>
        <v/>
      </c>
      <c r="P270" s="5" t="n"/>
      <c r="Q270" s="4" t="n"/>
      <c r="R270" s="5" t="n"/>
      <c r="S270" s="9" t="n"/>
      <c r="T270" s="4" t="n"/>
    </row>
    <row r="271">
      <c r="A271" s="5">
        <f>ROW()-2</f>
        <v/>
      </c>
      <c r="B271" s="4" t="inlineStr">
        <is>
          <t>Metrópole</t>
        </is>
      </c>
      <c r="C271" s="5" t="n">
        <v>269</v>
      </c>
      <c r="D271" s="5">
        <f>IFERROR(INDEX('Base de sorteio'!$A$3:$A$1723,MATCH($B271&amp;"|"&amp;$C271,'Base de sorteio'!$I$3:$I$1723,0)),"")</f>
        <v/>
      </c>
      <c r="E271" s="4">
        <f>IFERROR(INDEX('Base de sorteio'!$B$3:$B$1723,MATCH($B271&amp;"|"&amp;$C271,'Base de sorteio'!$I$3:$I$1723,0)),"")</f>
        <v/>
      </c>
      <c r="F271" s="4">
        <f>IFERROR(INDEX('Base de sorteio'!$C$3:$C$1723,MATCH($B271&amp;"|"&amp;$C271,'Base de sorteio'!$I$3:$I$1723,0)),"")</f>
        <v/>
      </c>
      <c r="G271" s="4">
        <f>IFERROR(INDEX('Base de sorteio'!$D$3:$D$1723,MATCH($B271&amp;"|"&amp;$C271,'Base de sorteio'!$I$3:$I$1723,0)),"")</f>
        <v/>
      </c>
      <c r="H271" s="4">
        <f>IFERROR(INDEX('Base de sorteio'!$E$3:$E$1723,MATCH($B271&amp;"|"&amp;$C271,'Base de sorteio'!$I$3:$I$1723,0)),"")</f>
        <v/>
      </c>
      <c r="I271" s="4">
        <f>IF(E271="","",HYPERLINK(IFERROR(INDEX('Base de sorteio'!$J$3:$J$1723,MATCH($B271&amp;"|"&amp;$C271,'Base de sorteio'!$I$3:$I$1723,0)),""),"abrir"))</f>
        <v/>
      </c>
      <c r="J271" s="4" t="n"/>
      <c r="K271" s="4" t="n"/>
      <c r="L271" s="4" t="n"/>
      <c r="M271" s="4" t="n"/>
      <c r="N271" s="4">
        <f>IF(AND(K271="",M271=""),"",IF(OR(K271="sim",M271="sim"),"sim",IF(OR(K271="inconclusivo",M271="inconclusivo"),"inconclusivo","não")))</f>
        <v/>
      </c>
      <c r="O271" s="5">
        <f>IF(N271="sim",COUNTIFS($B$3:$B271,$B271,$N$3:$N271,"sim"),"")</f>
        <v/>
      </c>
      <c r="P271" s="5" t="n"/>
      <c r="Q271" s="4" t="n"/>
      <c r="R271" s="5" t="n"/>
      <c r="S271" s="9" t="n"/>
      <c r="T271" s="4" t="n"/>
    </row>
    <row r="272">
      <c r="A272" s="5">
        <f>ROW()-2</f>
        <v/>
      </c>
      <c r="B272" s="4" t="inlineStr">
        <is>
          <t>Metrópole</t>
        </is>
      </c>
      <c r="C272" s="5" t="n">
        <v>270</v>
      </c>
      <c r="D272" s="5">
        <f>IFERROR(INDEX('Base de sorteio'!$A$3:$A$1723,MATCH($B272&amp;"|"&amp;$C272,'Base de sorteio'!$I$3:$I$1723,0)),"")</f>
        <v/>
      </c>
      <c r="E272" s="4">
        <f>IFERROR(INDEX('Base de sorteio'!$B$3:$B$1723,MATCH($B272&amp;"|"&amp;$C272,'Base de sorteio'!$I$3:$I$1723,0)),"")</f>
        <v/>
      </c>
      <c r="F272" s="4">
        <f>IFERROR(INDEX('Base de sorteio'!$C$3:$C$1723,MATCH($B272&amp;"|"&amp;$C272,'Base de sorteio'!$I$3:$I$1723,0)),"")</f>
        <v/>
      </c>
      <c r="G272" s="4">
        <f>IFERROR(INDEX('Base de sorteio'!$D$3:$D$1723,MATCH($B272&amp;"|"&amp;$C272,'Base de sorteio'!$I$3:$I$1723,0)),"")</f>
        <v/>
      </c>
      <c r="H272" s="4">
        <f>IFERROR(INDEX('Base de sorteio'!$E$3:$E$1723,MATCH($B272&amp;"|"&amp;$C272,'Base de sorteio'!$I$3:$I$1723,0)),"")</f>
        <v/>
      </c>
      <c r="I272" s="4">
        <f>IF(E272="","",HYPERLINK(IFERROR(INDEX('Base de sorteio'!$J$3:$J$1723,MATCH($B272&amp;"|"&amp;$C272,'Base de sorteio'!$I$3:$I$1723,0)),""),"abrir"))</f>
        <v/>
      </c>
      <c r="J272" s="4" t="n"/>
      <c r="K272" s="4" t="n"/>
      <c r="L272" s="4" t="n"/>
      <c r="M272" s="4" t="n"/>
      <c r="N272" s="4">
        <f>IF(AND(K272="",M272=""),"",IF(OR(K272="sim",M272="sim"),"sim",IF(OR(K272="inconclusivo",M272="inconclusivo"),"inconclusivo","não")))</f>
        <v/>
      </c>
      <c r="O272" s="5">
        <f>IF(N272="sim",COUNTIFS($B$3:$B272,$B272,$N$3:$N272,"sim"),"")</f>
        <v/>
      </c>
      <c r="P272" s="5" t="n"/>
      <c r="Q272" s="4" t="n"/>
      <c r="R272" s="5" t="n"/>
      <c r="S272" s="9" t="n"/>
      <c r="T272" s="4" t="n"/>
    </row>
    <row r="273">
      <c r="A273" s="5">
        <f>ROW()-2</f>
        <v/>
      </c>
      <c r="B273" s="4" t="inlineStr">
        <is>
          <t>Metrópole</t>
        </is>
      </c>
      <c r="C273" s="5" t="n">
        <v>271</v>
      </c>
      <c r="D273" s="5">
        <f>IFERROR(INDEX('Base de sorteio'!$A$3:$A$1723,MATCH($B273&amp;"|"&amp;$C273,'Base de sorteio'!$I$3:$I$1723,0)),"")</f>
        <v/>
      </c>
      <c r="E273" s="4">
        <f>IFERROR(INDEX('Base de sorteio'!$B$3:$B$1723,MATCH($B273&amp;"|"&amp;$C273,'Base de sorteio'!$I$3:$I$1723,0)),"")</f>
        <v/>
      </c>
      <c r="F273" s="4">
        <f>IFERROR(INDEX('Base de sorteio'!$C$3:$C$1723,MATCH($B273&amp;"|"&amp;$C273,'Base de sorteio'!$I$3:$I$1723,0)),"")</f>
        <v/>
      </c>
      <c r="G273" s="4">
        <f>IFERROR(INDEX('Base de sorteio'!$D$3:$D$1723,MATCH($B273&amp;"|"&amp;$C273,'Base de sorteio'!$I$3:$I$1723,0)),"")</f>
        <v/>
      </c>
      <c r="H273" s="4">
        <f>IFERROR(INDEX('Base de sorteio'!$E$3:$E$1723,MATCH($B273&amp;"|"&amp;$C273,'Base de sorteio'!$I$3:$I$1723,0)),"")</f>
        <v/>
      </c>
      <c r="I273" s="4">
        <f>IF(E273="","",HYPERLINK(IFERROR(INDEX('Base de sorteio'!$J$3:$J$1723,MATCH($B273&amp;"|"&amp;$C273,'Base de sorteio'!$I$3:$I$1723,0)),""),"abrir"))</f>
        <v/>
      </c>
      <c r="J273" s="4" t="n"/>
      <c r="K273" s="4" t="n"/>
      <c r="L273" s="4" t="n"/>
      <c r="M273" s="4" t="n"/>
      <c r="N273" s="4">
        <f>IF(AND(K273="",M273=""),"",IF(OR(K273="sim",M273="sim"),"sim",IF(OR(K273="inconclusivo",M273="inconclusivo"),"inconclusivo","não")))</f>
        <v/>
      </c>
      <c r="O273" s="5">
        <f>IF(N273="sim",COUNTIFS($B$3:$B273,$B273,$N$3:$N273,"sim"),"")</f>
        <v/>
      </c>
      <c r="P273" s="5" t="n"/>
      <c r="Q273" s="4" t="n"/>
      <c r="R273" s="5" t="n"/>
      <c r="S273" s="9" t="n"/>
      <c r="T273" s="4" t="n"/>
    </row>
    <row r="274">
      <c r="A274" s="5">
        <f>ROW()-2</f>
        <v/>
      </c>
      <c r="B274" s="4" t="inlineStr">
        <is>
          <t>Metrópole</t>
        </is>
      </c>
      <c r="C274" s="5" t="n">
        <v>272</v>
      </c>
      <c r="D274" s="5">
        <f>IFERROR(INDEX('Base de sorteio'!$A$3:$A$1723,MATCH($B274&amp;"|"&amp;$C274,'Base de sorteio'!$I$3:$I$1723,0)),"")</f>
        <v/>
      </c>
      <c r="E274" s="4">
        <f>IFERROR(INDEX('Base de sorteio'!$B$3:$B$1723,MATCH($B274&amp;"|"&amp;$C274,'Base de sorteio'!$I$3:$I$1723,0)),"")</f>
        <v/>
      </c>
      <c r="F274" s="4">
        <f>IFERROR(INDEX('Base de sorteio'!$C$3:$C$1723,MATCH($B274&amp;"|"&amp;$C274,'Base de sorteio'!$I$3:$I$1723,0)),"")</f>
        <v/>
      </c>
      <c r="G274" s="4">
        <f>IFERROR(INDEX('Base de sorteio'!$D$3:$D$1723,MATCH($B274&amp;"|"&amp;$C274,'Base de sorteio'!$I$3:$I$1723,0)),"")</f>
        <v/>
      </c>
      <c r="H274" s="4">
        <f>IFERROR(INDEX('Base de sorteio'!$E$3:$E$1723,MATCH($B274&amp;"|"&amp;$C274,'Base de sorteio'!$I$3:$I$1723,0)),"")</f>
        <v/>
      </c>
      <c r="I274" s="4">
        <f>IF(E274="","",HYPERLINK(IFERROR(INDEX('Base de sorteio'!$J$3:$J$1723,MATCH($B274&amp;"|"&amp;$C274,'Base de sorteio'!$I$3:$I$1723,0)),""),"abrir"))</f>
        <v/>
      </c>
      <c r="J274" s="4" t="n"/>
      <c r="K274" s="4" t="n"/>
      <c r="L274" s="4" t="n"/>
      <c r="M274" s="4" t="n"/>
      <c r="N274" s="4">
        <f>IF(AND(K274="",M274=""),"",IF(OR(K274="sim",M274="sim"),"sim",IF(OR(K274="inconclusivo",M274="inconclusivo"),"inconclusivo","não")))</f>
        <v/>
      </c>
      <c r="O274" s="5">
        <f>IF(N274="sim",COUNTIFS($B$3:$B274,$B274,$N$3:$N274,"sim"),"")</f>
        <v/>
      </c>
      <c r="P274" s="5" t="n"/>
      <c r="Q274" s="4" t="n"/>
      <c r="R274" s="5" t="n"/>
      <c r="S274" s="9" t="n"/>
      <c r="T274" s="4" t="n"/>
    </row>
    <row r="275">
      <c r="A275" s="5">
        <f>ROW()-2</f>
        <v/>
      </c>
      <c r="B275" s="4" t="inlineStr">
        <is>
          <t>Metrópole</t>
        </is>
      </c>
      <c r="C275" s="5" t="n">
        <v>273</v>
      </c>
      <c r="D275" s="5">
        <f>IFERROR(INDEX('Base de sorteio'!$A$3:$A$1723,MATCH($B275&amp;"|"&amp;$C275,'Base de sorteio'!$I$3:$I$1723,0)),"")</f>
        <v/>
      </c>
      <c r="E275" s="4">
        <f>IFERROR(INDEX('Base de sorteio'!$B$3:$B$1723,MATCH($B275&amp;"|"&amp;$C275,'Base de sorteio'!$I$3:$I$1723,0)),"")</f>
        <v/>
      </c>
      <c r="F275" s="4">
        <f>IFERROR(INDEX('Base de sorteio'!$C$3:$C$1723,MATCH($B275&amp;"|"&amp;$C275,'Base de sorteio'!$I$3:$I$1723,0)),"")</f>
        <v/>
      </c>
      <c r="G275" s="4">
        <f>IFERROR(INDEX('Base de sorteio'!$D$3:$D$1723,MATCH($B275&amp;"|"&amp;$C275,'Base de sorteio'!$I$3:$I$1723,0)),"")</f>
        <v/>
      </c>
      <c r="H275" s="4">
        <f>IFERROR(INDEX('Base de sorteio'!$E$3:$E$1723,MATCH($B275&amp;"|"&amp;$C275,'Base de sorteio'!$I$3:$I$1723,0)),"")</f>
        <v/>
      </c>
      <c r="I275" s="4">
        <f>IF(E275="","",HYPERLINK(IFERROR(INDEX('Base de sorteio'!$J$3:$J$1723,MATCH($B275&amp;"|"&amp;$C275,'Base de sorteio'!$I$3:$I$1723,0)),""),"abrir"))</f>
        <v/>
      </c>
      <c r="J275" s="4" t="n"/>
      <c r="K275" s="4" t="n"/>
      <c r="L275" s="4" t="n"/>
      <c r="M275" s="4" t="n"/>
      <c r="N275" s="4">
        <f>IF(AND(K275="",M275=""),"",IF(OR(K275="sim",M275="sim"),"sim",IF(OR(K275="inconclusivo",M275="inconclusivo"),"inconclusivo","não")))</f>
        <v/>
      </c>
      <c r="O275" s="5">
        <f>IF(N275="sim",COUNTIFS($B$3:$B275,$B275,$N$3:$N275,"sim"),"")</f>
        <v/>
      </c>
      <c r="P275" s="5" t="n"/>
      <c r="Q275" s="4" t="n"/>
      <c r="R275" s="5" t="n"/>
      <c r="S275" s="9" t="n"/>
      <c r="T275" s="4" t="n"/>
    </row>
    <row r="276">
      <c r="A276" s="5">
        <f>ROW()-2</f>
        <v/>
      </c>
      <c r="B276" s="4" t="inlineStr">
        <is>
          <t>Metrópole</t>
        </is>
      </c>
      <c r="C276" s="5" t="n">
        <v>274</v>
      </c>
      <c r="D276" s="5">
        <f>IFERROR(INDEX('Base de sorteio'!$A$3:$A$1723,MATCH($B276&amp;"|"&amp;$C276,'Base de sorteio'!$I$3:$I$1723,0)),"")</f>
        <v/>
      </c>
      <c r="E276" s="4">
        <f>IFERROR(INDEX('Base de sorteio'!$B$3:$B$1723,MATCH($B276&amp;"|"&amp;$C276,'Base de sorteio'!$I$3:$I$1723,0)),"")</f>
        <v/>
      </c>
      <c r="F276" s="4">
        <f>IFERROR(INDEX('Base de sorteio'!$C$3:$C$1723,MATCH($B276&amp;"|"&amp;$C276,'Base de sorteio'!$I$3:$I$1723,0)),"")</f>
        <v/>
      </c>
      <c r="G276" s="4">
        <f>IFERROR(INDEX('Base de sorteio'!$D$3:$D$1723,MATCH($B276&amp;"|"&amp;$C276,'Base de sorteio'!$I$3:$I$1723,0)),"")</f>
        <v/>
      </c>
      <c r="H276" s="4">
        <f>IFERROR(INDEX('Base de sorteio'!$E$3:$E$1723,MATCH($B276&amp;"|"&amp;$C276,'Base de sorteio'!$I$3:$I$1723,0)),"")</f>
        <v/>
      </c>
      <c r="I276" s="4">
        <f>IF(E276="","",HYPERLINK(IFERROR(INDEX('Base de sorteio'!$J$3:$J$1723,MATCH($B276&amp;"|"&amp;$C276,'Base de sorteio'!$I$3:$I$1723,0)),""),"abrir"))</f>
        <v/>
      </c>
      <c r="J276" s="4" t="n"/>
      <c r="K276" s="4" t="n"/>
      <c r="L276" s="4" t="n"/>
      <c r="M276" s="4" t="n"/>
      <c r="N276" s="4">
        <f>IF(AND(K276="",M276=""),"",IF(OR(K276="sim",M276="sim"),"sim",IF(OR(K276="inconclusivo",M276="inconclusivo"),"inconclusivo","não")))</f>
        <v/>
      </c>
      <c r="O276" s="5">
        <f>IF(N276="sim",COUNTIFS($B$3:$B276,$B276,$N$3:$N276,"sim"),"")</f>
        <v/>
      </c>
      <c r="P276" s="5" t="n"/>
      <c r="Q276" s="4" t="n"/>
      <c r="R276" s="5" t="n"/>
      <c r="S276" s="9" t="n"/>
      <c r="T276" s="4" t="n"/>
    </row>
    <row r="277">
      <c r="A277" s="5">
        <f>ROW()-2</f>
        <v/>
      </c>
      <c r="B277" s="4" t="inlineStr">
        <is>
          <t>Metrópole</t>
        </is>
      </c>
      <c r="C277" s="5" t="n">
        <v>275</v>
      </c>
      <c r="D277" s="5">
        <f>IFERROR(INDEX('Base de sorteio'!$A$3:$A$1723,MATCH($B277&amp;"|"&amp;$C277,'Base de sorteio'!$I$3:$I$1723,0)),"")</f>
        <v/>
      </c>
      <c r="E277" s="4">
        <f>IFERROR(INDEX('Base de sorteio'!$B$3:$B$1723,MATCH($B277&amp;"|"&amp;$C277,'Base de sorteio'!$I$3:$I$1723,0)),"")</f>
        <v/>
      </c>
      <c r="F277" s="4">
        <f>IFERROR(INDEX('Base de sorteio'!$C$3:$C$1723,MATCH($B277&amp;"|"&amp;$C277,'Base de sorteio'!$I$3:$I$1723,0)),"")</f>
        <v/>
      </c>
      <c r="G277" s="4">
        <f>IFERROR(INDEX('Base de sorteio'!$D$3:$D$1723,MATCH($B277&amp;"|"&amp;$C277,'Base de sorteio'!$I$3:$I$1723,0)),"")</f>
        <v/>
      </c>
      <c r="H277" s="4">
        <f>IFERROR(INDEX('Base de sorteio'!$E$3:$E$1723,MATCH($B277&amp;"|"&amp;$C277,'Base de sorteio'!$I$3:$I$1723,0)),"")</f>
        <v/>
      </c>
      <c r="I277" s="4">
        <f>IF(E277="","",HYPERLINK(IFERROR(INDEX('Base de sorteio'!$J$3:$J$1723,MATCH($B277&amp;"|"&amp;$C277,'Base de sorteio'!$I$3:$I$1723,0)),""),"abrir"))</f>
        <v/>
      </c>
      <c r="J277" s="4" t="n"/>
      <c r="K277" s="4" t="n"/>
      <c r="L277" s="4" t="n"/>
      <c r="M277" s="4" t="n"/>
      <c r="N277" s="4">
        <f>IF(AND(K277="",M277=""),"",IF(OR(K277="sim",M277="sim"),"sim",IF(OR(K277="inconclusivo",M277="inconclusivo"),"inconclusivo","não")))</f>
        <v/>
      </c>
      <c r="O277" s="5">
        <f>IF(N277="sim",COUNTIFS($B$3:$B277,$B277,$N$3:$N277,"sim"),"")</f>
        <v/>
      </c>
      <c r="P277" s="5" t="n"/>
      <c r="Q277" s="4" t="n"/>
      <c r="R277" s="5" t="n"/>
      <c r="S277" s="9" t="n"/>
      <c r="T277" s="4" t="n"/>
    </row>
    <row r="278">
      <c r="A278" s="5">
        <f>ROW()-2</f>
        <v/>
      </c>
      <c r="B278" s="4" t="inlineStr">
        <is>
          <t>Metrópole</t>
        </is>
      </c>
      <c r="C278" s="5" t="n">
        <v>276</v>
      </c>
      <c r="D278" s="5">
        <f>IFERROR(INDEX('Base de sorteio'!$A$3:$A$1723,MATCH($B278&amp;"|"&amp;$C278,'Base de sorteio'!$I$3:$I$1723,0)),"")</f>
        <v/>
      </c>
      <c r="E278" s="4">
        <f>IFERROR(INDEX('Base de sorteio'!$B$3:$B$1723,MATCH($B278&amp;"|"&amp;$C278,'Base de sorteio'!$I$3:$I$1723,0)),"")</f>
        <v/>
      </c>
      <c r="F278" s="4">
        <f>IFERROR(INDEX('Base de sorteio'!$C$3:$C$1723,MATCH($B278&amp;"|"&amp;$C278,'Base de sorteio'!$I$3:$I$1723,0)),"")</f>
        <v/>
      </c>
      <c r="G278" s="4">
        <f>IFERROR(INDEX('Base de sorteio'!$D$3:$D$1723,MATCH($B278&amp;"|"&amp;$C278,'Base de sorteio'!$I$3:$I$1723,0)),"")</f>
        <v/>
      </c>
      <c r="H278" s="4">
        <f>IFERROR(INDEX('Base de sorteio'!$E$3:$E$1723,MATCH($B278&amp;"|"&amp;$C278,'Base de sorteio'!$I$3:$I$1723,0)),"")</f>
        <v/>
      </c>
      <c r="I278" s="4">
        <f>IF(E278="","",HYPERLINK(IFERROR(INDEX('Base de sorteio'!$J$3:$J$1723,MATCH($B278&amp;"|"&amp;$C278,'Base de sorteio'!$I$3:$I$1723,0)),""),"abrir"))</f>
        <v/>
      </c>
      <c r="J278" s="4" t="n"/>
      <c r="K278" s="4" t="n"/>
      <c r="L278" s="4" t="n"/>
      <c r="M278" s="4" t="n"/>
      <c r="N278" s="4">
        <f>IF(AND(K278="",M278=""),"",IF(OR(K278="sim",M278="sim"),"sim",IF(OR(K278="inconclusivo",M278="inconclusivo"),"inconclusivo","não")))</f>
        <v/>
      </c>
      <c r="O278" s="5">
        <f>IF(N278="sim",COUNTIFS($B$3:$B278,$B278,$N$3:$N278,"sim"),"")</f>
        <v/>
      </c>
      <c r="P278" s="5" t="n"/>
      <c r="Q278" s="4" t="n"/>
      <c r="R278" s="5" t="n"/>
      <c r="S278" s="9" t="n"/>
      <c r="T278" s="4" t="n"/>
    </row>
    <row r="279">
      <c r="A279" s="5">
        <f>ROW()-2</f>
        <v/>
      </c>
      <c r="B279" s="4" t="inlineStr">
        <is>
          <t>Metrópole</t>
        </is>
      </c>
      <c r="C279" s="5" t="n">
        <v>277</v>
      </c>
      <c r="D279" s="5">
        <f>IFERROR(INDEX('Base de sorteio'!$A$3:$A$1723,MATCH($B279&amp;"|"&amp;$C279,'Base de sorteio'!$I$3:$I$1723,0)),"")</f>
        <v/>
      </c>
      <c r="E279" s="4">
        <f>IFERROR(INDEX('Base de sorteio'!$B$3:$B$1723,MATCH($B279&amp;"|"&amp;$C279,'Base de sorteio'!$I$3:$I$1723,0)),"")</f>
        <v/>
      </c>
      <c r="F279" s="4">
        <f>IFERROR(INDEX('Base de sorteio'!$C$3:$C$1723,MATCH($B279&amp;"|"&amp;$C279,'Base de sorteio'!$I$3:$I$1723,0)),"")</f>
        <v/>
      </c>
      <c r="G279" s="4">
        <f>IFERROR(INDEX('Base de sorteio'!$D$3:$D$1723,MATCH($B279&amp;"|"&amp;$C279,'Base de sorteio'!$I$3:$I$1723,0)),"")</f>
        <v/>
      </c>
      <c r="H279" s="4">
        <f>IFERROR(INDEX('Base de sorteio'!$E$3:$E$1723,MATCH($B279&amp;"|"&amp;$C279,'Base de sorteio'!$I$3:$I$1723,0)),"")</f>
        <v/>
      </c>
      <c r="I279" s="4">
        <f>IF(E279="","",HYPERLINK(IFERROR(INDEX('Base de sorteio'!$J$3:$J$1723,MATCH($B279&amp;"|"&amp;$C279,'Base de sorteio'!$I$3:$I$1723,0)),""),"abrir"))</f>
        <v/>
      </c>
      <c r="J279" s="4" t="n"/>
      <c r="K279" s="4" t="n"/>
      <c r="L279" s="4" t="n"/>
      <c r="M279" s="4" t="n"/>
      <c r="N279" s="4">
        <f>IF(AND(K279="",M279=""),"",IF(OR(K279="sim",M279="sim"),"sim",IF(OR(K279="inconclusivo",M279="inconclusivo"),"inconclusivo","não")))</f>
        <v/>
      </c>
      <c r="O279" s="5">
        <f>IF(N279="sim",COUNTIFS($B$3:$B279,$B279,$N$3:$N279,"sim"),"")</f>
        <v/>
      </c>
      <c r="P279" s="5" t="n"/>
      <c r="Q279" s="4" t="n"/>
      <c r="R279" s="5" t="n"/>
      <c r="S279" s="9" t="n"/>
      <c r="T279" s="4" t="n"/>
    </row>
    <row r="280">
      <c r="A280" s="5">
        <f>ROW()-2</f>
        <v/>
      </c>
      <c r="B280" s="4" t="inlineStr">
        <is>
          <t>Metrópole</t>
        </is>
      </c>
      <c r="C280" s="5" t="n">
        <v>278</v>
      </c>
      <c r="D280" s="5">
        <f>IFERROR(INDEX('Base de sorteio'!$A$3:$A$1723,MATCH($B280&amp;"|"&amp;$C280,'Base de sorteio'!$I$3:$I$1723,0)),"")</f>
        <v/>
      </c>
      <c r="E280" s="4">
        <f>IFERROR(INDEX('Base de sorteio'!$B$3:$B$1723,MATCH($B280&amp;"|"&amp;$C280,'Base de sorteio'!$I$3:$I$1723,0)),"")</f>
        <v/>
      </c>
      <c r="F280" s="4">
        <f>IFERROR(INDEX('Base de sorteio'!$C$3:$C$1723,MATCH($B280&amp;"|"&amp;$C280,'Base de sorteio'!$I$3:$I$1723,0)),"")</f>
        <v/>
      </c>
      <c r="G280" s="4">
        <f>IFERROR(INDEX('Base de sorteio'!$D$3:$D$1723,MATCH($B280&amp;"|"&amp;$C280,'Base de sorteio'!$I$3:$I$1723,0)),"")</f>
        <v/>
      </c>
      <c r="H280" s="4">
        <f>IFERROR(INDEX('Base de sorteio'!$E$3:$E$1723,MATCH($B280&amp;"|"&amp;$C280,'Base de sorteio'!$I$3:$I$1723,0)),"")</f>
        <v/>
      </c>
      <c r="I280" s="4">
        <f>IF(E280="","",HYPERLINK(IFERROR(INDEX('Base de sorteio'!$J$3:$J$1723,MATCH($B280&amp;"|"&amp;$C280,'Base de sorteio'!$I$3:$I$1723,0)),""),"abrir"))</f>
        <v/>
      </c>
      <c r="J280" s="4" t="n"/>
      <c r="K280" s="4" t="n"/>
      <c r="L280" s="4" t="n"/>
      <c r="M280" s="4" t="n"/>
      <c r="N280" s="4">
        <f>IF(AND(K280="",M280=""),"",IF(OR(K280="sim",M280="sim"),"sim",IF(OR(K280="inconclusivo",M280="inconclusivo"),"inconclusivo","não")))</f>
        <v/>
      </c>
      <c r="O280" s="5">
        <f>IF(N280="sim",COUNTIFS($B$3:$B280,$B280,$N$3:$N280,"sim"),"")</f>
        <v/>
      </c>
      <c r="P280" s="5" t="n"/>
      <c r="Q280" s="4" t="n"/>
      <c r="R280" s="5" t="n"/>
      <c r="S280" s="9" t="n"/>
      <c r="T280" s="4" t="n"/>
    </row>
    <row r="281">
      <c r="A281" s="5">
        <f>ROW()-2</f>
        <v/>
      </c>
      <c r="B281" s="4" t="inlineStr">
        <is>
          <t>Metrópole</t>
        </is>
      </c>
      <c r="C281" s="5" t="n">
        <v>279</v>
      </c>
      <c r="D281" s="5">
        <f>IFERROR(INDEX('Base de sorteio'!$A$3:$A$1723,MATCH($B281&amp;"|"&amp;$C281,'Base de sorteio'!$I$3:$I$1723,0)),"")</f>
        <v/>
      </c>
      <c r="E281" s="4">
        <f>IFERROR(INDEX('Base de sorteio'!$B$3:$B$1723,MATCH($B281&amp;"|"&amp;$C281,'Base de sorteio'!$I$3:$I$1723,0)),"")</f>
        <v/>
      </c>
      <c r="F281" s="4">
        <f>IFERROR(INDEX('Base de sorteio'!$C$3:$C$1723,MATCH($B281&amp;"|"&amp;$C281,'Base de sorteio'!$I$3:$I$1723,0)),"")</f>
        <v/>
      </c>
      <c r="G281" s="4">
        <f>IFERROR(INDEX('Base de sorteio'!$D$3:$D$1723,MATCH($B281&amp;"|"&amp;$C281,'Base de sorteio'!$I$3:$I$1723,0)),"")</f>
        <v/>
      </c>
      <c r="H281" s="4">
        <f>IFERROR(INDEX('Base de sorteio'!$E$3:$E$1723,MATCH($B281&amp;"|"&amp;$C281,'Base de sorteio'!$I$3:$I$1723,0)),"")</f>
        <v/>
      </c>
      <c r="I281" s="4">
        <f>IF(E281="","",HYPERLINK(IFERROR(INDEX('Base de sorteio'!$J$3:$J$1723,MATCH($B281&amp;"|"&amp;$C281,'Base de sorteio'!$I$3:$I$1723,0)),""),"abrir"))</f>
        <v/>
      </c>
      <c r="J281" s="4" t="n"/>
      <c r="K281" s="4" t="n"/>
      <c r="L281" s="4" t="n"/>
      <c r="M281" s="4" t="n"/>
      <c r="N281" s="4">
        <f>IF(AND(K281="",M281=""),"",IF(OR(K281="sim",M281="sim"),"sim",IF(OR(K281="inconclusivo",M281="inconclusivo"),"inconclusivo","não")))</f>
        <v/>
      </c>
      <c r="O281" s="5">
        <f>IF(N281="sim",COUNTIFS($B$3:$B281,$B281,$N$3:$N281,"sim"),"")</f>
        <v/>
      </c>
      <c r="P281" s="5" t="n"/>
      <c r="Q281" s="4" t="n"/>
      <c r="R281" s="5" t="n"/>
      <c r="S281" s="9" t="n"/>
      <c r="T281" s="4" t="n"/>
    </row>
    <row r="282">
      <c r="A282" s="5">
        <f>ROW()-2</f>
        <v/>
      </c>
      <c r="B282" s="4" t="inlineStr">
        <is>
          <t>Metrópole</t>
        </is>
      </c>
      <c r="C282" s="5" t="n">
        <v>280</v>
      </c>
      <c r="D282" s="5">
        <f>IFERROR(INDEX('Base de sorteio'!$A$3:$A$1723,MATCH($B282&amp;"|"&amp;$C282,'Base de sorteio'!$I$3:$I$1723,0)),"")</f>
        <v/>
      </c>
      <c r="E282" s="4">
        <f>IFERROR(INDEX('Base de sorteio'!$B$3:$B$1723,MATCH($B282&amp;"|"&amp;$C282,'Base de sorteio'!$I$3:$I$1723,0)),"")</f>
        <v/>
      </c>
      <c r="F282" s="4">
        <f>IFERROR(INDEX('Base de sorteio'!$C$3:$C$1723,MATCH($B282&amp;"|"&amp;$C282,'Base de sorteio'!$I$3:$I$1723,0)),"")</f>
        <v/>
      </c>
      <c r="G282" s="4">
        <f>IFERROR(INDEX('Base de sorteio'!$D$3:$D$1723,MATCH($B282&amp;"|"&amp;$C282,'Base de sorteio'!$I$3:$I$1723,0)),"")</f>
        <v/>
      </c>
      <c r="H282" s="4">
        <f>IFERROR(INDEX('Base de sorteio'!$E$3:$E$1723,MATCH($B282&amp;"|"&amp;$C282,'Base de sorteio'!$I$3:$I$1723,0)),"")</f>
        <v/>
      </c>
      <c r="I282" s="4">
        <f>IF(E282="","",HYPERLINK(IFERROR(INDEX('Base de sorteio'!$J$3:$J$1723,MATCH($B282&amp;"|"&amp;$C282,'Base de sorteio'!$I$3:$I$1723,0)),""),"abrir"))</f>
        <v/>
      </c>
      <c r="J282" s="4" t="n"/>
      <c r="K282" s="4" t="n"/>
      <c r="L282" s="4" t="n"/>
      <c r="M282" s="4" t="n"/>
      <c r="N282" s="4">
        <f>IF(AND(K282="",M282=""),"",IF(OR(K282="sim",M282="sim"),"sim",IF(OR(K282="inconclusivo",M282="inconclusivo"),"inconclusivo","não")))</f>
        <v/>
      </c>
      <c r="O282" s="5">
        <f>IF(N282="sim",COUNTIFS($B$3:$B282,$B282,$N$3:$N282,"sim"),"")</f>
        <v/>
      </c>
      <c r="P282" s="5" t="n"/>
      <c r="Q282" s="4" t="n"/>
      <c r="R282" s="5" t="n"/>
      <c r="S282" s="9" t="n"/>
      <c r="T282" s="4" t="n"/>
    </row>
    <row r="283">
      <c r="A283" s="5">
        <f>ROW()-2</f>
        <v/>
      </c>
      <c r="B283" s="4" t="inlineStr">
        <is>
          <t>Metrópole</t>
        </is>
      </c>
      <c r="C283" s="5" t="n">
        <v>281</v>
      </c>
      <c r="D283" s="5">
        <f>IFERROR(INDEX('Base de sorteio'!$A$3:$A$1723,MATCH($B283&amp;"|"&amp;$C283,'Base de sorteio'!$I$3:$I$1723,0)),"")</f>
        <v/>
      </c>
      <c r="E283" s="4">
        <f>IFERROR(INDEX('Base de sorteio'!$B$3:$B$1723,MATCH($B283&amp;"|"&amp;$C283,'Base de sorteio'!$I$3:$I$1723,0)),"")</f>
        <v/>
      </c>
      <c r="F283" s="4">
        <f>IFERROR(INDEX('Base de sorteio'!$C$3:$C$1723,MATCH($B283&amp;"|"&amp;$C283,'Base de sorteio'!$I$3:$I$1723,0)),"")</f>
        <v/>
      </c>
      <c r="G283" s="4">
        <f>IFERROR(INDEX('Base de sorteio'!$D$3:$D$1723,MATCH($B283&amp;"|"&amp;$C283,'Base de sorteio'!$I$3:$I$1723,0)),"")</f>
        <v/>
      </c>
      <c r="H283" s="4">
        <f>IFERROR(INDEX('Base de sorteio'!$E$3:$E$1723,MATCH($B283&amp;"|"&amp;$C283,'Base de sorteio'!$I$3:$I$1723,0)),"")</f>
        <v/>
      </c>
      <c r="I283" s="4">
        <f>IF(E283="","",HYPERLINK(IFERROR(INDEX('Base de sorteio'!$J$3:$J$1723,MATCH($B283&amp;"|"&amp;$C283,'Base de sorteio'!$I$3:$I$1723,0)),""),"abrir"))</f>
        <v/>
      </c>
      <c r="J283" s="4" t="n"/>
      <c r="K283" s="4" t="n"/>
      <c r="L283" s="4" t="n"/>
      <c r="M283" s="4" t="n"/>
      <c r="N283" s="4">
        <f>IF(AND(K283="",M283=""),"",IF(OR(K283="sim",M283="sim"),"sim",IF(OR(K283="inconclusivo",M283="inconclusivo"),"inconclusivo","não")))</f>
        <v/>
      </c>
      <c r="O283" s="5">
        <f>IF(N283="sim",COUNTIFS($B$3:$B283,$B283,$N$3:$N283,"sim"),"")</f>
        <v/>
      </c>
      <c r="P283" s="5" t="n"/>
      <c r="Q283" s="4" t="n"/>
      <c r="R283" s="5" t="n"/>
      <c r="S283" s="9" t="n"/>
      <c r="T283" s="4" t="n"/>
    </row>
    <row r="284">
      <c r="A284" s="5">
        <f>ROW()-2</f>
        <v/>
      </c>
      <c r="B284" s="4" t="inlineStr">
        <is>
          <t>Metrópole</t>
        </is>
      </c>
      <c r="C284" s="5" t="n">
        <v>282</v>
      </c>
      <c r="D284" s="5">
        <f>IFERROR(INDEX('Base de sorteio'!$A$3:$A$1723,MATCH($B284&amp;"|"&amp;$C284,'Base de sorteio'!$I$3:$I$1723,0)),"")</f>
        <v/>
      </c>
      <c r="E284" s="4">
        <f>IFERROR(INDEX('Base de sorteio'!$B$3:$B$1723,MATCH($B284&amp;"|"&amp;$C284,'Base de sorteio'!$I$3:$I$1723,0)),"")</f>
        <v/>
      </c>
      <c r="F284" s="4">
        <f>IFERROR(INDEX('Base de sorteio'!$C$3:$C$1723,MATCH($B284&amp;"|"&amp;$C284,'Base de sorteio'!$I$3:$I$1723,0)),"")</f>
        <v/>
      </c>
      <c r="G284" s="4">
        <f>IFERROR(INDEX('Base de sorteio'!$D$3:$D$1723,MATCH($B284&amp;"|"&amp;$C284,'Base de sorteio'!$I$3:$I$1723,0)),"")</f>
        <v/>
      </c>
      <c r="H284" s="4">
        <f>IFERROR(INDEX('Base de sorteio'!$E$3:$E$1723,MATCH($B284&amp;"|"&amp;$C284,'Base de sorteio'!$I$3:$I$1723,0)),"")</f>
        <v/>
      </c>
      <c r="I284" s="4">
        <f>IF(E284="","",HYPERLINK(IFERROR(INDEX('Base de sorteio'!$J$3:$J$1723,MATCH($B284&amp;"|"&amp;$C284,'Base de sorteio'!$I$3:$I$1723,0)),""),"abrir"))</f>
        <v/>
      </c>
      <c r="J284" s="4" t="n"/>
      <c r="K284" s="4" t="n"/>
      <c r="L284" s="4" t="n"/>
      <c r="M284" s="4" t="n"/>
      <c r="N284" s="4">
        <f>IF(AND(K284="",M284=""),"",IF(OR(K284="sim",M284="sim"),"sim",IF(OR(K284="inconclusivo",M284="inconclusivo"),"inconclusivo","não")))</f>
        <v/>
      </c>
      <c r="O284" s="5">
        <f>IF(N284="sim",COUNTIFS($B$3:$B284,$B284,$N$3:$N284,"sim"),"")</f>
        <v/>
      </c>
      <c r="P284" s="5" t="n"/>
      <c r="Q284" s="4" t="n"/>
      <c r="R284" s="5" t="n"/>
      <c r="S284" s="9" t="n"/>
      <c r="T284" s="4" t="n"/>
    </row>
    <row r="285">
      <c r="A285" s="5">
        <f>ROW()-2</f>
        <v/>
      </c>
      <c r="B285" s="4" t="inlineStr">
        <is>
          <t>Metrópole</t>
        </is>
      </c>
      <c r="C285" s="5" t="n">
        <v>283</v>
      </c>
      <c r="D285" s="5">
        <f>IFERROR(INDEX('Base de sorteio'!$A$3:$A$1723,MATCH($B285&amp;"|"&amp;$C285,'Base de sorteio'!$I$3:$I$1723,0)),"")</f>
        <v/>
      </c>
      <c r="E285" s="4">
        <f>IFERROR(INDEX('Base de sorteio'!$B$3:$B$1723,MATCH($B285&amp;"|"&amp;$C285,'Base de sorteio'!$I$3:$I$1723,0)),"")</f>
        <v/>
      </c>
      <c r="F285" s="4">
        <f>IFERROR(INDEX('Base de sorteio'!$C$3:$C$1723,MATCH($B285&amp;"|"&amp;$C285,'Base de sorteio'!$I$3:$I$1723,0)),"")</f>
        <v/>
      </c>
      <c r="G285" s="4">
        <f>IFERROR(INDEX('Base de sorteio'!$D$3:$D$1723,MATCH($B285&amp;"|"&amp;$C285,'Base de sorteio'!$I$3:$I$1723,0)),"")</f>
        <v/>
      </c>
      <c r="H285" s="4">
        <f>IFERROR(INDEX('Base de sorteio'!$E$3:$E$1723,MATCH($B285&amp;"|"&amp;$C285,'Base de sorteio'!$I$3:$I$1723,0)),"")</f>
        <v/>
      </c>
      <c r="I285" s="4">
        <f>IF(E285="","",HYPERLINK(IFERROR(INDEX('Base de sorteio'!$J$3:$J$1723,MATCH($B285&amp;"|"&amp;$C285,'Base de sorteio'!$I$3:$I$1723,0)),""),"abrir"))</f>
        <v/>
      </c>
      <c r="J285" s="4" t="n"/>
      <c r="K285" s="4" t="n"/>
      <c r="L285" s="4" t="n"/>
      <c r="M285" s="4" t="n"/>
      <c r="N285" s="4">
        <f>IF(AND(K285="",M285=""),"",IF(OR(K285="sim",M285="sim"),"sim",IF(OR(K285="inconclusivo",M285="inconclusivo"),"inconclusivo","não")))</f>
        <v/>
      </c>
      <c r="O285" s="5">
        <f>IF(N285="sim",COUNTIFS($B$3:$B285,$B285,$N$3:$N285,"sim"),"")</f>
        <v/>
      </c>
      <c r="P285" s="5" t="n"/>
      <c r="Q285" s="4" t="n"/>
      <c r="R285" s="5" t="n"/>
      <c r="S285" s="9" t="n"/>
      <c r="T285" s="4" t="n"/>
    </row>
    <row r="286">
      <c r="A286" s="5">
        <f>ROW()-2</f>
        <v/>
      </c>
      <c r="B286" s="4" t="inlineStr">
        <is>
          <t>Metrópole</t>
        </is>
      </c>
      <c r="C286" s="5" t="n">
        <v>284</v>
      </c>
      <c r="D286" s="5">
        <f>IFERROR(INDEX('Base de sorteio'!$A$3:$A$1723,MATCH($B286&amp;"|"&amp;$C286,'Base de sorteio'!$I$3:$I$1723,0)),"")</f>
        <v/>
      </c>
      <c r="E286" s="4">
        <f>IFERROR(INDEX('Base de sorteio'!$B$3:$B$1723,MATCH($B286&amp;"|"&amp;$C286,'Base de sorteio'!$I$3:$I$1723,0)),"")</f>
        <v/>
      </c>
      <c r="F286" s="4">
        <f>IFERROR(INDEX('Base de sorteio'!$C$3:$C$1723,MATCH($B286&amp;"|"&amp;$C286,'Base de sorteio'!$I$3:$I$1723,0)),"")</f>
        <v/>
      </c>
      <c r="G286" s="4">
        <f>IFERROR(INDEX('Base de sorteio'!$D$3:$D$1723,MATCH($B286&amp;"|"&amp;$C286,'Base de sorteio'!$I$3:$I$1723,0)),"")</f>
        <v/>
      </c>
      <c r="H286" s="4">
        <f>IFERROR(INDEX('Base de sorteio'!$E$3:$E$1723,MATCH($B286&amp;"|"&amp;$C286,'Base de sorteio'!$I$3:$I$1723,0)),"")</f>
        <v/>
      </c>
      <c r="I286" s="4">
        <f>IF(E286="","",HYPERLINK(IFERROR(INDEX('Base de sorteio'!$J$3:$J$1723,MATCH($B286&amp;"|"&amp;$C286,'Base de sorteio'!$I$3:$I$1723,0)),""),"abrir"))</f>
        <v/>
      </c>
      <c r="J286" s="4" t="n"/>
      <c r="K286" s="4" t="n"/>
      <c r="L286" s="4" t="n"/>
      <c r="M286" s="4" t="n"/>
      <c r="N286" s="4">
        <f>IF(AND(K286="",M286=""),"",IF(OR(K286="sim",M286="sim"),"sim",IF(OR(K286="inconclusivo",M286="inconclusivo"),"inconclusivo","não")))</f>
        <v/>
      </c>
      <c r="O286" s="5">
        <f>IF(N286="sim",COUNTIFS($B$3:$B286,$B286,$N$3:$N286,"sim"),"")</f>
        <v/>
      </c>
      <c r="P286" s="5" t="n"/>
      <c r="Q286" s="4" t="n"/>
      <c r="R286" s="5" t="n"/>
      <c r="S286" s="9" t="n"/>
      <c r="T286" s="4" t="n"/>
    </row>
    <row r="287">
      <c r="A287" s="5">
        <f>ROW()-2</f>
        <v/>
      </c>
      <c r="B287" s="4" t="inlineStr">
        <is>
          <t>Metrópole</t>
        </is>
      </c>
      <c r="C287" s="5" t="n">
        <v>285</v>
      </c>
      <c r="D287" s="5">
        <f>IFERROR(INDEX('Base de sorteio'!$A$3:$A$1723,MATCH($B287&amp;"|"&amp;$C287,'Base de sorteio'!$I$3:$I$1723,0)),"")</f>
        <v/>
      </c>
      <c r="E287" s="4">
        <f>IFERROR(INDEX('Base de sorteio'!$B$3:$B$1723,MATCH($B287&amp;"|"&amp;$C287,'Base de sorteio'!$I$3:$I$1723,0)),"")</f>
        <v/>
      </c>
      <c r="F287" s="4">
        <f>IFERROR(INDEX('Base de sorteio'!$C$3:$C$1723,MATCH($B287&amp;"|"&amp;$C287,'Base de sorteio'!$I$3:$I$1723,0)),"")</f>
        <v/>
      </c>
      <c r="G287" s="4">
        <f>IFERROR(INDEX('Base de sorteio'!$D$3:$D$1723,MATCH($B287&amp;"|"&amp;$C287,'Base de sorteio'!$I$3:$I$1723,0)),"")</f>
        <v/>
      </c>
      <c r="H287" s="4">
        <f>IFERROR(INDEX('Base de sorteio'!$E$3:$E$1723,MATCH($B287&amp;"|"&amp;$C287,'Base de sorteio'!$I$3:$I$1723,0)),"")</f>
        <v/>
      </c>
      <c r="I287" s="4">
        <f>IF(E287="","",HYPERLINK(IFERROR(INDEX('Base de sorteio'!$J$3:$J$1723,MATCH($B287&amp;"|"&amp;$C287,'Base de sorteio'!$I$3:$I$1723,0)),""),"abrir"))</f>
        <v/>
      </c>
      <c r="J287" s="4" t="n"/>
      <c r="K287" s="4" t="n"/>
      <c r="L287" s="4" t="n"/>
      <c r="M287" s="4" t="n"/>
      <c r="N287" s="4">
        <f>IF(AND(K287="",M287=""),"",IF(OR(K287="sim",M287="sim"),"sim",IF(OR(K287="inconclusivo",M287="inconclusivo"),"inconclusivo","não")))</f>
        <v/>
      </c>
      <c r="O287" s="5">
        <f>IF(N287="sim",COUNTIFS($B$3:$B287,$B287,$N$3:$N287,"sim"),"")</f>
        <v/>
      </c>
      <c r="P287" s="5" t="n"/>
      <c r="Q287" s="4" t="n"/>
      <c r="R287" s="5" t="n"/>
      <c r="S287" s="9" t="n"/>
      <c r="T287" s="4" t="n"/>
    </row>
    <row r="288">
      <c r="A288" s="5">
        <f>ROW()-2</f>
        <v/>
      </c>
      <c r="B288" s="4" t="inlineStr">
        <is>
          <t>Metrópole</t>
        </is>
      </c>
      <c r="C288" s="5" t="n">
        <v>286</v>
      </c>
      <c r="D288" s="5">
        <f>IFERROR(INDEX('Base de sorteio'!$A$3:$A$1723,MATCH($B288&amp;"|"&amp;$C288,'Base de sorteio'!$I$3:$I$1723,0)),"")</f>
        <v/>
      </c>
      <c r="E288" s="4">
        <f>IFERROR(INDEX('Base de sorteio'!$B$3:$B$1723,MATCH($B288&amp;"|"&amp;$C288,'Base de sorteio'!$I$3:$I$1723,0)),"")</f>
        <v/>
      </c>
      <c r="F288" s="4">
        <f>IFERROR(INDEX('Base de sorteio'!$C$3:$C$1723,MATCH($B288&amp;"|"&amp;$C288,'Base de sorteio'!$I$3:$I$1723,0)),"")</f>
        <v/>
      </c>
      <c r="G288" s="4">
        <f>IFERROR(INDEX('Base de sorteio'!$D$3:$D$1723,MATCH($B288&amp;"|"&amp;$C288,'Base de sorteio'!$I$3:$I$1723,0)),"")</f>
        <v/>
      </c>
      <c r="H288" s="4">
        <f>IFERROR(INDEX('Base de sorteio'!$E$3:$E$1723,MATCH($B288&amp;"|"&amp;$C288,'Base de sorteio'!$I$3:$I$1723,0)),"")</f>
        <v/>
      </c>
      <c r="I288" s="4">
        <f>IF(E288="","",HYPERLINK(IFERROR(INDEX('Base de sorteio'!$J$3:$J$1723,MATCH($B288&amp;"|"&amp;$C288,'Base de sorteio'!$I$3:$I$1723,0)),""),"abrir"))</f>
        <v/>
      </c>
      <c r="J288" s="4" t="n"/>
      <c r="K288" s="4" t="n"/>
      <c r="L288" s="4" t="n"/>
      <c r="M288" s="4" t="n"/>
      <c r="N288" s="4">
        <f>IF(AND(K288="",M288=""),"",IF(OR(K288="sim",M288="sim"),"sim",IF(OR(K288="inconclusivo",M288="inconclusivo"),"inconclusivo","não")))</f>
        <v/>
      </c>
      <c r="O288" s="5">
        <f>IF(N288="sim",COUNTIFS($B$3:$B288,$B288,$N$3:$N288,"sim"),"")</f>
        <v/>
      </c>
      <c r="P288" s="5" t="n"/>
      <c r="Q288" s="4" t="n"/>
      <c r="R288" s="5" t="n"/>
      <c r="S288" s="9" t="n"/>
      <c r="T288" s="4" t="n"/>
    </row>
    <row r="289">
      <c r="A289" s="5">
        <f>ROW()-2</f>
        <v/>
      </c>
      <c r="B289" s="4" t="inlineStr">
        <is>
          <t>Metrópole</t>
        </is>
      </c>
      <c r="C289" s="5" t="n">
        <v>287</v>
      </c>
      <c r="D289" s="5">
        <f>IFERROR(INDEX('Base de sorteio'!$A$3:$A$1723,MATCH($B289&amp;"|"&amp;$C289,'Base de sorteio'!$I$3:$I$1723,0)),"")</f>
        <v/>
      </c>
      <c r="E289" s="4">
        <f>IFERROR(INDEX('Base de sorteio'!$B$3:$B$1723,MATCH($B289&amp;"|"&amp;$C289,'Base de sorteio'!$I$3:$I$1723,0)),"")</f>
        <v/>
      </c>
      <c r="F289" s="4">
        <f>IFERROR(INDEX('Base de sorteio'!$C$3:$C$1723,MATCH($B289&amp;"|"&amp;$C289,'Base de sorteio'!$I$3:$I$1723,0)),"")</f>
        <v/>
      </c>
      <c r="G289" s="4">
        <f>IFERROR(INDEX('Base de sorteio'!$D$3:$D$1723,MATCH($B289&amp;"|"&amp;$C289,'Base de sorteio'!$I$3:$I$1723,0)),"")</f>
        <v/>
      </c>
      <c r="H289" s="4">
        <f>IFERROR(INDEX('Base de sorteio'!$E$3:$E$1723,MATCH($B289&amp;"|"&amp;$C289,'Base de sorteio'!$I$3:$I$1723,0)),"")</f>
        <v/>
      </c>
      <c r="I289" s="4">
        <f>IF(E289="","",HYPERLINK(IFERROR(INDEX('Base de sorteio'!$J$3:$J$1723,MATCH($B289&amp;"|"&amp;$C289,'Base de sorteio'!$I$3:$I$1723,0)),""),"abrir"))</f>
        <v/>
      </c>
      <c r="J289" s="4" t="n"/>
      <c r="K289" s="4" t="n"/>
      <c r="L289" s="4" t="n"/>
      <c r="M289" s="4" t="n"/>
      <c r="N289" s="4">
        <f>IF(AND(K289="",M289=""),"",IF(OR(K289="sim",M289="sim"),"sim",IF(OR(K289="inconclusivo",M289="inconclusivo"),"inconclusivo","não")))</f>
        <v/>
      </c>
      <c r="O289" s="5">
        <f>IF(N289="sim",COUNTIFS($B$3:$B289,$B289,$N$3:$N289,"sim"),"")</f>
        <v/>
      </c>
      <c r="P289" s="5" t="n"/>
      <c r="Q289" s="4" t="n"/>
      <c r="R289" s="5" t="n"/>
      <c r="S289" s="9" t="n"/>
      <c r="T289" s="4" t="n"/>
    </row>
    <row r="290">
      <c r="A290" s="5">
        <f>ROW()-2</f>
        <v/>
      </c>
      <c r="B290" s="4" t="inlineStr">
        <is>
          <t>Metrópole</t>
        </is>
      </c>
      <c r="C290" s="5" t="n">
        <v>288</v>
      </c>
      <c r="D290" s="5">
        <f>IFERROR(INDEX('Base de sorteio'!$A$3:$A$1723,MATCH($B290&amp;"|"&amp;$C290,'Base de sorteio'!$I$3:$I$1723,0)),"")</f>
        <v/>
      </c>
      <c r="E290" s="4">
        <f>IFERROR(INDEX('Base de sorteio'!$B$3:$B$1723,MATCH($B290&amp;"|"&amp;$C290,'Base de sorteio'!$I$3:$I$1723,0)),"")</f>
        <v/>
      </c>
      <c r="F290" s="4">
        <f>IFERROR(INDEX('Base de sorteio'!$C$3:$C$1723,MATCH($B290&amp;"|"&amp;$C290,'Base de sorteio'!$I$3:$I$1723,0)),"")</f>
        <v/>
      </c>
      <c r="G290" s="4">
        <f>IFERROR(INDEX('Base de sorteio'!$D$3:$D$1723,MATCH($B290&amp;"|"&amp;$C290,'Base de sorteio'!$I$3:$I$1723,0)),"")</f>
        <v/>
      </c>
      <c r="H290" s="4">
        <f>IFERROR(INDEX('Base de sorteio'!$E$3:$E$1723,MATCH($B290&amp;"|"&amp;$C290,'Base de sorteio'!$I$3:$I$1723,0)),"")</f>
        <v/>
      </c>
      <c r="I290" s="4">
        <f>IF(E290="","",HYPERLINK(IFERROR(INDEX('Base de sorteio'!$J$3:$J$1723,MATCH($B290&amp;"|"&amp;$C290,'Base de sorteio'!$I$3:$I$1723,0)),""),"abrir"))</f>
        <v/>
      </c>
      <c r="J290" s="4" t="n"/>
      <c r="K290" s="4" t="n"/>
      <c r="L290" s="4" t="n"/>
      <c r="M290" s="4" t="n"/>
      <c r="N290" s="4">
        <f>IF(AND(K290="",M290=""),"",IF(OR(K290="sim",M290="sim"),"sim",IF(OR(K290="inconclusivo",M290="inconclusivo"),"inconclusivo","não")))</f>
        <v/>
      </c>
      <c r="O290" s="5">
        <f>IF(N290="sim",COUNTIFS($B$3:$B290,$B290,$N$3:$N290,"sim"),"")</f>
        <v/>
      </c>
      <c r="P290" s="5" t="n"/>
      <c r="Q290" s="4" t="n"/>
      <c r="R290" s="5" t="n"/>
      <c r="S290" s="9" t="n"/>
      <c r="T290" s="4" t="n"/>
    </row>
    <row r="291">
      <c r="A291" s="5">
        <f>ROW()-2</f>
        <v/>
      </c>
      <c r="B291" s="4" t="inlineStr">
        <is>
          <t>Metrópole</t>
        </is>
      </c>
      <c r="C291" s="5" t="n">
        <v>289</v>
      </c>
      <c r="D291" s="5">
        <f>IFERROR(INDEX('Base de sorteio'!$A$3:$A$1723,MATCH($B291&amp;"|"&amp;$C291,'Base de sorteio'!$I$3:$I$1723,0)),"")</f>
        <v/>
      </c>
      <c r="E291" s="4">
        <f>IFERROR(INDEX('Base de sorteio'!$B$3:$B$1723,MATCH($B291&amp;"|"&amp;$C291,'Base de sorteio'!$I$3:$I$1723,0)),"")</f>
        <v/>
      </c>
      <c r="F291" s="4">
        <f>IFERROR(INDEX('Base de sorteio'!$C$3:$C$1723,MATCH($B291&amp;"|"&amp;$C291,'Base de sorteio'!$I$3:$I$1723,0)),"")</f>
        <v/>
      </c>
      <c r="G291" s="4">
        <f>IFERROR(INDEX('Base de sorteio'!$D$3:$D$1723,MATCH($B291&amp;"|"&amp;$C291,'Base de sorteio'!$I$3:$I$1723,0)),"")</f>
        <v/>
      </c>
      <c r="H291" s="4">
        <f>IFERROR(INDEX('Base de sorteio'!$E$3:$E$1723,MATCH($B291&amp;"|"&amp;$C291,'Base de sorteio'!$I$3:$I$1723,0)),"")</f>
        <v/>
      </c>
      <c r="I291" s="4">
        <f>IF(E291="","",HYPERLINK(IFERROR(INDEX('Base de sorteio'!$J$3:$J$1723,MATCH($B291&amp;"|"&amp;$C291,'Base de sorteio'!$I$3:$I$1723,0)),""),"abrir"))</f>
        <v/>
      </c>
      <c r="J291" s="4" t="n"/>
      <c r="K291" s="4" t="n"/>
      <c r="L291" s="4" t="n"/>
      <c r="M291" s="4" t="n"/>
      <c r="N291" s="4">
        <f>IF(AND(K291="",M291=""),"",IF(OR(K291="sim",M291="sim"),"sim",IF(OR(K291="inconclusivo",M291="inconclusivo"),"inconclusivo","não")))</f>
        <v/>
      </c>
      <c r="O291" s="5">
        <f>IF(N291="sim",COUNTIFS($B$3:$B291,$B291,$N$3:$N291,"sim"),"")</f>
        <v/>
      </c>
      <c r="P291" s="5" t="n"/>
      <c r="Q291" s="4" t="n"/>
      <c r="R291" s="5" t="n"/>
      <c r="S291" s="9" t="n"/>
      <c r="T291" s="4" t="n"/>
    </row>
    <row r="292">
      <c r="A292" s="5">
        <f>ROW()-2</f>
        <v/>
      </c>
      <c r="B292" s="4" t="inlineStr">
        <is>
          <t>Metrópole</t>
        </is>
      </c>
      <c r="C292" s="5" t="n">
        <v>290</v>
      </c>
      <c r="D292" s="5">
        <f>IFERROR(INDEX('Base de sorteio'!$A$3:$A$1723,MATCH($B292&amp;"|"&amp;$C292,'Base de sorteio'!$I$3:$I$1723,0)),"")</f>
        <v/>
      </c>
      <c r="E292" s="4">
        <f>IFERROR(INDEX('Base de sorteio'!$B$3:$B$1723,MATCH($B292&amp;"|"&amp;$C292,'Base de sorteio'!$I$3:$I$1723,0)),"")</f>
        <v/>
      </c>
      <c r="F292" s="4">
        <f>IFERROR(INDEX('Base de sorteio'!$C$3:$C$1723,MATCH($B292&amp;"|"&amp;$C292,'Base de sorteio'!$I$3:$I$1723,0)),"")</f>
        <v/>
      </c>
      <c r="G292" s="4">
        <f>IFERROR(INDEX('Base de sorteio'!$D$3:$D$1723,MATCH($B292&amp;"|"&amp;$C292,'Base de sorteio'!$I$3:$I$1723,0)),"")</f>
        <v/>
      </c>
      <c r="H292" s="4">
        <f>IFERROR(INDEX('Base de sorteio'!$E$3:$E$1723,MATCH($B292&amp;"|"&amp;$C292,'Base de sorteio'!$I$3:$I$1723,0)),"")</f>
        <v/>
      </c>
      <c r="I292" s="4">
        <f>IF(E292="","",HYPERLINK(IFERROR(INDEX('Base de sorteio'!$J$3:$J$1723,MATCH($B292&amp;"|"&amp;$C292,'Base de sorteio'!$I$3:$I$1723,0)),""),"abrir"))</f>
        <v/>
      </c>
      <c r="J292" s="4" t="n"/>
      <c r="K292" s="4" t="n"/>
      <c r="L292" s="4" t="n"/>
      <c r="M292" s="4" t="n"/>
      <c r="N292" s="4">
        <f>IF(AND(K292="",M292=""),"",IF(OR(K292="sim",M292="sim"),"sim",IF(OR(K292="inconclusivo",M292="inconclusivo"),"inconclusivo","não")))</f>
        <v/>
      </c>
      <c r="O292" s="5">
        <f>IF(N292="sim",COUNTIFS($B$3:$B292,$B292,$N$3:$N292,"sim"),"")</f>
        <v/>
      </c>
      <c r="P292" s="5" t="n"/>
      <c r="Q292" s="4" t="n"/>
      <c r="R292" s="5" t="n"/>
      <c r="S292" s="9" t="n"/>
      <c r="T292" s="4" t="n"/>
    </row>
    <row r="293">
      <c r="A293" s="5">
        <f>ROW()-2</f>
        <v/>
      </c>
      <c r="B293" s="4" t="inlineStr">
        <is>
          <t>Metrópole</t>
        </is>
      </c>
      <c r="C293" s="5" t="n">
        <v>291</v>
      </c>
      <c r="D293" s="5">
        <f>IFERROR(INDEX('Base de sorteio'!$A$3:$A$1723,MATCH($B293&amp;"|"&amp;$C293,'Base de sorteio'!$I$3:$I$1723,0)),"")</f>
        <v/>
      </c>
      <c r="E293" s="4">
        <f>IFERROR(INDEX('Base de sorteio'!$B$3:$B$1723,MATCH($B293&amp;"|"&amp;$C293,'Base de sorteio'!$I$3:$I$1723,0)),"")</f>
        <v/>
      </c>
      <c r="F293" s="4">
        <f>IFERROR(INDEX('Base de sorteio'!$C$3:$C$1723,MATCH($B293&amp;"|"&amp;$C293,'Base de sorteio'!$I$3:$I$1723,0)),"")</f>
        <v/>
      </c>
      <c r="G293" s="4">
        <f>IFERROR(INDEX('Base de sorteio'!$D$3:$D$1723,MATCH($B293&amp;"|"&amp;$C293,'Base de sorteio'!$I$3:$I$1723,0)),"")</f>
        <v/>
      </c>
      <c r="H293" s="4">
        <f>IFERROR(INDEX('Base de sorteio'!$E$3:$E$1723,MATCH($B293&amp;"|"&amp;$C293,'Base de sorteio'!$I$3:$I$1723,0)),"")</f>
        <v/>
      </c>
      <c r="I293" s="4">
        <f>IF(E293="","",HYPERLINK(IFERROR(INDEX('Base de sorteio'!$J$3:$J$1723,MATCH($B293&amp;"|"&amp;$C293,'Base de sorteio'!$I$3:$I$1723,0)),""),"abrir"))</f>
        <v/>
      </c>
      <c r="J293" s="4" t="n"/>
      <c r="K293" s="4" t="n"/>
      <c r="L293" s="4" t="n"/>
      <c r="M293" s="4" t="n"/>
      <c r="N293" s="4">
        <f>IF(AND(K293="",M293=""),"",IF(OR(K293="sim",M293="sim"),"sim",IF(OR(K293="inconclusivo",M293="inconclusivo"),"inconclusivo","não")))</f>
        <v/>
      </c>
      <c r="O293" s="5">
        <f>IF(N293="sim",COUNTIFS($B$3:$B293,$B293,$N$3:$N293,"sim"),"")</f>
        <v/>
      </c>
      <c r="P293" s="5" t="n"/>
      <c r="Q293" s="4" t="n"/>
      <c r="R293" s="5" t="n"/>
      <c r="S293" s="9" t="n"/>
      <c r="T293" s="4" t="n"/>
    </row>
    <row r="294">
      <c r="A294" s="5">
        <f>ROW()-2</f>
        <v/>
      </c>
      <c r="B294" s="4" t="inlineStr">
        <is>
          <t>Metrópole</t>
        </is>
      </c>
      <c r="C294" s="5" t="n">
        <v>292</v>
      </c>
      <c r="D294" s="5">
        <f>IFERROR(INDEX('Base de sorteio'!$A$3:$A$1723,MATCH($B294&amp;"|"&amp;$C294,'Base de sorteio'!$I$3:$I$1723,0)),"")</f>
        <v/>
      </c>
      <c r="E294" s="4">
        <f>IFERROR(INDEX('Base de sorteio'!$B$3:$B$1723,MATCH($B294&amp;"|"&amp;$C294,'Base de sorteio'!$I$3:$I$1723,0)),"")</f>
        <v/>
      </c>
      <c r="F294" s="4">
        <f>IFERROR(INDEX('Base de sorteio'!$C$3:$C$1723,MATCH($B294&amp;"|"&amp;$C294,'Base de sorteio'!$I$3:$I$1723,0)),"")</f>
        <v/>
      </c>
      <c r="G294" s="4">
        <f>IFERROR(INDEX('Base de sorteio'!$D$3:$D$1723,MATCH($B294&amp;"|"&amp;$C294,'Base de sorteio'!$I$3:$I$1723,0)),"")</f>
        <v/>
      </c>
      <c r="H294" s="4">
        <f>IFERROR(INDEX('Base de sorteio'!$E$3:$E$1723,MATCH($B294&amp;"|"&amp;$C294,'Base de sorteio'!$I$3:$I$1723,0)),"")</f>
        <v/>
      </c>
      <c r="I294" s="4">
        <f>IF(E294="","",HYPERLINK(IFERROR(INDEX('Base de sorteio'!$J$3:$J$1723,MATCH($B294&amp;"|"&amp;$C294,'Base de sorteio'!$I$3:$I$1723,0)),""),"abrir"))</f>
        <v/>
      </c>
      <c r="J294" s="4" t="n"/>
      <c r="K294" s="4" t="n"/>
      <c r="L294" s="4" t="n"/>
      <c r="M294" s="4" t="n"/>
      <c r="N294" s="4">
        <f>IF(AND(K294="",M294=""),"",IF(OR(K294="sim",M294="sim"),"sim",IF(OR(K294="inconclusivo",M294="inconclusivo"),"inconclusivo","não")))</f>
        <v/>
      </c>
      <c r="O294" s="5">
        <f>IF(N294="sim",COUNTIFS($B$3:$B294,$B294,$N$3:$N294,"sim"),"")</f>
        <v/>
      </c>
      <c r="P294" s="5" t="n"/>
      <c r="Q294" s="4" t="n"/>
      <c r="R294" s="5" t="n"/>
      <c r="S294" s="9" t="n"/>
      <c r="T294" s="4" t="n"/>
    </row>
    <row r="295">
      <c r="A295" s="5">
        <f>ROW()-2</f>
        <v/>
      </c>
      <c r="B295" s="4" t="inlineStr">
        <is>
          <t>Metrópole</t>
        </is>
      </c>
      <c r="C295" s="5" t="n">
        <v>293</v>
      </c>
      <c r="D295" s="5">
        <f>IFERROR(INDEX('Base de sorteio'!$A$3:$A$1723,MATCH($B295&amp;"|"&amp;$C295,'Base de sorteio'!$I$3:$I$1723,0)),"")</f>
        <v/>
      </c>
      <c r="E295" s="4">
        <f>IFERROR(INDEX('Base de sorteio'!$B$3:$B$1723,MATCH($B295&amp;"|"&amp;$C295,'Base de sorteio'!$I$3:$I$1723,0)),"")</f>
        <v/>
      </c>
      <c r="F295" s="4">
        <f>IFERROR(INDEX('Base de sorteio'!$C$3:$C$1723,MATCH($B295&amp;"|"&amp;$C295,'Base de sorteio'!$I$3:$I$1723,0)),"")</f>
        <v/>
      </c>
      <c r="G295" s="4">
        <f>IFERROR(INDEX('Base de sorteio'!$D$3:$D$1723,MATCH($B295&amp;"|"&amp;$C295,'Base de sorteio'!$I$3:$I$1723,0)),"")</f>
        <v/>
      </c>
      <c r="H295" s="4">
        <f>IFERROR(INDEX('Base de sorteio'!$E$3:$E$1723,MATCH($B295&amp;"|"&amp;$C295,'Base de sorteio'!$I$3:$I$1723,0)),"")</f>
        <v/>
      </c>
      <c r="I295" s="4">
        <f>IF(E295="","",HYPERLINK(IFERROR(INDEX('Base de sorteio'!$J$3:$J$1723,MATCH($B295&amp;"|"&amp;$C295,'Base de sorteio'!$I$3:$I$1723,0)),""),"abrir"))</f>
        <v/>
      </c>
      <c r="J295" s="4" t="n"/>
      <c r="K295" s="4" t="n"/>
      <c r="L295" s="4" t="n"/>
      <c r="M295" s="4" t="n"/>
      <c r="N295" s="4">
        <f>IF(AND(K295="",M295=""),"",IF(OR(K295="sim",M295="sim"),"sim",IF(OR(K295="inconclusivo",M295="inconclusivo"),"inconclusivo","não")))</f>
        <v/>
      </c>
      <c r="O295" s="5">
        <f>IF(N295="sim",COUNTIFS($B$3:$B295,$B295,$N$3:$N295,"sim"),"")</f>
        <v/>
      </c>
      <c r="P295" s="5" t="n"/>
      <c r="Q295" s="4" t="n"/>
      <c r="R295" s="5" t="n"/>
      <c r="S295" s="9" t="n"/>
      <c r="T295" s="4" t="n"/>
    </row>
    <row r="296">
      <c r="A296" s="5">
        <f>ROW()-2</f>
        <v/>
      </c>
      <c r="B296" s="4" t="inlineStr">
        <is>
          <t>Metrópole</t>
        </is>
      </c>
      <c r="C296" s="5" t="n">
        <v>294</v>
      </c>
      <c r="D296" s="5">
        <f>IFERROR(INDEX('Base de sorteio'!$A$3:$A$1723,MATCH($B296&amp;"|"&amp;$C296,'Base de sorteio'!$I$3:$I$1723,0)),"")</f>
        <v/>
      </c>
      <c r="E296" s="4">
        <f>IFERROR(INDEX('Base de sorteio'!$B$3:$B$1723,MATCH($B296&amp;"|"&amp;$C296,'Base de sorteio'!$I$3:$I$1723,0)),"")</f>
        <v/>
      </c>
      <c r="F296" s="4">
        <f>IFERROR(INDEX('Base de sorteio'!$C$3:$C$1723,MATCH($B296&amp;"|"&amp;$C296,'Base de sorteio'!$I$3:$I$1723,0)),"")</f>
        <v/>
      </c>
      <c r="G296" s="4">
        <f>IFERROR(INDEX('Base de sorteio'!$D$3:$D$1723,MATCH($B296&amp;"|"&amp;$C296,'Base de sorteio'!$I$3:$I$1723,0)),"")</f>
        <v/>
      </c>
      <c r="H296" s="4">
        <f>IFERROR(INDEX('Base de sorteio'!$E$3:$E$1723,MATCH($B296&amp;"|"&amp;$C296,'Base de sorteio'!$I$3:$I$1723,0)),"")</f>
        <v/>
      </c>
      <c r="I296" s="4">
        <f>IF(E296="","",HYPERLINK(IFERROR(INDEX('Base de sorteio'!$J$3:$J$1723,MATCH($B296&amp;"|"&amp;$C296,'Base de sorteio'!$I$3:$I$1723,0)),""),"abrir"))</f>
        <v/>
      </c>
      <c r="J296" s="4" t="n"/>
      <c r="K296" s="4" t="n"/>
      <c r="L296" s="4" t="n"/>
      <c r="M296" s="4" t="n"/>
      <c r="N296" s="4">
        <f>IF(AND(K296="",M296=""),"",IF(OR(K296="sim",M296="sim"),"sim",IF(OR(K296="inconclusivo",M296="inconclusivo"),"inconclusivo","não")))</f>
        <v/>
      </c>
      <c r="O296" s="5">
        <f>IF(N296="sim",COUNTIFS($B$3:$B296,$B296,$N$3:$N296,"sim"),"")</f>
        <v/>
      </c>
      <c r="P296" s="5" t="n"/>
      <c r="Q296" s="4" t="n"/>
      <c r="R296" s="5" t="n"/>
      <c r="S296" s="9" t="n"/>
      <c r="T296" s="4" t="n"/>
    </row>
    <row r="297">
      <c r="A297" s="5">
        <f>ROW()-2</f>
        <v/>
      </c>
      <c r="B297" s="4" t="inlineStr">
        <is>
          <t>Metrópole</t>
        </is>
      </c>
      <c r="C297" s="5" t="n">
        <v>295</v>
      </c>
      <c r="D297" s="5">
        <f>IFERROR(INDEX('Base de sorteio'!$A$3:$A$1723,MATCH($B297&amp;"|"&amp;$C297,'Base de sorteio'!$I$3:$I$1723,0)),"")</f>
        <v/>
      </c>
      <c r="E297" s="4">
        <f>IFERROR(INDEX('Base de sorteio'!$B$3:$B$1723,MATCH($B297&amp;"|"&amp;$C297,'Base de sorteio'!$I$3:$I$1723,0)),"")</f>
        <v/>
      </c>
      <c r="F297" s="4">
        <f>IFERROR(INDEX('Base de sorteio'!$C$3:$C$1723,MATCH($B297&amp;"|"&amp;$C297,'Base de sorteio'!$I$3:$I$1723,0)),"")</f>
        <v/>
      </c>
      <c r="G297" s="4">
        <f>IFERROR(INDEX('Base de sorteio'!$D$3:$D$1723,MATCH($B297&amp;"|"&amp;$C297,'Base de sorteio'!$I$3:$I$1723,0)),"")</f>
        <v/>
      </c>
      <c r="H297" s="4">
        <f>IFERROR(INDEX('Base de sorteio'!$E$3:$E$1723,MATCH($B297&amp;"|"&amp;$C297,'Base de sorteio'!$I$3:$I$1723,0)),"")</f>
        <v/>
      </c>
      <c r="I297" s="4">
        <f>IF(E297="","",HYPERLINK(IFERROR(INDEX('Base de sorteio'!$J$3:$J$1723,MATCH($B297&amp;"|"&amp;$C297,'Base de sorteio'!$I$3:$I$1723,0)),""),"abrir"))</f>
        <v/>
      </c>
      <c r="J297" s="4" t="n"/>
      <c r="K297" s="4" t="n"/>
      <c r="L297" s="4" t="n"/>
      <c r="M297" s="4" t="n"/>
      <c r="N297" s="4">
        <f>IF(AND(K297="",M297=""),"",IF(OR(K297="sim",M297="sim"),"sim",IF(OR(K297="inconclusivo",M297="inconclusivo"),"inconclusivo","não")))</f>
        <v/>
      </c>
      <c r="O297" s="5">
        <f>IF(N297="sim",COUNTIFS($B$3:$B297,$B297,$N$3:$N297,"sim"),"")</f>
        <v/>
      </c>
      <c r="P297" s="5" t="n"/>
      <c r="Q297" s="4" t="n"/>
      <c r="R297" s="5" t="n"/>
      <c r="S297" s="9" t="n"/>
      <c r="T297" s="4" t="n"/>
    </row>
    <row r="298">
      <c r="A298" s="5">
        <f>ROW()-2</f>
        <v/>
      </c>
      <c r="B298" s="4" t="inlineStr">
        <is>
          <t>Metrópole</t>
        </is>
      </c>
      <c r="C298" s="5" t="n">
        <v>296</v>
      </c>
      <c r="D298" s="5">
        <f>IFERROR(INDEX('Base de sorteio'!$A$3:$A$1723,MATCH($B298&amp;"|"&amp;$C298,'Base de sorteio'!$I$3:$I$1723,0)),"")</f>
        <v/>
      </c>
      <c r="E298" s="4">
        <f>IFERROR(INDEX('Base de sorteio'!$B$3:$B$1723,MATCH($B298&amp;"|"&amp;$C298,'Base de sorteio'!$I$3:$I$1723,0)),"")</f>
        <v/>
      </c>
      <c r="F298" s="4">
        <f>IFERROR(INDEX('Base de sorteio'!$C$3:$C$1723,MATCH($B298&amp;"|"&amp;$C298,'Base de sorteio'!$I$3:$I$1723,0)),"")</f>
        <v/>
      </c>
      <c r="G298" s="4">
        <f>IFERROR(INDEX('Base de sorteio'!$D$3:$D$1723,MATCH($B298&amp;"|"&amp;$C298,'Base de sorteio'!$I$3:$I$1723,0)),"")</f>
        <v/>
      </c>
      <c r="H298" s="4">
        <f>IFERROR(INDEX('Base de sorteio'!$E$3:$E$1723,MATCH($B298&amp;"|"&amp;$C298,'Base de sorteio'!$I$3:$I$1723,0)),"")</f>
        <v/>
      </c>
      <c r="I298" s="4">
        <f>IF(E298="","",HYPERLINK(IFERROR(INDEX('Base de sorteio'!$J$3:$J$1723,MATCH($B298&amp;"|"&amp;$C298,'Base de sorteio'!$I$3:$I$1723,0)),""),"abrir"))</f>
        <v/>
      </c>
      <c r="J298" s="4" t="n"/>
      <c r="K298" s="4" t="n"/>
      <c r="L298" s="4" t="n"/>
      <c r="M298" s="4" t="n"/>
      <c r="N298" s="4">
        <f>IF(AND(K298="",M298=""),"",IF(OR(K298="sim",M298="sim"),"sim",IF(OR(K298="inconclusivo",M298="inconclusivo"),"inconclusivo","não")))</f>
        <v/>
      </c>
      <c r="O298" s="5">
        <f>IF(N298="sim",COUNTIFS($B$3:$B298,$B298,$N$3:$N298,"sim"),"")</f>
        <v/>
      </c>
      <c r="P298" s="5" t="n"/>
      <c r="Q298" s="4" t="n"/>
      <c r="R298" s="5" t="n"/>
      <c r="S298" s="9" t="n"/>
      <c r="T298" s="4" t="n"/>
    </row>
    <row r="299">
      <c r="A299" s="5">
        <f>ROW()-2</f>
        <v/>
      </c>
      <c r="B299" s="4" t="inlineStr">
        <is>
          <t>Metrópole</t>
        </is>
      </c>
      <c r="C299" s="5" t="n">
        <v>297</v>
      </c>
      <c r="D299" s="5">
        <f>IFERROR(INDEX('Base de sorteio'!$A$3:$A$1723,MATCH($B299&amp;"|"&amp;$C299,'Base de sorteio'!$I$3:$I$1723,0)),"")</f>
        <v/>
      </c>
      <c r="E299" s="4">
        <f>IFERROR(INDEX('Base de sorteio'!$B$3:$B$1723,MATCH($B299&amp;"|"&amp;$C299,'Base de sorteio'!$I$3:$I$1723,0)),"")</f>
        <v/>
      </c>
      <c r="F299" s="4">
        <f>IFERROR(INDEX('Base de sorteio'!$C$3:$C$1723,MATCH($B299&amp;"|"&amp;$C299,'Base de sorteio'!$I$3:$I$1723,0)),"")</f>
        <v/>
      </c>
      <c r="G299" s="4">
        <f>IFERROR(INDEX('Base de sorteio'!$D$3:$D$1723,MATCH($B299&amp;"|"&amp;$C299,'Base de sorteio'!$I$3:$I$1723,0)),"")</f>
        <v/>
      </c>
      <c r="H299" s="4">
        <f>IFERROR(INDEX('Base de sorteio'!$E$3:$E$1723,MATCH($B299&amp;"|"&amp;$C299,'Base de sorteio'!$I$3:$I$1723,0)),"")</f>
        <v/>
      </c>
      <c r="I299" s="4">
        <f>IF(E299="","",HYPERLINK(IFERROR(INDEX('Base de sorteio'!$J$3:$J$1723,MATCH($B299&amp;"|"&amp;$C299,'Base de sorteio'!$I$3:$I$1723,0)),""),"abrir"))</f>
        <v/>
      </c>
      <c r="J299" s="4" t="n"/>
      <c r="K299" s="4" t="n"/>
      <c r="L299" s="4" t="n"/>
      <c r="M299" s="4" t="n"/>
      <c r="N299" s="4">
        <f>IF(AND(K299="",M299=""),"",IF(OR(K299="sim",M299="sim"),"sim",IF(OR(K299="inconclusivo",M299="inconclusivo"),"inconclusivo","não")))</f>
        <v/>
      </c>
      <c r="O299" s="5">
        <f>IF(N299="sim",COUNTIFS($B$3:$B299,$B299,$N$3:$N299,"sim"),"")</f>
        <v/>
      </c>
      <c r="P299" s="5" t="n"/>
      <c r="Q299" s="4" t="n"/>
      <c r="R299" s="5" t="n"/>
      <c r="S299" s="9" t="n"/>
      <c r="T299" s="4" t="n"/>
    </row>
    <row r="300">
      <c r="A300" s="5">
        <f>ROW()-2</f>
        <v/>
      </c>
      <c r="B300" s="4" t="inlineStr">
        <is>
          <t>Metrópole</t>
        </is>
      </c>
      <c r="C300" s="5" t="n">
        <v>298</v>
      </c>
      <c r="D300" s="5">
        <f>IFERROR(INDEX('Base de sorteio'!$A$3:$A$1723,MATCH($B300&amp;"|"&amp;$C300,'Base de sorteio'!$I$3:$I$1723,0)),"")</f>
        <v/>
      </c>
      <c r="E300" s="4">
        <f>IFERROR(INDEX('Base de sorteio'!$B$3:$B$1723,MATCH($B300&amp;"|"&amp;$C300,'Base de sorteio'!$I$3:$I$1723,0)),"")</f>
        <v/>
      </c>
      <c r="F300" s="4">
        <f>IFERROR(INDEX('Base de sorteio'!$C$3:$C$1723,MATCH($B300&amp;"|"&amp;$C300,'Base de sorteio'!$I$3:$I$1723,0)),"")</f>
        <v/>
      </c>
      <c r="G300" s="4">
        <f>IFERROR(INDEX('Base de sorteio'!$D$3:$D$1723,MATCH($B300&amp;"|"&amp;$C300,'Base de sorteio'!$I$3:$I$1723,0)),"")</f>
        <v/>
      </c>
      <c r="H300" s="4">
        <f>IFERROR(INDEX('Base de sorteio'!$E$3:$E$1723,MATCH($B300&amp;"|"&amp;$C300,'Base de sorteio'!$I$3:$I$1723,0)),"")</f>
        <v/>
      </c>
      <c r="I300" s="4">
        <f>IF(E300="","",HYPERLINK(IFERROR(INDEX('Base de sorteio'!$J$3:$J$1723,MATCH($B300&amp;"|"&amp;$C300,'Base de sorteio'!$I$3:$I$1723,0)),""),"abrir"))</f>
        <v/>
      </c>
      <c r="J300" s="4" t="n"/>
      <c r="K300" s="4" t="n"/>
      <c r="L300" s="4" t="n"/>
      <c r="M300" s="4" t="n"/>
      <c r="N300" s="4">
        <f>IF(AND(K300="",M300=""),"",IF(OR(K300="sim",M300="sim"),"sim",IF(OR(K300="inconclusivo",M300="inconclusivo"),"inconclusivo","não")))</f>
        <v/>
      </c>
      <c r="O300" s="5">
        <f>IF(N300="sim",COUNTIFS($B$3:$B300,$B300,$N$3:$N300,"sim"),"")</f>
        <v/>
      </c>
      <c r="P300" s="5" t="n"/>
      <c r="Q300" s="4" t="n"/>
      <c r="R300" s="5" t="n"/>
      <c r="S300" s="9" t="n"/>
      <c r="T300" s="4" t="n"/>
    </row>
    <row r="301">
      <c r="A301" s="5">
        <f>ROW()-2</f>
        <v/>
      </c>
      <c r="B301" s="4" t="inlineStr">
        <is>
          <t>Metrópole</t>
        </is>
      </c>
      <c r="C301" s="5" t="n">
        <v>299</v>
      </c>
      <c r="D301" s="5">
        <f>IFERROR(INDEX('Base de sorteio'!$A$3:$A$1723,MATCH($B301&amp;"|"&amp;$C301,'Base de sorteio'!$I$3:$I$1723,0)),"")</f>
        <v/>
      </c>
      <c r="E301" s="4">
        <f>IFERROR(INDEX('Base de sorteio'!$B$3:$B$1723,MATCH($B301&amp;"|"&amp;$C301,'Base de sorteio'!$I$3:$I$1723,0)),"")</f>
        <v/>
      </c>
      <c r="F301" s="4">
        <f>IFERROR(INDEX('Base de sorteio'!$C$3:$C$1723,MATCH($B301&amp;"|"&amp;$C301,'Base de sorteio'!$I$3:$I$1723,0)),"")</f>
        <v/>
      </c>
      <c r="G301" s="4">
        <f>IFERROR(INDEX('Base de sorteio'!$D$3:$D$1723,MATCH($B301&amp;"|"&amp;$C301,'Base de sorteio'!$I$3:$I$1723,0)),"")</f>
        <v/>
      </c>
      <c r="H301" s="4">
        <f>IFERROR(INDEX('Base de sorteio'!$E$3:$E$1723,MATCH($B301&amp;"|"&amp;$C301,'Base de sorteio'!$I$3:$I$1723,0)),"")</f>
        <v/>
      </c>
      <c r="I301" s="4">
        <f>IF(E301="","",HYPERLINK(IFERROR(INDEX('Base de sorteio'!$J$3:$J$1723,MATCH($B301&amp;"|"&amp;$C301,'Base de sorteio'!$I$3:$I$1723,0)),""),"abrir"))</f>
        <v/>
      </c>
      <c r="J301" s="4" t="n"/>
      <c r="K301" s="4" t="n"/>
      <c r="L301" s="4" t="n"/>
      <c r="M301" s="4" t="n"/>
      <c r="N301" s="4">
        <f>IF(AND(K301="",M301=""),"",IF(OR(K301="sim",M301="sim"),"sim",IF(OR(K301="inconclusivo",M301="inconclusivo"),"inconclusivo","não")))</f>
        <v/>
      </c>
      <c r="O301" s="5">
        <f>IF(N301="sim",COUNTIFS($B$3:$B301,$B301,$N$3:$N301,"sim"),"")</f>
        <v/>
      </c>
      <c r="P301" s="5" t="n"/>
      <c r="Q301" s="4" t="n"/>
      <c r="R301" s="5" t="n"/>
      <c r="S301" s="9" t="n"/>
      <c r="T301" s="4" t="n"/>
    </row>
    <row r="302">
      <c r="A302" s="5">
        <f>ROW()-2</f>
        <v/>
      </c>
      <c r="B302" s="4" t="inlineStr">
        <is>
          <t>Metrópole</t>
        </is>
      </c>
      <c r="C302" s="5" t="n">
        <v>300</v>
      </c>
      <c r="D302" s="5">
        <f>IFERROR(INDEX('Base de sorteio'!$A$3:$A$1723,MATCH($B302&amp;"|"&amp;$C302,'Base de sorteio'!$I$3:$I$1723,0)),"")</f>
        <v/>
      </c>
      <c r="E302" s="4">
        <f>IFERROR(INDEX('Base de sorteio'!$B$3:$B$1723,MATCH($B302&amp;"|"&amp;$C302,'Base de sorteio'!$I$3:$I$1723,0)),"")</f>
        <v/>
      </c>
      <c r="F302" s="4">
        <f>IFERROR(INDEX('Base de sorteio'!$C$3:$C$1723,MATCH($B302&amp;"|"&amp;$C302,'Base de sorteio'!$I$3:$I$1723,0)),"")</f>
        <v/>
      </c>
      <c r="G302" s="4">
        <f>IFERROR(INDEX('Base de sorteio'!$D$3:$D$1723,MATCH($B302&amp;"|"&amp;$C302,'Base de sorteio'!$I$3:$I$1723,0)),"")</f>
        <v/>
      </c>
      <c r="H302" s="4">
        <f>IFERROR(INDEX('Base de sorteio'!$E$3:$E$1723,MATCH($B302&amp;"|"&amp;$C302,'Base de sorteio'!$I$3:$I$1723,0)),"")</f>
        <v/>
      </c>
      <c r="I302" s="4">
        <f>IF(E302="","",HYPERLINK(IFERROR(INDEX('Base de sorteio'!$J$3:$J$1723,MATCH($B302&amp;"|"&amp;$C302,'Base de sorteio'!$I$3:$I$1723,0)),""),"abrir"))</f>
        <v/>
      </c>
      <c r="J302" s="4" t="n"/>
      <c r="K302" s="4" t="n"/>
      <c r="L302" s="4" t="n"/>
      <c r="M302" s="4" t="n"/>
      <c r="N302" s="4">
        <f>IF(AND(K302="",M302=""),"",IF(OR(K302="sim",M302="sim"),"sim",IF(OR(K302="inconclusivo",M302="inconclusivo"),"inconclusivo","não")))</f>
        <v/>
      </c>
      <c r="O302" s="5">
        <f>IF(N302="sim",COUNTIFS($B$3:$B302,$B302,$N$3:$N302,"sim"),"")</f>
        <v/>
      </c>
      <c r="P302" s="5" t="n"/>
      <c r="Q302" s="4" t="n"/>
      <c r="R302" s="5" t="n"/>
      <c r="S302" s="9" t="n"/>
      <c r="T302" s="4" t="n"/>
    </row>
    <row r="303">
      <c r="A303" s="5">
        <f>ROW()-2</f>
        <v/>
      </c>
      <c r="B303" s="4" t="inlineStr">
        <is>
          <t>Metrópole</t>
        </is>
      </c>
      <c r="C303" s="5" t="n">
        <v>301</v>
      </c>
      <c r="D303" s="5">
        <f>IFERROR(INDEX('Base de sorteio'!$A$3:$A$1723,MATCH($B303&amp;"|"&amp;$C303,'Base de sorteio'!$I$3:$I$1723,0)),"")</f>
        <v/>
      </c>
      <c r="E303" s="4">
        <f>IFERROR(INDEX('Base de sorteio'!$B$3:$B$1723,MATCH($B303&amp;"|"&amp;$C303,'Base de sorteio'!$I$3:$I$1723,0)),"")</f>
        <v/>
      </c>
      <c r="F303" s="4">
        <f>IFERROR(INDEX('Base de sorteio'!$C$3:$C$1723,MATCH($B303&amp;"|"&amp;$C303,'Base de sorteio'!$I$3:$I$1723,0)),"")</f>
        <v/>
      </c>
      <c r="G303" s="4">
        <f>IFERROR(INDEX('Base de sorteio'!$D$3:$D$1723,MATCH($B303&amp;"|"&amp;$C303,'Base de sorteio'!$I$3:$I$1723,0)),"")</f>
        <v/>
      </c>
      <c r="H303" s="4">
        <f>IFERROR(INDEX('Base de sorteio'!$E$3:$E$1723,MATCH($B303&amp;"|"&amp;$C303,'Base de sorteio'!$I$3:$I$1723,0)),"")</f>
        <v/>
      </c>
      <c r="I303" s="4">
        <f>IF(E303="","",HYPERLINK(IFERROR(INDEX('Base de sorteio'!$J$3:$J$1723,MATCH($B303&amp;"|"&amp;$C303,'Base de sorteio'!$I$3:$I$1723,0)),""),"abrir"))</f>
        <v/>
      </c>
      <c r="J303" s="4" t="n"/>
      <c r="K303" s="4" t="n"/>
      <c r="L303" s="4" t="n"/>
      <c r="M303" s="4" t="n"/>
      <c r="N303" s="4">
        <f>IF(AND(K303="",M303=""),"",IF(OR(K303="sim",M303="sim"),"sim",IF(OR(K303="inconclusivo",M303="inconclusivo"),"inconclusivo","não")))</f>
        <v/>
      </c>
      <c r="O303" s="5">
        <f>IF(N303="sim",COUNTIFS($B$3:$B303,$B303,$N$3:$N303,"sim"),"")</f>
        <v/>
      </c>
      <c r="P303" s="5" t="n"/>
      <c r="Q303" s="4" t="n"/>
      <c r="R303" s="5" t="n"/>
      <c r="S303" s="9" t="n"/>
      <c r="T303" s="4" t="n"/>
    </row>
    <row r="304">
      <c r="A304" s="5">
        <f>ROW()-2</f>
        <v/>
      </c>
      <c r="B304" s="4" t="inlineStr">
        <is>
          <t>Metrópole</t>
        </is>
      </c>
      <c r="C304" s="5" t="n">
        <v>302</v>
      </c>
      <c r="D304" s="5">
        <f>IFERROR(INDEX('Base de sorteio'!$A$3:$A$1723,MATCH($B304&amp;"|"&amp;$C304,'Base de sorteio'!$I$3:$I$1723,0)),"")</f>
        <v/>
      </c>
      <c r="E304" s="4">
        <f>IFERROR(INDEX('Base de sorteio'!$B$3:$B$1723,MATCH($B304&amp;"|"&amp;$C304,'Base de sorteio'!$I$3:$I$1723,0)),"")</f>
        <v/>
      </c>
      <c r="F304" s="4">
        <f>IFERROR(INDEX('Base de sorteio'!$C$3:$C$1723,MATCH($B304&amp;"|"&amp;$C304,'Base de sorteio'!$I$3:$I$1723,0)),"")</f>
        <v/>
      </c>
      <c r="G304" s="4">
        <f>IFERROR(INDEX('Base de sorteio'!$D$3:$D$1723,MATCH($B304&amp;"|"&amp;$C304,'Base de sorteio'!$I$3:$I$1723,0)),"")</f>
        <v/>
      </c>
      <c r="H304" s="4">
        <f>IFERROR(INDEX('Base de sorteio'!$E$3:$E$1723,MATCH($B304&amp;"|"&amp;$C304,'Base de sorteio'!$I$3:$I$1723,0)),"")</f>
        <v/>
      </c>
      <c r="I304" s="4">
        <f>IF(E304="","",HYPERLINK(IFERROR(INDEX('Base de sorteio'!$J$3:$J$1723,MATCH($B304&amp;"|"&amp;$C304,'Base de sorteio'!$I$3:$I$1723,0)),""),"abrir"))</f>
        <v/>
      </c>
      <c r="J304" s="4" t="n"/>
      <c r="K304" s="4" t="n"/>
      <c r="L304" s="4" t="n"/>
      <c r="M304" s="4" t="n"/>
      <c r="N304" s="4">
        <f>IF(AND(K304="",M304=""),"",IF(OR(K304="sim",M304="sim"),"sim",IF(OR(K304="inconclusivo",M304="inconclusivo"),"inconclusivo","não")))</f>
        <v/>
      </c>
      <c r="O304" s="5">
        <f>IF(N304="sim",COUNTIFS($B$3:$B304,$B304,$N$3:$N304,"sim"),"")</f>
        <v/>
      </c>
      <c r="P304" s="5" t="n"/>
      <c r="Q304" s="4" t="n"/>
      <c r="R304" s="5" t="n"/>
      <c r="S304" s="9" t="n"/>
      <c r="T304" s="4" t="n"/>
    </row>
    <row r="305">
      <c r="A305" s="5">
        <f>ROW()-2</f>
        <v/>
      </c>
      <c r="B305" s="4" t="inlineStr">
        <is>
          <t>Metrópole</t>
        </is>
      </c>
      <c r="C305" s="5" t="n">
        <v>303</v>
      </c>
      <c r="D305" s="5">
        <f>IFERROR(INDEX('Base de sorteio'!$A$3:$A$1723,MATCH($B305&amp;"|"&amp;$C305,'Base de sorteio'!$I$3:$I$1723,0)),"")</f>
        <v/>
      </c>
      <c r="E305" s="4">
        <f>IFERROR(INDEX('Base de sorteio'!$B$3:$B$1723,MATCH($B305&amp;"|"&amp;$C305,'Base de sorteio'!$I$3:$I$1723,0)),"")</f>
        <v/>
      </c>
      <c r="F305" s="4">
        <f>IFERROR(INDEX('Base de sorteio'!$C$3:$C$1723,MATCH($B305&amp;"|"&amp;$C305,'Base de sorteio'!$I$3:$I$1723,0)),"")</f>
        <v/>
      </c>
      <c r="G305" s="4">
        <f>IFERROR(INDEX('Base de sorteio'!$D$3:$D$1723,MATCH($B305&amp;"|"&amp;$C305,'Base de sorteio'!$I$3:$I$1723,0)),"")</f>
        <v/>
      </c>
      <c r="H305" s="4">
        <f>IFERROR(INDEX('Base de sorteio'!$E$3:$E$1723,MATCH($B305&amp;"|"&amp;$C305,'Base de sorteio'!$I$3:$I$1723,0)),"")</f>
        <v/>
      </c>
      <c r="I305" s="4">
        <f>IF(E305="","",HYPERLINK(IFERROR(INDEX('Base de sorteio'!$J$3:$J$1723,MATCH($B305&amp;"|"&amp;$C305,'Base de sorteio'!$I$3:$I$1723,0)),""),"abrir"))</f>
        <v/>
      </c>
      <c r="J305" s="4" t="n"/>
      <c r="K305" s="4" t="n"/>
      <c r="L305" s="4" t="n"/>
      <c r="M305" s="4" t="n"/>
      <c r="N305" s="4">
        <f>IF(AND(K305="",M305=""),"",IF(OR(K305="sim",M305="sim"),"sim",IF(OR(K305="inconclusivo",M305="inconclusivo"),"inconclusivo","não")))</f>
        <v/>
      </c>
      <c r="O305" s="5">
        <f>IF(N305="sim",COUNTIFS($B$3:$B305,$B305,$N$3:$N305,"sim"),"")</f>
        <v/>
      </c>
      <c r="P305" s="5" t="n"/>
      <c r="Q305" s="4" t="n"/>
      <c r="R305" s="5" t="n"/>
      <c r="S305" s="9" t="n"/>
      <c r="T305" s="4" t="n"/>
    </row>
    <row r="306">
      <c r="A306" s="5">
        <f>ROW()-2</f>
        <v/>
      </c>
      <c r="B306" s="4" t="inlineStr">
        <is>
          <t>Metrópole</t>
        </is>
      </c>
      <c r="C306" s="5" t="n">
        <v>304</v>
      </c>
      <c r="D306" s="5">
        <f>IFERROR(INDEX('Base de sorteio'!$A$3:$A$1723,MATCH($B306&amp;"|"&amp;$C306,'Base de sorteio'!$I$3:$I$1723,0)),"")</f>
        <v/>
      </c>
      <c r="E306" s="4">
        <f>IFERROR(INDEX('Base de sorteio'!$B$3:$B$1723,MATCH($B306&amp;"|"&amp;$C306,'Base de sorteio'!$I$3:$I$1723,0)),"")</f>
        <v/>
      </c>
      <c r="F306" s="4">
        <f>IFERROR(INDEX('Base de sorteio'!$C$3:$C$1723,MATCH($B306&amp;"|"&amp;$C306,'Base de sorteio'!$I$3:$I$1723,0)),"")</f>
        <v/>
      </c>
      <c r="G306" s="4">
        <f>IFERROR(INDEX('Base de sorteio'!$D$3:$D$1723,MATCH($B306&amp;"|"&amp;$C306,'Base de sorteio'!$I$3:$I$1723,0)),"")</f>
        <v/>
      </c>
      <c r="H306" s="4">
        <f>IFERROR(INDEX('Base de sorteio'!$E$3:$E$1723,MATCH($B306&amp;"|"&amp;$C306,'Base de sorteio'!$I$3:$I$1723,0)),"")</f>
        <v/>
      </c>
      <c r="I306" s="4">
        <f>IF(E306="","",HYPERLINK(IFERROR(INDEX('Base de sorteio'!$J$3:$J$1723,MATCH($B306&amp;"|"&amp;$C306,'Base de sorteio'!$I$3:$I$1723,0)),""),"abrir"))</f>
        <v/>
      </c>
      <c r="J306" s="4" t="n"/>
      <c r="K306" s="4" t="n"/>
      <c r="L306" s="4" t="n"/>
      <c r="M306" s="4" t="n"/>
      <c r="N306" s="4">
        <f>IF(AND(K306="",M306=""),"",IF(OR(K306="sim",M306="sim"),"sim",IF(OR(K306="inconclusivo",M306="inconclusivo"),"inconclusivo","não")))</f>
        <v/>
      </c>
      <c r="O306" s="5">
        <f>IF(N306="sim",COUNTIFS($B$3:$B306,$B306,$N$3:$N306,"sim"),"")</f>
        <v/>
      </c>
      <c r="P306" s="5" t="n"/>
      <c r="Q306" s="4" t="n"/>
      <c r="R306" s="5" t="n"/>
      <c r="S306" s="9" t="n"/>
      <c r="T306" s="4" t="n"/>
    </row>
    <row r="307">
      <c r="A307" s="5">
        <f>ROW()-2</f>
        <v/>
      </c>
      <c r="B307" s="4" t="inlineStr">
        <is>
          <t>Metrópole</t>
        </is>
      </c>
      <c r="C307" s="5" t="n">
        <v>305</v>
      </c>
      <c r="D307" s="5">
        <f>IFERROR(INDEX('Base de sorteio'!$A$3:$A$1723,MATCH($B307&amp;"|"&amp;$C307,'Base de sorteio'!$I$3:$I$1723,0)),"")</f>
        <v/>
      </c>
      <c r="E307" s="4">
        <f>IFERROR(INDEX('Base de sorteio'!$B$3:$B$1723,MATCH($B307&amp;"|"&amp;$C307,'Base de sorteio'!$I$3:$I$1723,0)),"")</f>
        <v/>
      </c>
      <c r="F307" s="4">
        <f>IFERROR(INDEX('Base de sorteio'!$C$3:$C$1723,MATCH($B307&amp;"|"&amp;$C307,'Base de sorteio'!$I$3:$I$1723,0)),"")</f>
        <v/>
      </c>
      <c r="G307" s="4">
        <f>IFERROR(INDEX('Base de sorteio'!$D$3:$D$1723,MATCH($B307&amp;"|"&amp;$C307,'Base de sorteio'!$I$3:$I$1723,0)),"")</f>
        <v/>
      </c>
      <c r="H307" s="4">
        <f>IFERROR(INDEX('Base de sorteio'!$E$3:$E$1723,MATCH($B307&amp;"|"&amp;$C307,'Base de sorteio'!$I$3:$I$1723,0)),"")</f>
        <v/>
      </c>
      <c r="I307" s="4">
        <f>IF(E307="","",HYPERLINK(IFERROR(INDEX('Base de sorteio'!$J$3:$J$1723,MATCH($B307&amp;"|"&amp;$C307,'Base de sorteio'!$I$3:$I$1723,0)),""),"abrir"))</f>
        <v/>
      </c>
      <c r="J307" s="4" t="n"/>
      <c r="K307" s="4" t="n"/>
      <c r="L307" s="4" t="n"/>
      <c r="M307" s="4" t="n"/>
      <c r="N307" s="4">
        <f>IF(AND(K307="",M307=""),"",IF(OR(K307="sim",M307="sim"),"sim",IF(OR(K307="inconclusivo",M307="inconclusivo"),"inconclusivo","não")))</f>
        <v/>
      </c>
      <c r="O307" s="5">
        <f>IF(N307="sim",COUNTIFS($B$3:$B307,$B307,$N$3:$N307,"sim"),"")</f>
        <v/>
      </c>
      <c r="P307" s="5" t="n"/>
      <c r="Q307" s="4" t="n"/>
      <c r="R307" s="5" t="n"/>
      <c r="S307" s="9" t="n"/>
      <c r="T307" s="4" t="n"/>
    </row>
    <row r="308">
      <c r="A308" s="5">
        <f>ROW()-2</f>
        <v/>
      </c>
      <c r="B308" s="4" t="inlineStr">
        <is>
          <t>Metrópole</t>
        </is>
      </c>
      <c r="C308" s="5" t="n">
        <v>306</v>
      </c>
      <c r="D308" s="5">
        <f>IFERROR(INDEX('Base de sorteio'!$A$3:$A$1723,MATCH($B308&amp;"|"&amp;$C308,'Base de sorteio'!$I$3:$I$1723,0)),"")</f>
        <v/>
      </c>
      <c r="E308" s="4">
        <f>IFERROR(INDEX('Base de sorteio'!$B$3:$B$1723,MATCH($B308&amp;"|"&amp;$C308,'Base de sorteio'!$I$3:$I$1723,0)),"")</f>
        <v/>
      </c>
      <c r="F308" s="4">
        <f>IFERROR(INDEX('Base de sorteio'!$C$3:$C$1723,MATCH($B308&amp;"|"&amp;$C308,'Base de sorteio'!$I$3:$I$1723,0)),"")</f>
        <v/>
      </c>
      <c r="G308" s="4">
        <f>IFERROR(INDEX('Base de sorteio'!$D$3:$D$1723,MATCH($B308&amp;"|"&amp;$C308,'Base de sorteio'!$I$3:$I$1723,0)),"")</f>
        <v/>
      </c>
      <c r="H308" s="4">
        <f>IFERROR(INDEX('Base de sorteio'!$E$3:$E$1723,MATCH($B308&amp;"|"&amp;$C308,'Base de sorteio'!$I$3:$I$1723,0)),"")</f>
        <v/>
      </c>
      <c r="I308" s="4">
        <f>IF(E308="","",HYPERLINK(IFERROR(INDEX('Base de sorteio'!$J$3:$J$1723,MATCH($B308&amp;"|"&amp;$C308,'Base de sorteio'!$I$3:$I$1723,0)),""),"abrir"))</f>
        <v/>
      </c>
      <c r="J308" s="4" t="n"/>
      <c r="K308" s="4" t="n"/>
      <c r="L308" s="4" t="n"/>
      <c r="M308" s="4" t="n"/>
      <c r="N308" s="4">
        <f>IF(AND(K308="",M308=""),"",IF(OR(K308="sim",M308="sim"),"sim",IF(OR(K308="inconclusivo",M308="inconclusivo"),"inconclusivo","não")))</f>
        <v/>
      </c>
      <c r="O308" s="5">
        <f>IF(N308="sim",COUNTIFS($B$3:$B308,$B308,$N$3:$N308,"sim"),"")</f>
        <v/>
      </c>
      <c r="P308" s="5" t="n"/>
      <c r="Q308" s="4" t="n"/>
      <c r="R308" s="5" t="n"/>
      <c r="S308" s="9" t="n"/>
      <c r="T308" s="4" t="n"/>
    </row>
    <row r="309">
      <c r="A309" s="5">
        <f>ROW()-2</f>
        <v/>
      </c>
      <c r="B309" s="4" t="inlineStr">
        <is>
          <t>Metrópole</t>
        </is>
      </c>
      <c r="C309" s="5" t="n">
        <v>307</v>
      </c>
      <c r="D309" s="5">
        <f>IFERROR(INDEX('Base de sorteio'!$A$3:$A$1723,MATCH($B309&amp;"|"&amp;$C309,'Base de sorteio'!$I$3:$I$1723,0)),"")</f>
        <v/>
      </c>
      <c r="E309" s="4">
        <f>IFERROR(INDEX('Base de sorteio'!$B$3:$B$1723,MATCH($B309&amp;"|"&amp;$C309,'Base de sorteio'!$I$3:$I$1723,0)),"")</f>
        <v/>
      </c>
      <c r="F309" s="4">
        <f>IFERROR(INDEX('Base de sorteio'!$C$3:$C$1723,MATCH($B309&amp;"|"&amp;$C309,'Base de sorteio'!$I$3:$I$1723,0)),"")</f>
        <v/>
      </c>
      <c r="G309" s="4">
        <f>IFERROR(INDEX('Base de sorteio'!$D$3:$D$1723,MATCH($B309&amp;"|"&amp;$C309,'Base de sorteio'!$I$3:$I$1723,0)),"")</f>
        <v/>
      </c>
      <c r="H309" s="4">
        <f>IFERROR(INDEX('Base de sorteio'!$E$3:$E$1723,MATCH($B309&amp;"|"&amp;$C309,'Base de sorteio'!$I$3:$I$1723,0)),"")</f>
        <v/>
      </c>
      <c r="I309" s="4">
        <f>IF(E309="","",HYPERLINK(IFERROR(INDEX('Base de sorteio'!$J$3:$J$1723,MATCH($B309&amp;"|"&amp;$C309,'Base de sorteio'!$I$3:$I$1723,0)),""),"abrir"))</f>
        <v/>
      </c>
      <c r="J309" s="4" t="n"/>
      <c r="K309" s="4" t="n"/>
      <c r="L309" s="4" t="n"/>
      <c r="M309" s="4" t="n"/>
      <c r="N309" s="4">
        <f>IF(AND(K309="",M309=""),"",IF(OR(K309="sim",M309="sim"),"sim",IF(OR(K309="inconclusivo",M309="inconclusivo"),"inconclusivo","não")))</f>
        <v/>
      </c>
      <c r="O309" s="5">
        <f>IF(N309="sim",COUNTIFS($B$3:$B309,$B309,$N$3:$N309,"sim"),"")</f>
        <v/>
      </c>
      <c r="P309" s="5" t="n"/>
      <c r="Q309" s="4" t="n"/>
      <c r="R309" s="5" t="n"/>
      <c r="S309" s="9" t="n"/>
      <c r="T309" s="4" t="n"/>
    </row>
    <row r="310">
      <c r="A310" s="5">
        <f>ROW()-2</f>
        <v/>
      </c>
      <c r="B310" s="4" t="inlineStr">
        <is>
          <t>Metrópole</t>
        </is>
      </c>
      <c r="C310" s="5" t="n">
        <v>308</v>
      </c>
      <c r="D310" s="5">
        <f>IFERROR(INDEX('Base de sorteio'!$A$3:$A$1723,MATCH($B310&amp;"|"&amp;$C310,'Base de sorteio'!$I$3:$I$1723,0)),"")</f>
        <v/>
      </c>
      <c r="E310" s="4">
        <f>IFERROR(INDEX('Base de sorteio'!$B$3:$B$1723,MATCH($B310&amp;"|"&amp;$C310,'Base de sorteio'!$I$3:$I$1723,0)),"")</f>
        <v/>
      </c>
      <c r="F310" s="4">
        <f>IFERROR(INDEX('Base de sorteio'!$C$3:$C$1723,MATCH($B310&amp;"|"&amp;$C310,'Base de sorteio'!$I$3:$I$1723,0)),"")</f>
        <v/>
      </c>
      <c r="G310" s="4">
        <f>IFERROR(INDEX('Base de sorteio'!$D$3:$D$1723,MATCH($B310&amp;"|"&amp;$C310,'Base de sorteio'!$I$3:$I$1723,0)),"")</f>
        <v/>
      </c>
      <c r="H310" s="4">
        <f>IFERROR(INDEX('Base de sorteio'!$E$3:$E$1723,MATCH($B310&amp;"|"&amp;$C310,'Base de sorteio'!$I$3:$I$1723,0)),"")</f>
        <v/>
      </c>
      <c r="I310" s="4">
        <f>IF(E310="","",HYPERLINK(IFERROR(INDEX('Base de sorteio'!$J$3:$J$1723,MATCH($B310&amp;"|"&amp;$C310,'Base de sorteio'!$I$3:$I$1723,0)),""),"abrir"))</f>
        <v/>
      </c>
      <c r="J310" s="4" t="n"/>
      <c r="K310" s="4" t="n"/>
      <c r="L310" s="4" t="n"/>
      <c r="M310" s="4" t="n"/>
      <c r="N310" s="4">
        <f>IF(AND(K310="",M310=""),"",IF(OR(K310="sim",M310="sim"),"sim",IF(OR(K310="inconclusivo",M310="inconclusivo"),"inconclusivo","não")))</f>
        <v/>
      </c>
      <c r="O310" s="5">
        <f>IF(N310="sim",COUNTIFS($B$3:$B310,$B310,$N$3:$N310,"sim"),"")</f>
        <v/>
      </c>
      <c r="P310" s="5" t="n"/>
      <c r="Q310" s="4" t="n"/>
      <c r="R310" s="5" t="n"/>
      <c r="S310" s="9" t="n"/>
      <c r="T310" s="4" t="n"/>
    </row>
    <row r="311">
      <c r="A311" s="5">
        <f>ROW()-2</f>
        <v/>
      </c>
      <c r="B311" s="4" t="inlineStr">
        <is>
          <t>Metrópole</t>
        </is>
      </c>
      <c r="C311" s="5" t="n">
        <v>309</v>
      </c>
      <c r="D311" s="5">
        <f>IFERROR(INDEX('Base de sorteio'!$A$3:$A$1723,MATCH($B311&amp;"|"&amp;$C311,'Base de sorteio'!$I$3:$I$1723,0)),"")</f>
        <v/>
      </c>
      <c r="E311" s="4">
        <f>IFERROR(INDEX('Base de sorteio'!$B$3:$B$1723,MATCH($B311&amp;"|"&amp;$C311,'Base de sorteio'!$I$3:$I$1723,0)),"")</f>
        <v/>
      </c>
      <c r="F311" s="4">
        <f>IFERROR(INDEX('Base de sorteio'!$C$3:$C$1723,MATCH($B311&amp;"|"&amp;$C311,'Base de sorteio'!$I$3:$I$1723,0)),"")</f>
        <v/>
      </c>
      <c r="G311" s="4">
        <f>IFERROR(INDEX('Base de sorteio'!$D$3:$D$1723,MATCH($B311&amp;"|"&amp;$C311,'Base de sorteio'!$I$3:$I$1723,0)),"")</f>
        <v/>
      </c>
      <c r="H311" s="4">
        <f>IFERROR(INDEX('Base de sorteio'!$E$3:$E$1723,MATCH($B311&amp;"|"&amp;$C311,'Base de sorteio'!$I$3:$I$1723,0)),"")</f>
        <v/>
      </c>
      <c r="I311" s="4">
        <f>IF(E311="","",HYPERLINK(IFERROR(INDEX('Base de sorteio'!$J$3:$J$1723,MATCH($B311&amp;"|"&amp;$C311,'Base de sorteio'!$I$3:$I$1723,0)),""),"abrir"))</f>
        <v/>
      </c>
      <c r="J311" s="4" t="n"/>
      <c r="K311" s="4" t="n"/>
      <c r="L311" s="4" t="n"/>
      <c r="M311" s="4" t="n"/>
      <c r="N311" s="4">
        <f>IF(AND(K311="",M311=""),"",IF(OR(K311="sim",M311="sim"),"sim",IF(OR(K311="inconclusivo",M311="inconclusivo"),"inconclusivo","não")))</f>
        <v/>
      </c>
      <c r="O311" s="5">
        <f>IF(N311="sim",COUNTIFS($B$3:$B311,$B311,$N$3:$N311,"sim"),"")</f>
        <v/>
      </c>
      <c r="P311" s="5" t="n"/>
      <c r="Q311" s="4" t="n"/>
      <c r="R311" s="5" t="n"/>
      <c r="S311" s="9" t="n"/>
      <c r="T311" s="4" t="n"/>
    </row>
    <row r="312">
      <c r="A312" s="5">
        <f>ROW()-2</f>
        <v/>
      </c>
      <c r="B312" s="4" t="inlineStr">
        <is>
          <t>Metrópole</t>
        </is>
      </c>
      <c r="C312" s="5" t="n">
        <v>310</v>
      </c>
      <c r="D312" s="5">
        <f>IFERROR(INDEX('Base de sorteio'!$A$3:$A$1723,MATCH($B312&amp;"|"&amp;$C312,'Base de sorteio'!$I$3:$I$1723,0)),"")</f>
        <v/>
      </c>
      <c r="E312" s="4">
        <f>IFERROR(INDEX('Base de sorteio'!$B$3:$B$1723,MATCH($B312&amp;"|"&amp;$C312,'Base de sorteio'!$I$3:$I$1723,0)),"")</f>
        <v/>
      </c>
      <c r="F312" s="4">
        <f>IFERROR(INDEX('Base de sorteio'!$C$3:$C$1723,MATCH($B312&amp;"|"&amp;$C312,'Base de sorteio'!$I$3:$I$1723,0)),"")</f>
        <v/>
      </c>
      <c r="G312" s="4">
        <f>IFERROR(INDEX('Base de sorteio'!$D$3:$D$1723,MATCH($B312&amp;"|"&amp;$C312,'Base de sorteio'!$I$3:$I$1723,0)),"")</f>
        <v/>
      </c>
      <c r="H312" s="4">
        <f>IFERROR(INDEX('Base de sorteio'!$E$3:$E$1723,MATCH($B312&amp;"|"&amp;$C312,'Base de sorteio'!$I$3:$I$1723,0)),"")</f>
        <v/>
      </c>
      <c r="I312" s="4">
        <f>IF(E312="","",HYPERLINK(IFERROR(INDEX('Base de sorteio'!$J$3:$J$1723,MATCH($B312&amp;"|"&amp;$C312,'Base de sorteio'!$I$3:$I$1723,0)),""),"abrir"))</f>
        <v/>
      </c>
      <c r="J312" s="4" t="n"/>
      <c r="K312" s="4" t="n"/>
      <c r="L312" s="4" t="n"/>
      <c r="M312" s="4" t="n"/>
      <c r="N312" s="4">
        <f>IF(AND(K312="",M312=""),"",IF(OR(K312="sim",M312="sim"),"sim",IF(OR(K312="inconclusivo",M312="inconclusivo"),"inconclusivo","não")))</f>
        <v/>
      </c>
      <c r="O312" s="5">
        <f>IF(N312="sim",COUNTIFS($B$3:$B312,$B312,$N$3:$N312,"sim"),"")</f>
        <v/>
      </c>
      <c r="P312" s="5" t="n"/>
      <c r="Q312" s="4" t="n"/>
      <c r="R312" s="5" t="n"/>
      <c r="S312" s="9" t="n"/>
      <c r="T312" s="4" t="n"/>
    </row>
    <row r="313">
      <c r="A313" s="5">
        <f>ROW()-2</f>
        <v/>
      </c>
      <c r="B313" s="4" t="inlineStr">
        <is>
          <t>Metrópole</t>
        </is>
      </c>
      <c r="C313" s="5" t="n">
        <v>311</v>
      </c>
      <c r="D313" s="5">
        <f>IFERROR(INDEX('Base de sorteio'!$A$3:$A$1723,MATCH($B313&amp;"|"&amp;$C313,'Base de sorteio'!$I$3:$I$1723,0)),"")</f>
        <v/>
      </c>
      <c r="E313" s="4">
        <f>IFERROR(INDEX('Base de sorteio'!$B$3:$B$1723,MATCH($B313&amp;"|"&amp;$C313,'Base de sorteio'!$I$3:$I$1723,0)),"")</f>
        <v/>
      </c>
      <c r="F313" s="4">
        <f>IFERROR(INDEX('Base de sorteio'!$C$3:$C$1723,MATCH($B313&amp;"|"&amp;$C313,'Base de sorteio'!$I$3:$I$1723,0)),"")</f>
        <v/>
      </c>
      <c r="G313" s="4">
        <f>IFERROR(INDEX('Base de sorteio'!$D$3:$D$1723,MATCH($B313&amp;"|"&amp;$C313,'Base de sorteio'!$I$3:$I$1723,0)),"")</f>
        <v/>
      </c>
      <c r="H313" s="4">
        <f>IFERROR(INDEX('Base de sorteio'!$E$3:$E$1723,MATCH($B313&amp;"|"&amp;$C313,'Base de sorteio'!$I$3:$I$1723,0)),"")</f>
        <v/>
      </c>
      <c r="I313" s="4">
        <f>IF(E313="","",HYPERLINK(IFERROR(INDEX('Base de sorteio'!$J$3:$J$1723,MATCH($B313&amp;"|"&amp;$C313,'Base de sorteio'!$I$3:$I$1723,0)),""),"abrir"))</f>
        <v/>
      </c>
      <c r="J313" s="4" t="n"/>
      <c r="K313" s="4" t="n"/>
      <c r="L313" s="4" t="n"/>
      <c r="M313" s="4" t="n"/>
      <c r="N313" s="4">
        <f>IF(AND(K313="",M313=""),"",IF(OR(K313="sim",M313="sim"),"sim",IF(OR(K313="inconclusivo",M313="inconclusivo"),"inconclusivo","não")))</f>
        <v/>
      </c>
      <c r="O313" s="5">
        <f>IF(N313="sim",COUNTIFS($B$3:$B313,$B313,$N$3:$N313,"sim"),"")</f>
        <v/>
      </c>
      <c r="P313" s="5" t="n"/>
      <c r="Q313" s="4" t="n"/>
      <c r="R313" s="5" t="n"/>
      <c r="S313" s="9" t="n"/>
      <c r="T313" s="4" t="n"/>
    </row>
    <row r="314">
      <c r="A314" s="5">
        <f>ROW()-2</f>
        <v/>
      </c>
      <c r="B314" s="4" t="inlineStr">
        <is>
          <t>Metrópole</t>
        </is>
      </c>
      <c r="C314" s="5" t="n">
        <v>312</v>
      </c>
      <c r="D314" s="5">
        <f>IFERROR(INDEX('Base de sorteio'!$A$3:$A$1723,MATCH($B314&amp;"|"&amp;$C314,'Base de sorteio'!$I$3:$I$1723,0)),"")</f>
        <v/>
      </c>
      <c r="E314" s="4">
        <f>IFERROR(INDEX('Base de sorteio'!$B$3:$B$1723,MATCH($B314&amp;"|"&amp;$C314,'Base de sorteio'!$I$3:$I$1723,0)),"")</f>
        <v/>
      </c>
      <c r="F314" s="4">
        <f>IFERROR(INDEX('Base de sorteio'!$C$3:$C$1723,MATCH($B314&amp;"|"&amp;$C314,'Base de sorteio'!$I$3:$I$1723,0)),"")</f>
        <v/>
      </c>
      <c r="G314" s="4">
        <f>IFERROR(INDEX('Base de sorteio'!$D$3:$D$1723,MATCH($B314&amp;"|"&amp;$C314,'Base de sorteio'!$I$3:$I$1723,0)),"")</f>
        <v/>
      </c>
      <c r="H314" s="4">
        <f>IFERROR(INDEX('Base de sorteio'!$E$3:$E$1723,MATCH($B314&amp;"|"&amp;$C314,'Base de sorteio'!$I$3:$I$1723,0)),"")</f>
        <v/>
      </c>
      <c r="I314" s="4">
        <f>IF(E314="","",HYPERLINK(IFERROR(INDEX('Base de sorteio'!$J$3:$J$1723,MATCH($B314&amp;"|"&amp;$C314,'Base de sorteio'!$I$3:$I$1723,0)),""),"abrir"))</f>
        <v/>
      </c>
      <c r="J314" s="4" t="n"/>
      <c r="K314" s="4" t="n"/>
      <c r="L314" s="4" t="n"/>
      <c r="M314" s="4" t="n"/>
      <c r="N314" s="4">
        <f>IF(AND(K314="",M314=""),"",IF(OR(K314="sim",M314="sim"),"sim",IF(OR(K314="inconclusivo",M314="inconclusivo"),"inconclusivo","não")))</f>
        <v/>
      </c>
      <c r="O314" s="5">
        <f>IF(N314="sim",COUNTIFS($B$3:$B314,$B314,$N$3:$N314,"sim"),"")</f>
        <v/>
      </c>
      <c r="P314" s="5" t="n"/>
      <c r="Q314" s="4" t="n"/>
      <c r="R314" s="5" t="n"/>
      <c r="S314" s="9" t="n"/>
      <c r="T314" s="4" t="n"/>
    </row>
    <row r="315">
      <c r="A315" s="5">
        <f>ROW()-2</f>
        <v/>
      </c>
      <c r="B315" s="4" t="inlineStr">
        <is>
          <t>Metrópole</t>
        </is>
      </c>
      <c r="C315" s="5" t="n">
        <v>313</v>
      </c>
      <c r="D315" s="5">
        <f>IFERROR(INDEX('Base de sorteio'!$A$3:$A$1723,MATCH($B315&amp;"|"&amp;$C315,'Base de sorteio'!$I$3:$I$1723,0)),"")</f>
        <v/>
      </c>
      <c r="E315" s="4">
        <f>IFERROR(INDEX('Base de sorteio'!$B$3:$B$1723,MATCH($B315&amp;"|"&amp;$C315,'Base de sorteio'!$I$3:$I$1723,0)),"")</f>
        <v/>
      </c>
      <c r="F315" s="4">
        <f>IFERROR(INDEX('Base de sorteio'!$C$3:$C$1723,MATCH($B315&amp;"|"&amp;$C315,'Base de sorteio'!$I$3:$I$1723,0)),"")</f>
        <v/>
      </c>
      <c r="G315" s="4">
        <f>IFERROR(INDEX('Base de sorteio'!$D$3:$D$1723,MATCH($B315&amp;"|"&amp;$C315,'Base de sorteio'!$I$3:$I$1723,0)),"")</f>
        <v/>
      </c>
      <c r="H315" s="4">
        <f>IFERROR(INDEX('Base de sorteio'!$E$3:$E$1723,MATCH($B315&amp;"|"&amp;$C315,'Base de sorteio'!$I$3:$I$1723,0)),"")</f>
        <v/>
      </c>
      <c r="I315" s="4">
        <f>IF(E315="","",HYPERLINK(IFERROR(INDEX('Base de sorteio'!$J$3:$J$1723,MATCH($B315&amp;"|"&amp;$C315,'Base de sorteio'!$I$3:$I$1723,0)),""),"abrir"))</f>
        <v/>
      </c>
      <c r="J315" s="4" t="n"/>
      <c r="K315" s="4" t="n"/>
      <c r="L315" s="4" t="n"/>
      <c r="M315" s="4" t="n"/>
      <c r="N315" s="4">
        <f>IF(AND(K315="",M315=""),"",IF(OR(K315="sim",M315="sim"),"sim",IF(OR(K315="inconclusivo",M315="inconclusivo"),"inconclusivo","não")))</f>
        <v/>
      </c>
      <c r="O315" s="5">
        <f>IF(N315="sim",COUNTIFS($B$3:$B315,$B315,$N$3:$N315,"sim"),"")</f>
        <v/>
      </c>
      <c r="P315" s="5" t="n"/>
      <c r="Q315" s="4" t="n"/>
      <c r="R315" s="5" t="n"/>
      <c r="S315" s="9" t="n"/>
      <c r="T315" s="4" t="n"/>
    </row>
    <row r="316">
      <c r="A316" s="5">
        <f>ROW()-2</f>
        <v/>
      </c>
      <c r="B316" s="4" t="inlineStr">
        <is>
          <t>Metrópole</t>
        </is>
      </c>
      <c r="C316" s="5" t="n">
        <v>314</v>
      </c>
      <c r="D316" s="5">
        <f>IFERROR(INDEX('Base de sorteio'!$A$3:$A$1723,MATCH($B316&amp;"|"&amp;$C316,'Base de sorteio'!$I$3:$I$1723,0)),"")</f>
        <v/>
      </c>
      <c r="E316" s="4">
        <f>IFERROR(INDEX('Base de sorteio'!$B$3:$B$1723,MATCH($B316&amp;"|"&amp;$C316,'Base de sorteio'!$I$3:$I$1723,0)),"")</f>
        <v/>
      </c>
      <c r="F316" s="4">
        <f>IFERROR(INDEX('Base de sorteio'!$C$3:$C$1723,MATCH($B316&amp;"|"&amp;$C316,'Base de sorteio'!$I$3:$I$1723,0)),"")</f>
        <v/>
      </c>
      <c r="G316" s="4">
        <f>IFERROR(INDEX('Base de sorteio'!$D$3:$D$1723,MATCH($B316&amp;"|"&amp;$C316,'Base de sorteio'!$I$3:$I$1723,0)),"")</f>
        <v/>
      </c>
      <c r="H316" s="4">
        <f>IFERROR(INDEX('Base de sorteio'!$E$3:$E$1723,MATCH($B316&amp;"|"&amp;$C316,'Base de sorteio'!$I$3:$I$1723,0)),"")</f>
        <v/>
      </c>
      <c r="I316" s="4">
        <f>IF(E316="","",HYPERLINK(IFERROR(INDEX('Base de sorteio'!$J$3:$J$1723,MATCH($B316&amp;"|"&amp;$C316,'Base de sorteio'!$I$3:$I$1723,0)),""),"abrir"))</f>
        <v/>
      </c>
      <c r="J316" s="4" t="n"/>
      <c r="K316" s="4" t="n"/>
      <c r="L316" s="4" t="n"/>
      <c r="M316" s="4" t="n"/>
      <c r="N316" s="4">
        <f>IF(AND(K316="",M316=""),"",IF(OR(K316="sim",M316="sim"),"sim",IF(OR(K316="inconclusivo",M316="inconclusivo"),"inconclusivo","não")))</f>
        <v/>
      </c>
      <c r="O316" s="5">
        <f>IF(N316="sim",COUNTIFS($B$3:$B316,$B316,$N$3:$N316,"sim"),"")</f>
        <v/>
      </c>
      <c r="P316" s="5" t="n"/>
      <c r="Q316" s="4" t="n"/>
      <c r="R316" s="5" t="n"/>
      <c r="S316" s="9" t="n"/>
      <c r="T316" s="4" t="n"/>
    </row>
    <row r="317">
      <c r="A317" s="5">
        <f>ROW()-2</f>
        <v/>
      </c>
      <c r="B317" s="4" t="inlineStr">
        <is>
          <t>Metrópole</t>
        </is>
      </c>
      <c r="C317" s="5" t="n">
        <v>315</v>
      </c>
      <c r="D317" s="5">
        <f>IFERROR(INDEX('Base de sorteio'!$A$3:$A$1723,MATCH($B317&amp;"|"&amp;$C317,'Base de sorteio'!$I$3:$I$1723,0)),"")</f>
        <v/>
      </c>
      <c r="E317" s="4">
        <f>IFERROR(INDEX('Base de sorteio'!$B$3:$B$1723,MATCH($B317&amp;"|"&amp;$C317,'Base de sorteio'!$I$3:$I$1723,0)),"")</f>
        <v/>
      </c>
      <c r="F317" s="4">
        <f>IFERROR(INDEX('Base de sorteio'!$C$3:$C$1723,MATCH($B317&amp;"|"&amp;$C317,'Base de sorteio'!$I$3:$I$1723,0)),"")</f>
        <v/>
      </c>
      <c r="G317" s="4">
        <f>IFERROR(INDEX('Base de sorteio'!$D$3:$D$1723,MATCH($B317&amp;"|"&amp;$C317,'Base de sorteio'!$I$3:$I$1723,0)),"")</f>
        <v/>
      </c>
      <c r="H317" s="4">
        <f>IFERROR(INDEX('Base de sorteio'!$E$3:$E$1723,MATCH($B317&amp;"|"&amp;$C317,'Base de sorteio'!$I$3:$I$1723,0)),"")</f>
        <v/>
      </c>
      <c r="I317" s="4">
        <f>IF(E317="","",HYPERLINK(IFERROR(INDEX('Base de sorteio'!$J$3:$J$1723,MATCH($B317&amp;"|"&amp;$C317,'Base de sorteio'!$I$3:$I$1723,0)),""),"abrir"))</f>
        <v/>
      </c>
      <c r="J317" s="4" t="n"/>
      <c r="K317" s="4" t="n"/>
      <c r="L317" s="4" t="n"/>
      <c r="M317" s="4" t="n"/>
      <c r="N317" s="4">
        <f>IF(AND(K317="",M317=""),"",IF(OR(K317="sim",M317="sim"),"sim",IF(OR(K317="inconclusivo",M317="inconclusivo"),"inconclusivo","não")))</f>
        <v/>
      </c>
      <c r="O317" s="5">
        <f>IF(N317="sim",COUNTIFS($B$3:$B317,$B317,$N$3:$N317,"sim"),"")</f>
        <v/>
      </c>
      <c r="P317" s="5" t="n"/>
      <c r="Q317" s="4" t="n"/>
      <c r="R317" s="5" t="n"/>
      <c r="S317" s="9" t="n"/>
      <c r="T317" s="4" t="n"/>
    </row>
    <row r="318">
      <c r="A318" s="5">
        <f>ROW()-2</f>
        <v/>
      </c>
      <c r="B318" s="4" t="inlineStr">
        <is>
          <t>Metrópole</t>
        </is>
      </c>
      <c r="C318" s="5" t="n">
        <v>316</v>
      </c>
      <c r="D318" s="5">
        <f>IFERROR(INDEX('Base de sorteio'!$A$3:$A$1723,MATCH($B318&amp;"|"&amp;$C318,'Base de sorteio'!$I$3:$I$1723,0)),"")</f>
        <v/>
      </c>
      <c r="E318" s="4">
        <f>IFERROR(INDEX('Base de sorteio'!$B$3:$B$1723,MATCH($B318&amp;"|"&amp;$C318,'Base de sorteio'!$I$3:$I$1723,0)),"")</f>
        <v/>
      </c>
      <c r="F318" s="4">
        <f>IFERROR(INDEX('Base de sorteio'!$C$3:$C$1723,MATCH($B318&amp;"|"&amp;$C318,'Base de sorteio'!$I$3:$I$1723,0)),"")</f>
        <v/>
      </c>
      <c r="G318" s="4">
        <f>IFERROR(INDEX('Base de sorteio'!$D$3:$D$1723,MATCH($B318&amp;"|"&amp;$C318,'Base de sorteio'!$I$3:$I$1723,0)),"")</f>
        <v/>
      </c>
      <c r="H318" s="4">
        <f>IFERROR(INDEX('Base de sorteio'!$E$3:$E$1723,MATCH($B318&amp;"|"&amp;$C318,'Base de sorteio'!$I$3:$I$1723,0)),"")</f>
        <v/>
      </c>
      <c r="I318" s="4">
        <f>IF(E318="","",HYPERLINK(IFERROR(INDEX('Base de sorteio'!$J$3:$J$1723,MATCH($B318&amp;"|"&amp;$C318,'Base de sorteio'!$I$3:$I$1723,0)),""),"abrir"))</f>
        <v/>
      </c>
      <c r="J318" s="4" t="n"/>
      <c r="K318" s="4" t="n"/>
      <c r="L318" s="4" t="n"/>
      <c r="M318" s="4" t="n"/>
      <c r="N318" s="4">
        <f>IF(AND(K318="",M318=""),"",IF(OR(K318="sim",M318="sim"),"sim",IF(OR(K318="inconclusivo",M318="inconclusivo"),"inconclusivo","não")))</f>
        <v/>
      </c>
      <c r="O318" s="5">
        <f>IF(N318="sim",COUNTIFS($B$3:$B318,$B318,$N$3:$N318,"sim"),"")</f>
        <v/>
      </c>
      <c r="P318" s="5" t="n"/>
      <c r="Q318" s="4" t="n"/>
      <c r="R318" s="5" t="n"/>
      <c r="S318" s="9" t="n"/>
      <c r="T318" s="4" t="n"/>
    </row>
    <row r="319">
      <c r="A319" s="5">
        <f>ROW()-2</f>
        <v/>
      </c>
      <c r="B319" s="4" t="inlineStr">
        <is>
          <t>Metrópole</t>
        </is>
      </c>
      <c r="C319" s="5" t="n">
        <v>317</v>
      </c>
      <c r="D319" s="5">
        <f>IFERROR(INDEX('Base de sorteio'!$A$3:$A$1723,MATCH($B319&amp;"|"&amp;$C319,'Base de sorteio'!$I$3:$I$1723,0)),"")</f>
        <v/>
      </c>
      <c r="E319" s="4">
        <f>IFERROR(INDEX('Base de sorteio'!$B$3:$B$1723,MATCH($B319&amp;"|"&amp;$C319,'Base de sorteio'!$I$3:$I$1723,0)),"")</f>
        <v/>
      </c>
      <c r="F319" s="4">
        <f>IFERROR(INDEX('Base de sorteio'!$C$3:$C$1723,MATCH($B319&amp;"|"&amp;$C319,'Base de sorteio'!$I$3:$I$1723,0)),"")</f>
        <v/>
      </c>
      <c r="G319" s="4">
        <f>IFERROR(INDEX('Base de sorteio'!$D$3:$D$1723,MATCH($B319&amp;"|"&amp;$C319,'Base de sorteio'!$I$3:$I$1723,0)),"")</f>
        <v/>
      </c>
      <c r="H319" s="4">
        <f>IFERROR(INDEX('Base de sorteio'!$E$3:$E$1723,MATCH($B319&amp;"|"&amp;$C319,'Base de sorteio'!$I$3:$I$1723,0)),"")</f>
        <v/>
      </c>
      <c r="I319" s="4">
        <f>IF(E319="","",HYPERLINK(IFERROR(INDEX('Base de sorteio'!$J$3:$J$1723,MATCH($B319&amp;"|"&amp;$C319,'Base de sorteio'!$I$3:$I$1723,0)),""),"abrir"))</f>
        <v/>
      </c>
      <c r="J319" s="4" t="n"/>
      <c r="K319" s="4" t="n"/>
      <c r="L319" s="4" t="n"/>
      <c r="M319" s="4" t="n"/>
      <c r="N319" s="4">
        <f>IF(AND(K319="",M319=""),"",IF(OR(K319="sim",M319="sim"),"sim",IF(OR(K319="inconclusivo",M319="inconclusivo"),"inconclusivo","não")))</f>
        <v/>
      </c>
      <c r="O319" s="5">
        <f>IF(N319="sim",COUNTIFS($B$3:$B319,$B319,$N$3:$N319,"sim"),"")</f>
        <v/>
      </c>
      <c r="P319" s="5" t="n"/>
      <c r="Q319" s="4" t="n"/>
      <c r="R319" s="5" t="n"/>
      <c r="S319" s="9" t="n"/>
      <c r="T319" s="4" t="n"/>
    </row>
    <row r="320">
      <c r="A320" s="5">
        <f>ROW()-2</f>
        <v/>
      </c>
      <c r="B320" s="4" t="inlineStr">
        <is>
          <t>Metrópole</t>
        </is>
      </c>
      <c r="C320" s="5" t="n">
        <v>318</v>
      </c>
      <c r="D320" s="5">
        <f>IFERROR(INDEX('Base de sorteio'!$A$3:$A$1723,MATCH($B320&amp;"|"&amp;$C320,'Base de sorteio'!$I$3:$I$1723,0)),"")</f>
        <v/>
      </c>
      <c r="E320" s="4">
        <f>IFERROR(INDEX('Base de sorteio'!$B$3:$B$1723,MATCH($B320&amp;"|"&amp;$C320,'Base de sorteio'!$I$3:$I$1723,0)),"")</f>
        <v/>
      </c>
      <c r="F320" s="4">
        <f>IFERROR(INDEX('Base de sorteio'!$C$3:$C$1723,MATCH($B320&amp;"|"&amp;$C320,'Base de sorteio'!$I$3:$I$1723,0)),"")</f>
        <v/>
      </c>
      <c r="G320" s="4">
        <f>IFERROR(INDEX('Base de sorteio'!$D$3:$D$1723,MATCH($B320&amp;"|"&amp;$C320,'Base de sorteio'!$I$3:$I$1723,0)),"")</f>
        <v/>
      </c>
      <c r="H320" s="4">
        <f>IFERROR(INDEX('Base de sorteio'!$E$3:$E$1723,MATCH($B320&amp;"|"&amp;$C320,'Base de sorteio'!$I$3:$I$1723,0)),"")</f>
        <v/>
      </c>
      <c r="I320" s="4">
        <f>IF(E320="","",HYPERLINK(IFERROR(INDEX('Base de sorteio'!$J$3:$J$1723,MATCH($B320&amp;"|"&amp;$C320,'Base de sorteio'!$I$3:$I$1723,0)),""),"abrir"))</f>
        <v/>
      </c>
      <c r="J320" s="4" t="n"/>
      <c r="K320" s="4" t="n"/>
      <c r="L320" s="4" t="n"/>
      <c r="M320" s="4" t="n"/>
      <c r="N320" s="4">
        <f>IF(AND(K320="",M320=""),"",IF(OR(K320="sim",M320="sim"),"sim",IF(OR(K320="inconclusivo",M320="inconclusivo"),"inconclusivo","não")))</f>
        <v/>
      </c>
      <c r="O320" s="5">
        <f>IF(N320="sim",COUNTIFS($B$3:$B320,$B320,$N$3:$N320,"sim"),"")</f>
        <v/>
      </c>
      <c r="P320" s="5" t="n"/>
      <c r="Q320" s="4" t="n"/>
      <c r="R320" s="5" t="n"/>
      <c r="S320" s="9" t="n"/>
      <c r="T320" s="4" t="n"/>
    </row>
    <row r="321">
      <c r="A321" s="5">
        <f>ROW()-2</f>
        <v/>
      </c>
      <c r="B321" s="4" t="inlineStr">
        <is>
          <t>Metrópole</t>
        </is>
      </c>
      <c r="C321" s="5" t="n">
        <v>319</v>
      </c>
      <c r="D321" s="5">
        <f>IFERROR(INDEX('Base de sorteio'!$A$3:$A$1723,MATCH($B321&amp;"|"&amp;$C321,'Base de sorteio'!$I$3:$I$1723,0)),"")</f>
        <v/>
      </c>
      <c r="E321" s="4">
        <f>IFERROR(INDEX('Base de sorteio'!$B$3:$B$1723,MATCH($B321&amp;"|"&amp;$C321,'Base de sorteio'!$I$3:$I$1723,0)),"")</f>
        <v/>
      </c>
      <c r="F321" s="4">
        <f>IFERROR(INDEX('Base de sorteio'!$C$3:$C$1723,MATCH($B321&amp;"|"&amp;$C321,'Base de sorteio'!$I$3:$I$1723,0)),"")</f>
        <v/>
      </c>
      <c r="G321" s="4">
        <f>IFERROR(INDEX('Base de sorteio'!$D$3:$D$1723,MATCH($B321&amp;"|"&amp;$C321,'Base de sorteio'!$I$3:$I$1723,0)),"")</f>
        <v/>
      </c>
      <c r="H321" s="4">
        <f>IFERROR(INDEX('Base de sorteio'!$E$3:$E$1723,MATCH($B321&amp;"|"&amp;$C321,'Base de sorteio'!$I$3:$I$1723,0)),"")</f>
        <v/>
      </c>
      <c r="I321" s="4">
        <f>IF(E321="","",HYPERLINK(IFERROR(INDEX('Base de sorteio'!$J$3:$J$1723,MATCH($B321&amp;"|"&amp;$C321,'Base de sorteio'!$I$3:$I$1723,0)),""),"abrir"))</f>
        <v/>
      </c>
      <c r="J321" s="4" t="n"/>
      <c r="K321" s="4" t="n"/>
      <c r="L321" s="4" t="n"/>
      <c r="M321" s="4" t="n"/>
      <c r="N321" s="4">
        <f>IF(AND(K321="",M321=""),"",IF(OR(K321="sim",M321="sim"),"sim",IF(OR(K321="inconclusivo",M321="inconclusivo"),"inconclusivo","não")))</f>
        <v/>
      </c>
      <c r="O321" s="5">
        <f>IF(N321="sim",COUNTIFS($B$3:$B321,$B321,$N$3:$N321,"sim"),"")</f>
        <v/>
      </c>
      <c r="P321" s="5" t="n"/>
      <c r="Q321" s="4" t="n"/>
      <c r="R321" s="5" t="n"/>
      <c r="S321" s="9" t="n"/>
      <c r="T321" s="4" t="n"/>
    </row>
    <row r="322">
      <c r="A322" s="5">
        <f>ROW()-2</f>
        <v/>
      </c>
      <c r="B322" s="4" t="inlineStr">
        <is>
          <t>Metrópole</t>
        </is>
      </c>
      <c r="C322" s="5" t="n">
        <v>320</v>
      </c>
      <c r="D322" s="5">
        <f>IFERROR(INDEX('Base de sorteio'!$A$3:$A$1723,MATCH($B322&amp;"|"&amp;$C322,'Base de sorteio'!$I$3:$I$1723,0)),"")</f>
        <v/>
      </c>
      <c r="E322" s="4">
        <f>IFERROR(INDEX('Base de sorteio'!$B$3:$B$1723,MATCH($B322&amp;"|"&amp;$C322,'Base de sorteio'!$I$3:$I$1723,0)),"")</f>
        <v/>
      </c>
      <c r="F322" s="4">
        <f>IFERROR(INDEX('Base de sorteio'!$C$3:$C$1723,MATCH($B322&amp;"|"&amp;$C322,'Base de sorteio'!$I$3:$I$1723,0)),"")</f>
        <v/>
      </c>
      <c r="G322" s="4">
        <f>IFERROR(INDEX('Base de sorteio'!$D$3:$D$1723,MATCH($B322&amp;"|"&amp;$C322,'Base de sorteio'!$I$3:$I$1723,0)),"")</f>
        <v/>
      </c>
      <c r="H322" s="4">
        <f>IFERROR(INDEX('Base de sorteio'!$E$3:$E$1723,MATCH($B322&amp;"|"&amp;$C322,'Base de sorteio'!$I$3:$I$1723,0)),"")</f>
        <v/>
      </c>
      <c r="I322" s="4">
        <f>IF(E322="","",HYPERLINK(IFERROR(INDEX('Base de sorteio'!$J$3:$J$1723,MATCH($B322&amp;"|"&amp;$C322,'Base de sorteio'!$I$3:$I$1723,0)),""),"abrir"))</f>
        <v/>
      </c>
      <c r="J322" s="4" t="n"/>
      <c r="K322" s="4" t="n"/>
      <c r="L322" s="4" t="n"/>
      <c r="M322" s="4" t="n"/>
      <c r="N322" s="4">
        <f>IF(AND(K322="",M322=""),"",IF(OR(K322="sim",M322="sim"),"sim",IF(OR(K322="inconclusivo",M322="inconclusivo"),"inconclusivo","não")))</f>
        <v/>
      </c>
      <c r="O322" s="5">
        <f>IF(N322="sim",COUNTIFS($B$3:$B322,$B322,$N$3:$N322,"sim"),"")</f>
        <v/>
      </c>
      <c r="P322" s="5" t="n"/>
      <c r="Q322" s="4" t="n"/>
      <c r="R322" s="5" t="n"/>
      <c r="S322" s="9" t="n"/>
      <c r="T322" s="4" t="n"/>
    </row>
    <row r="323">
      <c r="A323" s="5">
        <f>ROW()-2</f>
        <v/>
      </c>
      <c r="B323" s="4" t="inlineStr">
        <is>
          <t>Metrópole</t>
        </is>
      </c>
      <c r="C323" s="5" t="n">
        <v>321</v>
      </c>
      <c r="D323" s="5">
        <f>IFERROR(INDEX('Base de sorteio'!$A$3:$A$1723,MATCH($B323&amp;"|"&amp;$C323,'Base de sorteio'!$I$3:$I$1723,0)),"")</f>
        <v/>
      </c>
      <c r="E323" s="4">
        <f>IFERROR(INDEX('Base de sorteio'!$B$3:$B$1723,MATCH($B323&amp;"|"&amp;$C323,'Base de sorteio'!$I$3:$I$1723,0)),"")</f>
        <v/>
      </c>
      <c r="F323" s="4">
        <f>IFERROR(INDEX('Base de sorteio'!$C$3:$C$1723,MATCH($B323&amp;"|"&amp;$C323,'Base de sorteio'!$I$3:$I$1723,0)),"")</f>
        <v/>
      </c>
      <c r="G323" s="4">
        <f>IFERROR(INDEX('Base de sorteio'!$D$3:$D$1723,MATCH($B323&amp;"|"&amp;$C323,'Base de sorteio'!$I$3:$I$1723,0)),"")</f>
        <v/>
      </c>
      <c r="H323" s="4">
        <f>IFERROR(INDEX('Base de sorteio'!$E$3:$E$1723,MATCH($B323&amp;"|"&amp;$C323,'Base de sorteio'!$I$3:$I$1723,0)),"")</f>
        <v/>
      </c>
      <c r="I323" s="4">
        <f>IF(E323="","",HYPERLINK(IFERROR(INDEX('Base de sorteio'!$J$3:$J$1723,MATCH($B323&amp;"|"&amp;$C323,'Base de sorteio'!$I$3:$I$1723,0)),""),"abrir"))</f>
        <v/>
      </c>
      <c r="J323" s="4" t="n"/>
      <c r="K323" s="4" t="n"/>
      <c r="L323" s="4" t="n"/>
      <c r="M323" s="4" t="n"/>
      <c r="N323" s="4">
        <f>IF(AND(K323="",M323=""),"",IF(OR(K323="sim",M323="sim"),"sim",IF(OR(K323="inconclusivo",M323="inconclusivo"),"inconclusivo","não")))</f>
        <v/>
      </c>
      <c r="O323" s="5">
        <f>IF(N323="sim",COUNTIFS($B$3:$B323,$B323,$N$3:$N323,"sim"),"")</f>
        <v/>
      </c>
      <c r="P323" s="5" t="n"/>
      <c r="Q323" s="4" t="n"/>
      <c r="R323" s="5" t="n"/>
      <c r="S323" s="9" t="n"/>
      <c r="T323" s="4" t="n"/>
    </row>
    <row r="324">
      <c r="A324" s="5">
        <f>ROW()-2</f>
        <v/>
      </c>
      <c r="B324" s="4" t="inlineStr">
        <is>
          <t>Metrópole</t>
        </is>
      </c>
      <c r="C324" s="5" t="n">
        <v>322</v>
      </c>
      <c r="D324" s="5">
        <f>IFERROR(INDEX('Base de sorteio'!$A$3:$A$1723,MATCH($B324&amp;"|"&amp;$C324,'Base de sorteio'!$I$3:$I$1723,0)),"")</f>
        <v/>
      </c>
      <c r="E324" s="4">
        <f>IFERROR(INDEX('Base de sorteio'!$B$3:$B$1723,MATCH($B324&amp;"|"&amp;$C324,'Base de sorteio'!$I$3:$I$1723,0)),"")</f>
        <v/>
      </c>
      <c r="F324" s="4">
        <f>IFERROR(INDEX('Base de sorteio'!$C$3:$C$1723,MATCH($B324&amp;"|"&amp;$C324,'Base de sorteio'!$I$3:$I$1723,0)),"")</f>
        <v/>
      </c>
      <c r="G324" s="4">
        <f>IFERROR(INDEX('Base de sorteio'!$D$3:$D$1723,MATCH($B324&amp;"|"&amp;$C324,'Base de sorteio'!$I$3:$I$1723,0)),"")</f>
        <v/>
      </c>
      <c r="H324" s="4">
        <f>IFERROR(INDEX('Base de sorteio'!$E$3:$E$1723,MATCH($B324&amp;"|"&amp;$C324,'Base de sorteio'!$I$3:$I$1723,0)),"")</f>
        <v/>
      </c>
      <c r="I324" s="4">
        <f>IF(E324="","",HYPERLINK(IFERROR(INDEX('Base de sorteio'!$J$3:$J$1723,MATCH($B324&amp;"|"&amp;$C324,'Base de sorteio'!$I$3:$I$1723,0)),""),"abrir"))</f>
        <v/>
      </c>
      <c r="J324" s="4" t="n"/>
      <c r="K324" s="4" t="n"/>
      <c r="L324" s="4" t="n"/>
      <c r="M324" s="4" t="n"/>
      <c r="N324" s="4">
        <f>IF(AND(K324="",M324=""),"",IF(OR(K324="sim",M324="sim"),"sim",IF(OR(K324="inconclusivo",M324="inconclusivo"),"inconclusivo","não")))</f>
        <v/>
      </c>
      <c r="O324" s="5">
        <f>IF(N324="sim",COUNTIFS($B$3:$B324,$B324,$N$3:$N324,"sim"),"")</f>
        <v/>
      </c>
      <c r="P324" s="5" t="n"/>
      <c r="Q324" s="4" t="n"/>
      <c r="R324" s="5" t="n"/>
      <c r="S324" s="9" t="n"/>
      <c r="T324" s="4" t="n"/>
    </row>
    <row r="325">
      <c r="A325" s="5">
        <f>ROW()-2</f>
        <v/>
      </c>
      <c r="B325" s="4" t="inlineStr">
        <is>
          <t>Metrópole</t>
        </is>
      </c>
      <c r="C325" s="5" t="n">
        <v>323</v>
      </c>
      <c r="D325" s="5">
        <f>IFERROR(INDEX('Base de sorteio'!$A$3:$A$1723,MATCH($B325&amp;"|"&amp;$C325,'Base de sorteio'!$I$3:$I$1723,0)),"")</f>
        <v/>
      </c>
      <c r="E325" s="4">
        <f>IFERROR(INDEX('Base de sorteio'!$B$3:$B$1723,MATCH($B325&amp;"|"&amp;$C325,'Base de sorteio'!$I$3:$I$1723,0)),"")</f>
        <v/>
      </c>
      <c r="F325" s="4">
        <f>IFERROR(INDEX('Base de sorteio'!$C$3:$C$1723,MATCH($B325&amp;"|"&amp;$C325,'Base de sorteio'!$I$3:$I$1723,0)),"")</f>
        <v/>
      </c>
      <c r="G325" s="4">
        <f>IFERROR(INDEX('Base de sorteio'!$D$3:$D$1723,MATCH($B325&amp;"|"&amp;$C325,'Base de sorteio'!$I$3:$I$1723,0)),"")</f>
        <v/>
      </c>
      <c r="H325" s="4">
        <f>IFERROR(INDEX('Base de sorteio'!$E$3:$E$1723,MATCH($B325&amp;"|"&amp;$C325,'Base de sorteio'!$I$3:$I$1723,0)),"")</f>
        <v/>
      </c>
      <c r="I325" s="4">
        <f>IF(E325="","",HYPERLINK(IFERROR(INDEX('Base de sorteio'!$J$3:$J$1723,MATCH($B325&amp;"|"&amp;$C325,'Base de sorteio'!$I$3:$I$1723,0)),""),"abrir"))</f>
        <v/>
      </c>
      <c r="J325" s="4" t="n"/>
      <c r="K325" s="4" t="n"/>
      <c r="L325" s="4" t="n"/>
      <c r="M325" s="4" t="n"/>
      <c r="N325" s="4">
        <f>IF(AND(K325="",M325=""),"",IF(OR(K325="sim",M325="sim"),"sim",IF(OR(K325="inconclusivo",M325="inconclusivo"),"inconclusivo","não")))</f>
        <v/>
      </c>
      <c r="O325" s="5">
        <f>IF(N325="sim",COUNTIFS($B$3:$B325,$B325,$N$3:$N325,"sim"),"")</f>
        <v/>
      </c>
      <c r="P325" s="5" t="n"/>
      <c r="Q325" s="4" t="n"/>
      <c r="R325" s="5" t="n"/>
      <c r="S325" s="9" t="n"/>
      <c r="T325" s="4" t="n"/>
    </row>
    <row r="326">
      <c r="A326" s="5">
        <f>ROW()-2</f>
        <v/>
      </c>
      <c r="B326" s="4" t="inlineStr">
        <is>
          <t>Metrópole</t>
        </is>
      </c>
      <c r="C326" s="5" t="n">
        <v>324</v>
      </c>
      <c r="D326" s="5">
        <f>IFERROR(INDEX('Base de sorteio'!$A$3:$A$1723,MATCH($B326&amp;"|"&amp;$C326,'Base de sorteio'!$I$3:$I$1723,0)),"")</f>
        <v/>
      </c>
      <c r="E326" s="4">
        <f>IFERROR(INDEX('Base de sorteio'!$B$3:$B$1723,MATCH($B326&amp;"|"&amp;$C326,'Base de sorteio'!$I$3:$I$1723,0)),"")</f>
        <v/>
      </c>
      <c r="F326" s="4">
        <f>IFERROR(INDEX('Base de sorteio'!$C$3:$C$1723,MATCH($B326&amp;"|"&amp;$C326,'Base de sorteio'!$I$3:$I$1723,0)),"")</f>
        <v/>
      </c>
      <c r="G326" s="4">
        <f>IFERROR(INDEX('Base de sorteio'!$D$3:$D$1723,MATCH($B326&amp;"|"&amp;$C326,'Base de sorteio'!$I$3:$I$1723,0)),"")</f>
        <v/>
      </c>
      <c r="H326" s="4">
        <f>IFERROR(INDEX('Base de sorteio'!$E$3:$E$1723,MATCH($B326&amp;"|"&amp;$C326,'Base de sorteio'!$I$3:$I$1723,0)),"")</f>
        <v/>
      </c>
      <c r="I326" s="4">
        <f>IF(E326="","",HYPERLINK(IFERROR(INDEX('Base de sorteio'!$J$3:$J$1723,MATCH($B326&amp;"|"&amp;$C326,'Base de sorteio'!$I$3:$I$1723,0)),""),"abrir"))</f>
        <v/>
      </c>
      <c r="J326" s="4" t="n"/>
      <c r="K326" s="4" t="n"/>
      <c r="L326" s="4" t="n"/>
      <c r="M326" s="4" t="n"/>
      <c r="N326" s="4">
        <f>IF(AND(K326="",M326=""),"",IF(OR(K326="sim",M326="sim"),"sim",IF(OR(K326="inconclusivo",M326="inconclusivo"),"inconclusivo","não")))</f>
        <v/>
      </c>
      <c r="O326" s="5">
        <f>IF(N326="sim",COUNTIFS($B$3:$B326,$B326,$N$3:$N326,"sim"),"")</f>
        <v/>
      </c>
      <c r="P326" s="5" t="n"/>
      <c r="Q326" s="4" t="n"/>
      <c r="R326" s="5" t="n"/>
      <c r="S326" s="9" t="n"/>
      <c r="T326" s="4" t="n"/>
    </row>
    <row r="327">
      <c r="A327" s="5">
        <f>ROW()-2</f>
        <v/>
      </c>
      <c r="B327" s="4" t="inlineStr">
        <is>
          <t>Metrópole</t>
        </is>
      </c>
      <c r="C327" s="5" t="n">
        <v>325</v>
      </c>
      <c r="D327" s="5">
        <f>IFERROR(INDEX('Base de sorteio'!$A$3:$A$1723,MATCH($B327&amp;"|"&amp;$C327,'Base de sorteio'!$I$3:$I$1723,0)),"")</f>
        <v/>
      </c>
      <c r="E327" s="4">
        <f>IFERROR(INDEX('Base de sorteio'!$B$3:$B$1723,MATCH($B327&amp;"|"&amp;$C327,'Base de sorteio'!$I$3:$I$1723,0)),"")</f>
        <v/>
      </c>
      <c r="F327" s="4">
        <f>IFERROR(INDEX('Base de sorteio'!$C$3:$C$1723,MATCH($B327&amp;"|"&amp;$C327,'Base de sorteio'!$I$3:$I$1723,0)),"")</f>
        <v/>
      </c>
      <c r="G327" s="4">
        <f>IFERROR(INDEX('Base de sorteio'!$D$3:$D$1723,MATCH($B327&amp;"|"&amp;$C327,'Base de sorteio'!$I$3:$I$1723,0)),"")</f>
        <v/>
      </c>
      <c r="H327" s="4">
        <f>IFERROR(INDEX('Base de sorteio'!$E$3:$E$1723,MATCH($B327&amp;"|"&amp;$C327,'Base de sorteio'!$I$3:$I$1723,0)),"")</f>
        <v/>
      </c>
      <c r="I327" s="4">
        <f>IF(E327="","",HYPERLINK(IFERROR(INDEX('Base de sorteio'!$J$3:$J$1723,MATCH($B327&amp;"|"&amp;$C327,'Base de sorteio'!$I$3:$I$1723,0)),""),"abrir"))</f>
        <v/>
      </c>
      <c r="J327" s="4" t="n"/>
      <c r="K327" s="4" t="n"/>
      <c r="L327" s="4" t="n"/>
      <c r="M327" s="4" t="n"/>
      <c r="N327" s="4">
        <f>IF(AND(K327="",M327=""),"",IF(OR(K327="sim",M327="sim"),"sim",IF(OR(K327="inconclusivo",M327="inconclusivo"),"inconclusivo","não")))</f>
        <v/>
      </c>
      <c r="O327" s="5">
        <f>IF(N327="sim",COUNTIFS($B$3:$B327,$B327,$N$3:$N327,"sim"),"")</f>
        <v/>
      </c>
      <c r="P327" s="5" t="n"/>
      <c r="Q327" s="4" t="n"/>
      <c r="R327" s="5" t="n"/>
      <c r="S327" s="9" t="n"/>
      <c r="T327" s="4" t="n"/>
    </row>
    <row r="328">
      <c r="A328" s="5">
        <f>ROW()-2</f>
        <v/>
      </c>
      <c r="B328" s="4" t="inlineStr">
        <is>
          <t>Metrópole</t>
        </is>
      </c>
      <c r="C328" s="5" t="n">
        <v>326</v>
      </c>
      <c r="D328" s="5">
        <f>IFERROR(INDEX('Base de sorteio'!$A$3:$A$1723,MATCH($B328&amp;"|"&amp;$C328,'Base de sorteio'!$I$3:$I$1723,0)),"")</f>
        <v/>
      </c>
      <c r="E328" s="4">
        <f>IFERROR(INDEX('Base de sorteio'!$B$3:$B$1723,MATCH($B328&amp;"|"&amp;$C328,'Base de sorteio'!$I$3:$I$1723,0)),"")</f>
        <v/>
      </c>
      <c r="F328" s="4">
        <f>IFERROR(INDEX('Base de sorteio'!$C$3:$C$1723,MATCH($B328&amp;"|"&amp;$C328,'Base de sorteio'!$I$3:$I$1723,0)),"")</f>
        <v/>
      </c>
      <c r="G328" s="4">
        <f>IFERROR(INDEX('Base de sorteio'!$D$3:$D$1723,MATCH($B328&amp;"|"&amp;$C328,'Base de sorteio'!$I$3:$I$1723,0)),"")</f>
        <v/>
      </c>
      <c r="H328" s="4">
        <f>IFERROR(INDEX('Base de sorteio'!$E$3:$E$1723,MATCH($B328&amp;"|"&amp;$C328,'Base de sorteio'!$I$3:$I$1723,0)),"")</f>
        <v/>
      </c>
      <c r="I328" s="4">
        <f>IF(E328="","",HYPERLINK(IFERROR(INDEX('Base de sorteio'!$J$3:$J$1723,MATCH($B328&amp;"|"&amp;$C328,'Base de sorteio'!$I$3:$I$1723,0)),""),"abrir"))</f>
        <v/>
      </c>
      <c r="J328" s="4" t="n"/>
      <c r="K328" s="4" t="n"/>
      <c r="L328" s="4" t="n"/>
      <c r="M328" s="4" t="n"/>
      <c r="N328" s="4">
        <f>IF(AND(K328="",M328=""),"",IF(OR(K328="sim",M328="sim"),"sim",IF(OR(K328="inconclusivo",M328="inconclusivo"),"inconclusivo","não")))</f>
        <v/>
      </c>
      <c r="O328" s="5">
        <f>IF(N328="sim",COUNTIFS($B$3:$B328,$B328,$N$3:$N328,"sim"),"")</f>
        <v/>
      </c>
      <c r="P328" s="5" t="n"/>
      <c r="Q328" s="4" t="n"/>
      <c r="R328" s="5" t="n"/>
      <c r="S328" s="9" t="n"/>
      <c r="T328" s="4" t="n"/>
    </row>
    <row r="329">
      <c r="A329" s="5">
        <f>ROW()-2</f>
        <v/>
      </c>
      <c r="B329" s="4" t="inlineStr">
        <is>
          <t>Metrópole</t>
        </is>
      </c>
      <c r="C329" s="5" t="n">
        <v>327</v>
      </c>
      <c r="D329" s="5">
        <f>IFERROR(INDEX('Base de sorteio'!$A$3:$A$1723,MATCH($B329&amp;"|"&amp;$C329,'Base de sorteio'!$I$3:$I$1723,0)),"")</f>
        <v/>
      </c>
      <c r="E329" s="4">
        <f>IFERROR(INDEX('Base de sorteio'!$B$3:$B$1723,MATCH($B329&amp;"|"&amp;$C329,'Base de sorteio'!$I$3:$I$1723,0)),"")</f>
        <v/>
      </c>
      <c r="F329" s="4">
        <f>IFERROR(INDEX('Base de sorteio'!$C$3:$C$1723,MATCH($B329&amp;"|"&amp;$C329,'Base de sorteio'!$I$3:$I$1723,0)),"")</f>
        <v/>
      </c>
      <c r="G329" s="4">
        <f>IFERROR(INDEX('Base de sorteio'!$D$3:$D$1723,MATCH($B329&amp;"|"&amp;$C329,'Base de sorteio'!$I$3:$I$1723,0)),"")</f>
        <v/>
      </c>
      <c r="H329" s="4">
        <f>IFERROR(INDEX('Base de sorteio'!$E$3:$E$1723,MATCH($B329&amp;"|"&amp;$C329,'Base de sorteio'!$I$3:$I$1723,0)),"")</f>
        <v/>
      </c>
      <c r="I329" s="4">
        <f>IF(E329="","",HYPERLINK(IFERROR(INDEX('Base de sorteio'!$J$3:$J$1723,MATCH($B329&amp;"|"&amp;$C329,'Base de sorteio'!$I$3:$I$1723,0)),""),"abrir"))</f>
        <v/>
      </c>
      <c r="J329" s="4" t="n"/>
      <c r="K329" s="4" t="n"/>
      <c r="L329" s="4" t="n"/>
      <c r="M329" s="4" t="n"/>
      <c r="N329" s="4">
        <f>IF(AND(K329="",M329=""),"",IF(OR(K329="sim",M329="sim"),"sim",IF(OR(K329="inconclusivo",M329="inconclusivo"),"inconclusivo","não")))</f>
        <v/>
      </c>
      <c r="O329" s="5">
        <f>IF(N329="sim",COUNTIFS($B$3:$B329,$B329,$N$3:$N329,"sim"),"")</f>
        <v/>
      </c>
      <c r="P329" s="5" t="n"/>
      <c r="Q329" s="4" t="n"/>
      <c r="R329" s="5" t="n"/>
      <c r="S329" s="9" t="n"/>
      <c r="T329" s="4" t="n"/>
    </row>
    <row r="330">
      <c r="A330" s="5">
        <f>ROW()-2</f>
        <v/>
      </c>
      <c r="B330" s="4" t="inlineStr">
        <is>
          <t>Metrópole</t>
        </is>
      </c>
      <c r="C330" s="5" t="n">
        <v>328</v>
      </c>
      <c r="D330" s="5">
        <f>IFERROR(INDEX('Base de sorteio'!$A$3:$A$1723,MATCH($B330&amp;"|"&amp;$C330,'Base de sorteio'!$I$3:$I$1723,0)),"")</f>
        <v/>
      </c>
      <c r="E330" s="4">
        <f>IFERROR(INDEX('Base de sorteio'!$B$3:$B$1723,MATCH($B330&amp;"|"&amp;$C330,'Base de sorteio'!$I$3:$I$1723,0)),"")</f>
        <v/>
      </c>
      <c r="F330" s="4">
        <f>IFERROR(INDEX('Base de sorteio'!$C$3:$C$1723,MATCH($B330&amp;"|"&amp;$C330,'Base de sorteio'!$I$3:$I$1723,0)),"")</f>
        <v/>
      </c>
      <c r="G330" s="4">
        <f>IFERROR(INDEX('Base de sorteio'!$D$3:$D$1723,MATCH($B330&amp;"|"&amp;$C330,'Base de sorteio'!$I$3:$I$1723,0)),"")</f>
        <v/>
      </c>
      <c r="H330" s="4">
        <f>IFERROR(INDEX('Base de sorteio'!$E$3:$E$1723,MATCH($B330&amp;"|"&amp;$C330,'Base de sorteio'!$I$3:$I$1723,0)),"")</f>
        <v/>
      </c>
      <c r="I330" s="4">
        <f>IF(E330="","",HYPERLINK(IFERROR(INDEX('Base de sorteio'!$J$3:$J$1723,MATCH($B330&amp;"|"&amp;$C330,'Base de sorteio'!$I$3:$I$1723,0)),""),"abrir"))</f>
        <v/>
      </c>
      <c r="J330" s="4" t="n"/>
      <c r="K330" s="4" t="n"/>
      <c r="L330" s="4" t="n"/>
      <c r="M330" s="4" t="n"/>
      <c r="N330" s="4">
        <f>IF(AND(K330="",M330=""),"",IF(OR(K330="sim",M330="sim"),"sim",IF(OR(K330="inconclusivo",M330="inconclusivo"),"inconclusivo","não")))</f>
        <v/>
      </c>
      <c r="O330" s="5">
        <f>IF(N330="sim",COUNTIFS($B$3:$B330,$B330,$N$3:$N330,"sim"),"")</f>
        <v/>
      </c>
      <c r="P330" s="5" t="n"/>
      <c r="Q330" s="4" t="n"/>
      <c r="R330" s="5" t="n"/>
      <c r="S330" s="9" t="n"/>
      <c r="T330" s="4" t="n"/>
    </row>
    <row r="331">
      <c r="A331" s="5">
        <f>ROW()-2</f>
        <v/>
      </c>
      <c r="B331" s="4" t="inlineStr">
        <is>
          <t>Metrópole</t>
        </is>
      </c>
      <c r="C331" s="5" t="n">
        <v>329</v>
      </c>
      <c r="D331" s="5">
        <f>IFERROR(INDEX('Base de sorteio'!$A$3:$A$1723,MATCH($B331&amp;"|"&amp;$C331,'Base de sorteio'!$I$3:$I$1723,0)),"")</f>
        <v/>
      </c>
      <c r="E331" s="4">
        <f>IFERROR(INDEX('Base de sorteio'!$B$3:$B$1723,MATCH($B331&amp;"|"&amp;$C331,'Base de sorteio'!$I$3:$I$1723,0)),"")</f>
        <v/>
      </c>
      <c r="F331" s="4">
        <f>IFERROR(INDEX('Base de sorteio'!$C$3:$C$1723,MATCH($B331&amp;"|"&amp;$C331,'Base de sorteio'!$I$3:$I$1723,0)),"")</f>
        <v/>
      </c>
      <c r="G331" s="4">
        <f>IFERROR(INDEX('Base de sorteio'!$D$3:$D$1723,MATCH($B331&amp;"|"&amp;$C331,'Base de sorteio'!$I$3:$I$1723,0)),"")</f>
        <v/>
      </c>
      <c r="H331" s="4">
        <f>IFERROR(INDEX('Base de sorteio'!$E$3:$E$1723,MATCH($B331&amp;"|"&amp;$C331,'Base de sorteio'!$I$3:$I$1723,0)),"")</f>
        <v/>
      </c>
      <c r="I331" s="4">
        <f>IF(E331="","",HYPERLINK(IFERROR(INDEX('Base de sorteio'!$J$3:$J$1723,MATCH($B331&amp;"|"&amp;$C331,'Base de sorteio'!$I$3:$I$1723,0)),""),"abrir"))</f>
        <v/>
      </c>
      <c r="J331" s="4" t="n"/>
      <c r="K331" s="4" t="n"/>
      <c r="L331" s="4" t="n"/>
      <c r="M331" s="4" t="n"/>
      <c r="N331" s="4">
        <f>IF(AND(K331="",M331=""),"",IF(OR(K331="sim",M331="sim"),"sim",IF(OR(K331="inconclusivo",M331="inconclusivo"),"inconclusivo","não")))</f>
        <v/>
      </c>
      <c r="O331" s="5">
        <f>IF(N331="sim",COUNTIFS($B$3:$B331,$B331,$N$3:$N331,"sim"),"")</f>
        <v/>
      </c>
      <c r="P331" s="5" t="n"/>
      <c r="Q331" s="4" t="n"/>
      <c r="R331" s="5" t="n"/>
      <c r="S331" s="9" t="n"/>
      <c r="T331" s="4" t="n"/>
    </row>
    <row r="332">
      <c r="A332" s="5">
        <f>ROW()-2</f>
        <v/>
      </c>
      <c r="B332" s="4" t="inlineStr">
        <is>
          <t>Metrópole</t>
        </is>
      </c>
      <c r="C332" s="5" t="n">
        <v>330</v>
      </c>
      <c r="D332" s="5">
        <f>IFERROR(INDEX('Base de sorteio'!$A$3:$A$1723,MATCH($B332&amp;"|"&amp;$C332,'Base de sorteio'!$I$3:$I$1723,0)),"")</f>
        <v/>
      </c>
      <c r="E332" s="4">
        <f>IFERROR(INDEX('Base de sorteio'!$B$3:$B$1723,MATCH($B332&amp;"|"&amp;$C332,'Base de sorteio'!$I$3:$I$1723,0)),"")</f>
        <v/>
      </c>
      <c r="F332" s="4">
        <f>IFERROR(INDEX('Base de sorteio'!$C$3:$C$1723,MATCH($B332&amp;"|"&amp;$C332,'Base de sorteio'!$I$3:$I$1723,0)),"")</f>
        <v/>
      </c>
      <c r="G332" s="4">
        <f>IFERROR(INDEX('Base de sorteio'!$D$3:$D$1723,MATCH($B332&amp;"|"&amp;$C332,'Base de sorteio'!$I$3:$I$1723,0)),"")</f>
        <v/>
      </c>
      <c r="H332" s="4">
        <f>IFERROR(INDEX('Base de sorteio'!$E$3:$E$1723,MATCH($B332&amp;"|"&amp;$C332,'Base de sorteio'!$I$3:$I$1723,0)),"")</f>
        <v/>
      </c>
      <c r="I332" s="4">
        <f>IF(E332="","",HYPERLINK(IFERROR(INDEX('Base de sorteio'!$J$3:$J$1723,MATCH($B332&amp;"|"&amp;$C332,'Base de sorteio'!$I$3:$I$1723,0)),""),"abrir"))</f>
        <v/>
      </c>
      <c r="J332" s="4" t="n"/>
      <c r="K332" s="4" t="n"/>
      <c r="L332" s="4" t="n"/>
      <c r="M332" s="4" t="n"/>
      <c r="N332" s="4">
        <f>IF(AND(K332="",M332=""),"",IF(OR(K332="sim",M332="sim"),"sim",IF(OR(K332="inconclusivo",M332="inconclusivo"),"inconclusivo","não")))</f>
        <v/>
      </c>
      <c r="O332" s="5">
        <f>IF(N332="sim",COUNTIFS($B$3:$B332,$B332,$N$3:$N332,"sim"),"")</f>
        <v/>
      </c>
      <c r="P332" s="5" t="n"/>
      <c r="Q332" s="4" t="n"/>
      <c r="R332" s="5" t="n"/>
      <c r="S332" s="9" t="n"/>
      <c r="T332" s="4" t="n"/>
    </row>
    <row r="333">
      <c r="A333" s="5">
        <f>ROW()-2</f>
        <v/>
      </c>
      <c r="B333" s="4" t="inlineStr">
        <is>
          <t>Metrópole</t>
        </is>
      </c>
      <c r="C333" s="5" t="n">
        <v>331</v>
      </c>
      <c r="D333" s="5">
        <f>IFERROR(INDEX('Base de sorteio'!$A$3:$A$1723,MATCH($B333&amp;"|"&amp;$C333,'Base de sorteio'!$I$3:$I$1723,0)),"")</f>
        <v/>
      </c>
      <c r="E333" s="4">
        <f>IFERROR(INDEX('Base de sorteio'!$B$3:$B$1723,MATCH($B333&amp;"|"&amp;$C333,'Base de sorteio'!$I$3:$I$1723,0)),"")</f>
        <v/>
      </c>
      <c r="F333" s="4">
        <f>IFERROR(INDEX('Base de sorteio'!$C$3:$C$1723,MATCH($B333&amp;"|"&amp;$C333,'Base de sorteio'!$I$3:$I$1723,0)),"")</f>
        <v/>
      </c>
      <c r="G333" s="4">
        <f>IFERROR(INDEX('Base de sorteio'!$D$3:$D$1723,MATCH($B333&amp;"|"&amp;$C333,'Base de sorteio'!$I$3:$I$1723,0)),"")</f>
        <v/>
      </c>
      <c r="H333" s="4">
        <f>IFERROR(INDEX('Base de sorteio'!$E$3:$E$1723,MATCH($B333&amp;"|"&amp;$C333,'Base de sorteio'!$I$3:$I$1723,0)),"")</f>
        <v/>
      </c>
      <c r="I333" s="4">
        <f>IF(E333="","",HYPERLINK(IFERROR(INDEX('Base de sorteio'!$J$3:$J$1723,MATCH($B333&amp;"|"&amp;$C333,'Base de sorteio'!$I$3:$I$1723,0)),""),"abrir"))</f>
        <v/>
      </c>
      <c r="J333" s="4" t="n"/>
      <c r="K333" s="4" t="n"/>
      <c r="L333" s="4" t="n"/>
      <c r="M333" s="4" t="n"/>
      <c r="N333" s="4">
        <f>IF(AND(K333="",M333=""),"",IF(OR(K333="sim",M333="sim"),"sim",IF(OR(K333="inconclusivo",M333="inconclusivo"),"inconclusivo","não")))</f>
        <v/>
      </c>
      <c r="O333" s="5">
        <f>IF(N333="sim",COUNTIFS($B$3:$B333,$B333,$N$3:$N333,"sim"),"")</f>
        <v/>
      </c>
      <c r="P333" s="5" t="n"/>
      <c r="Q333" s="4" t="n"/>
      <c r="R333" s="5" t="n"/>
      <c r="S333" s="9" t="n"/>
      <c r="T333" s="4" t="n"/>
    </row>
    <row r="334">
      <c r="A334" s="5">
        <f>ROW()-2</f>
        <v/>
      </c>
      <c r="B334" s="4" t="inlineStr">
        <is>
          <t>Metrópole</t>
        </is>
      </c>
      <c r="C334" s="5" t="n">
        <v>332</v>
      </c>
      <c r="D334" s="5">
        <f>IFERROR(INDEX('Base de sorteio'!$A$3:$A$1723,MATCH($B334&amp;"|"&amp;$C334,'Base de sorteio'!$I$3:$I$1723,0)),"")</f>
        <v/>
      </c>
      <c r="E334" s="4">
        <f>IFERROR(INDEX('Base de sorteio'!$B$3:$B$1723,MATCH($B334&amp;"|"&amp;$C334,'Base de sorteio'!$I$3:$I$1723,0)),"")</f>
        <v/>
      </c>
      <c r="F334" s="4">
        <f>IFERROR(INDEX('Base de sorteio'!$C$3:$C$1723,MATCH($B334&amp;"|"&amp;$C334,'Base de sorteio'!$I$3:$I$1723,0)),"")</f>
        <v/>
      </c>
      <c r="G334" s="4">
        <f>IFERROR(INDEX('Base de sorteio'!$D$3:$D$1723,MATCH($B334&amp;"|"&amp;$C334,'Base de sorteio'!$I$3:$I$1723,0)),"")</f>
        <v/>
      </c>
      <c r="H334" s="4">
        <f>IFERROR(INDEX('Base de sorteio'!$E$3:$E$1723,MATCH($B334&amp;"|"&amp;$C334,'Base de sorteio'!$I$3:$I$1723,0)),"")</f>
        <v/>
      </c>
      <c r="I334" s="4">
        <f>IF(E334="","",HYPERLINK(IFERROR(INDEX('Base de sorteio'!$J$3:$J$1723,MATCH($B334&amp;"|"&amp;$C334,'Base de sorteio'!$I$3:$I$1723,0)),""),"abrir"))</f>
        <v/>
      </c>
      <c r="J334" s="4" t="n"/>
      <c r="K334" s="4" t="n"/>
      <c r="L334" s="4" t="n"/>
      <c r="M334" s="4" t="n"/>
      <c r="N334" s="4">
        <f>IF(AND(K334="",M334=""),"",IF(OR(K334="sim",M334="sim"),"sim",IF(OR(K334="inconclusivo",M334="inconclusivo"),"inconclusivo","não")))</f>
        <v/>
      </c>
      <c r="O334" s="5">
        <f>IF(N334="sim",COUNTIFS($B$3:$B334,$B334,$N$3:$N334,"sim"),"")</f>
        <v/>
      </c>
      <c r="P334" s="5" t="n"/>
      <c r="Q334" s="4" t="n"/>
      <c r="R334" s="5" t="n"/>
      <c r="S334" s="9" t="n"/>
      <c r="T334" s="4" t="n"/>
    </row>
    <row r="335">
      <c r="A335" s="5">
        <f>ROW()-2</f>
        <v/>
      </c>
      <c r="B335" s="4" t="inlineStr">
        <is>
          <t>Metrópole</t>
        </is>
      </c>
      <c r="C335" s="5" t="n">
        <v>333</v>
      </c>
      <c r="D335" s="5">
        <f>IFERROR(INDEX('Base de sorteio'!$A$3:$A$1723,MATCH($B335&amp;"|"&amp;$C335,'Base de sorteio'!$I$3:$I$1723,0)),"")</f>
        <v/>
      </c>
      <c r="E335" s="4">
        <f>IFERROR(INDEX('Base de sorteio'!$B$3:$B$1723,MATCH($B335&amp;"|"&amp;$C335,'Base de sorteio'!$I$3:$I$1723,0)),"")</f>
        <v/>
      </c>
      <c r="F335" s="4">
        <f>IFERROR(INDEX('Base de sorteio'!$C$3:$C$1723,MATCH($B335&amp;"|"&amp;$C335,'Base de sorteio'!$I$3:$I$1723,0)),"")</f>
        <v/>
      </c>
      <c r="G335" s="4">
        <f>IFERROR(INDEX('Base de sorteio'!$D$3:$D$1723,MATCH($B335&amp;"|"&amp;$C335,'Base de sorteio'!$I$3:$I$1723,0)),"")</f>
        <v/>
      </c>
      <c r="H335" s="4">
        <f>IFERROR(INDEX('Base de sorteio'!$E$3:$E$1723,MATCH($B335&amp;"|"&amp;$C335,'Base de sorteio'!$I$3:$I$1723,0)),"")</f>
        <v/>
      </c>
      <c r="I335" s="4">
        <f>IF(E335="","",HYPERLINK(IFERROR(INDEX('Base de sorteio'!$J$3:$J$1723,MATCH($B335&amp;"|"&amp;$C335,'Base de sorteio'!$I$3:$I$1723,0)),""),"abrir"))</f>
        <v/>
      </c>
      <c r="J335" s="4" t="n"/>
      <c r="K335" s="4" t="n"/>
      <c r="L335" s="4" t="n"/>
      <c r="M335" s="4" t="n"/>
      <c r="N335" s="4">
        <f>IF(AND(K335="",M335=""),"",IF(OR(K335="sim",M335="sim"),"sim",IF(OR(K335="inconclusivo",M335="inconclusivo"),"inconclusivo","não")))</f>
        <v/>
      </c>
      <c r="O335" s="5">
        <f>IF(N335="sim",COUNTIFS($B$3:$B335,$B335,$N$3:$N335,"sim"),"")</f>
        <v/>
      </c>
      <c r="P335" s="5" t="n"/>
      <c r="Q335" s="4" t="n"/>
      <c r="R335" s="5" t="n"/>
      <c r="S335" s="9" t="n"/>
      <c r="T335" s="4" t="n"/>
    </row>
    <row r="336">
      <c r="A336" s="5">
        <f>ROW()-2</f>
        <v/>
      </c>
      <c r="B336" s="4" t="inlineStr">
        <is>
          <t>Metrópole</t>
        </is>
      </c>
      <c r="C336" s="5" t="n">
        <v>334</v>
      </c>
      <c r="D336" s="5">
        <f>IFERROR(INDEX('Base de sorteio'!$A$3:$A$1723,MATCH($B336&amp;"|"&amp;$C336,'Base de sorteio'!$I$3:$I$1723,0)),"")</f>
        <v/>
      </c>
      <c r="E336" s="4">
        <f>IFERROR(INDEX('Base de sorteio'!$B$3:$B$1723,MATCH($B336&amp;"|"&amp;$C336,'Base de sorteio'!$I$3:$I$1723,0)),"")</f>
        <v/>
      </c>
      <c r="F336" s="4">
        <f>IFERROR(INDEX('Base de sorteio'!$C$3:$C$1723,MATCH($B336&amp;"|"&amp;$C336,'Base de sorteio'!$I$3:$I$1723,0)),"")</f>
        <v/>
      </c>
      <c r="G336" s="4">
        <f>IFERROR(INDEX('Base de sorteio'!$D$3:$D$1723,MATCH($B336&amp;"|"&amp;$C336,'Base de sorteio'!$I$3:$I$1723,0)),"")</f>
        <v/>
      </c>
      <c r="H336" s="4">
        <f>IFERROR(INDEX('Base de sorteio'!$E$3:$E$1723,MATCH($B336&amp;"|"&amp;$C336,'Base de sorteio'!$I$3:$I$1723,0)),"")</f>
        <v/>
      </c>
      <c r="I336" s="4">
        <f>IF(E336="","",HYPERLINK(IFERROR(INDEX('Base de sorteio'!$J$3:$J$1723,MATCH($B336&amp;"|"&amp;$C336,'Base de sorteio'!$I$3:$I$1723,0)),""),"abrir"))</f>
        <v/>
      </c>
      <c r="J336" s="4" t="n"/>
      <c r="K336" s="4" t="n"/>
      <c r="L336" s="4" t="n"/>
      <c r="M336" s="4" t="n"/>
      <c r="N336" s="4">
        <f>IF(AND(K336="",M336=""),"",IF(OR(K336="sim",M336="sim"),"sim",IF(OR(K336="inconclusivo",M336="inconclusivo"),"inconclusivo","não")))</f>
        <v/>
      </c>
      <c r="O336" s="5">
        <f>IF(N336="sim",COUNTIFS($B$3:$B336,$B336,$N$3:$N336,"sim"),"")</f>
        <v/>
      </c>
      <c r="P336" s="5" t="n"/>
      <c r="Q336" s="4" t="n"/>
      <c r="R336" s="5" t="n"/>
      <c r="S336" s="9" t="n"/>
      <c r="T336" s="4" t="n"/>
    </row>
    <row r="337">
      <c r="A337" s="5">
        <f>ROW()-2</f>
        <v/>
      </c>
      <c r="B337" s="4" t="inlineStr">
        <is>
          <t>Metrópole</t>
        </is>
      </c>
      <c r="C337" s="5" t="n">
        <v>335</v>
      </c>
      <c r="D337" s="5">
        <f>IFERROR(INDEX('Base de sorteio'!$A$3:$A$1723,MATCH($B337&amp;"|"&amp;$C337,'Base de sorteio'!$I$3:$I$1723,0)),"")</f>
        <v/>
      </c>
      <c r="E337" s="4">
        <f>IFERROR(INDEX('Base de sorteio'!$B$3:$B$1723,MATCH($B337&amp;"|"&amp;$C337,'Base de sorteio'!$I$3:$I$1723,0)),"")</f>
        <v/>
      </c>
      <c r="F337" s="4">
        <f>IFERROR(INDEX('Base de sorteio'!$C$3:$C$1723,MATCH($B337&amp;"|"&amp;$C337,'Base de sorteio'!$I$3:$I$1723,0)),"")</f>
        <v/>
      </c>
      <c r="G337" s="4">
        <f>IFERROR(INDEX('Base de sorteio'!$D$3:$D$1723,MATCH($B337&amp;"|"&amp;$C337,'Base de sorteio'!$I$3:$I$1723,0)),"")</f>
        <v/>
      </c>
      <c r="H337" s="4">
        <f>IFERROR(INDEX('Base de sorteio'!$E$3:$E$1723,MATCH($B337&amp;"|"&amp;$C337,'Base de sorteio'!$I$3:$I$1723,0)),"")</f>
        <v/>
      </c>
      <c r="I337" s="4">
        <f>IF(E337="","",HYPERLINK(IFERROR(INDEX('Base de sorteio'!$J$3:$J$1723,MATCH($B337&amp;"|"&amp;$C337,'Base de sorteio'!$I$3:$I$1723,0)),""),"abrir"))</f>
        <v/>
      </c>
      <c r="J337" s="4" t="n"/>
      <c r="K337" s="4" t="n"/>
      <c r="L337" s="4" t="n"/>
      <c r="M337" s="4" t="n"/>
      <c r="N337" s="4">
        <f>IF(AND(K337="",M337=""),"",IF(OR(K337="sim",M337="sim"),"sim",IF(OR(K337="inconclusivo",M337="inconclusivo"),"inconclusivo","não")))</f>
        <v/>
      </c>
      <c r="O337" s="5">
        <f>IF(N337="sim",COUNTIFS($B$3:$B337,$B337,$N$3:$N337,"sim"),"")</f>
        <v/>
      </c>
      <c r="P337" s="5" t="n"/>
      <c r="Q337" s="4" t="n"/>
      <c r="R337" s="5" t="n"/>
      <c r="S337" s="9" t="n"/>
      <c r="T337" s="4" t="n"/>
    </row>
    <row r="338">
      <c r="A338" s="5">
        <f>ROW()-2</f>
        <v/>
      </c>
      <c r="B338" s="4" t="inlineStr">
        <is>
          <t>Metrópole</t>
        </is>
      </c>
      <c r="C338" s="5" t="n">
        <v>336</v>
      </c>
      <c r="D338" s="5">
        <f>IFERROR(INDEX('Base de sorteio'!$A$3:$A$1723,MATCH($B338&amp;"|"&amp;$C338,'Base de sorteio'!$I$3:$I$1723,0)),"")</f>
        <v/>
      </c>
      <c r="E338" s="4">
        <f>IFERROR(INDEX('Base de sorteio'!$B$3:$B$1723,MATCH($B338&amp;"|"&amp;$C338,'Base de sorteio'!$I$3:$I$1723,0)),"")</f>
        <v/>
      </c>
      <c r="F338" s="4">
        <f>IFERROR(INDEX('Base de sorteio'!$C$3:$C$1723,MATCH($B338&amp;"|"&amp;$C338,'Base de sorteio'!$I$3:$I$1723,0)),"")</f>
        <v/>
      </c>
      <c r="G338" s="4">
        <f>IFERROR(INDEX('Base de sorteio'!$D$3:$D$1723,MATCH($B338&amp;"|"&amp;$C338,'Base de sorteio'!$I$3:$I$1723,0)),"")</f>
        <v/>
      </c>
      <c r="H338" s="4">
        <f>IFERROR(INDEX('Base de sorteio'!$E$3:$E$1723,MATCH($B338&amp;"|"&amp;$C338,'Base de sorteio'!$I$3:$I$1723,0)),"")</f>
        <v/>
      </c>
      <c r="I338" s="4">
        <f>IF(E338="","",HYPERLINK(IFERROR(INDEX('Base de sorteio'!$J$3:$J$1723,MATCH($B338&amp;"|"&amp;$C338,'Base de sorteio'!$I$3:$I$1723,0)),""),"abrir"))</f>
        <v/>
      </c>
      <c r="J338" s="4" t="n"/>
      <c r="K338" s="4" t="n"/>
      <c r="L338" s="4" t="n"/>
      <c r="M338" s="4" t="n"/>
      <c r="N338" s="4">
        <f>IF(AND(K338="",M338=""),"",IF(OR(K338="sim",M338="sim"),"sim",IF(OR(K338="inconclusivo",M338="inconclusivo"),"inconclusivo","não")))</f>
        <v/>
      </c>
      <c r="O338" s="5">
        <f>IF(N338="sim",COUNTIFS($B$3:$B338,$B338,$N$3:$N338,"sim"),"")</f>
        <v/>
      </c>
      <c r="P338" s="5" t="n"/>
      <c r="Q338" s="4" t="n"/>
      <c r="R338" s="5" t="n"/>
      <c r="S338" s="9" t="n"/>
      <c r="T338" s="4" t="n"/>
    </row>
    <row r="339">
      <c r="A339" s="5">
        <f>ROW()-2</f>
        <v/>
      </c>
      <c r="B339" s="4" t="inlineStr">
        <is>
          <t>Metrópole</t>
        </is>
      </c>
      <c r="C339" s="5" t="n">
        <v>337</v>
      </c>
      <c r="D339" s="5">
        <f>IFERROR(INDEX('Base de sorteio'!$A$3:$A$1723,MATCH($B339&amp;"|"&amp;$C339,'Base de sorteio'!$I$3:$I$1723,0)),"")</f>
        <v/>
      </c>
      <c r="E339" s="4">
        <f>IFERROR(INDEX('Base de sorteio'!$B$3:$B$1723,MATCH($B339&amp;"|"&amp;$C339,'Base de sorteio'!$I$3:$I$1723,0)),"")</f>
        <v/>
      </c>
      <c r="F339" s="4">
        <f>IFERROR(INDEX('Base de sorteio'!$C$3:$C$1723,MATCH($B339&amp;"|"&amp;$C339,'Base de sorteio'!$I$3:$I$1723,0)),"")</f>
        <v/>
      </c>
      <c r="G339" s="4">
        <f>IFERROR(INDEX('Base de sorteio'!$D$3:$D$1723,MATCH($B339&amp;"|"&amp;$C339,'Base de sorteio'!$I$3:$I$1723,0)),"")</f>
        <v/>
      </c>
      <c r="H339" s="4">
        <f>IFERROR(INDEX('Base de sorteio'!$E$3:$E$1723,MATCH($B339&amp;"|"&amp;$C339,'Base de sorteio'!$I$3:$I$1723,0)),"")</f>
        <v/>
      </c>
      <c r="I339" s="4">
        <f>IF(E339="","",HYPERLINK(IFERROR(INDEX('Base de sorteio'!$J$3:$J$1723,MATCH($B339&amp;"|"&amp;$C339,'Base de sorteio'!$I$3:$I$1723,0)),""),"abrir"))</f>
        <v/>
      </c>
      <c r="J339" s="4" t="n"/>
      <c r="K339" s="4" t="n"/>
      <c r="L339" s="4" t="n"/>
      <c r="M339" s="4" t="n"/>
      <c r="N339" s="4">
        <f>IF(AND(K339="",M339=""),"",IF(OR(K339="sim",M339="sim"),"sim",IF(OR(K339="inconclusivo",M339="inconclusivo"),"inconclusivo","não")))</f>
        <v/>
      </c>
      <c r="O339" s="5">
        <f>IF(N339="sim",COUNTIFS($B$3:$B339,$B339,$N$3:$N339,"sim"),"")</f>
        <v/>
      </c>
      <c r="P339" s="5" t="n"/>
      <c r="Q339" s="4" t="n"/>
      <c r="R339" s="5" t="n"/>
      <c r="S339" s="9" t="n"/>
      <c r="T339" s="4" t="n"/>
    </row>
    <row r="340">
      <c r="A340" s="5">
        <f>ROW()-2</f>
        <v/>
      </c>
      <c r="B340" s="4" t="inlineStr">
        <is>
          <t>Metrópole</t>
        </is>
      </c>
      <c r="C340" s="5" t="n">
        <v>338</v>
      </c>
      <c r="D340" s="5">
        <f>IFERROR(INDEX('Base de sorteio'!$A$3:$A$1723,MATCH($B340&amp;"|"&amp;$C340,'Base de sorteio'!$I$3:$I$1723,0)),"")</f>
        <v/>
      </c>
      <c r="E340" s="4">
        <f>IFERROR(INDEX('Base de sorteio'!$B$3:$B$1723,MATCH($B340&amp;"|"&amp;$C340,'Base de sorteio'!$I$3:$I$1723,0)),"")</f>
        <v/>
      </c>
      <c r="F340" s="4">
        <f>IFERROR(INDEX('Base de sorteio'!$C$3:$C$1723,MATCH($B340&amp;"|"&amp;$C340,'Base de sorteio'!$I$3:$I$1723,0)),"")</f>
        <v/>
      </c>
      <c r="G340" s="4">
        <f>IFERROR(INDEX('Base de sorteio'!$D$3:$D$1723,MATCH($B340&amp;"|"&amp;$C340,'Base de sorteio'!$I$3:$I$1723,0)),"")</f>
        <v/>
      </c>
      <c r="H340" s="4">
        <f>IFERROR(INDEX('Base de sorteio'!$E$3:$E$1723,MATCH($B340&amp;"|"&amp;$C340,'Base de sorteio'!$I$3:$I$1723,0)),"")</f>
        <v/>
      </c>
      <c r="I340" s="4">
        <f>IF(E340="","",HYPERLINK(IFERROR(INDEX('Base de sorteio'!$J$3:$J$1723,MATCH($B340&amp;"|"&amp;$C340,'Base de sorteio'!$I$3:$I$1723,0)),""),"abrir"))</f>
        <v/>
      </c>
      <c r="J340" s="4" t="n"/>
      <c r="K340" s="4" t="n"/>
      <c r="L340" s="4" t="n"/>
      <c r="M340" s="4" t="n"/>
      <c r="N340" s="4">
        <f>IF(AND(K340="",M340=""),"",IF(OR(K340="sim",M340="sim"),"sim",IF(OR(K340="inconclusivo",M340="inconclusivo"),"inconclusivo","não")))</f>
        <v/>
      </c>
      <c r="O340" s="5">
        <f>IF(N340="sim",COUNTIFS($B$3:$B340,$B340,$N$3:$N340,"sim"),"")</f>
        <v/>
      </c>
      <c r="P340" s="5" t="n"/>
      <c r="Q340" s="4" t="n"/>
      <c r="R340" s="5" t="n"/>
      <c r="S340" s="9" t="n"/>
      <c r="T340" s="4" t="n"/>
    </row>
    <row r="341">
      <c r="A341" s="5">
        <f>ROW()-2</f>
        <v/>
      </c>
      <c r="B341" s="4" t="inlineStr">
        <is>
          <t>Metrópole</t>
        </is>
      </c>
      <c r="C341" s="5" t="n">
        <v>339</v>
      </c>
      <c r="D341" s="5">
        <f>IFERROR(INDEX('Base de sorteio'!$A$3:$A$1723,MATCH($B341&amp;"|"&amp;$C341,'Base de sorteio'!$I$3:$I$1723,0)),"")</f>
        <v/>
      </c>
      <c r="E341" s="4">
        <f>IFERROR(INDEX('Base de sorteio'!$B$3:$B$1723,MATCH($B341&amp;"|"&amp;$C341,'Base de sorteio'!$I$3:$I$1723,0)),"")</f>
        <v/>
      </c>
      <c r="F341" s="4">
        <f>IFERROR(INDEX('Base de sorteio'!$C$3:$C$1723,MATCH($B341&amp;"|"&amp;$C341,'Base de sorteio'!$I$3:$I$1723,0)),"")</f>
        <v/>
      </c>
      <c r="G341" s="4">
        <f>IFERROR(INDEX('Base de sorteio'!$D$3:$D$1723,MATCH($B341&amp;"|"&amp;$C341,'Base de sorteio'!$I$3:$I$1723,0)),"")</f>
        <v/>
      </c>
      <c r="H341" s="4">
        <f>IFERROR(INDEX('Base de sorteio'!$E$3:$E$1723,MATCH($B341&amp;"|"&amp;$C341,'Base de sorteio'!$I$3:$I$1723,0)),"")</f>
        <v/>
      </c>
      <c r="I341" s="4">
        <f>IF(E341="","",HYPERLINK(IFERROR(INDEX('Base de sorteio'!$J$3:$J$1723,MATCH($B341&amp;"|"&amp;$C341,'Base de sorteio'!$I$3:$I$1723,0)),""),"abrir"))</f>
        <v/>
      </c>
      <c r="J341" s="4" t="n"/>
      <c r="K341" s="4" t="n"/>
      <c r="L341" s="4" t="n"/>
      <c r="M341" s="4" t="n"/>
      <c r="N341" s="4">
        <f>IF(AND(K341="",M341=""),"",IF(OR(K341="sim",M341="sim"),"sim",IF(OR(K341="inconclusivo",M341="inconclusivo"),"inconclusivo","não")))</f>
        <v/>
      </c>
      <c r="O341" s="5">
        <f>IF(N341="sim",COUNTIFS($B$3:$B341,$B341,$N$3:$N341,"sim"),"")</f>
        <v/>
      </c>
      <c r="P341" s="5" t="n"/>
      <c r="Q341" s="4" t="n"/>
      <c r="R341" s="5" t="n"/>
      <c r="S341" s="9" t="n"/>
      <c r="T341" s="4" t="n"/>
    </row>
    <row r="342">
      <c r="A342" s="5">
        <f>ROW()-2</f>
        <v/>
      </c>
      <c r="B342" s="4" t="inlineStr">
        <is>
          <t>Metrópole</t>
        </is>
      </c>
      <c r="C342" s="5" t="n">
        <v>340</v>
      </c>
      <c r="D342" s="5">
        <f>IFERROR(INDEX('Base de sorteio'!$A$3:$A$1723,MATCH($B342&amp;"|"&amp;$C342,'Base de sorteio'!$I$3:$I$1723,0)),"")</f>
        <v/>
      </c>
      <c r="E342" s="4">
        <f>IFERROR(INDEX('Base de sorteio'!$B$3:$B$1723,MATCH($B342&amp;"|"&amp;$C342,'Base de sorteio'!$I$3:$I$1723,0)),"")</f>
        <v/>
      </c>
      <c r="F342" s="4">
        <f>IFERROR(INDEX('Base de sorteio'!$C$3:$C$1723,MATCH($B342&amp;"|"&amp;$C342,'Base de sorteio'!$I$3:$I$1723,0)),"")</f>
        <v/>
      </c>
      <c r="G342" s="4">
        <f>IFERROR(INDEX('Base de sorteio'!$D$3:$D$1723,MATCH($B342&amp;"|"&amp;$C342,'Base de sorteio'!$I$3:$I$1723,0)),"")</f>
        <v/>
      </c>
      <c r="H342" s="4">
        <f>IFERROR(INDEX('Base de sorteio'!$E$3:$E$1723,MATCH($B342&amp;"|"&amp;$C342,'Base de sorteio'!$I$3:$I$1723,0)),"")</f>
        <v/>
      </c>
      <c r="I342" s="4">
        <f>IF(E342="","",HYPERLINK(IFERROR(INDEX('Base de sorteio'!$J$3:$J$1723,MATCH($B342&amp;"|"&amp;$C342,'Base de sorteio'!$I$3:$I$1723,0)),""),"abrir"))</f>
        <v/>
      </c>
      <c r="J342" s="4" t="n"/>
      <c r="K342" s="4" t="n"/>
      <c r="L342" s="4" t="n"/>
      <c r="M342" s="4" t="n"/>
      <c r="N342" s="4">
        <f>IF(AND(K342="",M342=""),"",IF(OR(K342="sim",M342="sim"),"sim",IF(OR(K342="inconclusivo",M342="inconclusivo"),"inconclusivo","não")))</f>
        <v/>
      </c>
      <c r="O342" s="5">
        <f>IF(N342="sim",COUNTIFS($B$3:$B342,$B342,$N$3:$N342,"sim"),"")</f>
        <v/>
      </c>
      <c r="P342" s="5" t="n"/>
      <c r="Q342" s="4" t="n"/>
      <c r="R342" s="5" t="n"/>
      <c r="S342" s="9" t="n"/>
      <c r="T342" s="4" t="n"/>
    </row>
    <row r="343">
      <c r="A343" s="5">
        <f>ROW()-2</f>
        <v/>
      </c>
      <c r="B343" s="4" t="inlineStr">
        <is>
          <t>Metrópole</t>
        </is>
      </c>
      <c r="C343" s="5" t="n">
        <v>341</v>
      </c>
      <c r="D343" s="5">
        <f>IFERROR(INDEX('Base de sorteio'!$A$3:$A$1723,MATCH($B343&amp;"|"&amp;$C343,'Base de sorteio'!$I$3:$I$1723,0)),"")</f>
        <v/>
      </c>
      <c r="E343" s="4">
        <f>IFERROR(INDEX('Base de sorteio'!$B$3:$B$1723,MATCH($B343&amp;"|"&amp;$C343,'Base de sorteio'!$I$3:$I$1723,0)),"")</f>
        <v/>
      </c>
      <c r="F343" s="4">
        <f>IFERROR(INDEX('Base de sorteio'!$C$3:$C$1723,MATCH($B343&amp;"|"&amp;$C343,'Base de sorteio'!$I$3:$I$1723,0)),"")</f>
        <v/>
      </c>
      <c r="G343" s="4">
        <f>IFERROR(INDEX('Base de sorteio'!$D$3:$D$1723,MATCH($B343&amp;"|"&amp;$C343,'Base de sorteio'!$I$3:$I$1723,0)),"")</f>
        <v/>
      </c>
      <c r="H343" s="4">
        <f>IFERROR(INDEX('Base de sorteio'!$E$3:$E$1723,MATCH($B343&amp;"|"&amp;$C343,'Base de sorteio'!$I$3:$I$1723,0)),"")</f>
        <v/>
      </c>
      <c r="I343" s="4">
        <f>IF(E343="","",HYPERLINK(IFERROR(INDEX('Base de sorteio'!$J$3:$J$1723,MATCH($B343&amp;"|"&amp;$C343,'Base de sorteio'!$I$3:$I$1723,0)),""),"abrir"))</f>
        <v/>
      </c>
      <c r="J343" s="4" t="n"/>
      <c r="K343" s="4" t="n"/>
      <c r="L343" s="4" t="n"/>
      <c r="M343" s="4" t="n"/>
      <c r="N343" s="4">
        <f>IF(AND(K343="",M343=""),"",IF(OR(K343="sim",M343="sim"),"sim",IF(OR(K343="inconclusivo",M343="inconclusivo"),"inconclusivo","não")))</f>
        <v/>
      </c>
      <c r="O343" s="5">
        <f>IF(N343="sim",COUNTIFS($B$3:$B343,$B343,$N$3:$N343,"sim"),"")</f>
        <v/>
      </c>
      <c r="P343" s="5" t="n"/>
      <c r="Q343" s="4" t="n"/>
      <c r="R343" s="5" t="n"/>
      <c r="S343" s="9" t="n"/>
      <c r="T343" s="4" t="n"/>
    </row>
    <row r="344">
      <c r="A344" s="5">
        <f>ROW()-2</f>
        <v/>
      </c>
      <c r="B344" s="4" t="inlineStr">
        <is>
          <t>Metrópole</t>
        </is>
      </c>
      <c r="C344" s="5" t="n">
        <v>342</v>
      </c>
      <c r="D344" s="5">
        <f>IFERROR(INDEX('Base de sorteio'!$A$3:$A$1723,MATCH($B344&amp;"|"&amp;$C344,'Base de sorteio'!$I$3:$I$1723,0)),"")</f>
        <v/>
      </c>
      <c r="E344" s="4">
        <f>IFERROR(INDEX('Base de sorteio'!$B$3:$B$1723,MATCH($B344&amp;"|"&amp;$C344,'Base de sorteio'!$I$3:$I$1723,0)),"")</f>
        <v/>
      </c>
      <c r="F344" s="4">
        <f>IFERROR(INDEX('Base de sorteio'!$C$3:$C$1723,MATCH($B344&amp;"|"&amp;$C344,'Base de sorteio'!$I$3:$I$1723,0)),"")</f>
        <v/>
      </c>
      <c r="G344" s="4">
        <f>IFERROR(INDEX('Base de sorteio'!$D$3:$D$1723,MATCH($B344&amp;"|"&amp;$C344,'Base de sorteio'!$I$3:$I$1723,0)),"")</f>
        <v/>
      </c>
      <c r="H344" s="4">
        <f>IFERROR(INDEX('Base de sorteio'!$E$3:$E$1723,MATCH($B344&amp;"|"&amp;$C344,'Base de sorteio'!$I$3:$I$1723,0)),"")</f>
        <v/>
      </c>
      <c r="I344" s="4">
        <f>IF(E344="","",HYPERLINK(IFERROR(INDEX('Base de sorteio'!$J$3:$J$1723,MATCH($B344&amp;"|"&amp;$C344,'Base de sorteio'!$I$3:$I$1723,0)),""),"abrir"))</f>
        <v/>
      </c>
      <c r="J344" s="4" t="n"/>
      <c r="K344" s="4" t="n"/>
      <c r="L344" s="4" t="n"/>
      <c r="M344" s="4" t="n"/>
      <c r="N344" s="4">
        <f>IF(AND(K344="",M344=""),"",IF(OR(K344="sim",M344="sim"),"sim",IF(OR(K344="inconclusivo",M344="inconclusivo"),"inconclusivo","não")))</f>
        <v/>
      </c>
      <c r="O344" s="5">
        <f>IF(N344="sim",COUNTIFS($B$3:$B344,$B344,$N$3:$N344,"sim"),"")</f>
        <v/>
      </c>
      <c r="P344" s="5" t="n"/>
      <c r="Q344" s="4" t="n"/>
      <c r="R344" s="5" t="n"/>
      <c r="S344" s="9" t="n"/>
      <c r="T344" s="4" t="n"/>
    </row>
    <row r="345">
      <c r="A345" s="5">
        <f>ROW()-2</f>
        <v/>
      </c>
      <c r="B345" s="4" t="inlineStr">
        <is>
          <t>Metrópole</t>
        </is>
      </c>
      <c r="C345" s="5" t="n">
        <v>343</v>
      </c>
      <c r="D345" s="5">
        <f>IFERROR(INDEX('Base de sorteio'!$A$3:$A$1723,MATCH($B345&amp;"|"&amp;$C345,'Base de sorteio'!$I$3:$I$1723,0)),"")</f>
        <v/>
      </c>
      <c r="E345" s="4">
        <f>IFERROR(INDEX('Base de sorteio'!$B$3:$B$1723,MATCH($B345&amp;"|"&amp;$C345,'Base de sorteio'!$I$3:$I$1723,0)),"")</f>
        <v/>
      </c>
      <c r="F345" s="4">
        <f>IFERROR(INDEX('Base de sorteio'!$C$3:$C$1723,MATCH($B345&amp;"|"&amp;$C345,'Base de sorteio'!$I$3:$I$1723,0)),"")</f>
        <v/>
      </c>
      <c r="G345" s="4">
        <f>IFERROR(INDEX('Base de sorteio'!$D$3:$D$1723,MATCH($B345&amp;"|"&amp;$C345,'Base de sorteio'!$I$3:$I$1723,0)),"")</f>
        <v/>
      </c>
      <c r="H345" s="4">
        <f>IFERROR(INDEX('Base de sorteio'!$E$3:$E$1723,MATCH($B345&amp;"|"&amp;$C345,'Base de sorteio'!$I$3:$I$1723,0)),"")</f>
        <v/>
      </c>
      <c r="I345" s="4">
        <f>IF(E345="","",HYPERLINK(IFERROR(INDEX('Base de sorteio'!$J$3:$J$1723,MATCH($B345&amp;"|"&amp;$C345,'Base de sorteio'!$I$3:$I$1723,0)),""),"abrir"))</f>
        <v/>
      </c>
      <c r="J345" s="4" t="n"/>
      <c r="K345" s="4" t="n"/>
      <c r="L345" s="4" t="n"/>
      <c r="M345" s="4" t="n"/>
      <c r="N345" s="4">
        <f>IF(AND(K345="",M345=""),"",IF(OR(K345="sim",M345="sim"),"sim",IF(OR(K345="inconclusivo",M345="inconclusivo"),"inconclusivo","não")))</f>
        <v/>
      </c>
      <c r="O345" s="5">
        <f>IF(N345="sim",COUNTIFS($B$3:$B345,$B345,$N$3:$N345,"sim"),"")</f>
        <v/>
      </c>
      <c r="P345" s="5" t="n"/>
      <c r="Q345" s="4" t="n"/>
      <c r="R345" s="5" t="n"/>
      <c r="S345" s="9" t="n"/>
      <c r="T345" s="4" t="n"/>
    </row>
    <row r="346">
      <c r="A346" s="5">
        <f>ROW()-2</f>
        <v/>
      </c>
      <c r="B346" s="4" t="inlineStr">
        <is>
          <t>Metrópole</t>
        </is>
      </c>
      <c r="C346" s="5" t="n">
        <v>344</v>
      </c>
      <c r="D346" s="5">
        <f>IFERROR(INDEX('Base de sorteio'!$A$3:$A$1723,MATCH($B346&amp;"|"&amp;$C346,'Base de sorteio'!$I$3:$I$1723,0)),"")</f>
        <v/>
      </c>
      <c r="E346" s="4">
        <f>IFERROR(INDEX('Base de sorteio'!$B$3:$B$1723,MATCH($B346&amp;"|"&amp;$C346,'Base de sorteio'!$I$3:$I$1723,0)),"")</f>
        <v/>
      </c>
      <c r="F346" s="4">
        <f>IFERROR(INDEX('Base de sorteio'!$C$3:$C$1723,MATCH($B346&amp;"|"&amp;$C346,'Base de sorteio'!$I$3:$I$1723,0)),"")</f>
        <v/>
      </c>
      <c r="G346" s="4">
        <f>IFERROR(INDEX('Base de sorteio'!$D$3:$D$1723,MATCH($B346&amp;"|"&amp;$C346,'Base de sorteio'!$I$3:$I$1723,0)),"")</f>
        <v/>
      </c>
      <c r="H346" s="4">
        <f>IFERROR(INDEX('Base de sorteio'!$E$3:$E$1723,MATCH($B346&amp;"|"&amp;$C346,'Base de sorteio'!$I$3:$I$1723,0)),"")</f>
        <v/>
      </c>
      <c r="I346" s="4">
        <f>IF(E346="","",HYPERLINK(IFERROR(INDEX('Base de sorteio'!$J$3:$J$1723,MATCH($B346&amp;"|"&amp;$C346,'Base de sorteio'!$I$3:$I$1723,0)),""),"abrir"))</f>
        <v/>
      </c>
      <c r="J346" s="4" t="n"/>
      <c r="K346" s="4" t="n"/>
      <c r="L346" s="4" t="n"/>
      <c r="M346" s="4" t="n"/>
      <c r="N346" s="4">
        <f>IF(AND(K346="",M346=""),"",IF(OR(K346="sim",M346="sim"),"sim",IF(OR(K346="inconclusivo",M346="inconclusivo"),"inconclusivo","não")))</f>
        <v/>
      </c>
      <c r="O346" s="5">
        <f>IF(N346="sim",COUNTIFS($B$3:$B346,$B346,$N$3:$N346,"sim"),"")</f>
        <v/>
      </c>
      <c r="P346" s="5" t="n"/>
      <c r="Q346" s="4" t="n"/>
      <c r="R346" s="5" t="n"/>
      <c r="S346" s="9" t="n"/>
      <c r="T346" s="4" t="n"/>
    </row>
    <row r="347">
      <c r="A347" s="5">
        <f>ROW()-2</f>
        <v/>
      </c>
      <c r="B347" s="4" t="inlineStr">
        <is>
          <t>Metrópole</t>
        </is>
      </c>
      <c r="C347" s="5" t="n">
        <v>345</v>
      </c>
      <c r="D347" s="5">
        <f>IFERROR(INDEX('Base de sorteio'!$A$3:$A$1723,MATCH($B347&amp;"|"&amp;$C347,'Base de sorteio'!$I$3:$I$1723,0)),"")</f>
        <v/>
      </c>
      <c r="E347" s="4">
        <f>IFERROR(INDEX('Base de sorteio'!$B$3:$B$1723,MATCH($B347&amp;"|"&amp;$C347,'Base de sorteio'!$I$3:$I$1723,0)),"")</f>
        <v/>
      </c>
      <c r="F347" s="4">
        <f>IFERROR(INDEX('Base de sorteio'!$C$3:$C$1723,MATCH($B347&amp;"|"&amp;$C347,'Base de sorteio'!$I$3:$I$1723,0)),"")</f>
        <v/>
      </c>
      <c r="G347" s="4">
        <f>IFERROR(INDEX('Base de sorteio'!$D$3:$D$1723,MATCH($B347&amp;"|"&amp;$C347,'Base de sorteio'!$I$3:$I$1723,0)),"")</f>
        <v/>
      </c>
      <c r="H347" s="4">
        <f>IFERROR(INDEX('Base de sorteio'!$E$3:$E$1723,MATCH($B347&amp;"|"&amp;$C347,'Base de sorteio'!$I$3:$I$1723,0)),"")</f>
        <v/>
      </c>
      <c r="I347" s="4">
        <f>IF(E347="","",HYPERLINK(IFERROR(INDEX('Base de sorteio'!$J$3:$J$1723,MATCH($B347&amp;"|"&amp;$C347,'Base de sorteio'!$I$3:$I$1723,0)),""),"abrir"))</f>
        <v/>
      </c>
      <c r="J347" s="4" t="n"/>
      <c r="K347" s="4" t="n"/>
      <c r="L347" s="4" t="n"/>
      <c r="M347" s="4" t="n"/>
      <c r="N347" s="4">
        <f>IF(AND(K347="",M347=""),"",IF(OR(K347="sim",M347="sim"),"sim",IF(OR(K347="inconclusivo",M347="inconclusivo"),"inconclusivo","não")))</f>
        <v/>
      </c>
      <c r="O347" s="5">
        <f>IF(N347="sim",COUNTIFS($B$3:$B347,$B347,$N$3:$N347,"sim"),"")</f>
        <v/>
      </c>
      <c r="P347" s="5" t="n"/>
      <c r="Q347" s="4" t="n"/>
      <c r="R347" s="5" t="n"/>
      <c r="S347" s="9" t="n"/>
      <c r="T347" s="4" t="n"/>
    </row>
    <row r="348">
      <c r="A348" s="5">
        <f>ROW()-2</f>
        <v/>
      </c>
      <c r="B348" s="4" t="inlineStr">
        <is>
          <t>Metrópole</t>
        </is>
      </c>
      <c r="C348" s="5" t="n">
        <v>346</v>
      </c>
      <c r="D348" s="5">
        <f>IFERROR(INDEX('Base de sorteio'!$A$3:$A$1723,MATCH($B348&amp;"|"&amp;$C348,'Base de sorteio'!$I$3:$I$1723,0)),"")</f>
        <v/>
      </c>
      <c r="E348" s="4">
        <f>IFERROR(INDEX('Base de sorteio'!$B$3:$B$1723,MATCH($B348&amp;"|"&amp;$C348,'Base de sorteio'!$I$3:$I$1723,0)),"")</f>
        <v/>
      </c>
      <c r="F348" s="4">
        <f>IFERROR(INDEX('Base de sorteio'!$C$3:$C$1723,MATCH($B348&amp;"|"&amp;$C348,'Base de sorteio'!$I$3:$I$1723,0)),"")</f>
        <v/>
      </c>
      <c r="G348" s="4">
        <f>IFERROR(INDEX('Base de sorteio'!$D$3:$D$1723,MATCH($B348&amp;"|"&amp;$C348,'Base de sorteio'!$I$3:$I$1723,0)),"")</f>
        <v/>
      </c>
      <c r="H348" s="4">
        <f>IFERROR(INDEX('Base de sorteio'!$E$3:$E$1723,MATCH($B348&amp;"|"&amp;$C348,'Base de sorteio'!$I$3:$I$1723,0)),"")</f>
        <v/>
      </c>
      <c r="I348" s="4">
        <f>IF(E348="","",HYPERLINK(IFERROR(INDEX('Base de sorteio'!$J$3:$J$1723,MATCH($B348&amp;"|"&amp;$C348,'Base de sorteio'!$I$3:$I$1723,0)),""),"abrir"))</f>
        <v/>
      </c>
      <c r="J348" s="4" t="n"/>
      <c r="K348" s="4" t="n"/>
      <c r="L348" s="4" t="n"/>
      <c r="M348" s="4" t="n"/>
      <c r="N348" s="4">
        <f>IF(AND(K348="",M348=""),"",IF(OR(K348="sim",M348="sim"),"sim",IF(OR(K348="inconclusivo",M348="inconclusivo"),"inconclusivo","não")))</f>
        <v/>
      </c>
      <c r="O348" s="5">
        <f>IF(N348="sim",COUNTIFS($B$3:$B348,$B348,$N$3:$N348,"sim"),"")</f>
        <v/>
      </c>
      <c r="P348" s="5" t="n"/>
      <c r="Q348" s="4" t="n"/>
      <c r="R348" s="5" t="n"/>
      <c r="S348" s="9" t="n"/>
      <c r="T348" s="4" t="n"/>
    </row>
    <row r="349">
      <c r="A349" s="5">
        <f>ROW()-2</f>
        <v/>
      </c>
      <c r="B349" s="4" t="inlineStr">
        <is>
          <t>Metrópole</t>
        </is>
      </c>
      <c r="C349" s="5" t="n">
        <v>347</v>
      </c>
      <c r="D349" s="5">
        <f>IFERROR(INDEX('Base de sorteio'!$A$3:$A$1723,MATCH($B349&amp;"|"&amp;$C349,'Base de sorteio'!$I$3:$I$1723,0)),"")</f>
        <v/>
      </c>
      <c r="E349" s="4">
        <f>IFERROR(INDEX('Base de sorteio'!$B$3:$B$1723,MATCH($B349&amp;"|"&amp;$C349,'Base de sorteio'!$I$3:$I$1723,0)),"")</f>
        <v/>
      </c>
      <c r="F349" s="4">
        <f>IFERROR(INDEX('Base de sorteio'!$C$3:$C$1723,MATCH($B349&amp;"|"&amp;$C349,'Base de sorteio'!$I$3:$I$1723,0)),"")</f>
        <v/>
      </c>
      <c r="G349" s="4">
        <f>IFERROR(INDEX('Base de sorteio'!$D$3:$D$1723,MATCH($B349&amp;"|"&amp;$C349,'Base de sorteio'!$I$3:$I$1723,0)),"")</f>
        <v/>
      </c>
      <c r="H349" s="4">
        <f>IFERROR(INDEX('Base de sorteio'!$E$3:$E$1723,MATCH($B349&amp;"|"&amp;$C349,'Base de sorteio'!$I$3:$I$1723,0)),"")</f>
        <v/>
      </c>
      <c r="I349" s="4">
        <f>IF(E349="","",HYPERLINK(IFERROR(INDEX('Base de sorteio'!$J$3:$J$1723,MATCH($B349&amp;"|"&amp;$C349,'Base de sorteio'!$I$3:$I$1723,0)),""),"abrir"))</f>
        <v/>
      </c>
      <c r="J349" s="4" t="n"/>
      <c r="K349" s="4" t="n"/>
      <c r="L349" s="4" t="n"/>
      <c r="M349" s="4" t="n"/>
      <c r="N349" s="4">
        <f>IF(AND(K349="",M349=""),"",IF(OR(K349="sim",M349="sim"),"sim",IF(OR(K349="inconclusivo",M349="inconclusivo"),"inconclusivo","não")))</f>
        <v/>
      </c>
      <c r="O349" s="5">
        <f>IF(N349="sim",COUNTIFS($B$3:$B349,$B349,$N$3:$N349,"sim"),"")</f>
        <v/>
      </c>
      <c r="P349" s="5" t="n"/>
      <c r="Q349" s="4" t="n"/>
      <c r="R349" s="5" t="n"/>
      <c r="S349" s="9" t="n"/>
      <c r="T349" s="4" t="n"/>
    </row>
    <row r="350">
      <c r="A350" s="5">
        <f>ROW()-2</f>
        <v/>
      </c>
      <c r="B350" s="4" t="inlineStr">
        <is>
          <t>Metrópole</t>
        </is>
      </c>
      <c r="C350" s="5" t="n">
        <v>348</v>
      </c>
      <c r="D350" s="5">
        <f>IFERROR(INDEX('Base de sorteio'!$A$3:$A$1723,MATCH($B350&amp;"|"&amp;$C350,'Base de sorteio'!$I$3:$I$1723,0)),"")</f>
        <v/>
      </c>
      <c r="E350" s="4">
        <f>IFERROR(INDEX('Base de sorteio'!$B$3:$B$1723,MATCH($B350&amp;"|"&amp;$C350,'Base de sorteio'!$I$3:$I$1723,0)),"")</f>
        <v/>
      </c>
      <c r="F350" s="4">
        <f>IFERROR(INDEX('Base de sorteio'!$C$3:$C$1723,MATCH($B350&amp;"|"&amp;$C350,'Base de sorteio'!$I$3:$I$1723,0)),"")</f>
        <v/>
      </c>
      <c r="G350" s="4">
        <f>IFERROR(INDEX('Base de sorteio'!$D$3:$D$1723,MATCH($B350&amp;"|"&amp;$C350,'Base de sorteio'!$I$3:$I$1723,0)),"")</f>
        <v/>
      </c>
      <c r="H350" s="4">
        <f>IFERROR(INDEX('Base de sorteio'!$E$3:$E$1723,MATCH($B350&amp;"|"&amp;$C350,'Base de sorteio'!$I$3:$I$1723,0)),"")</f>
        <v/>
      </c>
      <c r="I350" s="4">
        <f>IF(E350="","",HYPERLINK(IFERROR(INDEX('Base de sorteio'!$J$3:$J$1723,MATCH($B350&amp;"|"&amp;$C350,'Base de sorteio'!$I$3:$I$1723,0)),""),"abrir"))</f>
        <v/>
      </c>
      <c r="J350" s="4" t="n"/>
      <c r="K350" s="4" t="n"/>
      <c r="L350" s="4" t="n"/>
      <c r="M350" s="4" t="n"/>
      <c r="N350" s="4">
        <f>IF(AND(K350="",M350=""),"",IF(OR(K350="sim",M350="sim"),"sim",IF(OR(K350="inconclusivo",M350="inconclusivo"),"inconclusivo","não")))</f>
        <v/>
      </c>
      <c r="O350" s="5">
        <f>IF(N350="sim",COUNTIFS($B$3:$B350,$B350,$N$3:$N350,"sim"),"")</f>
        <v/>
      </c>
      <c r="P350" s="5" t="n"/>
      <c r="Q350" s="4" t="n"/>
      <c r="R350" s="5" t="n"/>
      <c r="S350" s="9" t="n"/>
      <c r="T350" s="4" t="n"/>
    </row>
    <row r="351">
      <c r="A351" s="5">
        <f>ROW()-2</f>
        <v/>
      </c>
      <c r="B351" s="4" t="inlineStr">
        <is>
          <t>Metrópole</t>
        </is>
      </c>
      <c r="C351" s="5" t="n">
        <v>349</v>
      </c>
      <c r="D351" s="5">
        <f>IFERROR(INDEX('Base de sorteio'!$A$3:$A$1723,MATCH($B351&amp;"|"&amp;$C351,'Base de sorteio'!$I$3:$I$1723,0)),"")</f>
        <v/>
      </c>
      <c r="E351" s="4">
        <f>IFERROR(INDEX('Base de sorteio'!$B$3:$B$1723,MATCH($B351&amp;"|"&amp;$C351,'Base de sorteio'!$I$3:$I$1723,0)),"")</f>
        <v/>
      </c>
      <c r="F351" s="4">
        <f>IFERROR(INDEX('Base de sorteio'!$C$3:$C$1723,MATCH($B351&amp;"|"&amp;$C351,'Base de sorteio'!$I$3:$I$1723,0)),"")</f>
        <v/>
      </c>
      <c r="G351" s="4">
        <f>IFERROR(INDEX('Base de sorteio'!$D$3:$D$1723,MATCH($B351&amp;"|"&amp;$C351,'Base de sorteio'!$I$3:$I$1723,0)),"")</f>
        <v/>
      </c>
      <c r="H351" s="4">
        <f>IFERROR(INDEX('Base de sorteio'!$E$3:$E$1723,MATCH($B351&amp;"|"&amp;$C351,'Base de sorteio'!$I$3:$I$1723,0)),"")</f>
        <v/>
      </c>
      <c r="I351" s="4">
        <f>IF(E351="","",HYPERLINK(IFERROR(INDEX('Base de sorteio'!$J$3:$J$1723,MATCH($B351&amp;"|"&amp;$C351,'Base de sorteio'!$I$3:$I$1723,0)),""),"abrir"))</f>
        <v/>
      </c>
      <c r="J351" s="4" t="n"/>
      <c r="K351" s="4" t="n"/>
      <c r="L351" s="4" t="n"/>
      <c r="M351" s="4" t="n"/>
      <c r="N351" s="4">
        <f>IF(AND(K351="",M351=""),"",IF(OR(K351="sim",M351="sim"),"sim",IF(OR(K351="inconclusivo",M351="inconclusivo"),"inconclusivo","não")))</f>
        <v/>
      </c>
      <c r="O351" s="5">
        <f>IF(N351="sim",COUNTIFS($B$3:$B351,$B351,$N$3:$N351,"sim"),"")</f>
        <v/>
      </c>
      <c r="P351" s="5" t="n"/>
      <c r="Q351" s="4" t="n"/>
      <c r="R351" s="5" t="n"/>
      <c r="S351" s="9" t="n"/>
      <c r="T351" s="4" t="n"/>
    </row>
    <row r="352">
      <c r="A352" s="5">
        <f>ROW()-2</f>
        <v/>
      </c>
      <c r="B352" s="4" t="inlineStr">
        <is>
          <t>Metrópole</t>
        </is>
      </c>
      <c r="C352" s="5" t="n">
        <v>350</v>
      </c>
      <c r="D352" s="5">
        <f>IFERROR(INDEX('Base de sorteio'!$A$3:$A$1723,MATCH($B352&amp;"|"&amp;$C352,'Base de sorteio'!$I$3:$I$1723,0)),"")</f>
        <v/>
      </c>
      <c r="E352" s="4">
        <f>IFERROR(INDEX('Base de sorteio'!$B$3:$B$1723,MATCH($B352&amp;"|"&amp;$C352,'Base de sorteio'!$I$3:$I$1723,0)),"")</f>
        <v/>
      </c>
      <c r="F352" s="4">
        <f>IFERROR(INDEX('Base de sorteio'!$C$3:$C$1723,MATCH($B352&amp;"|"&amp;$C352,'Base de sorteio'!$I$3:$I$1723,0)),"")</f>
        <v/>
      </c>
      <c r="G352" s="4">
        <f>IFERROR(INDEX('Base de sorteio'!$D$3:$D$1723,MATCH($B352&amp;"|"&amp;$C352,'Base de sorteio'!$I$3:$I$1723,0)),"")</f>
        <v/>
      </c>
      <c r="H352" s="4">
        <f>IFERROR(INDEX('Base de sorteio'!$E$3:$E$1723,MATCH($B352&amp;"|"&amp;$C352,'Base de sorteio'!$I$3:$I$1723,0)),"")</f>
        <v/>
      </c>
      <c r="I352" s="4">
        <f>IF(E352="","",HYPERLINK(IFERROR(INDEX('Base de sorteio'!$J$3:$J$1723,MATCH($B352&amp;"|"&amp;$C352,'Base de sorteio'!$I$3:$I$1723,0)),""),"abrir"))</f>
        <v/>
      </c>
      <c r="J352" s="4" t="n"/>
      <c r="K352" s="4" t="n"/>
      <c r="L352" s="4" t="n"/>
      <c r="M352" s="4" t="n"/>
      <c r="N352" s="4">
        <f>IF(AND(K352="",M352=""),"",IF(OR(K352="sim",M352="sim"),"sim",IF(OR(K352="inconclusivo",M352="inconclusivo"),"inconclusivo","não")))</f>
        <v/>
      </c>
      <c r="O352" s="5">
        <f>IF(N352="sim",COUNTIFS($B$3:$B352,$B352,$N$3:$N352,"sim"),"")</f>
        <v/>
      </c>
      <c r="P352" s="5" t="n"/>
      <c r="Q352" s="4" t="n"/>
      <c r="R352" s="5" t="n"/>
      <c r="S352" s="9" t="n"/>
      <c r="T352" s="4" t="n"/>
    </row>
    <row r="353">
      <c r="A353" s="5">
        <f>ROW()-2</f>
        <v/>
      </c>
      <c r="B353" s="4" t="inlineStr">
        <is>
          <t>Metrópole</t>
        </is>
      </c>
      <c r="C353" s="5" t="n">
        <v>351</v>
      </c>
      <c r="D353" s="5">
        <f>IFERROR(INDEX('Base de sorteio'!$A$3:$A$1723,MATCH($B353&amp;"|"&amp;$C353,'Base de sorteio'!$I$3:$I$1723,0)),"")</f>
        <v/>
      </c>
      <c r="E353" s="4">
        <f>IFERROR(INDEX('Base de sorteio'!$B$3:$B$1723,MATCH($B353&amp;"|"&amp;$C353,'Base de sorteio'!$I$3:$I$1723,0)),"")</f>
        <v/>
      </c>
      <c r="F353" s="4">
        <f>IFERROR(INDEX('Base de sorteio'!$C$3:$C$1723,MATCH($B353&amp;"|"&amp;$C353,'Base de sorteio'!$I$3:$I$1723,0)),"")</f>
        <v/>
      </c>
      <c r="G353" s="4">
        <f>IFERROR(INDEX('Base de sorteio'!$D$3:$D$1723,MATCH($B353&amp;"|"&amp;$C353,'Base de sorteio'!$I$3:$I$1723,0)),"")</f>
        <v/>
      </c>
      <c r="H353" s="4">
        <f>IFERROR(INDEX('Base de sorteio'!$E$3:$E$1723,MATCH($B353&amp;"|"&amp;$C353,'Base de sorteio'!$I$3:$I$1723,0)),"")</f>
        <v/>
      </c>
      <c r="I353" s="4">
        <f>IF(E353="","",HYPERLINK(IFERROR(INDEX('Base de sorteio'!$J$3:$J$1723,MATCH($B353&amp;"|"&amp;$C353,'Base de sorteio'!$I$3:$I$1723,0)),""),"abrir"))</f>
        <v/>
      </c>
      <c r="J353" s="4" t="n"/>
      <c r="K353" s="4" t="n"/>
      <c r="L353" s="4" t="n"/>
      <c r="M353" s="4" t="n"/>
      <c r="N353" s="4">
        <f>IF(AND(K353="",M353=""),"",IF(OR(K353="sim",M353="sim"),"sim",IF(OR(K353="inconclusivo",M353="inconclusivo"),"inconclusivo","não")))</f>
        <v/>
      </c>
      <c r="O353" s="5">
        <f>IF(N353="sim",COUNTIFS($B$3:$B353,$B353,$N$3:$N353,"sim"),"")</f>
        <v/>
      </c>
      <c r="P353" s="5" t="n"/>
      <c r="Q353" s="4" t="n"/>
      <c r="R353" s="5" t="n"/>
      <c r="S353" s="9" t="n"/>
      <c r="T353" s="4" t="n"/>
    </row>
    <row r="354">
      <c r="A354" s="5">
        <f>ROW()-2</f>
        <v/>
      </c>
      <c r="B354" s="4" t="inlineStr">
        <is>
          <t>Metrópole</t>
        </is>
      </c>
      <c r="C354" s="5" t="n">
        <v>352</v>
      </c>
      <c r="D354" s="5">
        <f>IFERROR(INDEX('Base de sorteio'!$A$3:$A$1723,MATCH($B354&amp;"|"&amp;$C354,'Base de sorteio'!$I$3:$I$1723,0)),"")</f>
        <v/>
      </c>
      <c r="E354" s="4">
        <f>IFERROR(INDEX('Base de sorteio'!$B$3:$B$1723,MATCH($B354&amp;"|"&amp;$C354,'Base de sorteio'!$I$3:$I$1723,0)),"")</f>
        <v/>
      </c>
      <c r="F354" s="4">
        <f>IFERROR(INDEX('Base de sorteio'!$C$3:$C$1723,MATCH($B354&amp;"|"&amp;$C354,'Base de sorteio'!$I$3:$I$1723,0)),"")</f>
        <v/>
      </c>
      <c r="G354" s="4">
        <f>IFERROR(INDEX('Base de sorteio'!$D$3:$D$1723,MATCH($B354&amp;"|"&amp;$C354,'Base de sorteio'!$I$3:$I$1723,0)),"")</f>
        <v/>
      </c>
      <c r="H354" s="4">
        <f>IFERROR(INDEX('Base de sorteio'!$E$3:$E$1723,MATCH($B354&amp;"|"&amp;$C354,'Base de sorteio'!$I$3:$I$1723,0)),"")</f>
        <v/>
      </c>
      <c r="I354" s="4">
        <f>IF(E354="","",HYPERLINK(IFERROR(INDEX('Base de sorteio'!$J$3:$J$1723,MATCH($B354&amp;"|"&amp;$C354,'Base de sorteio'!$I$3:$I$1723,0)),""),"abrir"))</f>
        <v/>
      </c>
      <c r="J354" s="4" t="n"/>
      <c r="K354" s="4" t="n"/>
      <c r="L354" s="4" t="n"/>
      <c r="M354" s="4" t="n"/>
      <c r="N354" s="4">
        <f>IF(AND(K354="",M354=""),"",IF(OR(K354="sim",M354="sim"),"sim",IF(OR(K354="inconclusivo",M354="inconclusivo"),"inconclusivo","não")))</f>
        <v/>
      </c>
      <c r="O354" s="5">
        <f>IF(N354="sim",COUNTIFS($B$3:$B354,$B354,$N$3:$N354,"sim"),"")</f>
        <v/>
      </c>
      <c r="P354" s="5" t="n"/>
      <c r="Q354" s="4" t="n"/>
      <c r="R354" s="5" t="n"/>
      <c r="S354" s="9" t="n"/>
      <c r="T354" s="4" t="n"/>
    </row>
    <row r="355">
      <c r="A355" s="5">
        <f>ROW()-2</f>
        <v/>
      </c>
      <c r="B355" s="4" t="inlineStr">
        <is>
          <t>Metrópole</t>
        </is>
      </c>
      <c r="C355" s="5" t="n">
        <v>353</v>
      </c>
      <c r="D355" s="5">
        <f>IFERROR(INDEX('Base de sorteio'!$A$3:$A$1723,MATCH($B355&amp;"|"&amp;$C355,'Base de sorteio'!$I$3:$I$1723,0)),"")</f>
        <v/>
      </c>
      <c r="E355" s="4">
        <f>IFERROR(INDEX('Base de sorteio'!$B$3:$B$1723,MATCH($B355&amp;"|"&amp;$C355,'Base de sorteio'!$I$3:$I$1723,0)),"")</f>
        <v/>
      </c>
      <c r="F355" s="4">
        <f>IFERROR(INDEX('Base de sorteio'!$C$3:$C$1723,MATCH($B355&amp;"|"&amp;$C355,'Base de sorteio'!$I$3:$I$1723,0)),"")</f>
        <v/>
      </c>
      <c r="G355" s="4">
        <f>IFERROR(INDEX('Base de sorteio'!$D$3:$D$1723,MATCH($B355&amp;"|"&amp;$C355,'Base de sorteio'!$I$3:$I$1723,0)),"")</f>
        <v/>
      </c>
      <c r="H355" s="4">
        <f>IFERROR(INDEX('Base de sorteio'!$E$3:$E$1723,MATCH($B355&amp;"|"&amp;$C355,'Base de sorteio'!$I$3:$I$1723,0)),"")</f>
        <v/>
      </c>
      <c r="I355" s="4">
        <f>IF(E355="","",HYPERLINK(IFERROR(INDEX('Base de sorteio'!$J$3:$J$1723,MATCH($B355&amp;"|"&amp;$C355,'Base de sorteio'!$I$3:$I$1723,0)),""),"abrir"))</f>
        <v/>
      </c>
      <c r="J355" s="4" t="n"/>
      <c r="K355" s="4" t="n"/>
      <c r="L355" s="4" t="n"/>
      <c r="M355" s="4" t="n"/>
      <c r="N355" s="4">
        <f>IF(AND(K355="",M355=""),"",IF(OR(K355="sim",M355="sim"),"sim",IF(OR(K355="inconclusivo",M355="inconclusivo"),"inconclusivo","não")))</f>
        <v/>
      </c>
      <c r="O355" s="5">
        <f>IF(N355="sim",COUNTIFS($B$3:$B355,$B355,$N$3:$N355,"sim"),"")</f>
        <v/>
      </c>
      <c r="P355" s="5" t="n"/>
      <c r="Q355" s="4" t="n"/>
      <c r="R355" s="5" t="n"/>
      <c r="S355" s="9" t="n"/>
      <c r="T355" s="4" t="n"/>
    </row>
    <row r="356">
      <c r="A356" s="5">
        <f>ROW()-2</f>
        <v/>
      </c>
      <c r="B356" s="4" t="inlineStr">
        <is>
          <t>Metrópole</t>
        </is>
      </c>
      <c r="C356" s="5" t="n">
        <v>354</v>
      </c>
      <c r="D356" s="5">
        <f>IFERROR(INDEX('Base de sorteio'!$A$3:$A$1723,MATCH($B356&amp;"|"&amp;$C356,'Base de sorteio'!$I$3:$I$1723,0)),"")</f>
        <v/>
      </c>
      <c r="E356" s="4">
        <f>IFERROR(INDEX('Base de sorteio'!$B$3:$B$1723,MATCH($B356&amp;"|"&amp;$C356,'Base de sorteio'!$I$3:$I$1723,0)),"")</f>
        <v/>
      </c>
      <c r="F356" s="4">
        <f>IFERROR(INDEX('Base de sorteio'!$C$3:$C$1723,MATCH($B356&amp;"|"&amp;$C356,'Base de sorteio'!$I$3:$I$1723,0)),"")</f>
        <v/>
      </c>
      <c r="G356" s="4">
        <f>IFERROR(INDEX('Base de sorteio'!$D$3:$D$1723,MATCH($B356&amp;"|"&amp;$C356,'Base de sorteio'!$I$3:$I$1723,0)),"")</f>
        <v/>
      </c>
      <c r="H356" s="4">
        <f>IFERROR(INDEX('Base de sorteio'!$E$3:$E$1723,MATCH($B356&amp;"|"&amp;$C356,'Base de sorteio'!$I$3:$I$1723,0)),"")</f>
        <v/>
      </c>
      <c r="I356" s="4">
        <f>IF(E356="","",HYPERLINK(IFERROR(INDEX('Base de sorteio'!$J$3:$J$1723,MATCH($B356&amp;"|"&amp;$C356,'Base de sorteio'!$I$3:$I$1723,0)),""),"abrir"))</f>
        <v/>
      </c>
      <c r="J356" s="4" t="n"/>
      <c r="K356" s="4" t="n"/>
      <c r="L356" s="4" t="n"/>
      <c r="M356" s="4" t="n"/>
      <c r="N356" s="4">
        <f>IF(AND(K356="",M356=""),"",IF(OR(K356="sim",M356="sim"),"sim",IF(OR(K356="inconclusivo",M356="inconclusivo"),"inconclusivo","não")))</f>
        <v/>
      </c>
      <c r="O356" s="5">
        <f>IF(N356="sim",COUNTIFS($B$3:$B356,$B356,$N$3:$N356,"sim"),"")</f>
        <v/>
      </c>
      <c r="P356" s="5" t="n"/>
      <c r="Q356" s="4" t="n"/>
      <c r="R356" s="5" t="n"/>
      <c r="S356" s="9" t="n"/>
      <c r="T356" s="4" t="n"/>
    </row>
    <row r="357">
      <c r="A357" s="5">
        <f>ROW()-2</f>
        <v/>
      </c>
      <c r="B357" s="4" t="inlineStr">
        <is>
          <t>Metrópole</t>
        </is>
      </c>
      <c r="C357" s="5" t="n">
        <v>355</v>
      </c>
      <c r="D357" s="5">
        <f>IFERROR(INDEX('Base de sorteio'!$A$3:$A$1723,MATCH($B357&amp;"|"&amp;$C357,'Base de sorteio'!$I$3:$I$1723,0)),"")</f>
        <v/>
      </c>
      <c r="E357" s="4">
        <f>IFERROR(INDEX('Base de sorteio'!$B$3:$B$1723,MATCH($B357&amp;"|"&amp;$C357,'Base de sorteio'!$I$3:$I$1723,0)),"")</f>
        <v/>
      </c>
      <c r="F357" s="4">
        <f>IFERROR(INDEX('Base de sorteio'!$C$3:$C$1723,MATCH($B357&amp;"|"&amp;$C357,'Base de sorteio'!$I$3:$I$1723,0)),"")</f>
        <v/>
      </c>
      <c r="G357" s="4">
        <f>IFERROR(INDEX('Base de sorteio'!$D$3:$D$1723,MATCH($B357&amp;"|"&amp;$C357,'Base de sorteio'!$I$3:$I$1723,0)),"")</f>
        <v/>
      </c>
      <c r="H357" s="4">
        <f>IFERROR(INDEX('Base de sorteio'!$E$3:$E$1723,MATCH($B357&amp;"|"&amp;$C357,'Base de sorteio'!$I$3:$I$1723,0)),"")</f>
        <v/>
      </c>
      <c r="I357" s="4">
        <f>IF(E357="","",HYPERLINK(IFERROR(INDEX('Base de sorteio'!$J$3:$J$1723,MATCH($B357&amp;"|"&amp;$C357,'Base de sorteio'!$I$3:$I$1723,0)),""),"abrir"))</f>
        <v/>
      </c>
      <c r="J357" s="4" t="n"/>
      <c r="K357" s="4" t="n"/>
      <c r="L357" s="4" t="n"/>
      <c r="M357" s="4" t="n"/>
      <c r="N357" s="4">
        <f>IF(AND(K357="",M357=""),"",IF(OR(K357="sim",M357="sim"),"sim",IF(OR(K357="inconclusivo",M357="inconclusivo"),"inconclusivo","não")))</f>
        <v/>
      </c>
      <c r="O357" s="5">
        <f>IF(N357="sim",COUNTIFS($B$3:$B357,$B357,$N$3:$N357,"sim"),"")</f>
        <v/>
      </c>
      <c r="P357" s="5" t="n"/>
      <c r="Q357" s="4" t="n"/>
      <c r="R357" s="5" t="n"/>
      <c r="S357" s="9" t="n"/>
      <c r="T357" s="4" t="n"/>
    </row>
    <row r="358">
      <c r="A358" s="5">
        <f>ROW()-2</f>
        <v/>
      </c>
      <c r="B358" s="4" t="inlineStr">
        <is>
          <t>Metrópole</t>
        </is>
      </c>
      <c r="C358" s="5" t="n">
        <v>356</v>
      </c>
      <c r="D358" s="5">
        <f>IFERROR(INDEX('Base de sorteio'!$A$3:$A$1723,MATCH($B358&amp;"|"&amp;$C358,'Base de sorteio'!$I$3:$I$1723,0)),"")</f>
        <v/>
      </c>
      <c r="E358" s="4">
        <f>IFERROR(INDEX('Base de sorteio'!$B$3:$B$1723,MATCH($B358&amp;"|"&amp;$C358,'Base de sorteio'!$I$3:$I$1723,0)),"")</f>
        <v/>
      </c>
      <c r="F358" s="4">
        <f>IFERROR(INDEX('Base de sorteio'!$C$3:$C$1723,MATCH($B358&amp;"|"&amp;$C358,'Base de sorteio'!$I$3:$I$1723,0)),"")</f>
        <v/>
      </c>
      <c r="G358" s="4">
        <f>IFERROR(INDEX('Base de sorteio'!$D$3:$D$1723,MATCH($B358&amp;"|"&amp;$C358,'Base de sorteio'!$I$3:$I$1723,0)),"")</f>
        <v/>
      </c>
      <c r="H358" s="4">
        <f>IFERROR(INDEX('Base de sorteio'!$E$3:$E$1723,MATCH($B358&amp;"|"&amp;$C358,'Base de sorteio'!$I$3:$I$1723,0)),"")</f>
        <v/>
      </c>
      <c r="I358" s="4">
        <f>IF(E358="","",HYPERLINK(IFERROR(INDEX('Base de sorteio'!$J$3:$J$1723,MATCH($B358&amp;"|"&amp;$C358,'Base de sorteio'!$I$3:$I$1723,0)),""),"abrir"))</f>
        <v/>
      </c>
      <c r="J358" s="4" t="n"/>
      <c r="K358" s="4" t="n"/>
      <c r="L358" s="4" t="n"/>
      <c r="M358" s="4" t="n"/>
      <c r="N358" s="4">
        <f>IF(AND(K358="",M358=""),"",IF(OR(K358="sim",M358="sim"),"sim",IF(OR(K358="inconclusivo",M358="inconclusivo"),"inconclusivo","não")))</f>
        <v/>
      </c>
      <c r="O358" s="5">
        <f>IF(N358="sim",COUNTIFS($B$3:$B358,$B358,$N$3:$N358,"sim"),"")</f>
        <v/>
      </c>
      <c r="P358" s="5" t="n"/>
      <c r="Q358" s="4" t="n"/>
      <c r="R358" s="5" t="n"/>
      <c r="S358" s="9" t="n"/>
      <c r="T358" s="4" t="n"/>
    </row>
    <row r="359">
      <c r="A359" s="5">
        <f>ROW()-2</f>
        <v/>
      </c>
      <c r="B359" s="4" t="inlineStr">
        <is>
          <t>Metrópole</t>
        </is>
      </c>
      <c r="C359" s="5" t="n">
        <v>357</v>
      </c>
      <c r="D359" s="5">
        <f>IFERROR(INDEX('Base de sorteio'!$A$3:$A$1723,MATCH($B359&amp;"|"&amp;$C359,'Base de sorteio'!$I$3:$I$1723,0)),"")</f>
        <v/>
      </c>
      <c r="E359" s="4">
        <f>IFERROR(INDEX('Base de sorteio'!$B$3:$B$1723,MATCH($B359&amp;"|"&amp;$C359,'Base de sorteio'!$I$3:$I$1723,0)),"")</f>
        <v/>
      </c>
      <c r="F359" s="4">
        <f>IFERROR(INDEX('Base de sorteio'!$C$3:$C$1723,MATCH($B359&amp;"|"&amp;$C359,'Base de sorteio'!$I$3:$I$1723,0)),"")</f>
        <v/>
      </c>
      <c r="G359" s="4">
        <f>IFERROR(INDEX('Base de sorteio'!$D$3:$D$1723,MATCH($B359&amp;"|"&amp;$C359,'Base de sorteio'!$I$3:$I$1723,0)),"")</f>
        <v/>
      </c>
      <c r="H359" s="4">
        <f>IFERROR(INDEX('Base de sorteio'!$E$3:$E$1723,MATCH($B359&amp;"|"&amp;$C359,'Base de sorteio'!$I$3:$I$1723,0)),"")</f>
        <v/>
      </c>
      <c r="I359" s="4">
        <f>IF(E359="","",HYPERLINK(IFERROR(INDEX('Base de sorteio'!$J$3:$J$1723,MATCH($B359&amp;"|"&amp;$C359,'Base de sorteio'!$I$3:$I$1723,0)),""),"abrir"))</f>
        <v/>
      </c>
      <c r="J359" s="4" t="n"/>
      <c r="K359" s="4" t="n"/>
      <c r="L359" s="4" t="n"/>
      <c r="M359" s="4" t="n"/>
      <c r="N359" s="4">
        <f>IF(AND(K359="",M359=""),"",IF(OR(K359="sim",M359="sim"),"sim",IF(OR(K359="inconclusivo",M359="inconclusivo"),"inconclusivo","não")))</f>
        <v/>
      </c>
      <c r="O359" s="5">
        <f>IF(N359="sim",COUNTIFS($B$3:$B359,$B359,$N$3:$N359,"sim"),"")</f>
        <v/>
      </c>
      <c r="P359" s="5" t="n"/>
      <c r="Q359" s="4" t="n"/>
      <c r="R359" s="5" t="n"/>
      <c r="S359" s="9" t="n"/>
      <c r="T359" s="4" t="n"/>
    </row>
    <row r="360">
      <c r="A360" s="5">
        <f>ROW()-2</f>
        <v/>
      </c>
      <c r="B360" s="4" t="inlineStr">
        <is>
          <t>Metrópole</t>
        </is>
      </c>
      <c r="C360" s="5" t="n">
        <v>358</v>
      </c>
      <c r="D360" s="5">
        <f>IFERROR(INDEX('Base de sorteio'!$A$3:$A$1723,MATCH($B360&amp;"|"&amp;$C360,'Base de sorteio'!$I$3:$I$1723,0)),"")</f>
        <v/>
      </c>
      <c r="E360" s="4">
        <f>IFERROR(INDEX('Base de sorteio'!$B$3:$B$1723,MATCH($B360&amp;"|"&amp;$C360,'Base de sorteio'!$I$3:$I$1723,0)),"")</f>
        <v/>
      </c>
      <c r="F360" s="4">
        <f>IFERROR(INDEX('Base de sorteio'!$C$3:$C$1723,MATCH($B360&amp;"|"&amp;$C360,'Base de sorteio'!$I$3:$I$1723,0)),"")</f>
        <v/>
      </c>
      <c r="G360" s="4">
        <f>IFERROR(INDEX('Base de sorteio'!$D$3:$D$1723,MATCH($B360&amp;"|"&amp;$C360,'Base de sorteio'!$I$3:$I$1723,0)),"")</f>
        <v/>
      </c>
      <c r="H360" s="4">
        <f>IFERROR(INDEX('Base de sorteio'!$E$3:$E$1723,MATCH($B360&amp;"|"&amp;$C360,'Base de sorteio'!$I$3:$I$1723,0)),"")</f>
        <v/>
      </c>
      <c r="I360" s="4">
        <f>IF(E360="","",HYPERLINK(IFERROR(INDEX('Base de sorteio'!$J$3:$J$1723,MATCH($B360&amp;"|"&amp;$C360,'Base de sorteio'!$I$3:$I$1723,0)),""),"abrir"))</f>
        <v/>
      </c>
      <c r="J360" s="4" t="n"/>
      <c r="K360" s="4" t="n"/>
      <c r="L360" s="4" t="n"/>
      <c r="M360" s="4" t="n"/>
      <c r="N360" s="4">
        <f>IF(AND(K360="",M360=""),"",IF(OR(K360="sim",M360="sim"),"sim",IF(OR(K360="inconclusivo",M360="inconclusivo"),"inconclusivo","não")))</f>
        <v/>
      </c>
      <c r="O360" s="5">
        <f>IF(N360="sim",COUNTIFS($B$3:$B360,$B360,$N$3:$N360,"sim"),"")</f>
        <v/>
      </c>
      <c r="P360" s="5" t="n"/>
      <c r="Q360" s="4" t="n"/>
      <c r="R360" s="5" t="n"/>
      <c r="S360" s="9" t="n"/>
      <c r="T360" s="4" t="n"/>
    </row>
    <row r="361">
      <c r="A361" s="5">
        <f>ROW()-2</f>
        <v/>
      </c>
      <c r="B361" s="4" t="inlineStr">
        <is>
          <t>Metrópole</t>
        </is>
      </c>
      <c r="C361" s="5" t="n">
        <v>359</v>
      </c>
      <c r="D361" s="5">
        <f>IFERROR(INDEX('Base de sorteio'!$A$3:$A$1723,MATCH($B361&amp;"|"&amp;$C361,'Base de sorteio'!$I$3:$I$1723,0)),"")</f>
        <v/>
      </c>
      <c r="E361" s="4">
        <f>IFERROR(INDEX('Base de sorteio'!$B$3:$B$1723,MATCH($B361&amp;"|"&amp;$C361,'Base de sorteio'!$I$3:$I$1723,0)),"")</f>
        <v/>
      </c>
      <c r="F361" s="4">
        <f>IFERROR(INDEX('Base de sorteio'!$C$3:$C$1723,MATCH($B361&amp;"|"&amp;$C361,'Base de sorteio'!$I$3:$I$1723,0)),"")</f>
        <v/>
      </c>
      <c r="G361" s="4">
        <f>IFERROR(INDEX('Base de sorteio'!$D$3:$D$1723,MATCH($B361&amp;"|"&amp;$C361,'Base de sorteio'!$I$3:$I$1723,0)),"")</f>
        <v/>
      </c>
      <c r="H361" s="4">
        <f>IFERROR(INDEX('Base de sorteio'!$E$3:$E$1723,MATCH($B361&amp;"|"&amp;$C361,'Base de sorteio'!$I$3:$I$1723,0)),"")</f>
        <v/>
      </c>
      <c r="I361" s="4">
        <f>IF(E361="","",HYPERLINK(IFERROR(INDEX('Base de sorteio'!$J$3:$J$1723,MATCH($B361&amp;"|"&amp;$C361,'Base de sorteio'!$I$3:$I$1723,0)),""),"abrir"))</f>
        <v/>
      </c>
      <c r="J361" s="4" t="n"/>
      <c r="K361" s="4" t="n"/>
      <c r="L361" s="4" t="n"/>
      <c r="M361" s="4" t="n"/>
      <c r="N361" s="4">
        <f>IF(AND(K361="",M361=""),"",IF(OR(K361="sim",M361="sim"),"sim",IF(OR(K361="inconclusivo",M361="inconclusivo"),"inconclusivo","não")))</f>
        <v/>
      </c>
      <c r="O361" s="5">
        <f>IF(N361="sim",COUNTIFS($B$3:$B361,$B361,$N$3:$N361,"sim"),"")</f>
        <v/>
      </c>
      <c r="P361" s="5" t="n"/>
      <c r="Q361" s="4" t="n"/>
      <c r="R361" s="5" t="n"/>
      <c r="S361" s="9" t="n"/>
      <c r="T361" s="4" t="n"/>
    </row>
    <row r="362">
      <c r="A362" s="5">
        <f>ROW()-2</f>
        <v/>
      </c>
      <c r="B362" s="4" t="inlineStr">
        <is>
          <t>Metrópole</t>
        </is>
      </c>
      <c r="C362" s="5" t="n">
        <v>360</v>
      </c>
      <c r="D362" s="5">
        <f>IFERROR(INDEX('Base de sorteio'!$A$3:$A$1723,MATCH($B362&amp;"|"&amp;$C362,'Base de sorteio'!$I$3:$I$1723,0)),"")</f>
        <v/>
      </c>
      <c r="E362" s="4">
        <f>IFERROR(INDEX('Base de sorteio'!$B$3:$B$1723,MATCH($B362&amp;"|"&amp;$C362,'Base de sorteio'!$I$3:$I$1723,0)),"")</f>
        <v/>
      </c>
      <c r="F362" s="4">
        <f>IFERROR(INDEX('Base de sorteio'!$C$3:$C$1723,MATCH($B362&amp;"|"&amp;$C362,'Base de sorteio'!$I$3:$I$1723,0)),"")</f>
        <v/>
      </c>
      <c r="G362" s="4">
        <f>IFERROR(INDEX('Base de sorteio'!$D$3:$D$1723,MATCH($B362&amp;"|"&amp;$C362,'Base de sorteio'!$I$3:$I$1723,0)),"")</f>
        <v/>
      </c>
      <c r="H362" s="4">
        <f>IFERROR(INDEX('Base de sorteio'!$E$3:$E$1723,MATCH($B362&amp;"|"&amp;$C362,'Base de sorteio'!$I$3:$I$1723,0)),"")</f>
        <v/>
      </c>
      <c r="I362" s="4">
        <f>IF(E362="","",HYPERLINK(IFERROR(INDEX('Base de sorteio'!$J$3:$J$1723,MATCH($B362&amp;"|"&amp;$C362,'Base de sorteio'!$I$3:$I$1723,0)),""),"abrir"))</f>
        <v/>
      </c>
      <c r="J362" s="4" t="n"/>
      <c r="K362" s="4" t="n"/>
      <c r="L362" s="4" t="n"/>
      <c r="M362" s="4" t="n"/>
      <c r="N362" s="4">
        <f>IF(AND(K362="",M362=""),"",IF(OR(K362="sim",M362="sim"),"sim",IF(OR(K362="inconclusivo",M362="inconclusivo"),"inconclusivo","não")))</f>
        <v/>
      </c>
      <c r="O362" s="5">
        <f>IF(N362="sim",COUNTIFS($B$3:$B362,$B362,$N$3:$N362,"sim"),"")</f>
        <v/>
      </c>
      <c r="P362" s="5" t="n"/>
      <c r="Q362" s="4" t="n"/>
      <c r="R362" s="5" t="n"/>
      <c r="S362" s="9" t="n"/>
      <c r="T362" s="4" t="n"/>
    </row>
    <row r="363">
      <c r="A363" s="5">
        <f>ROW()-2</f>
        <v/>
      </c>
      <c r="B363" s="4" t="inlineStr">
        <is>
          <t>Metrópole</t>
        </is>
      </c>
      <c r="C363" s="5" t="n">
        <v>361</v>
      </c>
      <c r="D363" s="5">
        <f>IFERROR(INDEX('Base de sorteio'!$A$3:$A$1723,MATCH($B363&amp;"|"&amp;$C363,'Base de sorteio'!$I$3:$I$1723,0)),"")</f>
        <v/>
      </c>
      <c r="E363" s="4">
        <f>IFERROR(INDEX('Base de sorteio'!$B$3:$B$1723,MATCH($B363&amp;"|"&amp;$C363,'Base de sorteio'!$I$3:$I$1723,0)),"")</f>
        <v/>
      </c>
      <c r="F363" s="4">
        <f>IFERROR(INDEX('Base de sorteio'!$C$3:$C$1723,MATCH($B363&amp;"|"&amp;$C363,'Base de sorteio'!$I$3:$I$1723,0)),"")</f>
        <v/>
      </c>
      <c r="G363" s="4">
        <f>IFERROR(INDEX('Base de sorteio'!$D$3:$D$1723,MATCH($B363&amp;"|"&amp;$C363,'Base de sorteio'!$I$3:$I$1723,0)),"")</f>
        <v/>
      </c>
      <c r="H363" s="4">
        <f>IFERROR(INDEX('Base de sorteio'!$E$3:$E$1723,MATCH($B363&amp;"|"&amp;$C363,'Base de sorteio'!$I$3:$I$1723,0)),"")</f>
        <v/>
      </c>
      <c r="I363" s="4">
        <f>IF(E363="","",HYPERLINK(IFERROR(INDEX('Base de sorteio'!$J$3:$J$1723,MATCH($B363&amp;"|"&amp;$C363,'Base de sorteio'!$I$3:$I$1723,0)),""),"abrir"))</f>
        <v/>
      </c>
      <c r="J363" s="4" t="n"/>
      <c r="K363" s="4" t="n"/>
      <c r="L363" s="4" t="n"/>
      <c r="M363" s="4" t="n"/>
      <c r="N363" s="4">
        <f>IF(AND(K363="",M363=""),"",IF(OR(K363="sim",M363="sim"),"sim",IF(OR(K363="inconclusivo",M363="inconclusivo"),"inconclusivo","não")))</f>
        <v/>
      </c>
      <c r="O363" s="5">
        <f>IF(N363="sim",COUNTIFS($B$3:$B363,$B363,$N$3:$N363,"sim"),"")</f>
        <v/>
      </c>
      <c r="P363" s="5" t="n"/>
      <c r="Q363" s="4" t="n"/>
      <c r="R363" s="5" t="n"/>
      <c r="S363" s="9" t="n"/>
      <c r="T363" s="4" t="n"/>
    </row>
    <row r="364">
      <c r="A364" s="5">
        <f>ROW()-2</f>
        <v/>
      </c>
      <c r="B364" s="4" t="inlineStr">
        <is>
          <t>Metrópole</t>
        </is>
      </c>
      <c r="C364" s="5" t="n">
        <v>362</v>
      </c>
      <c r="D364" s="5">
        <f>IFERROR(INDEX('Base de sorteio'!$A$3:$A$1723,MATCH($B364&amp;"|"&amp;$C364,'Base de sorteio'!$I$3:$I$1723,0)),"")</f>
        <v/>
      </c>
      <c r="E364" s="4">
        <f>IFERROR(INDEX('Base de sorteio'!$B$3:$B$1723,MATCH($B364&amp;"|"&amp;$C364,'Base de sorteio'!$I$3:$I$1723,0)),"")</f>
        <v/>
      </c>
      <c r="F364" s="4">
        <f>IFERROR(INDEX('Base de sorteio'!$C$3:$C$1723,MATCH($B364&amp;"|"&amp;$C364,'Base de sorteio'!$I$3:$I$1723,0)),"")</f>
        <v/>
      </c>
      <c r="G364" s="4">
        <f>IFERROR(INDEX('Base de sorteio'!$D$3:$D$1723,MATCH($B364&amp;"|"&amp;$C364,'Base de sorteio'!$I$3:$I$1723,0)),"")</f>
        <v/>
      </c>
      <c r="H364" s="4">
        <f>IFERROR(INDEX('Base de sorteio'!$E$3:$E$1723,MATCH($B364&amp;"|"&amp;$C364,'Base de sorteio'!$I$3:$I$1723,0)),"")</f>
        <v/>
      </c>
      <c r="I364" s="4">
        <f>IF(E364="","",HYPERLINK(IFERROR(INDEX('Base de sorteio'!$J$3:$J$1723,MATCH($B364&amp;"|"&amp;$C364,'Base de sorteio'!$I$3:$I$1723,0)),""),"abrir"))</f>
        <v/>
      </c>
      <c r="J364" s="4" t="n"/>
      <c r="K364" s="4" t="n"/>
      <c r="L364" s="4" t="n"/>
      <c r="M364" s="4" t="n"/>
      <c r="N364" s="4">
        <f>IF(AND(K364="",M364=""),"",IF(OR(K364="sim",M364="sim"),"sim",IF(OR(K364="inconclusivo",M364="inconclusivo"),"inconclusivo","não")))</f>
        <v/>
      </c>
      <c r="O364" s="5">
        <f>IF(N364="sim",COUNTIFS($B$3:$B364,$B364,$N$3:$N364,"sim"),"")</f>
        <v/>
      </c>
      <c r="P364" s="5" t="n"/>
      <c r="Q364" s="4" t="n"/>
      <c r="R364" s="5" t="n"/>
      <c r="S364" s="9" t="n"/>
      <c r="T364" s="4" t="n"/>
    </row>
    <row r="365">
      <c r="A365" s="5">
        <f>ROW()-2</f>
        <v/>
      </c>
      <c r="B365" s="4" t="inlineStr">
        <is>
          <t>Metrópole</t>
        </is>
      </c>
      <c r="C365" s="5" t="n">
        <v>363</v>
      </c>
      <c r="D365" s="5">
        <f>IFERROR(INDEX('Base de sorteio'!$A$3:$A$1723,MATCH($B365&amp;"|"&amp;$C365,'Base de sorteio'!$I$3:$I$1723,0)),"")</f>
        <v/>
      </c>
      <c r="E365" s="4">
        <f>IFERROR(INDEX('Base de sorteio'!$B$3:$B$1723,MATCH($B365&amp;"|"&amp;$C365,'Base de sorteio'!$I$3:$I$1723,0)),"")</f>
        <v/>
      </c>
      <c r="F365" s="4">
        <f>IFERROR(INDEX('Base de sorteio'!$C$3:$C$1723,MATCH($B365&amp;"|"&amp;$C365,'Base de sorteio'!$I$3:$I$1723,0)),"")</f>
        <v/>
      </c>
      <c r="G365" s="4">
        <f>IFERROR(INDEX('Base de sorteio'!$D$3:$D$1723,MATCH($B365&amp;"|"&amp;$C365,'Base de sorteio'!$I$3:$I$1723,0)),"")</f>
        <v/>
      </c>
      <c r="H365" s="4">
        <f>IFERROR(INDEX('Base de sorteio'!$E$3:$E$1723,MATCH($B365&amp;"|"&amp;$C365,'Base de sorteio'!$I$3:$I$1723,0)),"")</f>
        <v/>
      </c>
      <c r="I365" s="4">
        <f>IF(E365="","",HYPERLINK(IFERROR(INDEX('Base de sorteio'!$J$3:$J$1723,MATCH($B365&amp;"|"&amp;$C365,'Base de sorteio'!$I$3:$I$1723,0)),""),"abrir"))</f>
        <v/>
      </c>
      <c r="J365" s="4" t="n"/>
      <c r="K365" s="4" t="n"/>
      <c r="L365" s="4" t="n"/>
      <c r="M365" s="4" t="n"/>
      <c r="N365" s="4">
        <f>IF(AND(K365="",M365=""),"",IF(OR(K365="sim",M365="sim"),"sim",IF(OR(K365="inconclusivo",M365="inconclusivo"),"inconclusivo","não")))</f>
        <v/>
      </c>
      <c r="O365" s="5">
        <f>IF(N365="sim",COUNTIFS($B$3:$B365,$B365,$N$3:$N365,"sim"),"")</f>
        <v/>
      </c>
      <c r="P365" s="5" t="n"/>
      <c r="Q365" s="4" t="n"/>
      <c r="R365" s="5" t="n"/>
      <c r="S365" s="9" t="n"/>
      <c r="T365" s="4" t="n"/>
    </row>
    <row r="366">
      <c r="A366" s="5">
        <f>ROW()-2</f>
        <v/>
      </c>
      <c r="B366" s="4" t="inlineStr">
        <is>
          <t>Metrópole</t>
        </is>
      </c>
      <c r="C366" s="5" t="n">
        <v>364</v>
      </c>
      <c r="D366" s="5">
        <f>IFERROR(INDEX('Base de sorteio'!$A$3:$A$1723,MATCH($B366&amp;"|"&amp;$C366,'Base de sorteio'!$I$3:$I$1723,0)),"")</f>
        <v/>
      </c>
      <c r="E366" s="4">
        <f>IFERROR(INDEX('Base de sorteio'!$B$3:$B$1723,MATCH($B366&amp;"|"&amp;$C366,'Base de sorteio'!$I$3:$I$1723,0)),"")</f>
        <v/>
      </c>
      <c r="F366" s="4">
        <f>IFERROR(INDEX('Base de sorteio'!$C$3:$C$1723,MATCH($B366&amp;"|"&amp;$C366,'Base de sorteio'!$I$3:$I$1723,0)),"")</f>
        <v/>
      </c>
      <c r="G366" s="4">
        <f>IFERROR(INDEX('Base de sorteio'!$D$3:$D$1723,MATCH($B366&amp;"|"&amp;$C366,'Base de sorteio'!$I$3:$I$1723,0)),"")</f>
        <v/>
      </c>
      <c r="H366" s="4">
        <f>IFERROR(INDEX('Base de sorteio'!$E$3:$E$1723,MATCH($B366&amp;"|"&amp;$C366,'Base de sorteio'!$I$3:$I$1723,0)),"")</f>
        <v/>
      </c>
      <c r="I366" s="4">
        <f>IF(E366="","",HYPERLINK(IFERROR(INDEX('Base de sorteio'!$J$3:$J$1723,MATCH($B366&amp;"|"&amp;$C366,'Base de sorteio'!$I$3:$I$1723,0)),""),"abrir"))</f>
        <v/>
      </c>
      <c r="J366" s="4" t="n"/>
      <c r="K366" s="4" t="n"/>
      <c r="L366" s="4" t="n"/>
      <c r="M366" s="4" t="n"/>
      <c r="N366" s="4">
        <f>IF(AND(K366="",M366=""),"",IF(OR(K366="sim",M366="sim"),"sim",IF(OR(K366="inconclusivo",M366="inconclusivo"),"inconclusivo","não")))</f>
        <v/>
      </c>
      <c r="O366" s="5">
        <f>IF(N366="sim",COUNTIFS($B$3:$B366,$B366,$N$3:$N366,"sim"),"")</f>
        <v/>
      </c>
      <c r="P366" s="5" t="n"/>
      <c r="Q366" s="4" t="n"/>
      <c r="R366" s="5" t="n"/>
      <c r="S366" s="9" t="n"/>
      <c r="T366" s="4" t="n"/>
    </row>
    <row r="367">
      <c r="A367" s="5">
        <f>ROW()-2</f>
        <v/>
      </c>
      <c r="B367" s="4" t="inlineStr">
        <is>
          <t>Metrópole</t>
        </is>
      </c>
      <c r="C367" s="5" t="n">
        <v>365</v>
      </c>
      <c r="D367" s="5">
        <f>IFERROR(INDEX('Base de sorteio'!$A$3:$A$1723,MATCH($B367&amp;"|"&amp;$C367,'Base de sorteio'!$I$3:$I$1723,0)),"")</f>
        <v/>
      </c>
      <c r="E367" s="4">
        <f>IFERROR(INDEX('Base de sorteio'!$B$3:$B$1723,MATCH($B367&amp;"|"&amp;$C367,'Base de sorteio'!$I$3:$I$1723,0)),"")</f>
        <v/>
      </c>
      <c r="F367" s="4">
        <f>IFERROR(INDEX('Base de sorteio'!$C$3:$C$1723,MATCH($B367&amp;"|"&amp;$C367,'Base de sorteio'!$I$3:$I$1723,0)),"")</f>
        <v/>
      </c>
      <c r="G367" s="4">
        <f>IFERROR(INDEX('Base de sorteio'!$D$3:$D$1723,MATCH($B367&amp;"|"&amp;$C367,'Base de sorteio'!$I$3:$I$1723,0)),"")</f>
        <v/>
      </c>
      <c r="H367" s="4">
        <f>IFERROR(INDEX('Base de sorteio'!$E$3:$E$1723,MATCH($B367&amp;"|"&amp;$C367,'Base de sorteio'!$I$3:$I$1723,0)),"")</f>
        <v/>
      </c>
      <c r="I367" s="4">
        <f>IF(E367="","",HYPERLINK(IFERROR(INDEX('Base de sorteio'!$J$3:$J$1723,MATCH($B367&amp;"|"&amp;$C367,'Base de sorteio'!$I$3:$I$1723,0)),""),"abrir"))</f>
        <v/>
      </c>
      <c r="J367" s="4" t="n"/>
      <c r="K367" s="4" t="n"/>
      <c r="L367" s="4" t="n"/>
      <c r="M367" s="4" t="n"/>
      <c r="N367" s="4">
        <f>IF(AND(K367="",M367=""),"",IF(OR(K367="sim",M367="sim"),"sim",IF(OR(K367="inconclusivo",M367="inconclusivo"),"inconclusivo","não")))</f>
        <v/>
      </c>
      <c r="O367" s="5">
        <f>IF(N367="sim",COUNTIFS($B$3:$B367,$B367,$N$3:$N367,"sim"),"")</f>
        <v/>
      </c>
      <c r="P367" s="5" t="n"/>
      <c r="Q367" s="4" t="n"/>
      <c r="R367" s="5" t="n"/>
      <c r="S367" s="9" t="n"/>
      <c r="T367" s="4" t="n"/>
    </row>
    <row r="368">
      <c r="A368" s="5">
        <f>ROW()-2</f>
        <v/>
      </c>
      <c r="B368" s="4" t="inlineStr">
        <is>
          <t>Metrópole</t>
        </is>
      </c>
      <c r="C368" s="5" t="n">
        <v>366</v>
      </c>
      <c r="D368" s="5">
        <f>IFERROR(INDEX('Base de sorteio'!$A$3:$A$1723,MATCH($B368&amp;"|"&amp;$C368,'Base de sorteio'!$I$3:$I$1723,0)),"")</f>
        <v/>
      </c>
      <c r="E368" s="4">
        <f>IFERROR(INDEX('Base de sorteio'!$B$3:$B$1723,MATCH($B368&amp;"|"&amp;$C368,'Base de sorteio'!$I$3:$I$1723,0)),"")</f>
        <v/>
      </c>
      <c r="F368" s="4">
        <f>IFERROR(INDEX('Base de sorteio'!$C$3:$C$1723,MATCH($B368&amp;"|"&amp;$C368,'Base de sorteio'!$I$3:$I$1723,0)),"")</f>
        <v/>
      </c>
      <c r="G368" s="4">
        <f>IFERROR(INDEX('Base de sorteio'!$D$3:$D$1723,MATCH($B368&amp;"|"&amp;$C368,'Base de sorteio'!$I$3:$I$1723,0)),"")</f>
        <v/>
      </c>
      <c r="H368" s="4">
        <f>IFERROR(INDEX('Base de sorteio'!$E$3:$E$1723,MATCH($B368&amp;"|"&amp;$C368,'Base de sorteio'!$I$3:$I$1723,0)),"")</f>
        <v/>
      </c>
      <c r="I368" s="4">
        <f>IF(E368="","",HYPERLINK(IFERROR(INDEX('Base de sorteio'!$J$3:$J$1723,MATCH($B368&amp;"|"&amp;$C368,'Base de sorteio'!$I$3:$I$1723,0)),""),"abrir"))</f>
        <v/>
      </c>
      <c r="J368" s="4" t="n"/>
      <c r="K368" s="4" t="n"/>
      <c r="L368" s="4" t="n"/>
      <c r="M368" s="4" t="n"/>
      <c r="N368" s="4">
        <f>IF(AND(K368="",M368=""),"",IF(OR(K368="sim",M368="sim"),"sim",IF(OR(K368="inconclusivo",M368="inconclusivo"),"inconclusivo","não")))</f>
        <v/>
      </c>
      <c r="O368" s="5">
        <f>IF(N368="sim",COUNTIFS($B$3:$B368,$B368,$N$3:$N368,"sim"),"")</f>
        <v/>
      </c>
      <c r="P368" s="5" t="n"/>
      <c r="Q368" s="4" t="n"/>
      <c r="R368" s="5" t="n"/>
      <c r="S368" s="9" t="n"/>
      <c r="T368" s="4" t="n"/>
    </row>
    <row r="369">
      <c r="A369" s="5">
        <f>ROW()-2</f>
        <v/>
      </c>
      <c r="B369" s="4" t="inlineStr">
        <is>
          <t>Metrópole</t>
        </is>
      </c>
      <c r="C369" s="5" t="n">
        <v>367</v>
      </c>
      <c r="D369" s="5">
        <f>IFERROR(INDEX('Base de sorteio'!$A$3:$A$1723,MATCH($B369&amp;"|"&amp;$C369,'Base de sorteio'!$I$3:$I$1723,0)),"")</f>
        <v/>
      </c>
      <c r="E369" s="4">
        <f>IFERROR(INDEX('Base de sorteio'!$B$3:$B$1723,MATCH($B369&amp;"|"&amp;$C369,'Base de sorteio'!$I$3:$I$1723,0)),"")</f>
        <v/>
      </c>
      <c r="F369" s="4">
        <f>IFERROR(INDEX('Base de sorteio'!$C$3:$C$1723,MATCH($B369&amp;"|"&amp;$C369,'Base de sorteio'!$I$3:$I$1723,0)),"")</f>
        <v/>
      </c>
      <c r="G369" s="4">
        <f>IFERROR(INDEX('Base de sorteio'!$D$3:$D$1723,MATCH($B369&amp;"|"&amp;$C369,'Base de sorteio'!$I$3:$I$1723,0)),"")</f>
        <v/>
      </c>
      <c r="H369" s="4">
        <f>IFERROR(INDEX('Base de sorteio'!$E$3:$E$1723,MATCH($B369&amp;"|"&amp;$C369,'Base de sorteio'!$I$3:$I$1723,0)),"")</f>
        <v/>
      </c>
      <c r="I369" s="4">
        <f>IF(E369="","",HYPERLINK(IFERROR(INDEX('Base de sorteio'!$J$3:$J$1723,MATCH($B369&amp;"|"&amp;$C369,'Base de sorteio'!$I$3:$I$1723,0)),""),"abrir"))</f>
        <v/>
      </c>
      <c r="J369" s="4" t="n"/>
      <c r="K369" s="4" t="n"/>
      <c r="L369" s="4" t="n"/>
      <c r="M369" s="4" t="n"/>
      <c r="N369" s="4">
        <f>IF(AND(K369="",M369=""),"",IF(OR(K369="sim",M369="sim"),"sim",IF(OR(K369="inconclusivo",M369="inconclusivo"),"inconclusivo","não")))</f>
        <v/>
      </c>
      <c r="O369" s="5">
        <f>IF(N369="sim",COUNTIFS($B$3:$B369,$B369,$N$3:$N369,"sim"),"")</f>
        <v/>
      </c>
      <c r="P369" s="5" t="n"/>
      <c r="Q369" s="4" t="n"/>
      <c r="R369" s="5" t="n"/>
      <c r="S369" s="9" t="n"/>
      <c r="T369" s="4" t="n"/>
    </row>
    <row r="370">
      <c r="A370" s="5">
        <f>ROW()-2</f>
        <v/>
      </c>
      <c r="B370" s="4" t="inlineStr">
        <is>
          <t>Metrópole</t>
        </is>
      </c>
      <c r="C370" s="5" t="n">
        <v>368</v>
      </c>
      <c r="D370" s="5">
        <f>IFERROR(INDEX('Base de sorteio'!$A$3:$A$1723,MATCH($B370&amp;"|"&amp;$C370,'Base de sorteio'!$I$3:$I$1723,0)),"")</f>
        <v/>
      </c>
      <c r="E370" s="4">
        <f>IFERROR(INDEX('Base de sorteio'!$B$3:$B$1723,MATCH($B370&amp;"|"&amp;$C370,'Base de sorteio'!$I$3:$I$1723,0)),"")</f>
        <v/>
      </c>
      <c r="F370" s="4">
        <f>IFERROR(INDEX('Base de sorteio'!$C$3:$C$1723,MATCH($B370&amp;"|"&amp;$C370,'Base de sorteio'!$I$3:$I$1723,0)),"")</f>
        <v/>
      </c>
      <c r="G370" s="4">
        <f>IFERROR(INDEX('Base de sorteio'!$D$3:$D$1723,MATCH($B370&amp;"|"&amp;$C370,'Base de sorteio'!$I$3:$I$1723,0)),"")</f>
        <v/>
      </c>
      <c r="H370" s="4">
        <f>IFERROR(INDEX('Base de sorteio'!$E$3:$E$1723,MATCH($B370&amp;"|"&amp;$C370,'Base de sorteio'!$I$3:$I$1723,0)),"")</f>
        <v/>
      </c>
      <c r="I370" s="4">
        <f>IF(E370="","",HYPERLINK(IFERROR(INDEX('Base de sorteio'!$J$3:$J$1723,MATCH($B370&amp;"|"&amp;$C370,'Base de sorteio'!$I$3:$I$1723,0)),""),"abrir"))</f>
        <v/>
      </c>
      <c r="J370" s="4" t="n"/>
      <c r="K370" s="4" t="n"/>
      <c r="L370" s="4" t="n"/>
      <c r="M370" s="4" t="n"/>
      <c r="N370" s="4">
        <f>IF(AND(K370="",M370=""),"",IF(OR(K370="sim",M370="sim"),"sim",IF(OR(K370="inconclusivo",M370="inconclusivo"),"inconclusivo","não")))</f>
        <v/>
      </c>
      <c r="O370" s="5">
        <f>IF(N370="sim",COUNTIFS($B$3:$B370,$B370,$N$3:$N370,"sim"),"")</f>
        <v/>
      </c>
      <c r="P370" s="5" t="n"/>
      <c r="Q370" s="4" t="n"/>
      <c r="R370" s="5" t="n"/>
      <c r="S370" s="9" t="n"/>
      <c r="T370" s="4" t="n"/>
    </row>
    <row r="371">
      <c r="A371" s="5">
        <f>ROW()-2</f>
        <v/>
      </c>
      <c r="B371" s="4" t="inlineStr">
        <is>
          <t>Metrópole</t>
        </is>
      </c>
      <c r="C371" s="5" t="n">
        <v>369</v>
      </c>
      <c r="D371" s="5">
        <f>IFERROR(INDEX('Base de sorteio'!$A$3:$A$1723,MATCH($B371&amp;"|"&amp;$C371,'Base de sorteio'!$I$3:$I$1723,0)),"")</f>
        <v/>
      </c>
      <c r="E371" s="4">
        <f>IFERROR(INDEX('Base de sorteio'!$B$3:$B$1723,MATCH($B371&amp;"|"&amp;$C371,'Base de sorteio'!$I$3:$I$1723,0)),"")</f>
        <v/>
      </c>
      <c r="F371" s="4">
        <f>IFERROR(INDEX('Base de sorteio'!$C$3:$C$1723,MATCH($B371&amp;"|"&amp;$C371,'Base de sorteio'!$I$3:$I$1723,0)),"")</f>
        <v/>
      </c>
      <c r="G371" s="4">
        <f>IFERROR(INDEX('Base de sorteio'!$D$3:$D$1723,MATCH($B371&amp;"|"&amp;$C371,'Base de sorteio'!$I$3:$I$1723,0)),"")</f>
        <v/>
      </c>
      <c r="H371" s="4">
        <f>IFERROR(INDEX('Base de sorteio'!$E$3:$E$1723,MATCH($B371&amp;"|"&amp;$C371,'Base de sorteio'!$I$3:$I$1723,0)),"")</f>
        <v/>
      </c>
      <c r="I371" s="4">
        <f>IF(E371="","",HYPERLINK(IFERROR(INDEX('Base de sorteio'!$J$3:$J$1723,MATCH($B371&amp;"|"&amp;$C371,'Base de sorteio'!$I$3:$I$1723,0)),""),"abrir"))</f>
        <v/>
      </c>
      <c r="J371" s="4" t="n"/>
      <c r="K371" s="4" t="n"/>
      <c r="L371" s="4" t="n"/>
      <c r="M371" s="4" t="n"/>
      <c r="N371" s="4">
        <f>IF(AND(K371="",M371=""),"",IF(OR(K371="sim",M371="sim"),"sim",IF(OR(K371="inconclusivo",M371="inconclusivo"),"inconclusivo","não")))</f>
        <v/>
      </c>
      <c r="O371" s="5">
        <f>IF(N371="sim",COUNTIFS($B$3:$B371,$B371,$N$3:$N371,"sim"),"")</f>
        <v/>
      </c>
      <c r="P371" s="5" t="n"/>
      <c r="Q371" s="4" t="n"/>
      <c r="R371" s="5" t="n"/>
      <c r="S371" s="9" t="n"/>
      <c r="T371" s="4" t="n"/>
    </row>
    <row r="372">
      <c r="A372" s="5">
        <f>ROW()-2</f>
        <v/>
      </c>
      <c r="B372" s="4" t="inlineStr">
        <is>
          <t>Metrópole</t>
        </is>
      </c>
      <c r="C372" s="5" t="n">
        <v>370</v>
      </c>
      <c r="D372" s="5">
        <f>IFERROR(INDEX('Base de sorteio'!$A$3:$A$1723,MATCH($B372&amp;"|"&amp;$C372,'Base de sorteio'!$I$3:$I$1723,0)),"")</f>
        <v/>
      </c>
      <c r="E372" s="4">
        <f>IFERROR(INDEX('Base de sorteio'!$B$3:$B$1723,MATCH($B372&amp;"|"&amp;$C372,'Base de sorteio'!$I$3:$I$1723,0)),"")</f>
        <v/>
      </c>
      <c r="F372" s="4">
        <f>IFERROR(INDEX('Base de sorteio'!$C$3:$C$1723,MATCH($B372&amp;"|"&amp;$C372,'Base de sorteio'!$I$3:$I$1723,0)),"")</f>
        <v/>
      </c>
      <c r="G372" s="4">
        <f>IFERROR(INDEX('Base de sorteio'!$D$3:$D$1723,MATCH($B372&amp;"|"&amp;$C372,'Base de sorteio'!$I$3:$I$1723,0)),"")</f>
        <v/>
      </c>
      <c r="H372" s="4">
        <f>IFERROR(INDEX('Base de sorteio'!$E$3:$E$1723,MATCH($B372&amp;"|"&amp;$C372,'Base de sorteio'!$I$3:$I$1723,0)),"")</f>
        <v/>
      </c>
      <c r="I372" s="4">
        <f>IF(E372="","",HYPERLINK(IFERROR(INDEX('Base de sorteio'!$J$3:$J$1723,MATCH($B372&amp;"|"&amp;$C372,'Base de sorteio'!$I$3:$I$1723,0)),""),"abrir"))</f>
        <v/>
      </c>
      <c r="J372" s="4" t="n"/>
      <c r="K372" s="4" t="n"/>
      <c r="L372" s="4" t="n"/>
      <c r="M372" s="4" t="n"/>
      <c r="N372" s="4">
        <f>IF(AND(K372="",M372=""),"",IF(OR(K372="sim",M372="sim"),"sim",IF(OR(K372="inconclusivo",M372="inconclusivo"),"inconclusivo","não")))</f>
        <v/>
      </c>
      <c r="O372" s="5">
        <f>IF(N372="sim",COUNTIFS($B$3:$B372,$B372,$N$3:$N372,"sim"),"")</f>
        <v/>
      </c>
      <c r="P372" s="5" t="n"/>
      <c r="Q372" s="4" t="n"/>
      <c r="R372" s="5" t="n"/>
      <c r="S372" s="9" t="n"/>
      <c r="T372" s="4" t="n"/>
    </row>
    <row r="373">
      <c r="A373" s="5">
        <f>ROW()-2</f>
        <v/>
      </c>
      <c r="B373" s="4" t="inlineStr">
        <is>
          <t>Metrópole</t>
        </is>
      </c>
      <c r="C373" s="5" t="n">
        <v>371</v>
      </c>
      <c r="D373" s="5">
        <f>IFERROR(INDEX('Base de sorteio'!$A$3:$A$1723,MATCH($B373&amp;"|"&amp;$C373,'Base de sorteio'!$I$3:$I$1723,0)),"")</f>
        <v/>
      </c>
      <c r="E373" s="4">
        <f>IFERROR(INDEX('Base de sorteio'!$B$3:$B$1723,MATCH($B373&amp;"|"&amp;$C373,'Base de sorteio'!$I$3:$I$1723,0)),"")</f>
        <v/>
      </c>
      <c r="F373" s="4">
        <f>IFERROR(INDEX('Base de sorteio'!$C$3:$C$1723,MATCH($B373&amp;"|"&amp;$C373,'Base de sorteio'!$I$3:$I$1723,0)),"")</f>
        <v/>
      </c>
      <c r="G373" s="4">
        <f>IFERROR(INDEX('Base de sorteio'!$D$3:$D$1723,MATCH($B373&amp;"|"&amp;$C373,'Base de sorteio'!$I$3:$I$1723,0)),"")</f>
        <v/>
      </c>
      <c r="H373" s="4">
        <f>IFERROR(INDEX('Base de sorteio'!$E$3:$E$1723,MATCH($B373&amp;"|"&amp;$C373,'Base de sorteio'!$I$3:$I$1723,0)),"")</f>
        <v/>
      </c>
      <c r="I373" s="4">
        <f>IF(E373="","",HYPERLINK(IFERROR(INDEX('Base de sorteio'!$J$3:$J$1723,MATCH($B373&amp;"|"&amp;$C373,'Base de sorteio'!$I$3:$I$1723,0)),""),"abrir"))</f>
        <v/>
      </c>
      <c r="J373" s="4" t="n"/>
      <c r="K373" s="4" t="n"/>
      <c r="L373" s="4" t="n"/>
      <c r="M373" s="4" t="n"/>
      <c r="N373" s="4">
        <f>IF(AND(K373="",M373=""),"",IF(OR(K373="sim",M373="sim"),"sim",IF(OR(K373="inconclusivo",M373="inconclusivo"),"inconclusivo","não")))</f>
        <v/>
      </c>
      <c r="O373" s="5">
        <f>IF(N373="sim",COUNTIFS($B$3:$B373,$B373,$N$3:$N373,"sim"),"")</f>
        <v/>
      </c>
      <c r="P373" s="5" t="n"/>
      <c r="Q373" s="4" t="n"/>
      <c r="R373" s="5" t="n"/>
      <c r="S373" s="9" t="n"/>
      <c r="T373" s="4" t="n"/>
    </row>
    <row r="374">
      <c r="A374" s="5">
        <f>ROW()-2</f>
        <v/>
      </c>
      <c r="B374" s="4" t="inlineStr">
        <is>
          <t>Metrópole</t>
        </is>
      </c>
      <c r="C374" s="5" t="n">
        <v>372</v>
      </c>
      <c r="D374" s="5">
        <f>IFERROR(INDEX('Base de sorteio'!$A$3:$A$1723,MATCH($B374&amp;"|"&amp;$C374,'Base de sorteio'!$I$3:$I$1723,0)),"")</f>
        <v/>
      </c>
      <c r="E374" s="4">
        <f>IFERROR(INDEX('Base de sorteio'!$B$3:$B$1723,MATCH($B374&amp;"|"&amp;$C374,'Base de sorteio'!$I$3:$I$1723,0)),"")</f>
        <v/>
      </c>
      <c r="F374" s="4">
        <f>IFERROR(INDEX('Base de sorteio'!$C$3:$C$1723,MATCH($B374&amp;"|"&amp;$C374,'Base de sorteio'!$I$3:$I$1723,0)),"")</f>
        <v/>
      </c>
      <c r="G374" s="4">
        <f>IFERROR(INDEX('Base de sorteio'!$D$3:$D$1723,MATCH($B374&amp;"|"&amp;$C374,'Base de sorteio'!$I$3:$I$1723,0)),"")</f>
        <v/>
      </c>
      <c r="H374" s="4">
        <f>IFERROR(INDEX('Base de sorteio'!$E$3:$E$1723,MATCH($B374&amp;"|"&amp;$C374,'Base de sorteio'!$I$3:$I$1723,0)),"")</f>
        <v/>
      </c>
      <c r="I374" s="4">
        <f>IF(E374="","",HYPERLINK(IFERROR(INDEX('Base de sorteio'!$J$3:$J$1723,MATCH($B374&amp;"|"&amp;$C374,'Base de sorteio'!$I$3:$I$1723,0)),""),"abrir"))</f>
        <v/>
      </c>
      <c r="J374" s="4" t="n"/>
      <c r="K374" s="4" t="n"/>
      <c r="L374" s="4" t="n"/>
      <c r="M374" s="4" t="n"/>
      <c r="N374" s="4">
        <f>IF(AND(K374="",M374=""),"",IF(OR(K374="sim",M374="sim"),"sim",IF(OR(K374="inconclusivo",M374="inconclusivo"),"inconclusivo","não")))</f>
        <v/>
      </c>
      <c r="O374" s="5">
        <f>IF(N374="sim",COUNTIFS($B$3:$B374,$B374,$N$3:$N374,"sim"),"")</f>
        <v/>
      </c>
      <c r="P374" s="5" t="n"/>
      <c r="Q374" s="4" t="n"/>
      <c r="R374" s="5" t="n"/>
      <c r="S374" s="9" t="n"/>
      <c r="T374" s="4" t="n"/>
    </row>
    <row r="375">
      <c r="A375" s="5">
        <f>ROW()-2</f>
        <v/>
      </c>
      <c r="B375" s="4" t="inlineStr">
        <is>
          <t>Metrópole</t>
        </is>
      </c>
      <c r="C375" s="5" t="n">
        <v>373</v>
      </c>
      <c r="D375" s="5">
        <f>IFERROR(INDEX('Base de sorteio'!$A$3:$A$1723,MATCH($B375&amp;"|"&amp;$C375,'Base de sorteio'!$I$3:$I$1723,0)),"")</f>
        <v/>
      </c>
      <c r="E375" s="4">
        <f>IFERROR(INDEX('Base de sorteio'!$B$3:$B$1723,MATCH($B375&amp;"|"&amp;$C375,'Base de sorteio'!$I$3:$I$1723,0)),"")</f>
        <v/>
      </c>
      <c r="F375" s="4">
        <f>IFERROR(INDEX('Base de sorteio'!$C$3:$C$1723,MATCH($B375&amp;"|"&amp;$C375,'Base de sorteio'!$I$3:$I$1723,0)),"")</f>
        <v/>
      </c>
      <c r="G375" s="4">
        <f>IFERROR(INDEX('Base de sorteio'!$D$3:$D$1723,MATCH($B375&amp;"|"&amp;$C375,'Base de sorteio'!$I$3:$I$1723,0)),"")</f>
        <v/>
      </c>
      <c r="H375" s="4">
        <f>IFERROR(INDEX('Base de sorteio'!$E$3:$E$1723,MATCH($B375&amp;"|"&amp;$C375,'Base de sorteio'!$I$3:$I$1723,0)),"")</f>
        <v/>
      </c>
      <c r="I375" s="4">
        <f>IF(E375="","",HYPERLINK(IFERROR(INDEX('Base de sorteio'!$J$3:$J$1723,MATCH($B375&amp;"|"&amp;$C375,'Base de sorteio'!$I$3:$I$1723,0)),""),"abrir"))</f>
        <v/>
      </c>
      <c r="J375" s="4" t="n"/>
      <c r="K375" s="4" t="n"/>
      <c r="L375" s="4" t="n"/>
      <c r="M375" s="4" t="n"/>
      <c r="N375" s="4">
        <f>IF(AND(K375="",M375=""),"",IF(OR(K375="sim",M375="sim"),"sim",IF(OR(K375="inconclusivo",M375="inconclusivo"),"inconclusivo","não")))</f>
        <v/>
      </c>
      <c r="O375" s="5">
        <f>IF(N375="sim",COUNTIFS($B$3:$B375,$B375,$N$3:$N375,"sim"),"")</f>
        <v/>
      </c>
      <c r="P375" s="5" t="n"/>
      <c r="Q375" s="4" t="n"/>
      <c r="R375" s="5" t="n"/>
      <c r="S375" s="9" t="n"/>
      <c r="T375" s="4" t="n"/>
    </row>
    <row r="376">
      <c r="A376" s="5">
        <f>ROW()-2</f>
        <v/>
      </c>
      <c r="B376" s="4" t="inlineStr">
        <is>
          <t>Metrópole</t>
        </is>
      </c>
      <c r="C376" s="5" t="n">
        <v>374</v>
      </c>
      <c r="D376" s="5">
        <f>IFERROR(INDEX('Base de sorteio'!$A$3:$A$1723,MATCH($B376&amp;"|"&amp;$C376,'Base de sorteio'!$I$3:$I$1723,0)),"")</f>
        <v/>
      </c>
      <c r="E376" s="4">
        <f>IFERROR(INDEX('Base de sorteio'!$B$3:$B$1723,MATCH($B376&amp;"|"&amp;$C376,'Base de sorteio'!$I$3:$I$1723,0)),"")</f>
        <v/>
      </c>
      <c r="F376" s="4">
        <f>IFERROR(INDEX('Base de sorteio'!$C$3:$C$1723,MATCH($B376&amp;"|"&amp;$C376,'Base de sorteio'!$I$3:$I$1723,0)),"")</f>
        <v/>
      </c>
      <c r="G376" s="4">
        <f>IFERROR(INDEX('Base de sorteio'!$D$3:$D$1723,MATCH($B376&amp;"|"&amp;$C376,'Base de sorteio'!$I$3:$I$1723,0)),"")</f>
        <v/>
      </c>
      <c r="H376" s="4">
        <f>IFERROR(INDEX('Base de sorteio'!$E$3:$E$1723,MATCH($B376&amp;"|"&amp;$C376,'Base de sorteio'!$I$3:$I$1723,0)),"")</f>
        <v/>
      </c>
      <c r="I376" s="4">
        <f>IF(E376="","",HYPERLINK(IFERROR(INDEX('Base de sorteio'!$J$3:$J$1723,MATCH($B376&amp;"|"&amp;$C376,'Base de sorteio'!$I$3:$I$1723,0)),""),"abrir"))</f>
        <v/>
      </c>
      <c r="J376" s="4" t="n"/>
      <c r="K376" s="4" t="n"/>
      <c r="L376" s="4" t="n"/>
      <c r="M376" s="4" t="n"/>
      <c r="N376" s="4">
        <f>IF(AND(K376="",M376=""),"",IF(OR(K376="sim",M376="sim"),"sim",IF(OR(K376="inconclusivo",M376="inconclusivo"),"inconclusivo","não")))</f>
        <v/>
      </c>
      <c r="O376" s="5">
        <f>IF(N376="sim",COUNTIFS($B$3:$B376,$B376,$N$3:$N376,"sim"),"")</f>
        <v/>
      </c>
      <c r="P376" s="5" t="n"/>
      <c r="Q376" s="4" t="n"/>
      <c r="R376" s="5" t="n"/>
      <c r="S376" s="9" t="n"/>
      <c r="T376" s="4" t="n"/>
    </row>
    <row r="377">
      <c r="A377" s="5">
        <f>ROW()-2</f>
        <v/>
      </c>
      <c r="B377" s="4" t="inlineStr">
        <is>
          <t>Metrópole</t>
        </is>
      </c>
      <c r="C377" s="5" t="n">
        <v>375</v>
      </c>
      <c r="D377" s="5">
        <f>IFERROR(INDEX('Base de sorteio'!$A$3:$A$1723,MATCH($B377&amp;"|"&amp;$C377,'Base de sorteio'!$I$3:$I$1723,0)),"")</f>
        <v/>
      </c>
      <c r="E377" s="4">
        <f>IFERROR(INDEX('Base de sorteio'!$B$3:$B$1723,MATCH($B377&amp;"|"&amp;$C377,'Base de sorteio'!$I$3:$I$1723,0)),"")</f>
        <v/>
      </c>
      <c r="F377" s="4">
        <f>IFERROR(INDEX('Base de sorteio'!$C$3:$C$1723,MATCH($B377&amp;"|"&amp;$C377,'Base de sorteio'!$I$3:$I$1723,0)),"")</f>
        <v/>
      </c>
      <c r="G377" s="4">
        <f>IFERROR(INDEX('Base de sorteio'!$D$3:$D$1723,MATCH($B377&amp;"|"&amp;$C377,'Base de sorteio'!$I$3:$I$1723,0)),"")</f>
        <v/>
      </c>
      <c r="H377" s="4">
        <f>IFERROR(INDEX('Base de sorteio'!$E$3:$E$1723,MATCH($B377&amp;"|"&amp;$C377,'Base de sorteio'!$I$3:$I$1723,0)),"")</f>
        <v/>
      </c>
      <c r="I377" s="4">
        <f>IF(E377="","",HYPERLINK(IFERROR(INDEX('Base de sorteio'!$J$3:$J$1723,MATCH($B377&amp;"|"&amp;$C377,'Base de sorteio'!$I$3:$I$1723,0)),""),"abrir"))</f>
        <v/>
      </c>
      <c r="J377" s="4" t="n"/>
      <c r="K377" s="4" t="n"/>
      <c r="L377" s="4" t="n"/>
      <c r="M377" s="4" t="n"/>
      <c r="N377" s="4">
        <f>IF(AND(K377="",M377=""),"",IF(OR(K377="sim",M377="sim"),"sim",IF(OR(K377="inconclusivo",M377="inconclusivo"),"inconclusivo","não")))</f>
        <v/>
      </c>
      <c r="O377" s="5">
        <f>IF(N377="sim",COUNTIFS($B$3:$B377,$B377,$N$3:$N377,"sim"),"")</f>
        <v/>
      </c>
      <c r="P377" s="5" t="n"/>
      <c r="Q377" s="4" t="n"/>
      <c r="R377" s="5" t="n"/>
      <c r="S377" s="9" t="n"/>
      <c r="T377" s="4" t="n"/>
    </row>
    <row r="378">
      <c r="A378" s="5">
        <f>ROW()-2</f>
        <v/>
      </c>
      <c r="B378" s="4" t="inlineStr">
        <is>
          <t>Metrópole</t>
        </is>
      </c>
      <c r="C378" s="5" t="n">
        <v>376</v>
      </c>
      <c r="D378" s="5">
        <f>IFERROR(INDEX('Base de sorteio'!$A$3:$A$1723,MATCH($B378&amp;"|"&amp;$C378,'Base de sorteio'!$I$3:$I$1723,0)),"")</f>
        <v/>
      </c>
      <c r="E378" s="4">
        <f>IFERROR(INDEX('Base de sorteio'!$B$3:$B$1723,MATCH($B378&amp;"|"&amp;$C378,'Base de sorteio'!$I$3:$I$1723,0)),"")</f>
        <v/>
      </c>
      <c r="F378" s="4">
        <f>IFERROR(INDEX('Base de sorteio'!$C$3:$C$1723,MATCH($B378&amp;"|"&amp;$C378,'Base de sorteio'!$I$3:$I$1723,0)),"")</f>
        <v/>
      </c>
      <c r="G378" s="4">
        <f>IFERROR(INDEX('Base de sorteio'!$D$3:$D$1723,MATCH($B378&amp;"|"&amp;$C378,'Base de sorteio'!$I$3:$I$1723,0)),"")</f>
        <v/>
      </c>
      <c r="H378" s="4">
        <f>IFERROR(INDEX('Base de sorteio'!$E$3:$E$1723,MATCH($B378&amp;"|"&amp;$C378,'Base de sorteio'!$I$3:$I$1723,0)),"")</f>
        <v/>
      </c>
      <c r="I378" s="4">
        <f>IF(E378="","",HYPERLINK(IFERROR(INDEX('Base de sorteio'!$J$3:$J$1723,MATCH($B378&amp;"|"&amp;$C378,'Base de sorteio'!$I$3:$I$1723,0)),""),"abrir"))</f>
        <v/>
      </c>
      <c r="J378" s="4" t="n"/>
      <c r="K378" s="4" t="n"/>
      <c r="L378" s="4" t="n"/>
      <c r="M378" s="4" t="n"/>
      <c r="N378" s="4">
        <f>IF(AND(K378="",M378=""),"",IF(OR(K378="sim",M378="sim"),"sim",IF(OR(K378="inconclusivo",M378="inconclusivo"),"inconclusivo","não")))</f>
        <v/>
      </c>
      <c r="O378" s="5">
        <f>IF(N378="sim",COUNTIFS($B$3:$B378,$B378,$N$3:$N378,"sim"),"")</f>
        <v/>
      </c>
      <c r="P378" s="5" t="n"/>
      <c r="Q378" s="4" t="n"/>
      <c r="R378" s="5" t="n"/>
      <c r="S378" s="9" t="n"/>
      <c r="T378" s="4" t="n"/>
    </row>
    <row r="379">
      <c r="A379" s="5">
        <f>ROW()-2</f>
        <v/>
      </c>
      <c r="B379" s="4" t="inlineStr">
        <is>
          <t>Metrópole</t>
        </is>
      </c>
      <c r="C379" s="5" t="n">
        <v>377</v>
      </c>
      <c r="D379" s="5">
        <f>IFERROR(INDEX('Base de sorteio'!$A$3:$A$1723,MATCH($B379&amp;"|"&amp;$C379,'Base de sorteio'!$I$3:$I$1723,0)),"")</f>
        <v/>
      </c>
      <c r="E379" s="4">
        <f>IFERROR(INDEX('Base de sorteio'!$B$3:$B$1723,MATCH($B379&amp;"|"&amp;$C379,'Base de sorteio'!$I$3:$I$1723,0)),"")</f>
        <v/>
      </c>
      <c r="F379" s="4">
        <f>IFERROR(INDEX('Base de sorteio'!$C$3:$C$1723,MATCH($B379&amp;"|"&amp;$C379,'Base de sorteio'!$I$3:$I$1723,0)),"")</f>
        <v/>
      </c>
      <c r="G379" s="4">
        <f>IFERROR(INDEX('Base de sorteio'!$D$3:$D$1723,MATCH($B379&amp;"|"&amp;$C379,'Base de sorteio'!$I$3:$I$1723,0)),"")</f>
        <v/>
      </c>
      <c r="H379" s="4">
        <f>IFERROR(INDEX('Base de sorteio'!$E$3:$E$1723,MATCH($B379&amp;"|"&amp;$C379,'Base de sorteio'!$I$3:$I$1723,0)),"")</f>
        <v/>
      </c>
      <c r="I379" s="4">
        <f>IF(E379="","",HYPERLINK(IFERROR(INDEX('Base de sorteio'!$J$3:$J$1723,MATCH($B379&amp;"|"&amp;$C379,'Base de sorteio'!$I$3:$I$1723,0)),""),"abrir"))</f>
        <v/>
      </c>
      <c r="J379" s="4" t="n"/>
      <c r="K379" s="4" t="n"/>
      <c r="L379" s="4" t="n"/>
      <c r="M379" s="4" t="n"/>
      <c r="N379" s="4">
        <f>IF(AND(K379="",M379=""),"",IF(OR(K379="sim",M379="sim"),"sim",IF(OR(K379="inconclusivo",M379="inconclusivo"),"inconclusivo","não")))</f>
        <v/>
      </c>
      <c r="O379" s="5">
        <f>IF(N379="sim",COUNTIFS($B$3:$B379,$B379,$N$3:$N379,"sim"),"")</f>
        <v/>
      </c>
      <c r="P379" s="5" t="n"/>
      <c r="Q379" s="4" t="n"/>
      <c r="R379" s="5" t="n"/>
      <c r="S379" s="9" t="n"/>
      <c r="T379" s="4" t="n"/>
    </row>
    <row r="380">
      <c r="A380" s="5">
        <f>ROW()-2</f>
        <v/>
      </c>
      <c r="B380" s="4" t="inlineStr">
        <is>
          <t>Metrópole</t>
        </is>
      </c>
      <c r="C380" s="5" t="n">
        <v>378</v>
      </c>
      <c r="D380" s="5">
        <f>IFERROR(INDEX('Base de sorteio'!$A$3:$A$1723,MATCH($B380&amp;"|"&amp;$C380,'Base de sorteio'!$I$3:$I$1723,0)),"")</f>
        <v/>
      </c>
      <c r="E380" s="4">
        <f>IFERROR(INDEX('Base de sorteio'!$B$3:$B$1723,MATCH($B380&amp;"|"&amp;$C380,'Base de sorteio'!$I$3:$I$1723,0)),"")</f>
        <v/>
      </c>
      <c r="F380" s="4">
        <f>IFERROR(INDEX('Base de sorteio'!$C$3:$C$1723,MATCH($B380&amp;"|"&amp;$C380,'Base de sorteio'!$I$3:$I$1723,0)),"")</f>
        <v/>
      </c>
      <c r="G380" s="4">
        <f>IFERROR(INDEX('Base de sorteio'!$D$3:$D$1723,MATCH($B380&amp;"|"&amp;$C380,'Base de sorteio'!$I$3:$I$1723,0)),"")</f>
        <v/>
      </c>
      <c r="H380" s="4">
        <f>IFERROR(INDEX('Base de sorteio'!$E$3:$E$1723,MATCH($B380&amp;"|"&amp;$C380,'Base de sorteio'!$I$3:$I$1723,0)),"")</f>
        <v/>
      </c>
      <c r="I380" s="4">
        <f>IF(E380="","",HYPERLINK(IFERROR(INDEX('Base de sorteio'!$J$3:$J$1723,MATCH($B380&amp;"|"&amp;$C380,'Base de sorteio'!$I$3:$I$1723,0)),""),"abrir"))</f>
        <v/>
      </c>
      <c r="J380" s="4" t="n"/>
      <c r="K380" s="4" t="n"/>
      <c r="L380" s="4" t="n"/>
      <c r="M380" s="4" t="n"/>
      <c r="N380" s="4">
        <f>IF(AND(K380="",M380=""),"",IF(OR(K380="sim",M380="sim"),"sim",IF(OR(K380="inconclusivo",M380="inconclusivo"),"inconclusivo","não")))</f>
        <v/>
      </c>
      <c r="O380" s="5">
        <f>IF(N380="sim",COUNTIFS($B$3:$B380,$B380,$N$3:$N380,"sim"),"")</f>
        <v/>
      </c>
      <c r="P380" s="5" t="n"/>
      <c r="Q380" s="4" t="n"/>
      <c r="R380" s="5" t="n"/>
      <c r="S380" s="9" t="n"/>
      <c r="T380" s="4" t="n"/>
    </row>
    <row r="381">
      <c r="A381" s="5">
        <f>ROW()-2</f>
        <v/>
      </c>
      <c r="B381" s="4" t="inlineStr">
        <is>
          <t>Metrópole</t>
        </is>
      </c>
      <c r="C381" s="5" t="n">
        <v>379</v>
      </c>
      <c r="D381" s="5">
        <f>IFERROR(INDEX('Base de sorteio'!$A$3:$A$1723,MATCH($B381&amp;"|"&amp;$C381,'Base de sorteio'!$I$3:$I$1723,0)),"")</f>
        <v/>
      </c>
      <c r="E381" s="4">
        <f>IFERROR(INDEX('Base de sorteio'!$B$3:$B$1723,MATCH($B381&amp;"|"&amp;$C381,'Base de sorteio'!$I$3:$I$1723,0)),"")</f>
        <v/>
      </c>
      <c r="F381" s="4">
        <f>IFERROR(INDEX('Base de sorteio'!$C$3:$C$1723,MATCH($B381&amp;"|"&amp;$C381,'Base de sorteio'!$I$3:$I$1723,0)),"")</f>
        <v/>
      </c>
      <c r="G381" s="4">
        <f>IFERROR(INDEX('Base de sorteio'!$D$3:$D$1723,MATCH($B381&amp;"|"&amp;$C381,'Base de sorteio'!$I$3:$I$1723,0)),"")</f>
        <v/>
      </c>
      <c r="H381" s="4">
        <f>IFERROR(INDEX('Base de sorteio'!$E$3:$E$1723,MATCH($B381&amp;"|"&amp;$C381,'Base de sorteio'!$I$3:$I$1723,0)),"")</f>
        <v/>
      </c>
      <c r="I381" s="4">
        <f>IF(E381="","",HYPERLINK(IFERROR(INDEX('Base de sorteio'!$J$3:$J$1723,MATCH($B381&amp;"|"&amp;$C381,'Base de sorteio'!$I$3:$I$1723,0)),""),"abrir"))</f>
        <v/>
      </c>
      <c r="J381" s="4" t="n"/>
      <c r="K381" s="4" t="n"/>
      <c r="L381" s="4" t="n"/>
      <c r="M381" s="4" t="n"/>
      <c r="N381" s="4">
        <f>IF(AND(K381="",M381=""),"",IF(OR(K381="sim",M381="sim"),"sim",IF(OR(K381="inconclusivo",M381="inconclusivo"),"inconclusivo","não")))</f>
        <v/>
      </c>
      <c r="O381" s="5">
        <f>IF(N381="sim",COUNTIFS($B$3:$B381,$B381,$N$3:$N381,"sim"),"")</f>
        <v/>
      </c>
      <c r="P381" s="5" t="n"/>
      <c r="Q381" s="4" t="n"/>
      <c r="R381" s="5" t="n"/>
      <c r="S381" s="9" t="n"/>
      <c r="T381" s="4" t="n"/>
    </row>
    <row r="382">
      <c r="A382" s="5">
        <f>ROW()-2</f>
        <v/>
      </c>
      <c r="B382" s="4" t="inlineStr">
        <is>
          <t>Metrópole</t>
        </is>
      </c>
      <c r="C382" s="5" t="n">
        <v>380</v>
      </c>
      <c r="D382" s="5">
        <f>IFERROR(INDEX('Base de sorteio'!$A$3:$A$1723,MATCH($B382&amp;"|"&amp;$C382,'Base de sorteio'!$I$3:$I$1723,0)),"")</f>
        <v/>
      </c>
      <c r="E382" s="4">
        <f>IFERROR(INDEX('Base de sorteio'!$B$3:$B$1723,MATCH($B382&amp;"|"&amp;$C382,'Base de sorteio'!$I$3:$I$1723,0)),"")</f>
        <v/>
      </c>
      <c r="F382" s="4">
        <f>IFERROR(INDEX('Base de sorteio'!$C$3:$C$1723,MATCH($B382&amp;"|"&amp;$C382,'Base de sorteio'!$I$3:$I$1723,0)),"")</f>
        <v/>
      </c>
      <c r="G382" s="4">
        <f>IFERROR(INDEX('Base de sorteio'!$D$3:$D$1723,MATCH($B382&amp;"|"&amp;$C382,'Base de sorteio'!$I$3:$I$1723,0)),"")</f>
        <v/>
      </c>
      <c r="H382" s="4">
        <f>IFERROR(INDEX('Base de sorteio'!$E$3:$E$1723,MATCH($B382&amp;"|"&amp;$C382,'Base de sorteio'!$I$3:$I$1723,0)),"")</f>
        <v/>
      </c>
      <c r="I382" s="4">
        <f>IF(E382="","",HYPERLINK(IFERROR(INDEX('Base de sorteio'!$J$3:$J$1723,MATCH($B382&amp;"|"&amp;$C382,'Base de sorteio'!$I$3:$I$1723,0)),""),"abrir"))</f>
        <v/>
      </c>
      <c r="J382" s="4" t="n"/>
      <c r="K382" s="4" t="n"/>
      <c r="L382" s="4" t="n"/>
      <c r="M382" s="4" t="n"/>
      <c r="N382" s="4">
        <f>IF(AND(K382="",M382=""),"",IF(OR(K382="sim",M382="sim"),"sim",IF(OR(K382="inconclusivo",M382="inconclusivo"),"inconclusivo","não")))</f>
        <v/>
      </c>
      <c r="O382" s="5">
        <f>IF(N382="sim",COUNTIFS($B$3:$B382,$B382,$N$3:$N382,"sim"),"")</f>
        <v/>
      </c>
      <c r="P382" s="5" t="n"/>
      <c r="Q382" s="4" t="n"/>
      <c r="R382" s="5" t="n"/>
      <c r="S382" s="9" t="n"/>
      <c r="T382" s="4" t="n"/>
    </row>
    <row r="383">
      <c r="A383" s="5">
        <f>ROW()-2</f>
        <v/>
      </c>
      <c r="B383" s="4" t="inlineStr">
        <is>
          <t>Metrópole</t>
        </is>
      </c>
      <c r="C383" s="5" t="n">
        <v>381</v>
      </c>
      <c r="D383" s="5">
        <f>IFERROR(INDEX('Base de sorteio'!$A$3:$A$1723,MATCH($B383&amp;"|"&amp;$C383,'Base de sorteio'!$I$3:$I$1723,0)),"")</f>
        <v/>
      </c>
      <c r="E383" s="4">
        <f>IFERROR(INDEX('Base de sorteio'!$B$3:$B$1723,MATCH($B383&amp;"|"&amp;$C383,'Base de sorteio'!$I$3:$I$1723,0)),"")</f>
        <v/>
      </c>
      <c r="F383" s="4">
        <f>IFERROR(INDEX('Base de sorteio'!$C$3:$C$1723,MATCH($B383&amp;"|"&amp;$C383,'Base de sorteio'!$I$3:$I$1723,0)),"")</f>
        <v/>
      </c>
      <c r="G383" s="4">
        <f>IFERROR(INDEX('Base de sorteio'!$D$3:$D$1723,MATCH($B383&amp;"|"&amp;$C383,'Base de sorteio'!$I$3:$I$1723,0)),"")</f>
        <v/>
      </c>
      <c r="H383" s="4">
        <f>IFERROR(INDEX('Base de sorteio'!$E$3:$E$1723,MATCH($B383&amp;"|"&amp;$C383,'Base de sorteio'!$I$3:$I$1723,0)),"")</f>
        <v/>
      </c>
      <c r="I383" s="4">
        <f>IF(E383="","",HYPERLINK(IFERROR(INDEX('Base de sorteio'!$J$3:$J$1723,MATCH($B383&amp;"|"&amp;$C383,'Base de sorteio'!$I$3:$I$1723,0)),""),"abrir"))</f>
        <v/>
      </c>
      <c r="J383" s="4" t="n"/>
      <c r="K383" s="4" t="n"/>
      <c r="L383" s="4" t="n"/>
      <c r="M383" s="4" t="n"/>
      <c r="N383" s="4">
        <f>IF(AND(K383="",M383=""),"",IF(OR(K383="sim",M383="sim"),"sim",IF(OR(K383="inconclusivo",M383="inconclusivo"),"inconclusivo","não")))</f>
        <v/>
      </c>
      <c r="O383" s="5">
        <f>IF(N383="sim",COUNTIFS($B$3:$B383,$B383,$N$3:$N383,"sim"),"")</f>
        <v/>
      </c>
      <c r="P383" s="5" t="n"/>
      <c r="Q383" s="4" t="n"/>
      <c r="R383" s="5" t="n"/>
      <c r="S383" s="9" t="n"/>
      <c r="T383" s="4" t="n"/>
    </row>
    <row r="384">
      <c r="A384" s="5">
        <f>ROW()-2</f>
        <v/>
      </c>
      <c r="B384" s="4" t="inlineStr">
        <is>
          <t>Metrópole</t>
        </is>
      </c>
      <c r="C384" s="5" t="n">
        <v>382</v>
      </c>
      <c r="D384" s="5">
        <f>IFERROR(INDEX('Base de sorteio'!$A$3:$A$1723,MATCH($B384&amp;"|"&amp;$C384,'Base de sorteio'!$I$3:$I$1723,0)),"")</f>
        <v/>
      </c>
      <c r="E384" s="4">
        <f>IFERROR(INDEX('Base de sorteio'!$B$3:$B$1723,MATCH($B384&amp;"|"&amp;$C384,'Base de sorteio'!$I$3:$I$1723,0)),"")</f>
        <v/>
      </c>
      <c r="F384" s="4">
        <f>IFERROR(INDEX('Base de sorteio'!$C$3:$C$1723,MATCH($B384&amp;"|"&amp;$C384,'Base de sorteio'!$I$3:$I$1723,0)),"")</f>
        <v/>
      </c>
      <c r="G384" s="4">
        <f>IFERROR(INDEX('Base de sorteio'!$D$3:$D$1723,MATCH($B384&amp;"|"&amp;$C384,'Base de sorteio'!$I$3:$I$1723,0)),"")</f>
        <v/>
      </c>
      <c r="H384" s="4">
        <f>IFERROR(INDEX('Base de sorteio'!$E$3:$E$1723,MATCH($B384&amp;"|"&amp;$C384,'Base de sorteio'!$I$3:$I$1723,0)),"")</f>
        <v/>
      </c>
      <c r="I384" s="4">
        <f>IF(E384="","",HYPERLINK(IFERROR(INDEX('Base de sorteio'!$J$3:$J$1723,MATCH($B384&amp;"|"&amp;$C384,'Base de sorteio'!$I$3:$I$1723,0)),""),"abrir"))</f>
        <v/>
      </c>
      <c r="J384" s="4" t="n"/>
      <c r="K384" s="4" t="n"/>
      <c r="L384" s="4" t="n"/>
      <c r="M384" s="4" t="n"/>
      <c r="N384" s="4">
        <f>IF(AND(K384="",M384=""),"",IF(OR(K384="sim",M384="sim"),"sim",IF(OR(K384="inconclusivo",M384="inconclusivo"),"inconclusivo","não")))</f>
        <v/>
      </c>
      <c r="O384" s="5">
        <f>IF(N384="sim",COUNTIFS($B$3:$B384,$B384,$N$3:$N384,"sim"),"")</f>
        <v/>
      </c>
      <c r="P384" s="5" t="n"/>
      <c r="Q384" s="4" t="n"/>
      <c r="R384" s="5" t="n"/>
      <c r="S384" s="9" t="n"/>
      <c r="T384" s="4" t="n"/>
    </row>
    <row r="385">
      <c r="A385" s="5">
        <f>ROW()-2</f>
        <v/>
      </c>
      <c r="B385" s="4" t="inlineStr">
        <is>
          <t>Metrópole</t>
        </is>
      </c>
      <c r="C385" s="5" t="n">
        <v>383</v>
      </c>
      <c r="D385" s="5">
        <f>IFERROR(INDEX('Base de sorteio'!$A$3:$A$1723,MATCH($B385&amp;"|"&amp;$C385,'Base de sorteio'!$I$3:$I$1723,0)),"")</f>
        <v/>
      </c>
      <c r="E385" s="4">
        <f>IFERROR(INDEX('Base de sorteio'!$B$3:$B$1723,MATCH($B385&amp;"|"&amp;$C385,'Base de sorteio'!$I$3:$I$1723,0)),"")</f>
        <v/>
      </c>
      <c r="F385" s="4">
        <f>IFERROR(INDEX('Base de sorteio'!$C$3:$C$1723,MATCH($B385&amp;"|"&amp;$C385,'Base de sorteio'!$I$3:$I$1723,0)),"")</f>
        <v/>
      </c>
      <c r="G385" s="4">
        <f>IFERROR(INDEX('Base de sorteio'!$D$3:$D$1723,MATCH($B385&amp;"|"&amp;$C385,'Base de sorteio'!$I$3:$I$1723,0)),"")</f>
        <v/>
      </c>
      <c r="H385" s="4">
        <f>IFERROR(INDEX('Base de sorteio'!$E$3:$E$1723,MATCH($B385&amp;"|"&amp;$C385,'Base de sorteio'!$I$3:$I$1723,0)),"")</f>
        <v/>
      </c>
      <c r="I385" s="4">
        <f>IF(E385="","",HYPERLINK(IFERROR(INDEX('Base de sorteio'!$J$3:$J$1723,MATCH($B385&amp;"|"&amp;$C385,'Base de sorteio'!$I$3:$I$1723,0)),""),"abrir"))</f>
        <v/>
      </c>
      <c r="J385" s="4" t="n"/>
      <c r="K385" s="4" t="n"/>
      <c r="L385" s="4" t="n"/>
      <c r="M385" s="4" t="n"/>
      <c r="N385" s="4">
        <f>IF(AND(K385="",M385=""),"",IF(OR(K385="sim",M385="sim"),"sim",IF(OR(K385="inconclusivo",M385="inconclusivo"),"inconclusivo","não")))</f>
        <v/>
      </c>
      <c r="O385" s="5">
        <f>IF(N385="sim",COUNTIFS($B$3:$B385,$B385,$N$3:$N385,"sim"),"")</f>
        <v/>
      </c>
      <c r="P385" s="5" t="n"/>
      <c r="Q385" s="4" t="n"/>
      <c r="R385" s="5" t="n"/>
      <c r="S385" s="9" t="n"/>
      <c r="T385" s="4" t="n"/>
    </row>
    <row r="386">
      <c r="A386" s="5">
        <f>ROW()-2</f>
        <v/>
      </c>
      <c r="B386" s="4" t="inlineStr">
        <is>
          <t>Metrópole</t>
        </is>
      </c>
      <c r="C386" s="5" t="n">
        <v>384</v>
      </c>
      <c r="D386" s="5">
        <f>IFERROR(INDEX('Base de sorteio'!$A$3:$A$1723,MATCH($B386&amp;"|"&amp;$C386,'Base de sorteio'!$I$3:$I$1723,0)),"")</f>
        <v/>
      </c>
      <c r="E386" s="4">
        <f>IFERROR(INDEX('Base de sorteio'!$B$3:$B$1723,MATCH($B386&amp;"|"&amp;$C386,'Base de sorteio'!$I$3:$I$1723,0)),"")</f>
        <v/>
      </c>
      <c r="F386" s="4">
        <f>IFERROR(INDEX('Base de sorteio'!$C$3:$C$1723,MATCH($B386&amp;"|"&amp;$C386,'Base de sorteio'!$I$3:$I$1723,0)),"")</f>
        <v/>
      </c>
      <c r="G386" s="4">
        <f>IFERROR(INDEX('Base de sorteio'!$D$3:$D$1723,MATCH($B386&amp;"|"&amp;$C386,'Base de sorteio'!$I$3:$I$1723,0)),"")</f>
        <v/>
      </c>
      <c r="H386" s="4">
        <f>IFERROR(INDEX('Base de sorteio'!$E$3:$E$1723,MATCH($B386&amp;"|"&amp;$C386,'Base de sorteio'!$I$3:$I$1723,0)),"")</f>
        <v/>
      </c>
      <c r="I386" s="4">
        <f>IF(E386="","",HYPERLINK(IFERROR(INDEX('Base de sorteio'!$J$3:$J$1723,MATCH($B386&amp;"|"&amp;$C386,'Base de sorteio'!$I$3:$I$1723,0)),""),"abrir"))</f>
        <v/>
      </c>
      <c r="J386" s="4" t="n"/>
      <c r="K386" s="4" t="n"/>
      <c r="L386" s="4" t="n"/>
      <c r="M386" s="4" t="n"/>
      <c r="N386" s="4">
        <f>IF(AND(K386="",M386=""),"",IF(OR(K386="sim",M386="sim"),"sim",IF(OR(K386="inconclusivo",M386="inconclusivo"),"inconclusivo","não")))</f>
        <v/>
      </c>
      <c r="O386" s="5">
        <f>IF(N386="sim",COUNTIFS($B$3:$B386,$B386,$N$3:$N386,"sim"),"")</f>
        <v/>
      </c>
      <c r="P386" s="5" t="n"/>
      <c r="Q386" s="4" t="n"/>
      <c r="R386" s="5" t="n"/>
      <c r="S386" s="9" t="n"/>
      <c r="T386" s="4" t="n"/>
    </row>
    <row r="387">
      <c r="A387" s="5">
        <f>ROW()-2</f>
        <v/>
      </c>
      <c r="B387" s="4" t="inlineStr">
        <is>
          <t>Metrópole</t>
        </is>
      </c>
      <c r="C387" s="5" t="n">
        <v>385</v>
      </c>
      <c r="D387" s="5">
        <f>IFERROR(INDEX('Base de sorteio'!$A$3:$A$1723,MATCH($B387&amp;"|"&amp;$C387,'Base de sorteio'!$I$3:$I$1723,0)),"")</f>
        <v/>
      </c>
      <c r="E387" s="4">
        <f>IFERROR(INDEX('Base de sorteio'!$B$3:$B$1723,MATCH($B387&amp;"|"&amp;$C387,'Base de sorteio'!$I$3:$I$1723,0)),"")</f>
        <v/>
      </c>
      <c r="F387" s="4">
        <f>IFERROR(INDEX('Base de sorteio'!$C$3:$C$1723,MATCH($B387&amp;"|"&amp;$C387,'Base de sorteio'!$I$3:$I$1723,0)),"")</f>
        <v/>
      </c>
      <c r="G387" s="4">
        <f>IFERROR(INDEX('Base de sorteio'!$D$3:$D$1723,MATCH($B387&amp;"|"&amp;$C387,'Base de sorteio'!$I$3:$I$1723,0)),"")</f>
        <v/>
      </c>
      <c r="H387" s="4">
        <f>IFERROR(INDEX('Base de sorteio'!$E$3:$E$1723,MATCH($B387&amp;"|"&amp;$C387,'Base de sorteio'!$I$3:$I$1723,0)),"")</f>
        <v/>
      </c>
      <c r="I387" s="4">
        <f>IF(E387="","",HYPERLINK(IFERROR(INDEX('Base de sorteio'!$J$3:$J$1723,MATCH($B387&amp;"|"&amp;$C387,'Base de sorteio'!$I$3:$I$1723,0)),""),"abrir"))</f>
        <v/>
      </c>
      <c r="J387" s="4" t="n"/>
      <c r="K387" s="4" t="n"/>
      <c r="L387" s="4" t="n"/>
      <c r="M387" s="4" t="n"/>
      <c r="N387" s="4">
        <f>IF(AND(K387="",M387=""),"",IF(OR(K387="sim",M387="sim"),"sim",IF(OR(K387="inconclusivo",M387="inconclusivo"),"inconclusivo","não")))</f>
        <v/>
      </c>
      <c r="O387" s="5">
        <f>IF(N387="sim",COUNTIFS($B$3:$B387,$B387,$N$3:$N387,"sim"),"")</f>
        <v/>
      </c>
      <c r="P387" s="5" t="n"/>
      <c r="Q387" s="4" t="n"/>
      <c r="R387" s="5" t="n"/>
      <c r="S387" s="9" t="n"/>
      <c r="T387" s="4" t="n"/>
    </row>
    <row r="388">
      <c r="A388" s="5">
        <f>ROW()-2</f>
        <v/>
      </c>
      <c r="B388" s="4" t="inlineStr">
        <is>
          <t>Metrópole</t>
        </is>
      </c>
      <c r="C388" s="5" t="n">
        <v>386</v>
      </c>
      <c r="D388" s="5">
        <f>IFERROR(INDEX('Base de sorteio'!$A$3:$A$1723,MATCH($B388&amp;"|"&amp;$C388,'Base de sorteio'!$I$3:$I$1723,0)),"")</f>
        <v/>
      </c>
      <c r="E388" s="4">
        <f>IFERROR(INDEX('Base de sorteio'!$B$3:$B$1723,MATCH($B388&amp;"|"&amp;$C388,'Base de sorteio'!$I$3:$I$1723,0)),"")</f>
        <v/>
      </c>
      <c r="F388" s="4">
        <f>IFERROR(INDEX('Base de sorteio'!$C$3:$C$1723,MATCH($B388&amp;"|"&amp;$C388,'Base de sorteio'!$I$3:$I$1723,0)),"")</f>
        <v/>
      </c>
      <c r="G388" s="4">
        <f>IFERROR(INDEX('Base de sorteio'!$D$3:$D$1723,MATCH($B388&amp;"|"&amp;$C388,'Base de sorteio'!$I$3:$I$1723,0)),"")</f>
        <v/>
      </c>
      <c r="H388" s="4">
        <f>IFERROR(INDEX('Base de sorteio'!$E$3:$E$1723,MATCH($B388&amp;"|"&amp;$C388,'Base de sorteio'!$I$3:$I$1723,0)),"")</f>
        <v/>
      </c>
      <c r="I388" s="4">
        <f>IF(E388="","",HYPERLINK(IFERROR(INDEX('Base de sorteio'!$J$3:$J$1723,MATCH($B388&amp;"|"&amp;$C388,'Base de sorteio'!$I$3:$I$1723,0)),""),"abrir"))</f>
        <v/>
      </c>
      <c r="J388" s="4" t="n"/>
      <c r="K388" s="4" t="n"/>
      <c r="L388" s="4" t="n"/>
      <c r="M388" s="4" t="n"/>
      <c r="N388" s="4">
        <f>IF(AND(K388="",M388=""),"",IF(OR(K388="sim",M388="sim"),"sim",IF(OR(K388="inconclusivo",M388="inconclusivo"),"inconclusivo","não")))</f>
        <v/>
      </c>
      <c r="O388" s="5">
        <f>IF(N388="sim",COUNTIFS($B$3:$B388,$B388,$N$3:$N388,"sim"),"")</f>
        <v/>
      </c>
      <c r="P388" s="5" t="n"/>
      <c r="Q388" s="4" t="n"/>
      <c r="R388" s="5" t="n"/>
      <c r="S388" s="9" t="n"/>
      <c r="T388" s="4" t="n"/>
    </row>
    <row r="389">
      <c r="A389" s="5">
        <f>ROW()-2</f>
        <v/>
      </c>
      <c r="B389" s="4" t="inlineStr">
        <is>
          <t>Metrópole</t>
        </is>
      </c>
      <c r="C389" s="5" t="n">
        <v>387</v>
      </c>
      <c r="D389" s="5">
        <f>IFERROR(INDEX('Base de sorteio'!$A$3:$A$1723,MATCH($B389&amp;"|"&amp;$C389,'Base de sorteio'!$I$3:$I$1723,0)),"")</f>
        <v/>
      </c>
      <c r="E389" s="4">
        <f>IFERROR(INDEX('Base de sorteio'!$B$3:$B$1723,MATCH($B389&amp;"|"&amp;$C389,'Base de sorteio'!$I$3:$I$1723,0)),"")</f>
        <v/>
      </c>
      <c r="F389" s="4">
        <f>IFERROR(INDEX('Base de sorteio'!$C$3:$C$1723,MATCH($B389&amp;"|"&amp;$C389,'Base de sorteio'!$I$3:$I$1723,0)),"")</f>
        <v/>
      </c>
      <c r="G389" s="4">
        <f>IFERROR(INDEX('Base de sorteio'!$D$3:$D$1723,MATCH($B389&amp;"|"&amp;$C389,'Base de sorteio'!$I$3:$I$1723,0)),"")</f>
        <v/>
      </c>
      <c r="H389" s="4">
        <f>IFERROR(INDEX('Base de sorteio'!$E$3:$E$1723,MATCH($B389&amp;"|"&amp;$C389,'Base de sorteio'!$I$3:$I$1723,0)),"")</f>
        <v/>
      </c>
      <c r="I389" s="4">
        <f>IF(E389="","",HYPERLINK(IFERROR(INDEX('Base de sorteio'!$J$3:$J$1723,MATCH($B389&amp;"|"&amp;$C389,'Base de sorteio'!$I$3:$I$1723,0)),""),"abrir"))</f>
        <v/>
      </c>
      <c r="J389" s="4" t="n"/>
      <c r="K389" s="4" t="n"/>
      <c r="L389" s="4" t="n"/>
      <c r="M389" s="4" t="n"/>
      <c r="N389" s="4">
        <f>IF(AND(K389="",M389=""),"",IF(OR(K389="sim",M389="sim"),"sim",IF(OR(K389="inconclusivo",M389="inconclusivo"),"inconclusivo","não")))</f>
        <v/>
      </c>
      <c r="O389" s="5">
        <f>IF(N389="sim",COUNTIFS($B$3:$B389,$B389,$N$3:$N389,"sim"),"")</f>
        <v/>
      </c>
      <c r="P389" s="5" t="n"/>
      <c r="Q389" s="4" t="n"/>
      <c r="R389" s="5" t="n"/>
      <c r="S389" s="9" t="n"/>
      <c r="T389" s="4" t="n"/>
    </row>
    <row r="390">
      <c r="A390" s="5">
        <f>ROW()-2</f>
        <v/>
      </c>
      <c r="B390" s="4" t="inlineStr">
        <is>
          <t>Metrópole</t>
        </is>
      </c>
      <c r="C390" s="5" t="n">
        <v>388</v>
      </c>
      <c r="D390" s="5">
        <f>IFERROR(INDEX('Base de sorteio'!$A$3:$A$1723,MATCH($B390&amp;"|"&amp;$C390,'Base de sorteio'!$I$3:$I$1723,0)),"")</f>
        <v/>
      </c>
      <c r="E390" s="4">
        <f>IFERROR(INDEX('Base de sorteio'!$B$3:$B$1723,MATCH($B390&amp;"|"&amp;$C390,'Base de sorteio'!$I$3:$I$1723,0)),"")</f>
        <v/>
      </c>
      <c r="F390" s="4">
        <f>IFERROR(INDEX('Base de sorteio'!$C$3:$C$1723,MATCH($B390&amp;"|"&amp;$C390,'Base de sorteio'!$I$3:$I$1723,0)),"")</f>
        <v/>
      </c>
      <c r="G390" s="4">
        <f>IFERROR(INDEX('Base de sorteio'!$D$3:$D$1723,MATCH($B390&amp;"|"&amp;$C390,'Base de sorteio'!$I$3:$I$1723,0)),"")</f>
        <v/>
      </c>
      <c r="H390" s="4">
        <f>IFERROR(INDEX('Base de sorteio'!$E$3:$E$1723,MATCH($B390&amp;"|"&amp;$C390,'Base de sorteio'!$I$3:$I$1723,0)),"")</f>
        <v/>
      </c>
      <c r="I390" s="4">
        <f>IF(E390="","",HYPERLINK(IFERROR(INDEX('Base de sorteio'!$J$3:$J$1723,MATCH($B390&amp;"|"&amp;$C390,'Base de sorteio'!$I$3:$I$1723,0)),""),"abrir"))</f>
        <v/>
      </c>
      <c r="J390" s="4" t="n"/>
      <c r="K390" s="4" t="n"/>
      <c r="L390" s="4" t="n"/>
      <c r="M390" s="4" t="n"/>
      <c r="N390" s="4">
        <f>IF(AND(K390="",M390=""),"",IF(OR(K390="sim",M390="sim"),"sim",IF(OR(K390="inconclusivo",M390="inconclusivo"),"inconclusivo","não")))</f>
        <v/>
      </c>
      <c r="O390" s="5">
        <f>IF(N390="sim",COUNTIFS($B$3:$B390,$B390,$N$3:$N390,"sim"),"")</f>
        <v/>
      </c>
      <c r="P390" s="5" t="n"/>
      <c r="Q390" s="4" t="n"/>
      <c r="R390" s="5" t="n"/>
      <c r="S390" s="9" t="n"/>
      <c r="T390" s="4" t="n"/>
    </row>
    <row r="391">
      <c r="A391" s="5">
        <f>ROW()-2</f>
        <v/>
      </c>
      <c r="B391" s="4" t="inlineStr">
        <is>
          <t>Metrópole</t>
        </is>
      </c>
      <c r="C391" s="5" t="n">
        <v>389</v>
      </c>
      <c r="D391" s="5">
        <f>IFERROR(INDEX('Base de sorteio'!$A$3:$A$1723,MATCH($B391&amp;"|"&amp;$C391,'Base de sorteio'!$I$3:$I$1723,0)),"")</f>
        <v/>
      </c>
      <c r="E391" s="4">
        <f>IFERROR(INDEX('Base de sorteio'!$B$3:$B$1723,MATCH($B391&amp;"|"&amp;$C391,'Base de sorteio'!$I$3:$I$1723,0)),"")</f>
        <v/>
      </c>
      <c r="F391" s="4">
        <f>IFERROR(INDEX('Base de sorteio'!$C$3:$C$1723,MATCH($B391&amp;"|"&amp;$C391,'Base de sorteio'!$I$3:$I$1723,0)),"")</f>
        <v/>
      </c>
      <c r="G391" s="4">
        <f>IFERROR(INDEX('Base de sorteio'!$D$3:$D$1723,MATCH($B391&amp;"|"&amp;$C391,'Base de sorteio'!$I$3:$I$1723,0)),"")</f>
        <v/>
      </c>
      <c r="H391" s="4">
        <f>IFERROR(INDEX('Base de sorteio'!$E$3:$E$1723,MATCH($B391&amp;"|"&amp;$C391,'Base de sorteio'!$I$3:$I$1723,0)),"")</f>
        <v/>
      </c>
      <c r="I391" s="4">
        <f>IF(E391="","",HYPERLINK(IFERROR(INDEX('Base de sorteio'!$J$3:$J$1723,MATCH($B391&amp;"|"&amp;$C391,'Base de sorteio'!$I$3:$I$1723,0)),""),"abrir"))</f>
        <v/>
      </c>
      <c r="J391" s="4" t="n"/>
      <c r="K391" s="4" t="n"/>
      <c r="L391" s="4" t="n"/>
      <c r="M391" s="4" t="n"/>
      <c r="N391" s="4">
        <f>IF(AND(K391="",M391=""),"",IF(OR(K391="sim",M391="sim"),"sim",IF(OR(K391="inconclusivo",M391="inconclusivo"),"inconclusivo","não")))</f>
        <v/>
      </c>
      <c r="O391" s="5">
        <f>IF(N391="sim",COUNTIFS($B$3:$B391,$B391,$N$3:$N391,"sim"),"")</f>
        <v/>
      </c>
      <c r="P391" s="5" t="n"/>
      <c r="Q391" s="4" t="n"/>
      <c r="R391" s="5" t="n"/>
      <c r="S391" s="9" t="n"/>
      <c r="T391" s="4" t="n"/>
    </row>
    <row r="392">
      <c r="A392" s="5">
        <f>ROW()-2</f>
        <v/>
      </c>
      <c r="B392" s="4" t="inlineStr">
        <is>
          <t>Metrópole</t>
        </is>
      </c>
      <c r="C392" s="5" t="n">
        <v>390</v>
      </c>
      <c r="D392" s="5">
        <f>IFERROR(INDEX('Base de sorteio'!$A$3:$A$1723,MATCH($B392&amp;"|"&amp;$C392,'Base de sorteio'!$I$3:$I$1723,0)),"")</f>
        <v/>
      </c>
      <c r="E392" s="4">
        <f>IFERROR(INDEX('Base de sorteio'!$B$3:$B$1723,MATCH($B392&amp;"|"&amp;$C392,'Base de sorteio'!$I$3:$I$1723,0)),"")</f>
        <v/>
      </c>
      <c r="F392" s="4">
        <f>IFERROR(INDEX('Base de sorteio'!$C$3:$C$1723,MATCH($B392&amp;"|"&amp;$C392,'Base de sorteio'!$I$3:$I$1723,0)),"")</f>
        <v/>
      </c>
      <c r="G392" s="4">
        <f>IFERROR(INDEX('Base de sorteio'!$D$3:$D$1723,MATCH($B392&amp;"|"&amp;$C392,'Base de sorteio'!$I$3:$I$1723,0)),"")</f>
        <v/>
      </c>
      <c r="H392" s="4">
        <f>IFERROR(INDEX('Base de sorteio'!$E$3:$E$1723,MATCH($B392&amp;"|"&amp;$C392,'Base de sorteio'!$I$3:$I$1723,0)),"")</f>
        <v/>
      </c>
      <c r="I392" s="4">
        <f>IF(E392="","",HYPERLINK(IFERROR(INDEX('Base de sorteio'!$J$3:$J$1723,MATCH($B392&amp;"|"&amp;$C392,'Base de sorteio'!$I$3:$I$1723,0)),""),"abrir"))</f>
        <v/>
      </c>
      <c r="J392" s="4" t="n"/>
      <c r="K392" s="4" t="n"/>
      <c r="L392" s="4" t="n"/>
      <c r="M392" s="4" t="n"/>
      <c r="N392" s="4">
        <f>IF(AND(K392="",M392=""),"",IF(OR(K392="sim",M392="sim"),"sim",IF(OR(K392="inconclusivo",M392="inconclusivo"),"inconclusivo","não")))</f>
        <v/>
      </c>
      <c r="O392" s="5">
        <f>IF(N392="sim",COUNTIFS($B$3:$B392,$B392,$N$3:$N392,"sim"),"")</f>
        <v/>
      </c>
      <c r="P392" s="5" t="n"/>
      <c r="Q392" s="4" t="n"/>
      <c r="R392" s="5" t="n"/>
      <c r="S392" s="9" t="n"/>
      <c r="T392" s="4" t="n"/>
    </row>
    <row r="393">
      <c r="A393" s="5">
        <f>ROW()-2</f>
        <v/>
      </c>
      <c r="B393" s="4" t="inlineStr">
        <is>
          <t>Metrópole</t>
        </is>
      </c>
      <c r="C393" s="5" t="n">
        <v>391</v>
      </c>
      <c r="D393" s="5">
        <f>IFERROR(INDEX('Base de sorteio'!$A$3:$A$1723,MATCH($B393&amp;"|"&amp;$C393,'Base de sorteio'!$I$3:$I$1723,0)),"")</f>
        <v/>
      </c>
      <c r="E393" s="4">
        <f>IFERROR(INDEX('Base de sorteio'!$B$3:$B$1723,MATCH($B393&amp;"|"&amp;$C393,'Base de sorteio'!$I$3:$I$1723,0)),"")</f>
        <v/>
      </c>
      <c r="F393" s="4">
        <f>IFERROR(INDEX('Base de sorteio'!$C$3:$C$1723,MATCH($B393&amp;"|"&amp;$C393,'Base de sorteio'!$I$3:$I$1723,0)),"")</f>
        <v/>
      </c>
      <c r="G393" s="4">
        <f>IFERROR(INDEX('Base de sorteio'!$D$3:$D$1723,MATCH($B393&amp;"|"&amp;$C393,'Base de sorteio'!$I$3:$I$1723,0)),"")</f>
        <v/>
      </c>
      <c r="H393" s="4">
        <f>IFERROR(INDEX('Base de sorteio'!$E$3:$E$1723,MATCH($B393&amp;"|"&amp;$C393,'Base de sorteio'!$I$3:$I$1723,0)),"")</f>
        <v/>
      </c>
      <c r="I393" s="4">
        <f>IF(E393="","",HYPERLINK(IFERROR(INDEX('Base de sorteio'!$J$3:$J$1723,MATCH($B393&amp;"|"&amp;$C393,'Base de sorteio'!$I$3:$I$1723,0)),""),"abrir"))</f>
        <v/>
      </c>
      <c r="J393" s="4" t="n"/>
      <c r="K393" s="4" t="n"/>
      <c r="L393" s="4" t="n"/>
      <c r="M393" s="4" t="n"/>
      <c r="N393" s="4">
        <f>IF(AND(K393="",M393=""),"",IF(OR(K393="sim",M393="sim"),"sim",IF(OR(K393="inconclusivo",M393="inconclusivo"),"inconclusivo","não")))</f>
        <v/>
      </c>
      <c r="O393" s="5">
        <f>IF(N393="sim",COUNTIFS($B$3:$B393,$B393,$N$3:$N393,"sim"),"")</f>
        <v/>
      </c>
      <c r="P393" s="5" t="n"/>
      <c r="Q393" s="4" t="n"/>
      <c r="R393" s="5" t="n"/>
      <c r="S393" s="9" t="n"/>
      <c r="T393" s="4" t="n"/>
    </row>
    <row r="394">
      <c r="A394" s="5">
        <f>ROW()-2</f>
        <v/>
      </c>
      <c r="B394" s="4" t="inlineStr">
        <is>
          <t>Metrópole</t>
        </is>
      </c>
      <c r="C394" s="5" t="n">
        <v>392</v>
      </c>
      <c r="D394" s="5">
        <f>IFERROR(INDEX('Base de sorteio'!$A$3:$A$1723,MATCH($B394&amp;"|"&amp;$C394,'Base de sorteio'!$I$3:$I$1723,0)),"")</f>
        <v/>
      </c>
      <c r="E394" s="4">
        <f>IFERROR(INDEX('Base de sorteio'!$B$3:$B$1723,MATCH($B394&amp;"|"&amp;$C394,'Base de sorteio'!$I$3:$I$1723,0)),"")</f>
        <v/>
      </c>
      <c r="F394" s="4">
        <f>IFERROR(INDEX('Base de sorteio'!$C$3:$C$1723,MATCH($B394&amp;"|"&amp;$C394,'Base de sorteio'!$I$3:$I$1723,0)),"")</f>
        <v/>
      </c>
      <c r="G394" s="4">
        <f>IFERROR(INDEX('Base de sorteio'!$D$3:$D$1723,MATCH($B394&amp;"|"&amp;$C394,'Base de sorteio'!$I$3:$I$1723,0)),"")</f>
        <v/>
      </c>
      <c r="H394" s="4">
        <f>IFERROR(INDEX('Base de sorteio'!$E$3:$E$1723,MATCH($B394&amp;"|"&amp;$C394,'Base de sorteio'!$I$3:$I$1723,0)),"")</f>
        <v/>
      </c>
      <c r="I394" s="4">
        <f>IF(E394="","",HYPERLINK(IFERROR(INDEX('Base de sorteio'!$J$3:$J$1723,MATCH($B394&amp;"|"&amp;$C394,'Base de sorteio'!$I$3:$I$1723,0)),""),"abrir"))</f>
        <v/>
      </c>
      <c r="J394" s="4" t="n"/>
      <c r="K394" s="4" t="n"/>
      <c r="L394" s="4" t="n"/>
      <c r="M394" s="4" t="n"/>
      <c r="N394" s="4">
        <f>IF(AND(K394="",M394=""),"",IF(OR(K394="sim",M394="sim"),"sim",IF(OR(K394="inconclusivo",M394="inconclusivo"),"inconclusivo","não")))</f>
        <v/>
      </c>
      <c r="O394" s="5">
        <f>IF(N394="sim",COUNTIFS($B$3:$B394,$B394,$N$3:$N394,"sim"),"")</f>
        <v/>
      </c>
      <c r="P394" s="5" t="n"/>
      <c r="Q394" s="4" t="n"/>
      <c r="R394" s="5" t="n"/>
      <c r="S394" s="9" t="n"/>
      <c r="T394" s="4" t="n"/>
    </row>
    <row r="395">
      <c r="A395" s="5">
        <f>ROW()-2</f>
        <v/>
      </c>
      <c r="B395" s="4" t="inlineStr">
        <is>
          <t>Metrópole</t>
        </is>
      </c>
      <c r="C395" s="5" t="n">
        <v>393</v>
      </c>
      <c r="D395" s="5">
        <f>IFERROR(INDEX('Base de sorteio'!$A$3:$A$1723,MATCH($B395&amp;"|"&amp;$C395,'Base de sorteio'!$I$3:$I$1723,0)),"")</f>
        <v/>
      </c>
      <c r="E395" s="4">
        <f>IFERROR(INDEX('Base de sorteio'!$B$3:$B$1723,MATCH($B395&amp;"|"&amp;$C395,'Base de sorteio'!$I$3:$I$1723,0)),"")</f>
        <v/>
      </c>
      <c r="F395" s="4">
        <f>IFERROR(INDEX('Base de sorteio'!$C$3:$C$1723,MATCH($B395&amp;"|"&amp;$C395,'Base de sorteio'!$I$3:$I$1723,0)),"")</f>
        <v/>
      </c>
      <c r="G395" s="4">
        <f>IFERROR(INDEX('Base de sorteio'!$D$3:$D$1723,MATCH($B395&amp;"|"&amp;$C395,'Base de sorteio'!$I$3:$I$1723,0)),"")</f>
        <v/>
      </c>
      <c r="H395" s="4">
        <f>IFERROR(INDEX('Base de sorteio'!$E$3:$E$1723,MATCH($B395&amp;"|"&amp;$C395,'Base de sorteio'!$I$3:$I$1723,0)),"")</f>
        <v/>
      </c>
      <c r="I395" s="4">
        <f>IF(E395="","",HYPERLINK(IFERROR(INDEX('Base de sorteio'!$J$3:$J$1723,MATCH($B395&amp;"|"&amp;$C395,'Base de sorteio'!$I$3:$I$1723,0)),""),"abrir"))</f>
        <v/>
      </c>
      <c r="J395" s="4" t="n"/>
      <c r="K395" s="4" t="n"/>
      <c r="L395" s="4" t="n"/>
      <c r="M395" s="4" t="n"/>
      <c r="N395" s="4">
        <f>IF(AND(K395="",M395=""),"",IF(OR(K395="sim",M395="sim"),"sim",IF(OR(K395="inconclusivo",M395="inconclusivo"),"inconclusivo","não")))</f>
        <v/>
      </c>
      <c r="O395" s="5">
        <f>IF(N395="sim",COUNTIFS($B$3:$B395,$B395,$N$3:$N395,"sim"),"")</f>
        <v/>
      </c>
      <c r="P395" s="5" t="n"/>
      <c r="Q395" s="4" t="n"/>
      <c r="R395" s="5" t="n"/>
      <c r="S395" s="9" t="n"/>
      <c r="T395" s="4" t="n"/>
    </row>
    <row r="396">
      <c r="A396" s="5">
        <f>ROW()-2</f>
        <v/>
      </c>
      <c r="B396" s="4" t="inlineStr">
        <is>
          <t>Metrópole</t>
        </is>
      </c>
      <c r="C396" s="5" t="n">
        <v>394</v>
      </c>
      <c r="D396" s="5">
        <f>IFERROR(INDEX('Base de sorteio'!$A$3:$A$1723,MATCH($B396&amp;"|"&amp;$C396,'Base de sorteio'!$I$3:$I$1723,0)),"")</f>
        <v/>
      </c>
      <c r="E396" s="4">
        <f>IFERROR(INDEX('Base de sorteio'!$B$3:$B$1723,MATCH($B396&amp;"|"&amp;$C396,'Base de sorteio'!$I$3:$I$1723,0)),"")</f>
        <v/>
      </c>
      <c r="F396" s="4">
        <f>IFERROR(INDEX('Base de sorteio'!$C$3:$C$1723,MATCH($B396&amp;"|"&amp;$C396,'Base de sorteio'!$I$3:$I$1723,0)),"")</f>
        <v/>
      </c>
      <c r="G396" s="4">
        <f>IFERROR(INDEX('Base de sorteio'!$D$3:$D$1723,MATCH($B396&amp;"|"&amp;$C396,'Base de sorteio'!$I$3:$I$1723,0)),"")</f>
        <v/>
      </c>
      <c r="H396" s="4">
        <f>IFERROR(INDEX('Base de sorteio'!$E$3:$E$1723,MATCH($B396&amp;"|"&amp;$C396,'Base de sorteio'!$I$3:$I$1723,0)),"")</f>
        <v/>
      </c>
      <c r="I396" s="4">
        <f>IF(E396="","",HYPERLINK(IFERROR(INDEX('Base de sorteio'!$J$3:$J$1723,MATCH($B396&amp;"|"&amp;$C396,'Base de sorteio'!$I$3:$I$1723,0)),""),"abrir"))</f>
        <v/>
      </c>
      <c r="J396" s="4" t="n"/>
      <c r="K396" s="4" t="n"/>
      <c r="L396" s="4" t="n"/>
      <c r="M396" s="4" t="n"/>
      <c r="N396" s="4">
        <f>IF(AND(K396="",M396=""),"",IF(OR(K396="sim",M396="sim"),"sim",IF(OR(K396="inconclusivo",M396="inconclusivo"),"inconclusivo","não")))</f>
        <v/>
      </c>
      <c r="O396" s="5">
        <f>IF(N396="sim",COUNTIFS($B$3:$B396,$B396,$N$3:$N396,"sim"),"")</f>
        <v/>
      </c>
      <c r="P396" s="5" t="n"/>
      <c r="Q396" s="4" t="n"/>
      <c r="R396" s="5" t="n"/>
      <c r="S396" s="9" t="n"/>
      <c r="T396" s="4" t="n"/>
    </row>
    <row r="397">
      <c r="A397" s="5">
        <f>ROW()-2</f>
        <v/>
      </c>
      <c r="B397" s="4" t="inlineStr">
        <is>
          <t>Metrópole</t>
        </is>
      </c>
      <c r="C397" s="5" t="n">
        <v>395</v>
      </c>
      <c r="D397" s="5">
        <f>IFERROR(INDEX('Base de sorteio'!$A$3:$A$1723,MATCH($B397&amp;"|"&amp;$C397,'Base de sorteio'!$I$3:$I$1723,0)),"")</f>
        <v/>
      </c>
      <c r="E397" s="4">
        <f>IFERROR(INDEX('Base de sorteio'!$B$3:$B$1723,MATCH($B397&amp;"|"&amp;$C397,'Base de sorteio'!$I$3:$I$1723,0)),"")</f>
        <v/>
      </c>
      <c r="F397" s="4">
        <f>IFERROR(INDEX('Base de sorteio'!$C$3:$C$1723,MATCH($B397&amp;"|"&amp;$C397,'Base de sorteio'!$I$3:$I$1723,0)),"")</f>
        <v/>
      </c>
      <c r="G397" s="4">
        <f>IFERROR(INDEX('Base de sorteio'!$D$3:$D$1723,MATCH($B397&amp;"|"&amp;$C397,'Base de sorteio'!$I$3:$I$1723,0)),"")</f>
        <v/>
      </c>
      <c r="H397" s="4">
        <f>IFERROR(INDEX('Base de sorteio'!$E$3:$E$1723,MATCH($B397&amp;"|"&amp;$C397,'Base de sorteio'!$I$3:$I$1723,0)),"")</f>
        <v/>
      </c>
      <c r="I397" s="4">
        <f>IF(E397="","",HYPERLINK(IFERROR(INDEX('Base de sorteio'!$J$3:$J$1723,MATCH($B397&amp;"|"&amp;$C397,'Base de sorteio'!$I$3:$I$1723,0)),""),"abrir"))</f>
        <v/>
      </c>
      <c r="J397" s="4" t="n"/>
      <c r="K397" s="4" t="n"/>
      <c r="L397" s="4" t="n"/>
      <c r="M397" s="4" t="n"/>
      <c r="N397" s="4">
        <f>IF(AND(K397="",M397=""),"",IF(OR(K397="sim",M397="sim"),"sim",IF(OR(K397="inconclusivo",M397="inconclusivo"),"inconclusivo","não")))</f>
        <v/>
      </c>
      <c r="O397" s="5">
        <f>IF(N397="sim",COUNTIFS($B$3:$B397,$B397,$N$3:$N397,"sim"),"")</f>
        <v/>
      </c>
      <c r="P397" s="5" t="n"/>
      <c r="Q397" s="4" t="n"/>
      <c r="R397" s="5" t="n"/>
      <c r="S397" s="9" t="n"/>
      <c r="T397" s="4" t="n"/>
    </row>
    <row r="398">
      <c r="A398" s="5">
        <f>ROW()-2</f>
        <v/>
      </c>
      <c r="B398" s="4" t="inlineStr">
        <is>
          <t>Metrópole</t>
        </is>
      </c>
      <c r="C398" s="5" t="n">
        <v>396</v>
      </c>
      <c r="D398" s="5">
        <f>IFERROR(INDEX('Base de sorteio'!$A$3:$A$1723,MATCH($B398&amp;"|"&amp;$C398,'Base de sorteio'!$I$3:$I$1723,0)),"")</f>
        <v/>
      </c>
      <c r="E398" s="4">
        <f>IFERROR(INDEX('Base de sorteio'!$B$3:$B$1723,MATCH($B398&amp;"|"&amp;$C398,'Base de sorteio'!$I$3:$I$1723,0)),"")</f>
        <v/>
      </c>
      <c r="F398" s="4">
        <f>IFERROR(INDEX('Base de sorteio'!$C$3:$C$1723,MATCH($B398&amp;"|"&amp;$C398,'Base de sorteio'!$I$3:$I$1723,0)),"")</f>
        <v/>
      </c>
      <c r="G398" s="4">
        <f>IFERROR(INDEX('Base de sorteio'!$D$3:$D$1723,MATCH($B398&amp;"|"&amp;$C398,'Base de sorteio'!$I$3:$I$1723,0)),"")</f>
        <v/>
      </c>
      <c r="H398" s="4">
        <f>IFERROR(INDEX('Base de sorteio'!$E$3:$E$1723,MATCH($B398&amp;"|"&amp;$C398,'Base de sorteio'!$I$3:$I$1723,0)),"")</f>
        <v/>
      </c>
      <c r="I398" s="4">
        <f>IF(E398="","",HYPERLINK(IFERROR(INDEX('Base de sorteio'!$J$3:$J$1723,MATCH($B398&amp;"|"&amp;$C398,'Base de sorteio'!$I$3:$I$1723,0)),""),"abrir"))</f>
        <v/>
      </c>
      <c r="J398" s="4" t="n"/>
      <c r="K398" s="4" t="n"/>
      <c r="L398" s="4" t="n"/>
      <c r="M398" s="4" t="n"/>
      <c r="N398" s="4">
        <f>IF(AND(K398="",M398=""),"",IF(OR(K398="sim",M398="sim"),"sim",IF(OR(K398="inconclusivo",M398="inconclusivo"),"inconclusivo","não")))</f>
        <v/>
      </c>
      <c r="O398" s="5">
        <f>IF(N398="sim",COUNTIFS($B$3:$B398,$B398,$N$3:$N398,"sim"),"")</f>
        <v/>
      </c>
      <c r="P398" s="5" t="n"/>
      <c r="Q398" s="4" t="n"/>
      <c r="R398" s="5" t="n"/>
      <c r="S398" s="9" t="n"/>
      <c r="T398" s="4" t="n"/>
    </row>
    <row r="399">
      <c r="A399" s="5">
        <f>ROW()-2</f>
        <v/>
      </c>
      <c r="B399" s="4" t="inlineStr">
        <is>
          <t>Metrópole</t>
        </is>
      </c>
      <c r="C399" s="5" t="n">
        <v>397</v>
      </c>
      <c r="D399" s="5">
        <f>IFERROR(INDEX('Base de sorteio'!$A$3:$A$1723,MATCH($B399&amp;"|"&amp;$C399,'Base de sorteio'!$I$3:$I$1723,0)),"")</f>
        <v/>
      </c>
      <c r="E399" s="4">
        <f>IFERROR(INDEX('Base de sorteio'!$B$3:$B$1723,MATCH($B399&amp;"|"&amp;$C399,'Base de sorteio'!$I$3:$I$1723,0)),"")</f>
        <v/>
      </c>
      <c r="F399" s="4">
        <f>IFERROR(INDEX('Base de sorteio'!$C$3:$C$1723,MATCH($B399&amp;"|"&amp;$C399,'Base de sorteio'!$I$3:$I$1723,0)),"")</f>
        <v/>
      </c>
      <c r="G399" s="4">
        <f>IFERROR(INDEX('Base de sorteio'!$D$3:$D$1723,MATCH($B399&amp;"|"&amp;$C399,'Base de sorteio'!$I$3:$I$1723,0)),"")</f>
        <v/>
      </c>
      <c r="H399" s="4">
        <f>IFERROR(INDEX('Base de sorteio'!$E$3:$E$1723,MATCH($B399&amp;"|"&amp;$C399,'Base de sorteio'!$I$3:$I$1723,0)),"")</f>
        <v/>
      </c>
      <c r="I399" s="4">
        <f>IF(E399="","",HYPERLINK(IFERROR(INDEX('Base de sorteio'!$J$3:$J$1723,MATCH($B399&amp;"|"&amp;$C399,'Base de sorteio'!$I$3:$I$1723,0)),""),"abrir"))</f>
        <v/>
      </c>
      <c r="J399" s="4" t="n"/>
      <c r="K399" s="4" t="n"/>
      <c r="L399" s="4" t="n"/>
      <c r="M399" s="4" t="n"/>
      <c r="N399" s="4">
        <f>IF(AND(K399="",M399=""),"",IF(OR(K399="sim",M399="sim"),"sim",IF(OR(K399="inconclusivo",M399="inconclusivo"),"inconclusivo","não")))</f>
        <v/>
      </c>
      <c r="O399" s="5">
        <f>IF(N399="sim",COUNTIFS($B$3:$B399,$B399,$N$3:$N399,"sim"),"")</f>
        <v/>
      </c>
      <c r="P399" s="5" t="n"/>
      <c r="Q399" s="4" t="n"/>
      <c r="R399" s="5" t="n"/>
      <c r="S399" s="9" t="n"/>
      <c r="T399" s="4" t="n"/>
    </row>
    <row r="400">
      <c r="A400" s="5">
        <f>ROW()-2</f>
        <v/>
      </c>
      <c r="B400" s="4" t="inlineStr">
        <is>
          <t>Metrópole</t>
        </is>
      </c>
      <c r="C400" s="5" t="n">
        <v>398</v>
      </c>
      <c r="D400" s="5">
        <f>IFERROR(INDEX('Base de sorteio'!$A$3:$A$1723,MATCH($B400&amp;"|"&amp;$C400,'Base de sorteio'!$I$3:$I$1723,0)),"")</f>
        <v/>
      </c>
      <c r="E400" s="4">
        <f>IFERROR(INDEX('Base de sorteio'!$B$3:$B$1723,MATCH($B400&amp;"|"&amp;$C400,'Base de sorteio'!$I$3:$I$1723,0)),"")</f>
        <v/>
      </c>
      <c r="F400" s="4">
        <f>IFERROR(INDEX('Base de sorteio'!$C$3:$C$1723,MATCH($B400&amp;"|"&amp;$C400,'Base de sorteio'!$I$3:$I$1723,0)),"")</f>
        <v/>
      </c>
      <c r="G400" s="4">
        <f>IFERROR(INDEX('Base de sorteio'!$D$3:$D$1723,MATCH($B400&amp;"|"&amp;$C400,'Base de sorteio'!$I$3:$I$1723,0)),"")</f>
        <v/>
      </c>
      <c r="H400" s="4">
        <f>IFERROR(INDEX('Base de sorteio'!$E$3:$E$1723,MATCH($B400&amp;"|"&amp;$C400,'Base de sorteio'!$I$3:$I$1723,0)),"")</f>
        <v/>
      </c>
      <c r="I400" s="4">
        <f>IF(E400="","",HYPERLINK(IFERROR(INDEX('Base de sorteio'!$J$3:$J$1723,MATCH($B400&amp;"|"&amp;$C400,'Base de sorteio'!$I$3:$I$1723,0)),""),"abrir"))</f>
        <v/>
      </c>
      <c r="J400" s="4" t="n"/>
      <c r="K400" s="4" t="n"/>
      <c r="L400" s="4" t="n"/>
      <c r="M400" s="4" t="n"/>
      <c r="N400" s="4">
        <f>IF(AND(K400="",M400=""),"",IF(OR(K400="sim",M400="sim"),"sim",IF(OR(K400="inconclusivo",M400="inconclusivo"),"inconclusivo","não")))</f>
        <v/>
      </c>
      <c r="O400" s="5">
        <f>IF(N400="sim",COUNTIFS($B$3:$B400,$B400,$N$3:$N400,"sim"),"")</f>
        <v/>
      </c>
      <c r="P400" s="5" t="n"/>
      <c r="Q400" s="4" t="n"/>
      <c r="R400" s="5" t="n"/>
      <c r="S400" s="9" t="n"/>
      <c r="T400" s="4" t="n"/>
    </row>
    <row r="401">
      <c r="A401" s="5">
        <f>ROW()-2</f>
        <v/>
      </c>
      <c r="B401" s="4" t="inlineStr">
        <is>
          <t>Metrópole</t>
        </is>
      </c>
      <c r="C401" s="5" t="n">
        <v>399</v>
      </c>
      <c r="D401" s="5">
        <f>IFERROR(INDEX('Base de sorteio'!$A$3:$A$1723,MATCH($B401&amp;"|"&amp;$C401,'Base de sorteio'!$I$3:$I$1723,0)),"")</f>
        <v/>
      </c>
      <c r="E401" s="4">
        <f>IFERROR(INDEX('Base de sorteio'!$B$3:$B$1723,MATCH($B401&amp;"|"&amp;$C401,'Base de sorteio'!$I$3:$I$1723,0)),"")</f>
        <v/>
      </c>
      <c r="F401" s="4">
        <f>IFERROR(INDEX('Base de sorteio'!$C$3:$C$1723,MATCH($B401&amp;"|"&amp;$C401,'Base de sorteio'!$I$3:$I$1723,0)),"")</f>
        <v/>
      </c>
      <c r="G401" s="4">
        <f>IFERROR(INDEX('Base de sorteio'!$D$3:$D$1723,MATCH($B401&amp;"|"&amp;$C401,'Base de sorteio'!$I$3:$I$1723,0)),"")</f>
        <v/>
      </c>
      <c r="H401" s="4">
        <f>IFERROR(INDEX('Base de sorteio'!$E$3:$E$1723,MATCH($B401&amp;"|"&amp;$C401,'Base de sorteio'!$I$3:$I$1723,0)),"")</f>
        <v/>
      </c>
      <c r="I401" s="4">
        <f>IF(E401="","",HYPERLINK(IFERROR(INDEX('Base de sorteio'!$J$3:$J$1723,MATCH($B401&amp;"|"&amp;$C401,'Base de sorteio'!$I$3:$I$1723,0)),""),"abrir"))</f>
        <v/>
      </c>
      <c r="J401" s="4" t="n"/>
      <c r="K401" s="4" t="n"/>
      <c r="L401" s="4" t="n"/>
      <c r="M401" s="4" t="n"/>
      <c r="N401" s="4">
        <f>IF(AND(K401="",M401=""),"",IF(OR(K401="sim",M401="sim"),"sim",IF(OR(K401="inconclusivo",M401="inconclusivo"),"inconclusivo","não")))</f>
        <v/>
      </c>
      <c r="O401" s="5">
        <f>IF(N401="sim",COUNTIFS($B$3:$B401,$B401,$N$3:$N401,"sim"),"")</f>
        <v/>
      </c>
      <c r="P401" s="5" t="n"/>
      <c r="Q401" s="4" t="n"/>
      <c r="R401" s="5" t="n"/>
      <c r="S401" s="9" t="n"/>
      <c r="T401" s="4" t="n"/>
    </row>
    <row r="402">
      <c r="A402" s="5">
        <f>ROW()-2</f>
        <v/>
      </c>
      <c r="B402" s="4" t="inlineStr">
        <is>
          <t>Metrópole</t>
        </is>
      </c>
      <c r="C402" s="5" t="n">
        <v>400</v>
      </c>
      <c r="D402" s="5">
        <f>IFERROR(INDEX('Base de sorteio'!$A$3:$A$1723,MATCH($B402&amp;"|"&amp;$C402,'Base de sorteio'!$I$3:$I$1723,0)),"")</f>
        <v/>
      </c>
      <c r="E402" s="4">
        <f>IFERROR(INDEX('Base de sorteio'!$B$3:$B$1723,MATCH($B402&amp;"|"&amp;$C402,'Base de sorteio'!$I$3:$I$1723,0)),"")</f>
        <v/>
      </c>
      <c r="F402" s="4">
        <f>IFERROR(INDEX('Base de sorteio'!$C$3:$C$1723,MATCH($B402&amp;"|"&amp;$C402,'Base de sorteio'!$I$3:$I$1723,0)),"")</f>
        <v/>
      </c>
      <c r="G402" s="4">
        <f>IFERROR(INDEX('Base de sorteio'!$D$3:$D$1723,MATCH($B402&amp;"|"&amp;$C402,'Base de sorteio'!$I$3:$I$1723,0)),"")</f>
        <v/>
      </c>
      <c r="H402" s="4">
        <f>IFERROR(INDEX('Base de sorteio'!$E$3:$E$1723,MATCH($B402&amp;"|"&amp;$C402,'Base de sorteio'!$I$3:$I$1723,0)),"")</f>
        <v/>
      </c>
      <c r="I402" s="4">
        <f>IF(E402="","",HYPERLINK(IFERROR(INDEX('Base de sorteio'!$J$3:$J$1723,MATCH($B402&amp;"|"&amp;$C402,'Base de sorteio'!$I$3:$I$1723,0)),""),"abrir"))</f>
        <v/>
      </c>
      <c r="J402" s="4" t="n"/>
      <c r="K402" s="4" t="n"/>
      <c r="L402" s="4" t="n"/>
      <c r="M402" s="4" t="n"/>
      <c r="N402" s="4">
        <f>IF(AND(K402="",M402=""),"",IF(OR(K402="sim",M402="sim"),"sim",IF(OR(K402="inconclusivo",M402="inconclusivo"),"inconclusivo","não")))</f>
        <v/>
      </c>
      <c r="O402" s="5">
        <f>IF(N402="sim",COUNTIFS($B$3:$B402,$B402,$N$3:$N402,"sim"),"")</f>
        <v/>
      </c>
      <c r="P402" s="5" t="n"/>
      <c r="Q402" s="4" t="n"/>
      <c r="R402" s="5" t="n"/>
      <c r="S402" s="9" t="n"/>
      <c r="T402" s="4" t="n"/>
    </row>
    <row r="403">
      <c r="A403" s="5">
        <f>ROW()-2</f>
        <v/>
      </c>
      <c r="B403" s="4" t="inlineStr">
        <is>
          <t>Metrópole</t>
        </is>
      </c>
      <c r="C403" s="5" t="n">
        <v>401</v>
      </c>
      <c r="D403" s="5">
        <f>IFERROR(INDEX('Base de sorteio'!$A$3:$A$1723,MATCH($B403&amp;"|"&amp;$C403,'Base de sorteio'!$I$3:$I$1723,0)),"")</f>
        <v/>
      </c>
      <c r="E403" s="4">
        <f>IFERROR(INDEX('Base de sorteio'!$B$3:$B$1723,MATCH($B403&amp;"|"&amp;$C403,'Base de sorteio'!$I$3:$I$1723,0)),"")</f>
        <v/>
      </c>
      <c r="F403" s="4">
        <f>IFERROR(INDEX('Base de sorteio'!$C$3:$C$1723,MATCH($B403&amp;"|"&amp;$C403,'Base de sorteio'!$I$3:$I$1723,0)),"")</f>
        <v/>
      </c>
      <c r="G403" s="4">
        <f>IFERROR(INDEX('Base de sorteio'!$D$3:$D$1723,MATCH($B403&amp;"|"&amp;$C403,'Base de sorteio'!$I$3:$I$1723,0)),"")</f>
        <v/>
      </c>
      <c r="H403" s="4">
        <f>IFERROR(INDEX('Base de sorteio'!$E$3:$E$1723,MATCH($B403&amp;"|"&amp;$C403,'Base de sorteio'!$I$3:$I$1723,0)),"")</f>
        <v/>
      </c>
      <c r="I403" s="4">
        <f>IF(E403="","",HYPERLINK(IFERROR(INDEX('Base de sorteio'!$J$3:$J$1723,MATCH($B403&amp;"|"&amp;$C403,'Base de sorteio'!$I$3:$I$1723,0)),""),"abrir"))</f>
        <v/>
      </c>
      <c r="J403" s="4" t="n"/>
      <c r="K403" s="4" t="n"/>
      <c r="L403" s="4" t="n"/>
      <c r="M403" s="4" t="n"/>
      <c r="N403" s="4">
        <f>IF(AND(K403="",M403=""),"",IF(OR(K403="sim",M403="sim"),"sim",IF(OR(K403="inconclusivo",M403="inconclusivo"),"inconclusivo","não")))</f>
        <v/>
      </c>
      <c r="O403" s="5">
        <f>IF(N403="sim",COUNTIFS($B$3:$B403,$B403,$N$3:$N403,"sim"),"")</f>
        <v/>
      </c>
      <c r="P403" s="5" t="n"/>
      <c r="Q403" s="4" t="n"/>
      <c r="R403" s="5" t="n"/>
      <c r="S403" s="9" t="n"/>
      <c r="T403" s="4" t="n"/>
    </row>
    <row r="404">
      <c r="A404" s="5">
        <f>ROW()-2</f>
        <v/>
      </c>
      <c r="B404" s="4" t="inlineStr">
        <is>
          <t>Metrópole</t>
        </is>
      </c>
      <c r="C404" s="5" t="n">
        <v>402</v>
      </c>
      <c r="D404" s="5">
        <f>IFERROR(INDEX('Base de sorteio'!$A$3:$A$1723,MATCH($B404&amp;"|"&amp;$C404,'Base de sorteio'!$I$3:$I$1723,0)),"")</f>
        <v/>
      </c>
      <c r="E404" s="4">
        <f>IFERROR(INDEX('Base de sorteio'!$B$3:$B$1723,MATCH($B404&amp;"|"&amp;$C404,'Base de sorteio'!$I$3:$I$1723,0)),"")</f>
        <v/>
      </c>
      <c r="F404" s="4">
        <f>IFERROR(INDEX('Base de sorteio'!$C$3:$C$1723,MATCH($B404&amp;"|"&amp;$C404,'Base de sorteio'!$I$3:$I$1723,0)),"")</f>
        <v/>
      </c>
      <c r="G404" s="4">
        <f>IFERROR(INDEX('Base de sorteio'!$D$3:$D$1723,MATCH($B404&amp;"|"&amp;$C404,'Base de sorteio'!$I$3:$I$1723,0)),"")</f>
        <v/>
      </c>
      <c r="H404" s="4">
        <f>IFERROR(INDEX('Base de sorteio'!$E$3:$E$1723,MATCH($B404&amp;"|"&amp;$C404,'Base de sorteio'!$I$3:$I$1723,0)),"")</f>
        <v/>
      </c>
      <c r="I404" s="4">
        <f>IF(E404="","",HYPERLINK(IFERROR(INDEX('Base de sorteio'!$J$3:$J$1723,MATCH($B404&amp;"|"&amp;$C404,'Base de sorteio'!$I$3:$I$1723,0)),""),"abrir"))</f>
        <v/>
      </c>
      <c r="J404" s="4" t="n"/>
      <c r="K404" s="4" t="n"/>
      <c r="L404" s="4" t="n"/>
      <c r="M404" s="4" t="n"/>
      <c r="N404" s="4">
        <f>IF(AND(K404="",M404=""),"",IF(OR(K404="sim",M404="sim"),"sim",IF(OR(K404="inconclusivo",M404="inconclusivo"),"inconclusivo","não")))</f>
        <v/>
      </c>
      <c r="O404" s="5">
        <f>IF(N404="sim",COUNTIFS($B$3:$B404,$B404,$N$3:$N404,"sim"),"")</f>
        <v/>
      </c>
      <c r="P404" s="5" t="n"/>
      <c r="Q404" s="4" t="n"/>
      <c r="R404" s="5" t="n"/>
      <c r="S404" s="9" t="n"/>
      <c r="T404" s="4" t="n"/>
    </row>
    <row r="405">
      <c r="A405" s="5">
        <f>ROW()-2</f>
        <v/>
      </c>
      <c r="B405" s="4" t="inlineStr">
        <is>
          <t>Metrópole</t>
        </is>
      </c>
      <c r="C405" s="5" t="n">
        <v>403</v>
      </c>
      <c r="D405" s="5">
        <f>IFERROR(INDEX('Base de sorteio'!$A$3:$A$1723,MATCH($B405&amp;"|"&amp;$C405,'Base de sorteio'!$I$3:$I$1723,0)),"")</f>
        <v/>
      </c>
      <c r="E405" s="4">
        <f>IFERROR(INDEX('Base de sorteio'!$B$3:$B$1723,MATCH($B405&amp;"|"&amp;$C405,'Base de sorteio'!$I$3:$I$1723,0)),"")</f>
        <v/>
      </c>
      <c r="F405" s="4">
        <f>IFERROR(INDEX('Base de sorteio'!$C$3:$C$1723,MATCH($B405&amp;"|"&amp;$C405,'Base de sorteio'!$I$3:$I$1723,0)),"")</f>
        <v/>
      </c>
      <c r="G405" s="4">
        <f>IFERROR(INDEX('Base de sorteio'!$D$3:$D$1723,MATCH($B405&amp;"|"&amp;$C405,'Base de sorteio'!$I$3:$I$1723,0)),"")</f>
        <v/>
      </c>
      <c r="H405" s="4">
        <f>IFERROR(INDEX('Base de sorteio'!$E$3:$E$1723,MATCH($B405&amp;"|"&amp;$C405,'Base de sorteio'!$I$3:$I$1723,0)),"")</f>
        <v/>
      </c>
      <c r="I405" s="4">
        <f>IF(E405="","",HYPERLINK(IFERROR(INDEX('Base de sorteio'!$J$3:$J$1723,MATCH($B405&amp;"|"&amp;$C405,'Base de sorteio'!$I$3:$I$1723,0)),""),"abrir"))</f>
        <v/>
      </c>
      <c r="J405" s="4" t="n"/>
      <c r="K405" s="4" t="n"/>
      <c r="L405" s="4" t="n"/>
      <c r="M405" s="4" t="n"/>
      <c r="N405" s="4">
        <f>IF(AND(K405="",M405=""),"",IF(OR(K405="sim",M405="sim"),"sim",IF(OR(K405="inconclusivo",M405="inconclusivo"),"inconclusivo","não")))</f>
        <v/>
      </c>
      <c r="O405" s="5">
        <f>IF(N405="sim",COUNTIFS($B$3:$B405,$B405,$N$3:$N405,"sim"),"")</f>
        <v/>
      </c>
      <c r="P405" s="5" t="n"/>
      <c r="Q405" s="4" t="n"/>
      <c r="R405" s="5" t="n"/>
      <c r="S405" s="9" t="n"/>
      <c r="T405" s="4" t="n"/>
    </row>
    <row r="406">
      <c r="A406" s="5">
        <f>ROW()-2</f>
        <v/>
      </c>
      <c r="B406" s="4" t="inlineStr">
        <is>
          <t>Metrópole</t>
        </is>
      </c>
      <c r="C406" s="5" t="n">
        <v>404</v>
      </c>
      <c r="D406" s="5">
        <f>IFERROR(INDEX('Base de sorteio'!$A$3:$A$1723,MATCH($B406&amp;"|"&amp;$C406,'Base de sorteio'!$I$3:$I$1723,0)),"")</f>
        <v/>
      </c>
      <c r="E406" s="4">
        <f>IFERROR(INDEX('Base de sorteio'!$B$3:$B$1723,MATCH($B406&amp;"|"&amp;$C406,'Base de sorteio'!$I$3:$I$1723,0)),"")</f>
        <v/>
      </c>
      <c r="F406" s="4">
        <f>IFERROR(INDEX('Base de sorteio'!$C$3:$C$1723,MATCH($B406&amp;"|"&amp;$C406,'Base de sorteio'!$I$3:$I$1723,0)),"")</f>
        <v/>
      </c>
      <c r="G406" s="4">
        <f>IFERROR(INDEX('Base de sorteio'!$D$3:$D$1723,MATCH($B406&amp;"|"&amp;$C406,'Base de sorteio'!$I$3:$I$1723,0)),"")</f>
        <v/>
      </c>
      <c r="H406" s="4">
        <f>IFERROR(INDEX('Base de sorteio'!$E$3:$E$1723,MATCH($B406&amp;"|"&amp;$C406,'Base de sorteio'!$I$3:$I$1723,0)),"")</f>
        <v/>
      </c>
      <c r="I406" s="4">
        <f>IF(E406="","",HYPERLINK(IFERROR(INDEX('Base de sorteio'!$J$3:$J$1723,MATCH($B406&amp;"|"&amp;$C406,'Base de sorteio'!$I$3:$I$1723,0)),""),"abrir"))</f>
        <v/>
      </c>
      <c r="J406" s="4" t="n"/>
      <c r="K406" s="4" t="n"/>
      <c r="L406" s="4" t="n"/>
      <c r="M406" s="4" t="n"/>
      <c r="N406" s="4">
        <f>IF(AND(K406="",M406=""),"",IF(OR(K406="sim",M406="sim"),"sim",IF(OR(K406="inconclusivo",M406="inconclusivo"),"inconclusivo","não")))</f>
        <v/>
      </c>
      <c r="O406" s="5">
        <f>IF(N406="sim",COUNTIFS($B$3:$B406,$B406,$N$3:$N406,"sim"),"")</f>
        <v/>
      </c>
      <c r="P406" s="5" t="n"/>
      <c r="Q406" s="4" t="n"/>
      <c r="R406" s="5" t="n"/>
      <c r="S406" s="9" t="n"/>
      <c r="T406" s="4" t="n"/>
    </row>
    <row r="407">
      <c r="A407" s="5">
        <f>ROW()-2</f>
        <v/>
      </c>
      <c r="B407" s="4" t="inlineStr">
        <is>
          <t>Metrópole</t>
        </is>
      </c>
      <c r="C407" s="5" t="n">
        <v>405</v>
      </c>
      <c r="D407" s="5">
        <f>IFERROR(INDEX('Base de sorteio'!$A$3:$A$1723,MATCH($B407&amp;"|"&amp;$C407,'Base de sorteio'!$I$3:$I$1723,0)),"")</f>
        <v/>
      </c>
      <c r="E407" s="4">
        <f>IFERROR(INDEX('Base de sorteio'!$B$3:$B$1723,MATCH($B407&amp;"|"&amp;$C407,'Base de sorteio'!$I$3:$I$1723,0)),"")</f>
        <v/>
      </c>
      <c r="F407" s="4">
        <f>IFERROR(INDEX('Base de sorteio'!$C$3:$C$1723,MATCH($B407&amp;"|"&amp;$C407,'Base de sorteio'!$I$3:$I$1723,0)),"")</f>
        <v/>
      </c>
      <c r="G407" s="4">
        <f>IFERROR(INDEX('Base de sorteio'!$D$3:$D$1723,MATCH($B407&amp;"|"&amp;$C407,'Base de sorteio'!$I$3:$I$1723,0)),"")</f>
        <v/>
      </c>
      <c r="H407" s="4">
        <f>IFERROR(INDEX('Base de sorteio'!$E$3:$E$1723,MATCH($B407&amp;"|"&amp;$C407,'Base de sorteio'!$I$3:$I$1723,0)),"")</f>
        <v/>
      </c>
      <c r="I407" s="4">
        <f>IF(E407="","",HYPERLINK(IFERROR(INDEX('Base de sorteio'!$J$3:$J$1723,MATCH($B407&amp;"|"&amp;$C407,'Base de sorteio'!$I$3:$I$1723,0)),""),"abrir"))</f>
        <v/>
      </c>
      <c r="J407" s="4" t="n"/>
      <c r="K407" s="4" t="n"/>
      <c r="L407" s="4" t="n"/>
      <c r="M407" s="4" t="n"/>
      <c r="N407" s="4">
        <f>IF(AND(K407="",M407=""),"",IF(OR(K407="sim",M407="sim"),"sim",IF(OR(K407="inconclusivo",M407="inconclusivo"),"inconclusivo","não")))</f>
        <v/>
      </c>
      <c r="O407" s="5">
        <f>IF(N407="sim",COUNTIFS($B$3:$B407,$B407,$N$3:$N407,"sim"),"")</f>
        <v/>
      </c>
      <c r="P407" s="5" t="n"/>
      <c r="Q407" s="4" t="n"/>
      <c r="R407" s="5" t="n"/>
      <c r="S407" s="9" t="n"/>
      <c r="T407" s="4" t="n"/>
    </row>
    <row r="408">
      <c r="A408" s="5">
        <f>ROW()-2</f>
        <v/>
      </c>
      <c r="B408" s="4" t="inlineStr">
        <is>
          <t>Metrópole</t>
        </is>
      </c>
      <c r="C408" s="5" t="n">
        <v>406</v>
      </c>
      <c r="D408" s="5">
        <f>IFERROR(INDEX('Base de sorteio'!$A$3:$A$1723,MATCH($B408&amp;"|"&amp;$C408,'Base de sorteio'!$I$3:$I$1723,0)),"")</f>
        <v/>
      </c>
      <c r="E408" s="4">
        <f>IFERROR(INDEX('Base de sorteio'!$B$3:$B$1723,MATCH($B408&amp;"|"&amp;$C408,'Base de sorteio'!$I$3:$I$1723,0)),"")</f>
        <v/>
      </c>
      <c r="F408" s="4">
        <f>IFERROR(INDEX('Base de sorteio'!$C$3:$C$1723,MATCH($B408&amp;"|"&amp;$C408,'Base de sorteio'!$I$3:$I$1723,0)),"")</f>
        <v/>
      </c>
      <c r="G408" s="4">
        <f>IFERROR(INDEX('Base de sorteio'!$D$3:$D$1723,MATCH($B408&amp;"|"&amp;$C408,'Base de sorteio'!$I$3:$I$1723,0)),"")</f>
        <v/>
      </c>
      <c r="H408" s="4">
        <f>IFERROR(INDEX('Base de sorteio'!$E$3:$E$1723,MATCH($B408&amp;"|"&amp;$C408,'Base de sorteio'!$I$3:$I$1723,0)),"")</f>
        <v/>
      </c>
      <c r="I408" s="4">
        <f>IF(E408="","",HYPERLINK(IFERROR(INDEX('Base de sorteio'!$J$3:$J$1723,MATCH($B408&amp;"|"&amp;$C408,'Base de sorteio'!$I$3:$I$1723,0)),""),"abrir"))</f>
        <v/>
      </c>
      <c r="J408" s="4" t="n"/>
      <c r="K408" s="4" t="n"/>
      <c r="L408" s="4" t="n"/>
      <c r="M408" s="4" t="n"/>
      <c r="N408" s="4">
        <f>IF(AND(K408="",M408=""),"",IF(OR(K408="sim",M408="sim"),"sim",IF(OR(K408="inconclusivo",M408="inconclusivo"),"inconclusivo","não")))</f>
        <v/>
      </c>
      <c r="O408" s="5">
        <f>IF(N408="sim",COUNTIFS($B$3:$B408,$B408,$N$3:$N408,"sim"),"")</f>
        <v/>
      </c>
      <c r="P408" s="5" t="n"/>
      <c r="Q408" s="4" t="n"/>
      <c r="R408" s="5" t="n"/>
      <c r="S408" s="9" t="n"/>
      <c r="T408" s="4" t="n"/>
    </row>
    <row r="409">
      <c r="A409" s="5">
        <f>ROW()-2</f>
        <v/>
      </c>
      <c r="B409" s="4" t="inlineStr">
        <is>
          <t>Metrópole</t>
        </is>
      </c>
      <c r="C409" s="5" t="n">
        <v>407</v>
      </c>
      <c r="D409" s="5">
        <f>IFERROR(INDEX('Base de sorteio'!$A$3:$A$1723,MATCH($B409&amp;"|"&amp;$C409,'Base de sorteio'!$I$3:$I$1723,0)),"")</f>
        <v/>
      </c>
      <c r="E409" s="4">
        <f>IFERROR(INDEX('Base de sorteio'!$B$3:$B$1723,MATCH($B409&amp;"|"&amp;$C409,'Base de sorteio'!$I$3:$I$1723,0)),"")</f>
        <v/>
      </c>
      <c r="F409" s="4">
        <f>IFERROR(INDEX('Base de sorteio'!$C$3:$C$1723,MATCH($B409&amp;"|"&amp;$C409,'Base de sorteio'!$I$3:$I$1723,0)),"")</f>
        <v/>
      </c>
      <c r="G409" s="4">
        <f>IFERROR(INDEX('Base de sorteio'!$D$3:$D$1723,MATCH($B409&amp;"|"&amp;$C409,'Base de sorteio'!$I$3:$I$1723,0)),"")</f>
        <v/>
      </c>
      <c r="H409" s="4">
        <f>IFERROR(INDEX('Base de sorteio'!$E$3:$E$1723,MATCH($B409&amp;"|"&amp;$C409,'Base de sorteio'!$I$3:$I$1723,0)),"")</f>
        <v/>
      </c>
      <c r="I409" s="4">
        <f>IF(E409="","",HYPERLINK(IFERROR(INDEX('Base de sorteio'!$J$3:$J$1723,MATCH($B409&amp;"|"&amp;$C409,'Base de sorteio'!$I$3:$I$1723,0)),""),"abrir"))</f>
        <v/>
      </c>
      <c r="J409" s="4" t="n"/>
      <c r="K409" s="4" t="n"/>
      <c r="L409" s="4" t="n"/>
      <c r="M409" s="4" t="n"/>
      <c r="N409" s="4">
        <f>IF(AND(K409="",M409=""),"",IF(OR(K409="sim",M409="sim"),"sim",IF(OR(K409="inconclusivo",M409="inconclusivo"),"inconclusivo","não")))</f>
        <v/>
      </c>
      <c r="O409" s="5">
        <f>IF(N409="sim",COUNTIFS($B$3:$B409,$B409,$N$3:$N409,"sim"),"")</f>
        <v/>
      </c>
      <c r="P409" s="5" t="n"/>
      <c r="Q409" s="4" t="n"/>
      <c r="R409" s="5" t="n"/>
      <c r="S409" s="9" t="n"/>
      <c r="T409" s="4" t="n"/>
    </row>
    <row r="410">
      <c r="A410" s="5">
        <f>ROW()-2</f>
        <v/>
      </c>
      <c r="B410" s="4" t="inlineStr">
        <is>
          <t>Metrópole</t>
        </is>
      </c>
      <c r="C410" s="5" t="n">
        <v>408</v>
      </c>
      <c r="D410" s="5">
        <f>IFERROR(INDEX('Base de sorteio'!$A$3:$A$1723,MATCH($B410&amp;"|"&amp;$C410,'Base de sorteio'!$I$3:$I$1723,0)),"")</f>
        <v/>
      </c>
      <c r="E410" s="4">
        <f>IFERROR(INDEX('Base de sorteio'!$B$3:$B$1723,MATCH($B410&amp;"|"&amp;$C410,'Base de sorteio'!$I$3:$I$1723,0)),"")</f>
        <v/>
      </c>
      <c r="F410" s="4">
        <f>IFERROR(INDEX('Base de sorteio'!$C$3:$C$1723,MATCH($B410&amp;"|"&amp;$C410,'Base de sorteio'!$I$3:$I$1723,0)),"")</f>
        <v/>
      </c>
      <c r="G410" s="4">
        <f>IFERROR(INDEX('Base de sorteio'!$D$3:$D$1723,MATCH($B410&amp;"|"&amp;$C410,'Base de sorteio'!$I$3:$I$1723,0)),"")</f>
        <v/>
      </c>
      <c r="H410" s="4">
        <f>IFERROR(INDEX('Base de sorteio'!$E$3:$E$1723,MATCH($B410&amp;"|"&amp;$C410,'Base de sorteio'!$I$3:$I$1723,0)),"")</f>
        <v/>
      </c>
      <c r="I410" s="4">
        <f>IF(E410="","",HYPERLINK(IFERROR(INDEX('Base de sorteio'!$J$3:$J$1723,MATCH($B410&amp;"|"&amp;$C410,'Base de sorteio'!$I$3:$I$1723,0)),""),"abrir"))</f>
        <v/>
      </c>
      <c r="J410" s="4" t="n"/>
      <c r="K410" s="4" t="n"/>
      <c r="L410" s="4" t="n"/>
      <c r="M410" s="4" t="n"/>
      <c r="N410" s="4">
        <f>IF(AND(K410="",M410=""),"",IF(OR(K410="sim",M410="sim"),"sim",IF(OR(K410="inconclusivo",M410="inconclusivo"),"inconclusivo","não")))</f>
        <v/>
      </c>
      <c r="O410" s="5">
        <f>IF(N410="sim",COUNTIFS($B$3:$B410,$B410,$N$3:$N410,"sim"),"")</f>
        <v/>
      </c>
      <c r="P410" s="5" t="n"/>
      <c r="Q410" s="4" t="n"/>
      <c r="R410" s="5" t="n"/>
      <c r="S410" s="9" t="n"/>
      <c r="T410" s="4" t="n"/>
    </row>
    <row r="411">
      <c r="A411" s="5">
        <f>ROW()-2</f>
        <v/>
      </c>
      <c r="B411" s="4" t="inlineStr">
        <is>
          <t>Metrópole</t>
        </is>
      </c>
      <c r="C411" s="5" t="n">
        <v>409</v>
      </c>
      <c r="D411" s="5">
        <f>IFERROR(INDEX('Base de sorteio'!$A$3:$A$1723,MATCH($B411&amp;"|"&amp;$C411,'Base de sorteio'!$I$3:$I$1723,0)),"")</f>
        <v/>
      </c>
      <c r="E411" s="4">
        <f>IFERROR(INDEX('Base de sorteio'!$B$3:$B$1723,MATCH($B411&amp;"|"&amp;$C411,'Base de sorteio'!$I$3:$I$1723,0)),"")</f>
        <v/>
      </c>
      <c r="F411" s="4">
        <f>IFERROR(INDEX('Base de sorteio'!$C$3:$C$1723,MATCH($B411&amp;"|"&amp;$C411,'Base de sorteio'!$I$3:$I$1723,0)),"")</f>
        <v/>
      </c>
      <c r="G411" s="4">
        <f>IFERROR(INDEX('Base de sorteio'!$D$3:$D$1723,MATCH($B411&amp;"|"&amp;$C411,'Base de sorteio'!$I$3:$I$1723,0)),"")</f>
        <v/>
      </c>
      <c r="H411" s="4">
        <f>IFERROR(INDEX('Base de sorteio'!$E$3:$E$1723,MATCH($B411&amp;"|"&amp;$C411,'Base de sorteio'!$I$3:$I$1723,0)),"")</f>
        <v/>
      </c>
      <c r="I411" s="4">
        <f>IF(E411="","",HYPERLINK(IFERROR(INDEX('Base de sorteio'!$J$3:$J$1723,MATCH($B411&amp;"|"&amp;$C411,'Base de sorteio'!$I$3:$I$1723,0)),""),"abrir"))</f>
        <v/>
      </c>
      <c r="J411" s="4" t="n"/>
      <c r="K411" s="4" t="n"/>
      <c r="L411" s="4" t="n"/>
      <c r="M411" s="4" t="n"/>
      <c r="N411" s="4">
        <f>IF(AND(K411="",M411=""),"",IF(OR(K411="sim",M411="sim"),"sim",IF(OR(K411="inconclusivo",M411="inconclusivo"),"inconclusivo","não")))</f>
        <v/>
      </c>
      <c r="O411" s="5">
        <f>IF(N411="sim",COUNTIFS($B$3:$B411,$B411,$N$3:$N411,"sim"),"")</f>
        <v/>
      </c>
      <c r="P411" s="5" t="n"/>
      <c r="Q411" s="4" t="n"/>
      <c r="R411" s="5" t="n"/>
      <c r="S411" s="9" t="n"/>
      <c r="T411" s="4" t="n"/>
    </row>
    <row r="412">
      <c r="A412" s="5">
        <f>ROW()-2</f>
        <v/>
      </c>
      <c r="B412" s="4" t="inlineStr">
        <is>
          <t>Metrópole</t>
        </is>
      </c>
      <c r="C412" s="5" t="n">
        <v>410</v>
      </c>
      <c r="D412" s="5">
        <f>IFERROR(INDEX('Base de sorteio'!$A$3:$A$1723,MATCH($B412&amp;"|"&amp;$C412,'Base de sorteio'!$I$3:$I$1723,0)),"")</f>
        <v/>
      </c>
      <c r="E412" s="4">
        <f>IFERROR(INDEX('Base de sorteio'!$B$3:$B$1723,MATCH($B412&amp;"|"&amp;$C412,'Base de sorteio'!$I$3:$I$1723,0)),"")</f>
        <v/>
      </c>
      <c r="F412" s="4">
        <f>IFERROR(INDEX('Base de sorteio'!$C$3:$C$1723,MATCH($B412&amp;"|"&amp;$C412,'Base de sorteio'!$I$3:$I$1723,0)),"")</f>
        <v/>
      </c>
      <c r="G412" s="4">
        <f>IFERROR(INDEX('Base de sorteio'!$D$3:$D$1723,MATCH($B412&amp;"|"&amp;$C412,'Base de sorteio'!$I$3:$I$1723,0)),"")</f>
        <v/>
      </c>
      <c r="H412" s="4">
        <f>IFERROR(INDEX('Base de sorteio'!$E$3:$E$1723,MATCH($B412&amp;"|"&amp;$C412,'Base de sorteio'!$I$3:$I$1723,0)),"")</f>
        <v/>
      </c>
      <c r="I412" s="4">
        <f>IF(E412="","",HYPERLINK(IFERROR(INDEX('Base de sorteio'!$J$3:$J$1723,MATCH($B412&amp;"|"&amp;$C412,'Base de sorteio'!$I$3:$I$1723,0)),""),"abrir"))</f>
        <v/>
      </c>
      <c r="J412" s="4" t="n"/>
      <c r="K412" s="4" t="n"/>
      <c r="L412" s="4" t="n"/>
      <c r="M412" s="4" t="n"/>
      <c r="N412" s="4">
        <f>IF(AND(K412="",M412=""),"",IF(OR(K412="sim",M412="sim"),"sim",IF(OR(K412="inconclusivo",M412="inconclusivo"),"inconclusivo","não")))</f>
        <v/>
      </c>
      <c r="O412" s="5">
        <f>IF(N412="sim",COUNTIFS($B$3:$B412,$B412,$N$3:$N412,"sim"),"")</f>
        <v/>
      </c>
      <c r="P412" s="5" t="n"/>
      <c r="Q412" s="4" t="n"/>
      <c r="R412" s="5" t="n"/>
      <c r="S412" s="9" t="n"/>
      <c r="T412" s="4" t="n"/>
    </row>
    <row r="413">
      <c r="A413" s="5">
        <f>ROW()-2</f>
        <v/>
      </c>
      <c r="B413" s="4" t="inlineStr">
        <is>
          <t>Metrópole</t>
        </is>
      </c>
      <c r="C413" s="5" t="n">
        <v>411</v>
      </c>
      <c r="D413" s="5">
        <f>IFERROR(INDEX('Base de sorteio'!$A$3:$A$1723,MATCH($B413&amp;"|"&amp;$C413,'Base de sorteio'!$I$3:$I$1723,0)),"")</f>
        <v/>
      </c>
      <c r="E413" s="4">
        <f>IFERROR(INDEX('Base de sorteio'!$B$3:$B$1723,MATCH($B413&amp;"|"&amp;$C413,'Base de sorteio'!$I$3:$I$1723,0)),"")</f>
        <v/>
      </c>
      <c r="F413" s="4">
        <f>IFERROR(INDEX('Base de sorteio'!$C$3:$C$1723,MATCH($B413&amp;"|"&amp;$C413,'Base de sorteio'!$I$3:$I$1723,0)),"")</f>
        <v/>
      </c>
      <c r="G413" s="4">
        <f>IFERROR(INDEX('Base de sorteio'!$D$3:$D$1723,MATCH($B413&amp;"|"&amp;$C413,'Base de sorteio'!$I$3:$I$1723,0)),"")</f>
        <v/>
      </c>
      <c r="H413" s="4">
        <f>IFERROR(INDEX('Base de sorteio'!$E$3:$E$1723,MATCH($B413&amp;"|"&amp;$C413,'Base de sorteio'!$I$3:$I$1723,0)),"")</f>
        <v/>
      </c>
      <c r="I413" s="4">
        <f>IF(E413="","",HYPERLINK(IFERROR(INDEX('Base de sorteio'!$J$3:$J$1723,MATCH($B413&amp;"|"&amp;$C413,'Base de sorteio'!$I$3:$I$1723,0)),""),"abrir"))</f>
        <v/>
      </c>
      <c r="J413" s="4" t="n"/>
      <c r="K413" s="4" t="n"/>
      <c r="L413" s="4" t="n"/>
      <c r="M413" s="4" t="n"/>
      <c r="N413" s="4">
        <f>IF(AND(K413="",M413=""),"",IF(OR(K413="sim",M413="sim"),"sim",IF(OR(K413="inconclusivo",M413="inconclusivo"),"inconclusivo","não")))</f>
        <v/>
      </c>
      <c r="O413" s="5">
        <f>IF(N413="sim",COUNTIFS($B$3:$B413,$B413,$N$3:$N413,"sim"),"")</f>
        <v/>
      </c>
      <c r="P413" s="5" t="n"/>
      <c r="Q413" s="4" t="n"/>
      <c r="R413" s="5" t="n"/>
      <c r="S413" s="9" t="n"/>
      <c r="T413" s="4" t="n"/>
    </row>
    <row r="414">
      <c r="A414" s="5">
        <f>ROW()-2</f>
        <v/>
      </c>
      <c r="B414" s="4" t="inlineStr">
        <is>
          <t>Metrópole</t>
        </is>
      </c>
      <c r="C414" s="5" t="n">
        <v>412</v>
      </c>
      <c r="D414" s="5">
        <f>IFERROR(INDEX('Base de sorteio'!$A$3:$A$1723,MATCH($B414&amp;"|"&amp;$C414,'Base de sorteio'!$I$3:$I$1723,0)),"")</f>
        <v/>
      </c>
      <c r="E414" s="4">
        <f>IFERROR(INDEX('Base de sorteio'!$B$3:$B$1723,MATCH($B414&amp;"|"&amp;$C414,'Base de sorteio'!$I$3:$I$1723,0)),"")</f>
        <v/>
      </c>
      <c r="F414" s="4">
        <f>IFERROR(INDEX('Base de sorteio'!$C$3:$C$1723,MATCH($B414&amp;"|"&amp;$C414,'Base de sorteio'!$I$3:$I$1723,0)),"")</f>
        <v/>
      </c>
      <c r="G414" s="4">
        <f>IFERROR(INDEX('Base de sorteio'!$D$3:$D$1723,MATCH($B414&amp;"|"&amp;$C414,'Base de sorteio'!$I$3:$I$1723,0)),"")</f>
        <v/>
      </c>
      <c r="H414" s="4">
        <f>IFERROR(INDEX('Base de sorteio'!$E$3:$E$1723,MATCH($B414&amp;"|"&amp;$C414,'Base de sorteio'!$I$3:$I$1723,0)),"")</f>
        <v/>
      </c>
      <c r="I414" s="4">
        <f>IF(E414="","",HYPERLINK(IFERROR(INDEX('Base de sorteio'!$J$3:$J$1723,MATCH($B414&amp;"|"&amp;$C414,'Base de sorteio'!$I$3:$I$1723,0)),""),"abrir"))</f>
        <v/>
      </c>
      <c r="J414" s="4" t="n"/>
      <c r="K414" s="4" t="n"/>
      <c r="L414" s="4" t="n"/>
      <c r="M414" s="4" t="n"/>
      <c r="N414" s="4">
        <f>IF(AND(K414="",M414=""),"",IF(OR(K414="sim",M414="sim"),"sim",IF(OR(K414="inconclusivo",M414="inconclusivo"),"inconclusivo","não")))</f>
        <v/>
      </c>
      <c r="O414" s="5">
        <f>IF(N414="sim",COUNTIFS($B$3:$B414,$B414,$N$3:$N414,"sim"),"")</f>
        <v/>
      </c>
      <c r="P414" s="5" t="n"/>
      <c r="Q414" s="4" t="n"/>
      <c r="R414" s="5" t="n"/>
      <c r="S414" s="9" t="n"/>
      <c r="T414" s="4" t="n"/>
    </row>
    <row r="415">
      <c r="A415" s="5">
        <f>ROW()-2</f>
        <v/>
      </c>
      <c r="B415" s="4" t="inlineStr">
        <is>
          <t>Metrópole</t>
        </is>
      </c>
      <c r="C415" s="5" t="n">
        <v>413</v>
      </c>
      <c r="D415" s="5">
        <f>IFERROR(INDEX('Base de sorteio'!$A$3:$A$1723,MATCH($B415&amp;"|"&amp;$C415,'Base de sorteio'!$I$3:$I$1723,0)),"")</f>
        <v/>
      </c>
      <c r="E415" s="4">
        <f>IFERROR(INDEX('Base de sorteio'!$B$3:$B$1723,MATCH($B415&amp;"|"&amp;$C415,'Base de sorteio'!$I$3:$I$1723,0)),"")</f>
        <v/>
      </c>
      <c r="F415" s="4">
        <f>IFERROR(INDEX('Base de sorteio'!$C$3:$C$1723,MATCH($B415&amp;"|"&amp;$C415,'Base de sorteio'!$I$3:$I$1723,0)),"")</f>
        <v/>
      </c>
      <c r="G415" s="4">
        <f>IFERROR(INDEX('Base de sorteio'!$D$3:$D$1723,MATCH($B415&amp;"|"&amp;$C415,'Base de sorteio'!$I$3:$I$1723,0)),"")</f>
        <v/>
      </c>
      <c r="H415" s="4">
        <f>IFERROR(INDEX('Base de sorteio'!$E$3:$E$1723,MATCH($B415&amp;"|"&amp;$C415,'Base de sorteio'!$I$3:$I$1723,0)),"")</f>
        <v/>
      </c>
      <c r="I415" s="4">
        <f>IF(E415="","",HYPERLINK(IFERROR(INDEX('Base de sorteio'!$J$3:$J$1723,MATCH($B415&amp;"|"&amp;$C415,'Base de sorteio'!$I$3:$I$1723,0)),""),"abrir"))</f>
        <v/>
      </c>
      <c r="J415" s="4" t="n"/>
      <c r="K415" s="4" t="n"/>
      <c r="L415" s="4" t="n"/>
      <c r="M415" s="4" t="n"/>
      <c r="N415" s="4">
        <f>IF(AND(K415="",M415=""),"",IF(OR(K415="sim",M415="sim"),"sim",IF(OR(K415="inconclusivo",M415="inconclusivo"),"inconclusivo","não")))</f>
        <v/>
      </c>
      <c r="O415" s="5">
        <f>IF(N415="sim",COUNTIFS($B$3:$B415,$B415,$N$3:$N415,"sim"),"")</f>
        <v/>
      </c>
      <c r="P415" s="5" t="n"/>
      <c r="Q415" s="4" t="n"/>
      <c r="R415" s="5" t="n"/>
      <c r="S415" s="9" t="n"/>
      <c r="T415" s="4" t="n"/>
    </row>
    <row r="416">
      <c r="A416" s="5">
        <f>ROW()-2</f>
        <v/>
      </c>
      <c r="B416" s="4" t="inlineStr">
        <is>
          <t>Metrópole</t>
        </is>
      </c>
      <c r="C416" s="5" t="n">
        <v>414</v>
      </c>
      <c r="D416" s="5">
        <f>IFERROR(INDEX('Base de sorteio'!$A$3:$A$1723,MATCH($B416&amp;"|"&amp;$C416,'Base de sorteio'!$I$3:$I$1723,0)),"")</f>
        <v/>
      </c>
      <c r="E416" s="4">
        <f>IFERROR(INDEX('Base de sorteio'!$B$3:$B$1723,MATCH($B416&amp;"|"&amp;$C416,'Base de sorteio'!$I$3:$I$1723,0)),"")</f>
        <v/>
      </c>
      <c r="F416" s="4">
        <f>IFERROR(INDEX('Base de sorteio'!$C$3:$C$1723,MATCH($B416&amp;"|"&amp;$C416,'Base de sorteio'!$I$3:$I$1723,0)),"")</f>
        <v/>
      </c>
      <c r="G416" s="4">
        <f>IFERROR(INDEX('Base de sorteio'!$D$3:$D$1723,MATCH($B416&amp;"|"&amp;$C416,'Base de sorteio'!$I$3:$I$1723,0)),"")</f>
        <v/>
      </c>
      <c r="H416" s="4">
        <f>IFERROR(INDEX('Base de sorteio'!$E$3:$E$1723,MATCH($B416&amp;"|"&amp;$C416,'Base de sorteio'!$I$3:$I$1723,0)),"")</f>
        <v/>
      </c>
      <c r="I416" s="4">
        <f>IF(E416="","",HYPERLINK(IFERROR(INDEX('Base de sorteio'!$J$3:$J$1723,MATCH($B416&amp;"|"&amp;$C416,'Base de sorteio'!$I$3:$I$1723,0)),""),"abrir"))</f>
        <v/>
      </c>
      <c r="J416" s="4" t="n"/>
      <c r="K416" s="4" t="n"/>
      <c r="L416" s="4" t="n"/>
      <c r="M416" s="4" t="n"/>
      <c r="N416" s="4">
        <f>IF(AND(K416="",M416=""),"",IF(OR(K416="sim",M416="sim"),"sim",IF(OR(K416="inconclusivo",M416="inconclusivo"),"inconclusivo","não")))</f>
        <v/>
      </c>
      <c r="O416" s="5">
        <f>IF(N416="sim",COUNTIFS($B$3:$B416,$B416,$N$3:$N416,"sim"),"")</f>
        <v/>
      </c>
      <c r="P416" s="5" t="n"/>
      <c r="Q416" s="4" t="n"/>
      <c r="R416" s="5" t="n"/>
      <c r="S416" s="9" t="n"/>
      <c r="T416" s="4" t="n"/>
    </row>
    <row r="417">
      <c r="A417" s="5">
        <f>ROW()-2</f>
        <v/>
      </c>
      <c r="B417" s="4" t="inlineStr">
        <is>
          <t>Metrópole</t>
        </is>
      </c>
      <c r="C417" s="5" t="n">
        <v>415</v>
      </c>
      <c r="D417" s="5">
        <f>IFERROR(INDEX('Base de sorteio'!$A$3:$A$1723,MATCH($B417&amp;"|"&amp;$C417,'Base de sorteio'!$I$3:$I$1723,0)),"")</f>
        <v/>
      </c>
      <c r="E417" s="4">
        <f>IFERROR(INDEX('Base de sorteio'!$B$3:$B$1723,MATCH($B417&amp;"|"&amp;$C417,'Base de sorteio'!$I$3:$I$1723,0)),"")</f>
        <v/>
      </c>
      <c r="F417" s="4">
        <f>IFERROR(INDEX('Base de sorteio'!$C$3:$C$1723,MATCH($B417&amp;"|"&amp;$C417,'Base de sorteio'!$I$3:$I$1723,0)),"")</f>
        <v/>
      </c>
      <c r="G417" s="4">
        <f>IFERROR(INDEX('Base de sorteio'!$D$3:$D$1723,MATCH($B417&amp;"|"&amp;$C417,'Base de sorteio'!$I$3:$I$1723,0)),"")</f>
        <v/>
      </c>
      <c r="H417" s="4">
        <f>IFERROR(INDEX('Base de sorteio'!$E$3:$E$1723,MATCH($B417&amp;"|"&amp;$C417,'Base de sorteio'!$I$3:$I$1723,0)),"")</f>
        <v/>
      </c>
      <c r="I417" s="4">
        <f>IF(E417="","",HYPERLINK(IFERROR(INDEX('Base de sorteio'!$J$3:$J$1723,MATCH($B417&amp;"|"&amp;$C417,'Base de sorteio'!$I$3:$I$1723,0)),""),"abrir"))</f>
        <v/>
      </c>
      <c r="J417" s="4" t="n"/>
      <c r="K417" s="4" t="n"/>
      <c r="L417" s="4" t="n"/>
      <c r="M417" s="4" t="n"/>
      <c r="N417" s="4">
        <f>IF(AND(K417="",M417=""),"",IF(OR(K417="sim",M417="sim"),"sim",IF(OR(K417="inconclusivo",M417="inconclusivo"),"inconclusivo","não")))</f>
        <v/>
      </c>
      <c r="O417" s="5">
        <f>IF(N417="sim",COUNTIFS($B$3:$B417,$B417,$N$3:$N417,"sim"),"")</f>
        <v/>
      </c>
      <c r="P417" s="5" t="n"/>
      <c r="Q417" s="4" t="n"/>
      <c r="R417" s="5" t="n"/>
      <c r="S417" s="9" t="n"/>
      <c r="T417" s="4" t="n"/>
    </row>
    <row r="418">
      <c r="A418" s="5">
        <f>ROW()-2</f>
        <v/>
      </c>
      <c r="B418" s="4" t="inlineStr">
        <is>
          <t>Metrópole</t>
        </is>
      </c>
      <c r="C418" s="5" t="n">
        <v>416</v>
      </c>
      <c r="D418" s="5">
        <f>IFERROR(INDEX('Base de sorteio'!$A$3:$A$1723,MATCH($B418&amp;"|"&amp;$C418,'Base de sorteio'!$I$3:$I$1723,0)),"")</f>
        <v/>
      </c>
      <c r="E418" s="4">
        <f>IFERROR(INDEX('Base de sorteio'!$B$3:$B$1723,MATCH($B418&amp;"|"&amp;$C418,'Base de sorteio'!$I$3:$I$1723,0)),"")</f>
        <v/>
      </c>
      <c r="F418" s="4">
        <f>IFERROR(INDEX('Base de sorteio'!$C$3:$C$1723,MATCH($B418&amp;"|"&amp;$C418,'Base de sorteio'!$I$3:$I$1723,0)),"")</f>
        <v/>
      </c>
      <c r="G418" s="4">
        <f>IFERROR(INDEX('Base de sorteio'!$D$3:$D$1723,MATCH($B418&amp;"|"&amp;$C418,'Base de sorteio'!$I$3:$I$1723,0)),"")</f>
        <v/>
      </c>
      <c r="H418" s="4">
        <f>IFERROR(INDEX('Base de sorteio'!$E$3:$E$1723,MATCH($B418&amp;"|"&amp;$C418,'Base de sorteio'!$I$3:$I$1723,0)),"")</f>
        <v/>
      </c>
      <c r="I418" s="4">
        <f>IF(E418="","",HYPERLINK(IFERROR(INDEX('Base de sorteio'!$J$3:$J$1723,MATCH($B418&amp;"|"&amp;$C418,'Base de sorteio'!$I$3:$I$1723,0)),""),"abrir"))</f>
        <v/>
      </c>
      <c r="J418" s="4" t="n"/>
      <c r="K418" s="4" t="n"/>
      <c r="L418" s="4" t="n"/>
      <c r="M418" s="4" t="n"/>
      <c r="N418" s="4">
        <f>IF(AND(K418="",M418=""),"",IF(OR(K418="sim",M418="sim"),"sim",IF(OR(K418="inconclusivo",M418="inconclusivo"),"inconclusivo","não")))</f>
        <v/>
      </c>
      <c r="O418" s="5">
        <f>IF(N418="sim",COUNTIFS($B$3:$B418,$B418,$N$3:$N418,"sim"),"")</f>
        <v/>
      </c>
      <c r="P418" s="5" t="n"/>
      <c r="Q418" s="4" t="n"/>
      <c r="R418" s="5" t="n"/>
      <c r="S418" s="9" t="n"/>
      <c r="T418" s="4" t="n"/>
    </row>
    <row r="419">
      <c r="A419" s="5">
        <f>ROW()-2</f>
        <v/>
      </c>
      <c r="B419" s="4" t="inlineStr">
        <is>
          <t>Metrópole</t>
        </is>
      </c>
      <c r="C419" s="5" t="n">
        <v>417</v>
      </c>
      <c r="D419" s="5">
        <f>IFERROR(INDEX('Base de sorteio'!$A$3:$A$1723,MATCH($B419&amp;"|"&amp;$C419,'Base de sorteio'!$I$3:$I$1723,0)),"")</f>
        <v/>
      </c>
      <c r="E419" s="4">
        <f>IFERROR(INDEX('Base de sorteio'!$B$3:$B$1723,MATCH($B419&amp;"|"&amp;$C419,'Base de sorteio'!$I$3:$I$1723,0)),"")</f>
        <v/>
      </c>
      <c r="F419" s="4">
        <f>IFERROR(INDEX('Base de sorteio'!$C$3:$C$1723,MATCH($B419&amp;"|"&amp;$C419,'Base de sorteio'!$I$3:$I$1723,0)),"")</f>
        <v/>
      </c>
      <c r="G419" s="4">
        <f>IFERROR(INDEX('Base de sorteio'!$D$3:$D$1723,MATCH($B419&amp;"|"&amp;$C419,'Base de sorteio'!$I$3:$I$1723,0)),"")</f>
        <v/>
      </c>
      <c r="H419" s="4">
        <f>IFERROR(INDEX('Base de sorteio'!$E$3:$E$1723,MATCH($B419&amp;"|"&amp;$C419,'Base de sorteio'!$I$3:$I$1723,0)),"")</f>
        <v/>
      </c>
      <c r="I419" s="4">
        <f>IF(E419="","",HYPERLINK(IFERROR(INDEX('Base de sorteio'!$J$3:$J$1723,MATCH($B419&amp;"|"&amp;$C419,'Base de sorteio'!$I$3:$I$1723,0)),""),"abrir"))</f>
        <v/>
      </c>
      <c r="J419" s="4" t="n"/>
      <c r="K419" s="4" t="n"/>
      <c r="L419" s="4" t="n"/>
      <c r="M419" s="4" t="n"/>
      <c r="N419" s="4">
        <f>IF(AND(K419="",M419=""),"",IF(OR(K419="sim",M419="sim"),"sim",IF(OR(K419="inconclusivo",M419="inconclusivo"),"inconclusivo","não")))</f>
        <v/>
      </c>
      <c r="O419" s="5">
        <f>IF(N419="sim",COUNTIFS($B$3:$B419,$B419,$N$3:$N419,"sim"),"")</f>
        <v/>
      </c>
      <c r="P419" s="5" t="n"/>
      <c r="Q419" s="4" t="n"/>
      <c r="R419" s="5" t="n"/>
      <c r="S419" s="9" t="n"/>
      <c r="T419" s="4" t="n"/>
    </row>
    <row r="420">
      <c r="A420" s="5">
        <f>ROW()-2</f>
        <v/>
      </c>
      <c r="B420" s="4" t="inlineStr">
        <is>
          <t>Metrópole</t>
        </is>
      </c>
      <c r="C420" s="5" t="n">
        <v>418</v>
      </c>
      <c r="D420" s="5">
        <f>IFERROR(INDEX('Base de sorteio'!$A$3:$A$1723,MATCH($B420&amp;"|"&amp;$C420,'Base de sorteio'!$I$3:$I$1723,0)),"")</f>
        <v/>
      </c>
      <c r="E420" s="4">
        <f>IFERROR(INDEX('Base de sorteio'!$B$3:$B$1723,MATCH($B420&amp;"|"&amp;$C420,'Base de sorteio'!$I$3:$I$1723,0)),"")</f>
        <v/>
      </c>
      <c r="F420" s="4">
        <f>IFERROR(INDEX('Base de sorteio'!$C$3:$C$1723,MATCH($B420&amp;"|"&amp;$C420,'Base de sorteio'!$I$3:$I$1723,0)),"")</f>
        <v/>
      </c>
      <c r="G420" s="4">
        <f>IFERROR(INDEX('Base de sorteio'!$D$3:$D$1723,MATCH($B420&amp;"|"&amp;$C420,'Base de sorteio'!$I$3:$I$1723,0)),"")</f>
        <v/>
      </c>
      <c r="H420" s="4">
        <f>IFERROR(INDEX('Base de sorteio'!$E$3:$E$1723,MATCH($B420&amp;"|"&amp;$C420,'Base de sorteio'!$I$3:$I$1723,0)),"")</f>
        <v/>
      </c>
      <c r="I420" s="4">
        <f>IF(E420="","",HYPERLINK(IFERROR(INDEX('Base de sorteio'!$J$3:$J$1723,MATCH($B420&amp;"|"&amp;$C420,'Base de sorteio'!$I$3:$I$1723,0)),""),"abrir"))</f>
        <v/>
      </c>
      <c r="J420" s="4" t="n"/>
      <c r="K420" s="4" t="n"/>
      <c r="L420" s="4" t="n"/>
      <c r="M420" s="4" t="n"/>
      <c r="N420" s="4">
        <f>IF(AND(K420="",M420=""),"",IF(OR(K420="sim",M420="sim"),"sim",IF(OR(K420="inconclusivo",M420="inconclusivo"),"inconclusivo","não")))</f>
        <v/>
      </c>
      <c r="O420" s="5">
        <f>IF(N420="sim",COUNTIFS($B$3:$B420,$B420,$N$3:$N420,"sim"),"")</f>
        <v/>
      </c>
      <c r="P420" s="5" t="n"/>
      <c r="Q420" s="4" t="n"/>
      <c r="R420" s="5" t="n"/>
      <c r="S420" s="9" t="n"/>
      <c r="T420" s="4" t="n"/>
    </row>
    <row r="421">
      <c r="A421" s="5">
        <f>ROW()-2</f>
        <v/>
      </c>
      <c r="B421" s="4" t="inlineStr">
        <is>
          <t>Metrópole</t>
        </is>
      </c>
      <c r="C421" s="5" t="n">
        <v>419</v>
      </c>
      <c r="D421" s="5">
        <f>IFERROR(INDEX('Base de sorteio'!$A$3:$A$1723,MATCH($B421&amp;"|"&amp;$C421,'Base de sorteio'!$I$3:$I$1723,0)),"")</f>
        <v/>
      </c>
      <c r="E421" s="4">
        <f>IFERROR(INDEX('Base de sorteio'!$B$3:$B$1723,MATCH($B421&amp;"|"&amp;$C421,'Base de sorteio'!$I$3:$I$1723,0)),"")</f>
        <v/>
      </c>
      <c r="F421" s="4">
        <f>IFERROR(INDEX('Base de sorteio'!$C$3:$C$1723,MATCH($B421&amp;"|"&amp;$C421,'Base de sorteio'!$I$3:$I$1723,0)),"")</f>
        <v/>
      </c>
      <c r="G421" s="4">
        <f>IFERROR(INDEX('Base de sorteio'!$D$3:$D$1723,MATCH($B421&amp;"|"&amp;$C421,'Base de sorteio'!$I$3:$I$1723,0)),"")</f>
        <v/>
      </c>
      <c r="H421" s="4">
        <f>IFERROR(INDEX('Base de sorteio'!$E$3:$E$1723,MATCH($B421&amp;"|"&amp;$C421,'Base de sorteio'!$I$3:$I$1723,0)),"")</f>
        <v/>
      </c>
      <c r="I421" s="4">
        <f>IF(E421="","",HYPERLINK(IFERROR(INDEX('Base de sorteio'!$J$3:$J$1723,MATCH($B421&amp;"|"&amp;$C421,'Base de sorteio'!$I$3:$I$1723,0)),""),"abrir"))</f>
        <v/>
      </c>
      <c r="J421" s="4" t="n"/>
      <c r="K421" s="4" t="n"/>
      <c r="L421" s="4" t="n"/>
      <c r="M421" s="4" t="n"/>
      <c r="N421" s="4">
        <f>IF(AND(K421="",M421=""),"",IF(OR(K421="sim",M421="sim"),"sim",IF(OR(K421="inconclusivo",M421="inconclusivo"),"inconclusivo","não")))</f>
        <v/>
      </c>
      <c r="O421" s="5">
        <f>IF(N421="sim",COUNTIFS($B$3:$B421,$B421,$N$3:$N421,"sim"),"")</f>
        <v/>
      </c>
      <c r="P421" s="5" t="n"/>
      <c r="Q421" s="4" t="n"/>
      <c r="R421" s="5" t="n"/>
      <c r="S421" s="9" t="n"/>
      <c r="T421" s="4" t="n"/>
    </row>
    <row r="422">
      <c r="A422" s="5">
        <f>ROW()-2</f>
        <v/>
      </c>
      <c r="B422" s="4" t="inlineStr">
        <is>
          <t>Metrópole</t>
        </is>
      </c>
      <c r="C422" s="5" t="n">
        <v>420</v>
      </c>
      <c r="D422" s="5">
        <f>IFERROR(INDEX('Base de sorteio'!$A$3:$A$1723,MATCH($B422&amp;"|"&amp;$C422,'Base de sorteio'!$I$3:$I$1723,0)),"")</f>
        <v/>
      </c>
      <c r="E422" s="4">
        <f>IFERROR(INDEX('Base de sorteio'!$B$3:$B$1723,MATCH($B422&amp;"|"&amp;$C422,'Base de sorteio'!$I$3:$I$1723,0)),"")</f>
        <v/>
      </c>
      <c r="F422" s="4">
        <f>IFERROR(INDEX('Base de sorteio'!$C$3:$C$1723,MATCH($B422&amp;"|"&amp;$C422,'Base de sorteio'!$I$3:$I$1723,0)),"")</f>
        <v/>
      </c>
      <c r="G422" s="4">
        <f>IFERROR(INDEX('Base de sorteio'!$D$3:$D$1723,MATCH($B422&amp;"|"&amp;$C422,'Base de sorteio'!$I$3:$I$1723,0)),"")</f>
        <v/>
      </c>
      <c r="H422" s="4">
        <f>IFERROR(INDEX('Base de sorteio'!$E$3:$E$1723,MATCH($B422&amp;"|"&amp;$C422,'Base de sorteio'!$I$3:$I$1723,0)),"")</f>
        <v/>
      </c>
      <c r="I422" s="4">
        <f>IF(E422="","",HYPERLINK(IFERROR(INDEX('Base de sorteio'!$J$3:$J$1723,MATCH($B422&amp;"|"&amp;$C422,'Base de sorteio'!$I$3:$I$1723,0)),""),"abrir"))</f>
        <v/>
      </c>
      <c r="J422" s="4" t="n"/>
      <c r="K422" s="4" t="n"/>
      <c r="L422" s="4" t="n"/>
      <c r="M422" s="4" t="n"/>
      <c r="N422" s="4">
        <f>IF(AND(K422="",M422=""),"",IF(OR(K422="sim",M422="sim"),"sim",IF(OR(K422="inconclusivo",M422="inconclusivo"),"inconclusivo","não")))</f>
        <v/>
      </c>
      <c r="O422" s="5">
        <f>IF(N422="sim",COUNTIFS($B$3:$B422,$B422,$N$3:$N422,"sim"),"")</f>
        <v/>
      </c>
      <c r="P422" s="5" t="n"/>
      <c r="Q422" s="4" t="n"/>
      <c r="R422" s="5" t="n"/>
      <c r="S422" s="9" t="n"/>
      <c r="T422" s="4" t="n"/>
    </row>
    <row r="423">
      <c r="A423" s="5">
        <f>ROW()-2</f>
        <v/>
      </c>
      <c r="B423" s="4" t="inlineStr">
        <is>
          <t>Metrópole</t>
        </is>
      </c>
      <c r="C423" s="5" t="n">
        <v>421</v>
      </c>
      <c r="D423" s="5">
        <f>IFERROR(INDEX('Base de sorteio'!$A$3:$A$1723,MATCH($B423&amp;"|"&amp;$C423,'Base de sorteio'!$I$3:$I$1723,0)),"")</f>
        <v/>
      </c>
      <c r="E423" s="4">
        <f>IFERROR(INDEX('Base de sorteio'!$B$3:$B$1723,MATCH($B423&amp;"|"&amp;$C423,'Base de sorteio'!$I$3:$I$1723,0)),"")</f>
        <v/>
      </c>
      <c r="F423" s="4">
        <f>IFERROR(INDEX('Base de sorteio'!$C$3:$C$1723,MATCH($B423&amp;"|"&amp;$C423,'Base de sorteio'!$I$3:$I$1723,0)),"")</f>
        <v/>
      </c>
      <c r="G423" s="4">
        <f>IFERROR(INDEX('Base de sorteio'!$D$3:$D$1723,MATCH($B423&amp;"|"&amp;$C423,'Base de sorteio'!$I$3:$I$1723,0)),"")</f>
        <v/>
      </c>
      <c r="H423" s="4">
        <f>IFERROR(INDEX('Base de sorteio'!$E$3:$E$1723,MATCH($B423&amp;"|"&amp;$C423,'Base de sorteio'!$I$3:$I$1723,0)),"")</f>
        <v/>
      </c>
      <c r="I423" s="4">
        <f>IF(E423="","",HYPERLINK(IFERROR(INDEX('Base de sorteio'!$J$3:$J$1723,MATCH($B423&amp;"|"&amp;$C423,'Base de sorteio'!$I$3:$I$1723,0)),""),"abrir"))</f>
        <v/>
      </c>
      <c r="J423" s="4" t="n"/>
      <c r="K423" s="4" t="n"/>
      <c r="L423" s="4" t="n"/>
      <c r="M423" s="4" t="n"/>
      <c r="N423" s="4">
        <f>IF(AND(K423="",M423=""),"",IF(OR(K423="sim",M423="sim"),"sim",IF(OR(K423="inconclusivo",M423="inconclusivo"),"inconclusivo","não")))</f>
        <v/>
      </c>
      <c r="O423" s="5">
        <f>IF(N423="sim",COUNTIFS($B$3:$B423,$B423,$N$3:$N423,"sim"),"")</f>
        <v/>
      </c>
      <c r="P423" s="5" t="n"/>
      <c r="Q423" s="4" t="n"/>
      <c r="R423" s="5" t="n"/>
      <c r="S423" s="9" t="n"/>
      <c r="T423" s="4" t="n"/>
    </row>
    <row r="424">
      <c r="A424" s="5">
        <f>ROW()-2</f>
        <v/>
      </c>
      <c r="B424" s="4" t="inlineStr">
        <is>
          <t>Metrópole</t>
        </is>
      </c>
      <c r="C424" s="5" t="n">
        <v>422</v>
      </c>
      <c r="D424" s="5">
        <f>IFERROR(INDEX('Base de sorteio'!$A$3:$A$1723,MATCH($B424&amp;"|"&amp;$C424,'Base de sorteio'!$I$3:$I$1723,0)),"")</f>
        <v/>
      </c>
      <c r="E424" s="4">
        <f>IFERROR(INDEX('Base de sorteio'!$B$3:$B$1723,MATCH($B424&amp;"|"&amp;$C424,'Base de sorteio'!$I$3:$I$1723,0)),"")</f>
        <v/>
      </c>
      <c r="F424" s="4">
        <f>IFERROR(INDEX('Base de sorteio'!$C$3:$C$1723,MATCH($B424&amp;"|"&amp;$C424,'Base de sorteio'!$I$3:$I$1723,0)),"")</f>
        <v/>
      </c>
      <c r="G424" s="4">
        <f>IFERROR(INDEX('Base de sorteio'!$D$3:$D$1723,MATCH($B424&amp;"|"&amp;$C424,'Base de sorteio'!$I$3:$I$1723,0)),"")</f>
        <v/>
      </c>
      <c r="H424" s="4">
        <f>IFERROR(INDEX('Base de sorteio'!$E$3:$E$1723,MATCH($B424&amp;"|"&amp;$C424,'Base de sorteio'!$I$3:$I$1723,0)),"")</f>
        <v/>
      </c>
      <c r="I424" s="4">
        <f>IF(E424="","",HYPERLINK(IFERROR(INDEX('Base de sorteio'!$J$3:$J$1723,MATCH($B424&amp;"|"&amp;$C424,'Base de sorteio'!$I$3:$I$1723,0)),""),"abrir"))</f>
        <v/>
      </c>
      <c r="J424" s="4" t="n"/>
      <c r="K424" s="4" t="n"/>
      <c r="L424" s="4" t="n"/>
      <c r="M424" s="4" t="n"/>
      <c r="N424" s="4">
        <f>IF(AND(K424="",M424=""),"",IF(OR(K424="sim",M424="sim"),"sim",IF(OR(K424="inconclusivo",M424="inconclusivo"),"inconclusivo","não")))</f>
        <v/>
      </c>
      <c r="O424" s="5">
        <f>IF(N424="sim",COUNTIFS($B$3:$B424,$B424,$N$3:$N424,"sim"),"")</f>
        <v/>
      </c>
      <c r="P424" s="5" t="n"/>
      <c r="Q424" s="4" t="n"/>
      <c r="R424" s="5" t="n"/>
      <c r="S424" s="9" t="n"/>
      <c r="T424" s="4" t="n"/>
    </row>
    <row r="425">
      <c r="A425" s="5">
        <f>ROW()-2</f>
        <v/>
      </c>
      <c r="B425" s="4" t="inlineStr">
        <is>
          <t>Metrópole</t>
        </is>
      </c>
      <c r="C425" s="5" t="n">
        <v>423</v>
      </c>
      <c r="D425" s="5">
        <f>IFERROR(INDEX('Base de sorteio'!$A$3:$A$1723,MATCH($B425&amp;"|"&amp;$C425,'Base de sorteio'!$I$3:$I$1723,0)),"")</f>
        <v/>
      </c>
      <c r="E425" s="4">
        <f>IFERROR(INDEX('Base de sorteio'!$B$3:$B$1723,MATCH($B425&amp;"|"&amp;$C425,'Base de sorteio'!$I$3:$I$1723,0)),"")</f>
        <v/>
      </c>
      <c r="F425" s="4">
        <f>IFERROR(INDEX('Base de sorteio'!$C$3:$C$1723,MATCH($B425&amp;"|"&amp;$C425,'Base de sorteio'!$I$3:$I$1723,0)),"")</f>
        <v/>
      </c>
      <c r="G425" s="4">
        <f>IFERROR(INDEX('Base de sorteio'!$D$3:$D$1723,MATCH($B425&amp;"|"&amp;$C425,'Base de sorteio'!$I$3:$I$1723,0)),"")</f>
        <v/>
      </c>
      <c r="H425" s="4">
        <f>IFERROR(INDEX('Base de sorteio'!$E$3:$E$1723,MATCH($B425&amp;"|"&amp;$C425,'Base de sorteio'!$I$3:$I$1723,0)),"")</f>
        <v/>
      </c>
      <c r="I425" s="4">
        <f>IF(E425="","",HYPERLINK(IFERROR(INDEX('Base de sorteio'!$J$3:$J$1723,MATCH($B425&amp;"|"&amp;$C425,'Base de sorteio'!$I$3:$I$1723,0)),""),"abrir"))</f>
        <v/>
      </c>
      <c r="J425" s="4" t="n"/>
      <c r="K425" s="4" t="n"/>
      <c r="L425" s="4" t="n"/>
      <c r="M425" s="4" t="n"/>
      <c r="N425" s="4">
        <f>IF(AND(K425="",M425=""),"",IF(OR(K425="sim",M425="sim"),"sim",IF(OR(K425="inconclusivo",M425="inconclusivo"),"inconclusivo","não")))</f>
        <v/>
      </c>
      <c r="O425" s="5">
        <f>IF(N425="sim",COUNTIFS($B$3:$B425,$B425,$N$3:$N425,"sim"),"")</f>
        <v/>
      </c>
      <c r="P425" s="5" t="n"/>
      <c r="Q425" s="4" t="n"/>
      <c r="R425" s="5" t="n"/>
      <c r="S425" s="9" t="n"/>
      <c r="T425" s="4" t="n"/>
    </row>
    <row r="426">
      <c r="A426" s="5">
        <f>ROW()-2</f>
        <v/>
      </c>
      <c r="B426" s="4" t="inlineStr">
        <is>
          <t>Metrópole</t>
        </is>
      </c>
      <c r="C426" s="5" t="n">
        <v>424</v>
      </c>
      <c r="D426" s="5">
        <f>IFERROR(INDEX('Base de sorteio'!$A$3:$A$1723,MATCH($B426&amp;"|"&amp;$C426,'Base de sorteio'!$I$3:$I$1723,0)),"")</f>
        <v/>
      </c>
      <c r="E426" s="4">
        <f>IFERROR(INDEX('Base de sorteio'!$B$3:$B$1723,MATCH($B426&amp;"|"&amp;$C426,'Base de sorteio'!$I$3:$I$1723,0)),"")</f>
        <v/>
      </c>
      <c r="F426" s="4">
        <f>IFERROR(INDEX('Base de sorteio'!$C$3:$C$1723,MATCH($B426&amp;"|"&amp;$C426,'Base de sorteio'!$I$3:$I$1723,0)),"")</f>
        <v/>
      </c>
      <c r="G426" s="4">
        <f>IFERROR(INDEX('Base de sorteio'!$D$3:$D$1723,MATCH($B426&amp;"|"&amp;$C426,'Base de sorteio'!$I$3:$I$1723,0)),"")</f>
        <v/>
      </c>
      <c r="H426" s="4">
        <f>IFERROR(INDEX('Base de sorteio'!$E$3:$E$1723,MATCH($B426&amp;"|"&amp;$C426,'Base de sorteio'!$I$3:$I$1723,0)),"")</f>
        <v/>
      </c>
      <c r="I426" s="4">
        <f>IF(E426="","",HYPERLINK(IFERROR(INDEX('Base de sorteio'!$J$3:$J$1723,MATCH($B426&amp;"|"&amp;$C426,'Base de sorteio'!$I$3:$I$1723,0)),""),"abrir"))</f>
        <v/>
      </c>
      <c r="J426" s="4" t="n"/>
      <c r="K426" s="4" t="n"/>
      <c r="L426" s="4" t="n"/>
      <c r="M426" s="4" t="n"/>
      <c r="N426" s="4">
        <f>IF(AND(K426="",M426=""),"",IF(OR(K426="sim",M426="sim"),"sim",IF(OR(K426="inconclusivo",M426="inconclusivo"),"inconclusivo","não")))</f>
        <v/>
      </c>
      <c r="O426" s="5">
        <f>IF(N426="sim",COUNTIFS($B$3:$B426,$B426,$N$3:$N426,"sim"),"")</f>
        <v/>
      </c>
      <c r="P426" s="5" t="n"/>
      <c r="Q426" s="4" t="n"/>
      <c r="R426" s="5" t="n"/>
      <c r="S426" s="9" t="n"/>
      <c r="T426" s="4" t="n"/>
    </row>
    <row r="427">
      <c r="A427" s="5">
        <f>ROW()-2</f>
        <v/>
      </c>
      <c r="B427" s="4" t="inlineStr">
        <is>
          <t>Metrópole</t>
        </is>
      </c>
      <c r="C427" s="5" t="n">
        <v>425</v>
      </c>
      <c r="D427" s="5">
        <f>IFERROR(INDEX('Base de sorteio'!$A$3:$A$1723,MATCH($B427&amp;"|"&amp;$C427,'Base de sorteio'!$I$3:$I$1723,0)),"")</f>
        <v/>
      </c>
      <c r="E427" s="4">
        <f>IFERROR(INDEX('Base de sorteio'!$B$3:$B$1723,MATCH($B427&amp;"|"&amp;$C427,'Base de sorteio'!$I$3:$I$1723,0)),"")</f>
        <v/>
      </c>
      <c r="F427" s="4">
        <f>IFERROR(INDEX('Base de sorteio'!$C$3:$C$1723,MATCH($B427&amp;"|"&amp;$C427,'Base de sorteio'!$I$3:$I$1723,0)),"")</f>
        <v/>
      </c>
      <c r="G427" s="4">
        <f>IFERROR(INDEX('Base de sorteio'!$D$3:$D$1723,MATCH($B427&amp;"|"&amp;$C427,'Base de sorteio'!$I$3:$I$1723,0)),"")</f>
        <v/>
      </c>
      <c r="H427" s="4">
        <f>IFERROR(INDEX('Base de sorteio'!$E$3:$E$1723,MATCH($B427&amp;"|"&amp;$C427,'Base de sorteio'!$I$3:$I$1723,0)),"")</f>
        <v/>
      </c>
      <c r="I427" s="4">
        <f>IF(E427="","",HYPERLINK(IFERROR(INDEX('Base de sorteio'!$J$3:$J$1723,MATCH($B427&amp;"|"&amp;$C427,'Base de sorteio'!$I$3:$I$1723,0)),""),"abrir"))</f>
        <v/>
      </c>
      <c r="J427" s="4" t="n"/>
      <c r="K427" s="4" t="n"/>
      <c r="L427" s="4" t="n"/>
      <c r="M427" s="4" t="n"/>
      <c r="N427" s="4">
        <f>IF(AND(K427="",M427=""),"",IF(OR(K427="sim",M427="sim"),"sim",IF(OR(K427="inconclusivo",M427="inconclusivo"),"inconclusivo","não")))</f>
        <v/>
      </c>
      <c r="O427" s="5">
        <f>IF(N427="sim",COUNTIFS($B$3:$B427,$B427,$N$3:$N427,"sim"),"")</f>
        <v/>
      </c>
      <c r="P427" s="5" t="n"/>
      <c r="Q427" s="4" t="n"/>
      <c r="R427" s="5" t="n"/>
      <c r="S427" s="9" t="n"/>
      <c r="T427" s="4" t="n"/>
    </row>
    <row r="428">
      <c r="A428" s="5">
        <f>ROW()-2</f>
        <v/>
      </c>
      <c r="B428" s="4" t="inlineStr">
        <is>
          <t>Metrópole</t>
        </is>
      </c>
      <c r="C428" s="5" t="n">
        <v>426</v>
      </c>
      <c r="D428" s="5">
        <f>IFERROR(INDEX('Base de sorteio'!$A$3:$A$1723,MATCH($B428&amp;"|"&amp;$C428,'Base de sorteio'!$I$3:$I$1723,0)),"")</f>
        <v/>
      </c>
      <c r="E428" s="4">
        <f>IFERROR(INDEX('Base de sorteio'!$B$3:$B$1723,MATCH($B428&amp;"|"&amp;$C428,'Base de sorteio'!$I$3:$I$1723,0)),"")</f>
        <v/>
      </c>
      <c r="F428" s="4">
        <f>IFERROR(INDEX('Base de sorteio'!$C$3:$C$1723,MATCH($B428&amp;"|"&amp;$C428,'Base de sorteio'!$I$3:$I$1723,0)),"")</f>
        <v/>
      </c>
      <c r="G428" s="4">
        <f>IFERROR(INDEX('Base de sorteio'!$D$3:$D$1723,MATCH($B428&amp;"|"&amp;$C428,'Base de sorteio'!$I$3:$I$1723,0)),"")</f>
        <v/>
      </c>
      <c r="H428" s="4">
        <f>IFERROR(INDEX('Base de sorteio'!$E$3:$E$1723,MATCH($B428&amp;"|"&amp;$C428,'Base de sorteio'!$I$3:$I$1723,0)),"")</f>
        <v/>
      </c>
      <c r="I428" s="4">
        <f>IF(E428="","",HYPERLINK(IFERROR(INDEX('Base de sorteio'!$J$3:$J$1723,MATCH($B428&amp;"|"&amp;$C428,'Base de sorteio'!$I$3:$I$1723,0)),""),"abrir"))</f>
        <v/>
      </c>
      <c r="J428" s="4" t="n"/>
      <c r="K428" s="4" t="n"/>
      <c r="L428" s="4" t="n"/>
      <c r="M428" s="4" t="n"/>
      <c r="N428" s="4">
        <f>IF(AND(K428="",M428=""),"",IF(OR(K428="sim",M428="sim"),"sim",IF(OR(K428="inconclusivo",M428="inconclusivo"),"inconclusivo","não")))</f>
        <v/>
      </c>
      <c r="O428" s="5">
        <f>IF(N428="sim",COUNTIFS($B$3:$B428,$B428,$N$3:$N428,"sim"),"")</f>
        <v/>
      </c>
      <c r="P428" s="5" t="n"/>
      <c r="Q428" s="4" t="n"/>
      <c r="R428" s="5" t="n"/>
      <c r="S428" s="9" t="n"/>
      <c r="T428" s="4" t="n"/>
    </row>
    <row r="429">
      <c r="A429" s="5">
        <f>ROW()-2</f>
        <v/>
      </c>
      <c r="B429" s="4" t="inlineStr">
        <is>
          <t>Metrópole</t>
        </is>
      </c>
      <c r="C429" s="5" t="n">
        <v>427</v>
      </c>
      <c r="D429" s="5">
        <f>IFERROR(INDEX('Base de sorteio'!$A$3:$A$1723,MATCH($B429&amp;"|"&amp;$C429,'Base de sorteio'!$I$3:$I$1723,0)),"")</f>
        <v/>
      </c>
      <c r="E429" s="4">
        <f>IFERROR(INDEX('Base de sorteio'!$B$3:$B$1723,MATCH($B429&amp;"|"&amp;$C429,'Base de sorteio'!$I$3:$I$1723,0)),"")</f>
        <v/>
      </c>
      <c r="F429" s="4">
        <f>IFERROR(INDEX('Base de sorteio'!$C$3:$C$1723,MATCH($B429&amp;"|"&amp;$C429,'Base de sorteio'!$I$3:$I$1723,0)),"")</f>
        <v/>
      </c>
      <c r="G429" s="4">
        <f>IFERROR(INDEX('Base de sorteio'!$D$3:$D$1723,MATCH($B429&amp;"|"&amp;$C429,'Base de sorteio'!$I$3:$I$1723,0)),"")</f>
        <v/>
      </c>
      <c r="H429" s="4">
        <f>IFERROR(INDEX('Base de sorteio'!$E$3:$E$1723,MATCH($B429&amp;"|"&amp;$C429,'Base de sorteio'!$I$3:$I$1723,0)),"")</f>
        <v/>
      </c>
      <c r="I429" s="4">
        <f>IF(E429="","",HYPERLINK(IFERROR(INDEX('Base de sorteio'!$J$3:$J$1723,MATCH($B429&amp;"|"&amp;$C429,'Base de sorteio'!$I$3:$I$1723,0)),""),"abrir"))</f>
        <v/>
      </c>
      <c r="J429" s="4" t="n"/>
      <c r="K429" s="4" t="n"/>
      <c r="L429" s="4" t="n"/>
      <c r="M429" s="4" t="n"/>
      <c r="N429" s="4">
        <f>IF(AND(K429="",M429=""),"",IF(OR(K429="sim",M429="sim"),"sim",IF(OR(K429="inconclusivo",M429="inconclusivo"),"inconclusivo","não")))</f>
        <v/>
      </c>
      <c r="O429" s="5">
        <f>IF(N429="sim",COUNTIFS($B$3:$B429,$B429,$N$3:$N429,"sim"),"")</f>
        <v/>
      </c>
      <c r="P429" s="5" t="n"/>
      <c r="Q429" s="4" t="n"/>
      <c r="R429" s="5" t="n"/>
      <c r="S429" s="9" t="n"/>
      <c r="T429" s="4" t="n"/>
    </row>
    <row r="430">
      <c r="A430" s="5">
        <f>ROW()-2</f>
        <v/>
      </c>
      <c r="B430" s="4" t="inlineStr">
        <is>
          <t>Metrópole</t>
        </is>
      </c>
      <c r="C430" s="5" t="n">
        <v>428</v>
      </c>
      <c r="D430" s="5">
        <f>IFERROR(INDEX('Base de sorteio'!$A$3:$A$1723,MATCH($B430&amp;"|"&amp;$C430,'Base de sorteio'!$I$3:$I$1723,0)),"")</f>
        <v/>
      </c>
      <c r="E430" s="4">
        <f>IFERROR(INDEX('Base de sorteio'!$B$3:$B$1723,MATCH($B430&amp;"|"&amp;$C430,'Base de sorteio'!$I$3:$I$1723,0)),"")</f>
        <v/>
      </c>
      <c r="F430" s="4">
        <f>IFERROR(INDEX('Base de sorteio'!$C$3:$C$1723,MATCH($B430&amp;"|"&amp;$C430,'Base de sorteio'!$I$3:$I$1723,0)),"")</f>
        <v/>
      </c>
      <c r="G430" s="4">
        <f>IFERROR(INDEX('Base de sorteio'!$D$3:$D$1723,MATCH($B430&amp;"|"&amp;$C430,'Base de sorteio'!$I$3:$I$1723,0)),"")</f>
        <v/>
      </c>
      <c r="H430" s="4">
        <f>IFERROR(INDEX('Base de sorteio'!$E$3:$E$1723,MATCH($B430&amp;"|"&amp;$C430,'Base de sorteio'!$I$3:$I$1723,0)),"")</f>
        <v/>
      </c>
      <c r="I430" s="4">
        <f>IF(E430="","",HYPERLINK(IFERROR(INDEX('Base de sorteio'!$J$3:$J$1723,MATCH($B430&amp;"|"&amp;$C430,'Base de sorteio'!$I$3:$I$1723,0)),""),"abrir"))</f>
        <v/>
      </c>
      <c r="J430" s="4" t="n"/>
      <c r="K430" s="4" t="n"/>
      <c r="L430" s="4" t="n"/>
      <c r="M430" s="4" t="n"/>
      <c r="N430" s="4">
        <f>IF(AND(K430="",M430=""),"",IF(OR(K430="sim",M430="sim"),"sim",IF(OR(K430="inconclusivo",M430="inconclusivo"),"inconclusivo","não")))</f>
        <v/>
      </c>
      <c r="O430" s="5">
        <f>IF(N430="sim",COUNTIFS($B$3:$B430,$B430,$N$3:$N430,"sim"),"")</f>
        <v/>
      </c>
      <c r="P430" s="5" t="n"/>
      <c r="Q430" s="4" t="n"/>
      <c r="R430" s="5" t="n"/>
      <c r="S430" s="9" t="n"/>
      <c r="T430" s="4" t="n"/>
    </row>
    <row r="431">
      <c r="A431" s="5">
        <f>ROW()-2</f>
        <v/>
      </c>
      <c r="B431" s="4" t="inlineStr">
        <is>
          <t>Metrópole</t>
        </is>
      </c>
      <c r="C431" s="5" t="n">
        <v>429</v>
      </c>
      <c r="D431" s="5">
        <f>IFERROR(INDEX('Base de sorteio'!$A$3:$A$1723,MATCH($B431&amp;"|"&amp;$C431,'Base de sorteio'!$I$3:$I$1723,0)),"")</f>
        <v/>
      </c>
      <c r="E431" s="4">
        <f>IFERROR(INDEX('Base de sorteio'!$B$3:$B$1723,MATCH($B431&amp;"|"&amp;$C431,'Base de sorteio'!$I$3:$I$1723,0)),"")</f>
        <v/>
      </c>
      <c r="F431" s="4">
        <f>IFERROR(INDEX('Base de sorteio'!$C$3:$C$1723,MATCH($B431&amp;"|"&amp;$C431,'Base de sorteio'!$I$3:$I$1723,0)),"")</f>
        <v/>
      </c>
      <c r="G431" s="4">
        <f>IFERROR(INDEX('Base de sorteio'!$D$3:$D$1723,MATCH($B431&amp;"|"&amp;$C431,'Base de sorteio'!$I$3:$I$1723,0)),"")</f>
        <v/>
      </c>
      <c r="H431" s="4">
        <f>IFERROR(INDEX('Base de sorteio'!$E$3:$E$1723,MATCH($B431&amp;"|"&amp;$C431,'Base de sorteio'!$I$3:$I$1723,0)),"")</f>
        <v/>
      </c>
      <c r="I431" s="4">
        <f>IF(E431="","",HYPERLINK(IFERROR(INDEX('Base de sorteio'!$J$3:$J$1723,MATCH($B431&amp;"|"&amp;$C431,'Base de sorteio'!$I$3:$I$1723,0)),""),"abrir"))</f>
        <v/>
      </c>
      <c r="J431" s="4" t="n"/>
      <c r="K431" s="4" t="n"/>
      <c r="L431" s="4" t="n"/>
      <c r="M431" s="4" t="n"/>
      <c r="N431" s="4">
        <f>IF(AND(K431="",M431=""),"",IF(OR(K431="sim",M431="sim"),"sim",IF(OR(K431="inconclusivo",M431="inconclusivo"),"inconclusivo","não")))</f>
        <v/>
      </c>
      <c r="O431" s="5">
        <f>IF(N431="sim",COUNTIFS($B$3:$B431,$B431,$N$3:$N431,"sim"),"")</f>
        <v/>
      </c>
      <c r="P431" s="5" t="n"/>
      <c r="Q431" s="4" t="n"/>
      <c r="R431" s="5" t="n"/>
      <c r="S431" s="9" t="n"/>
      <c r="T431" s="4" t="n"/>
    </row>
    <row r="432">
      <c r="A432" s="5">
        <f>ROW()-2</f>
        <v/>
      </c>
      <c r="B432" s="4" t="inlineStr">
        <is>
          <t>Metrópole</t>
        </is>
      </c>
      <c r="C432" s="5" t="n">
        <v>430</v>
      </c>
      <c r="D432" s="5">
        <f>IFERROR(INDEX('Base de sorteio'!$A$3:$A$1723,MATCH($B432&amp;"|"&amp;$C432,'Base de sorteio'!$I$3:$I$1723,0)),"")</f>
        <v/>
      </c>
      <c r="E432" s="4">
        <f>IFERROR(INDEX('Base de sorteio'!$B$3:$B$1723,MATCH($B432&amp;"|"&amp;$C432,'Base de sorteio'!$I$3:$I$1723,0)),"")</f>
        <v/>
      </c>
      <c r="F432" s="4">
        <f>IFERROR(INDEX('Base de sorteio'!$C$3:$C$1723,MATCH($B432&amp;"|"&amp;$C432,'Base de sorteio'!$I$3:$I$1723,0)),"")</f>
        <v/>
      </c>
      <c r="G432" s="4">
        <f>IFERROR(INDEX('Base de sorteio'!$D$3:$D$1723,MATCH($B432&amp;"|"&amp;$C432,'Base de sorteio'!$I$3:$I$1723,0)),"")</f>
        <v/>
      </c>
      <c r="H432" s="4">
        <f>IFERROR(INDEX('Base de sorteio'!$E$3:$E$1723,MATCH($B432&amp;"|"&amp;$C432,'Base de sorteio'!$I$3:$I$1723,0)),"")</f>
        <v/>
      </c>
      <c r="I432" s="4">
        <f>IF(E432="","",HYPERLINK(IFERROR(INDEX('Base de sorteio'!$J$3:$J$1723,MATCH($B432&amp;"|"&amp;$C432,'Base de sorteio'!$I$3:$I$1723,0)),""),"abrir"))</f>
        <v/>
      </c>
      <c r="J432" s="4" t="n"/>
      <c r="K432" s="4" t="n"/>
      <c r="L432" s="4" t="n"/>
      <c r="M432" s="4" t="n"/>
      <c r="N432" s="4">
        <f>IF(AND(K432="",M432=""),"",IF(OR(K432="sim",M432="sim"),"sim",IF(OR(K432="inconclusivo",M432="inconclusivo"),"inconclusivo","não")))</f>
        <v/>
      </c>
      <c r="O432" s="5">
        <f>IF(N432="sim",COUNTIFS($B$3:$B432,$B432,$N$3:$N432,"sim"),"")</f>
        <v/>
      </c>
      <c r="P432" s="5" t="n"/>
      <c r="Q432" s="4" t="n"/>
      <c r="R432" s="5" t="n"/>
      <c r="S432" s="9" t="n"/>
      <c r="T432" s="4" t="n"/>
    </row>
    <row r="433">
      <c r="A433" s="5">
        <f>ROW()-2</f>
        <v/>
      </c>
      <c r="B433" s="4" t="inlineStr">
        <is>
          <t>Metrópole</t>
        </is>
      </c>
      <c r="C433" s="5" t="n">
        <v>431</v>
      </c>
      <c r="D433" s="5">
        <f>IFERROR(INDEX('Base de sorteio'!$A$3:$A$1723,MATCH($B433&amp;"|"&amp;$C433,'Base de sorteio'!$I$3:$I$1723,0)),"")</f>
        <v/>
      </c>
      <c r="E433" s="4">
        <f>IFERROR(INDEX('Base de sorteio'!$B$3:$B$1723,MATCH($B433&amp;"|"&amp;$C433,'Base de sorteio'!$I$3:$I$1723,0)),"")</f>
        <v/>
      </c>
      <c r="F433" s="4">
        <f>IFERROR(INDEX('Base de sorteio'!$C$3:$C$1723,MATCH($B433&amp;"|"&amp;$C433,'Base de sorteio'!$I$3:$I$1723,0)),"")</f>
        <v/>
      </c>
      <c r="G433" s="4">
        <f>IFERROR(INDEX('Base de sorteio'!$D$3:$D$1723,MATCH($B433&amp;"|"&amp;$C433,'Base de sorteio'!$I$3:$I$1723,0)),"")</f>
        <v/>
      </c>
      <c r="H433" s="4">
        <f>IFERROR(INDEX('Base de sorteio'!$E$3:$E$1723,MATCH($B433&amp;"|"&amp;$C433,'Base de sorteio'!$I$3:$I$1723,0)),"")</f>
        <v/>
      </c>
      <c r="I433" s="4">
        <f>IF(E433="","",HYPERLINK(IFERROR(INDEX('Base de sorteio'!$J$3:$J$1723,MATCH($B433&amp;"|"&amp;$C433,'Base de sorteio'!$I$3:$I$1723,0)),""),"abrir"))</f>
        <v/>
      </c>
      <c r="J433" s="4" t="n"/>
      <c r="K433" s="4" t="n"/>
      <c r="L433" s="4" t="n"/>
      <c r="M433" s="4" t="n"/>
      <c r="N433" s="4">
        <f>IF(AND(K433="",M433=""),"",IF(OR(K433="sim",M433="sim"),"sim",IF(OR(K433="inconclusivo",M433="inconclusivo"),"inconclusivo","não")))</f>
        <v/>
      </c>
      <c r="O433" s="5">
        <f>IF(N433="sim",COUNTIFS($B$3:$B433,$B433,$N$3:$N433,"sim"),"")</f>
        <v/>
      </c>
      <c r="P433" s="5" t="n"/>
      <c r="Q433" s="4" t="n"/>
      <c r="R433" s="5" t="n"/>
      <c r="S433" s="9" t="n"/>
      <c r="T433" s="4" t="n"/>
    </row>
    <row r="434">
      <c r="A434" s="5">
        <f>ROW()-2</f>
        <v/>
      </c>
      <c r="B434" s="4" t="inlineStr">
        <is>
          <t>Metrópole</t>
        </is>
      </c>
      <c r="C434" s="5" t="n">
        <v>432</v>
      </c>
      <c r="D434" s="5">
        <f>IFERROR(INDEX('Base de sorteio'!$A$3:$A$1723,MATCH($B434&amp;"|"&amp;$C434,'Base de sorteio'!$I$3:$I$1723,0)),"")</f>
        <v/>
      </c>
      <c r="E434" s="4">
        <f>IFERROR(INDEX('Base de sorteio'!$B$3:$B$1723,MATCH($B434&amp;"|"&amp;$C434,'Base de sorteio'!$I$3:$I$1723,0)),"")</f>
        <v/>
      </c>
      <c r="F434" s="4">
        <f>IFERROR(INDEX('Base de sorteio'!$C$3:$C$1723,MATCH($B434&amp;"|"&amp;$C434,'Base de sorteio'!$I$3:$I$1723,0)),"")</f>
        <v/>
      </c>
      <c r="G434" s="4">
        <f>IFERROR(INDEX('Base de sorteio'!$D$3:$D$1723,MATCH($B434&amp;"|"&amp;$C434,'Base de sorteio'!$I$3:$I$1723,0)),"")</f>
        <v/>
      </c>
      <c r="H434" s="4">
        <f>IFERROR(INDEX('Base de sorteio'!$E$3:$E$1723,MATCH($B434&amp;"|"&amp;$C434,'Base de sorteio'!$I$3:$I$1723,0)),"")</f>
        <v/>
      </c>
      <c r="I434" s="4">
        <f>IF(E434="","",HYPERLINK(IFERROR(INDEX('Base de sorteio'!$J$3:$J$1723,MATCH($B434&amp;"|"&amp;$C434,'Base de sorteio'!$I$3:$I$1723,0)),""),"abrir"))</f>
        <v/>
      </c>
      <c r="J434" s="4" t="n"/>
      <c r="K434" s="4" t="n"/>
      <c r="L434" s="4" t="n"/>
      <c r="M434" s="4" t="n"/>
      <c r="N434" s="4">
        <f>IF(AND(K434="",M434=""),"",IF(OR(K434="sim",M434="sim"),"sim",IF(OR(K434="inconclusivo",M434="inconclusivo"),"inconclusivo","não")))</f>
        <v/>
      </c>
      <c r="O434" s="5">
        <f>IF(N434="sim",COUNTIFS($B$3:$B434,$B434,$N$3:$N434,"sim"),"")</f>
        <v/>
      </c>
      <c r="P434" s="5" t="n"/>
      <c r="Q434" s="4" t="n"/>
      <c r="R434" s="5" t="n"/>
      <c r="S434" s="9" t="n"/>
      <c r="T434" s="4" t="n"/>
    </row>
    <row r="435">
      <c r="A435" s="5">
        <f>ROW()-2</f>
        <v/>
      </c>
      <c r="B435" s="4" t="inlineStr">
        <is>
          <t>Metrópole</t>
        </is>
      </c>
      <c r="C435" s="5" t="n">
        <v>433</v>
      </c>
      <c r="D435" s="5">
        <f>IFERROR(INDEX('Base de sorteio'!$A$3:$A$1723,MATCH($B435&amp;"|"&amp;$C435,'Base de sorteio'!$I$3:$I$1723,0)),"")</f>
        <v/>
      </c>
      <c r="E435" s="4">
        <f>IFERROR(INDEX('Base de sorteio'!$B$3:$B$1723,MATCH($B435&amp;"|"&amp;$C435,'Base de sorteio'!$I$3:$I$1723,0)),"")</f>
        <v/>
      </c>
      <c r="F435" s="4">
        <f>IFERROR(INDEX('Base de sorteio'!$C$3:$C$1723,MATCH($B435&amp;"|"&amp;$C435,'Base de sorteio'!$I$3:$I$1723,0)),"")</f>
        <v/>
      </c>
      <c r="G435" s="4">
        <f>IFERROR(INDEX('Base de sorteio'!$D$3:$D$1723,MATCH($B435&amp;"|"&amp;$C435,'Base de sorteio'!$I$3:$I$1723,0)),"")</f>
        <v/>
      </c>
      <c r="H435" s="4">
        <f>IFERROR(INDEX('Base de sorteio'!$E$3:$E$1723,MATCH($B435&amp;"|"&amp;$C435,'Base de sorteio'!$I$3:$I$1723,0)),"")</f>
        <v/>
      </c>
      <c r="I435" s="4">
        <f>IF(E435="","",HYPERLINK(IFERROR(INDEX('Base de sorteio'!$J$3:$J$1723,MATCH($B435&amp;"|"&amp;$C435,'Base de sorteio'!$I$3:$I$1723,0)),""),"abrir"))</f>
        <v/>
      </c>
      <c r="J435" s="4" t="n"/>
      <c r="K435" s="4" t="n"/>
      <c r="L435" s="4" t="n"/>
      <c r="M435" s="4" t="n"/>
      <c r="N435" s="4">
        <f>IF(AND(K435="",M435=""),"",IF(OR(K435="sim",M435="sim"),"sim",IF(OR(K435="inconclusivo",M435="inconclusivo"),"inconclusivo","não")))</f>
        <v/>
      </c>
      <c r="O435" s="5">
        <f>IF(N435="sim",COUNTIFS($B$3:$B435,$B435,$N$3:$N435,"sim"),"")</f>
        <v/>
      </c>
      <c r="P435" s="5" t="n"/>
      <c r="Q435" s="4" t="n"/>
      <c r="R435" s="5" t="n"/>
      <c r="S435" s="9" t="n"/>
      <c r="T435" s="4" t="n"/>
    </row>
    <row r="436">
      <c r="A436" s="5">
        <f>ROW()-2</f>
        <v/>
      </c>
      <c r="B436" s="4" t="inlineStr">
        <is>
          <t>Metrópole</t>
        </is>
      </c>
      <c r="C436" s="5" t="n">
        <v>434</v>
      </c>
      <c r="D436" s="5">
        <f>IFERROR(INDEX('Base de sorteio'!$A$3:$A$1723,MATCH($B436&amp;"|"&amp;$C436,'Base de sorteio'!$I$3:$I$1723,0)),"")</f>
        <v/>
      </c>
      <c r="E436" s="4">
        <f>IFERROR(INDEX('Base de sorteio'!$B$3:$B$1723,MATCH($B436&amp;"|"&amp;$C436,'Base de sorteio'!$I$3:$I$1723,0)),"")</f>
        <v/>
      </c>
      <c r="F436" s="4">
        <f>IFERROR(INDEX('Base de sorteio'!$C$3:$C$1723,MATCH($B436&amp;"|"&amp;$C436,'Base de sorteio'!$I$3:$I$1723,0)),"")</f>
        <v/>
      </c>
      <c r="G436" s="4">
        <f>IFERROR(INDEX('Base de sorteio'!$D$3:$D$1723,MATCH($B436&amp;"|"&amp;$C436,'Base de sorteio'!$I$3:$I$1723,0)),"")</f>
        <v/>
      </c>
      <c r="H436" s="4">
        <f>IFERROR(INDEX('Base de sorteio'!$E$3:$E$1723,MATCH($B436&amp;"|"&amp;$C436,'Base de sorteio'!$I$3:$I$1723,0)),"")</f>
        <v/>
      </c>
      <c r="I436" s="4">
        <f>IF(E436="","",HYPERLINK(IFERROR(INDEX('Base de sorteio'!$J$3:$J$1723,MATCH($B436&amp;"|"&amp;$C436,'Base de sorteio'!$I$3:$I$1723,0)),""),"abrir"))</f>
        <v/>
      </c>
      <c r="J436" s="4" t="n"/>
      <c r="K436" s="4" t="n"/>
      <c r="L436" s="4" t="n"/>
      <c r="M436" s="4" t="n"/>
      <c r="N436" s="4">
        <f>IF(AND(K436="",M436=""),"",IF(OR(K436="sim",M436="sim"),"sim",IF(OR(K436="inconclusivo",M436="inconclusivo"),"inconclusivo","não")))</f>
        <v/>
      </c>
      <c r="O436" s="5">
        <f>IF(N436="sim",COUNTIFS($B$3:$B436,$B436,$N$3:$N436,"sim"),"")</f>
        <v/>
      </c>
      <c r="P436" s="5" t="n"/>
      <c r="Q436" s="4" t="n"/>
      <c r="R436" s="5" t="n"/>
      <c r="S436" s="9" t="n"/>
      <c r="T436" s="4" t="n"/>
    </row>
    <row r="437">
      <c r="A437" s="5">
        <f>ROW()-2</f>
        <v/>
      </c>
      <c r="B437" s="4" t="inlineStr">
        <is>
          <t>Metrópole</t>
        </is>
      </c>
      <c r="C437" s="5" t="n">
        <v>435</v>
      </c>
      <c r="D437" s="5">
        <f>IFERROR(INDEX('Base de sorteio'!$A$3:$A$1723,MATCH($B437&amp;"|"&amp;$C437,'Base de sorteio'!$I$3:$I$1723,0)),"")</f>
        <v/>
      </c>
      <c r="E437" s="4">
        <f>IFERROR(INDEX('Base de sorteio'!$B$3:$B$1723,MATCH($B437&amp;"|"&amp;$C437,'Base de sorteio'!$I$3:$I$1723,0)),"")</f>
        <v/>
      </c>
      <c r="F437" s="4">
        <f>IFERROR(INDEX('Base de sorteio'!$C$3:$C$1723,MATCH($B437&amp;"|"&amp;$C437,'Base de sorteio'!$I$3:$I$1723,0)),"")</f>
        <v/>
      </c>
      <c r="G437" s="4">
        <f>IFERROR(INDEX('Base de sorteio'!$D$3:$D$1723,MATCH($B437&amp;"|"&amp;$C437,'Base de sorteio'!$I$3:$I$1723,0)),"")</f>
        <v/>
      </c>
      <c r="H437" s="4">
        <f>IFERROR(INDEX('Base de sorteio'!$E$3:$E$1723,MATCH($B437&amp;"|"&amp;$C437,'Base de sorteio'!$I$3:$I$1723,0)),"")</f>
        <v/>
      </c>
      <c r="I437" s="4">
        <f>IF(E437="","",HYPERLINK(IFERROR(INDEX('Base de sorteio'!$J$3:$J$1723,MATCH($B437&amp;"|"&amp;$C437,'Base de sorteio'!$I$3:$I$1723,0)),""),"abrir"))</f>
        <v/>
      </c>
      <c r="J437" s="4" t="n"/>
      <c r="K437" s="4" t="n"/>
      <c r="L437" s="4" t="n"/>
      <c r="M437" s="4" t="n"/>
      <c r="N437" s="4">
        <f>IF(AND(K437="",M437=""),"",IF(OR(K437="sim",M437="sim"),"sim",IF(OR(K437="inconclusivo",M437="inconclusivo"),"inconclusivo","não")))</f>
        <v/>
      </c>
      <c r="O437" s="5">
        <f>IF(N437="sim",COUNTIFS($B$3:$B437,$B437,$N$3:$N437,"sim"),"")</f>
        <v/>
      </c>
      <c r="P437" s="5" t="n"/>
      <c r="Q437" s="4" t="n"/>
      <c r="R437" s="5" t="n"/>
      <c r="S437" s="9" t="n"/>
      <c r="T437" s="4" t="n"/>
    </row>
    <row r="438">
      <c r="A438" s="5">
        <f>ROW()-2</f>
        <v/>
      </c>
      <c r="B438" s="4" t="inlineStr">
        <is>
          <t>Metrópole</t>
        </is>
      </c>
      <c r="C438" s="5" t="n">
        <v>436</v>
      </c>
      <c r="D438" s="5">
        <f>IFERROR(INDEX('Base de sorteio'!$A$3:$A$1723,MATCH($B438&amp;"|"&amp;$C438,'Base de sorteio'!$I$3:$I$1723,0)),"")</f>
        <v/>
      </c>
      <c r="E438" s="4">
        <f>IFERROR(INDEX('Base de sorteio'!$B$3:$B$1723,MATCH($B438&amp;"|"&amp;$C438,'Base de sorteio'!$I$3:$I$1723,0)),"")</f>
        <v/>
      </c>
      <c r="F438" s="4">
        <f>IFERROR(INDEX('Base de sorteio'!$C$3:$C$1723,MATCH($B438&amp;"|"&amp;$C438,'Base de sorteio'!$I$3:$I$1723,0)),"")</f>
        <v/>
      </c>
      <c r="G438" s="4">
        <f>IFERROR(INDEX('Base de sorteio'!$D$3:$D$1723,MATCH($B438&amp;"|"&amp;$C438,'Base de sorteio'!$I$3:$I$1723,0)),"")</f>
        <v/>
      </c>
      <c r="H438" s="4">
        <f>IFERROR(INDEX('Base de sorteio'!$E$3:$E$1723,MATCH($B438&amp;"|"&amp;$C438,'Base de sorteio'!$I$3:$I$1723,0)),"")</f>
        <v/>
      </c>
      <c r="I438" s="4">
        <f>IF(E438="","",HYPERLINK(IFERROR(INDEX('Base de sorteio'!$J$3:$J$1723,MATCH($B438&amp;"|"&amp;$C438,'Base de sorteio'!$I$3:$I$1723,0)),""),"abrir"))</f>
        <v/>
      </c>
      <c r="J438" s="4" t="n"/>
      <c r="K438" s="4" t="n"/>
      <c r="L438" s="4" t="n"/>
      <c r="M438" s="4" t="n"/>
      <c r="N438" s="4">
        <f>IF(AND(K438="",M438=""),"",IF(OR(K438="sim",M438="sim"),"sim",IF(OR(K438="inconclusivo",M438="inconclusivo"),"inconclusivo","não")))</f>
        <v/>
      </c>
      <c r="O438" s="5">
        <f>IF(N438="sim",COUNTIFS($B$3:$B438,$B438,$N$3:$N438,"sim"),"")</f>
        <v/>
      </c>
      <c r="P438" s="5" t="n"/>
      <c r="Q438" s="4" t="n"/>
      <c r="R438" s="5" t="n"/>
      <c r="S438" s="9" t="n"/>
      <c r="T438" s="4" t="n"/>
    </row>
    <row r="439">
      <c r="A439" s="5">
        <f>ROW()-2</f>
        <v/>
      </c>
      <c r="B439" s="4" t="inlineStr">
        <is>
          <t>Metrópole</t>
        </is>
      </c>
      <c r="C439" s="5" t="n">
        <v>437</v>
      </c>
      <c r="D439" s="5">
        <f>IFERROR(INDEX('Base de sorteio'!$A$3:$A$1723,MATCH($B439&amp;"|"&amp;$C439,'Base de sorteio'!$I$3:$I$1723,0)),"")</f>
        <v/>
      </c>
      <c r="E439" s="4">
        <f>IFERROR(INDEX('Base de sorteio'!$B$3:$B$1723,MATCH($B439&amp;"|"&amp;$C439,'Base de sorteio'!$I$3:$I$1723,0)),"")</f>
        <v/>
      </c>
      <c r="F439" s="4">
        <f>IFERROR(INDEX('Base de sorteio'!$C$3:$C$1723,MATCH($B439&amp;"|"&amp;$C439,'Base de sorteio'!$I$3:$I$1723,0)),"")</f>
        <v/>
      </c>
      <c r="G439" s="4">
        <f>IFERROR(INDEX('Base de sorteio'!$D$3:$D$1723,MATCH($B439&amp;"|"&amp;$C439,'Base de sorteio'!$I$3:$I$1723,0)),"")</f>
        <v/>
      </c>
      <c r="H439" s="4">
        <f>IFERROR(INDEX('Base de sorteio'!$E$3:$E$1723,MATCH($B439&amp;"|"&amp;$C439,'Base de sorteio'!$I$3:$I$1723,0)),"")</f>
        <v/>
      </c>
      <c r="I439" s="4">
        <f>IF(E439="","",HYPERLINK(IFERROR(INDEX('Base de sorteio'!$J$3:$J$1723,MATCH($B439&amp;"|"&amp;$C439,'Base de sorteio'!$I$3:$I$1723,0)),""),"abrir"))</f>
        <v/>
      </c>
      <c r="J439" s="4" t="n"/>
      <c r="K439" s="4" t="n"/>
      <c r="L439" s="4" t="n"/>
      <c r="M439" s="4" t="n"/>
      <c r="N439" s="4">
        <f>IF(AND(K439="",M439=""),"",IF(OR(K439="sim",M439="sim"),"sim",IF(OR(K439="inconclusivo",M439="inconclusivo"),"inconclusivo","não")))</f>
        <v/>
      </c>
      <c r="O439" s="5">
        <f>IF(N439="sim",COUNTIFS($B$3:$B439,$B439,$N$3:$N439,"sim"),"")</f>
        <v/>
      </c>
      <c r="P439" s="5" t="n"/>
      <c r="Q439" s="4" t="n"/>
      <c r="R439" s="5" t="n"/>
      <c r="S439" s="9" t="n"/>
      <c r="T439" s="4" t="n"/>
    </row>
    <row r="440">
      <c r="A440" s="5">
        <f>ROW()-2</f>
        <v/>
      </c>
      <c r="B440" s="4" t="inlineStr">
        <is>
          <t>Metrópole</t>
        </is>
      </c>
      <c r="C440" s="5" t="n">
        <v>438</v>
      </c>
      <c r="D440" s="5">
        <f>IFERROR(INDEX('Base de sorteio'!$A$3:$A$1723,MATCH($B440&amp;"|"&amp;$C440,'Base de sorteio'!$I$3:$I$1723,0)),"")</f>
        <v/>
      </c>
      <c r="E440" s="4">
        <f>IFERROR(INDEX('Base de sorteio'!$B$3:$B$1723,MATCH($B440&amp;"|"&amp;$C440,'Base de sorteio'!$I$3:$I$1723,0)),"")</f>
        <v/>
      </c>
      <c r="F440" s="4">
        <f>IFERROR(INDEX('Base de sorteio'!$C$3:$C$1723,MATCH($B440&amp;"|"&amp;$C440,'Base de sorteio'!$I$3:$I$1723,0)),"")</f>
        <v/>
      </c>
      <c r="G440" s="4">
        <f>IFERROR(INDEX('Base de sorteio'!$D$3:$D$1723,MATCH($B440&amp;"|"&amp;$C440,'Base de sorteio'!$I$3:$I$1723,0)),"")</f>
        <v/>
      </c>
      <c r="H440" s="4">
        <f>IFERROR(INDEX('Base de sorteio'!$E$3:$E$1723,MATCH($B440&amp;"|"&amp;$C440,'Base de sorteio'!$I$3:$I$1723,0)),"")</f>
        <v/>
      </c>
      <c r="I440" s="4">
        <f>IF(E440="","",HYPERLINK(IFERROR(INDEX('Base de sorteio'!$J$3:$J$1723,MATCH($B440&amp;"|"&amp;$C440,'Base de sorteio'!$I$3:$I$1723,0)),""),"abrir"))</f>
        <v/>
      </c>
      <c r="J440" s="4" t="n"/>
      <c r="K440" s="4" t="n"/>
      <c r="L440" s="4" t="n"/>
      <c r="M440" s="4" t="n"/>
      <c r="N440" s="4">
        <f>IF(AND(K440="",M440=""),"",IF(OR(K440="sim",M440="sim"),"sim",IF(OR(K440="inconclusivo",M440="inconclusivo"),"inconclusivo","não")))</f>
        <v/>
      </c>
      <c r="O440" s="5">
        <f>IF(N440="sim",COUNTIFS($B$3:$B440,$B440,$N$3:$N440,"sim"),"")</f>
        <v/>
      </c>
      <c r="P440" s="5" t="n"/>
      <c r="Q440" s="4" t="n"/>
      <c r="R440" s="5" t="n"/>
      <c r="S440" s="9" t="n"/>
      <c r="T440" s="4" t="n"/>
    </row>
    <row r="441">
      <c r="A441" s="5">
        <f>ROW()-2</f>
        <v/>
      </c>
      <c r="B441" s="4" t="inlineStr">
        <is>
          <t>Metrópole</t>
        </is>
      </c>
      <c r="C441" s="5" t="n">
        <v>439</v>
      </c>
      <c r="D441" s="5">
        <f>IFERROR(INDEX('Base de sorteio'!$A$3:$A$1723,MATCH($B441&amp;"|"&amp;$C441,'Base de sorteio'!$I$3:$I$1723,0)),"")</f>
        <v/>
      </c>
      <c r="E441" s="4">
        <f>IFERROR(INDEX('Base de sorteio'!$B$3:$B$1723,MATCH($B441&amp;"|"&amp;$C441,'Base de sorteio'!$I$3:$I$1723,0)),"")</f>
        <v/>
      </c>
      <c r="F441" s="4">
        <f>IFERROR(INDEX('Base de sorteio'!$C$3:$C$1723,MATCH($B441&amp;"|"&amp;$C441,'Base de sorteio'!$I$3:$I$1723,0)),"")</f>
        <v/>
      </c>
      <c r="G441" s="4">
        <f>IFERROR(INDEX('Base de sorteio'!$D$3:$D$1723,MATCH($B441&amp;"|"&amp;$C441,'Base de sorteio'!$I$3:$I$1723,0)),"")</f>
        <v/>
      </c>
      <c r="H441" s="4">
        <f>IFERROR(INDEX('Base de sorteio'!$E$3:$E$1723,MATCH($B441&amp;"|"&amp;$C441,'Base de sorteio'!$I$3:$I$1723,0)),"")</f>
        <v/>
      </c>
      <c r="I441" s="4">
        <f>IF(E441="","",HYPERLINK(IFERROR(INDEX('Base de sorteio'!$J$3:$J$1723,MATCH($B441&amp;"|"&amp;$C441,'Base de sorteio'!$I$3:$I$1723,0)),""),"abrir"))</f>
        <v/>
      </c>
      <c r="J441" s="4" t="n"/>
      <c r="K441" s="4" t="n"/>
      <c r="L441" s="4" t="n"/>
      <c r="M441" s="4" t="n"/>
      <c r="N441" s="4">
        <f>IF(AND(K441="",M441=""),"",IF(OR(K441="sim",M441="sim"),"sim",IF(OR(K441="inconclusivo",M441="inconclusivo"),"inconclusivo","não")))</f>
        <v/>
      </c>
      <c r="O441" s="5">
        <f>IF(N441="sim",COUNTIFS($B$3:$B441,$B441,$N$3:$N441,"sim"),"")</f>
        <v/>
      </c>
      <c r="P441" s="5" t="n"/>
      <c r="Q441" s="4" t="n"/>
      <c r="R441" s="5" t="n"/>
      <c r="S441" s="9" t="n"/>
      <c r="T441" s="4" t="n"/>
    </row>
    <row r="442">
      <c r="A442" s="5">
        <f>ROW()-2</f>
        <v/>
      </c>
      <c r="B442" s="4" t="inlineStr">
        <is>
          <t>Metrópole</t>
        </is>
      </c>
      <c r="C442" s="5" t="n">
        <v>440</v>
      </c>
      <c r="D442" s="5">
        <f>IFERROR(INDEX('Base de sorteio'!$A$3:$A$1723,MATCH($B442&amp;"|"&amp;$C442,'Base de sorteio'!$I$3:$I$1723,0)),"")</f>
        <v/>
      </c>
      <c r="E442" s="4">
        <f>IFERROR(INDEX('Base de sorteio'!$B$3:$B$1723,MATCH($B442&amp;"|"&amp;$C442,'Base de sorteio'!$I$3:$I$1723,0)),"")</f>
        <v/>
      </c>
      <c r="F442" s="4">
        <f>IFERROR(INDEX('Base de sorteio'!$C$3:$C$1723,MATCH($B442&amp;"|"&amp;$C442,'Base de sorteio'!$I$3:$I$1723,0)),"")</f>
        <v/>
      </c>
      <c r="G442" s="4">
        <f>IFERROR(INDEX('Base de sorteio'!$D$3:$D$1723,MATCH($B442&amp;"|"&amp;$C442,'Base de sorteio'!$I$3:$I$1723,0)),"")</f>
        <v/>
      </c>
      <c r="H442" s="4">
        <f>IFERROR(INDEX('Base de sorteio'!$E$3:$E$1723,MATCH($B442&amp;"|"&amp;$C442,'Base de sorteio'!$I$3:$I$1723,0)),"")</f>
        <v/>
      </c>
      <c r="I442" s="4">
        <f>IF(E442="","",HYPERLINK(IFERROR(INDEX('Base de sorteio'!$J$3:$J$1723,MATCH($B442&amp;"|"&amp;$C442,'Base de sorteio'!$I$3:$I$1723,0)),""),"abrir"))</f>
        <v/>
      </c>
      <c r="J442" s="4" t="n"/>
      <c r="K442" s="4" t="n"/>
      <c r="L442" s="4" t="n"/>
      <c r="M442" s="4" t="n"/>
      <c r="N442" s="4">
        <f>IF(AND(K442="",M442=""),"",IF(OR(K442="sim",M442="sim"),"sim",IF(OR(K442="inconclusivo",M442="inconclusivo"),"inconclusivo","não")))</f>
        <v/>
      </c>
      <c r="O442" s="5">
        <f>IF(N442="sim",COUNTIFS($B$3:$B442,$B442,$N$3:$N442,"sim"),"")</f>
        <v/>
      </c>
      <c r="P442" s="5" t="n"/>
      <c r="Q442" s="4" t="n"/>
      <c r="R442" s="5" t="n"/>
      <c r="S442" s="9" t="n"/>
      <c r="T442" s="4" t="n"/>
    </row>
    <row r="443">
      <c r="A443" s="5">
        <f>ROW()-2</f>
        <v/>
      </c>
      <c r="B443" s="4" t="inlineStr">
        <is>
          <t>Metrópole</t>
        </is>
      </c>
      <c r="C443" s="5" t="n">
        <v>441</v>
      </c>
      <c r="D443" s="5">
        <f>IFERROR(INDEX('Base de sorteio'!$A$3:$A$1723,MATCH($B443&amp;"|"&amp;$C443,'Base de sorteio'!$I$3:$I$1723,0)),"")</f>
        <v/>
      </c>
      <c r="E443" s="4">
        <f>IFERROR(INDEX('Base de sorteio'!$B$3:$B$1723,MATCH($B443&amp;"|"&amp;$C443,'Base de sorteio'!$I$3:$I$1723,0)),"")</f>
        <v/>
      </c>
      <c r="F443" s="4">
        <f>IFERROR(INDEX('Base de sorteio'!$C$3:$C$1723,MATCH($B443&amp;"|"&amp;$C443,'Base de sorteio'!$I$3:$I$1723,0)),"")</f>
        <v/>
      </c>
      <c r="G443" s="4">
        <f>IFERROR(INDEX('Base de sorteio'!$D$3:$D$1723,MATCH($B443&amp;"|"&amp;$C443,'Base de sorteio'!$I$3:$I$1723,0)),"")</f>
        <v/>
      </c>
      <c r="H443" s="4">
        <f>IFERROR(INDEX('Base de sorteio'!$E$3:$E$1723,MATCH($B443&amp;"|"&amp;$C443,'Base de sorteio'!$I$3:$I$1723,0)),"")</f>
        <v/>
      </c>
      <c r="I443" s="4">
        <f>IF(E443="","",HYPERLINK(IFERROR(INDEX('Base de sorteio'!$J$3:$J$1723,MATCH($B443&amp;"|"&amp;$C443,'Base de sorteio'!$I$3:$I$1723,0)),""),"abrir"))</f>
        <v/>
      </c>
      <c r="J443" s="4" t="n"/>
      <c r="K443" s="4" t="n"/>
      <c r="L443" s="4" t="n"/>
      <c r="M443" s="4" t="n"/>
      <c r="N443" s="4">
        <f>IF(AND(K443="",M443=""),"",IF(OR(K443="sim",M443="sim"),"sim",IF(OR(K443="inconclusivo",M443="inconclusivo"),"inconclusivo","não")))</f>
        <v/>
      </c>
      <c r="O443" s="5">
        <f>IF(N443="sim",COUNTIFS($B$3:$B443,$B443,$N$3:$N443,"sim"),"")</f>
        <v/>
      </c>
      <c r="P443" s="5" t="n"/>
      <c r="Q443" s="4" t="n"/>
      <c r="R443" s="5" t="n"/>
      <c r="S443" s="9" t="n"/>
      <c r="T443" s="4" t="n"/>
    </row>
    <row r="444">
      <c r="A444" s="5">
        <f>ROW()-2</f>
        <v/>
      </c>
      <c r="B444" s="4" t="inlineStr">
        <is>
          <t>Metrópole</t>
        </is>
      </c>
      <c r="C444" s="5" t="n">
        <v>442</v>
      </c>
      <c r="D444" s="5">
        <f>IFERROR(INDEX('Base de sorteio'!$A$3:$A$1723,MATCH($B444&amp;"|"&amp;$C444,'Base de sorteio'!$I$3:$I$1723,0)),"")</f>
        <v/>
      </c>
      <c r="E444" s="4">
        <f>IFERROR(INDEX('Base de sorteio'!$B$3:$B$1723,MATCH($B444&amp;"|"&amp;$C444,'Base de sorteio'!$I$3:$I$1723,0)),"")</f>
        <v/>
      </c>
      <c r="F444" s="4">
        <f>IFERROR(INDEX('Base de sorteio'!$C$3:$C$1723,MATCH($B444&amp;"|"&amp;$C444,'Base de sorteio'!$I$3:$I$1723,0)),"")</f>
        <v/>
      </c>
      <c r="G444" s="4">
        <f>IFERROR(INDEX('Base de sorteio'!$D$3:$D$1723,MATCH($B444&amp;"|"&amp;$C444,'Base de sorteio'!$I$3:$I$1723,0)),"")</f>
        <v/>
      </c>
      <c r="H444" s="4">
        <f>IFERROR(INDEX('Base de sorteio'!$E$3:$E$1723,MATCH($B444&amp;"|"&amp;$C444,'Base de sorteio'!$I$3:$I$1723,0)),"")</f>
        <v/>
      </c>
      <c r="I444" s="4">
        <f>IF(E444="","",HYPERLINK(IFERROR(INDEX('Base de sorteio'!$J$3:$J$1723,MATCH($B444&amp;"|"&amp;$C444,'Base de sorteio'!$I$3:$I$1723,0)),""),"abrir"))</f>
        <v/>
      </c>
      <c r="J444" s="4" t="n"/>
      <c r="K444" s="4" t="n"/>
      <c r="L444" s="4" t="n"/>
      <c r="M444" s="4" t="n"/>
      <c r="N444" s="4">
        <f>IF(AND(K444="",M444=""),"",IF(OR(K444="sim",M444="sim"),"sim",IF(OR(K444="inconclusivo",M444="inconclusivo"),"inconclusivo","não")))</f>
        <v/>
      </c>
      <c r="O444" s="5">
        <f>IF(N444="sim",COUNTIFS($B$3:$B444,$B444,$N$3:$N444,"sim"),"")</f>
        <v/>
      </c>
      <c r="P444" s="5" t="n"/>
      <c r="Q444" s="4" t="n"/>
      <c r="R444" s="5" t="n"/>
      <c r="S444" s="9" t="n"/>
      <c r="T444" s="4" t="n"/>
    </row>
    <row r="445">
      <c r="A445" s="5">
        <f>ROW()-2</f>
        <v/>
      </c>
      <c r="B445" s="4" t="inlineStr">
        <is>
          <t>Metrópole</t>
        </is>
      </c>
      <c r="C445" s="5" t="n">
        <v>443</v>
      </c>
      <c r="D445" s="5">
        <f>IFERROR(INDEX('Base de sorteio'!$A$3:$A$1723,MATCH($B445&amp;"|"&amp;$C445,'Base de sorteio'!$I$3:$I$1723,0)),"")</f>
        <v/>
      </c>
      <c r="E445" s="4">
        <f>IFERROR(INDEX('Base de sorteio'!$B$3:$B$1723,MATCH($B445&amp;"|"&amp;$C445,'Base de sorteio'!$I$3:$I$1723,0)),"")</f>
        <v/>
      </c>
      <c r="F445" s="4">
        <f>IFERROR(INDEX('Base de sorteio'!$C$3:$C$1723,MATCH($B445&amp;"|"&amp;$C445,'Base de sorteio'!$I$3:$I$1723,0)),"")</f>
        <v/>
      </c>
      <c r="G445" s="4">
        <f>IFERROR(INDEX('Base de sorteio'!$D$3:$D$1723,MATCH($B445&amp;"|"&amp;$C445,'Base de sorteio'!$I$3:$I$1723,0)),"")</f>
        <v/>
      </c>
      <c r="H445" s="4">
        <f>IFERROR(INDEX('Base de sorteio'!$E$3:$E$1723,MATCH($B445&amp;"|"&amp;$C445,'Base de sorteio'!$I$3:$I$1723,0)),"")</f>
        <v/>
      </c>
      <c r="I445" s="4">
        <f>IF(E445="","",HYPERLINK(IFERROR(INDEX('Base de sorteio'!$J$3:$J$1723,MATCH($B445&amp;"|"&amp;$C445,'Base de sorteio'!$I$3:$I$1723,0)),""),"abrir"))</f>
        <v/>
      </c>
      <c r="J445" s="4" t="n"/>
      <c r="K445" s="4" t="n"/>
      <c r="L445" s="4" t="n"/>
      <c r="M445" s="4" t="n"/>
      <c r="N445" s="4">
        <f>IF(AND(K445="",M445=""),"",IF(OR(K445="sim",M445="sim"),"sim",IF(OR(K445="inconclusivo",M445="inconclusivo"),"inconclusivo","não")))</f>
        <v/>
      </c>
      <c r="O445" s="5">
        <f>IF(N445="sim",COUNTIFS($B$3:$B445,$B445,$N$3:$N445,"sim"),"")</f>
        <v/>
      </c>
      <c r="P445" s="5" t="n"/>
      <c r="Q445" s="4" t="n"/>
      <c r="R445" s="5" t="n"/>
      <c r="S445" s="9" t="n"/>
      <c r="T445" s="4" t="n"/>
    </row>
    <row r="446">
      <c r="A446" s="5">
        <f>ROW()-2</f>
        <v/>
      </c>
      <c r="B446" s="4" t="inlineStr">
        <is>
          <t>Metrópole</t>
        </is>
      </c>
      <c r="C446" s="5" t="n">
        <v>444</v>
      </c>
      <c r="D446" s="5">
        <f>IFERROR(INDEX('Base de sorteio'!$A$3:$A$1723,MATCH($B446&amp;"|"&amp;$C446,'Base de sorteio'!$I$3:$I$1723,0)),"")</f>
        <v/>
      </c>
      <c r="E446" s="4">
        <f>IFERROR(INDEX('Base de sorteio'!$B$3:$B$1723,MATCH($B446&amp;"|"&amp;$C446,'Base de sorteio'!$I$3:$I$1723,0)),"")</f>
        <v/>
      </c>
      <c r="F446" s="4">
        <f>IFERROR(INDEX('Base de sorteio'!$C$3:$C$1723,MATCH($B446&amp;"|"&amp;$C446,'Base de sorteio'!$I$3:$I$1723,0)),"")</f>
        <v/>
      </c>
      <c r="G446" s="4">
        <f>IFERROR(INDEX('Base de sorteio'!$D$3:$D$1723,MATCH($B446&amp;"|"&amp;$C446,'Base de sorteio'!$I$3:$I$1723,0)),"")</f>
        <v/>
      </c>
      <c r="H446" s="4">
        <f>IFERROR(INDEX('Base de sorteio'!$E$3:$E$1723,MATCH($B446&amp;"|"&amp;$C446,'Base de sorteio'!$I$3:$I$1723,0)),"")</f>
        <v/>
      </c>
      <c r="I446" s="4">
        <f>IF(E446="","",HYPERLINK(IFERROR(INDEX('Base de sorteio'!$J$3:$J$1723,MATCH($B446&amp;"|"&amp;$C446,'Base de sorteio'!$I$3:$I$1723,0)),""),"abrir"))</f>
        <v/>
      </c>
      <c r="J446" s="4" t="n"/>
      <c r="K446" s="4" t="n"/>
      <c r="L446" s="4" t="n"/>
      <c r="M446" s="4" t="n"/>
      <c r="N446" s="4">
        <f>IF(AND(K446="",M446=""),"",IF(OR(K446="sim",M446="sim"),"sim",IF(OR(K446="inconclusivo",M446="inconclusivo"),"inconclusivo","não")))</f>
        <v/>
      </c>
      <c r="O446" s="5">
        <f>IF(N446="sim",COUNTIFS($B$3:$B446,$B446,$N$3:$N446,"sim"),"")</f>
        <v/>
      </c>
      <c r="P446" s="5" t="n"/>
      <c r="Q446" s="4" t="n"/>
      <c r="R446" s="5" t="n"/>
      <c r="S446" s="9" t="n"/>
      <c r="T446" s="4" t="n"/>
    </row>
    <row r="447">
      <c r="A447" s="5">
        <f>ROW()-2</f>
        <v/>
      </c>
      <c r="B447" s="4" t="inlineStr">
        <is>
          <t>Metrópole</t>
        </is>
      </c>
      <c r="C447" s="5" t="n">
        <v>445</v>
      </c>
      <c r="D447" s="5">
        <f>IFERROR(INDEX('Base de sorteio'!$A$3:$A$1723,MATCH($B447&amp;"|"&amp;$C447,'Base de sorteio'!$I$3:$I$1723,0)),"")</f>
        <v/>
      </c>
      <c r="E447" s="4">
        <f>IFERROR(INDEX('Base de sorteio'!$B$3:$B$1723,MATCH($B447&amp;"|"&amp;$C447,'Base de sorteio'!$I$3:$I$1723,0)),"")</f>
        <v/>
      </c>
      <c r="F447" s="4">
        <f>IFERROR(INDEX('Base de sorteio'!$C$3:$C$1723,MATCH($B447&amp;"|"&amp;$C447,'Base de sorteio'!$I$3:$I$1723,0)),"")</f>
        <v/>
      </c>
      <c r="G447" s="4">
        <f>IFERROR(INDEX('Base de sorteio'!$D$3:$D$1723,MATCH($B447&amp;"|"&amp;$C447,'Base de sorteio'!$I$3:$I$1723,0)),"")</f>
        <v/>
      </c>
      <c r="H447" s="4">
        <f>IFERROR(INDEX('Base de sorteio'!$E$3:$E$1723,MATCH($B447&amp;"|"&amp;$C447,'Base de sorteio'!$I$3:$I$1723,0)),"")</f>
        <v/>
      </c>
      <c r="I447" s="4">
        <f>IF(E447="","",HYPERLINK(IFERROR(INDEX('Base de sorteio'!$J$3:$J$1723,MATCH($B447&amp;"|"&amp;$C447,'Base de sorteio'!$I$3:$I$1723,0)),""),"abrir"))</f>
        <v/>
      </c>
      <c r="J447" s="4" t="n"/>
      <c r="K447" s="4" t="n"/>
      <c r="L447" s="4" t="n"/>
      <c r="M447" s="4" t="n"/>
      <c r="N447" s="4">
        <f>IF(AND(K447="",M447=""),"",IF(OR(K447="sim",M447="sim"),"sim",IF(OR(K447="inconclusivo",M447="inconclusivo"),"inconclusivo","não")))</f>
        <v/>
      </c>
      <c r="O447" s="5">
        <f>IF(N447="sim",COUNTIFS($B$3:$B447,$B447,$N$3:$N447,"sim"),"")</f>
        <v/>
      </c>
      <c r="P447" s="5" t="n"/>
      <c r="Q447" s="4" t="n"/>
      <c r="R447" s="5" t="n"/>
      <c r="S447" s="9" t="n"/>
      <c r="T447" s="4" t="n"/>
    </row>
    <row r="448">
      <c r="A448" s="5">
        <f>ROW()-2</f>
        <v/>
      </c>
      <c r="B448" s="4" t="inlineStr">
        <is>
          <t>Metrópole</t>
        </is>
      </c>
      <c r="C448" s="5" t="n">
        <v>446</v>
      </c>
      <c r="D448" s="5">
        <f>IFERROR(INDEX('Base de sorteio'!$A$3:$A$1723,MATCH($B448&amp;"|"&amp;$C448,'Base de sorteio'!$I$3:$I$1723,0)),"")</f>
        <v/>
      </c>
      <c r="E448" s="4">
        <f>IFERROR(INDEX('Base de sorteio'!$B$3:$B$1723,MATCH($B448&amp;"|"&amp;$C448,'Base de sorteio'!$I$3:$I$1723,0)),"")</f>
        <v/>
      </c>
      <c r="F448" s="4">
        <f>IFERROR(INDEX('Base de sorteio'!$C$3:$C$1723,MATCH($B448&amp;"|"&amp;$C448,'Base de sorteio'!$I$3:$I$1723,0)),"")</f>
        <v/>
      </c>
      <c r="G448" s="4">
        <f>IFERROR(INDEX('Base de sorteio'!$D$3:$D$1723,MATCH($B448&amp;"|"&amp;$C448,'Base de sorteio'!$I$3:$I$1723,0)),"")</f>
        <v/>
      </c>
      <c r="H448" s="4">
        <f>IFERROR(INDEX('Base de sorteio'!$E$3:$E$1723,MATCH($B448&amp;"|"&amp;$C448,'Base de sorteio'!$I$3:$I$1723,0)),"")</f>
        <v/>
      </c>
      <c r="I448" s="4">
        <f>IF(E448="","",HYPERLINK(IFERROR(INDEX('Base de sorteio'!$J$3:$J$1723,MATCH($B448&amp;"|"&amp;$C448,'Base de sorteio'!$I$3:$I$1723,0)),""),"abrir"))</f>
        <v/>
      </c>
      <c r="J448" s="4" t="n"/>
      <c r="K448" s="4" t="n"/>
      <c r="L448" s="4" t="n"/>
      <c r="M448" s="4" t="n"/>
      <c r="N448" s="4">
        <f>IF(AND(K448="",M448=""),"",IF(OR(K448="sim",M448="sim"),"sim",IF(OR(K448="inconclusivo",M448="inconclusivo"),"inconclusivo","não")))</f>
        <v/>
      </c>
      <c r="O448" s="5">
        <f>IF(N448="sim",COUNTIFS($B$3:$B448,$B448,$N$3:$N448,"sim"),"")</f>
        <v/>
      </c>
      <c r="P448" s="5" t="n"/>
      <c r="Q448" s="4" t="n"/>
      <c r="R448" s="5" t="n"/>
      <c r="S448" s="9" t="n"/>
      <c r="T448" s="4" t="n"/>
    </row>
    <row r="449">
      <c r="A449" s="5">
        <f>ROW()-2</f>
        <v/>
      </c>
      <c r="B449" s="4" t="inlineStr">
        <is>
          <t>Metrópole</t>
        </is>
      </c>
      <c r="C449" s="5" t="n">
        <v>447</v>
      </c>
      <c r="D449" s="5">
        <f>IFERROR(INDEX('Base de sorteio'!$A$3:$A$1723,MATCH($B449&amp;"|"&amp;$C449,'Base de sorteio'!$I$3:$I$1723,0)),"")</f>
        <v/>
      </c>
      <c r="E449" s="4">
        <f>IFERROR(INDEX('Base de sorteio'!$B$3:$B$1723,MATCH($B449&amp;"|"&amp;$C449,'Base de sorteio'!$I$3:$I$1723,0)),"")</f>
        <v/>
      </c>
      <c r="F449" s="4">
        <f>IFERROR(INDEX('Base de sorteio'!$C$3:$C$1723,MATCH($B449&amp;"|"&amp;$C449,'Base de sorteio'!$I$3:$I$1723,0)),"")</f>
        <v/>
      </c>
      <c r="G449" s="4">
        <f>IFERROR(INDEX('Base de sorteio'!$D$3:$D$1723,MATCH($B449&amp;"|"&amp;$C449,'Base de sorteio'!$I$3:$I$1723,0)),"")</f>
        <v/>
      </c>
      <c r="H449" s="4">
        <f>IFERROR(INDEX('Base de sorteio'!$E$3:$E$1723,MATCH($B449&amp;"|"&amp;$C449,'Base de sorteio'!$I$3:$I$1723,0)),"")</f>
        <v/>
      </c>
      <c r="I449" s="4">
        <f>IF(E449="","",HYPERLINK(IFERROR(INDEX('Base de sorteio'!$J$3:$J$1723,MATCH($B449&amp;"|"&amp;$C449,'Base de sorteio'!$I$3:$I$1723,0)),""),"abrir"))</f>
        <v/>
      </c>
      <c r="J449" s="4" t="n"/>
      <c r="K449" s="4" t="n"/>
      <c r="L449" s="4" t="n"/>
      <c r="M449" s="4" t="n"/>
      <c r="N449" s="4">
        <f>IF(AND(K449="",M449=""),"",IF(OR(K449="sim",M449="sim"),"sim",IF(OR(K449="inconclusivo",M449="inconclusivo"),"inconclusivo","não")))</f>
        <v/>
      </c>
      <c r="O449" s="5">
        <f>IF(N449="sim",COUNTIFS($B$3:$B449,$B449,$N$3:$N449,"sim"),"")</f>
        <v/>
      </c>
      <c r="P449" s="5" t="n"/>
      <c r="Q449" s="4" t="n"/>
      <c r="R449" s="5" t="n"/>
      <c r="S449" s="9" t="n"/>
      <c r="T449" s="4" t="n"/>
    </row>
    <row r="450">
      <c r="A450" s="5">
        <f>ROW()-2</f>
        <v/>
      </c>
      <c r="B450" s="4" t="inlineStr">
        <is>
          <t>Metrópole</t>
        </is>
      </c>
      <c r="C450" s="5" t="n">
        <v>448</v>
      </c>
      <c r="D450" s="5">
        <f>IFERROR(INDEX('Base de sorteio'!$A$3:$A$1723,MATCH($B450&amp;"|"&amp;$C450,'Base de sorteio'!$I$3:$I$1723,0)),"")</f>
        <v/>
      </c>
      <c r="E450" s="4">
        <f>IFERROR(INDEX('Base de sorteio'!$B$3:$B$1723,MATCH($B450&amp;"|"&amp;$C450,'Base de sorteio'!$I$3:$I$1723,0)),"")</f>
        <v/>
      </c>
      <c r="F450" s="4">
        <f>IFERROR(INDEX('Base de sorteio'!$C$3:$C$1723,MATCH($B450&amp;"|"&amp;$C450,'Base de sorteio'!$I$3:$I$1723,0)),"")</f>
        <v/>
      </c>
      <c r="G450" s="4">
        <f>IFERROR(INDEX('Base de sorteio'!$D$3:$D$1723,MATCH($B450&amp;"|"&amp;$C450,'Base de sorteio'!$I$3:$I$1723,0)),"")</f>
        <v/>
      </c>
      <c r="H450" s="4">
        <f>IFERROR(INDEX('Base de sorteio'!$E$3:$E$1723,MATCH($B450&amp;"|"&amp;$C450,'Base de sorteio'!$I$3:$I$1723,0)),"")</f>
        <v/>
      </c>
      <c r="I450" s="4">
        <f>IF(E450="","",HYPERLINK(IFERROR(INDEX('Base de sorteio'!$J$3:$J$1723,MATCH($B450&amp;"|"&amp;$C450,'Base de sorteio'!$I$3:$I$1723,0)),""),"abrir"))</f>
        <v/>
      </c>
      <c r="J450" s="4" t="n"/>
      <c r="K450" s="4" t="n"/>
      <c r="L450" s="4" t="n"/>
      <c r="M450" s="4" t="n"/>
      <c r="N450" s="4">
        <f>IF(AND(K450="",M450=""),"",IF(OR(K450="sim",M450="sim"),"sim",IF(OR(K450="inconclusivo",M450="inconclusivo"),"inconclusivo","não")))</f>
        <v/>
      </c>
      <c r="O450" s="5">
        <f>IF(N450="sim",COUNTIFS($B$3:$B450,$B450,$N$3:$N450,"sim"),"")</f>
        <v/>
      </c>
      <c r="P450" s="5" t="n"/>
      <c r="Q450" s="4" t="n"/>
      <c r="R450" s="5" t="n"/>
      <c r="S450" s="9" t="n"/>
      <c r="T450" s="4" t="n"/>
    </row>
    <row r="451">
      <c r="A451" s="5">
        <f>ROW()-2</f>
        <v/>
      </c>
      <c r="B451" s="4" t="inlineStr">
        <is>
          <t>Metrópole</t>
        </is>
      </c>
      <c r="C451" s="5" t="n">
        <v>449</v>
      </c>
      <c r="D451" s="5">
        <f>IFERROR(INDEX('Base de sorteio'!$A$3:$A$1723,MATCH($B451&amp;"|"&amp;$C451,'Base de sorteio'!$I$3:$I$1723,0)),"")</f>
        <v/>
      </c>
      <c r="E451" s="4">
        <f>IFERROR(INDEX('Base de sorteio'!$B$3:$B$1723,MATCH($B451&amp;"|"&amp;$C451,'Base de sorteio'!$I$3:$I$1723,0)),"")</f>
        <v/>
      </c>
      <c r="F451" s="4">
        <f>IFERROR(INDEX('Base de sorteio'!$C$3:$C$1723,MATCH($B451&amp;"|"&amp;$C451,'Base de sorteio'!$I$3:$I$1723,0)),"")</f>
        <v/>
      </c>
      <c r="G451" s="4">
        <f>IFERROR(INDEX('Base de sorteio'!$D$3:$D$1723,MATCH($B451&amp;"|"&amp;$C451,'Base de sorteio'!$I$3:$I$1723,0)),"")</f>
        <v/>
      </c>
      <c r="H451" s="4">
        <f>IFERROR(INDEX('Base de sorteio'!$E$3:$E$1723,MATCH($B451&amp;"|"&amp;$C451,'Base de sorteio'!$I$3:$I$1723,0)),"")</f>
        <v/>
      </c>
      <c r="I451" s="4">
        <f>IF(E451="","",HYPERLINK(IFERROR(INDEX('Base de sorteio'!$J$3:$J$1723,MATCH($B451&amp;"|"&amp;$C451,'Base de sorteio'!$I$3:$I$1723,0)),""),"abrir"))</f>
        <v/>
      </c>
      <c r="J451" s="4" t="n"/>
      <c r="K451" s="4" t="n"/>
      <c r="L451" s="4" t="n"/>
      <c r="M451" s="4" t="n"/>
      <c r="N451" s="4">
        <f>IF(AND(K451="",M451=""),"",IF(OR(K451="sim",M451="sim"),"sim",IF(OR(K451="inconclusivo",M451="inconclusivo"),"inconclusivo","não")))</f>
        <v/>
      </c>
      <c r="O451" s="5">
        <f>IF(N451="sim",COUNTIFS($B$3:$B451,$B451,$N$3:$N451,"sim"),"")</f>
        <v/>
      </c>
      <c r="P451" s="5" t="n"/>
      <c r="Q451" s="4" t="n"/>
      <c r="R451" s="5" t="n"/>
      <c r="S451" s="9" t="n"/>
      <c r="T451" s="4" t="n"/>
    </row>
    <row r="452">
      <c r="A452" s="5">
        <f>ROW()-2</f>
        <v/>
      </c>
      <c r="B452" s="4" t="inlineStr">
        <is>
          <t>Metrópole</t>
        </is>
      </c>
      <c r="C452" s="5" t="n">
        <v>450</v>
      </c>
      <c r="D452" s="5">
        <f>IFERROR(INDEX('Base de sorteio'!$A$3:$A$1723,MATCH($B452&amp;"|"&amp;$C452,'Base de sorteio'!$I$3:$I$1723,0)),"")</f>
        <v/>
      </c>
      <c r="E452" s="4">
        <f>IFERROR(INDEX('Base de sorteio'!$B$3:$B$1723,MATCH($B452&amp;"|"&amp;$C452,'Base de sorteio'!$I$3:$I$1723,0)),"")</f>
        <v/>
      </c>
      <c r="F452" s="4">
        <f>IFERROR(INDEX('Base de sorteio'!$C$3:$C$1723,MATCH($B452&amp;"|"&amp;$C452,'Base de sorteio'!$I$3:$I$1723,0)),"")</f>
        <v/>
      </c>
      <c r="G452" s="4">
        <f>IFERROR(INDEX('Base de sorteio'!$D$3:$D$1723,MATCH($B452&amp;"|"&amp;$C452,'Base de sorteio'!$I$3:$I$1723,0)),"")</f>
        <v/>
      </c>
      <c r="H452" s="4">
        <f>IFERROR(INDEX('Base de sorteio'!$E$3:$E$1723,MATCH($B452&amp;"|"&amp;$C452,'Base de sorteio'!$I$3:$I$1723,0)),"")</f>
        <v/>
      </c>
      <c r="I452" s="4">
        <f>IF(E452="","",HYPERLINK(IFERROR(INDEX('Base de sorteio'!$J$3:$J$1723,MATCH($B452&amp;"|"&amp;$C452,'Base de sorteio'!$I$3:$I$1723,0)),""),"abrir"))</f>
        <v/>
      </c>
      <c r="J452" s="4" t="n"/>
      <c r="K452" s="4" t="n"/>
      <c r="L452" s="4" t="n"/>
      <c r="M452" s="4" t="n"/>
      <c r="N452" s="4">
        <f>IF(AND(K452="",M452=""),"",IF(OR(K452="sim",M452="sim"),"sim",IF(OR(K452="inconclusivo",M452="inconclusivo"),"inconclusivo","não")))</f>
        <v/>
      </c>
      <c r="O452" s="5">
        <f>IF(N452="sim",COUNTIFS($B$3:$B452,$B452,$N$3:$N452,"sim"),"")</f>
        <v/>
      </c>
      <c r="P452" s="5" t="n"/>
      <c r="Q452" s="4" t="n"/>
      <c r="R452" s="5" t="n"/>
      <c r="S452" s="9" t="n"/>
      <c r="T452" s="4" t="n"/>
    </row>
    <row r="453">
      <c r="A453" s="5">
        <f>ROW()-2</f>
        <v/>
      </c>
      <c r="B453" s="4" t="inlineStr">
        <is>
          <t>Metrópole</t>
        </is>
      </c>
      <c r="C453" s="5" t="n">
        <v>451</v>
      </c>
      <c r="D453" s="5">
        <f>IFERROR(INDEX('Base de sorteio'!$A$3:$A$1723,MATCH($B453&amp;"|"&amp;$C453,'Base de sorteio'!$I$3:$I$1723,0)),"")</f>
        <v/>
      </c>
      <c r="E453" s="4">
        <f>IFERROR(INDEX('Base de sorteio'!$B$3:$B$1723,MATCH($B453&amp;"|"&amp;$C453,'Base de sorteio'!$I$3:$I$1723,0)),"")</f>
        <v/>
      </c>
      <c r="F453" s="4">
        <f>IFERROR(INDEX('Base de sorteio'!$C$3:$C$1723,MATCH($B453&amp;"|"&amp;$C453,'Base de sorteio'!$I$3:$I$1723,0)),"")</f>
        <v/>
      </c>
      <c r="G453" s="4">
        <f>IFERROR(INDEX('Base de sorteio'!$D$3:$D$1723,MATCH($B453&amp;"|"&amp;$C453,'Base de sorteio'!$I$3:$I$1723,0)),"")</f>
        <v/>
      </c>
      <c r="H453" s="4">
        <f>IFERROR(INDEX('Base de sorteio'!$E$3:$E$1723,MATCH($B453&amp;"|"&amp;$C453,'Base de sorteio'!$I$3:$I$1723,0)),"")</f>
        <v/>
      </c>
      <c r="I453" s="4">
        <f>IF(E453="","",HYPERLINK(IFERROR(INDEX('Base de sorteio'!$J$3:$J$1723,MATCH($B453&amp;"|"&amp;$C453,'Base de sorteio'!$I$3:$I$1723,0)),""),"abrir"))</f>
        <v/>
      </c>
      <c r="J453" s="4" t="n"/>
      <c r="K453" s="4" t="n"/>
      <c r="L453" s="4" t="n"/>
      <c r="M453" s="4" t="n"/>
      <c r="N453" s="4">
        <f>IF(AND(K453="",M453=""),"",IF(OR(K453="sim",M453="sim"),"sim",IF(OR(K453="inconclusivo",M453="inconclusivo"),"inconclusivo","não")))</f>
        <v/>
      </c>
      <c r="O453" s="5">
        <f>IF(N453="sim",COUNTIFS($B$3:$B453,$B453,$N$3:$N453,"sim"),"")</f>
        <v/>
      </c>
      <c r="P453" s="5" t="n"/>
      <c r="Q453" s="4" t="n"/>
      <c r="R453" s="5" t="n"/>
      <c r="S453" s="9" t="n"/>
      <c r="T453" s="4" t="n"/>
    </row>
    <row r="454">
      <c r="A454" s="5">
        <f>ROW()-2</f>
        <v/>
      </c>
      <c r="B454" s="4" t="inlineStr">
        <is>
          <t>Metrópole</t>
        </is>
      </c>
      <c r="C454" s="5" t="n">
        <v>452</v>
      </c>
      <c r="D454" s="5">
        <f>IFERROR(INDEX('Base de sorteio'!$A$3:$A$1723,MATCH($B454&amp;"|"&amp;$C454,'Base de sorteio'!$I$3:$I$1723,0)),"")</f>
        <v/>
      </c>
      <c r="E454" s="4">
        <f>IFERROR(INDEX('Base de sorteio'!$B$3:$B$1723,MATCH($B454&amp;"|"&amp;$C454,'Base de sorteio'!$I$3:$I$1723,0)),"")</f>
        <v/>
      </c>
      <c r="F454" s="4">
        <f>IFERROR(INDEX('Base de sorteio'!$C$3:$C$1723,MATCH($B454&amp;"|"&amp;$C454,'Base de sorteio'!$I$3:$I$1723,0)),"")</f>
        <v/>
      </c>
      <c r="G454" s="4">
        <f>IFERROR(INDEX('Base de sorteio'!$D$3:$D$1723,MATCH($B454&amp;"|"&amp;$C454,'Base de sorteio'!$I$3:$I$1723,0)),"")</f>
        <v/>
      </c>
      <c r="H454" s="4">
        <f>IFERROR(INDEX('Base de sorteio'!$E$3:$E$1723,MATCH($B454&amp;"|"&amp;$C454,'Base de sorteio'!$I$3:$I$1723,0)),"")</f>
        <v/>
      </c>
      <c r="I454" s="4">
        <f>IF(E454="","",HYPERLINK(IFERROR(INDEX('Base de sorteio'!$J$3:$J$1723,MATCH($B454&amp;"|"&amp;$C454,'Base de sorteio'!$I$3:$I$1723,0)),""),"abrir"))</f>
        <v/>
      </c>
      <c r="J454" s="4" t="n"/>
      <c r="K454" s="4" t="n"/>
      <c r="L454" s="4" t="n"/>
      <c r="M454" s="4" t="n"/>
      <c r="N454" s="4">
        <f>IF(AND(K454="",M454=""),"",IF(OR(K454="sim",M454="sim"),"sim",IF(OR(K454="inconclusivo",M454="inconclusivo"),"inconclusivo","não")))</f>
        <v/>
      </c>
      <c r="O454" s="5">
        <f>IF(N454="sim",COUNTIFS($B$3:$B454,$B454,$N$3:$N454,"sim"),"")</f>
        <v/>
      </c>
      <c r="P454" s="5" t="n"/>
      <c r="Q454" s="4" t="n"/>
      <c r="R454" s="5" t="n"/>
      <c r="S454" s="9" t="n"/>
      <c r="T454" s="4" t="n"/>
    </row>
    <row r="455">
      <c r="A455" s="5">
        <f>ROW()-2</f>
        <v/>
      </c>
      <c r="B455" s="4" t="inlineStr">
        <is>
          <t>Metrópole</t>
        </is>
      </c>
      <c r="C455" s="5" t="n">
        <v>453</v>
      </c>
      <c r="D455" s="5">
        <f>IFERROR(INDEX('Base de sorteio'!$A$3:$A$1723,MATCH($B455&amp;"|"&amp;$C455,'Base de sorteio'!$I$3:$I$1723,0)),"")</f>
        <v/>
      </c>
      <c r="E455" s="4">
        <f>IFERROR(INDEX('Base de sorteio'!$B$3:$B$1723,MATCH($B455&amp;"|"&amp;$C455,'Base de sorteio'!$I$3:$I$1723,0)),"")</f>
        <v/>
      </c>
      <c r="F455" s="4">
        <f>IFERROR(INDEX('Base de sorteio'!$C$3:$C$1723,MATCH($B455&amp;"|"&amp;$C455,'Base de sorteio'!$I$3:$I$1723,0)),"")</f>
        <v/>
      </c>
      <c r="G455" s="4">
        <f>IFERROR(INDEX('Base de sorteio'!$D$3:$D$1723,MATCH($B455&amp;"|"&amp;$C455,'Base de sorteio'!$I$3:$I$1723,0)),"")</f>
        <v/>
      </c>
      <c r="H455" s="4">
        <f>IFERROR(INDEX('Base de sorteio'!$E$3:$E$1723,MATCH($B455&amp;"|"&amp;$C455,'Base de sorteio'!$I$3:$I$1723,0)),"")</f>
        <v/>
      </c>
      <c r="I455" s="4">
        <f>IF(E455="","",HYPERLINK(IFERROR(INDEX('Base de sorteio'!$J$3:$J$1723,MATCH($B455&amp;"|"&amp;$C455,'Base de sorteio'!$I$3:$I$1723,0)),""),"abrir"))</f>
        <v/>
      </c>
      <c r="J455" s="4" t="n"/>
      <c r="K455" s="4" t="n"/>
      <c r="L455" s="4" t="n"/>
      <c r="M455" s="4" t="n"/>
      <c r="N455" s="4">
        <f>IF(AND(K455="",M455=""),"",IF(OR(K455="sim",M455="sim"),"sim",IF(OR(K455="inconclusivo",M455="inconclusivo"),"inconclusivo","não")))</f>
        <v/>
      </c>
      <c r="O455" s="5">
        <f>IF(N455="sim",COUNTIFS($B$3:$B455,$B455,$N$3:$N455,"sim"),"")</f>
        <v/>
      </c>
      <c r="P455" s="5" t="n"/>
      <c r="Q455" s="4" t="n"/>
      <c r="R455" s="5" t="n"/>
      <c r="S455" s="9" t="n"/>
      <c r="T455" s="4" t="n"/>
    </row>
    <row r="456">
      <c r="A456" s="5">
        <f>ROW()-2</f>
        <v/>
      </c>
      <c r="B456" s="4" t="inlineStr">
        <is>
          <t>Metrópole</t>
        </is>
      </c>
      <c r="C456" s="5" t="n">
        <v>454</v>
      </c>
      <c r="D456" s="5">
        <f>IFERROR(INDEX('Base de sorteio'!$A$3:$A$1723,MATCH($B456&amp;"|"&amp;$C456,'Base de sorteio'!$I$3:$I$1723,0)),"")</f>
        <v/>
      </c>
      <c r="E456" s="4">
        <f>IFERROR(INDEX('Base de sorteio'!$B$3:$B$1723,MATCH($B456&amp;"|"&amp;$C456,'Base de sorteio'!$I$3:$I$1723,0)),"")</f>
        <v/>
      </c>
      <c r="F456" s="4">
        <f>IFERROR(INDEX('Base de sorteio'!$C$3:$C$1723,MATCH($B456&amp;"|"&amp;$C456,'Base de sorteio'!$I$3:$I$1723,0)),"")</f>
        <v/>
      </c>
      <c r="G456" s="4">
        <f>IFERROR(INDEX('Base de sorteio'!$D$3:$D$1723,MATCH($B456&amp;"|"&amp;$C456,'Base de sorteio'!$I$3:$I$1723,0)),"")</f>
        <v/>
      </c>
      <c r="H456" s="4">
        <f>IFERROR(INDEX('Base de sorteio'!$E$3:$E$1723,MATCH($B456&amp;"|"&amp;$C456,'Base de sorteio'!$I$3:$I$1723,0)),"")</f>
        <v/>
      </c>
      <c r="I456" s="4">
        <f>IF(E456="","",HYPERLINK(IFERROR(INDEX('Base de sorteio'!$J$3:$J$1723,MATCH($B456&amp;"|"&amp;$C456,'Base de sorteio'!$I$3:$I$1723,0)),""),"abrir"))</f>
        <v/>
      </c>
      <c r="J456" s="4" t="n"/>
      <c r="K456" s="4" t="n"/>
      <c r="L456" s="4" t="n"/>
      <c r="M456" s="4" t="n"/>
      <c r="N456" s="4">
        <f>IF(AND(K456="",M456=""),"",IF(OR(K456="sim",M456="sim"),"sim",IF(OR(K456="inconclusivo",M456="inconclusivo"),"inconclusivo","não")))</f>
        <v/>
      </c>
      <c r="O456" s="5">
        <f>IF(N456="sim",COUNTIFS($B$3:$B456,$B456,$N$3:$N456,"sim"),"")</f>
        <v/>
      </c>
      <c r="P456" s="5" t="n"/>
      <c r="Q456" s="4" t="n"/>
      <c r="R456" s="5" t="n"/>
      <c r="S456" s="9" t="n"/>
      <c r="T456" s="4" t="n"/>
    </row>
    <row r="457">
      <c r="A457" s="5">
        <f>ROW()-2</f>
        <v/>
      </c>
      <c r="B457" s="4" t="inlineStr">
        <is>
          <t>Metrópole</t>
        </is>
      </c>
      <c r="C457" s="5" t="n">
        <v>455</v>
      </c>
      <c r="D457" s="5">
        <f>IFERROR(INDEX('Base de sorteio'!$A$3:$A$1723,MATCH($B457&amp;"|"&amp;$C457,'Base de sorteio'!$I$3:$I$1723,0)),"")</f>
        <v/>
      </c>
      <c r="E457" s="4">
        <f>IFERROR(INDEX('Base de sorteio'!$B$3:$B$1723,MATCH($B457&amp;"|"&amp;$C457,'Base de sorteio'!$I$3:$I$1723,0)),"")</f>
        <v/>
      </c>
      <c r="F457" s="4">
        <f>IFERROR(INDEX('Base de sorteio'!$C$3:$C$1723,MATCH($B457&amp;"|"&amp;$C457,'Base de sorteio'!$I$3:$I$1723,0)),"")</f>
        <v/>
      </c>
      <c r="G457" s="4">
        <f>IFERROR(INDEX('Base de sorteio'!$D$3:$D$1723,MATCH($B457&amp;"|"&amp;$C457,'Base de sorteio'!$I$3:$I$1723,0)),"")</f>
        <v/>
      </c>
      <c r="H457" s="4">
        <f>IFERROR(INDEX('Base de sorteio'!$E$3:$E$1723,MATCH($B457&amp;"|"&amp;$C457,'Base de sorteio'!$I$3:$I$1723,0)),"")</f>
        <v/>
      </c>
      <c r="I457" s="4">
        <f>IF(E457="","",HYPERLINK(IFERROR(INDEX('Base de sorteio'!$J$3:$J$1723,MATCH($B457&amp;"|"&amp;$C457,'Base de sorteio'!$I$3:$I$1723,0)),""),"abrir"))</f>
        <v/>
      </c>
      <c r="J457" s="4" t="n"/>
      <c r="K457" s="4" t="n"/>
      <c r="L457" s="4" t="n"/>
      <c r="M457" s="4" t="n"/>
      <c r="N457" s="4">
        <f>IF(AND(K457="",M457=""),"",IF(OR(K457="sim",M457="sim"),"sim",IF(OR(K457="inconclusivo",M457="inconclusivo"),"inconclusivo","não")))</f>
        <v/>
      </c>
      <c r="O457" s="5">
        <f>IF(N457="sim",COUNTIFS($B$3:$B457,$B457,$N$3:$N457,"sim"),"")</f>
        <v/>
      </c>
      <c r="P457" s="5" t="n"/>
      <c r="Q457" s="4" t="n"/>
      <c r="R457" s="5" t="n"/>
      <c r="S457" s="9" t="n"/>
      <c r="T457" s="4" t="n"/>
    </row>
    <row r="458">
      <c r="A458" s="5">
        <f>ROW()-2</f>
        <v/>
      </c>
      <c r="B458" s="4" t="inlineStr">
        <is>
          <t>Metrópole</t>
        </is>
      </c>
      <c r="C458" s="5" t="n">
        <v>456</v>
      </c>
      <c r="D458" s="5">
        <f>IFERROR(INDEX('Base de sorteio'!$A$3:$A$1723,MATCH($B458&amp;"|"&amp;$C458,'Base de sorteio'!$I$3:$I$1723,0)),"")</f>
        <v/>
      </c>
      <c r="E458" s="4">
        <f>IFERROR(INDEX('Base de sorteio'!$B$3:$B$1723,MATCH($B458&amp;"|"&amp;$C458,'Base de sorteio'!$I$3:$I$1723,0)),"")</f>
        <v/>
      </c>
      <c r="F458" s="4">
        <f>IFERROR(INDEX('Base de sorteio'!$C$3:$C$1723,MATCH($B458&amp;"|"&amp;$C458,'Base de sorteio'!$I$3:$I$1723,0)),"")</f>
        <v/>
      </c>
      <c r="G458" s="4">
        <f>IFERROR(INDEX('Base de sorteio'!$D$3:$D$1723,MATCH($B458&amp;"|"&amp;$C458,'Base de sorteio'!$I$3:$I$1723,0)),"")</f>
        <v/>
      </c>
      <c r="H458" s="4">
        <f>IFERROR(INDEX('Base de sorteio'!$E$3:$E$1723,MATCH($B458&amp;"|"&amp;$C458,'Base de sorteio'!$I$3:$I$1723,0)),"")</f>
        <v/>
      </c>
      <c r="I458" s="4">
        <f>IF(E458="","",HYPERLINK(IFERROR(INDEX('Base de sorteio'!$J$3:$J$1723,MATCH($B458&amp;"|"&amp;$C458,'Base de sorteio'!$I$3:$I$1723,0)),""),"abrir"))</f>
        <v/>
      </c>
      <c r="J458" s="4" t="n"/>
      <c r="K458" s="4" t="n"/>
      <c r="L458" s="4" t="n"/>
      <c r="M458" s="4" t="n"/>
      <c r="N458" s="4">
        <f>IF(AND(K458="",M458=""),"",IF(OR(K458="sim",M458="sim"),"sim",IF(OR(K458="inconclusivo",M458="inconclusivo"),"inconclusivo","não")))</f>
        <v/>
      </c>
      <c r="O458" s="5">
        <f>IF(N458="sim",COUNTIFS($B$3:$B458,$B458,$N$3:$N458,"sim"),"")</f>
        <v/>
      </c>
      <c r="P458" s="5" t="n"/>
      <c r="Q458" s="4" t="n"/>
      <c r="R458" s="5" t="n"/>
      <c r="S458" s="9" t="n"/>
      <c r="T458" s="4" t="n"/>
    </row>
    <row r="459">
      <c r="A459" s="5">
        <f>ROW()-2</f>
        <v/>
      </c>
      <c r="B459" s="4" t="inlineStr">
        <is>
          <t>Metrópole</t>
        </is>
      </c>
      <c r="C459" s="5" t="n">
        <v>457</v>
      </c>
      <c r="D459" s="5">
        <f>IFERROR(INDEX('Base de sorteio'!$A$3:$A$1723,MATCH($B459&amp;"|"&amp;$C459,'Base de sorteio'!$I$3:$I$1723,0)),"")</f>
        <v/>
      </c>
      <c r="E459" s="4">
        <f>IFERROR(INDEX('Base de sorteio'!$B$3:$B$1723,MATCH($B459&amp;"|"&amp;$C459,'Base de sorteio'!$I$3:$I$1723,0)),"")</f>
        <v/>
      </c>
      <c r="F459" s="4">
        <f>IFERROR(INDEX('Base de sorteio'!$C$3:$C$1723,MATCH($B459&amp;"|"&amp;$C459,'Base de sorteio'!$I$3:$I$1723,0)),"")</f>
        <v/>
      </c>
      <c r="G459" s="4">
        <f>IFERROR(INDEX('Base de sorteio'!$D$3:$D$1723,MATCH($B459&amp;"|"&amp;$C459,'Base de sorteio'!$I$3:$I$1723,0)),"")</f>
        <v/>
      </c>
      <c r="H459" s="4">
        <f>IFERROR(INDEX('Base de sorteio'!$E$3:$E$1723,MATCH($B459&amp;"|"&amp;$C459,'Base de sorteio'!$I$3:$I$1723,0)),"")</f>
        <v/>
      </c>
      <c r="I459" s="4">
        <f>IF(E459="","",HYPERLINK(IFERROR(INDEX('Base de sorteio'!$J$3:$J$1723,MATCH($B459&amp;"|"&amp;$C459,'Base de sorteio'!$I$3:$I$1723,0)),""),"abrir"))</f>
        <v/>
      </c>
      <c r="J459" s="4" t="n"/>
      <c r="K459" s="4" t="n"/>
      <c r="L459" s="4" t="n"/>
      <c r="M459" s="4" t="n"/>
      <c r="N459" s="4">
        <f>IF(AND(K459="",M459=""),"",IF(OR(K459="sim",M459="sim"),"sim",IF(OR(K459="inconclusivo",M459="inconclusivo"),"inconclusivo","não")))</f>
        <v/>
      </c>
      <c r="O459" s="5">
        <f>IF(N459="sim",COUNTIFS($B$3:$B459,$B459,$N$3:$N459,"sim"),"")</f>
        <v/>
      </c>
      <c r="P459" s="5" t="n"/>
      <c r="Q459" s="4" t="n"/>
      <c r="R459" s="5" t="n"/>
      <c r="S459" s="9" t="n"/>
      <c r="T459" s="4" t="n"/>
    </row>
    <row r="460">
      <c r="A460" s="5">
        <f>ROW()-2</f>
        <v/>
      </c>
      <c r="B460" s="4" t="inlineStr">
        <is>
          <t>Metrópole</t>
        </is>
      </c>
      <c r="C460" s="5" t="n">
        <v>458</v>
      </c>
      <c r="D460" s="5">
        <f>IFERROR(INDEX('Base de sorteio'!$A$3:$A$1723,MATCH($B460&amp;"|"&amp;$C460,'Base de sorteio'!$I$3:$I$1723,0)),"")</f>
        <v/>
      </c>
      <c r="E460" s="4">
        <f>IFERROR(INDEX('Base de sorteio'!$B$3:$B$1723,MATCH($B460&amp;"|"&amp;$C460,'Base de sorteio'!$I$3:$I$1723,0)),"")</f>
        <v/>
      </c>
      <c r="F460" s="4">
        <f>IFERROR(INDEX('Base de sorteio'!$C$3:$C$1723,MATCH($B460&amp;"|"&amp;$C460,'Base de sorteio'!$I$3:$I$1723,0)),"")</f>
        <v/>
      </c>
      <c r="G460" s="4">
        <f>IFERROR(INDEX('Base de sorteio'!$D$3:$D$1723,MATCH($B460&amp;"|"&amp;$C460,'Base de sorteio'!$I$3:$I$1723,0)),"")</f>
        <v/>
      </c>
      <c r="H460" s="4">
        <f>IFERROR(INDEX('Base de sorteio'!$E$3:$E$1723,MATCH($B460&amp;"|"&amp;$C460,'Base de sorteio'!$I$3:$I$1723,0)),"")</f>
        <v/>
      </c>
      <c r="I460" s="4">
        <f>IF(E460="","",HYPERLINK(IFERROR(INDEX('Base de sorteio'!$J$3:$J$1723,MATCH($B460&amp;"|"&amp;$C460,'Base de sorteio'!$I$3:$I$1723,0)),""),"abrir"))</f>
        <v/>
      </c>
      <c r="J460" s="4" t="n"/>
      <c r="K460" s="4" t="n"/>
      <c r="L460" s="4" t="n"/>
      <c r="M460" s="4" t="n"/>
      <c r="N460" s="4">
        <f>IF(AND(K460="",M460=""),"",IF(OR(K460="sim",M460="sim"),"sim",IF(OR(K460="inconclusivo",M460="inconclusivo"),"inconclusivo","não")))</f>
        <v/>
      </c>
      <c r="O460" s="5">
        <f>IF(N460="sim",COUNTIFS($B$3:$B460,$B460,$N$3:$N460,"sim"),"")</f>
        <v/>
      </c>
      <c r="P460" s="5" t="n"/>
      <c r="Q460" s="4" t="n"/>
      <c r="R460" s="5" t="n"/>
      <c r="S460" s="9" t="n"/>
      <c r="T460" s="4" t="n"/>
    </row>
    <row r="461">
      <c r="A461" s="5">
        <f>ROW()-2</f>
        <v/>
      </c>
      <c r="B461" s="4" t="inlineStr">
        <is>
          <t>Metrópole</t>
        </is>
      </c>
      <c r="C461" s="5" t="n">
        <v>459</v>
      </c>
      <c r="D461" s="5">
        <f>IFERROR(INDEX('Base de sorteio'!$A$3:$A$1723,MATCH($B461&amp;"|"&amp;$C461,'Base de sorteio'!$I$3:$I$1723,0)),"")</f>
        <v/>
      </c>
      <c r="E461" s="4">
        <f>IFERROR(INDEX('Base de sorteio'!$B$3:$B$1723,MATCH($B461&amp;"|"&amp;$C461,'Base de sorteio'!$I$3:$I$1723,0)),"")</f>
        <v/>
      </c>
      <c r="F461" s="4">
        <f>IFERROR(INDEX('Base de sorteio'!$C$3:$C$1723,MATCH($B461&amp;"|"&amp;$C461,'Base de sorteio'!$I$3:$I$1723,0)),"")</f>
        <v/>
      </c>
      <c r="G461" s="4">
        <f>IFERROR(INDEX('Base de sorteio'!$D$3:$D$1723,MATCH($B461&amp;"|"&amp;$C461,'Base de sorteio'!$I$3:$I$1723,0)),"")</f>
        <v/>
      </c>
      <c r="H461" s="4">
        <f>IFERROR(INDEX('Base de sorteio'!$E$3:$E$1723,MATCH($B461&amp;"|"&amp;$C461,'Base de sorteio'!$I$3:$I$1723,0)),"")</f>
        <v/>
      </c>
      <c r="I461" s="4">
        <f>IF(E461="","",HYPERLINK(IFERROR(INDEX('Base de sorteio'!$J$3:$J$1723,MATCH($B461&amp;"|"&amp;$C461,'Base de sorteio'!$I$3:$I$1723,0)),""),"abrir"))</f>
        <v/>
      </c>
      <c r="J461" s="4" t="n"/>
      <c r="K461" s="4" t="n"/>
      <c r="L461" s="4" t="n"/>
      <c r="M461" s="4" t="n"/>
      <c r="N461" s="4">
        <f>IF(AND(K461="",M461=""),"",IF(OR(K461="sim",M461="sim"),"sim",IF(OR(K461="inconclusivo",M461="inconclusivo"),"inconclusivo","não")))</f>
        <v/>
      </c>
      <c r="O461" s="5">
        <f>IF(N461="sim",COUNTIFS($B$3:$B461,$B461,$N$3:$N461,"sim"),"")</f>
        <v/>
      </c>
      <c r="P461" s="5" t="n"/>
      <c r="Q461" s="4" t="n"/>
      <c r="R461" s="5" t="n"/>
      <c r="S461" s="9" t="n"/>
      <c r="T461" s="4" t="n"/>
    </row>
    <row r="462">
      <c r="A462" s="5">
        <f>ROW()-2</f>
        <v/>
      </c>
      <c r="B462" s="4" t="inlineStr">
        <is>
          <t>Metrópole</t>
        </is>
      </c>
      <c r="C462" s="5" t="n">
        <v>460</v>
      </c>
      <c r="D462" s="5">
        <f>IFERROR(INDEX('Base de sorteio'!$A$3:$A$1723,MATCH($B462&amp;"|"&amp;$C462,'Base de sorteio'!$I$3:$I$1723,0)),"")</f>
        <v/>
      </c>
      <c r="E462" s="4">
        <f>IFERROR(INDEX('Base de sorteio'!$B$3:$B$1723,MATCH($B462&amp;"|"&amp;$C462,'Base de sorteio'!$I$3:$I$1723,0)),"")</f>
        <v/>
      </c>
      <c r="F462" s="4">
        <f>IFERROR(INDEX('Base de sorteio'!$C$3:$C$1723,MATCH($B462&amp;"|"&amp;$C462,'Base de sorteio'!$I$3:$I$1723,0)),"")</f>
        <v/>
      </c>
      <c r="G462" s="4">
        <f>IFERROR(INDEX('Base de sorteio'!$D$3:$D$1723,MATCH($B462&amp;"|"&amp;$C462,'Base de sorteio'!$I$3:$I$1723,0)),"")</f>
        <v/>
      </c>
      <c r="H462" s="4">
        <f>IFERROR(INDEX('Base de sorteio'!$E$3:$E$1723,MATCH($B462&amp;"|"&amp;$C462,'Base de sorteio'!$I$3:$I$1723,0)),"")</f>
        <v/>
      </c>
      <c r="I462" s="4">
        <f>IF(E462="","",HYPERLINK(IFERROR(INDEX('Base de sorteio'!$J$3:$J$1723,MATCH($B462&amp;"|"&amp;$C462,'Base de sorteio'!$I$3:$I$1723,0)),""),"abrir"))</f>
        <v/>
      </c>
      <c r="J462" s="4" t="n"/>
      <c r="K462" s="4" t="n"/>
      <c r="L462" s="4" t="n"/>
      <c r="M462" s="4" t="n"/>
      <c r="N462" s="4">
        <f>IF(AND(K462="",M462=""),"",IF(OR(K462="sim",M462="sim"),"sim",IF(OR(K462="inconclusivo",M462="inconclusivo"),"inconclusivo","não")))</f>
        <v/>
      </c>
      <c r="O462" s="5">
        <f>IF(N462="sim",COUNTIFS($B$3:$B462,$B462,$N$3:$N462,"sim"),"")</f>
        <v/>
      </c>
      <c r="P462" s="5" t="n"/>
      <c r="Q462" s="4" t="n"/>
      <c r="R462" s="5" t="n"/>
      <c r="S462" s="9" t="n"/>
      <c r="T462" s="4" t="n"/>
    </row>
    <row r="463">
      <c r="A463" s="5">
        <f>ROW()-2</f>
        <v/>
      </c>
      <c r="B463" s="4" t="inlineStr">
        <is>
          <t>Metrópole</t>
        </is>
      </c>
      <c r="C463" s="5" t="n">
        <v>461</v>
      </c>
      <c r="D463" s="5">
        <f>IFERROR(INDEX('Base de sorteio'!$A$3:$A$1723,MATCH($B463&amp;"|"&amp;$C463,'Base de sorteio'!$I$3:$I$1723,0)),"")</f>
        <v/>
      </c>
      <c r="E463" s="4">
        <f>IFERROR(INDEX('Base de sorteio'!$B$3:$B$1723,MATCH($B463&amp;"|"&amp;$C463,'Base de sorteio'!$I$3:$I$1723,0)),"")</f>
        <v/>
      </c>
      <c r="F463" s="4">
        <f>IFERROR(INDEX('Base de sorteio'!$C$3:$C$1723,MATCH($B463&amp;"|"&amp;$C463,'Base de sorteio'!$I$3:$I$1723,0)),"")</f>
        <v/>
      </c>
      <c r="G463" s="4">
        <f>IFERROR(INDEX('Base de sorteio'!$D$3:$D$1723,MATCH($B463&amp;"|"&amp;$C463,'Base de sorteio'!$I$3:$I$1723,0)),"")</f>
        <v/>
      </c>
      <c r="H463" s="4">
        <f>IFERROR(INDEX('Base de sorteio'!$E$3:$E$1723,MATCH($B463&amp;"|"&amp;$C463,'Base de sorteio'!$I$3:$I$1723,0)),"")</f>
        <v/>
      </c>
      <c r="I463" s="4">
        <f>IF(E463="","",HYPERLINK(IFERROR(INDEX('Base de sorteio'!$J$3:$J$1723,MATCH($B463&amp;"|"&amp;$C463,'Base de sorteio'!$I$3:$I$1723,0)),""),"abrir"))</f>
        <v/>
      </c>
      <c r="J463" s="4" t="n"/>
      <c r="K463" s="4" t="n"/>
      <c r="L463" s="4" t="n"/>
      <c r="M463" s="4" t="n"/>
      <c r="N463" s="4">
        <f>IF(AND(K463="",M463=""),"",IF(OR(K463="sim",M463="sim"),"sim",IF(OR(K463="inconclusivo",M463="inconclusivo"),"inconclusivo","não")))</f>
        <v/>
      </c>
      <c r="O463" s="5">
        <f>IF(N463="sim",COUNTIFS($B$3:$B463,$B463,$N$3:$N463,"sim"),"")</f>
        <v/>
      </c>
      <c r="P463" s="5" t="n"/>
      <c r="Q463" s="4" t="n"/>
      <c r="R463" s="5" t="n"/>
      <c r="S463" s="9" t="n"/>
      <c r="T463" s="4" t="n"/>
    </row>
    <row r="464">
      <c r="A464" s="5">
        <f>ROW()-2</f>
        <v/>
      </c>
      <c r="B464" s="4" t="inlineStr">
        <is>
          <t>Metrópole</t>
        </is>
      </c>
      <c r="C464" s="5" t="n">
        <v>462</v>
      </c>
      <c r="D464" s="5">
        <f>IFERROR(INDEX('Base de sorteio'!$A$3:$A$1723,MATCH($B464&amp;"|"&amp;$C464,'Base de sorteio'!$I$3:$I$1723,0)),"")</f>
        <v/>
      </c>
      <c r="E464" s="4">
        <f>IFERROR(INDEX('Base de sorteio'!$B$3:$B$1723,MATCH($B464&amp;"|"&amp;$C464,'Base de sorteio'!$I$3:$I$1723,0)),"")</f>
        <v/>
      </c>
      <c r="F464" s="4">
        <f>IFERROR(INDEX('Base de sorteio'!$C$3:$C$1723,MATCH($B464&amp;"|"&amp;$C464,'Base de sorteio'!$I$3:$I$1723,0)),"")</f>
        <v/>
      </c>
      <c r="G464" s="4">
        <f>IFERROR(INDEX('Base de sorteio'!$D$3:$D$1723,MATCH($B464&amp;"|"&amp;$C464,'Base de sorteio'!$I$3:$I$1723,0)),"")</f>
        <v/>
      </c>
      <c r="H464" s="4">
        <f>IFERROR(INDEX('Base de sorteio'!$E$3:$E$1723,MATCH($B464&amp;"|"&amp;$C464,'Base de sorteio'!$I$3:$I$1723,0)),"")</f>
        <v/>
      </c>
      <c r="I464" s="4">
        <f>IF(E464="","",HYPERLINK(IFERROR(INDEX('Base de sorteio'!$J$3:$J$1723,MATCH($B464&amp;"|"&amp;$C464,'Base de sorteio'!$I$3:$I$1723,0)),""),"abrir"))</f>
        <v/>
      </c>
      <c r="J464" s="4" t="n"/>
      <c r="K464" s="4" t="n"/>
      <c r="L464" s="4" t="n"/>
      <c r="M464" s="4" t="n"/>
      <c r="N464" s="4">
        <f>IF(AND(K464="",M464=""),"",IF(OR(K464="sim",M464="sim"),"sim",IF(OR(K464="inconclusivo",M464="inconclusivo"),"inconclusivo","não")))</f>
        <v/>
      </c>
      <c r="O464" s="5">
        <f>IF(N464="sim",COUNTIFS($B$3:$B464,$B464,$N$3:$N464,"sim"),"")</f>
        <v/>
      </c>
      <c r="P464" s="5" t="n"/>
      <c r="Q464" s="4" t="n"/>
      <c r="R464" s="5" t="n"/>
      <c r="S464" s="9" t="n"/>
      <c r="T464" s="4" t="n"/>
    </row>
    <row r="465">
      <c r="A465" s="5">
        <f>ROW()-2</f>
        <v/>
      </c>
      <c r="B465" s="4" t="inlineStr">
        <is>
          <t>Metrópole</t>
        </is>
      </c>
      <c r="C465" s="5" t="n">
        <v>463</v>
      </c>
      <c r="D465" s="5">
        <f>IFERROR(INDEX('Base de sorteio'!$A$3:$A$1723,MATCH($B465&amp;"|"&amp;$C465,'Base de sorteio'!$I$3:$I$1723,0)),"")</f>
        <v/>
      </c>
      <c r="E465" s="4">
        <f>IFERROR(INDEX('Base de sorteio'!$B$3:$B$1723,MATCH($B465&amp;"|"&amp;$C465,'Base de sorteio'!$I$3:$I$1723,0)),"")</f>
        <v/>
      </c>
      <c r="F465" s="4">
        <f>IFERROR(INDEX('Base de sorteio'!$C$3:$C$1723,MATCH($B465&amp;"|"&amp;$C465,'Base de sorteio'!$I$3:$I$1723,0)),"")</f>
        <v/>
      </c>
      <c r="G465" s="4">
        <f>IFERROR(INDEX('Base de sorteio'!$D$3:$D$1723,MATCH($B465&amp;"|"&amp;$C465,'Base de sorteio'!$I$3:$I$1723,0)),"")</f>
        <v/>
      </c>
      <c r="H465" s="4">
        <f>IFERROR(INDEX('Base de sorteio'!$E$3:$E$1723,MATCH($B465&amp;"|"&amp;$C465,'Base de sorteio'!$I$3:$I$1723,0)),"")</f>
        <v/>
      </c>
      <c r="I465" s="4">
        <f>IF(E465="","",HYPERLINK(IFERROR(INDEX('Base de sorteio'!$J$3:$J$1723,MATCH($B465&amp;"|"&amp;$C465,'Base de sorteio'!$I$3:$I$1723,0)),""),"abrir"))</f>
        <v/>
      </c>
      <c r="J465" s="4" t="n"/>
      <c r="K465" s="4" t="n"/>
      <c r="L465" s="4" t="n"/>
      <c r="M465" s="4" t="n"/>
      <c r="N465" s="4">
        <f>IF(AND(K465="",M465=""),"",IF(OR(K465="sim",M465="sim"),"sim",IF(OR(K465="inconclusivo",M465="inconclusivo"),"inconclusivo","não")))</f>
        <v/>
      </c>
      <c r="O465" s="5">
        <f>IF(N465="sim",COUNTIFS($B$3:$B465,$B465,$N$3:$N465,"sim"),"")</f>
        <v/>
      </c>
      <c r="P465" s="5" t="n"/>
      <c r="Q465" s="4" t="n"/>
      <c r="R465" s="5" t="n"/>
      <c r="S465" s="9" t="n"/>
      <c r="T465" s="4" t="n"/>
    </row>
    <row r="466">
      <c r="A466" s="5">
        <f>ROW()-2</f>
        <v/>
      </c>
      <c r="B466" s="4" t="inlineStr">
        <is>
          <t>Metrópole</t>
        </is>
      </c>
      <c r="C466" s="5" t="n">
        <v>464</v>
      </c>
      <c r="D466" s="5">
        <f>IFERROR(INDEX('Base de sorteio'!$A$3:$A$1723,MATCH($B466&amp;"|"&amp;$C466,'Base de sorteio'!$I$3:$I$1723,0)),"")</f>
        <v/>
      </c>
      <c r="E466" s="4">
        <f>IFERROR(INDEX('Base de sorteio'!$B$3:$B$1723,MATCH($B466&amp;"|"&amp;$C466,'Base de sorteio'!$I$3:$I$1723,0)),"")</f>
        <v/>
      </c>
      <c r="F466" s="4">
        <f>IFERROR(INDEX('Base de sorteio'!$C$3:$C$1723,MATCH($B466&amp;"|"&amp;$C466,'Base de sorteio'!$I$3:$I$1723,0)),"")</f>
        <v/>
      </c>
      <c r="G466" s="4">
        <f>IFERROR(INDEX('Base de sorteio'!$D$3:$D$1723,MATCH($B466&amp;"|"&amp;$C466,'Base de sorteio'!$I$3:$I$1723,0)),"")</f>
        <v/>
      </c>
      <c r="H466" s="4">
        <f>IFERROR(INDEX('Base de sorteio'!$E$3:$E$1723,MATCH($B466&amp;"|"&amp;$C466,'Base de sorteio'!$I$3:$I$1723,0)),"")</f>
        <v/>
      </c>
      <c r="I466" s="4">
        <f>IF(E466="","",HYPERLINK(IFERROR(INDEX('Base de sorteio'!$J$3:$J$1723,MATCH($B466&amp;"|"&amp;$C466,'Base de sorteio'!$I$3:$I$1723,0)),""),"abrir"))</f>
        <v/>
      </c>
      <c r="J466" s="4" t="n"/>
      <c r="K466" s="4" t="n"/>
      <c r="L466" s="4" t="n"/>
      <c r="M466" s="4" t="n"/>
      <c r="N466" s="4">
        <f>IF(AND(K466="",M466=""),"",IF(OR(K466="sim",M466="sim"),"sim",IF(OR(K466="inconclusivo",M466="inconclusivo"),"inconclusivo","não")))</f>
        <v/>
      </c>
      <c r="O466" s="5">
        <f>IF(N466="sim",COUNTIFS($B$3:$B466,$B466,$N$3:$N466,"sim"),"")</f>
        <v/>
      </c>
      <c r="P466" s="5" t="n"/>
      <c r="Q466" s="4" t="n"/>
      <c r="R466" s="5" t="n"/>
      <c r="S466" s="9" t="n"/>
      <c r="T466" s="4" t="n"/>
    </row>
    <row r="467">
      <c r="A467" s="5">
        <f>ROW()-2</f>
        <v/>
      </c>
      <c r="B467" s="4" t="inlineStr">
        <is>
          <t>Metrópole</t>
        </is>
      </c>
      <c r="C467" s="5" t="n">
        <v>465</v>
      </c>
      <c r="D467" s="5">
        <f>IFERROR(INDEX('Base de sorteio'!$A$3:$A$1723,MATCH($B467&amp;"|"&amp;$C467,'Base de sorteio'!$I$3:$I$1723,0)),"")</f>
        <v/>
      </c>
      <c r="E467" s="4">
        <f>IFERROR(INDEX('Base de sorteio'!$B$3:$B$1723,MATCH($B467&amp;"|"&amp;$C467,'Base de sorteio'!$I$3:$I$1723,0)),"")</f>
        <v/>
      </c>
      <c r="F467" s="4">
        <f>IFERROR(INDEX('Base de sorteio'!$C$3:$C$1723,MATCH($B467&amp;"|"&amp;$C467,'Base de sorteio'!$I$3:$I$1723,0)),"")</f>
        <v/>
      </c>
      <c r="G467" s="4">
        <f>IFERROR(INDEX('Base de sorteio'!$D$3:$D$1723,MATCH($B467&amp;"|"&amp;$C467,'Base de sorteio'!$I$3:$I$1723,0)),"")</f>
        <v/>
      </c>
      <c r="H467" s="4">
        <f>IFERROR(INDEX('Base de sorteio'!$E$3:$E$1723,MATCH($B467&amp;"|"&amp;$C467,'Base de sorteio'!$I$3:$I$1723,0)),"")</f>
        <v/>
      </c>
      <c r="I467" s="4">
        <f>IF(E467="","",HYPERLINK(IFERROR(INDEX('Base de sorteio'!$J$3:$J$1723,MATCH($B467&amp;"|"&amp;$C467,'Base de sorteio'!$I$3:$I$1723,0)),""),"abrir"))</f>
        <v/>
      </c>
      <c r="J467" s="4" t="n"/>
      <c r="K467" s="4" t="n"/>
      <c r="L467" s="4" t="n"/>
      <c r="M467" s="4" t="n"/>
      <c r="N467" s="4">
        <f>IF(AND(K467="",M467=""),"",IF(OR(K467="sim",M467="sim"),"sim",IF(OR(K467="inconclusivo",M467="inconclusivo"),"inconclusivo","não")))</f>
        <v/>
      </c>
      <c r="O467" s="5">
        <f>IF(N467="sim",COUNTIFS($B$3:$B467,$B467,$N$3:$N467,"sim"),"")</f>
        <v/>
      </c>
      <c r="P467" s="5" t="n"/>
      <c r="Q467" s="4" t="n"/>
      <c r="R467" s="5" t="n"/>
      <c r="S467" s="9" t="n"/>
      <c r="T467" s="4" t="n"/>
    </row>
    <row r="468">
      <c r="A468" s="5">
        <f>ROW()-2</f>
        <v/>
      </c>
      <c r="B468" s="4" t="inlineStr">
        <is>
          <t>Metrópole</t>
        </is>
      </c>
      <c r="C468" s="5" t="n">
        <v>466</v>
      </c>
      <c r="D468" s="5">
        <f>IFERROR(INDEX('Base de sorteio'!$A$3:$A$1723,MATCH($B468&amp;"|"&amp;$C468,'Base de sorteio'!$I$3:$I$1723,0)),"")</f>
        <v/>
      </c>
      <c r="E468" s="4">
        <f>IFERROR(INDEX('Base de sorteio'!$B$3:$B$1723,MATCH($B468&amp;"|"&amp;$C468,'Base de sorteio'!$I$3:$I$1723,0)),"")</f>
        <v/>
      </c>
      <c r="F468" s="4">
        <f>IFERROR(INDEX('Base de sorteio'!$C$3:$C$1723,MATCH($B468&amp;"|"&amp;$C468,'Base de sorteio'!$I$3:$I$1723,0)),"")</f>
        <v/>
      </c>
      <c r="G468" s="4">
        <f>IFERROR(INDEX('Base de sorteio'!$D$3:$D$1723,MATCH($B468&amp;"|"&amp;$C468,'Base de sorteio'!$I$3:$I$1723,0)),"")</f>
        <v/>
      </c>
      <c r="H468" s="4">
        <f>IFERROR(INDEX('Base de sorteio'!$E$3:$E$1723,MATCH($B468&amp;"|"&amp;$C468,'Base de sorteio'!$I$3:$I$1723,0)),"")</f>
        <v/>
      </c>
      <c r="I468" s="4">
        <f>IF(E468="","",HYPERLINK(IFERROR(INDEX('Base de sorteio'!$J$3:$J$1723,MATCH($B468&amp;"|"&amp;$C468,'Base de sorteio'!$I$3:$I$1723,0)),""),"abrir"))</f>
        <v/>
      </c>
      <c r="J468" s="4" t="n"/>
      <c r="K468" s="4" t="n"/>
      <c r="L468" s="4" t="n"/>
      <c r="M468" s="4" t="n"/>
      <c r="N468" s="4">
        <f>IF(AND(K468="",M468=""),"",IF(OR(K468="sim",M468="sim"),"sim",IF(OR(K468="inconclusivo",M468="inconclusivo"),"inconclusivo","não")))</f>
        <v/>
      </c>
      <c r="O468" s="5">
        <f>IF(N468="sim",COUNTIFS($B$3:$B468,$B468,$N$3:$N468,"sim"),"")</f>
        <v/>
      </c>
      <c r="P468" s="5" t="n"/>
      <c r="Q468" s="4" t="n"/>
      <c r="R468" s="5" t="n"/>
      <c r="S468" s="9" t="n"/>
      <c r="T468" s="4" t="n"/>
    </row>
    <row r="469">
      <c r="A469" s="5">
        <f>ROW()-2</f>
        <v/>
      </c>
      <c r="B469" s="4" t="inlineStr">
        <is>
          <t>Metrópole</t>
        </is>
      </c>
      <c r="C469" s="5" t="n">
        <v>467</v>
      </c>
      <c r="D469" s="5">
        <f>IFERROR(INDEX('Base de sorteio'!$A$3:$A$1723,MATCH($B469&amp;"|"&amp;$C469,'Base de sorteio'!$I$3:$I$1723,0)),"")</f>
        <v/>
      </c>
      <c r="E469" s="4">
        <f>IFERROR(INDEX('Base de sorteio'!$B$3:$B$1723,MATCH($B469&amp;"|"&amp;$C469,'Base de sorteio'!$I$3:$I$1723,0)),"")</f>
        <v/>
      </c>
      <c r="F469" s="4">
        <f>IFERROR(INDEX('Base de sorteio'!$C$3:$C$1723,MATCH($B469&amp;"|"&amp;$C469,'Base de sorteio'!$I$3:$I$1723,0)),"")</f>
        <v/>
      </c>
      <c r="G469" s="4">
        <f>IFERROR(INDEX('Base de sorteio'!$D$3:$D$1723,MATCH($B469&amp;"|"&amp;$C469,'Base de sorteio'!$I$3:$I$1723,0)),"")</f>
        <v/>
      </c>
      <c r="H469" s="4">
        <f>IFERROR(INDEX('Base de sorteio'!$E$3:$E$1723,MATCH($B469&amp;"|"&amp;$C469,'Base de sorteio'!$I$3:$I$1723,0)),"")</f>
        <v/>
      </c>
      <c r="I469" s="4">
        <f>IF(E469="","",HYPERLINK(IFERROR(INDEX('Base de sorteio'!$J$3:$J$1723,MATCH($B469&amp;"|"&amp;$C469,'Base de sorteio'!$I$3:$I$1723,0)),""),"abrir"))</f>
        <v/>
      </c>
      <c r="J469" s="4" t="n"/>
      <c r="K469" s="4" t="n"/>
      <c r="L469" s="4" t="n"/>
      <c r="M469" s="4" t="n"/>
      <c r="N469" s="4">
        <f>IF(AND(K469="",M469=""),"",IF(OR(K469="sim",M469="sim"),"sim",IF(OR(K469="inconclusivo",M469="inconclusivo"),"inconclusivo","não")))</f>
        <v/>
      </c>
      <c r="O469" s="5">
        <f>IF(N469="sim",COUNTIFS($B$3:$B469,$B469,$N$3:$N469,"sim"),"")</f>
        <v/>
      </c>
      <c r="P469" s="5" t="n"/>
      <c r="Q469" s="4" t="n"/>
      <c r="R469" s="5" t="n"/>
      <c r="S469" s="9" t="n"/>
      <c r="T469" s="4" t="n"/>
    </row>
    <row r="470">
      <c r="A470" s="5">
        <f>ROW()-2</f>
        <v/>
      </c>
      <c r="B470" s="4" t="inlineStr">
        <is>
          <t>Metrópole</t>
        </is>
      </c>
      <c r="C470" s="5" t="n">
        <v>468</v>
      </c>
      <c r="D470" s="5">
        <f>IFERROR(INDEX('Base de sorteio'!$A$3:$A$1723,MATCH($B470&amp;"|"&amp;$C470,'Base de sorteio'!$I$3:$I$1723,0)),"")</f>
        <v/>
      </c>
      <c r="E470" s="4">
        <f>IFERROR(INDEX('Base de sorteio'!$B$3:$B$1723,MATCH($B470&amp;"|"&amp;$C470,'Base de sorteio'!$I$3:$I$1723,0)),"")</f>
        <v/>
      </c>
      <c r="F470" s="4">
        <f>IFERROR(INDEX('Base de sorteio'!$C$3:$C$1723,MATCH($B470&amp;"|"&amp;$C470,'Base de sorteio'!$I$3:$I$1723,0)),"")</f>
        <v/>
      </c>
      <c r="G470" s="4">
        <f>IFERROR(INDEX('Base de sorteio'!$D$3:$D$1723,MATCH($B470&amp;"|"&amp;$C470,'Base de sorteio'!$I$3:$I$1723,0)),"")</f>
        <v/>
      </c>
      <c r="H470" s="4">
        <f>IFERROR(INDEX('Base de sorteio'!$E$3:$E$1723,MATCH($B470&amp;"|"&amp;$C470,'Base de sorteio'!$I$3:$I$1723,0)),"")</f>
        <v/>
      </c>
      <c r="I470" s="4">
        <f>IF(E470="","",HYPERLINK(IFERROR(INDEX('Base de sorteio'!$J$3:$J$1723,MATCH($B470&amp;"|"&amp;$C470,'Base de sorteio'!$I$3:$I$1723,0)),""),"abrir"))</f>
        <v/>
      </c>
      <c r="J470" s="4" t="n"/>
      <c r="K470" s="4" t="n"/>
      <c r="L470" s="4" t="n"/>
      <c r="M470" s="4" t="n"/>
      <c r="N470" s="4">
        <f>IF(AND(K470="",M470=""),"",IF(OR(K470="sim",M470="sim"),"sim",IF(OR(K470="inconclusivo",M470="inconclusivo"),"inconclusivo","não")))</f>
        <v/>
      </c>
      <c r="O470" s="5">
        <f>IF(N470="sim",COUNTIFS($B$3:$B470,$B470,$N$3:$N470,"sim"),"")</f>
        <v/>
      </c>
      <c r="P470" s="5" t="n"/>
      <c r="Q470" s="4" t="n"/>
      <c r="R470" s="5" t="n"/>
      <c r="S470" s="9" t="n"/>
      <c r="T470" s="4" t="n"/>
    </row>
    <row r="471">
      <c r="A471" s="5">
        <f>ROW()-2</f>
        <v/>
      </c>
      <c r="B471" s="4" t="inlineStr">
        <is>
          <t>Metrópole</t>
        </is>
      </c>
      <c r="C471" s="5" t="n">
        <v>469</v>
      </c>
      <c r="D471" s="5">
        <f>IFERROR(INDEX('Base de sorteio'!$A$3:$A$1723,MATCH($B471&amp;"|"&amp;$C471,'Base de sorteio'!$I$3:$I$1723,0)),"")</f>
        <v/>
      </c>
      <c r="E471" s="4">
        <f>IFERROR(INDEX('Base de sorteio'!$B$3:$B$1723,MATCH($B471&amp;"|"&amp;$C471,'Base de sorteio'!$I$3:$I$1723,0)),"")</f>
        <v/>
      </c>
      <c r="F471" s="4">
        <f>IFERROR(INDEX('Base de sorteio'!$C$3:$C$1723,MATCH($B471&amp;"|"&amp;$C471,'Base de sorteio'!$I$3:$I$1723,0)),"")</f>
        <v/>
      </c>
      <c r="G471" s="4">
        <f>IFERROR(INDEX('Base de sorteio'!$D$3:$D$1723,MATCH($B471&amp;"|"&amp;$C471,'Base de sorteio'!$I$3:$I$1723,0)),"")</f>
        <v/>
      </c>
      <c r="H471" s="4">
        <f>IFERROR(INDEX('Base de sorteio'!$E$3:$E$1723,MATCH($B471&amp;"|"&amp;$C471,'Base de sorteio'!$I$3:$I$1723,0)),"")</f>
        <v/>
      </c>
      <c r="I471" s="4">
        <f>IF(E471="","",HYPERLINK(IFERROR(INDEX('Base de sorteio'!$J$3:$J$1723,MATCH($B471&amp;"|"&amp;$C471,'Base de sorteio'!$I$3:$I$1723,0)),""),"abrir"))</f>
        <v/>
      </c>
      <c r="J471" s="4" t="n"/>
      <c r="K471" s="4" t="n"/>
      <c r="L471" s="4" t="n"/>
      <c r="M471" s="4" t="n"/>
      <c r="N471" s="4">
        <f>IF(AND(K471="",M471=""),"",IF(OR(K471="sim",M471="sim"),"sim",IF(OR(K471="inconclusivo",M471="inconclusivo"),"inconclusivo","não")))</f>
        <v/>
      </c>
      <c r="O471" s="5">
        <f>IF(N471="sim",COUNTIFS($B$3:$B471,$B471,$N$3:$N471,"sim"),"")</f>
        <v/>
      </c>
      <c r="P471" s="5" t="n"/>
      <c r="Q471" s="4" t="n"/>
      <c r="R471" s="5" t="n"/>
      <c r="S471" s="9" t="n"/>
      <c r="T471" s="4" t="n"/>
    </row>
    <row r="472">
      <c r="A472" s="5">
        <f>ROW()-2</f>
        <v/>
      </c>
      <c r="B472" s="4" t="inlineStr">
        <is>
          <t>Metrópole</t>
        </is>
      </c>
      <c r="C472" s="5" t="n">
        <v>470</v>
      </c>
      <c r="D472" s="5">
        <f>IFERROR(INDEX('Base de sorteio'!$A$3:$A$1723,MATCH($B472&amp;"|"&amp;$C472,'Base de sorteio'!$I$3:$I$1723,0)),"")</f>
        <v/>
      </c>
      <c r="E472" s="4">
        <f>IFERROR(INDEX('Base de sorteio'!$B$3:$B$1723,MATCH($B472&amp;"|"&amp;$C472,'Base de sorteio'!$I$3:$I$1723,0)),"")</f>
        <v/>
      </c>
      <c r="F472" s="4">
        <f>IFERROR(INDEX('Base de sorteio'!$C$3:$C$1723,MATCH($B472&amp;"|"&amp;$C472,'Base de sorteio'!$I$3:$I$1723,0)),"")</f>
        <v/>
      </c>
      <c r="G472" s="4">
        <f>IFERROR(INDEX('Base de sorteio'!$D$3:$D$1723,MATCH($B472&amp;"|"&amp;$C472,'Base de sorteio'!$I$3:$I$1723,0)),"")</f>
        <v/>
      </c>
      <c r="H472" s="4">
        <f>IFERROR(INDEX('Base de sorteio'!$E$3:$E$1723,MATCH($B472&amp;"|"&amp;$C472,'Base de sorteio'!$I$3:$I$1723,0)),"")</f>
        <v/>
      </c>
      <c r="I472" s="4">
        <f>IF(E472="","",HYPERLINK(IFERROR(INDEX('Base de sorteio'!$J$3:$J$1723,MATCH($B472&amp;"|"&amp;$C472,'Base de sorteio'!$I$3:$I$1723,0)),""),"abrir"))</f>
        <v/>
      </c>
      <c r="J472" s="4" t="n"/>
      <c r="K472" s="4" t="n"/>
      <c r="L472" s="4" t="n"/>
      <c r="M472" s="4" t="n"/>
      <c r="N472" s="4">
        <f>IF(AND(K472="",M472=""),"",IF(OR(K472="sim",M472="sim"),"sim",IF(OR(K472="inconclusivo",M472="inconclusivo"),"inconclusivo","não")))</f>
        <v/>
      </c>
      <c r="O472" s="5">
        <f>IF(N472="sim",COUNTIFS($B$3:$B472,$B472,$N$3:$N472,"sim"),"")</f>
        <v/>
      </c>
      <c r="P472" s="5" t="n"/>
      <c r="Q472" s="4" t="n"/>
      <c r="R472" s="5" t="n"/>
      <c r="S472" s="9" t="n"/>
      <c r="T472" s="4" t="n"/>
    </row>
    <row r="473">
      <c r="A473" s="5">
        <f>ROW()-2</f>
        <v/>
      </c>
      <c r="B473" s="4" t="inlineStr">
        <is>
          <t>Metrópole</t>
        </is>
      </c>
      <c r="C473" s="5" t="n">
        <v>471</v>
      </c>
      <c r="D473" s="5">
        <f>IFERROR(INDEX('Base de sorteio'!$A$3:$A$1723,MATCH($B473&amp;"|"&amp;$C473,'Base de sorteio'!$I$3:$I$1723,0)),"")</f>
        <v/>
      </c>
      <c r="E473" s="4">
        <f>IFERROR(INDEX('Base de sorteio'!$B$3:$B$1723,MATCH($B473&amp;"|"&amp;$C473,'Base de sorteio'!$I$3:$I$1723,0)),"")</f>
        <v/>
      </c>
      <c r="F473" s="4">
        <f>IFERROR(INDEX('Base de sorteio'!$C$3:$C$1723,MATCH($B473&amp;"|"&amp;$C473,'Base de sorteio'!$I$3:$I$1723,0)),"")</f>
        <v/>
      </c>
      <c r="G473" s="4">
        <f>IFERROR(INDEX('Base de sorteio'!$D$3:$D$1723,MATCH($B473&amp;"|"&amp;$C473,'Base de sorteio'!$I$3:$I$1723,0)),"")</f>
        <v/>
      </c>
      <c r="H473" s="4">
        <f>IFERROR(INDEX('Base de sorteio'!$E$3:$E$1723,MATCH($B473&amp;"|"&amp;$C473,'Base de sorteio'!$I$3:$I$1723,0)),"")</f>
        <v/>
      </c>
      <c r="I473" s="4">
        <f>IF(E473="","",HYPERLINK(IFERROR(INDEX('Base de sorteio'!$J$3:$J$1723,MATCH($B473&amp;"|"&amp;$C473,'Base de sorteio'!$I$3:$I$1723,0)),""),"abrir"))</f>
        <v/>
      </c>
      <c r="J473" s="4" t="n"/>
      <c r="K473" s="4" t="n"/>
      <c r="L473" s="4" t="n"/>
      <c r="M473" s="4" t="n"/>
      <c r="N473" s="4">
        <f>IF(AND(K473="",M473=""),"",IF(OR(K473="sim",M473="sim"),"sim",IF(OR(K473="inconclusivo",M473="inconclusivo"),"inconclusivo","não")))</f>
        <v/>
      </c>
      <c r="O473" s="5">
        <f>IF(N473="sim",COUNTIFS($B$3:$B473,$B473,$N$3:$N473,"sim"),"")</f>
        <v/>
      </c>
      <c r="P473" s="5" t="n"/>
      <c r="Q473" s="4" t="n"/>
      <c r="R473" s="5" t="n"/>
      <c r="S473" s="9" t="n"/>
      <c r="T473" s="4" t="n"/>
    </row>
    <row r="474">
      <c r="A474" s="5">
        <f>ROW()-2</f>
        <v/>
      </c>
      <c r="B474" s="4" t="inlineStr">
        <is>
          <t>Metrópole</t>
        </is>
      </c>
      <c r="C474" s="5" t="n">
        <v>472</v>
      </c>
      <c r="D474" s="5">
        <f>IFERROR(INDEX('Base de sorteio'!$A$3:$A$1723,MATCH($B474&amp;"|"&amp;$C474,'Base de sorteio'!$I$3:$I$1723,0)),"")</f>
        <v/>
      </c>
      <c r="E474" s="4">
        <f>IFERROR(INDEX('Base de sorteio'!$B$3:$B$1723,MATCH($B474&amp;"|"&amp;$C474,'Base de sorteio'!$I$3:$I$1723,0)),"")</f>
        <v/>
      </c>
      <c r="F474" s="4">
        <f>IFERROR(INDEX('Base de sorteio'!$C$3:$C$1723,MATCH($B474&amp;"|"&amp;$C474,'Base de sorteio'!$I$3:$I$1723,0)),"")</f>
        <v/>
      </c>
      <c r="G474" s="4">
        <f>IFERROR(INDEX('Base de sorteio'!$D$3:$D$1723,MATCH($B474&amp;"|"&amp;$C474,'Base de sorteio'!$I$3:$I$1723,0)),"")</f>
        <v/>
      </c>
      <c r="H474" s="4">
        <f>IFERROR(INDEX('Base de sorteio'!$E$3:$E$1723,MATCH($B474&amp;"|"&amp;$C474,'Base de sorteio'!$I$3:$I$1723,0)),"")</f>
        <v/>
      </c>
      <c r="I474" s="4">
        <f>IF(E474="","",HYPERLINK(IFERROR(INDEX('Base de sorteio'!$J$3:$J$1723,MATCH($B474&amp;"|"&amp;$C474,'Base de sorteio'!$I$3:$I$1723,0)),""),"abrir"))</f>
        <v/>
      </c>
      <c r="J474" s="4" t="n"/>
      <c r="K474" s="4" t="n"/>
      <c r="L474" s="4" t="n"/>
      <c r="M474" s="4" t="n"/>
      <c r="N474" s="4">
        <f>IF(AND(K474="",M474=""),"",IF(OR(K474="sim",M474="sim"),"sim",IF(OR(K474="inconclusivo",M474="inconclusivo"),"inconclusivo","não")))</f>
        <v/>
      </c>
      <c r="O474" s="5">
        <f>IF(N474="sim",COUNTIFS($B$3:$B474,$B474,$N$3:$N474,"sim"),"")</f>
        <v/>
      </c>
      <c r="P474" s="5" t="n"/>
      <c r="Q474" s="4" t="n"/>
      <c r="R474" s="5" t="n"/>
      <c r="S474" s="9" t="n"/>
      <c r="T474" s="4" t="n"/>
    </row>
    <row r="475">
      <c r="A475" s="5">
        <f>ROW()-2</f>
        <v/>
      </c>
      <c r="B475" s="4" t="inlineStr">
        <is>
          <t>Metrópole</t>
        </is>
      </c>
      <c r="C475" s="5" t="n">
        <v>473</v>
      </c>
      <c r="D475" s="5">
        <f>IFERROR(INDEX('Base de sorteio'!$A$3:$A$1723,MATCH($B475&amp;"|"&amp;$C475,'Base de sorteio'!$I$3:$I$1723,0)),"")</f>
        <v/>
      </c>
      <c r="E475" s="4">
        <f>IFERROR(INDEX('Base de sorteio'!$B$3:$B$1723,MATCH($B475&amp;"|"&amp;$C475,'Base de sorteio'!$I$3:$I$1723,0)),"")</f>
        <v/>
      </c>
      <c r="F475" s="4">
        <f>IFERROR(INDEX('Base de sorteio'!$C$3:$C$1723,MATCH($B475&amp;"|"&amp;$C475,'Base de sorteio'!$I$3:$I$1723,0)),"")</f>
        <v/>
      </c>
      <c r="G475" s="4">
        <f>IFERROR(INDEX('Base de sorteio'!$D$3:$D$1723,MATCH($B475&amp;"|"&amp;$C475,'Base de sorteio'!$I$3:$I$1723,0)),"")</f>
        <v/>
      </c>
      <c r="H475" s="4">
        <f>IFERROR(INDEX('Base de sorteio'!$E$3:$E$1723,MATCH($B475&amp;"|"&amp;$C475,'Base de sorteio'!$I$3:$I$1723,0)),"")</f>
        <v/>
      </c>
      <c r="I475" s="4">
        <f>IF(E475="","",HYPERLINK(IFERROR(INDEX('Base de sorteio'!$J$3:$J$1723,MATCH($B475&amp;"|"&amp;$C475,'Base de sorteio'!$I$3:$I$1723,0)),""),"abrir"))</f>
        <v/>
      </c>
      <c r="J475" s="4" t="n"/>
      <c r="K475" s="4" t="n"/>
      <c r="L475" s="4" t="n"/>
      <c r="M475" s="4" t="n"/>
      <c r="N475" s="4">
        <f>IF(AND(K475="",M475=""),"",IF(OR(K475="sim",M475="sim"),"sim",IF(OR(K475="inconclusivo",M475="inconclusivo"),"inconclusivo","não")))</f>
        <v/>
      </c>
      <c r="O475" s="5">
        <f>IF(N475="sim",COUNTIFS($B$3:$B475,$B475,$N$3:$N475,"sim"),"")</f>
        <v/>
      </c>
      <c r="P475" s="5" t="n"/>
      <c r="Q475" s="4" t="n"/>
      <c r="R475" s="5" t="n"/>
      <c r="S475" s="9" t="n"/>
      <c r="T475" s="4" t="n"/>
    </row>
    <row r="476">
      <c r="A476" s="5">
        <f>ROW()-2</f>
        <v/>
      </c>
      <c r="B476" s="4" t="inlineStr">
        <is>
          <t>Metrópole</t>
        </is>
      </c>
      <c r="C476" s="5" t="n">
        <v>474</v>
      </c>
      <c r="D476" s="5">
        <f>IFERROR(INDEX('Base de sorteio'!$A$3:$A$1723,MATCH($B476&amp;"|"&amp;$C476,'Base de sorteio'!$I$3:$I$1723,0)),"")</f>
        <v/>
      </c>
      <c r="E476" s="4">
        <f>IFERROR(INDEX('Base de sorteio'!$B$3:$B$1723,MATCH($B476&amp;"|"&amp;$C476,'Base de sorteio'!$I$3:$I$1723,0)),"")</f>
        <v/>
      </c>
      <c r="F476" s="4">
        <f>IFERROR(INDEX('Base de sorteio'!$C$3:$C$1723,MATCH($B476&amp;"|"&amp;$C476,'Base de sorteio'!$I$3:$I$1723,0)),"")</f>
        <v/>
      </c>
      <c r="G476" s="4">
        <f>IFERROR(INDEX('Base de sorteio'!$D$3:$D$1723,MATCH($B476&amp;"|"&amp;$C476,'Base de sorteio'!$I$3:$I$1723,0)),"")</f>
        <v/>
      </c>
      <c r="H476" s="4">
        <f>IFERROR(INDEX('Base de sorteio'!$E$3:$E$1723,MATCH($B476&amp;"|"&amp;$C476,'Base de sorteio'!$I$3:$I$1723,0)),"")</f>
        <v/>
      </c>
      <c r="I476" s="4">
        <f>IF(E476="","",HYPERLINK(IFERROR(INDEX('Base de sorteio'!$J$3:$J$1723,MATCH($B476&amp;"|"&amp;$C476,'Base de sorteio'!$I$3:$I$1723,0)),""),"abrir"))</f>
        <v/>
      </c>
      <c r="J476" s="4" t="n"/>
      <c r="K476" s="4" t="n"/>
      <c r="L476" s="4" t="n"/>
      <c r="M476" s="4" t="n"/>
      <c r="N476" s="4">
        <f>IF(AND(K476="",M476=""),"",IF(OR(K476="sim",M476="sim"),"sim",IF(OR(K476="inconclusivo",M476="inconclusivo"),"inconclusivo","não")))</f>
        <v/>
      </c>
      <c r="O476" s="5">
        <f>IF(N476="sim",COUNTIFS($B$3:$B476,$B476,$N$3:$N476,"sim"),"")</f>
        <v/>
      </c>
      <c r="P476" s="5" t="n"/>
      <c r="Q476" s="4" t="n"/>
      <c r="R476" s="5" t="n"/>
      <c r="S476" s="9" t="n"/>
      <c r="T476" s="4" t="n"/>
    </row>
    <row r="477">
      <c r="A477" s="5">
        <f>ROW()-2</f>
        <v/>
      </c>
      <c r="B477" s="4" t="inlineStr">
        <is>
          <t>Metrópole</t>
        </is>
      </c>
      <c r="C477" s="5" t="n">
        <v>475</v>
      </c>
      <c r="D477" s="5">
        <f>IFERROR(INDEX('Base de sorteio'!$A$3:$A$1723,MATCH($B477&amp;"|"&amp;$C477,'Base de sorteio'!$I$3:$I$1723,0)),"")</f>
        <v/>
      </c>
      <c r="E477" s="4">
        <f>IFERROR(INDEX('Base de sorteio'!$B$3:$B$1723,MATCH($B477&amp;"|"&amp;$C477,'Base de sorteio'!$I$3:$I$1723,0)),"")</f>
        <v/>
      </c>
      <c r="F477" s="4">
        <f>IFERROR(INDEX('Base de sorteio'!$C$3:$C$1723,MATCH($B477&amp;"|"&amp;$C477,'Base de sorteio'!$I$3:$I$1723,0)),"")</f>
        <v/>
      </c>
      <c r="G477" s="4">
        <f>IFERROR(INDEX('Base de sorteio'!$D$3:$D$1723,MATCH($B477&amp;"|"&amp;$C477,'Base de sorteio'!$I$3:$I$1723,0)),"")</f>
        <v/>
      </c>
      <c r="H477" s="4">
        <f>IFERROR(INDEX('Base de sorteio'!$E$3:$E$1723,MATCH($B477&amp;"|"&amp;$C477,'Base de sorteio'!$I$3:$I$1723,0)),"")</f>
        <v/>
      </c>
      <c r="I477" s="4">
        <f>IF(E477="","",HYPERLINK(IFERROR(INDEX('Base de sorteio'!$J$3:$J$1723,MATCH($B477&amp;"|"&amp;$C477,'Base de sorteio'!$I$3:$I$1723,0)),""),"abrir"))</f>
        <v/>
      </c>
      <c r="J477" s="4" t="n"/>
      <c r="K477" s="4" t="n"/>
      <c r="L477" s="4" t="n"/>
      <c r="M477" s="4" t="n"/>
      <c r="N477" s="4">
        <f>IF(AND(K477="",M477=""),"",IF(OR(K477="sim",M477="sim"),"sim",IF(OR(K477="inconclusivo",M477="inconclusivo"),"inconclusivo","não")))</f>
        <v/>
      </c>
      <c r="O477" s="5">
        <f>IF(N477="sim",COUNTIFS($B$3:$B477,$B477,$N$3:$N477,"sim"),"")</f>
        <v/>
      </c>
      <c r="P477" s="5" t="n"/>
      <c r="Q477" s="4" t="n"/>
      <c r="R477" s="5" t="n"/>
      <c r="S477" s="9" t="n"/>
      <c r="T477" s="4" t="n"/>
    </row>
    <row r="478">
      <c r="A478" s="5">
        <f>ROW()-2</f>
        <v/>
      </c>
      <c r="B478" s="4" t="inlineStr">
        <is>
          <t>Metrópole</t>
        </is>
      </c>
      <c r="C478" s="5" t="n">
        <v>476</v>
      </c>
      <c r="D478" s="5">
        <f>IFERROR(INDEX('Base de sorteio'!$A$3:$A$1723,MATCH($B478&amp;"|"&amp;$C478,'Base de sorteio'!$I$3:$I$1723,0)),"")</f>
        <v/>
      </c>
      <c r="E478" s="4">
        <f>IFERROR(INDEX('Base de sorteio'!$B$3:$B$1723,MATCH($B478&amp;"|"&amp;$C478,'Base de sorteio'!$I$3:$I$1723,0)),"")</f>
        <v/>
      </c>
      <c r="F478" s="4">
        <f>IFERROR(INDEX('Base de sorteio'!$C$3:$C$1723,MATCH($B478&amp;"|"&amp;$C478,'Base de sorteio'!$I$3:$I$1723,0)),"")</f>
        <v/>
      </c>
      <c r="G478" s="4">
        <f>IFERROR(INDEX('Base de sorteio'!$D$3:$D$1723,MATCH($B478&amp;"|"&amp;$C478,'Base de sorteio'!$I$3:$I$1723,0)),"")</f>
        <v/>
      </c>
      <c r="H478" s="4">
        <f>IFERROR(INDEX('Base de sorteio'!$E$3:$E$1723,MATCH($B478&amp;"|"&amp;$C478,'Base de sorteio'!$I$3:$I$1723,0)),"")</f>
        <v/>
      </c>
      <c r="I478" s="4">
        <f>IF(E478="","",HYPERLINK(IFERROR(INDEX('Base de sorteio'!$J$3:$J$1723,MATCH($B478&amp;"|"&amp;$C478,'Base de sorteio'!$I$3:$I$1723,0)),""),"abrir"))</f>
        <v/>
      </c>
      <c r="J478" s="4" t="n"/>
      <c r="K478" s="4" t="n"/>
      <c r="L478" s="4" t="n"/>
      <c r="M478" s="4" t="n"/>
      <c r="N478" s="4">
        <f>IF(AND(K478="",M478=""),"",IF(OR(K478="sim",M478="sim"),"sim",IF(OR(K478="inconclusivo",M478="inconclusivo"),"inconclusivo","não")))</f>
        <v/>
      </c>
      <c r="O478" s="5">
        <f>IF(N478="sim",COUNTIFS($B$3:$B478,$B478,$N$3:$N478,"sim"),"")</f>
        <v/>
      </c>
      <c r="P478" s="5" t="n"/>
      <c r="Q478" s="4" t="n"/>
      <c r="R478" s="5" t="n"/>
      <c r="S478" s="9" t="n"/>
      <c r="T478" s="4" t="n"/>
    </row>
    <row r="479">
      <c r="A479" s="5">
        <f>ROW()-2</f>
        <v/>
      </c>
      <c r="B479" s="4" t="inlineStr">
        <is>
          <t>Metrópole</t>
        </is>
      </c>
      <c r="C479" s="5" t="n">
        <v>477</v>
      </c>
      <c r="D479" s="5">
        <f>IFERROR(INDEX('Base de sorteio'!$A$3:$A$1723,MATCH($B479&amp;"|"&amp;$C479,'Base de sorteio'!$I$3:$I$1723,0)),"")</f>
        <v/>
      </c>
      <c r="E479" s="4">
        <f>IFERROR(INDEX('Base de sorteio'!$B$3:$B$1723,MATCH($B479&amp;"|"&amp;$C479,'Base de sorteio'!$I$3:$I$1723,0)),"")</f>
        <v/>
      </c>
      <c r="F479" s="4">
        <f>IFERROR(INDEX('Base de sorteio'!$C$3:$C$1723,MATCH($B479&amp;"|"&amp;$C479,'Base de sorteio'!$I$3:$I$1723,0)),"")</f>
        <v/>
      </c>
      <c r="G479" s="4">
        <f>IFERROR(INDEX('Base de sorteio'!$D$3:$D$1723,MATCH($B479&amp;"|"&amp;$C479,'Base de sorteio'!$I$3:$I$1723,0)),"")</f>
        <v/>
      </c>
      <c r="H479" s="4">
        <f>IFERROR(INDEX('Base de sorteio'!$E$3:$E$1723,MATCH($B479&amp;"|"&amp;$C479,'Base de sorteio'!$I$3:$I$1723,0)),"")</f>
        <v/>
      </c>
      <c r="I479" s="4">
        <f>IF(E479="","",HYPERLINK(IFERROR(INDEX('Base de sorteio'!$J$3:$J$1723,MATCH($B479&amp;"|"&amp;$C479,'Base de sorteio'!$I$3:$I$1723,0)),""),"abrir"))</f>
        <v/>
      </c>
      <c r="J479" s="4" t="n"/>
      <c r="K479" s="4" t="n"/>
      <c r="L479" s="4" t="n"/>
      <c r="M479" s="4" t="n"/>
      <c r="N479" s="4">
        <f>IF(AND(K479="",M479=""),"",IF(OR(K479="sim",M479="sim"),"sim",IF(OR(K479="inconclusivo",M479="inconclusivo"),"inconclusivo","não")))</f>
        <v/>
      </c>
      <c r="O479" s="5">
        <f>IF(N479="sim",COUNTIFS($B$3:$B479,$B479,$N$3:$N479,"sim"),"")</f>
        <v/>
      </c>
      <c r="P479" s="5" t="n"/>
      <c r="Q479" s="4" t="n"/>
      <c r="R479" s="5" t="n"/>
      <c r="S479" s="9" t="n"/>
      <c r="T479" s="4" t="n"/>
    </row>
    <row r="480">
      <c r="A480" s="5">
        <f>ROW()-2</f>
        <v/>
      </c>
      <c r="B480" s="4" t="inlineStr">
        <is>
          <t>Metrópole</t>
        </is>
      </c>
      <c r="C480" s="5" t="n">
        <v>478</v>
      </c>
      <c r="D480" s="5">
        <f>IFERROR(INDEX('Base de sorteio'!$A$3:$A$1723,MATCH($B480&amp;"|"&amp;$C480,'Base de sorteio'!$I$3:$I$1723,0)),"")</f>
        <v/>
      </c>
      <c r="E480" s="4">
        <f>IFERROR(INDEX('Base de sorteio'!$B$3:$B$1723,MATCH($B480&amp;"|"&amp;$C480,'Base de sorteio'!$I$3:$I$1723,0)),"")</f>
        <v/>
      </c>
      <c r="F480" s="4">
        <f>IFERROR(INDEX('Base de sorteio'!$C$3:$C$1723,MATCH($B480&amp;"|"&amp;$C480,'Base de sorteio'!$I$3:$I$1723,0)),"")</f>
        <v/>
      </c>
      <c r="G480" s="4">
        <f>IFERROR(INDEX('Base de sorteio'!$D$3:$D$1723,MATCH($B480&amp;"|"&amp;$C480,'Base de sorteio'!$I$3:$I$1723,0)),"")</f>
        <v/>
      </c>
      <c r="H480" s="4">
        <f>IFERROR(INDEX('Base de sorteio'!$E$3:$E$1723,MATCH($B480&amp;"|"&amp;$C480,'Base de sorteio'!$I$3:$I$1723,0)),"")</f>
        <v/>
      </c>
      <c r="I480" s="4">
        <f>IF(E480="","",HYPERLINK(IFERROR(INDEX('Base de sorteio'!$J$3:$J$1723,MATCH($B480&amp;"|"&amp;$C480,'Base de sorteio'!$I$3:$I$1723,0)),""),"abrir"))</f>
        <v/>
      </c>
      <c r="J480" s="4" t="n"/>
      <c r="K480" s="4" t="n"/>
      <c r="L480" s="4" t="n"/>
      <c r="M480" s="4" t="n"/>
      <c r="N480" s="4">
        <f>IF(AND(K480="",M480=""),"",IF(OR(K480="sim",M480="sim"),"sim",IF(OR(K480="inconclusivo",M480="inconclusivo"),"inconclusivo","não")))</f>
        <v/>
      </c>
      <c r="O480" s="5">
        <f>IF(N480="sim",COUNTIFS($B$3:$B480,$B480,$N$3:$N480,"sim"),"")</f>
        <v/>
      </c>
      <c r="P480" s="5" t="n"/>
      <c r="Q480" s="4" t="n"/>
      <c r="R480" s="5" t="n"/>
      <c r="S480" s="9" t="n"/>
      <c r="T480" s="4" t="n"/>
    </row>
    <row r="481">
      <c r="A481" s="5">
        <f>ROW()-2</f>
        <v/>
      </c>
      <c r="B481" s="4" t="inlineStr">
        <is>
          <t>Metrópole</t>
        </is>
      </c>
      <c r="C481" s="5" t="n">
        <v>479</v>
      </c>
      <c r="D481" s="5">
        <f>IFERROR(INDEX('Base de sorteio'!$A$3:$A$1723,MATCH($B481&amp;"|"&amp;$C481,'Base de sorteio'!$I$3:$I$1723,0)),"")</f>
        <v/>
      </c>
      <c r="E481" s="4">
        <f>IFERROR(INDEX('Base de sorteio'!$B$3:$B$1723,MATCH($B481&amp;"|"&amp;$C481,'Base de sorteio'!$I$3:$I$1723,0)),"")</f>
        <v/>
      </c>
      <c r="F481" s="4">
        <f>IFERROR(INDEX('Base de sorteio'!$C$3:$C$1723,MATCH($B481&amp;"|"&amp;$C481,'Base de sorteio'!$I$3:$I$1723,0)),"")</f>
        <v/>
      </c>
      <c r="G481" s="4">
        <f>IFERROR(INDEX('Base de sorteio'!$D$3:$D$1723,MATCH($B481&amp;"|"&amp;$C481,'Base de sorteio'!$I$3:$I$1723,0)),"")</f>
        <v/>
      </c>
      <c r="H481" s="4">
        <f>IFERROR(INDEX('Base de sorteio'!$E$3:$E$1723,MATCH($B481&amp;"|"&amp;$C481,'Base de sorteio'!$I$3:$I$1723,0)),"")</f>
        <v/>
      </c>
      <c r="I481" s="4">
        <f>IF(E481="","",HYPERLINK(IFERROR(INDEX('Base de sorteio'!$J$3:$J$1723,MATCH($B481&amp;"|"&amp;$C481,'Base de sorteio'!$I$3:$I$1723,0)),""),"abrir"))</f>
        <v/>
      </c>
      <c r="J481" s="4" t="n"/>
      <c r="K481" s="4" t="n"/>
      <c r="L481" s="4" t="n"/>
      <c r="M481" s="4" t="n"/>
      <c r="N481" s="4">
        <f>IF(AND(K481="",M481=""),"",IF(OR(K481="sim",M481="sim"),"sim",IF(OR(K481="inconclusivo",M481="inconclusivo"),"inconclusivo","não")))</f>
        <v/>
      </c>
      <c r="O481" s="5">
        <f>IF(N481="sim",COUNTIFS($B$3:$B481,$B481,$N$3:$N481,"sim"),"")</f>
        <v/>
      </c>
      <c r="P481" s="5" t="n"/>
      <c r="Q481" s="4" t="n"/>
      <c r="R481" s="5" t="n"/>
      <c r="S481" s="9" t="n"/>
      <c r="T481" s="4" t="n"/>
    </row>
    <row r="482">
      <c r="A482" s="5">
        <f>ROW()-2</f>
        <v/>
      </c>
      <c r="B482" s="4" t="inlineStr">
        <is>
          <t>Metrópole</t>
        </is>
      </c>
      <c r="C482" s="5" t="n">
        <v>480</v>
      </c>
      <c r="D482" s="5">
        <f>IFERROR(INDEX('Base de sorteio'!$A$3:$A$1723,MATCH($B482&amp;"|"&amp;$C482,'Base de sorteio'!$I$3:$I$1723,0)),"")</f>
        <v/>
      </c>
      <c r="E482" s="4">
        <f>IFERROR(INDEX('Base de sorteio'!$B$3:$B$1723,MATCH($B482&amp;"|"&amp;$C482,'Base de sorteio'!$I$3:$I$1723,0)),"")</f>
        <v/>
      </c>
      <c r="F482" s="4">
        <f>IFERROR(INDEX('Base de sorteio'!$C$3:$C$1723,MATCH($B482&amp;"|"&amp;$C482,'Base de sorteio'!$I$3:$I$1723,0)),"")</f>
        <v/>
      </c>
      <c r="G482" s="4">
        <f>IFERROR(INDEX('Base de sorteio'!$D$3:$D$1723,MATCH($B482&amp;"|"&amp;$C482,'Base de sorteio'!$I$3:$I$1723,0)),"")</f>
        <v/>
      </c>
      <c r="H482" s="4">
        <f>IFERROR(INDEX('Base de sorteio'!$E$3:$E$1723,MATCH($B482&amp;"|"&amp;$C482,'Base de sorteio'!$I$3:$I$1723,0)),"")</f>
        <v/>
      </c>
      <c r="I482" s="4">
        <f>IF(E482="","",HYPERLINK(IFERROR(INDEX('Base de sorteio'!$J$3:$J$1723,MATCH($B482&amp;"|"&amp;$C482,'Base de sorteio'!$I$3:$I$1723,0)),""),"abrir"))</f>
        <v/>
      </c>
      <c r="J482" s="4" t="n"/>
      <c r="K482" s="4" t="n"/>
      <c r="L482" s="4" t="n"/>
      <c r="M482" s="4" t="n"/>
      <c r="N482" s="4">
        <f>IF(AND(K482="",M482=""),"",IF(OR(K482="sim",M482="sim"),"sim",IF(OR(K482="inconclusivo",M482="inconclusivo"),"inconclusivo","não")))</f>
        <v/>
      </c>
      <c r="O482" s="5">
        <f>IF(N482="sim",COUNTIFS($B$3:$B482,$B482,$N$3:$N482,"sim"),"")</f>
        <v/>
      </c>
      <c r="P482" s="5" t="n"/>
      <c r="Q482" s="4" t="n"/>
      <c r="R482" s="5" t="n"/>
      <c r="S482" s="9" t="n"/>
      <c r="T482" s="4" t="n"/>
    </row>
    <row r="483">
      <c r="A483" s="5">
        <f>ROW()-2</f>
        <v/>
      </c>
      <c r="B483" s="4" t="inlineStr">
        <is>
          <t>Metrópole</t>
        </is>
      </c>
      <c r="C483" s="5" t="n">
        <v>481</v>
      </c>
      <c r="D483" s="5">
        <f>IFERROR(INDEX('Base de sorteio'!$A$3:$A$1723,MATCH($B483&amp;"|"&amp;$C483,'Base de sorteio'!$I$3:$I$1723,0)),"")</f>
        <v/>
      </c>
      <c r="E483" s="4">
        <f>IFERROR(INDEX('Base de sorteio'!$B$3:$B$1723,MATCH($B483&amp;"|"&amp;$C483,'Base de sorteio'!$I$3:$I$1723,0)),"")</f>
        <v/>
      </c>
      <c r="F483" s="4">
        <f>IFERROR(INDEX('Base de sorteio'!$C$3:$C$1723,MATCH($B483&amp;"|"&amp;$C483,'Base de sorteio'!$I$3:$I$1723,0)),"")</f>
        <v/>
      </c>
      <c r="G483" s="4">
        <f>IFERROR(INDEX('Base de sorteio'!$D$3:$D$1723,MATCH($B483&amp;"|"&amp;$C483,'Base de sorteio'!$I$3:$I$1723,0)),"")</f>
        <v/>
      </c>
      <c r="H483" s="4">
        <f>IFERROR(INDEX('Base de sorteio'!$E$3:$E$1723,MATCH($B483&amp;"|"&amp;$C483,'Base de sorteio'!$I$3:$I$1723,0)),"")</f>
        <v/>
      </c>
      <c r="I483" s="4">
        <f>IF(E483="","",HYPERLINK(IFERROR(INDEX('Base de sorteio'!$J$3:$J$1723,MATCH($B483&amp;"|"&amp;$C483,'Base de sorteio'!$I$3:$I$1723,0)),""),"abrir"))</f>
        <v/>
      </c>
      <c r="J483" s="4" t="n"/>
      <c r="K483" s="4" t="n"/>
      <c r="L483" s="4" t="n"/>
      <c r="M483" s="4" t="n"/>
      <c r="N483" s="4">
        <f>IF(AND(K483="",M483=""),"",IF(OR(K483="sim",M483="sim"),"sim",IF(OR(K483="inconclusivo",M483="inconclusivo"),"inconclusivo","não")))</f>
        <v/>
      </c>
      <c r="O483" s="5">
        <f>IF(N483="sim",COUNTIFS($B$3:$B483,$B483,$N$3:$N483,"sim"),"")</f>
        <v/>
      </c>
      <c r="P483" s="5" t="n"/>
      <c r="Q483" s="4" t="n"/>
      <c r="R483" s="5" t="n"/>
      <c r="S483" s="9" t="n"/>
      <c r="T483" s="4" t="n"/>
    </row>
    <row r="484">
      <c r="A484" s="5">
        <f>ROW()-2</f>
        <v/>
      </c>
      <c r="B484" s="4" t="inlineStr">
        <is>
          <t>Metrópole</t>
        </is>
      </c>
      <c r="C484" s="5" t="n">
        <v>482</v>
      </c>
      <c r="D484" s="5">
        <f>IFERROR(INDEX('Base de sorteio'!$A$3:$A$1723,MATCH($B484&amp;"|"&amp;$C484,'Base de sorteio'!$I$3:$I$1723,0)),"")</f>
        <v/>
      </c>
      <c r="E484" s="4">
        <f>IFERROR(INDEX('Base de sorteio'!$B$3:$B$1723,MATCH($B484&amp;"|"&amp;$C484,'Base de sorteio'!$I$3:$I$1723,0)),"")</f>
        <v/>
      </c>
      <c r="F484" s="4">
        <f>IFERROR(INDEX('Base de sorteio'!$C$3:$C$1723,MATCH($B484&amp;"|"&amp;$C484,'Base de sorteio'!$I$3:$I$1723,0)),"")</f>
        <v/>
      </c>
      <c r="G484" s="4">
        <f>IFERROR(INDEX('Base de sorteio'!$D$3:$D$1723,MATCH($B484&amp;"|"&amp;$C484,'Base de sorteio'!$I$3:$I$1723,0)),"")</f>
        <v/>
      </c>
      <c r="H484" s="4">
        <f>IFERROR(INDEX('Base de sorteio'!$E$3:$E$1723,MATCH($B484&amp;"|"&amp;$C484,'Base de sorteio'!$I$3:$I$1723,0)),"")</f>
        <v/>
      </c>
      <c r="I484" s="4">
        <f>IF(E484="","",HYPERLINK(IFERROR(INDEX('Base de sorteio'!$J$3:$J$1723,MATCH($B484&amp;"|"&amp;$C484,'Base de sorteio'!$I$3:$I$1723,0)),""),"abrir"))</f>
        <v/>
      </c>
      <c r="J484" s="4" t="n"/>
      <c r="K484" s="4" t="n"/>
      <c r="L484" s="4" t="n"/>
      <c r="M484" s="4" t="n"/>
      <c r="N484" s="4">
        <f>IF(AND(K484="",M484=""),"",IF(OR(K484="sim",M484="sim"),"sim",IF(OR(K484="inconclusivo",M484="inconclusivo"),"inconclusivo","não")))</f>
        <v/>
      </c>
      <c r="O484" s="5">
        <f>IF(N484="sim",COUNTIFS($B$3:$B484,$B484,$N$3:$N484,"sim"),"")</f>
        <v/>
      </c>
      <c r="P484" s="5" t="n"/>
      <c r="Q484" s="4" t="n"/>
      <c r="R484" s="5" t="n"/>
      <c r="S484" s="9" t="n"/>
      <c r="T484" s="4" t="n"/>
    </row>
    <row r="485">
      <c r="A485" s="5">
        <f>ROW()-2</f>
        <v/>
      </c>
      <c r="B485" s="4" t="inlineStr">
        <is>
          <t>Metrópole</t>
        </is>
      </c>
      <c r="C485" s="5" t="n">
        <v>483</v>
      </c>
      <c r="D485" s="5">
        <f>IFERROR(INDEX('Base de sorteio'!$A$3:$A$1723,MATCH($B485&amp;"|"&amp;$C485,'Base de sorteio'!$I$3:$I$1723,0)),"")</f>
        <v/>
      </c>
      <c r="E485" s="4">
        <f>IFERROR(INDEX('Base de sorteio'!$B$3:$B$1723,MATCH($B485&amp;"|"&amp;$C485,'Base de sorteio'!$I$3:$I$1723,0)),"")</f>
        <v/>
      </c>
      <c r="F485" s="4">
        <f>IFERROR(INDEX('Base de sorteio'!$C$3:$C$1723,MATCH($B485&amp;"|"&amp;$C485,'Base de sorteio'!$I$3:$I$1723,0)),"")</f>
        <v/>
      </c>
      <c r="G485" s="4">
        <f>IFERROR(INDEX('Base de sorteio'!$D$3:$D$1723,MATCH($B485&amp;"|"&amp;$C485,'Base de sorteio'!$I$3:$I$1723,0)),"")</f>
        <v/>
      </c>
      <c r="H485" s="4">
        <f>IFERROR(INDEX('Base de sorteio'!$E$3:$E$1723,MATCH($B485&amp;"|"&amp;$C485,'Base de sorteio'!$I$3:$I$1723,0)),"")</f>
        <v/>
      </c>
      <c r="I485" s="4">
        <f>IF(E485="","",HYPERLINK(IFERROR(INDEX('Base de sorteio'!$J$3:$J$1723,MATCH($B485&amp;"|"&amp;$C485,'Base de sorteio'!$I$3:$I$1723,0)),""),"abrir"))</f>
        <v/>
      </c>
      <c r="J485" s="4" t="n"/>
      <c r="K485" s="4" t="n"/>
      <c r="L485" s="4" t="n"/>
      <c r="M485" s="4" t="n"/>
      <c r="N485" s="4">
        <f>IF(AND(K485="",M485=""),"",IF(OR(K485="sim",M485="sim"),"sim",IF(OR(K485="inconclusivo",M485="inconclusivo"),"inconclusivo","não")))</f>
        <v/>
      </c>
      <c r="O485" s="5">
        <f>IF(N485="sim",COUNTIFS($B$3:$B485,$B485,$N$3:$N485,"sim"),"")</f>
        <v/>
      </c>
      <c r="P485" s="5" t="n"/>
      <c r="Q485" s="4" t="n"/>
      <c r="R485" s="5" t="n"/>
      <c r="S485" s="9" t="n"/>
      <c r="T485" s="4" t="n"/>
    </row>
    <row r="486">
      <c r="A486" s="5">
        <f>ROW()-2</f>
        <v/>
      </c>
      <c r="B486" s="4" t="inlineStr">
        <is>
          <t>Metrópole</t>
        </is>
      </c>
      <c r="C486" s="5" t="n">
        <v>484</v>
      </c>
      <c r="D486" s="5">
        <f>IFERROR(INDEX('Base de sorteio'!$A$3:$A$1723,MATCH($B486&amp;"|"&amp;$C486,'Base de sorteio'!$I$3:$I$1723,0)),"")</f>
        <v/>
      </c>
      <c r="E486" s="4">
        <f>IFERROR(INDEX('Base de sorteio'!$B$3:$B$1723,MATCH($B486&amp;"|"&amp;$C486,'Base de sorteio'!$I$3:$I$1723,0)),"")</f>
        <v/>
      </c>
      <c r="F486" s="4">
        <f>IFERROR(INDEX('Base de sorteio'!$C$3:$C$1723,MATCH($B486&amp;"|"&amp;$C486,'Base de sorteio'!$I$3:$I$1723,0)),"")</f>
        <v/>
      </c>
      <c r="G486" s="4">
        <f>IFERROR(INDEX('Base de sorteio'!$D$3:$D$1723,MATCH($B486&amp;"|"&amp;$C486,'Base de sorteio'!$I$3:$I$1723,0)),"")</f>
        <v/>
      </c>
      <c r="H486" s="4">
        <f>IFERROR(INDEX('Base de sorteio'!$E$3:$E$1723,MATCH($B486&amp;"|"&amp;$C486,'Base de sorteio'!$I$3:$I$1723,0)),"")</f>
        <v/>
      </c>
      <c r="I486" s="4">
        <f>IF(E486="","",HYPERLINK(IFERROR(INDEX('Base de sorteio'!$J$3:$J$1723,MATCH($B486&amp;"|"&amp;$C486,'Base de sorteio'!$I$3:$I$1723,0)),""),"abrir"))</f>
        <v/>
      </c>
      <c r="J486" s="4" t="n"/>
      <c r="K486" s="4" t="n"/>
      <c r="L486" s="4" t="n"/>
      <c r="M486" s="4" t="n"/>
      <c r="N486" s="4">
        <f>IF(AND(K486="",M486=""),"",IF(OR(K486="sim",M486="sim"),"sim",IF(OR(K486="inconclusivo",M486="inconclusivo"),"inconclusivo","não")))</f>
        <v/>
      </c>
      <c r="O486" s="5">
        <f>IF(N486="sim",COUNTIFS($B$3:$B486,$B486,$N$3:$N486,"sim"),"")</f>
        <v/>
      </c>
      <c r="P486" s="5" t="n"/>
      <c r="Q486" s="4" t="n"/>
      <c r="R486" s="5" t="n"/>
      <c r="S486" s="9" t="n"/>
      <c r="T486" s="4" t="n"/>
    </row>
    <row r="487">
      <c r="A487" s="5">
        <f>ROW()-2</f>
        <v/>
      </c>
      <c r="B487" s="4" t="inlineStr">
        <is>
          <t>Metrópole</t>
        </is>
      </c>
      <c r="C487" s="5" t="n">
        <v>485</v>
      </c>
      <c r="D487" s="5">
        <f>IFERROR(INDEX('Base de sorteio'!$A$3:$A$1723,MATCH($B487&amp;"|"&amp;$C487,'Base de sorteio'!$I$3:$I$1723,0)),"")</f>
        <v/>
      </c>
      <c r="E487" s="4">
        <f>IFERROR(INDEX('Base de sorteio'!$B$3:$B$1723,MATCH($B487&amp;"|"&amp;$C487,'Base de sorteio'!$I$3:$I$1723,0)),"")</f>
        <v/>
      </c>
      <c r="F487" s="4">
        <f>IFERROR(INDEX('Base de sorteio'!$C$3:$C$1723,MATCH($B487&amp;"|"&amp;$C487,'Base de sorteio'!$I$3:$I$1723,0)),"")</f>
        <v/>
      </c>
      <c r="G487" s="4">
        <f>IFERROR(INDEX('Base de sorteio'!$D$3:$D$1723,MATCH($B487&amp;"|"&amp;$C487,'Base de sorteio'!$I$3:$I$1723,0)),"")</f>
        <v/>
      </c>
      <c r="H487" s="4">
        <f>IFERROR(INDEX('Base de sorteio'!$E$3:$E$1723,MATCH($B487&amp;"|"&amp;$C487,'Base de sorteio'!$I$3:$I$1723,0)),"")</f>
        <v/>
      </c>
      <c r="I487" s="4">
        <f>IF(E487="","",HYPERLINK(IFERROR(INDEX('Base de sorteio'!$J$3:$J$1723,MATCH($B487&amp;"|"&amp;$C487,'Base de sorteio'!$I$3:$I$1723,0)),""),"abrir"))</f>
        <v/>
      </c>
      <c r="J487" s="4" t="n"/>
      <c r="K487" s="4" t="n"/>
      <c r="L487" s="4" t="n"/>
      <c r="M487" s="4" t="n"/>
      <c r="N487" s="4">
        <f>IF(AND(K487="",M487=""),"",IF(OR(K487="sim",M487="sim"),"sim",IF(OR(K487="inconclusivo",M487="inconclusivo"),"inconclusivo","não")))</f>
        <v/>
      </c>
      <c r="O487" s="5">
        <f>IF(N487="sim",COUNTIFS($B$3:$B487,$B487,$N$3:$N487,"sim"),"")</f>
        <v/>
      </c>
      <c r="P487" s="5" t="n"/>
      <c r="Q487" s="4" t="n"/>
      <c r="R487" s="5" t="n"/>
      <c r="S487" s="9" t="n"/>
      <c r="T487" s="4" t="n"/>
    </row>
    <row r="488">
      <c r="A488" s="5">
        <f>ROW()-2</f>
        <v/>
      </c>
      <c r="B488" s="4" t="inlineStr">
        <is>
          <t>Metrópole</t>
        </is>
      </c>
      <c r="C488" s="5" t="n">
        <v>486</v>
      </c>
      <c r="D488" s="5">
        <f>IFERROR(INDEX('Base de sorteio'!$A$3:$A$1723,MATCH($B488&amp;"|"&amp;$C488,'Base de sorteio'!$I$3:$I$1723,0)),"")</f>
        <v/>
      </c>
      <c r="E488" s="4">
        <f>IFERROR(INDEX('Base de sorteio'!$B$3:$B$1723,MATCH($B488&amp;"|"&amp;$C488,'Base de sorteio'!$I$3:$I$1723,0)),"")</f>
        <v/>
      </c>
      <c r="F488" s="4">
        <f>IFERROR(INDEX('Base de sorteio'!$C$3:$C$1723,MATCH($B488&amp;"|"&amp;$C488,'Base de sorteio'!$I$3:$I$1723,0)),"")</f>
        <v/>
      </c>
      <c r="G488" s="4">
        <f>IFERROR(INDEX('Base de sorteio'!$D$3:$D$1723,MATCH($B488&amp;"|"&amp;$C488,'Base de sorteio'!$I$3:$I$1723,0)),"")</f>
        <v/>
      </c>
      <c r="H488" s="4">
        <f>IFERROR(INDEX('Base de sorteio'!$E$3:$E$1723,MATCH($B488&amp;"|"&amp;$C488,'Base de sorteio'!$I$3:$I$1723,0)),"")</f>
        <v/>
      </c>
      <c r="I488" s="4">
        <f>IF(E488="","",HYPERLINK(IFERROR(INDEX('Base de sorteio'!$J$3:$J$1723,MATCH($B488&amp;"|"&amp;$C488,'Base de sorteio'!$I$3:$I$1723,0)),""),"abrir"))</f>
        <v/>
      </c>
      <c r="J488" s="4" t="n"/>
      <c r="K488" s="4" t="n"/>
      <c r="L488" s="4" t="n"/>
      <c r="M488" s="4" t="n"/>
      <c r="N488" s="4">
        <f>IF(AND(K488="",M488=""),"",IF(OR(K488="sim",M488="sim"),"sim",IF(OR(K488="inconclusivo",M488="inconclusivo"),"inconclusivo","não")))</f>
        <v/>
      </c>
      <c r="O488" s="5">
        <f>IF(N488="sim",COUNTIFS($B$3:$B488,$B488,$N$3:$N488,"sim"),"")</f>
        <v/>
      </c>
      <c r="P488" s="5" t="n"/>
      <c r="Q488" s="4" t="n"/>
      <c r="R488" s="5" t="n"/>
      <c r="S488" s="9" t="n"/>
      <c r="T488" s="4" t="n"/>
    </row>
    <row r="489">
      <c r="A489" s="5">
        <f>ROW()-2</f>
        <v/>
      </c>
      <c r="B489" s="4" t="inlineStr">
        <is>
          <t>Metrópole</t>
        </is>
      </c>
      <c r="C489" s="5" t="n">
        <v>487</v>
      </c>
      <c r="D489" s="5">
        <f>IFERROR(INDEX('Base de sorteio'!$A$3:$A$1723,MATCH($B489&amp;"|"&amp;$C489,'Base de sorteio'!$I$3:$I$1723,0)),"")</f>
        <v/>
      </c>
      <c r="E489" s="4">
        <f>IFERROR(INDEX('Base de sorteio'!$B$3:$B$1723,MATCH($B489&amp;"|"&amp;$C489,'Base de sorteio'!$I$3:$I$1723,0)),"")</f>
        <v/>
      </c>
      <c r="F489" s="4">
        <f>IFERROR(INDEX('Base de sorteio'!$C$3:$C$1723,MATCH($B489&amp;"|"&amp;$C489,'Base de sorteio'!$I$3:$I$1723,0)),"")</f>
        <v/>
      </c>
      <c r="G489" s="4">
        <f>IFERROR(INDEX('Base de sorteio'!$D$3:$D$1723,MATCH($B489&amp;"|"&amp;$C489,'Base de sorteio'!$I$3:$I$1723,0)),"")</f>
        <v/>
      </c>
      <c r="H489" s="4">
        <f>IFERROR(INDEX('Base de sorteio'!$E$3:$E$1723,MATCH($B489&amp;"|"&amp;$C489,'Base de sorteio'!$I$3:$I$1723,0)),"")</f>
        <v/>
      </c>
      <c r="I489" s="4">
        <f>IF(E489="","",HYPERLINK(IFERROR(INDEX('Base de sorteio'!$J$3:$J$1723,MATCH($B489&amp;"|"&amp;$C489,'Base de sorteio'!$I$3:$I$1723,0)),""),"abrir"))</f>
        <v/>
      </c>
      <c r="J489" s="4" t="n"/>
      <c r="K489" s="4" t="n"/>
      <c r="L489" s="4" t="n"/>
      <c r="M489" s="4" t="n"/>
      <c r="N489" s="4">
        <f>IF(AND(K489="",M489=""),"",IF(OR(K489="sim",M489="sim"),"sim",IF(OR(K489="inconclusivo",M489="inconclusivo"),"inconclusivo","não")))</f>
        <v/>
      </c>
      <c r="O489" s="5">
        <f>IF(N489="sim",COUNTIFS($B$3:$B489,$B489,$N$3:$N489,"sim"),"")</f>
        <v/>
      </c>
      <c r="P489" s="5" t="n"/>
      <c r="Q489" s="4" t="n"/>
      <c r="R489" s="5" t="n"/>
      <c r="S489" s="9" t="n"/>
      <c r="T489" s="4" t="n"/>
    </row>
    <row r="490">
      <c r="A490" s="5">
        <f>ROW()-2</f>
        <v/>
      </c>
      <c r="B490" s="4" t="inlineStr">
        <is>
          <t>Metrópole</t>
        </is>
      </c>
      <c r="C490" s="5" t="n">
        <v>488</v>
      </c>
      <c r="D490" s="5">
        <f>IFERROR(INDEX('Base de sorteio'!$A$3:$A$1723,MATCH($B490&amp;"|"&amp;$C490,'Base de sorteio'!$I$3:$I$1723,0)),"")</f>
        <v/>
      </c>
      <c r="E490" s="4">
        <f>IFERROR(INDEX('Base de sorteio'!$B$3:$B$1723,MATCH($B490&amp;"|"&amp;$C490,'Base de sorteio'!$I$3:$I$1723,0)),"")</f>
        <v/>
      </c>
      <c r="F490" s="4">
        <f>IFERROR(INDEX('Base de sorteio'!$C$3:$C$1723,MATCH($B490&amp;"|"&amp;$C490,'Base de sorteio'!$I$3:$I$1723,0)),"")</f>
        <v/>
      </c>
      <c r="G490" s="4">
        <f>IFERROR(INDEX('Base de sorteio'!$D$3:$D$1723,MATCH($B490&amp;"|"&amp;$C490,'Base de sorteio'!$I$3:$I$1723,0)),"")</f>
        <v/>
      </c>
      <c r="H490" s="4">
        <f>IFERROR(INDEX('Base de sorteio'!$E$3:$E$1723,MATCH($B490&amp;"|"&amp;$C490,'Base de sorteio'!$I$3:$I$1723,0)),"")</f>
        <v/>
      </c>
      <c r="I490" s="4">
        <f>IF(E490="","",HYPERLINK(IFERROR(INDEX('Base de sorteio'!$J$3:$J$1723,MATCH($B490&amp;"|"&amp;$C490,'Base de sorteio'!$I$3:$I$1723,0)),""),"abrir"))</f>
        <v/>
      </c>
      <c r="J490" s="4" t="n"/>
      <c r="K490" s="4" t="n"/>
      <c r="L490" s="4" t="n"/>
      <c r="M490" s="4" t="n"/>
      <c r="N490" s="4">
        <f>IF(AND(K490="",M490=""),"",IF(OR(K490="sim",M490="sim"),"sim",IF(OR(K490="inconclusivo",M490="inconclusivo"),"inconclusivo","não")))</f>
        <v/>
      </c>
      <c r="O490" s="5">
        <f>IF(N490="sim",COUNTIFS($B$3:$B490,$B490,$N$3:$N490,"sim"),"")</f>
        <v/>
      </c>
      <c r="P490" s="5" t="n"/>
      <c r="Q490" s="4" t="n"/>
      <c r="R490" s="5" t="n"/>
      <c r="S490" s="9" t="n"/>
      <c r="T490" s="4" t="n"/>
    </row>
    <row r="491">
      <c r="A491" s="5">
        <f>ROW()-2</f>
        <v/>
      </c>
      <c r="B491" s="4" t="inlineStr">
        <is>
          <t>Metrópole</t>
        </is>
      </c>
      <c r="C491" s="5" t="n">
        <v>489</v>
      </c>
      <c r="D491" s="5">
        <f>IFERROR(INDEX('Base de sorteio'!$A$3:$A$1723,MATCH($B491&amp;"|"&amp;$C491,'Base de sorteio'!$I$3:$I$1723,0)),"")</f>
        <v/>
      </c>
      <c r="E491" s="4">
        <f>IFERROR(INDEX('Base de sorteio'!$B$3:$B$1723,MATCH($B491&amp;"|"&amp;$C491,'Base de sorteio'!$I$3:$I$1723,0)),"")</f>
        <v/>
      </c>
      <c r="F491" s="4">
        <f>IFERROR(INDEX('Base de sorteio'!$C$3:$C$1723,MATCH($B491&amp;"|"&amp;$C491,'Base de sorteio'!$I$3:$I$1723,0)),"")</f>
        <v/>
      </c>
      <c r="G491" s="4">
        <f>IFERROR(INDEX('Base de sorteio'!$D$3:$D$1723,MATCH($B491&amp;"|"&amp;$C491,'Base de sorteio'!$I$3:$I$1723,0)),"")</f>
        <v/>
      </c>
      <c r="H491" s="4">
        <f>IFERROR(INDEX('Base de sorteio'!$E$3:$E$1723,MATCH($B491&amp;"|"&amp;$C491,'Base de sorteio'!$I$3:$I$1723,0)),"")</f>
        <v/>
      </c>
      <c r="I491" s="4">
        <f>IF(E491="","",HYPERLINK(IFERROR(INDEX('Base de sorteio'!$J$3:$J$1723,MATCH($B491&amp;"|"&amp;$C491,'Base de sorteio'!$I$3:$I$1723,0)),""),"abrir"))</f>
        <v/>
      </c>
      <c r="J491" s="4" t="n"/>
      <c r="K491" s="4" t="n"/>
      <c r="L491" s="4" t="n"/>
      <c r="M491" s="4" t="n"/>
      <c r="N491" s="4">
        <f>IF(AND(K491="",M491=""),"",IF(OR(K491="sim",M491="sim"),"sim",IF(OR(K491="inconclusivo",M491="inconclusivo"),"inconclusivo","não")))</f>
        <v/>
      </c>
      <c r="O491" s="5">
        <f>IF(N491="sim",COUNTIFS($B$3:$B491,$B491,$N$3:$N491,"sim"),"")</f>
        <v/>
      </c>
      <c r="P491" s="5" t="n"/>
      <c r="Q491" s="4" t="n"/>
      <c r="R491" s="5" t="n"/>
      <c r="S491" s="9" t="n"/>
      <c r="T491" s="4" t="n"/>
    </row>
    <row r="492">
      <c r="A492" s="5">
        <f>ROW()-2</f>
        <v/>
      </c>
      <c r="B492" s="4" t="inlineStr">
        <is>
          <t>Metrópole</t>
        </is>
      </c>
      <c r="C492" s="5" t="n">
        <v>490</v>
      </c>
      <c r="D492" s="5">
        <f>IFERROR(INDEX('Base de sorteio'!$A$3:$A$1723,MATCH($B492&amp;"|"&amp;$C492,'Base de sorteio'!$I$3:$I$1723,0)),"")</f>
        <v/>
      </c>
      <c r="E492" s="4">
        <f>IFERROR(INDEX('Base de sorteio'!$B$3:$B$1723,MATCH($B492&amp;"|"&amp;$C492,'Base de sorteio'!$I$3:$I$1723,0)),"")</f>
        <v/>
      </c>
      <c r="F492" s="4">
        <f>IFERROR(INDEX('Base de sorteio'!$C$3:$C$1723,MATCH($B492&amp;"|"&amp;$C492,'Base de sorteio'!$I$3:$I$1723,0)),"")</f>
        <v/>
      </c>
      <c r="G492" s="4">
        <f>IFERROR(INDEX('Base de sorteio'!$D$3:$D$1723,MATCH($B492&amp;"|"&amp;$C492,'Base de sorteio'!$I$3:$I$1723,0)),"")</f>
        <v/>
      </c>
      <c r="H492" s="4">
        <f>IFERROR(INDEX('Base de sorteio'!$E$3:$E$1723,MATCH($B492&amp;"|"&amp;$C492,'Base de sorteio'!$I$3:$I$1723,0)),"")</f>
        <v/>
      </c>
      <c r="I492" s="4">
        <f>IF(E492="","",HYPERLINK(IFERROR(INDEX('Base de sorteio'!$J$3:$J$1723,MATCH($B492&amp;"|"&amp;$C492,'Base de sorteio'!$I$3:$I$1723,0)),""),"abrir"))</f>
        <v/>
      </c>
      <c r="J492" s="4" t="n"/>
      <c r="K492" s="4" t="n"/>
      <c r="L492" s="4" t="n"/>
      <c r="M492" s="4" t="n"/>
      <c r="N492" s="4">
        <f>IF(AND(K492="",M492=""),"",IF(OR(K492="sim",M492="sim"),"sim",IF(OR(K492="inconclusivo",M492="inconclusivo"),"inconclusivo","não")))</f>
        <v/>
      </c>
      <c r="O492" s="5">
        <f>IF(N492="sim",COUNTIFS($B$3:$B492,$B492,$N$3:$N492,"sim"),"")</f>
        <v/>
      </c>
      <c r="P492" s="5" t="n"/>
      <c r="Q492" s="4" t="n"/>
      <c r="R492" s="5" t="n"/>
      <c r="S492" s="9" t="n"/>
      <c r="T492" s="4" t="n"/>
    </row>
    <row r="493">
      <c r="A493" s="5">
        <f>ROW()-2</f>
        <v/>
      </c>
      <c r="B493" s="4" t="inlineStr">
        <is>
          <t>Metrópole</t>
        </is>
      </c>
      <c r="C493" s="5" t="n">
        <v>491</v>
      </c>
      <c r="D493" s="5">
        <f>IFERROR(INDEX('Base de sorteio'!$A$3:$A$1723,MATCH($B493&amp;"|"&amp;$C493,'Base de sorteio'!$I$3:$I$1723,0)),"")</f>
        <v/>
      </c>
      <c r="E493" s="4">
        <f>IFERROR(INDEX('Base de sorteio'!$B$3:$B$1723,MATCH($B493&amp;"|"&amp;$C493,'Base de sorteio'!$I$3:$I$1723,0)),"")</f>
        <v/>
      </c>
      <c r="F493" s="4">
        <f>IFERROR(INDEX('Base de sorteio'!$C$3:$C$1723,MATCH($B493&amp;"|"&amp;$C493,'Base de sorteio'!$I$3:$I$1723,0)),"")</f>
        <v/>
      </c>
      <c r="G493" s="4">
        <f>IFERROR(INDEX('Base de sorteio'!$D$3:$D$1723,MATCH($B493&amp;"|"&amp;$C493,'Base de sorteio'!$I$3:$I$1723,0)),"")</f>
        <v/>
      </c>
      <c r="H493" s="4">
        <f>IFERROR(INDEX('Base de sorteio'!$E$3:$E$1723,MATCH($B493&amp;"|"&amp;$C493,'Base de sorteio'!$I$3:$I$1723,0)),"")</f>
        <v/>
      </c>
      <c r="I493" s="4">
        <f>IF(E493="","",HYPERLINK(IFERROR(INDEX('Base de sorteio'!$J$3:$J$1723,MATCH($B493&amp;"|"&amp;$C493,'Base de sorteio'!$I$3:$I$1723,0)),""),"abrir"))</f>
        <v/>
      </c>
      <c r="J493" s="4" t="n"/>
      <c r="K493" s="4" t="n"/>
      <c r="L493" s="4" t="n"/>
      <c r="M493" s="4" t="n"/>
      <c r="N493" s="4">
        <f>IF(AND(K493="",M493=""),"",IF(OR(K493="sim",M493="sim"),"sim",IF(OR(K493="inconclusivo",M493="inconclusivo"),"inconclusivo","não")))</f>
        <v/>
      </c>
      <c r="O493" s="5">
        <f>IF(N493="sim",COUNTIFS($B$3:$B493,$B493,$N$3:$N493,"sim"),"")</f>
        <v/>
      </c>
      <c r="P493" s="5" t="n"/>
      <c r="Q493" s="4" t="n"/>
      <c r="R493" s="5" t="n"/>
      <c r="S493" s="9" t="n"/>
      <c r="T493" s="4" t="n"/>
    </row>
    <row r="494">
      <c r="A494" s="5">
        <f>ROW()-2</f>
        <v/>
      </c>
      <c r="B494" s="4" t="inlineStr">
        <is>
          <t>Metrópole</t>
        </is>
      </c>
      <c r="C494" s="5" t="n">
        <v>492</v>
      </c>
      <c r="D494" s="5">
        <f>IFERROR(INDEX('Base de sorteio'!$A$3:$A$1723,MATCH($B494&amp;"|"&amp;$C494,'Base de sorteio'!$I$3:$I$1723,0)),"")</f>
        <v/>
      </c>
      <c r="E494" s="4">
        <f>IFERROR(INDEX('Base de sorteio'!$B$3:$B$1723,MATCH($B494&amp;"|"&amp;$C494,'Base de sorteio'!$I$3:$I$1723,0)),"")</f>
        <v/>
      </c>
      <c r="F494" s="4">
        <f>IFERROR(INDEX('Base de sorteio'!$C$3:$C$1723,MATCH($B494&amp;"|"&amp;$C494,'Base de sorteio'!$I$3:$I$1723,0)),"")</f>
        <v/>
      </c>
      <c r="G494" s="4">
        <f>IFERROR(INDEX('Base de sorteio'!$D$3:$D$1723,MATCH($B494&amp;"|"&amp;$C494,'Base de sorteio'!$I$3:$I$1723,0)),"")</f>
        <v/>
      </c>
      <c r="H494" s="4">
        <f>IFERROR(INDEX('Base de sorteio'!$E$3:$E$1723,MATCH($B494&amp;"|"&amp;$C494,'Base de sorteio'!$I$3:$I$1723,0)),"")</f>
        <v/>
      </c>
      <c r="I494" s="4">
        <f>IF(E494="","",HYPERLINK(IFERROR(INDEX('Base de sorteio'!$J$3:$J$1723,MATCH($B494&amp;"|"&amp;$C494,'Base de sorteio'!$I$3:$I$1723,0)),""),"abrir"))</f>
        <v/>
      </c>
      <c r="J494" s="4" t="n"/>
      <c r="K494" s="4" t="n"/>
      <c r="L494" s="4" t="n"/>
      <c r="M494" s="4" t="n"/>
      <c r="N494" s="4">
        <f>IF(AND(K494="",M494=""),"",IF(OR(K494="sim",M494="sim"),"sim",IF(OR(K494="inconclusivo",M494="inconclusivo"),"inconclusivo","não")))</f>
        <v/>
      </c>
      <c r="O494" s="5">
        <f>IF(N494="sim",COUNTIFS($B$3:$B494,$B494,$N$3:$N494,"sim"),"")</f>
        <v/>
      </c>
      <c r="P494" s="5" t="n"/>
      <c r="Q494" s="4" t="n"/>
      <c r="R494" s="5" t="n"/>
      <c r="S494" s="9" t="n"/>
      <c r="T494" s="4" t="n"/>
    </row>
    <row r="495">
      <c r="A495" s="5">
        <f>ROW()-2</f>
        <v/>
      </c>
      <c r="B495" s="4" t="inlineStr">
        <is>
          <t>Metrópole</t>
        </is>
      </c>
      <c r="C495" s="5" t="n">
        <v>493</v>
      </c>
      <c r="D495" s="5">
        <f>IFERROR(INDEX('Base de sorteio'!$A$3:$A$1723,MATCH($B495&amp;"|"&amp;$C495,'Base de sorteio'!$I$3:$I$1723,0)),"")</f>
        <v/>
      </c>
      <c r="E495" s="4">
        <f>IFERROR(INDEX('Base de sorteio'!$B$3:$B$1723,MATCH($B495&amp;"|"&amp;$C495,'Base de sorteio'!$I$3:$I$1723,0)),"")</f>
        <v/>
      </c>
      <c r="F495" s="4">
        <f>IFERROR(INDEX('Base de sorteio'!$C$3:$C$1723,MATCH($B495&amp;"|"&amp;$C495,'Base de sorteio'!$I$3:$I$1723,0)),"")</f>
        <v/>
      </c>
      <c r="G495" s="4">
        <f>IFERROR(INDEX('Base de sorteio'!$D$3:$D$1723,MATCH($B495&amp;"|"&amp;$C495,'Base de sorteio'!$I$3:$I$1723,0)),"")</f>
        <v/>
      </c>
      <c r="H495" s="4">
        <f>IFERROR(INDEX('Base de sorteio'!$E$3:$E$1723,MATCH($B495&amp;"|"&amp;$C495,'Base de sorteio'!$I$3:$I$1723,0)),"")</f>
        <v/>
      </c>
      <c r="I495" s="4">
        <f>IF(E495="","",HYPERLINK(IFERROR(INDEX('Base de sorteio'!$J$3:$J$1723,MATCH($B495&amp;"|"&amp;$C495,'Base de sorteio'!$I$3:$I$1723,0)),""),"abrir"))</f>
        <v/>
      </c>
      <c r="J495" s="4" t="n"/>
      <c r="K495" s="4" t="n"/>
      <c r="L495" s="4" t="n"/>
      <c r="M495" s="4" t="n"/>
      <c r="N495" s="4">
        <f>IF(AND(K495="",M495=""),"",IF(OR(K495="sim",M495="sim"),"sim",IF(OR(K495="inconclusivo",M495="inconclusivo"),"inconclusivo","não")))</f>
        <v/>
      </c>
      <c r="O495" s="5">
        <f>IF(N495="sim",COUNTIFS($B$3:$B495,$B495,$N$3:$N495,"sim"),"")</f>
        <v/>
      </c>
      <c r="P495" s="5" t="n"/>
      <c r="Q495" s="4" t="n"/>
      <c r="R495" s="5" t="n"/>
      <c r="S495" s="9" t="n"/>
      <c r="T495" s="4" t="n"/>
    </row>
    <row r="496">
      <c r="A496" s="5">
        <f>ROW()-2</f>
        <v/>
      </c>
      <c r="B496" s="4" t="inlineStr">
        <is>
          <t>Metrópole</t>
        </is>
      </c>
      <c r="C496" s="5" t="n">
        <v>494</v>
      </c>
      <c r="D496" s="5">
        <f>IFERROR(INDEX('Base de sorteio'!$A$3:$A$1723,MATCH($B496&amp;"|"&amp;$C496,'Base de sorteio'!$I$3:$I$1723,0)),"")</f>
        <v/>
      </c>
      <c r="E496" s="4">
        <f>IFERROR(INDEX('Base de sorteio'!$B$3:$B$1723,MATCH($B496&amp;"|"&amp;$C496,'Base de sorteio'!$I$3:$I$1723,0)),"")</f>
        <v/>
      </c>
      <c r="F496" s="4">
        <f>IFERROR(INDEX('Base de sorteio'!$C$3:$C$1723,MATCH($B496&amp;"|"&amp;$C496,'Base de sorteio'!$I$3:$I$1723,0)),"")</f>
        <v/>
      </c>
      <c r="G496" s="4">
        <f>IFERROR(INDEX('Base de sorteio'!$D$3:$D$1723,MATCH($B496&amp;"|"&amp;$C496,'Base de sorteio'!$I$3:$I$1723,0)),"")</f>
        <v/>
      </c>
      <c r="H496" s="4">
        <f>IFERROR(INDEX('Base de sorteio'!$E$3:$E$1723,MATCH($B496&amp;"|"&amp;$C496,'Base de sorteio'!$I$3:$I$1723,0)),"")</f>
        <v/>
      </c>
      <c r="I496" s="4">
        <f>IF(E496="","",HYPERLINK(IFERROR(INDEX('Base de sorteio'!$J$3:$J$1723,MATCH($B496&amp;"|"&amp;$C496,'Base de sorteio'!$I$3:$I$1723,0)),""),"abrir"))</f>
        <v/>
      </c>
      <c r="J496" s="4" t="n"/>
      <c r="K496" s="4" t="n"/>
      <c r="L496" s="4" t="n"/>
      <c r="M496" s="4" t="n"/>
      <c r="N496" s="4">
        <f>IF(AND(K496="",M496=""),"",IF(OR(K496="sim",M496="sim"),"sim",IF(OR(K496="inconclusivo",M496="inconclusivo"),"inconclusivo","não")))</f>
        <v/>
      </c>
      <c r="O496" s="5">
        <f>IF(N496="sim",COUNTIFS($B$3:$B496,$B496,$N$3:$N496,"sim"),"")</f>
        <v/>
      </c>
      <c r="P496" s="5" t="n"/>
      <c r="Q496" s="4" t="n"/>
      <c r="R496" s="5" t="n"/>
      <c r="S496" s="9" t="n"/>
      <c r="T496" s="4" t="n"/>
    </row>
    <row r="497">
      <c r="A497" s="5">
        <f>ROW()-2</f>
        <v/>
      </c>
      <c r="B497" s="4" t="inlineStr">
        <is>
          <t>Metrópole</t>
        </is>
      </c>
      <c r="C497" s="5" t="n">
        <v>495</v>
      </c>
      <c r="D497" s="5">
        <f>IFERROR(INDEX('Base de sorteio'!$A$3:$A$1723,MATCH($B497&amp;"|"&amp;$C497,'Base de sorteio'!$I$3:$I$1723,0)),"")</f>
        <v/>
      </c>
      <c r="E497" s="4">
        <f>IFERROR(INDEX('Base de sorteio'!$B$3:$B$1723,MATCH($B497&amp;"|"&amp;$C497,'Base de sorteio'!$I$3:$I$1723,0)),"")</f>
        <v/>
      </c>
      <c r="F497" s="4">
        <f>IFERROR(INDEX('Base de sorteio'!$C$3:$C$1723,MATCH($B497&amp;"|"&amp;$C497,'Base de sorteio'!$I$3:$I$1723,0)),"")</f>
        <v/>
      </c>
      <c r="G497" s="4">
        <f>IFERROR(INDEX('Base de sorteio'!$D$3:$D$1723,MATCH($B497&amp;"|"&amp;$C497,'Base de sorteio'!$I$3:$I$1723,0)),"")</f>
        <v/>
      </c>
      <c r="H497" s="4">
        <f>IFERROR(INDEX('Base de sorteio'!$E$3:$E$1723,MATCH($B497&amp;"|"&amp;$C497,'Base de sorteio'!$I$3:$I$1723,0)),"")</f>
        <v/>
      </c>
      <c r="I497" s="4">
        <f>IF(E497="","",HYPERLINK(IFERROR(INDEX('Base de sorteio'!$J$3:$J$1723,MATCH($B497&amp;"|"&amp;$C497,'Base de sorteio'!$I$3:$I$1723,0)),""),"abrir"))</f>
        <v/>
      </c>
      <c r="J497" s="4" t="n"/>
      <c r="K497" s="4" t="n"/>
      <c r="L497" s="4" t="n"/>
      <c r="M497" s="4" t="n"/>
      <c r="N497" s="4">
        <f>IF(AND(K497="",M497=""),"",IF(OR(K497="sim",M497="sim"),"sim",IF(OR(K497="inconclusivo",M497="inconclusivo"),"inconclusivo","não")))</f>
        <v/>
      </c>
      <c r="O497" s="5">
        <f>IF(N497="sim",COUNTIFS($B$3:$B497,$B497,$N$3:$N497,"sim"),"")</f>
        <v/>
      </c>
      <c r="P497" s="5" t="n"/>
      <c r="Q497" s="4" t="n"/>
      <c r="R497" s="5" t="n"/>
      <c r="S497" s="9" t="n"/>
      <c r="T497" s="4" t="n"/>
    </row>
    <row r="498">
      <c r="A498" s="5">
        <f>ROW()-2</f>
        <v/>
      </c>
      <c r="B498" s="4" t="inlineStr">
        <is>
          <t>Metrópole</t>
        </is>
      </c>
      <c r="C498" s="5" t="n">
        <v>496</v>
      </c>
      <c r="D498" s="5">
        <f>IFERROR(INDEX('Base de sorteio'!$A$3:$A$1723,MATCH($B498&amp;"|"&amp;$C498,'Base de sorteio'!$I$3:$I$1723,0)),"")</f>
        <v/>
      </c>
      <c r="E498" s="4">
        <f>IFERROR(INDEX('Base de sorteio'!$B$3:$B$1723,MATCH($B498&amp;"|"&amp;$C498,'Base de sorteio'!$I$3:$I$1723,0)),"")</f>
        <v/>
      </c>
      <c r="F498" s="4">
        <f>IFERROR(INDEX('Base de sorteio'!$C$3:$C$1723,MATCH($B498&amp;"|"&amp;$C498,'Base de sorteio'!$I$3:$I$1723,0)),"")</f>
        <v/>
      </c>
      <c r="G498" s="4">
        <f>IFERROR(INDEX('Base de sorteio'!$D$3:$D$1723,MATCH($B498&amp;"|"&amp;$C498,'Base de sorteio'!$I$3:$I$1723,0)),"")</f>
        <v/>
      </c>
      <c r="H498" s="4">
        <f>IFERROR(INDEX('Base de sorteio'!$E$3:$E$1723,MATCH($B498&amp;"|"&amp;$C498,'Base de sorteio'!$I$3:$I$1723,0)),"")</f>
        <v/>
      </c>
      <c r="I498" s="4">
        <f>IF(E498="","",HYPERLINK(IFERROR(INDEX('Base de sorteio'!$J$3:$J$1723,MATCH($B498&amp;"|"&amp;$C498,'Base de sorteio'!$I$3:$I$1723,0)),""),"abrir"))</f>
        <v/>
      </c>
      <c r="J498" s="4" t="n"/>
      <c r="K498" s="4" t="n"/>
      <c r="L498" s="4" t="n"/>
      <c r="M498" s="4" t="n"/>
      <c r="N498" s="4">
        <f>IF(AND(K498="",M498=""),"",IF(OR(K498="sim",M498="sim"),"sim",IF(OR(K498="inconclusivo",M498="inconclusivo"),"inconclusivo","não")))</f>
        <v/>
      </c>
      <c r="O498" s="5">
        <f>IF(N498="sim",COUNTIFS($B$3:$B498,$B498,$N$3:$N498,"sim"),"")</f>
        <v/>
      </c>
      <c r="P498" s="5" t="n"/>
      <c r="Q498" s="4" t="n"/>
      <c r="R498" s="5" t="n"/>
      <c r="S498" s="9" t="n"/>
      <c r="T498" s="4" t="n"/>
    </row>
    <row r="499">
      <c r="A499" s="5">
        <f>ROW()-2</f>
        <v/>
      </c>
      <c r="B499" s="4" t="inlineStr">
        <is>
          <t>Metrópole</t>
        </is>
      </c>
      <c r="C499" s="5" t="n">
        <v>497</v>
      </c>
      <c r="D499" s="5">
        <f>IFERROR(INDEX('Base de sorteio'!$A$3:$A$1723,MATCH($B499&amp;"|"&amp;$C499,'Base de sorteio'!$I$3:$I$1723,0)),"")</f>
        <v/>
      </c>
      <c r="E499" s="4">
        <f>IFERROR(INDEX('Base de sorteio'!$B$3:$B$1723,MATCH($B499&amp;"|"&amp;$C499,'Base de sorteio'!$I$3:$I$1723,0)),"")</f>
        <v/>
      </c>
      <c r="F499" s="4">
        <f>IFERROR(INDEX('Base de sorteio'!$C$3:$C$1723,MATCH($B499&amp;"|"&amp;$C499,'Base de sorteio'!$I$3:$I$1723,0)),"")</f>
        <v/>
      </c>
      <c r="G499" s="4">
        <f>IFERROR(INDEX('Base de sorteio'!$D$3:$D$1723,MATCH($B499&amp;"|"&amp;$C499,'Base de sorteio'!$I$3:$I$1723,0)),"")</f>
        <v/>
      </c>
      <c r="H499" s="4">
        <f>IFERROR(INDEX('Base de sorteio'!$E$3:$E$1723,MATCH($B499&amp;"|"&amp;$C499,'Base de sorteio'!$I$3:$I$1723,0)),"")</f>
        <v/>
      </c>
      <c r="I499" s="4">
        <f>IF(E499="","",HYPERLINK(IFERROR(INDEX('Base de sorteio'!$J$3:$J$1723,MATCH($B499&amp;"|"&amp;$C499,'Base de sorteio'!$I$3:$I$1723,0)),""),"abrir"))</f>
        <v/>
      </c>
      <c r="J499" s="4" t="n"/>
      <c r="K499" s="4" t="n"/>
      <c r="L499" s="4" t="n"/>
      <c r="M499" s="4" t="n"/>
      <c r="N499" s="4">
        <f>IF(AND(K499="",M499=""),"",IF(OR(K499="sim",M499="sim"),"sim",IF(OR(K499="inconclusivo",M499="inconclusivo"),"inconclusivo","não")))</f>
        <v/>
      </c>
      <c r="O499" s="5">
        <f>IF(N499="sim",COUNTIFS($B$3:$B499,$B499,$N$3:$N499,"sim"),"")</f>
        <v/>
      </c>
      <c r="P499" s="5" t="n"/>
      <c r="Q499" s="4" t="n"/>
      <c r="R499" s="5" t="n"/>
      <c r="S499" s="9" t="n"/>
      <c r="T499" s="4" t="n"/>
    </row>
    <row r="500">
      <c r="A500" s="5">
        <f>ROW()-2</f>
        <v/>
      </c>
      <c r="B500" s="4" t="inlineStr">
        <is>
          <t>Metrópole</t>
        </is>
      </c>
      <c r="C500" s="5" t="n">
        <v>498</v>
      </c>
      <c r="D500" s="5">
        <f>IFERROR(INDEX('Base de sorteio'!$A$3:$A$1723,MATCH($B500&amp;"|"&amp;$C500,'Base de sorteio'!$I$3:$I$1723,0)),"")</f>
        <v/>
      </c>
      <c r="E500" s="4">
        <f>IFERROR(INDEX('Base de sorteio'!$B$3:$B$1723,MATCH($B500&amp;"|"&amp;$C500,'Base de sorteio'!$I$3:$I$1723,0)),"")</f>
        <v/>
      </c>
      <c r="F500" s="4">
        <f>IFERROR(INDEX('Base de sorteio'!$C$3:$C$1723,MATCH($B500&amp;"|"&amp;$C500,'Base de sorteio'!$I$3:$I$1723,0)),"")</f>
        <v/>
      </c>
      <c r="G500" s="4">
        <f>IFERROR(INDEX('Base de sorteio'!$D$3:$D$1723,MATCH($B500&amp;"|"&amp;$C500,'Base de sorteio'!$I$3:$I$1723,0)),"")</f>
        <v/>
      </c>
      <c r="H500" s="4">
        <f>IFERROR(INDEX('Base de sorteio'!$E$3:$E$1723,MATCH($B500&amp;"|"&amp;$C500,'Base de sorteio'!$I$3:$I$1723,0)),"")</f>
        <v/>
      </c>
      <c r="I500" s="4">
        <f>IF(E500="","",HYPERLINK(IFERROR(INDEX('Base de sorteio'!$J$3:$J$1723,MATCH($B500&amp;"|"&amp;$C500,'Base de sorteio'!$I$3:$I$1723,0)),""),"abrir"))</f>
        <v/>
      </c>
      <c r="J500" s="4" t="n"/>
      <c r="K500" s="4" t="n"/>
      <c r="L500" s="4" t="n"/>
      <c r="M500" s="4" t="n"/>
      <c r="N500" s="4">
        <f>IF(AND(K500="",M500=""),"",IF(OR(K500="sim",M500="sim"),"sim",IF(OR(K500="inconclusivo",M500="inconclusivo"),"inconclusivo","não")))</f>
        <v/>
      </c>
      <c r="O500" s="5">
        <f>IF(N500="sim",COUNTIFS($B$3:$B500,$B500,$N$3:$N500,"sim"),"")</f>
        <v/>
      </c>
      <c r="P500" s="5" t="n"/>
      <c r="Q500" s="4" t="n"/>
      <c r="R500" s="5" t="n"/>
      <c r="S500" s="9" t="n"/>
      <c r="T500" s="4" t="n"/>
    </row>
    <row r="501">
      <c r="A501" s="5">
        <f>ROW()-2</f>
        <v/>
      </c>
      <c r="B501" s="4" t="inlineStr">
        <is>
          <t>Metrópole</t>
        </is>
      </c>
      <c r="C501" s="5" t="n">
        <v>499</v>
      </c>
      <c r="D501" s="5">
        <f>IFERROR(INDEX('Base de sorteio'!$A$3:$A$1723,MATCH($B501&amp;"|"&amp;$C501,'Base de sorteio'!$I$3:$I$1723,0)),"")</f>
        <v/>
      </c>
      <c r="E501" s="4">
        <f>IFERROR(INDEX('Base de sorteio'!$B$3:$B$1723,MATCH($B501&amp;"|"&amp;$C501,'Base de sorteio'!$I$3:$I$1723,0)),"")</f>
        <v/>
      </c>
      <c r="F501" s="4">
        <f>IFERROR(INDEX('Base de sorteio'!$C$3:$C$1723,MATCH($B501&amp;"|"&amp;$C501,'Base de sorteio'!$I$3:$I$1723,0)),"")</f>
        <v/>
      </c>
      <c r="G501" s="4">
        <f>IFERROR(INDEX('Base de sorteio'!$D$3:$D$1723,MATCH($B501&amp;"|"&amp;$C501,'Base de sorteio'!$I$3:$I$1723,0)),"")</f>
        <v/>
      </c>
      <c r="H501" s="4">
        <f>IFERROR(INDEX('Base de sorteio'!$E$3:$E$1723,MATCH($B501&amp;"|"&amp;$C501,'Base de sorteio'!$I$3:$I$1723,0)),"")</f>
        <v/>
      </c>
      <c r="I501" s="4">
        <f>IF(E501="","",HYPERLINK(IFERROR(INDEX('Base de sorteio'!$J$3:$J$1723,MATCH($B501&amp;"|"&amp;$C501,'Base de sorteio'!$I$3:$I$1723,0)),""),"abrir"))</f>
        <v/>
      </c>
      <c r="J501" s="4" t="n"/>
      <c r="K501" s="4" t="n"/>
      <c r="L501" s="4" t="n"/>
      <c r="M501" s="4" t="n"/>
      <c r="N501" s="4">
        <f>IF(AND(K501="",M501=""),"",IF(OR(K501="sim",M501="sim"),"sim",IF(OR(K501="inconclusivo",M501="inconclusivo"),"inconclusivo","não")))</f>
        <v/>
      </c>
      <c r="O501" s="5">
        <f>IF(N501="sim",COUNTIFS($B$3:$B501,$B501,$N$3:$N501,"sim"),"")</f>
        <v/>
      </c>
      <c r="P501" s="5" t="n"/>
      <c r="Q501" s="4" t="n"/>
      <c r="R501" s="5" t="n"/>
      <c r="S501" s="9" t="n"/>
      <c r="T501" s="4" t="n"/>
    </row>
    <row r="502">
      <c r="A502" s="5">
        <f>ROW()-2</f>
        <v/>
      </c>
      <c r="B502" s="4" t="inlineStr">
        <is>
          <t>Metrópole</t>
        </is>
      </c>
      <c r="C502" s="5" t="n">
        <v>500</v>
      </c>
      <c r="D502" s="5">
        <f>IFERROR(INDEX('Base de sorteio'!$A$3:$A$1723,MATCH($B502&amp;"|"&amp;$C502,'Base de sorteio'!$I$3:$I$1723,0)),"")</f>
        <v/>
      </c>
      <c r="E502" s="4">
        <f>IFERROR(INDEX('Base de sorteio'!$B$3:$B$1723,MATCH($B502&amp;"|"&amp;$C502,'Base de sorteio'!$I$3:$I$1723,0)),"")</f>
        <v/>
      </c>
      <c r="F502" s="4">
        <f>IFERROR(INDEX('Base de sorteio'!$C$3:$C$1723,MATCH($B502&amp;"|"&amp;$C502,'Base de sorteio'!$I$3:$I$1723,0)),"")</f>
        <v/>
      </c>
      <c r="G502" s="4">
        <f>IFERROR(INDEX('Base de sorteio'!$D$3:$D$1723,MATCH($B502&amp;"|"&amp;$C502,'Base de sorteio'!$I$3:$I$1723,0)),"")</f>
        <v/>
      </c>
      <c r="H502" s="4">
        <f>IFERROR(INDEX('Base de sorteio'!$E$3:$E$1723,MATCH($B502&amp;"|"&amp;$C502,'Base de sorteio'!$I$3:$I$1723,0)),"")</f>
        <v/>
      </c>
      <c r="I502" s="4">
        <f>IF(E502="","",HYPERLINK(IFERROR(INDEX('Base de sorteio'!$J$3:$J$1723,MATCH($B502&amp;"|"&amp;$C502,'Base de sorteio'!$I$3:$I$1723,0)),""),"abrir"))</f>
        <v/>
      </c>
      <c r="J502" s="4" t="n"/>
      <c r="K502" s="4" t="n"/>
      <c r="L502" s="4" t="n"/>
      <c r="M502" s="4" t="n"/>
      <c r="N502" s="4">
        <f>IF(AND(K502="",M502=""),"",IF(OR(K502="sim",M502="sim"),"sim",IF(OR(K502="inconclusivo",M502="inconclusivo"),"inconclusivo","não")))</f>
        <v/>
      </c>
      <c r="O502" s="5">
        <f>IF(N502="sim",COUNTIFS($B$3:$B502,$B502,$N$3:$N502,"sim"),"")</f>
        <v/>
      </c>
      <c r="P502" s="5" t="n"/>
      <c r="Q502" s="4" t="n"/>
      <c r="R502" s="5" t="n"/>
      <c r="S502" s="9" t="n"/>
      <c r="T502" s="4" t="n"/>
    </row>
    <row r="503">
      <c r="A503" s="5">
        <f>ROW()-2</f>
        <v/>
      </c>
      <c r="B503" s="4" t="inlineStr">
        <is>
          <t>Metrópole</t>
        </is>
      </c>
      <c r="C503" s="5" t="n">
        <v>501</v>
      </c>
      <c r="D503" s="5">
        <f>IFERROR(INDEX('Base de sorteio'!$A$3:$A$1723,MATCH($B503&amp;"|"&amp;$C503,'Base de sorteio'!$I$3:$I$1723,0)),"")</f>
        <v/>
      </c>
      <c r="E503" s="4">
        <f>IFERROR(INDEX('Base de sorteio'!$B$3:$B$1723,MATCH($B503&amp;"|"&amp;$C503,'Base de sorteio'!$I$3:$I$1723,0)),"")</f>
        <v/>
      </c>
      <c r="F503" s="4">
        <f>IFERROR(INDEX('Base de sorteio'!$C$3:$C$1723,MATCH($B503&amp;"|"&amp;$C503,'Base de sorteio'!$I$3:$I$1723,0)),"")</f>
        <v/>
      </c>
      <c r="G503" s="4">
        <f>IFERROR(INDEX('Base de sorteio'!$D$3:$D$1723,MATCH($B503&amp;"|"&amp;$C503,'Base de sorteio'!$I$3:$I$1723,0)),"")</f>
        <v/>
      </c>
      <c r="H503" s="4">
        <f>IFERROR(INDEX('Base de sorteio'!$E$3:$E$1723,MATCH($B503&amp;"|"&amp;$C503,'Base de sorteio'!$I$3:$I$1723,0)),"")</f>
        <v/>
      </c>
      <c r="I503" s="4">
        <f>IF(E503="","",HYPERLINK(IFERROR(INDEX('Base de sorteio'!$J$3:$J$1723,MATCH($B503&amp;"|"&amp;$C503,'Base de sorteio'!$I$3:$I$1723,0)),""),"abrir"))</f>
        <v/>
      </c>
      <c r="J503" s="4" t="n"/>
      <c r="K503" s="4" t="n"/>
      <c r="L503" s="4" t="n"/>
      <c r="M503" s="4" t="n"/>
      <c r="N503" s="4">
        <f>IF(AND(K503="",M503=""),"",IF(OR(K503="sim",M503="sim"),"sim",IF(OR(K503="inconclusivo",M503="inconclusivo"),"inconclusivo","não")))</f>
        <v/>
      </c>
      <c r="O503" s="5">
        <f>IF(N503="sim",COUNTIFS($B$3:$B503,$B503,$N$3:$N503,"sim"),"")</f>
        <v/>
      </c>
      <c r="P503" s="5" t="n"/>
      <c r="Q503" s="4" t="n"/>
      <c r="R503" s="5" t="n"/>
      <c r="S503" s="9" t="n"/>
      <c r="T503" s="4" t="n"/>
    </row>
    <row r="504">
      <c r="A504" s="5">
        <f>ROW()-2</f>
        <v/>
      </c>
      <c r="B504" s="4" t="inlineStr">
        <is>
          <t>Metrópole</t>
        </is>
      </c>
      <c r="C504" s="5" t="n">
        <v>502</v>
      </c>
      <c r="D504" s="5">
        <f>IFERROR(INDEX('Base de sorteio'!$A$3:$A$1723,MATCH($B504&amp;"|"&amp;$C504,'Base de sorteio'!$I$3:$I$1723,0)),"")</f>
        <v/>
      </c>
      <c r="E504" s="4">
        <f>IFERROR(INDEX('Base de sorteio'!$B$3:$B$1723,MATCH($B504&amp;"|"&amp;$C504,'Base de sorteio'!$I$3:$I$1723,0)),"")</f>
        <v/>
      </c>
      <c r="F504" s="4">
        <f>IFERROR(INDEX('Base de sorteio'!$C$3:$C$1723,MATCH($B504&amp;"|"&amp;$C504,'Base de sorteio'!$I$3:$I$1723,0)),"")</f>
        <v/>
      </c>
      <c r="G504" s="4">
        <f>IFERROR(INDEX('Base de sorteio'!$D$3:$D$1723,MATCH($B504&amp;"|"&amp;$C504,'Base de sorteio'!$I$3:$I$1723,0)),"")</f>
        <v/>
      </c>
      <c r="H504" s="4">
        <f>IFERROR(INDEX('Base de sorteio'!$E$3:$E$1723,MATCH($B504&amp;"|"&amp;$C504,'Base de sorteio'!$I$3:$I$1723,0)),"")</f>
        <v/>
      </c>
      <c r="I504" s="4">
        <f>IF(E504="","",HYPERLINK(IFERROR(INDEX('Base de sorteio'!$J$3:$J$1723,MATCH($B504&amp;"|"&amp;$C504,'Base de sorteio'!$I$3:$I$1723,0)),""),"abrir"))</f>
        <v/>
      </c>
      <c r="J504" s="4" t="n"/>
      <c r="K504" s="4" t="n"/>
      <c r="L504" s="4" t="n"/>
      <c r="M504" s="4" t="n"/>
      <c r="N504" s="4">
        <f>IF(AND(K504="",M504=""),"",IF(OR(K504="sim",M504="sim"),"sim",IF(OR(K504="inconclusivo",M504="inconclusivo"),"inconclusivo","não")))</f>
        <v/>
      </c>
      <c r="O504" s="5">
        <f>IF(N504="sim",COUNTIFS($B$3:$B504,$B504,$N$3:$N504,"sim"),"")</f>
        <v/>
      </c>
      <c r="P504" s="5" t="n"/>
      <c r="Q504" s="4" t="n"/>
      <c r="R504" s="5" t="n"/>
      <c r="S504" s="9" t="n"/>
      <c r="T504" s="4" t="n"/>
    </row>
    <row r="505">
      <c r="A505" s="5">
        <f>ROW()-2</f>
        <v/>
      </c>
      <c r="B505" s="4" t="inlineStr">
        <is>
          <t>Metrópole</t>
        </is>
      </c>
      <c r="C505" s="5" t="n">
        <v>503</v>
      </c>
      <c r="D505" s="5">
        <f>IFERROR(INDEX('Base de sorteio'!$A$3:$A$1723,MATCH($B505&amp;"|"&amp;$C505,'Base de sorteio'!$I$3:$I$1723,0)),"")</f>
        <v/>
      </c>
      <c r="E505" s="4">
        <f>IFERROR(INDEX('Base de sorteio'!$B$3:$B$1723,MATCH($B505&amp;"|"&amp;$C505,'Base de sorteio'!$I$3:$I$1723,0)),"")</f>
        <v/>
      </c>
      <c r="F505" s="4">
        <f>IFERROR(INDEX('Base de sorteio'!$C$3:$C$1723,MATCH($B505&amp;"|"&amp;$C505,'Base de sorteio'!$I$3:$I$1723,0)),"")</f>
        <v/>
      </c>
      <c r="G505" s="4">
        <f>IFERROR(INDEX('Base de sorteio'!$D$3:$D$1723,MATCH($B505&amp;"|"&amp;$C505,'Base de sorteio'!$I$3:$I$1723,0)),"")</f>
        <v/>
      </c>
      <c r="H505" s="4">
        <f>IFERROR(INDEX('Base de sorteio'!$E$3:$E$1723,MATCH($B505&amp;"|"&amp;$C505,'Base de sorteio'!$I$3:$I$1723,0)),"")</f>
        <v/>
      </c>
      <c r="I505" s="4">
        <f>IF(E505="","",HYPERLINK(IFERROR(INDEX('Base de sorteio'!$J$3:$J$1723,MATCH($B505&amp;"|"&amp;$C505,'Base de sorteio'!$I$3:$I$1723,0)),""),"abrir"))</f>
        <v/>
      </c>
      <c r="J505" s="4" t="n"/>
      <c r="K505" s="4" t="n"/>
      <c r="L505" s="4" t="n"/>
      <c r="M505" s="4" t="n"/>
      <c r="N505" s="4">
        <f>IF(AND(K505="",M505=""),"",IF(OR(K505="sim",M505="sim"),"sim",IF(OR(K505="inconclusivo",M505="inconclusivo"),"inconclusivo","não")))</f>
        <v/>
      </c>
      <c r="O505" s="5">
        <f>IF(N505="sim",COUNTIFS($B$3:$B505,$B505,$N$3:$N505,"sim"),"")</f>
        <v/>
      </c>
      <c r="P505" s="5" t="n"/>
      <c r="Q505" s="4" t="n"/>
      <c r="R505" s="5" t="n"/>
      <c r="S505" s="9" t="n"/>
      <c r="T505" s="4" t="n"/>
    </row>
    <row r="506">
      <c r="A506" s="5">
        <f>ROW()-2</f>
        <v/>
      </c>
      <c r="B506" s="4" t="inlineStr">
        <is>
          <t>Metrópole</t>
        </is>
      </c>
      <c r="C506" s="5" t="n">
        <v>504</v>
      </c>
      <c r="D506" s="5">
        <f>IFERROR(INDEX('Base de sorteio'!$A$3:$A$1723,MATCH($B506&amp;"|"&amp;$C506,'Base de sorteio'!$I$3:$I$1723,0)),"")</f>
        <v/>
      </c>
      <c r="E506" s="4">
        <f>IFERROR(INDEX('Base de sorteio'!$B$3:$B$1723,MATCH($B506&amp;"|"&amp;$C506,'Base de sorteio'!$I$3:$I$1723,0)),"")</f>
        <v/>
      </c>
      <c r="F506" s="4">
        <f>IFERROR(INDEX('Base de sorteio'!$C$3:$C$1723,MATCH($B506&amp;"|"&amp;$C506,'Base de sorteio'!$I$3:$I$1723,0)),"")</f>
        <v/>
      </c>
      <c r="G506" s="4">
        <f>IFERROR(INDEX('Base de sorteio'!$D$3:$D$1723,MATCH($B506&amp;"|"&amp;$C506,'Base de sorteio'!$I$3:$I$1723,0)),"")</f>
        <v/>
      </c>
      <c r="H506" s="4">
        <f>IFERROR(INDEX('Base de sorteio'!$E$3:$E$1723,MATCH($B506&amp;"|"&amp;$C506,'Base de sorteio'!$I$3:$I$1723,0)),"")</f>
        <v/>
      </c>
      <c r="I506" s="4">
        <f>IF(E506="","",HYPERLINK(IFERROR(INDEX('Base de sorteio'!$J$3:$J$1723,MATCH($B506&amp;"|"&amp;$C506,'Base de sorteio'!$I$3:$I$1723,0)),""),"abrir"))</f>
        <v/>
      </c>
      <c r="J506" s="4" t="n"/>
      <c r="K506" s="4" t="n"/>
      <c r="L506" s="4" t="n"/>
      <c r="M506" s="4" t="n"/>
      <c r="N506" s="4">
        <f>IF(AND(K506="",M506=""),"",IF(OR(K506="sim",M506="sim"),"sim",IF(OR(K506="inconclusivo",M506="inconclusivo"),"inconclusivo","não")))</f>
        <v/>
      </c>
      <c r="O506" s="5">
        <f>IF(N506="sim",COUNTIFS($B$3:$B506,$B506,$N$3:$N506,"sim"),"")</f>
        <v/>
      </c>
      <c r="P506" s="5" t="n"/>
      <c r="Q506" s="4" t="n"/>
      <c r="R506" s="5" t="n"/>
      <c r="S506" s="9" t="n"/>
      <c r="T506" s="4" t="n"/>
    </row>
    <row r="507">
      <c r="A507" s="5">
        <f>ROW()-2</f>
        <v/>
      </c>
      <c r="B507" s="4" t="inlineStr">
        <is>
          <t>Metrópole</t>
        </is>
      </c>
      <c r="C507" s="5" t="n">
        <v>505</v>
      </c>
      <c r="D507" s="5">
        <f>IFERROR(INDEX('Base de sorteio'!$A$3:$A$1723,MATCH($B507&amp;"|"&amp;$C507,'Base de sorteio'!$I$3:$I$1723,0)),"")</f>
        <v/>
      </c>
      <c r="E507" s="4">
        <f>IFERROR(INDEX('Base de sorteio'!$B$3:$B$1723,MATCH($B507&amp;"|"&amp;$C507,'Base de sorteio'!$I$3:$I$1723,0)),"")</f>
        <v/>
      </c>
      <c r="F507" s="4">
        <f>IFERROR(INDEX('Base de sorteio'!$C$3:$C$1723,MATCH($B507&amp;"|"&amp;$C507,'Base de sorteio'!$I$3:$I$1723,0)),"")</f>
        <v/>
      </c>
      <c r="G507" s="4">
        <f>IFERROR(INDEX('Base de sorteio'!$D$3:$D$1723,MATCH($B507&amp;"|"&amp;$C507,'Base de sorteio'!$I$3:$I$1723,0)),"")</f>
        <v/>
      </c>
      <c r="H507" s="4">
        <f>IFERROR(INDEX('Base de sorteio'!$E$3:$E$1723,MATCH($B507&amp;"|"&amp;$C507,'Base de sorteio'!$I$3:$I$1723,0)),"")</f>
        <v/>
      </c>
      <c r="I507" s="4">
        <f>IF(E507="","",HYPERLINK(IFERROR(INDEX('Base de sorteio'!$J$3:$J$1723,MATCH($B507&amp;"|"&amp;$C507,'Base de sorteio'!$I$3:$I$1723,0)),""),"abrir"))</f>
        <v/>
      </c>
      <c r="J507" s="4" t="n"/>
      <c r="K507" s="4" t="n"/>
      <c r="L507" s="4" t="n"/>
      <c r="M507" s="4" t="n"/>
      <c r="N507" s="4">
        <f>IF(AND(K507="",M507=""),"",IF(OR(K507="sim",M507="sim"),"sim",IF(OR(K507="inconclusivo",M507="inconclusivo"),"inconclusivo","não")))</f>
        <v/>
      </c>
      <c r="O507" s="5">
        <f>IF(N507="sim",COUNTIFS($B$3:$B507,$B507,$N$3:$N507,"sim"),"")</f>
        <v/>
      </c>
      <c r="P507" s="5" t="n"/>
      <c r="Q507" s="4" t="n"/>
      <c r="R507" s="5" t="n"/>
      <c r="S507" s="9" t="n"/>
      <c r="T507" s="4" t="n"/>
    </row>
    <row r="508">
      <c r="A508" s="5">
        <f>ROW()-2</f>
        <v/>
      </c>
      <c r="B508" s="4" t="inlineStr">
        <is>
          <t>Metrópole</t>
        </is>
      </c>
      <c r="C508" s="5" t="n">
        <v>506</v>
      </c>
      <c r="D508" s="5">
        <f>IFERROR(INDEX('Base de sorteio'!$A$3:$A$1723,MATCH($B508&amp;"|"&amp;$C508,'Base de sorteio'!$I$3:$I$1723,0)),"")</f>
        <v/>
      </c>
      <c r="E508" s="4">
        <f>IFERROR(INDEX('Base de sorteio'!$B$3:$B$1723,MATCH($B508&amp;"|"&amp;$C508,'Base de sorteio'!$I$3:$I$1723,0)),"")</f>
        <v/>
      </c>
      <c r="F508" s="4">
        <f>IFERROR(INDEX('Base de sorteio'!$C$3:$C$1723,MATCH($B508&amp;"|"&amp;$C508,'Base de sorteio'!$I$3:$I$1723,0)),"")</f>
        <v/>
      </c>
      <c r="G508" s="4">
        <f>IFERROR(INDEX('Base de sorteio'!$D$3:$D$1723,MATCH($B508&amp;"|"&amp;$C508,'Base de sorteio'!$I$3:$I$1723,0)),"")</f>
        <v/>
      </c>
      <c r="H508" s="4">
        <f>IFERROR(INDEX('Base de sorteio'!$E$3:$E$1723,MATCH($B508&amp;"|"&amp;$C508,'Base de sorteio'!$I$3:$I$1723,0)),"")</f>
        <v/>
      </c>
      <c r="I508" s="4">
        <f>IF(E508="","",HYPERLINK(IFERROR(INDEX('Base de sorteio'!$J$3:$J$1723,MATCH($B508&amp;"|"&amp;$C508,'Base de sorteio'!$I$3:$I$1723,0)),""),"abrir"))</f>
        <v/>
      </c>
      <c r="J508" s="4" t="n"/>
      <c r="K508" s="4" t="n"/>
      <c r="L508" s="4" t="n"/>
      <c r="M508" s="4" t="n"/>
      <c r="N508" s="4">
        <f>IF(AND(K508="",M508=""),"",IF(OR(K508="sim",M508="sim"),"sim",IF(OR(K508="inconclusivo",M508="inconclusivo"),"inconclusivo","não")))</f>
        <v/>
      </c>
      <c r="O508" s="5">
        <f>IF(N508="sim",COUNTIFS($B$3:$B508,$B508,$N$3:$N508,"sim"),"")</f>
        <v/>
      </c>
      <c r="P508" s="5" t="n"/>
      <c r="Q508" s="4" t="n"/>
      <c r="R508" s="5" t="n"/>
      <c r="S508" s="9" t="n"/>
      <c r="T508" s="4" t="n"/>
    </row>
    <row r="509">
      <c r="A509" s="5">
        <f>ROW()-2</f>
        <v/>
      </c>
      <c r="B509" s="4" t="inlineStr">
        <is>
          <t>Metrópole</t>
        </is>
      </c>
      <c r="C509" s="5" t="n">
        <v>507</v>
      </c>
      <c r="D509" s="5">
        <f>IFERROR(INDEX('Base de sorteio'!$A$3:$A$1723,MATCH($B509&amp;"|"&amp;$C509,'Base de sorteio'!$I$3:$I$1723,0)),"")</f>
        <v/>
      </c>
      <c r="E509" s="4">
        <f>IFERROR(INDEX('Base de sorteio'!$B$3:$B$1723,MATCH($B509&amp;"|"&amp;$C509,'Base de sorteio'!$I$3:$I$1723,0)),"")</f>
        <v/>
      </c>
      <c r="F509" s="4">
        <f>IFERROR(INDEX('Base de sorteio'!$C$3:$C$1723,MATCH($B509&amp;"|"&amp;$C509,'Base de sorteio'!$I$3:$I$1723,0)),"")</f>
        <v/>
      </c>
      <c r="G509" s="4">
        <f>IFERROR(INDEX('Base de sorteio'!$D$3:$D$1723,MATCH($B509&amp;"|"&amp;$C509,'Base de sorteio'!$I$3:$I$1723,0)),"")</f>
        <v/>
      </c>
      <c r="H509" s="4">
        <f>IFERROR(INDEX('Base de sorteio'!$E$3:$E$1723,MATCH($B509&amp;"|"&amp;$C509,'Base de sorteio'!$I$3:$I$1723,0)),"")</f>
        <v/>
      </c>
      <c r="I509" s="4">
        <f>IF(E509="","",HYPERLINK(IFERROR(INDEX('Base de sorteio'!$J$3:$J$1723,MATCH($B509&amp;"|"&amp;$C509,'Base de sorteio'!$I$3:$I$1723,0)),""),"abrir"))</f>
        <v/>
      </c>
      <c r="J509" s="4" t="n"/>
      <c r="K509" s="4" t="n"/>
      <c r="L509" s="4" t="n"/>
      <c r="M509" s="4" t="n"/>
      <c r="N509" s="4">
        <f>IF(AND(K509="",M509=""),"",IF(OR(K509="sim",M509="sim"),"sim",IF(OR(K509="inconclusivo",M509="inconclusivo"),"inconclusivo","não")))</f>
        <v/>
      </c>
      <c r="O509" s="5">
        <f>IF(N509="sim",COUNTIFS($B$3:$B509,$B509,$N$3:$N509,"sim"),"")</f>
        <v/>
      </c>
      <c r="P509" s="5" t="n"/>
      <c r="Q509" s="4" t="n"/>
      <c r="R509" s="5" t="n"/>
      <c r="S509" s="9" t="n"/>
      <c r="T509" s="4" t="n"/>
    </row>
    <row r="510">
      <c r="A510" s="5">
        <f>ROW()-2</f>
        <v/>
      </c>
      <c r="B510" s="4" t="inlineStr">
        <is>
          <t>Metrópole</t>
        </is>
      </c>
      <c r="C510" s="5" t="n">
        <v>508</v>
      </c>
      <c r="D510" s="5">
        <f>IFERROR(INDEX('Base de sorteio'!$A$3:$A$1723,MATCH($B510&amp;"|"&amp;$C510,'Base de sorteio'!$I$3:$I$1723,0)),"")</f>
        <v/>
      </c>
      <c r="E510" s="4">
        <f>IFERROR(INDEX('Base de sorteio'!$B$3:$B$1723,MATCH($B510&amp;"|"&amp;$C510,'Base de sorteio'!$I$3:$I$1723,0)),"")</f>
        <v/>
      </c>
      <c r="F510" s="4">
        <f>IFERROR(INDEX('Base de sorteio'!$C$3:$C$1723,MATCH($B510&amp;"|"&amp;$C510,'Base de sorteio'!$I$3:$I$1723,0)),"")</f>
        <v/>
      </c>
      <c r="G510" s="4">
        <f>IFERROR(INDEX('Base de sorteio'!$D$3:$D$1723,MATCH($B510&amp;"|"&amp;$C510,'Base de sorteio'!$I$3:$I$1723,0)),"")</f>
        <v/>
      </c>
      <c r="H510" s="4">
        <f>IFERROR(INDEX('Base de sorteio'!$E$3:$E$1723,MATCH($B510&amp;"|"&amp;$C510,'Base de sorteio'!$I$3:$I$1723,0)),"")</f>
        <v/>
      </c>
      <c r="I510" s="4">
        <f>IF(E510="","",HYPERLINK(IFERROR(INDEX('Base de sorteio'!$J$3:$J$1723,MATCH($B510&amp;"|"&amp;$C510,'Base de sorteio'!$I$3:$I$1723,0)),""),"abrir"))</f>
        <v/>
      </c>
      <c r="J510" s="4" t="n"/>
      <c r="K510" s="4" t="n"/>
      <c r="L510" s="4" t="n"/>
      <c r="M510" s="4" t="n"/>
      <c r="N510" s="4">
        <f>IF(AND(K510="",M510=""),"",IF(OR(K510="sim",M510="sim"),"sim",IF(OR(K510="inconclusivo",M510="inconclusivo"),"inconclusivo","não")))</f>
        <v/>
      </c>
      <c r="O510" s="5">
        <f>IF(N510="sim",COUNTIFS($B$3:$B510,$B510,$N$3:$N510,"sim"),"")</f>
        <v/>
      </c>
      <c r="P510" s="5" t="n"/>
      <c r="Q510" s="4" t="n"/>
      <c r="R510" s="5" t="n"/>
      <c r="S510" s="9" t="n"/>
      <c r="T510" s="4" t="n"/>
    </row>
    <row r="511">
      <c r="A511" s="5">
        <f>ROW()-2</f>
        <v/>
      </c>
      <c r="B511" s="4" t="inlineStr">
        <is>
          <t>Metrópole</t>
        </is>
      </c>
      <c r="C511" s="5" t="n">
        <v>509</v>
      </c>
      <c r="D511" s="5">
        <f>IFERROR(INDEX('Base de sorteio'!$A$3:$A$1723,MATCH($B511&amp;"|"&amp;$C511,'Base de sorteio'!$I$3:$I$1723,0)),"")</f>
        <v/>
      </c>
      <c r="E511" s="4">
        <f>IFERROR(INDEX('Base de sorteio'!$B$3:$B$1723,MATCH($B511&amp;"|"&amp;$C511,'Base de sorteio'!$I$3:$I$1723,0)),"")</f>
        <v/>
      </c>
      <c r="F511" s="4">
        <f>IFERROR(INDEX('Base de sorteio'!$C$3:$C$1723,MATCH($B511&amp;"|"&amp;$C511,'Base de sorteio'!$I$3:$I$1723,0)),"")</f>
        <v/>
      </c>
      <c r="G511" s="4">
        <f>IFERROR(INDEX('Base de sorteio'!$D$3:$D$1723,MATCH($B511&amp;"|"&amp;$C511,'Base de sorteio'!$I$3:$I$1723,0)),"")</f>
        <v/>
      </c>
      <c r="H511" s="4">
        <f>IFERROR(INDEX('Base de sorteio'!$E$3:$E$1723,MATCH($B511&amp;"|"&amp;$C511,'Base de sorteio'!$I$3:$I$1723,0)),"")</f>
        <v/>
      </c>
      <c r="I511" s="4">
        <f>IF(E511="","",HYPERLINK(IFERROR(INDEX('Base de sorteio'!$J$3:$J$1723,MATCH($B511&amp;"|"&amp;$C511,'Base de sorteio'!$I$3:$I$1723,0)),""),"abrir"))</f>
        <v/>
      </c>
      <c r="J511" s="4" t="n"/>
      <c r="K511" s="4" t="n"/>
      <c r="L511" s="4" t="n"/>
      <c r="M511" s="4" t="n"/>
      <c r="N511" s="4">
        <f>IF(AND(K511="",M511=""),"",IF(OR(K511="sim",M511="sim"),"sim",IF(OR(K511="inconclusivo",M511="inconclusivo"),"inconclusivo","não")))</f>
        <v/>
      </c>
      <c r="O511" s="5">
        <f>IF(N511="sim",COUNTIFS($B$3:$B511,$B511,$N$3:$N511,"sim"),"")</f>
        <v/>
      </c>
      <c r="P511" s="5" t="n"/>
      <c r="Q511" s="4" t="n"/>
      <c r="R511" s="5" t="n"/>
      <c r="S511" s="9" t="n"/>
      <c r="T511" s="4" t="n"/>
    </row>
    <row r="512">
      <c r="A512" s="5">
        <f>ROW()-2</f>
        <v/>
      </c>
      <c r="B512" s="4" t="inlineStr">
        <is>
          <t>Metrópole</t>
        </is>
      </c>
      <c r="C512" s="5" t="n">
        <v>510</v>
      </c>
      <c r="D512" s="5">
        <f>IFERROR(INDEX('Base de sorteio'!$A$3:$A$1723,MATCH($B512&amp;"|"&amp;$C512,'Base de sorteio'!$I$3:$I$1723,0)),"")</f>
        <v/>
      </c>
      <c r="E512" s="4">
        <f>IFERROR(INDEX('Base de sorteio'!$B$3:$B$1723,MATCH($B512&amp;"|"&amp;$C512,'Base de sorteio'!$I$3:$I$1723,0)),"")</f>
        <v/>
      </c>
      <c r="F512" s="4">
        <f>IFERROR(INDEX('Base de sorteio'!$C$3:$C$1723,MATCH($B512&amp;"|"&amp;$C512,'Base de sorteio'!$I$3:$I$1723,0)),"")</f>
        <v/>
      </c>
      <c r="G512" s="4">
        <f>IFERROR(INDEX('Base de sorteio'!$D$3:$D$1723,MATCH($B512&amp;"|"&amp;$C512,'Base de sorteio'!$I$3:$I$1723,0)),"")</f>
        <v/>
      </c>
      <c r="H512" s="4">
        <f>IFERROR(INDEX('Base de sorteio'!$E$3:$E$1723,MATCH($B512&amp;"|"&amp;$C512,'Base de sorteio'!$I$3:$I$1723,0)),"")</f>
        <v/>
      </c>
      <c r="I512" s="4">
        <f>IF(E512="","",HYPERLINK(IFERROR(INDEX('Base de sorteio'!$J$3:$J$1723,MATCH($B512&amp;"|"&amp;$C512,'Base de sorteio'!$I$3:$I$1723,0)),""),"abrir"))</f>
        <v/>
      </c>
      <c r="J512" s="4" t="n"/>
      <c r="K512" s="4" t="n"/>
      <c r="L512" s="4" t="n"/>
      <c r="M512" s="4" t="n"/>
      <c r="N512" s="4">
        <f>IF(AND(K512="",M512=""),"",IF(OR(K512="sim",M512="sim"),"sim",IF(OR(K512="inconclusivo",M512="inconclusivo"),"inconclusivo","não")))</f>
        <v/>
      </c>
      <c r="O512" s="5">
        <f>IF(N512="sim",COUNTIFS($B$3:$B512,$B512,$N$3:$N512,"sim"),"")</f>
        <v/>
      </c>
      <c r="P512" s="5" t="n"/>
      <c r="Q512" s="4" t="n"/>
      <c r="R512" s="5" t="n"/>
      <c r="S512" s="9" t="n"/>
      <c r="T512" s="4" t="n"/>
    </row>
    <row r="513">
      <c r="A513" s="5">
        <f>ROW()-2</f>
        <v/>
      </c>
      <c r="B513" s="4" t="inlineStr">
        <is>
          <t>Metrópole</t>
        </is>
      </c>
      <c r="C513" s="5" t="n">
        <v>511</v>
      </c>
      <c r="D513" s="5">
        <f>IFERROR(INDEX('Base de sorteio'!$A$3:$A$1723,MATCH($B513&amp;"|"&amp;$C513,'Base de sorteio'!$I$3:$I$1723,0)),"")</f>
        <v/>
      </c>
      <c r="E513" s="4">
        <f>IFERROR(INDEX('Base de sorteio'!$B$3:$B$1723,MATCH($B513&amp;"|"&amp;$C513,'Base de sorteio'!$I$3:$I$1723,0)),"")</f>
        <v/>
      </c>
      <c r="F513" s="4">
        <f>IFERROR(INDEX('Base de sorteio'!$C$3:$C$1723,MATCH($B513&amp;"|"&amp;$C513,'Base de sorteio'!$I$3:$I$1723,0)),"")</f>
        <v/>
      </c>
      <c r="G513" s="4">
        <f>IFERROR(INDEX('Base de sorteio'!$D$3:$D$1723,MATCH($B513&amp;"|"&amp;$C513,'Base de sorteio'!$I$3:$I$1723,0)),"")</f>
        <v/>
      </c>
      <c r="H513" s="4">
        <f>IFERROR(INDEX('Base de sorteio'!$E$3:$E$1723,MATCH($B513&amp;"|"&amp;$C513,'Base de sorteio'!$I$3:$I$1723,0)),"")</f>
        <v/>
      </c>
      <c r="I513" s="4">
        <f>IF(E513="","",HYPERLINK(IFERROR(INDEX('Base de sorteio'!$J$3:$J$1723,MATCH($B513&amp;"|"&amp;$C513,'Base de sorteio'!$I$3:$I$1723,0)),""),"abrir"))</f>
        <v/>
      </c>
      <c r="J513" s="4" t="n"/>
      <c r="K513" s="4" t="n"/>
      <c r="L513" s="4" t="n"/>
      <c r="M513" s="4" t="n"/>
      <c r="N513" s="4">
        <f>IF(AND(K513="",M513=""),"",IF(OR(K513="sim",M513="sim"),"sim",IF(OR(K513="inconclusivo",M513="inconclusivo"),"inconclusivo","não")))</f>
        <v/>
      </c>
      <c r="O513" s="5">
        <f>IF(N513="sim",COUNTIFS($B$3:$B513,$B513,$N$3:$N513,"sim"),"")</f>
        <v/>
      </c>
      <c r="P513" s="5" t="n"/>
      <c r="Q513" s="4" t="n"/>
      <c r="R513" s="5" t="n"/>
      <c r="S513" s="9" t="n"/>
      <c r="T513" s="4" t="n"/>
    </row>
    <row r="514">
      <c r="A514" s="5">
        <f>ROW()-2</f>
        <v/>
      </c>
      <c r="B514" s="4" t="inlineStr">
        <is>
          <t>Metrópole</t>
        </is>
      </c>
      <c r="C514" s="5" t="n">
        <v>512</v>
      </c>
      <c r="D514" s="5">
        <f>IFERROR(INDEX('Base de sorteio'!$A$3:$A$1723,MATCH($B514&amp;"|"&amp;$C514,'Base de sorteio'!$I$3:$I$1723,0)),"")</f>
        <v/>
      </c>
      <c r="E514" s="4">
        <f>IFERROR(INDEX('Base de sorteio'!$B$3:$B$1723,MATCH($B514&amp;"|"&amp;$C514,'Base de sorteio'!$I$3:$I$1723,0)),"")</f>
        <v/>
      </c>
      <c r="F514" s="4">
        <f>IFERROR(INDEX('Base de sorteio'!$C$3:$C$1723,MATCH($B514&amp;"|"&amp;$C514,'Base de sorteio'!$I$3:$I$1723,0)),"")</f>
        <v/>
      </c>
      <c r="G514" s="4">
        <f>IFERROR(INDEX('Base de sorteio'!$D$3:$D$1723,MATCH($B514&amp;"|"&amp;$C514,'Base de sorteio'!$I$3:$I$1723,0)),"")</f>
        <v/>
      </c>
      <c r="H514" s="4">
        <f>IFERROR(INDEX('Base de sorteio'!$E$3:$E$1723,MATCH($B514&amp;"|"&amp;$C514,'Base de sorteio'!$I$3:$I$1723,0)),"")</f>
        <v/>
      </c>
      <c r="I514" s="4">
        <f>IF(E514="","",HYPERLINK(IFERROR(INDEX('Base de sorteio'!$J$3:$J$1723,MATCH($B514&amp;"|"&amp;$C514,'Base de sorteio'!$I$3:$I$1723,0)),""),"abrir"))</f>
        <v/>
      </c>
      <c r="J514" s="4" t="n"/>
      <c r="K514" s="4" t="n"/>
      <c r="L514" s="4" t="n"/>
      <c r="M514" s="4" t="n"/>
      <c r="N514" s="4">
        <f>IF(AND(K514="",M514=""),"",IF(OR(K514="sim",M514="sim"),"sim",IF(OR(K514="inconclusivo",M514="inconclusivo"),"inconclusivo","não")))</f>
        <v/>
      </c>
      <c r="O514" s="5">
        <f>IF(N514="sim",COUNTIFS($B$3:$B514,$B514,$N$3:$N514,"sim"),"")</f>
        <v/>
      </c>
      <c r="P514" s="5" t="n"/>
      <c r="Q514" s="4" t="n"/>
      <c r="R514" s="5" t="n"/>
      <c r="S514" s="9" t="n"/>
      <c r="T514" s="4" t="n"/>
    </row>
    <row r="515">
      <c r="A515" s="5">
        <f>ROW()-2</f>
        <v/>
      </c>
      <c r="B515" s="4" t="inlineStr">
        <is>
          <t>Metrópole</t>
        </is>
      </c>
      <c r="C515" s="5" t="n">
        <v>513</v>
      </c>
      <c r="D515" s="5">
        <f>IFERROR(INDEX('Base de sorteio'!$A$3:$A$1723,MATCH($B515&amp;"|"&amp;$C515,'Base de sorteio'!$I$3:$I$1723,0)),"")</f>
        <v/>
      </c>
      <c r="E515" s="4">
        <f>IFERROR(INDEX('Base de sorteio'!$B$3:$B$1723,MATCH($B515&amp;"|"&amp;$C515,'Base de sorteio'!$I$3:$I$1723,0)),"")</f>
        <v/>
      </c>
      <c r="F515" s="4">
        <f>IFERROR(INDEX('Base de sorteio'!$C$3:$C$1723,MATCH($B515&amp;"|"&amp;$C515,'Base de sorteio'!$I$3:$I$1723,0)),"")</f>
        <v/>
      </c>
      <c r="G515" s="4">
        <f>IFERROR(INDEX('Base de sorteio'!$D$3:$D$1723,MATCH($B515&amp;"|"&amp;$C515,'Base de sorteio'!$I$3:$I$1723,0)),"")</f>
        <v/>
      </c>
      <c r="H515" s="4">
        <f>IFERROR(INDEX('Base de sorteio'!$E$3:$E$1723,MATCH($B515&amp;"|"&amp;$C515,'Base de sorteio'!$I$3:$I$1723,0)),"")</f>
        <v/>
      </c>
      <c r="I515" s="4">
        <f>IF(E515="","",HYPERLINK(IFERROR(INDEX('Base de sorteio'!$J$3:$J$1723,MATCH($B515&amp;"|"&amp;$C515,'Base de sorteio'!$I$3:$I$1723,0)),""),"abrir"))</f>
        <v/>
      </c>
      <c r="J515" s="4" t="n"/>
      <c r="K515" s="4" t="n"/>
      <c r="L515" s="4" t="n"/>
      <c r="M515" s="4" t="n"/>
      <c r="N515" s="4">
        <f>IF(AND(K515="",M515=""),"",IF(OR(K515="sim",M515="sim"),"sim",IF(OR(K515="inconclusivo",M515="inconclusivo"),"inconclusivo","não")))</f>
        <v/>
      </c>
      <c r="O515" s="5">
        <f>IF(N515="sim",COUNTIFS($B$3:$B515,$B515,$N$3:$N515,"sim"),"")</f>
        <v/>
      </c>
      <c r="P515" s="5" t="n"/>
      <c r="Q515" s="4" t="n"/>
      <c r="R515" s="5" t="n"/>
      <c r="S515" s="9" t="n"/>
      <c r="T515" s="4" t="n"/>
    </row>
    <row r="516">
      <c r="A516" s="5">
        <f>ROW()-2</f>
        <v/>
      </c>
      <c r="B516" s="4" t="inlineStr">
        <is>
          <t>Metrópole</t>
        </is>
      </c>
      <c r="C516" s="5" t="n">
        <v>514</v>
      </c>
      <c r="D516" s="5">
        <f>IFERROR(INDEX('Base de sorteio'!$A$3:$A$1723,MATCH($B516&amp;"|"&amp;$C516,'Base de sorteio'!$I$3:$I$1723,0)),"")</f>
        <v/>
      </c>
      <c r="E516" s="4">
        <f>IFERROR(INDEX('Base de sorteio'!$B$3:$B$1723,MATCH($B516&amp;"|"&amp;$C516,'Base de sorteio'!$I$3:$I$1723,0)),"")</f>
        <v/>
      </c>
      <c r="F516" s="4">
        <f>IFERROR(INDEX('Base de sorteio'!$C$3:$C$1723,MATCH($B516&amp;"|"&amp;$C516,'Base de sorteio'!$I$3:$I$1723,0)),"")</f>
        <v/>
      </c>
      <c r="G516" s="4">
        <f>IFERROR(INDEX('Base de sorteio'!$D$3:$D$1723,MATCH($B516&amp;"|"&amp;$C516,'Base de sorteio'!$I$3:$I$1723,0)),"")</f>
        <v/>
      </c>
      <c r="H516" s="4">
        <f>IFERROR(INDEX('Base de sorteio'!$E$3:$E$1723,MATCH($B516&amp;"|"&amp;$C516,'Base de sorteio'!$I$3:$I$1723,0)),"")</f>
        <v/>
      </c>
      <c r="I516" s="4">
        <f>IF(E516="","",HYPERLINK(IFERROR(INDEX('Base de sorteio'!$J$3:$J$1723,MATCH($B516&amp;"|"&amp;$C516,'Base de sorteio'!$I$3:$I$1723,0)),""),"abrir"))</f>
        <v/>
      </c>
      <c r="J516" s="4" t="n"/>
      <c r="K516" s="4" t="n"/>
      <c r="L516" s="4" t="n"/>
      <c r="M516" s="4" t="n"/>
      <c r="N516" s="4">
        <f>IF(AND(K516="",M516=""),"",IF(OR(K516="sim",M516="sim"),"sim",IF(OR(K516="inconclusivo",M516="inconclusivo"),"inconclusivo","não")))</f>
        <v/>
      </c>
      <c r="O516" s="5">
        <f>IF(N516="sim",COUNTIFS($B$3:$B516,$B516,$N$3:$N516,"sim"),"")</f>
        <v/>
      </c>
      <c r="P516" s="5" t="n"/>
      <c r="Q516" s="4" t="n"/>
      <c r="R516" s="5" t="n"/>
      <c r="S516" s="9" t="n"/>
      <c r="T516" s="4" t="n"/>
    </row>
    <row r="517">
      <c r="A517" s="5">
        <f>ROW()-2</f>
        <v/>
      </c>
      <c r="B517" s="4" t="inlineStr">
        <is>
          <t>Metrópole</t>
        </is>
      </c>
      <c r="C517" s="5" t="n">
        <v>515</v>
      </c>
      <c r="D517" s="5">
        <f>IFERROR(INDEX('Base de sorteio'!$A$3:$A$1723,MATCH($B517&amp;"|"&amp;$C517,'Base de sorteio'!$I$3:$I$1723,0)),"")</f>
        <v/>
      </c>
      <c r="E517" s="4">
        <f>IFERROR(INDEX('Base de sorteio'!$B$3:$B$1723,MATCH($B517&amp;"|"&amp;$C517,'Base de sorteio'!$I$3:$I$1723,0)),"")</f>
        <v/>
      </c>
      <c r="F517" s="4">
        <f>IFERROR(INDEX('Base de sorteio'!$C$3:$C$1723,MATCH($B517&amp;"|"&amp;$C517,'Base de sorteio'!$I$3:$I$1723,0)),"")</f>
        <v/>
      </c>
      <c r="G517" s="4">
        <f>IFERROR(INDEX('Base de sorteio'!$D$3:$D$1723,MATCH($B517&amp;"|"&amp;$C517,'Base de sorteio'!$I$3:$I$1723,0)),"")</f>
        <v/>
      </c>
      <c r="H517" s="4">
        <f>IFERROR(INDEX('Base de sorteio'!$E$3:$E$1723,MATCH($B517&amp;"|"&amp;$C517,'Base de sorteio'!$I$3:$I$1723,0)),"")</f>
        <v/>
      </c>
      <c r="I517" s="4">
        <f>IF(E517="","",HYPERLINK(IFERROR(INDEX('Base de sorteio'!$J$3:$J$1723,MATCH($B517&amp;"|"&amp;$C517,'Base de sorteio'!$I$3:$I$1723,0)),""),"abrir"))</f>
        <v/>
      </c>
      <c r="J517" s="4" t="n"/>
      <c r="K517" s="4" t="n"/>
      <c r="L517" s="4" t="n"/>
      <c r="M517" s="4" t="n"/>
      <c r="N517" s="4">
        <f>IF(AND(K517="",M517=""),"",IF(OR(K517="sim",M517="sim"),"sim",IF(OR(K517="inconclusivo",M517="inconclusivo"),"inconclusivo","não")))</f>
        <v/>
      </c>
      <c r="O517" s="5">
        <f>IF(N517="sim",COUNTIFS($B$3:$B517,$B517,$N$3:$N517,"sim"),"")</f>
        <v/>
      </c>
      <c r="P517" s="5" t="n"/>
      <c r="Q517" s="4" t="n"/>
      <c r="R517" s="5" t="n"/>
      <c r="S517" s="9" t="n"/>
      <c r="T517" s="4" t="n"/>
    </row>
    <row r="518">
      <c r="A518" s="5">
        <f>ROW()-2</f>
        <v/>
      </c>
      <c r="B518" s="4" t="inlineStr">
        <is>
          <t>Metrópole</t>
        </is>
      </c>
      <c r="C518" s="5" t="n">
        <v>516</v>
      </c>
      <c r="D518" s="5">
        <f>IFERROR(INDEX('Base de sorteio'!$A$3:$A$1723,MATCH($B518&amp;"|"&amp;$C518,'Base de sorteio'!$I$3:$I$1723,0)),"")</f>
        <v/>
      </c>
      <c r="E518" s="4">
        <f>IFERROR(INDEX('Base de sorteio'!$B$3:$B$1723,MATCH($B518&amp;"|"&amp;$C518,'Base de sorteio'!$I$3:$I$1723,0)),"")</f>
        <v/>
      </c>
      <c r="F518" s="4">
        <f>IFERROR(INDEX('Base de sorteio'!$C$3:$C$1723,MATCH($B518&amp;"|"&amp;$C518,'Base de sorteio'!$I$3:$I$1723,0)),"")</f>
        <v/>
      </c>
      <c r="G518" s="4">
        <f>IFERROR(INDEX('Base de sorteio'!$D$3:$D$1723,MATCH($B518&amp;"|"&amp;$C518,'Base de sorteio'!$I$3:$I$1723,0)),"")</f>
        <v/>
      </c>
      <c r="H518" s="4">
        <f>IFERROR(INDEX('Base de sorteio'!$E$3:$E$1723,MATCH($B518&amp;"|"&amp;$C518,'Base de sorteio'!$I$3:$I$1723,0)),"")</f>
        <v/>
      </c>
      <c r="I518" s="4">
        <f>IF(E518="","",HYPERLINK(IFERROR(INDEX('Base de sorteio'!$J$3:$J$1723,MATCH($B518&amp;"|"&amp;$C518,'Base de sorteio'!$I$3:$I$1723,0)),""),"abrir"))</f>
        <v/>
      </c>
      <c r="J518" s="4" t="n"/>
      <c r="K518" s="4" t="n"/>
      <c r="L518" s="4" t="n"/>
      <c r="M518" s="4" t="n"/>
      <c r="N518" s="4">
        <f>IF(AND(K518="",M518=""),"",IF(OR(K518="sim",M518="sim"),"sim",IF(OR(K518="inconclusivo",M518="inconclusivo"),"inconclusivo","não")))</f>
        <v/>
      </c>
      <c r="O518" s="5">
        <f>IF(N518="sim",COUNTIFS($B$3:$B518,$B518,$N$3:$N518,"sim"),"")</f>
        <v/>
      </c>
      <c r="P518" s="5" t="n"/>
      <c r="Q518" s="4" t="n"/>
      <c r="R518" s="5" t="n"/>
      <c r="S518" s="9" t="n"/>
      <c r="T518" s="4" t="n"/>
    </row>
    <row r="519">
      <c r="A519" s="5">
        <f>ROW()-2</f>
        <v/>
      </c>
      <c r="B519" s="4" t="inlineStr">
        <is>
          <t>Metrópole</t>
        </is>
      </c>
      <c r="C519" s="5" t="n">
        <v>517</v>
      </c>
      <c r="D519" s="5">
        <f>IFERROR(INDEX('Base de sorteio'!$A$3:$A$1723,MATCH($B519&amp;"|"&amp;$C519,'Base de sorteio'!$I$3:$I$1723,0)),"")</f>
        <v/>
      </c>
      <c r="E519" s="4">
        <f>IFERROR(INDEX('Base de sorteio'!$B$3:$B$1723,MATCH($B519&amp;"|"&amp;$C519,'Base de sorteio'!$I$3:$I$1723,0)),"")</f>
        <v/>
      </c>
      <c r="F519" s="4">
        <f>IFERROR(INDEX('Base de sorteio'!$C$3:$C$1723,MATCH($B519&amp;"|"&amp;$C519,'Base de sorteio'!$I$3:$I$1723,0)),"")</f>
        <v/>
      </c>
      <c r="G519" s="4">
        <f>IFERROR(INDEX('Base de sorteio'!$D$3:$D$1723,MATCH($B519&amp;"|"&amp;$C519,'Base de sorteio'!$I$3:$I$1723,0)),"")</f>
        <v/>
      </c>
      <c r="H519" s="4">
        <f>IFERROR(INDEX('Base de sorteio'!$E$3:$E$1723,MATCH($B519&amp;"|"&amp;$C519,'Base de sorteio'!$I$3:$I$1723,0)),"")</f>
        <v/>
      </c>
      <c r="I519" s="4">
        <f>IF(E519="","",HYPERLINK(IFERROR(INDEX('Base de sorteio'!$J$3:$J$1723,MATCH($B519&amp;"|"&amp;$C519,'Base de sorteio'!$I$3:$I$1723,0)),""),"abrir"))</f>
        <v/>
      </c>
      <c r="J519" s="4" t="n"/>
      <c r="K519" s="4" t="n"/>
      <c r="L519" s="4" t="n"/>
      <c r="M519" s="4" t="n"/>
      <c r="N519" s="4">
        <f>IF(AND(K519="",M519=""),"",IF(OR(K519="sim",M519="sim"),"sim",IF(OR(K519="inconclusivo",M519="inconclusivo"),"inconclusivo","não")))</f>
        <v/>
      </c>
      <c r="O519" s="5">
        <f>IF(N519="sim",COUNTIFS($B$3:$B519,$B519,$N$3:$N519,"sim"),"")</f>
        <v/>
      </c>
      <c r="P519" s="5" t="n"/>
      <c r="Q519" s="4" t="n"/>
      <c r="R519" s="5" t="n"/>
      <c r="S519" s="9" t="n"/>
      <c r="T519" s="4" t="n"/>
    </row>
    <row r="520">
      <c r="A520" s="5">
        <f>ROW()-2</f>
        <v/>
      </c>
      <c r="B520" s="4" t="inlineStr">
        <is>
          <t>Metrópole</t>
        </is>
      </c>
      <c r="C520" s="5" t="n">
        <v>518</v>
      </c>
      <c r="D520" s="5">
        <f>IFERROR(INDEX('Base de sorteio'!$A$3:$A$1723,MATCH($B520&amp;"|"&amp;$C520,'Base de sorteio'!$I$3:$I$1723,0)),"")</f>
        <v/>
      </c>
      <c r="E520" s="4">
        <f>IFERROR(INDEX('Base de sorteio'!$B$3:$B$1723,MATCH($B520&amp;"|"&amp;$C520,'Base de sorteio'!$I$3:$I$1723,0)),"")</f>
        <v/>
      </c>
      <c r="F520" s="4">
        <f>IFERROR(INDEX('Base de sorteio'!$C$3:$C$1723,MATCH($B520&amp;"|"&amp;$C520,'Base de sorteio'!$I$3:$I$1723,0)),"")</f>
        <v/>
      </c>
      <c r="G520" s="4">
        <f>IFERROR(INDEX('Base de sorteio'!$D$3:$D$1723,MATCH($B520&amp;"|"&amp;$C520,'Base de sorteio'!$I$3:$I$1723,0)),"")</f>
        <v/>
      </c>
      <c r="H520" s="4">
        <f>IFERROR(INDEX('Base de sorteio'!$E$3:$E$1723,MATCH($B520&amp;"|"&amp;$C520,'Base de sorteio'!$I$3:$I$1723,0)),"")</f>
        <v/>
      </c>
      <c r="I520" s="4">
        <f>IF(E520="","",HYPERLINK(IFERROR(INDEX('Base de sorteio'!$J$3:$J$1723,MATCH($B520&amp;"|"&amp;$C520,'Base de sorteio'!$I$3:$I$1723,0)),""),"abrir"))</f>
        <v/>
      </c>
      <c r="J520" s="4" t="n"/>
      <c r="K520" s="4" t="n"/>
      <c r="L520" s="4" t="n"/>
      <c r="M520" s="4" t="n"/>
      <c r="N520" s="4">
        <f>IF(AND(K520="",M520=""),"",IF(OR(K520="sim",M520="sim"),"sim",IF(OR(K520="inconclusivo",M520="inconclusivo"),"inconclusivo","não")))</f>
        <v/>
      </c>
      <c r="O520" s="5">
        <f>IF(N520="sim",COUNTIFS($B$3:$B520,$B520,$N$3:$N520,"sim"),"")</f>
        <v/>
      </c>
      <c r="P520" s="5" t="n"/>
      <c r="Q520" s="4" t="n"/>
      <c r="R520" s="5" t="n"/>
      <c r="S520" s="9" t="n"/>
      <c r="T520" s="4" t="n"/>
    </row>
    <row r="521">
      <c r="A521" s="5">
        <f>ROW()-2</f>
        <v/>
      </c>
      <c r="B521" s="4" t="inlineStr">
        <is>
          <t>Metrópole</t>
        </is>
      </c>
      <c r="C521" s="5" t="n">
        <v>519</v>
      </c>
      <c r="D521" s="5">
        <f>IFERROR(INDEX('Base de sorteio'!$A$3:$A$1723,MATCH($B521&amp;"|"&amp;$C521,'Base de sorteio'!$I$3:$I$1723,0)),"")</f>
        <v/>
      </c>
      <c r="E521" s="4">
        <f>IFERROR(INDEX('Base de sorteio'!$B$3:$B$1723,MATCH($B521&amp;"|"&amp;$C521,'Base de sorteio'!$I$3:$I$1723,0)),"")</f>
        <v/>
      </c>
      <c r="F521" s="4">
        <f>IFERROR(INDEX('Base de sorteio'!$C$3:$C$1723,MATCH($B521&amp;"|"&amp;$C521,'Base de sorteio'!$I$3:$I$1723,0)),"")</f>
        <v/>
      </c>
      <c r="G521" s="4">
        <f>IFERROR(INDEX('Base de sorteio'!$D$3:$D$1723,MATCH($B521&amp;"|"&amp;$C521,'Base de sorteio'!$I$3:$I$1723,0)),"")</f>
        <v/>
      </c>
      <c r="H521" s="4">
        <f>IFERROR(INDEX('Base de sorteio'!$E$3:$E$1723,MATCH($B521&amp;"|"&amp;$C521,'Base de sorteio'!$I$3:$I$1723,0)),"")</f>
        <v/>
      </c>
      <c r="I521" s="4">
        <f>IF(E521="","",HYPERLINK(IFERROR(INDEX('Base de sorteio'!$J$3:$J$1723,MATCH($B521&amp;"|"&amp;$C521,'Base de sorteio'!$I$3:$I$1723,0)),""),"abrir"))</f>
        <v/>
      </c>
      <c r="J521" s="4" t="n"/>
      <c r="K521" s="4" t="n"/>
      <c r="L521" s="4" t="n"/>
      <c r="M521" s="4" t="n"/>
      <c r="N521" s="4">
        <f>IF(AND(K521="",M521=""),"",IF(OR(K521="sim",M521="sim"),"sim",IF(OR(K521="inconclusivo",M521="inconclusivo"),"inconclusivo","não")))</f>
        <v/>
      </c>
      <c r="O521" s="5">
        <f>IF(N521="sim",COUNTIFS($B$3:$B521,$B521,$N$3:$N521,"sim"),"")</f>
        <v/>
      </c>
      <c r="P521" s="5" t="n"/>
      <c r="Q521" s="4" t="n"/>
      <c r="R521" s="5" t="n"/>
      <c r="S521" s="9" t="n"/>
      <c r="T521" s="4" t="n"/>
    </row>
    <row r="522">
      <c r="A522" s="5">
        <f>ROW()-2</f>
        <v/>
      </c>
      <c r="B522" s="4" t="inlineStr">
        <is>
          <t>Metrópole</t>
        </is>
      </c>
      <c r="C522" s="5" t="n">
        <v>520</v>
      </c>
      <c r="D522" s="5">
        <f>IFERROR(INDEX('Base de sorteio'!$A$3:$A$1723,MATCH($B522&amp;"|"&amp;$C522,'Base de sorteio'!$I$3:$I$1723,0)),"")</f>
        <v/>
      </c>
      <c r="E522" s="4">
        <f>IFERROR(INDEX('Base de sorteio'!$B$3:$B$1723,MATCH($B522&amp;"|"&amp;$C522,'Base de sorteio'!$I$3:$I$1723,0)),"")</f>
        <v/>
      </c>
      <c r="F522" s="4">
        <f>IFERROR(INDEX('Base de sorteio'!$C$3:$C$1723,MATCH($B522&amp;"|"&amp;$C522,'Base de sorteio'!$I$3:$I$1723,0)),"")</f>
        <v/>
      </c>
      <c r="G522" s="4">
        <f>IFERROR(INDEX('Base de sorteio'!$D$3:$D$1723,MATCH($B522&amp;"|"&amp;$C522,'Base de sorteio'!$I$3:$I$1723,0)),"")</f>
        <v/>
      </c>
      <c r="H522" s="4">
        <f>IFERROR(INDEX('Base de sorteio'!$E$3:$E$1723,MATCH($B522&amp;"|"&amp;$C522,'Base de sorteio'!$I$3:$I$1723,0)),"")</f>
        <v/>
      </c>
      <c r="I522" s="4">
        <f>IF(E522="","",HYPERLINK(IFERROR(INDEX('Base de sorteio'!$J$3:$J$1723,MATCH($B522&amp;"|"&amp;$C522,'Base de sorteio'!$I$3:$I$1723,0)),""),"abrir"))</f>
        <v/>
      </c>
      <c r="J522" s="4" t="n"/>
      <c r="K522" s="4" t="n"/>
      <c r="L522" s="4" t="n"/>
      <c r="M522" s="4" t="n"/>
      <c r="N522" s="4">
        <f>IF(AND(K522="",M522=""),"",IF(OR(K522="sim",M522="sim"),"sim",IF(OR(K522="inconclusivo",M522="inconclusivo"),"inconclusivo","não")))</f>
        <v/>
      </c>
      <c r="O522" s="5">
        <f>IF(N522="sim",COUNTIFS($B$3:$B522,$B522,$N$3:$N522,"sim"),"")</f>
        <v/>
      </c>
      <c r="P522" s="5" t="n"/>
      <c r="Q522" s="4" t="n"/>
      <c r="R522" s="5" t="n"/>
      <c r="S522" s="9" t="n"/>
      <c r="T522" s="4" t="n"/>
    </row>
    <row r="523">
      <c r="A523" s="5">
        <f>ROW()-2</f>
        <v/>
      </c>
      <c r="B523" s="4" t="inlineStr">
        <is>
          <t>Metrópole</t>
        </is>
      </c>
      <c r="C523" s="5" t="n">
        <v>521</v>
      </c>
      <c r="D523" s="5">
        <f>IFERROR(INDEX('Base de sorteio'!$A$3:$A$1723,MATCH($B523&amp;"|"&amp;$C523,'Base de sorteio'!$I$3:$I$1723,0)),"")</f>
        <v/>
      </c>
      <c r="E523" s="4">
        <f>IFERROR(INDEX('Base de sorteio'!$B$3:$B$1723,MATCH($B523&amp;"|"&amp;$C523,'Base de sorteio'!$I$3:$I$1723,0)),"")</f>
        <v/>
      </c>
      <c r="F523" s="4">
        <f>IFERROR(INDEX('Base de sorteio'!$C$3:$C$1723,MATCH($B523&amp;"|"&amp;$C523,'Base de sorteio'!$I$3:$I$1723,0)),"")</f>
        <v/>
      </c>
      <c r="G523" s="4">
        <f>IFERROR(INDEX('Base de sorteio'!$D$3:$D$1723,MATCH($B523&amp;"|"&amp;$C523,'Base de sorteio'!$I$3:$I$1723,0)),"")</f>
        <v/>
      </c>
      <c r="H523" s="4">
        <f>IFERROR(INDEX('Base de sorteio'!$E$3:$E$1723,MATCH($B523&amp;"|"&amp;$C523,'Base de sorteio'!$I$3:$I$1723,0)),"")</f>
        <v/>
      </c>
      <c r="I523" s="4">
        <f>IF(E523="","",HYPERLINK(IFERROR(INDEX('Base de sorteio'!$J$3:$J$1723,MATCH($B523&amp;"|"&amp;$C523,'Base de sorteio'!$I$3:$I$1723,0)),""),"abrir"))</f>
        <v/>
      </c>
      <c r="J523" s="4" t="n"/>
      <c r="K523" s="4" t="n"/>
      <c r="L523" s="4" t="n"/>
      <c r="M523" s="4" t="n"/>
      <c r="N523" s="4">
        <f>IF(AND(K523="",M523=""),"",IF(OR(K523="sim",M523="sim"),"sim",IF(OR(K523="inconclusivo",M523="inconclusivo"),"inconclusivo","não")))</f>
        <v/>
      </c>
      <c r="O523" s="5">
        <f>IF(N523="sim",COUNTIFS($B$3:$B523,$B523,$N$3:$N523,"sim"),"")</f>
        <v/>
      </c>
      <c r="P523" s="5" t="n"/>
      <c r="Q523" s="4" t="n"/>
      <c r="R523" s="5" t="n"/>
      <c r="S523" s="9" t="n"/>
      <c r="T523" s="4" t="n"/>
    </row>
    <row r="524">
      <c r="A524" s="5">
        <f>ROW()-2</f>
        <v/>
      </c>
      <c r="B524" s="4" t="inlineStr">
        <is>
          <t>Metrópole</t>
        </is>
      </c>
      <c r="C524" s="5" t="n">
        <v>522</v>
      </c>
      <c r="D524" s="5">
        <f>IFERROR(INDEX('Base de sorteio'!$A$3:$A$1723,MATCH($B524&amp;"|"&amp;$C524,'Base de sorteio'!$I$3:$I$1723,0)),"")</f>
        <v/>
      </c>
      <c r="E524" s="4">
        <f>IFERROR(INDEX('Base de sorteio'!$B$3:$B$1723,MATCH($B524&amp;"|"&amp;$C524,'Base de sorteio'!$I$3:$I$1723,0)),"")</f>
        <v/>
      </c>
      <c r="F524" s="4">
        <f>IFERROR(INDEX('Base de sorteio'!$C$3:$C$1723,MATCH($B524&amp;"|"&amp;$C524,'Base de sorteio'!$I$3:$I$1723,0)),"")</f>
        <v/>
      </c>
      <c r="G524" s="4">
        <f>IFERROR(INDEX('Base de sorteio'!$D$3:$D$1723,MATCH($B524&amp;"|"&amp;$C524,'Base de sorteio'!$I$3:$I$1723,0)),"")</f>
        <v/>
      </c>
      <c r="H524" s="4">
        <f>IFERROR(INDEX('Base de sorteio'!$E$3:$E$1723,MATCH($B524&amp;"|"&amp;$C524,'Base de sorteio'!$I$3:$I$1723,0)),"")</f>
        <v/>
      </c>
      <c r="I524" s="4">
        <f>IF(E524="","",HYPERLINK(IFERROR(INDEX('Base de sorteio'!$J$3:$J$1723,MATCH($B524&amp;"|"&amp;$C524,'Base de sorteio'!$I$3:$I$1723,0)),""),"abrir"))</f>
        <v/>
      </c>
      <c r="J524" s="4" t="n"/>
      <c r="K524" s="4" t="n"/>
      <c r="L524" s="4" t="n"/>
      <c r="M524" s="4" t="n"/>
      <c r="N524" s="4">
        <f>IF(AND(K524="",M524=""),"",IF(OR(K524="sim",M524="sim"),"sim",IF(OR(K524="inconclusivo",M524="inconclusivo"),"inconclusivo","não")))</f>
        <v/>
      </c>
      <c r="O524" s="5">
        <f>IF(N524="sim",COUNTIFS($B$3:$B524,$B524,$N$3:$N524,"sim"),"")</f>
        <v/>
      </c>
      <c r="P524" s="5" t="n"/>
      <c r="Q524" s="4" t="n"/>
      <c r="R524" s="5" t="n"/>
      <c r="S524" s="9" t="n"/>
      <c r="T524" s="4" t="n"/>
    </row>
    <row r="525">
      <c r="A525" s="5">
        <f>ROW()-2</f>
        <v/>
      </c>
      <c r="B525" s="4" t="inlineStr">
        <is>
          <t>Metrópole</t>
        </is>
      </c>
      <c r="C525" s="5" t="n">
        <v>523</v>
      </c>
      <c r="D525" s="5">
        <f>IFERROR(INDEX('Base de sorteio'!$A$3:$A$1723,MATCH($B525&amp;"|"&amp;$C525,'Base de sorteio'!$I$3:$I$1723,0)),"")</f>
        <v/>
      </c>
      <c r="E525" s="4">
        <f>IFERROR(INDEX('Base de sorteio'!$B$3:$B$1723,MATCH($B525&amp;"|"&amp;$C525,'Base de sorteio'!$I$3:$I$1723,0)),"")</f>
        <v/>
      </c>
      <c r="F525" s="4">
        <f>IFERROR(INDEX('Base de sorteio'!$C$3:$C$1723,MATCH($B525&amp;"|"&amp;$C525,'Base de sorteio'!$I$3:$I$1723,0)),"")</f>
        <v/>
      </c>
      <c r="G525" s="4">
        <f>IFERROR(INDEX('Base de sorteio'!$D$3:$D$1723,MATCH($B525&amp;"|"&amp;$C525,'Base de sorteio'!$I$3:$I$1723,0)),"")</f>
        <v/>
      </c>
      <c r="H525" s="4">
        <f>IFERROR(INDEX('Base de sorteio'!$E$3:$E$1723,MATCH($B525&amp;"|"&amp;$C525,'Base de sorteio'!$I$3:$I$1723,0)),"")</f>
        <v/>
      </c>
      <c r="I525" s="4">
        <f>IF(E525="","",HYPERLINK(IFERROR(INDEX('Base de sorteio'!$J$3:$J$1723,MATCH($B525&amp;"|"&amp;$C525,'Base de sorteio'!$I$3:$I$1723,0)),""),"abrir"))</f>
        <v/>
      </c>
      <c r="J525" s="4" t="n"/>
      <c r="K525" s="4" t="n"/>
      <c r="L525" s="4" t="n"/>
      <c r="M525" s="4" t="n"/>
      <c r="N525" s="4">
        <f>IF(AND(K525="",M525=""),"",IF(OR(K525="sim",M525="sim"),"sim",IF(OR(K525="inconclusivo",M525="inconclusivo"),"inconclusivo","não")))</f>
        <v/>
      </c>
      <c r="O525" s="5">
        <f>IF(N525="sim",COUNTIFS($B$3:$B525,$B525,$N$3:$N525,"sim"),"")</f>
        <v/>
      </c>
      <c r="P525" s="5" t="n"/>
      <c r="Q525" s="4" t="n"/>
      <c r="R525" s="5" t="n"/>
      <c r="S525" s="9" t="n"/>
      <c r="T525" s="4" t="n"/>
    </row>
    <row r="526">
      <c r="A526" s="5">
        <f>ROW()-2</f>
        <v/>
      </c>
      <c r="B526" s="4" t="inlineStr">
        <is>
          <t>Metrópole</t>
        </is>
      </c>
      <c r="C526" s="5" t="n">
        <v>524</v>
      </c>
      <c r="D526" s="5">
        <f>IFERROR(INDEX('Base de sorteio'!$A$3:$A$1723,MATCH($B526&amp;"|"&amp;$C526,'Base de sorteio'!$I$3:$I$1723,0)),"")</f>
        <v/>
      </c>
      <c r="E526" s="4">
        <f>IFERROR(INDEX('Base de sorteio'!$B$3:$B$1723,MATCH($B526&amp;"|"&amp;$C526,'Base de sorteio'!$I$3:$I$1723,0)),"")</f>
        <v/>
      </c>
      <c r="F526" s="4">
        <f>IFERROR(INDEX('Base de sorteio'!$C$3:$C$1723,MATCH($B526&amp;"|"&amp;$C526,'Base de sorteio'!$I$3:$I$1723,0)),"")</f>
        <v/>
      </c>
      <c r="G526" s="4">
        <f>IFERROR(INDEX('Base de sorteio'!$D$3:$D$1723,MATCH($B526&amp;"|"&amp;$C526,'Base de sorteio'!$I$3:$I$1723,0)),"")</f>
        <v/>
      </c>
      <c r="H526" s="4">
        <f>IFERROR(INDEX('Base de sorteio'!$E$3:$E$1723,MATCH($B526&amp;"|"&amp;$C526,'Base de sorteio'!$I$3:$I$1723,0)),"")</f>
        <v/>
      </c>
      <c r="I526" s="4">
        <f>IF(E526="","",HYPERLINK(IFERROR(INDEX('Base de sorteio'!$J$3:$J$1723,MATCH($B526&amp;"|"&amp;$C526,'Base de sorteio'!$I$3:$I$1723,0)),""),"abrir"))</f>
        <v/>
      </c>
      <c r="J526" s="4" t="n"/>
      <c r="K526" s="4" t="n"/>
      <c r="L526" s="4" t="n"/>
      <c r="M526" s="4" t="n"/>
      <c r="N526" s="4">
        <f>IF(AND(K526="",M526=""),"",IF(OR(K526="sim",M526="sim"),"sim",IF(OR(K526="inconclusivo",M526="inconclusivo"),"inconclusivo","não")))</f>
        <v/>
      </c>
      <c r="O526" s="5">
        <f>IF(N526="sim",COUNTIFS($B$3:$B526,$B526,$N$3:$N526,"sim"),"")</f>
        <v/>
      </c>
      <c r="P526" s="5" t="n"/>
      <c r="Q526" s="4" t="n"/>
      <c r="R526" s="5" t="n"/>
      <c r="S526" s="9" t="n"/>
      <c r="T526" s="4" t="n"/>
    </row>
    <row r="527">
      <c r="A527" s="5">
        <f>ROW()-2</f>
        <v/>
      </c>
      <c r="B527" s="4" t="inlineStr">
        <is>
          <t>Metrópole</t>
        </is>
      </c>
      <c r="C527" s="5" t="n">
        <v>525</v>
      </c>
      <c r="D527" s="5">
        <f>IFERROR(INDEX('Base de sorteio'!$A$3:$A$1723,MATCH($B527&amp;"|"&amp;$C527,'Base de sorteio'!$I$3:$I$1723,0)),"")</f>
        <v/>
      </c>
      <c r="E527" s="4">
        <f>IFERROR(INDEX('Base de sorteio'!$B$3:$B$1723,MATCH($B527&amp;"|"&amp;$C527,'Base de sorteio'!$I$3:$I$1723,0)),"")</f>
        <v/>
      </c>
      <c r="F527" s="4">
        <f>IFERROR(INDEX('Base de sorteio'!$C$3:$C$1723,MATCH($B527&amp;"|"&amp;$C527,'Base de sorteio'!$I$3:$I$1723,0)),"")</f>
        <v/>
      </c>
      <c r="G527" s="4">
        <f>IFERROR(INDEX('Base de sorteio'!$D$3:$D$1723,MATCH($B527&amp;"|"&amp;$C527,'Base de sorteio'!$I$3:$I$1723,0)),"")</f>
        <v/>
      </c>
      <c r="H527" s="4">
        <f>IFERROR(INDEX('Base de sorteio'!$E$3:$E$1723,MATCH($B527&amp;"|"&amp;$C527,'Base de sorteio'!$I$3:$I$1723,0)),"")</f>
        <v/>
      </c>
      <c r="I527" s="4">
        <f>IF(E527="","",HYPERLINK(IFERROR(INDEX('Base de sorteio'!$J$3:$J$1723,MATCH($B527&amp;"|"&amp;$C527,'Base de sorteio'!$I$3:$I$1723,0)),""),"abrir"))</f>
        <v/>
      </c>
      <c r="J527" s="4" t="n"/>
      <c r="K527" s="4" t="n"/>
      <c r="L527" s="4" t="n"/>
      <c r="M527" s="4" t="n"/>
      <c r="N527" s="4">
        <f>IF(AND(K527="",M527=""),"",IF(OR(K527="sim",M527="sim"),"sim",IF(OR(K527="inconclusivo",M527="inconclusivo"),"inconclusivo","não")))</f>
        <v/>
      </c>
      <c r="O527" s="5">
        <f>IF(N527="sim",COUNTIFS($B$3:$B527,$B527,$N$3:$N527,"sim"),"")</f>
        <v/>
      </c>
      <c r="P527" s="5" t="n"/>
      <c r="Q527" s="4" t="n"/>
      <c r="R527" s="5" t="n"/>
      <c r="S527" s="9" t="n"/>
      <c r="T527" s="4" t="n"/>
    </row>
    <row r="528">
      <c r="A528" s="5">
        <f>ROW()-2</f>
        <v/>
      </c>
      <c r="B528" s="4" t="inlineStr">
        <is>
          <t>Metrópole</t>
        </is>
      </c>
      <c r="C528" s="5" t="n">
        <v>526</v>
      </c>
      <c r="D528" s="5">
        <f>IFERROR(INDEX('Base de sorteio'!$A$3:$A$1723,MATCH($B528&amp;"|"&amp;$C528,'Base de sorteio'!$I$3:$I$1723,0)),"")</f>
        <v/>
      </c>
      <c r="E528" s="4">
        <f>IFERROR(INDEX('Base de sorteio'!$B$3:$B$1723,MATCH($B528&amp;"|"&amp;$C528,'Base de sorteio'!$I$3:$I$1723,0)),"")</f>
        <v/>
      </c>
      <c r="F528" s="4">
        <f>IFERROR(INDEX('Base de sorteio'!$C$3:$C$1723,MATCH($B528&amp;"|"&amp;$C528,'Base de sorteio'!$I$3:$I$1723,0)),"")</f>
        <v/>
      </c>
      <c r="G528" s="4">
        <f>IFERROR(INDEX('Base de sorteio'!$D$3:$D$1723,MATCH($B528&amp;"|"&amp;$C528,'Base de sorteio'!$I$3:$I$1723,0)),"")</f>
        <v/>
      </c>
      <c r="H528" s="4">
        <f>IFERROR(INDEX('Base de sorteio'!$E$3:$E$1723,MATCH($B528&amp;"|"&amp;$C528,'Base de sorteio'!$I$3:$I$1723,0)),"")</f>
        <v/>
      </c>
      <c r="I528" s="4">
        <f>IF(E528="","",HYPERLINK(IFERROR(INDEX('Base de sorteio'!$J$3:$J$1723,MATCH($B528&amp;"|"&amp;$C528,'Base de sorteio'!$I$3:$I$1723,0)),""),"abrir"))</f>
        <v/>
      </c>
      <c r="J528" s="4" t="n"/>
      <c r="K528" s="4" t="n"/>
      <c r="L528" s="4" t="n"/>
      <c r="M528" s="4" t="n"/>
      <c r="N528" s="4">
        <f>IF(AND(K528="",M528=""),"",IF(OR(K528="sim",M528="sim"),"sim",IF(OR(K528="inconclusivo",M528="inconclusivo"),"inconclusivo","não")))</f>
        <v/>
      </c>
      <c r="O528" s="5">
        <f>IF(N528="sim",COUNTIFS($B$3:$B528,$B528,$N$3:$N528,"sim"),"")</f>
        <v/>
      </c>
      <c r="P528" s="5" t="n"/>
      <c r="Q528" s="4" t="n"/>
      <c r="R528" s="5" t="n"/>
      <c r="S528" s="9" t="n"/>
      <c r="T528" s="4" t="n"/>
    </row>
    <row r="529">
      <c r="A529" s="5">
        <f>ROW()-2</f>
        <v/>
      </c>
      <c r="B529" s="4" t="inlineStr">
        <is>
          <t>Metrópole</t>
        </is>
      </c>
      <c r="C529" s="5" t="n">
        <v>527</v>
      </c>
      <c r="D529" s="5">
        <f>IFERROR(INDEX('Base de sorteio'!$A$3:$A$1723,MATCH($B529&amp;"|"&amp;$C529,'Base de sorteio'!$I$3:$I$1723,0)),"")</f>
        <v/>
      </c>
      <c r="E529" s="4">
        <f>IFERROR(INDEX('Base de sorteio'!$B$3:$B$1723,MATCH($B529&amp;"|"&amp;$C529,'Base de sorteio'!$I$3:$I$1723,0)),"")</f>
        <v/>
      </c>
      <c r="F529" s="4">
        <f>IFERROR(INDEX('Base de sorteio'!$C$3:$C$1723,MATCH($B529&amp;"|"&amp;$C529,'Base de sorteio'!$I$3:$I$1723,0)),"")</f>
        <v/>
      </c>
      <c r="G529" s="4">
        <f>IFERROR(INDEX('Base de sorteio'!$D$3:$D$1723,MATCH($B529&amp;"|"&amp;$C529,'Base de sorteio'!$I$3:$I$1723,0)),"")</f>
        <v/>
      </c>
      <c r="H529" s="4">
        <f>IFERROR(INDEX('Base de sorteio'!$E$3:$E$1723,MATCH($B529&amp;"|"&amp;$C529,'Base de sorteio'!$I$3:$I$1723,0)),"")</f>
        <v/>
      </c>
      <c r="I529" s="4">
        <f>IF(E529="","",HYPERLINK(IFERROR(INDEX('Base de sorteio'!$J$3:$J$1723,MATCH($B529&amp;"|"&amp;$C529,'Base de sorteio'!$I$3:$I$1723,0)),""),"abrir"))</f>
        <v/>
      </c>
      <c r="J529" s="4" t="n"/>
      <c r="K529" s="4" t="n"/>
      <c r="L529" s="4" t="n"/>
      <c r="M529" s="4" t="n"/>
      <c r="N529" s="4">
        <f>IF(AND(K529="",M529=""),"",IF(OR(K529="sim",M529="sim"),"sim",IF(OR(K529="inconclusivo",M529="inconclusivo"),"inconclusivo","não")))</f>
        <v/>
      </c>
      <c r="O529" s="5">
        <f>IF(N529="sim",COUNTIFS($B$3:$B529,$B529,$N$3:$N529,"sim"),"")</f>
        <v/>
      </c>
      <c r="P529" s="5" t="n"/>
      <c r="Q529" s="4" t="n"/>
      <c r="R529" s="5" t="n"/>
      <c r="S529" s="9" t="n"/>
      <c r="T529" s="4" t="n"/>
    </row>
    <row r="530">
      <c r="A530" s="5">
        <f>ROW()-2</f>
        <v/>
      </c>
      <c r="B530" s="4" t="inlineStr">
        <is>
          <t>Metrópole</t>
        </is>
      </c>
      <c r="C530" s="5" t="n">
        <v>528</v>
      </c>
      <c r="D530" s="5">
        <f>IFERROR(INDEX('Base de sorteio'!$A$3:$A$1723,MATCH($B530&amp;"|"&amp;$C530,'Base de sorteio'!$I$3:$I$1723,0)),"")</f>
        <v/>
      </c>
      <c r="E530" s="4">
        <f>IFERROR(INDEX('Base de sorteio'!$B$3:$B$1723,MATCH($B530&amp;"|"&amp;$C530,'Base de sorteio'!$I$3:$I$1723,0)),"")</f>
        <v/>
      </c>
      <c r="F530" s="4">
        <f>IFERROR(INDEX('Base de sorteio'!$C$3:$C$1723,MATCH($B530&amp;"|"&amp;$C530,'Base de sorteio'!$I$3:$I$1723,0)),"")</f>
        <v/>
      </c>
      <c r="G530" s="4">
        <f>IFERROR(INDEX('Base de sorteio'!$D$3:$D$1723,MATCH($B530&amp;"|"&amp;$C530,'Base de sorteio'!$I$3:$I$1723,0)),"")</f>
        <v/>
      </c>
      <c r="H530" s="4">
        <f>IFERROR(INDEX('Base de sorteio'!$E$3:$E$1723,MATCH($B530&amp;"|"&amp;$C530,'Base de sorteio'!$I$3:$I$1723,0)),"")</f>
        <v/>
      </c>
      <c r="I530" s="4">
        <f>IF(E530="","",HYPERLINK(IFERROR(INDEX('Base de sorteio'!$J$3:$J$1723,MATCH($B530&amp;"|"&amp;$C530,'Base de sorteio'!$I$3:$I$1723,0)),""),"abrir"))</f>
        <v/>
      </c>
      <c r="J530" s="4" t="n"/>
      <c r="K530" s="4" t="n"/>
      <c r="L530" s="4" t="n"/>
      <c r="M530" s="4" t="n"/>
      <c r="N530" s="4">
        <f>IF(AND(K530="",M530=""),"",IF(OR(K530="sim",M530="sim"),"sim",IF(OR(K530="inconclusivo",M530="inconclusivo"),"inconclusivo","não")))</f>
        <v/>
      </c>
      <c r="O530" s="5">
        <f>IF(N530="sim",COUNTIFS($B$3:$B530,$B530,$N$3:$N530,"sim"),"")</f>
        <v/>
      </c>
      <c r="P530" s="5" t="n"/>
      <c r="Q530" s="4" t="n"/>
      <c r="R530" s="5" t="n"/>
      <c r="S530" s="9" t="n"/>
      <c r="T530" s="4" t="n"/>
    </row>
    <row r="531">
      <c r="A531" s="5">
        <f>ROW()-2</f>
        <v/>
      </c>
      <c r="B531" s="4" t="inlineStr">
        <is>
          <t>Metrópole</t>
        </is>
      </c>
      <c r="C531" s="5" t="n">
        <v>529</v>
      </c>
      <c r="D531" s="5">
        <f>IFERROR(INDEX('Base de sorteio'!$A$3:$A$1723,MATCH($B531&amp;"|"&amp;$C531,'Base de sorteio'!$I$3:$I$1723,0)),"")</f>
        <v/>
      </c>
      <c r="E531" s="4">
        <f>IFERROR(INDEX('Base de sorteio'!$B$3:$B$1723,MATCH($B531&amp;"|"&amp;$C531,'Base de sorteio'!$I$3:$I$1723,0)),"")</f>
        <v/>
      </c>
      <c r="F531" s="4">
        <f>IFERROR(INDEX('Base de sorteio'!$C$3:$C$1723,MATCH($B531&amp;"|"&amp;$C531,'Base de sorteio'!$I$3:$I$1723,0)),"")</f>
        <v/>
      </c>
      <c r="G531" s="4">
        <f>IFERROR(INDEX('Base de sorteio'!$D$3:$D$1723,MATCH($B531&amp;"|"&amp;$C531,'Base de sorteio'!$I$3:$I$1723,0)),"")</f>
        <v/>
      </c>
      <c r="H531" s="4">
        <f>IFERROR(INDEX('Base de sorteio'!$E$3:$E$1723,MATCH($B531&amp;"|"&amp;$C531,'Base de sorteio'!$I$3:$I$1723,0)),"")</f>
        <v/>
      </c>
      <c r="I531" s="4">
        <f>IF(E531="","",HYPERLINK(IFERROR(INDEX('Base de sorteio'!$J$3:$J$1723,MATCH($B531&amp;"|"&amp;$C531,'Base de sorteio'!$I$3:$I$1723,0)),""),"abrir"))</f>
        <v/>
      </c>
      <c r="J531" s="4" t="n"/>
      <c r="K531" s="4" t="n"/>
      <c r="L531" s="4" t="n"/>
      <c r="M531" s="4" t="n"/>
      <c r="N531" s="4">
        <f>IF(AND(K531="",M531=""),"",IF(OR(K531="sim",M531="sim"),"sim",IF(OR(K531="inconclusivo",M531="inconclusivo"),"inconclusivo","não")))</f>
        <v/>
      </c>
      <c r="O531" s="5">
        <f>IF(N531="sim",COUNTIFS($B$3:$B531,$B531,$N$3:$N531,"sim"),"")</f>
        <v/>
      </c>
      <c r="P531" s="5" t="n"/>
      <c r="Q531" s="4" t="n"/>
      <c r="R531" s="5" t="n"/>
      <c r="S531" s="9" t="n"/>
      <c r="T531" s="4" t="n"/>
    </row>
    <row r="532">
      <c r="A532" s="5">
        <f>ROW()-2</f>
        <v/>
      </c>
      <c r="B532" s="4" t="inlineStr">
        <is>
          <t>Metrópole</t>
        </is>
      </c>
      <c r="C532" s="5" t="n">
        <v>530</v>
      </c>
      <c r="D532" s="5">
        <f>IFERROR(INDEX('Base de sorteio'!$A$3:$A$1723,MATCH($B532&amp;"|"&amp;$C532,'Base de sorteio'!$I$3:$I$1723,0)),"")</f>
        <v/>
      </c>
      <c r="E532" s="4">
        <f>IFERROR(INDEX('Base de sorteio'!$B$3:$B$1723,MATCH($B532&amp;"|"&amp;$C532,'Base de sorteio'!$I$3:$I$1723,0)),"")</f>
        <v/>
      </c>
      <c r="F532" s="4">
        <f>IFERROR(INDEX('Base de sorteio'!$C$3:$C$1723,MATCH($B532&amp;"|"&amp;$C532,'Base de sorteio'!$I$3:$I$1723,0)),"")</f>
        <v/>
      </c>
      <c r="G532" s="4">
        <f>IFERROR(INDEX('Base de sorteio'!$D$3:$D$1723,MATCH($B532&amp;"|"&amp;$C532,'Base de sorteio'!$I$3:$I$1723,0)),"")</f>
        <v/>
      </c>
      <c r="H532" s="4">
        <f>IFERROR(INDEX('Base de sorteio'!$E$3:$E$1723,MATCH($B532&amp;"|"&amp;$C532,'Base de sorteio'!$I$3:$I$1723,0)),"")</f>
        <v/>
      </c>
      <c r="I532" s="4">
        <f>IF(E532="","",HYPERLINK(IFERROR(INDEX('Base de sorteio'!$J$3:$J$1723,MATCH($B532&amp;"|"&amp;$C532,'Base de sorteio'!$I$3:$I$1723,0)),""),"abrir"))</f>
        <v/>
      </c>
      <c r="J532" s="4" t="n"/>
      <c r="K532" s="4" t="n"/>
      <c r="L532" s="4" t="n"/>
      <c r="M532" s="4" t="n"/>
      <c r="N532" s="4">
        <f>IF(AND(K532="",M532=""),"",IF(OR(K532="sim",M532="sim"),"sim",IF(OR(K532="inconclusivo",M532="inconclusivo"),"inconclusivo","não")))</f>
        <v/>
      </c>
      <c r="O532" s="5">
        <f>IF(N532="sim",COUNTIFS($B$3:$B532,$B532,$N$3:$N532,"sim"),"")</f>
        <v/>
      </c>
      <c r="P532" s="5" t="n"/>
      <c r="Q532" s="4" t="n"/>
      <c r="R532" s="5" t="n"/>
      <c r="S532" s="9" t="n"/>
      <c r="T532" s="4" t="n"/>
    </row>
    <row r="533">
      <c r="A533" s="5">
        <f>ROW()-2</f>
        <v/>
      </c>
      <c r="B533" s="4" t="inlineStr">
        <is>
          <t>Metrópole</t>
        </is>
      </c>
      <c r="C533" s="5" t="n">
        <v>531</v>
      </c>
      <c r="D533" s="5">
        <f>IFERROR(INDEX('Base de sorteio'!$A$3:$A$1723,MATCH($B533&amp;"|"&amp;$C533,'Base de sorteio'!$I$3:$I$1723,0)),"")</f>
        <v/>
      </c>
      <c r="E533" s="4">
        <f>IFERROR(INDEX('Base de sorteio'!$B$3:$B$1723,MATCH($B533&amp;"|"&amp;$C533,'Base de sorteio'!$I$3:$I$1723,0)),"")</f>
        <v/>
      </c>
      <c r="F533" s="4">
        <f>IFERROR(INDEX('Base de sorteio'!$C$3:$C$1723,MATCH($B533&amp;"|"&amp;$C533,'Base de sorteio'!$I$3:$I$1723,0)),"")</f>
        <v/>
      </c>
      <c r="G533" s="4">
        <f>IFERROR(INDEX('Base de sorteio'!$D$3:$D$1723,MATCH($B533&amp;"|"&amp;$C533,'Base de sorteio'!$I$3:$I$1723,0)),"")</f>
        <v/>
      </c>
      <c r="H533" s="4">
        <f>IFERROR(INDEX('Base de sorteio'!$E$3:$E$1723,MATCH($B533&amp;"|"&amp;$C533,'Base de sorteio'!$I$3:$I$1723,0)),"")</f>
        <v/>
      </c>
      <c r="I533" s="4">
        <f>IF(E533="","",HYPERLINK(IFERROR(INDEX('Base de sorteio'!$J$3:$J$1723,MATCH($B533&amp;"|"&amp;$C533,'Base de sorteio'!$I$3:$I$1723,0)),""),"abrir"))</f>
        <v/>
      </c>
      <c r="J533" s="4" t="n"/>
      <c r="K533" s="4" t="n"/>
      <c r="L533" s="4" t="n"/>
      <c r="M533" s="4" t="n"/>
      <c r="N533" s="4">
        <f>IF(AND(K533="",M533=""),"",IF(OR(K533="sim",M533="sim"),"sim",IF(OR(K533="inconclusivo",M533="inconclusivo"),"inconclusivo","não")))</f>
        <v/>
      </c>
      <c r="O533" s="5">
        <f>IF(N533="sim",COUNTIFS($B$3:$B533,$B533,$N$3:$N533,"sim"),"")</f>
        <v/>
      </c>
      <c r="P533" s="5" t="n"/>
      <c r="Q533" s="4" t="n"/>
      <c r="R533" s="5" t="n"/>
      <c r="S533" s="9" t="n"/>
      <c r="T533" s="4" t="n"/>
    </row>
    <row r="534">
      <c r="A534" s="5">
        <f>ROW()-2</f>
        <v/>
      </c>
      <c r="B534" s="4" t="inlineStr">
        <is>
          <t>Metrópole</t>
        </is>
      </c>
      <c r="C534" s="5" t="n">
        <v>532</v>
      </c>
      <c r="D534" s="5">
        <f>IFERROR(INDEX('Base de sorteio'!$A$3:$A$1723,MATCH($B534&amp;"|"&amp;$C534,'Base de sorteio'!$I$3:$I$1723,0)),"")</f>
        <v/>
      </c>
      <c r="E534" s="4">
        <f>IFERROR(INDEX('Base de sorteio'!$B$3:$B$1723,MATCH($B534&amp;"|"&amp;$C534,'Base de sorteio'!$I$3:$I$1723,0)),"")</f>
        <v/>
      </c>
      <c r="F534" s="4">
        <f>IFERROR(INDEX('Base de sorteio'!$C$3:$C$1723,MATCH($B534&amp;"|"&amp;$C534,'Base de sorteio'!$I$3:$I$1723,0)),"")</f>
        <v/>
      </c>
      <c r="G534" s="4">
        <f>IFERROR(INDEX('Base de sorteio'!$D$3:$D$1723,MATCH($B534&amp;"|"&amp;$C534,'Base de sorteio'!$I$3:$I$1723,0)),"")</f>
        <v/>
      </c>
      <c r="H534" s="4">
        <f>IFERROR(INDEX('Base de sorteio'!$E$3:$E$1723,MATCH($B534&amp;"|"&amp;$C534,'Base de sorteio'!$I$3:$I$1723,0)),"")</f>
        <v/>
      </c>
      <c r="I534" s="4">
        <f>IF(E534="","",HYPERLINK(IFERROR(INDEX('Base de sorteio'!$J$3:$J$1723,MATCH($B534&amp;"|"&amp;$C534,'Base de sorteio'!$I$3:$I$1723,0)),""),"abrir"))</f>
        <v/>
      </c>
      <c r="J534" s="4" t="n"/>
      <c r="K534" s="4" t="n"/>
      <c r="L534" s="4" t="n"/>
      <c r="M534" s="4" t="n"/>
      <c r="N534" s="4">
        <f>IF(AND(K534="",M534=""),"",IF(OR(K534="sim",M534="sim"),"sim",IF(OR(K534="inconclusivo",M534="inconclusivo"),"inconclusivo","não")))</f>
        <v/>
      </c>
      <c r="O534" s="5">
        <f>IF(N534="sim",COUNTIFS($B$3:$B534,$B534,$N$3:$N534,"sim"),"")</f>
        <v/>
      </c>
      <c r="P534" s="5" t="n"/>
      <c r="Q534" s="4" t="n"/>
      <c r="R534" s="5" t="n"/>
      <c r="S534" s="9" t="n"/>
      <c r="T534" s="4" t="n"/>
    </row>
    <row r="535">
      <c r="A535" s="5">
        <f>ROW()-2</f>
        <v/>
      </c>
      <c r="B535" s="4" t="inlineStr">
        <is>
          <t>Metrópole</t>
        </is>
      </c>
      <c r="C535" s="5" t="n">
        <v>533</v>
      </c>
      <c r="D535" s="5">
        <f>IFERROR(INDEX('Base de sorteio'!$A$3:$A$1723,MATCH($B535&amp;"|"&amp;$C535,'Base de sorteio'!$I$3:$I$1723,0)),"")</f>
        <v/>
      </c>
      <c r="E535" s="4">
        <f>IFERROR(INDEX('Base de sorteio'!$B$3:$B$1723,MATCH($B535&amp;"|"&amp;$C535,'Base de sorteio'!$I$3:$I$1723,0)),"")</f>
        <v/>
      </c>
      <c r="F535" s="4">
        <f>IFERROR(INDEX('Base de sorteio'!$C$3:$C$1723,MATCH($B535&amp;"|"&amp;$C535,'Base de sorteio'!$I$3:$I$1723,0)),"")</f>
        <v/>
      </c>
      <c r="G535" s="4">
        <f>IFERROR(INDEX('Base de sorteio'!$D$3:$D$1723,MATCH($B535&amp;"|"&amp;$C535,'Base de sorteio'!$I$3:$I$1723,0)),"")</f>
        <v/>
      </c>
      <c r="H535" s="4">
        <f>IFERROR(INDEX('Base de sorteio'!$E$3:$E$1723,MATCH($B535&amp;"|"&amp;$C535,'Base de sorteio'!$I$3:$I$1723,0)),"")</f>
        <v/>
      </c>
      <c r="I535" s="4">
        <f>IF(E535="","",HYPERLINK(IFERROR(INDEX('Base de sorteio'!$J$3:$J$1723,MATCH($B535&amp;"|"&amp;$C535,'Base de sorteio'!$I$3:$I$1723,0)),""),"abrir"))</f>
        <v/>
      </c>
      <c r="J535" s="4" t="n"/>
      <c r="K535" s="4" t="n"/>
      <c r="L535" s="4" t="n"/>
      <c r="M535" s="4" t="n"/>
      <c r="N535" s="4">
        <f>IF(AND(K535="",M535=""),"",IF(OR(K535="sim",M535="sim"),"sim",IF(OR(K535="inconclusivo",M535="inconclusivo"),"inconclusivo","não")))</f>
        <v/>
      </c>
      <c r="O535" s="5">
        <f>IF(N535="sim",COUNTIFS($B$3:$B535,$B535,$N$3:$N535,"sim"),"")</f>
        <v/>
      </c>
      <c r="P535" s="5" t="n"/>
      <c r="Q535" s="4" t="n"/>
      <c r="R535" s="5" t="n"/>
      <c r="S535" s="9" t="n"/>
      <c r="T535" s="4" t="n"/>
    </row>
    <row r="536">
      <c r="A536" s="5">
        <f>ROW()-2</f>
        <v/>
      </c>
      <c r="B536" s="4" t="inlineStr">
        <is>
          <t>Metrópole</t>
        </is>
      </c>
      <c r="C536" s="5" t="n">
        <v>534</v>
      </c>
      <c r="D536" s="5">
        <f>IFERROR(INDEX('Base de sorteio'!$A$3:$A$1723,MATCH($B536&amp;"|"&amp;$C536,'Base de sorteio'!$I$3:$I$1723,0)),"")</f>
        <v/>
      </c>
      <c r="E536" s="4">
        <f>IFERROR(INDEX('Base de sorteio'!$B$3:$B$1723,MATCH($B536&amp;"|"&amp;$C536,'Base de sorteio'!$I$3:$I$1723,0)),"")</f>
        <v/>
      </c>
      <c r="F536" s="4">
        <f>IFERROR(INDEX('Base de sorteio'!$C$3:$C$1723,MATCH($B536&amp;"|"&amp;$C536,'Base de sorteio'!$I$3:$I$1723,0)),"")</f>
        <v/>
      </c>
      <c r="G536" s="4">
        <f>IFERROR(INDEX('Base de sorteio'!$D$3:$D$1723,MATCH($B536&amp;"|"&amp;$C536,'Base de sorteio'!$I$3:$I$1723,0)),"")</f>
        <v/>
      </c>
      <c r="H536" s="4">
        <f>IFERROR(INDEX('Base de sorteio'!$E$3:$E$1723,MATCH($B536&amp;"|"&amp;$C536,'Base de sorteio'!$I$3:$I$1723,0)),"")</f>
        <v/>
      </c>
      <c r="I536" s="4">
        <f>IF(E536="","",HYPERLINK(IFERROR(INDEX('Base de sorteio'!$J$3:$J$1723,MATCH($B536&amp;"|"&amp;$C536,'Base de sorteio'!$I$3:$I$1723,0)),""),"abrir"))</f>
        <v/>
      </c>
      <c r="J536" s="4" t="n"/>
      <c r="K536" s="4" t="n"/>
      <c r="L536" s="4" t="n"/>
      <c r="M536" s="4" t="n"/>
      <c r="N536" s="4">
        <f>IF(AND(K536="",M536=""),"",IF(OR(K536="sim",M536="sim"),"sim",IF(OR(K536="inconclusivo",M536="inconclusivo"),"inconclusivo","não")))</f>
        <v/>
      </c>
      <c r="O536" s="5">
        <f>IF(N536="sim",COUNTIFS($B$3:$B536,$B536,$N$3:$N536,"sim"),"")</f>
        <v/>
      </c>
      <c r="P536" s="5" t="n"/>
      <c r="Q536" s="4" t="n"/>
      <c r="R536" s="5" t="n"/>
      <c r="S536" s="9" t="n"/>
      <c r="T536" s="4" t="n"/>
    </row>
    <row r="537">
      <c r="A537" s="5">
        <f>ROW()-2</f>
        <v/>
      </c>
      <c r="B537" s="4" t="inlineStr">
        <is>
          <t>Metrópole</t>
        </is>
      </c>
      <c r="C537" s="5" t="n">
        <v>535</v>
      </c>
      <c r="D537" s="5">
        <f>IFERROR(INDEX('Base de sorteio'!$A$3:$A$1723,MATCH($B537&amp;"|"&amp;$C537,'Base de sorteio'!$I$3:$I$1723,0)),"")</f>
        <v/>
      </c>
      <c r="E537" s="4">
        <f>IFERROR(INDEX('Base de sorteio'!$B$3:$B$1723,MATCH($B537&amp;"|"&amp;$C537,'Base de sorteio'!$I$3:$I$1723,0)),"")</f>
        <v/>
      </c>
      <c r="F537" s="4">
        <f>IFERROR(INDEX('Base de sorteio'!$C$3:$C$1723,MATCH($B537&amp;"|"&amp;$C537,'Base de sorteio'!$I$3:$I$1723,0)),"")</f>
        <v/>
      </c>
      <c r="G537" s="4">
        <f>IFERROR(INDEX('Base de sorteio'!$D$3:$D$1723,MATCH($B537&amp;"|"&amp;$C537,'Base de sorteio'!$I$3:$I$1723,0)),"")</f>
        <v/>
      </c>
      <c r="H537" s="4">
        <f>IFERROR(INDEX('Base de sorteio'!$E$3:$E$1723,MATCH($B537&amp;"|"&amp;$C537,'Base de sorteio'!$I$3:$I$1723,0)),"")</f>
        <v/>
      </c>
      <c r="I537" s="4">
        <f>IF(E537="","",HYPERLINK(IFERROR(INDEX('Base de sorteio'!$J$3:$J$1723,MATCH($B537&amp;"|"&amp;$C537,'Base de sorteio'!$I$3:$I$1723,0)),""),"abrir"))</f>
        <v/>
      </c>
      <c r="J537" s="4" t="n"/>
      <c r="K537" s="4" t="n"/>
      <c r="L537" s="4" t="n"/>
      <c r="M537" s="4" t="n"/>
      <c r="N537" s="4">
        <f>IF(AND(K537="",M537=""),"",IF(OR(K537="sim",M537="sim"),"sim",IF(OR(K537="inconclusivo",M537="inconclusivo"),"inconclusivo","não")))</f>
        <v/>
      </c>
      <c r="O537" s="5">
        <f>IF(N537="sim",COUNTIFS($B$3:$B537,$B537,$N$3:$N537,"sim"),"")</f>
        <v/>
      </c>
      <c r="P537" s="5" t="n"/>
      <c r="Q537" s="4" t="n"/>
      <c r="R537" s="5" t="n"/>
      <c r="S537" s="9" t="n"/>
      <c r="T537" s="4" t="n"/>
    </row>
    <row r="538">
      <c r="A538" s="5">
        <f>ROW()-2</f>
        <v/>
      </c>
      <c r="B538" s="4" t="inlineStr">
        <is>
          <t>Metrópole</t>
        </is>
      </c>
      <c r="C538" s="5" t="n">
        <v>536</v>
      </c>
      <c r="D538" s="5">
        <f>IFERROR(INDEX('Base de sorteio'!$A$3:$A$1723,MATCH($B538&amp;"|"&amp;$C538,'Base de sorteio'!$I$3:$I$1723,0)),"")</f>
        <v/>
      </c>
      <c r="E538" s="4">
        <f>IFERROR(INDEX('Base de sorteio'!$B$3:$B$1723,MATCH($B538&amp;"|"&amp;$C538,'Base de sorteio'!$I$3:$I$1723,0)),"")</f>
        <v/>
      </c>
      <c r="F538" s="4">
        <f>IFERROR(INDEX('Base de sorteio'!$C$3:$C$1723,MATCH($B538&amp;"|"&amp;$C538,'Base de sorteio'!$I$3:$I$1723,0)),"")</f>
        <v/>
      </c>
      <c r="G538" s="4">
        <f>IFERROR(INDEX('Base de sorteio'!$D$3:$D$1723,MATCH($B538&amp;"|"&amp;$C538,'Base de sorteio'!$I$3:$I$1723,0)),"")</f>
        <v/>
      </c>
      <c r="H538" s="4">
        <f>IFERROR(INDEX('Base de sorteio'!$E$3:$E$1723,MATCH($B538&amp;"|"&amp;$C538,'Base de sorteio'!$I$3:$I$1723,0)),"")</f>
        <v/>
      </c>
      <c r="I538" s="4">
        <f>IF(E538="","",HYPERLINK(IFERROR(INDEX('Base de sorteio'!$J$3:$J$1723,MATCH($B538&amp;"|"&amp;$C538,'Base de sorteio'!$I$3:$I$1723,0)),""),"abrir"))</f>
        <v/>
      </c>
      <c r="J538" s="4" t="n"/>
      <c r="K538" s="4" t="n"/>
      <c r="L538" s="4" t="n"/>
      <c r="M538" s="4" t="n"/>
      <c r="N538" s="4">
        <f>IF(AND(K538="",M538=""),"",IF(OR(K538="sim",M538="sim"),"sim",IF(OR(K538="inconclusivo",M538="inconclusivo"),"inconclusivo","não")))</f>
        <v/>
      </c>
      <c r="O538" s="5">
        <f>IF(N538="sim",COUNTIFS($B$3:$B538,$B538,$N$3:$N538,"sim"),"")</f>
        <v/>
      </c>
      <c r="P538" s="5" t="n"/>
      <c r="Q538" s="4" t="n"/>
      <c r="R538" s="5" t="n"/>
      <c r="S538" s="9" t="n"/>
      <c r="T538" s="4" t="n"/>
    </row>
    <row r="539">
      <c r="A539" s="5">
        <f>ROW()-2</f>
        <v/>
      </c>
      <c r="B539" s="4" t="inlineStr">
        <is>
          <t>Metrópole</t>
        </is>
      </c>
      <c r="C539" s="5" t="n">
        <v>537</v>
      </c>
      <c r="D539" s="5">
        <f>IFERROR(INDEX('Base de sorteio'!$A$3:$A$1723,MATCH($B539&amp;"|"&amp;$C539,'Base de sorteio'!$I$3:$I$1723,0)),"")</f>
        <v/>
      </c>
      <c r="E539" s="4">
        <f>IFERROR(INDEX('Base de sorteio'!$B$3:$B$1723,MATCH($B539&amp;"|"&amp;$C539,'Base de sorteio'!$I$3:$I$1723,0)),"")</f>
        <v/>
      </c>
      <c r="F539" s="4">
        <f>IFERROR(INDEX('Base de sorteio'!$C$3:$C$1723,MATCH($B539&amp;"|"&amp;$C539,'Base de sorteio'!$I$3:$I$1723,0)),"")</f>
        <v/>
      </c>
      <c r="G539" s="4">
        <f>IFERROR(INDEX('Base de sorteio'!$D$3:$D$1723,MATCH($B539&amp;"|"&amp;$C539,'Base de sorteio'!$I$3:$I$1723,0)),"")</f>
        <v/>
      </c>
      <c r="H539" s="4">
        <f>IFERROR(INDEX('Base de sorteio'!$E$3:$E$1723,MATCH($B539&amp;"|"&amp;$C539,'Base de sorteio'!$I$3:$I$1723,0)),"")</f>
        <v/>
      </c>
      <c r="I539" s="4">
        <f>IF(E539="","",HYPERLINK(IFERROR(INDEX('Base de sorteio'!$J$3:$J$1723,MATCH($B539&amp;"|"&amp;$C539,'Base de sorteio'!$I$3:$I$1723,0)),""),"abrir"))</f>
        <v/>
      </c>
      <c r="J539" s="4" t="n"/>
      <c r="K539" s="4" t="n"/>
      <c r="L539" s="4" t="n"/>
      <c r="M539" s="4" t="n"/>
      <c r="N539" s="4">
        <f>IF(AND(K539="",M539=""),"",IF(OR(K539="sim",M539="sim"),"sim",IF(OR(K539="inconclusivo",M539="inconclusivo"),"inconclusivo","não")))</f>
        <v/>
      </c>
      <c r="O539" s="5">
        <f>IF(N539="sim",COUNTIFS($B$3:$B539,$B539,$N$3:$N539,"sim"),"")</f>
        <v/>
      </c>
      <c r="P539" s="5" t="n"/>
      <c r="Q539" s="4" t="n"/>
      <c r="R539" s="5" t="n"/>
      <c r="S539" s="9" t="n"/>
      <c r="T539" s="4" t="n"/>
    </row>
    <row r="540">
      <c r="A540" s="5">
        <f>ROW()-2</f>
        <v/>
      </c>
      <c r="B540" s="4" t="inlineStr">
        <is>
          <t>Metrópole</t>
        </is>
      </c>
      <c r="C540" s="5" t="n">
        <v>538</v>
      </c>
      <c r="D540" s="5">
        <f>IFERROR(INDEX('Base de sorteio'!$A$3:$A$1723,MATCH($B540&amp;"|"&amp;$C540,'Base de sorteio'!$I$3:$I$1723,0)),"")</f>
        <v/>
      </c>
      <c r="E540" s="4">
        <f>IFERROR(INDEX('Base de sorteio'!$B$3:$B$1723,MATCH($B540&amp;"|"&amp;$C540,'Base de sorteio'!$I$3:$I$1723,0)),"")</f>
        <v/>
      </c>
      <c r="F540" s="4">
        <f>IFERROR(INDEX('Base de sorteio'!$C$3:$C$1723,MATCH($B540&amp;"|"&amp;$C540,'Base de sorteio'!$I$3:$I$1723,0)),"")</f>
        <v/>
      </c>
      <c r="G540" s="4">
        <f>IFERROR(INDEX('Base de sorteio'!$D$3:$D$1723,MATCH($B540&amp;"|"&amp;$C540,'Base de sorteio'!$I$3:$I$1723,0)),"")</f>
        <v/>
      </c>
      <c r="H540" s="4">
        <f>IFERROR(INDEX('Base de sorteio'!$E$3:$E$1723,MATCH($B540&amp;"|"&amp;$C540,'Base de sorteio'!$I$3:$I$1723,0)),"")</f>
        <v/>
      </c>
      <c r="I540" s="4">
        <f>IF(E540="","",HYPERLINK(IFERROR(INDEX('Base de sorteio'!$J$3:$J$1723,MATCH($B540&amp;"|"&amp;$C540,'Base de sorteio'!$I$3:$I$1723,0)),""),"abrir"))</f>
        <v/>
      </c>
      <c r="J540" s="4" t="n"/>
      <c r="K540" s="4" t="n"/>
      <c r="L540" s="4" t="n"/>
      <c r="M540" s="4" t="n"/>
      <c r="N540" s="4">
        <f>IF(AND(K540="",M540=""),"",IF(OR(K540="sim",M540="sim"),"sim",IF(OR(K540="inconclusivo",M540="inconclusivo"),"inconclusivo","não")))</f>
        <v/>
      </c>
      <c r="O540" s="5">
        <f>IF(N540="sim",COUNTIFS($B$3:$B540,$B540,$N$3:$N540,"sim"),"")</f>
        <v/>
      </c>
      <c r="P540" s="5" t="n"/>
      <c r="Q540" s="4" t="n"/>
      <c r="R540" s="5" t="n"/>
      <c r="S540" s="9" t="n"/>
      <c r="T540" s="4" t="n"/>
    </row>
    <row r="541">
      <c r="A541" s="5">
        <f>ROW()-2</f>
        <v/>
      </c>
      <c r="B541" s="4" t="inlineStr">
        <is>
          <t>Metrópole</t>
        </is>
      </c>
      <c r="C541" s="5" t="n">
        <v>539</v>
      </c>
      <c r="D541" s="5">
        <f>IFERROR(INDEX('Base de sorteio'!$A$3:$A$1723,MATCH($B541&amp;"|"&amp;$C541,'Base de sorteio'!$I$3:$I$1723,0)),"")</f>
        <v/>
      </c>
      <c r="E541" s="4">
        <f>IFERROR(INDEX('Base de sorteio'!$B$3:$B$1723,MATCH($B541&amp;"|"&amp;$C541,'Base de sorteio'!$I$3:$I$1723,0)),"")</f>
        <v/>
      </c>
      <c r="F541" s="4">
        <f>IFERROR(INDEX('Base de sorteio'!$C$3:$C$1723,MATCH($B541&amp;"|"&amp;$C541,'Base de sorteio'!$I$3:$I$1723,0)),"")</f>
        <v/>
      </c>
      <c r="G541" s="4">
        <f>IFERROR(INDEX('Base de sorteio'!$D$3:$D$1723,MATCH($B541&amp;"|"&amp;$C541,'Base de sorteio'!$I$3:$I$1723,0)),"")</f>
        <v/>
      </c>
      <c r="H541" s="4">
        <f>IFERROR(INDEX('Base de sorteio'!$E$3:$E$1723,MATCH($B541&amp;"|"&amp;$C541,'Base de sorteio'!$I$3:$I$1723,0)),"")</f>
        <v/>
      </c>
      <c r="I541" s="4">
        <f>IF(E541="","",HYPERLINK(IFERROR(INDEX('Base de sorteio'!$J$3:$J$1723,MATCH($B541&amp;"|"&amp;$C541,'Base de sorteio'!$I$3:$I$1723,0)),""),"abrir"))</f>
        <v/>
      </c>
      <c r="J541" s="4" t="n"/>
      <c r="K541" s="4" t="n"/>
      <c r="L541" s="4" t="n"/>
      <c r="M541" s="4" t="n"/>
      <c r="N541" s="4">
        <f>IF(AND(K541="",M541=""),"",IF(OR(K541="sim",M541="sim"),"sim",IF(OR(K541="inconclusivo",M541="inconclusivo"),"inconclusivo","não")))</f>
        <v/>
      </c>
      <c r="O541" s="5">
        <f>IF(N541="sim",COUNTIFS($B$3:$B541,$B541,$N$3:$N541,"sim"),"")</f>
        <v/>
      </c>
      <c r="P541" s="5" t="n"/>
      <c r="Q541" s="4" t="n"/>
      <c r="R541" s="5" t="n"/>
      <c r="S541" s="9" t="n"/>
      <c r="T541" s="4" t="n"/>
    </row>
    <row r="542">
      <c r="A542" s="5">
        <f>ROW()-2</f>
        <v/>
      </c>
      <c r="B542" s="4" t="inlineStr">
        <is>
          <t>Metrópole</t>
        </is>
      </c>
      <c r="C542" s="5" t="n">
        <v>540</v>
      </c>
      <c r="D542" s="5">
        <f>IFERROR(INDEX('Base de sorteio'!$A$3:$A$1723,MATCH($B542&amp;"|"&amp;$C542,'Base de sorteio'!$I$3:$I$1723,0)),"")</f>
        <v/>
      </c>
      <c r="E542" s="4">
        <f>IFERROR(INDEX('Base de sorteio'!$B$3:$B$1723,MATCH($B542&amp;"|"&amp;$C542,'Base de sorteio'!$I$3:$I$1723,0)),"")</f>
        <v/>
      </c>
      <c r="F542" s="4">
        <f>IFERROR(INDEX('Base de sorteio'!$C$3:$C$1723,MATCH($B542&amp;"|"&amp;$C542,'Base de sorteio'!$I$3:$I$1723,0)),"")</f>
        <v/>
      </c>
      <c r="G542" s="4">
        <f>IFERROR(INDEX('Base de sorteio'!$D$3:$D$1723,MATCH($B542&amp;"|"&amp;$C542,'Base de sorteio'!$I$3:$I$1723,0)),"")</f>
        <v/>
      </c>
      <c r="H542" s="4">
        <f>IFERROR(INDEX('Base de sorteio'!$E$3:$E$1723,MATCH($B542&amp;"|"&amp;$C542,'Base de sorteio'!$I$3:$I$1723,0)),"")</f>
        <v/>
      </c>
      <c r="I542" s="4">
        <f>IF(E542="","",HYPERLINK(IFERROR(INDEX('Base de sorteio'!$J$3:$J$1723,MATCH($B542&amp;"|"&amp;$C542,'Base de sorteio'!$I$3:$I$1723,0)),""),"abrir"))</f>
        <v/>
      </c>
      <c r="J542" s="4" t="n"/>
      <c r="K542" s="4" t="n"/>
      <c r="L542" s="4" t="n"/>
      <c r="M542" s="4" t="n"/>
      <c r="N542" s="4">
        <f>IF(AND(K542="",M542=""),"",IF(OR(K542="sim",M542="sim"),"sim",IF(OR(K542="inconclusivo",M542="inconclusivo"),"inconclusivo","não")))</f>
        <v/>
      </c>
      <c r="O542" s="5">
        <f>IF(N542="sim",COUNTIFS($B$3:$B542,$B542,$N$3:$N542,"sim"),"")</f>
        <v/>
      </c>
      <c r="P542" s="5" t="n"/>
      <c r="Q542" s="4" t="n"/>
      <c r="R542" s="5" t="n"/>
      <c r="S542" s="9" t="n"/>
      <c r="T542" s="4" t="n"/>
    </row>
    <row r="543">
      <c r="A543" s="5">
        <f>ROW()-2</f>
        <v/>
      </c>
      <c r="B543" s="4" t="inlineStr">
        <is>
          <t>Metrópole</t>
        </is>
      </c>
      <c r="C543" s="5" t="n">
        <v>541</v>
      </c>
      <c r="D543" s="5">
        <f>IFERROR(INDEX('Base de sorteio'!$A$3:$A$1723,MATCH($B543&amp;"|"&amp;$C543,'Base de sorteio'!$I$3:$I$1723,0)),"")</f>
        <v/>
      </c>
      <c r="E543" s="4">
        <f>IFERROR(INDEX('Base de sorteio'!$B$3:$B$1723,MATCH($B543&amp;"|"&amp;$C543,'Base de sorteio'!$I$3:$I$1723,0)),"")</f>
        <v/>
      </c>
      <c r="F543" s="4">
        <f>IFERROR(INDEX('Base de sorteio'!$C$3:$C$1723,MATCH($B543&amp;"|"&amp;$C543,'Base de sorteio'!$I$3:$I$1723,0)),"")</f>
        <v/>
      </c>
      <c r="G543" s="4">
        <f>IFERROR(INDEX('Base de sorteio'!$D$3:$D$1723,MATCH($B543&amp;"|"&amp;$C543,'Base de sorteio'!$I$3:$I$1723,0)),"")</f>
        <v/>
      </c>
      <c r="H543" s="4">
        <f>IFERROR(INDEX('Base de sorteio'!$E$3:$E$1723,MATCH($B543&amp;"|"&amp;$C543,'Base de sorteio'!$I$3:$I$1723,0)),"")</f>
        <v/>
      </c>
      <c r="I543" s="4">
        <f>IF(E543="","",HYPERLINK(IFERROR(INDEX('Base de sorteio'!$J$3:$J$1723,MATCH($B543&amp;"|"&amp;$C543,'Base de sorteio'!$I$3:$I$1723,0)),""),"abrir"))</f>
        <v/>
      </c>
      <c r="J543" s="4" t="n"/>
      <c r="K543" s="4" t="n"/>
      <c r="L543" s="4" t="n"/>
      <c r="M543" s="4" t="n"/>
      <c r="N543" s="4">
        <f>IF(AND(K543="",M543=""),"",IF(OR(K543="sim",M543="sim"),"sim",IF(OR(K543="inconclusivo",M543="inconclusivo"),"inconclusivo","não")))</f>
        <v/>
      </c>
      <c r="O543" s="5">
        <f>IF(N543="sim",COUNTIFS($B$3:$B543,$B543,$N$3:$N543,"sim"),"")</f>
        <v/>
      </c>
      <c r="P543" s="5" t="n"/>
      <c r="Q543" s="4" t="n"/>
      <c r="R543" s="5" t="n"/>
      <c r="S543" s="9" t="n"/>
      <c r="T543" s="4" t="n"/>
    </row>
    <row r="544">
      <c r="A544" s="5">
        <f>ROW()-2</f>
        <v/>
      </c>
      <c r="B544" s="4" t="inlineStr">
        <is>
          <t>Metrópole</t>
        </is>
      </c>
      <c r="C544" s="5" t="n">
        <v>542</v>
      </c>
      <c r="D544" s="5">
        <f>IFERROR(INDEX('Base de sorteio'!$A$3:$A$1723,MATCH($B544&amp;"|"&amp;$C544,'Base de sorteio'!$I$3:$I$1723,0)),"")</f>
        <v/>
      </c>
      <c r="E544" s="4">
        <f>IFERROR(INDEX('Base de sorteio'!$B$3:$B$1723,MATCH($B544&amp;"|"&amp;$C544,'Base de sorteio'!$I$3:$I$1723,0)),"")</f>
        <v/>
      </c>
      <c r="F544" s="4">
        <f>IFERROR(INDEX('Base de sorteio'!$C$3:$C$1723,MATCH($B544&amp;"|"&amp;$C544,'Base de sorteio'!$I$3:$I$1723,0)),"")</f>
        <v/>
      </c>
      <c r="G544" s="4">
        <f>IFERROR(INDEX('Base de sorteio'!$D$3:$D$1723,MATCH($B544&amp;"|"&amp;$C544,'Base de sorteio'!$I$3:$I$1723,0)),"")</f>
        <v/>
      </c>
      <c r="H544" s="4">
        <f>IFERROR(INDEX('Base de sorteio'!$E$3:$E$1723,MATCH($B544&amp;"|"&amp;$C544,'Base de sorteio'!$I$3:$I$1723,0)),"")</f>
        <v/>
      </c>
      <c r="I544" s="4">
        <f>IF(E544="","",HYPERLINK(IFERROR(INDEX('Base de sorteio'!$J$3:$J$1723,MATCH($B544&amp;"|"&amp;$C544,'Base de sorteio'!$I$3:$I$1723,0)),""),"abrir"))</f>
        <v/>
      </c>
      <c r="J544" s="4" t="n"/>
      <c r="K544" s="4" t="n"/>
      <c r="L544" s="4" t="n"/>
      <c r="M544" s="4" t="n"/>
      <c r="N544" s="4">
        <f>IF(AND(K544="",M544=""),"",IF(OR(K544="sim",M544="sim"),"sim",IF(OR(K544="inconclusivo",M544="inconclusivo"),"inconclusivo","não")))</f>
        <v/>
      </c>
      <c r="O544" s="5">
        <f>IF(N544="sim",COUNTIFS($B$3:$B544,$B544,$N$3:$N544,"sim"),"")</f>
        <v/>
      </c>
      <c r="P544" s="5" t="n"/>
      <c r="Q544" s="4" t="n"/>
      <c r="R544" s="5" t="n"/>
      <c r="S544" s="9" t="n"/>
      <c r="T544" s="4" t="n"/>
    </row>
    <row r="545">
      <c r="A545" s="5">
        <f>ROW()-2</f>
        <v/>
      </c>
      <c r="B545" s="4" t="inlineStr">
        <is>
          <t>Metrópole</t>
        </is>
      </c>
      <c r="C545" s="5" t="n">
        <v>543</v>
      </c>
      <c r="D545" s="5">
        <f>IFERROR(INDEX('Base de sorteio'!$A$3:$A$1723,MATCH($B545&amp;"|"&amp;$C545,'Base de sorteio'!$I$3:$I$1723,0)),"")</f>
        <v/>
      </c>
      <c r="E545" s="4">
        <f>IFERROR(INDEX('Base de sorteio'!$B$3:$B$1723,MATCH($B545&amp;"|"&amp;$C545,'Base de sorteio'!$I$3:$I$1723,0)),"")</f>
        <v/>
      </c>
      <c r="F545" s="4">
        <f>IFERROR(INDEX('Base de sorteio'!$C$3:$C$1723,MATCH($B545&amp;"|"&amp;$C545,'Base de sorteio'!$I$3:$I$1723,0)),"")</f>
        <v/>
      </c>
      <c r="G545" s="4">
        <f>IFERROR(INDEX('Base de sorteio'!$D$3:$D$1723,MATCH($B545&amp;"|"&amp;$C545,'Base de sorteio'!$I$3:$I$1723,0)),"")</f>
        <v/>
      </c>
      <c r="H545" s="4">
        <f>IFERROR(INDEX('Base de sorteio'!$E$3:$E$1723,MATCH($B545&amp;"|"&amp;$C545,'Base de sorteio'!$I$3:$I$1723,0)),"")</f>
        <v/>
      </c>
      <c r="I545" s="4">
        <f>IF(E545="","",HYPERLINK(IFERROR(INDEX('Base de sorteio'!$J$3:$J$1723,MATCH($B545&amp;"|"&amp;$C545,'Base de sorteio'!$I$3:$I$1723,0)),""),"abrir"))</f>
        <v/>
      </c>
      <c r="J545" s="4" t="n"/>
      <c r="K545" s="4" t="n"/>
      <c r="L545" s="4" t="n"/>
      <c r="M545" s="4" t="n"/>
      <c r="N545" s="4">
        <f>IF(AND(K545="",M545=""),"",IF(OR(K545="sim",M545="sim"),"sim",IF(OR(K545="inconclusivo",M545="inconclusivo"),"inconclusivo","não")))</f>
        <v/>
      </c>
      <c r="O545" s="5">
        <f>IF(N545="sim",COUNTIFS($B$3:$B545,$B545,$N$3:$N545,"sim"),"")</f>
        <v/>
      </c>
      <c r="P545" s="5" t="n"/>
      <c r="Q545" s="4" t="n"/>
      <c r="R545" s="5" t="n"/>
      <c r="S545" s="9" t="n"/>
      <c r="T545" s="4" t="n"/>
    </row>
    <row r="546">
      <c r="A546" s="5">
        <f>ROW()-2</f>
        <v/>
      </c>
      <c r="B546" s="4" t="inlineStr">
        <is>
          <t>Metrópole</t>
        </is>
      </c>
      <c r="C546" s="5" t="n">
        <v>544</v>
      </c>
      <c r="D546" s="5">
        <f>IFERROR(INDEX('Base de sorteio'!$A$3:$A$1723,MATCH($B546&amp;"|"&amp;$C546,'Base de sorteio'!$I$3:$I$1723,0)),"")</f>
        <v/>
      </c>
      <c r="E546" s="4">
        <f>IFERROR(INDEX('Base de sorteio'!$B$3:$B$1723,MATCH($B546&amp;"|"&amp;$C546,'Base de sorteio'!$I$3:$I$1723,0)),"")</f>
        <v/>
      </c>
      <c r="F546" s="4">
        <f>IFERROR(INDEX('Base de sorteio'!$C$3:$C$1723,MATCH($B546&amp;"|"&amp;$C546,'Base de sorteio'!$I$3:$I$1723,0)),"")</f>
        <v/>
      </c>
      <c r="G546" s="4">
        <f>IFERROR(INDEX('Base de sorteio'!$D$3:$D$1723,MATCH($B546&amp;"|"&amp;$C546,'Base de sorteio'!$I$3:$I$1723,0)),"")</f>
        <v/>
      </c>
      <c r="H546" s="4">
        <f>IFERROR(INDEX('Base de sorteio'!$E$3:$E$1723,MATCH($B546&amp;"|"&amp;$C546,'Base de sorteio'!$I$3:$I$1723,0)),"")</f>
        <v/>
      </c>
      <c r="I546" s="4">
        <f>IF(E546="","",HYPERLINK(IFERROR(INDEX('Base de sorteio'!$J$3:$J$1723,MATCH($B546&amp;"|"&amp;$C546,'Base de sorteio'!$I$3:$I$1723,0)),""),"abrir"))</f>
        <v/>
      </c>
      <c r="J546" s="4" t="n"/>
      <c r="K546" s="4" t="n"/>
      <c r="L546" s="4" t="n"/>
      <c r="M546" s="4" t="n"/>
      <c r="N546" s="4">
        <f>IF(AND(K546="",M546=""),"",IF(OR(K546="sim",M546="sim"),"sim",IF(OR(K546="inconclusivo",M546="inconclusivo"),"inconclusivo","não")))</f>
        <v/>
      </c>
      <c r="O546" s="5">
        <f>IF(N546="sim",COUNTIFS($B$3:$B546,$B546,$N$3:$N546,"sim"),"")</f>
        <v/>
      </c>
      <c r="P546" s="5" t="n"/>
      <c r="Q546" s="4" t="n"/>
      <c r="R546" s="5" t="n"/>
      <c r="S546" s="9" t="n"/>
      <c r="T546" s="4" t="n"/>
    </row>
    <row r="547">
      <c r="A547" s="5">
        <f>ROW()-2</f>
        <v/>
      </c>
      <c r="B547" s="4" t="inlineStr">
        <is>
          <t>Metrópole</t>
        </is>
      </c>
      <c r="C547" s="5" t="n">
        <v>545</v>
      </c>
      <c r="D547" s="5">
        <f>IFERROR(INDEX('Base de sorteio'!$A$3:$A$1723,MATCH($B547&amp;"|"&amp;$C547,'Base de sorteio'!$I$3:$I$1723,0)),"")</f>
        <v/>
      </c>
      <c r="E547" s="4">
        <f>IFERROR(INDEX('Base de sorteio'!$B$3:$B$1723,MATCH($B547&amp;"|"&amp;$C547,'Base de sorteio'!$I$3:$I$1723,0)),"")</f>
        <v/>
      </c>
      <c r="F547" s="4">
        <f>IFERROR(INDEX('Base de sorteio'!$C$3:$C$1723,MATCH($B547&amp;"|"&amp;$C547,'Base de sorteio'!$I$3:$I$1723,0)),"")</f>
        <v/>
      </c>
      <c r="G547" s="4">
        <f>IFERROR(INDEX('Base de sorteio'!$D$3:$D$1723,MATCH($B547&amp;"|"&amp;$C547,'Base de sorteio'!$I$3:$I$1723,0)),"")</f>
        <v/>
      </c>
      <c r="H547" s="4">
        <f>IFERROR(INDEX('Base de sorteio'!$E$3:$E$1723,MATCH($B547&amp;"|"&amp;$C547,'Base de sorteio'!$I$3:$I$1723,0)),"")</f>
        <v/>
      </c>
      <c r="I547" s="4">
        <f>IF(E547="","",HYPERLINK(IFERROR(INDEX('Base de sorteio'!$J$3:$J$1723,MATCH($B547&amp;"|"&amp;$C547,'Base de sorteio'!$I$3:$I$1723,0)),""),"abrir"))</f>
        <v/>
      </c>
      <c r="J547" s="4" t="n"/>
      <c r="K547" s="4" t="n"/>
      <c r="L547" s="4" t="n"/>
      <c r="M547" s="4" t="n"/>
      <c r="N547" s="4">
        <f>IF(AND(K547="",M547=""),"",IF(OR(K547="sim",M547="sim"),"sim",IF(OR(K547="inconclusivo",M547="inconclusivo"),"inconclusivo","não")))</f>
        <v/>
      </c>
      <c r="O547" s="5">
        <f>IF(N547="sim",COUNTIFS($B$3:$B547,$B547,$N$3:$N547,"sim"),"")</f>
        <v/>
      </c>
      <c r="P547" s="5" t="n"/>
      <c r="Q547" s="4" t="n"/>
      <c r="R547" s="5" t="n"/>
      <c r="S547" s="9" t="n"/>
      <c r="T547" s="4" t="n"/>
    </row>
    <row r="548">
      <c r="A548" s="5">
        <f>ROW()-2</f>
        <v/>
      </c>
      <c r="B548" s="4" t="inlineStr">
        <is>
          <t>Metrópole</t>
        </is>
      </c>
      <c r="C548" s="5" t="n">
        <v>546</v>
      </c>
      <c r="D548" s="5">
        <f>IFERROR(INDEX('Base de sorteio'!$A$3:$A$1723,MATCH($B548&amp;"|"&amp;$C548,'Base de sorteio'!$I$3:$I$1723,0)),"")</f>
        <v/>
      </c>
      <c r="E548" s="4">
        <f>IFERROR(INDEX('Base de sorteio'!$B$3:$B$1723,MATCH($B548&amp;"|"&amp;$C548,'Base de sorteio'!$I$3:$I$1723,0)),"")</f>
        <v/>
      </c>
      <c r="F548" s="4">
        <f>IFERROR(INDEX('Base de sorteio'!$C$3:$C$1723,MATCH($B548&amp;"|"&amp;$C548,'Base de sorteio'!$I$3:$I$1723,0)),"")</f>
        <v/>
      </c>
      <c r="G548" s="4">
        <f>IFERROR(INDEX('Base de sorteio'!$D$3:$D$1723,MATCH($B548&amp;"|"&amp;$C548,'Base de sorteio'!$I$3:$I$1723,0)),"")</f>
        <v/>
      </c>
      <c r="H548" s="4">
        <f>IFERROR(INDEX('Base de sorteio'!$E$3:$E$1723,MATCH($B548&amp;"|"&amp;$C548,'Base de sorteio'!$I$3:$I$1723,0)),"")</f>
        <v/>
      </c>
      <c r="I548" s="4">
        <f>IF(E548="","",HYPERLINK(IFERROR(INDEX('Base de sorteio'!$J$3:$J$1723,MATCH($B548&amp;"|"&amp;$C548,'Base de sorteio'!$I$3:$I$1723,0)),""),"abrir"))</f>
        <v/>
      </c>
      <c r="J548" s="4" t="n"/>
      <c r="K548" s="4" t="n"/>
      <c r="L548" s="4" t="n"/>
      <c r="M548" s="4" t="n"/>
      <c r="N548" s="4">
        <f>IF(AND(K548="",M548=""),"",IF(OR(K548="sim",M548="sim"),"sim",IF(OR(K548="inconclusivo",M548="inconclusivo"),"inconclusivo","não")))</f>
        <v/>
      </c>
      <c r="O548" s="5">
        <f>IF(N548="sim",COUNTIFS($B$3:$B548,$B548,$N$3:$N548,"sim"),"")</f>
        <v/>
      </c>
      <c r="P548" s="5" t="n"/>
      <c r="Q548" s="4" t="n"/>
      <c r="R548" s="5" t="n"/>
      <c r="S548" s="9" t="n"/>
      <c r="T548" s="4" t="n"/>
    </row>
    <row r="549">
      <c r="A549" s="5">
        <f>ROW()-2</f>
        <v/>
      </c>
      <c r="B549" s="4" t="inlineStr">
        <is>
          <t>Metrópole</t>
        </is>
      </c>
      <c r="C549" s="5" t="n">
        <v>547</v>
      </c>
      <c r="D549" s="5">
        <f>IFERROR(INDEX('Base de sorteio'!$A$3:$A$1723,MATCH($B549&amp;"|"&amp;$C549,'Base de sorteio'!$I$3:$I$1723,0)),"")</f>
        <v/>
      </c>
      <c r="E549" s="4">
        <f>IFERROR(INDEX('Base de sorteio'!$B$3:$B$1723,MATCH($B549&amp;"|"&amp;$C549,'Base de sorteio'!$I$3:$I$1723,0)),"")</f>
        <v/>
      </c>
      <c r="F549" s="4">
        <f>IFERROR(INDEX('Base de sorteio'!$C$3:$C$1723,MATCH($B549&amp;"|"&amp;$C549,'Base de sorteio'!$I$3:$I$1723,0)),"")</f>
        <v/>
      </c>
      <c r="G549" s="4">
        <f>IFERROR(INDEX('Base de sorteio'!$D$3:$D$1723,MATCH($B549&amp;"|"&amp;$C549,'Base de sorteio'!$I$3:$I$1723,0)),"")</f>
        <v/>
      </c>
      <c r="H549" s="4">
        <f>IFERROR(INDEX('Base de sorteio'!$E$3:$E$1723,MATCH($B549&amp;"|"&amp;$C549,'Base de sorteio'!$I$3:$I$1723,0)),"")</f>
        <v/>
      </c>
      <c r="I549" s="4">
        <f>IF(E549="","",HYPERLINK(IFERROR(INDEX('Base de sorteio'!$J$3:$J$1723,MATCH($B549&amp;"|"&amp;$C549,'Base de sorteio'!$I$3:$I$1723,0)),""),"abrir"))</f>
        <v/>
      </c>
      <c r="J549" s="4" t="n"/>
      <c r="K549" s="4" t="n"/>
      <c r="L549" s="4" t="n"/>
      <c r="M549" s="4" t="n"/>
      <c r="N549" s="4">
        <f>IF(AND(K549="",M549=""),"",IF(OR(K549="sim",M549="sim"),"sim",IF(OR(K549="inconclusivo",M549="inconclusivo"),"inconclusivo","não")))</f>
        <v/>
      </c>
      <c r="O549" s="5">
        <f>IF(N549="sim",COUNTIFS($B$3:$B549,$B549,$N$3:$N549,"sim"),"")</f>
        <v/>
      </c>
      <c r="P549" s="5" t="n"/>
      <c r="Q549" s="4" t="n"/>
      <c r="R549" s="5" t="n"/>
      <c r="S549" s="9" t="n"/>
      <c r="T549" s="4" t="n"/>
    </row>
    <row r="550">
      <c r="A550" s="5">
        <f>ROW()-2</f>
        <v/>
      </c>
      <c r="B550" s="4" t="inlineStr">
        <is>
          <t>Metrópole</t>
        </is>
      </c>
      <c r="C550" s="5" t="n">
        <v>548</v>
      </c>
      <c r="D550" s="5">
        <f>IFERROR(INDEX('Base de sorteio'!$A$3:$A$1723,MATCH($B550&amp;"|"&amp;$C550,'Base de sorteio'!$I$3:$I$1723,0)),"")</f>
        <v/>
      </c>
      <c r="E550" s="4">
        <f>IFERROR(INDEX('Base de sorteio'!$B$3:$B$1723,MATCH($B550&amp;"|"&amp;$C550,'Base de sorteio'!$I$3:$I$1723,0)),"")</f>
        <v/>
      </c>
      <c r="F550" s="4">
        <f>IFERROR(INDEX('Base de sorteio'!$C$3:$C$1723,MATCH($B550&amp;"|"&amp;$C550,'Base de sorteio'!$I$3:$I$1723,0)),"")</f>
        <v/>
      </c>
      <c r="G550" s="4">
        <f>IFERROR(INDEX('Base de sorteio'!$D$3:$D$1723,MATCH($B550&amp;"|"&amp;$C550,'Base de sorteio'!$I$3:$I$1723,0)),"")</f>
        <v/>
      </c>
      <c r="H550" s="4">
        <f>IFERROR(INDEX('Base de sorteio'!$E$3:$E$1723,MATCH($B550&amp;"|"&amp;$C550,'Base de sorteio'!$I$3:$I$1723,0)),"")</f>
        <v/>
      </c>
      <c r="I550" s="4">
        <f>IF(E550="","",HYPERLINK(IFERROR(INDEX('Base de sorteio'!$J$3:$J$1723,MATCH($B550&amp;"|"&amp;$C550,'Base de sorteio'!$I$3:$I$1723,0)),""),"abrir"))</f>
        <v/>
      </c>
      <c r="J550" s="4" t="n"/>
      <c r="K550" s="4" t="n"/>
      <c r="L550" s="4" t="n"/>
      <c r="M550" s="4" t="n"/>
      <c r="N550" s="4">
        <f>IF(AND(K550="",M550=""),"",IF(OR(K550="sim",M550="sim"),"sim",IF(OR(K550="inconclusivo",M550="inconclusivo"),"inconclusivo","não")))</f>
        <v/>
      </c>
      <c r="O550" s="5">
        <f>IF(N550="sim",COUNTIFS($B$3:$B550,$B550,$N$3:$N550,"sim"),"")</f>
        <v/>
      </c>
      <c r="P550" s="5" t="n"/>
      <c r="Q550" s="4" t="n"/>
      <c r="R550" s="5" t="n"/>
      <c r="S550" s="9" t="n"/>
      <c r="T550" s="4" t="n"/>
    </row>
    <row r="551">
      <c r="A551" s="5">
        <f>ROW()-2</f>
        <v/>
      </c>
      <c r="B551" s="4" t="inlineStr">
        <is>
          <t>Metrópole</t>
        </is>
      </c>
      <c r="C551" s="5" t="n">
        <v>549</v>
      </c>
      <c r="D551" s="5">
        <f>IFERROR(INDEX('Base de sorteio'!$A$3:$A$1723,MATCH($B551&amp;"|"&amp;$C551,'Base de sorteio'!$I$3:$I$1723,0)),"")</f>
        <v/>
      </c>
      <c r="E551" s="4">
        <f>IFERROR(INDEX('Base de sorteio'!$B$3:$B$1723,MATCH($B551&amp;"|"&amp;$C551,'Base de sorteio'!$I$3:$I$1723,0)),"")</f>
        <v/>
      </c>
      <c r="F551" s="4">
        <f>IFERROR(INDEX('Base de sorteio'!$C$3:$C$1723,MATCH($B551&amp;"|"&amp;$C551,'Base de sorteio'!$I$3:$I$1723,0)),"")</f>
        <v/>
      </c>
      <c r="G551" s="4">
        <f>IFERROR(INDEX('Base de sorteio'!$D$3:$D$1723,MATCH($B551&amp;"|"&amp;$C551,'Base de sorteio'!$I$3:$I$1723,0)),"")</f>
        <v/>
      </c>
      <c r="H551" s="4">
        <f>IFERROR(INDEX('Base de sorteio'!$E$3:$E$1723,MATCH($B551&amp;"|"&amp;$C551,'Base de sorteio'!$I$3:$I$1723,0)),"")</f>
        <v/>
      </c>
      <c r="I551" s="4">
        <f>IF(E551="","",HYPERLINK(IFERROR(INDEX('Base de sorteio'!$J$3:$J$1723,MATCH($B551&amp;"|"&amp;$C551,'Base de sorteio'!$I$3:$I$1723,0)),""),"abrir"))</f>
        <v/>
      </c>
      <c r="J551" s="4" t="n"/>
      <c r="K551" s="4" t="n"/>
      <c r="L551" s="4" t="n"/>
      <c r="M551" s="4" t="n"/>
      <c r="N551" s="4">
        <f>IF(AND(K551="",M551=""),"",IF(OR(K551="sim",M551="sim"),"sim",IF(OR(K551="inconclusivo",M551="inconclusivo"),"inconclusivo","não")))</f>
        <v/>
      </c>
      <c r="O551" s="5">
        <f>IF(N551="sim",COUNTIFS($B$3:$B551,$B551,$N$3:$N551,"sim"),"")</f>
        <v/>
      </c>
      <c r="P551" s="5" t="n"/>
      <c r="Q551" s="4" t="n"/>
      <c r="R551" s="5" t="n"/>
      <c r="S551" s="9" t="n"/>
      <c r="T551" s="4" t="n"/>
    </row>
    <row r="552">
      <c r="A552" s="5">
        <f>ROW()-2</f>
        <v/>
      </c>
      <c r="B552" s="4" t="inlineStr">
        <is>
          <t>Metrópole</t>
        </is>
      </c>
      <c r="C552" s="5" t="n">
        <v>550</v>
      </c>
      <c r="D552" s="5">
        <f>IFERROR(INDEX('Base de sorteio'!$A$3:$A$1723,MATCH($B552&amp;"|"&amp;$C552,'Base de sorteio'!$I$3:$I$1723,0)),"")</f>
        <v/>
      </c>
      <c r="E552" s="4">
        <f>IFERROR(INDEX('Base de sorteio'!$B$3:$B$1723,MATCH($B552&amp;"|"&amp;$C552,'Base de sorteio'!$I$3:$I$1723,0)),"")</f>
        <v/>
      </c>
      <c r="F552" s="4">
        <f>IFERROR(INDEX('Base de sorteio'!$C$3:$C$1723,MATCH($B552&amp;"|"&amp;$C552,'Base de sorteio'!$I$3:$I$1723,0)),"")</f>
        <v/>
      </c>
      <c r="G552" s="4">
        <f>IFERROR(INDEX('Base de sorteio'!$D$3:$D$1723,MATCH($B552&amp;"|"&amp;$C552,'Base de sorteio'!$I$3:$I$1723,0)),"")</f>
        <v/>
      </c>
      <c r="H552" s="4">
        <f>IFERROR(INDEX('Base de sorteio'!$E$3:$E$1723,MATCH($B552&amp;"|"&amp;$C552,'Base de sorteio'!$I$3:$I$1723,0)),"")</f>
        <v/>
      </c>
      <c r="I552" s="4">
        <f>IF(E552="","",HYPERLINK(IFERROR(INDEX('Base de sorteio'!$J$3:$J$1723,MATCH($B552&amp;"|"&amp;$C552,'Base de sorteio'!$I$3:$I$1723,0)),""),"abrir"))</f>
        <v/>
      </c>
      <c r="J552" s="4" t="n"/>
      <c r="K552" s="4" t="n"/>
      <c r="L552" s="4" t="n"/>
      <c r="M552" s="4" t="n"/>
      <c r="N552" s="4">
        <f>IF(AND(K552="",M552=""),"",IF(OR(K552="sim",M552="sim"),"sim",IF(OR(K552="inconclusivo",M552="inconclusivo"),"inconclusivo","não")))</f>
        <v/>
      </c>
      <c r="O552" s="5">
        <f>IF(N552="sim",COUNTIFS($B$3:$B552,$B552,$N$3:$N552,"sim"),"")</f>
        <v/>
      </c>
      <c r="P552" s="5" t="n"/>
      <c r="Q552" s="4" t="n"/>
      <c r="R552" s="5" t="n"/>
      <c r="S552" s="9" t="n"/>
      <c r="T552" s="4" t="n"/>
    </row>
    <row r="553">
      <c r="A553" s="5">
        <f>ROW()-2</f>
        <v/>
      </c>
      <c r="B553" s="4" t="inlineStr">
        <is>
          <t>Metrópole</t>
        </is>
      </c>
      <c r="C553" s="5" t="n">
        <v>551</v>
      </c>
      <c r="D553" s="5">
        <f>IFERROR(INDEX('Base de sorteio'!$A$3:$A$1723,MATCH($B553&amp;"|"&amp;$C553,'Base de sorteio'!$I$3:$I$1723,0)),"")</f>
        <v/>
      </c>
      <c r="E553" s="4">
        <f>IFERROR(INDEX('Base de sorteio'!$B$3:$B$1723,MATCH($B553&amp;"|"&amp;$C553,'Base de sorteio'!$I$3:$I$1723,0)),"")</f>
        <v/>
      </c>
      <c r="F553" s="4">
        <f>IFERROR(INDEX('Base de sorteio'!$C$3:$C$1723,MATCH($B553&amp;"|"&amp;$C553,'Base de sorteio'!$I$3:$I$1723,0)),"")</f>
        <v/>
      </c>
      <c r="G553" s="4">
        <f>IFERROR(INDEX('Base de sorteio'!$D$3:$D$1723,MATCH($B553&amp;"|"&amp;$C553,'Base de sorteio'!$I$3:$I$1723,0)),"")</f>
        <v/>
      </c>
      <c r="H553" s="4">
        <f>IFERROR(INDEX('Base de sorteio'!$E$3:$E$1723,MATCH($B553&amp;"|"&amp;$C553,'Base de sorteio'!$I$3:$I$1723,0)),"")</f>
        <v/>
      </c>
      <c r="I553" s="4">
        <f>IF(E553="","",HYPERLINK(IFERROR(INDEX('Base de sorteio'!$J$3:$J$1723,MATCH($B553&amp;"|"&amp;$C553,'Base de sorteio'!$I$3:$I$1723,0)),""),"abrir"))</f>
        <v/>
      </c>
      <c r="J553" s="4" t="n"/>
      <c r="K553" s="4" t="n"/>
      <c r="L553" s="4" t="n"/>
      <c r="M553" s="4" t="n"/>
      <c r="N553" s="4">
        <f>IF(AND(K553="",M553=""),"",IF(OR(K553="sim",M553="sim"),"sim",IF(OR(K553="inconclusivo",M553="inconclusivo"),"inconclusivo","não")))</f>
        <v/>
      </c>
      <c r="O553" s="5">
        <f>IF(N553="sim",COUNTIFS($B$3:$B553,$B553,$N$3:$N553,"sim"),"")</f>
        <v/>
      </c>
      <c r="P553" s="5" t="n"/>
      <c r="Q553" s="4" t="n"/>
      <c r="R553" s="5" t="n"/>
      <c r="S553" s="9" t="n"/>
      <c r="T553" s="4" t="n"/>
    </row>
    <row r="554">
      <c r="A554" s="5">
        <f>ROW()-2</f>
        <v/>
      </c>
      <c r="B554" s="4" t="inlineStr">
        <is>
          <t>Metrópole</t>
        </is>
      </c>
      <c r="C554" s="5" t="n">
        <v>552</v>
      </c>
      <c r="D554" s="5">
        <f>IFERROR(INDEX('Base de sorteio'!$A$3:$A$1723,MATCH($B554&amp;"|"&amp;$C554,'Base de sorteio'!$I$3:$I$1723,0)),"")</f>
        <v/>
      </c>
      <c r="E554" s="4">
        <f>IFERROR(INDEX('Base de sorteio'!$B$3:$B$1723,MATCH($B554&amp;"|"&amp;$C554,'Base de sorteio'!$I$3:$I$1723,0)),"")</f>
        <v/>
      </c>
      <c r="F554" s="4">
        <f>IFERROR(INDEX('Base de sorteio'!$C$3:$C$1723,MATCH($B554&amp;"|"&amp;$C554,'Base de sorteio'!$I$3:$I$1723,0)),"")</f>
        <v/>
      </c>
      <c r="G554" s="4">
        <f>IFERROR(INDEX('Base de sorteio'!$D$3:$D$1723,MATCH($B554&amp;"|"&amp;$C554,'Base de sorteio'!$I$3:$I$1723,0)),"")</f>
        <v/>
      </c>
      <c r="H554" s="4">
        <f>IFERROR(INDEX('Base de sorteio'!$E$3:$E$1723,MATCH($B554&amp;"|"&amp;$C554,'Base de sorteio'!$I$3:$I$1723,0)),"")</f>
        <v/>
      </c>
      <c r="I554" s="4">
        <f>IF(E554="","",HYPERLINK(IFERROR(INDEX('Base de sorteio'!$J$3:$J$1723,MATCH($B554&amp;"|"&amp;$C554,'Base de sorteio'!$I$3:$I$1723,0)),""),"abrir"))</f>
        <v/>
      </c>
      <c r="J554" s="4" t="n"/>
      <c r="K554" s="4" t="n"/>
      <c r="L554" s="4" t="n"/>
      <c r="M554" s="4" t="n"/>
      <c r="N554" s="4">
        <f>IF(AND(K554="",M554=""),"",IF(OR(K554="sim",M554="sim"),"sim",IF(OR(K554="inconclusivo",M554="inconclusivo"),"inconclusivo","não")))</f>
        <v/>
      </c>
      <c r="O554" s="5">
        <f>IF(N554="sim",COUNTIFS($B$3:$B554,$B554,$N$3:$N554,"sim"),"")</f>
        <v/>
      </c>
      <c r="P554" s="5" t="n"/>
      <c r="Q554" s="4" t="n"/>
      <c r="R554" s="5" t="n"/>
      <c r="S554" s="9" t="n"/>
      <c r="T554" s="4" t="n"/>
    </row>
    <row r="555">
      <c r="A555" s="5">
        <f>ROW()-2</f>
        <v/>
      </c>
      <c r="B555" s="4" t="inlineStr">
        <is>
          <t>Metrópole</t>
        </is>
      </c>
      <c r="C555" s="5" t="n">
        <v>553</v>
      </c>
      <c r="D555" s="5">
        <f>IFERROR(INDEX('Base de sorteio'!$A$3:$A$1723,MATCH($B555&amp;"|"&amp;$C555,'Base de sorteio'!$I$3:$I$1723,0)),"")</f>
        <v/>
      </c>
      <c r="E555" s="4">
        <f>IFERROR(INDEX('Base de sorteio'!$B$3:$B$1723,MATCH($B555&amp;"|"&amp;$C555,'Base de sorteio'!$I$3:$I$1723,0)),"")</f>
        <v/>
      </c>
      <c r="F555" s="4">
        <f>IFERROR(INDEX('Base de sorteio'!$C$3:$C$1723,MATCH($B555&amp;"|"&amp;$C555,'Base de sorteio'!$I$3:$I$1723,0)),"")</f>
        <v/>
      </c>
      <c r="G555" s="4">
        <f>IFERROR(INDEX('Base de sorteio'!$D$3:$D$1723,MATCH($B555&amp;"|"&amp;$C555,'Base de sorteio'!$I$3:$I$1723,0)),"")</f>
        <v/>
      </c>
      <c r="H555" s="4">
        <f>IFERROR(INDEX('Base de sorteio'!$E$3:$E$1723,MATCH($B555&amp;"|"&amp;$C555,'Base de sorteio'!$I$3:$I$1723,0)),"")</f>
        <v/>
      </c>
      <c r="I555" s="4">
        <f>IF(E555="","",HYPERLINK(IFERROR(INDEX('Base de sorteio'!$J$3:$J$1723,MATCH($B555&amp;"|"&amp;$C555,'Base de sorteio'!$I$3:$I$1723,0)),""),"abrir"))</f>
        <v/>
      </c>
      <c r="J555" s="4" t="n"/>
      <c r="K555" s="4" t="n"/>
      <c r="L555" s="4" t="n"/>
      <c r="M555" s="4" t="n"/>
      <c r="N555" s="4">
        <f>IF(AND(K555="",M555=""),"",IF(OR(K555="sim",M555="sim"),"sim",IF(OR(K555="inconclusivo",M555="inconclusivo"),"inconclusivo","não")))</f>
        <v/>
      </c>
      <c r="O555" s="5">
        <f>IF(N555="sim",COUNTIFS($B$3:$B555,$B555,$N$3:$N555,"sim"),"")</f>
        <v/>
      </c>
      <c r="P555" s="5" t="n"/>
      <c r="Q555" s="4" t="n"/>
      <c r="R555" s="5" t="n"/>
      <c r="S555" s="9" t="n"/>
      <c r="T555" s="4" t="n"/>
    </row>
    <row r="556">
      <c r="A556" s="5">
        <f>ROW()-2</f>
        <v/>
      </c>
      <c r="B556" s="4" t="inlineStr">
        <is>
          <t>Metrópole</t>
        </is>
      </c>
      <c r="C556" s="5" t="n">
        <v>554</v>
      </c>
      <c r="D556" s="5">
        <f>IFERROR(INDEX('Base de sorteio'!$A$3:$A$1723,MATCH($B556&amp;"|"&amp;$C556,'Base de sorteio'!$I$3:$I$1723,0)),"")</f>
        <v/>
      </c>
      <c r="E556" s="4">
        <f>IFERROR(INDEX('Base de sorteio'!$B$3:$B$1723,MATCH($B556&amp;"|"&amp;$C556,'Base de sorteio'!$I$3:$I$1723,0)),"")</f>
        <v/>
      </c>
      <c r="F556" s="4">
        <f>IFERROR(INDEX('Base de sorteio'!$C$3:$C$1723,MATCH($B556&amp;"|"&amp;$C556,'Base de sorteio'!$I$3:$I$1723,0)),"")</f>
        <v/>
      </c>
      <c r="G556" s="4">
        <f>IFERROR(INDEX('Base de sorteio'!$D$3:$D$1723,MATCH($B556&amp;"|"&amp;$C556,'Base de sorteio'!$I$3:$I$1723,0)),"")</f>
        <v/>
      </c>
      <c r="H556" s="4">
        <f>IFERROR(INDEX('Base de sorteio'!$E$3:$E$1723,MATCH($B556&amp;"|"&amp;$C556,'Base de sorteio'!$I$3:$I$1723,0)),"")</f>
        <v/>
      </c>
      <c r="I556" s="4">
        <f>IF(E556="","",HYPERLINK(IFERROR(INDEX('Base de sorteio'!$J$3:$J$1723,MATCH($B556&amp;"|"&amp;$C556,'Base de sorteio'!$I$3:$I$1723,0)),""),"abrir"))</f>
        <v/>
      </c>
      <c r="J556" s="4" t="n"/>
      <c r="K556" s="4" t="n"/>
      <c r="L556" s="4" t="n"/>
      <c r="M556" s="4" t="n"/>
      <c r="N556" s="4">
        <f>IF(AND(K556="",M556=""),"",IF(OR(K556="sim",M556="sim"),"sim",IF(OR(K556="inconclusivo",M556="inconclusivo"),"inconclusivo","não")))</f>
        <v/>
      </c>
      <c r="O556" s="5">
        <f>IF(N556="sim",COUNTIFS($B$3:$B556,$B556,$N$3:$N556,"sim"),"")</f>
        <v/>
      </c>
      <c r="P556" s="5" t="n"/>
      <c r="Q556" s="4" t="n"/>
      <c r="R556" s="5" t="n"/>
      <c r="S556" s="9" t="n"/>
      <c r="T556" s="4" t="n"/>
    </row>
    <row r="557">
      <c r="A557" s="5">
        <f>ROW()-2</f>
        <v/>
      </c>
      <c r="B557" s="4" t="inlineStr">
        <is>
          <t>Metrópole</t>
        </is>
      </c>
      <c r="C557" s="5" t="n">
        <v>555</v>
      </c>
      <c r="D557" s="5">
        <f>IFERROR(INDEX('Base de sorteio'!$A$3:$A$1723,MATCH($B557&amp;"|"&amp;$C557,'Base de sorteio'!$I$3:$I$1723,0)),"")</f>
        <v/>
      </c>
      <c r="E557" s="4">
        <f>IFERROR(INDEX('Base de sorteio'!$B$3:$B$1723,MATCH($B557&amp;"|"&amp;$C557,'Base de sorteio'!$I$3:$I$1723,0)),"")</f>
        <v/>
      </c>
      <c r="F557" s="4">
        <f>IFERROR(INDEX('Base de sorteio'!$C$3:$C$1723,MATCH($B557&amp;"|"&amp;$C557,'Base de sorteio'!$I$3:$I$1723,0)),"")</f>
        <v/>
      </c>
      <c r="G557" s="4">
        <f>IFERROR(INDEX('Base de sorteio'!$D$3:$D$1723,MATCH($B557&amp;"|"&amp;$C557,'Base de sorteio'!$I$3:$I$1723,0)),"")</f>
        <v/>
      </c>
      <c r="H557" s="4">
        <f>IFERROR(INDEX('Base de sorteio'!$E$3:$E$1723,MATCH($B557&amp;"|"&amp;$C557,'Base de sorteio'!$I$3:$I$1723,0)),"")</f>
        <v/>
      </c>
      <c r="I557" s="4">
        <f>IF(E557="","",HYPERLINK(IFERROR(INDEX('Base de sorteio'!$J$3:$J$1723,MATCH($B557&amp;"|"&amp;$C557,'Base de sorteio'!$I$3:$I$1723,0)),""),"abrir"))</f>
        <v/>
      </c>
      <c r="J557" s="4" t="n"/>
      <c r="K557" s="4" t="n"/>
      <c r="L557" s="4" t="n"/>
      <c r="M557" s="4" t="n"/>
      <c r="N557" s="4">
        <f>IF(AND(K557="",M557=""),"",IF(OR(K557="sim",M557="sim"),"sim",IF(OR(K557="inconclusivo",M557="inconclusivo"),"inconclusivo","não")))</f>
        <v/>
      </c>
      <c r="O557" s="5">
        <f>IF(N557="sim",COUNTIFS($B$3:$B557,$B557,$N$3:$N557,"sim"),"")</f>
        <v/>
      </c>
      <c r="P557" s="5" t="n"/>
      <c r="Q557" s="4" t="n"/>
      <c r="R557" s="5" t="n"/>
      <c r="S557" s="9" t="n"/>
      <c r="T557" s="4" t="n"/>
    </row>
    <row r="558">
      <c r="A558" s="5">
        <f>ROW()-2</f>
        <v/>
      </c>
      <c r="B558" s="4" t="inlineStr">
        <is>
          <t>Metrópole</t>
        </is>
      </c>
      <c r="C558" s="5" t="n">
        <v>556</v>
      </c>
      <c r="D558" s="5">
        <f>IFERROR(INDEX('Base de sorteio'!$A$3:$A$1723,MATCH($B558&amp;"|"&amp;$C558,'Base de sorteio'!$I$3:$I$1723,0)),"")</f>
        <v/>
      </c>
      <c r="E558" s="4">
        <f>IFERROR(INDEX('Base de sorteio'!$B$3:$B$1723,MATCH($B558&amp;"|"&amp;$C558,'Base de sorteio'!$I$3:$I$1723,0)),"")</f>
        <v/>
      </c>
      <c r="F558" s="4">
        <f>IFERROR(INDEX('Base de sorteio'!$C$3:$C$1723,MATCH($B558&amp;"|"&amp;$C558,'Base de sorteio'!$I$3:$I$1723,0)),"")</f>
        <v/>
      </c>
      <c r="G558" s="4">
        <f>IFERROR(INDEX('Base de sorteio'!$D$3:$D$1723,MATCH($B558&amp;"|"&amp;$C558,'Base de sorteio'!$I$3:$I$1723,0)),"")</f>
        <v/>
      </c>
      <c r="H558" s="4">
        <f>IFERROR(INDEX('Base de sorteio'!$E$3:$E$1723,MATCH($B558&amp;"|"&amp;$C558,'Base de sorteio'!$I$3:$I$1723,0)),"")</f>
        <v/>
      </c>
      <c r="I558" s="4">
        <f>IF(E558="","",HYPERLINK(IFERROR(INDEX('Base de sorteio'!$J$3:$J$1723,MATCH($B558&amp;"|"&amp;$C558,'Base de sorteio'!$I$3:$I$1723,0)),""),"abrir"))</f>
        <v/>
      </c>
      <c r="J558" s="4" t="n"/>
      <c r="K558" s="4" t="n"/>
      <c r="L558" s="4" t="n"/>
      <c r="M558" s="4" t="n"/>
      <c r="N558" s="4">
        <f>IF(AND(K558="",M558=""),"",IF(OR(K558="sim",M558="sim"),"sim",IF(OR(K558="inconclusivo",M558="inconclusivo"),"inconclusivo","não")))</f>
        <v/>
      </c>
      <c r="O558" s="5">
        <f>IF(N558="sim",COUNTIFS($B$3:$B558,$B558,$N$3:$N558,"sim"),"")</f>
        <v/>
      </c>
      <c r="P558" s="5" t="n"/>
      <c r="Q558" s="4" t="n"/>
      <c r="R558" s="5" t="n"/>
      <c r="S558" s="9" t="n"/>
      <c r="T558" s="4" t="n"/>
    </row>
    <row r="559">
      <c r="A559" s="5">
        <f>ROW()-2</f>
        <v/>
      </c>
      <c r="B559" s="4" t="inlineStr">
        <is>
          <t>Metrópole</t>
        </is>
      </c>
      <c r="C559" s="5" t="n">
        <v>557</v>
      </c>
      <c r="D559" s="5">
        <f>IFERROR(INDEX('Base de sorteio'!$A$3:$A$1723,MATCH($B559&amp;"|"&amp;$C559,'Base de sorteio'!$I$3:$I$1723,0)),"")</f>
        <v/>
      </c>
      <c r="E559" s="4">
        <f>IFERROR(INDEX('Base de sorteio'!$B$3:$B$1723,MATCH($B559&amp;"|"&amp;$C559,'Base de sorteio'!$I$3:$I$1723,0)),"")</f>
        <v/>
      </c>
      <c r="F559" s="4">
        <f>IFERROR(INDEX('Base de sorteio'!$C$3:$C$1723,MATCH($B559&amp;"|"&amp;$C559,'Base de sorteio'!$I$3:$I$1723,0)),"")</f>
        <v/>
      </c>
      <c r="G559" s="4">
        <f>IFERROR(INDEX('Base de sorteio'!$D$3:$D$1723,MATCH($B559&amp;"|"&amp;$C559,'Base de sorteio'!$I$3:$I$1723,0)),"")</f>
        <v/>
      </c>
      <c r="H559" s="4">
        <f>IFERROR(INDEX('Base de sorteio'!$E$3:$E$1723,MATCH($B559&amp;"|"&amp;$C559,'Base de sorteio'!$I$3:$I$1723,0)),"")</f>
        <v/>
      </c>
      <c r="I559" s="4">
        <f>IF(E559="","",HYPERLINK(IFERROR(INDEX('Base de sorteio'!$J$3:$J$1723,MATCH($B559&amp;"|"&amp;$C559,'Base de sorteio'!$I$3:$I$1723,0)),""),"abrir"))</f>
        <v/>
      </c>
      <c r="J559" s="4" t="n"/>
      <c r="K559" s="4" t="n"/>
      <c r="L559" s="4" t="n"/>
      <c r="M559" s="4" t="n"/>
      <c r="N559" s="4">
        <f>IF(AND(K559="",M559=""),"",IF(OR(K559="sim",M559="sim"),"sim",IF(OR(K559="inconclusivo",M559="inconclusivo"),"inconclusivo","não")))</f>
        <v/>
      </c>
      <c r="O559" s="5">
        <f>IF(N559="sim",COUNTIFS($B$3:$B559,$B559,$N$3:$N559,"sim"),"")</f>
        <v/>
      </c>
      <c r="P559" s="5" t="n"/>
      <c r="Q559" s="4" t="n"/>
      <c r="R559" s="5" t="n"/>
      <c r="S559" s="9" t="n"/>
      <c r="T559" s="4" t="n"/>
    </row>
    <row r="560">
      <c r="A560" s="5">
        <f>ROW()-2</f>
        <v/>
      </c>
      <c r="B560" s="4" t="inlineStr">
        <is>
          <t>Metrópole</t>
        </is>
      </c>
      <c r="C560" s="5" t="n">
        <v>558</v>
      </c>
      <c r="D560" s="5">
        <f>IFERROR(INDEX('Base de sorteio'!$A$3:$A$1723,MATCH($B560&amp;"|"&amp;$C560,'Base de sorteio'!$I$3:$I$1723,0)),"")</f>
        <v/>
      </c>
      <c r="E560" s="4">
        <f>IFERROR(INDEX('Base de sorteio'!$B$3:$B$1723,MATCH($B560&amp;"|"&amp;$C560,'Base de sorteio'!$I$3:$I$1723,0)),"")</f>
        <v/>
      </c>
      <c r="F560" s="4">
        <f>IFERROR(INDEX('Base de sorteio'!$C$3:$C$1723,MATCH($B560&amp;"|"&amp;$C560,'Base de sorteio'!$I$3:$I$1723,0)),"")</f>
        <v/>
      </c>
      <c r="G560" s="4">
        <f>IFERROR(INDEX('Base de sorteio'!$D$3:$D$1723,MATCH($B560&amp;"|"&amp;$C560,'Base de sorteio'!$I$3:$I$1723,0)),"")</f>
        <v/>
      </c>
      <c r="H560" s="4">
        <f>IFERROR(INDEX('Base de sorteio'!$E$3:$E$1723,MATCH($B560&amp;"|"&amp;$C560,'Base de sorteio'!$I$3:$I$1723,0)),"")</f>
        <v/>
      </c>
      <c r="I560" s="4">
        <f>IF(E560="","",HYPERLINK(IFERROR(INDEX('Base de sorteio'!$J$3:$J$1723,MATCH($B560&amp;"|"&amp;$C560,'Base de sorteio'!$I$3:$I$1723,0)),""),"abrir"))</f>
        <v/>
      </c>
      <c r="J560" s="4" t="n"/>
      <c r="K560" s="4" t="n"/>
      <c r="L560" s="4" t="n"/>
      <c r="M560" s="4" t="n"/>
      <c r="N560" s="4">
        <f>IF(AND(K560="",M560=""),"",IF(OR(K560="sim",M560="sim"),"sim",IF(OR(K560="inconclusivo",M560="inconclusivo"),"inconclusivo","não")))</f>
        <v/>
      </c>
      <c r="O560" s="5">
        <f>IF(N560="sim",COUNTIFS($B$3:$B560,$B560,$N$3:$N560,"sim"),"")</f>
        <v/>
      </c>
      <c r="P560" s="5" t="n"/>
      <c r="Q560" s="4" t="n"/>
      <c r="R560" s="5" t="n"/>
      <c r="S560" s="9" t="n"/>
      <c r="T560" s="4" t="n"/>
    </row>
    <row r="561">
      <c r="A561" s="5">
        <f>ROW()-2</f>
        <v/>
      </c>
      <c r="B561" s="4" t="inlineStr">
        <is>
          <t>Metrópole</t>
        </is>
      </c>
      <c r="C561" s="5" t="n">
        <v>559</v>
      </c>
      <c r="D561" s="5">
        <f>IFERROR(INDEX('Base de sorteio'!$A$3:$A$1723,MATCH($B561&amp;"|"&amp;$C561,'Base de sorteio'!$I$3:$I$1723,0)),"")</f>
        <v/>
      </c>
      <c r="E561" s="4">
        <f>IFERROR(INDEX('Base de sorteio'!$B$3:$B$1723,MATCH($B561&amp;"|"&amp;$C561,'Base de sorteio'!$I$3:$I$1723,0)),"")</f>
        <v/>
      </c>
      <c r="F561" s="4">
        <f>IFERROR(INDEX('Base de sorteio'!$C$3:$C$1723,MATCH($B561&amp;"|"&amp;$C561,'Base de sorteio'!$I$3:$I$1723,0)),"")</f>
        <v/>
      </c>
      <c r="G561" s="4">
        <f>IFERROR(INDEX('Base de sorteio'!$D$3:$D$1723,MATCH($B561&amp;"|"&amp;$C561,'Base de sorteio'!$I$3:$I$1723,0)),"")</f>
        <v/>
      </c>
      <c r="H561" s="4">
        <f>IFERROR(INDEX('Base de sorteio'!$E$3:$E$1723,MATCH($B561&amp;"|"&amp;$C561,'Base de sorteio'!$I$3:$I$1723,0)),"")</f>
        <v/>
      </c>
      <c r="I561" s="4">
        <f>IF(E561="","",HYPERLINK(IFERROR(INDEX('Base de sorteio'!$J$3:$J$1723,MATCH($B561&amp;"|"&amp;$C561,'Base de sorteio'!$I$3:$I$1723,0)),""),"abrir"))</f>
        <v/>
      </c>
      <c r="J561" s="4" t="n"/>
      <c r="K561" s="4" t="n"/>
      <c r="L561" s="4" t="n"/>
      <c r="M561" s="4" t="n"/>
      <c r="N561" s="4">
        <f>IF(AND(K561="",M561=""),"",IF(OR(K561="sim",M561="sim"),"sim",IF(OR(K561="inconclusivo",M561="inconclusivo"),"inconclusivo","não")))</f>
        <v/>
      </c>
      <c r="O561" s="5">
        <f>IF(N561="sim",COUNTIFS($B$3:$B561,$B561,$N$3:$N561,"sim"),"")</f>
        <v/>
      </c>
      <c r="P561" s="5" t="n"/>
      <c r="Q561" s="4" t="n"/>
      <c r="R561" s="5" t="n"/>
      <c r="S561" s="9" t="n"/>
      <c r="T561" s="4" t="n"/>
    </row>
    <row r="562">
      <c r="A562" s="5">
        <f>ROW()-2</f>
        <v/>
      </c>
      <c r="B562" s="4" t="inlineStr">
        <is>
          <t>Metrópole</t>
        </is>
      </c>
      <c r="C562" s="5" t="n">
        <v>560</v>
      </c>
      <c r="D562" s="5">
        <f>IFERROR(INDEX('Base de sorteio'!$A$3:$A$1723,MATCH($B562&amp;"|"&amp;$C562,'Base de sorteio'!$I$3:$I$1723,0)),"")</f>
        <v/>
      </c>
      <c r="E562" s="4">
        <f>IFERROR(INDEX('Base de sorteio'!$B$3:$B$1723,MATCH($B562&amp;"|"&amp;$C562,'Base de sorteio'!$I$3:$I$1723,0)),"")</f>
        <v/>
      </c>
      <c r="F562" s="4">
        <f>IFERROR(INDEX('Base de sorteio'!$C$3:$C$1723,MATCH($B562&amp;"|"&amp;$C562,'Base de sorteio'!$I$3:$I$1723,0)),"")</f>
        <v/>
      </c>
      <c r="G562" s="4">
        <f>IFERROR(INDEX('Base de sorteio'!$D$3:$D$1723,MATCH($B562&amp;"|"&amp;$C562,'Base de sorteio'!$I$3:$I$1723,0)),"")</f>
        <v/>
      </c>
      <c r="H562" s="4">
        <f>IFERROR(INDEX('Base de sorteio'!$E$3:$E$1723,MATCH($B562&amp;"|"&amp;$C562,'Base de sorteio'!$I$3:$I$1723,0)),"")</f>
        <v/>
      </c>
      <c r="I562" s="4">
        <f>IF(E562="","",HYPERLINK(IFERROR(INDEX('Base de sorteio'!$J$3:$J$1723,MATCH($B562&amp;"|"&amp;$C562,'Base de sorteio'!$I$3:$I$1723,0)),""),"abrir"))</f>
        <v/>
      </c>
      <c r="J562" s="4" t="n"/>
      <c r="K562" s="4" t="n"/>
      <c r="L562" s="4" t="n"/>
      <c r="M562" s="4" t="n"/>
      <c r="N562" s="4">
        <f>IF(AND(K562="",M562=""),"",IF(OR(K562="sim",M562="sim"),"sim",IF(OR(K562="inconclusivo",M562="inconclusivo"),"inconclusivo","não")))</f>
        <v/>
      </c>
      <c r="O562" s="5">
        <f>IF(N562="sim",COUNTIFS($B$3:$B562,$B562,$N$3:$N562,"sim"),"")</f>
        <v/>
      </c>
      <c r="P562" s="5" t="n"/>
      <c r="Q562" s="4" t="n"/>
      <c r="R562" s="5" t="n"/>
      <c r="S562" s="9" t="n"/>
      <c r="T562" s="4" t="n"/>
    </row>
    <row r="563">
      <c r="A563" s="5">
        <f>ROW()-2</f>
        <v/>
      </c>
      <c r="B563" s="4" t="inlineStr">
        <is>
          <t>Metrópole</t>
        </is>
      </c>
      <c r="C563" s="5" t="n">
        <v>561</v>
      </c>
      <c r="D563" s="5">
        <f>IFERROR(INDEX('Base de sorteio'!$A$3:$A$1723,MATCH($B563&amp;"|"&amp;$C563,'Base de sorteio'!$I$3:$I$1723,0)),"")</f>
        <v/>
      </c>
      <c r="E563" s="4">
        <f>IFERROR(INDEX('Base de sorteio'!$B$3:$B$1723,MATCH($B563&amp;"|"&amp;$C563,'Base de sorteio'!$I$3:$I$1723,0)),"")</f>
        <v/>
      </c>
      <c r="F563" s="4">
        <f>IFERROR(INDEX('Base de sorteio'!$C$3:$C$1723,MATCH($B563&amp;"|"&amp;$C563,'Base de sorteio'!$I$3:$I$1723,0)),"")</f>
        <v/>
      </c>
      <c r="G563" s="4">
        <f>IFERROR(INDEX('Base de sorteio'!$D$3:$D$1723,MATCH($B563&amp;"|"&amp;$C563,'Base de sorteio'!$I$3:$I$1723,0)),"")</f>
        <v/>
      </c>
      <c r="H563" s="4">
        <f>IFERROR(INDEX('Base de sorteio'!$E$3:$E$1723,MATCH($B563&amp;"|"&amp;$C563,'Base de sorteio'!$I$3:$I$1723,0)),"")</f>
        <v/>
      </c>
      <c r="I563" s="4">
        <f>IF(E563="","",HYPERLINK(IFERROR(INDEX('Base de sorteio'!$J$3:$J$1723,MATCH($B563&amp;"|"&amp;$C563,'Base de sorteio'!$I$3:$I$1723,0)),""),"abrir"))</f>
        <v/>
      </c>
      <c r="J563" s="4" t="n"/>
      <c r="K563" s="4" t="n"/>
      <c r="L563" s="4" t="n"/>
      <c r="M563" s="4" t="n"/>
      <c r="N563" s="4">
        <f>IF(AND(K563="",M563=""),"",IF(OR(K563="sim",M563="sim"),"sim",IF(OR(K563="inconclusivo",M563="inconclusivo"),"inconclusivo","não")))</f>
        <v/>
      </c>
      <c r="O563" s="5">
        <f>IF(N563="sim",COUNTIFS($B$3:$B563,$B563,$N$3:$N563,"sim"),"")</f>
        <v/>
      </c>
      <c r="P563" s="5" t="n"/>
      <c r="Q563" s="4" t="n"/>
      <c r="R563" s="5" t="n"/>
      <c r="S563" s="9" t="n"/>
      <c r="T563" s="4" t="n"/>
    </row>
    <row r="564">
      <c r="A564" s="5">
        <f>ROW()-2</f>
        <v/>
      </c>
      <c r="B564" s="4" t="inlineStr">
        <is>
          <t>Metrópole</t>
        </is>
      </c>
      <c r="C564" s="5" t="n">
        <v>562</v>
      </c>
      <c r="D564" s="5">
        <f>IFERROR(INDEX('Base de sorteio'!$A$3:$A$1723,MATCH($B564&amp;"|"&amp;$C564,'Base de sorteio'!$I$3:$I$1723,0)),"")</f>
        <v/>
      </c>
      <c r="E564" s="4">
        <f>IFERROR(INDEX('Base de sorteio'!$B$3:$B$1723,MATCH($B564&amp;"|"&amp;$C564,'Base de sorteio'!$I$3:$I$1723,0)),"")</f>
        <v/>
      </c>
      <c r="F564" s="4">
        <f>IFERROR(INDEX('Base de sorteio'!$C$3:$C$1723,MATCH($B564&amp;"|"&amp;$C564,'Base de sorteio'!$I$3:$I$1723,0)),"")</f>
        <v/>
      </c>
      <c r="G564" s="4">
        <f>IFERROR(INDEX('Base de sorteio'!$D$3:$D$1723,MATCH($B564&amp;"|"&amp;$C564,'Base de sorteio'!$I$3:$I$1723,0)),"")</f>
        <v/>
      </c>
      <c r="H564" s="4">
        <f>IFERROR(INDEX('Base de sorteio'!$E$3:$E$1723,MATCH($B564&amp;"|"&amp;$C564,'Base de sorteio'!$I$3:$I$1723,0)),"")</f>
        <v/>
      </c>
      <c r="I564" s="4">
        <f>IF(E564="","",HYPERLINK(IFERROR(INDEX('Base de sorteio'!$J$3:$J$1723,MATCH($B564&amp;"|"&amp;$C564,'Base de sorteio'!$I$3:$I$1723,0)),""),"abrir"))</f>
        <v/>
      </c>
      <c r="J564" s="4" t="n"/>
      <c r="K564" s="4" t="n"/>
      <c r="L564" s="4" t="n"/>
      <c r="M564" s="4" t="n"/>
      <c r="N564" s="4">
        <f>IF(AND(K564="",M564=""),"",IF(OR(K564="sim",M564="sim"),"sim",IF(OR(K564="inconclusivo",M564="inconclusivo"),"inconclusivo","não")))</f>
        <v/>
      </c>
      <c r="O564" s="5">
        <f>IF(N564="sim",COUNTIFS($B$3:$B564,$B564,$N$3:$N564,"sim"),"")</f>
        <v/>
      </c>
      <c r="P564" s="5" t="n"/>
      <c r="Q564" s="4" t="n"/>
      <c r="R564" s="5" t="n"/>
      <c r="S564" s="9" t="n"/>
      <c r="T564" s="4" t="n"/>
    </row>
    <row r="565">
      <c r="A565" s="5">
        <f>ROW()-2</f>
        <v/>
      </c>
      <c r="B565" s="4" t="inlineStr">
        <is>
          <t>Metrópole</t>
        </is>
      </c>
      <c r="C565" s="5" t="n">
        <v>563</v>
      </c>
      <c r="D565" s="5">
        <f>IFERROR(INDEX('Base de sorteio'!$A$3:$A$1723,MATCH($B565&amp;"|"&amp;$C565,'Base de sorteio'!$I$3:$I$1723,0)),"")</f>
        <v/>
      </c>
      <c r="E565" s="4">
        <f>IFERROR(INDEX('Base de sorteio'!$B$3:$B$1723,MATCH($B565&amp;"|"&amp;$C565,'Base de sorteio'!$I$3:$I$1723,0)),"")</f>
        <v/>
      </c>
      <c r="F565" s="4">
        <f>IFERROR(INDEX('Base de sorteio'!$C$3:$C$1723,MATCH($B565&amp;"|"&amp;$C565,'Base de sorteio'!$I$3:$I$1723,0)),"")</f>
        <v/>
      </c>
      <c r="G565" s="4">
        <f>IFERROR(INDEX('Base de sorteio'!$D$3:$D$1723,MATCH($B565&amp;"|"&amp;$C565,'Base de sorteio'!$I$3:$I$1723,0)),"")</f>
        <v/>
      </c>
      <c r="H565" s="4">
        <f>IFERROR(INDEX('Base de sorteio'!$E$3:$E$1723,MATCH($B565&amp;"|"&amp;$C565,'Base de sorteio'!$I$3:$I$1723,0)),"")</f>
        <v/>
      </c>
      <c r="I565" s="4">
        <f>IF(E565="","",HYPERLINK(IFERROR(INDEX('Base de sorteio'!$J$3:$J$1723,MATCH($B565&amp;"|"&amp;$C565,'Base de sorteio'!$I$3:$I$1723,0)),""),"abrir"))</f>
        <v/>
      </c>
      <c r="J565" s="4" t="n"/>
      <c r="K565" s="4" t="n"/>
      <c r="L565" s="4" t="n"/>
      <c r="M565" s="4" t="n"/>
      <c r="N565" s="4">
        <f>IF(AND(K565="",M565=""),"",IF(OR(K565="sim",M565="sim"),"sim",IF(OR(K565="inconclusivo",M565="inconclusivo"),"inconclusivo","não")))</f>
        <v/>
      </c>
      <c r="O565" s="5">
        <f>IF(N565="sim",COUNTIFS($B$3:$B565,$B565,$N$3:$N565,"sim"),"")</f>
        <v/>
      </c>
      <c r="P565" s="5" t="n"/>
      <c r="Q565" s="4" t="n"/>
      <c r="R565" s="5" t="n"/>
      <c r="S565" s="9" t="n"/>
      <c r="T565" s="4" t="n"/>
    </row>
    <row r="566">
      <c r="A566" s="5">
        <f>ROW()-2</f>
        <v/>
      </c>
      <c r="B566" s="4" t="inlineStr">
        <is>
          <t>Metrópole</t>
        </is>
      </c>
      <c r="C566" s="5" t="n">
        <v>564</v>
      </c>
      <c r="D566" s="5">
        <f>IFERROR(INDEX('Base de sorteio'!$A$3:$A$1723,MATCH($B566&amp;"|"&amp;$C566,'Base de sorteio'!$I$3:$I$1723,0)),"")</f>
        <v/>
      </c>
      <c r="E566" s="4">
        <f>IFERROR(INDEX('Base de sorteio'!$B$3:$B$1723,MATCH($B566&amp;"|"&amp;$C566,'Base de sorteio'!$I$3:$I$1723,0)),"")</f>
        <v/>
      </c>
      <c r="F566" s="4">
        <f>IFERROR(INDEX('Base de sorteio'!$C$3:$C$1723,MATCH($B566&amp;"|"&amp;$C566,'Base de sorteio'!$I$3:$I$1723,0)),"")</f>
        <v/>
      </c>
      <c r="G566" s="4">
        <f>IFERROR(INDEX('Base de sorteio'!$D$3:$D$1723,MATCH($B566&amp;"|"&amp;$C566,'Base de sorteio'!$I$3:$I$1723,0)),"")</f>
        <v/>
      </c>
      <c r="H566" s="4">
        <f>IFERROR(INDEX('Base de sorteio'!$E$3:$E$1723,MATCH($B566&amp;"|"&amp;$C566,'Base de sorteio'!$I$3:$I$1723,0)),"")</f>
        <v/>
      </c>
      <c r="I566" s="4">
        <f>IF(E566="","",HYPERLINK(IFERROR(INDEX('Base de sorteio'!$J$3:$J$1723,MATCH($B566&amp;"|"&amp;$C566,'Base de sorteio'!$I$3:$I$1723,0)),""),"abrir"))</f>
        <v/>
      </c>
      <c r="J566" s="4" t="n"/>
      <c r="K566" s="4" t="n"/>
      <c r="L566" s="4" t="n"/>
      <c r="M566" s="4" t="n"/>
      <c r="N566" s="4">
        <f>IF(AND(K566="",M566=""),"",IF(OR(K566="sim",M566="sim"),"sim",IF(OR(K566="inconclusivo",M566="inconclusivo"),"inconclusivo","não")))</f>
        <v/>
      </c>
      <c r="O566" s="5">
        <f>IF(N566="sim",COUNTIFS($B$3:$B566,$B566,$N$3:$N566,"sim"),"")</f>
        <v/>
      </c>
      <c r="P566" s="5" t="n"/>
      <c r="Q566" s="4" t="n"/>
      <c r="R566" s="5" t="n"/>
      <c r="S566" s="9" t="n"/>
      <c r="T566" s="4" t="n"/>
    </row>
    <row r="567">
      <c r="A567" s="5">
        <f>ROW()-2</f>
        <v/>
      </c>
      <c r="B567" s="4" t="inlineStr">
        <is>
          <t>Metrópole</t>
        </is>
      </c>
      <c r="C567" s="5" t="n">
        <v>565</v>
      </c>
      <c r="D567" s="5">
        <f>IFERROR(INDEX('Base de sorteio'!$A$3:$A$1723,MATCH($B567&amp;"|"&amp;$C567,'Base de sorteio'!$I$3:$I$1723,0)),"")</f>
        <v/>
      </c>
      <c r="E567" s="4">
        <f>IFERROR(INDEX('Base de sorteio'!$B$3:$B$1723,MATCH($B567&amp;"|"&amp;$C567,'Base de sorteio'!$I$3:$I$1723,0)),"")</f>
        <v/>
      </c>
      <c r="F567" s="4">
        <f>IFERROR(INDEX('Base de sorteio'!$C$3:$C$1723,MATCH($B567&amp;"|"&amp;$C567,'Base de sorteio'!$I$3:$I$1723,0)),"")</f>
        <v/>
      </c>
      <c r="G567" s="4">
        <f>IFERROR(INDEX('Base de sorteio'!$D$3:$D$1723,MATCH($B567&amp;"|"&amp;$C567,'Base de sorteio'!$I$3:$I$1723,0)),"")</f>
        <v/>
      </c>
      <c r="H567" s="4">
        <f>IFERROR(INDEX('Base de sorteio'!$E$3:$E$1723,MATCH($B567&amp;"|"&amp;$C567,'Base de sorteio'!$I$3:$I$1723,0)),"")</f>
        <v/>
      </c>
      <c r="I567" s="4">
        <f>IF(E567="","",HYPERLINK(IFERROR(INDEX('Base de sorteio'!$J$3:$J$1723,MATCH($B567&amp;"|"&amp;$C567,'Base de sorteio'!$I$3:$I$1723,0)),""),"abrir"))</f>
        <v/>
      </c>
      <c r="J567" s="4" t="n"/>
      <c r="K567" s="4" t="n"/>
      <c r="L567" s="4" t="n"/>
      <c r="M567" s="4" t="n"/>
      <c r="N567" s="4">
        <f>IF(AND(K567="",M567=""),"",IF(OR(K567="sim",M567="sim"),"sim",IF(OR(K567="inconclusivo",M567="inconclusivo"),"inconclusivo","não")))</f>
        <v/>
      </c>
      <c r="O567" s="5">
        <f>IF(N567="sim",COUNTIFS($B$3:$B567,$B567,$N$3:$N567,"sim"),"")</f>
        <v/>
      </c>
      <c r="P567" s="5" t="n"/>
      <c r="Q567" s="4" t="n"/>
      <c r="R567" s="5" t="n"/>
      <c r="S567" s="9" t="n"/>
      <c r="T567" s="4" t="n"/>
    </row>
    <row r="568">
      <c r="A568" s="5">
        <f>ROW()-2</f>
        <v/>
      </c>
      <c r="B568" s="4" t="inlineStr">
        <is>
          <t>Metrópole</t>
        </is>
      </c>
      <c r="C568" s="5" t="n">
        <v>566</v>
      </c>
      <c r="D568" s="5">
        <f>IFERROR(INDEX('Base de sorteio'!$A$3:$A$1723,MATCH($B568&amp;"|"&amp;$C568,'Base de sorteio'!$I$3:$I$1723,0)),"")</f>
        <v/>
      </c>
      <c r="E568" s="4">
        <f>IFERROR(INDEX('Base de sorteio'!$B$3:$B$1723,MATCH($B568&amp;"|"&amp;$C568,'Base de sorteio'!$I$3:$I$1723,0)),"")</f>
        <v/>
      </c>
      <c r="F568" s="4">
        <f>IFERROR(INDEX('Base de sorteio'!$C$3:$C$1723,MATCH($B568&amp;"|"&amp;$C568,'Base de sorteio'!$I$3:$I$1723,0)),"")</f>
        <v/>
      </c>
      <c r="G568" s="4">
        <f>IFERROR(INDEX('Base de sorteio'!$D$3:$D$1723,MATCH($B568&amp;"|"&amp;$C568,'Base de sorteio'!$I$3:$I$1723,0)),"")</f>
        <v/>
      </c>
      <c r="H568" s="4">
        <f>IFERROR(INDEX('Base de sorteio'!$E$3:$E$1723,MATCH($B568&amp;"|"&amp;$C568,'Base de sorteio'!$I$3:$I$1723,0)),"")</f>
        <v/>
      </c>
      <c r="I568" s="4">
        <f>IF(E568="","",HYPERLINK(IFERROR(INDEX('Base de sorteio'!$J$3:$J$1723,MATCH($B568&amp;"|"&amp;$C568,'Base de sorteio'!$I$3:$I$1723,0)),""),"abrir"))</f>
        <v/>
      </c>
      <c r="J568" s="4" t="n"/>
      <c r="K568" s="4" t="n"/>
      <c r="L568" s="4" t="n"/>
      <c r="M568" s="4" t="n"/>
      <c r="N568" s="4">
        <f>IF(AND(K568="",M568=""),"",IF(OR(K568="sim",M568="sim"),"sim",IF(OR(K568="inconclusivo",M568="inconclusivo"),"inconclusivo","não")))</f>
        <v/>
      </c>
      <c r="O568" s="5">
        <f>IF(N568="sim",COUNTIFS($B$3:$B568,$B568,$N$3:$N568,"sim"),"")</f>
        <v/>
      </c>
      <c r="P568" s="5" t="n"/>
      <c r="Q568" s="4" t="n"/>
      <c r="R568" s="5" t="n"/>
      <c r="S568" s="9" t="n"/>
      <c r="T568" s="4" t="n"/>
    </row>
    <row r="569">
      <c r="A569" s="5">
        <f>ROW()-2</f>
        <v/>
      </c>
      <c r="B569" s="4" t="inlineStr">
        <is>
          <t>Metrópole</t>
        </is>
      </c>
      <c r="C569" s="5" t="n">
        <v>567</v>
      </c>
      <c r="D569" s="5">
        <f>IFERROR(INDEX('Base de sorteio'!$A$3:$A$1723,MATCH($B569&amp;"|"&amp;$C569,'Base de sorteio'!$I$3:$I$1723,0)),"")</f>
        <v/>
      </c>
      <c r="E569" s="4">
        <f>IFERROR(INDEX('Base de sorteio'!$B$3:$B$1723,MATCH($B569&amp;"|"&amp;$C569,'Base de sorteio'!$I$3:$I$1723,0)),"")</f>
        <v/>
      </c>
      <c r="F569" s="4">
        <f>IFERROR(INDEX('Base de sorteio'!$C$3:$C$1723,MATCH($B569&amp;"|"&amp;$C569,'Base de sorteio'!$I$3:$I$1723,0)),"")</f>
        <v/>
      </c>
      <c r="G569" s="4">
        <f>IFERROR(INDEX('Base de sorteio'!$D$3:$D$1723,MATCH($B569&amp;"|"&amp;$C569,'Base de sorteio'!$I$3:$I$1723,0)),"")</f>
        <v/>
      </c>
      <c r="H569" s="4">
        <f>IFERROR(INDEX('Base de sorteio'!$E$3:$E$1723,MATCH($B569&amp;"|"&amp;$C569,'Base de sorteio'!$I$3:$I$1723,0)),"")</f>
        <v/>
      </c>
      <c r="I569" s="4">
        <f>IF(E569="","",HYPERLINK(IFERROR(INDEX('Base de sorteio'!$J$3:$J$1723,MATCH($B569&amp;"|"&amp;$C569,'Base de sorteio'!$I$3:$I$1723,0)),""),"abrir"))</f>
        <v/>
      </c>
      <c r="J569" s="4" t="n"/>
      <c r="K569" s="4" t="n"/>
      <c r="L569" s="4" t="n"/>
      <c r="M569" s="4" t="n"/>
      <c r="N569" s="4">
        <f>IF(AND(K569="",M569=""),"",IF(OR(K569="sim",M569="sim"),"sim",IF(OR(K569="inconclusivo",M569="inconclusivo"),"inconclusivo","não")))</f>
        <v/>
      </c>
      <c r="O569" s="5">
        <f>IF(N569="sim",COUNTIFS($B$3:$B569,$B569,$N$3:$N569,"sim"),"")</f>
        <v/>
      </c>
      <c r="P569" s="5" t="n"/>
      <c r="Q569" s="4" t="n"/>
      <c r="R569" s="5" t="n"/>
      <c r="S569" s="9" t="n"/>
      <c r="T569" s="4" t="n"/>
    </row>
    <row r="570">
      <c r="A570" s="5">
        <f>ROW()-2</f>
        <v/>
      </c>
      <c r="B570" s="4" t="inlineStr">
        <is>
          <t>Metrópole</t>
        </is>
      </c>
      <c r="C570" s="5" t="n">
        <v>568</v>
      </c>
      <c r="D570" s="5">
        <f>IFERROR(INDEX('Base de sorteio'!$A$3:$A$1723,MATCH($B570&amp;"|"&amp;$C570,'Base de sorteio'!$I$3:$I$1723,0)),"")</f>
        <v/>
      </c>
      <c r="E570" s="4">
        <f>IFERROR(INDEX('Base de sorteio'!$B$3:$B$1723,MATCH($B570&amp;"|"&amp;$C570,'Base de sorteio'!$I$3:$I$1723,0)),"")</f>
        <v/>
      </c>
      <c r="F570" s="4">
        <f>IFERROR(INDEX('Base de sorteio'!$C$3:$C$1723,MATCH($B570&amp;"|"&amp;$C570,'Base de sorteio'!$I$3:$I$1723,0)),"")</f>
        <v/>
      </c>
      <c r="G570" s="4">
        <f>IFERROR(INDEX('Base de sorteio'!$D$3:$D$1723,MATCH($B570&amp;"|"&amp;$C570,'Base de sorteio'!$I$3:$I$1723,0)),"")</f>
        <v/>
      </c>
      <c r="H570" s="4">
        <f>IFERROR(INDEX('Base de sorteio'!$E$3:$E$1723,MATCH($B570&amp;"|"&amp;$C570,'Base de sorteio'!$I$3:$I$1723,0)),"")</f>
        <v/>
      </c>
      <c r="I570" s="4">
        <f>IF(E570="","",HYPERLINK(IFERROR(INDEX('Base de sorteio'!$J$3:$J$1723,MATCH($B570&amp;"|"&amp;$C570,'Base de sorteio'!$I$3:$I$1723,0)),""),"abrir"))</f>
        <v/>
      </c>
      <c r="J570" s="4" t="n"/>
      <c r="K570" s="4" t="n"/>
      <c r="L570" s="4" t="n"/>
      <c r="M570" s="4" t="n"/>
      <c r="N570" s="4">
        <f>IF(AND(K570="",M570=""),"",IF(OR(K570="sim",M570="sim"),"sim",IF(OR(K570="inconclusivo",M570="inconclusivo"),"inconclusivo","não")))</f>
        <v/>
      </c>
      <c r="O570" s="5">
        <f>IF(N570="sim",COUNTIFS($B$3:$B570,$B570,$N$3:$N570,"sim"),"")</f>
        <v/>
      </c>
      <c r="P570" s="5" t="n"/>
      <c r="Q570" s="4" t="n"/>
      <c r="R570" s="5" t="n"/>
      <c r="S570" s="9" t="n"/>
      <c r="T570" s="4" t="n"/>
    </row>
    <row r="571">
      <c r="A571" s="5">
        <f>ROW()-2</f>
        <v/>
      </c>
      <c r="B571" s="4" t="inlineStr">
        <is>
          <t>Metrópole</t>
        </is>
      </c>
      <c r="C571" s="5" t="n">
        <v>569</v>
      </c>
      <c r="D571" s="5">
        <f>IFERROR(INDEX('Base de sorteio'!$A$3:$A$1723,MATCH($B571&amp;"|"&amp;$C571,'Base de sorteio'!$I$3:$I$1723,0)),"")</f>
        <v/>
      </c>
      <c r="E571" s="4">
        <f>IFERROR(INDEX('Base de sorteio'!$B$3:$B$1723,MATCH($B571&amp;"|"&amp;$C571,'Base de sorteio'!$I$3:$I$1723,0)),"")</f>
        <v/>
      </c>
      <c r="F571" s="4">
        <f>IFERROR(INDEX('Base de sorteio'!$C$3:$C$1723,MATCH($B571&amp;"|"&amp;$C571,'Base de sorteio'!$I$3:$I$1723,0)),"")</f>
        <v/>
      </c>
      <c r="G571" s="4">
        <f>IFERROR(INDEX('Base de sorteio'!$D$3:$D$1723,MATCH($B571&amp;"|"&amp;$C571,'Base de sorteio'!$I$3:$I$1723,0)),"")</f>
        <v/>
      </c>
      <c r="H571" s="4">
        <f>IFERROR(INDEX('Base de sorteio'!$E$3:$E$1723,MATCH($B571&amp;"|"&amp;$C571,'Base de sorteio'!$I$3:$I$1723,0)),"")</f>
        <v/>
      </c>
      <c r="I571" s="4">
        <f>IF(E571="","",HYPERLINK(IFERROR(INDEX('Base de sorteio'!$J$3:$J$1723,MATCH($B571&amp;"|"&amp;$C571,'Base de sorteio'!$I$3:$I$1723,0)),""),"abrir"))</f>
        <v/>
      </c>
      <c r="J571" s="4" t="n"/>
      <c r="K571" s="4" t="n"/>
      <c r="L571" s="4" t="n"/>
      <c r="M571" s="4" t="n"/>
      <c r="N571" s="4">
        <f>IF(AND(K571="",M571=""),"",IF(OR(K571="sim",M571="sim"),"sim",IF(OR(K571="inconclusivo",M571="inconclusivo"),"inconclusivo","não")))</f>
        <v/>
      </c>
      <c r="O571" s="5">
        <f>IF(N571="sim",COUNTIFS($B$3:$B571,$B571,$N$3:$N571,"sim"),"")</f>
        <v/>
      </c>
      <c r="P571" s="5" t="n"/>
      <c r="Q571" s="4" t="n"/>
      <c r="R571" s="5" t="n"/>
      <c r="S571" s="9" t="n"/>
      <c r="T571" s="4" t="n"/>
    </row>
    <row r="572">
      <c r="A572" s="5">
        <f>ROW()-2</f>
        <v/>
      </c>
      <c r="B572" s="4" t="inlineStr">
        <is>
          <t>Metrópole</t>
        </is>
      </c>
      <c r="C572" s="5" t="n">
        <v>570</v>
      </c>
      <c r="D572" s="5">
        <f>IFERROR(INDEX('Base de sorteio'!$A$3:$A$1723,MATCH($B572&amp;"|"&amp;$C572,'Base de sorteio'!$I$3:$I$1723,0)),"")</f>
        <v/>
      </c>
      <c r="E572" s="4">
        <f>IFERROR(INDEX('Base de sorteio'!$B$3:$B$1723,MATCH($B572&amp;"|"&amp;$C572,'Base de sorteio'!$I$3:$I$1723,0)),"")</f>
        <v/>
      </c>
      <c r="F572" s="4">
        <f>IFERROR(INDEX('Base de sorteio'!$C$3:$C$1723,MATCH($B572&amp;"|"&amp;$C572,'Base de sorteio'!$I$3:$I$1723,0)),"")</f>
        <v/>
      </c>
      <c r="G572" s="4">
        <f>IFERROR(INDEX('Base de sorteio'!$D$3:$D$1723,MATCH($B572&amp;"|"&amp;$C572,'Base de sorteio'!$I$3:$I$1723,0)),"")</f>
        <v/>
      </c>
      <c r="H572" s="4">
        <f>IFERROR(INDEX('Base de sorteio'!$E$3:$E$1723,MATCH($B572&amp;"|"&amp;$C572,'Base de sorteio'!$I$3:$I$1723,0)),"")</f>
        <v/>
      </c>
      <c r="I572" s="4">
        <f>IF(E572="","",HYPERLINK(IFERROR(INDEX('Base de sorteio'!$J$3:$J$1723,MATCH($B572&amp;"|"&amp;$C572,'Base de sorteio'!$I$3:$I$1723,0)),""),"abrir"))</f>
        <v/>
      </c>
      <c r="J572" s="4" t="n"/>
      <c r="K572" s="4" t="n"/>
      <c r="L572" s="4" t="n"/>
      <c r="M572" s="4" t="n"/>
      <c r="N572" s="4">
        <f>IF(AND(K572="",M572=""),"",IF(OR(K572="sim",M572="sim"),"sim",IF(OR(K572="inconclusivo",M572="inconclusivo"),"inconclusivo","não")))</f>
        <v/>
      </c>
      <c r="O572" s="5">
        <f>IF(N572="sim",COUNTIFS($B$3:$B572,$B572,$N$3:$N572,"sim"),"")</f>
        <v/>
      </c>
      <c r="P572" s="5" t="n"/>
      <c r="Q572" s="4" t="n"/>
      <c r="R572" s="5" t="n"/>
      <c r="S572" s="9" t="n"/>
      <c r="T572" s="4" t="n"/>
    </row>
    <row r="573">
      <c r="A573" s="5">
        <f>ROW()-2</f>
        <v/>
      </c>
      <c r="B573" s="4" t="inlineStr">
        <is>
          <t>Metrópole</t>
        </is>
      </c>
      <c r="C573" s="5" t="n">
        <v>571</v>
      </c>
      <c r="D573" s="5">
        <f>IFERROR(INDEX('Base de sorteio'!$A$3:$A$1723,MATCH($B573&amp;"|"&amp;$C573,'Base de sorteio'!$I$3:$I$1723,0)),"")</f>
        <v/>
      </c>
      <c r="E573" s="4">
        <f>IFERROR(INDEX('Base de sorteio'!$B$3:$B$1723,MATCH($B573&amp;"|"&amp;$C573,'Base de sorteio'!$I$3:$I$1723,0)),"")</f>
        <v/>
      </c>
      <c r="F573" s="4">
        <f>IFERROR(INDEX('Base de sorteio'!$C$3:$C$1723,MATCH($B573&amp;"|"&amp;$C573,'Base de sorteio'!$I$3:$I$1723,0)),"")</f>
        <v/>
      </c>
      <c r="G573" s="4">
        <f>IFERROR(INDEX('Base de sorteio'!$D$3:$D$1723,MATCH($B573&amp;"|"&amp;$C573,'Base de sorteio'!$I$3:$I$1723,0)),"")</f>
        <v/>
      </c>
      <c r="H573" s="4">
        <f>IFERROR(INDEX('Base de sorteio'!$E$3:$E$1723,MATCH($B573&amp;"|"&amp;$C573,'Base de sorteio'!$I$3:$I$1723,0)),"")</f>
        <v/>
      </c>
      <c r="I573" s="4">
        <f>IF(E573="","",HYPERLINK(IFERROR(INDEX('Base de sorteio'!$J$3:$J$1723,MATCH($B573&amp;"|"&amp;$C573,'Base de sorteio'!$I$3:$I$1723,0)),""),"abrir"))</f>
        <v/>
      </c>
      <c r="J573" s="4" t="n"/>
      <c r="K573" s="4" t="n"/>
      <c r="L573" s="4" t="n"/>
      <c r="M573" s="4" t="n"/>
      <c r="N573" s="4">
        <f>IF(AND(K573="",M573=""),"",IF(OR(K573="sim",M573="sim"),"sim",IF(OR(K573="inconclusivo",M573="inconclusivo"),"inconclusivo","não")))</f>
        <v/>
      </c>
      <c r="O573" s="5">
        <f>IF(N573="sim",COUNTIFS($B$3:$B573,$B573,$N$3:$N573,"sim"),"")</f>
        <v/>
      </c>
      <c r="P573" s="5" t="n"/>
      <c r="Q573" s="4" t="n"/>
      <c r="R573" s="5" t="n"/>
      <c r="S573" s="9" t="n"/>
      <c r="T573" s="4" t="n"/>
    </row>
    <row r="574">
      <c r="A574" s="5">
        <f>ROW()-2</f>
        <v/>
      </c>
      <c r="B574" s="4" t="inlineStr">
        <is>
          <t>Metrópole</t>
        </is>
      </c>
      <c r="C574" s="5" t="n">
        <v>572</v>
      </c>
      <c r="D574" s="5">
        <f>IFERROR(INDEX('Base de sorteio'!$A$3:$A$1723,MATCH($B574&amp;"|"&amp;$C574,'Base de sorteio'!$I$3:$I$1723,0)),"")</f>
        <v/>
      </c>
      <c r="E574" s="4">
        <f>IFERROR(INDEX('Base de sorteio'!$B$3:$B$1723,MATCH($B574&amp;"|"&amp;$C574,'Base de sorteio'!$I$3:$I$1723,0)),"")</f>
        <v/>
      </c>
      <c r="F574" s="4">
        <f>IFERROR(INDEX('Base de sorteio'!$C$3:$C$1723,MATCH($B574&amp;"|"&amp;$C574,'Base de sorteio'!$I$3:$I$1723,0)),"")</f>
        <v/>
      </c>
      <c r="G574" s="4">
        <f>IFERROR(INDEX('Base de sorteio'!$D$3:$D$1723,MATCH($B574&amp;"|"&amp;$C574,'Base de sorteio'!$I$3:$I$1723,0)),"")</f>
        <v/>
      </c>
      <c r="H574" s="4">
        <f>IFERROR(INDEX('Base de sorteio'!$E$3:$E$1723,MATCH($B574&amp;"|"&amp;$C574,'Base de sorteio'!$I$3:$I$1723,0)),"")</f>
        <v/>
      </c>
      <c r="I574" s="4">
        <f>IF(E574="","",HYPERLINK(IFERROR(INDEX('Base de sorteio'!$J$3:$J$1723,MATCH($B574&amp;"|"&amp;$C574,'Base de sorteio'!$I$3:$I$1723,0)),""),"abrir"))</f>
        <v/>
      </c>
      <c r="J574" s="4" t="n"/>
      <c r="K574" s="4" t="n"/>
      <c r="L574" s="4" t="n"/>
      <c r="M574" s="4" t="n"/>
      <c r="N574" s="4">
        <f>IF(AND(K574="",M574=""),"",IF(OR(K574="sim",M574="sim"),"sim",IF(OR(K574="inconclusivo",M574="inconclusivo"),"inconclusivo","não")))</f>
        <v/>
      </c>
      <c r="O574" s="5">
        <f>IF(N574="sim",COUNTIFS($B$3:$B574,$B574,$N$3:$N574,"sim"),"")</f>
        <v/>
      </c>
      <c r="P574" s="5" t="n"/>
      <c r="Q574" s="4" t="n"/>
      <c r="R574" s="5" t="n"/>
      <c r="S574" s="9" t="n"/>
      <c r="T574" s="4" t="n"/>
    </row>
    <row r="575">
      <c r="A575" s="5">
        <f>ROW()-2</f>
        <v/>
      </c>
      <c r="B575" s="4" t="inlineStr">
        <is>
          <t>Metrópole</t>
        </is>
      </c>
      <c r="C575" s="5" t="n">
        <v>573</v>
      </c>
      <c r="D575" s="5">
        <f>IFERROR(INDEX('Base de sorteio'!$A$3:$A$1723,MATCH($B575&amp;"|"&amp;$C575,'Base de sorteio'!$I$3:$I$1723,0)),"")</f>
        <v/>
      </c>
      <c r="E575" s="4">
        <f>IFERROR(INDEX('Base de sorteio'!$B$3:$B$1723,MATCH($B575&amp;"|"&amp;$C575,'Base de sorteio'!$I$3:$I$1723,0)),"")</f>
        <v/>
      </c>
      <c r="F575" s="4">
        <f>IFERROR(INDEX('Base de sorteio'!$C$3:$C$1723,MATCH($B575&amp;"|"&amp;$C575,'Base de sorteio'!$I$3:$I$1723,0)),"")</f>
        <v/>
      </c>
      <c r="G575" s="4">
        <f>IFERROR(INDEX('Base de sorteio'!$D$3:$D$1723,MATCH($B575&amp;"|"&amp;$C575,'Base de sorteio'!$I$3:$I$1723,0)),"")</f>
        <v/>
      </c>
      <c r="H575" s="4">
        <f>IFERROR(INDEX('Base de sorteio'!$E$3:$E$1723,MATCH($B575&amp;"|"&amp;$C575,'Base de sorteio'!$I$3:$I$1723,0)),"")</f>
        <v/>
      </c>
      <c r="I575" s="4">
        <f>IF(E575="","",HYPERLINK(IFERROR(INDEX('Base de sorteio'!$J$3:$J$1723,MATCH($B575&amp;"|"&amp;$C575,'Base de sorteio'!$I$3:$I$1723,0)),""),"abrir"))</f>
        <v/>
      </c>
      <c r="J575" s="4" t="n"/>
      <c r="K575" s="4" t="n"/>
      <c r="L575" s="4" t="n"/>
      <c r="M575" s="4" t="n"/>
      <c r="N575" s="4">
        <f>IF(AND(K575="",M575=""),"",IF(OR(K575="sim",M575="sim"),"sim",IF(OR(K575="inconclusivo",M575="inconclusivo"),"inconclusivo","não")))</f>
        <v/>
      </c>
      <c r="O575" s="5">
        <f>IF(N575="sim",COUNTIFS($B$3:$B575,$B575,$N$3:$N575,"sim"),"")</f>
        <v/>
      </c>
      <c r="P575" s="5" t="n"/>
      <c r="Q575" s="4" t="n"/>
      <c r="R575" s="5" t="n"/>
      <c r="S575" s="9" t="n"/>
      <c r="T575" s="4" t="n"/>
    </row>
    <row r="576">
      <c r="A576" s="5">
        <f>ROW()-2</f>
        <v/>
      </c>
      <c r="B576" s="4" t="inlineStr">
        <is>
          <t>Metrópole</t>
        </is>
      </c>
      <c r="C576" s="5" t="n">
        <v>574</v>
      </c>
      <c r="D576" s="5">
        <f>IFERROR(INDEX('Base de sorteio'!$A$3:$A$1723,MATCH($B576&amp;"|"&amp;$C576,'Base de sorteio'!$I$3:$I$1723,0)),"")</f>
        <v/>
      </c>
      <c r="E576" s="4">
        <f>IFERROR(INDEX('Base de sorteio'!$B$3:$B$1723,MATCH($B576&amp;"|"&amp;$C576,'Base de sorteio'!$I$3:$I$1723,0)),"")</f>
        <v/>
      </c>
      <c r="F576" s="4">
        <f>IFERROR(INDEX('Base de sorteio'!$C$3:$C$1723,MATCH($B576&amp;"|"&amp;$C576,'Base de sorteio'!$I$3:$I$1723,0)),"")</f>
        <v/>
      </c>
      <c r="G576" s="4">
        <f>IFERROR(INDEX('Base de sorteio'!$D$3:$D$1723,MATCH($B576&amp;"|"&amp;$C576,'Base de sorteio'!$I$3:$I$1723,0)),"")</f>
        <v/>
      </c>
      <c r="H576" s="4">
        <f>IFERROR(INDEX('Base de sorteio'!$E$3:$E$1723,MATCH($B576&amp;"|"&amp;$C576,'Base de sorteio'!$I$3:$I$1723,0)),"")</f>
        <v/>
      </c>
      <c r="I576" s="4">
        <f>IF(E576="","",HYPERLINK(IFERROR(INDEX('Base de sorteio'!$J$3:$J$1723,MATCH($B576&amp;"|"&amp;$C576,'Base de sorteio'!$I$3:$I$1723,0)),""),"abrir"))</f>
        <v/>
      </c>
      <c r="J576" s="4" t="n"/>
      <c r="K576" s="4" t="n"/>
      <c r="L576" s="4" t="n"/>
      <c r="M576" s="4" t="n"/>
      <c r="N576" s="4">
        <f>IF(AND(K576="",M576=""),"",IF(OR(K576="sim",M576="sim"),"sim",IF(OR(K576="inconclusivo",M576="inconclusivo"),"inconclusivo","não")))</f>
        <v/>
      </c>
      <c r="O576" s="5">
        <f>IF(N576="sim",COUNTIFS($B$3:$B576,$B576,$N$3:$N576,"sim"),"")</f>
        <v/>
      </c>
      <c r="P576" s="5" t="n"/>
      <c r="Q576" s="4" t="n"/>
      <c r="R576" s="5" t="n"/>
      <c r="S576" s="9" t="n"/>
      <c r="T576" s="4" t="n"/>
    </row>
    <row r="577">
      <c r="A577" s="5">
        <f>ROW()-2</f>
        <v/>
      </c>
      <c r="B577" s="4" t="inlineStr">
        <is>
          <t>Metrópole</t>
        </is>
      </c>
      <c r="C577" s="5" t="n">
        <v>575</v>
      </c>
      <c r="D577" s="5">
        <f>IFERROR(INDEX('Base de sorteio'!$A$3:$A$1723,MATCH($B577&amp;"|"&amp;$C577,'Base de sorteio'!$I$3:$I$1723,0)),"")</f>
        <v/>
      </c>
      <c r="E577" s="4">
        <f>IFERROR(INDEX('Base de sorteio'!$B$3:$B$1723,MATCH($B577&amp;"|"&amp;$C577,'Base de sorteio'!$I$3:$I$1723,0)),"")</f>
        <v/>
      </c>
      <c r="F577" s="4">
        <f>IFERROR(INDEX('Base de sorteio'!$C$3:$C$1723,MATCH($B577&amp;"|"&amp;$C577,'Base de sorteio'!$I$3:$I$1723,0)),"")</f>
        <v/>
      </c>
      <c r="G577" s="4">
        <f>IFERROR(INDEX('Base de sorteio'!$D$3:$D$1723,MATCH($B577&amp;"|"&amp;$C577,'Base de sorteio'!$I$3:$I$1723,0)),"")</f>
        <v/>
      </c>
      <c r="H577" s="4">
        <f>IFERROR(INDEX('Base de sorteio'!$E$3:$E$1723,MATCH($B577&amp;"|"&amp;$C577,'Base de sorteio'!$I$3:$I$1723,0)),"")</f>
        <v/>
      </c>
      <c r="I577" s="4">
        <f>IF(E577="","",HYPERLINK(IFERROR(INDEX('Base de sorteio'!$J$3:$J$1723,MATCH($B577&amp;"|"&amp;$C577,'Base de sorteio'!$I$3:$I$1723,0)),""),"abrir"))</f>
        <v/>
      </c>
      <c r="J577" s="4" t="n"/>
      <c r="K577" s="4" t="n"/>
      <c r="L577" s="4" t="n"/>
      <c r="M577" s="4" t="n"/>
      <c r="N577" s="4">
        <f>IF(AND(K577="",M577=""),"",IF(OR(K577="sim",M577="sim"),"sim",IF(OR(K577="inconclusivo",M577="inconclusivo"),"inconclusivo","não")))</f>
        <v/>
      </c>
      <c r="O577" s="5">
        <f>IF(N577="sim",COUNTIFS($B$3:$B577,$B577,$N$3:$N577,"sim"),"")</f>
        <v/>
      </c>
      <c r="P577" s="5" t="n"/>
      <c r="Q577" s="4" t="n"/>
      <c r="R577" s="5" t="n"/>
      <c r="S577" s="9" t="n"/>
      <c r="T577" s="4" t="n"/>
    </row>
    <row r="578">
      <c r="A578" s="5">
        <f>ROW()-2</f>
        <v/>
      </c>
      <c r="B578" s="4" t="inlineStr">
        <is>
          <t>Metrópole</t>
        </is>
      </c>
      <c r="C578" s="5" t="n">
        <v>576</v>
      </c>
      <c r="D578" s="5">
        <f>IFERROR(INDEX('Base de sorteio'!$A$3:$A$1723,MATCH($B578&amp;"|"&amp;$C578,'Base de sorteio'!$I$3:$I$1723,0)),"")</f>
        <v/>
      </c>
      <c r="E578" s="4">
        <f>IFERROR(INDEX('Base de sorteio'!$B$3:$B$1723,MATCH($B578&amp;"|"&amp;$C578,'Base de sorteio'!$I$3:$I$1723,0)),"")</f>
        <v/>
      </c>
      <c r="F578" s="4">
        <f>IFERROR(INDEX('Base de sorteio'!$C$3:$C$1723,MATCH($B578&amp;"|"&amp;$C578,'Base de sorteio'!$I$3:$I$1723,0)),"")</f>
        <v/>
      </c>
      <c r="G578" s="4">
        <f>IFERROR(INDEX('Base de sorteio'!$D$3:$D$1723,MATCH($B578&amp;"|"&amp;$C578,'Base de sorteio'!$I$3:$I$1723,0)),"")</f>
        <v/>
      </c>
      <c r="H578" s="4">
        <f>IFERROR(INDEX('Base de sorteio'!$E$3:$E$1723,MATCH($B578&amp;"|"&amp;$C578,'Base de sorteio'!$I$3:$I$1723,0)),"")</f>
        <v/>
      </c>
      <c r="I578" s="4">
        <f>IF(E578="","",HYPERLINK(IFERROR(INDEX('Base de sorteio'!$J$3:$J$1723,MATCH($B578&amp;"|"&amp;$C578,'Base de sorteio'!$I$3:$I$1723,0)),""),"abrir"))</f>
        <v/>
      </c>
      <c r="J578" s="4" t="n"/>
      <c r="K578" s="4" t="n"/>
      <c r="L578" s="4" t="n"/>
      <c r="M578" s="4" t="n"/>
      <c r="N578" s="4">
        <f>IF(AND(K578="",M578=""),"",IF(OR(K578="sim",M578="sim"),"sim",IF(OR(K578="inconclusivo",M578="inconclusivo"),"inconclusivo","não")))</f>
        <v/>
      </c>
      <c r="O578" s="5">
        <f>IF(N578="sim",COUNTIFS($B$3:$B578,$B578,$N$3:$N578,"sim"),"")</f>
        <v/>
      </c>
      <c r="P578" s="5" t="n"/>
      <c r="Q578" s="4" t="n"/>
      <c r="R578" s="5" t="n"/>
      <c r="S578" s="9" t="n"/>
      <c r="T578" s="4" t="n"/>
    </row>
    <row r="579">
      <c r="A579" s="5">
        <f>ROW()-2</f>
        <v/>
      </c>
      <c r="B579" s="4" t="inlineStr">
        <is>
          <t>Metrópole</t>
        </is>
      </c>
      <c r="C579" s="5" t="n">
        <v>577</v>
      </c>
      <c r="D579" s="5">
        <f>IFERROR(INDEX('Base de sorteio'!$A$3:$A$1723,MATCH($B579&amp;"|"&amp;$C579,'Base de sorteio'!$I$3:$I$1723,0)),"")</f>
        <v/>
      </c>
      <c r="E579" s="4">
        <f>IFERROR(INDEX('Base de sorteio'!$B$3:$B$1723,MATCH($B579&amp;"|"&amp;$C579,'Base de sorteio'!$I$3:$I$1723,0)),"")</f>
        <v/>
      </c>
      <c r="F579" s="4">
        <f>IFERROR(INDEX('Base de sorteio'!$C$3:$C$1723,MATCH($B579&amp;"|"&amp;$C579,'Base de sorteio'!$I$3:$I$1723,0)),"")</f>
        <v/>
      </c>
      <c r="G579" s="4">
        <f>IFERROR(INDEX('Base de sorteio'!$D$3:$D$1723,MATCH($B579&amp;"|"&amp;$C579,'Base de sorteio'!$I$3:$I$1723,0)),"")</f>
        <v/>
      </c>
      <c r="H579" s="4">
        <f>IFERROR(INDEX('Base de sorteio'!$E$3:$E$1723,MATCH($B579&amp;"|"&amp;$C579,'Base de sorteio'!$I$3:$I$1723,0)),"")</f>
        <v/>
      </c>
      <c r="I579" s="4">
        <f>IF(E579="","",HYPERLINK(IFERROR(INDEX('Base de sorteio'!$J$3:$J$1723,MATCH($B579&amp;"|"&amp;$C579,'Base de sorteio'!$I$3:$I$1723,0)),""),"abrir"))</f>
        <v/>
      </c>
      <c r="J579" s="4" t="n"/>
      <c r="K579" s="4" t="n"/>
      <c r="L579" s="4" t="n"/>
      <c r="M579" s="4" t="n"/>
      <c r="N579" s="4">
        <f>IF(AND(K579="",M579=""),"",IF(OR(K579="sim",M579="sim"),"sim",IF(OR(K579="inconclusivo",M579="inconclusivo"),"inconclusivo","não")))</f>
        <v/>
      </c>
      <c r="O579" s="5">
        <f>IF(N579="sim",COUNTIFS($B$3:$B579,$B579,$N$3:$N579,"sim"),"")</f>
        <v/>
      </c>
      <c r="P579" s="5" t="n"/>
      <c r="Q579" s="4" t="n"/>
      <c r="R579" s="5" t="n"/>
      <c r="S579" s="9" t="n"/>
      <c r="T579" s="4" t="n"/>
    </row>
    <row r="580">
      <c r="A580" s="5">
        <f>ROW()-2</f>
        <v/>
      </c>
      <c r="B580" s="4" t="inlineStr">
        <is>
          <t>Metrópole</t>
        </is>
      </c>
      <c r="C580" s="5" t="n">
        <v>578</v>
      </c>
      <c r="D580" s="5">
        <f>IFERROR(INDEX('Base de sorteio'!$A$3:$A$1723,MATCH($B580&amp;"|"&amp;$C580,'Base de sorteio'!$I$3:$I$1723,0)),"")</f>
        <v/>
      </c>
      <c r="E580" s="4">
        <f>IFERROR(INDEX('Base de sorteio'!$B$3:$B$1723,MATCH($B580&amp;"|"&amp;$C580,'Base de sorteio'!$I$3:$I$1723,0)),"")</f>
        <v/>
      </c>
      <c r="F580" s="4">
        <f>IFERROR(INDEX('Base de sorteio'!$C$3:$C$1723,MATCH($B580&amp;"|"&amp;$C580,'Base de sorteio'!$I$3:$I$1723,0)),"")</f>
        <v/>
      </c>
      <c r="G580" s="4">
        <f>IFERROR(INDEX('Base de sorteio'!$D$3:$D$1723,MATCH($B580&amp;"|"&amp;$C580,'Base de sorteio'!$I$3:$I$1723,0)),"")</f>
        <v/>
      </c>
      <c r="H580" s="4">
        <f>IFERROR(INDEX('Base de sorteio'!$E$3:$E$1723,MATCH($B580&amp;"|"&amp;$C580,'Base de sorteio'!$I$3:$I$1723,0)),"")</f>
        <v/>
      </c>
      <c r="I580" s="4">
        <f>IF(E580="","",HYPERLINK(IFERROR(INDEX('Base de sorteio'!$J$3:$J$1723,MATCH($B580&amp;"|"&amp;$C580,'Base de sorteio'!$I$3:$I$1723,0)),""),"abrir"))</f>
        <v/>
      </c>
      <c r="J580" s="4" t="n"/>
      <c r="K580" s="4" t="n"/>
      <c r="L580" s="4" t="n"/>
      <c r="M580" s="4" t="n"/>
      <c r="N580" s="4">
        <f>IF(AND(K580="",M580=""),"",IF(OR(K580="sim",M580="sim"),"sim",IF(OR(K580="inconclusivo",M580="inconclusivo"),"inconclusivo","não")))</f>
        <v/>
      </c>
      <c r="O580" s="5">
        <f>IF(N580="sim",COUNTIFS($B$3:$B580,$B580,$N$3:$N580,"sim"),"")</f>
        <v/>
      </c>
      <c r="P580" s="5" t="n"/>
      <c r="Q580" s="4" t="n"/>
      <c r="R580" s="5" t="n"/>
      <c r="S580" s="9" t="n"/>
      <c r="T580" s="4" t="n"/>
    </row>
    <row r="581">
      <c r="A581" s="5">
        <f>ROW()-2</f>
        <v/>
      </c>
      <c r="B581" s="4" t="inlineStr">
        <is>
          <t>Metrópole</t>
        </is>
      </c>
      <c r="C581" s="5" t="n">
        <v>579</v>
      </c>
      <c r="D581" s="5">
        <f>IFERROR(INDEX('Base de sorteio'!$A$3:$A$1723,MATCH($B581&amp;"|"&amp;$C581,'Base de sorteio'!$I$3:$I$1723,0)),"")</f>
        <v/>
      </c>
      <c r="E581" s="4">
        <f>IFERROR(INDEX('Base de sorteio'!$B$3:$B$1723,MATCH($B581&amp;"|"&amp;$C581,'Base de sorteio'!$I$3:$I$1723,0)),"")</f>
        <v/>
      </c>
      <c r="F581" s="4">
        <f>IFERROR(INDEX('Base de sorteio'!$C$3:$C$1723,MATCH($B581&amp;"|"&amp;$C581,'Base de sorteio'!$I$3:$I$1723,0)),"")</f>
        <v/>
      </c>
      <c r="G581" s="4">
        <f>IFERROR(INDEX('Base de sorteio'!$D$3:$D$1723,MATCH($B581&amp;"|"&amp;$C581,'Base de sorteio'!$I$3:$I$1723,0)),"")</f>
        <v/>
      </c>
      <c r="H581" s="4">
        <f>IFERROR(INDEX('Base de sorteio'!$E$3:$E$1723,MATCH($B581&amp;"|"&amp;$C581,'Base de sorteio'!$I$3:$I$1723,0)),"")</f>
        <v/>
      </c>
      <c r="I581" s="4">
        <f>IF(E581="","",HYPERLINK(IFERROR(INDEX('Base de sorteio'!$J$3:$J$1723,MATCH($B581&amp;"|"&amp;$C581,'Base de sorteio'!$I$3:$I$1723,0)),""),"abrir"))</f>
        <v/>
      </c>
      <c r="J581" s="4" t="n"/>
      <c r="K581" s="4" t="n"/>
      <c r="L581" s="4" t="n"/>
      <c r="M581" s="4" t="n"/>
      <c r="N581" s="4">
        <f>IF(AND(K581="",M581=""),"",IF(OR(K581="sim",M581="sim"),"sim",IF(OR(K581="inconclusivo",M581="inconclusivo"),"inconclusivo","não")))</f>
        <v/>
      </c>
      <c r="O581" s="5">
        <f>IF(N581="sim",COUNTIFS($B$3:$B581,$B581,$N$3:$N581,"sim"),"")</f>
        <v/>
      </c>
      <c r="P581" s="5" t="n"/>
      <c r="Q581" s="4" t="n"/>
      <c r="R581" s="5" t="n"/>
      <c r="S581" s="9" t="n"/>
      <c r="T581" s="4" t="n"/>
    </row>
    <row r="582">
      <c r="A582" s="5">
        <f>ROW()-2</f>
        <v/>
      </c>
      <c r="B582" s="4" t="inlineStr">
        <is>
          <t>Metrópole</t>
        </is>
      </c>
      <c r="C582" s="5" t="n">
        <v>580</v>
      </c>
      <c r="D582" s="5">
        <f>IFERROR(INDEX('Base de sorteio'!$A$3:$A$1723,MATCH($B582&amp;"|"&amp;$C582,'Base de sorteio'!$I$3:$I$1723,0)),"")</f>
        <v/>
      </c>
      <c r="E582" s="4">
        <f>IFERROR(INDEX('Base de sorteio'!$B$3:$B$1723,MATCH($B582&amp;"|"&amp;$C582,'Base de sorteio'!$I$3:$I$1723,0)),"")</f>
        <v/>
      </c>
      <c r="F582" s="4">
        <f>IFERROR(INDEX('Base de sorteio'!$C$3:$C$1723,MATCH($B582&amp;"|"&amp;$C582,'Base de sorteio'!$I$3:$I$1723,0)),"")</f>
        <v/>
      </c>
      <c r="G582" s="4">
        <f>IFERROR(INDEX('Base de sorteio'!$D$3:$D$1723,MATCH($B582&amp;"|"&amp;$C582,'Base de sorteio'!$I$3:$I$1723,0)),"")</f>
        <v/>
      </c>
      <c r="H582" s="4">
        <f>IFERROR(INDEX('Base de sorteio'!$E$3:$E$1723,MATCH($B582&amp;"|"&amp;$C582,'Base de sorteio'!$I$3:$I$1723,0)),"")</f>
        <v/>
      </c>
      <c r="I582" s="4">
        <f>IF(E582="","",HYPERLINK(IFERROR(INDEX('Base de sorteio'!$J$3:$J$1723,MATCH($B582&amp;"|"&amp;$C582,'Base de sorteio'!$I$3:$I$1723,0)),""),"abrir"))</f>
        <v/>
      </c>
      <c r="J582" s="4" t="n"/>
      <c r="K582" s="4" t="n"/>
      <c r="L582" s="4" t="n"/>
      <c r="M582" s="4" t="n"/>
      <c r="N582" s="4">
        <f>IF(AND(K582="",M582=""),"",IF(OR(K582="sim",M582="sim"),"sim",IF(OR(K582="inconclusivo",M582="inconclusivo"),"inconclusivo","não")))</f>
        <v/>
      </c>
      <c r="O582" s="5">
        <f>IF(N582="sim",COUNTIFS($B$3:$B582,$B582,$N$3:$N582,"sim"),"")</f>
        <v/>
      </c>
      <c r="P582" s="5" t="n"/>
      <c r="Q582" s="4" t="n"/>
      <c r="R582" s="5" t="n"/>
      <c r="S582" s="9" t="n"/>
      <c r="T582" s="4" t="n"/>
    </row>
    <row r="583">
      <c r="A583" s="5">
        <f>ROW()-2</f>
        <v/>
      </c>
      <c r="B583" s="4" t="inlineStr">
        <is>
          <t>Metrópole</t>
        </is>
      </c>
      <c r="C583" s="5" t="n">
        <v>581</v>
      </c>
      <c r="D583" s="5">
        <f>IFERROR(INDEX('Base de sorteio'!$A$3:$A$1723,MATCH($B583&amp;"|"&amp;$C583,'Base de sorteio'!$I$3:$I$1723,0)),"")</f>
        <v/>
      </c>
      <c r="E583" s="4">
        <f>IFERROR(INDEX('Base de sorteio'!$B$3:$B$1723,MATCH($B583&amp;"|"&amp;$C583,'Base de sorteio'!$I$3:$I$1723,0)),"")</f>
        <v/>
      </c>
      <c r="F583" s="4">
        <f>IFERROR(INDEX('Base de sorteio'!$C$3:$C$1723,MATCH($B583&amp;"|"&amp;$C583,'Base de sorteio'!$I$3:$I$1723,0)),"")</f>
        <v/>
      </c>
      <c r="G583" s="4">
        <f>IFERROR(INDEX('Base de sorteio'!$D$3:$D$1723,MATCH($B583&amp;"|"&amp;$C583,'Base de sorteio'!$I$3:$I$1723,0)),"")</f>
        <v/>
      </c>
      <c r="H583" s="4">
        <f>IFERROR(INDEX('Base de sorteio'!$E$3:$E$1723,MATCH($B583&amp;"|"&amp;$C583,'Base de sorteio'!$I$3:$I$1723,0)),"")</f>
        <v/>
      </c>
      <c r="I583" s="4">
        <f>IF(E583="","",HYPERLINK(IFERROR(INDEX('Base de sorteio'!$J$3:$J$1723,MATCH($B583&amp;"|"&amp;$C583,'Base de sorteio'!$I$3:$I$1723,0)),""),"abrir"))</f>
        <v/>
      </c>
      <c r="J583" s="4" t="n"/>
      <c r="K583" s="4" t="n"/>
      <c r="L583" s="4" t="n"/>
      <c r="M583" s="4" t="n"/>
      <c r="N583" s="4">
        <f>IF(AND(K583="",M583=""),"",IF(OR(K583="sim",M583="sim"),"sim",IF(OR(K583="inconclusivo",M583="inconclusivo"),"inconclusivo","não")))</f>
        <v/>
      </c>
      <c r="O583" s="5">
        <f>IF(N583="sim",COUNTIFS($B$3:$B583,$B583,$N$3:$N583,"sim"),"")</f>
        <v/>
      </c>
      <c r="P583" s="5" t="n"/>
      <c r="Q583" s="4" t="n"/>
      <c r="R583" s="5" t="n"/>
      <c r="S583" s="9" t="n"/>
      <c r="T583" s="4" t="n"/>
    </row>
    <row r="584">
      <c r="A584" s="5">
        <f>ROW()-2</f>
        <v/>
      </c>
      <c r="B584" s="4" t="inlineStr">
        <is>
          <t>Metrópole</t>
        </is>
      </c>
      <c r="C584" s="5" t="n">
        <v>582</v>
      </c>
      <c r="D584" s="5">
        <f>IFERROR(INDEX('Base de sorteio'!$A$3:$A$1723,MATCH($B584&amp;"|"&amp;$C584,'Base de sorteio'!$I$3:$I$1723,0)),"")</f>
        <v/>
      </c>
      <c r="E584" s="4">
        <f>IFERROR(INDEX('Base de sorteio'!$B$3:$B$1723,MATCH($B584&amp;"|"&amp;$C584,'Base de sorteio'!$I$3:$I$1723,0)),"")</f>
        <v/>
      </c>
      <c r="F584" s="4">
        <f>IFERROR(INDEX('Base de sorteio'!$C$3:$C$1723,MATCH($B584&amp;"|"&amp;$C584,'Base de sorteio'!$I$3:$I$1723,0)),"")</f>
        <v/>
      </c>
      <c r="G584" s="4">
        <f>IFERROR(INDEX('Base de sorteio'!$D$3:$D$1723,MATCH($B584&amp;"|"&amp;$C584,'Base de sorteio'!$I$3:$I$1723,0)),"")</f>
        <v/>
      </c>
      <c r="H584" s="4">
        <f>IFERROR(INDEX('Base de sorteio'!$E$3:$E$1723,MATCH($B584&amp;"|"&amp;$C584,'Base de sorteio'!$I$3:$I$1723,0)),"")</f>
        <v/>
      </c>
      <c r="I584" s="4">
        <f>IF(E584="","",HYPERLINK(IFERROR(INDEX('Base de sorteio'!$J$3:$J$1723,MATCH($B584&amp;"|"&amp;$C584,'Base de sorteio'!$I$3:$I$1723,0)),""),"abrir"))</f>
        <v/>
      </c>
      <c r="J584" s="4" t="n"/>
      <c r="K584" s="4" t="n"/>
      <c r="L584" s="4" t="n"/>
      <c r="M584" s="4" t="n"/>
      <c r="N584" s="4">
        <f>IF(AND(K584="",M584=""),"",IF(OR(K584="sim",M584="sim"),"sim",IF(OR(K584="inconclusivo",M584="inconclusivo"),"inconclusivo","não")))</f>
        <v/>
      </c>
      <c r="O584" s="5">
        <f>IF(N584="sim",COUNTIFS($B$3:$B584,$B584,$N$3:$N584,"sim"),"")</f>
        <v/>
      </c>
      <c r="P584" s="5" t="n"/>
      <c r="Q584" s="4" t="n"/>
      <c r="R584" s="5" t="n"/>
      <c r="S584" s="9" t="n"/>
      <c r="T584" s="4" t="n"/>
    </row>
    <row r="585">
      <c r="A585" s="5">
        <f>ROW()-2</f>
        <v/>
      </c>
      <c r="B585" s="4" t="inlineStr">
        <is>
          <t>Metrópole</t>
        </is>
      </c>
      <c r="C585" s="5" t="n">
        <v>583</v>
      </c>
      <c r="D585" s="5">
        <f>IFERROR(INDEX('Base de sorteio'!$A$3:$A$1723,MATCH($B585&amp;"|"&amp;$C585,'Base de sorteio'!$I$3:$I$1723,0)),"")</f>
        <v/>
      </c>
      <c r="E585" s="4">
        <f>IFERROR(INDEX('Base de sorteio'!$B$3:$B$1723,MATCH($B585&amp;"|"&amp;$C585,'Base de sorteio'!$I$3:$I$1723,0)),"")</f>
        <v/>
      </c>
      <c r="F585" s="4">
        <f>IFERROR(INDEX('Base de sorteio'!$C$3:$C$1723,MATCH($B585&amp;"|"&amp;$C585,'Base de sorteio'!$I$3:$I$1723,0)),"")</f>
        <v/>
      </c>
      <c r="G585" s="4">
        <f>IFERROR(INDEX('Base de sorteio'!$D$3:$D$1723,MATCH($B585&amp;"|"&amp;$C585,'Base de sorteio'!$I$3:$I$1723,0)),"")</f>
        <v/>
      </c>
      <c r="H585" s="4">
        <f>IFERROR(INDEX('Base de sorteio'!$E$3:$E$1723,MATCH($B585&amp;"|"&amp;$C585,'Base de sorteio'!$I$3:$I$1723,0)),"")</f>
        <v/>
      </c>
      <c r="I585" s="4">
        <f>IF(E585="","",HYPERLINK(IFERROR(INDEX('Base de sorteio'!$J$3:$J$1723,MATCH($B585&amp;"|"&amp;$C585,'Base de sorteio'!$I$3:$I$1723,0)),""),"abrir"))</f>
        <v/>
      </c>
      <c r="J585" s="4" t="n"/>
      <c r="K585" s="4" t="n"/>
      <c r="L585" s="4" t="n"/>
      <c r="M585" s="4" t="n"/>
      <c r="N585" s="4">
        <f>IF(AND(K585="",M585=""),"",IF(OR(K585="sim",M585="sim"),"sim",IF(OR(K585="inconclusivo",M585="inconclusivo"),"inconclusivo","não")))</f>
        <v/>
      </c>
      <c r="O585" s="5">
        <f>IF(N585="sim",COUNTIFS($B$3:$B585,$B585,$N$3:$N585,"sim"),"")</f>
        <v/>
      </c>
      <c r="P585" s="5" t="n"/>
      <c r="Q585" s="4" t="n"/>
      <c r="R585" s="5" t="n"/>
      <c r="S585" s="9" t="n"/>
      <c r="T585" s="4" t="n"/>
    </row>
    <row r="586">
      <c r="A586" s="5">
        <f>ROW()-2</f>
        <v/>
      </c>
      <c r="B586" s="4" t="inlineStr">
        <is>
          <t>Metrópole</t>
        </is>
      </c>
      <c r="C586" s="5" t="n">
        <v>584</v>
      </c>
      <c r="D586" s="5">
        <f>IFERROR(INDEX('Base de sorteio'!$A$3:$A$1723,MATCH($B586&amp;"|"&amp;$C586,'Base de sorteio'!$I$3:$I$1723,0)),"")</f>
        <v/>
      </c>
      <c r="E586" s="4">
        <f>IFERROR(INDEX('Base de sorteio'!$B$3:$B$1723,MATCH($B586&amp;"|"&amp;$C586,'Base de sorteio'!$I$3:$I$1723,0)),"")</f>
        <v/>
      </c>
      <c r="F586" s="4">
        <f>IFERROR(INDEX('Base de sorteio'!$C$3:$C$1723,MATCH($B586&amp;"|"&amp;$C586,'Base de sorteio'!$I$3:$I$1723,0)),"")</f>
        <v/>
      </c>
      <c r="G586" s="4">
        <f>IFERROR(INDEX('Base de sorteio'!$D$3:$D$1723,MATCH($B586&amp;"|"&amp;$C586,'Base de sorteio'!$I$3:$I$1723,0)),"")</f>
        <v/>
      </c>
      <c r="H586" s="4">
        <f>IFERROR(INDEX('Base de sorteio'!$E$3:$E$1723,MATCH($B586&amp;"|"&amp;$C586,'Base de sorteio'!$I$3:$I$1723,0)),"")</f>
        <v/>
      </c>
      <c r="I586" s="4">
        <f>IF(E586="","",HYPERLINK(IFERROR(INDEX('Base de sorteio'!$J$3:$J$1723,MATCH($B586&amp;"|"&amp;$C586,'Base de sorteio'!$I$3:$I$1723,0)),""),"abrir"))</f>
        <v/>
      </c>
      <c r="J586" s="4" t="n"/>
      <c r="K586" s="4" t="n"/>
      <c r="L586" s="4" t="n"/>
      <c r="M586" s="4" t="n"/>
      <c r="N586" s="4">
        <f>IF(AND(K586="",M586=""),"",IF(OR(K586="sim",M586="sim"),"sim",IF(OR(K586="inconclusivo",M586="inconclusivo"),"inconclusivo","não")))</f>
        <v/>
      </c>
      <c r="O586" s="5">
        <f>IF(N586="sim",COUNTIFS($B$3:$B586,$B586,$N$3:$N586,"sim"),"")</f>
        <v/>
      </c>
      <c r="P586" s="5" t="n"/>
      <c r="Q586" s="4" t="n"/>
      <c r="R586" s="5" t="n"/>
      <c r="S586" s="9" t="n"/>
      <c r="T586" s="4" t="n"/>
    </row>
    <row r="587">
      <c r="A587" s="5">
        <f>ROW()-2</f>
        <v/>
      </c>
      <c r="B587" s="4" t="inlineStr">
        <is>
          <t>Metrópole</t>
        </is>
      </c>
      <c r="C587" s="5" t="n">
        <v>585</v>
      </c>
      <c r="D587" s="5">
        <f>IFERROR(INDEX('Base de sorteio'!$A$3:$A$1723,MATCH($B587&amp;"|"&amp;$C587,'Base de sorteio'!$I$3:$I$1723,0)),"")</f>
        <v/>
      </c>
      <c r="E587" s="4">
        <f>IFERROR(INDEX('Base de sorteio'!$B$3:$B$1723,MATCH($B587&amp;"|"&amp;$C587,'Base de sorteio'!$I$3:$I$1723,0)),"")</f>
        <v/>
      </c>
      <c r="F587" s="4">
        <f>IFERROR(INDEX('Base de sorteio'!$C$3:$C$1723,MATCH($B587&amp;"|"&amp;$C587,'Base de sorteio'!$I$3:$I$1723,0)),"")</f>
        <v/>
      </c>
      <c r="G587" s="4">
        <f>IFERROR(INDEX('Base de sorteio'!$D$3:$D$1723,MATCH($B587&amp;"|"&amp;$C587,'Base de sorteio'!$I$3:$I$1723,0)),"")</f>
        <v/>
      </c>
      <c r="H587" s="4">
        <f>IFERROR(INDEX('Base de sorteio'!$E$3:$E$1723,MATCH($B587&amp;"|"&amp;$C587,'Base de sorteio'!$I$3:$I$1723,0)),"")</f>
        <v/>
      </c>
      <c r="I587" s="4">
        <f>IF(E587="","",HYPERLINK(IFERROR(INDEX('Base de sorteio'!$J$3:$J$1723,MATCH($B587&amp;"|"&amp;$C587,'Base de sorteio'!$I$3:$I$1723,0)),""),"abrir"))</f>
        <v/>
      </c>
      <c r="J587" s="4" t="n"/>
      <c r="K587" s="4" t="n"/>
      <c r="L587" s="4" t="n"/>
      <c r="M587" s="4" t="n"/>
      <c r="N587" s="4">
        <f>IF(AND(K587="",M587=""),"",IF(OR(K587="sim",M587="sim"),"sim",IF(OR(K587="inconclusivo",M587="inconclusivo"),"inconclusivo","não")))</f>
        <v/>
      </c>
      <c r="O587" s="5">
        <f>IF(N587="sim",COUNTIFS($B$3:$B587,$B587,$N$3:$N587,"sim"),"")</f>
        <v/>
      </c>
      <c r="P587" s="5" t="n"/>
      <c r="Q587" s="4" t="n"/>
      <c r="R587" s="5" t="n"/>
      <c r="S587" s="9" t="n"/>
      <c r="T587" s="4" t="n"/>
    </row>
    <row r="588">
      <c r="A588" s="5">
        <f>ROW()-2</f>
        <v/>
      </c>
      <c r="B588" s="4" t="inlineStr">
        <is>
          <t>Metrópole</t>
        </is>
      </c>
      <c r="C588" s="5" t="n">
        <v>586</v>
      </c>
      <c r="D588" s="5">
        <f>IFERROR(INDEX('Base de sorteio'!$A$3:$A$1723,MATCH($B588&amp;"|"&amp;$C588,'Base de sorteio'!$I$3:$I$1723,0)),"")</f>
        <v/>
      </c>
      <c r="E588" s="4">
        <f>IFERROR(INDEX('Base de sorteio'!$B$3:$B$1723,MATCH($B588&amp;"|"&amp;$C588,'Base de sorteio'!$I$3:$I$1723,0)),"")</f>
        <v/>
      </c>
      <c r="F588" s="4">
        <f>IFERROR(INDEX('Base de sorteio'!$C$3:$C$1723,MATCH($B588&amp;"|"&amp;$C588,'Base de sorteio'!$I$3:$I$1723,0)),"")</f>
        <v/>
      </c>
      <c r="G588" s="4">
        <f>IFERROR(INDEX('Base de sorteio'!$D$3:$D$1723,MATCH($B588&amp;"|"&amp;$C588,'Base de sorteio'!$I$3:$I$1723,0)),"")</f>
        <v/>
      </c>
      <c r="H588" s="4">
        <f>IFERROR(INDEX('Base de sorteio'!$E$3:$E$1723,MATCH($B588&amp;"|"&amp;$C588,'Base de sorteio'!$I$3:$I$1723,0)),"")</f>
        <v/>
      </c>
      <c r="I588" s="4">
        <f>IF(E588="","",HYPERLINK(IFERROR(INDEX('Base de sorteio'!$J$3:$J$1723,MATCH($B588&amp;"|"&amp;$C588,'Base de sorteio'!$I$3:$I$1723,0)),""),"abrir"))</f>
        <v/>
      </c>
      <c r="J588" s="4" t="n"/>
      <c r="K588" s="4" t="n"/>
      <c r="L588" s="4" t="n"/>
      <c r="M588" s="4" t="n"/>
      <c r="N588" s="4">
        <f>IF(AND(K588="",M588=""),"",IF(OR(K588="sim",M588="sim"),"sim",IF(OR(K588="inconclusivo",M588="inconclusivo"),"inconclusivo","não")))</f>
        <v/>
      </c>
      <c r="O588" s="5">
        <f>IF(N588="sim",COUNTIFS($B$3:$B588,$B588,$N$3:$N588,"sim"),"")</f>
        <v/>
      </c>
      <c r="P588" s="5" t="n"/>
      <c r="Q588" s="4" t="n"/>
      <c r="R588" s="5" t="n"/>
      <c r="S588" s="9" t="n"/>
      <c r="T588" s="4" t="n"/>
    </row>
    <row r="589">
      <c r="A589" s="5">
        <f>ROW()-2</f>
        <v/>
      </c>
      <c r="B589" s="4" t="inlineStr">
        <is>
          <t>Metrópole</t>
        </is>
      </c>
      <c r="C589" s="5" t="n">
        <v>587</v>
      </c>
      <c r="D589" s="5">
        <f>IFERROR(INDEX('Base de sorteio'!$A$3:$A$1723,MATCH($B589&amp;"|"&amp;$C589,'Base de sorteio'!$I$3:$I$1723,0)),"")</f>
        <v/>
      </c>
      <c r="E589" s="4">
        <f>IFERROR(INDEX('Base de sorteio'!$B$3:$B$1723,MATCH($B589&amp;"|"&amp;$C589,'Base de sorteio'!$I$3:$I$1723,0)),"")</f>
        <v/>
      </c>
      <c r="F589" s="4">
        <f>IFERROR(INDEX('Base de sorteio'!$C$3:$C$1723,MATCH($B589&amp;"|"&amp;$C589,'Base de sorteio'!$I$3:$I$1723,0)),"")</f>
        <v/>
      </c>
      <c r="G589" s="4">
        <f>IFERROR(INDEX('Base de sorteio'!$D$3:$D$1723,MATCH($B589&amp;"|"&amp;$C589,'Base de sorteio'!$I$3:$I$1723,0)),"")</f>
        <v/>
      </c>
      <c r="H589" s="4">
        <f>IFERROR(INDEX('Base de sorteio'!$E$3:$E$1723,MATCH($B589&amp;"|"&amp;$C589,'Base de sorteio'!$I$3:$I$1723,0)),"")</f>
        <v/>
      </c>
      <c r="I589" s="4">
        <f>IF(E589="","",HYPERLINK(IFERROR(INDEX('Base de sorteio'!$J$3:$J$1723,MATCH($B589&amp;"|"&amp;$C589,'Base de sorteio'!$I$3:$I$1723,0)),""),"abrir"))</f>
        <v/>
      </c>
      <c r="J589" s="4" t="n"/>
      <c r="K589" s="4" t="n"/>
      <c r="L589" s="4" t="n"/>
      <c r="M589" s="4" t="n"/>
      <c r="N589" s="4">
        <f>IF(AND(K589="",M589=""),"",IF(OR(K589="sim",M589="sim"),"sim",IF(OR(K589="inconclusivo",M589="inconclusivo"),"inconclusivo","não")))</f>
        <v/>
      </c>
      <c r="O589" s="5">
        <f>IF(N589="sim",COUNTIFS($B$3:$B589,$B589,$N$3:$N589,"sim"),"")</f>
        <v/>
      </c>
      <c r="P589" s="5" t="n"/>
      <c r="Q589" s="4" t="n"/>
      <c r="R589" s="5" t="n"/>
      <c r="S589" s="9" t="n"/>
      <c r="T589" s="4" t="n"/>
    </row>
    <row r="590">
      <c r="A590" s="5">
        <f>ROW()-2</f>
        <v/>
      </c>
      <c r="B590" s="4" t="inlineStr">
        <is>
          <t>Metrópole</t>
        </is>
      </c>
      <c r="C590" s="5" t="n">
        <v>588</v>
      </c>
      <c r="D590" s="5">
        <f>IFERROR(INDEX('Base de sorteio'!$A$3:$A$1723,MATCH($B590&amp;"|"&amp;$C590,'Base de sorteio'!$I$3:$I$1723,0)),"")</f>
        <v/>
      </c>
      <c r="E590" s="4">
        <f>IFERROR(INDEX('Base de sorteio'!$B$3:$B$1723,MATCH($B590&amp;"|"&amp;$C590,'Base de sorteio'!$I$3:$I$1723,0)),"")</f>
        <v/>
      </c>
      <c r="F590" s="4">
        <f>IFERROR(INDEX('Base de sorteio'!$C$3:$C$1723,MATCH($B590&amp;"|"&amp;$C590,'Base de sorteio'!$I$3:$I$1723,0)),"")</f>
        <v/>
      </c>
      <c r="G590" s="4">
        <f>IFERROR(INDEX('Base de sorteio'!$D$3:$D$1723,MATCH($B590&amp;"|"&amp;$C590,'Base de sorteio'!$I$3:$I$1723,0)),"")</f>
        <v/>
      </c>
      <c r="H590" s="4">
        <f>IFERROR(INDEX('Base de sorteio'!$E$3:$E$1723,MATCH($B590&amp;"|"&amp;$C590,'Base de sorteio'!$I$3:$I$1723,0)),"")</f>
        <v/>
      </c>
      <c r="I590" s="4">
        <f>IF(E590="","",HYPERLINK(IFERROR(INDEX('Base de sorteio'!$J$3:$J$1723,MATCH($B590&amp;"|"&amp;$C590,'Base de sorteio'!$I$3:$I$1723,0)),""),"abrir"))</f>
        <v/>
      </c>
      <c r="J590" s="4" t="n"/>
      <c r="K590" s="4" t="n"/>
      <c r="L590" s="4" t="n"/>
      <c r="M590" s="4" t="n"/>
      <c r="N590" s="4">
        <f>IF(AND(K590="",M590=""),"",IF(OR(K590="sim",M590="sim"),"sim",IF(OR(K590="inconclusivo",M590="inconclusivo"),"inconclusivo","não")))</f>
        <v/>
      </c>
      <c r="O590" s="5">
        <f>IF(N590="sim",COUNTIFS($B$3:$B590,$B590,$N$3:$N590,"sim"),"")</f>
        <v/>
      </c>
      <c r="P590" s="5" t="n"/>
      <c r="Q590" s="4" t="n"/>
      <c r="R590" s="5" t="n"/>
      <c r="S590" s="9" t="n"/>
      <c r="T590" s="4" t="n"/>
    </row>
    <row r="591">
      <c r="A591" s="5">
        <f>ROW()-2</f>
        <v/>
      </c>
      <c r="B591" s="4" t="inlineStr">
        <is>
          <t>Metrópole</t>
        </is>
      </c>
      <c r="C591" s="5" t="n">
        <v>589</v>
      </c>
      <c r="D591" s="5">
        <f>IFERROR(INDEX('Base de sorteio'!$A$3:$A$1723,MATCH($B591&amp;"|"&amp;$C591,'Base de sorteio'!$I$3:$I$1723,0)),"")</f>
        <v/>
      </c>
      <c r="E591" s="4">
        <f>IFERROR(INDEX('Base de sorteio'!$B$3:$B$1723,MATCH($B591&amp;"|"&amp;$C591,'Base de sorteio'!$I$3:$I$1723,0)),"")</f>
        <v/>
      </c>
      <c r="F591" s="4">
        <f>IFERROR(INDEX('Base de sorteio'!$C$3:$C$1723,MATCH($B591&amp;"|"&amp;$C591,'Base de sorteio'!$I$3:$I$1723,0)),"")</f>
        <v/>
      </c>
      <c r="G591" s="4">
        <f>IFERROR(INDEX('Base de sorteio'!$D$3:$D$1723,MATCH($B591&amp;"|"&amp;$C591,'Base de sorteio'!$I$3:$I$1723,0)),"")</f>
        <v/>
      </c>
      <c r="H591" s="4">
        <f>IFERROR(INDEX('Base de sorteio'!$E$3:$E$1723,MATCH($B591&amp;"|"&amp;$C591,'Base de sorteio'!$I$3:$I$1723,0)),"")</f>
        <v/>
      </c>
      <c r="I591" s="4">
        <f>IF(E591="","",HYPERLINK(IFERROR(INDEX('Base de sorteio'!$J$3:$J$1723,MATCH($B591&amp;"|"&amp;$C591,'Base de sorteio'!$I$3:$I$1723,0)),""),"abrir"))</f>
        <v/>
      </c>
      <c r="J591" s="4" t="n"/>
      <c r="K591" s="4" t="n"/>
      <c r="L591" s="4" t="n"/>
      <c r="M591" s="4" t="n"/>
      <c r="N591" s="4">
        <f>IF(AND(K591="",M591=""),"",IF(OR(K591="sim",M591="sim"),"sim",IF(OR(K591="inconclusivo",M591="inconclusivo"),"inconclusivo","não")))</f>
        <v/>
      </c>
      <c r="O591" s="5">
        <f>IF(N591="sim",COUNTIFS($B$3:$B591,$B591,$N$3:$N591,"sim"),"")</f>
        <v/>
      </c>
      <c r="P591" s="5" t="n"/>
      <c r="Q591" s="4" t="n"/>
      <c r="R591" s="5" t="n"/>
      <c r="S591" s="9" t="n"/>
      <c r="T591" s="4" t="n"/>
    </row>
    <row r="592">
      <c r="A592" s="5">
        <f>ROW()-2</f>
        <v/>
      </c>
      <c r="B592" s="4" t="inlineStr">
        <is>
          <t>Metrópole</t>
        </is>
      </c>
      <c r="C592" s="5" t="n">
        <v>590</v>
      </c>
      <c r="D592" s="5">
        <f>IFERROR(INDEX('Base de sorteio'!$A$3:$A$1723,MATCH($B592&amp;"|"&amp;$C592,'Base de sorteio'!$I$3:$I$1723,0)),"")</f>
        <v/>
      </c>
      <c r="E592" s="4">
        <f>IFERROR(INDEX('Base de sorteio'!$B$3:$B$1723,MATCH($B592&amp;"|"&amp;$C592,'Base de sorteio'!$I$3:$I$1723,0)),"")</f>
        <v/>
      </c>
      <c r="F592" s="4">
        <f>IFERROR(INDEX('Base de sorteio'!$C$3:$C$1723,MATCH($B592&amp;"|"&amp;$C592,'Base de sorteio'!$I$3:$I$1723,0)),"")</f>
        <v/>
      </c>
      <c r="G592" s="4">
        <f>IFERROR(INDEX('Base de sorteio'!$D$3:$D$1723,MATCH($B592&amp;"|"&amp;$C592,'Base de sorteio'!$I$3:$I$1723,0)),"")</f>
        <v/>
      </c>
      <c r="H592" s="4">
        <f>IFERROR(INDEX('Base de sorteio'!$E$3:$E$1723,MATCH($B592&amp;"|"&amp;$C592,'Base de sorteio'!$I$3:$I$1723,0)),"")</f>
        <v/>
      </c>
      <c r="I592" s="4">
        <f>IF(E592="","",HYPERLINK(IFERROR(INDEX('Base de sorteio'!$J$3:$J$1723,MATCH($B592&amp;"|"&amp;$C592,'Base de sorteio'!$I$3:$I$1723,0)),""),"abrir"))</f>
        <v/>
      </c>
      <c r="J592" s="4" t="n"/>
      <c r="K592" s="4" t="n"/>
      <c r="L592" s="4" t="n"/>
      <c r="M592" s="4" t="n"/>
      <c r="N592" s="4">
        <f>IF(AND(K592="",M592=""),"",IF(OR(K592="sim",M592="sim"),"sim",IF(OR(K592="inconclusivo",M592="inconclusivo"),"inconclusivo","não")))</f>
        <v/>
      </c>
      <c r="O592" s="5">
        <f>IF(N592="sim",COUNTIFS($B$3:$B592,$B592,$N$3:$N592,"sim"),"")</f>
        <v/>
      </c>
      <c r="P592" s="5" t="n"/>
      <c r="Q592" s="4" t="n"/>
      <c r="R592" s="5" t="n"/>
      <c r="S592" s="9" t="n"/>
      <c r="T592" s="4" t="n"/>
    </row>
    <row r="593">
      <c r="A593" s="5">
        <f>ROW()-2</f>
        <v/>
      </c>
      <c r="B593" s="4" t="inlineStr">
        <is>
          <t>Metrópole</t>
        </is>
      </c>
      <c r="C593" s="5" t="n">
        <v>591</v>
      </c>
      <c r="D593" s="5">
        <f>IFERROR(INDEX('Base de sorteio'!$A$3:$A$1723,MATCH($B593&amp;"|"&amp;$C593,'Base de sorteio'!$I$3:$I$1723,0)),"")</f>
        <v/>
      </c>
      <c r="E593" s="4">
        <f>IFERROR(INDEX('Base de sorteio'!$B$3:$B$1723,MATCH($B593&amp;"|"&amp;$C593,'Base de sorteio'!$I$3:$I$1723,0)),"")</f>
        <v/>
      </c>
      <c r="F593" s="4">
        <f>IFERROR(INDEX('Base de sorteio'!$C$3:$C$1723,MATCH($B593&amp;"|"&amp;$C593,'Base de sorteio'!$I$3:$I$1723,0)),"")</f>
        <v/>
      </c>
      <c r="G593" s="4">
        <f>IFERROR(INDEX('Base de sorteio'!$D$3:$D$1723,MATCH($B593&amp;"|"&amp;$C593,'Base de sorteio'!$I$3:$I$1723,0)),"")</f>
        <v/>
      </c>
      <c r="H593" s="4">
        <f>IFERROR(INDEX('Base de sorteio'!$E$3:$E$1723,MATCH($B593&amp;"|"&amp;$C593,'Base de sorteio'!$I$3:$I$1723,0)),"")</f>
        <v/>
      </c>
      <c r="I593" s="4">
        <f>IF(E593="","",HYPERLINK(IFERROR(INDEX('Base de sorteio'!$J$3:$J$1723,MATCH($B593&amp;"|"&amp;$C593,'Base de sorteio'!$I$3:$I$1723,0)),""),"abrir"))</f>
        <v/>
      </c>
      <c r="J593" s="4" t="n"/>
      <c r="K593" s="4" t="n"/>
      <c r="L593" s="4" t="n"/>
      <c r="M593" s="4" t="n"/>
      <c r="N593" s="4">
        <f>IF(AND(K593="",M593=""),"",IF(OR(K593="sim",M593="sim"),"sim",IF(OR(K593="inconclusivo",M593="inconclusivo"),"inconclusivo","não")))</f>
        <v/>
      </c>
      <c r="O593" s="5">
        <f>IF(N593="sim",COUNTIFS($B$3:$B593,$B593,$N$3:$N593,"sim"),"")</f>
        <v/>
      </c>
      <c r="P593" s="5" t="n"/>
      <c r="Q593" s="4" t="n"/>
      <c r="R593" s="5" t="n"/>
      <c r="S593" s="9" t="n"/>
      <c r="T593" s="4" t="n"/>
    </row>
    <row r="594">
      <c r="A594" s="5">
        <f>ROW()-2</f>
        <v/>
      </c>
      <c r="B594" s="4" t="inlineStr">
        <is>
          <t>Metrópole</t>
        </is>
      </c>
      <c r="C594" s="5" t="n">
        <v>592</v>
      </c>
      <c r="D594" s="5">
        <f>IFERROR(INDEX('Base de sorteio'!$A$3:$A$1723,MATCH($B594&amp;"|"&amp;$C594,'Base de sorteio'!$I$3:$I$1723,0)),"")</f>
        <v/>
      </c>
      <c r="E594" s="4">
        <f>IFERROR(INDEX('Base de sorteio'!$B$3:$B$1723,MATCH($B594&amp;"|"&amp;$C594,'Base de sorteio'!$I$3:$I$1723,0)),"")</f>
        <v/>
      </c>
      <c r="F594" s="4">
        <f>IFERROR(INDEX('Base de sorteio'!$C$3:$C$1723,MATCH($B594&amp;"|"&amp;$C594,'Base de sorteio'!$I$3:$I$1723,0)),"")</f>
        <v/>
      </c>
      <c r="G594" s="4">
        <f>IFERROR(INDEX('Base de sorteio'!$D$3:$D$1723,MATCH($B594&amp;"|"&amp;$C594,'Base de sorteio'!$I$3:$I$1723,0)),"")</f>
        <v/>
      </c>
      <c r="H594" s="4">
        <f>IFERROR(INDEX('Base de sorteio'!$E$3:$E$1723,MATCH($B594&amp;"|"&amp;$C594,'Base de sorteio'!$I$3:$I$1723,0)),"")</f>
        <v/>
      </c>
      <c r="I594" s="4">
        <f>IF(E594="","",HYPERLINK(IFERROR(INDEX('Base de sorteio'!$J$3:$J$1723,MATCH($B594&amp;"|"&amp;$C594,'Base de sorteio'!$I$3:$I$1723,0)),""),"abrir"))</f>
        <v/>
      </c>
      <c r="J594" s="4" t="n"/>
      <c r="K594" s="4" t="n"/>
      <c r="L594" s="4" t="n"/>
      <c r="M594" s="4" t="n"/>
      <c r="N594" s="4">
        <f>IF(AND(K594="",M594=""),"",IF(OR(K594="sim",M594="sim"),"sim",IF(OR(K594="inconclusivo",M594="inconclusivo"),"inconclusivo","não")))</f>
        <v/>
      </c>
      <c r="O594" s="5">
        <f>IF(N594="sim",COUNTIFS($B$3:$B594,$B594,$N$3:$N594,"sim"),"")</f>
        <v/>
      </c>
      <c r="P594" s="5" t="n"/>
      <c r="Q594" s="4" t="n"/>
      <c r="R594" s="5" t="n"/>
      <c r="S594" s="9" t="n"/>
      <c r="T594" s="4" t="n"/>
    </row>
    <row r="595">
      <c r="A595" s="5">
        <f>ROW()-2</f>
        <v/>
      </c>
      <c r="B595" s="4" t="inlineStr">
        <is>
          <t>Metrópole</t>
        </is>
      </c>
      <c r="C595" s="5" t="n">
        <v>593</v>
      </c>
      <c r="D595" s="5">
        <f>IFERROR(INDEX('Base de sorteio'!$A$3:$A$1723,MATCH($B595&amp;"|"&amp;$C595,'Base de sorteio'!$I$3:$I$1723,0)),"")</f>
        <v/>
      </c>
      <c r="E595" s="4">
        <f>IFERROR(INDEX('Base de sorteio'!$B$3:$B$1723,MATCH($B595&amp;"|"&amp;$C595,'Base de sorteio'!$I$3:$I$1723,0)),"")</f>
        <v/>
      </c>
      <c r="F595" s="4">
        <f>IFERROR(INDEX('Base de sorteio'!$C$3:$C$1723,MATCH($B595&amp;"|"&amp;$C595,'Base de sorteio'!$I$3:$I$1723,0)),"")</f>
        <v/>
      </c>
      <c r="G595" s="4">
        <f>IFERROR(INDEX('Base de sorteio'!$D$3:$D$1723,MATCH($B595&amp;"|"&amp;$C595,'Base de sorteio'!$I$3:$I$1723,0)),"")</f>
        <v/>
      </c>
      <c r="H595" s="4">
        <f>IFERROR(INDEX('Base de sorteio'!$E$3:$E$1723,MATCH($B595&amp;"|"&amp;$C595,'Base de sorteio'!$I$3:$I$1723,0)),"")</f>
        <v/>
      </c>
      <c r="I595" s="4">
        <f>IF(E595="","",HYPERLINK(IFERROR(INDEX('Base de sorteio'!$J$3:$J$1723,MATCH($B595&amp;"|"&amp;$C595,'Base de sorteio'!$I$3:$I$1723,0)),""),"abrir"))</f>
        <v/>
      </c>
      <c r="J595" s="4" t="n"/>
      <c r="K595" s="4" t="n"/>
      <c r="L595" s="4" t="n"/>
      <c r="M595" s="4" t="n"/>
      <c r="N595" s="4">
        <f>IF(AND(K595="",M595=""),"",IF(OR(K595="sim",M595="sim"),"sim",IF(OR(K595="inconclusivo",M595="inconclusivo"),"inconclusivo","não")))</f>
        <v/>
      </c>
      <c r="O595" s="5">
        <f>IF(N595="sim",COUNTIFS($B$3:$B595,$B595,$N$3:$N595,"sim"),"")</f>
        <v/>
      </c>
      <c r="P595" s="5" t="n"/>
      <c r="Q595" s="4" t="n"/>
      <c r="R595" s="5" t="n"/>
      <c r="S595" s="9" t="n"/>
      <c r="T595" s="4" t="n"/>
    </row>
    <row r="596">
      <c r="A596" s="5">
        <f>ROW()-2</f>
        <v/>
      </c>
      <c r="B596" s="4" t="inlineStr">
        <is>
          <t>Metrópole</t>
        </is>
      </c>
      <c r="C596" s="5" t="n">
        <v>594</v>
      </c>
      <c r="D596" s="5">
        <f>IFERROR(INDEX('Base de sorteio'!$A$3:$A$1723,MATCH($B596&amp;"|"&amp;$C596,'Base de sorteio'!$I$3:$I$1723,0)),"")</f>
        <v/>
      </c>
      <c r="E596" s="4">
        <f>IFERROR(INDEX('Base de sorteio'!$B$3:$B$1723,MATCH($B596&amp;"|"&amp;$C596,'Base de sorteio'!$I$3:$I$1723,0)),"")</f>
        <v/>
      </c>
      <c r="F596" s="4">
        <f>IFERROR(INDEX('Base de sorteio'!$C$3:$C$1723,MATCH($B596&amp;"|"&amp;$C596,'Base de sorteio'!$I$3:$I$1723,0)),"")</f>
        <v/>
      </c>
      <c r="G596" s="4">
        <f>IFERROR(INDEX('Base de sorteio'!$D$3:$D$1723,MATCH($B596&amp;"|"&amp;$C596,'Base de sorteio'!$I$3:$I$1723,0)),"")</f>
        <v/>
      </c>
      <c r="H596" s="4">
        <f>IFERROR(INDEX('Base de sorteio'!$E$3:$E$1723,MATCH($B596&amp;"|"&amp;$C596,'Base de sorteio'!$I$3:$I$1723,0)),"")</f>
        <v/>
      </c>
      <c r="I596" s="4">
        <f>IF(E596="","",HYPERLINK(IFERROR(INDEX('Base de sorteio'!$J$3:$J$1723,MATCH($B596&amp;"|"&amp;$C596,'Base de sorteio'!$I$3:$I$1723,0)),""),"abrir"))</f>
        <v/>
      </c>
      <c r="J596" s="4" t="n"/>
      <c r="K596" s="4" t="n"/>
      <c r="L596" s="4" t="n"/>
      <c r="M596" s="4" t="n"/>
      <c r="N596" s="4">
        <f>IF(AND(K596="",M596=""),"",IF(OR(K596="sim",M596="sim"),"sim",IF(OR(K596="inconclusivo",M596="inconclusivo"),"inconclusivo","não")))</f>
        <v/>
      </c>
      <c r="O596" s="5">
        <f>IF(N596="sim",COUNTIFS($B$3:$B596,$B596,$N$3:$N596,"sim"),"")</f>
        <v/>
      </c>
      <c r="P596" s="5" t="n"/>
      <c r="Q596" s="4" t="n"/>
      <c r="R596" s="5" t="n"/>
      <c r="S596" s="9" t="n"/>
      <c r="T596" s="4" t="n"/>
    </row>
    <row r="597">
      <c r="A597" s="5">
        <f>ROW()-2</f>
        <v/>
      </c>
      <c r="B597" s="4" t="inlineStr">
        <is>
          <t>Metrópole</t>
        </is>
      </c>
      <c r="C597" s="5" t="n">
        <v>595</v>
      </c>
      <c r="D597" s="5">
        <f>IFERROR(INDEX('Base de sorteio'!$A$3:$A$1723,MATCH($B597&amp;"|"&amp;$C597,'Base de sorteio'!$I$3:$I$1723,0)),"")</f>
        <v/>
      </c>
      <c r="E597" s="4">
        <f>IFERROR(INDEX('Base de sorteio'!$B$3:$B$1723,MATCH($B597&amp;"|"&amp;$C597,'Base de sorteio'!$I$3:$I$1723,0)),"")</f>
        <v/>
      </c>
      <c r="F597" s="4">
        <f>IFERROR(INDEX('Base de sorteio'!$C$3:$C$1723,MATCH($B597&amp;"|"&amp;$C597,'Base de sorteio'!$I$3:$I$1723,0)),"")</f>
        <v/>
      </c>
      <c r="G597" s="4">
        <f>IFERROR(INDEX('Base de sorteio'!$D$3:$D$1723,MATCH($B597&amp;"|"&amp;$C597,'Base de sorteio'!$I$3:$I$1723,0)),"")</f>
        <v/>
      </c>
      <c r="H597" s="4">
        <f>IFERROR(INDEX('Base de sorteio'!$E$3:$E$1723,MATCH($B597&amp;"|"&amp;$C597,'Base de sorteio'!$I$3:$I$1723,0)),"")</f>
        <v/>
      </c>
      <c r="I597" s="4">
        <f>IF(E597="","",HYPERLINK(IFERROR(INDEX('Base de sorteio'!$J$3:$J$1723,MATCH($B597&amp;"|"&amp;$C597,'Base de sorteio'!$I$3:$I$1723,0)),""),"abrir"))</f>
        <v/>
      </c>
      <c r="J597" s="4" t="n"/>
      <c r="K597" s="4" t="n"/>
      <c r="L597" s="4" t="n"/>
      <c r="M597" s="4" t="n"/>
      <c r="N597" s="4">
        <f>IF(AND(K597="",M597=""),"",IF(OR(K597="sim",M597="sim"),"sim",IF(OR(K597="inconclusivo",M597="inconclusivo"),"inconclusivo","não")))</f>
        <v/>
      </c>
      <c r="O597" s="5">
        <f>IF(N597="sim",COUNTIFS($B$3:$B597,$B597,$N$3:$N597,"sim"),"")</f>
        <v/>
      </c>
      <c r="P597" s="5" t="n"/>
      <c r="Q597" s="4" t="n"/>
      <c r="R597" s="5" t="n"/>
      <c r="S597" s="9" t="n"/>
      <c r="T597" s="4" t="n"/>
    </row>
    <row r="598">
      <c r="A598" s="5">
        <f>ROW()-2</f>
        <v/>
      </c>
      <c r="B598" s="4" t="inlineStr">
        <is>
          <t>Metrópole</t>
        </is>
      </c>
      <c r="C598" s="5" t="n">
        <v>596</v>
      </c>
      <c r="D598" s="5">
        <f>IFERROR(INDEX('Base de sorteio'!$A$3:$A$1723,MATCH($B598&amp;"|"&amp;$C598,'Base de sorteio'!$I$3:$I$1723,0)),"")</f>
        <v/>
      </c>
      <c r="E598" s="4">
        <f>IFERROR(INDEX('Base de sorteio'!$B$3:$B$1723,MATCH($B598&amp;"|"&amp;$C598,'Base de sorteio'!$I$3:$I$1723,0)),"")</f>
        <v/>
      </c>
      <c r="F598" s="4">
        <f>IFERROR(INDEX('Base de sorteio'!$C$3:$C$1723,MATCH($B598&amp;"|"&amp;$C598,'Base de sorteio'!$I$3:$I$1723,0)),"")</f>
        <v/>
      </c>
      <c r="G598" s="4">
        <f>IFERROR(INDEX('Base de sorteio'!$D$3:$D$1723,MATCH($B598&amp;"|"&amp;$C598,'Base de sorteio'!$I$3:$I$1723,0)),"")</f>
        <v/>
      </c>
      <c r="H598" s="4">
        <f>IFERROR(INDEX('Base de sorteio'!$E$3:$E$1723,MATCH($B598&amp;"|"&amp;$C598,'Base de sorteio'!$I$3:$I$1723,0)),"")</f>
        <v/>
      </c>
      <c r="I598" s="4">
        <f>IF(E598="","",HYPERLINK(IFERROR(INDEX('Base de sorteio'!$J$3:$J$1723,MATCH($B598&amp;"|"&amp;$C598,'Base de sorteio'!$I$3:$I$1723,0)),""),"abrir"))</f>
        <v/>
      </c>
      <c r="J598" s="4" t="n"/>
      <c r="K598" s="4" t="n"/>
      <c r="L598" s="4" t="n"/>
      <c r="M598" s="4" t="n"/>
      <c r="N598" s="4">
        <f>IF(AND(K598="",M598=""),"",IF(OR(K598="sim",M598="sim"),"sim",IF(OR(K598="inconclusivo",M598="inconclusivo"),"inconclusivo","não")))</f>
        <v/>
      </c>
      <c r="O598" s="5">
        <f>IF(N598="sim",COUNTIFS($B$3:$B598,$B598,$N$3:$N598,"sim"),"")</f>
        <v/>
      </c>
      <c r="P598" s="5" t="n"/>
      <c r="Q598" s="4" t="n"/>
      <c r="R598" s="5" t="n"/>
      <c r="S598" s="9" t="n"/>
      <c r="T598" s="4" t="n"/>
    </row>
    <row r="599">
      <c r="A599" s="5">
        <f>ROW()-2</f>
        <v/>
      </c>
      <c r="B599" s="4" t="inlineStr">
        <is>
          <t>Metrópole</t>
        </is>
      </c>
      <c r="C599" s="5" t="n">
        <v>597</v>
      </c>
      <c r="D599" s="5">
        <f>IFERROR(INDEX('Base de sorteio'!$A$3:$A$1723,MATCH($B599&amp;"|"&amp;$C599,'Base de sorteio'!$I$3:$I$1723,0)),"")</f>
        <v/>
      </c>
      <c r="E599" s="4">
        <f>IFERROR(INDEX('Base de sorteio'!$B$3:$B$1723,MATCH($B599&amp;"|"&amp;$C599,'Base de sorteio'!$I$3:$I$1723,0)),"")</f>
        <v/>
      </c>
      <c r="F599" s="4">
        <f>IFERROR(INDEX('Base de sorteio'!$C$3:$C$1723,MATCH($B599&amp;"|"&amp;$C599,'Base de sorteio'!$I$3:$I$1723,0)),"")</f>
        <v/>
      </c>
      <c r="G599" s="4">
        <f>IFERROR(INDEX('Base de sorteio'!$D$3:$D$1723,MATCH($B599&amp;"|"&amp;$C599,'Base de sorteio'!$I$3:$I$1723,0)),"")</f>
        <v/>
      </c>
      <c r="H599" s="4">
        <f>IFERROR(INDEX('Base de sorteio'!$E$3:$E$1723,MATCH($B599&amp;"|"&amp;$C599,'Base de sorteio'!$I$3:$I$1723,0)),"")</f>
        <v/>
      </c>
      <c r="I599" s="4">
        <f>IF(E599="","",HYPERLINK(IFERROR(INDEX('Base de sorteio'!$J$3:$J$1723,MATCH($B599&amp;"|"&amp;$C599,'Base de sorteio'!$I$3:$I$1723,0)),""),"abrir"))</f>
        <v/>
      </c>
      <c r="J599" s="4" t="n"/>
      <c r="K599" s="4" t="n"/>
      <c r="L599" s="4" t="n"/>
      <c r="M599" s="4" t="n"/>
      <c r="N599" s="4">
        <f>IF(AND(K599="",M599=""),"",IF(OR(K599="sim",M599="sim"),"sim",IF(OR(K599="inconclusivo",M599="inconclusivo"),"inconclusivo","não")))</f>
        <v/>
      </c>
      <c r="O599" s="5">
        <f>IF(N599="sim",COUNTIFS($B$3:$B599,$B599,$N$3:$N599,"sim"),"")</f>
        <v/>
      </c>
      <c r="P599" s="5" t="n"/>
      <c r="Q599" s="4" t="n"/>
      <c r="R599" s="5" t="n"/>
      <c r="S599" s="9" t="n"/>
      <c r="T599" s="4" t="n"/>
    </row>
    <row r="600">
      <c r="A600" s="5">
        <f>ROW()-2</f>
        <v/>
      </c>
      <c r="B600" s="4" t="inlineStr">
        <is>
          <t>Metrópole</t>
        </is>
      </c>
      <c r="C600" s="5" t="n">
        <v>598</v>
      </c>
      <c r="D600" s="5">
        <f>IFERROR(INDEX('Base de sorteio'!$A$3:$A$1723,MATCH($B600&amp;"|"&amp;$C600,'Base de sorteio'!$I$3:$I$1723,0)),"")</f>
        <v/>
      </c>
      <c r="E600" s="4">
        <f>IFERROR(INDEX('Base de sorteio'!$B$3:$B$1723,MATCH($B600&amp;"|"&amp;$C600,'Base de sorteio'!$I$3:$I$1723,0)),"")</f>
        <v/>
      </c>
      <c r="F600" s="4">
        <f>IFERROR(INDEX('Base de sorteio'!$C$3:$C$1723,MATCH($B600&amp;"|"&amp;$C600,'Base de sorteio'!$I$3:$I$1723,0)),"")</f>
        <v/>
      </c>
      <c r="G600" s="4">
        <f>IFERROR(INDEX('Base de sorteio'!$D$3:$D$1723,MATCH($B600&amp;"|"&amp;$C600,'Base de sorteio'!$I$3:$I$1723,0)),"")</f>
        <v/>
      </c>
      <c r="H600" s="4">
        <f>IFERROR(INDEX('Base de sorteio'!$E$3:$E$1723,MATCH($B600&amp;"|"&amp;$C600,'Base de sorteio'!$I$3:$I$1723,0)),"")</f>
        <v/>
      </c>
      <c r="I600" s="4">
        <f>IF(E600="","",HYPERLINK(IFERROR(INDEX('Base de sorteio'!$J$3:$J$1723,MATCH($B600&amp;"|"&amp;$C600,'Base de sorteio'!$I$3:$I$1723,0)),""),"abrir"))</f>
        <v/>
      </c>
      <c r="J600" s="4" t="n"/>
      <c r="K600" s="4" t="n"/>
      <c r="L600" s="4" t="n"/>
      <c r="M600" s="4" t="n"/>
      <c r="N600" s="4">
        <f>IF(AND(K600="",M600=""),"",IF(OR(K600="sim",M600="sim"),"sim",IF(OR(K600="inconclusivo",M600="inconclusivo"),"inconclusivo","não")))</f>
        <v/>
      </c>
      <c r="O600" s="5">
        <f>IF(N600="sim",COUNTIFS($B$3:$B600,$B600,$N$3:$N600,"sim"),"")</f>
        <v/>
      </c>
      <c r="P600" s="5" t="n"/>
      <c r="Q600" s="4" t="n"/>
      <c r="R600" s="5" t="n"/>
      <c r="S600" s="9" t="n"/>
      <c r="T600" s="4" t="n"/>
    </row>
    <row r="601">
      <c r="A601" s="5">
        <f>ROW()-2</f>
        <v/>
      </c>
      <c r="B601" s="4" t="inlineStr">
        <is>
          <t>Metrópole</t>
        </is>
      </c>
      <c r="C601" s="5" t="n">
        <v>599</v>
      </c>
      <c r="D601" s="5">
        <f>IFERROR(INDEX('Base de sorteio'!$A$3:$A$1723,MATCH($B601&amp;"|"&amp;$C601,'Base de sorteio'!$I$3:$I$1723,0)),"")</f>
        <v/>
      </c>
      <c r="E601" s="4">
        <f>IFERROR(INDEX('Base de sorteio'!$B$3:$B$1723,MATCH($B601&amp;"|"&amp;$C601,'Base de sorteio'!$I$3:$I$1723,0)),"")</f>
        <v/>
      </c>
      <c r="F601" s="4">
        <f>IFERROR(INDEX('Base de sorteio'!$C$3:$C$1723,MATCH($B601&amp;"|"&amp;$C601,'Base de sorteio'!$I$3:$I$1723,0)),"")</f>
        <v/>
      </c>
      <c r="G601" s="4">
        <f>IFERROR(INDEX('Base de sorteio'!$D$3:$D$1723,MATCH($B601&amp;"|"&amp;$C601,'Base de sorteio'!$I$3:$I$1723,0)),"")</f>
        <v/>
      </c>
      <c r="H601" s="4">
        <f>IFERROR(INDEX('Base de sorteio'!$E$3:$E$1723,MATCH($B601&amp;"|"&amp;$C601,'Base de sorteio'!$I$3:$I$1723,0)),"")</f>
        <v/>
      </c>
      <c r="I601" s="4">
        <f>IF(E601="","",HYPERLINK(IFERROR(INDEX('Base de sorteio'!$J$3:$J$1723,MATCH($B601&amp;"|"&amp;$C601,'Base de sorteio'!$I$3:$I$1723,0)),""),"abrir"))</f>
        <v/>
      </c>
      <c r="J601" s="4" t="n"/>
      <c r="K601" s="4" t="n"/>
      <c r="L601" s="4" t="n"/>
      <c r="M601" s="4" t="n"/>
      <c r="N601" s="4">
        <f>IF(AND(K601="",M601=""),"",IF(OR(K601="sim",M601="sim"),"sim",IF(OR(K601="inconclusivo",M601="inconclusivo"),"inconclusivo","não")))</f>
        <v/>
      </c>
      <c r="O601" s="5">
        <f>IF(N601="sim",COUNTIFS($B$3:$B601,$B601,$N$3:$N601,"sim"),"")</f>
        <v/>
      </c>
      <c r="P601" s="5" t="n"/>
      <c r="Q601" s="4" t="n"/>
      <c r="R601" s="5" t="n"/>
      <c r="S601" s="9" t="n"/>
      <c r="T601" s="4" t="n"/>
    </row>
    <row r="602">
      <c r="A602" s="5">
        <f>ROW()-2</f>
        <v/>
      </c>
      <c r="B602" s="4" t="inlineStr">
        <is>
          <t>Metrópole</t>
        </is>
      </c>
      <c r="C602" s="5" t="n">
        <v>600</v>
      </c>
      <c r="D602" s="5">
        <f>IFERROR(INDEX('Base de sorteio'!$A$3:$A$1723,MATCH($B602&amp;"|"&amp;$C602,'Base de sorteio'!$I$3:$I$1723,0)),"")</f>
        <v/>
      </c>
      <c r="E602" s="4">
        <f>IFERROR(INDEX('Base de sorteio'!$B$3:$B$1723,MATCH($B602&amp;"|"&amp;$C602,'Base de sorteio'!$I$3:$I$1723,0)),"")</f>
        <v/>
      </c>
      <c r="F602" s="4">
        <f>IFERROR(INDEX('Base de sorteio'!$C$3:$C$1723,MATCH($B602&amp;"|"&amp;$C602,'Base de sorteio'!$I$3:$I$1723,0)),"")</f>
        <v/>
      </c>
      <c r="G602" s="4">
        <f>IFERROR(INDEX('Base de sorteio'!$D$3:$D$1723,MATCH($B602&amp;"|"&amp;$C602,'Base de sorteio'!$I$3:$I$1723,0)),"")</f>
        <v/>
      </c>
      <c r="H602" s="4">
        <f>IFERROR(INDEX('Base de sorteio'!$E$3:$E$1723,MATCH($B602&amp;"|"&amp;$C602,'Base de sorteio'!$I$3:$I$1723,0)),"")</f>
        <v/>
      </c>
      <c r="I602" s="4">
        <f>IF(E602="","",HYPERLINK(IFERROR(INDEX('Base de sorteio'!$J$3:$J$1723,MATCH($B602&amp;"|"&amp;$C602,'Base de sorteio'!$I$3:$I$1723,0)),""),"abrir"))</f>
        <v/>
      </c>
      <c r="J602" s="4" t="n"/>
      <c r="K602" s="4" t="n"/>
      <c r="L602" s="4" t="n"/>
      <c r="M602" s="4" t="n"/>
      <c r="N602" s="4">
        <f>IF(AND(K602="",M602=""),"",IF(OR(K602="sim",M602="sim"),"sim",IF(OR(K602="inconclusivo",M602="inconclusivo"),"inconclusivo","não")))</f>
        <v/>
      </c>
      <c r="O602" s="5">
        <f>IF(N602="sim",COUNTIFS($B$3:$B602,$B602,$N$3:$N602,"sim"),"")</f>
        <v/>
      </c>
      <c r="P602" s="5" t="n"/>
      <c r="Q602" s="4" t="n"/>
      <c r="R602" s="5" t="n"/>
      <c r="S602" s="9" t="n"/>
      <c r="T602" s="4" t="n"/>
    </row>
    <row r="603">
      <c r="A603" s="5">
        <f>ROW()-2</f>
        <v/>
      </c>
      <c r="B603" s="4" t="inlineStr">
        <is>
          <t>Metrópole</t>
        </is>
      </c>
      <c r="C603" s="5" t="n">
        <v>601</v>
      </c>
      <c r="D603" s="5">
        <f>IFERROR(INDEX('Base de sorteio'!$A$3:$A$1723,MATCH($B603&amp;"|"&amp;$C603,'Base de sorteio'!$I$3:$I$1723,0)),"")</f>
        <v/>
      </c>
      <c r="E603" s="4">
        <f>IFERROR(INDEX('Base de sorteio'!$B$3:$B$1723,MATCH($B603&amp;"|"&amp;$C603,'Base de sorteio'!$I$3:$I$1723,0)),"")</f>
        <v/>
      </c>
      <c r="F603" s="4">
        <f>IFERROR(INDEX('Base de sorteio'!$C$3:$C$1723,MATCH($B603&amp;"|"&amp;$C603,'Base de sorteio'!$I$3:$I$1723,0)),"")</f>
        <v/>
      </c>
      <c r="G603" s="4">
        <f>IFERROR(INDEX('Base de sorteio'!$D$3:$D$1723,MATCH($B603&amp;"|"&amp;$C603,'Base de sorteio'!$I$3:$I$1723,0)),"")</f>
        <v/>
      </c>
      <c r="H603" s="4">
        <f>IFERROR(INDEX('Base de sorteio'!$E$3:$E$1723,MATCH($B603&amp;"|"&amp;$C603,'Base de sorteio'!$I$3:$I$1723,0)),"")</f>
        <v/>
      </c>
      <c r="I603" s="4">
        <f>IF(E603="","",HYPERLINK(IFERROR(INDEX('Base de sorteio'!$J$3:$J$1723,MATCH($B603&amp;"|"&amp;$C603,'Base de sorteio'!$I$3:$I$1723,0)),""),"abrir"))</f>
        <v/>
      </c>
      <c r="J603" s="4" t="n"/>
      <c r="K603" s="4" t="n"/>
      <c r="L603" s="4" t="n"/>
      <c r="M603" s="4" t="n"/>
      <c r="N603" s="4">
        <f>IF(AND(K603="",M603=""),"",IF(OR(K603="sim",M603="sim"),"sim",IF(OR(K603="inconclusivo",M603="inconclusivo"),"inconclusivo","não")))</f>
        <v/>
      </c>
      <c r="O603" s="5">
        <f>IF(N603="sim",COUNTIFS($B$3:$B603,$B603,$N$3:$N603,"sim"),"")</f>
        <v/>
      </c>
      <c r="P603" s="5" t="n"/>
      <c r="Q603" s="4" t="n"/>
      <c r="R603" s="5" t="n"/>
      <c r="S603" s="9" t="n"/>
      <c r="T603" s="4" t="n"/>
    </row>
    <row r="604">
      <c r="A604" s="5">
        <f>ROW()-2</f>
        <v/>
      </c>
      <c r="B604" s="4" t="inlineStr">
        <is>
          <t>Metrópole</t>
        </is>
      </c>
      <c r="C604" s="5" t="n">
        <v>602</v>
      </c>
      <c r="D604" s="5">
        <f>IFERROR(INDEX('Base de sorteio'!$A$3:$A$1723,MATCH($B604&amp;"|"&amp;$C604,'Base de sorteio'!$I$3:$I$1723,0)),"")</f>
        <v/>
      </c>
      <c r="E604" s="4">
        <f>IFERROR(INDEX('Base de sorteio'!$B$3:$B$1723,MATCH($B604&amp;"|"&amp;$C604,'Base de sorteio'!$I$3:$I$1723,0)),"")</f>
        <v/>
      </c>
      <c r="F604" s="4">
        <f>IFERROR(INDEX('Base de sorteio'!$C$3:$C$1723,MATCH($B604&amp;"|"&amp;$C604,'Base de sorteio'!$I$3:$I$1723,0)),"")</f>
        <v/>
      </c>
      <c r="G604" s="4">
        <f>IFERROR(INDEX('Base de sorteio'!$D$3:$D$1723,MATCH($B604&amp;"|"&amp;$C604,'Base de sorteio'!$I$3:$I$1723,0)),"")</f>
        <v/>
      </c>
      <c r="H604" s="4">
        <f>IFERROR(INDEX('Base de sorteio'!$E$3:$E$1723,MATCH($B604&amp;"|"&amp;$C604,'Base de sorteio'!$I$3:$I$1723,0)),"")</f>
        <v/>
      </c>
      <c r="I604" s="4">
        <f>IF(E604="","",HYPERLINK(IFERROR(INDEX('Base de sorteio'!$J$3:$J$1723,MATCH($B604&amp;"|"&amp;$C604,'Base de sorteio'!$I$3:$I$1723,0)),""),"abrir"))</f>
        <v/>
      </c>
      <c r="J604" s="4" t="n"/>
      <c r="K604" s="4" t="n"/>
      <c r="L604" s="4" t="n"/>
      <c r="M604" s="4" t="n"/>
      <c r="N604" s="4">
        <f>IF(AND(K604="",M604=""),"",IF(OR(K604="sim",M604="sim"),"sim",IF(OR(K604="inconclusivo",M604="inconclusivo"),"inconclusivo","não")))</f>
        <v/>
      </c>
      <c r="O604" s="5">
        <f>IF(N604="sim",COUNTIFS($B$3:$B604,$B604,$N$3:$N604,"sim"),"")</f>
        <v/>
      </c>
      <c r="P604" s="5" t="n"/>
      <c r="Q604" s="4" t="n"/>
      <c r="R604" s="5" t="n"/>
      <c r="S604" s="9" t="n"/>
      <c r="T604" s="4" t="n"/>
    </row>
    <row r="605">
      <c r="A605" s="5">
        <f>ROW()-2</f>
        <v/>
      </c>
      <c r="B605" s="4" t="inlineStr">
        <is>
          <t>Metrópole</t>
        </is>
      </c>
      <c r="C605" s="5" t="n">
        <v>603</v>
      </c>
      <c r="D605" s="5">
        <f>IFERROR(INDEX('Base de sorteio'!$A$3:$A$1723,MATCH($B605&amp;"|"&amp;$C605,'Base de sorteio'!$I$3:$I$1723,0)),"")</f>
        <v/>
      </c>
      <c r="E605" s="4">
        <f>IFERROR(INDEX('Base de sorteio'!$B$3:$B$1723,MATCH($B605&amp;"|"&amp;$C605,'Base de sorteio'!$I$3:$I$1723,0)),"")</f>
        <v/>
      </c>
      <c r="F605" s="4">
        <f>IFERROR(INDEX('Base de sorteio'!$C$3:$C$1723,MATCH($B605&amp;"|"&amp;$C605,'Base de sorteio'!$I$3:$I$1723,0)),"")</f>
        <v/>
      </c>
      <c r="G605" s="4">
        <f>IFERROR(INDEX('Base de sorteio'!$D$3:$D$1723,MATCH($B605&amp;"|"&amp;$C605,'Base de sorteio'!$I$3:$I$1723,0)),"")</f>
        <v/>
      </c>
      <c r="H605" s="4">
        <f>IFERROR(INDEX('Base de sorteio'!$E$3:$E$1723,MATCH($B605&amp;"|"&amp;$C605,'Base de sorteio'!$I$3:$I$1723,0)),"")</f>
        <v/>
      </c>
      <c r="I605" s="4">
        <f>IF(E605="","",HYPERLINK(IFERROR(INDEX('Base de sorteio'!$J$3:$J$1723,MATCH($B605&amp;"|"&amp;$C605,'Base de sorteio'!$I$3:$I$1723,0)),""),"abrir"))</f>
        <v/>
      </c>
      <c r="J605" s="4" t="n"/>
      <c r="K605" s="4" t="n"/>
      <c r="L605" s="4" t="n"/>
      <c r="M605" s="4" t="n"/>
      <c r="N605" s="4">
        <f>IF(AND(K605="",M605=""),"",IF(OR(K605="sim",M605="sim"),"sim",IF(OR(K605="inconclusivo",M605="inconclusivo"),"inconclusivo","não")))</f>
        <v/>
      </c>
      <c r="O605" s="5">
        <f>IF(N605="sim",COUNTIFS($B$3:$B605,$B605,$N$3:$N605,"sim"),"")</f>
        <v/>
      </c>
      <c r="P605" s="5" t="n"/>
      <c r="Q605" s="4" t="n"/>
      <c r="R605" s="5" t="n"/>
      <c r="S605" s="9" t="n"/>
      <c r="T605" s="4" t="n"/>
    </row>
    <row r="606">
      <c r="A606" s="5">
        <f>ROW()-2</f>
        <v/>
      </c>
      <c r="B606" s="4" t="inlineStr">
        <is>
          <t>Metrópole</t>
        </is>
      </c>
      <c r="C606" s="5" t="n">
        <v>604</v>
      </c>
      <c r="D606" s="5">
        <f>IFERROR(INDEX('Base de sorteio'!$A$3:$A$1723,MATCH($B606&amp;"|"&amp;$C606,'Base de sorteio'!$I$3:$I$1723,0)),"")</f>
        <v/>
      </c>
      <c r="E606" s="4">
        <f>IFERROR(INDEX('Base de sorteio'!$B$3:$B$1723,MATCH($B606&amp;"|"&amp;$C606,'Base de sorteio'!$I$3:$I$1723,0)),"")</f>
        <v/>
      </c>
      <c r="F606" s="4">
        <f>IFERROR(INDEX('Base de sorteio'!$C$3:$C$1723,MATCH($B606&amp;"|"&amp;$C606,'Base de sorteio'!$I$3:$I$1723,0)),"")</f>
        <v/>
      </c>
      <c r="G606" s="4">
        <f>IFERROR(INDEX('Base de sorteio'!$D$3:$D$1723,MATCH($B606&amp;"|"&amp;$C606,'Base de sorteio'!$I$3:$I$1723,0)),"")</f>
        <v/>
      </c>
      <c r="H606" s="4">
        <f>IFERROR(INDEX('Base de sorteio'!$E$3:$E$1723,MATCH($B606&amp;"|"&amp;$C606,'Base de sorteio'!$I$3:$I$1723,0)),"")</f>
        <v/>
      </c>
      <c r="I606" s="4">
        <f>IF(E606="","",HYPERLINK(IFERROR(INDEX('Base de sorteio'!$J$3:$J$1723,MATCH($B606&amp;"|"&amp;$C606,'Base de sorteio'!$I$3:$I$1723,0)),""),"abrir"))</f>
        <v/>
      </c>
      <c r="J606" s="4" t="n"/>
      <c r="K606" s="4" t="n"/>
      <c r="L606" s="4" t="n"/>
      <c r="M606" s="4" t="n"/>
      <c r="N606" s="4">
        <f>IF(AND(K606="",M606=""),"",IF(OR(K606="sim",M606="sim"),"sim",IF(OR(K606="inconclusivo",M606="inconclusivo"),"inconclusivo","não")))</f>
        <v/>
      </c>
      <c r="O606" s="5">
        <f>IF(N606="sim",COUNTIFS($B$3:$B606,$B606,$N$3:$N606,"sim"),"")</f>
        <v/>
      </c>
      <c r="P606" s="5" t="n"/>
      <c r="Q606" s="4" t="n"/>
      <c r="R606" s="5" t="n"/>
      <c r="S606" s="9" t="n"/>
      <c r="T606" s="4" t="n"/>
    </row>
    <row r="607">
      <c r="A607" s="5">
        <f>ROW()-2</f>
        <v/>
      </c>
      <c r="B607" s="4" t="inlineStr">
        <is>
          <t>Metrópole</t>
        </is>
      </c>
      <c r="C607" s="5" t="n">
        <v>605</v>
      </c>
      <c r="D607" s="5">
        <f>IFERROR(INDEX('Base de sorteio'!$A$3:$A$1723,MATCH($B607&amp;"|"&amp;$C607,'Base de sorteio'!$I$3:$I$1723,0)),"")</f>
        <v/>
      </c>
      <c r="E607" s="4">
        <f>IFERROR(INDEX('Base de sorteio'!$B$3:$B$1723,MATCH($B607&amp;"|"&amp;$C607,'Base de sorteio'!$I$3:$I$1723,0)),"")</f>
        <v/>
      </c>
      <c r="F607" s="4">
        <f>IFERROR(INDEX('Base de sorteio'!$C$3:$C$1723,MATCH($B607&amp;"|"&amp;$C607,'Base de sorteio'!$I$3:$I$1723,0)),"")</f>
        <v/>
      </c>
      <c r="G607" s="4">
        <f>IFERROR(INDEX('Base de sorteio'!$D$3:$D$1723,MATCH($B607&amp;"|"&amp;$C607,'Base de sorteio'!$I$3:$I$1723,0)),"")</f>
        <v/>
      </c>
      <c r="H607" s="4">
        <f>IFERROR(INDEX('Base de sorteio'!$E$3:$E$1723,MATCH($B607&amp;"|"&amp;$C607,'Base de sorteio'!$I$3:$I$1723,0)),"")</f>
        <v/>
      </c>
      <c r="I607" s="4">
        <f>IF(E607="","",HYPERLINK(IFERROR(INDEX('Base de sorteio'!$J$3:$J$1723,MATCH($B607&amp;"|"&amp;$C607,'Base de sorteio'!$I$3:$I$1723,0)),""),"abrir"))</f>
        <v/>
      </c>
      <c r="J607" s="4" t="n"/>
      <c r="K607" s="4" t="n"/>
      <c r="L607" s="4" t="n"/>
      <c r="M607" s="4" t="n"/>
      <c r="N607" s="4">
        <f>IF(AND(K607="",M607=""),"",IF(OR(K607="sim",M607="sim"),"sim",IF(OR(K607="inconclusivo",M607="inconclusivo"),"inconclusivo","não")))</f>
        <v/>
      </c>
      <c r="O607" s="5">
        <f>IF(N607="sim",COUNTIFS($B$3:$B607,$B607,$N$3:$N607,"sim"),"")</f>
        <v/>
      </c>
      <c r="P607" s="5" t="n"/>
      <c r="Q607" s="4" t="n"/>
      <c r="R607" s="5" t="n"/>
      <c r="S607" s="9" t="n"/>
      <c r="T607" s="4" t="n"/>
    </row>
    <row r="608">
      <c r="A608" s="5">
        <f>ROW()-2</f>
        <v/>
      </c>
      <c r="B608" s="4" t="inlineStr">
        <is>
          <t>Metrópole</t>
        </is>
      </c>
      <c r="C608" s="5" t="n">
        <v>606</v>
      </c>
      <c r="D608" s="5">
        <f>IFERROR(INDEX('Base de sorteio'!$A$3:$A$1723,MATCH($B608&amp;"|"&amp;$C608,'Base de sorteio'!$I$3:$I$1723,0)),"")</f>
        <v/>
      </c>
      <c r="E608" s="4">
        <f>IFERROR(INDEX('Base de sorteio'!$B$3:$B$1723,MATCH($B608&amp;"|"&amp;$C608,'Base de sorteio'!$I$3:$I$1723,0)),"")</f>
        <v/>
      </c>
      <c r="F608" s="4">
        <f>IFERROR(INDEX('Base de sorteio'!$C$3:$C$1723,MATCH($B608&amp;"|"&amp;$C608,'Base de sorteio'!$I$3:$I$1723,0)),"")</f>
        <v/>
      </c>
      <c r="G608" s="4">
        <f>IFERROR(INDEX('Base de sorteio'!$D$3:$D$1723,MATCH($B608&amp;"|"&amp;$C608,'Base de sorteio'!$I$3:$I$1723,0)),"")</f>
        <v/>
      </c>
      <c r="H608" s="4">
        <f>IFERROR(INDEX('Base de sorteio'!$E$3:$E$1723,MATCH($B608&amp;"|"&amp;$C608,'Base de sorteio'!$I$3:$I$1723,0)),"")</f>
        <v/>
      </c>
      <c r="I608" s="4">
        <f>IF(E608="","",HYPERLINK(IFERROR(INDEX('Base de sorteio'!$J$3:$J$1723,MATCH($B608&amp;"|"&amp;$C608,'Base de sorteio'!$I$3:$I$1723,0)),""),"abrir"))</f>
        <v/>
      </c>
      <c r="J608" s="4" t="n"/>
      <c r="K608" s="4" t="n"/>
      <c r="L608" s="4" t="n"/>
      <c r="M608" s="4" t="n"/>
      <c r="N608" s="4">
        <f>IF(AND(K608="",M608=""),"",IF(OR(K608="sim",M608="sim"),"sim",IF(OR(K608="inconclusivo",M608="inconclusivo"),"inconclusivo","não")))</f>
        <v/>
      </c>
      <c r="O608" s="5">
        <f>IF(N608="sim",COUNTIFS($B$3:$B608,$B608,$N$3:$N608,"sim"),"")</f>
        <v/>
      </c>
      <c r="P608" s="5" t="n"/>
      <c r="Q608" s="4" t="n"/>
      <c r="R608" s="5" t="n"/>
      <c r="S608" s="9" t="n"/>
      <c r="T608" s="4" t="n"/>
    </row>
    <row r="609">
      <c r="A609" s="5">
        <f>ROW()-2</f>
        <v/>
      </c>
      <c r="B609" s="4" t="inlineStr">
        <is>
          <t>Metrópole</t>
        </is>
      </c>
      <c r="C609" s="5" t="n">
        <v>607</v>
      </c>
      <c r="D609" s="5">
        <f>IFERROR(INDEX('Base de sorteio'!$A$3:$A$1723,MATCH($B609&amp;"|"&amp;$C609,'Base de sorteio'!$I$3:$I$1723,0)),"")</f>
        <v/>
      </c>
      <c r="E609" s="4">
        <f>IFERROR(INDEX('Base de sorteio'!$B$3:$B$1723,MATCH($B609&amp;"|"&amp;$C609,'Base de sorteio'!$I$3:$I$1723,0)),"")</f>
        <v/>
      </c>
      <c r="F609" s="4">
        <f>IFERROR(INDEX('Base de sorteio'!$C$3:$C$1723,MATCH($B609&amp;"|"&amp;$C609,'Base de sorteio'!$I$3:$I$1723,0)),"")</f>
        <v/>
      </c>
      <c r="G609" s="4">
        <f>IFERROR(INDEX('Base de sorteio'!$D$3:$D$1723,MATCH($B609&amp;"|"&amp;$C609,'Base de sorteio'!$I$3:$I$1723,0)),"")</f>
        <v/>
      </c>
      <c r="H609" s="4">
        <f>IFERROR(INDEX('Base de sorteio'!$E$3:$E$1723,MATCH($B609&amp;"|"&amp;$C609,'Base de sorteio'!$I$3:$I$1723,0)),"")</f>
        <v/>
      </c>
      <c r="I609" s="4">
        <f>IF(E609="","",HYPERLINK(IFERROR(INDEX('Base de sorteio'!$J$3:$J$1723,MATCH($B609&amp;"|"&amp;$C609,'Base de sorteio'!$I$3:$I$1723,0)),""),"abrir"))</f>
        <v/>
      </c>
      <c r="J609" s="4" t="n"/>
      <c r="K609" s="4" t="n"/>
      <c r="L609" s="4" t="n"/>
      <c r="M609" s="4" t="n"/>
      <c r="N609" s="4">
        <f>IF(AND(K609="",M609=""),"",IF(OR(K609="sim",M609="sim"),"sim",IF(OR(K609="inconclusivo",M609="inconclusivo"),"inconclusivo","não")))</f>
        <v/>
      </c>
      <c r="O609" s="5">
        <f>IF(N609="sim",COUNTIFS($B$3:$B609,$B609,$N$3:$N609,"sim"),"")</f>
        <v/>
      </c>
      <c r="P609" s="5" t="n"/>
      <c r="Q609" s="4" t="n"/>
      <c r="R609" s="5" t="n"/>
      <c r="S609" s="9" t="n"/>
      <c r="T609" s="4" t="n"/>
    </row>
    <row r="610">
      <c r="A610" s="5">
        <f>ROW()-2</f>
        <v/>
      </c>
      <c r="B610" s="4" t="inlineStr">
        <is>
          <t>Metrópole</t>
        </is>
      </c>
      <c r="C610" s="5" t="n">
        <v>608</v>
      </c>
      <c r="D610" s="5">
        <f>IFERROR(INDEX('Base de sorteio'!$A$3:$A$1723,MATCH($B610&amp;"|"&amp;$C610,'Base de sorteio'!$I$3:$I$1723,0)),"")</f>
        <v/>
      </c>
      <c r="E610" s="4">
        <f>IFERROR(INDEX('Base de sorteio'!$B$3:$B$1723,MATCH($B610&amp;"|"&amp;$C610,'Base de sorteio'!$I$3:$I$1723,0)),"")</f>
        <v/>
      </c>
      <c r="F610" s="4">
        <f>IFERROR(INDEX('Base de sorteio'!$C$3:$C$1723,MATCH($B610&amp;"|"&amp;$C610,'Base de sorteio'!$I$3:$I$1723,0)),"")</f>
        <v/>
      </c>
      <c r="G610" s="4">
        <f>IFERROR(INDEX('Base de sorteio'!$D$3:$D$1723,MATCH($B610&amp;"|"&amp;$C610,'Base de sorteio'!$I$3:$I$1723,0)),"")</f>
        <v/>
      </c>
      <c r="H610" s="4">
        <f>IFERROR(INDEX('Base de sorteio'!$E$3:$E$1723,MATCH($B610&amp;"|"&amp;$C610,'Base de sorteio'!$I$3:$I$1723,0)),"")</f>
        <v/>
      </c>
      <c r="I610" s="4">
        <f>IF(E610="","",HYPERLINK(IFERROR(INDEX('Base de sorteio'!$J$3:$J$1723,MATCH($B610&amp;"|"&amp;$C610,'Base de sorteio'!$I$3:$I$1723,0)),""),"abrir"))</f>
        <v/>
      </c>
      <c r="J610" s="4" t="n"/>
      <c r="K610" s="4" t="n"/>
      <c r="L610" s="4" t="n"/>
      <c r="M610" s="4" t="n"/>
      <c r="N610" s="4">
        <f>IF(AND(K610="",M610=""),"",IF(OR(K610="sim",M610="sim"),"sim",IF(OR(K610="inconclusivo",M610="inconclusivo"),"inconclusivo","não")))</f>
        <v/>
      </c>
      <c r="O610" s="5">
        <f>IF(N610="sim",COUNTIFS($B$3:$B610,$B610,$N$3:$N610,"sim"),"")</f>
        <v/>
      </c>
      <c r="P610" s="5" t="n"/>
      <c r="Q610" s="4" t="n"/>
      <c r="R610" s="5" t="n"/>
      <c r="S610" s="9" t="n"/>
      <c r="T610" s="4" t="n"/>
    </row>
    <row r="611">
      <c r="A611" s="5">
        <f>ROW()-2</f>
        <v/>
      </c>
      <c r="B611" s="4" t="inlineStr">
        <is>
          <t>Metrópole</t>
        </is>
      </c>
      <c r="C611" s="5" t="n">
        <v>609</v>
      </c>
      <c r="D611" s="5">
        <f>IFERROR(INDEX('Base de sorteio'!$A$3:$A$1723,MATCH($B611&amp;"|"&amp;$C611,'Base de sorteio'!$I$3:$I$1723,0)),"")</f>
        <v/>
      </c>
      <c r="E611" s="4">
        <f>IFERROR(INDEX('Base de sorteio'!$B$3:$B$1723,MATCH($B611&amp;"|"&amp;$C611,'Base de sorteio'!$I$3:$I$1723,0)),"")</f>
        <v/>
      </c>
      <c r="F611" s="4">
        <f>IFERROR(INDEX('Base de sorteio'!$C$3:$C$1723,MATCH($B611&amp;"|"&amp;$C611,'Base de sorteio'!$I$3:$I$1723,0)),"")</f>
        <v/>
      </c>
      <c r="G611" s="4">
        <f>IFERROR(INDEX('Base de sorteio'!$D$3:$D$1723,MATCH($B611&amp;"|"&amp;$C611,'Base de sorteio'!$I$3:$I$1723,0)),"")</f>
        <v/>
      </c>
      <c r="H611" s="4">
        <f>IFERROR(INDEX('Base de sorteio'!$E$3:$E$1723,MATCH($B611&amp;"|"&amp;$C611,'Base de sorteio'!$I$3:$I$1723,0)),"")</f>
        <v/>
      </c>
      <c r="I611" s="4">
        <f>IF(E611="","",HYPERLINK(IFERROR(INDEX('Base de sorteio'!$J$3:$J$1723,MATCH($B611&amp;"|"&amp;$C611,'Base de sorteio'!$I$3:$I$1723,0)),""),"abrir"))</f>
        <v/>
      </c>
      <c r="J611" s="4" t="n"/>
      <c r="K611" s="4" t="n"/>
      <c r="L611" s="4" t="n"/>
      <c r="M611" s="4" t="n"/>
      <c r="N611" s="4">
        <f>IF(AND(K611="",M611=""),"",IF(OR(K611="sim",M611="sim"),"sim",IF(OR(K611="inconclusivo",M611="inconclusivo"),"inconclusivo","não")))</f>
        <v/>
      </c>
      <c r="O611" s="5">
        <f>IF(N611="sim",COUNTIFS($B$3:$B611,$B611,$N$3:$N611,"sim"),"")</f>
        <v/>
      </c>
      <c r="P611" s="5" t="n"/>
      <c r="Q611" s="4" t="n"/>
      <c r="R611" s="5" t="n"/>
      <c r="S611" s="9" t="n"/>
      <c r="T611" s="4" t="n"/>
    </row>
    <row r="612">
      <c r="A612" s="5">
        <f>ROW()-2</f>
        <v/>
      </c>
      <c r="B612" s="4" t="inlineStr">
        <is>
          <t>Metrópole</t>
        </is>
      </c>
      <c r="C612" s="5" t="n">
        <v>610</v>
      </c>
      <c r="D612" s="5">
        <f>IFERROR(INDEX('Base de sorteio'!$A$3:$A$1723,MATCH($B612&amp;"|"&amp;$C612,'Base de sorteio'!$I$3:$I$1723,0)),"")</f>
        <v/>
      </c>
      <c r="E612" s="4">
        <f>IFERROR(INDEX('Base de sorteio'!$B$3:$B$1723,MATCH($B612&amp;"|"&amp;$C612,'Base de sorteio'!$I$3:$I$1723,0)),"")</f>
        <v/>
      </c>
      <c r="F612" s="4">
        <f>IFERROR(INDEX('Base de sorteio'!$C$3:$C$1723,MATCH($B612&amp;"|"&amp;$C612,'Base de sorteio'!$I$3:$I$1723,0)),"")</f>
        <v/>
      </c>
      <c r="G612" s="4">
        <f>IFERROR(INDEX('Base de sorteio'!$D$3:$D$1723,MATCH($B612&amp;"|"&amp;$C612,'Base de sorteio'!$I$3:$I$1723,0)),"")</f>
        <v/>
      </c>
      <c r="H612" s="4">
        <f>IFERROR(INDEX('Base de sorteio'!$E$3:$E$1723,MATCH($B612&amp;"|"&amp;$C612,'Base de sorteio'!$I$3:$I$1723,0)),"")</f>
        <v/>
      </c>
      <c r="I612" s="4">
        <f>IF(E612="","",HYPERLINK(IFERROR(INDEX('Base de sorteio'!$J$3:$J$1723,MATCH($B612&amp;"|"&amp;$C612,'Base de sorteio'!$I$3:$I$1723,0)),""),"abrir"))</f>
        <v/>
      </c>
      <c r="J612" s="4" t="n"/>
      <c r="K612" s="4" t="n"/>
      <c r="L612" s="4" t="n"/>
      <c r="M612" s="4" t="n"/>
      <c r="N612" s="4">
        <f>IF(AND(K612="",M612=""),"",IF(OR(K612="sim",M612="sim"),"sim",IF(OR(K612="inconclusivo",M612="inconclusivo"),"inconclusivo","não")))</f>
        <v/>
      </c>
      <c r="O612" s="5">
        <f>IF(N612="sim",COUNTIFS($B$3:$B612,$B612,$N$3:$N612,"sim"),"")</f>
        <v/>
      </c>
      <c r="P612" s="5" t="n"/>
      <c r="Q612" s="4" t="n"/>
      <c r="R612" s="5" t="n"/>
      <c r="S612" s="9" t="n"/>
      <c r="T612" s="4" t="n"/>
    </row>
    <row r="613">
      <c r="A613" s="5">
        <f>ROW()-2</f>
        <v/>
      </c>
      <c r="B613" s="4" t="inlineStr">
        <is>
          <t>Metrópole</t>
        </is>
      </c>
      <c r="C613" s="5" t="n">
        <v>611</v>
      </c>
      <c r="D613" s="5">
        <f>IFERROR(INDEX('Base de sorteio'!$A$3:$A$1723,MATCH($B613&amp;"|"&amp;$C613,'Base de sorteio'!$I$3:$I$1723,0)),"")</f>
        <v/>
      </c>
      <c r="E613" s="4">
        <f>IFERROR(INDEX('Base de sorteio'!$B$3:$B$1723,MATCH($B613&amp;"|"&amp;$C613,'Base de sorteio'!$I$3:$I$1723,0)),"")</f>
        <v/>
      </c>
      <c r="F613" s="4">
        <f>IFERROR(INDEX('Base de sorteio'!$C$3:$C$1723,MATCH($B613&amp;"|"&amp;$C613,'Base de sorteio'!$I$3:$I$1723,0)),"")</f>
        <v/>
      </c>
      <c r="G613" s="4">
        <f>IFERROR(INDEX('Base de sorteio'!$D$3:$D$1723,MATCH($B613&amp;"|"&amp;$C613,'Base de sorteio'!$I$3:$I$1723,0)),"")</f>
        <v/>
      </c>
      <c r="H613" s="4">
        <f>IFERROR(INDEX('Base de sorteio'!$E$3:$E$1723,MATCH($B613&amp;"|"&amp;$C613,'Base de sorteio'!$I$3:$I$1723,0)),"")</f>
        <v/>
      </c>
      <c r="I613" s="4">
        <f>IF(E613="","",HYPERLINK(IFERROR(INDEX('Base de sorteio'!$J$3:$J$1723,MATCH($B613&amp;"|"&amp;$C613,'Base de sorteio'!$I$3:$I$1723,0)),""),"abrir"))</f>
        <v/>
      </c>
      <c r="J613" s="4" t="n"/>
      <c r="K613" s="4" t="n"/>
      <c r="L613" s="4" t="n"/>
      <c r="M613" s="4" t="n"/>
      <c r="N613" s="4">
        <f>IF(AND(K613="",M613=""),"",IF(OR(K613="sim",M613="sim"),"sim",IF(OR(K613="inconclusivo",M613="inconclusivo"),"inconclusivo","não")))</f>
        <v/>
      </c>
      <c r="O613" s="5">
        <f>IF(N613="sim",COUNTIFS($B$3:$B613,$B613,$N$3:$N613,"sim"),"")</f>
        <v/>
      </c>
      <c r="P613" s="5" t="n"/>
      <c r="Q613" s="4" t="n"/>
      <c r="R613" s="5" t="n"/>
      <c r="S613" s="9" t="n"/>
      <c r="T613" s="4" t="n"/>
    </row>
    <row r="614">
      <c r="A614" s="5">
        <f>ROW()-2</f>
        <v/>
      </c>
      <c r="B614" s="4" t="inlineStr">
        <is>
          <t>Metrópole</t>
        </is>
      </c>
      <c r="C614" s="5" t="n">
        <v>612</v>
      </c>
      <c r="D614" s="5">
        <f>IFERROR(INDEX('Base de sorteio'!$A$3:$A$1723,MATCH($B614&amp;"|"&amp;$C614,'Base de sorteio'!$I$3:$I$1723,0)),"")</f>
        <v/>
      </c>
      <c r="E614" s="4">
        <f>IFERROR(INDEX('Base de sorteio'!$B$3:$B$1723,MATCH($B614&amp;"|"&amp;$C614,'Base de sorteio'!$I$3:$I$1723,0)),"")</f>
        <v/>
      </c>
      <c r="F614" s="4">
        <f>IFERROR(INDEX('Base de sorteio'!$C$3:$C$1723,MATCH($B614&amp;"|"&amp;$C614,'Base de sorteio'!$I$3:$I$1723,0)),"")</f>
        <v/>
      </c>
      <c r="G614" s="4">
        <f>IFERROR(INDEX('Base de sorteio'!$D$3:$D$1723,MATCH($B614&amp;"|"&amp;$C614,'Base de sorteio'!$I$3:$I$1723,0)),"")</f>
        <v/>
      </c>
      <c r="H614" s="4">
        <f>IFERROR(INDEX('Base de sorteio'!$E$3:$E$1723,MATCH($B614&amp;"|"&amp;$C614,'Base de sorteio'!$I$3:$I$1723,0)),"")</f>
        <v/>
      </c>
      <c r="I614" s="4">
        <f>IF(E614="","",HYPERLINK(IFERROR(INDEX('Base de sorteio'!$J$3:$J$1723,MATCH($B614&amp;"|"&amp;$C614,'Base de sorteio'!$I$3:$I$1723,0)),""),"abrir"))</f>
        <v/>
      </c>
      <c r="J614" s="4" t="n"/>
      <c r="K614" s="4" t="n"/>
      <c r="L614" s="4" t="n"/>
      <c r="M614" s="4" t="n"/>
      <c r="N614" s="4">
        <f>IF(AND(K614="",M614=""),"",IF(OR(K614="sim",M614="sim"),"sim",IF(OR(K614="inconclusivo",M614="inconclusivo"),"inconclusivo","não")))</f>
        <v/>
      </c>
      <c r="O614" s="5">
        <f>IF(N614="sim",COUNTIFS($B$3:$B614,$B614,$N$3:$N614,"sim"),"")</f>
        <v/>
      </c>
      <c r="P614" s="5" t="n"/>
      <c r="Q614" s="4" t="n"/>
      <c r="R614" s="5" t="n"/>
      <c r="S614" s="9" t="n"/>
      <c r="T614" s="4" t="n"/>
    </row>
    <row r="615">
      <c r="A615" s="5">
        <f>ROW()-2</f>
        <v/>
      </c>
      <c r="B615" s="4" t="inlineStr">
        <is>
          <t>Metrópole</t>
        </is>
      </c>
      <c r="C615" s="5" t="n">
        <v>613</v>
      </c>
      <c r="D615" s="5">
        <f>IFERROR(INDEX('Base de sorteio'!$A$3:$A$1723,MATCH($B615&amp;"|"&amp;$C615,'Base de sorteio'!$I$3:$I$1723,0)),"")</f>
        <v/>
      </c>
      <c r="E615" s="4">
        <f>IFERROR(INDEX('Base de sorteio'!$B$3:$B$1723,MATCH($B615&amp;"|"&amp;$C615,'Base de sorteio'!$I$3:$I$1723,0)),"")</f>
        <v/>
      </c>
      <c r="F615" s="4">
        <f>IFERROR(INDEX('Base de sorteio'!$C$3:$C$1723,MATCH($B615&amp;"|"&amp;$C615,'Base de sorteio'!$I$3:$I$1723,0)),"")</f>
        <v/>
      </c>
      <c r="G615" s="4">
        <f>IFERROR(INDEX('Base de sorteio'!$D$3:$D$1723,MATCH($B615&amp;"|"&amp;$C615,'Base de sorteio'!$I$3:$I$1723,0)),"")</f>
        <v/>
      </c>
      <c r="H615" s="4">
        <f>IFERROR(INDEX('Base de sorteio'!$E$3:$E$1723,MATCH($B615&amp;"|"&amp;$C615,'Base de sorteio'!$I$3:$I$1723,0)),"")</f>
        <v/>
      </c>
      <c r="I615" s="4">
        <f>IF(E615="","",HYPERLINK(IFERROR(INDEX('Base de sorteio'!$J$3:$J$1723,MATCH($B615&amp;"|"&amp;$C615,'Base de sorteio'!$I$3:$I$1723,0)),""),"abrir"))</f>
        <v/>
      </c>
      <c r="J615" s="4" t="n"/>
      <c r="K615" s="4" t="n"/>
      <c r="L615" s="4" t="n"/>
      <c r="M615" s="4" t="n"/>
      <c r="N615" s="4">
        <f>IF(AND(K615="",M615=""),"",IF(OR(K615="sim",M615="sim"),"sim",IF(OR(K615="inconclusivo",M615="inconclusivo"),"inconclusivo","não")))</f>
        <v/>
      </c>
      <c r="O615" s="5">
        <f>IF(N615="sim",COUNTIFS($B$3:$B615,$B615,$N$3:$N615,"sim"),"")</f>
        <v/>
      </c>
      <c r="P615" s="5" t="n"/>
      <c r="Q615" s="4" t="n"/>
      <c r="R615" s="5" t="n"/>
      <c r="S615" s="9" t="n"/>
      <c r="T615" s="4" t="n"/>
    </row>
    <row r="616">
      <c r="A616" s="5">
        <f>ROW()-2</f>
        <v/>
      </c>
      <c r="B616" s="4" t="inlineStr">
        <is>
          <t>Metrópole</t>
        </is>
      </c>
      <c r="C616" s="5" t="n">
        <v>614</v>
      </c>
      <c r="D616" s="5">
        <f>IFERROR(INDEX('Base de sorteio'!$A$3:$A$1723,MATCH($B616&amp;"|"&amp;$C616,'Base de sorteio'!$I$3:$I$1723,0)),"")</f>
        <v/>
      </c>
      <c r="E616" s="4">
        <f>IFERROR(INDEX('Base de sorteio'!$B$3:$B$1723,MATCH($B616&amp;"|"&amp;$C616,'Base de sorteio'!$I$3:$I$1723,0)),"")</f>
        <v/>
      </c>
      <c r="F616" s="4">
        <f>IFERROR(INDEX('Base de sorteio'!$C$3:$C$1723,MATCH($B616&amp;"|"&amp;$C616,'Base de sorteio'!$I$3:$I$1723,0)),"")</f>
        <v/>
      </c>
      <c r="G616" s="4">
        <f>IFERROR(INDEX('Base de sorteio'!$D$3:$D$1723,MATCH($B616&amp;"|"&amp;$C616,'Base de sorteio'!$I$3:$I$1723,0)),"")</f>
        <v/>
      </c>
      <c r="H616" s="4">
        <f>IFERROR(INDEX('Base de sorteio'!$E$3:$E$1723,MATCH($B616&amp;"|"&amp;$C616,'Base de sorteio'!$I$3:$I$1723,0)),"")</f>
        <v/>
      </c>
      <c r="I616" s="4">
        <f>IF(E616="","",HYPERLINK(IFERROR(INDEX('Base de sorteio'!$J$3:$J$1723,MATCH($B616&amp;"|"&amp;$C616,'Base de sorteio'!$I$3:$I$1723,0)),""),"abrir"))</f>
        <v/>
      </c>
      <c r="J616" s="4" t="n"/>
      <c r="K616" s="4" t="n"/>
      <c r="L616" s="4" t="n"/>
      <c r="M616" s="4" t="n"/>
      <c r="N616" s="4">
        <f>IF(AND(K616="",M616=""),"",IF(OR(K616="sim",M616="sim"),"sim",IF(OR(K616="inconclusivo",M616="inconclusivo"),"inconclusivo","não")))</f>
        <v/>
      </c>
      <c r="O616" s="5">
        <f>IF(N616="sim",COUNTIFS($B$3:$B616,$B616,$N$3:$N616,"sim"),"")</f>
        <v/>
      </c>
      <c r="P616" s="5" t="n"/>
      <c r="Q616" s="4" t="n"/>
      <c r="R616" s="5" t="n"/>
      <c r="S616" s="9" t="n"/>
      <c r="T616" s="4" t="n"/>
    </row>
    <row r="617">
      <c r="A617" s="5">
        <f>ROW()-2</f>
        <v/>
      </c>
      <c r="B617" s="4" t="inlineStr">
        <is>
          <t>Metrópole</t>
        </is>
      </c>
      <c r="C617" s="5" t="n">
        <v>615</v>
      </c>
      <c r="D617" s="5">
        <f>IFERROR(INDEX('Base de sorteio'!$A$3:$A$1723,MATCH($B617&amp;"|"&amp;$C617,'Base de sorteio'!$I$3:$I$1723,0)),"")</f>
        <v/>
      </c>
      <c r="E617" s="4">
        <f>IFERROR(INDEX('Base de sorteio'!$B$3:$B$1723,MATCH($B617&amp;"|"&amp;$C617,'Base de sorteio'!$I$3:$I$1723,0)),"")</f>
        <v/>
      </c>
      <c r="F617" s="4">
        <f>IFERROR(INDEX('Base de sorteio'!$C$3:$C$1723,MATCH($B617&amp;"|"&amp;$C617,'Base de sorteio'!$I$3:$I$1723,0)),"")</f>
        <v/>
      </c>
      <c r="G617" s="4">
        <f>IFERROR(INDEX('Base de sorteio'!$D$3:$D$1723,MATCH($B617&amp;"|"&amp;$C617,'Base de sorteio'!$I$3:$I$1723,0)),"")</f>
        <v/>
      </c>
      <c r="H617" s="4">
        <f>IFERROR(INDEX('Base de sorteio'!$E$3:$E$1723,MATCH($B617&amp;"|"&amp;$C617,'Base de sorteio'!$I$3:$I$1723,0)),"")</f>
        <v/>
      </c>
      <c r="I617" s="4">
        <f>IF(E617="","",HYPERLINK(IFERROR(INDEX('Base de sorteio'!$J$3:$J$1723,MATCH($B617&amp;"|"&amp;$C617,'Base de sorteio'!$I$3:$I$1723,0)),""),"abrir"))</f>
        <v/>
      </c>
      <c r="J617" s="4" t="n"/>
      <c r="K617" s="4" t="n"/>
      <c r="L617" s="4" t="n"/>
      <c r="M617" s="4" t="n"/>
      <c r="N617" s="4">
        <f>IF(AND(K617="",M617=""),"",IF(OR(K617="sim",M617="sim"),"sim",IF(OR(K617="inconclusivo",M617="inconclusivo"),"inconclusivo","não")))</f>
        <v/>
      </c>
      <c r="O617" s="5">
        <f>IF(N617="sim",COUNTIFS($B$3:$B617,$B617,$N$3:$N617,"sim"),"")</f>
        <v/>
      </c>
      <c r="P617" s="5" t="n"/>
      <c r="Q617" s="4" t="n"/>
      <c r="R617" s="5" t="n"/>
      <c r="S617" s="9" t="n"/>
      <c r="T617" s="4" t="n"/>
    </row>
    <row r="618">
      <c r="A618" s="5">
        <f>ROW()-2</f>
        <v/>
      </c>
      <c r="B618" s="4" t="inlineStr">
        <is>
          <t>Metrópole</t>
        </is>
      </c>
      <c r="C618" s="5" t="n">
        <v>616</v>
      </c>
      <c r="D618" s="5">
        <f>IFERROR(INDEX('Base de sorteio'!$A$3:$A$1723,MATCH($B618&amp;"|"&amp;$C618,'Base de sorteio'!$I$3:$I$1723,0)),"")</f>
        <v/>
      </c>
      <c r="E618" s="4">
        <f>IFERROR(INDEX('Base de sorteio'!$B$3:$B$1723,MATCH($B618&amp;"|"&amp;$C618,'Base de sorteio'!$I$3:$I$1723,0)),"")</f>
        <v/>
      </c>
      <c r="F618" s="4">
        <f>IFERROR(INDEX('Base de sorteio'!$C$3:$C$1723,MATCH($B618&amp;"|"&amp;$C618,'Base de sorteio'!$I$3:$I$1723,0)),"")</f>
        <v/>
      </c>
      <c r="G618" s="4">
        <f>IFERROR(INDEX('Base de sorteio'!$D$3:$D$1723,MATCH($B618&amp;"|"&amp;$C618,'Base de sorteio'!$I$3:$I$1723,0)),"")</f>
        <v/>
      </c>
      <c r="H618" s="4">
        <f>IFERROR(INDEX('Base de sorteio'!$E$3:$E$1723,MATCH($B618&amp;"|"&amp;$C618,'Base de sorteio'!$I$3:$I$1723,0)),"")</f>
        <v/>
      </c>
      <c r="I618" s="4">
        <f>IF(E618="","",HYPERLINK(IFERROR(INDEX('Base de sorteio'!$J$3:$J$1723,MATCH($B618&amp;"|"&amp;$C618,'Base de sorteio'!$I$3:$I$1723,0)),""),"abrir"))</f>
        <v/>
      </c>
      <c r="J618" s="4" t="n"/>
      <c r="K618" s="4" t="n"/>
      <c r="L618" s="4" t="n"/>
      <c r="M618" s="4" t="n"/>
      <c r="N618" s="4">
        <f>IF(AND(K618="",M618=""),"",IF(OR(K618="sim",M618="sim"),"sim",IF(OR(K618="inconclusivo",M618="inconclusivo"),"inconclusivo","não")))</f>
        <v/>
      </c>
      <c r="O618" s="5">
        <f>IF(N618="sim",COUNTIFS($B$3:$B618,$B618,$N$3:$N618,"sim"),"")</f>
        <v/>
      </c>
      <c r="P618" s="5" t="n"/>
      <c r="Q618" s="4" t="n"/>
      <c r="R618" s="5" t="n"/>
      <c r="S618" s="9" t="n"/>
      <c r="T618" s="4" t="n"/>
    </row>
    <row r="619">
      <c r="A619" s="5">
        <f>ROW()-2</f>
        <v/>
      </c>
      <c r="B619" s="4" t="inlineStr">
        <is>
          <t>Metrópole</t>
        </is>
      </c>
      <c r="C619" s="5" t="n">
        <v>617</v>
      </c>
      <c r="D619" s="5">
        <f>IFERROR(INDEX('Base de sorteio'!$A$3:$A$1723,MATCH($B619&amp;"|"&amp;$C619,'Base de sorteio'!$I$3:$I$1723,0)),"")</f>
        <v/>
      </c>
      <c r="E619" s="4">
        <f>IFERROR(INDEX('Base de sorteio'!$B$3:$B$1723,MATCH($B619&amp;"|"&amp;$C619,'Base de sorteio'!$I$3:$I$1723,0)),"")</f>
        <v/>
      </c>
      <c r="F619" s="4">
        <f>IFERROR(INDEX('Base de sorteio'!$C$3:$C$1723,MATCH($B619&amp;"|"&amp;$C619,'Base de sorteio'!$I$3:$I$1723,0)),"")</f>
        <v/>
      </c>
      <c r="G619" s="4">
        <f>IFERROR(INDEX('Base de sorteio'!$D$3:$D$1723,MATCH($B619&amp;"|"&amp;$C619,'Base de sorteio'!$I$3:$I$1723,0)),"")</f>
        <v/>
      </c>
      <c r="H619" s="4">
        <f>IFERROR(INDEX('Base de sorteio'!$E$3:$E$1723,MATCH($B619&amp;"|"&amp;$C619,'Base de sorteio'!$I$3:$I$1723,0)),"")</f>
        <v/>
      </c>
      <c r="I619" s="4">
        <f>IF(E619="","",HYPERLINK(IFERROR(INDEX('Base de sorteio'!$J$3:$J$1723,MATCH($B619&amp;"|"&amp;$C619,'Base de sorteio'!$I$3:$I$1723,0)),""),"abrir"))</f>
        <v/>
      </c>
      <c r="J619" s="4" t="n"/>
      <c r="K619" s="4" t="n"/>
      <c r="L619" s="4" t="n"/>
      <c r="M619" s="4" t="n"/>
      <c r="N619" s="4">
        <f>IF(AND(K619="",M619=""),"",IF(OR(K619="sim",M619="sim"),"sim",IF(OR(K619="inconclusivo",M619="inconclusivo"),"inconclusivo","não")))</f>
        <v/>
      </c>
      <c r="O619" s="5">
        <f>IF(N619="sim",COUNTIFS($B$3:$B619,$B619,$N$3:$N619,"sim"),"")</f>
        <v/>
      </c>
      <c r="P619" s="5" t="n"/>
      <c r="Q619" s="4" t="n"/>
      <c r="R619" s="5" t="n"/>
      <c r="S619" s="9" t="n"/>
      <c r="T619" s="4" t="n"/>
    </row>
    <row r="620">
      <c r="A620" s="5">
        <f>ROW()-2</f>
        <v/>
      </c>
      <c r="B620" s="4" t="inlineStr">
        <is>
          <t>Metrópole</t>
        </is>
      </c>
      <c r="C620" s="5" t="n">
        <v>618</v>
      </c>
      <c r="D620" s="5">
        <f>IFERROR(INDEX('Base de sorteio'!$A$3:$A$1723,MATCH($B620&amp;"|"&amp;$C620,'Base de sorteio'!$I$3:$I$1723,0)),"")</f>
        <v/>
      </c>
      <c r="E620" s="4">
        <f>IFERROR(INDEX('Base de sorteio'!$B$3:$B$1723,MATCH($B620&amp;"|"&amp;$C620,'Base de sorteio'!$I$3:$I$1723,0)),"")</f>
        <v/>
      </c>
      <c r="F620" s="4">
        <f>IFERROR(INDEX('Base de sorteio'!$C$3:$C$1723,MATCH($B620&amp;"|"&amp;$C620,'Base de sorteio'!$I$3:$I$1723,0)),"")</f>
        <v/>
      </c>
      <c r="G620" s="4">
        <f>IFERROR(INDEX('Base de sorteio'!$D$3:$D$1723,MATCH($B620&amp;"|"&amp;$C620,'Base de sorteio'!$I$3:$I$1723,0)),"")</f>
        <v/>
      </c>
      <c r="H620" s="4">
        <f>IFERROR(INDEX('Base de sorteio'!$E$3:$E$1723,MATCH($B620&amp;"|"&amp;$C620,'Base de sorteio'!$I$3:$I$1723,0)),"")</f>
        <v/>
      </c>
      <c r="I620" s="4">
        <f>IF(E620="","",HYPERLINK(IFERROR(INDEX('Base de sorteio'!$J$3:$J$1723,MATCH($B620&amp;"|"&amp;$C620,'Base de sorteio'!$I$3:$I$1723,0)),""),"abrir"))</f>
        <v/>
      </c>
      <c r="J620" s="4" t="n"/>
      <c r="K620" s="4" t="n"/>
      <c r="L620" s="4" t="n"/>
      <c r="M620" s="4" t="n"/>
      <c r="N620" s="4">
        <f>IF(AND(K620="",M620=""),"",IF(OR(K620="sim",M620="sim"),"sim",IF(OR(K620="inconclusivo",M620="inconclusivo"),"inconclusivo","não")))</f>
        <v/>
      </c>
      <c r="O620" s="5">
        <f>IF(N620="sim",COUNTIFS($B$3:$B620,$B620,$N$3:$N620,"sim"),"")</f>
        <v/>
      </c>
      <c r="P620" s="5" t="n"/>
      <c r="Q620" s="4" t="n"/>
      <c r="R620" s="5" t="n"/>
      <c r="S620" s="9" t="n"/>
      <c r="T620" s="4" t="n"/>
    </row>
    <row r="621">
      <c r="A621" s="5">
        <f>ROW()-2</f>
        <v/>
      </c>
      <c r="B621" s="4" t="inlineStr">
        <is>
          <t>Metrópole</t>
        </is>
      </c>
      <c r="C621" s="5" t="n">
        <v>619</v>
      </c>
      <c r="D621" s="5">
        <f>IFERROR(INDEX('Base de sorteio'!$A$3:$A$1723,MATCH($B621&amp;"|"&amp;$C621,'Base de sorteio'!$I$3:$I$1723,0)),"")</f>
        <v/>
      </c>
      <c r="E621" s="4">
        <f>IFERROR(INDEX('Base de sorteio'!$B$3:$B$1723,MATCH($B621&amp;"|"&amp;$C621,'Base de sorteio'!$I$3:$I$1723,0)),"")</f>
        <v/>
      </c>
      <c r="F621" s="4">
        <f>IFERROR(INDEX('Base de sorteio'!$C$3:$C$1723,MATCH($B621&amp;"|"&amp;$C621,'Base de sorteio'!$I$3:$I$1723,0)),"")</f>
        <v/>
      </c>
      <c r="G621" s="4">
        <f>IFERROR(INDEX('Base de sorteio'!$D$3:$D$1723,MATCH($B621&amp;"|"&amp;$C621,'Base de sorteio'!$I$3:$I$1723,0)),"")</f>
        <v/>
      </c>
      <c r="H621" s="4">
        <f>IFERROR(INDEX('Base de sorteio'!$E$3:$E$1723,MATCH($B621&amp;"|"&amp;$C621,'Base de sorteio'!$I$3:$I$1723,0)),"")</f>
        <v/>
      </c>
      <c r="I621" s="4">
        <f>IF(E621="","",HYPERLINK(IFERROR(INDEX('Base de sorteio'!$J$3:$J$1723,MATCH($B621&amp;"|"&amp;$C621,'Base de sorteio'!$I$3:$I$1723,0)),""),"abrir"))</f>
        <v/>
      </c>
      <c r="J621" s="4" t="n"/>
      <c r="K621" s="4" t="n"/>
      <c r="L621" s="4" t="n"/>
      <c r="M621" s="4" t="n"/>
      <c r="N621" s="4">
        <f>IF(AND(K621="",M621=""),"",IF(OR(K621="sim",M621="sim"),"sim",IF(OR(K621="inconclusivo",M621="inconclusivo"),"inconclusivo","não")))</f>
        <v/>
      </c>
      <c r="O621" s="5">
        <f>IF(N621="sim",COUNTIFS($B$3:$B621,$B621,$N$3:$N621,"sim"),"")</f>
        <v/>
      </c>
      <c r="P621" s="5" t="n"/>
      <c r="Q621" s="4" t="n"/>
      <c r="R621" s="5" t="n"/>
      <c r="S621" s="9" t="n"/>
      <c r="T621" s="4" t="n"/>
    </row>
    <row r="622">
      <c r="A622" s="5">
        <f>ROW()-2</f>
        <v/>
      </c>
      <c r="B622" s="4" t="inlineStr">
        <is>
          <t>Metrópole</t>
        </is>
      </c>
      <c r="C622" s="5" t="n">
        <v>620</v>
      </c>
      <c r="D622" s="5">
        <f>IFERROR(INDEX('Base de sorteio'!$A$3:$A$1723,MATCH($B622&amp;"|"&amp;$C622,'Base de sorteio'!$I$3:$I$1723,0)),"")</f>
        <v/>
      </c>
      <c r="E622" s="4">
        <f>IFERROR(INDEX('Base de sorteio'!$B$3:$B$1723,MATCH($B622&amp;"|"&amp;$C622,'Base de sorteio'!$I$3:$I$1723,0)),"")</f>
        <v/>
      </c>
      <c r="F622" s="4">
        <f>IFERROR(INDEX('Base de sorteio'!$C$3:$C$1723,MATCH($B622&amp;"|"&amp;$C622,'Base de sorteio'!$I$3:$I$1723,0)),"")</f>
        <v/>
      </c>
      <c r="G622" s="4">
        <f>IFERROR(INDEX('Base de sorteio'!$D$3:$D$1723,MATCH($B622&amp;"|"&amp;$C622,'Base de sorteio'!$I$3:$I$1723,0)),"")</f>
        <v/>
      </c>
      <c r="H622" s="4">
        <f>IFERROR(INDEX('Base de sorteio'!$E$3:$E$1723,MATCH($B622&amp;"|"&amp;$C622,'Base de sorteio'!$I$3:$I$1723,0)),"")</f>
        <v/>
      </c>
      <c r="I622" s="4">
        <f>IF(E622="","",HYPERLINK(IFERROR(INDEX('Base de sorteio'!$J$3:$J$1723,MATCH($B622&amp;"|"&amp;$C622,'Base de sorteio'!$I$3:$I$1723,0)),""),"abrir"))</f>
        <v/>
      </c>
      <c r="J622" s="4" t="n"/>
      <c r="K622" s="4" t="n"/>
      <c r="L622" s="4" t="n"/>
      <c r="M622" s="4" t="n"/>
      <c r="N622" s="4">
        <f>IF(AND(K622="",M622=""),"",IF(OR(K622="sim",M622="sim"),"sim",IF(OR(K622="inconclusivo",M622="inconclusivo"),"inconclusivo","não")))</f>
        <v/>
      </c>
      <c r="O622" s="5">
        <f>IF(N622="sim",COUNTIFS($B$3:$B622,$B622,$N$3:$N622,"sim"),"")</f>
        <v/>
      </c>
      <c r="P622" s="5" t="n"/>
      <c r="Q622" s="4" t="n"/>
      <c r="R622" s="5" t="n"/>
      <c r="S622" s="9" t="n"/>
      <c r="T622" s="4" t="n"/>
    </row>
    <row r="623">
      <c r="A623" s="5">
        <f>ROW()-2</f>
        <v/>
      </c>
      <c r="B623" s="4" t="inlineStr">
        <is>
          <t>Metrópole</t>
        </is>
      </c>
      <c r="C623" s="5" t="n">
        <v>621</v>
      </c>
      <c r="D623" s="5">
        <f>IFERROR(INDEX('Base de sorteio'!$A$3:$A$1723,MATCH($B623&amp;"|"&amp;$C623,'Base de sorteio'!$I$3:$I$1723,0)),"")</f>
        <v/>
      </c>
      <c r="E623" s="4">
        <f>IFERROR(INDEX('Base de sorteio'!$B$3:$B$1723,MATCH($B623&amp;"|"&amp;$C623,'Base de sorteio'!$I$3:$I$1723,0)),"")</f>
        <v/>
      </c>
      <c r="F623" s="4">
        <f>IFERROR(INDEX('Base de sorteio'!$C$3:$C$1723,MATCH($B623&amp;"|"&amp;$C623,'Base de sorteio'!$I$3:$I$1723,0)),"")</f>
        <v/>
      </c>
      <c r="G623" s="4">
        <f>IFERROR(INDEX('Base de sorteio'!$D$3:$D$1723,MATCH($B623&amp;"|"&amp;$C623,'Base de sorteio'!$I$3:$I$1723,0)),"")</f>
        <v/>
      </c>
      <c r="H623" s="4">
        <f>IFERROR(INDEX('Base de sorteio'!$E$3:$E$1723,MATCH($B623&amp;"|"&amp;$C623,'Base de sorteio'!$I$3:$I$1723,0)),"")</f>
        <v/>
      </c>
      <c r="I623" s="4">
        <f>IF(E623="","",HYPERLINK(IFERROR(INDEX('Base de sorteio'!$J$3:$J$1723,MATCH($B623&amp;"|"&amp;$C623,'Base de sorteio'!$I$3:$I$1723,0)),""),"abrir"))</f>
        <v/>
      </c>
      <c r="J623" s="4" t="n"/>
      <c r="K623" s="4" t="n"/>
      <c r="L623" s="4" t="n"/>
      <c r="M623" s="4" t="n"/>
      <c r="N623" s="4">
        <f>IF(AND(K623="",M623=""),"",IF(OR(K623="sim",M623="sim"),"sim",IF(OR(K623="inconclusivo",M623="inconclusivo"),"inconclusivo","não")))</f>
        <v/>
      </c>
      <c r="O623" s="5">
        <f>IF(N623="sim",COUNTIFS($B$3:$B623,$B623,$N$3:$N623,"sim"),"")</f>
        <v/>
      </c>
      <c r="P623" s="5" t="n"/>
      <c r="Q623" s="4" t="n"/>
      <c r="R623" s="5" t="n"/>
      <c r="S623" s="9" t="n"/>
      <c r="T623" s="4" t="n"/>
    </row>
    <row r="624">
      <c r="A624" s="5">
        <f>ROW()-2</f>
        <v/>
      </c>
      <c r="B624" s="4" t="inlineStr">
        <is>
          <t>Metrópole</t>
        </is>
      </c>
      <c r="C624" s="5" t="n">
        <v>622</v>
      </c>
      <c r="D624" s="5">
        <f>IFERROR(INDEX('Base de sorteio'!$A$3:$A$1723,MATCH($B624&amp;"|"&amp;$C624,'Base de sorteio'!$I$3:$I$1723,0)),"")</f>
        <v/>
      </c>
      <c r="E624" s="4">
        <f>IFERROR(INDEX('Base de sorteio'!$B$3:$B$1723,MATCH($B624&amp;"|"&amp;$C624,'Base de sorteio'!$I$3:$I$1723,0)),"")</f>
        <v/>
      </c>
      <c r="F624" s="4">
        <f>IFERROR(INDEX('Base de sorteio'!$C$3:$C$1723,MATCH($B624&amp;"|"&amp;$C624,'Base de sorteio'!$I$3:$I$1723,0)),"")</f>
        <v/>
      </c>
      <c r="G624" s="4">
        <f>IFERROR(INDEX('Base de sorteio'!$D$3:$D$1723,MATCH($B624&amp;"|"&amp;$C624,'Base de sorteio'!$I$3:$I$1723,0)),"")</f>
        <v/>
      </c>
      <c r="H624" s="4">
        <f>IFERROR(INDEX('Base de sorteio'!$E$3:$E$1723,MATCH($B624&amp;"|"&amp;$C624,'Base de sorteio'!$I$3:$I$1723,0)),"")</f>
        <v/>
      </c>
      <c r="I624" s="4">
        <f>IF(E624="","",HYPERLINK(IFERROR(INDEX('Base de sorteio'!$J$3:$J$1723,MATCH($B624&amp;"|"&amp;$C624,'Base de sorteio'!$I$3:$I$1723,0)),""),"abrir"))</f>
        <v/>
      </c>
      <c r="J624" s="4" t="n"/>
      <c r="K624" s="4" t="n"/>
      <c r="L624" s="4" t="n"/>
      <c r="M624" s="4" t="n"/>
      <c r="N624" s="4">
        <f>IF(AND(K624="",M624=""),"",IF(OR(K624="sim",M624="sim"),"sim",IF(OR(K624="inconclusivo",M624="inconclusivo"),"inconclusivo","não")))</f>
        <v/>
      </c>
      <c r="O624" s="5">
        <f>IF(N624="sim",COUNTIFS($B$3:$B624,$B624,$N$3:$N624,"sim"),"")</f>
        <v/>
      </c>
      <c r="P624" s="5" t="n"/>
      <c r="Q624" s="4" t="n"/>
      <c r="R624" s="5" t="n"/>
      <c r="S624" s="9" t="n"/>
      <c r="T624" s="4" t="n"/>
    </row>
    <row r="625">
      <c r="A625" s="5">
        <f>ROW()-2</f>
        <v/>
      </c>
      <c r="B625" s="4" t="inlineStr">
        <is>
          <t>Metrópole</t>
        </is>
      </c>
      <c r="C625" s="5" t="n">
        <v>623</v>
      </c>
      <c r="D625" s="5">
        <f>IFERROR(INDEX('Base de sorteio'!$A$3:$A$1723,MATCH($B625&amp;"|"&amp;$C625,'Base de sorteio'!$I$3:$I$1723,0)),"")</f>
        <v/>
      </c>
      <c r="E625" s="4">
        <f>IFERROR(INDEX('Base de sorteio'!$B$3:$B$1723,MATCH($B625&amp;"|"&amp;$C625,'Base de sorteio'!$I$3:$I$1723,0)),"")</f>
        <v/>
      </c>
      <c r="F625" s="4">
        <f>IFERROR(INDEX('Base de sorteio'!$C$3:$C$1723,MATCH($B625&amp;"|"&amp;$C625,'Base de sorteio'!$I$3:$I$1723,0)),"")</f>
        <v/>
      </c>
      <c r="G625" s="4">
        <f>IFERROR(INDEX('Base de sorteio'!$D$3:$D$1723,MATCH($B625&amp;"|"&amp;$C625,'Base de sorteio'!$I$3:$I$1723,0)),"")</f>
        <v/>
      </c>
      <c r="H625" s="4">
        <f>IFERROR(INDEX('Base de sorteio'!$E$3:$E$1723,MATCH($B625&amp;"|"&amp;$C625,'Base de sorteio'!$I$3:$I$1723,0)),"")</f>
        <v/>
      </c>
      <c r="I625" s="4">
        <f>IF(E625="","",HYPERLINK(IFERROR(INDEX('Base de sorteio'!$J$3:$J$1723,MATCH($B625&amp;"|"&amp;$C625,'Base de sorteio'!$I$3:$I$1723,0)),""),"abrir"))</f>
        <v/>
      </c>
      <c r="J625" s="4" t="n"/>
      <c r="K625" s="4" t="n"/>
      <c r="L625" s="4" t="n"/>
      <c r="M625" s="4" t="n"/>
      <c r="N625" s="4">
        <f>IF(AND(K625="",M625=""),"",IF(OR(K625="sim",M625="sim"),"sim",IF(OR(K625="inconclusivo",M625="inconclusivo"),"inconclusivo","não")))</f>
        <v/>
      </c>
      <c r="O625" s="5">
        <f>IF(N625="sim",COUNTIFS($B$3:$B625,$B625,$N$3:$N625,"sim"),"")</f>
        <v/>
      </c>
      <c r="P625" s="5" t="n"/>
      <c r="Q625" s="4" t="n"/>
      <c r="R625" s="5" t="n"/>
      <c r="S625" s="9" t="n"/>
      <c r="T625" s="4" t="n"/>
    </row>
    <row r="626">
      <c r="A626" s="5">
        <f>ROW()-2</f>
        <v/>
      </c>
      <c r="B626" s="4" t="inlineStr">
        <is>
          <t>Metrópole</t>
        </is>
      </c>
      <c r="C626" s="5" t="n">
        <v>624</v>
      </c>
      <c r="D626" s="5">
        <f>IFERROR(INDEX('Base de sorteio'!$A$3:$A$1723,MATCH($B626&amp;"|"&amp;$C626,'Base de sorteio'!$I$3:$I$1723,0)),"")</f>
        <v/>
      </c>
      <c r="E626" s="4">
        <f>IFERROR(INDEX('Base de sorteio'!$B$3:$B$1723,MATCH($B626&amp;"|"&amp;$C626,'Base de sorteio'!$I$3:$I$1723,0)),"")</f>
        <v/>
      </c>
      <c r="F626" s="4">
        <f>IFERROR(INDEX('Base de sorteio'!$C$3:$C$1723,MATCH($B626&amp;"|"&amp;$C626,'Base de sorteio'!$I$3:$I$1723,0)),"")</f>
        <v/>
      </c>
      <c r="G626" s="4">
        <f>IFERROR(INDEX('Base de sorteio'!$D$3:$D$1723,MATCH($B626&amp;"|"&amp;$C626,'Base de sorteio'!$I$3:$I$1723,0)),"")</f>
        <v/>
      </c>
      <c r="H626" s="4">
        <f>IFERROR(INDEX('Base de sorteio'!$E$3:$E$1723,MATCH($B626&amp;"|"&amp;$C626,'Base de sorteio'!$I$3:$I$1723,0)),"")</f>
        <v/>
      </c>
      <c r="I626" s="4">
        <f>IF(E626="","",HYPERLINK(IFERROR(INDEX('Base de sorteio'!$J$3:$J$1723,MATCH($B626&amp;"|"&amp;$C626,'Base de sorteio'!$I$3:$I$1723,0)),""),"abrir"))</f>
        <v/>
      </c>
      <c r="J626" s="4" t="n"/>
      <c r="K626" s="4" t="n"/>
      <c r="L626" s="4" t="n"/>
      <c r="M626" s="4" t="n"/>
      <c r="N626" s="4">
        <f>IF(AND(K626="",M626=""),"",IF(OR(K626="sim",M626="sim"),"sim",IF(OR(K626="inconclusivo",M626="inconclusivo"),"inconclusivo","não")))</f>
        <v/>
      </c>
      <c r="O626" s="5">
        <f>IF(N626="sim",COUNTIFS($B$3:$B626,$B626,$N$3:$N626,"sim"),"")</f>
        <v/>
      </c>
      <c r="P626" s="5" t="n"/>
      <c r="Q626" s="4" t="n"/>
      <c r="R626" s="5" t="n"/>
      <c r="S626" s="9" t="n"/>
      <c r="T626" s="4" t="n"/>
    </row>
    <row r="627">
      <c r="A627" s="5">
        <f>ROW()-2</f>
        <v/>
      </c>
      <c r="B627" s="4" t="inlineStr">
        <is>
          <t>Metrópole</t>
        </is>
      </c>
      <c r="C627" s="5" t="n">
        <v>625</v>
      </c>
      <c r="D627" s="5">
        <f>IFERROR(INDEX('Base de sorteio'!$A$3:$A$1723,MATCH($B627&amp;"|"&amp;$C627,'Base de sorteio'!$I$3:$I$1723,0)),"")</f>
        <v/>
      </c>
      <c r="E627" s="4">
        <f>IFERROR(INDEX('Base de sorteio'!$B$3:$B$1723,MATCH($B627&amp;"|"&amp;$C627,'Base de sorteio'!$I$3:$I$1723,0)),"")</f>
        <v/>
      </c>
      <c r="F627" s="4">
        <f>IFERROR(INDEX('Base de sorteio'!$C$3:$C$1723,MATCH($B627&amp;"|"&amp;$C627,'Base de sorteio'!$I$3:$I$1723,0)),"")</f>
        <v/>
      </c>
      <c r="G627" s="4">
        <f>IFERROR(INDEX('Base de sorteio'!$D$3:$D$1723,MATCH($B627&amp;"|"&amp;$C627,'Base de sorteio'!$I$3:$I$1723,0)),"")</f>
        <v/>
      </c>
      <c r="H627" s="4">
        <f>IFERROR(INDEX('Base de sorteio'!$E$3:$E$1723,MATCH($B627&amp;"|"&amp;$C627,'Base de sorteio'!$I$3:$I$1723,0)),"")</f>
        <v/>
      </c>
      <c r="I627" s="4">
        <f>IF(E627="","",HYPERLINK(IFERROR(INDEX('Base de sorteio'!$J$3:$J$1723,MATCH($B627&amp;"|"&amp;$C627,'Base de sorteio'!$I$3:$I$1723,0)),""),"abrir"))</f>
        <v/>
      </c>
      <c r="J627" s="4" t="n"/>
      <c r="K627" s="4" t="n"/>
      <c r="L627" s="4" t="n"/>
      <c r="M627" s="4" t="n"/>
      <c r="N627" s="4">
        <f>IF(AND(K627="",M627=""),"",IF(OR(K627="sim",M627="sim"),"sim",IF(OR(K627="inconclusivo",M627="inconclusivo"),"inconclusivo","não")))</f>
        <v/>
      </c>
      <c r="O627" s="5">
        <f>IF(N627="sim",COUNTIFS($B$3:$B627,$B627,$N$3:$N627,"sim"),"")</f>
        <v/>
      </c>
      <c r="P627" s="5" t="n"/>
      <c r="Q627" s="4" t="n"/>
      <c r="R627" s="5" t="n"/>
      <c r="S627" s="9" t="n"/>
      <c r="T627" s="4" t="n"/>
    </row>
    <row r="628">
      <c r="A628" s="5">
        <f>ROW()-2</f>
        <v/>
      </c>
      <c r="B628" s="4" t="inlineStr">
        <is>
          <t>Metrópole</t>
        </is>
      </c>
      <c r="C628" s="5" t="n">
        <v>626</v>
      </c>
      <c r="D628" s="5">
        <f>IFERROR(INDEX('Base de sorteio'!$A$3:$A$1723,MATCH($B628&amp;"|"&amp;$C628,'Base de sorteio'!$I$3:$I$1723,0)),"")</f>
        <v/>
      </c>
      <c r="E628" s="4">
        <f>IFERROR(INDEX('Base de sorteio'!$B$3:$B$1723,MATCH($B628&amp;"|"&amp;$C628,'Base de sorteio'!$I$3:$I$1723,0)),"")</f>
        <v/>
      </c>
      <c r="F628" s="4">
        <f>IFERROR(INDEX('Base de sorteio'!$C$3:$C$1723,MATCH($B628&amp;"|"&amp;$C628,'Base de sorteio'!$I$3:$I$1723,0)),"")</f>
        <v/>
      </c>
      <c r="G628" s="4">
        <f>IFERROR(INDEX('Base de sorteio'!$D$3:$D$1723,MATCH($B628&amp;"|"&amp;$C628,'Base de sorteio'!$I$3:$I$1723,0)),"")</f>
        <v/>
      </c>
      <c r="H628" s="4">
        <f>IFERROR(INDEX('Base de sorteio'!$E$3:$E$1723,MATCH($B628&amp;"|"&amp;$C628,'Base de sorteio'!$I$3:$I$1723,0)),"")</f>
        <v/>
      </c>
      <c r="I628" s="4">
        <f>IF(E628="","",HYPERLINK(IFERROR(INDEX('Base de sorteio'!$J$3:$J$1723,MATCH($B628&amp;"|"&amp;$C628,'Base de sorteio'!$I$3:$I$1723,0)),""),"abrir"))</f>
        <v/>
      </c>
      <c r="J628" s="4" t="n"/>
      <c r="K628" s="4" t="n"/>
      <c r="L628" s="4" t="n"/>
      <c r="M628" s="4" t="n"/>
      <c r="N628" s="4">
        <f>IF(AND(K628="",M628=""),"",IF(OR(K628="sim",M628="sim"),"sim",IF(OR(K628="inconclusivo",M628="inconclusivo"),"inconclusivo","não")))</f>
        <v/>
      </c>
      <c r="O628" s="5">
        <f>IF(N628="sim",COUNTIFS($B$3:$B628,$B628,$N$3:$N628,"sim"),"")</f>
        <v/>
      </c>
      <c r="P628" s="5" t="n"/>
      <c r="Q628" s="4" t="n"/>
      <c r="R628" s="5" t="n"/>
      <c r="S628" s="9" t="n"/>
      <c r="T628" s="4" t="n"/>
    </row>
    <row r="629">
      <c r="A629" s="5">
        <f>ROW()-2</f>
        <v/>
      </c>
      <c r="B629" s="4" t="inlineStr">
        <is>
          <t>Metrópole</t>
        </is>
      </c>
      <c r="C629" s="5" t="n">
        <v>627</v>
      </c>
      <c r="D629" s="5">
        <f>IFERROR(INDEX('Base de sorteio'!$A$3:$A$1723,MATCH($B629&amp;"|"&amp;$C629,'Base de sorteio'!$I$3:$I$1723,0)),"")</f>
        <v/>
      </c>
      <c r="E629" s="4">
        <f>IFERROR(INDEX('Base de sorteio'!$B$3:$B$1723,MATCH($B629&amp;"|"&amp;$C629,'Base de sorteio'!$I$3:$I$1723,0)),"")</f>
        <v/>
      </c>
      <c r="F629" s="4">
        <f>IFERROR(INDEX('Base de sorteio'!$C$3:$C$1723,MATCH($B629&amp;"|"&amp;$C629,'Base de sorteio'!$I$3:$I$1723,0)),"")</f>
        <v/>
      </c>
      <c r="G629" s="4">
        <f>IFERROR(INDEX('Base de sorteio'!$D$3:$D$1723,MATCH($B629&amp;"|"&amp;$C629,'Base de sorteio'!$I$3:$I$1723,0)),"")</f>
        <v/>
      </c>
      <c r="H629" s="4">
        <f>IFERROR(INDEX('Base de sorteio'!$E$3:$E$1723,MATCH($B629&amp;"|"&amp;$C629,'Base de sorteio'!$I$3:$I$1723,0)),"")</f>
        <v/>
      </c>
      <c r="I629" s="4">
        <f>IF(E629="","",HYPERLINK(IFERROR(INDEX('Base de sorteio'!$J$3:$J$1723,MATCH($B629&amp;"|"&amp;$C629,'Base de sorteio'!$I$3:$I$1723,0)),""),"abrir"))</f>
        <v/>
      </c>
      <c r="J629" s="4" t="n"/>
      <c r="K629" s="4" t="n"/>
      <c r="L629" s="4" t="n"/>
      <c r="M629" s="4" t="n"/>
      <c r="N629" s="4">
        <f>IF(AND(K629="",M629=""),"",IF(OR(K629="sim",M629="sim"),"sim",IF(OR(K629="inconclusivo",M629="inconclusivo"),"inconclusivo","não")))</f>
        <v/>
      </c>
      <c r="O629" s="5">
        <f>IF(N629="sim",COUNTIFS($B$3:$B629,$B629,$N$3:$N629,"sim"),"")</f>
        <v/>
      </c>
      <c r="P629" s="5" t="n"/>
      <c r="Q629" s="4" t="n"/>
      <c r="R629" s="5" t="n"/>
      <c r="S629" s="9" t="n"/>
      <c r="T629" s="4" t="n"/>
    </row>
    <row r="630">
      <c r="A630" s="5">
        <f>ROW()-2</f>
        <v/>
      </c>
      <c r="B630" s="4" t="inlineStr">
        <is>
          <t>Metrópole</t>
        </is>
      </c>
      <c r="C630" s="5" t="n">
        <v>628</v>
      </c>
      <c r="D630" s="5">
        <f>IFERROR(INDEX('Base de sorteio'!$A$3:$A$1723,MATCH($B630&amp;"|"&amp;$C630,'Base de sorteio'!$I$3:$I$1723,0)),"")</f>
        <v/>
      </c>
      <c r="E630" s="4">
        <f>IFERROR(INDEX('Base de sorteio'!$B$3:$B$1723,MATCH($B630&amp;"|"&amp;$C630,'Base de sorteio'!$I$3:$I$1723,0)),"")</f>
        <v/>
      </c>
      <c r="F630" s="4">
        <f>IFERROR(INDEX('Base de sorteio'!$C$3:$C$1723,MATCH($B630&amp;"|"&amp;$C630,'Base de sorteio'!$I$3:$I$1723,0)),"")</f>
        <v/>
      </c>
      <c r="G630" s="4">
        <f>IFERROR(INDEX('Base de sorteio'!$D$3:$D$1723,MATCH($B630&amp;"|"&amp;$C630,'Base de sorteio'!$I$3:$I$1723,0)),"")</f>
        <v/>
      </c>
      <c r="H630" s="4">
        <f>IFERROR(INDEX('Base de sorteio'!$E$3:$E$1723,MATCH($B630&amp;"|"&amp;$C630,'Base de sorteio'!$I$3:$I$1723,0)),"")</f>
        <v/>
      </c>
      <c r="I630" s="4">
        <f>IF(E630="","",HYPERLINK(IFERROR(INDEX('Base de sorteio'!$J$3:$J$1723,MATCH($B630&amp;"|"&amp;$C630,'Base de sorteio'!$I$3:$I$1723,0)),""),"abrir"))</f>
        <v/>
      </c>
      <c r="J630" s="4" t="n"/>
      <c r="K630" s="4" t="n"/>
      <c r="L630" s="4" t="n"/>
      <c r="M630" s="4" t="n"/>
      <c r="N630" s="4">
        <f>IF(AND(K630="",M630=""),"",IF(OR(K630="sim",M630="sim"),"sim",IF(OR(K630="inconclusivo",M630="inconclusivo"),"inconclusivo","não")))</f>
        <v/>
      </c>
      <c r="O630" s="5">
        <f>IF(N630="sim",COUNTIFS($B$3:$B630,$B630,$N$3:$N630,"sim"),"")</f>
        <v/>
      </c>
      <c r="P630" s="5" t="n"/>
      <c r="Q630" s="4" t="n"/>
      <c r="R630" s="5" t="n"/>
      <c r="S630" s="9" t="n"/>
      <c r="T630" s="4" t="n"/>
    </row>
    <row r="631">
      <c r="A631" s="5">
        <f>ROW()-2</f>
        <v/>
      </c>
      <c r="B631" s="4" t="inlineStr">
        <is>
          <t>Metrópole</t>
        </is>
      </c>
      <c r="C631" s="5" t="n">
        <v>629</v>
      </c>
      <c r="D631" s="5">
        <f>IFERROR(INDEX('Base de sorteio'!$A$3:$A$1723,MATCH($B631&amp;"|"&amp;$C631,'Base de sorteio'!$I$3:$I$1723,0)),"")</f>
        <v/>
      </c>
      <c r="E631" s="4">
        <f>IFERROR(INDEX('Base de sorteio'!$B$3:$B$1723,MATCH($B631&amp;"|"&amp;$C631,'Base de sorteio'!$I$3:$I$1723,0)),"")</f>
        <v/>
      </c>
      <c r="F631" s="4">
        <f>IFERROR(INDEX('Base de sorteio'!$C$3:$C$1723,MATCH($B631&amp;"|"&amp;$C631,'Base de sorteio'!$I$3:$I$1723,0)),"")</f>
        <v/>
      </c>
      <c r="G631" s="4">
        <f>IFERROR(INDEX('Base de sorteio'!$D$3:$D$1723,MATCH($B631&amp;"|"&amp;$C631,'Base de sorteio'!$I$3:$I$1723,0)),"")</f>
        <v/>
      </c>
      <c r="H631" s="4">
        <f>IFERROR(INDEX('Base de sorteio'!$E$3:$E$1723,MATCH($B631&amp;"|"&amp;$C631,'Base de sorteio'!$I$3:$I$1723,0)),"")</f>
        <v/>
      </c>
      <c r="I631" s="4">
        <f>IF(E631="","",HYPERLINK(IFERROR(INDEX('Base de sorteio'!$J$3:$J$1723,MATCH($B631&amp;"|"&amp;$C631,'Base de sorteio'!$I$3:$I$1723,0)),""),"abrir"))</f>
        <v/>
      </c>
      <c r="J631" s="4" t="n"/>
      <c r="K631" s="4" t="n"/>
      <c r="L631" s="4" t="n"/>
      <c r="M631" s="4" t="n"/>
      <c r="N631" s="4">
        <f>IF(AND(K631="",M631=""),"",IF(OR(K631="sim",M631="sim"),"sim",IF(OR(K631="inconclusivo",M631="inconclusivo"),"inconclusivo","não")))</f>
        <v/>
      </c>
      <c r="O631" s="5">
        <f>IF(N631="sim",COUNTIFS($B$3:$B631,$B631,$N$3:$N631,"sim"),"")</f>
        <v/>
      </c>
      <c r="P631" s="5" t="n"/>
      <c r="Q631" s="4" t="n"/>
      <c r="R631" s="5" t="n"/>
      <c r="S631" s="9" t="n"/>
      <c r="T631" s="4" t="n"/>
    </row>
    <row r="632">
      <c r="A632" s="5">
        <f>ROW()-2</f>
        <v/>
      </c>
      <c r="B632" s="4" t="inlineStr">
        <is>
          <t>Metrópole</t>
        </is>
      </c>
      <c r="C632" s="5" t="n">
        <v>630</v>
      </c>
      <c r="D632" s="5">
        <f>IFERROR(INDEX('Base de sorteio'!$A$3:$A$1723,MATCH($B632&amp;"|"&amp;$C632,'Base de sorteio'!$I$3:$I$1723,0)),"")</f>
        <v/>
      </c>
      <c r="E632" s="4">
        <f>IFERROR(INDEX('Base de sorteio'!$B$3:$B$1723,MATCH($B632&amp;"|"&amp;$C632,'Base de sorteio'!$I$3:$I$1723,0)),"")</f>
        <v/>
      </c>
      <c r="F632" s="4">
        <f>IFERROR(INDEX('Base de sorteio'!$C$3:$C$1723,MATCH($B632&amp;"|"&amp;$C632,'Base de sorteio'!$I$3:$I$1723,0)),"")</f>
        <v/>
      </c>
      <c r="G632" s="4">
        <f>IFERROR(INDEX('Base de sorteio'!$D$3:$D$1723,MATCH($B632&amp;"|"&amp;$C632,'Base de sorteio'!$I$3:$I$1723,0)),"")</f>
        <v/>
      </c>
      <c r="H632" s="4">
        <f>IFERROR(INDEX('Base de sorteio'!$E$3:$E$1723,MATCH($B632&amp;"|"&amp;$C632,'Base de sorteio'!$I$3:$I$1723,0)),"")</f>
        <v/>
      </c>
      <c r="I632" s="4">
        <f>IF(E632="","",HYPERLINK(IFERROR(INDEX('Base de sorteio'!$J$3:$J$1723,MATCH($B632&amp;"|"&amp;$C632,'Base de sorteio'!$I$3:$I$1723,0)),""),"abrir"))</f>
        <v/>
      </c>
      <c r="J632" s="4" t="n"/>
      <c r="K632" s="4" t="n"/>
      <c r="L632" s="4" t="n"/>
      <c r="M632" s="4" t="n"/>
      <c r="N632" s="4">
        <f>IF(AND(K632="",M632=""),"",IF(OR(K632="sim",M632="sim"),"sim",IF(OR(K632="inconclusivo",M632="inconclusivo"),"inconclusivo","não")))</f>
        <v/>
      </c>
      <c r="O632" s="5">
        <f>IF(N632="sim",COUNTIFS($B$3:$B632,$B632,$N$3:$N632,"sim"),"")</f>
        <v/>
      </c>
      <c r="P632" s="5" t="n"/>
      <c r="Q632" s="4" t="n"/>
      <c r="R632" s="5" t="n"/>
      <c r="S632" s="9" t="n"/>
      <c r="T632" s="4" t="n"/>
    </row>
    <row r="633">
      <c r="A633" s="5">
        <f>ROW()-2</f>
        <v/>
      </c>
      <c r="B633" s="4" t="inlineStr">
        <is>
          <t>Metrópole</t>
        </is>
      </c>
      <c r="C633" s="5" t="n">
        <v>631</v>
      </c>
      <c r="D633" s="5">
        <f>IFERROR(INDEX('Base de sorteio'!$A$3:$A$1723,MATCH($B633&amp;"|"&amp;$C633,'Base de sorteio'!$I$3:$I$1723,0)),"")</f>
        <v/>
      </c>
      <c r="E633" s="4">
        <f>IFERROR(INDEX('Base de sorteio'!$B$3:$B$1723,MATCH($B633&amp;"|"&amp;$C633,'Base de sorteio'!$I$3:$I$1723,0)),"")</f>
        <v/>
      </c>
      <c r="F633" s="4">
        <f>IFERROR(INDEX('Base de sorteio'!$C$3:$C$1723,MATCH($B633&amp;"|"&amp;$C633,'Base de sorteio'!$I$3:$I$1723,0)),"")</f>
        <v/>
      </c>
      <c r="G633" s="4">
        <f>IFERROR(INDEX('Base de sorteio'!$D$3:$D$1723,MATCH($B633&amp;"|"&amp;$C633,'Base de sorteio'!$I$3:$I$1723,0)),"")</f>
        <v/>
      </c>
      <c r="H633" s="4">
        <f>IFERROR(INDEX('Base de sorteio'!$E$3:$E$1723,MATCH($B633&amp;"|"&amp;$C633,'Base de sorteio'!$I$3:$I$1723,0)),"")</f>
        <v/>
      </c>
      <c r="I633" s="4">
        <f>IF(E633="","",HYPERLINK(IFERROR(INDEX('Base de sorteio'!$J$3:$J$1723,MATCH($B633&amp;"|"&amp;$C633,'Base de sorteio'!$I$3:$I$1723,0)),""),"abrir"))</f>
        <v/>
      </c>
      <c r="J633" s="4" t="n"/>
      <c r="K633" s="4" t="n"/>
      <c r="L633" s="4" t="n"/>
      <c r="M633" s="4" t="n"/>
      <c r="N633" s="4">
        <f>IF(AND(K633="",M633=""),"",IF(OR(K633="sim",M633="sim"),"sim",IF(OR(K633="inconclusivo",M633="inconclusivo"),"inconclusivo","não")))</f>
        <v/>
      </c>
      <c r="O633" s="5">
        <f>IF(N633="sim",COUNTIFS($B$3:$B633,$B633,$N$3:$N633,"sim"),"")</f>
        <v/>
      </c>
      <c r="P633" s="5" t="n"/>
      <c r="Q633" s="4" t="n"/>
      <c r="R633" s="5" t="n"/>
      <c r="S633" s="9" t="n"/>
      <c r="T633" s="4" t="n"/>
    </row>
    <row r="634">
      <c r="A634" s="5">
        <f>ROW()-2</f>
        <v/>
      </c>
      <c r="B634" s="4" t="inlineStr">
        <is>
          <t>Metrópole</t>
        </is>
      </c>
      <c r="C634" s="5" t="n">
        <v>632</v>
      </c>
      <c r="D634" s="5">
        <f>IFERROR(INDEX('Base de sorteio'!$A$3:$A$1723,MATCH($B634&amp;"|"&amp;$C634,'Base de sorteio'!$I$3:$I$1723,0)),"")</f>
        <v/>
      </c>
      <c r="E634" s="4">
        <f>IFERROR(INDEX('Base de sorteio'!$B$3:$B$1723,MATCH($B634&amp;"|"&amp;$C634,'Base de sorteio'!$I$3:$I$1723,0)),"")</f>
        <v/>
      </c>
      <c r="F634" s="4">
        <f>IFERROR(INDEX('Base de sorteio'!$C$3:$C$1723,MATCH($B634&amp;"|"&amp;$C634,'Base de sorteio'!$I$3:$I$1723,0)),"")</f>
        <v/>
      </c>
      <c r="G634" s="4">
        <f>IFERROR(INDEX('Base de sorteio'!$D$3:$D$1723,MATCH($B634&amp;"|"&amp;$C634,'Base de sorteio'!$I$3:$I$1723,0)),"")</f>
        <v/>
      </c>
      <c r="H634" s="4">
        <f>IFERROR(INDEX('Base de sorteio'!$E$3:$E$1723,MATCH($B634&amp;"|"&amp;$C634,'Base de sorteio'!$I$3:$I$1723,0)),"")</f>
        <v/>
      </c>
      <c r="I634" s="4">
        <f>IF(E634="","",HYPERLINK(IFERROR(INDEX('Base de sorteio'!$J$3:$J$1723,MATCH($B634&amp;"|"&amp;$C634,'Base de sorteio'!$I$3:$I$1723,0)),""),"abrir"))</f>
        <v/>
      </c>
      <c r="J634" s="4" t="n"/>
      <c r="K634" s="4" t="n"/>
      <c r="L634" s="4" t="n"/>
      <c r="M634" s="4" t="n"/>
      <c r="N634" s="4">
        <f>IF(AND(K634="",M634=""),"",IF(OR(K634="sim",M634="sim"),"sim",IF(OR(K634="inconclusivo",M634="inconclusivo"),"inconclusivo","não")))</f>
        <v/>
      </c>
      <c r="O634" s="5">
        <f>IF(N634="sim",COUNTIFS($B$3:$B634,$B634,$N$3:$N634,"sim"),"")</f>
        <v/>
      </c>
      <c r="P634" s="5" t="n"/>
      <c r="Q634" s="4" t="n"/>
      <c r="R634" s="5" t="n"/>
      <c r="S634" s="9" t="n"/>
      <c r="T634" s="4" t="n"/>
    </row>
    <row r="635">
      <c r="A635" s="5">
        <f>ROW()-2</f>
        <v/>
      </c>
      <c r="B635" s="4" t="inlineStr">
        <is>
          <t>Metrópole</t>
        </is>
      </c>
      <c r="C635" s="5" t="n">
        <v>633</v>
      </c>
      <c r="D635" s="5">
        <f>IFERROR(INDEX('Base de sorteio'!$A$3:$A$1723,MATCH($B635&amp;"|"&amp;$C635,'Base de sorteio'!$I$3:$I$1723,0)),"")</f>
        <v/>
      </c>
      <c r="E635" s="4">
        <f>IFERROR(INDEX('Base de sorteio'!$B$3:$B$1723,MATCH($B635&amp;"|"&amp;$C635,'Base de sorteio'!$I$3:$I$1723,0)),"")</f>
        <v/>
      </c>
      <c r="F635" s="4">
        <f>IFERROR(INDEX('Base de sorteio'!$C$3:$C$1723,MATCH($B635&amp;"|"&amp;$C635,'Base de sorteio'!$I$3:$I$1723,0)),"")</f>
        <v/>
      </c>
      <c r="G635" s="4">
        <f>IFERROR(INDEX('Base de sorteio'!$D$3:$D$1723,MATCH($B635&amp;"|"&amp;$C635,'Base de sorteio'!$I$3:$I$1723,0)),"")</f>
        <v/>
      </c>
      <c r="H635" s="4">
        <f>IFERROR(INDEX('Base de sorteio'!$E$3:$E$1723,MATCH($B635&amp;"|"&amp;$C635,'Base de sorteio'!$I$3:$I$1723,0)),"")</f>
        <v/>
      </c>
      <c r="I635" s="4">
        <f>IF(E635="","",HYPERLINK(IFERROR(INDEX('Base de sorteio'!$J$3:$J$1723,MATCH($B635&amp;"|"&amp;$C635,'Base de sorteio'!$I$3:$I$1723,0)),""),"abrir"))</f>
        <v/>
      </c>
      <c r="J635" s="4" t="n"/>
      <c r="K635" s="4" t="n"/>
      <c r="L635" s="4" t="n"/>
      <c r="M635" s="4" t="n"/>
      <c r="N635" s="4">
        <f>IF(AND(K635="",M635=""),"",IF(OR(K635="sim",M635="sim"),"sim",IF(OR(K635="inconclusivo",M635="inconclusivo"),"inconclusivo","não")))</f>
        <v/>
      </c>
      <c r="O635" s="5">
        <f>IF(N635="sim",COUNTIFS($B$3:$B635,$B635,$N$3:$N635,"sim"),"")</f>
        <v/>
      </c>
      <c r="P635" s="5" t="n"/>
      <c r="Q635" s="4" t="n"/>
      <c r="R635" s="5" t="n"/>
      <c r="S635" s="9" t="n"/>
      <c r="T635" s="4" t="n"/>
    </row>
    <row r="636">
      <c r="A636" s="5">
        <f>ROW()-2</f>
        <v/>
      </c>
      <c r="B636" s="4" t="inlineStr">
        <is>
          <t>Metrópole</t>
        </is>
      </c>
      <c r="C636" s="5" t="n">
        <v>634</v>
      </c>
      <c r="D636" s="5">
        <f>IFERROR(INDEX('Base de sorteio'!$A$3:$A$1723,MATCH($B636&amp;"|"&amp;$C636,'Base de sorteio'!$I$3:$I$1723,0)),"")</f>
        <v/>
      </c>
      <c r="E636" s="4">
        <f>IFERROR(INDEX('Base de sorteio'!$B$3:$B$1723,MATCH($B636&amp;"|"&amp;$C636,'Base de sorteio'!$I$3:$I$1723,0)),"")</f>
        <v/>
      </c>
      <c r="F636" s="4">
        <f>IFERROR(INDEX('Base de sorteio'!$C$3:$C$1723,MATCH($B636&amp;"|"&amp;$C636,'Base de sorteio'!$I$3:$I$1723,0)),"")</f>
        <v/>
      </c>
      <c r="G636" s="4">
        <f>IFERROR(INDEX('Base de sorteio'!$D$3:$D$1723,MATCH($B636&amp;"|"&amp;$C636,'Base de sorteio'!$I$3:$I$1723,0)),"")</f>
        <v/>
      </c>
      <c r="H636" s="4">
        <f>IFERROR(INDEX('Base de sorteio'!$E$3:$E$1723,MATCH($B636&amp;"|"&amp;$C636,'Base de sorteio'!$I$3:$I$1723,0)),"")</f>
        <v/>
      </c>
      <c r="I636" s="4">
        <f>IF(E636="","",HYPERLINK(IFERROR(INDEX('Base de sorteio'!$J$3:$J$1723,MATCH($B636&amp;"|"&amp;$C636,'Base de sorteio'!$I$3:$I$1723,0)),""),"abrir"))</f>
        <v/>
      </c>
      <c r="J636" s="4" t="n"/>
      <c r="K636" s="4" t="n"/>
      <c r="L636" s="4" t="n"/>
      <c r="M636" s="4" t="n"/>
      <c r="N636" s="4">
        <f>IF(AND(K636="",M636=""),"",IF(OR(K636="sim",M636="sim"),"sim",IF(OR(K636="inconclusivo",M636="inconclusivo"),"inconclusivo","não")))</f>
        <v/>
      </c>
      <c r="O636" s="5">
        <f>IF(N636="sim",COUNTIFS($B$3:$B636,$B636,$N$3:$N636,"sim"),"")</f>
        <v/>
      </c>
      <c r="P636" s="5" t="n"/>
      <c r="Q636" s="4" t="n"/>
      <c r="R636" s="5" t="n"/>
      <c r="S636" s="9" t="n"/>
      <c r="T636" s="4" t="n"/>
    </row>
    <row r="637">
      <c r="A637" s="5">
        <f>ROW()-2</f>
        <v/>
      </c>
      <c r="B637" s="4" t="inlineStr">
        <is>
          <t>Metrópole</t>
        </is>
      </c>
      <c r="C637" s="5" t="n">
        <v>635</v>
      </c>
      <c r="D637" s="5">
        <f>IFERROR(INDEX('Base de sorteio'!$A$3:$A$1723,MATCH($B637&amp;"|"&amp;$C637,'Base de sorteio'!$I$3:$I$1723,0)),"")</f>
        <v/>
      </c>
      <c r="E637" s="4">
        <f>IFERROR(INDEX('Base de sorteio'!$B$3:$B$1723,MATCH($B637&amp;"|"&amp;$C637,'Base de sorteio'!$I$3:$I$1723,0)),"")</f>
        <v/>
      </c>
      <c r="F637" s="4">
        <f>IFERROR(INDEX('Base de sorteio'!$C$3:$C$1723,MATCH($B637&amp;"|"&amp;$C637,'Base de sorteio'!$I$3:$I$1723,0)),"")</f>
        <v/>
      </c>
      <c r="G637" s="4">
        <f>IFERROR(INDEX('Base de sorteio'!$D$3:$D$1723,MATCH($B637&amp;"|"&amp;$C637,'Base de sorteio'!$I$3:$I$1723,0)),"")</f>
        <v/>
      </c>
      <c r="H637" s="4">
        <f>IFERROR(INDEX('Base de sorteio'!$E$3:$E$1723,MATCH($B637&amp;"|"&amp;$C637,'Base de sorteio'!$I$3:$I$1723,0)),"")</f>
        <v/>
      </c>
      <c r="I637" s="4">
        <f>IF(E637="","",HYPERLINK(IFERROR(INDEX('Base de sorteio'!$J$3:$J$1723,MATCH($B637&amp;"|"&amp;$C637,'Base de sorteio'!$I$3:$I$1723,0)),""),"abrir"))</f>
        <v/>
      </c>
      <c r="J637" s="4" t="n"/>
      <c r="K637" s="4" t="n"/>
      <c r="L637" s="4" t="n"/>
      <c r="M637" s="4" t="n"/>
      <c r="N637" s="4">
        <f>IF(AND(K637="",M637=""),"",IF(OR(K637="sim",M637="sim"),"sim",IF(OR(K637="inconclusivo",M637="inconclusivo"),"inconclusivo","não")))</f>
        <v/>
      </c>
      <c r="O637" s="5">
        <f>IF(N637="sim",COUNTIFS($B$3:$B637,$B637,$N$3:$N637,"sim"),"")</f>
        <v/>
      </c>
      <c r="P637" s="5" t="n"/>
      <c r="Q637" s="4" t="n"/>
      <c r="R637" s="5" t="n"/>
      <c r="S637" s="9" t="n"/>
      <c r="T637" s="4" t="n"/>
    </row>
    <row r="638">
      <c r="A638" s="5">
        <f>ROW()-2</f>
        <v/>
      </c>
      <c r="B638" s="4" t="inlineStr">
        <is>
          <t>Metrópole</t>
        </is>
      </c>
      <c r="C638" s="5" t="n">
        <v>636</v>
      </c>
      <c r="D638" s="5">
        <f>IFERROR(INDEX('Base de sorteio'!$A$3:$A$1723,MATCH($B638&amp;"|"&amp;$C638,'Base de sorteio'!$I$3:$I$1723,0)),"")</f>
        <v/>
      </c>
      <c r="E638" s="4">
        <f>IFERROR(INDEX('Base de sorteio'!$B$3:$B$1723,MATCH($B638&amp;"|"&amp;$C638,'Base de sorteio'!$I$3:$I$1723,0)),"")</f>
        <v/>
      </c>
      <c r="F638" s="4">
        <f>IFERROR(INDEX('Base de sorteio'!$C$3:$C$1723,MATCH($B638&amp;"|"&amp;$C638,'Base de sorteio'!$I$3:$I$1723,0)),"")</f>
        <v/>
      </c>
      <c r="G638" s="4">
        <f>IFERROR(INDEX('Base de sorteio'!$D$3:$D$1723,MATCH($B638&amp;"|"&amp;$C638,'Base de sorteio'!$I$3:$I$1723,0)),"")</f>
        <v/>
      </c>
      <c r="H638" s="4">
        <f>IFERROR(INDEX('Base de sorteio'!$E$3:$E$1723,MATCH($B638&amp;"|"&amp;$C638,'Base de sorteio'!$I$3:$I$1723,0)),"")</f>
        <v/>
      </c>
      <c r="I638" s="4">
        <f>IF(E638="","",HYPERLINK(IFERROR(INDEX('Base de sorteio'!$J$3:$J$1723,MATCH($B638&amp;"|"&amp;$C638,'Base de sorteio'!$I$3:$I$1723,0)),""),"abrir"))</f>
        <v/>
      </c>
      <c r="J638" s="4" t="n"/>
      <c r="K638" s="4" t="n"/>
      <c r="L638" s="4" t="n"/>
      <c r="M638" s="4" t="n"/>
      <c r="N638" s="4">
        <f>IF(AND(K638="",M638=""),"",IF(OR(K638="sim",M638="sim"),"sim",IF(OR(K638="inconclusivo",M638="inconclusivo"),"inconclusivo","não")))</f>
        <v/>
      </c>
      <c r="O638" s="5">
        <f>IF(N638="sim",COUNTIFS($B$3:$B638,$B638,$N$3:$N638,"sim"),"")</f>
        <v/>
      </c>
      <c r="P638" s="5" t="n"/>
      <c r="Q638" s="4" t="n"/>
      <c r="R638" s="5" t="n"/>
      <c r="S638" s="9" t="n"/>
      <c r="T638" s="4" t="n"/>
    </row>
    <row r="639">
      <c r="A639" s="5">
        <f>ROW()-2</f>
        <v/>
      </c>
      <c r="B639" s="4" t="inlineStr">
        <is>
          <t>Metrópole</t>
        </is>
      </c>
      <c r="C639" s="5" t="n">
        <v>637</v>
      </c>
      <c r="D639" s="5">
        <f>IFERROR(INDEX('Base de sorteio'!$A$3:$A$1723,MATCH($B639&amp;"|"&amp;$C639,'Base de sorteio'!$I$3:$I$1723,0)),"")</f>
        <v/>
      </c>
      <c r="E639" s="4">
        <f>IFERROR(INDEX('Base de sorteio'!$B$3:$B$1723,MATCH($B639&amp;"|"&amp;$C639,'Base de sorteio'!$I$3:$I$1723,0)),"")</f>
        <v/>
      </c>
      <c r="F639" s="4">
        <f>IFERROR(INDEX('Base de sorteio'!$C$3:$C$1723,MATCH($B639&amp;"|"&amp;$C639,'Base de sorteio'!$I$3:$I$1723,0)),"")</f>
        <v/>
      </c>
      <c r="G639" s="4">
        <f>IFERROR(INDEX('Base de sorteio'!$D$3:$D$1723,MATCH($B639&amp;"|"&amp;$C639,'Base de sorteio'!$I$3:$I$1723,0)),"")</f>
        <v/>
      </c>
      <c r="H639" s="4">
        <f>IFERROR(INDEX('Base de sorteio'!$E$3:$E$1723,MATCH($B639&amp;"|"&amp;$C639,'Base de sorteio'!$I$3:$I$1723,0)),"")</f>
        <v/>
      </c>
      <c r="I639" s="4">
        <f>IF(E639="","",HYPERLINK(IFERROR(INDEX('Base de sorteio'!$J$3:$J$1723,MATCH($B639&amp;"|"&amp;$C639,'Base de sorteio'!$I$3:$I$1723,0)),""),"abrir"))</f>
        <v/>
      </c>
      <c r="J639" s="4" t="n"/>
      <c r="K639" s="4" t="n"/>
      <c r="L639" s="4" t="n"/>
      <c r="M639" s="4" t="n"/>
      <c r="N639" s="4">
        <f>IF(AND(K639="",M639=""),"",IF(OR(K639="sim",M639="sim"),"sim",IF(OR(K639="inconclusivo",M639="inconclusivo"),"inconclusivo","não")))</f>
        <v/>
      </c>
      <c r="O639" s="5">
        <f>IF(N639="sim",COUNTIFS($B$3:$B639,$B639,$N$3:$N639,"sim"),"")</f>
        <v/>
      </c>
      <c r="P639" s="5" t="n"/>
      <c r="Q639" s="4" t="n"/>
      <c r="R639" s="5" t="n"/>
      <c r="S639" s="9" t="n"/>
      <c r="T639" s="4" t="n"/>
    </row>
    <row r="640">
      <c r="A640" s="5">
        <f>ROW()-2</f>
        <v/>
      </c>
      <c r="B640" s="4" t="inlineStr">
        <is>
          <t>Metrópole</t>
        </is>
      </c>
      <c r="C640" s="5" t="n">
        <v>638</v>
      </c>
      <c r="D640" s="5">
        <f>IFERROR(INDEX('Base de sorteio'!$A$3:$A$1723,MATCH($B640&amp;"|"&amp;$C640,'Base de sorteio'!$I$3:$I$1723,0)),"")</f>
        <v/>
      </c>
      <c r="E640" s="4">
        <f>IFERROR(INDEX('Base de sorteio'!$B$3:$B$1723,MATCH($B640&amp;"|"&amp;$C640,'Base de sorteio'!$I$3:$I$1723,0)),"")</f>
        <v/>
      </c>
      <c r="F640" s="4">
        <f>IFERROR(INDEX('Base de sorteio'!$C$3:$C$1723,MATCH($B640&amp;"|"&amp;$C640,'Base de sorteio'!$I$3:$I$1723,0)),"")</f>
        <v/>
      </c>
      <c r="G640" s="4">
        <f>IFERROR(INDEX('Base de sorteio'!$D$3:$D$1723,MATCH($B640&amp;"|"&amp;$C640,'Base de sorteio'!$I$3:$I$1723,0)),"")</f>
        <v/>
      </c>
      <c r="H640" s="4">
        <f>IFERROR(INDEX('Base de sorteio'!$E$3:$E$1723,MATCH($B640&amp;"|"&amp;$C640,'Base de sorteio'!$I$3:$I$1723,0)),"")</f>
        <v/>
      </c>
      <c r="I640" s="4">
        <f>IF(E640="","",HYPERLINK(IFERROR(INDEX('Base de sorteio'!$J$3:$J$1723,MATCH($B640&amp;"|"&amp;$C640,'Base de sorteio'!$I$3:$I$1723,0)),""),"abrir"))</f>
        <v/>
      </c>
      <c r="J640" s="4" t="n"/>
      <c r="K640" s="4" t="n"/>
      <c r="L640" s="4" t="n"/>
      <c r="M640" s="4" t="n"/>
      <c r="N640" s="4">
        <f>IF(AND(K640="",M640=""),"",IF(OR(K640="sim",M640="sim"),"sim",IF(OR(K640="inconclusivo",M640="inconclusivo"),"inconclusivo","não")))</f>
        <v/>
      </c>
      <c r="O640" s="5">
        <f>IF(N640="sim",COUNTIFS($B$3:$B640,$B640,$N$3:$N640,"sim"),"")</f>
        <v/>
      </c>
      <c r="P640" s="5" t="n"/>
      <c r="Q640" s="4" t="n"/>
      <c r="R640" s="5" t="n"/>
      <c r="S640" s="9" t="n"/>
      <c r="T640" s="4" t="n"/>
    </row>
    <row r="641">
      <c r="A641" s="5">
        <f>ROW()-2</f>
        <v/>
      </c>
      <c r="B641" s="4" t="inlineStr">
        <is>
          <t>Metrópole</t>
        </is>
      </c>
      <c r="C641" s="5" t="n">
        <v>639</v>
      </c>
      <c r="D641" s="5">
        <f>IFERROR(INDEX('Base de sorteio'!$A$3:$A$1723,MATCH($B641&amp;"|"&amp;$C641,'Base de sorteio'!$I$3:$I$1723,0)),"")</f>
        <v/>
      </c>
      <c r="E641" s="4">
        <f>IFERROR(INDEX('Base de sorteio'!$B$3:$B$1723,MATCH($B641&amp;"|"&amp;$C641,'Base de sorteio'!$I$3:$I$1723,0)),"")</f>
        <v/>
      </c>
      <c r="F641" s="4">
        <f>IFERROR(INDEX('Base de sorteio'!$C$3:$C$1723,MATCH($B641&amp;"|"&amp;$C641,'Base de sorteio'!$I$3:$I$1723,0)),"")</f>
        <v/>
      </c>
      <c r="G641" s="4">
        <f>IFERROR(INDEX('Base de sorteio'!$D$3:$D$1723,MATCH($B641&amp;"|"&amp;$C641,'Base de sorteio'!$I$3:$I$1723,0)),"")</f>
        <v/>
      </c>
      <c r="H641" s="4">
        <f>IFERROR(INDEX('Base de sorteio'!$E$3:$E$1723,MATCH($B641&amp;"|"&amp;$C641,'Base de sorteio'!$I$3:$I$1723,0)),"")</f>
        <v/>
      </c>
      <c r="I641" s="4">
        <f>IF(E641="","",HYPERLINK(IFERROR(INDEX('Base de sorteio'!$J$3:$J$1723,MATCH($B641&amp;"|"&amp;$C641,'Base de sorteio'!$I$3:$I$1723,0)),""),"abrir"))</f>
        <v/>
      </c>
      <c r="J641" s="4" t="n"/>
      <c r="K641" s="4" t="n"/>
      <c r="L641" s="4" t="n"/>
      <c r="M641" s="4" t="n"/>
      <c r="N641" s="4">
        <f>IF(AND(K641="",M641=""),"",IF(OR(K641="sim",M641="sim"),"sim",IF(OR(K641="inconclusivo",M641="inconclusivo"),"inconclusivo","não")))</f>
        <v/>
      </c>
      <c r="O641" s="5">
        <f>IF(N641="sim",COUNTIFS($B$3:$B641,$B641,$N$3:$N641,"sim"),"")</f>
        <v/>
      </c>
      <c r="P641" s="5" t="n"/>
      <c r="Q641" s="4" t="n"/>
      <c r="R641" s="5" t="n"/>
      <c r="S641" s="9" t="n"/>
      <c r="T641" s="4" t="n"/>
    </row>
    <row r="642">
      <c r="A642" s="5">
        <f>ROW()-2</f>
        <v/>
      </c>
      <c r="B642" s="4" t="inlineStr">
        <is>
          <t>Metrópole</t>
        </is>
      </c>
      <c r="C642" s="5" t="n">
        <v>640</v>
      </c>
      <c r="D642" s="5">
        <f>IFERROR(INDEX('Base de sorteio'!$A$3:$A$1723,MATCH($B642&amp;"|"&amp;$C642,'Base de sorteio'!$I$3:$I$1723,0)),"")</f>
        <v/>
      </c>
      <c r="E642" s="4">
        <f>IFERROR(INDEX('Base de sorteio'!$B$3:$B$1723,MATCH($B642&amp;"|"&amp;$C642,'Base de sorteio'!$I$3:$I$1723,0)),"")</f>
        <v/>
      </c>
      <c r="F642" s="4">
        <f>IFERROR(INDEX('Base de sorteio'!$C$3:$C$1723,MATCH($B642&amp;"|"&amp;$C642,'Base de sorteio'!$I$3:$I$1723,0)),"")</f>
        <v/>
      </c>
      <c r="G642" s="4">
        <f>IFERROR(INDEX('Base de sorteio'!$D$3:$D$1723,MATCH($B642&amp;"|"&amp;$C642,'Base de sorteio'!$I$3:$I$1723,0)),"")</f>
        <v/>
      </c>
      <c r="H642" s="4">
        <f>IFERROR(INDEX('Base de sorteio'!$E$3:$E$1723,MATCH($B642&amp;"|"&amp;$C642,'Base de sorteio'!$I$3:$I$1723,0)),"")</f>
        <v/>
      </c>
      <c r="I642" s="4">
        <f>IF(E642="","",HYPERLINK(IFERROR(INDEX('Base de sorteio'!$J$3:$J$1723,MATCH($B642&amp;"|"&amp;$C642,'Base de sorteio'!$I$3:$I$1723,0)),""),"abrir"))</f>
        <v/>
      </c>
      <c r="J642" s="4" t="n"/>
      <c r="K642" s="4" t="n"/>
      <c r="L642" s="4" t="n"/>
      <c r="M642" s="4" t="n"/>
      <c r="N642" s="4">
        <f>IF(AND(K642="",M642=""),"",IF(OR(K642="sim",M642="sim"),"sim",IF(OR(K642="inconclusivo",M642="inconclusivo"),"inconclusivo","não")))</f>
        <v/>
      </c>
      <c r="O642" s="5">
        <f>IF(N642="sim",COUNTIFS($B$3:$B642,$B642,$N$3:$N642,"sim"),"")</f>
        <v/>
      </c>
      <c r="P642" s="5" t="n"/>
      <c r="Q642" s="4" t="n"/>
      <c r="R642" s="5" t="n"/>
      <c r="S642" s="9" t="n"/>
      <c r="T642" s="4" t="n"/>
    </row>
    <row r="643">
      <c r="A643" s="5">
        <f>ROW()-2</f>
        <v/>
      </c>
      <c r="B643" s="4" t="inlineStr">
        <is>
          <t>Metrópole</t>
        </is>
      </c>
      <c r="C643" s="5" t="n">
        <v>641</v>
      </c>
      <c r="D643" s="5">
        <f>IFERROR(INDEX('Base de sorteio'!$A$3:$A$1723,MATCH($B643&amp;"|"&amp;$C643,'Base de sorteio'!$I$3:$I$1723,0)),"")</f>
        <v/>
      </c>
      <c r="E643" s="4">
        <f>IFERROR(INDEX('Base de sorteio'!$B$3:$B$1723,MATCH($B643&amp;"|"&amp;$C643,'Base de sorteio'!$I$3:$I$1723,0)),"")</f>
        <v/>
      </c>
      <c r="F643" s="4">
        <f>IFERROR(INDEX('Base de sorteio'!$C$3:$C$1723,MATCH($B643&amp;"|"&amp;$C643,'Base de sorteio'!$I$3:$I$1723,0)),"")</f>
        <v/>
      </c>
      <c r="G643" s="4">
        <f>IFERROR(INDEX('Base de sorteio'!$D$3:$D$1723,MATCH($B643&amp;"|"&amp;$C643,'Base de sorteio'!$I$3:$I$1723,0)),"")</f>
        <v/>
      </c>
      <c r="H643" s="4">
        <f>IFERROR(INDEX('Base de sorteio'!$E$3:$E$1723,MATCH($B643&amp;"|"&amp;$C643,'Base de sorteio'!$I$3:$I$1723,0)),"")</f>
        <v/>
      </c>
      <c r="I643" s="4">
        <f>IF(E643="","",HYPERLINK(IFERROR(INDEX('Base de sorteio'!$J$3:$J$1723,MATCH($B643&amp;"|"&amp;$C643,'Base de sorteio'!$I$3:$I$1723,0)),""),"abrir"))</f>
        <v/>
      </c>
      <c r="J643" s="4" t="n"/>
      <c r="K643" s="4" t="n"/>
      <c r="L643" s="4" t="n"/>
      <c r="M643" s="4" t="n"/>
      <c r="N643" s="4">
        <f>IF(AND(K643="",M643=""),"",IF(OR(K643="sim",M643="sim"),"sim",IF(OR(K643="inconclusivo",M643="inconclusivo"),"inconclusivo","não")))</f>
        <v/>
      </c>
      <c r="O643" s="5">
        <f>IF(N643="sim",COUNTIFS($B$3:$B643,$B643,$N$3:$N643,"sim"),"")</f>
        <v/>
      </c>
      <c r="P643" s="5" t="n"/>
      <c r="Q643" s="4" t="n"/>
      <c r="R643" s="5" t="n"/>
      <c r="S643" s="9" t="n"/>
      <c r="T643" s="4" t="n"/>
    </row>
    <row r="644">
      <c r="A644" s="5">
        <f>ROW()-2</f>
        <v/>
      </c>
      <c r="B644" s="4" t="inlineStr">
        <is>
          <t>Metrópole</t>
        </is>
      </c>
      <c r="C644" s="5" t="n">
        <v>642</v>
      </c>
      <c r="D644" s="5">
        <f>IFERROR(INDEX('Base de sorteio'!$A$3:$A$1723,MATCH($B644&amp;"|"&amp;$C644,'Base de sorteio'!$I$3:$I$1723,0)),"")</f>
        <v/>
      </c>
      <c r="E644" s="4">
        <f>IFERROR(INDEX('Base de sorteio'!$B$3:$B$1723,MATCH($B644&amp;"|"&amp;$C644,'Base de sorteio'!$I$3:$I$1723,0)),"")</f>
        <v/>
      </c>
      <c r="F644" s="4">
        <f>IFERROR(INDEX('Base de sorteio'!$C$3:$C$1723,MATCH($B644&amp;"|"&amp;$C644,'Base de sorteio'!$I$3:$I$1723,0)),"")</f>
        <v/>
      </c>
      <c r="G644" s="4">
        <f>IFERROR(INDEX('Base de sorteio'!$D$3:$D$1723,MATCH($B644&amp;"|"&amp;$C644,'Base de sorteio'!$I$3:$I$1723,0)),"")</f>
        <v/>
      </c>
      <c r="H644" s="4">
        <f>IFERROR(INDEX('Base de sorteio'!$E$3:$E$1723,MATCH($B644&amp;"|"&amp;$C644,'Base de sorteio'!$I$3:$I$1723,0)),"")</f>
        <v/>
      </c>
      <c r="I644" s="4">
        <f>IF(E644="","",HYPERLINK(IFERROR(INDEX('Base de sorteio'!$J$3:$J$1723,MATCH($B644&amp;"|"&amp;$C644,'Base de sorteio'!$I$3:$I$1723,0)),""),"abrir"))</f>
        <v/>
      </c>
      <c r="J644" s="4" t="n"/>
      <c r="K644" s="4" t="n"/>
      <c r="L644" s="4" t="n"/>
      <c r="M644" s="4" t="n"/>
      <c r="N644" s="4">
        <f>IF(AND(K644="",M644=""),"",IF(OR(K644="sim",M644="sim"),"sim",IF(OR(K644="inconclusivo",M644="inconclusivo"),"inconclusivo","não")))</f>
        <v/>
      </c>
      <c r="O644" s="5">
        <f>IF(N644="sim",COUNTIFS($B$3:$B644,$B644,$N$3:$N644,"sim"),"")</f>
        <v/>
      </c>
      <c r="P644" s="5" t="n"/>
      <c r="Q644" s="4" t="n"/>
      <c r="R644" s="5" t="n"/>
      <c r="S644" s="9" t="n"/>
      <c r="T644" s="4" t="n"/>
    </row>
    <row r="645">
      <c r="A645" s="5">
        <f>ROW()-2</f>
        <v/>
      </c>
      <c r="B645" s="4" t="inlineStr">
        <is>
          <t>Metrópole</t>
        </is>
      </c>
      <c r="C645" s="5" t="n">
        <v>643</v>
      </c>
      <c r="D645" s="5">
        <f>IFERROR(INDEX('Base de sorteio'!$A$3:$A$1723,MATCH($B645&amp;"|"&amp;$C645,'Base de sorteio'!$I$3:$I$1723,0)),"")</f>
        <v/>
      </c>
      <c r="E645" s="4">
        <f>IFERROR(INDEX('Base de sorteio'!$B$3:$B$1723,MATCH($B645&amp;"|"&amp;$C645,'Base de sorteio'!$I$3:$I$1723,0)),"")</f>
        <v/>
      </c>
      <c r="F645" s="4">
        <f>IFERROR(INDEX('Base de sorteio'!$C$3:$C$1723,MATCH($B645&amp;"|"&amp;$C645,'Base de sorteio'!$I$3:$I$1723,0)),"")</f>
        <v/>
      </c>
      <c r="G645" s="4">
        <f>IFERROR(INDEX('Base de sorteio'!$D$3:$D$1723,MATCH($B645&amp;"|"&amp;$C645,'Base de sorteio'!$I$3:$I$1723,0)),"")</f>
        <v/>
      </c>
      <c r="H645" s="4">
        <f>IFERROR(INDEX('Base de sorteio'!$E$3:$E$1723,MATCH($B645&amp;"|"&amp;$C645,'Base de sorteio'!$I$3:$I$1723,0)),"")</f>
        <v/>
      </c>
      <c r="I645" s="4">
        <f>IF(E645="","",HYPERLINK(IFERROR(INDEX('Base de sorteio'!$J$3:$J$1723,MATCH($B645&amp;"|"&amp;$C645,'Base de sorteio'!$I$3:$I$1723,0)),""),"abrir"))</f>
        <v/>
      </c>
      <c r="J645" s="4" t="n"/>
      <c r="K645" s="4" t="n"/>
      <c r="L645" s="4" t="n"/>
      <c r="M645" s="4" t="n"/>
      <c r="N645" s="4">
        <f>IF(AND(K645="",M645=""),"",IF(OR(K645="sim",M645="sim"),"sim",IF(OR(K645="inconclusivo",M645="inconclusivo"),"inconclusivo","não")))</f>
        <v/>
      </c>
      <c r="O645" s="5">
        <f>IF(N645="sim",COUNTIFS($B$3:$B645,$B645,$N$3:$N645,"sim"),"")</f>
        <v/>
      </c>
      <c r="P645" s="5" t="n"/>
      <c r="Q645" s="4" t="n"/>
      <c r="R645" s="5" t="n"/>
      <c r="S645" s="9" t="n"/>
      <c r="T645" s="4" t="n"/>
    </row>
    <row r="646">
      <c r="A646" s="5">
        <f>ROW()-2</f>
        <v/>
      </c>
      <c r="B646" s="4" t="inlineStr">
        <is>
          <t>Metrópole</t>
        </is>
      </c>
      <c r="C646" s="5" t="n">
        <v>644</v>
      </c>
      <c r="D646" s="5">
        <f>IFERROR(INDEX('Base de sorteio'!$A$3:$A$1723,MATCH($B646&amp;"|"&amp;$C646,'Base de sorteio'!$I$3:$I$1723,0)),"")</f>
        <v/>
      </c>
      <c r="E646" s="4">
        <f>IFERROR(INDEX('Base de sorteio'!$B$3:$B$1723,MATCH($B646&amp;"|"&amp;$C646,'Base de sorteio'!$I$3:$I$1723,0)),"")</f>
        <v/>
      </c>
      <c r="F646" s="4">
        <f>IFERROR(INDEX('Base de sorteio'!$C$3:$C$1723,MATCH($B646&amp;"|"&amp;$C646,'Base de sorteio'!$I$3:$I$1723,0)),"")</f>
        <v/>
      </c>
      <c r="G646" s="4">
        <f>IFERROR(INDEX('Base de sorteio'!$D$3:$D$1723,MATCH($B646&amp;"|"&amp;$C646,'Base de sorteio'!$I$3:$I$1723,0)),"")</f>
        <v/>
      </c>
      <c r="H646" s="4">
        <f>IFERROR(INDEX('Base de sorteio'!$E$3:$E$1723,MATCH($B646&amp;"|"&amp;$C646,'Base de sorteio'!$I$3:$I$1723,0)),"")</f>
        <v/>
      </c>
      <c r="I646" s="4">
        <f>IF(E646="","",HYPERLINK(IFERROR(INDEX('Base de sorteio'!$J$3:$J$1723,MATCH($B646&amp;"|"&amp;$C646,'Base de sorteio'!$I$3:$I$1723,0)),""),"abrir"))</f>
        <v/>
      </c>
      <c r="J646" s="4" t="n"/>
      <c r="K646" s="4" t="n"/>
      <c r="L646" s="4" t="n"/>
      <c r="M646" s="4" t="n"/>
      <c r="N646" s="4">
        <f>IF(AND(K646="",M646=""),"",IF(OR(K646="sim",M646="sim"),"sim",IF(OR(K646="inconclusivo",M646="inconclusivo"),"inconclusivo","não")))</f>
        <v/>
      </c>
      <c r="O646" s="5">
        <f>IF(N646="sim",COUNTIFS($B$3:$B646,$B646,$N$3:$N646,"sim"),"")</f>
        <v/>
      </c>
      <c r="P646" s="5" t="n"/>
      <c r="Q646" s="4" t="n"/>
      <c r="R646" s="5" t="n"/>
      <c r="S646" s="9" t="n"/>
      <c r="T646" s="4" t="n"/>
    </row>
    <row r="647">
      <c r="A647" s="5">
        <f>ROW()-2</f>
        <v/>
      </c>
      <c r="B647" s="4" t="inlineStr">
        <is>
          <t>Metrópole</t>
        </is>
      </c>
      <c r="C647" s="5" t="n">
        <v>645</v>
      </c>
      <c r="D647" s="5">
        <f>IFERROR(INDEX('Base de sorteio'!$A$3:$A$1723,MATCH($B647&amp;"|"&amp;$C647,'Base de sorteio'!$I$3:$I$1723,0)),"")</f>
        <v/>
      </c>
      <c r="E647" s="4">
        <f>IFERROR(INDEX('Base de sorteio'!$B$3:$B$1723,MATCH($B647&amp;"|"&amp;$C647,'Base de sorteio'!$I$3:$I$1723,0)),"")</f>
        <v/>
      </c>
      <c r="F647" s="4">
        <f>IFERROR(INDEX('Base de sorteio'!$C$3:$C$1723,MATCH($B647&amp;"|"&amp;$C647,'Base de sorteio'!$I$3:$I$1723,0)),"")</f>
        <v/>
      </c>
      <c r="G647" s="4">
        <f>IFERROR(INDEX('Base de sorteio'!$D$3:$D$1723,MATCH($B647&amp;"|"&amp;$C647,'Base de sorteio'!$I$3:$I$1723,0)),"")</f>
        <v/>
      </c>
      <c r="H647" s="4">
        <f>IFERROR(INDEX('Base de sorteio'!$E$3:$E$1723,MATCH($B647&amp;"|"&amp;$C647,'Base de sorteio'!$I$3:$I$1723,0)),"")</f>
        <v/>
      </c>
      <c r="I647" s="4">
        <f>IF(E647="","",HYPERLINK(IFERROR(INDEX('Base de sorteio'!$J$3:$J$1723,MATCH($B647&amp;"|"&amp;$C647,'Base de sorteio'!$I$3:$I$1723,0)),""),"abrir"))</f>
        <v/>
      </c>
      <c r="J647" s="4" t="n"/>
      <c r="K647" s="4" t="n"/>
      <c r="L647" s="4" t="n"/>
      <c r="M647" s="4" t="n"/>
      <c r="N647" s="4">
        <f>IF(AND(K647="",M647=""),"",IF(OR(K647="sim",M647="sim"),"sim",IF(OR(K647="inconclusivo",M647="inconclusivo"),"inconclusivo","não")))</f>
        <v/>
      </c>
      <c r="O647" s="5">
        <f>IF(N647="sim",COUNTIFS($B$3:$B647,$B647,$N$3:$N647,"sim"),"")</f>
        <v/>
      </c>
      <c r="P647" s="5" t="n"/>
      <c r="Q647" s="4" t="n"/>
      <c r="R647" s="5" t="n"/>
      <c r="S647" s="9" t="n"/>
      <c r="T647" s="4" t="n"/>
    </row>
    <row r="648">
      <c r="A648" s="5">
        <f>ROW()-2</f>
        <v/>
      </c>
      <c r="B648" s="4" t="inlineStr">
        <is>
          <t>Metrópole</t>
        </is>
      </c>
      <c r="C648" s="5" t="n">
        <v>646</v>
      </c>
      <c r="D648" s="5">
        <f>IFERROR(INDEX('Base de sorteio'!$A$3:$A$1723,MATCH($B648&amp;"|"&amp;$C648,'Base de sorteio'!$I$3:$I$1723,0)),"")</f>
        <v/>
      </c>
      <c r="E648" s="4">
        <f>IFERROR(INDEX('Base de sorteio'!$B$3:$B$1723,MATCH($B648&amp;"|"&amp;$C648,'Base de sorteio'!$I$3:$I$1723,0)),"")</f>
        <v/>
      </c>
      <c r="F648" s="4">
        <f>IFERROR(INDEX('Base de sorteio'!$C$3:$C$1723,MATCH($B648&amp;"|"&amp;$C648,'Base de sorteio'!$I$3:$I$1723,0)),"")</f>
        <v/>
      </c>
      <c r="G648" s="4">
        <f>IFERROR(INDEX('Base de sorteio'!$D$3:$D$1723,MATCH($B648&amp;"|"&amp;$C648,'Base de sorteio'!$I$3:$I$1723,0)),"")</f>
        <v/>
      </c>
      <c r="H648" s="4">
        <f>IFERROR(INDEX('Base de sorteio'!$E$3:$E$1723,MATCH($B648&amp;"|"&amp;$C648,'Base de sorteio'!$I$3:$I$1723,0)),"")</f>
        <v/>
      </c>
      <c r="I648" s="4">
        <f>IF(E648="","",HYPERLINK(IFERROR(INDEX('Base de sorteio'!$J$3:$J$1723,MATCH($B648&amp;"|"&amp;$C648,'Base de sorteio'!$I$3:$I$1723,0)),""),"abrir"))</f>
        <v/>
      </c>
      <c r="J648" s="4" t="n"/>
      <c r="K648" s="4" t="n"/>
      <c r="L648" s="4" t="n"/>
      <c r="M648" s="4" t="n"/>
      <c r="N648" s="4">
        <f>IF(AND(K648="",M648=""),"",IF(OR(K648="sim",M648="sim"),"sim",IF(OR(K648="inconclusivo",M648="inconclusivo"),"inconclusivo","não")))</f>
        <v/>
      </c>
      <c r="O648" s="5">
        <f>IF(N648="sim",COUNTIFS($B$3:$B648,$B648,$N$3:$N648,"sim"),"")</f>
        <v/>
      </c>
      <c r="P648" s="5" t="n"/>
      <c r="Q648" s="4" t="n"/>
      <c r="R648" s="5" t="n"/>
      <c r="S648" s="9" t="n"/>
      <c r="T648" s="4" t="n"/>
    </row>
    <row r="649">
      <c r="A649" s="5">
        <f>ROW()-2</f>
        <v/>
      </c>
      <c r="B649" s="4" t="inlineStr">
        <is>
          <t>Metrópole</t>
        </is>
      </c>
      <c r="C649" s="5" t="n">
        <v>647</v>
      </c>
      <c r="D649" s="5">
        <f>IFERROR(INDEX('Base de sorteio'!$A$3:$A$1723,MATCH($B649&amp;"|"&amp;$C649,'Base de sorteio'!$I$3:$I$1723,0)),"")</f>
        <v/>
      </c>
      <c r="E649" s="4">
        <f>IFERROR(INDEX('Base de sorteio'!$B$3:$B$1723,MATCH($B649&amp;"|"&amp;$C649,'Base de sorteio'!$I$3:$I$1723,0)),"")</f>
        <v/>
      </c>
      <c r="F649" s="4">
        <f>IFERROR(INDEX('Base de sorteio'!$C$3:$C$1723,MATCH($B649&amp;"|"&amp;$C649,'Base de sorteio'!$I$3:$I$1723,0)),"")</f>
        <v/>
      </c>
      <c r="G649" s="4">
        <f>IFERROR(INDEX('Base de sorteio'!$D$3:$D$1723,MATCH($B649&amp;"|"&amp;$C649,'Base de sorteio'!$I$3:$I$1723,0)),"")</f>
        <v/>
      </c>
      <c r="H649" s="4">
        <f>IFERROR(INDEX('Base de sorteio'!$E$3:$E$1723,MATCH($B649&amp;"|"&amp;$C649,'Base de sorteio'!$I$3:$I$1723,0)),"")</f>
        <v/>
      </c>
      <c r="I649" s="4">
        <f>IF(E649="","",HYPERLINK(IFERROR(INDEX('Base de sorteio'!$J$3:$J$1723,MATCH($B649&amp;"|"&amp;$C649,'Base de sorteio'!$I$3:$I$1723,0)),""),"abrir"))</f>
        <v/>
      </c>
      <c r="J649" s="4" t="n"/>
      <c r="K649" s="4" t="n"/>
      <c r="L649" s="4" t="n"/>
      <c r="M649" s="4" t="n"/>
      <c r="N649" s="4">
        <f>IF(AND(K649="",M649=""),"",IF(OR(K649="sim",M649="sim"),"sim",IF(OR(K649="inconclusivo",M649="inconclusivo"),"inconclusivo","não")))</f>
        <v/>
      </c>
      <c r="O649" s="5">
        <f>IF(N649="sim",COUNTIFS($B$3:$B649,$B649,$N$3:$N649,"sim"),"")</f>
        <v/>
      </c>
      <c r="P649" s="5" t="n"/>
      <c r="Q649" s="4" t="n"/>
      <c r="R649" s="5" t="n"/>
      <c r="S649" s="9" t="n"/>
      <c r="T649" s="4" t="n"/>
    </row>
    <row r="650">
      <c r="A650" s="5">
        <f>ROW()-2</f>
        <v/>
      </c>
      <c r="B650" s="4" t="inlineStr">
        <is>
          <t>Metrópole</t>
        </is>
      </c>
      <c r="C650" s="5" t="n">
        <v>648</v>
      </c>
      <c r="D650" s="5">
        <f>IFERROR(INDEX('Base de sorteio'!$A$3:$A$1723,MATCH($B650&amp;"|"&amp;$C650,'Base de sorteio'!$I$3:$I$1723,0)),"")</f>
        <v/>
      </c>
      <c r="E650" s="4">
        <f>IFERROR(INDEX('Base de sorteio'!$B$3:$B$1723,MATCH($B650&amp;"|"&amp;$C650,'Base de sorteio'!$I$3:$I$1723,0)),"")</f>
        <v/>
      </c>
      <c r="F650" s="4">
        <f>IFERROR(INDEX('Base de sorteio'!$C$3:$C$1723,MATCH($B650&amp;"|"&amp;$C650,'Base de sorteio'!$I$3:$I$1723,0)),"")</f>
        <v/>
      </c>
      <c r="G650" s="4">
        <f>IFERROR(INDEX('Base de sorteio'!$D$3:$D$1723,MATCH($B650&amp;"|"&amp;$C650,'Base de sorteio'!$I$3:$I$1723,0)),"")</f>
        <v/>
      </c>
      <c r="H650" s="4">
        <f>IFERROR(INDEX('Base de sorteio'!$E$3:$E$1723,MATCH($B650&amp;"|"&amp;$C650,'Base de sorteio'!$I$3:$I$1723,0)),"")</f>
        <v/>
      </c>
      <c r="I650" s="4">
        <f>IF(E650="","",HYPERLINK(IFERROR(INDEX('Base de sorteio'!$J$3:$J$1723,MATCH($B650&amp;"|"&amp;$C650,'Base de sorteio'!$I$3:$I$1723,0)),""),"abrir"))</f>
        <v/>
      </c>
      <c r="J650" s="4" t="n"/>
      <c r="K650" s="4" t="n"/>
      <c r="L650" s="4" t="n"/>
      <c r="M650" s="4" t="n"/>
      <c r="N650" s="4">
        <f>IF(AND(K650="",M650=""),"",IF(OR(K650="sim",M650="sim"),"sim",IF(OR(K650="inconclusivo",M650="inconclusivo"),"inconclusivo","não")))</f>
        <v/>
      </c>
      <c r="O650" s="5">
        <f>IF(N650="sim",COUNTIFS($B$3:$B650,$B650,$N$3:$N650,"sim"),"")</f>
        <v/>
      </c>
      <c r="P650" s="5" t="n"/>
      <c r="Q650" s="4" t="n"/>
      <c r="R650" s="5" t="n"/>
      <c r="S650" s="9" t="n"/>
      <c r="T650" s="4" t="n"/>
    </row>
    <row r="651">
      <c r="A651" s="5">
        <f>ROW()-2</f>
        <v/>
      </c>
      <c r="B651" s="4" t="inlineStr">
        <is>
          <t>Metrópole</t>
        </is>
      </c>
      <c r="C651" s="5" t="n">
        <v>649</v>
      </c>
      <c r="D651" s="5">
        <f>IFERROR(INDEX('Base de sorteio'!$A$3:$A$1723,MATCH($B651&amp;"|"&amp;$C651,'Base de sorteio'!$I$3:$I$1723,0)),"")</f>
        <v/>
      </c>
      <c r="E651" s="4">
        <f>IFERROR(INDEX('Base de sorteio'!$B$3:$B$1723,MATCH($B651&amp;"|"&amp;$C651,'Base de sorteio'!$I$3:$I$1723,0)),"")</f>
        <v/>
      </c>
      <c r="F651" s="4">
        <f>IFERROR(INDEX('Base de sorteio'!$C$3:$C$1723,MATCH($B651&amp;"|"&amp;$C651,'Base de sorteio'!$I$3:$I$1723,0)),"")</f>
        <v/>
      </c>
      <c r="G651" s="4">
        <f>IFERROR(INDEX('Base de sorteio'!$D$3:$D$1723,MATCH($B651&amp;"|"&amp;$C651,'Base de sorteio'!$I$3:$I$1723,0)),"")</f>
        <v/>
      </c>
      <c r="H651" s="4">
        <f>IFERROR(INDEX('Base de sorteio'!$E$3:$E$1723,MATCH($B651&amp;"|"&amp;$C651,'Base de sorteio'!$I$3:$I$1723,0)),"")</f>
        <v/>
      </c>
      <c r="I651" s="4">
        <f>IF(E651="","",HYPERLINK(IFERROR(INDEX('Base de sorteio'!$J$3:$J$1723,MATCH($B651&amp;"|"&amp;$C651,'Base de sorteio'!$I$3:$I$1723,0)),""),"abrir"))</f>
        <v/>
      </c>
      <c r="J651" s="4" t="n"/>
      <c r="K651" s="4" t="n"/>
      <c r="L651" s="4" t="n"/>
      <c r="M651" s="4" t="n"/>
      <c r="N651" s="4">
        <f>IF(AND(K651="",M651=""),"",IF(OR(K651="sim",M651="sim"),"sim",IF(OR(K651="inconclusivo",M651="inconclusivo"),"inconclusivo","não")))</f>
        <v/>
      </c>
      <c r="O651" s="5">
        <f>IF(N651="sim",COUNTIFS($B$3:$B651,$B651,$N$3:$N651,"sim"),"")</f>
        <v/>
      </c>
      <c r="P651" s="5" t="n"/>
      <c r="Q651" s="4" t="n"/>
      <c r="R651" s="5" t="n"/>
      <c r="S651" s="9" t="n"/>
      <c r="T651" s="4" t="n"/>
    </row>
    <row r="652">
      <c r="A652" s="5">
        <f>ROW()-2</f>
        <v/>
      </c>
      <c r="B652" s="4" t="inlineStr">
        <is>
          <t>Metrópole</t>
        </is>
      </c>
      <c r="C652" s="5" t="n">
        <v>650</v>
      </c>
      <c r="D652" s="5">
        <f>IFERROR(INDEX('Base de sorteio'!$A$3:$A$1723,MATCH($B652&amp;"|"&amp;$C652,'Base de sorteio'!$I$3:$I$1723,0)),"")</f>
        <v/>
      </c>
      <c r="E652" s="4">
        <f>IFERROR(INDEX('Base de sorteio'!$B$3:$B$1723,MATCH($B652&amp;"|"&amp;$C652,'Base de sorteio'!$I$3:$I$1723,0)),"")</f>
        <v/>
      </c>
      <c r="F652" s="4">
        <f>IFERROR(INDEX('Base de sorteio'!$C$3:$C$1723,MATCH($B652&amp;"|"&amp;$C652,'Base de sorteio'!$I$3:$I$1723,0)),"")</f>
        <v/>
      </c>
      <c r="G652" s="4">
        <f>IFERROR(INDEX('Base de sorteio'!$D$3:$D$1723,MATCH($B652&amp;"|"&amp;$C652,'Base de sorteio'!$I$3:$I$1723,0)),"")</f>
        <v/>
      </c>
      <c r="H652" s="4">
        <f>IFERROR(INDEX('Base de sorteio'!$E$3:$E$1723,MATCH($B652&amp;"|"&amp;$C652,'Base de sorteio'!$I$3:$I$1723,0)),"")</f>
        <v/>
      </c>
      <c r="I652" s="4">
        <f>IF(E652="","",HYPERLINK(IFERROR(INDEX('Base de sorteio'!$J$3:$J$1723,MATCH($B652&amp;"|"&amp;$C652,'Base de sorteio'!$I$3:$I$1723,0)),""),"abrir"))</f>
        <v/>
      </c>
      <c r="J652" s="4" t="n"/>
      <c r="K652" s="4" t="n"/>
      <c r="L652" s="4" t="n"/>
      <c r="M652" s="4" t="n"/>
      <c r="N652" s="4">
        <f>IF(AND(K652="",M652=""),"",IF(OR(K652="sim",M652="sim"),"sim",IF(OR(K652="inconclusivo",M652="inconclusivo"),"inconclusivo","não")))</f>
        <v/>
      </c>
      <c r="O652" s="5">
        <f>IF(N652="sim",COUNTIFS($B$3:$B652,$B652,$N$3:$N652,"sim"),"")</f>
        <v/>
      </c>
      <c r="P652" s="5" t="n"/>
      <c r="Q652" s="4" t="n"/>
      <c r="R652" s="5" t="n"/>
      <c r="S652" s="9" t="n"/>
      <c r="T652" s="4" t="n"/>
    </row>
    <row r="653">
      <c r="A653" s="5">
        <f>ROW()-2</f>
        <v/>
      </c>
      <c r="B653" s="4" t="inlineStr">
        <is>
          <t>Metrópole</t>
        </is>
      </c>
      <c r="C653" s="5" t="n">
        <v>651</v>
      </c>
      <c r="D653" s="5">
        <f>IFERROR(INDEX('Base de sorteio'!$A$3:$A$1723,MATCH($B653&amp;"|"&amp;$C653,'Base de sorteio'!$I$3:$I$1723,0)),"")</f>
        <v/>
      </c>
      <c r="E653" s="4">
        <f>IFERROR(INDEX('Base de sorteio'!$B$3:$B$1723,MATCH($B653&amp;"|"&amp;$C653,'Base de sorteio'!$I$3:$I$1723,0)),"")</f>
        <v/>
      </c>
      <c r="F653" s="4">
        <f>IFERROR(INDEX('Base de sorteio'!$C$3:$C$1723,MATCH($B653&amp;"|"&amp;$C653,'Base de sorteio'!$I$3:$I$1723,0)),"")</f>
        <v/>
      </c>
      <c r="G653" s="4">
        <f>IFERROR(INDEX('Base de sorteio'!$D$3:$D$1723,MATCH($B653&amp;"|"&amp;$C653,'Base de sorteio'!$I$3:$I$1723,0)),"")</f>
        <v/>
      </c>
      <c r="H653" s="4">
        <f>IFERROR(INDEX('Base de sorteio'!$E$3:$E$1723,MATCH($B653&amp;"|"&amp;$C653,'Base de sorteio'!$I$3:$I$1723,0)),"")</f>
        <v/>
      </c>
      <c r="I653" s="4">
        <f>IF(E653="","",HYPERLINK(IFERROR(INDEX('Base de sorteio'!$J$3:$J$1723,MATCH($B653&amp;"|"&amp;$C653,'Base de sorteio'!$I$3:$I$1723,0)),""),"abrir"))</f>
        <v/>
      </c>
      <c r="J653" s="4" t="n"/>
      <c r="K653" s="4" t="n"/>
      <c r="L653" s="4" t="n"/>
      <c r="M653" s="4" t="n"/>
      <c r="N653" s="4">
        <f>IF(AND(K653="",M653=""),"",IF(OR(K653="sim",M653="sim"),"sim",IF(OR(K653="inconclusivo",M653="inconclusivo"),"inconclusivo","não")))</f>
        <v/>
      </c>
      <c r="O653" s="5">
        <f>IF(N653="sim",COUNTIFS($B$3:$B653,$B653,$N$3:$N653,"sim"),"")</f>
        <v/>
      </c>
      <c r="P653" s="5" t="n"/>
      <c r="Q653" s="4" t="n"/>
      <c r="R653" s="5" t="n"/>
      <c r="S653" s="9" t="n"/>
      <c r="T653" s="4" t="n"/>
    </row>
    <row r="654">
      <c r="A654" s="5">
        <f>ROW()-2</f>
        <v/>
      </c>
      <c r="B654" s="4" t="inlineStr">
        <is>
          <t>Metrópole</t>
        </is>
      </c>
      <c r="C654" s="5" t="n">
        <v>652</v>
      </c>
      <c r="D654" s="5">
        <f>IFERROR(INDEX('Base de sorteio'!$A$3:$A$1723,MATCH($B654&amp;"|"&amp;$C654,'Base de sorteio'!$I$3:$I$1723,0)),"")</f>
        <v/>
      </c>
      <c r="E654" s="4">
        <f>IFERROR(INDEX('Base de sorteio'!$B$3:$B$1723,MATCH($B654&amp;"|"&amp;$C654,'Base de sorteio'!$I$3:$I$1723,0)),"")</f>
        <v/>
      </c>
      <c r="F654" s="4">
        <f>IFERROR(INDEX('Base de sorteio'!$C$3:$C$1723,MATCH($B654&amp;"|"&amp;$C654,'Base de sorteio'!$I$3:$I$1723,0)),"")</f>
        <v/>
      </c>
      <c r="G654" s="4">
        <f>IFERROR(INDEX('Base de sorteio'!$D$3:$D$1723,MATCH($B654&amp;"|"&amp;$C654,'Base de sorteio'!$I$3:$I$1723,0)),"")</f>
        <v/>
      </c>
      <c r="H654" s="4">
        <f>IFERROR(INDEX('Base de sorteio'!$E$3:$E$1723,MATCH($B654&amp;"|"&amp;$C654,'Base de sorteio'!$I$3:$I$1723,0)),"")</f>
        <v/>
      </c>
      <c r="I654" s="4">
        <f>IF(E654="","",HYPERLINK(IFERROR(INDEX('Base de sorteio'!$J$3:$J$1723,MATCH($B654&amp;"|"&amp;$C654,'Base de sorteio'!$I$3:$I$1723,0)),""),"abrir"))</f>
        <v/>
      </c>
      <c r="J654" s="4" t="n"/>
      <c r="K654" s="4" t="n"/>
      <c r="L654" s="4" t="n"/>
      <c r="M654" s="4" t="n"/>
      <c r="N654" s="4">
        <f>IF(AND(K654="",M654=""),"",IF(OR(K654="sim",M654="sim"),"sim",IF(OR(K654="inconclusivo",M654="inconclusivo"),"inconclusivo","não")))</f>
        <v/>
      </c>
      <c r="O654" s="5">
        <f>IF(N654="sim",COUNTIFS($B$3:$B654,$B654,$N$3:$N654,"sim"),"")</f>
        <v/>
      </c>
      <c r="P654" s="5" t="n"/>
      <c r="Q654" s="4" t="n"/>
      <c r="R654" s="5" t="n"/>
      <c r="S654" s="9" t="n"/>
      <c r="T654" s="4" t="n"/>
    </row>
    <row r="655">
      <c r="A655" s="5">
        <f>ROW()-2</f>
        <v/>
      </c>
      <c r="B655" s="4" t="inlineStr">
        <is>
          <t>Metrópole</t>
        </is>
      </c>
      <c r="C655" s="5" t="n">
        <v>653</v>
      </c>
      <c r="D655" s="5">
        <f>IFERROR(INDEX('Base de sorteio'!$A$3:$A$1723,MATCH($B655&amp;"|"&amp;$C655,'Base de sorteio'!$I$3:$I$1723,0)),"")</f>
        <v/>
      </c>
      <c r="E655" s="4">
        <f>IFERROR(INDEX('Base de sorteio'!$B$3:$B$1723,MATCH($B655&amp;"|"&amp;$C655,'Base de sorteio'!$I$3:$I$1723,0)),"")</f>
        <v/>
      </c>
      <c r="F655" s="4">
        <f>IFERROR(INDEX('Base de sorteio'!$C$3:$C$1723,MATCH($B655&amp;"|"&amp;$C655,'Base de sorteio'!$I$3:$I$1723,0)),"")</f>
        <v/>
      </c>
      <c r="G655" s="4">
        <f>IFERROR(INDEX('Base de sorteio'!$D$3:$D$1723,MATCH($B655&amp;"|"&amp;$C655,'Base de sorteio'!$I$3:$I$1723,0)),"")</f>
        <v/>
      </c>
      <c r="H655" s="4">
        <f>IFERROR(INDEX('Base de sorteio'!$E$3:$E$1723,MATCH($B655&amp;"|"&amp;$C655,'Base de sorteio'!$I$3:$I$1723,0)),"")</f>
        <v/>
      </c>
      <c r="I655" s="4">
        <f>IF(E655="","",HYPERLINK(IFERROR(INDEX('Base de sorteio'!$J$3:$J$1723,MATCH($B655&amp;"|"&amp;$C655,'Base de sorteio'!$I$3:$I$1723,0)),""),"abrir"))</f>
        <v/>
      </c>
      <c r="J655" s="4" t="n"/>
      <c r="K655" s="4" t="n"/>
      <c r="L655" s="4" t="n"/>
      <c r="M655" s="4" t="n"/>
      <c r="N655" s="4">
        <f>IF(AND(K655="",M655=""),"",IF(OR(K655="sim",M655="sim"),"sim",IF(OR(K655="inconclusivo",M655="inconclusivo"),"inconclusivo","não")))</f>
        <v/>
      </c>
      <c r="O655" s="5">
        <f>IF(N655="sim",COUNTIFS($B$3:$B655,$B655,$N$3:$N655,"sim"),"")</f>
        <v/>
      </c>
      <c r="P655" s="5" t="n"/>
      <c r="Q655" s="4" t="n"/>
      <c r="R655" s="5" t="n"/>
      <c r="S655" s="9" t="n"/>
      <c r="T655" s="4" t="n"/>
    </row>
    <row r="656">
      <c r="A656" s="5">
        <f>ROW()-2</f>
        <v/>
      </c>
      <c r="B656" s="4" t="inlineStr">
        <is>
          <t>Metrópole</t>
        </is>
      </c>
      <c r="C656" s="5" t="n">
        <v>654</v>
      </c>
      <c r="D656" s="5">
        <f>IFERROR(INDEX('Base de sorteio'!$A$3:$A$1723,MATCH($B656&amp;"|"&amp;$C656,'Base de sorteio'!$I$3:$I$1723,0)),"")</f>
        <v/>
      </c>
      <c r="E656" s="4">
        <f>IFERROR(INDEX('Base de sorteio'!$B$3:$B$1723,MATCH($B656&amp;"|"&amp;$C656,'Base de sorteio'!$I$3:$I$1723,0)),"")</f>
        <v/>
      </c>
      <c r="F656" s="4">
        <f>IFERROR(INDEX('Base de sorteio'!$C$3:$C$1723,MATCH($B656&amp;"|"&amp;$C656,'Base de sorteio'!$I$3:$I$1723,0)),"")</f>
        <v/>
      </c>
      <c r="G656" s="4">
        <f>IFERROR(INDEX('Base de sorteio'!$D$3:$D$1723,MATCH($B656&amp;"|"&amp;$C656,'Base de sorteio'!$I$3:$I$1723,0)),"")</f>
        <v/>
      </c>
      <c r="H656" s="4">
        <f>IFERROR(INDEX('Base de sorteio'!$E$3:$E$1723,MATCH($B656&amp;"|"&amp;$C656,'Base de sorteio'!$I$3:$I$1723,0)),"")</f>
        <v/>
      </c>
      <c r="I656" s="4">
        <f>IF(E656="","",HYPERLINK(IFERROR(INDEX('Base de sorteio'!$J$3:$J$1723,MATCH($B656&amp;"|"&amp;$C656,'Base de sorteio'!$I$3:$I$1723,0)),""),"abrir"))</f>
        <v/>
      </c>
      <c r="J656" s="4" t="n"/>
      <c r="K656" s="4" t="n"/>
      <c r="L656" s="4" t="n"/>
      <c r="M656" s="4" t="n"/>
      <c r="N656" s="4">
        <f>IF(AND(K656="",M656=""),"",IF(OR(K656="sim",M656="sim"),"sim",IF(OR(K656="inconclusivo",M656="inconclusivo"),"inconclusivo","não")))</f>
        <v/>
      </c>
      <c r="O656" s="5">
        <f>IF(N656="sim",COUNTIFS($B$3:$B656,$B656,$N$3:$N656,"sim"),"")</f>
        <v/>
      </c>
      <c r="P656" s="5" t="n"/>
      <c r="Q656" s="4" t="n"/>
      <c r="R656" s="5" t="n"/>
      <c r="S656" s="9" t="n"/>
      <c r="T656" s="4" t="n"/>
    </row>
    <row r="657">
      <c r="A657" s="5">
        <f>ROW()-2</f>
        <v/>
      </c>
      <c r="B657" s="4" t="inlineStr">
        <is>
          <t>Metrópole</t>
        </is>
      </c>
      <c r="C657" s="5" t="n">
        <v>655</v>
      </c>
      <c r="D657" s="5">
        <f>IFERROR(INDEX('Base de sorteio'!$A$3:$A$1723,MATCH($B657&amp;"|"&amp;$C657,'Base de sorteio'!$I$3:$I$1723,0)),"")</f>
        <v/>
      </c>
      <c r="E657" s="4">
        <f>IFERROR(INDEX('Base de sorteio'!$B$3:$B$1723,MATCH($B657&amp;"|"&amp;$C657,'Base de sorteio'!$I$3:$I$1723,0)),"")</f>
        <v/>
      </c>
      <c r="F657" s="4">
        <f>IFERROR(INDEX('Base de sorteio'!$C$3:$C$1723,MATCH($B657&amp;"|"&amp;$C657,'Base de sorteio'!$I$3:$I$1723,0)),"")</f>
        <v/>
      </c>
      <c r="G657" s="4">
        <f>IFERROR(INDEX('Base de sorteio'!$D$3:$D$1723,MATCH($B657&amp;"|"&amp;$C657,'Base de sorteio'!$I$3:$I$1723,0)),"")</f>
        <v/>
      </c>
      <c r="H657" s="4">
        <f>IFERROR(INDEX('Base de sorteio'!$E$3:$E$1723,MATCH($B657&amp;"|"&amp;$C657,'Base de sorteio'!$I$3:$I$1723,0)),"")</f>
        <v/>
      </c>
      <c r="I657" s="4">
        <f>IF(E657="","",HYPERLINK(IFERROR(INDEX('Base de sorteio'!$J$3:$J$1723,MATCH($B657&amp;"|"&amp;$C657,'Base de sorteio'!$I$3:$I$1723,0)),""),"abrir"))</f>
        <v/>
      </c>
      <c r="J657" s="4" t="n"/>
      <c r="K657" s="4" t="n"/>
      <c r="L657" s="4" t="n"/>
      <c r="M657" s="4" t="n"/>
      <c r="N657" s="4">
        <f>IF(AND(K657="",M657=""),"",IF(OR(K657="sim",M657="sim"),"sim",IF(OR(K657="inconclusivo",M657="inconclusivo"),"inconclusivo","não")))</f>
        <v/>
      </c>
      <c r="O657" s="5">
        <f>IF(N657="sim",COUNTIFS($B$3:$B657,$B657,$N$3:$N657,"sim"),"")</f>
        <v/>
      </c>
      <c r="P657" s="5" t="n"/>
      <c r="Q657" s="4" t="n"/>
      <c r="R657" s="5" t="n"/>
      <c r="S657" s="9" t="n"/>
      <c r="T657" s="4" t="n"/>
    </row>
    <row r="658">
      <c r="A658" s="5">
        <f>ROW()-2</f>
        <v/>
      </c>
      <c r="B658" s="4" t="inlineStr">
        <is>
          <t>Metrópole</t>
        </is>
      </c>
      <c r="C658" s="5" t="n">
        <v>656</v>
      </c>
      <c r="D658" s="5">
        <f>IFERROR(INDEX('Base de sorteio'!$A$3:$A$1723,MATCH($B658&amp;"|"&amp;$C658,'Base de sorteio'!$I$3:$I$1723,0)),"")</f>
        <v/>
      </c>
      <c r="E658" s="4">
        <f>IFERROR(INDEX('Base de sorteio'!$B$3:$B$1723,MATCH($B658&amp;"|"&amp;$C658,'Base de sorteio'!$I$3:$I$1723,0)),"")</f>
        <v/>
      </c>
      <c r="F658" s="4">
        <f>IFERROR(INDEX('Base de sorteio'!$C$3:$C$1723,MATCH($B658&amp;"|"&amp;$C658,'Base de sorteio'!$I$3:$I$1723,0)),"")</f>
        <v/>
      </c>
      <c r="G658" s="4">
        <f>IFERROR(INDEX('Base de sorteio'!$D$3:$D$1723,MATCH($B658&amp;"|"&amp;$C658,'Base de sorteio'!$I$3:$I$1723,0)),"")</f>
        <v/>
      </c>
      <c r="H658" s="4">
        <f>IFERROR(INDEX('Base de sorteio'!$E$3:$E$1723,MATCH($B658&amp;"|"&amp;$C658,'Base de sorteio'!$I$3:$I$1723,0)),"")</f>
        <v/>
      </c>
      <c r="I658" s="4">
        <f>IF(E658="","",HYPERLINK(IFERROR(INDEX('Base de sorteio'!$J$3:$J$1723,MATCH($B658&amp;"|"&amp;$C658,'Base de sorteio'!$I$3:$I$1723,0)),""),"abrir"))</f>
        <v/>
      </c>
      <c r="J658" s="4" t="n"/>
      <c r="K658" s="4" t="n"/>
      <c r="L658" s="4" t="n"/>
      <c r="M658" s="4" t="n"/>
      <c r="N658" s="4">
        <f>IF(AND(K658="",M658=""),"",IF(OR(K658="sim",M658="sim"),"sim",IF(OR(K658="inconclusivo",M658="inconclusivo"),"inconclusivo","não")))</f>
        <v/>
      </c>
      <c r="O658" s="5">
        <f>IF(N658="sim",COUNTIFS($B$3:$B658,$B658,$N$3:$N658,"sim"),"")</f>
        <v/>
      </c>
      <c r="P658" s="5" t="n"/>
      <c r="Q658" s="4" t="n"/>
      <c r="R658" s="5" t="n"/>
      <c r="S658" s="9" t="n"/>
      <c r="T658" s="4" t="n"/>
    </row>
    <row r="659">
      <c r="A659" s="5">
        <f>ROW()-2</f>
        <v/>
      </c>
      <c r="B659" s="4" t="inlineStr">
        <is>
          <t>Metrópole</t>
        </is>
      </c>
      <c r="C659" s="5" t="n">
        <v>657</v>
      </c>
      <c r="D659" s="5">
        <f>IFERROR(INDEX('Base de sorteio'!$A$3:$A$1723,MATCH($B659&amp;"|"&amp;$C659,'Base de sorteio'!$I$3:$I$1723,0)),"")</f>
        <v/>
      </c>
      <c r="E659" s="4">
        <f>IFERROR(INDEX('Base de sorteio'!$B$3:$B$1723,MATCH($B659&amp;"|"&amp;$C659,'Base de sorteio'!$I$3:$I$1723,0)),"")</f>
        <v/>
      </c>
      <c r="F659" s="4">
        <f>IFERROR(INDEX('Base de sorteio'!$C$3:$C$1723,MATCH($B659&amp;"|"&amp;$C659,'Base de sorteio'!$I$3:$I$1723,0)),"")</f>
        <v/>
      </c>
      <c r="G659" s="4">
        <f>IFERROR(INDEX('Base de sorteio'!$D$3:$D$1723,MATCH($B659&amp;"|"&amp;$C659,'Base de sorteio'!$I$3:$I$1723,0)),"")</f>
        <v/>
      </c>
      <c r="H659" s="4">
        <f>IFERROR(INDEX('Base de sorteio'!$E$3:$E$1723,MATCH($B659&amp;"|"&amp;$C659,'Base de sorteio'!$I$3:$I$1723,0)),"")</f>
        <v/>
      </c>
      <c r="I659" s="4">
        <f>IF(E659="","",HYPERLINK(IFERROR(INDEX('Base de sorteio'!$J$3:$J$1723,MATCH($B659&amp;"|"&amp;$C659,'Base de sorteio'!$I$3:$I$1723,0)),""),"abrir"))</f>
        <v/>
      </c>
      <c r="J659" s="4" t="n"/>
      <c r="K659" s="4" t="n"/>
      <c r="L659" s="4" t="n"/>
      <c r="M659" s="4" t="n"/>
      <c r="N659" s="4">
        <f>IF(AND(K659="",M659=""),"",IF(OR(K659="sim",M659="sim"),"sim",IF(OR(K659="inconclusivo",M659="inconclusivo"),"inconclusivo","não")))</f>
        <v/>
      </c>
      <c r="O659" s="5">
        <f>IF(N659="sim",COUNTIFS($B$3:$B659,$B659,$N$3:$N659,"sim"),"")</f>
        <v/>
      </c>
      <c r="P659" s="5" t="n"/>
      <c r="Q659" s="4" t="n"/>
      <c r="R659" s="5" t="n"/>
      <c r="S659" s="9" t="n"/>
      <c r="T659" s="4" t="n"/>
    </row>
    <row r="660">
      <c r="A660" s="5">
        <f>ROW()-2</f>
        <v/>
      </c>
      <c r="B660" s="4" t="inlineStr">
        <is>
          <t>Metrópole</t>
        </is>
      </c>
      <c r="C660" s="5" t="n">
        <v>658</v>
      </c>
      <c r="D660" s="5">
        <f>IFERROR(INDEX('Base de sorteio'!$A$3:$A$1723,MATCH($B660&amp;"|"&amp;$C660,'Base de sorteio'!$I$3:$I$1723,0)),"")</f>
        <v/>
      </c>
      <c r="E660" s="4">
        <f>IFERROR(INDEX('Base de sorteio'!$B$3:$B$1723,MATCH($B660&amp;"|"&amp;$C660,'Base de sorteio'!$I$3:$I$1723,0)),"")</f>
        <v/>
      </c>
      <c r="F660" s="4">
        <f>IFERROR(INDEX('Base de sorteio'!$C$3:$C$1723,MATCH($B660&amp;"|"&amp;$C660,'Base de sorteio'!$I$3:$I$1723,0)),"")</f>
        <v/>
      </c>
      <c r="G660" s="4">
        <f>IFERROR(INDEX('Base de sorteio'!$D$3:$D$1723,MATCH($B660&amp;"|"&amp;$C660,'Base de sorteio'!$I$3:$I$1723,0)),"")</f>
        <v/>
      </c>
      <c r="H660" s="4">
        <f>IFERROR(INDEX('Base de sorteio'!$E$3:$E$1723,MATCH($B660&amp;"|"&amp;$C660,'Base de sorteio'!$I$3:$I$1723,0)),"")</f>
        <v/>
      </c>
      <c r="I660" s="4">
        <f>IF(E660="","",HYPERLINK(IFERROR(INDEX('Base de sorteio'!$J$3:$J$1723,MATCH($B660&amp;"|"&amp;$C660,'Base de sorteio'!$I$3:$I$1723,0)),""),"abrir"))</f>
        <v/>
      </c>
      <c r="J660" s="4" t="n"/>
      <c r="K660" s="4" t="n"/>
      <c r="L660" s="4" t="n"/>
      <c r="M660" s="4" t="n"/>
      <c r="N660" s="4">
        <f>IF(AND(K660="",M660=""),"",IF(OR(K660="sim",M660="sim"),"sim",IF(OR(K660="inconclusivo",M660="inconclusivo"),"inconclusivo","não")))</f>
        <v/>
      </c>
      <c r="O660" s="5">
        <f>IF(N660="sim",COUNTIFS($B$3:$B660,$B660,$N$3:$N660,"sim"),"")</f>
        <v/>
      </c>
      <c r="P660" s="5" t="n"/>
      <c r="Q660" s="4" t="n"/>
      <c r="R660" s="5" t="n"/>
      <c r="S660" s="9" t="n"/>
      <c r="T660" s="4" t="n"/>
    </row>
    <row r="661">
      <c r="A661" s="5">
        <f>ROW()-2</f>
        <v/>
      </c>
      <c r="B661" s="4" t="inlineStr">
        <is>
          <t>Metrópole</t>
        </is>
      </c>
      <c r="C661" s="5" t="n">
        <v>659</v>
      </c>
      <c r="D661" s="5">
        <f>IFERROR(INDEX('Base de sorteio'!$A$3:$A$1723,MATCH($B661&amp;"|"&amp;$C661,'Base de sorteio'!$I$3:$I$1723,0)),"")</f>
        <v/>
      </c>
      <c r="E661" s="4">
        <f>IFERROR(INDEX('Base de sorteio'!$B$3:$B$1723,MATCH($B661&amp;"|"&amp;$C661,'Base de sorteio'!$I$3:$I$1723,0)),"")</f>
        <v/>
      </c>
      <c r="F661" s="4">
        <f>IFERROR(INDEX('Base de sorteio'!$C$3:$C$1723,MATCH($B661&amp;"|"&amp;$C661,'Base de sorteio'!$I$3:$I$1723,0)),"")</f>
        <v/>
      </c>
      <c r="G661" s="4">
        <f>IFERROR(INDEX('Base de sorteio'!$D$3:$D$1723,MATCH($B661&amp;"|"&amp;$C661,'Base de sorteio'!$I$3:$I$1723,0)),"")</f>
        <v/>
      </c>
      <c r="H661" s="4">
        <f>IFERROR(INDEX('Base de sorteio'!$E$3:$E$1723,MATCH($B661&amp;"|"&amp;$C661,'Base de sorteio'!$I$3:$I$1723,0)),"")</f>
        <v/>
      </c>
      <c r="I661" s="4">
        <f>IF(E661="","",HYPERLINK(IFERROR(INDEX('Base de sorteio'!$J$3:$J$1723,MATCH($B661&amp;"|"&amp;$C661,'Base de sorteio'!$I$3:$I$1723,0)),""),"abrir"))</f>
        <v/>
      </c>
      <c r="J661" s="4" t="n"/>
      <c r="K661" s="4" t="n"/>
      <c r="L661" s="4" t="n"/>
      <c r="M661" s="4" t="n"/>
      <c r="N661" s="4">
        <f>IF(AND(K661="",M661=""),"",IF(OR(K661="sim",M661="sim"),"sim",IF(OR(K661="inconclusivo",M661="inconclusivo"),"inconclusivo","não")))</f>
        <v/>
      </c>
      <c r="O661" s="5">
        <f>IF(N661="sim",COUNTIFS($B$3:$B661,$B661,$N$3:$N661,"sim"),"")</f>
        <v/>
      </c>
      <c r="P661" s="5" t="n"/>
      <c r="Q661" s="4" t="n"/>
      <c r="R661" s="5" t="n"/>
      <c r="S661" s="9" t="n"/>
      <c r="T661" s="4" t="n"/>
    </row>
    <row r="662">
      <c r="A662" s="5">
        <f>ROW()-2</f>
        <v/>
      </c>
      <c r="B662" s="4" t="inlineStr">
        <is>
          <t>Metrópole</t>
        </is>
      </c>
      <c r="C662" s="5" t="n">
        <v>660</v>
      </c>
      <c r="D662" s="5">
        <f>IFERROR(INDEX('Base de sorteio'!$A$3:$A$1723,MATCH($B662&amp;"|"&amp;$C662,'Base de sorteio'!$I$3:$I$1723,0)),"")</f>
        <v/>
      </c>
      <c r="E662" s="4">
        <f>IFERROR(INDEX('Base de sorteio'!$B$3:$B$1723,MATCH($B662&amp;"|"&amp;$C662,'Base de sorteio'!$I$3:$I$1723,0)),"")</f>
        <v/>
      </c>
      <c r="F662" s="4">
        <f>IFERROR(INDEX('Base de sorteio'!$C$3:$C$1723,MATCH($B662&amp;"|"&amp;$C662,'Base de sorteio'!$I$3:$I$1723,0)),"")</f>
        <v/>
      </c>
      <c r="G662" s="4">
        <f>IFERROR(INDEX('Base de sorteio'!$D$3:$D$1723,MATCH($B662&amp;"|"&amp;$C662,'Base de sorteio'!$I$3:$I$1723,0)),"")</f>
        <v/>
      </c>
      <c r="H662" s="4">
        <f>IFERROR(INDEX('Base de sorteio'!$E$3:$E$1723,MATCH($B662&amp;"|"&amp;$C662,'Base de sorteio'!$I$3:$I$1723,0)),"")</f>
        <v/>
      </c>
      <c r="I662" s="4">
        <f>IF(E662="","",HYPERLINK(IFERROR(INDEX('Base de sorteio'!$J$3:$J$1723,MATCH($B662&amp;"|"&amp;$C662,'Base de sorteio'!$I$3:$I$1723,0)),""),"abrir"))</f>
        <v/>
      </c>
      <c r="J662" s="4" t="n"/>
      <c r="K662" s="4" t="n"/>
      <c r="L662" s="4" t="n"/>
      <c r="M662" s="4" t="n"/>
      <c r="N662" s="4">
        <f>IF(AND(K662="",M662=""),"",IF(OR(K662="sim",M662="sim"),"sim",IF(OR(K662="inconclusivo",M662="inconclusivo"),"inconclusivo","não")))</f>
        <v/>
      </c>
      <c r="O662" s="5">
        <f>IF(N662="sim",COUNTIFS($B$3:$B662,$B662,$N$3:$N662,"sim"),"")</f>
        <v/>
      </c>
      <c r="P662" s="5" t="n"/>
      <c r="Q662" s="4" t="n"/>
      <c r="R662" s="5" t="n"/>
      <c r="S662" s="9" t="n"/>
      <c r="T662" s="4" t="n"/>
    </row>
    <row r="663">
      <c r="A663" s="5">
        <f>ROW()-2</f>
        <v/>
      </c>
      <c r="B663" s="4" t="inlineStr">
        <is>
          <t>Metrópole</t>
        </is>
      </c>
      <c r="C663" s="5" t="n">
        <v>661</v>
      </c>
      <c r="D663" s="5">
        <f>IFERROR(INDEX('Base de sorteio'!$A$3:$A$1723,MATCH($B663&amp;"|"&amp;$C663,'Base de sorteio'!$I$3:$I$1723,0)),"")</f>
        <v/>
      </c>
      <c r="E663" s="4">
        <f>IFERROR(INDEX('Base de sorteio'!$B$3:$B$1723,MATCH($B663&amp;"|"&amp;$C663,'Base de sorteio'!$I$3:$I$1723,0)),"")</f>
        <v/>
      </c>
      <c r="F663" s="4">
        <f>IFERROR(INDEX('Base de sorteio'!$C$3:$C$1723,MATCH($B663&amp;"|"&amp;$C663,'Base de sorteio'!$I$3:$I$1723,0)),"")</f>
        <v/>
      </c>
      <c r="G663" s="4">
        <f>IFERROR(INDEX('Base de sorteio'!$D$3:$D$1723,MATCH($B663&amp;"|"&amp;$C663,'Base de sorteio'!$I$3:$I$1723,0)),"")</f>
        <v/>
      </c>
      <c r="H663" s="4">
        <f>IFERROR(INDEX('Base de sorteio'!$E$3:$E$1723,MATCH($B663&amp;"|"&amp;$C663,'Base de sorteio'!$I$3:$I$1723,0)),"")</f>
        <v/>
      </c>
      <c r="I663" s="4">
        <f>IF(E663="","",HYPERLINK(IFERROR(INDEX('Base de sorteio'!$J$3:$J$1723,MATCH($B663&amp;"|"&amp;$C663,'Base de sorteio'!$I$3:$I$1723,0)),""),"abrir"))</f>
        <v/>
      </c>
      <c r="J663" s="4" t="n"/>
      <c r="K663" s="4" t="n"/>
      <c r="L663" s="4" t="n"/>
      <c r="M663" s="4" t="n"/>
      <c r="N663" s="4">
        <f>IF(AND(K663="",M663=""),"",IF(OR(K663="sim",M663="sim"),"sim",IF(OR(K663="inconclusivo",M663="inconclusivo"),"inconclusivo","não")))</f>
        <v/>
      </c>
      <c r="O663" s="5">
        <f>IF(N663="sim",COUNTIFS($B$3:$B663,$B663,$N$3:$N663,"sim"),"")</f>
        <v/>
      </c>
      <c r="P663" s="5" t="n"/>
      <c r="Q663" s="4" t="n"/>
      <c r="R663" s="5" t="n"/>
      <c r="S663" s="9" t="n"/>
      <c r="T663" s="4" t="n"/>
    </row>
    <row r="664">
      <c r="A664" s="5">
        <f>ROW()-2</f>
        <v/>
      </c>
      <c r="B664" s="4" t="inlineStr">
        <is>
          <t>Metrópole</t>
        </is>
      </c>
      <c r="C664" s="5" t="n">
        <v>662</v>
      </c>
      <c r="D664" s="5">
        <f>IFERROR(INDEX('Base de sorteio'!$A$3:$A$1723,MATCH($B664&amp;"|"&amp;$C664,'Base de sorteio'!$I$3:$I$1723,0)),"")</f>
        <v/>
      </c>
      <c r="E664" s="4">
        <f>IFERROR(INDEX('Base de sorteio'!$B$3:$B$1723,MATCH($B664&amp;"|"&amp;$C664,'Base de sorteio'!$I$3:$I$1723,0)),"")</f>
        <v/>
      </c>
      <c r="F664" s="4">
        <f>IFERROR(INDEX('Base de sorteio'!$C$3:$C$1723,MATCH($B664&amp;"|"&amp;$C664,'Base de sorteio'!$I$3:$I$1723,0)),"")</f>
        <v/>
      </c>
      <c r="G664" s="4">
        <f>IFERROR(INDEX('Base de sorteio'!$D$3:$D$1723,MATCH($B664&amp;"|"&amp;$C664,'Base de sorteio'!$I$3:$I$1723,0)),"")</f>
        <v/>
      </c>
      <c r="H664" s="4">
        <f>IFERROR(INDEX('Base de sorteio'!$E$3:$E$1723,MATCH($B664&amp;"|"&amp;$C664,'Base de sorteio'!$I$3:$I$1723,0)),"")</f>
        <v/>
      </c>
      <c r="I664" s="4">
        <f>IF(E664="","",HYPERLINK(IFERROR(INDEX('Base de sorteio'!$J$3:$J$1723,MATCH($B664&amp;"|"&amp;$C664,'Base de sorteio'!$I$3:$I$1723,0)),""),"abrir"))</f>
        <v/>
      </c>
      <c r="J664" s="4" t="n"/>
      <c r="K664" s="4" t="n"/>
      <c r="L664" s="4" t="n"/>
      <c r="M664" s="4" t="n"/>
      <c r="N664" s="4">
        <f>IF(AND(K664="",M664=""),"",IF(OR(K664="sim",M664="sim"),"sim",IF(OR(K664="inconclusivo",M664="inconclusivo"),"inconclusivo","não")))</f>
        <v/>
      </c>
      <c r="O664" s="5">
        <f>IF(N664="sim",COUNTIFS($B$3:$B664,$B664,$N$3:$N664,"sim"),"")</f>
        <v/>
      </c>
      <c r="P664" s="5" t="n"/>
      <c r="Q664" s="4" t="n"/>
      <c r="R664" s="5" t="n"/>
      <c r="S664" s="9" t="n"/>
      <c r="T664" s="4" t="n"/>
    </row>
    <row r="665">
      <c r="A665" s="5">
        <f>ROW()-2</f>
        <v/>
      </c>
      <c r="B665" s="4" t="inlineStr">
        <is>
          <t>Metrópole</t>
        </is>
      </c>
      <c r="C665" s="5" t="n">
        <v>663</v>
      </c>
      <c r="D665" s="5">
        <f>IFERROR(INDEX('Base de sorteio'!$A$3:$A$1723,MATCH($B665&amp;"|"&amp;$C665,'Base de sorteio'!$I$3:$I$1723,0)),"")</f>
        <v/>
      </c>
      <c r="E665" s="4">
        <f>IFERROR(INDEX('Base de sorteio'!$B$3:$B$1723,MATCH($B665&amp;"|"&amp;$C665,'Base de sorteio'!$I$3:$I$1723,0)),"")</f>
        <v/>
      </c>
      <c r="F665" s="4">
        <f>IFERROR(INDEX('Base de sorteio'!$C$3:$C$1723,MATCH($B665&amp;"|"&amp;$C665,'Base de sorteio'!$I$3:$I$1723,0)),"")</f>
        <v/>
      </c>
      <c r="G665" s="4">
        <f>IFERROR(INDEX('Base de sorteio'!$D$3:$D$1723,MATCH($B665&amp;"|"&amp;$C665,'Base de sorteio'!$I$3:$I$1723,0)),"")</f>
        <v/>
      </c>
      <c r="H665" s="4">
        <f>IFERROR(INDEX('Base de sorteio'!$E$3:$E$1723,MATCH($B665&amp;"|"&amp;$C665,'Base de sorteio'!$I$3:$I$1723,0)),"")</f>
        <v/>
      </c>
      <c r="I665" s="4">
        <f>IF(E665="","",HYPERLINK(IFERROR(INDEX('Base de sorteio'!$J$3:$J$1723,MATCH($B665&amp;"|"&amp;$C665,'Base de sorteio'!$I$3:$I$1723,0)),""),"abrir"))</f>
        <v/>
      </c>
      <c r="J665" s="4" t="n"/>
      <c r="K665" s="4" t="n"/>
      <c r="L665" s="4" t="n"/>
      <c r="M665" s="4" t="n"/>
      <c r="N665" s="4">
        <f>IF(AND(K665="",M665=""),"",IF(OR(K665="sim",M665="sim"),"sim",IF(OR(K665="inconclusivo",M665="inconclusivo"),"inconclusivo","não")))</f>
        <v/>
      </c>
      <c r="O665" s="5">
        <f>IF(N665="sim",COUNTIFS($B$3:$B665,$B665,$N$3:$N665,"sim"),"")</f>
        <v/>
      </c>
      <c r="P665" s="5" t="n"/>
      <c r="Q665" s="4" t="n"/>
      <c r="R665" s="5" t="n"/>
      <c r="S665" s="9" t="n"/>
      <c r="T665" s="4" t="n"/>
    </row>
    <row r="666">
      <c r="A666" s="5">
        <f>ROW()-2</f>
        <v/>
      </c>
      <c r="B666" s="4" t="inlineStr">
        <is>
          <t>Metrópole</t>
        </is>
      </c>
      <c r="C666" s="5" t="n">
        <v>664</v>
      </c>
      <c r="D666" s="5">
        <f>IFERROR(INDEX('Base de sorteio'!$A$3:$A$1723,MATCH($B666&amp;"|"&amp;$C666,'Base de sorteio'!$I$3:$I$1723,0)),"")</f>
        <v/>
      </c>
      <c r="E666" s="4">
        <f>IFERROR(INDEX('Base de sorteio'!$B$3:$B$1723,MATCH($B666&amp;"|"&amp;$C666,'Base de sorteio'!$I$3:$I$1723,0)),"")</f>
        <v/>
      </c>
      <c r="F666" s="4">
        <f>IFERROR(INDEX('Base de sorteio'!$C$3:$C$1723,MATCH($B666&amp;"|"&amp;$C666,'Base de sorteio'!$I$3:$I$1723,0)),"")</f>
        <v/>
      </c>
      <c r="G666" s="4">
        <f>IFERROR(INDEX('Base de sorteio'!$D$3:$D$1723,MATCH($B666&amp;"|"&amp;$C666,'Base de sorteio'!$I$3:$I$1723,0)),"")</f>
        <v/>
      </c>
      <c r="H666" s="4">
        <f>IFERROR(INDEX('Base de sorteio'!$E$3:$E$1723,MATCH($B666&amp;"|"&amp;$C666,'Base de sorteio'!$I$3:$I$1723,0)),"")</f>
        <v/>
      </c>
      <c r="I666" s="4">
        <f>IF(E666="","",HYPERLINK(IFERROR(INDEX('Base de sorteio'!$J$3:$J$1723,MATCH($B666&amp;"|"&amp;$C666,'Base de sorteio'!$I$3:$I$1723,0)),""),"abrir"))</f>
        <v/>
      </c>
      <c r="J666" s="4" t="n"/>
      <c r="K666" s="4" t="n"/>
      <c r="L666" s="4" t="n"/>
      <c r="M666" s="4" t="n"/>
      <c r="N666" s="4">
        <f>IF(AND(K666="",M666=""),"",IF(OR(K666="sim",M666="sim"),"sim",IF(OR(K666="inconclusivo",M666="inconclusivo"),"inconclusivo","não")))</f>
        <v/>
      </c>
      <c r="O666" s="5">
        <f>IF(N666="sim",COUNTIFS($B$3:$B666,$B666,$N$3:$N666,"sim"),"")</f>
        <v/>
      </c>
      <c r="P666" s="5" t="n"/>
      <c r="Q666" s="4" t="n"/>
      <c r="R666" s="5" t="n"/>
      <c r="S666" s="9" t="n"/>
      <c r="T666" s="4" t="n"/>
    </row>
    <row r="667">
      <c r="A667" s="5">
        <f>ROW()-2</f>
        <v/>
      </c>
      <c r="B667" s="4" t="inlineStr">
        <is>
          <t>Metrópole</t>
        </is>
      </c>
      <c r="C667" s="5" t="n">
        <v>665</v>
      </c>
      <c r="D667" s="5">
        <f>IFERROR(INDEX('Base de sorteio'!$A$3:$A$1723,MATCH($B667&amp;"|"&amp;$C667,'Base de sorteio'!$I$3:$I$1723,0)),"")</f>
        <v/>
      </c>
      <c r="E667" s="4">
        <f>IFERROR(INDEX('Base de sorteio'!$B$3:$B$1723,MATCH($B667&amp;"|"&amp;$C667,'Base de sorteio'!$I$3:$I$1723,0)),"")</f>
        <v/>
      </c>
      <c r="F667" s="4">
        <f>IFERROR(INDEX('Base de sorteio'!$C$3:$C$1723,MATCH($B667&amp;"|"&amp;$C667,'Base de sorteio'!$I$3:$I$1723,0)),"")</f>
        <v/>
      </c>
      <c r="G667" s="4">
        <f>IFERROR(INDEX('Base de sorteio'!$D$3:$D$1723,MATCH($B667&amp;"|"&amp;$C667,'Base de sorteio'!$I$3:$I$1723,0)),"")</f>
        <v/>
      </c>
      <c r="H667" s="4">
        <f>IFERROR(INDEX('Base de sorteio'!$E$3:$E$1723,MATCH($B667&amp;"|"&amp;$C667,'Base de sorteio'!$I$3:$I$1723,0)),"")</f>
        <v/>
      </c>
      <c r="I667" s="4">
        <f>IF(E667="","",HYPERLINK(IFERROR(INDEX('Base de sorteio'!$J$3:$J$1723,MATCH($B667&amp;"|"&amp;$C667,'Base de sorteio'!$I$3:$I$1723,0)),""),"abrir"))</f>
        <v/>
      </c>
      <c r="J667" s="4" t="n"/>
      <c r="K667" s="4" t="n"/>
      <c r="L667" s="4" t="n"/>
      <c r="M667" s="4" t="n"/>
      <c r="N667" s="4">
        <f>IF(AND(K667="",M667=""),"",IF(OR(K667="sim",M667="sim"),"sim",IF(OR(K667="inconclusivo",M667="inconclusivo"),"inconclusivo","não")))</f>
        <v/>
      </c>
      <c r="O667" s="5">
        <f>IF(N667="sim",COUNTIFS($B$3:$B667,$B667,$N$3:$N667,"sim"),"")</f>
        <v/>
      </c>
      <c r="P667" s="5" t="n"/>
      <c r="Q667" s="4" t="n"/>
      <c r="R667" s="5" t="n"/>
      <c r="S667" s="9" t="n"/>
      <c r="T667" s="4" t="n"/>
    </row>
    <row r="668">
      <c r="A668" s="5">
        <f>ROW()-2</f>
        <v/>
      </c>
      <c r="B668" s="4" t="inlineStr">
        <is>
          <t>Metrópole</t>
        </is>
      </c>
      <c r="C668" s="5" t="n">
        <v>666</v>
      </c>
      <c r="D668" s="5">
        <f>IFERROR(INDEX('Base de sorteio'!$A$3:$A$1723,MATCH($B668&amp;"|"&amp;$C668,'Base de sorteio'!$I$3:$I$1723,0)),"")</f>
        <v/>
      </c>
      <c r="E668" s="4">
        <f>IFERROR(INDEX('Base de sorteio'!$B$3:$B$1723,MATCH($B668&amp;"|"&amp;$C668,'Base de sorteio'!$I$3:$I$1723,0)),"")</f>
        <v/>
      </c>
      <c r="F668" s="4">
        <f>IFERROR(INDEX('Base de sorteio'!$C$3:$C$1723,MATCH($B668&amp;"|"&amp;$C668,'Base de sorteio'!$I$3:$I$1723,0)),"")</f>
        <v/>
      </c>
      <c r="G668" s="4">
        <f>IFERROR(INDEX('Base de sorteio'!$D$3:$D$1723,MATCH($B668&amp;"|"&amp;$C668,'Base de sorteio'!$I$3:$I$1723,0)),"")</f>
        <v/>
      </c>
      <c r="H668" s="4">
        <f>IFERROR(INDEX('Base de sorteio'!$E$3:$E$1723,MATCH($B668&amp;"|"&amp;$C668,'Base de sorteio'!$I$3:$I$1723,0)),"")</f>
        <v/>
      </c>
      <c r="I668" s="4">
        <f>IF(E668="","",HYPERLINK(IFERROR(INDEX('Base de sorteio'!$J$3:$J$1723,MATCH($B668&amp;"|"&amp;$C668,'Base de sorteio'!$I$3:$I$1723,0)),""),"abrir"))</f>
        <v/>
      </c>
      <c r="J668" s="4" t="n"/>
      <c r="K668" s="4" t="n"/>
      <c r="L668" s="4" t="n"/>
      <c r="M668" s="4" t="n"/>
      <c r="N668" s="4">
        <f>IF(AND(K668="",M668=""),"",IF(OR(K668="sim",M668="sim"),"sim",IF(OR(K668="inconclusivo",M668="inconclusivo"),"inconclusivo","não")))</f>
        <v/>
      </c>
      <c r="O668" s="5">
        <f>IF(N668="sim",COUNTIFS($B$3:$B668,$B668,$N$3:$N668,"sim"),"")</f>
        <v/>
      </c>
      <c r="P668" s="5" t="n"/>
      <c r="Q668" s="4" t="n"/>
      <c r="R668" s="5" t="n"/>
      <c r="S668" s="9" t="n"/>
      <c r="T668" s="4" t="n"/>
    </row>
    <row r="669">
      <c r="A669" s="5">
        <f>ROW()-2</f>
        <v/>
      </c>
      <c r="B669" s="4" t="inlineStr">
        <is>
          <t>Metrópole</t>
        </is>
      </c>
      <c r="C669" s="5" t="n">
        <v>667</v>
      </c>
      <c r="D669" s="5">
        <f>IFERROR(INDEX('Base de sorteio'!$A$3:$A$1723,MATCH($B669&amp;"|"&amp;$C669,'Base de sorteio'!$I$3:$I$1723,0)),"")</f>
        <v/>
      </c>
      <c r="E669" s="4">
        <f>IFERROR(INDEX('Base de sorteio'!$B$3:$B$1723,MATCH($B669&amp;"|"&amp;$C669,'Base de sorteio'!$I$3:$I$1723,0)),"")</f>
        <v/>
      </c>
      <c r="F669" s="4">
        <f>IFERROR(INDEX('Base de sorteio'!$C$3:$C$1723,MATCH($B669&amp;"|"&amp;$C669,'Base de sorteio'!$I$3:$I$1723,0)),"")</f>
        <v/>
      </c>
      <c r="G669" s="4">
        <f>IFERROR(INDEX('Base de sorteio'!$D$3:$D$1723,MATCH($B669&amp;"|"&amp;$C669,'Base de sorteio'!$I$3:$I$1723,0)),"")</f>
        <v/>
      </c>
      <c r="H669" s="4">
        <f>IFERROR(INDEX('Base de sorteio'!$E$3:$E$1723,MATCH($B669&amp;"|"&amp;$C669,'Base de sorteio'!$I$3:$I$1723,0)),"")</f>
        <v/>
      </c>
      <c r="I669" s="4">
        <f>IF(E669="","",HYPERLINK(IFERROR(INDEX('Base de sorteio'!$J$3:$J$1723,MATCH($B669&amp;"|"&amp;$C669,'Base de sorteio'!$I$3:$I$1723,0)),""),"abrir"))</f>
        <v/>
      </c>
      <c r="J669" s="4" t="n"/>
      <c r="K669" s="4" t="n"/>
      <c r="L669" s="4" t="n"/>
      <c r="M669" s="4" t="n"/>
      <c r="N669" s="4">
        <f>IF(AND(K669="",M669=""),"",IF(OR(K669="sim",M669="sim"),"sim",IF(OR(K669="inconclusivo",M669="inconclusivo"),"inconclusivo","não")))</f>
        <v/>
      </c>
      <c r="O669" s="5">
        <f>IF(N669="sim",COUNTIFS($B$3:$B669,$B669,$N$3:$N669,"sim"),"")</f>
        <v/>
      </c>
      <c r="P669" s="5" t="n"/>
      <c r="Q669" s="4" t="n"/>
      <c r="R669" s="5" t="n"/>
      <c r="S669" s="9" t="n"/>
      <c r="T669" s="4" t="n"/>
    </row>
    <row r="670">
      <c r="A670" s="5">
        <f>ROW()-2</f>
        <v/>
      </c>
      <c r="B670" s="4" t="inlineStr">
        <is>
          <t>Metrópole</t>
        </is>
      </c>
      <c r="C670" s="5" t="n">
        <v>668</v>
      </c>
      <c r="D670" s="5">
        <f>IFERROR(INDEX('Base de sorteio'!$A$3:$A$1723,MATCH($B670&amp;"|"&amp;$C670,'Base de sorteio'!$I$3:$I$1723,0)),"")</f>
        <v/>
      </c>
      <c r="E670" s="4">
        <f>IFERROR(INDEX('Base de sorteio'!$B$3:$B$1723,MATCH($B670&amp;"|"&amp;$C670,'Base de sorteio'!$I$3:$I$1723,0)),"")</f>
        <v/>
      </c>
      <c r="F670" s="4">
        <f>IFERROR(INDEX('Base de sorteio'!$C$3:$C$1723,MATCH($B670&amp;"|"&amp;$C670,'Base de sorteio'!$I$3:$I$1723,0)),"")</f>
        <v/>
      </c>
      <c r="G670" s="4">
        <f>IFERROR(INDEX('Base de sorteio'!$D$3:$D$1723,MATCH($B670&amp;"|"&amp;$C670,'Base de sorteio'!$I$3:$I$1723,0)),"")</f>
        <v/>
      </c>
      <c r="H670" s="4">
        <f>IFERROR(INDEX('Base de sorteio'!$E$3:$E$1723,MATCH($B670&amp;"|"&amp;$C670,'Base de sorteio'!$I$3:$I$1723,0)),"")</f>
        <v/>
      </c>
      <c r="I670" s="4">
        <f>IF(E670="","",HYPERLINK(IFERROR(INDEX('Base de sorteio'!$J$3:$J$1723,MATCH($B670&amp;"|"&amp;$C670,'Base de sorteio'!$I$3:$I$1723,0)),""),"abrir"))</f>
        <v/>
      </c>
      <c r="J670" s="4" t="n"/>
      <c r="K670" s="4" t="n"/>
      <c r="L670" s="4" t="n"/>
      <c r="M670" s="4" t="n"/>
      <c r="N670" s="4">
        <f>IF(AND(K670="",M670=""),"",IF(OR(K670="sim",M670="sim"),"sim",IF(OR(K670="inconclusivo",M670="inconclusivo"),"inconclusivo","não")))</f>
        <v/>
      </c>
      <c r="O670" s="5">
        <f>IF(N670="sim",COUNTIFS($B$3:$B670,$B670,$N$3:$N670,"sim"),"")</f>
        <v/>
      </c>
      <c r="P670" s="5" t="n"/>
      <c r="Q670" s="4" t="n"/>
      <c r="R670" s="5" t="n"/>
      <c r="S670" s="9" t="n"/>
      <c r="T670" s="4" t="n"/>
    </row>
    <row r="671">
      <c r="A671" s="5">
        <f>ROW()-2</f>
        <v/>
      </c>
      <c r="B671" s="4" t="inlineStr">
        <is>
          <t>Metrópole</t>
        </is>
      </c>
      <c r="C671" s="5" t="n">
        <v>669</v>
      </c>
      <c r="D671" s="5">
        <f>IFERROR(INDEX('Base de sorteio'!$A$3:$A$1723,MATCH($B671&amp;"|"&amp;$C671,'Base de sorteio'!$I$3:$I$1723,0)),"")</f>
        <v/>
      </c>
      <c r="E671" s="4">
        <f>IFERROR(INDEX('Base de sorteio'!$B$3:$B$1723,MATCH($B671&amp;"|"&amp;$C671,'Base de sorteio'!$I$3:$I$1723,0)),"")</f>
        <v/>
      </c>
      <c r="F671" s="4">
        <f>IFERROR(INDEX('Base de sorteio'!$C$3:$C$1723,MATCH($B671&amp;"|"&amp;$C671,'Base de sorteio'!$I$3:$I$1723,0)),"")</f>
        <v/>
      </c>
      <c r="G671" s="4">
        <f>IFERROR(INDEX('Base de sorteio'!$D$3:$D$1723,MATCH($B671&amp;"|"&amp;$C671,'Base de sorteio'!$I$3:$I$1723,0)),"")</f>
        <v/>
      </c>
      <c r="H671" s="4">
        <f>IFERROR(INDEX('Base de sorteio'!$E$3:$E$1723,MATCH($B671&amp;"|"&amp;$C671,'Base de sorteio'!$I$3:$I$1723,0)),"")</f>
        <v/>
      </c>
      <c r="I671" s="4">
        <f>IF(E671="","",HYPERLINK(IFERROR(INDEX('Base de sorteio'!$J$3:$J$1723,MATCH($B671&amp;"|"&amp;$C671,'Base de sorteio'!$I$3:$I$1723,0)),""),"abrir"))</f>
        <v/>
      </c>
      <c r="J671" s="4" t="n"/>
      <c r="K671" s="4" t="n"/>
      <c r="L671" s="4" t="n"/>
      <c r="M671" s="4" t="n"/>
      <c r="N671" s="4">
        <f>IF(AND(K671="",M671=""),"",IF(OR(K671="sim",M671="sim"),"sim",IF(OR(K671="inconclusivo",M671="inconclusivo"),"inconclusivo","não")))</f>
        <v/>
      </c>
      <c r="O671" s="5">
        <f>IF(N671="sim",COUNTIFS($B$3:$B671,$B671,$N$3:$N671,"sim"),"")</f>
        <v/>
      </c>
      <c r="P671" s="5" t="n"/>
      <c r="Q671" s="4" t="n"/>
      <c r="R671" s="5" t="n"/>
      <c r="S671" s="9" t="n"/>
      <c r="T671" s="4" t="n"/>
    </row>
    <row r="672">
      <c r="A672" s="5">
        <f>ROW()-2</f>
        <v/>
      </c>
      <c r="B672" s="4" t="inlineStr">
        <is>
          <t>Metrópole</t>
        </is>
      </c>
      <c r="C672" s="5" t="n">
        <v>670</v>
      </c>
      <c r="D672" s="5">
        <f>IFERROR(INDEX('Base de sorteio'!$A$3:$A$1723,MATCH($B672&amp;"|"&amp;$C672,'Base de sorteio'!$I$3:$I$1723,0)),"")</f>
        <v/>
      </c>
      <c r="E672" s="4">
        <f>IFERROR(INDEX('Base de sorteio'!$B$3:$B$1723,MATCH($B672&amp;"|"&amp;$C672,'Base de sorteio'!$I$3:$I$1723,0)),"")</f>
        <v/>
      </c>
      <c r="F672" s="4">
        <f>IFERROR(INDEX('Base de sorteio'!$C$3:$C$1723,MATCH($B672&amp;"|"&amp;$C672,'Base de sorteio'!$I$3:$I$1723,0)),"")</f>
        <v/>
      </c>
      <c r="G672" s="4">
        <f>IFERROR(INDEX('Base de sorteio'!$D$3:$D$1723,MATCH($B672&amp;"|"&amp;$C672,'Base de sorteio'!$I$3:$I$1723,0)),"")</f>
        <v/>
      </c>
      <c r="H672" s="4">
        <f>IFERROR(INDEX('Base de sorteio'!$E$3:$E$1723,MATCH($B672&amp;"|"&amp;$C672,'Base de sorteio'!$I$3:$I$1723,0)),"")</f>
        <v/>
      </c>
      <c r="I672" s="4">
        <f>IF(E672="","",HYPERLINK(IFERROR(INDEX('Base de sorteio'!$J$3:$J$1723,MATCH($B672&amp;"|"&amp;$C672,'Base de sorteio'!$I$3:$I$1723,0)),""),"abrir"))</f>
        <v/>
      </c>
      <c r="J672" s="4" t="n"/>
      <c r="K672" s="4" t="n"/>
      <c r="L672" s="4" t="n"/>
      <c r="M672" s="4" t="n"/>
      <c r="N672" s="4">
        <f>IF(AND(K672="",M672=""),"",IF(OR(K672="sim",M672="sim"),"sim",IF(OR(K672="inconclusivo",M672="inconclusivo"),"inconclusivo","não")))</f>
        <v/>
      </c>
      <c r="O672" s="5">
        <f>IF(N672="sim",COUNTIFS($B$3:$B672,$B672,$N$3:$N672,"sim"),"")</f>
        <v/>
      </c>
      <c r="P672" s="5" t="n"/>
      <c r="Q672" s="4" t="n"/>
      <c r="R672" s="5" t="n"/>
      <c r="S672" s="9" t="n"/>
      <c r="T672" s="4" t="n"/>
    </row>
    <row r="673">
      <c r="A673" s="5">
        <f>ROW()-2</f>
        <v/>
      </c>
      <c r="B673" s="4" t="inlineStr">
        <is>
          <t>Metrópole</t>
        </is>
      </c>
      <c r="C673" s="5" t="n">
        <v>671</v>
      </c>
      <c r="D673" s="5">
        <f>IFERROR(INDEX('Base de sorteio'!$A$3:$A$1723,MATCH($B673&amp;"|"&amp;$C673,'Base de sorteio'!$I$3:$I$1723,0)),"")</f>
        <v/>
      </c>
      <c r="E673" s="4">
        <f>IFERROR(INDEX('Base de sorteio'!$B$3:$B$1723,MATCH($B673&amp;"|"&amp;$C673,'Base de sorteio'!$I$3:$I$1723,0)),"")</f>
        <v/>
      </c>
      <c r="F673" s="4">
        <f>IFERROR(INDEX('Base de sorteio'!$C$3:$C$1723,MATCH($B673&amp;"|"&amp;$C673,'Base de sorteio'!$I$3:$I$1723,0)),"")</f>
        <v/>
      </c>
      <c r="G673" s="4">
        <f>IFERROR(INDEX('Base de sorteio'!$D$3:$D$1723,MATCH($B673&amp;"|"&amp;$C673,'Base de sorteio'!$I$3:$I$1723,0)),"")</f>
        <v/>
      </c>
      <c r="H673" s="4">
        <f>IFERROR(INDEX('Base de sorteio'!$E$3:$E$1723,MATCH($B673&amp;"|"&amp;$C673,'Base de sorteio'!$I$3:$I$1723,0)),"")</f>
        <v/>
      </c>
      <c r="I673" s="4">
        <f>IF(E673="","",HYPERLINK(IFERROR(INDEX('Base de sorteio'!$J$3:$J$1723,MATCH($B673&amp;"|"&amp;$C673,'Base de sorteio'!$I$3:$I$1723,0)),""),"abrir"))</f>
        <v/>
      </c>
      <c r="J673" s="4" t="n"/>
      <c r="K673" s="4" t="n"/>
      <c r="L673" s="4" t="n"/>
      <c r="M673" s="4" t="n"/>
      <c r="N673" s="4">
        <f>IF(AND(K673="",M673=""),"",IF(OR(K673="sim",M673="sim"),"sim",IF(OR(K673="inconclusivo",M673="inconclusivo"),"inconclusivo","não")))</f>
        <v/>
      </c>
      <c r="O673" s="5">
        <f>IF(N673="sim",COUNTIFS($B$3:$B673,$B673,$N$3:$N673,"sim"),"")</f>
        <v/>
      </c>
      <c r="P673" s="5" t="n"/>
      <c r="Q673" s="4" t="n"/>
      <c r="R673" s="5" t="n"/>
      <c r="S673" s="9" t="n"/>
      <c r="T673" s="4" t="n"/>
    </row>
    <row r="674">
      <c r="A674" s="5">
        <f>ROW()-2</f>
        <v/>
      </c>
      <c r="B674" s="4" t="inlineStr">
        <is>
          <t>Metrópole</t>
        </is>
      </c>
      <c r="C674" s="5" t="n">
        <v>672</v>
      </c>
      <c r="D674" s="5">
        <f>IFERROR(INDEX('Base de sorteio'!$A$3:$A$1723,MATCH($B674&amp;"|"&amp;$C674,'Base de sorteio'!$I$3:$I$1723,0)),"")</f>
        <v/>
      </c>
      <c r="E674" s="4">
        <f>IFERROR(INDEX('Base de sorteio'!$B$3:$B$1723,MATCH($B674&amp;"|"&amp;$C674,'Base de sorteio'!$I$3:$I$1723,0)),"")</f>
        <v/>
      </c>
      <c r="F674" s="4">
        <f>IFERROR(INDEX('Base de sorteio'!$C$3:$C$1723,MATCH($B674&amp;"|"&amp;$C674,'Base de sorteio'!$I$3:$I$1723,0)),"")</f>
        <v/>
      </c>
      <c r="G674" s="4">
        <f>IFERROR(INDEX('Base de sorteio'!$D$3:$D$1723,MATCH($B674&amp;"|"&amp;$C674,'Base de sorteio'!$I$3:$I$1723,0)),"")</f>
        <v/>
      </c>
      <c r="H674" s="4">
        <f>IFERROR(INDEX('Base de sorteio'!$E$3:$E$1723,MATCH($B674&amp;"|"&amp;$C674,'Base de sorteio'!$I$3:$I$1723,0)),"")</f>
        <v/>
      </c>
      <c r="I674" s="4">
        <f>IF(E674="","",HYPERLINK(IFERROR(INDEX('Base de sorteio'!$J$3:$J$1723,MATCH($B674&amp;"|"&amp;$C674,'Base de sorteio'!$I$3:$I$1723,0)),""),"abrir"))</f>
        <v/>
      </c>
      <c r="J674" s="4" t="n"/>
      <c r="K674" s="4" t="n"/>
      <c r="L674" s="4" t="n"/>
      <c r="M674" s="4" t="n"/>
      <c r="N674" s="4">
        <f>IF(AND(K674="",M674=""),"",IF(OR(K674="sim",M674="sim"),"sim",IF(OR(K674="inconclusivo",M674="inconclusivo"),"inconclusivo","não")))</f>
        <v/>
      </c>
      <c r="O674" s="5">
        <f>IF(N674="sim",COUNTIFS($B$3:$B674,$B674,$N$3:$N674,"sim"),"")</f>
        <v/>
      </c>
      <c r="P674" s="5" t="n"/>
      <c r="Q674" s="4" t="n"/>
      <c r="R674" s="5" t="n"/>
      <c r="S674" s="9" t="n"/>
      <c r="T674" s="4" t="n"/>
    </row>
    <row r="675">
      <c r="A675" s="5">
        <f>ROW()-2</f>
        <v/>
      </c>
      <c r="B675" s="4" t="inlineStr">
        <is>
          <t>Metrópole</t>
        </is>
      </c>
      <c r="C675" s="5" t="n">
        <v>673</v>
      </c>
      <c r="D675" s="5">
        <f>IFERROR(INDEX('Base de sorteio'!$A$3:$A$1723,MATCH($B675&amp;"|"&amp;$C675,'Base de sorteio'!$I$3:$I$1723,0)),"")</f>
        <v/>
      </c>
      <c r="E675" s="4">
        <f>IFERROR(INDEX('Base de sorteio'!$B$3:$B$1723,MATCH($B675&amp;"|"&amp;$C675,'Base de sorteio'!$I$3:$I$1723,0)),"")</f>
        <v/>
      </c>
      <c r="F675" s="4">
        <f>IFERROR(INDEX('Base de sorteio'!$C$3:$C$1723,MATCH($B675&amp;"|"&amp;$C675,'Base de sorteio'!$I$3:$I$1723,0)),"")</f>
        <v/>
      </c>
      <c r="G675" s="4">
        <f>IFERROR(INDEX('Base de sorteio'!$D$3:$D$1723,MATCH($B675&amp;"|"&amp;$C675,'Base de sorteio'!$I$3:$I$1723,0)),"")</f>
        <v/>
      </c>
      <c r="H675" s="4">
        <f>IFERROR(INDEX('Base de sorteio'!$E$3:$E$1723,MATCH($B675&amp;"|"&amp;$C675,'Base de sorteio'!$I$3:$I$1723,0)),"")</f>
        <v/>
      </c>
      <c r="I675" s="4">
        <f>IF(E675="","",HYPERLINK(IFERROR(INDEX('Base de sorteio'!$J$3:$J$1723,MATCH($B675&amp;"|"&amp;$C675,'Base de sorteio'!$I$3:$I$1723,0)),""),"abrir"))</f>
        <v/>
      </c>
      <c r="J675" s="4" t="n"/>
      <c r="K675" s="4" t="n"/>
      <c r="L675" s="4" t="n"/>
      <c r="M675" s="4" t="n"/>
      <c r="N675" s="4">
        <f>IF(AND(K675="",M675=""),"",IF(OR(K675="sim",M675="sim"),"sim",IF(OR(K675="inconclusivo",M675="inconclusivo"),"inconclusivo","não")))</f>
        <v/>
      </c>
      <c r="O675" s="5">
        <f>IF(N675="sim",COUNTIFS($B$3:$B675,$B675,$N$3:$N675,"sim"),"")</f>
        <v/>
      </c>
      <c r="P675" s="5" t="n"/>
      <c r="Q675" s="4" t="n"/>
      <c r="R675" s="5" t="n"/>
      <c r="S675" s="9" t="n"/>
      <c r="T675" s="4" t="n"/>
    </row>
    <row r="676">
      <c r="A676" s="5">
        <f>ROW()-2</f>
        <v/>
      </c>
      <c r="B676" s="4" t="inlineStr">
        <is>
          <t>Metrópole</t>
        </is>
      </c>
      <c r="C676" s="5" t="n">
        <v>674</v>
      </c>
      <c r="D676" s="5">
        <f>IFERROR(INDEX('Base de sorteio'!$A$3:$A$1723,MATCH($B676&amp;"|"&amp;$C676,'Base de sorteio'!$I$3:$I$1723,0)),"")</f>
        <v/>
      </c>
      <c r="E676" s="4">
        <f>IFERROR(INDEX('Base de sorteio'!$B$3:$B$1723,MATCH($B676&amp;"|"&amp;$C676,'Base de sorteio'!$I$3:$I$1723,0)),"")</f>
        <v/>
      </c>
      <c r="F676" s="4">
        <f>IFERROR(INDEX('Base de sorteio'!$C$3:$C$1723,MATCH($B676&amp;"|"&amp;$C676,'Base de sorteio'!$I$3:$I$1723,0)),"")</f>
        <v/>
      </c>
      <c r="G676" s="4">
        <f>IFERROR(INDEX('Base de sorteio'!$D$3:$D$1723,MATCH($B676&amp;"|"&amp;$C676,'Base de sorteio'!$I$3:$I$1723,0)),"")</f>
        <v/>
      </c>
      <c r="H676" s="4">
        <f>IFERROR(INDEX('Base de sorteio'!$E$3:$E$1723,MATCH($B676&amp;"|"&amp;$C676,'Base de sorteio'!$I$3:$I$1723,0)),"")</f>
        <v/>
      </c>
      <c r="I676" s="4">
        <f>IF(E676="","",HYPERLINK(IFERROR(INDEX('Base de sorteio'!$J$3:$J$1723,MATCH($B676&amp;"|"&amp;$C676,'Base de sorteio'!$I$3:$I$1723,0)),""),"abrir"))</f>
        <v/>
      </c>
      <c r="J676" s="4" t="n"/>
      <c r="K676" s="4" t="n"/>
      <c r="L676" s="4" t="n"/>
      <c r="M676" s="4" t="n"/>
      <c r="N676" s="4">
        <f>IF(AND(K676="",M676=""),"",IF(OR(K676="sim",M676="sim"),"sim",IF(OR(K676="inconclusivo",M676="inconclusivo"),"inconclusivo","não")))</f>
        <v/>
      </c>
      <c r="O676" s="5">
        <f>IF(N676="sim",COUNTIFS($B$3:$B676,$B676,$N$3:$N676,"sim"),"")</f>
        <v/>
      </c>
      <c r="P676" s="5" t="n"/>
      <c r="Q676" s="4" t="n"/>
      <c r="R676" s="5" t="n"/>
      <c r="S676" s="9" t="n"/>
      <c r="T676" s="4" t="n"/>
    </row>
    <row r="677">
      <c r="A677" s="5">
        <f>ROW()-2</f>
        <v/>
      </c>
      <c r="B677" s="4" t="inlineStr">
        <is>
          <t>Metrópole</t>
        </is>
      </c>
      <c r="C677" s="5" t="n">
        <v>675</v>
      </c>
      <c r="D677" s="5">
        <f>IFERROR(INDEX('Base de sorteio'!$A$3:$A$1723,MATCH($B677&amp;"|"&amp;$C677,'Base de sorteio'!$I$3:$I$1723,0)),"")</f>
        <v/>
      </c>
      <c r="E677" s="4">
        <f>IFERROR(INDEX('Base de sorteio'!$B$3:$B$1723,MATCH($B677&amp;"|"&amp;$C677,'Base de sorteio'!$I$3:$I$1723,0)),"")</f>
        <v/>
      </c>
      <c r="F677" s="4">
        <f>IFERROR(INDEX('Base de sorteio'!$C$3:$C$1723,MATCH($B677&amp;"|"&amp;$C677,'Base de sorteio'!$I$3:$I$1723,0)),"")</f>
        <v/>
      </c>
      <c r="G677" s="4">
        <f>IFERROR(INDEX('Base de sorteio'!$D$3:$D$1723,MATCH($B677&amp;"|"&amp;$C677,'Base de sorteio'!$I$3:$I$1723,0)),"")</f>
        <v/>
      </c>
      <c r="H677" s="4">
        <f>IFERROR(INDEX('Base de sorteio'!$E$3:$E$1723,MATCH($B677&amp;"|"&amp;$C677,'Base de sorteio'!$I$3:$I$1723,0)),"")</f>
        <v/>
      </c>
      <c r="I677" s="4">
        <f>IF(E677="","",HYPERLINK(IFERROR(INDEX('Base de sorteio'!$J$3:$J$1723,MATCH($B677&amp;"|"&amp;$C677,'Base de sorteio'!$I$3:$I$1723,0)),""),"abrir"))</f>
        <v/>
      </c>
      <c r="J677" s="4" t="n"/>
      <c r="K677" s="4" t="n"/>
      <c r="L677" s="4" t="n"/>
      <c r="M677" s="4" t="n"/>
      <c r="N677" s="4">
        <f>IF(AND(K677="",M677=""),"",IF(OR(K677="sim",M677="sim"),"sim",IF(OR(K677="inconclusivo",M677="inconclusivo"),"inconclusivo","não")))</f>
        <v/>
      </c>
      <c r="O677" s="5">
        <f>IF(N677="sim",COUNTIFS($B$3:$B677,$B677,$N$3:$N677,"sim"),"")</f>
        <v/>
      </c>
      <c r="P677" s="5" t="n"/>
      <c r="Q677" s="4" t="n"/>
      <c r="R677" s="5" t="n"/>
      <c r="S677" s="9" t="n"/>
      <c r="T677" s="4" t="n"/>
    </row>
    <row r="678">
      <c r="A678" s="5">
        <f>ROW()-2</f>
        <v/>
      </c>
      <c r="B678" s="4" t="inlineStr">
        <is>
          <t>Metrópole</t>
        </is>
      </c>
      <c r="C678" s="5" t="n">
        <v>676</v>
      </c>
      <c r="D678" s="5">
        <f>IFERROR(INDEX('Base de sorteio'!$A$3:$A$1723,MATCH($B678&amp;"|"&amp;$C678,'Base de sorteio'!$I$3:$I$1723,0)),"")</f>
        <v/>
      </c>
      <c r="E678" s="4">
        <f>IFERROR(INDEX('Base de sorteio'!$B$3:$B$1723,MATCH($B678&amp;"|"&amp;$C678,'Base de sorteio'!$I$3:$I$1723,0)),"")</f>
        <v/>
      </c>
      <c r="F678" s="4">
        <f>IFERROR(INDEX('Base de sorteio'!$C$3:$C$1723,MATCH($B678&amp;"|"&amp;$C678,'Base de sorteio'!$I$3:$I$1723,0)),"")</f>
        <v/>
      </c>
      <c r="G678" s="4">
        <f>IFERROR(INDEX('Base de sorteio'!$D$3:$D$1723,MATCH($B678&amp;"|"&amp;$C678,'Base de sorteio'!$I$3:$I$1723,0)),"")</f>
        <v/>
      </c>
      <c r="H678" s="4">
        <f>IFERROR(INDEX('Base de sorteio'!$E$3:$E$1723,MATCH($B678&amp;"|"&amp;$C678,'Base de sorteio'!$I$3:$I$1723,0)),"")</f>
        <v/>
      </c>
      <c r="I678" s="4">
        <f>IF(E678="","",HYPERLINK(IFERROR(INDEX('Base de sorteio'!$J$3:$J$1723,MATCH($B678&amp;"|"&amp;$C678,'Base de sorteio'!$I$3:$I$1723,0)),""),"abrir"))</f>
        <v/>
      </c>
      <c r="J678" s="4" t="n"/>
      <c r="K678" s="4" t="n"/>
      <c r="L678" s="4" t="n"/>
      <c r="M678" s="4" t="n"/>
      <c r="N678" s="4">
        <f>IF(AND(K678="",M678=""),"",IF(OR(K678="sim",M678="sim"),"sim",IF(OR(K678="inconclusivo",M678="inconclusivo"),"inconclusivo","não")))</f>
        <v/>
      </c>
      <c r="O678" s="5">
        <f>IF(N678="sim",COUNTIFS($B$3:$B678,$B678,$N$3:$N678,"sim"),"")</f>
        <v/>
      </c>
      <c r="P678" s="5" t="n"/>
      <c r="Q678" s="4" t="n"/>
      <c r="R678" s="5" t="n"/>
      <c r="S678" s="9" t="n"/>
      <c r="T678" s="4" t="n"/>
    </row>
    <row r="679">
      <c r="A679" s="5">
        <f>ROW()-2</f>
        <v/>
      </c>
      <c r="B679" s="4" t="inlineStr">
        <is>
          <t>Metrópole</t>
        </is>
      </c>
      <c r="C679" s="5" t="n">
        <v>677</v>
      </c>
      <c r="D679" s="5">
        <f>IFERROR(INDEX('Base de sorteio'!$A$3:$A$1723,MATCH($B679&amp;"|"&amp;$C679,'Base de sorteio'!$I$3:$I$1723,0)),"")</f>
        <v/>
      </c>
      <c r="E679" s="4">
        <f>IFERROR(INDEX('Base de sorteio'!$B$3:$B$1723,MATCH($B679&amp;"|"&amp;$C679,'Base de sorteio'!$I$3:$I$1723,0)),"")</f>
        <v/>
      </c>
      <c r="F679" s="4">
        <f>IFERROR(INDEX('Base de sorteio'!$C$3:$C$1723,MATCH($B679&amp;"|"&amp;$C679,'Base de sorteio'!$I$3:$I$1723,0)),"")</f>
        <v/>
      </c>
      <c r="G679" s="4">
        <f>IFERROR(INDEX('Base de sorteio'!$D$3:$D$1723,MATCH($B679&amp;"|"&amp;$C679,'Base de sorteio'!$I$3:$I$1723,0)),"")</f>
        <v/>
      </c>
      <c r="H679" s="4">
        <f>IFERROR(INDEX('Base de sorteio'!$E$3:$E$1723,MATCH($B679&amp;"|"&amp;$C679,'Base de sorteio'!$I$3:$I$1723,0)),"")</f>
        <v/>
      </c>
      <c r="I679" s="4">
        <f>IF(E679="","",HYPERLINK(IFERROR(INDEX('Base de sorteio'!$J$3:$J$1723,MATCH($B679&amp;"|"&amp;$C679,'Base de sorteio'!$I$3:$I$1723,0)),""),"abrir"))</f>
        <v/>
      </c>
      <c r="J679" s="4" t="n"/>
      <c r="K679" s="4" t="n"/>
      <c r="L679" s="4" t="n"/>
      <c r="M679" s="4" t="n"/>
      <c r="N679" s="4">
        <f>IF(AND(K679="",M679=""),"",IF(OR(K679="sim",M679="sim"),"sim",IF(OR(K679="inconclusivo",M679="inconclusivo"),"inconclusivo","não")))</f>
        <v/>
      </c>
      <c r="O679" s="5">
        <f>IF(N679="sim",COUNTIFS($B$3:$B679,$B679,$N$3:$N679,"sim"),"")</f>
        <v/>
      </c>
      <c r="P679" s="5" t="n"/>
      <c r="Q679" s="4" t="n"/>
      <c r="R679" s="5" t="n"/>
      <c r="S679" s="9" t="n"/>
      <c r="T679" s="4" t="n"/>
    </row>
    <row r="680">
      <c r="A680" s="5">
        <f>ROW()-2</f>
        <v/>
      </c>
      <c r="B680" s="4" t="inlineStr">
        <is>
          <t>Metrópole</t>
        </is>
      </c>
      <c r="C680" s="5" t="n">
        <v>678</v>
      </c>
      <c r="D680" s="5">
        <f>IFERROR(INDEX('Base de sorteio'!$A$3:$A$1723,MATCH($B680&amp;"|"&amp;$C680,'Base de sorteio'!$I$3:$I$1723,0)),"")</f>
        <v/>
      </c>
      <c r="E680" s="4">
        <f>IFERROR(INDEX('Base de sorteio'!$B$3:$B$1723,MATCH($B680&amp;"|"&amp;$C680,'Base de sorteio'!$I$3:$I$1723,0)),"")</f>
        <v/>
      </c>
      <c r="F680" s="4">
        <f>IFERROR(INDEX('Base de sorteio'!$C$3:$C$1723,MATCH($B680&amp;"|"&amp;$C680,'Base de sorteio'!$I$3:$I$1723,0)),"")</f>
        <v/>
      </c>
      <c r="G680" s="4">
        <f>IFERROR(INDEX('Base de sorteio'!$D$3:$D$1723,MATCH($B680&amp;"|"&amp;$C680,'Base de sorteio'!$I$3:$I$1723,0)),"")</f>
        <v/>
      </c>
      <c r="H680" s="4">
        <f>IFERROR(INDEX('Base de sorteio'!$E$3:$E$1723,MATCH($B680&amp;"|"&amp;$C680,'Base de sorteio'!$I$3:$I$1723,0)),"")</f>
        <v/>
      </c>
      <c r="I680" s="4">
        <f>IF(E680="","",HYPERLINK(IFERROR(INDEX('Base de sorteio'!$J$3:$J$1723,MATCH($B680&amp;"|"&amp;$C680,'Base de sorteio'!$I$3:$I$1723,0)),""),"abrir"))</f>
        <v/>
      </c>
      <c r="J680" s="4" t="n"/>
      <c r="K680" s="4" t="n"/>
      <c r="L680" s="4" t="n"/>
      <c r="M680" s="4" t="n"/>
      <c r="N680" s="4">
        <f>IF(AND(K680="",M680=""),"",IF(OR(K680="sim",M680="sim"),"sim",IF(OR(K680="inconclusivo",M680="inconclusivo"),"inconclusivo","não")))</f>
        <v/>
      </c>
      <c r="O680" s="5">
        <f>IF(N680="sim",COUNTIFS($B$3:$B680,$B680,$N$3:$N680,"sim"),"")</f>
        <v/>
      </c>
      <c r="P680" s="5" t="n"/>
      <c r="Q680" s="4" t="n"/>
      <c r="R680" s="5" t="n"/>
      <c r="S680" s="9" t="n"/>
      <c r="T680" s="4" t="n"/>
    </row>
    <row r="681">
      <c r="A681" s="5">
        <f>ROW()-2</f>
        <v/>
      </c>
      <c r="B681" s="4" t="inlineStr">
        <is>
          <t>Metrópole</t>
        </is>
      </c>
      <c r="C681" s="5" t="n">
        <v>679</v>
      </c>
      <c r="D681" s="5">
        <f>IFERROR(INDEX('Base de sorteio'!$A$3:$A$1723,MATCH($B681&amp;"|"&amp;$C681,'Base de sorteio'!$I$3:$I$1723,0)),"")</f>
        <v/>
      </c>
      <c r="E681" s="4">
        <f>IFERROR(INDEX('Base de sorteio'!$B$3:$B$1723,MATCH($B681&amp;"|"&amp;$C681,'Base de sorteio'!$I$3:$I$1723,0)),"")</f>
        <v/>
      </c>
      <c r="F681" s="4">
        <f>IFERROR(INDEX('Base de sorteio'!$C$3:$C$1723,MATCH($B681&amp;"|"&amp;$C681,'Base de sorteio'!$I$3:$I$1723,0)),"")</f>
        <v/>
      </c>
      <c r="G681" s="4">
        <f>IFERROR(INDEX('Base de sorteio'!$D$3:$D$1723,MATCH($B681&amp;"|"&amp;$C681,'Base de sorteio'!$I$3:$I$1723,0)),"")</f>
        <v/>
      </c>
      <c r="H681" s="4">
        <f>IFERROR(INDEX('Base de sorteio'!$E$3:$E$1723,MATCH($B681&amp;"|"&amp;$C681,'Base de sorteio'!$I$3:$I$1723,0)),"")</f>
        <v/>
      </c>
      <c r="I681" s="4">
        <f>IF(E681="","",HYPERLINK(IFERROR(INDEX('Base de sorteio'!$J$3:$J$1723,MATCH($B681&amp;"|"&amp;$C681,'Base de sorteio'!$I$3:$I$1723,0)),""),"abrir"))</f>
        <v/>
      </c>
      <c r="J681" s="4" t="n"/>
      <c r="K681" s="4" t="n"/>
      <c r="L681" s="4" t="n"/>
      <c r="M681" s="4" t="n"/>
      <c r="N681" s="4">
        <f>IF(AND(K681="",M681=""),"",IF(OR(K681="sim",M681="sim"),"sim",IF(OR(K681="inconclusivo",M681="inconclusivo"),"inconclusivo","não")))</f>
        <v/>
      </c>
      <c r="O681" s="5">
        <f>IF(N681="sim",COUNTIFS($B$3:$B681,$B681,$N$3:$N681,"sim"),"")</f>
        <v/>
      </c>
      <c r="P681" s="5" t="n"/>
      <c r="Q681" s="4" t="n"/>
      <c r="R681" s="5" t="n"/>
      <c r="S681" s="9" t="n"/>
      <c r="T681" s="4" t="n"/>
    </row>
    <row r="682">
      <c r="A682" s="5">
        <f>ROW()-2</f>
        <v/>
      </c>
      <c r="B682" s="4" t="inlineStr">
        <is>
          <t>Metrópole</t>
        </is>
      </c>
      <c r="C682" s="5" t="n">
        <v>680</v>
      </c>
      <c r="D682" s="5">
        <f>IFERROR(INDEX('Base de sorteio'!$A$3:$A$1723,MATCH($B682&amp;"|"&amp;$C682,'Base de sorteio'!$I$3:$I$1723,0)),"")</f>
        <v/>
      </c>
      <c r="E682" s="4">
        <f>IFERROR(INDEX('Base de sorteio'!$B$3:$B$1723,MATCH($B682&amp;"|"&amp;$C682,'Base de sorteio'!$I$3:$I$1723,0)),"")</f>
        <v/>
      </c>
      <c r="F682" s="4">
        <f>IFERROR(INDEX('Base de sorteio'!$C$3:$C$1723,MATCH($B682&amp;"|"&amp;$C682,'Base de sorteio'!$I$3:$I$1723,0)),"")</f>
        <v/>
      </c>
      <c r="G682" s="4">
        <f>IFERROR(INDEX('Base de sorteio'!$D$3:$D$1723,MATCH($B682&amp;"|"&amp;$C682,'Base de sorteio'!$I$3:$I$1723,0)),"")</f>
        <v/>
      </c>
      <c r="H682" s="4">
        <f>IFERROR(INDEX('Base de sorteio'!$E$3:$E$1723,MATCH($B682&amp;"|"&amp;$C682,'Base de sorteio'!$I$3:$I$1723,0)),"")</f>
        <v/>
      </c>
      <c r="I682" s="4">
        <f>IF(E682="","",HYPERLINK(IFERROR(INDEX('Base de sorteio'!$J$3:$J$1723,MATCH($B682&amp;"|"&amp;$C682,'Base de sorteio'!$I$3:$I$1723,0)),""),"abrir"))</f>
        <v/>
      </c>
      <c r="J682" s="4" t="n"/>
      <c r="K682" s="4" t="n"/>
      <c r="L682" s="4" t="n"/>
      <c r="M682" s="4" t="n"/>
      <c r="N682" s="4">
        <f>IF(AND(K682="",M682=""),"",IF(OR(K682="sim",M682="sim"),"sim",IF(OR(K682="inconclusivo",M682="inconclusivo"),"inconclusivo","não")))</f>
        <v/>
      </c>
      <c r="O682" s="5">
        <f>IF(N682="sim",COUNTIFS($B$3:$B682,$B682,$N$3:$N682,"sim"),"")</f>
        <v/>
      </c>
      <c r="P682" s="5" t="n"/>
      <c r="Q682" s="4" t="n"/>
      <c r="R682" s="5" t="n"/>
      <c r="S682" s="9" t="n"/>
      <c r="T682" s="4" t="n"/>
    </row>
    <row r="683">
      <c r="A683" s="5">
        <f>ROW()-2</f>
        <v/>
      </c>
      <c r="B683" s="4" t="inlineStr">
        <is>
          <t>Metrópole</t>
        </is>
      </c>
      <c r="C683" s="5" t="n">
        <v>681</v>
      </c>
      <c r="D683" s="5">
        <f>IFERROR(INDEX('Base de sorteio'!$A$3:$A$1723,MATCH($B683&amp;"|"&amp;$C683,'Base de sorteio'!$I$3:$I$1723,0)),"")</f>
        <v/>
      </c>
      <c r="E683" s="4">
        <f>IFERROR(INDEX('Base de sorteio'!$B$3:$B$1723,MATCH($B683&amp;"|"&amp;$C683,'Base de sorteio'!$I$3:$I$1723,0)),"")</f>
        <v/>
      </c>
      <c r="F683" s="4">
        <f>IFERROR(INDEX('Base de sorteio'!$C$3:$C$1723,MATCH($B683&amp;"|"&amp;$C683,'Base de sorteio'!$I$3:$I$1723,0)),"")</f>
        <v/>
      </c>
      <c r="G683" s="4">
        <f>IFERROR(INDEX('Base de sorteio'!$D$3:$D$1723,MATCH($B683&amp;"|"&amp;$C683,'Base de sorteio'!$I$3:$I$1723,0)),"")</f>
        <v/>
      </c>
      <c r="H683" s="4">
        <f>IFERROR(INDEX('Base de sorteio'!$E$3:$E$1723,MATCH($B683&amp;"|"&amp;$C683,'Base de sorteio'!$I$3:$I$1723,0)),"")</f>
        <v/>
      </c>
      <c r="I683" s="4">
        <f>IF(E683="","",HYPERLINK(IFERROR(INDEX('Base de sorteio'!$J$3:$J$1723,MATCH($B683&amp;"|"&amp;$C683,'Base de sorteio'!$I$3:$I$1723,0)),""),"abrir"))</f>
        <v/>
      </c>
      <c r="J683" s="4" t="n"/>
      <c r="K683" s="4" t="n"/>
      <c r="L683" s="4" t="n"/>
      <c r="M683" s="4" t="n"/>
      <c r="N683" s="4">
        <f>IF(AND(K683="",M683=""),"",IF(OR(K683="sim",M683="sim"),"sim",IF(OR(K683="inconclusivo",M683="inconclusivo"),"inconclusivo","não")))</f>
        <v/>
      </c>
      <c r="O683" s="5">
        <f>IF(N683="sim",COUNTIFS($B$3:$B683,$B683,$N$3:$N683,"sim"),"")</f>
        <v/>
      </c>
      <c r="P683" s="5" t="n"/>
      <c r="Q683" s="4" t="n"/>
      <c r="R683" s="5" t="n"/>
      <c r="S683" s="9" t="n"/>
      <c r="T683" s="4" t="n"/>
    </row>
    <row r="684">
      <c r="A684" s="5">
        <f>ROW()-2</f>
        <v/>
      </c>
      <c r="B684" s="4" t="inlineStr">
        <is>
          <t>Metrópole</t>
        </is>
      </c>
      <c r="C684" s="5" t="n">
        <v>682</v>
      </c>
      <c r="D684" s="5">
        <f>IFERROR(INDEX('Base de sorteio'!$A$3:$A$1723,MATCH($B684&amp;"|"&amp;$C684,'Base de sorteio'!$I$3:$I$1723,0)),"")</f>
        <v/>
      </c>
      <c r="E684" s="4">
        <f>IFERROR(INDEX('Base de sorteio'!$B$3:$B$1723,MATCH($B684&amp;"|"&amp;$C684,'Base de sorteio'!$I$3:$I$1723,0)),"")</f>
        <v/>
      </c>
      <c r="F684" s="4">
        <f>IFERROR(INDEX('Base de sorteio'!$C$3:$C$1723,MATCH($B684&amp;"|"&amp;$C684,'Base de sorteio'!$I$3:$I$1723,0)),"")</f>
        <v/>
      </c>
      <c r="G684" s="4">
        <f>IFERROR(INDEX('Base de sorteio'!$D$3:$D$1723,MATCH($B684&amp;"|"&amp;$C684,'Base de sorteio'!$I$3:$I$1723,0)),"")</f>
        <v/>
      </c>
      <c r="H684" s="4">
        <f>IFERROR(INDEX('Base de sorteio'!$E$3:$E$1723,MATCH($B684&amp;"|"&amp;$C684,'Base de sorteio'!$I$3:$I$1723,0)),"")</f>
        <v/>
      </c>
      <c r="I684" s="4">
        <f>IF(E684="","",HYPERLINK(IFERROR(INDEX('Base de sorteio'!$J$3:$J$1723,MATCH($B684&amp;"|"&amp;$C684,'Base de sorteio'!$I$3:$I$1723,0)),""),"abrir"))</f>
        <v/>
      </c>
      <c r="J684" s="4" t="n"/>
      <c r="K684" s="4" t="n"/>
      <c r="L684" s="4" t="n"/>
      <c r="M684" s="4" t="n"/>
      <c r="N684" s="4">
        <f>IF(AND(K684="",M684=""),"",IF(OR(K684="sim",M684="sim"),"sim",IF(OR(K684="inconclusivo",M684="inconclusivo"),"inconclusivo","não")))</f>
        <v/>
      </c>
      <c r="O684" s="5">
        <f>IF(N684="sim",COUNTIFS($B$3:$B684,$B684,$N$3:$N684,"sim"),"")</f>
        <v/>
      </c>
      <c r="P684" s="5" t="n"/>
      <c r="Q684" s="4" t="n"/>
      <c r="R684" s="5" t="n"/>
      <c r="S684" s="9" t="n"/>
      <c r="T684" s="4" t="n"/>
    </row>
    <row r="685">
      <c r="A685" s="5">
        <f>ROW()-2</f>
        <v/>
      </c>
      <c r="B685" s="4" t="inlineStr">
        <is>
          <t>Metrópole</t>
        </is>
      </c>
      <c r="C685" s="5" t="n">
        <v>683</v>
      </c>
      <c r="D685" s="5">
        <f>IFERROR(INDEX('Base de sorteio'!$A$3:$A$1723,MATCH($B685&amp;"|"&amp;$C685,'Base de sorteio'!$I$3:$I$1723,0)),"")</f>
        <v/>
      </c>
      <c r="E685" s="4">
        <f>IFERROR(INDEX('Base de sorteio'!$B$3:$B$1723,MATCH($B685&amp;"|"&amp;$C685,'Base de sorteio'!$I$3:$I$1723,0)),"")</f>
        <v/>
      </c>
      <c r="F685" s="4">
        <f>IFERROR(INDEX('Base de sorteio'!$C$3:$C$1723,MATCH($B685&amp;"|"&amp;$C685,'Base de sorteio'!$I$3:$I$1723,0)),"")</f>
        <v/>
      </c>
      <c r="G685" s="4">
        <f>IFERROR(INDEX('Base de sorteio'!$D$3:$D$1723,MATCH($B685&amp;"|"&amp;$C685,'Base de sorteio'!$I$3:$I$1723,0)),"")</f>
        <v/>
      </c>
      <c r="H685" s="4">
        <f>IFERROR(INDEX('Base de sorteio'!$E$3:$E$1723,MATCH($B685&amp;"|"&amp;$C685,'Base de sorteio'!$I$3:$I$1723,0)),"")</f>
        <v/>
      </c>
      <c r="I685" s="4">
        <f>IF(E685="","",HYPERLINK(IFERROR(INDEX('Base de sorteio'!$J$3:$J$1723,MATCH($B685&amp;"|"&amp;$C685,'Base de sorteio'!$I$3:$I$1723,0)),""),"abrir"))</f>
        <v/>
      </c>
      <c r="J685" s="4" t="n"/>
      <c r="K685" s="4" t="n"/>
      <c r="L685" s="4" t="n"/>
      <c r="M685" s="4" t="n"/>
      <c r="N685" s="4">
        <f>IF(AND(K685="",M685=""),"",IF(OR(K685="sim",M685="sim"),"sim",IF(OR(K685="inconclusivo",M685="inconclusivo"),"inconclusivo","não")))</f>
        <v/>
      </c>
      <c r="O685" s="5">
        <f>IF(N685="sim",COUNTIFS($B$3:$B685,$B685,$N$3:$N685,"sim"),"")</f>
        <v/>
      </c>
      <c r="P685" s="5" t="n"/>
      <c r="Q685" s="4" t="n"/>
      <c r="R685" s="5" t="n"/>
      <c r="S685" s="9" t="n"/>
      <c r="T685" s="4" t="n"/>
    </row>
    <row r="686">
      <c r="A686" s="5">
        <f>ROW()-2</f>
        <v/>
      </c>
      <c r="B686" s="4" t="inlineStr">
        <is>
          <t>Metrópole</t>
        </is>
      </c>
      <c r="C686" s="5" t="n">
        <v>684</v>
      </c>
      <c r="D686" s="5">
        <f>IFERROR(INDEX('Base de sorteio'!$A$3:$A$1723,MATCH($B686&amp;"|"&amp;$C686,'Base de sorteio'!$I$3:$I$1723,0)),"")</f>
        <v/>
      </c>
      <c r="E686" s="4">
        <f>IFERROR(INDEX('Base de sorteio'!$B$3:$B$1723,MATCH($B686&amp;"|"&amp;$C686,'Base de sorteio'!$I$3:$I$1723,0)),"")</f>
        <v/>
      </c>
      <c r="F686" s="4">
        <f>IFERROR(INDEX('Base de sorteio'!$C$3:$C$1723,MATCH($B686&amp;"|"&amp;$C686,'Base de sorteio'!$I$3:$I$1723,0)),"")</f>
        <v/>
      </c>
      <c r="G686" s="4">
        <f>IFERROR(INDEX('Base de sorteio'!$D$3:$D$1723,MATCH($B686&amp;"|"&amp;$C686,'Base de sorteio'!$I$3:$I$1723,0)),"")</f>
        <v/>
      </c>
      <c r="H686" s="4">
        <f>IFERROR(INDEX('Base de sorteio'!$E$3:$E$1723,MATCH($B686&amp;"|"&amp;$C686,'Base de sorteio'!$I$3:$I$1723,0)),"")</f>
        <v/>
      </c>
      <c r="I686" s="4">
        <f>IF(E686="","",HYPERLINK(IFERROR(INDEX('Base de sorteio'!$J$3:$J$1723,MATCH($B686&amp;"|"&amp;$C686,'Base de sorteio'!$I$3:$I$1723,0)),""),"abrir"))</f>
        <v/>
      </c>
      <c r="J686" s="4" t="n"/>
      <c r="K686" s="4" t="n"/>
      <c r="L686" s="4" t="n"/>
      <c r="M686" s="4" t="n"/>
      <c r="N686" s="4">
        <f>IF(AND(K686="",M686=""),"",IF(OR(K686="sim",M686="sim"),"sim",IF(OR(K686="inconclusivo",M686="inconclusivo"),"inconclusivo","não")))</f>
        <v/>
      </c>
      <c r="O686" s="5">
        <f>IF(N686="sim",COUNTIFS($B$3:$B686,$B686,$N$3:$N686,"sim"),"")</f>
        <v/>
      </c>
      <c r="P686" s="5" t="n"/>
      <c r="Q686" s="4" t="n"/>
      <c r="R686" s="5" t="n"/>
      <c r="S686" s="9" t="n"/>
      <c r="T686" s="4" t="n"/>
    </row>
    <row r="687">
      <c r="A687" s="5">
        <f>ROW()-2</f>
        <v/>
      </c>
      <c r="B687" s="4" t="inlineStr">
        <is>
          <t>Metrópole</t>
        </is>
      </c>
      <c r="C687" s="5" t="n">
        <v>685</v>
      </c>
      <c r="D687" s="5">
        <f>IFERROR(INDEX('Base de sorteio'!$A$3:$A$1723,MATCH($B687&amp;"|"&amp;$C687,'Base de sorteio'!$I$3:$I$1723,0)),"")</f>
        <v/>
      </c>
      <c r="E687" s="4">
        <f>IFERROR(INDEX('Base de sorteio'!$B$3:$B$1723,MATCH($B687&amp;"|"&amp;$C687,'Base de sorteio'!$I$3:$I$1723,0)),"")</f>
        <v/>
      </c>
      <c r="F687" s="4">
        <f>IFERROR(INDEX('Base de sorteio'!$C$3:$C$1723,MATCH($B687&amp;"|"&amp;$C687,'Base de sorteio'!$I$3:$I$1723,0)),"")</f>
        <v/>
      </c>
      <c r="G687" s="4">
        <f>IFERROR(INDEX('Base de sorteio'!$D$3:$D$1723,MATCH($B687&amp;"|"&amp;$C687,'Base de sorteio'!$I$3:$I$1723,0)),"")</f>
        <v/>
      </c>
      <c r="H687" s="4">
        <f>IFERROR(INDEX('Base de sorteio'!$E$3:$E$1723,MATCH($B687&amp;"|"&amp;$C687,'Base de sorteio'!$I$3:$I$1723,0)),"")</f>
        <v/>
      </c>
      <c r="I687" s="4">
        <f>IF(E687="","",HYPERLINK(IFERROR(INDEX('Base de sorteio'!$J$3:$J$1723,MATCH($B687&amp;"|"&amp;$C687,'Base de sorteio'!$I$3:$I$1723,0)),""),"abrir"))</f>
        <v/>
      </c>
      <c r="J687" s="4" t="n"/>
      <c r="K687" s="4" t="n"/>
      <c r="L687" s="4" t="n"/>
      <c r="M687" s="4" t="n"/>
      <c r="N687" s="4">
        <f>IF(AND(K687="",M687=""),"",IF(OR(K687="sim",M687="sim"),"sim",IF(OR(K687="inconclusivo",M687="inconclusivo"),"inconclusivo","não")))</f>
        <v/>
      </c>
      <c r="O687" s="5">
        <f>IF(N687="sim",COUNTIFS($B$3:$B687,$B687,$N$3:$N687,"sim"),"")</f>
        <v/>
      </c>
      <c r="P687" s="5" t="n"/>
      <c r="Q687" s="4" t="n"/>
      <c r="R687" s="5" t="n"/>
      <c r="S687" s="9" t="n"/>
      <c r="T687" s="4" t="n"/>
    </row>
    <row r="688">
      <c r="A688" s="5">
        <f>ROW()-2</f>
        <v/>
      </c>
      <c r="B688" s="4" t="inlineStr">
        <is>
          <t>Metrópole</t>
        </is>
      </c>
      <c r="C688" s="5" t="n">
        <v>686</v>
      </c>
      <c r="D688" s="5">
        <f>IFERROR(INDEX('Base de sorteio'!$A$3:$A$1723,MATCH($B688&amp;"|"&amp;$C688,'Base de sorteio'!$I$3:$I$1723,0)),"")</f>
        <v/>
      </c>
      <c r="E688" s="4">
        <f>IFERROR(INDEX('Base de sorteio'!$B$3:$B$1723,MATCH($B688&amp;"|"&amp;$C688,'Base de sorteio'!$I$3:$I$1723,0)),"")</f>
        <v/>
      </c>
      <c r="F688" s="4">
        <f>IFERROR(INDEX('Base de sorteio'!$C$3:$C$1723,MATCH($B688&amp;"|"&amp;$C688,'Base de sorteio'!$I$3:$I$1723,0)),"")</f>
        <v/>
      </c>
      <c r="G688" s="4">
        <f>IFERROR(INDEX('Base de sorteio'!$D$3:$D$1723,MATCH($B688&amp;"|"&amp;$C688,'Base de sorteio'!$I$3:$I$1723,0)),"")</f>
        <v/>
      </c>
      <c r="H688" s="4">
        <f>IFERROR(INDEX('Base de sorteio'!$E$3:$E$1723,MATCH($B688&amp;"|"&amp;$C688,'Base de sorteio'!$I$3:$I$1723,0)),"")</f>
        <v/>
      </c>
      <c r="I688" s="4">
        <f>IF(E688="","",HYPERLINK(IFERROR(INDEX('Base de sorteio'!$J$3:$J$1723,MATCH($B688&amp;"|"&amp;$C688,'Base de sorteio'!$I$3:$I$1723,0)),""),"abrir"))</f>
        <v/>
      </c>
      <c r="J688" s="4" t="n"/>
      <c r="K688" s="4" t="n"/>
      <c r="L688" s="4" t="n"/>
      <c r="M688" s="4" t="n"/>
      <c r="N688" s="4">
        <f>IF(AND(K688="",M688=""),"",IF(OR(K688="sim",M688="sim"),"sim",IF(OR(K688="inconclusivo",M688="inconclusivo"),"inconclusivo","não")))</f>
        <v/>
      </c>
      <c r="O688" s="5">
        <f>IF(N688="sim",COUNTIFS($B$3:$B688,$B688,$N$3:$N688,"sim"),"")</f>
        <v/>
      </c>
      <c r="P688" s="5" t="n"/>
      <c r="Q688" s="4" t="n"/>
      <c r="R688" s="5" t="n"/>
      <c r="S688" s="9" t="n"/>
      <c r="T688" s="4" t="n"/>
    </row>
    <row r="689">
      <c r="A689" s="5">
        <f>ROW()-2</f>
        <v/>
      </c>
      <c r="B689" s="4" t="inlineStr">
        <is>
          <t>Metrópole</t>
        </is>
      </c>
      <c r="C689" s="5" t="n">
        <v>687</v>
      </c>
      <c r="D689" s="5">
        <f>IFERROR(INDEX('Base de sorteio'!$A$3:$A$1723,MATCH($B689&amp;"|"&amp;$C689,'Base de sorteio'!$I$3:$I$1723,0)),"")</f>
        <v/>
      </c>
      <c r="E689" s="4">
        <f>IFERROR(INDEX('Base de sorteio'!$B$3:$B$1723,MATCH($B689&amp;"|"&amp;$C689,'Base de sorteio'!$I$3:$I$1723,0)),"")</f>
        <v/>
      </c>
      <c r="F689" s="4">
        <f>IFERROR(INDEX('Base de sorteio'!$C$3:$C$1723,MATCH($B689&amp;"|"&amp;$C689,'Base de sorteio'!$I$3:$I$1723,0)),"")</f>
        <v/>
      </c>
      <c r="G689" s="4">
        <f>IFERROR(INDEX('Base de sorteio'!$D$3:$D$1723,MATCH($B689&amp;"|"&amp;$C689,'Base de sorteio'!$I$3:$I$1723,0)),"")</f>
        <v/>
      </c>
      <c r="H689" s="4">
        <f>IFERROR(INDEX('Base de sorteio'!$E$3:$E$1723,MATCH($B689&amp;"|"&amp;$C689,'Base de sorteio'!$I$3:$I$1723,0)),"")</f>
        <v/>
      </c>
      <c r="I689" s="4">
        <f>IF(E689="","",HYPERLINK(IFERROR(INDEX('Base de sorteio'!$J$3:$J$1723,MATCH($B689&amp;"|"&amp;$C689,'Base de sorteio'!$I$3:$I$1723,0)),""),"abrir"))</f>
        <v/>
      </c>
      <c r="J689" s="4" t="n"/>
      <c r="K689" s="4" t="n"/>
      <c r="L689" s="4" t="n"/>
      <c r="M689" s="4" t="n"/>
      <c r="N689" s="4">
        <f>IF(AND(K689="",M689=""),"",IF(OR(K689="sim",M689="sim"),"sim",IF(OR(K689="inconclusivo",M689="inconclusivo"),"inconclusivo","não")))</f>
        <v/>
      </c>
      <c r="O689" s="5">
        <f>IF(N689="sim",COUNTIFS($B$3:$B689,$B689,$N$3:$N689,"sim"),"")</f>
        <v/>
      </c>
      <c r="P689" s="5" t="n"/>
      <c r="Q689" s="4" t="n"/>
      <c r="R689" s="5" t="n"/>
      <c r="S689" s="9" t="n"/>
      <c r="T689" s="4" t="n"/>
    </row>
    <row r="690">
      <c r="A690" s="5">
        <f>ROW()-2</f>
        <v/>
      </c>
      <c r="B690" s="4" t="inlineStr">
        <is>
          <t>Metrópole</t>
        </is>
      </c>
      <c r="C690" s="5" t="n">
        <v>688</v>
      </c>
      <c r="D690" s="5">
        <f>IFERROR(INDEX('Base de sorteio'!$A$3:$A$1723,MATCH($B690&amp;"|"&amp;$C690,'Base de sorteio'!$I$3:$I$1723,0)),"")</f>
        <v/>
      </c>
      <c r="E690" s="4">
        <f>IFERROR(INDEX('Base de sorteio'!$B$3:$B$1723,MATCH($B690&amp;"|"&amp;$C690,'Base de sorteio'!$I$3:$I$1723,0)),"")</f>
        <v/>
      </c>
      <c r="F690" s="4">
        <f>IFERROR(INDEX('Base de sorteio'!$C$3:$C$1723,MATCH($B690&amp;"|"&amp;$C690,'Base de sorteio'!$I$3:$I$1723,0)),"")</f>
        <v/>
      </c>
      <c r="G690" s="4">
        <f>IFERROR(INDEX('Base de sorteio'!$D$3:$D$1723,MATCH($B690&amp;"|"&amp;$C690,'Base de sorteio'!$I$3:$I$1723,0)),"")</f>
        <v/>
      </c>
      <c r="H690" s="4">
        <f>IFERROR(INDEX('Base de sorteio'!$E$3:$E$1723,MATCH($B690&amp;"|"&amp;$C690,'Base de sorteio'!$I$3:$I$1723,0)),"")</f>
        <v/>
      </c>
      <c r="I690" s="4">
        <f>IF(E690="","",HYPERLINK(IFERROR(INDEX('Base de sorteio'!$J$3:$J$1723,MATCH($B690&amp;"|"&amp;$C690,'Base de sorteio'!$I$3:$I$1723,0)),""),"abrir"))</f>
        <v/>
      </c>
      <c r="J690" s="4" t="n"/>
      <c r="K690" s="4" t="n"/>
      <c r="L690" s="4" t="n"/>
      <c r="M690" s="4" t="n"/>
      <c r="N690" s="4">
        <f>IF(AND(K690="",M690=""),"",IF(OR(K690="sim",M690="sim"),"sim",IF(OR(K690="inconclusivo",M690="inconclusivo"),"inconclusivo","não")))</f>
        <v/>
      </c>
      <c r="O690" s="5">
        <f>IF(N690="sim",COUNTIFS($B$3:$B690,$B690,$N$3:$N690,"sim"),"")</f>
        <v/>
      </c>
      <c r="P690" s="5" t="n"/>
      <c r="Q690" s="4" t="n"/>
      <c r="R690" s="5" t="n"/>
      <c r="S690" s="9" t="n"/>
      <c r="T690" s="4" t="n"/>
    </row>
    <row r="691">
      <c r="A691" s="5">
        <f>ROW()-2</f>
        <v/>
      </c>
      <c r="B691" s="4" t="inlineStr">
        <is>
          <t>Metrópole</t>
        </is>
      </c>
      <c r="C691" s="5" t="n">
        <v>689</v>
      </c>
      <c r="D691" s="5">
        <f>IFERROR(INDEX('Base de sorteio'!$A$3:$A$1723,MATCH($B691&amp;"|"&amp;$C691,'Base de sorteio'!$I$3:$I$1723,0)),"")</f>
        <v/>
      </c>
      <c r="E691" s="4">
        <f>IFERROR(INDEX('Base de sorteio'!$B$3:$B$1723,MATCH($B691&amp;"|"&amp;$C691,'Base de sorteio'!$I$3:$I$1723,0)),"")</f>
        <v/>
      </c>
      <c r="F691" s="4">
        <f>IFERROR(INDEX('Base de sorteio'!$C$3:$C$1723,MATCH($B691&amp;"|"&amp;$C691,'Base de sorteio'!$I$3:$I$1723,0)),"")</f>
        <v/>
      </c>
      <c r="G691" s="4">
        <f>IFERROR(INDEX('Base de sorteio'!$D$3:$D$1723,MATCH($B691&amp;"|"&amp;$C691,'Base de sorteio'!$I$3:$I$1723,0)),"")</f>
        <v/>
      </c>
      <c r="H691" s="4">
        <f>IFERROR(INDEX('Base de sorteio'!$E$3:$E$1723,MATCH($B691&amp;"|"&amp;$C691,'Base de sorteio'!$I$3:$I$1723,0)),"")</f>
        <v/>
      </c>
      <c r="I691" s="4">
        <f>IF(E691="","",HYPERLINK(IFERROR(INDEX('Base de sorteio'!$J$3:$J$1723,MATCH($B691&amp;"|"&amp;$C691,'Base de sorteio'!$I$3:$I$1723,0)),""),"abrir"))</f>
        <v/>
      </c>
      <c r="J691" s="4" t="n"/>
      <c r="K691" s="4" t="n"/>
      <c r="L691" s="4" t="n"/>
      <c r="M691" s="4" t="n"/>
      <c r="N691" s="4">
        <f>IF(AND(K691="",M691=""),"",IF(OR(K691="sim",M691="sim"),"sim",IF(OR(K691="inconclusivo",M691="inconclusivo"),"inconclusivo","não")))</f>
        <v/>
      </c>
      <c r="O691" s="5">
        <f>IF(N691="sim",COUNTIFS($B$3:$B691,$B691,$N$3:$N691,"sim"),"")</f>
        <v/>
      </c>
      <c r="P691" s="5" t="n"/>
      <c r="Q691" s="4" t="n"/>
      <c r="R691" s="5" t="n"/>
      <c r="S691" s="9" t="n"/>
      <c r="T691" s="4" t="n"/>
    </row>
    <row r="692">
      <c r="A692" s="5">
        <f>ROW()-2</f>
        <v/>
      </c>
      <c r="B692" s="4" t="inlineStr">
        <is>
          <t>Metrópole</t>
        </is>
      </c>
      <c r="C692" s="5" t="n">
        <v>690</v>
      </c>
      <c r="D692" s="5">
        <f>IFERROR(INDEX('Base de sorteio'!$A$3:$A$1723,MATCH($B692&amp;"|"&amp;$C692,'Base de sorteio'!$I$3:$I$1723,0)),"")</f>
        <v/>
      </c>
      <c r="E692" s="4">
        <f>IFERROR(INDEX('Base de sorteio'!$B$3:$B$1723,MATCH($B692&amp;"|"&amp;$C692,'Base de sorteio'!$I$3:$I$1723,0)),"")</f>
        <v/>
      </c>
      <c r="F692" s="4">
        <f>IFERROR(INDEX('Base de sorteio'!$C$3:$C$1723,MATCH($B692&amp;"|"&amp;$C692,'Base de sorteio'!$I$3:$I$1723,0)),"")</f>
        <v/>
      </c>
      <c r="G692" s="4">
        <f>IFERROR(INDEX('Base de sorteio'!$D$3:$D$1723,MATCH($B692&amp;"|"&amp;$C692,'Base de sorteio'!$I$3:$I$1723,0)),"")</f>
        <v/>
      </c>
      <c r="H692" s="4">
        <f>IFERROR(INDEX('Base de sorteio'!$E$3:$E$1723,MATCH($B692&amp;"|"&amp;$C692,'Base de sorteio'!$I$3:$I$1723,0)),"")</f>
        <v/>
      </c>
      <c r="I692" s="4">
        <f>IF(E692="","",HYPERLINK(IFERROR(INDEX('Base de sorteio'!$J$3:$J$1723,MATCH($B692&amp;"|"&amp;$C692,'Base de sorteio'!$I$3:$I$1723,0)),""),"abrir"))</f>
        <v/>
      </c>
      <c r="J692" s="4" t="n"/>
      <c r="K692" s="4" t="n"/>
      <c r="L692" s="4" t="n"/>
      <c r="M692" s="4" t="n"/>
      <c r="N692" s="4">
        <f>IF(AND(K692="",M692=""),"",IF(OR(K692="sim",M692="sim"),"sim",IF(OR(K692="inconclusivo",M692="inconclusivo"),"inconclusivo","não")))</f>
        <v/>
      </c>
      <c r="O692" s="5">
        <f>IF(N692="sim",COUNTIFS($B$3:$B692,$B692,$N$3:$N692,"sim"),"")</f>
        <v/>
      </c>
      <c r="P692" s="5" t="n"/>
      <c r="Q692" s="4" t="n"/>
      <c r="R692" s="5" t="n"/>
      <c r="S692" s="9" t="n"/>
      <c r="T692" s="4" t="n"/>
    </row>
    <row r="693">
      <c r="A693" s="5">
        <f>ROW()-2</f>
        <v/>
      </c>
      <c r="B693" s="4" t="inlineStr">
        <is>
          <t>Metrópole</t>
        </is>
      </c>
      <c r="C693" s="5" t="n">
        <v>691</v>
      </c>
      <c r="D693" s="5">
        <f>IFERROR(INDEX('Base de sorteio'!$A$3:$A$1723,MATCH($B693&amp;"|"&amp;$C693,'Base de sorteio'!$I$3:$I$1723,0)),"")</f>
        <v/>
      </c>
      <c r="E693" s="4">
        <f>IFERROR(INDEX('Base de sorteio'!$B$3:$B$1723,MATCH($B693&amp;"|"&amp;$C693,'Base de sorteio'!$I$3:$I$1723,0)),"")</f>
        <v/>
      </c>
      <c r="F693" s="4">
        <f>IFERROR(INDEX('Base de sorteio'!$C$3:$C$1723,MATCH($B693&amp;"|"&amp;$C693,'Base de sorteio'!$I$3:$I$1723,0)),"")</f>
        <v/>
      </c>
      <c r="G693" s="4">
        <f>IFERROR(INDEX('Base de sorteio'!$D$3:$D$1723,MATCH($B693&amp;"|"&amp;$C693,'Base de sorteio'!$I$3:$I$1723,0)),"")</f>
        <v/>
      </c>
      <c r="H693" s="4">
        <f>IFERROR(INDEX('Base de sorteio'!$E$3:$E$1723,MATCH($B693&amp;"|"&amp;$C693,'Base de sorteio'!$I$3:$I$1723,0)),"")</f>
        <v/>
      </c>
      <c r="I693" s="4">
        <f>IF(E693="","",HYPERLINK(IFERROR(INDEX('Base de sorteio'!$J$3:$J$1723,MATCH($B693&amp;"|"&amp;$C693,'Base de sorteio'!$I$3:$I$1723,0)),""),"abrir"))</f>
        <v/>
      </c>
      <c r="J693" s="4" t="n"/>
      <c r="K693" s="4" t="n"/>
      <c r="L693" s="4" t="n"/>
      <c r="M693" s="4" t="n"/>
      <c r="N693" s="4">
        <f>IF(AND(K693="",M693=""),"",IF(OR(K693="sim",M693="sim"),"sim",IF(OR(K693="inconclusivo",M693="inconclusivo"),"inconclusivo","não")))</f>
        <v/>
      </c>
      <c r="O693" s="5">
        <f>IF(N693="sim",COUNTIFS($B$3:$B693,$B693,$N$3:$N693,"sim"),"")</f>
        <v/>
      </c>
      <c r="P693" s="5" t="n"/>
      <c r="Q693" s="4" t="n"/>
      <c r="R693" s="5" t="n"/>
      <c r="S693" s="9" t="n"/>
      <c r="T693" s="4" t="n"/>
    </row>
    <row r="694">
      <c r="A694" s="5">
        <f>ROW()-2</f>
        <v/>
      </c>
      <c r="B694" s="4" t="inlineStr">
        <is>
          <t>Metrópole</t>
        </is>
      </c>
      <c r="C694" s="5" t="n">
        <v>692</v>
      </c>
      <c r="D694" s="5">
        <f>IFERROR(INDEX('Base de sorteio'!$A$3:$A$1723,MATCH($B694&amp;"|"&amp;$C694,'Base de sorteio'!$I$3:$I$1723,0)),"")</f>
        <v/>
      </c>
      <c r="E694" s="4">
        <f>IFERROR(INDEX('Base de sorteio'!$B$3:$B$1723,MATCH($B694&amp;"|"&amp;$C694,'Base de sorteio'!$I$3:$I$1723,0)),"")</f>
        <v/>
      </c>
      <c r="F694" s="4">
        <f>IFERROR(INDEX('Base de sorteio'!$C$3:$C$1723,MATCH($B694&amp;"|"&amp;$C694,'Base de sorteio'!$I$3:$I$1723,0)),"")</f>
        <v/>
      </c>
      <c r="G694" s="4">
        <f>IFERROR(INDEX('Base de sorteio'!$D$3:$D$1723,MATCH($B694&amp;"|"&amp;$C694,'Base de sorteio'!$I$3:$I$1723,0)),"")</f>
        <v/>
      </c>
      <c r="H694" s="4">
        <f>IFERROR(INDEX('Base de sorteio'!$E$3:$E$1723,MATCH($B694&amp;"|"&amp;$C694,'Base de sorteio'!$I$3:$I$1723,0)),"")</f>
        <v/>
      </c>
      <c r="I694" s="4">
        <f>IF(E694="","",HYPERLINK(IFERROR(INDEX('Base de sorteio'!$J$3:$J$1723,MATCH($B694&amp;"|"&amp;$C694,'Base de sorteio'!$I$3:$I$1723,0)),""),"abrir"))</f>
        <v/>
      </c>
      <c r="J694" s="4" t="n"/>
      <c r="K694" s="4" t="n"/>
      <c r="L694" s="4" t="n"/>
      <c r="M694" s="4" t="n"/>
      <c r="N694" s="4">
        <f>IF(AND(K694="",M694=""),"",IF(OR(K694="sim",M694="sim"),"sim",IF(OR(K694="inconclusivo",M694="inconclusivo"),"inconclusivo","não")))</f>
        <v/>
      </c>
      <c r="O694" s="5">
        <f>IF(N694="sim",COUNTIFS($B$3:$B694,$B694,$N$3:$N694,"sim"),"")</f>
        <v/>
      </c>
      <c r="P694" s="5" t="n"/>
      <c r="Q694" s="4" t="n"/>
      <c r="R694" s="5" t="n"/>
      <c r="S694" s="9" t="n"/>
      <c r="T694" s="4" t="n"/>
    </row>
    <row r="695">
      <c r="A695" s="5">
        <f>ROW()-2</f>
        <v/>
      </c>
      <c r="B695" s="4" t="inlineStr">
        <is>
          <t>Metrópole</t>
        </is>
      </c>
      <c r="C695" s="5" t="n">
        <v>693</v>
      </c>
      <c r="D695" s="5">
        <f>IFERROR(INDEX('Base de sorteio'!$A$3:$A$1723,MATCH($B695&amp;"|"&amp;$C695,'Base de sorteio'!$I$3:$I$1723,0)),"")</f>
        <v/>
      </c>
      <c r="E695" s="4">
        <f>IFERROR(INDEX('Base de sorteio'!$B$3:$B$1723,MATCH($B695&amp;"|"&amp;$C695,'Base de sorteio'!$I$3:$I$1723,0)),"")</f>
        <v/>
      </c>
      <c r="F695" s="4">
        <f>IFERROR(INDEX('Base de sorteio'!$C$3:$C$1723,MATCH($B695&amp;"|"&amp;$C695,'Base de sorteio'!$I$3:$I$1723,0)),"")</f>
        <v/>
      </c>
      <c r="G695" s="4">
        <f>IFERROR(INDEX('Base de sorteio'!$D$3:$D$1723,MATCH($B695&amp;"|"&amp;$C695,'Base de sorteio'!$I$3:$I$1723,0)),"")</f>
        <v/>
      </c>
      <c r="H695" s="4">
        <f>IFERROR(INDEX('Base de sorteio'!$E$3:$E$1723,MATCH($B695&amp;"|"&amp;$C695,'Base de sorteio'!$I$3:$I$1723,0)),"")</f>
        <v/>
      </c>
      <c r="I695" s="4">
        <f>IF(E695="","",HYPERLINK(IFERROR(INDEX('Base de sorteio'!$J$3:$J$1723,MATCH($B695&amp;"|"&amp;$C695,'Base de sorteio'!$I$3:$I$1723,0)),""),"abrir"))</f>
        <v/>
      </c>
      <c r="J695" s="4" t="n"/>
      <c r="K695" s="4" t="n"/>
      <c r="L695" s="4" t="n"/>
      <c r="M695" s="4" t="n"/>
      <c r="N695" s="4">
        <f>IF(AND(K695="",M695=""),"",IF(OR(K695="sim",M695="sim"),"sim",IF(OR(K695="inconclusivo",M695="inconclusivo"),"inconclusivo","não")))</f>
        <v/>
      </c>
      <c r="O695" s="5">
        <f>IF(N695="sim",COUNTIFS($B$3:$B695,$B695,$N$3:$N695,"sim"),"")</f>
        <v/>
      </c>
      <c r="P695" s="5" t="n"/>
      <c r="Q695" s="4" t="n"/>
      <c r="R695" s="5" t="n"/>
      <c r="S695" s="9" t="n"/>
      <c r="T695" s="4" t="n"/>
    </row>
    <row r="696">
      <c r="A696" s="5">
        <f>ROW()-2</f>
        <v/>
      </c>
      <c r="B696" s="4" t="inlineStr">
        <is>
          <t>Metrópole</t>
        </is>
      </c>
      <c r="C696" s="5" t="n">
        <v>694</v>
      </c>
      <c r="D696" s="5">
        <f>IFERROR(INDEX('Base de sorteio'!$A$3:$A$1723,MATCH($B696&amp;"|"&amp;$C696,'Base de sorteio'!$I$3:$I$1723,0)),"")</f>
        <v/>
      </c>
      <c r="E696" s="4">
        <f>IFERROR(INDEX('Base de sorteio'!$B$3:$B$1723,MATCH($B696&amp;"|"&amp;$C696,'Base de sorteio'!$I$3:$I$1723,0)),"")</f>
        <v/>
      </c>
      <c r="F696" s="4">
        <f>IFERROR(INDEX('Base de sorteio'!$C$3:$C$1723,MATCH($B696&amp;"|"&amp;$C696,'Base de sorteio'!$I$3:$I$1723,0)),"")</f>
        <v/>
      </c>
      <c r="G696" s="4">
        <f>IFERROR(INDEX('Base de sorteio'!$D$3:$D$1723,MATCH($B696&amp;"|"&amp;$C696,'Base de sorteio'!$I$3:$I$1723,0)),"")</f>
        <v/>
      </c>
      <c r="H696" s="4">
        <f>IFERROR(INDEX('Base de sorteio'!$E$3:$E$1723,MATCH($B696&amp;"|"&amp;$C696,'Base de sorteio'!$I$3:$I$1723,0)),"")</f>
        <v/>
      </c>
      <c r="I696" s="4">
        <f>IF(E696="","",HYPERLINK(IFERROR(INDEX('Base de sorteio'!$J$3:$J$1723,MATCH($B696&amp;"|"&amp;$C696,'Base de sorteio'!$I$3:$I$1723,0)),""),"abrir"))</f>
        <v/>
      </c>
      <c r="J696" s="4" t="n"/>
      <c r="K696" s="4" t="n"/>
      <c r="L696" s="4" t="n"/>
      <c r="M696" s="4" t="n"/>
      <c r="N696" s="4">
        <f>IF(AND(K696="",M696=""),"",IF(OR(K696="sim",M696="sim"),"sim",IF(OR(K696="inconclusivo",M696="inconclusivo"),"inconclusivo","não")))</f>
        <v/>
      </c>
      <c r="O696" s="5">
        <f>IF(N696="sim",COUNTIFS($B$3:$B696,$B696,$N$3:$N696,"sim"),"")</f>
        <v/>
      </c>
      <c r="P696" s="5" t="n"/>
      <c r="Q696" s="4" t="n"/>
      <c r="R696" s="5" t="n"/>
      <c r="S696" s="9" t="n"/>
      <c r="T696" s="4" t="n"/>
    </row>
    <row r="697">
      <c r="A697" s="5">
        <f>ROW()-2</f>
        <v/>
      </c>
      <c r="B697" s="4" t="inlineStr">
        <is>
          <t>Metrópole</t>
        </is>
      </c>
      <c r="C697" s="5" t="n">
        <v>695</v>
      </c>
      <c r="D697" s="5">
        <f>IFERROR(INDEX('Base de sorteio'!$A$3:$A$1723,MATCH($B697&amp;"|"&amp;$C697,'Base de sorteio'!$I$3:$I$1723,0)),"")</f>
        <v/>
      </c>
      <c r="E697" s="4">
        <f>IFERROR(INDEX('Base de sorteio'!$B$3:$B$1723,MATCH($B697&amp;"|"&amp;$C697,'Base de sorteio'!$I$3:$I$1723,0)),"")</f>
        <v/>
      </c>
      <c r="F697" s="4">
        <f>IFERROR(INDEX('Base de sorteio'!$C$3:$C$1723,MATCH($B697&amp;"|"&amp;$C697,'Base de sorteio'!$I$3:$I$1723,0)),"")</f>
        <v/>
      </c>
      <c r="G697" s="4">
        <f>IFERROR(INDEX('Base de sorteio'!$D$3:$D$1723,MATCH($B697&amp;"|"&amp;$C697,'Base de sorteio'!$I$3:$I$1723,0)),"")</f>
        <v/>
      </c>
      <c r="H697" s="4">
        <f>IFERROR(INDEX('Base de sorteio'!$E$3:$E$1723,MATCH($B697&amp;"|"&amp;$C697,'Base de sorteio'!$I$3:$I$1723,0)),"")</f>
        <v/>
      </c>
      <c r="I697" s="4">
        <f>IF(E697="","",HYPERLINK(IFERROR(INDEX('Base de sorteio'!$J$3:$J$1723,MATCH($B697&amp;"|"&amp;$C697,'Base de sorteio'!$I$3:$I$1723,0)),""),"abrir"))</f>
        <v/>
      </c>
      <c r="J697" s="4" t="n"/>
      <c r="K697" s="4" t="n"/>
      <c r="L697" s="4" t="n"/>
      <c r="M697" s="4" t="n"/>
      <c r="N697" s="4">
        <f>IF(AND(K697="",M697=""),"",IF(OR(K697="sim",M697="sim"),"sim",IF(OR(K697="inconclusivo",M697="inconclusivo"),"inconclusivo","não")))</f>
        <v/>
      </c>
      <c r="O697" s="5">
        <f>IF(N697="sim",COUNTIFS($B$3:$B697,$B697,$N$3:$N697,"sim"),"")</f>
        <v/>
      </c>
      <c r="P697" s="5" t="n"/>
      <c r="Q697" s="4" t="n"/>
      <c r="R697" s="5" t="n"/>
      <c r="S697" s="9" t="n"/>
      <c r="T697" s="4" t="n"/>
    </row>
    <row r="698">
      <c r="A698" s="5">
        <f>ROW()-2</f>
        <v/>
      </c>
      <c r="B698" s="4" t="inlineStr">
        <is>
          <t>Metrópole</t>
        </is>
      </c>
      <c r="C698" s="5" t="n">
        <v>696</v>
      </c>
      <c r="D698" s="5">
        <f>IFERROR(INDEX('Base de sorteio'!$A$3:$A$1723,MATCH($B698&amp;"|"&amp;$C698,'Base de sorteio'!$I$3:$I$1723,0)),"")</f>
        <v/>
      </c>
      <c r="E698" s="4">
        <f>IFERROR(INDEX('Base de sorteio'!$B$3:$B$1723,MATCH($B698&amp;"|"&amp;$C698,'Base de sorteio'!$I$3:$I$1723,0)),"")</f>
        <v/>
      </c>
      <c r="F698" s="4">
        <f>IFERROR(INDEX('Base de sorteio'!$C$3:$C$1723,MATCH($B698&amp;"|"&amp;$C698,'Base de sorteio'!$I$3:$I$1723,0)),"")</f>
        <v/>
      </c>
      <c r="G698" s="4">
        <f>IFERROR(INDEX('Base de sorteio'!$D$3:$D$1723,MATCH($B698&amp;"|"&amp;$C698,'Base de sorteio'!$I$3:$I$1723,0)),"")</f>
        <v/>
      </c>
      <c r="H698" s="4">
        <f>IFERROR(INDEX('Base de sorteio'!$E$3:$E$1723,MATCH($B698&amp;"|"&amp;$C698,'Base de sorteio'!$I$3:$I$1723,0)),"")</f>
        <v/>
      </c>
      <c r="I698" s="4">
        <f>IF(E698="","",HYPERLINK(IFERROR(INDEX('Base de sorteio'!$J$3:$J$1723,MATCH($B698&amp;"|"&amp;$C698,'Base de sorteio'!$I$3:$I$1723,0)),""),"abrir"))</f>
        <v/>
      </c>
      <c r="J698" s="4" t="n"/>
      <c r="K698" s="4" t="n"/>
      <c r="L698" s="4" t="n"/>
      <c r="M698" s="4" t="n"/>
      <c r="N698" s="4">
        <f>IF(AND(K698="",M698=""),"",IF(OR(K698="sim",M698="sim"),"sim",IF(OR(K698="inconclusivo",M698="inconclusivo"),"inconclusivo","não")))</f>
        <v/>
      </c>
      <c r="O698" s="5">
        <f>IF(N698="sim",COUNTIFS($B$3:$B698,$B698,$N$3:$N698,"sim"),"")</f>
        <v/>
      </c>
      <c r="P698" s="5" t="n"/>
      <c r="Q698" s="4" t="n"/>
      <c r="R698" s="5" t="n"/>
      <c r="S698" s="9" t="n"/>
      <c r="T698" s="4" t="n"/>
    </row>
    <row r="699">
      <c r="A699" s="5">
        <f>ROW()-2</f>
        <v/>
      </c>
      <c r="B699" s="4" t="inlineStr">
        <is>
          <t>Metrópole</t>
        </is>
      </c>
      <c r="C699" s="5" t="n">
        <v>697</v>
      </c>
      <c r="D699" s="5">
        <f>IFERROR(INDEX('Base de sorteio'!$A$3:$A$1723,MATCH($B699&amp;"|"&amp;$C699,'Base de sorteio'!$I$3:$I$1723,0)),"")</f>
        <v/>
      </c>
      <c r="E699" s="4">
        <f>IFERROR(INDEX('Base de sorteio'!$B$3:$B$1723,MATCH($B699&amp;"|"&amp;$C699,'Base de sorteio'!$I$3:$I$1723,0)),"")</f>
        <v/>
      </c>
      <c r="F699" s="4">
        <f>IFERROR(INDEX('Base de sorteio'!$C$3:$C$1723,MATCH($B699&amp;"|"&amp;$C699,'Base de sorteio'!$I$3:$I$1723,0)),"")</f>
        <v/>
      </c>
      <c r="G699" s="4">
        <f>IFERROR(INDEX('Base de sorteio'!$D$3:$D$1723,MATCH($B699&amp;"|"&amp;$C699,'Base de sorteio'!$I$3:$I$1723,0)),"")</f>
        <v/>
      </c>
      <c r="H699" s="4">
        <f>IFERROR(INDEX('Base de sorteio'!$E$3:$E$1723,MATCH($B699&amp;"|"&amp;$C699,'Base de sorteio'!$I$3:$I$1723,0)),"")</f>
        <v/>
      </c>
      <c r="I699" s="4">
        <f>IF(E699="","",HYPERLINK(IFERROR(INDEX('Base de sorteio'!$J$3:$J$1723,MATCH($B699&amp;"|"&amp;$C699,'Base de sorteio'!$I$3:$I$1723,0)),""),"abrir"))</f>
        <v/>
      </c>
      <c r="J699" s="4" t="n"/>
      <c r="K699" s="4" t="n"/>
      <c r="L699" s="4" t="n"/>
      <c r="M699" s="4" t="n"/>
      <c r="N699" s="4">
        <f>IF(AND(K699="",M699=""),"",IF(OR(K699="sim",M699="sim"),"sim",IF(OR(K699="inconclusivo",M699="inconclusivo"),"inconclusivo","não")))</f>
        <v/>
      </c>
      <c r="O699" s="5">
        <f>IF(N699="sim",COUNTIFS($B$3:$B699,$B699,$N$3:$N699,"sim"),"")</f>
        <v/>
      </c>
      <c r="P699" s="5" t="n"/>
      <c r="Q699" s="4" t="n"/>
      <c r="R699" s="5" t="n"/>
      <c r="S699" s="9" t="n"/>
      <c r="T699" s="4" t="n"/>
    </row>
    <row r="700">
      <c r="A700" s="5">
        <f>ROW()-2</f>
        <v/>
      </c>
      <c r="B700" s="4" t="inlineStr">
        <is>
          <t>Metrópole</t>
        </is>
      </c>
      <c r="C700" s="5" t="n">
        <v>698</v>
      </c>
      <c r="D700" s="5">
        <f>IFERROR(INDEX('Base de sorteio'!$A$3:$A$1723,MATCH($B700&amp;"|"&amp;$C700,'Base de sorteio'!$I$3:$I$1723,0)),"")</f>
        <v/>
      </c>
      <c r="E700" s="4">
        <f>IFERROR(INDEX('Base de sorteio'!$B$3:$B$1723,MATCH($B700&amp;"|"&amp;$C700,'Base de sorteio'!$I$3:$I$1723,0)),"")</f>
        <v/>
      </c>
      <c r="F700" s="4">
        <f>IFERROR(INDEX('Base de sorteio'!$C$3:$C$1723,MATCH($B700&amp;"|"&amp;$C700,'Base de sorteio'!$I$3:$I$1723,0)),"")</f>
        <v/>
      </c>
      <c r="G700" s="4">
        <f>IFERROR(INDEX('Base de sorteio'!$D$3:$D$1723,MATCH($B700&amp;"|"&amp;$C700,'Base de sorteio'!$I$3:$I$1723,0)),"")</f>
        <v/>
      </c>
      <c r="H700" s="4">
        <f>IFERROR(INDEX('Base de sorteio'!$E$3:$E$1723,MATCH($B700&amp;"|"&amp;$C700,'Base de sorteio'!$I$3:$I$1723,0)),"")</f>
        <v/>
      </c>
      <c r="I700" s="4">
        <f>IF(E700="","",HYPERLINK(IFERROR(INDEX('Base de sorteio'!$J$3:$J$1723,MATCH($B700&amp;"|"&amp;$C700,'Base de sorteio'!$I$3:$I$1723,0)),""),"abrir"))</f>
        <v/>
      </c>
      <c r="J700" s="4" t="n"/>
      <c r="K700" s="4" t="n"/>
      <c r="L700" s="4" t="n"/>
      <c r="M700" s="4" t="n"/>
      <c r="N700" s="4">
        <f>IF(AND(K700="",M700=""),"",IF(OR(K700="sim",M700="sim"),"sim",IF(OR(K700="inconclusivo",M700="inconclusivo"),"inconclusivo","não")))</f>
        <v/>
      </c>
      <c r="O700" s="5">
        <f>IF(N700="sim",COUNTIFS($B$3:$B700,$B700,$N$3:$N700,"sim"),"")</f>
        <v/>
      </c>
      <c r="P700" s="5" t="n"/>
      <c r="Q700" s="4" t="n"/>
      <c r="R700" s="5" t="n"/>
      <c r="S700" s="9" t="n"/>
      <c r="T700" s="4" t="n"/>
    </row>
    <row r="701">
      <c r="A701" s="5">
        <f>ROW()-2</f>
        <v/>
      </c>
      <c r="B701" s="4" t="inlineStr">
        <is>
          <t>Metrópole</t>
        </is>
      </c>
      <c r="C701" s="5" t="n">
        <v>699</v>
      </c>
      <c r="D701" s="5">
        <f>IFERROR(INDEX('Base de sorteio'!$A$3:$A$1723,MATCH($B701&amp;"|"&amp;$C701,'Base de sorteio'!$I$3:$I$1723,0)),"")</f>
        <v/>
      </c>
      <c r="E701" s="4">
        <f>IFERROR(INDEX('Base de sorteio'!$B$3:$B$1723,MATCH($B701&amp;"|"&amp;$C701,'Base de sorteio'!$I$3:$I$1723,0)),"")</f>
        <v/>
      </c>
      <c r="F701" s="4">
        <f>IFERROR(INDEX('Base de sorteio'!$C$3:$C$1723,MATCH($B701&amp;"|"&amp;$C701,'Base de sorteio'!$I$3:$I$1723,0)),"")</f>
        <v/>
      </c>
      <c r="G701" s="4">
        <f>IFERROR(INDEX('Base de sorteio'!$D$3:$D$1723,MATCH($B701&amp;"|"&amp;$C701,'Base de sorteio'!$I$3:$I$1723,0)),"")</f>
        <v/>
      </c>
      <c r="H701" s="4">
        <f>IFERROR(INDEX('Base de sorteio'!$E$3:$E$1723,MATCH($B701&amp;"|"&amp;$C701,'Base de sorteio'!$I$3:$I$1723,0)),"")</f>
        <v/>
      </c>
      <c r="I701" s="4">
        <f>IF(E701="","",HYPERLINK(IFERROR(INDEX('Base de sorteio'!$J$3:$J$1723,MATCH($B701&amp;"|"&amp;$C701,'Base de sorteio'!$I$3:$I$1723,0)),""),"abrir"))</f>
        <v/>
      </c>
      <c r="J701" s="4" t="n"/>
      <c r="K701" s="4" t="n"/>
      <c r="L701" s="4" t="n"/>
      <c r="M701" s="4" t="n"/>
      <c r="N701" s="4">
        <f>IF(AND(K701="",M701=""),"",IF(OR(K701="sim",M701="sim"),"sim",IF(OR(K701="inconclusivo",M701="inconclusivo"),"inconclusivo","não")))</f>
        <v/>
      </c>
      <c r="O701" s="5">
        <f>IF(N701="sim",COUNTIFS($B$3:$B701,$B701,$N$3:$N701,"sim"),"")</f>
        <v/>
      </c>
      <c r="P701" s="5" t="n"/>
      <c r="Q701" s="4" t="n"/>
      <c r="R701" s="5" t="n"/>
      <c r="S701" s="9" t="n"/>
      <c r="T701" s="4" t="n"/>
    </row>
    <row r="702">
      <c r="A702" s="5">
        <f>ROW()-2</f>
        <v/>
      </c>
      <c r="B702" s="4" t="inlineStr">
        <is>
          <t>Metrópole</t>
        </is>
      </c>
      <c r="C702" s="5" t="n">
        <v>700</v>
      </c>
      <c r="D702" s="5">
        <f>IFERROR(INDEX('Base de sorteio'!$A$3:$A$1723,MATCH($B702&amp;"|"&amp;$C702,'Base de sorteio'!$I$3:$I$1723,0)),"")</f>
        <v/>
      </c>
      <c r="E702" s="4">
        <f>IFERROR(INDEX('Base de sorteio'!$B$3:$B$1723,MATCH($B702&amp;"|"&amp;$C702,'Base de sorteio'!$I$3:$I$1723,0)),"")</f>
        <v/>
      </c>
      <c r="F702" s="4">
        <f>IFERROR(INDEX('Base de sorteio'!$C$3:$C$1723,MATCH($B702&amp;"|"&amp;$C702,'Base de sorteio'!$I$3:$I$1723,0)),"")</f>
        <v/>
      </c>
      <c r="G702" s="4">
        <f>IFERROR(INDEX('Base de sorteio'!$D$3:$D$1723,MATCH($B702&amp;"|"&amp;$C702,'Base de sorteio'!$I$3:$I$1723,0)),"")</f>
        <v/>
      </c>
      <c r="H702" s="4">
        <f>IFERROR(INDEX('Base de sorteio'!$E$3:$E$1723,MATCH($B702&amp;"|"&amp;$C702,'Base de sorteio'!$I$3:$I$1723,0)),"")</f>
        <v/>
      </c>
      <c r="I702" s="4">
        <f>IF(E702="","",HYPERLINK(IFERROR(INDEX('Base de sorteio'!$J$3:$J$1723,MATCH($B702&amp;"|"&amp;$C702,'Base de sorteio'!$I$3:$I$1723,0)),""),"abrir"))</f>
        <v/>
      </c>
      <c r="J702" s="4" t="n"/>
      <c r="K702" s="4" t="n"/>
      <c r="L702" s="4" t="n"/>
      <c r="M702" s="4" t="n"/>
      <c r="N702" s="4">
        <f>IF(AND(K702="",M702=""),"",IF(OR(K702="sim",M702="sim"),"sim",IF(OR(K702="inconclusivo",M702="inconclusivo"),"inconclusivo","não")))</f>
        <v/>
      </c>
      <c r="O702" s="5">
        <f>IF(N702="sim",COUNTIFS($B$3:$B702,$B702,$N$3:$N702,"sim"),"")</f>
        <v/>
      </c>
      <c r="P702" s="5" t="n"/>
      <c r="Q702" s="4" t="n"/>
      <c r="R702" s="5" t="n"/>
      <c r="S702" s="9" t="n"/>
      <c r="T702" s="4" t="n"/>
    </row>
    <row r="703">
      <c r="A703" s="5">
        <f>ROW()-2</f>
        <v/>
      </c>
      <c r="B703" s="4" t="inlineStr">
        <is>
          <t>Metrópole</t>
        </is>
      </c>
      <c r="C703" s="5" t="n">
        <v>701</v>
      </c>
      <c r="D703" s="5">
        <f>IFERROR(INDEX('Base de sorteio'!$A$3:$A$1723,MATCH($B703&amp;"|"&amp;$C703,'Base de sorteio'!$I$3:$I$1723,0)),"")</f>
        <v/>
      </c>
      <c r="E703" s="4">
        <f>IFERROR(INDEX('Base de sorteio'!$B$3:$B$1723,MATCH($B703&amp;"|"&amp;$C703,'Base de sorteio'!$I$3:$I$1723,0)),"")</f>
        <v/>
      </c>
      <c r="F703" s="4">
        <f>IFERROR(INDEX('Base de sorteio'!$C$3:$C$1723,MATCH($B703&amp;"|"&amp;$C703,'Base de sorteio'!$I$3:$I$1723,0)),"")</f>
        <v/>
      </c>
      <c r="G703" s="4">
        <f>IFERROR(INDEX('Base de sorteio'!$D$3:$D$1723,MATCH($B703&amp;"|"&amp;$C703,'Base de sorteio'!$I$3:$I$1723,0)),"")</f>
        <v/>
      </c>
      <c r="H703" s="4">
        <f>IFERROR(INDEX('Base de sorteio'!$E$3:$E$1723,MATCH($B703&amp;"|"&amp;$C703,'Base de sorteio'!$I$3:$I$1723,0)),"")</f>
        <v/>
      </c>
      <c r="I703" s="4">
        <f>IF(E703="","",HYPERLINK(IFERROR(INDEX('Base de sorteio'!$J$3:$J$1723,MATCH($B703&amp;"|"&amp;$C703,'Base de sorteio'!$I$3:$I$1723,0)),""),"abrir"))</f>
        <v/>
      </c>
      <c r="J703" s="4" t="n"/>
      <c r="K703" s="4" t="n"/>
      <c r="L703" s="4" t="n"/>
      <c r="M703" s="4" t="n"/>
      <c r="N703" s="4">
        <f>IF(AND(K703="",M703=""),"",IF(OR(K703="sim",M703="sim"),"sim",IF(OR(K703="inconclusivo",M703="inconclusivo"),"inconclusivo","não")))</f>
        <v/>
      </c>
      <c r="O703" s="5">
        <f>IF(N703="sim",COUNTIFS($B$3:$B703,$B703,$N$3:$N703,"sim"),"")</f>
        <v/>
      </c>
      <c r="P703" s="5" t="n"/>
      <c r="Q703" s="4" t="n"/>
      <c r="R703" s="5" t="n"/>
      <c r="S703" s="9" t="n"/>
      <c r="T703" s="4" t="n"/>
    </row>
    <row r="704">
      <c r="A704" s="5">
        <f>ROW()-2</f>
        <v/>
      </c>
      <c r="B704" s="4" t="inlineStr">
        <is>
          <t>Metrópole</t>
        </is>
      </c>
      <c r="C704" s="5" t="n">
        <v>702</v>
      </c>
      <c r="D704" s="5">
        <f>IFERROR(INDEX('Base de sorteio'!$A$3:$A$1723,MATCH($B704&amp;"|"&amp;$C704,'Base de sorteio'!$I$3:$I$1723,0)),"")</f>
        <v/>
      </c>
      <c r="E704" s="4">
        <f>IFERROR(INDEX('Base de sorteio'!$B$3:$B$1723,MATCH($B704&amp;"|"&amp;$C704,'Base de sorteio'!$I$3:$I$1723,0)),"")</f>
        <v/>
      </c>
      <c r="F704" s="4">
        <f>IFERROR(INDEX('Base de sorteio'!$C$3:$C$1723,MATCH($B704&amp;"|"&amp;$C704,'Base de sorteio'!$I$3:$I$1723,0)),"")</f>
        <v/>
      </c>
      <c r="G704" s="4">
        <f>IFERROR(INDEX('Base de sorteio'!$D$3:$D$1723,MATCH($B704&amp;"|"&amp;$C704,'Base de sorteio'!$I$3:$I$1723,0)),"")</f>
        <v/>
      </c>
      <c r="H704" s="4">
        <f>IFERROR(INDEX('Base de sorteio'!$E$3:$E$1723,MATCH($B704&amp;"|"&amp;$C704,'Base de sorteio'!$I$3:$I$1723,0)),"")</f>
        <v/>
      </c>
      <c r="I704" s="4">
        <f>IF(E704="","",HYPERLINK(IFERROR(INDEX('Base de sorteio'!$J$3:$J$1723,MATCH($B704&amp;"|"&amp;$C704,'Base de sorteio'!$I$3:$I$1723,0)),""),"abrir"))</f>
        <v/>
      </c>
      <c r="J704" s="4" t="n"/>
      <c r="K704" s="4" t="n"/>
      <c r="L704" s="4" t="n"/>
      <c r="M704" s="4" t="n"/>
      <c r="N704" s="4">
        <f>IF(AND(K704="",M704=""),"",IF(OR(K704="sim",M704="sim"),"sim",IF(OR(K704="inconclusivo",M704="inconclusivo"),"inconclusivo","não")))</f>
        <v/>
      </c>
      <c r="O704" s="5">
        <f>IF(N704="sim",COUNTIFS($B$3:$B704,$B704,$N$3:$N704,"sim"),"")</f>
        <v/>
      </c>
      <c r="P704" s="5" t="n"/>
      <c r="Q704" s="4" t="n"/>
      <c r="R704" s="5" t="n"/>
      <c r="S704" s="9" t="n"/>
      <c r="T704" s="4" t="n"/>
    </row>
    <row r="705">
      <c r="A705" s="5">
        <f>ROW()-2</f>
        <v/>
      </c>
      <c r="B705" s="4" t="inlineStr">
        <is>
          <t>Metrópole</t>
        </is>
      </c>
      <c r="C705" s="5" t="n">
        <v>703</v>
      </c>
      <c r="D705" s="5">
        <f>IFERROR(INDEX('Base de sorteio'!$A$3:$A$1723,MATCH($B705&amp;"|"&amp;$C705,'Base de sorteio'!$I$3:$I$1723,0)),"")</f>
        <v/>
      </c>
      <c r="E705" s="4">
        <f>IFERROR(INDEX('Base de sorteio'!$B$3:$B$1723,MATCH($B705&amp;"|"&amp;$C705,'Base de sorteio'!$I$3:$I$1723,0)),"")</f>
        <v/>
      </c>
      <c r="F705" s="4">
        <f>IFERROR(INDEX('Base de sorteio'!$C$3:$C$1723,MATCH($B705&amp;"|"&amp;$C705,'Base de sorteio'!$I$3:$I$1723,0)),"")</f>
        <v/>
      </c>
      <c r="G705" s="4">
        <f>IFERROR(INDEX('Base de sorteio'!$D$3:$D$1723,MATCH($B705&amp;"|"&amp;$C705,'Base de sorteio'!$I$3:$I$1723,0)),"")</f>
        <v/>
      </c>
      <c r="H705" s="4">
        <f>IFERROR(INDEX('Base de sorteio'!$E$3:$E$1723,MATCH($B705&amp;"|"&amp;$C705,'Base de sorteio'!$I$3:$I$1723,0)),"")</f>
        <v/>
      </c>
      <c r="I705" s="4">
        <f>IF(E705="","",HYPERLINK(IFERROR(INDEX('Base de sorteio'!$J$3:$J$1723,MATCH($B705&amp;"|"&amp;$C705,'Base de sorteio'!$I$3:$I$1723,0)),""),"abrir"))</f>
        <v/>
      </c>
      <c r="J705" s="4" t="n"/>
      <c r="K705" s="4" t="n"/>
      <c r="L705" s="4" t="n"/>
      <c r="M705" s="4" t="n"/>
      <c r="N705" s="4">
        <f>IF(AND(K705="",M705=""),"",IF(OR(K705="sim",M705="sim"),"sim",IF(OR(K705="inconclusivo",M705="inconclusivo"),"inconclusivo","não")))</f>
        <v/>
      </c>
      <c r="O705" s="5">
        <f>IF(N705="sim",COUNTIFS($B$3:$B705,$B705,$N$3:$N705,"sim"),"")</f>
        <v/>
      </c>
      <c r="P705" s="5" t="n"/>
      <c r="Q705" s="4" t="n"/>
      <c r="R705" s="5" t="n"/>
      <c r="S705" s="9" t="n"/>
      <c r="T705" s="4" t="n"/>
    </row>
    <row r="706">
      <c r="A706" s="5">
        <f>ROW()-2</f>
        <v/>
      </c>
      <c r="B706" s="4" t="inlineStr">
        <is>
          <t>Metrópole</t>
        </is>
      </c>
      <c r="C706" s="5" t="n">
        <v>704</v>
      </c>
      <c r="D706" s="5">
        <f>IFERROR(INDEX('Base de sorteio'!$A$3:$A$1723,MATCH($B706&amp;"|"&amp;$C706,'Base de sorteio'!$I$3:$I$1723,0)),"")</f>
        <v/>
      </c>
      <c r="E706" s="4">
        <f>IFERROR(INDEX('Base de sorteio'!$B$3:$B$1723,MATCH($B706&amp;"|"&amp;$C706,'Base de sorteio'!$I$3:$I$1723,0)),"")</f>
        <v/>
      </c>
      <c r="F706" s="4">
        <f>IFERROR(INDEX('Base de sorteio'!$C$3:$C$1723,MATCH($B706&amp;"|"&amp;$C706,'Base de sorteio'!$I$3:$I$1723,0)),"")</f>
        <v/>
      </c>
      <c r="G706" s="4">
        <f>IFERROR(INDEX('Base de sorteio'!$D$3:$D$1723,MATCH($B706&amp;"|"&amp;$C706,'Base de sorteio'!$I$3:$I$1723,0)),"")</f>
        <v/>
      </c>
      <c r="H706" s="4">
        <f>IFERROR(INDEX('Base de sorteio'!$E$3:$E$1723,MATCH($B706&amp;"|"&amp;$C706,'Base de sorteio'!$I$3:$I$1723,0)),"")</f>
        <v/>
      </c>
      <c r="I706" s="4">
        <f>IF(E706="","",HYPERLINK(IFERROR(INDEX('Base de sorteio'!$J$3:$J$1723,MATCH($B706&amp;"|"&amp;$C706,'Base de sorteio'!$I$3:$I$1723,0)),""),"abrir"))</f>
        <v/>
      </c>
      <c r="J706" s="4" t="n"/>
      <c r="K706" s="4" t="n"/>
      <c r="L706" s="4" t="n"/>
      <c r="M706" s="4" t="n"/>
      <c r="N706" s="4">
        <f>IF(AND(K706="",M706=""),"",IF(OR(K706="sim",M706="sim"),"sim",IF(OR(K706="inconclusivo",M706="inconclusivo"),"inconclusivo","não")))</f>
        <v/>
      </c>
      <c r="O706" s="5">
        <f>IF(N706="sim",COUNTIFS($B$3:$B706,$B706,$N$3:$N706,"sim"),"")</f>
        <v/>
      </c>
      <c r="P706" s="5" t="n"/>
      <c r="Q706" s="4" t="n"/>
      <c r="R706" s="5" t="n"/>
      <c r="S706" s="9" t="n"/>
      <c r="T706" s="4" t="n"/>
    </row>
    <row r="707">
      <c r="A707" s="5">
        <f>ROW()-2</f>
        <v/>
      </c>
      <c r="B707" s="4" t="inlineStr">
        <is>
          <t>Metrópole</t>
        </is>
      </c>
      <c r="C707" s="5" t="n">
        <v>705</v>
      </c>
      <c r="D707" s="5">
        <f>IFERROR(INDEX('Base de sorteio'!$A$3:$A$1723,MATCH($B707&amp;"|"&amp;$C707,'Base de sorteio'!$I$3:$I$1723,0)),"")</f>
        <v/>
      </c>
      <c r="E707" s="4">
        <f>IFERROR(INDEX('Base de sorteio'!$B$3:$B$1723,MATCH($B707&amp;"|"&amp;$C707,'Base de sorteio'!$I$3:$I$1723,0)),"")</f>
        <v/>
      </c>
      <c r="F707" s="4">
        <f>IFERROR(INDEX('Base de sorteio'!$C$3:$C$1723,MATCH($B707&amp;"|"&amp;$C707,'Base de sorteio'!$I$3:$I$1723,0)),"")</f>
        <v/>
      </c>
      <c r="G707" s="4">
        <f>IFERROR(INDEX('Base de sorteio'!$D$3:$D$1723,MATCH($B707&amp;"|"&amp;$C707,'Base de sorteio'!$I$3:$I$1723,0)),"")</f>
        <v/>
      </c>
      <c r="H707" s="4">
        <f>IFERROR(INDEX('Base de sorteio'!$E$3:$E$1723,MATCH($B707&amp;"|"&amp;$C707,'Base de sorteio'!$I$3:$I$1723,0)),"")</f>
        <v/>
      </c>
      <c r="I707" s="4">
        <f>IF(E707="","",HYPERLINK(IFERROR(INDEX('Base de sorteio'!$J$3:$J$1723,MATCH($B707&amp;"|"&amp;$C707,'Base de sorteio'!$I$3:$I$1723,0)),""),"abrir"))</f>
        <v/>
      </c>
      <c r="J707" s="4" t="n"/>
      <c r="K707" s="4" t="n"/>
      <c r="L707" s="4" t="n"/>
      <c r="M707" s="4" t="n"/>
      <c r="N707" s="4">
        <f>IF(AND(K707="",M707=""),"",IF(OR(K707="sim",M707="sim"),"sim",IF(OR(K707="inconclusivo",M707="inconclusivo"),"inconclusivo","não")))</f>
        <v/>
      </c>
      <c r="O707" s="5">
        <f>IF(N707="sim",COUNTIFS($B$3:$B707,$B707,$N$3:$N707,"sim"),"")</f>
        <v/>
      </c>
      <c r="P707" s="5" t="n"/>
      <c r="Q707" s="4" t="n"/>
      <c r="R707" s="5" t="n"/>
      <c r="S707" s="9" t="n"/>
      <c r="T707" s="4" t="n"/>
    </row>
    <row r="708">
      <c r="A708" s="5">
        <f>ROW()-2</f>
        <v/>
      </c>
      <c r="B708" s="4" t="inlineStr">
        <is>
          <t>Metrópole</t>
        </is>
      </c>
      <c r="C708" s="5" t="n">
        <v>706</v>
      </c>
      <c r="D708" s="5">
        <f>IFERROR(INDEX('Base de sorteio'!$A$3:$A$1723,MATCH($B708&amp;"|"&amp;$C708,'Base de sorteio'!$I$3:$I$1723,0)),"")</f>
        <v/>
      </c>
      <c r="E708" s="4">
        <f>IFERROR(INDEX('Base de sorteio'!$B$3:$B$1723,MATCH($B708&amp;"|"&amp;$C708,'Base de sorteio'!$I$3:$I$1723,0)),"")</f>
        <v/>
      </c>
      <c r="F708" s="4">
        <f>IFERROR(INDEX('Base de sorteio'!$C$3:$C$1723,MATCH($B708&amp;"|"&amp;$C708,'Base de sorteio'!$I$3:$I$1723,0)),"")</f>
        <v/>
      </c>
      <c r="G708" s="4">
        <f>IFERROR(INDEX('Base de sorteio'!$D$3:$D$1723,MATCH($B708&amp;"|"&amp;$C708,'Base de sorteio'!$I$3:$I$1723,0)),"")</f>
        <v/>
      </c>
      <c r="H708" s="4">
        <f>IFERROR(INDEX('Base de sorteio'!$E$3:$E$1723,MATCH($B708&amp;"|"&amp;$C708,'Base de sorteio'!$I$3:$I$1723,0)),"")</f>
        <v/>
      </c>
      <c r="I708" s="4">
        <f>IF(E708="","",HYPERLINK(IFERROR(INDEX('Base de sorteio'!$J$3:$J$1723,MATCH($B708&amp;"|"&amp;$C708,'Base de sorteio'!$I$3:$I$1723,0)),""),"abrir"))</f>
        <v/>
      </c>
      <c r="J708" s="4" t="n"/>
      <c r="K708" s="4" t="n"/>
      <c r="L708" s="4" t="n"/>
      <c r="M708" s="4" t="n"/>
      <c r="N708" s="4">
        <f>IF(AND(K708="",M708=""),"",IF(OR(K708="sim",M708="sim"),"sim",IF(OR(K708="inconclusivo",M708="inconclusivo"),"inconclusivo","não")))</f>
        <v/>
      </c>
      <c r="O708" s="5">
        <f>IF(N708="sim",COUNTIFS($B$3:$B708,$B708,$N$3:$N708,"sim"),"")</f>
        <v/>
      </c>
      <c r="P708" s="5" t="n"/>
      <c r="Q708" s="4" t="n"/>
      <c r="R708" s="5" t="n"/>
      <c r="S708" s="9" t="n"/>
      <c r="T708" s="4" t="n"/>
    </row>
    <row r="709">
      <c r="A709" s="5">
        <f>ROW()-2</f>
        <v/>
      </c>
      <c r="B709" s="4" t="inlineStr">
        <is>
          <t>Metrópole</t>
        </is>
      </c>
      <c r="C709" s="5" t="n">
        <v>707</v>
      </c>
      <c r="D709" s="5">
        <f>IFERROR(INDEX('Base de sorteio'!$A$3:$A$1723,MATCH($B709&amp;"|"&amp;$C709,'Base de sorteio'!$I$3:$I$1723,0)),"")</f>
        <v/>
      </c>
      <c r="E709" s="4">
        <f>IFERROR(INDEX('Base de sorteio'!$B$3:$B$1723,MATCH($B709&amp;"|"&amp;$C709,'Base de sorteio'!$I$3:$I$1723,0)),"")</f>
        <v/>
      </c>
      <c r="F709" s="4">
        <f>IFERROR(INDEX('Base de sorteio'!$C$3:$C$1723,MATCH($B709&amp;"|"&amp;$C709,'Base de sorteio'!$I$3:$I$1723,0)),"")</f>
        <v/>
      </c>
      <c r="G709" s="4">
        <f>IFERROR(INDEX('Base de sorteio'!$D$3:$D$1723,MATCH($B709&amp;"|"&amp;$C709,'Base de sorteio'!$I$3:$I$1723,0)),"")</f>
        <v/>
      </c>
      <c r="H709" s="4">
        <f>IFERROR(INDEX('Base de sorteio'!$E$3:$E$1723,MATCH($B709&amp;"|"&amp;$C709,'Base de sorteio'!$I$3:$I$1723,0)),"")</f>
        <v/>
      </c>
      <c r="I709" s="4">
        <f>IF(E709="","",HYPERLINK(IFERROR(INDEX('Base de sorteio'!$J$3:$J$1723,MATCH($B709&amp;"|"&amp;$C709,'Base de sorteio'!$I$3:$I$1723,0)),""),"abrir"))</f>
        <v/>
      </c>
      <c r="J709" s="4" t="n"/>
      <c r="K709" s="4" t="n"/>
      <c r="L709" s="4" t="n"/>
      <c r="M709" s="4" t="n"/>
      <c r="N709" s="4">
        <f>IF(AND(K709="",M709=""),"",IF(OR(K709="sim",M709="sim"),"sim",IF(OR(K709="inconclusivo",M709="inconclusivo"),"inconclusivo","não")))</f>
        <v/>
      </c>
      <c r="O709" s="5">
        <f>IF(N709="sim",COUNTIFS($B$3:$B709,$B709,$N$3:$N709,"sim"),"")</f>
        <v/>
      </c>
      <c r="P709" s="5" t="n"/>
      <c r="Q709" s="4" t="n"/>
      <c r="R709" s="5" t="n"/>
      <c r="S709" s="9" t="n"/>
      <c r="T709" s="4" t="n"/>
    </row>
    <row r="710">
      <c r="A710" s="5">
        <f>ROW()-2</f>
        <v/>
      </c>
      <c r="B710" s="4" t="inlineStr">
        <is>
          <t>Metrópole</t>
        </is>
      </c>
      <c r="C710" s="5" t="n">
        <v>708</v>
      </c>
      <c r="D710" s="5">
        <f>IFERROR(INDEX('Base de sorteio'!$A$3:$A$1723,MATCH($B710&amp;"|"&amp;$C710,'Base de sorteio'!$I$3:$I$1723,0)),"")</f>
        <v/>
      </c>
      <c r="E710" s="4">
        <f>IFERROR(INDEX('Base de sorteio'!$B$3:$B$1723,MATCH($B710&amp;"|"&amp;$C710,'Base de sorteio'!$I$3:$I$1723,0)),"")</f>
        <v/>
      </c>
      <c r="F710" s="4">
        <f>IFERROR(INDEX('Base de sorteio'!$C$3:$C$1723,MATCH($B710&amp;"|"&amp;$C710,'Base de sorteio'!$I$3:$I$1723,0)),"")</f>
        <v/>
      </c>
      <c r="G710" s="4">
        <f>IFERROR(INDEX('Base de sorteio'!$D$3:$D$1723,MATCH($B710&amp;"|"&amp;$C710,'Base de sorteio'!$I$3:$I$1723,0)),"")</f>
        <v/>
      </c>
      <c r="H710" s="4">
        <f>IFERROR(INDEX('Base de sorteio'!$E$3:$E$1723,MATCH($B710&amp;"|"&amp;$C710,'Base de sorteio'!$I$3:$I$1723,0)),"")</f>
        <v/>
      </c>
      <c r="I710" s="4">
        <f>IF(E710="","",HYPERLINK(IFERROR(INDEX('Base de sorteio'!$J$3:$J$1723,MATCH($B710&amp;"|"&amp;$C710,'Base de sorteio'!$I$3:$I$1723,0)),""),"abrir"))</f>
        <v/>
      </c>
      <c r="J710" s="4" t="n"/>
      <c r="K710" s="4" t="n"/>
      <c r="L710" s="4" t="n"/>
      <c r="M710" s="4" t="n"/>
      <c r="N710" s="4">
        <f>IF(AND(K710="",M710=""),"",IF(OR(K710="sim",M710="sim"),"sim",IF(OR(K710="inconclusivo",M710="inconclusivo"),"inconclusivo","não")))</f>
        <v/>
      </c>
      <c r="O710" s="5">
        <f>IF(N710="sim",COUNTIFS($B$3:$B710,$B710,$N$3:$N710,"sim"),"")</f>
        <v/>
      </c>
      <c r="P710" s="5" t="n"/>
      <c r="Q710" s="4" t="n"/>
      <c r="R710" s="5" t="n"/>
      <c r="S710" s="9" t="n"/>
      <c r="T710" s="4" t="n"/>
    </row>
    <row r="711">
      <c r="A711" s="5">
        <f>ROW()-2</f>
        <v/>
      </c>
      <c r="B711" s="4" t="inlineStr">
        <is>
          <t>Metrópole</t>
        </is>
      </c>
      <c r="C711" s="5" t="n">
        <v>709</v>
      </c>
      <c r="D711" s="5">
        <f>IFERROR(INDEX('Base de sorteio'!$A$3:$A$1723,MATCH($B711&amp;"|"&amp;$C711,'Base de sorteio'!$I$3:$I$1723,0)),"")</f>
        <v/>
      </c>
      <c r="E711" s="4">
        <f>IFERROR(INDEX('Base de sorteio'!$B$3:$B$1723,MATCH($B711&amp;"|"&amp;$C711,'Base de sorteio'!$I$3:$I$1723,0)),"")</f>
        <v/>
      </c>
      <c r="F711" s="4">
        <f>IFERROR(INDEX('Base de sorteio'!$C$3:$C$1723,MATCH($B711&amp;"|"&amp;$C711,'Base de sorteio'!$I$3:$I$1723,0)),"")</f>
        <v/>
      </c>
      <c r="G711" s="4">
        <f>IFERROR(INDEX('Base de sorteio'!$D$3:$D$1723,MATCH($B711&amp;"|"&amp;$C711,'Base de sorteio'!$I$3:$I$1723,0)),"")</f>
        <v/>
      </c>
      <c r="H711" s="4">
        <f>IFERROR(INDEX('Base de sorteio'!$E$3:$E$1723,MATCH($B711&amp;"|"&amp;$C711,'Base de sorteio'!$I$3:$I$1723,0)),"")</f>
        <v/>
      </c>
      <c r="I711" s="4">
        <f>IF(E711="","",HYPERLINK(IFERROR(INDEX('Base de sorteio'!$J$3:$J$1723,MATCH($B711&amp;"|"&amp;$C711,'Base de sorteio'!$I$3:$I$1723,0)),""),"abrir"))</f>
        <v/>
      </c>
      <c r="J711" s="4" t="n"/>
      <c r="K711" s="4" t="n"/>
      <c r="L711" s="4" t="n"/>
      <c r="M711" s="4" t="n"/>
      <c r="N711" s="4">
        <f>IF(AND(K711="",M711=""),"",IF(OR(K711="sim",M711="sim"),"sim",IF(OR(K711="inconclusivo",M711="inconclusivo"),"inconclusivo","não")))</f>
        <v/>
      </c>
      <c r="O711" s="5">
        <f>IF(N711="sim",COUNTIFS($B$3:$B711,$B711,$N$3:$N711,"sim"),"")</f>
        <v/>
      </c>
      <c r="P711" s="5" t="n"/>
      <c r="Q711" s="4" t="n"/>
      <c r="R711" s="5" t="n"/>
      <c r="S711" s="9" t="n"/>
      <c r="T711" s="4" t="n"/>
    </row>
    <row r="712">
      <c r="A712" s="5">
        <f>ROW()-2</f>
        <v/>
      </c>
      <c r="B712" s="4" t="inlineStr">
        <is>
          <t>Metrópole</t>
        </is>
      </c>
      <c r="C712" s="5" t="n">
        <v>710</v>
      </c>
      <c r="D712" s="5">
        <f>IFERROR(INDEX('Base de sorteio'!$A$3:$A$1723,MATCH($B712&amp;"|"&amp;$C712,'Base de sorteio'!$I$3:$I$1723,0)),"")</f>
        <v/>
      </c>
      <c r="E712" s="4">
        <f>IFERROR(INDEX('Base de sorteio'!$B$3:$B$1723,MATCH($B712&amp;"|"&amp;$C712,'Base de sorteio'!$I$3:$I$1723,0)),"")</f>
        <v/>
      </c>
      <c r="F712" s="4">
        <f>IFERROR(INDEX('Base de sorteio'!$C$3:$C$1723,MATCH($B712&amp;"|"&amp;$C712,'Base de sorteio'!$I$3:$I$1723,0)),"")</f>
        <v/>
      </c>
      <c r="G712" s="4">
        <f>IFERROR(INDEX('Base de sorteio'!$D$3:$D$1723,MATCH($B712&amp;"|"&amp;$C712,'Base de sorteio'!$I$3:$I$1723,0)),"")</f>
        <v/>
      </c>
      <c r="H712" s="4">
        <f>IFERROR(INDEX('Base de sorteio'!$E$3:$E$1723,MATCH($B712&amp;"|"&amp;$C712,'Base de sorteio'!$I$3:$I$1723,0)),"")</f>
        <v/>
      </c>
      <c r="I712" s="4">
        <f>IF(E712="","",HYPERLINK(IFERROR(INDEX('Base de sorteio'!$J$3:$J$1723,MATCH($B712&amp;"|"&amp;$C712,'Base de sorteio'!$I$3:$I$1723,0)),""),"abrir"))</f>
        <v/>
      </c>
      <c r="J712" s="4" t="n"/>
      <c r="K712" s="4" t="n"/>
      <c r="L712" s="4" t="n"/>
      <c r="M712" s="4" t="n"/>
      <c r="N712" s="4">
        <f>IF(AND(K712="",M712=""),"",IF(OR(K712="sim",M712="sim"),"sim",IF(OR(K712="inconclusivo",M712="inconclusivo"),"inconclusivo","não")))</f>
        <v/>
      </c>
      <c r="O712" s="5">
        <f>IF(N712="sim",COUNTIFS($B$3:$B712,$B712,$N$3:$N712,"sim"),"")</f>
        <v/>
      </c>
      <c r="P712" s="5" t="n"/>
      <c r="Q712" s="4" t="n"/>
      <c r="R712" s="5" t="n"/>
      <c r="S712" s="9" t="n"/>
      <c r="T712" s="4" t="n"/>
    </row>
    <row r="713">
      <c r="A713" s="5">
        <f>ROW()-2</f>
        <v/>
      </c>
      <c r="B713" s="4" t="inlineStr">
        <is>
          <t>Metrópole</t>
        </is>
      </c>
      <c r="C713" s="5" t="n">
        <v>711</v>
      </c>
      <c r="D713" s="5">
        <f>IFERROR(INDEX('Base de sorteio'!$A$3:$A$1723,MATCH($B713&amp;"|"&amp;$C713,'Base de sorteio'!$I$3:$I$1723,0)),"")</f>
        <v/>
      </c>
      <c r="E713" s="4">
        <f>IFERROR(INDEX('Base de sorteio'!$B$3:$B$1723,MATCH($B713&amp;"|"&amp;$C713,'Base de sorteio'!$I$3:$I$1723,0)),"")</f>
        <v/>
      </c>
      <c r="F713" s="4">
        <f>IFERROR(INDEX('Base de sorteio'!$C$3:$C$1723,MATCH($B713&amp;"|"&amp;$C713,'Base de sorteio'!$I$3:$I$1723,0)),"")</f>
        <v/>
      </c>
      <c r="G713" s="4">
        <f>IFERROR(INDEX('Base de sorteio'!$D$3:$D$1723,MATCH($B713&amp;"|"&amp;$C713,'Base de sorteio'!$I$3:$I$1723,0)),"")</f>
        <v/>
      </c>
      <c r="H713" s="4">
        <f>IFERROR(INDEX('Base de sorteio'!$E$3:$E$1723,MATCH($B713&amp;"|"&amp;$C713,'Base de sorteio'!$I$3:$I$1723,0)),"")</f>
        <v/>
      </c>
      <c r="I713" s="4">
        <f>IF(E713="","",HYPERLINK(IFERROR(INDEX('Base de sorteio'!$J$3:$J$1723,MATCH($B713&amp;"|"&amp;$C713,'Base de sorteio'!$I$3:$I$1723,0)),""),"abrir"))</f>
        <v/>
      </c>
      <c r="J713" s="4" t="n"/>
      <c r="K713" s="4" t="n"/>
      <c r="L713" s="4" t="n"/>
      <c r="M713" s="4" t="n"/>
      <c r="N713" s="4">
        <f>IF(AND(K713="",M713=""),"",IF(OR(K713="sim",M713="sim"),"sim",IF(OR(K713="inconclusivo",M713="inconclusivo"),"inconclusivo","não")))</f>
        <v/>
      </c>
      <c r="O713" s="5">
        <f>IF(N713="sim",COUNTIFS($B$3:$B713,$B713,$N$3:$N713,"sim"),"")</f>
        <v/>
      </c>
      <c r="P713" s="5" t="n"/>
      <c r="Q713" s="4" t="n"/>
      <c r="R713" s="5" t="n"/>
      <c r="S713" s="9" t="n"/>
      <c r="T713" s="4" t="n"/>
    </row>
    <row r="714">
      <c r="A714" s="5">
        <f>ROW()-2</f>
        <v/>
      </c>
      <c r="B714" s="4" t="inlineStr">
        <is>
          <t>Metrópole</t>
        </is>
      </c>
      <c r="C714" s="5" t="n">
        <v>712</v>
      </c>
      <c r="D714" s="5">
        <f>IFERROR(INDEX('Base de sorteio'!$A$3:$A$1723,MATCH($B714&amp;"|"&amp;$C714,'Base de sorteio'!$I$3:$I$1723,0)),"")</f>
        <v/>
      </c>
      <c r="E714" s="4">
        <f>IFERROR(INDEX('Base de sorteio'!$B$3:$B$1723,MATCH($B714&amp;"|"&amp;$C714,'Base de sorteio'!$I$3:$I$1723,0)),"")</f>
        <v/>
      </c>
      <c r="F714" s="4">
        <f>IFERROR(INDEX('Base de sorteio'!$C$3:$C$1723,MATCH($B714&amp;"|"&amp;$C714,'Base de sorteio'!$I$3:$I$1723,0)),"")</f>
        <v/>
      </c>
      <c r="G714" s="4">
        <f>IFERROR(INDEX('Base de sorteio'!$D$3:$D$1723,MATCH($B714&amp;"|"&amp;$C714,'Base de sorteio'!$I$3:$I$1723,0)),"")</f>
        <v/>
      </c>
      <c r="H714" s="4">
        <f>IFERROR(INDEX('Base de sorteio'!$E$3:$E$1723,MATCH($B714&amp;"|"&amp;$C714,'Base de sorteio'!$I$3:$I$1723,0)),"")</f>
        <v/>
      </c>
      <c r="I714" s="4">
        <f>IF(E714="","",HYPERLINK(IFERROR(INDEX('Base de sorteio'!$J$3:$J$1723,MATCH($B714&amp;"|"&amp;$C714,'Base de sorteio'!$I$3:$I$1723,0)),""),"abrir"))</f>
        <v/>
      </c>
      <c r="J714" s="4" t="n"/>
      <c r="K714" s="4" t="n"/>
      <c r="L714" s="4" t="n"/>
      <c r="M714" s="4" t="n"/>
      <c r="N714" s="4">
        <f>IF(AND(K714="",M714=""),"",IF(OR(K714="sim",M714="sim"),"sim",IF(OR(K714="inconclusivo",M714="inconclusivo"),"inconclusivo","não")))</f>
        <v/>
      </c>
      <c r="O714" s="5">
        <f>IF(N714="sim",COUNTIFS($B$3:$B714,$B714,$N$3:$N714,"sim"),"")</f>
        <v/>
      </c>
      <c r="P714" s="5" t="n"/>
      <c r="Q714" s="4" t="n"/>
      <c r="R714" s="5" t="n"/>
      <c r="S714" s="9" t="n"/>
      <c r="T714" s="4" t="n"/>
    </row>
    <row r="715">
      <c r="A715" s="5">
        <f>ROW()-2</f>
        <v/>
      </c>
      <c r="B715" s="4" t="inlineStr">
        <is>
          <t>Metrópole</t>
        </is>
      </c>
      <c r="C715" s="5" t="n">
        <v>713</v>
      </c>
      <c r="D715" s="5">
        <f>IFERROR(INDEX('Base de sorteio'!$A$3:$A$1723,MATCH($B715&amp;"|"&amp;$C715,'Base de sorteio'!$I$3:$I$1723,0)),"")</f>
        <v/>
      </c>
      <c r="E715" s="4">
        <f>IFERROR(INDEX('Base de sorteio'!$B$3:$B$1723,MATCH($B715&amp;"|"&amp;$C715,'Base de sorteio'!$I$3:$I$1723,0)),"")</f>
        <v/>
      </c>
      <c r="F715" s="4">
        <f>IFERROR(INDEX('Base de sorteio'!$C$3:$C$1723,MATCH($B715&amp;"|"&amp;$C715,'Base de sorteio'!$I$3:$I$1723,0)),"")</f>
        <v/>
      </c>
      <c r="G715" s="4">
        <f>IFERROR(INDEX('Base de sorteio'!$D$3:$D$1723,MATCH($B715&amp;"|"&amp;$C715,'Base de sorteio'!$I$3:$I$1723,0)),"")</f>
        <v/>
      </c>
      <c r="H715" s="4">
        <f>IFERROR(INDEX('Base de sorteio'!$E$3:$E$1723,MATCH($B715&amp;"|"&amp;$C715,'Base de sorteio'!$I$3:$I$1723,0)),"")</f>
        <v/>
      </c>
      <c r="I715" s="4">
        <f>IF(E715="","",HYPERLINK(IFERROR(INDEX('Base de sorteio'!$J$3:$J$1723,MATCH($B715&amp;"|"&amp;$C715,'Base de sorteio'!$I$3:$I$1723,0)),""),"abrir"))</f>
        <v/>
      </c>
      <c r="J715" s="4" t="n"/>
      <c r="K715" s="4" t="n"/>
      <c r="L715" s="4" t="n"/>
      <c r="M715" s="4" t="n"/>
      <c r="N715" s="4">
        <f>IF(AND(K715="",M715=""),"",IF(OR(K715="sim",M715="sim"),"sim",IF(OR(K715="inconclusivo",M715="inconclusivo"),"inconclusivo","não")))</f>
        <v/>
      </c>
      <c r="O715" s="5">
        <f>IF(N715="sim",COUNTIFS($B$3:$B715,$B715,$N$3:$N715,"sim"),"")</f>
        <v/>
      </c>
      <c r="P715" s="5" t="n"/>
      <c r="Q715" s="4" t="n"/>
      <c r="R715" s="5" t="n"/>
      <c r="S715" s="9" t="n"/>
      <c r="T715" s="4" t="n"/>
    </row>
    <row r="716">
      <c r="A716" s="5">
        <f>ROW()-2</f>
        <v/>
      </c>
      <c r="B716" s="4" t="inlineStr">
        <is>
          <t>Metrópole</t>
        </is>
      </c>
      <c r="C716" s="5" t="n">
        <v>714</v>
      </c>
      <c r="D716" s="5">
        <f>IFERROR(INDEX('Base de sorteio'!$A$3:$A$1723,MATCH($B716&amp;"|"&amp;$C716,'Base de sorteio'!$I$3:$I$1723,0)),"")</f>
        <v/>
      </c>
      <c r="E716" s="4">
        <f>IFERROR(INDEX('Base de sorteio'!$B$3:$B$1723,MATCH($B716&amp;"|"&amp;$C716,'Base de sorteio'!$I$3:$I$1723,0)),"")</f>
        <v/>
      </c>
      <c r="F716" s="4">
        <f>IFERROR(INDEX('Base de sorteio'!$C$3:$C$1723,MATCH($B716&amp;"|"&amp;$C716,'Base de sorteio'!$I$3:$I$1723,0)),"")</f>
        <v/>
      </c>
      <c r="G716" s="4">
        <f>IFERROR(INDEX('Base de sorteio'!$D$3:$D$1723,MATCH($B716&amp;"|"&amp;$C716,'Base de sorteio'!$I$3:$I$1723,0)),"")</f>
        <v/>
      </c>
      <c r="H716" s="4">
        <f>IFERROR(INDEX('Base de sorteio'!$E$3:$E$1723,MATCH($B716&amp;"|"&amp;$C716,'Base de sorteio'!$I$3:$I$1723,0)),"")</f>
        <v/>
      </c>
      <c r="I716" s="4">
        <f>IF(E716="","",HYPERLINK(IFERROR(INDEX('Base de sorteio'!$J$3:$J$1723,MATCH($B716&amp;"|"&amp;$C716,'Base de sorteio'!$I$3:$I$1723,0)),""),"abrir"))</f>
        <v/>
      </c>
      <c r="J716" s="4" t="n"/>
      <c r="K716" s="4" t="n"/>
      <c r="L716" s="4" t="n"/>
      <c r="M716" s="4" t="n"/>
      <c r="N716" s="4">
        <f>IF(AND(K716="",M716=""),"",IF(OR(K716="sim",M716="sim"),"sim",IF(OR(K716="inconclusivo",M716="inconclusivo"),"inconclusivo","não")))</f>
        <v/>
      </c>
      <c r="O716" s="5">
        <f>IF(N716="sim",COUNTIFS($B$3:$B716,$B716,$N$3:$N716,"sim"),"")</f>
        <v/>
      </c>
      <c r="P716" s="5" t="n"/>
      <c r="Q716" s="4" t="n"/>
      <c r="R716" s="5" t="n"/>
      <c r="S716" s="9" t="n"/>
      <c r="T716" s="4" t="n"/>
    </row>
    <row r="717">
      <c r="A717" s="5">
        <f>ROW()-2</f>
        <v/>
      </c>
      <c r="B717" s="4" t="inlineStr">
        <is>
          <t>Metrópole</t>
        </is>
      </c>
      <c r="C717" s="5" t="n">
        <v>715</v>
      </c>
      <c r="D717" s="5">
        <f>IFERROR(INDEX('Base de sorteio'!$A$3:$A$1723,MATCH($B717&amp;"|"&amp;$C717,'Base de sorteio'!$I$3:$I$1723,0)),"")</f>
        <v/>
      </c>
      <c r="E717" s="4">
        <f>IFERROR(INDEX('Base de sorteio'!$B$3:$B$1723,MATCH($B717&amp;"|"&amp;$C717,'Base de sorteio'!$I$3:$I$1723,0)),"")</f>
        <v/>
      </c>
      <c r="F717" s="4">
        <f>IFERROR(INDEX('Base de sorteio'!$C$3:$C$1723,MATCH($B717&amp;"|"&amp;$C717,'Base de sorteio'!$I$3:$I$1723,0)),"")</f>
        <v/>
      </c>
      <c r="G717" s="4">
        <f>IFERROR(INDEX('Base de sorteio'!$D$3:$D$1723,MATCH($B717&amp;"|"&amp;$C717,'Base de sorteio'!$I$3:$I$1723,0)),"")</f>
        <v/>
      </c>
      <c r="H717" s="4">
        <f>IFERROR(INDEX('Base de sorteio'!$E$3:$E$1723,MATCH($B717&amp;"|"&amp;$C717,'Base de sorteio'!$I$3:$I$1723,0)),"")</f>
        <v/>
      </c>
      <c r="I717" s="4">
        <f>IF(E717="","",HYPERLINK(IFERROR(INDEX('Base de sorteio'!$J$3:$J$1723,MATCH($B717&amp;"|"&amp;$C717,'Base de sorteio'!$I$3:$I$1723,0)),""),"abrir"))</f>
        <v/>
      </c>
      <c r="J717" s="4" t="n"/>
      <c r="K717" s="4" t="n"/>
      <c r="L717" s="4" t="n"/>
      <c r="M717" s="4" t="n"/>
      <c r="N717" s="4">
        <f>IF(AND(K717="",M717=""),"",IF(OR(K717="sim",M717="sim"),"sim",IF(OR(K717="inconclusivo",M717="inconclusivo"),"inconclusivo","não")))</f>
        <v/>
      </c>
      <c r="O717" s="5">
        <f>IF(N717="sim",COUNTIFS($B$3:$B717,$B717,$N$3:$N717,"sim"),"")</f>
        <v/>
      </c>
      <c r="P717" s="5" t="n"/>
      <c r="Q717" s="4" t="n"/>
      <c r="R717" s="5" t="n"/>
      <c r="S717" s="9" t="n"/>
      <c r="T717" s="4" t="n"/>
    </row>
    <row r="718">
      <c r="A718" s="5">
        <f>ROW()-2</f>
        <v/>
      </c>
      <c r="B718" s="4" t="inlineStr">
        <is>
          <t>Metrópole</t>
        </is>
      </c>
      <c r="C718" s="5" t="n">
        <v>716</v>
      </c>
      <c r="D718" s="5">
        <f>IFERROR(INDEX('Base de sorteio'!$A$3:$A$1723,MATCH($B718&amp;"|"&amp;$C718,'Base de sorteio'!$I$3:$I$1723,0)),"")</f>
        <v/>
      </c>
      <c r="E718" s="4">
        <f>IFERROR(INDEX('Base de sorteio'!$B$3:$B$1723,MATCH($B718&amp;"|"&amp;$C718,'Base de sorteio'!$I$3:$I$1723,0)),"")</f>
        <v/>
      </c>
      <c r="F718" s="4">
        <f>IFERROR(INDEX('Base de sorteio'!$C$3:$C$1723,MATCH($B718&amp;"|"&amp;$C718,'Base de sorteio'!$I$3:$I$1723,0)),"")</f>
        <v/>
      </c>
      <c r="G718" s="4">
        <f>IFERROR(INDEX('Base de sorteio'!$D$3:$D$1723,MATCH($B718&amp;"|"&amp;$C718,'Base de sorteio'!$I$3:$I$1723,0)),"")</f>
        <v/>
      </c>
      <c r="H718" s="4">
        <f>IFERROR(INDEX('Base de sorteio'!$E$3:$E$1723,MATCH($B718&amp;"|"&amp;$C718,'Base de sorteio'!$I$3:$I$1723,0)),"")</f>
        <v/>
      </c>
      <c r="I718" s="4">
        <f>IF(E718="","",HYPERLINK(IFERROR(INDEX('Base de sorteio'!$J$3:$J$1723,MATCH($B718&amp;"|"&amp;$C718,'Base de sorteio'!$I$3:$I$1723,0)),""),"abrir"))</f>
        <v/>
      </c>
      <c r="J718" s="4" t="n"/>
      <c r="K718" s="4" t="n"/>
      <c r="L718" s="4" t="n"/>
      <c r="M718" s="4" t="n"/>
      <c r="N718" s="4">
        <f>IF(AND(K718="",M718=""),"",IF(OR(K718="sim",M718="sim"),"sim",IF(OR(K718="inconclusivo",M718="inconclusivo"),"inconclusivo","não")))</f>
        <v/>
      </c>
      <c r="O718" s="5">
        <f>IF(N718="sim",COUNTIFS($B$3:$B718,$B718,$N$3:$N718,"sim"),"")</f>
        <v/>
      </c>
      <c r="P718" s="5" t="n"/>
      <c r="Q718" s="4" t="n"/>
      <c r="R718" s="5" t="n"/>
      <c r="S718" s="9" t="n"/>
      <c r="T718" s="4" t="n"/>
    </row>
    <row r="719">
      <c r="A719" s="5">
        <f>ROW()-2</f>
        <v/>
      </c>
      <c r="B719" s="4" t="inlineStr">
        <is>
          <t>Metrópole</t>
        </is>
      </c>
      <c r="C719" s="5" t="n">
        <v>717</v>
      </c>
      <c r="D719" s="5">
        <f>IFERROR(INDEX('Base de sorteio'!$A$3:$A$1723,MATCH($B719&amp;"|"&amp;$C719,'Base de sorteio'!$I$3:$I$1723,0)),"")</f>
        <v/>
      </c>
      <c r="E719" s="4">
        <f>IFERROR(INDEX('Base de sorteio'!$B$3:$B$1723,MATCH($B719&amp;"|"&amp;$C719,'Base de sorteio'!$I$3:$I$1723,0)),"")</f>
        <v/>
      </c>
      <c r="F719" s="4">
        <f>IFERROR(INDEX('Base de sorteio'!$C$3:$C$1723,MATCH($B719&amp;"|"&amp;$C719,'Base de sorteio'!$I$3:$I$1723,0)),"")</f>
        <v/>
      </c>
      <c r="G719" s="4">
        <f>IFERROR(INDEX('Base de sorteio'!$D$3:$D$1723,MATCH($B719&amp;"|"&amp;$C719,'Base de sorteio'!$I$3:$I$1723,0)),"")</f>
        <v/>
      </c>
      <c r="H719" s="4">
        <f>IFERROR(INDEX('Base de sorteio'!$E$3:$E$1723,MATCH($B719&amp;"|"&amp;$C719,'Base de sorteio'!$I$3:$I$1723,0)),"")</f>
        <v/>
      </c>
      <c r="I719" s="4">
        <f>IF(E719="","",HYPERLINK(IFERROR(INDEX('Base de sorteio'!$J$3:$J$1723,MATCH($B719&amp;"|"&amp;$C719,'Base de sorteio'!$I$3:$I$1723,0)),""),"abrir"))</f>
        <v/>
      </c>
      <c r="J719" s="4" t="n"/>
      <c r="K719" s="4" t="n"/>
      <c r="L719" s="4" t="n"/>
      <c r="M719" s="4" t="n"/>
      <c r="N719" s="4">
        <f>IF(AND(K719="",M719=""),"",IF(OR(K719="sim",M719="sim"),"sim",IF(OR(K719="inconclusivo",M719="inconclusivo"),"inconclusivo","não")))</f>
        <v/>
      </c>
      <c r="O719" s="5">
        <f>IF(N719="sim",COUNTIFS($B$3:$B719,$B719,$N$3:$N719,"sim"),"")</f>
        <v/>
      </c>
      <c r="P719" s="5" t="n"/>
      <c r="Q719" s="4" t="n"/>
      <c r="R719" s="5" t="n"/>
      <c r="S719" s="9" t="n"/>
      <c r="T719" s="4" t="n"/>
    </row>
    <row r="720">
      <c r="A720" s="5">
        <f>ROW()-2</f>
        <v/>
      </c>
      <c r="B720" s="4" t="inlineStr">
        <is>
          <t>Metrópole</t>
        </is>
      </c>
      <c r="C720" s="5" t="n">
        <v>718</v>
      </c>
      <c r="D720" s="5">
        <f>IFERROR(INDEX('Base de sorteio'!$A$3:$A$1723,MATCH($B720&amp;"|"&amp;$C720,'Base de sorteio'!$I$3:$I$1723,0)),"")</f>
        <v/>
      </c>
      <c r="E720" s="4">
        <f>IFERROR(INDEX('Base de sorteio'!$B$3:$B$1723,MATCH($B720&amp;"|"&amp;$C720,'Base de sorteio'!$I$3:$I$1723,0)),"")</f>
        <v/>
      </c>
      <c r="F720" s="4">
        <f>IFERROR(INDEX('Base de sorteio'!$C$3:$C$1723,MATCH($B720&amp;"|"&amp;$C720,'Base de sorteio'!$I$3:$I$1723,0)),"")</f>
        <v/>
      </c>
      <c r="G720" s="4">
        <f>IFERROR(INDEX('Base de sorteio'!$D$3:$D$1723,MATCH($B720&amp;"|"&amp;$C720,'Base de sorteio'!$I$3:$I$1723,0)),"")</f>
        <v/>
      </c>
      <c r="H720" s="4">
        <f>IFERROR(INDEX('Base de sorteio'!$E$3:$E$1723,MATCH($B720&amp;"|"&amp;$C720,'Base de sorteio'!$I$3:$I$1723,0)),"")</f>
        <v/>
      </c>
      <c r="I720" s="4">
        <f>IF(E720="","",HYPERLINK(IFERROR(INDEX('Base de sorteio'!$J$3:$J$1723,MATCH($B720&amp;"|"&amp;$C720,'Base de sorteio'!$I$3:$I$1723,0)),""),"abrir"))</f>
        <v/>
      </c>
      <c r="J720" s="4" t="n"/>
      <c r="K720" s="4" t="n"/>
      <c r="L720" s="4" t="n"/>
      <c r="M720" s="4" t="n"/>
      <c r="N720" s="4">
        <f>IF(AND(K720="",M720=""),"",IF(OR(K720="sim",M720="sim"),"sim",IF(OR(K720="inconclusivo",M720="inconclusivo"),"inconclusivo","não")))</f>
        <v/>
      </c>
      <c r="O720" s="5">
        <f>IF(N720="sim",COUNTIFS($B$3:$B720,$B720,$N$3:$N720,"sim"),"")</f>
        <v/>
      </c>
      <c r="P720" s="5" t="n"/>
      <c r="Q720" s="4" t="n"/>
      <c r="R720" s="5" t="n"/>
      <c r="S720" s="9" t="n"/>
      <c r="T720" s="4" t="n"/>
    </row>
    <row r="721">
      <c r="A721" s="5">
        <f>ROW()-2</f>
        <v/>
      </c>
      <c r="B721" s="4" t="inlineStr">
        <is>
          <t>Metrópole</t>
        </is>
      </c>
      <c r="C721" s="5" t="n">
        <v>719</v>
      </c>
      <c r="D721" s="5">
        <f>IFERROR(INDEX('Base de sorteio'!$A$3:$A$1723,MATCH($B721&amp;"|"&amp;$C721,'Base de sorteio'!$I$3:$I$1723,0)),"")</f>
        <v/>
      </c>
      <c r="E721" s="4">
        <f>IFERROR(INDEX('Base de sorteio'!$B$3:$B$1723,MATCH($B721&amp;"|"&amp;$C721,'Base de sorteio'!$I$3:$I$1723,0)),"")</f>
        <v/>
      </c>
      <c r="F721" s="4">
        <f>IFERROR(INDEX('Base de sorteio'!$C$3:$C$1723,MATCH($B721&amp;"|"&amp;$C721,'Base de sorteio'!$I$3:$I$1723,0)),"")</f>
        <v/>
      </c>
      <c r="G721" s="4">
        <f>IFERROR(INDEX('Base de sorteio'!$D$3:$D$1723,MATCH($B721&amp;"|"&amp;$C721,'Base de sorteio'!$I$3:$I$1723,0)),"")</f>
        <v/>
      </c>
      <c r="H721" s="4">
        <f>IFERROR(INDEX('Base de sorteio'!$E$3:$E$1723,MATCH($B721&amp;"|"&amp;$C721,'Base de sorteio'!$I$3:$I$1723,0)),"")</f>
        <v/>
      </c>
      <c r="I721" s="4">
        <f>IF(E721="","",HYPERLINK(IFERROR(INDEX('Base de sorteio'!$J$3:$J$1723,MATCH($B721&amp;"|"&amp;$C721,'Base de sorteio'!$I$3:$I$1723,0)),""),"abrir"))</f>
        <v/>
      </c>
      <c r="J721" s="4" t="n"/>
      <c r="K721" s="4" t="n"/>
      <c r="L721" s="4" t="n"/>
      <c r="M721" s="4" t="n"/>
      <c r="N721" s="4">
        <f>IF(AND(K721="",M721=""),"",IF(OR(K721="sim",M721="sim"),"sim",IF(OR(K721="inconclusivo",M721="inconclusivo"),"inconclusivo","não")))</f>
        <v/>
      </c>
      <c r="O721" s="5">
        <f>IF(N721="sim",COUNTIFS($B$3:$B721,$B721,$N$3:$N721,"sim"),"")</f>
        <v/>
      </c>
      <c r="P721" s="5" t="n"/>
      <c r="Q721" s="4" t="n"/>
      <c r="R721" s="5" t="n"/>
      <c r="S721" s="9" t="n"/>
      <c r="T721" s="4" t="n"/>
    </row>
    <row r="722">
      <c r="A722" s="5">
        <f>ROW()-2</f>
        <v/>
      </c>
      <c r="B722" s="4" t="inlineStr">
        <is>
          <t>Metrópole</t>
        </is>
      </c>
      <c r="C722" s="5" t="n">
        <v>720</v>
      </c>
      <c r="D722" s="5">
        <f>IFERROR(INDEX('Base de sorteio'!$A$3:$A$1723,MATCH($B722&amp;"|"&amp;$C722,'Base de sorteio'!$I$3:$I$1723,0)),"")</f>
        <v/>
      </c>
      <c r="E722" s="4">
        <f>IFERROR(INDEX('Base de sorteio'!$B$3:$B$1723,MATCH($B722&amp;"|"&amp;$C722,'Base de sorteio'!$I$3:$I$1723,0)),"")</f>
        <v/>
      </c>
      <c r="F722" s="4">
        <f>IFERROR(INDEX('Base de sorteio'!$C$3:$C$1723,MATCH($B722&amp;"|"&amp;$C722,'Base de sorteio'!$I$3:$I$1723,0)),"")</f>
        <v/>
      </c>
      <c r="G722" s="4">
        <f>IFERROR(INDEX('Base de sorteio'!$D$3:$D$1723,MATCH($B722&amp;"|"&amp;$C722,'Base de sorteio'!$I$3:$I$1723,0)),"")</f>
        <v/>
      </c>
      <c r="H722" s="4">
        <f>IFERROR(INDEX('Base de sorteio'!$E$3:$E$1723,MATCH($B722&amp;"|"&amp;$C722,'Base de sorteio'!$I$3:$I$1723,0)),"")</f>
        <v/>
      </c>
      <c r="I722" s="4">
        <f>IF(E722="","",HYPERLINK(IFERROR(INDEX('Base de sorteio'!$J$3:$J$1723,MATCH($B722&amp;"|"&amp;$C722,'Base de sorteio'!$I$3:$I$1723,0)),""),"abrir"))</f>
        <v/>
      </c>
      <c r="J722" s="4" t="n"/>
      <c r="K722" s="4" t="n"/>
      <c r="L722" s="4" t="n"/>
      <c r="M722" s="4" t="n"/>
      <c r="N722" s="4">
        <f>IF(AND(K722="",M722=""),"",IF(OR(K722="sim",M722="sim"),"sim",IF(OR(K722="inconclusivo",M722="inconclusivo"),"inconclusivo","não")))</f>
        <v/>
      </c>
      <c r="O722" s="5">
        <f>IF(N722="sim",COUNTIFS($B$3:$B722,$B722,$N$3:$N722,"sim"),"")</f>
        <v/>
      </c>
      <c r="P722" s="5" t="n"/>
      <c r="Q722" s="4" t="n"/>
      <c r="R722" s="5" t="n"/>
      <c r="S722" s="9" t="n"/>
      <c r="T722" s="4" t="n"/>
    </row>
    <row r="723">
      <c r="A723" s="5">
        <f>ROW()-2</f>
        <v/>
      </c>
      <c r="B723" s="4" t="inlineStr">
        <is>
          <t>Metrópole</t>
        </is>
      </c>
      <c r="C723" s="5" t="n">
        <v>721</v>
      </c>
      <c r="D723" s="5">
        <f>IFERROR(INDEX('Base de sorteio'!$A$3:$A$1723,MATCH($B723&amp;"|"&amp;$C723,'Base de sorteio'!$I$3:$I$1723,0)),"")</f>
        <v/>
      </c>
      <c r="E723" s="4">
        <f>IFERROR(INDEX('Base de sorteio'!$B$3:$B$1723,MATCH($B723&amp;"|"&amp;$C723,'Base de sorteio'!$I$3:$I$1723,0)),"")</f>
        <v/>
      </c>
      <c r="F723" s="4">
        <f>IFERROR(INDEX('Base de sorteio'!$C$3:$C$1723,MATCH($B723&amp;"|"&amp;$C723,'Base de sorteio'!$I$3:$I$1723,0)),"")</f>
        <v/>
      </c>
      <c r="G723" s="4">
        <f>IFERROR(INDEX('Base de sorteio'!$D$3:$D$1723,MATCH($B723&amp;"|"&amp;$C723,'Base de sorteio'!$I$3:$I$1723,0)),"")</f>
        <v/>
      </c>
      <c r="H723" s="4">
        <f>IFERROR(INDEX('Base de sorteio'!$E$3:$E$1723,MATCH($B723&amp;"|"&amp;$C723,'Base de sorteio'!$I$3:$I$1723,0)),"")</f>
        <v/>
      </c>
      <c r="I723" s="4">
        <f>IF(E723="","",HYPERLINK(IFERROR(INDEX('Base de sorteio'!$J$3:$J$1723,MATCH($B723&amp;"|"&amp;$C723,'Base de sorteio'!$I$3:$I$1723,0)),""),"abrir"))</f>
        <v/>
      </c>
      <c r="J723" s="4" t="n"/>
      <c r="K723" s="4" t="n"/>
      <c r="L723" s="4" t="n"/>
      <c r="M723" s="4" t="n"/>
      <c r="N723" s="4">
        <f>IF(AND(K723="",M723=""),"",IF(OR(K723="sim",M723="sim"),"sim",IF(OR(K723="inconclusivo",M723="inconclusivo"),"inconclusivo","não")))</f>
        <v/>
      </c>
      <c r="O723" s="5">
        <f>IF(N723="sim",COUNTIFS($B$3:$B723,$B723,$N$3:$N723,"sim"),"")</f>
        <v/>
      </c>
      <c r="P723" s="5" t="n"/>
      <c r="Q723" s="4" t="n"/>
      <c r="R723" s="5" t="n"/>
      <c r="S723" s="9" t="n"/>
      <c r="T723" s="4" t="n"/>
    </row>
    <row r="724">
      <c r="A724" s="5">
        <f>ROW()-2</f>
        <v/>
      </c>
      <c r="B724" s="4" t="inlineStr">
        <is>
          <t>Metrópole</t>
        </is>
      </c>
      <c r="C724" s="5" t="n">
        <v>722</v>
      </c>
      <c r="D724" s="5">
        <f>IFERROR(INDEX('Base de sorteio'!$A$3:$A$1723,MATCH($B724&amp;"|"&amp;$C724,'Base de sorteio'!$I$3:$I$1723,0)),"")</f>
        <v/>
      </c>
      <c r="E724" s="4">
        <f>IFERROR(INDEX('Base de sorteio'!$B$3:$B$1723,MATCH($B724&amp;"|"&amp;$C724,'Base de sorteio'!$I$3:$I$1723,0)),"")</f>
        <v/>
      </c>
      <c r="F724" s="4">
        <f>IFERROR(INDEX('Base de sorteio'!$C$3:$C$1723,MATCH($B724&amp;"|"&amp;$C724,'Base de sorteio'!$I$3:$I$1723,0)),"")</f>
        <v/>
      </c>
      <c r="G724" s="4">
        <f>IFERROR(INDEX('Base de sorteio'!$D$3:$D$1723,MATCH($B724&amp;"|"&amp;$C724,'Base de sorteio'!$I$3:$I$1723,0)),"")</f>
        <v/>
      </c>
      <c r="H724" s="4">
        <f>IFERROR(INDEX('Base de sorteio'!$E$3:$E$1723,MATCH($B724&amp;"|"&amp;$C724,'Base de sorteio'!$I$3:$I$1723,0)),"")</f>
        <v/>
      </c>
      <c r="I724" s="4">
        <f>IF(E724="","",HYPERLINK(IFERROR(INDEX('Base de sorteio'!$J$3:$J$1723,MATCH($B724&amp;"|"&amp;$C724,'Base de sorteio'!$I$3:$I$1723,0)),""),"abrir"))</f>
        <v/>
      </c>
      <c r="J724" s="4" t="n"/>
      <c r="K724" s="4" t="n"/>
      <c r="L724" s="4" t="n"/>
      <c r="M724" s="4" t="n"/>
      <c r="N724" s="4">
        <f>IF(AND(K724="",M724=""),"",IF(OR(K724="sim",M724="sim"),"sim",IF(OR(K724="inconclusivo",M724="inconclusivo"),"inconclusivo","não")))</f>
        <v/>
      </c>
      <c r="O724" s="5">
        <f>IF(N724="sim",COUNTIFS($B$3:$B724,$B724,$N$3:$N724,"sim"),"")</f>
        <v/>
      </c>
      <c r="P724" s="5" t="n"/>
      <c r="Q724" s="4" t="n"/>
      <c r="R724" s="5" t="n"/>
      <c r="S724" s="9" t="n"/>
      <c r="T724" s="4" t="n"/>
    </row>
    <row r="725">
      <c r="A725" s="5">
        <f>ROW()-2</f>
        <v/>
      </c>
      <c r="B725" s="4" t="inlineStr">
        <is>
          <t>Metrópole</t>
        </is>
      </c>
      <c r="C725" s="5" t="n">
        <v>723</v>
      </c>
      <c r="D725" s="5">
        <f>IFERROR(INDEX('Base de sorteio'!$A$3:$A$1723,MATCH($B725&amp;"|"&amp;$C725,'Base de sorteio'!$I$3:$I$1723,0)),"")</f>
        <v/>
      </c>
      <c r="E725" s="4">
        <f>IFERROR(INDEX('Base de sorteio'!$B$3:$B$1723,MATCH($B725&amp;"|"&amp;$C725,'Base de sorteio'!$I$3:$I$1723,0)),"")</f>
        <v/>
      </c>
      <c r="F725" s="4">
        <f>IFERROR(INDEX('Base de sorteio'!$C$3:$C$1723,MATCH($B725&amp;"|"&amp;$C725,'Base de sorteio'!$I$3:$I$1723,0)),"")</f>
        <v/>
      </c>
      <c r="G725" s="4">
        <f>IFERROR(INDEX('Base de sorteio'!$D$3:$D$1723,MATCH($B725&amp;"|"&amp;$C725,'Base de sorteio'!$I$3:$I$1723,0)),"")</f>
        <v/>
      </c>
      <c r="H725" s="4">
        <f>IFERROR(INDEX('Base de sorteio'!$E$3:$E$1723,MATCH($B725&amp;"|"&amp;$C725,'Base de sorteio'!$I$3:$I$1723,0)),"")</f>
        <v/>
      </c>
      <c r="I725" s="4">
        <f>IF(E725="","",HYPERLINK(IFERROR(INDEX('Base de sorteio'!$J$3:$J$1723,MATCH($B725&amp;"|"&amp;$C725,'Base de sorteio'!$I$3:$I$1723,0)),""),"abrir"))</f>
        <v/>
      </c>
      <c r="J725" s="4" t="n"/>
      <c r="K725" s="4" t="n"/>
      <c r="L725" s="4" t="n"/>
      <c r="M725" s="4" t="n"/>
      <c r="N725" s="4">
        <f>IF(AND(K725="",M725=""),"",IF(OR(K725="sim",M725="sim"),"sim",IF(OR(K725="inconclusivo",M725="inconclusivo"),"inconclusivo","não")))</f>
        <v/>
      </c>
      <c r="O725" s="5">
        <f>IF(N725="sim",COUNTIFS($B$3:$B725,$B725,$N$3:$N725,"sim"),"")</f>
        <v/>
      </c>
      <c r="P725" s="5" t="n"/>
      <c r="Q725" s="4" t="n"/>
      <c r="R725" s="5" t="n"/>
      <c r="S725" s="9" t="n"/>
      <c r="T725" s="4" t="n"/>
    </row>
    <row r="726">
      <c r="A726" s="5">
        <f>ROW()-2</f>
        <v/>
      </c>
      <c r="B726" s="4" t="inlineStr">
        <is>
          <t>Metrópole</t>
        </is>
      </c>
      <c r="C726" s="5" t="n">
        <v>724</v>
      </c>
      <c r="D726" s="5">
        <f>IFERROR(INDEX('Base de sorteio'!$A$3:$A$1723,MATCH($B726&amp;"|"&amp;$C726,'Base de sorteio'!$I$3:$I$1723,0)),"")</f>
        <v/>
      </c>
      <c r="E726" s="4">
        <f>IFERROR(INDEX('Base de sorteio'!$B$3:$B$1723,MATCH($B726&amp;"|"&amp;$C726,'Base de sorteio'!$I$3:$I$1723,0)),"")</f>
        <v/>
      </c>
      <c r="F726" s="4">
        <f>IFERROR(INDEX('Base de sorteio'!$C$3:$C$1723,MATCH($B726&amp;"|"&amp;$C726,'Base de sorteio'!$I$3:$I$1723,0)),"")</f>
        <v/>
      </c>
      <c r="G726" s="4">
        <f>IFERROR(INDEX('Base de sorteio'!$D$3:$D$1723,MATCH($B726&amp;"|"&amp;$C726,'Base de sorteio'!$I$3:$I$1723,0)),"")</f>
        <v/>
      </c>
      <c r="H726" s="4">
        <f>IFERROR(INDEX('Base de sorteio'!$E$3:$E$1723,MATCH($B726&amp;"|"&amp;$C726,'Base de sorteio'!$I$3:$I$1723,0)),"")</f>
        <v/>
      </c>
      <c r="I726" s="4">
        <f>IF(E726="","",HYPERLINK(IFERROR(INDEX('Base de sorteio'!$J$3:$J$1723,MATCH($B726&amp;"|"&amp;$C726,'Base de sorteio'!$I$3:$I$1723,0)),""),"abrir"))</f>
        <v/>
      </c>
      <c r="J726" s="4" t="n"/>
      <c r="K726" s="4" t="n"/>
      <c r="L726" s="4" t="n"/>
      <c r="M726" s="4" t="n"/>
      <c r="N726" s="4">
        <f>IF(AND(K726="",M726=""),"",IF(OR(K726="sim",M726="sim"),"sim",IF(OR(K726="inconclusivo",M726="inconclusivo"),"inconclusivo","não")))</f>
        <v/>
      </c>
      <c r="O726" s="5">
        <f>IF(N726="sim",COUNTIFS($B$3:$B726,$B726,$N$3:$N726,"sim"),"")</f>
        <v/>
      </c>
      <c r="P726" s="5" t="n"/>
      <c r="Q726" s="4" t="n"/>
      <c r="R726" s="5" t="n"/>
      <c r="S726" s="9" t="n"/>
      <c r="T726" s="4" t="n"/>
    </row>
    <row r="727">
      <c r="A727" s="5">
        <f>ROW()-2</f>
        <v/>
      </c>
      <c r="B727" s="4" t="inlineStr">
        <is>
          <t>Metrópole</t>
        </is>
      </c>
      <c r="C727" s="5" t="n">
        <v>725</v>
      </c>
      <c r="D727" s="5">
        <f>IFERROR(INDEX('Base de sorteio'!$A$3:$A$1723,MATCH($B727&amp;"|"&amp;$C727,'Base de sorteio'!$I$3:$I$1723,0)),"")</f>
        <v/>
      </c>
      <c r="E727" s="4">
        <f>IFERROR(INDEX('Base de sorteio'!$B$3:$B$1723,MATCH($B727&amp;"|"&amp;$C727,'Base de sorteio'!$I$3:$I$1723,0)),"")</f>
        <v/>
      </c>
      <c r="F727" s="4">
        <f>IFERROR(INDEX('Base de sorteio'!$C$3:$C$1723,MATCH($B727&amp;"|"&amp;$C727,'Base de sorteio'!$I$3:$I$1723,0)),"")</f>
        <v/>
      </c>
      <c r="G727" s="4">
        <f>IFERROR(INDEX('Base de sorteio'!$D$3:$D$1723,MATCH($B727&amp;"|"&amp;$C727,'Base de sorteio'!$I$3:$I$1723,0)),"")</f>
        <v/>
      </c>
      <c r="H727" s="4">
        <f>IFERROR(INDEX('Base de sorteio'!$E$3:$E$1723,MATCH($B727&amp;"|"&amp;$C727,'Base de sorteio'!$I$3:$I$1723,0)),"")</f>
        <v/>
      </c>
      <c r="I727" s="4">
        <f>IF(E727="","",HYPERLINK(IFERROR(INDEX('Base de sorteio'!$J$3:$J$1723,MATCH($B727&amp;"|"&amp;$C727,'Base de sorteio'!$I$3:$I$1723,0)),""),"abrir"))</f>
        <v/>
      </c>
      <c r="J727" s="4" t="n"/>
      <c r="K727" s="4" t="n"/>
      <c r="L727" s="4" t="n"/>
      <c r="M727" s="4" t="n"/>
      <c r="N727" s="4">
        <f>IF(AND(K727="",M727=""),"",IF(OR(K727="sim",M727="sim"),"sim",IF(OR(K727="inconclusivo",M727="inconclusivo"),"inconclusivo","não")))</f>
        <v/>
      </c>
      <c r="O727" s="5">
        <f>IF(N727="sim",COUNTIFS($B$3:$B727,$B727,$N$3:$N727,"sim"),"")</f>
        <v/>
      </c>
      <c r="P727" s="5" t="n"/>
      <c r="Q727" s="4" t="n"/>
      <c r="R727" s="5" t="n"/>
      <c r="S727" s="9" t="n"/>
      <c r="T727" s="4" t="n"/>
    </row>
    <row r="728">
      <c r="A728" s="5">
        <f>ROW()-2</f>
        <v/>
      </c>
      <c r="B728" s="4" t="inlineStr">
        <is>
          <t>Metrópole</t>
        </is>
      </c>
      <c r="C728" s="5" t="n">
        <v>726</v>
      </c>
      <c r="D728" s="5">
        <f>IFERROR(INDEX('Base de sorteio'!$A$3:$A$1723,MATCH($B728&amp;"|"&amp;$C728,'Base de sorteio'!$I$3:$I$1723,0)),"")</f>
        <v/>
      </c>
      <c r="E728" s="4">
        <f>IFERROR(INDEX('Base de sorteio'!$B$3:$B$1723,MATCH($B728&amp;"|"&amp;$C728,'Base de sorteio'!$I$3:$I$1723,0)),"")</f>
        <v/>
      </c>
      <c r="F728" s="4">
        <f>IFERROR(INDEX('Base de sorteio'!$C$3:$C$1723,MATCH($B728&amp;"|"&amp;$C728,'Base de sorteio'!$I$3:$I$1723,0)),"")</f>
        <v/>
      </c>
      <c r="G728" s="4">
        <f>IFERROR(INDEX('Base de sorteio'!$D$3:$D$1723,MATCH($B728&amp;"|"&amp;$C728,'Base de sorteio'!$I$3:$I$1723,0)),"")</f>
        <v/>
      </c>
      <c r="H728" s="4">
        <f>IFERROR(INDEX('Base de sorteio'!$E$3:$E$1723,MATCH($B728&amp;"|"&amp;$C728,'Base de sorteio'!$I$3:$I$1723,0)),"")</f>
        <v/>
      </c>
      <c r="I728" s="4">
        <f>IF(E728="","",HYPERLINK(IFERROR(INDEX('Base de sorteio'!$J$3:$J$1723,MATCH($B728&amp;"|"&amp;$C728,'Base de sorteio'!$I$3:$I$1723,0)),""),"abrir"))</f>
        <v/>
      </c>
      <c r="J728" s="4" t="n"/>
      <c r="K728" s="4" t="n"/>
      <c r="L728" s="4" t="n"/>
      <c r="M728" s="4" t="n"/>
      <c r="N728" s="4">
        <f>IF(AND(K728="",M728=""),"",IF(OR(K728="sim",M728="sim"),"sim",IF(OR(K728="inconclusivo",M728="inconclusivo"),"inconclusivo","não")))</f>
        <v/>
      </c>
      <c r="O728" s="5">
        <f>IF(N728="sim",COUNTIFS($B$3:$B728,$B728,$N$3:$N728,"sim"),"")</f>
        <v/>
      </c>
      <c r="P728" s="5" t="n"/>
      <c r="Q728" s="4" t="n"/>
      <c r="R728" s="5" t="n"/>
      <c r="S728" s="9" t="n"/>
      <c r="T728" s="4" t="n"/>
    </row>
    <row r="729">
      <c r="A729" s="5">
        <f>ROW()-2</f>
        <v/>
      </c>
      <c r="B729" s="4" t="inlineStr">
        <is>
          <t>Metrópole</t>
        </is>
      </c>
      <c r="C729" s="5" t="n">
        <v>727</v>
      </c>
      <c r="D729" s="5">
        <f>IFERROR(INDEX('Base de sorteio'!$A$3:$A$1723,MATCH($B729&amp;"|"&amp;$C729,'Base de sorteio'!$I$3:$I$1723,0)),"")</f>
        <v/>
      </c>
      <c r="E729" s="4">
        <f>IFERROR(INDEX('Base de sorteio'!$B$3:$B$1723,MATCH($B729&amp;"|"&amp;$C729,'Base de sorteio'!$I$3:$I$1723,0)),"")</f>
        <v/>
      </c>
      <c r="F729" s="4">
        <f>IFERROR(INDEX('Base de sorteio'!$C$3:$C$1723,MATCH($B729&amp;"|"&amp;$C729,'Base de sorteio'!$I$3:$I$1723,0)),"")</f>
        <v/>
      </c>
      <c r="G729" s="4">
        <f>IFERROR(INDEX('Base de sorteio'!$D$3:$D$1723,MATCH($B729&amp;"|"&amp;$C729,'Base de sorteio'!$I$3:$I$1723,0)),"")</f>
        <v/>
      </c>
      <c r="H729" s="4">
        <f>IFERROR(INDEX('Base de sorteio'!$E$3:$E$1723,MATCH($B729&amp;"|"&amp;$C729,'Base de sorteio'!$I$3:$I$1723,0)),"")</f>
        <v/>
      </c>
      <c r="I729" s="4">
        <f>IF(E729="","",HYPERLINK(IFERROR(INDEX('Base de sorteio'!$J$3:$J$1723,MATCH($B729&amp;"|"&amp;$C729,'Base de sorteio'!$I$3:$I$1723,0)),""),"abrir"))</f>
        <v/>
      </c>
      <c r="J729" s="4" t="n"/>
      <c r="K729" s="4" t="n"/>
      <c r="L729" s="4" t="n"/>
      <c r="M729" s="4" t="n"/>
      <c r="N729" s="4">
        <f>IF(AND(K729="",M729=""),"",IF(OR(K729="sim",M729="sim"),"sim",IF(OR(K729="inconclusivo",M729="inconclusivo"),"inconclusivo","não")))</f>
        <v/>
      </c>
      <c r="O729" s="5">
        <f>IF(N729="sim",COUNTIFS($B$3:$B729,$B729,$N$3:$N729,"sim"),"")</f>
        <v/>
      </c>
      <c r="P729" s="5" t="n"/>
      <c r="Q729" s="4" t="n"/>
      <c r="R729" s="5" t="n"/>
      <c r="S729" s="9" t="n"/>
      <c r="T729" s="4" t="n"/>
    </row>
    <row r="730">
      <c r="A730" s="5">
        <f>ROW()-2</f>
        <v/>
      </c>
      <c r="B730" s="4" t="inlineStr">
        <is>
          <t>Metrópole</t>
        </is>
      </c>
      <c r="C730" s="5" t="n">
        <v>728</v>
      </c>
      <c r="D730" s="5">
        <f>IFERROR(INDEX('Base de sorteio'!$A$3:$A$1723,MATCH($B730&amp;"|"&amp;$C730,'Base de sorteio'!$I$3:$I$1723,0)),"")</f>
        <v/>
      </c>
      <c r="E730" s="4">
        <f>IFERROR(INDEX('Base de sorteio'!$B$3:$B$1723,MATCH($B730&amp;"|"&amp;$C730,'Base de sorteio'!$I$3:$I$1723,0)),"")</f>
        <v/>
      </c>
      <c r="F730" s="4">
        <f>IFERROR(INDEX('Base de sorteio'!$C$3:$C$1723,MATCH($B730&amp;"|"&amp;$C730,'Base de sorteio'!$I$3:$I$1723,0)),"")</f>
        <v/>
      </c>
      <c r="G730" s="4">
        <f>IFERROR(INDEX('Base de sorteio'!$D$3:$D$1723,MATCH($B730&amp;"|"&amp;$C730,'Base de sorteio'!$I$3:$I$1723,0)),"")</f>
        <v/>
      </c>
      <c r="H730" s="4">
        <f>IFERROR(INDEX('Base de sorteio'!$E$3:$E$1723,MATCH($B730&amp;"|"&amp;$C730,'Base de sorteio'!$I$3:$I$1723,0)),"")</f>
        <v/>
      </c>
      <c r="I730" s="4">
        <f>IF(E730="","",HYPERLINK(IFERROR(INDEX('Base de sorteio'!$J$3:$J$1723,MATCH($B730&amp;"|"&amp;$C730,'Base de sorteio'!$I$3:$I$1723,0)),""),"abrir"))</f>
        <v/>
      </c>
      <c r="J730" s="4" t="n"/>
      <c r="K730" s="4" t="n"/>
      <c r="L730" s="4" t="n"/>
      <c r="M730" s="4" t="n"/>
      <c r="N730" s="4">
        <f>IF(AND(K730="",M730=""),"",IF(OR(K730="sim",M730="sim"),"sim",IF(OR(K730="inconclusivo",M730="inconclusivo"),"inconclusivo","não")))</f>
        <v/>
      </c>
      <c r="O730" s="5">
        <f>IF(N730="sim",COUNTIFS($B$3:$B730,$B730,$N$3:$N730,"sim"),"")</f>
        <v/>
      </c>
      <c r="P730" s="5" t="n"/>
      <c r="Q730" s="4" t="n"/>
      <c r="R730" s="5" t="n"/>
      <c r="S730" s="9" t="n"/>
      <c r="T730" s="4" t="n"/>
    </row>
    <row r="731">
      <c r="A731" s="5">
        <f>ROW()-2</f>
        <v/>
      </c>
      <c r="B731" s="4" t="inlineStr">
        <is>
          <t>Metrópole</t>
        </is>
      </c>
      <c r="C731" s="5" t="n">
        <v>729</v>
      </c>
      <c r="D731" s="5">
        <f>IFERROR(INDEX('Base de sorteio'!$A$3:$A$1723,MATCH($B731&amp;"|"&amp;$C731,'Base de sorteio'!$I$3:$I$1723,0)),"")</f>
        <v/>
      </c>
      <c r="E731" s="4">
        <f>IFERROR(INDEX('Base de sorteio'!$B$3:$B$1723,MATCH($B731&amp;"|"&amp;$C731,'Base de sorteio'!$I$3:$I$1723,0)),"")</f>
        <v/>
      </c>
      <c r="F731" s="4">
        <f>IFERROR(INDEX('Base de sorteio'!$C$3:$C$1723,MATCH($B731&amp;"|"&amp;$C731,'Base de sorteio'!$I$3:$I$1723,0)),"")</f>
        <v/>
      </c>
      <c r="G731" s="4">
        <f>IFERROR(INDEX('Base de sorteio'!$D$3:$D$1723,MATCH($B731&amp;"|"&amp;$C731,'Base de sorteio'!$I$3:$I$1723,0)),"")</f>
        <v/>
      </c>
      <c r="H731" s="4">
        <f>IFERROR(INDEX('Base de sorteio'!$E$3:$E$1723,MATCH($B731&amp;"|"&amp;$C731,'Base de sorteio'!$I$3:$I$1723,0)),"")</f>
        <v/>
      </c>
      <c r="I731" s="4">
        <f>IF(E731="","",HYPERLINK(IFERROR(INDEX('Base de sorteio'!$J$3:$J$1723,MATCH($B731&amp;"|"&amp;$C731,'Base de sorteio'!$I$3:$I$1723,0)),""),"abrir"))</f>
        <v/>
      </c>
      <c r="J731" s="4" t="n"/>
      <c r="K731" s="4" t="n"/>
      <c r="L731" s="4" t="n"/>
      <c r="M731" s="4" t="n"/>
      <c r="N731" s="4">
        <f>IF(AND(K731="",M731=""),"",IF(OR(K731="sim",M731="sim"),"sim",IF(OR(K731="inconclusivo",M731="inconclusivo"),"inconclusivo","não")))</f>
        <v/>
      </c>
      <c r="O731" s="5">
        <f>IF(N731="sim",COUNTIFS($B$3:$B731,$B731,$N$3:$N731,"sim"),"")</f>
        <v/>
      </c>
      <c r="P731" s="5" t="n"/>
      <c r="Q731" s="4" t="n"/>
      <c r="R731" s="5" t="n"/>
      <c r="S731" s="9" t="n"/>
      <c r="T731" s="4" t="n"/>
    </row>
    <row r="732">
      <c r="A732" s="5">
        <f>ROW()-2</f>
        <v/>
      </c>
      <c r="B732" s="4" t="inlineStr">
        <is>
          <t>Metrópole</t>
        </is>
      </c>
      <c r="C732" s="5" t="n">
        <v>730</v>
      </c>
      <c r="D732" s="5">
        <f>IFERROR(INDEX('Base de sorteio'!$A$3:$A$1723,MATCH($B732&amp;"|"&amp;$C732,'Base de sorteio'!$I$3:$I$1723,0)),"")</f>
        <v/>
      </c>
      <c r="E732" s="4">
        <f>IFERROR(INDEX('Base de sorteio'!$B$3:$B$1723,MATCH($B732&amp;"|"&amp;$C732,'Base de sorteio'!$I$3:$I$1723,0)),"")</f>
        <v/>
      </c>
      <c r="F732" s="4">
        <f>IFERROR(INDEX('Base de sorteio'!$C$3:$C$1723,MATCH($B732&amp;"|"&amp;$C732,'Base de sorteio'!$I$3:$I$1723,0)),"")</f>
        <v/>
      </c>
      <c r="G732" s="4">
        <f>IFERROR(INDEX('Base de sorteio'!$D$3:$D$1723,MATCH($B732&amp;"|"&amp;$C732,'Base de sorteio'!$I$3:$I$1723,0)),"")</f>
        <v/>
      </c>
      <c r="H732" s="4">
        <f>IFERROR(INDEX('Base de sorteio'!$E$3:$E$1723,MATCH($B732&amp;"|"&amp;$C732,'Base de sorteio'!$I$3:$I$1723,0)),"")</f>
        <v/>
      </c>
      <c r="I732" s="4">
        <f>IF(E732="","",HYPERLINK(IFERROR(INDEX('Base de sorteio'!$J$3:$J$1723,MATCH($B732&amp;"|"&amp;$C732,'Base de sorteio'!$I$3:$I$1723,0)),""),"abrir"))</f>
        <v/>
      </c>
      <c r="J732" s="4" t="n"/>
      <c r="K732" s="4" t="n"/>
      <c r="L732" s="4" t="n"/>
      <c r="M732" s="4" t="n"/>
      <c r="N732" s="4">
        <f>IF(AND(K732="",M732=""),"",IF(OR(K732="sim",M732="sim"),"sim",IF(OR(K732="inconclusivo",M732="inconclusivo"),"inconclusivo","não")))</f>
        <v/>
      </c>
      <c r="O732" s="5">
        <f>IF(N732="sim",COUNTIFS($B$3:$B732,$B732,$N$3:$N732,"sim"),"")</f>
        <v/>
      </c>
      <c r="P732" s="5" t="n"/>
      <c r="Q732" s="4" t="n"/>
      <c r="R732" s="5" t="n"/>
      <c r="S732" s="9" t="n"/>
      <c r="T732" s="4" t="n"/>
    </row>
    <row r="733">
      <c r="A733" s="5">
        <f>ROW()-2</f>
        <v/>
      </c>
      <c r="B733" s="4" t="inlineStr">
        <is>
          <t>Metrópole</t>
        </is>
      </c>
      <c r="C733" s="5" t="n">
        <v>731</v>
      </c>
      <c r="D733" s="5">
        <f>IFERROR(INDEX('Base de sorteio'!$A$3:$A$1723,MATCH($B733&amp;"|"&amp;$C733,'Base de sorteio'!$I$3:$I$1723,0)),"")</f>
        <v/>
      </c>
      <c r="E733" s="4">
        <f>IFERROR(INDEX('Base de sorteio'!$B$3:$B$1723,MATCH($B733&amp;"|"&amp;$C733,'Base de sorteio'!$I$3:$I$1723,0)),"")</f>
        <v/>
      </c>
      <c r="F733" s="4">
        <f>IFERROR(INDEX('Base de sorteio'!$C$3:$C$1723,MATCH($B733&amp;"|"&amp;$C733,'Base de sorteio'!$I$3:$I$1723,0)),"")</f>
        <v/>
      </c>
      <c r="G733" s="4">
        <f>IFERROR(INDEX('Base de sorteio'!$D$3:$D$1723,MATCH($B733&amp;"|"&amp;$C733,'Base de sorteio'!$I$3:$I$1723,0)),"")</f>
        <v/>
      </c>
      <c r="H733" s="4">
        <f>IFERROR(INDEX('Base de sorteio'!$E$3:$E$1723,MATCH($B733&amp;"|"&amp;$C733,'Base de sorteio'!$I$3:$I$1723,0)),"")</f>
        <v/>
      </c>
      <c r="I733" s="4">
        <f>IF(E733="","",HYPERLINK(IFERROR(INDEX('Base de sorteio'!$J$3:$J$1723,MATCH($B733&amp;"|"&amp;$C733,'Base de sorteio'!$I$3:$I$1723,0)),""),"abrir"))</f>
        <v/>
      </c>
      <c r="J733" s="4" t="n"/>
      <c r="K733" s="4" t="n"/>
      <c r="L733" s="4" t="n"/>
      <c r="M733" s="4" t="n"/>
      <c r="N733" s="4">
        <f>IF(AND(K733="",M733=""),"",IF(OR(K733="sim",M733="sim"),"sim",IF(OR(K733="inconclusivo",M733="inconclusivo"),"inconclusivo","não")))</f>
        <v/>
      </c>
      <c r="O733" s="5">
        <f>IF(N733="sim",COUNTIFS($B$3:$B733,$B733,$N$3:$N733,"sim"),"")</f>
        <v/>
      </c>
      <c r="P733" s="5" t="n"/>
      <c r="Q733" s="4" t="n"/>
      <c r="R733" s="5" t="n"/>
      <c r="S733" s="9" t="n"/>
      <c r="T733" s="4" t="n"/>
    </row>
    <row r="734">
      <c r="A734" s="5">
        <f>ROW()-2</f>
        <v/>
      </c>
      <c r="B734" s="4" t="inlineStr">
        <is>
          <t>Metrópole</t>
        </is>
      </c>
      <c r="C734" s="5" t="n">
        <v>732</v>
      </c>
      <c r="D734" s="5">
        <f>IFERROR(INDEX('Base de sorteio'!$A$3:$A$1723,MATCH($B734&amp;"|"&amp;$C734,'Base de sorteio'!$I$3:$I$1723,0)),"")</f>
        <v/>
      </c>
      <c r="E734" s="4">
        <f>IFERROR(INDEX('Base de sorteio'!$B$3:$B$1723,MATCH($B734&amp;"|"&amp;$C734,'Base de sorteio'!$I$3:$I$1723,0)),"")</f>
        <v/>
      </c>
      <c r="F734" s="4">
        <f>IFERROR(INDEX('Base de sorteio'!$C$3:$C$1723,MATCH($B734&amp;"|"&amp;$C734,'Base de sorteio'!$I$3:$I$1723,0)),"")</f>
        <v/>
      </c>
      <c r="G734" s="4">
        <f>IFERROR(INDEX('Base de sorteio'!$D$3:$D$1723,MATCH($B734&amp;"|"&amp;$C734,'Base de sorteio'!$I$3:$I$1723,0)),"")</f>
        <v/>
      </c>
      <c r="H734" s="4">
        <f>IFERROR(INDEX('Base de sorteio'!$E$3:$E$1723,MATCH($B734&amp;"|"&amp;$C734,'Base de sorteio'!$I$3:$I$1723,0)),"")</f>
        <v/>
      </c>
      <c r="I734" s="4">
        <f>IF(E734="","",HYPERLINK(IFERROR(INDEX('Base de sorteio'!$J$3:$J$1723,MATCH($B734&amp;"|"&amp;$C734,'Base de sorteio'!$I$3:$I$1723,0)),""),"abrir"))</f>
        <v/>
      </c>
      <c r="J734" s="4" t="n"/>
      <c r="K734" s="4" t="n"/>
      <c r="L734" s="4" t="n"/>
      <c r="M734" s="4" t="n"/>
      <c r="N734" s="4">
        <f>IF(AND(K734="",M734=""),"",IF(OR(K734="sim",M734="sim"),"sim",IF(OR(K734="inconclusivo",M734="inconclusivo"),"inconclusivo","não")))</f>
        <v/>
      </c>
      <c r="O734" s="5">
        <f>IF(N734="sim",COUNTIFS($B$3:$B734,$B734,$N$3:$N734,"sim"),"")</f>
        <v/>
      </c>
      <c r="P734" s="5" t="n"/>
      <c r="Q734" s="4" t="n"/>
      <c r="R734" s="5" t="n"/>
      <c r="S734" s="9" t="n"/>
      <c r="T734" s="4" t="n"/>
    </row>
    <row r="735">
      <c r="A735" s="5">
        <f>ROW()-2</f>
        <v/>
      </c>
      <c r="B735" s="4" t="inlineStr">
        <is>
          <t>Metrópole</t>
        </is>
      </c>
      <c r="C735" s="5" t="n">
        <v>733</v>
      </c>
      <c r="D735" s="5">
        <f>IFERROR(INDEX('Base de sorteio'!$A$3:$A$1723,MATCH($B735&amp;"|"&amp;$C735,'Base de sorteio'!$I$3:$I$1723,0)),"")</f>
        <v/>
      </c>
      <c r="E735" s="4">
        <f>IFERROR(INDEX('Base de sorteio'!$B$3:$B$1723,MATCH($B735&amp;"|"&amp;$C735,'Base de sorteio'!$I$3:$I$1723,0)),"")</f>
        <v/>
      </c>
      <c r="F735" s="4">
        <f>IFERROR(INDEX('Base de sorteio'!$C$3:$C$1723,MATCH($B735&amp;"|"&amp;$C735,'Base de sorteio'!$I$3:$I$1723,0)),"")</f>
        <v/>
      </c>
      <c r="G735" s="4">
        <f>IFERROR(INDEX('Base de sorteio'!$D$3:$D$1723,MATCH($B735&amp;"|"&amp;$C735,'Base de sorteio'!$I$3:$I$1723,0)),"")</f>
        <v/>
      </c>
      <c r="H735" s="4">
        <f>IFERROR(INDEX('Base de sorteio'!$E$3:$E$1723,MATCH($B735&amp;"|"&amp;$C735,'Base de sorteio'!$I$3:$I$1723,0)),"")</f>
        <v/>
      </c>
      <c r="I735" s="4">
        <f>IF(E735="","",HYPERLINK(IFERROR(INDEX('Base de sorteio'!$J$3:$J$1723,MATCH($B735&amp;"|"&amp;$C735,'Base de sorteio'!$I$3:$I$1723,0)),""),"abrir"))</f>
        <v/>
      </c>
      <c r="J735" s="4" t="n"/>
      <c r="K735" s="4" t="n"/>
      <c r="L735" s="4" t="n"/>
      <c r="M735" s="4" t="n"/>
      <c r="N735" s="4">
        <f>IF(AND(K735="",M735=""),"",IF(OR(K735="sim",M735="sim"),"sim",IF(OR(K735="inconclusivo",M735="inconclusivo"),"inconclusivo","não")))</f>
        <v/>
      </c>
      <c r="O735" s="5">
        <f>IF(N735="sim",COUNTIFS($B$3:$B735,$B735,$N$3:$N735,"sim"),"")</f>
        <v/>
      </c>
      <c r="P735" s="5" t="n"/>
      <c r="Q735" s="4" t="n"/>
      <c r="R735" s="5" t="n"/>
      <c r="S735" s="9" t="n"/>
      <c r="T735" s="4" t="n"/>
    </row>
    <row r="736">
      <c r="A736" s="5">
        <f>ROW()-2</f>
        <v/>
      </c>
      <c r="B736" s="4" t="inlineStr">
        <is>
          <t>Metrópole</t>
        </is>
      </c>
      <c r="C736" s="5" t="n">
        <v>734</v>
      </c>
      <c r="D736" s="5">
        <f>IFERROR(INDEX('Base de sorteio'!$A$3:$A$1723,MATCH($B736&amp;"|"&amp;$C736,'Base de sorteio'!$I$3:$I$1723,0)),"")</f>
        <v/>
      </c>
      <c r="E736" s="4">
        <f>IFERROR(INDEX('Base de sorteio'!$B$3:$B$1723,MATCH($B736&amp;"|"&amp;$C736,'Base de sorteio'!$I$3:$I$1723,0)),"")</f>
        <v/>
      </c>
      <c r="F736" s="4">
        <f>IFERROR(INDEX('Base de sorteio'!$C$3:$C$1723,MATCH($B736&amp;"|"&amp;$C736,'Base de sorteio'!$I$3:$I$1723,0)),"")</f>
        <v/>
      </c>
      <c r="G736" s="4">
        <f>IFERROR(INDEX('Base de sorteio'!$D$3:$D$1723,MATCH($B736&amp;"|"&amp;$C736,'Base de sorteio'!$I$3:$I$1723,0)),"")</f>
        <v/>
      </c>
      <c r="H736" s="4">
        <f>IFERROR(INDEX('Base de sorteio'!$E$3:$E$1723,MATCH($B736&amp;"|"&amp;$C736,'Base de sorteio'!$I$3:$I$1723,0)),"")</f>
        <v/>
      </c>
      <c r="I736" s="4">
        <f>IF(E736="","",HYPERLINK(IFERROR(INDEX('Base de sorteio'!$J$3:$J$1723,MATCH($B736&amp;"|"&amp;$C736,'Base de sorteio'!$I$3:$I$1723,0)),""),"abrir"))</f>
        <v/>
      </c>
      <c r="J736" s="4" t="n"/>
      <c r="K736" s="4" t="n"/>
      <c r="L736" s="4" t="n"/>
      <c r="M736" s="4" t="n"/>
      <c r="N736" s="4">
        <f>IF(AND(K736="",M736=""),"",IF(OR(K736="sim",M736="sim"),"sim",IF(OR(K736="inconclusivo",M736="inconclusivo"),"inconclusivo","não")))</f>
        <v/>
      </c>
      <c r="O736" s="5">
        <f>IF(N736="sim",COUNTIFS($B$3:$B736,$B736,$N$3:$N736,"sim"),"")</f>
        <v/>
      </c>
      <c r="P736" s="5" t="n"/>
      <c r="Q736" s="4" t="n"/>
      <c r="R736" s="5" t="n"/>
      <c r="S736" s="9" t="n"/>
      <c r="T736" s="4" t="n"/>
    </row>
    <row r="737">
      <c r="A737" s="5">
        <f>ROW()-2</f>
        <v/>
      </c>
      <c r="B737" s="4" t="inlineStr">
        <is>
          <t>Metrópole</t>
        </is>
      </c>
      <c r="C737" s="5" t="n">
        <v>735</v>
      </c>
      <c r="D737" s="5">
        <f>IFERROR(INDEX('Base de sorteio'!$A$3:$A$1723,MATCH($B737&amp;"|"&amp;$C737,'Base de sorteio'!$I$3:$I$1723,0)),"")</f>
        <v/>
      </c>
      <c r="E737" s="4">
        <f>IFERROR(INDEX('Base de sorteio'!$B$3:$B$1723,MATCH($B737&amp;"|"&amp;$C737,'Base de sorteio'!$I$3:$I$1723,0)),"")</f>
        <v/>
      </c>
      <c r="F737" s="4">
        <f>IFERROR(INDEX('Base de sorteio'!$C$3:$C$1723,MATCH($B737&amp;"|"&amp;$C737,'Base de sorteio'!$I$3:$I$1723,0)),"")</f>
        <v/>
      </c>
      <c r="G737" s="4">
        <f>IFERROR(INDEX('Base de sorteio'!$D$3:$D$1723,MATCH($B737&amp;"|"&amp;$C737,'Base de sorteio'!$I$3:$I$1723,0)),"")</f>
        <v/>
      </c>
      <c r="H737" s="4">
        <f>IFERROR(INDEX('Base de sorteio'!$E$3:$E$1723,MATCH($B737&amp;"|"&amp;$C737,'Base de sorteio'!$I$3:$I$1723,0)),"")</f>
        <v/>
      </c>
      <c r="I737" s="4">
        <f>IF(E737="","",HYPERLINK(IFERROR(INDEX('Base de sorteio'!$J$3:$J$1723,MATCH($B737&amp;"|"&amp;$C737,'Base de sorteio'!$I$3:$I$1723,0)),""),"abrir"))</f>
        <v/>
      </c>
      <c r="J737" s="4" t="n"/>
      <c r="K737" s="4" t="n"/>
      <c r="L737" s="4" t="n"/>
      <c r="M737" s="4" t="n"/>
      <c r="N737" s="4">
        <f>IF(AND(K737="",M737=""),"",IF(OR(K737="sim",M737="sim"),"sim",IF(OR(K737="inconclusivo",M737="inconclusivo"),"inconclusivo","não")))</f>
        <v/>
      </c>
      <c r="O737" s="5">
        <f>IF(N737="sim",COUNTIFS($B$3:$B737,$B737,$N$3:$N737,"sim"),"")</f>
        <v/>
      </c>
      <c r="P737" s="5" t="n"/>
      <c r="Q737" s="4" t="n"/>
      <c r="R737" s="5" t="n"/>
      <c r="S737" s="9" t="n"/>
      <c r="T737" s="4" t="n"/>
    </row>
    <row r="738">
      <c r="A738" s="5">
        <f>ROW()-2</f>
        <v/>
      </c>
      <c r="B738" s="4" t="inlineStr">
        <is>
          <t>Metrópole</t>
        </is>
      </c>
      <c r="C738" s="5" t="n">
        <v>736</v>
      </c>
      <c r="D738" s="5">
        <f>IFERROR(INDEX('Base de sorteio'!$A$3:$A$1723,MATCH($B738&amp;"|"&amp;$C738,'Base de sorteio'!$I$3:$I$1723,0)),"")</f>
        <v/>
      </c>
      <c r="E738" s="4">
        <f>IFERROR(INDEX('Base de sorteio'!$B$3:$B$1723,MATCH($B738&amp;"|"&amp;$C738,'Base de sorteio'!$I$3:$I$1723,0)),"")</f>
        <v/>
      </c>
      <c r="F738" s="4">
        <f>IFERROR(INDEX('Base de sorteio'!$C$3:$C$1723,MATCH($B738&amp;"|"&amp;$C738,'Base de sorteio'!$I$3:$I$1723,0)),"")</f>
        <v/>
      </c>
      <c r="G738" s="4">
        <f>IFERROR(INDEX('Base de sorteio'!$D$3:$D$1723,MATCH($B738&amp;"|"&amp;$C738,'Base de sorteio'!$I$3:$I$1723,0)),"")</f>
        <v/>
      </c>
      <c r="H738" s="4">
        <f>IFERROR(INDEX('Base de sorteio'!$E$3:$E$1723,MATCH($B738&amp;"|"&amp;$C738,'Base de sorteio'!$I$3:$I$1723,0)),"")</f>
        <v/>
      </c>
      <c r="I738" s="4">
        <f>IF(E738="","",HYPERLINK(IFERROR(INDEX('Base de sorteio'!$J$3:$J$1723,MATCH($B738&amp;"|"&amp;$C738,'Base de sorteio'!$I$3:$I$1723,0)),""),"abrir"))</f>
        <v/>
      </c>
      <c r="J738" s="4" t="n"/>
      <c r="K738" s="4" t="n"/>
      <c r="L738" s="4" t="n"/>
      <c r="M738" s="4" t="n"/>
      <c r="N738" s="4">
        <f>IF(AND(K738="",M738=""),"",IF(OR(K738="sim",M738="sim"),"sim",IF(OR(K738="inconclusivo",M738="inconclusivo"),"inconclusivo","não")))</f>
        <v/>
      </c>
      <c r="O738" s="5">
        <f>IF(N738="sim",COUNTIFS($B$3:$B738,$B738,$N$3:$N738,"sim"),"")</f>
        <v/>
      </c>
      <c r="P738" s="5" t="n"/>
      <c r="Q738" s="4" t="n"/>
      <c r="R738" s="5" t="n"/>
      <c r="S738" s="9" t="n"/>
      <c r="T738" s="4" t="n"/>
    </row>
    <row r="739">
      <c r="A739" s="5">
        <f>ROW()-2</f>
        <v/>
      </c>
      <c r="B739" s="4" t="inlineStr">
        <is>
          <t>Metrópole</t>
        </is>
      </c>
      <c r="C739" s="5" t="n">
        <v>737</v>
      </c>
      <c r="D739" s="5">
        <f>IFERROR(INDEX('Base de sorteio'!$A$3:$A$1723,MATCH($B739&amp;"|"&amp;$C739,'Base de sorteio'!$I$3:$I$1723,0)),"")</f>
        <v/>
      </c>
      <c r="E739" s="4">
        <f>IFERROR(INDEX('Base de sorteio'!$B$3:$B$1723,MATCH($B739&amp;"|"&amp;$C739,'Base de sorteio'!$I$3:$I$1723,0)),"")</f>
        <v/>
      </c>
      <c r="F739" s="4">
        <f>IFERROR(INDEX('Base de sorteio'!$C$3:$C$1723,MATCH($B739&amp;"|"&amp;$C739,'Base de sorteio'!$I$3:$I$1723,0)),"")</f>
        <v/>
      </c>
      <c r="G739" s="4">
        <f>IFERROR(INDEX('Base de sorteio'!$D$3:$D$1723,MATCH($B739&amp;"|"&amp;$C739,'Base de sorteio'!$I$3:$I$1723,0)),"")</f>
        <v/>
      </c>
      <c r="H739" s="4">
        <f>IFERROR(INDEX('Base de sorteio'!$E$3:$E$1723,MATCH($B739&amp;"|"&amp;$C739,'Base de sorteio'!$I$3:$I$1723,0)),"")</f>
        <v/>
      </c>
      <c r="I739" s="4">
        <f>IF(E739="","",HYPERLINK(IFERROR(INDEX('Base de sorteio'!$J$3:$J$1723,MATCH($B739&amp;"|"&amp;$C739,'Base de sorteio'!$I$3:$I$1723,0)),""),"abrir"))</f>
        <v/>
      </c>
      <c r="J739" s="4" t="n"/>
      <c r="K739" s="4" t="n"/>
      <c r="L739" s="4" t="n"/>
      <c r="M739" s="4" t="n"/>
      <c r="N739" s="4">
        <f>IF(AND(K739="",M739=""),"",IF(OR(K739="sim",M739="sim"),"sim",IF(OR(K739="inconclusivo",M739="inconclusivo"),"inconclusivo","não")))</f>
        <v/>
      </c>
      <c r="O739" s="5">
        <f>IF(N739="sim",COUNTIFS($B$3:$B739,$B739,$N$3:$N739,"sim"),"")</f>
        <v/>
      </c>
      <c r="P739" s="5" t="n"/>
      <c r="Q739" s="4" t="n"/>
      <c r="R739" s="5" t="n"/>
      <c r="S739" s="9" t="n"/>
      <c r="T739" s="4" t="n"/>
    </row>
    <row r="740">
      <c r="A740" s="5">
        <f>ROW()-2</f>
        <v/>
      </c>
      <c r="B740" s="4" t="inlineStr">
        <is>
          <t>Metrópole</t>
        </is>
      </c>
      <c r="C740" s="5" t="n">
        <v>738</v>
      </c>
      <c r="D740" s="5">
        <f>IFERROR(INDEX('Base de sorteio'!$A$3:$A$1723,MATCH($B740&amp;"|"&amp;$C740,'Base de sorteio'!$I$3:$I$1723,0)),"")</f>
        <v/>
      </c>
      <c r="E740" s="4">
        <f>IFERROR(INDEX('Base de sorteio'!$B$3:$B$1723,MATCH($B740&amp;"|"&amp;$C740,'Base de sorteio'!$I$3:$I$1723,0)),"")</f>
        <v/>
      </c>
      <c r="F740" s="4">
        <f>IFERROR(INDEX('Base de sorteio'!$C$3:$C$1723,MATCH($B740&amp;"|"&amp;$C740,'Base de sorteio'!$I$3:$I$1723,0)),"")</f>
        <v/>
      </c>
      <c r="G740" s="4">
        <f>IFERROR(INDEX('Base de sorteio'!$D$3:$D$1723,MATCH($B740&amp;"|"&amp;$C740,'Base de sorteio'!$I$3:$I$1723,0)),"")</f>
        <v/>
      </c>
      <c r="H740" s="4">
        <f>IFERROR(INDEX('Base de sorteio'!$E$3:$E$1723,MATCH($B740&amp;"|"&amp;$C740,'Base de sorteio'!$I$3:$I$1723,0)),"")</f>
        <v/>
      </c>
      <c r="I740" s="4">
        <f>IF(E740="","",HYPERLINK(IFERROR(INDEX('Base de sorteio'!$J$3:$J$1723,MATCH($B740&amp;"|"&amp;$C740,'Base de sorteio'!$I$3:$I$1723,0)),""),"abrir"))</f>
        <v/>
      </c>
      <c r="J740" s="4" t="n"/>
      <c r="K740" s="4" t="n"/>
      <c r="L740" s="4" t="n"/>
      <c r="M740" s="4" t="n"/>
      <c r="N740" s="4">
        <f>IF(AND(K740="",M740=""),"",IF(OR(K740="sim",M740="sim"),"sim",IF(OR(K740="inconclusivo",M740="inconclusivo"),"inconclusivo","não")))</f>
        <v/>
      </c>
      <c r="O740" s="5">
        <f>IF(N740="sim",COUNTIFS($B$3:$B740,$B740,$N$3:$N740,"sim"),"")</f>
        <v/>
      </c>
      <c r="P740" s="5" t="n"/>
      <c r="Q740" s="4" t="n"/>
      <c r="R740" s="5" t="n"/>
      <c r="S740" s="9" t="n"/>
      <c r="T740" s="4" t="n"/>
    </row>
    <row r="741">
      <c r="A741" s="5">
        <f>ROW()-2</f>
        <v/>
      </c>
      <c r="B741" s="4" t="inlineStr">
        <is>
          <t>Metrópole</t>
        </is>
      </c>
      <c r="C741" s="5" t="n">
        <v>739</v>
      </c>
      <c r="D741" s="5">
        <f>IFERROR(INDEX('Base de sorteio'!$A$3:$A$1723,MATCH($B741&amp;"|"&amp;$C741,'Base de sorteio'!$I$3:$I$1723,0)),"")</f>
        <v/>
      </c>
      <c r="E741" s="4">
        <f>IFERROR(INDEX('Base de sorteio'!$B$3:$B$1723,MATCH($B741&amp;"|"&amp;$C741,'Base de sorteio'!$I$3:$I$1723,0)),"")</f>
        <v/>
      </c>
      <c r="F741" s="4">
        <f>IFERROR(INDEX('Base de sorteio'!$C$3:$C$1723,MATCH($B741&amp;"|"&amp;$C741,'Base de sorteio'!$I$3:$I$1723,0)),"")</f>
        <v/>
      </c>
      <c r="G741" s="4">
        <f>IFERROR(INDEX('Base de sorteio'!$D$3:$D$1723,MATCH($B741&amp;"|"&amp;$C741,'Base de sorteio'!$I$3:$I$1723,0)),"")</f>
        <v/>
      </c>
      <c r="H741" s="4">
        <f>IFERROR(INDEX('Base de sorteio'!$E$3:$E$1723,MATCH($B741&amp;"|"&amp;$C741,'Base de sorteio'!$I$3:$I$1723,0)),"")</f>
        <v/>
      </c>
      <c r="I741" s="4">
        <f>IF(E741="","",HYPERLINK(IFERROR(INDEX('Base de sorteio'!$J$3:$J$1723,MATCH($B741&amp;"|"&amp;$C741,'Base de sorteio'!$I$3:$I$1723,0)),""),"abrir"))</f>
        <v/>
      </c>
      <c r="J741" s="4" t="n"/>
      <c r="K741" s="4" t="n"/>
      <c r="L741" s="4" t="n"/>
      <c r="M741" s="4" t="n"/>
      <c r="N741" s="4">
        <f>IF(AND(K741="",M741=""),"",IF(OR(K741="sim",M741="sim"),"sim",IF(OR(K741="inconclusivo",M741="inconclusivo"),"inconclusivo","não")))</f>
        <v/>
      </c>
      <c r="O741" s="5">
        <f>IF(N741="sim",COUNTIFS($B$3:$B741,$B741,$N$3:$N741,"sim"),"")</f>
        <v/>
      </c>
      <c r="P741" s="5" t="n"/>
      <c r="Q741" s="4" t="n"/>
      <c r="R741" s="5" t="n"/>
      <c r="S741" s="9" t="n"/>
      <c r="T741" s="4" t="n"/>
    </row>
    <row r="742">
      <c r="A742" s="5">
        <f>ROW()-2</f>
        <v/>
      </c>
      <c r="B742" s="4" t="inlineStr">
        <is>
          <t>Metrópole</t>
        </is>
      </c>
      <c r="C742" s="5" t="n">
        <v>740</v>
      </c>
      <c r="D742" s="5">
        <f>IFERROR(INDEX('Base de sorteio'!$A$3:$A$1723,MATCH($B742&amp;"|"&amp;$C742,'Base de sorteio'!$I$3:$I$1723,0)),"")</f>
        <v/>
      </c>
      <c r="E742" s="4">
        <f>IFERROR(INDEX('Base de sorteio'!$B$3:$B$1723,MATCH($B742&amp;"|"&amp;$C742,'Base de sorteio'!$I$3:$I$1723,0)),"")</f>
        <v/>
      </c>
      <c r="F742" s="4">
        <f>IFERROR(INDEX('Base de sorteio'!$C$3:$C$1723,MATCH($B742&amp;"|"&amp;$C742,'Base de sorteio'!$I$3:$I$1723,0)),"")</f>
        <v/>
      </c>
      <c r="G742" s="4">
        <f>IFERROR(INDEX('Base de sorteio'!$D$3:$D$1723,MATCH($B742&amp;"|"&amp;$C742,'Base de sorteio'!$I$3:$I$1723,0)),"")</f>
        <v/>
      </c>
      <c r="H742" s="4">
        <f>IFERROR(INDEX('Base de sorteio'!$E$3:$E$1723,MATCH($B742&amp;"|"&amp;$C742,'Base de sorteio'!$I$3:$I$1723,0)),"")</f>
        <v/>
      </c>
      <c r="I742" s="4">
        <f>IF(E742="","",HYPERLINK(IFERROR(INDEX('Base de sorteio'!$J$3:$J$1723,MATCH($B742&amp;"|"&amp;$C742,'Base de sorteio'!$I$3:$I$1723,0)),""),"abrir"))</f>
        <v/>
      </c>
      <c r="J742" s="4" t="n"/>
      <c r="K742" s="4" t="n"/>
      <c r="L742" s="4" t="n"/>
      <c r="M742" s="4" t="n"/>
      <c r="N742" s="4">
        <f>IF(AND(K742="",M742=""),"",IF(OR(K742="sim",M742="sim"),"sim",IF(OR(K742="inconclusivo",M742="inconclusivo"),"inconclusivo","não")))</f>
        <v/>
      </c>
      <c r="O742" s="5">
        <f>IF(N742="sim",COUNTIFS($B$3:$B742,$B742,$N$3:$N742,"sim"),"")</f>
        <v/>
      </c>
      <c r="P742" s="5" t="n"/>
      <c r="Q742" s="4" t="n"/>
      <c r="R742" s="5" t="n"/>
      <c r="S742" s="9" t="n"/>
      <c r="T742" s="4" t="n"/>
    </row>
    <row r="743">
      <c r="A743" s="5">
        <f>ROW()-2</f>
        <v/>
      </c>
      <c r="B743" s="4" t="inlineStr">
        <is>
          <t>Metrópole</t>
        </is>
      </c>
      <c r="C743" s="5" t="n">
        <v>741</v>
      </c>
      <c r="D743" s="5">
        <f>IFERROR(INDEX('Base de sorteio'!$A$3:$A$1723,MATCH($B743&amp;"|"&amp;$C743,'Base de sorteio'!$I$3:$I$1723,0)),"")</f>
        <v/>
      </c>
      <c r="E743" s="4">
        <f>IFERROR(INDEX('Base de sorteio'!$B$3:$B$1723,MATCH($B743&amp;"|"&amp;$C743,'Base de sorteio'!$I$3:$I$1723,0)),"")</f>
        <v/>
      </c>
      <c r="F743" s="4">
        <f>IFERROR(INDEX('Base de sorteio'!$C$3:$C$1723,MATCH($B743&amp;"|"&amp;$C743,'Base de sorteio'!$I$3:$I$1723,0)),"")</f>
        <v/>
      </c>
      <c r="G743" s="4">
        <f>IFERROR(INDEX('Base de sorteio'!$D$3:$D$1723,MATCH($B743&amp;"|"&amp;$C743,'Base de sorteio'!$I$3:$I$1723,0)),"")</f>
        <v/>
      </c>
      <c r="H743" s="4">
        <f>IFERROR(INDEX('Base de sorteio'!$E$3:$E$1723,MATCH($B743&amp;"|"&amp;$C743,'Base de sorteio'!$I$3:$I$1723,0)),"")</f>
        <v/>
      </c>
      <c r="I743" s="4">
        <f>IF(E743="","",HYPERLINK(IFERROR(INDEX('Base de sorteio'!$J$3:$J$1723,MATCH($B743&amp;"|"&amp;$C743,'Base de sorteio'!$I$3:$I$1723,0)),""),"abrir"))</f>
        <v/>
      </c>
      <c r="J743" s="4" t="n"/>
      <c r="K743" s="4" t="n"/>
      <c r="L743" s="4" t="n"/>
      <c r="M743" s="4" t="n"/>
      <c r="N743" s="4">
        <f>IF(AND(K743="",M743=""),"",IF(OR(K743="sim",M743="sim"),"sim",IF(OR(K743="inconclusivo",M743="inconclusivo"),"inconclusivo","não")))</f>
        <v/>
      </c>
      <c r="O743" s="5">
        <f>IF(N743="sim",COUNTIFS($B$3:$B743,$B743,$N$3:$N743,"sim"),"")</f>
        <v/>
      </c>
      <c r="P743" s="5" t="n"/>
      <c r="Q743" s="4" t="n"/>
      <c r="R743" s="5" t="n"/>
      <c r="S743" s="9" t="n"/>
      <c r="T743" s="4" t="n"/>
    </row>
    <row r="744">
      <c r="A744" s="5">
        <f>ROW()-2</f>
        <v/>
      </c>
      <c r="B744" s="4" t="inlineStr">
        <is>
          <t>Metrópole</t>
        </is>
      </c>
      <c r="C744" s="5" t="n">
        <v>742</v>
      </c>
      <c r="D744" s="5">
        <f>IFERROR(INDEX('Base de sorteio'!$A$3:$A$1723,MATCH($B744&amp;"|"&amp;$C744,'Base de sorteio'!$I$3:$I$1723,0)),"")</f>
        <v/>
      </c>
      <c r="E744" s="4">
        <f>IFERROR(INDEX('Base de sorteio'!$B$3:$B$1723,MATCH($B744&amp;"|"&amp;$C744,'Base de sorteio'!$I$3:$I$1723,0)),"")</f>
        <v/>
      </c>
      <c r="F744" s="4">
        <f>IFERROR(INDEX('Base de sorteio'!$C$3:$C$1723,MATCH($B744&amp;"|"&amp;$C744,'Base de sorteio'!$I$3:$I$1723,0)),"")</f>
        <v/>
      </c>
      <c r="G744" s="4">
        <f>IFERROR(INDEX('Base de sorteio'!$D$3:$D$1723,MATCH($B744&amp;"|"&amp;$C744,'Base de sorteio'!$I$3:$I$1723,0)),"")</f>
        <v/>
      </c>
      <c r="H744" s="4">
        <f>IFERROR(INDEX('Base de sorteio'!$E$3:$E$1723,MATCH($B744&amp;"|"&amp;$C744,'Base de sorteio'!$I$3:$I$1723,0)),"")</f>
        <v/>
      </c>
      <c r="I744" s="4">
        <f>IF(E744="","",HYPERLINK(IFERROR(INDEX('Base de sorteio'!$J$3:$J$1723,MATCH($B744&amp;"|"&amp;$C744,'Base de sorteio'!$I$3:$I$1723,0)),""),"abrir"))</f>
        <v/>
      </c>
      <c r="J744" s="4" t="n"/>
      <c r="K744" s="4" t="n"/>
      <c r="L744" s="4" t="n"/>
      <c r="M744" s="4" t="n"/>
      <c r="N744" s="4">
        <f>IF(AND(K744="",M744=""),"",IF(OR(K744="sim",M744="sim"),"sim",IF(OR(K744="inconclusivo",M744="inconclusivo"),"inconclusivo","não")))</f>
        <v/>
      </c>
      <c r="O744" s="5">
        <f>IF(N744="sim",COUNTIFS($B$3:$B744,$B744,$N$3:$N744,"sim"),"")</f>
        <v/>
      </c>
      <c r="P744" s="5" t="n"/>
      <c r="Q744" s="4" t="n"/>
      <c r="R744" s="5" t="n"/>
      <c r="S744" s="9" t="n"/>
      <c r="T744" s="4" t="n"/>
    </row>
    <row r="745">
      <c r="A745" s="5">
        <f>ROW()-2</f>
        <v/>
      </c>
      <c r="B745" s="4" t="inlineStr">
        <is>
          <t>Metrópole</t>
        </is>
      </c>
      <c r="C745" s="5" t="n">
        <v>743</v>
      </c>
      <c r="D745" s="5">
        <f>IFERROR(INDEX('Base de sorteio'!$A$3:$A$1723,MATCH($B745&amp;"|"&amp;$C745,'Base de sorteio'!$I$3:$I$1723,0)),"")</f>
        <v/>
      </c>
      <c r="E745" s="4">
        <f>IFERROR(INDEX('Base de sorteio'!$B$3:$B$1723,MATCH($B745&amp;"|"&amp;$C745,'Base de sorteio'!$I$3:$I$1723,0)),"")</f>
        <v/>
      </c>
      <c r="F745" s="4">
        <f>IFERROR(INDEX('Base de sorteio'!$C$3:$C$1723,MATCH($B745&amp;"|"&amp;$C745,'Base de sorteio'!$I$3:$I$1723,0)),"")</f>
        <v/>
      </c>
      <c r="G745" s="4">
        <f>IFERROR(INDEX('Base de sorteio'!$D$3:$D$1723,MATCH($B745&amp;"|"&amp;$C745,'Base de sorteio'!$I$3:$I$1723,0)),"")</f>
        <v/>
      </c>
      <c r="H745" s="4">
        <f>IFERROR(INDEX('Base de sorteio'!$E$3:$E$1723,MATCH($B745&amp;"|"&amp;$C745,'Base de sorteio'!$I$3:$I$1723,0)),"")</f>
        <v/>
      </c>
      <c r="I745" s="4">
        <f>IF(E745="","",HYPERLINK(IFERROR(INDEX('Base de sorteio'!$J$3:$J$1723,MATCH($B745&amp;"|"&amp;$C745,'Base de sorteio'!$I$3:$I$1723,0)),""),"abrir"))</f>
        <v/>
      </c>
      <c r="J745" s="4" t="n"/>
      <c r="K745" s="4" t="n"/>
      <c r="L745" s="4" t="n"/>
      <c r="M745" s="4" t="n"/>
      <c r="N745" s="4">
        <f>IF(AND(K745="",M745=""),"",IF(OR(K745="sim",M745="sim"),"sim",IF(OR(K745="inconclusivo",M745="inconclusivo"),"inconclusivo","não")))</f>
        <v/>
      </c>
      <c r="O745" s="5">
        <f>IF(N745="sim",COUNTIFS($B$3:$B745,$B745,$N$3:$N745,"sim"),"")</f>
        <v/>
      </c>
      <c r="P745" s="5" t="n"/>
      <c r="Q745" s="4" t="n"/>
      <c r="R745" s="5" t="n"/>
      <c r="S745" s="9" t="n"/>
      <c r="T745" s="4" t="n"/>
    </row>
    <row r="746">
      <c r="A746" s="5">
        <f>ROW()-2</f>
        <v/>
      </c>
      <c r="B746" s="4" t="inlineStr">
        <is>
          <t>Metrópole</t>
        </is>
      </c>
      <c r="C746" s="5" t="n">
        <v>744</v>
      </c>
      <c r="D746" s="5">
        <f>IFERROR(INDEX('Base de sorteio'!$A$3:$A$1723,MATCH($B746&amp;"|"&amp;$C746,'Base de sorteio'!$I$3:$I$1723,0)),"")</f>
        <v/>
      </c>
      <c r="E746" s="4">
        <f>IFERROR(INDEX('Base de sorteio'!$B$3:$B$1723,MATCH($B746&amp;"|"&amp;$C746,'Base de sorteio'!$I$3:$I$1723,0)),"")</f>
        <v/>
      </c>
      <c r="F746" s="4">
        <f>IFERROR(INDEX('Base de sorteio'!$C$3:$C$1723,MATCH($B746&amp;"|"&amp;$C746,'Base de sorteio'!$I$3:$I$1723,0)),"")</f>
        <v/>
      </c>
      <c r="G746" s="4">
        <f>IFERROR(INDEX('Base de sorteio'!$D$3:$D$1723,MATCH($B746&amp;"|"&amp;$C746,'Base de sorteio'!$I$3:$I$1723,0)),"")</f>
        <v/>
      </c>
      <c r="H746" s="4">
        <f>IFERROR(INDEX('Base de sorteio'!$E$3:$E$1723,MATCH($B746&amp;"|"&amp;$C746,'Base de sorteio'!$I$3:$I$1723,0)),"")</f>
        <v/>
      </c>
      <c r="I746" s="4">
        <f>IF(E746="","",HYPERLINK(IFERROR(INDEX('Base de sorteio'!$J$3:$J$1723,MATCH($B746&amp;"|"&amp;$C746,'Base de sorteio'!$I$3:$I$1723,0)),""),"abrir"))</f>
        <v/>
      </c>
      <c r="J746" s="4" t="n"/>
      <c r="K746" s="4" t="n"/>
      <c r="L746" s="4" t="n"/>
      <c r="M746" s="4" t="n"/>
      <c r="N746" s="4">
        <f>IF(AND(K746="",M746=""),"",IF(OR(K746="sim",M746="sim"),"sim",IF(OR(K746="inconclusivo",M746="inconclusivo"),"inconclusivo","não")))</f>
        <v/>
      </c>
      <c r="O746" s="5">
        <f>IF(N746="sim",COUNTIFS($B$3:$B746,$B746,$N$3:$N746,"sim"),"")</f>
        <v/>
      </c>
      <c r="P746" s="5" t="n"/>
      <c r="Q746" s="4" t="n"/>
      <c r="R746" s="5" t="n"/>
      <c r="S746" s="9" t="n"/>
      <c r="T746" s="4" t="n"/>
    </row>
    <row r="747">
      <c r="A747" s="5">
        <f>ROW()-2</f>
        <v/>
      </c>
      <c r="B747" s="4" t="inlineStr">
        <is>
          <t>Metrópole</t>
        </is>
      </c>
      <c r="C747" s="5" t="n">
        <v>745</v>
      </c>
      <c r="D747" s="5">
        <f>IFERROR(INDEX('Base de sorteio'!$A$3:$A$1723,MATCH($B747&amp;"|"&amp;$C747,'Base de sorteio'!$I$3:$I$1723,0)),"")</f>
        <v/>
      </c>
      <c r="E747" s="4">
        <f>IFERROR(INDEX('Base de sorteio'!$B$3:$B$1723,MATCH($B747&amp;"|"&amp;$C747,'Base de sorteio'!$I$3:$I$1723,0)),"")</f>
        <v/>
      </c>
      <c r="F747" s="4">
        <f>IFERROR(INDEX('Base de sorteio'!$C$3:$C$1723,MATCH($B747&amp;"|"&amp;$C747,'Base de sorteio'!$I$3:$I$1723,0)),"")</f>
        <v/>
      </c>
      <c r="G747" s="4">
        <f>IFERROR(INDEX('Base de sorteio'!$D$3:$D$1723,MATCH($B747&amp;"|"&amp;$C747,'Base de sorteio'!$I$3:$I$1723,0)),"")</f>
        <v/>
      </c>
      <c r="H747" s="4">
        <f>IFERROR(INDEX('Base de sorteio'!$E$3:$E$1723,MATCH($B747&amp;"|"&amp;$C747,'Base de sorteio'!$I$3:$I$1723,0)),"")</f>
        <v/>
      </c>
      <c r="I747" s="4">
        <f>IF(E747="","",HYPERLINK(IFERROR(INDEX('Base de sorteio'!$J$3:$J$1723,MATCH($B747&amp;"|"&amp;$C747,'Base de sorteio'!$I$3:$I$1723,0)),""),"abrir"))</f>
        <v/>
      </c>
      <c r="J747" s="4" t="n"/>
      <c r="K747" s="4" t="n"/>
      <c r="L747" s="4" t="n"/>
      <c r="M747" s="4" t="n"/>
      <c r="N747" s="4">
        <f>IF(AND(K747="",M747=""),"",IF(OR(K747="sim",M747="sim"),"sim",IF(OR(K747="inconclusivo",M747="inconclusivo"),"inconclusivo","não")))</f>
        <v/>
      </c>
      <c r="O747" s="5">
        <f>IF(N747="sim",COUNTIFS($B$3:$B747,$B747,$N$3:$N747,"sim"),"")</f>
        <v/>
      </c>
      <c r="P747" s="5" t="n"/>
      <c r="Q747" s="4" t="n"/>
      <c r="R747" s="5" t="n"/>
      <c r="S747" s="9" t="n"/>
      <c r="T747" s="4" t="n"/>
    </row>
    <row r="748">
      <c r="A748" s="5">
        <f>ROW()-2</f>
        <v/>
      </c>
      <c r="B748" s="4" t="inlineStr">
        <is>
          <t>Metrópole</t>
        </is>
      </c>
      <c r="C748" s="5" t="n">
        <v>746</v>
      </c>
      <c r="D748" s="5">
        <f>IFERROR(INDEX('Base de sorteio'!$A$3:$A$1723,MATCH($B748&amp;"|"&amp;$C748,'Base de sorteio'!$I$3:$I$1723,0)),"")</f>
        <v/>
      </c>
      <c r="E748" s="4">
        <f>IFERROR(INDEX('Base de sorteio'!$B$3:$B$1723,MATCH($B748&amp;"|"&amp;$C748,'Base de sorteio'!$I$3:$I$1723,0)),"")</f>
        <v/>
      </c>
      <c r="F748" s="4">
        <f>IFERROR(INDEX('Base de sorteio'!$C$3:$C$1723,MATCH($B748&amp;"|"&amp;$C748,'Base de sorteio'!$I$3:$I$1723,0)),"")</f>
        <v/>
      </c>
      <c r="G748" s="4">
        <f>IFERROR(INDEX('Base de sorteio'!$D$3:$D$1723,MATCH($B748&amp;"|"&amp;$C748,'Base de sorteio'!$I$3:$I$1723,0)),"")</f>
        <v/>
      </c>
      <c r="H748" s="4">
        <f>IFERROR(INDEX('Base de sorteio'!$E$3:$E$1723,MATCH($B748&amp;"|"&amp;$C748,'Base de sorteio'!$I$3:$I$1723,0)),"")</f>
        <v/>
      </c>
      <c r="I748" s="4">
        <f>IF(E748="","",HYPERLINK(IFERROR(INDEX('Base de sorteio'!$J$3:$J$1723,MATCH($B748&amp;"|"&amp;$C748,'Base de sorteio'!$I$3:$I$1723,0)),""),"abrir"))</f>
        <v/>
      </c>
      <c r="J748" s="4" t="n"/>
      <c r="K748" s="4" t="n"/>
      <c r="L748" s="4" t="n"/>
      <c r="M748" s="4" t="n"/>
      <c r="N748" s="4">
        <f>IF(AND(K748="",M748=""),"",IF(OR(K748="sim",M748="sim"),"sim",IF(OR(K748="inconclusivo",M748="inconclusivo"),"inconclusivo","não")))</f>
        <v/>
      </c>
      <c r="O748" s="5">
        <f>IF(N748="sim",COUNTIFS($B$3:$B748,$B748,$N$3:$N748,"sim"),"")</f>
        <v/>
      </c>
      <c r="P748" s="5" t="n"/>
      <c r="Q748" s="4" t="n"/>
      <c r="R748" s="5" t="n"/>
      <c r="S748" s="9" t="n"/>
      <c r="T748" s="4" t="n"/>
    </row>
    <row r="749">
      <c r="A749" s="5">
        <f>ROW()-2</f>
        <v/>
      </c>
      <c r="B749" s="4" t="inlineStr">
        <is>
          <t>Metrópole</t>
        </is>
      </c>
      <c r="C749" s="5" t="n">
        <v>747</v>
      </c>
      <c r="D749" s="5">
        <f>IFERROR(INDEX('Base de sorteio'!$A$3:$A$1723,MATCH($B749&amp;"|"&amp;$C749,'Base de sorteio'!$I$3:$I$1723,0)),"")</f>
        <v/>
      </c>
      <c r="E749" s="4">
        <f>IFERROR(INDEX('Base de sorteio'!$B$3:$B$1723,MATCH($B749&amp;"|"&amp;$C749,'Base de sorteio'!$I$3:$I$1723,0)),"")</f>
        <v/>
      </c>
      <c r="F749" s="4">
        <f>IFERROR(INDEX('Base de sorteio'!$C$3:$C$1723,MATCH($B749&amp;"|"&amp;$C749,'Base de sorteio'!$I$3:$I$1723,0)),"")</f>
        <v/>
      </c>
      <c r="G749" s="4">
        <f>IFERROR(INDEX('Base de sorteio'!$D$3:$D$1723,MATCH($B749&amp;"|"&amp;$C749,'Base de sorteio'!$I$3:$I$1723,0)),"")</f>
        <v/>
      </c>
      <c r="H749" s="4">
        <f>IFERROR(INDEX('Base de sorteio'!$E$3:$E$1723,MATCH($B749&amp;"|"&amp;$C749,'Base de sorteio'!$I$3:$I$1723,0)),"")</f>
        <v/>
      </c>
      <c r="I749" s="4">
        <f>IF(E749="","",HYPERLINK(IFERROR(INDEX('Base de sorteio'!$J$3:$J$1723,MATCH($B749&amp;"|"&amp;$C749,'Base de sorteio'!$I$3:$I$1723,0)),""),"abrir"))</f>
        <v/>
      </c>
      <c r="J749" s="4" t="n"/>
      <c r="K749" s="4" t="n"/>
      <c r="L749" s="4" t="n"/>
      <c r="M749" s="4" t="n"/>
      <c r="N749" s="4">
        <f>IF(AND(K749="",M749=""),"",IF(OR(K749="sim",M749="sim"),"sim",IF(OR(K749="inconclusivo",M749="inconclusivo"),"inconclusivo","não")))</f>
        <v/>
      </c>
      <c r="O749" s="5">
        <f>IF(N749="sim",COUNTIFS($B$3:$B749,$B749,$N$3:$N749,"sim"),"")</f>
        <v/>
      </c>
      <c r="P749" s="5" t="n"/>
      <c r="Q749" s="4" t="n"/>
      <c r="R749" s="5" t="n"/>
      <c r="S749" s="9" t="n"/>
      <c r="T749" s="4" t="n"/>
    </row>
    <row r="750">
      <c r="A750" s="5">
        <f>ROW()-2</f>
        <v/>
      </c>
      <c r="B750" s="4" t="inlineStr">
        <is>
          <t>Metrópole</t>
        </is>
      </c>
      <c r="C750" s="5" t="n">
        <v>748</v>
      </c>
      <c r="D750" s="5">
        <f>IFERROR(INDEX('Base de sorteio'!$A$3:$A$1723,MATCH($B750&amp;"|"&amp;$C750,'Base de sorteio'!$I$3:$I$1723,0)),"")</f>
        <v/>
      </c>
      <c r="E750" s="4">
        <f>IFERROR(INDEX('Base de sorteio'!$B$3:$B$1723,MATCH($B750&amp;"|"&amp;$C750,'Base de sorteio'!$I$3:$I$1723,0)),"")</f>
        <v/>
      </c>
      <c r="F750" s="4">
        <f>IFERROR(INDEX('Base de sorteio'!$C$3:$C$1723,MATCH($B750&amp;"|"&amp;$C750,'Base de sorteio'!$I$3:$I$1723,0)),"")</f>
        <v/>
      </c>
      <c r="G750" s="4">
        <f>IFERROR(INDEX('Base de sorteio'!$D$3:$D$1723,MATCH($B750&amp;"|"&amp;$C750,'Base de sorteio'!$I$3:$I$1723,0)),"")</f>
        <v/>
      </c>
      <c r="H750" s="4">
        <f>IFERROR(INDEX('Base de sorteio'!$E$3:$E$1723,MATCH($B750&amp;"|"&amp;$C750,'Base de sorteio'!$I$3:$I$1723,0)),"")</f>
        <v/>
      </c>
      <c r="I750" s="4">
        <f>IF(E750="","",HYPERLINK(IFERROR(INDEX('Base de sorteio'!$J$3:$J$1723,MATCH($B750&amp;"|"&amp;$C750,'Base de sorteio'!$I$3:$I$1723,0)),""),"abrir"))</f>
        <v/>
      </c>
      <c r="J750" s="4" t="n"/>
      <c r="K750" s="4" t="n"/>
      <c r="L750" s="4" t="n"/>
      <c r="M750" s="4" t="n"/>
      <c r="N750" s="4">
        <f>IF(AND(K750="",M750=""),"",IF(OR(K750="sim",M750="sim"),"sim",IF(OR(K750="inconclusivo",M750="inconclusivo"),"inconclusivo","não")))</f>
        <v/>
      </c>
      <c r="O750" s="5">
        <f>IF(N750="sim",COUNTIFS($B$3:$B750,$B750,$N$3:$N750,"sim"),"")</f>
        <v/>
      </c>
      <c r="P750" s="5" t="n"/>
      <c r="Q750" s="4" t="n"/>
      <c r="R750" s="5" t="n"/>
      <c r="S750" s="9" t="n"/>
      <c r="T750" s="4" t="n"/>
    </row>
    <row r="751">
      <c r="A751" s="5">
        <f>ROW()-2</f>
        <v/>
      </c>
      <c r="B751" s="4" t="inlineStr">
        <is>
          <t>Metrópole</t>
        </is>
      </c>
      <c r="C751" s="5" t="n">
        <v>749</v>
      </c>
      <c r="D751" s="5">
        <f>IFERROR(INDEX('Base de sorteio'!$A$3:$A$1723,MATCH($B751&amp;"|"&amp;$C751,'Base de sorteio'!$I$3:$I$1723,0)),"")</f>
        <v/>
      </c>
      <c r="E751" s="4">
        <f>IFERROR(INDEX('Base de sorteio'!$B$3:$B$1723,MATCH($B751&amp;"|"&amp;$C751,'Base de sorteio'!$I$3:$I$1723,0)),"")</f>
        <v/>
      </c>
      <c r="F751" s="4">
        <f>IFERROR(INDEX('Base de sorteio'!$C$3:$C$1723,MATCH($B751&amp;"|"&amp;$C751,'Base de sorteio'!$I$3:$I$1723,0)),"")</f>
        <v/>
      </c>
      <c r="G751" s="4">
        <f>IFERROR(INDEX('Base de sorteio'!$D$3:$D$1723,MATCH($B751&amp;"|"&amp;$C751,'Base de sorteio'!$I$3:$I$1723,0)),"")</f>
        <v/>
      </c>
      <c r="H751" s="4">
        <f>IFERROR(INDEX('Base de sorteio'!$E$3:$E$1723,MATCH($B751&amp;"|"&amp;$C751,'Base de sorteio'!$I$3:$I$1723,0)),"")</f>
        <v/>
      </c>
      <c r="I751" s="4">
        <f>IF(E751="","",HYPERLINK(IFERROR(INDEX('Base de sorteio'!$J$3:$J$1723,MATCH($B751&amp;"|"&amp;$C751,'Base de sorteio'!$I$3:$I$1723,0)),""),"abrir"))</f>
        <v/>
      </c>
      <c r="J751" s="4" t="n"/>
      <c r="K751" s="4" t="n"/>
      <c r="L751" s="4" t="n"/>
      <c r="M751" s="4" t="n"/>
      <c r="N751" s="4">
        <f>IF(AND(K751="",M751=""),"",IF(OR(K751="sim",M751="sim"),"sim",IF(OR(K751="inconclusivo",M751="inconclusivo"),"inconclusivo","não")))</f>
        <v/>
      </c>
      <c r="O751" s="5">
        <f>IF(N751="sim",COUNTIFS($B$3:$B751,$B751,$N$3:$N751,"sim"),"")</f>
        <v/>
      </c>
      <c r="P751" s="5" t="n"/>
      <c r="Q751" s="4" t="n"/>
      <c r="R751" s="5" t="n"/>
      <c r="S751" s="9" t="n"/>
      <c r="T751" s="4" t="n"/>
    </row>
    <row r="752">
      <c r="A752" s="5">
        <f>ROW()-2</f>
        <v/>
      </c>
      <c r="B752" s="4" t="inlineStr">
        <is>
          <t>Metrópole</t>
        </is>
      </c>
      <c r="C752" s="5" t="n">
        <v>750</v>
      </c>
      <c r="D752" s="5">
        <f>IFERROR(INDEX('Base de sorteio'!$A$3:$A$1723,MATCH($B752&amp;"|"&amp;$C752,'Base de sorteio'!$I$3:$I$1723,0)),"")</f>
        <v/>
      </c>
      <c r="E752" s="4">
        <f>IFERROR(INDEX('Base de sorteio'!$B$3:$B$1723,MATCH($B752&amp;"|"&amp;$C752,'Base de sorteio'!$I$3:$I$1723,0)),"")</f>
        <v/>
      </c>
      <c r="F752" s="4">
        <f>IFERROR(INDEX('Base de sorteio'!$C$3:$C$1723,MATCH($B752&amp;"|"&amp;$C752,'Base de sorteio'!$I$3:$I$1723,0)),"")</f>
        <v/>
      </c>
      <c r="G752" s="4">
        <f>IFERROR(INDEX('Base de sorteio'!$D$3:$D$1723,MATCH($B752&amp;"|"&amp;$C752,'Base de sorteio'!$I$3:$I$1723,0)),"")</f>
        <v/>
      </c>
      <c r="H752" s="4">
        <f>IFERROR(INDEX('Base de sorteio'!$E$3:$E$1723,MATCH($B752&amp;"|"&amp;$C752,'Base de sorteio'!$I$3:$I$1723,0)),"")</f>
        <v/>
      </c>
      <c r="I752" s="4">
        <f>IF(E752="","",HYPERLINK(IFERROR(INDEX('Base de sorteio'!$J$3:$J$1723,MATCH($B752&amp;"|"&amp;$C752,'Base de sorteio'!$I$3:$I$1723,0)),""),"abrir"))</f>
        <v/>
      </c>
      <c r="J752" s="4" t="n"/>
      <c r="K752" s="4" t="n"/>
      <c r="L752" s="4" t="n"/>
      <c r="M752" s="4" t="n"/>
      <c r="N752" s="4">
        <f>IF(AND(K752="",M752=""),"",IF(OR(K752="sim",M752="sim"),"sim",IF(OR(K752="inconclusivo",M752="inconclusivo"),"inconclusivo","não")))</f>
        <v/>
      </c>
      <c r="O752" s="5">
        <f>IF(N752="sim",COUNTIFS($B$3:$B752,$B752,$N$3:$N752,"sim"),"")</f>
        <v/>
      </c>
      <c r="P752" s="5" t="n"/>
      <c r="Q752" s="4" t="n"/>
      <c r="R752" s="5" t="n"/>
      <c r="S752" s="9" t="n"/>
      <c r="T752" s="4" t="n"/>
    </row>
    <row r="753">
      <c r="A753" s="5">
        <f>ROW()-2</f>
        <v/>
      </c>
      <c r="B753" s="4" t="inlineStr">
        <is>
          <t>Metrópole</t>
        </is>
      </c>
      <c r="C753" s="5" t="n">
        <v>751</v>
      </c>
      <c r="D753" s="5">
        <f>IFERROR(INDEX('Base de sorteio'!$A$3:$A$1723,MATCH($B753&amp;"|"&amp;$C753,'Base de sorteio'!$I$3:$I$1723,0)),"")</f>
        <v/>
      </c>
      <c r="E753" s="4">
        <f>IFERROR(INDEX('Base de sorteio'!$B$3:$B$1723,MATCH($B753&amp;"|"&amp;$C753,'Base de sorteio'!$I$3:$I$1723,0)),"")</f>
        <v/>
      </c>
      <c r="F753" s="4">
        <f>IFERROR(INDEX('Base de sorteio'!$C$3:$C$1723,MATCH($B753&amp;"|"&amp;$C753,'Base de sorteio'!$I$3:$I$1723,0)),"")</f>
        <v/>
      </c>
      <c r="G753" s="4">
        <f>IFERROR(INDEX('Base de sorteio'!$D$3:$D$1723,MATCH($B753&amp;"|"&amp;$C753,'Base de sorteio'!$I$3:$I$1723,0)),"")</f>
        <v/>
      </c>
      <c r="H753" s="4">
        <f>IFERROR(INDEX('Base de sorteio'!$E$3:$E$1723,MATCH($B753&amp;"|"&amp;$C753,'Base de sorteio'!$I$3:$I$1723,0)),"")</f>
        <v/>
      </c>
      <c r="I753" s="4">
        <f>IF(E753="","",HYPERLINK(IFERROR(INDEX('Base de sorteio'!$J$3:$J$1723,MATCH($B753&amp;"|"&amp;$C753,'Base de sorteio'!$I$3:$I$1723,0)),""),"abrir"))</f>
        <v/>
      </c>
      <c r="J753" s="4" t="n"/>
      <c r="K753" s="4" t="n"/>
      <c r="L753" s="4" t="n"/>
      <c r="M753" s="4" t="n"/>
      <c r="N753" s="4">
        <f>IF(AND(K753="",M753=""),"",IF(OR(K753="sim",M753="sim"),"sim",IF(OR(K753="inconclusivo",M753="inconclusivo"),"inconclusivo","não")))</f>
        <v/>
      </c>
      <c r="O753" s="5">
        <f>IF(N753="sim",COUNTIFS($B$3:$B753,$B753,$N$3:$N753,"sim"),"")</f>
        <v/>
      </c>
      <c r="P753" s="5" t="n"/>
      <c r="Q753" s="4" t="n"/>
      <c r="R753" s="5" t="n"/>
      <c r="S753" s="9" t="n"/>
      <c r="T753" s="4" t="n"/>
    </row>
    <row r="754">
      <c r="A754" s="5">
        <f>ROW()-2</f>
        <v/>
      </c>
      <c r="B754" s="4" t="inlineStr">
        <is>
          <t>Metrópole</t>
        </is>
      </c>
      <c r="C754" s="5" t="n">
        <v>752</v>
      </c>
      <c r="D754" s="5">
        <f>IFERROR(INDEX('Base de sorteio'!$A$3:$A$1723,MATCH($B754&amp;"|"&amp;$C754,'Base de sorteio'!$I$3:$I$1723,0)),"")</f>
        <v/>
      </c>
      <c r="E754" s="4">
        <f>IFERROR(INDEX('Base de sorteio'!$B$3:$B$1723,MATCH($B754&amp;"|"&amp;$C754,'Base de sorteio'!$I$3:$I$1723,0)),"")</f>
        <v/>
      </c>
      <c r="F754" s="4">
        <f>IFERROR(INDEX('Base de sorteio'!$C$3:$C$1723,MATCH($B754&amp;"|"&amp;$C754,'Base de sorteio'!$I$3:$I$1723,0)),"")</f>
        <v/>
      </c>
      <c r="G754" s="4">
        <f>IFERROR(INDEX('Base de sorteio'!$D$3:$D$1723,MATCH($B754&amp;"|"&amp;$C754,'Base de sorteio'!$I$3:$I$1723,0)),"")</f>
        <v/>
      </c>
      <c r="H754" s="4">
        <f>IFERROR(INDEX('Base de sorteio'!$E$3:$E$1723,MATCH($B754&amp;"|"&amp;$C754,'Base de sorteio'!$I$3:$I$1723,0)),"")</f>
        <v/>
      </c>
      <c r="I754" s="4">
        <f>IF(E754="","",HYPERLINK(IFERROR(INDEX('Base de sorteio'!$J$3:$J$1723,MATCH($B754&amp;"|"&amp;$C754,'Base de sorteio'!$I$3:$I$1723,0)),""),"abrir"))</f>
        <v/>
      </c>
      <c r="J754" s="4" t="n"/>
      <c r="K754" s="4" t="n"/>
      <c r="L754" s="4" t="n"/>
      <c r="M754" s="4" t="n"/>
      <c r="N754" s="4">
        <f>IF(AND(K754="",M754=""),"",IF(OR(K754="sim",M754="sim"),"sim",IF(OR(K754="inconclusivo",M754="inconclusivo"),"inconclusivo","não")))</f>
        <v/>
      </c>
      <c r="O754" s="5">
        <f>IF(N754="sim",COUNTIFS($B$3:$B754,$B754,$N$3:$N754,"sim"),"")</f>
        <v/>
      </c>
      <c r="P754" s="5" t="n"/>
      <c r="Q754" s="4" t="n"/>
      <c r="R754" s="5" t="n"/>
      <c r="S754" s="9" t="n"/>
      <c r="T754" s="4" t="n"/>
    </row>
    <row r="755">
      <c r="A755" s="5">
        <f>ROW()-2</f>
        <v/>
      </c>
      <c r="B755" s="4" t="inlineStr">
        <is>
          <t>Metrópole</t>
        </is>
      </c>
      <c r="C755" s="5" t="n">
        <v>753</v>
      </c>
      <c r="D755" s="5">
        <f>IFERROR(INDEX('Base de sorteio'!$A$3:$A$1723,MATCH($B755&amp;"|"&amp;$C755,'Base de sorteio'!$I$3:$I$1723,0)),"")</f>
        <v/>
      </c>
      <c r="E755" s="4">
        <f>IFERROR(INDEX('Base de sorteio'!$B$3:$B$1723,MATCH($B755&amp;"|"&amp;$C755,'Base de sorteio'!$I$3:$I$1723,0)),"")</f>
        <v/>
      </c>
      <c r="F755" s="4">
        <f>IFERROR(INDEX('Base de sorteio'!$C$3:$C$1723,MATCH($B755&amp;"|"&amp;$C755,'Base de sorteio'!$I$3:$I$1723,0)),"")</f>
        <v/>
      </c>
      <c r="G755" s="4">
        <f>IFERROR(INDEX('Base de sorteio'!$D$3:$D$1723,MATCH($B755&amp;"|"&amp;$C755,'Base de sorteio'!$I$3:$I$1723,0)),"")</f>
        <v/>
      </c>
      <c r="H755" s="4">
        <f>IFERROR(INDEX('Base de sorteio'!$E$3:$E$1723,MATCH($B755&amp;"|"&amp;$C755,'Base de sorteio'!$I$3:$I$1723,0)),"")</f>
        <v/>
      </c>
      <c r="I755" s="4">
        <f>IF(E755="","",HYPERLINK(IFERROR(INDEX('Base de sorteio'!$J$3:$J$1723,MATCH($B755&amp;"|"&amp;$C755,'Base de sorteio'!$I$3:$I$1723,0)),""),"abrir"))</f>
        <v/>
      </c>
      <c r="J755" s="4" t="n"/>
      <c r="K755" s="4" t="n"/>
      <c r="L755" s="4" t="n"/>
      <c r="M755" s="4" t="n"/>
      <c r="N755" s="4">
        <f>IF(AND(K755="",M755=""),"",IF(OR(K755="sim",M755="sim"),"sim",IF(OR(K755="inconclusivo",M755="inconclusivo"),"inconclusivo","não")))</f>
        <v/>
      </c>
      <c r="O755" s="5">
        <f>IF(N755="sim",COUNTIFS($B$3:$B755,$B755,$N$3:$N755,"sim"),"")</f>
        <v/>
      </c>
      <c r="P755" s="5" t="n"/>
      <c r="Q755" s="4" t="n"/>
      <c r="R755" s="5" t="n"/>
      <c r="S755" s="9" t="n"/>
      <c r="T755" s="4" t="n"/>
    </row>
    <row r="756">
      <c r="A756" s="5">
        <f>ROW()-2</f>
        <v/>
      </c>
      <c r="B756" s="4" t="inlineStr">
        <is>
          <t>Metrópole</t>
        </is>
      </c>
      <c r="C756" s="5" t="n">
        <v>754</v>
      </c>
      <c r="D756" s="5">
        <f>IFERROR(INDEX('Base de sorteio'!$A$3:$A$1723,MATCH($B756&amp;"|"&amp;$C756,'Base de sorteio'!$I$3:$I$1723,0)),"")</f>
        <v/>
      </c>
      <c r="E756" s="4">
        <f>IFERROR(INDEX('Base de sorteio'!$B$3:$B$1723,MATCH($B756&amp;"|"&amp;$C756,'Base de sorteio'!$I$3:$I$1723,0)),"")</f>
        <v/>
      </c>
      <c r="F756" s="4">
        <f>IFERROR(INDEX('Base de sorteio'!$C$3:$C$1723,MATCH($B756&amp;"|"&amp;$C756,'Base de sorteio'!$I$3:$I$1723,0)),"")</f>
        <v/>
      </c>
      <c r="G756" s="4">
        <f>IFERROR(INDEX('Base de sorteio'!$D$3:$D$1723,MATCH($B756&amp;"|"&amp;$C756,'Base de sorteio'!$I$3:$I$1723,0)),"")</f>
        <v/>
      </c>
      <c r="H756" s="4">
        <f>IFERROR(INDEX('Base de sorteio'!$E$3:$E$1723,MATCH($B756&amp;"|"&amp;$C756,'Base de sorteio'!$I$3:$I$1723,0)),"")</f>
        <v/>
      </c>
      <c r="I756" s="4">
        <f>IF(E756="","",HYPERLINK(IFERROR(INDEX('Base de sorteio'!$J$3:$J$1723,MATCH($B756&amp;"|"&amp;$C756,'Base de sorteio'!$I$3:$I$1723,0)),""),"abrir"))</f>
        <v/>
      </c>
      <c r="J756" s="4" t="n"/>
      <c r="K756" s="4" t="n"/>
      <c r="L756" s="4" t="n"/>
      <c r="M756" s="4" t="n"/>
      <c r="N756" s="4">
        <f>IF(AND(K756="",M756=""),"",IF(OR(K756="sim",M756="sim"),"sim",IF(OR(K756="inconclusivo",M756="inconclusivo"),"inconclusivo","não")))</f>
        <v/>
      </c>
      <c r="O756" s="5">
        <f>IF(N756="sim",COUNTIFS($B$3:$B756,$B756,$N$3:$N756,"sim"),"")</f>
        <v/>
      </c>
      <c r="P756" s="5" t="n"/>
      <c r="Q756" s="4" t="n"/>
      <c r="R756" s="5" t="n"/>
      <c r="S756" s="9" t="n"/>
      <c r="T756" s="4" t="n"/>
    </row>
    <row r="757">
      <c r="A757" s="5">
        <f>ROW()-2</f>
        <v/>
      </c>
      <c r="B757" s="4" t="inlineStr">
        <is>
          <t>Metrópole</t>
        </is>
      </c>
      <c r="C757" s="5" t="n">
        <v>755</v>
      </c>
      <c r="D757" s="5">
        <f>IFERROR(INDEX('Base de sorteio'!$A$3:$A$1723,MATCH($B757&amp;"|"&amp;$C757,'Base de sorteio'!$I$3:$I$1723,0)),"")</f>
        <v/>
      </c>
      <c r="E757" s="4">
        <f>IFERROR(INDEX('Base de sorteio'!$B$3:$B$1723,MATCH($B757&amp;"|"&amp;$C757,'Base de sorteio'!$I$3:$I$1723,0)),"")</f>
        <v/>
      </c>
      <c r="F757" s="4">
        <f>IFERROR(INDEX('Base de sorteio'!$C$3:$C$1723,MATCH($B757&amp;"|"&amp;$C757,'Base de sorteio'!$I$3:$I$1723,0)),"")</f>
        <v/>
      </c>
      <c r="G757" s="4">
        <f>IFERROR(INDEX('Base de sorteio'!$D$3:$D$1723,MATCH($B757&amp;"|"&amp;$C757,'Base de sorteio'!$I$3:$I$1723,0)),"")</f>
        <v/>
      </c>
      <c r="H757" s="4">
        <f>IFERROR(INDEX('Base de sorteio'!$E$3:$E$1723,MATCH($B757&amp;"|"&amp;$C757,'Base de sorteio'!$I$3:$I$1723,0)),"")</f>
        <v/>
      </c>
      <c r="I757" s="4">
        <f>IF(E757="","",HYPERLINK(IFERROR(INDEX('Base de sorteio'!$J$3:$J$1723,MATCH($B757&amp;"|"&amp;$C757,'Base de sorteio'!$I$3:$I$1723,0)),""),"abrir"))</f>
        <v/>
      </c>
      <c r="J757" s="4" t="n"/>
      <c r="K757" s="4" t="n"/>
      <c r="L757" s="4" t="n"/>
      <c r="M757" s="4" t="n"/>
      <c r="N757" s="4">
        <f>IF(AND(K757="",M757=""),"",IF(OR(K757="sim",M757="sim"),"sim",IF(OR(K757="inconclusivo",M757="inconclusivo"),"inconclusivo","não")))</f>
        <v/>
      </c>
      <c r="O757" s="5">
        <f>IF(N757="sim",COUNTIFS($B$3:$B757,$B757,$N$3:$N757,"sim"),"")</f>
        <v/>
      </c>
      <c r="P757" s="5" t="n"/>
      <c r="Q757" s="4" t="n"/>
      <c r="R757" s="5" t="n"/>
      <c r="S757" s="9" t="n"/>
      <c r="T757" s="4" t="n"/>
    </row>
    <row r="758">
      <c r="A758" s="5">
        <f>ROW()-2</f>
        <v/>
      </c>
      <c r="B758" s="4" t="inlineStr">
        <is>
          <t>Metrópole</t>
        </is>
      </c>
      <c r="C758" s="5" t="n">
        <v>756</v>
      </c>
      <c r="D758" s="5">
        <f>IFERROR(INDEX('Base de sorteio'!$A$3:$A$1723,MATCH($B758&amp;"|"&amp;$C758,'Base de sorteio'!$I$3:$I$1723,0)),"")</f>
        <v/>
      </c>
      <c r="E758" s="4">
        <f>IFERROR(INDEX('Base de sorteio'!$B$3:$B$1723,MATCH($B758&amp;"|"&amp;$C758,'Base de sorteio'!$I$3:$I$1723,0)),"")</f>
        <v/>
      </c>
      <c r="F758" s="4">
        <f>IFERROR(INDEX('Base de sorteio'!$C$3:$C$1723,MATCH($B758&amp;"|"&amp;$C758,'Base de sorteio'!$I$3:$I$1723,0)),"")</f>
        <v/>
      </c>
      <c r="G758" s="4">
        <f>IFERROR(INDEX('Base de sorteio'!$D$3:$D$1723,MATCH($B758&amp;"|"&amp;$C758,'Base de sorteio'!$I$3:$I$1723,0)),"")</f>
        <v/>
      </c>
      <c r="H758" s="4">
        <f>IFERROR(INDEX('Base de sorteio'!$E$3:$E$1723,MATCH($B758&amp;"|"&amp;$C758,'Base de sorteio'!$I$3:$I$1723,0)),"")</f>
        <v/>
      </c>
      <c r="I758" s="4">
        <f>IF(E758="","",HYPERLINK(IFERROR(INDEX('Base de sorteio'!$J$3:$J$1723,MATCH($B758&amp;"|"&amp;$C758,'Base de sorteio'!$I$3:$I$1723,0)),""),"abrir"))</f>
        <v/>
      </c>
      <c r="J758" s="4" t="n"/>
      <c r="K758" s="4" t="n"/>
      <c r="L758" s="4" t="n"/>
      <c r="M758" s="4" t="n"/>
      <c r="N758" s="4">
        <f>IF(AND(K758="",M758=""),"",IF(OR(K758="sim",M758="sim"),"sim",IF(OR(K758="inconclusivo",M758="inconclusivo"),"inconclusivo","não")))</f>
        <v/>
      </c>
      <c r="O758" s="5">
        <f>IF(N758="sim",COUNTIFS($B$3:$B758,$B758,$N$3:$N758,"sim"),"")</f>
        <v/>
      </c>
      <c r="P758" s="5" t="n"/>
      <c r="Q758" s="4" t="n"/>
      <c r="R758" s="5" t="n"/>
      <c r="S758" s="9" t="n"/>
      <c r="T758" s="4" t="n"/>
    </row>
    <row r="759">
      <c r="A759" s="5">
        <f>ROW()-2</f>
        <v/>
      </c>
      <c r="B759" s="4" t="inlineStr">
        <is>
          <t>Metrópole</t>
        </is>
      </c>
      <c r="C759" s="5" t="n">
        <v>757</v>
      </c>
      <c r="D759" s="5">
        <f>IFERROR(INDEX('Base de sorteio'!$A$3:$A$1723,MATCH($B759&amp;"|"&amp;$C759,'Base de sorteio'!$I$3:$I$1723,0)),"")</f>
        <v/>
      </c>
      <c r="E759" s="4">
        <f>IFERROR(INDEX('Base de sorteio'!$B$3:$B$1723,MATCH($B759&amp;"|"&amp;$C759,'Base de sorteio'!$I$3:$I$1723,0)),"")</f>
        <v/>
      </c>
      <c r="F759" s="4">
        <f>IFERROR(INDEX('Base de sorteio'!$C$3:$C$1723,MATCH($B759&amp;"|"&amp;$C759,'Base de sorteio'!$I$3:$I$1723,0)),"")</f>
        <v/>
      </c>
      <c r="G759" s="4">
        <f>IFERROR(INDEX('Base de sorteio'!$D$3:$D$1723,MATCH($B759&amp;"|"&amp;$C759,'Base de sorteio'!$I$3:$I$1723,0)),"")</f>
        <v/>
      </c>
      <c r="H759" s="4">
        <f>IFERROR(INDEX('Base de sorteio'!$E$3:$E$1723,MATCH($B759&amp;"|"&amp;$C759,'Base de sorteio'!$I$3:$I$1723,0)),"")</f>
        <v/>
      </c>
      <c r="I759" s="4">
        <f>IF(E759="","",HYPERLINK(IFERROR(INDEX('Base de sorteio'!$J$3:$J$1723,MATCH($B759&amp;"|"&amp;$C759,'Base de sorteio'!$I$3:$I$1723,0)),""),"abrir"))</f>
        <v/>
      </c>
      <c r="J759" s="4" t="n"/>
      <c r="K759" s="4" t="n"/>
      <c r="L759" s="4" t="n"/>
      <c r="M759" s="4" t="n"/>
      <c r="N759" s="4">
        <f>IF(AND(K759="",M759=""),"",IF(OR(K759="sim",M759="sim"),"sim",IF(OR(K759="inconclusivo",M759="inconclusivo"),"inconclusivo","não")))</f>
        <v/>
      </c>
      <c r="O759" s="5">
        <f>IF(N759="sim",COUNTIFS($B$3:$B759,$B759,$N$3:$N759,"sim"),"")</f>
        <v/>
      </c>
      <c r="P759" s="5" t="n"/>
      <c r="Q759" s="4" t="n"/>
      <c r="R759" s="5" t="n"/>
      <c r="S759" s="9" t="n"/>
      <c r="T759" s="4" t="n"/>
    </row>
    <row r="760">
      <c r="A760" s="5">
        <f>ROW()-2</f>
        <v/>
      </c>
      <c r="B760" s="4" t="inlineStr">
        <is>
          <t>Metrópole</t>
        </is>
      </c>
      <c r="C760" s="5" t="n">
        <v>758</v>
      </c>
      <c r="D760" s="5">
        <f>IFERROR(INDEX('Base de sorteio'!$A$3:$A$1723,MATCH($B760&amp;"|"&amp;$C760,'Base de sorteio'!$I$3:$I$1723,0)),"")</f>
        <v/>
      </c>
      <c r="E760" s="4">
        <f>IFERROR(INDEX('Base de sorteio'!$B$3:$B$1723,MATCH($B760&amp;"|"&amp;$C760,'Base de sorteio'!$I$3:$I$1723,0)),"")</f>
        <v/>
      </c>
      <c r="F760" s="4">
        <f>IFERROR(INDEX('Base de sorteio'!$C$3:$C$1723,MATCH($B760&amp;"|"&amp;$C760,'Base de sorteio'!$I$3:$I$1723,0)),"")</f>
        <v/>
      </c>
      <c r="G760" s="4">
        <f>IFERROR(INDEX('Base de sorteio'!$D$3:$D$1723,MATCH($B760&amp;"|"&amp;$C760,'Base de sorteio'!$I$3:$I$1723,0)),"")</f>
        <v/>
      </c>
      <c r="H760" s="4">
        <f>IFERROR(INDEX('Base de sorteio'!$E$3:$E$1723,MATCH($B760&amp;"|"&amp;$C760,'Base de sorteio'!$I$3:$I$1723,0)),"")</f>
        <v/>
      </c>
      <c r="I760" s="4">
        <f>IF(E760="","",HYPERLINK(IFERROR(INDEX('Base de sorteio'!$J$3:$J$1723,MATCH($B760&amp;"|"&amp;$C760,'Base de sorteio'!$I$3:$I$1723,0)),""),"abrir"))</f>
        <v/>
      </c>
      <c r="J760" s="4" t="n"/>
      <c r="K760" s="4" t="n"/>
      <c r="L760" s="4" t="n"/>
      <c r="M760" s="4" t="n"/>
      <c r="N760" s="4">
        <f>IF(AND(K760="",M760=""),"",IF(OR(K760="sim",M760="sim"),"sim",IF(OR(K760="inconclusivo",M760="inconclusivo"),"inconclusivo","não")))</f>
        <v/>
      </c>
      <c r="O760" s="5">
        <f>IF(N760="sim",COUNTIFS($B$3:$B760,$B760,$N$3:$N760,"sim"),"")</f>
        <v/>
      </c>
      <c r="P760" s="5" t="n"/>
      <c r="Q760" s="4" t="n"/>
      <c r="R760" s="5" t="n"/>
      <c r="S760" s="9" t="n"/>
      <c r="T760" s="4" t="n"/>
    </row>
    <row r="761">
      <c r="A761" s="5">
        <f>ROW()-2</f>
        <v/>
      </c>
      <c r="B761" s="4" t="inlineStr">
        <is>
          <t>Metrópole</t>
        </is>
      </c>
      <c r="C761" s="5" t="n">
        <v>759</v>
      </c>
      <c r="D761" s="5">
        <f>IFERROR(INDEX('Base de sorteio'!$A$3:$A$1723,MATCH($B761&amp;"|"&amp;$C761,'Base de sorteio'!$I$3:$I$1723,0)),"")</f>
        <v/>
      </c>
      <c r="E761" s="4">
        <f>IFERROR(INDEX('Base de sorteio'!$B$3:$B$1723,MATCH($B761&amp;"|"&amp;$C761,'Base de sorteio'!$I$3:$I$1723,0)),"")</f>
        <v/>
      </c>
      <c r="F761" s="4">
        <f>IFERROR(INDEX('Base de sorteio'!$C$3:$C$1723,MATCH($B761&amp;"|"&amp;$C761,'Base de sorteio'!$I$3:$I$1723,0)),"")</f>
        <v/>
      </c>
      <c r="G761" s="4">
        <f>IFERROR(INDEX('Base de sorteio'!$D$3:$D$1723,MATCH($B761&amp;"|"&amp;$C761,'Base de sorteio'!$I$3:$I$1723,0)),"")</f>
        <v/>
      </c>
      <c r="H761" s="4">
        <f>IFERROR(INDEX('Base de sorteio'!$E$3:$E$1723,MATCH($B761&amp;"|"&amp;$C761,'Base de sorteio'!$I$3:$I$1723,0)),"")</f>
        <v/>
      </c>
      <c r="I761" s="4">
        <f>IF(E761="","",HYPERLINK(IFERROR(INDEX('Base de sorteio'!$J$3:$J$1723,MATCH($B761&amp;"|"&amp;$C761,'Base de sorteio'!$I$3:$I$1723,0)),""),"abrir"))</f>
        <v/>
      </c>
      <c r="J761" s="4" t="n"/>
      <c r="K761" s="4" t="n"/>
      <c r="L761" s="4" t="n"/>
      <c r="M761" s="4" t="n"/>
      <c r="N761" s="4">
        <f>IF(AND(K761="",M761=""),"",IF(OR(K761="sim",M761="sim"),"sim",IF(OR(K761="inconclusivo",M761="inconclusivo"),"inconclusivo","não")))</f>
        <v/>
      </c>
      <c r="O761" s="5">
        <f>IF(N761="sim",COUNTIFS($B$3:$B761,$B761,$N$3:$N761,"sim"),"")</f>
        <v/>
      </c>
      <c r="P761" s="5" t="n"/>
      <c r="Q761" s="4" t="n"/>
      <c r="R761" s="5" t="n"/>
      <c r="S761" s="9" t="n"/>
      <c r="T761" s="4" t="n"/>
    </row>
    <row r="762">
      <c r="A762" s="5">
        <f>ROW()-2</f>
        <v/>
      </c>
      <c r="B762" s="4" t="inlineStr">
        <is>
          <t>Metrópole</t>
        </is>
      </c>
      <c r="C762" s="5" t="n">
        <v>760</v>
      </c>
      <c r="D762" s="5">
        <f>IFERROR(INDEX('Base de sorteio'!$A$3:$A$1723,MATCH($B762&amp;"|"&amp;$C762,'Base de sorteio'!$I$3:$I$1723,0)),"")</f>
        <v/>
      </c>
      <c r="E762" s="4">
        <f>IFERROR(INDEX('Base de sorteio'!$B$3:$B$1723,MATCH($B762&amp;"|"&amp;$C762,'Base de sorteio'!$I$3:$I$1723,0)),"")</f>
        <v/>
      </c>
      <c r="F762" s="4">
        <f>IFERROR(INDEX('Base de sorteio'!$C$3:$C$1723,MATCH($B762&amp;"|"&amp;$C762,'Base de sorteio'!$I$3:$I$1723,0)),"")</f>
        <v/>
      </c>
      <c r="G762" s="4">
        <f>IFERROR(INDEX('Base de sorteio'!$D$3:$D$1723,MATCH($B762&amp;"|"&amp;$C762,'Base de sorteio'!$I$3:$I$1723,0)),"")</f>
        <v/>
      </c>
      <c r="H762" s="4">
        <f>IFERROR(INDEX('Base de sorteio'!$E$3:$E$1723,MATCH($B762&amp;"|"&amp;$C762,'Base de sorteio'!$I$3:$I$1723,0)),"")</f>
        <v/>
      </c>
      <c r="I762" s="4">
        <f>IF(E762="","",HYPERLINK(IFERROR(INDEX('Base de sorteio'!$J$3:$J$1723,MATCH($B762&amp;"|"&amp;$C762,'Base de sorteio'!$I$3:$I$1723,0)),""),"abrir"))</f>
        <v/>
      </c>
      <c r="J762" s="4" t="n"/>
      <c r="K762" s="4" t="n"/>
      <c r="L762" s="4" t="n"/>
      <c r="M762" s="4" t="n"/>
      <c r="N762" s="4">
        <f>IF(AND(K762="",M762=""),"",IF(OR(K762="sim",M762="sim"),"sim",IF(OR(K762="inconclusivo",M762="inconclusivo"),"inconclusivo","não")))</f>
        <v/>
      </c>
      <c r="O762" s="5">
        <f>IF(N762="sim",COUNTIFS($B$3:$B762,$B762,$N$3:$N762,"sim"),"")</f>
        <v/>
      </c>
      <c r="P762" s="5" t="n"/>
      <c r="Q762" s="4" t="n"/>
      <c r="R762" s="5" t="n"/>
      <c r="S762" s="9" t="n"/>
      <c r="T762" s="4" t="n"/>
    </row>
    <row r="763">
      <c r="A763" s="5">
        <f>ROW()-2</f>
        <v/>
      </c>
      <c r="B763" s="4" t="inlineStr">
        <is>
          <t>Metrópole</t>
        </is>
      </c>
      <c r="C763" s="5" t="n">
        <v>761</v>
      </c>
      <c r="D763" s="5">
        <f>IFERROR(INDEX('Base de sorteio'!$A$3:$A$1723,MATCH($B763&amp;"|"&amp;$C763,'Base de sorteio'!$I$3:$I$1723,0)),"")</f>
        <v/>
      </c>
      <c r="E763" s="4">
        <f>IFERROR(INDEX('Base de sorteio'!$B$3:$B$1723,MATCH($B763&amp;"|"&amp;$C763,'Base de sorteio'!$I$3:$I$1723,0)),"")</f>
        <v/>
      </c>
      <c r="F763" s="4">
        <f>IFERROR(INDEX('Base de sorteio'!$C$3:$C$1723,MATCH($B763&amp;"|"&amp;$C763,'Base de sorteio'!$I$3:$I$1723,0)),"")</f>
        <v/>
      </c>
      <c r="G763" s="4">
        <f>IFERROR(INDEX('Base de sorteio'!$D$3:$D$1723,MATCH($B763&amp;"|"&amp;$C763,'Base de sorteio'!$I$3:$I$1723,0)),"")</f>
        <v/>
      </c>
      <c r="H763" s="4">
        <f>IFERROR(INDEX('Base de sorteio'!$E$3:$E$1723,MATCH($B763&amp;"|"&amp;$C763,'Base de sorteio'!$I$3:$I$1723,0)),"")</f>
        <v/>
      </c>
      <c r="I763" s="4">
        <f>IF(E763="","",HYPERLINK(IFERROR(INDEX('Base de sorteio'!$J$3:$J$1723,MATCH($B763&amp;"|"&amp;$C763,'Base de sorteio'!$I$3:$I$1723,0)),""),"abrir"))</f>
        <v/>
      </c>
      <c r="J763" s="4" t="n"/>
      <c r="K763" s="4" t="n"/>
      <c r="L763" s="4" t="n"/>
      <c r="M763" s="4" t="n"/>
      <c r="N763" s="4">
        <f>IF(AND(K763="",M763=""),"",IF(OR(K763="sim",M763="sim"),"sim",IF(OR(K763="inconclusivo",M763="inconclusivo"),"inconclusivo","não")))</f>
        <v/>
      </c>
      <c r="O763" s="5">
        <f>IF(N763="sim",COUNTIFS($B$3:$B763,$B763,$N$3:$N763,"sim"),"")</f>
        <v/>
      </c>
      <c r="P763" s="5" t="n"/>
      <c r="Q763" s="4" t="n"/>
      <c r="R763" s="5" t="n"/>
      <c r="S763" s="9" t="n"/>
      <c r="T763" s="4" t="n"/>
    </row>
    <row r="764">
      <c r="A764" s="5">
        <f>ROW()-2</f>
        <v/>
      </c>
      <c r="B764" s="4" t="inlineStr">
        <is>
          <t>Metrópole</t>
        </is>
      </c>
      <c r="C764" s="5" t="n">
        <v>762</v>
      </c>
      <c r="D764" s="5">
        <f>IFERROR(INDEX('Base de sorteio'!$A$3:$A$1723,MATCH($B764&amp;"|"&amp;$C764,'Base de sorteio'!$I$3:$I$1723,0)),"")</f>
        <v/>
      </c>
      <c r="E764" s="4">
        <f>IFERROR(INDEX('Base de sorteio'!$B$3:$B$1723,MATCH($B764&amp;"|"&amp;$C764,'Base de sorteio'!$I$3:$I$1723,0)),"")</f>
        <v/>
      </c>
      <c r="F764" s="4">
        <f>IFERROR(INDEX('Base de sorteio'!$C$3:$C$1723,MATCH($B764&amp;"|"&amp;$C764,'Base de sorteio'!$I$3:$I$1723,0)),"")</f>
        <v/>
      </c>
      <c r="G764" s="4">
        <f>IFERROR(INDEX('Base de sorteio'!$D$3:$D$1723,MATCH($B764&amp;"|"&amp;$C764,'Base de sorteio'!$I$3:$I$1723,0)),"")</f>
        <v/>
      </c>
      <c r="H764" s="4">
        <f>IFERROR(INDEX('Base de sorteio'!$E$3:$E$1723,MATCH($B764&amp;"|"&amp;$C764,'Base de sorteio'!$I$3:$I$1723,0)),"")</f>
        <v/>
      </c>
      <c r="I764" s="4">
        <f>IF(E764="","",HYPERLINK(IFERROR(INDEX('Base de sorteio'!$J$3:$J$1723,MATCH($B764&amp;"|"&amp;$C764,'Base de sorteio'!$I$3:$I$1723,0)),""),"abrir"))</f>
        <v/>
      </c>
      <c r="J764" s="4" t="n"/>
      <c r="K764" s="4" t="n"/>
      <c r="L764" s="4" t="n"/>
      <c r="M764" s="4" t="n"/>
      <c r="N764" s="4">
        <f>IF(AND(K764="",M764=""),"",IF(OR(K764="sim",M764="sim"),"sim",IF(OR(K764="inconclusivo",M764="inconclusivo"),"inconclusivo","não")))</f>
        <v/>
      </c>
      <c r="O764" s="5">
        <f>IF(N764="sim",COUNTIFS($B$3:$B764,$B764,$N$3:$N764,"sim"),"")</f>
        <v/>
      </c>
      <c r="P764" s="5" t="n"/>
      <c r="Q764" s="4" t="n"/>
      <c r="R764" s="5" t="n"/>
      <c r="S764" s="9" t="n"/>
      <c r="T764" s="4" t="n"/>
    </row>
    <row r="765">
      <c r="A765" s="5">
        <f>ROW()-2</f>
        <v/>
      </c>
      <c r="B765" s="4" t="inlineStr">
        <is>
          <t>Metrópole</t>
        </is>
      </c>
      <c r="C765" s="5" t="n">
        <v>763</v>
      </c>
      <c r="D765" s="5">
        <f>IFERROR(INDEX('Base de sorteio'!$A$3:$A$1723,MATCH($B765&amp;"|"&amp;$C765,'Base de sorteio'!$I$3:$I$1723,0)),"")</f>
        <v/>
      </c>
      <c r="E765" s="4">
        <f>IFERROR(INDEX('Base de sorteio'!$B$3:$B$1723,MATCH($B765&amp;"|"&amp;$C765,'Base de sorteio'!$I$3:$I$1723,0)),"")</f>
        <v/>
      </c>
      <c r="F765" s="4">
        <f>IFERROR(INDEX('Base de sorteio'!$C$3:$C$1723,MATCH($B765&amp;"|"&amp;$C765,'Base de sorteio'!$I$3:$I$1723,0)),"")</f>
        <v/>
      </c>
      <c r="G765" s="4">
        <f>IFERROR(INDEX('Base de sorteio'!$D$3:$D$1723,MATCH($B765&amp;"|"&amp;$C765,'Base de sorteio'!$I$3:$I$1723,0)),"")</f>
        <v/>
      </c>
      <c r="H765" s="4">
        <f>IFERROR(INDEX('Base de sorteio'!$E$3:$E$1723,MATCH($B765&amp;"|"&amp;$C765,'Base de sorteio'!$I$3:$I$1723,0)),"")</f>
        <v/>
      </c>
      <c r="I765" s="4">
        <f>IF(E765="","",HYPERLINK(IFERROR(INDEX('Base de sorteio'!$J$3:$J$1723,MATCH($B765&amp;"|"&amp;$C765,'Base de sorteio'!$I$3:$I$1723,0)),""),"abrir"))</f>
        <v/>
      </c>
      <c r="J765" s="4" t="n"/>
      <c r="K765" s="4" t="n"/>
      <c r="L765" s="4" t="n"/>
      <c r="M765" s="4" t="n"/>
      <c r="N765" s="4">
        <f>IF(AND(K765="",M765=""),"",IF(OR(K765="sim",M765="sim"),"sim",IF(OR(K765="inconclusivo",M765="inconclusivo"),"inconclusivo","não")))</f>
        <v/>
      </c>
      <c r="O765" s="5">
        <f>IF(N765="sim",COUNTIFS($B$3:$B765,$B765,$N$3:$N765,"sim"),"")</f>
        <v/>
      </c>
      <c r="P765" s="5" t="n"/>
      <c r="Q765" s="4" t="n"/>
      <c r="R765" s="5" t="n"/>
      <c r="S765" s="9" t="n"/>
      <c r="T765" s="4" t="n"/>
    </row>
    <row r="766">
      <c r="A766" s="5">
        <f>ROW()-2</f>
        <v/>
      </c>
      <c r="B766" s="4" t="inlineStr">
        <is>
          <t>Metrópole</t>
        </is>
      </c>
      <c r="C766" s="5" t="n">
        <v>764</v>
      </c>
      <c r="D766" s="5">
        <f>IFERROR(INDEX('Base de sorteio'!$A$3:$A$1723,MATCH($B766&amp;"|"&amp;$C766,'Base de sorteio'!$I$3:$I$1723,0)),"")</f>
        <v/>
      </c>
      <c r="E766" s="4">
        <f>IFERROR(INDEX('Base de sorteio'!$B$3:$B$1723,MATCH($B766&amp;"|"&amp;$C766,'Base de sorteio'!$I$3:$I$1723,0)),"")</f>
        <v/>
      </c>
      <c r="F766" s="4">
        <f>IFERROR(INDEX('Base de sorteio'!$C$3:$C$1723,MATCH($B766&amp;"|"&amp;$C766,'Base de sorteio'!$I$3:$I$1723,0)),"")</f>
        <v/>
      </c>
      <c r="G766" s="4">
        <f>IFERROR(INDEX('Base de sorteio'!$D$3:$D$1723,MATCH($B766&amp;"|"&amp;$C766,'Base de sorteio'!$I$3:$I$1723,0)),"")</f>
        <v/>
      </c>
      <c r="H766" s="4">
        <f>IFERROR(INDEX('Base de sorteio'!$E$3:$E$1723,MATCH($B766&amp;"|"&amp;$C766,'Base de sorteio'!$I$3:$I$1723,0)),"")</f>
        <v/>
      </c>
      <c r="I766" s="4">
        <f>IF(E766="","",HYPERLINK(IFERROR(INDEX('Base de sorteio'!$J$3:$J$1723,MATCH($B766&amp;"|"&amp;$C766,'Base de sorteio'!$I$3:$I$1723,0)),""),"abrir"))</f>
        <v/>
      </c>
      <c r="J766" s="4" t="n"/>
      <c r="K766" s="4" t="n"/>
      <c r="L766" s="4" t="n"/>
      <c r="M766" s="4" t="n"/>
      <c r="N766" s="4">
        <f>IF(AND(K766="",M766=""),"",IF(OR(K766="sim",M766="sim"),"sim",IF(OR(K766="inconclusivo",M766="inconclusivo"),"inconclusivo","não")))</f>
        <v/>
      </c>
      <c r="O766" s="5">
        <f>IF(N766="sim",COUNTIFS($B$3:$B766,$B766,$N$3:$N766,"sim"),"")</f>
        <v/>
      </c>
      <c r="P766" s="5" t="n"/>
      <c r="Q766" s="4" t="n"/>
      <c r="R766" s="5" t="n"/>
      <c r="S766" s="9" t="n"/>
      <c r="T766" s="4" t="n"/>
    </row>
    <row r="767">
      <c r="A767" s="5">
        <f>ROW()-2</f>
        <v/>
      </c>
      <c r="B767" s="4" t="inlineStr">
        <is>
          <t>Metrópole</t>
        </is>
      </c>
      <c r="C767" s="5" t="n">
        <v>765</v>
      </c>
      <c r="D767" s="5">
        <f>IFERROR(INDEX('Base de sorteio'!$A$3:$A$1723,MATCH($B767&amp;"|"&amp;$C767,'Base de sorteio'!$I$3:$I$1723,0)),"")</f>
        <v/>
      </c>
      <c r="E767" s="4">
        <f>IFERROR(INDEX('Base de sorteio'!$B$3:$B$1723,MATCH($B767&amp;"|"&amp;$C767,'Base de sorteio'!$I$3:$I$1723,0)),"")</f>
        <v/>
      </c>
      <c r="F767" s="4">
        <f>IFERROR(INDEX('Base de sorteio'!$C$3:$C$1723,MATCH($B767&amp;"|"&amp;$C767,'Base de sorteio'!$I$3:$I$1723,0)),"")</f>
        <v/>
      </c>
      <c r="G767" s="4">
        <f>IFERROR(INDEX('Base de sorteio'!$D$3:$D$1723,MATCH($B767&amp;"|"&amp;$C767,'Base de sorteio'!$I$3:$I$1723,0)),"")</f>
        <v/>
      </c>
      <c r="H767" s="4">
        <f>IFERROR(INDEX('Base de sorteio'!$E$3:$E$1723,MATCH($B767&amp;"|"&amp;$C767,'Base de sorteio'!$I$3:$I$1723,0)),"")</f>
        <v/>
      </c>
      <c r="I767" s="4">
        <f>IF(E767="","",HYPERLINK(IFERROR(INDEX('Base de sorteio'!$J$3:$J$1723,MATCH($B767&amp;"|"&amp;$C767,'Base de sorteio'!$I$3:$I$1723,0)),""),"abrir"))</f>
        <v/>
      </c>
      <c r="J767" s="4" t="n"/>
      <c r="K767" s="4" t="n"/>
      <c r="L767" s="4" t="n"/>
      <c r="M767" s="4" t="n"/>
      <c r="N767" s="4">
        <f>IF(AND(K767="",M767=""),"",IF(OR(K767="sim",M767="sim"),"sim",IF(OR(K767="inconclusivo",M767="inconclusivo"),"inconclusivo","não")))</f>
        <v/>
      </c>
      <c r="O767" s="5">
        <f>IF(N767="sim",COUNTIFS($B$3:$B767,$B767,$N$3:$N767,"sim"),"")</f>
        <v/>
      </c>
      <c r="P767" s="5" t="n"/>
      <c r="Q767" s="4" t="n"/>
      <c r="R767" s="5" t="n"/>
      <c r="S767" s="9" t="n"/>
      <c r="T767" s="4" t="n"/>
    </row>
    <row r="768">
      <c r="A768" s="5">
        <f>ROW()-2</f>
        <v/>
      </c>
      <c r="B768" s="4" t="inlineStr">
        <is>
          <t>Metrópole</t>
        </is>
      </c>
      <c r="C768" s="5" t="n">
        <v>766</v>
      </c>
      <c r="D768" s="5">
        <f>IFERROR(INDEX('Base de sorteio'!$A$3:$A$1723,MATCH($B768&amp;"|"&amp;$C768,'Base de sorteio'!$I$3:$I$1723,0)),"")</f>
        <v/>
      </c>
      <c r="E768" s="4">
        <f>IFERROR(INDEX('Base de sorteio'!$B$3:$B$1723,MATCH($B768&amp;"|"&amp;$C768,'Base de sorteio'!$I$3:$I$1723,0)),"")</f>
        <v/>
      </c>
      <c r="F768" s="4">
        <f>IFERROR(INDEX('Base de sorteio'!$C$3:$C$1723,MATCH($B768&amp;"|"&amp;$C768,'Base de sorteio'!$I$3:$I$1723,0)),"")</f>
        <v/>
      </c>
      <c r="G768" s="4">
        <f>IFERROR(INDEX('Base de sorteio'!$D$3:$D$1723,MATCH($B768&amp;"|"&amp;$C768,'Base de sorteio'!$I$3:$I$1723,0)),"")</f>
        <v/>
      </c>
      <c r="H768" s="4">
        <f>IFERROR(INDEX('Base de sorteio'!$E$3:$E$1723,MATCH($B768&amp;"|"&amp;$C768,'Base de sorteio'!$I$3:$I$1723,0)),"")</f>
        <v/>
      </c>
      <c r="I768" s="4">
        <f>IF(E768="","",HYPERLINK(IFERROR(INDEX('Base de sorteio'!$J$3:$J$1723,MATCH($B768&amp;"|"&amp;$C768,'Base de sorteio'!$I$3:$I$1723,0)),""),"abrir"))</f>
        <v/>
      </c>
      <c r="J768" s="4" t="n"/>
      <c r="K768" s="4" t="n"/>
      <c r="L768" s="4" t="n"/>
      <c r="M768" s="4" t="n"/>
      <c r="N768" s="4">
        <f>IF(AND(K768="",M768=""),"",IF(OR(K768="sim",M768="sim"),"sim",IF(OR(K768="inconclusivo",M768="inconclusivo"),"inconclusivo","não")))</f>
        <v/>
      </c>
      <c r="O768" s="5">
        <f>IF(N768="sim",COUNTIFS($B$3:$B768,$B768,$N$3:$N768,"sim"),"")</f>
        <v/>
      </c>
      <c r="P768" s="5" t="n"/>
      <c r="Q768" s="4" t="n"/>
      <c r="R768" s="5" t="n"/>
      <c r="S768" s="9" t="n"/>
      <c r="T768" s="4" t="n"/>
    </row>
    <row r="769">
      <c r="A769" s="5">
        <f>ROW()-2</f>
        <v/>
      </c>
      <c r="B769" s="4" t="inlineStr">
        <is>
          <t>Metrópole</t>
        </is>
      </c>
      <c r="C769" s="5" t="n">
        <v>767</v>
      </c>
      <c r="D769" s="5">
        <f>IFERROR(INDEX('Base de sorteio'!$A$3:$A$1723,MATCH($B769&amp;"|"&amp;$C769,'Base de sorteio'!$I$3:$I$1723,0)),"")</f>
        <v/>
      </c>
      <c r="E769" s="4">
        <f>IFERROR(INDEX('Base de sorteio'!$B$3:$B$1723,MATCH($B769&amp;"|"&amp;$C769,'Base de sorteio'!$I$3:$I$1723,0)),"")</f>
        <v/>
      </c>
      <c r="F769" s="4">
        <f>IFERROR(INDEX('Base de sorteio'!$C$3:$C$1723,MATCH($B769&amp;"|"&amp;$C769,'Base de sorteio'!$I$3:$I$1723,0)),"")</f>
        <v/>
      </c>
      <c r="G769" s="4">
        <f>IFERROR(INDEX('Base de sorteio'!$D$3:$D$1723,MATCH($B769&amp;"|"&amp;$C769,'Base de sorteio'!$I$3:$I$1723,0)),"")</f>
        <v/>
      </c>
      <c r="H769" s="4">
        <f>IFERROR(INDEX('Base de sorteio'!$E$3:$E$1723,MATCH($B769&amp;"|"&amp;$C769,'Base de sorteio'!$I$3:$I$1723,0)),"")</f>
        <v/>
      </c>
      <c r="I769" s="4">
        <f>IF(E769="","",HYPERLINK(IFERROR(INDEX('Base de sorteio'!$J$3:$J$1723,MATCH($B769&amp;"|"&amp;$C769,'Base de sorteio'!$I$3:$I$1723,0)),""),"abrir"))</f>
        <v/>
      </c>
      <c r="J769" s="4" t="n"/>
      <c r="K769" s="4" t="n"/>
      <c r="L769" s="4" t="n"/>
      <c r="M769" s="4" t="n"/>
      <c r="N769" s="4">
        <f>IF(AND(K769="",M769=""),"",IF(OR(K769="sim",M769="sim"),"sim",IF(OR(K769="inconclusivo",M769="inconclusivo"),"inconclusivo","não")))</f>
        <v/>
      </c>
      <c r="O769" s="5">
        <f>IF(N769="sim",COUNTIFS($B$3:$B769,$B769,$N$3:$N769,"sim"),"")</f>
        <v/>
      </c>
      <c r="P769" s="5" t="n"/>
      <c r="Q769" s="4" t="n"/>
      <c r="R769" s="5" t="n"/>
      <c r="S769" s="9" t="n"/>
      <c r="T769" s="4" t="n"/>
    </row>
    <row r="770">
      <c r="A770" s="5">
        <f>ROW()-2</f>
        <v/>
      </c>
      <c r="B770" s="4" t="inlineStr">
        <is>
          <t>Metrópole</t>
        </is>
      </c>
      <c r="C770" s="5" t="n">
        <v>768</v>
      </c>
      <c r="D770" s="5">
        <f>IFERROR(INDEX('Base de sorteio'!$A$3:$A$1723,MATCH($B770&amp;"|"&amp;$C770,'Base de sorteio'!$I$3:$I$1723,0)),"")</f>
        <v/>
      </c>
      <c r="E770" s="4">
        <f>IFERROR(INDEX('Base de sorteio'!$B$3:$B$1723,MATCH($B770&amp;"|"&amp;$C770,'Base de sorteio'!$I$3:$I$1723,0)),"")</f>
        <v/>
      </c>
      <c r="F770" s="4">
        <f>IFERROR(INDEX('Base de sorteio'!$C$3:$C$1723,MATCH($B770&amp;"|"&amp;$C770,'Base de sorteio'!$I$3:$I$1723,0)),"")</f>
        <v/>
      </c>
      <c r="G770" s="4">
        <f>IFERROR(INDEX('Base de sorteio'!$D$3:$D$1723,MATCH($B770&amp;"|"&amp;$C770,'Base de sorteio'!$I$3:$I$1723,0)),"")</f>
        <v/>
      </c>
      <c r="H770" s="4">
        <f>IFERROR(INDEX('Base de sorteio'!$E$3:$E$1723,MATCH($B770&amp;"|"&amp;$C770,'Base de sorteio'!$I$3:$I$1723,0)),"")</f>
        <v/>
      </c>
      <c r="I770" s="4">
        <f>IF(E770="","",HYPERLINK(IFERROR(INDEX('Base de sorteio'!$J$3:$J$1723,MATCH($B770&amp;"|"&amp;$C770,'Base de sorteio'!$I$3:$I$1723,0)),""),"abrir"))</f>
        <v/>
      </c>
      <c r="J770" s="4" t="n"/>
      <c r="K770" s="4" t="n"/>
      <c r="L770" s="4" t="n"/>
      <c r="M770" s="4" t="n"/>
      <c r="N770" s="4">
        <f>IF(AND(K770="",M770=""),"",IF(OR(K770="sim",M770="sim"),"sim",IF(OR(K770="inconclusivo",M770="inconclusivo"),"inconclusivo","não")))</f>
        <v/>
      </c>
      <c r="O770" s="5">
        <f>IF(N770="sim",COUNTIFS($B$3:$B770,$B770,$N$3:$N770,"sim"),"")</f>
        <v/>
      </c>
      <c r="P770" s="5" t="n"/>
      <c r="Q770" s="4" t="n"/>
      <c r="R770" s="5" t="n"/>
      <c r="S770" s="9" t="n"/>
      <c r="T770" s="4" t="n"/>
    </row>
    <row r="771">
      <c r="A771" s="5">
        <f>ROW()-2</f>
        <v/>
      </c>
      <c r="B771" s="4" t="inlineStr">
        <is>
          <t>Metrópole</t>
        </is>
      </c>
      <c r="C771" s="5" t="n">
        <v>769</v>
      </c>
      <c r="D771" s="5">
        <f>IFERROR(INDEX('Base de sorteio'!$A$3:$A$1723,MATCH($B771&amp;"|"&amp;$C771,'Base de sorteio'!$I$3:$I$1723,0)),"")</f>
        <v/>
      </c>
      <c r="E771" s="4">
        <f>IFERROR(INDEX('Base de sorteio'!$B$3:$B$1723,MATCH($B771&amp;"|"&amp;$C771,'Base de sorteio'!$I$3:$I$1723,0)),"")</f>
        <v/>
      </c>
      <c r="F771" s="4">
        <f>IFERROR(INDEX('Base de sorteio'!$C$3:$C$1723,MATCH($B771&amp;"|"&amp;$C771,'Base de sorteio'!$I$3:$I$1723,0)),"")</f>
        <v/>
      </c>
      <c r="G771" s="4">
        <f>IFERROR(INDEX('Base de sorteio'!$D$3:$D$1723,MATCH($B771&amp;"|"&amp;$C771,'Base de sorteio'!$I$3:$I$1723,0)),"")</f>
        <v/>
      </c>
      <c r="H771" s="4">
        <f>IFERROR(INDEX('Base de sorteio'!$E$3:$E$1723,MATCH($B771&amp;"|"&amp;$C771,'Base de sorteio'!$I$3:$I$1723,0)),"")</f>
        <v/>
      </c>
      <c r="I771" s="4">
        <f>IF(E771="","",HYPERLINK(IFERROR(INDEX('Base de sorteio'!$J$3:$J$1723,MATCH($B771&amp;"|"&amp;$C771,'Base de sorteio'!$I$3:$I$1723,0)),""),"abrir"))</f>
        <v/>
      </c>
      <c r="J771" s="4" t="n"/>
      <c r="K771" s="4" t="n"/>
      <c r="L771" s="4" t="n"/>
      <c r="M771" s="4" t="n"/>
      <c r="N771" s="4">
        <f>IF(AND(K771="",M771=""),"",IF(OR(K771="sim",M771="sim"),"sim",IF(OR(K771="inconclusivo",M771="inconclusivo"),"inconclusivo","não")))</f>
        <v/>
      </c>
      <c r="O771" s="5">
        <f>IF(N771="sim",COUNTIFS($B$3:$B771,$B771,$N$3:$N771,"sim"),"")</f>
        <v/>
      </c>
      <c r="P771" s="5" t="n"/>
      <c r="Q771" s="4" t="n"/>
      <c r="R771" s="5" t="n"/>
      <c r="S771" s="9" t="n"/>
      <c r="T771" s="4" t="n"/>
    </row>
    <row r="772">
      <c r="A772" s="5">
        <f>ROW()-2</f>
        <v/>
      </c>
      <c r="B772" s="4" t="inlineStr">
        <is>
          <t>Metrópole</t>
        </is>
      </c>
      <c r="C772" s="5" t="n">
        <v>770</v>
      </c>
      <c r="D772" s="5">
        <f>IFERROR(INDEX('Base de sorteio'!$A$3:$A$1723,MATCH($B772&amp;"|"&amp;$C772,'Base de sorteio'!$I$3:$I$1723,0)),"")</f>
        <v/>
      </c>
      <c r="E772" s="4">
        <f>IFERROR(INDEX('Base de sorteio'!$B$3:$B$1723,MATCH($B772&amp;"|"&amp;$C772,'Base de sorteio'!$I$3:$I$1723,0)),"")</f>
        <v/>
      </c>
      <c r="F772" s="4">
        <f>IFERROR(INDEX('Base de sorteio'!$C$3:$C$1723,MATCH($B772&amp;"|"&amp;$C772,'Base de sorteio'!$I$3:$I$1723,0)),"")</f>
        <v/>
      </c>
      <c r="G772" s="4">
        <f>IFERROR(INDEX('Base de sorteio'!$D$3:$D$1723,MATCH($B772&amp;"|"&amp;$C772,'Base de sorteio'!$I$3:$I$1723,0)),"")</f>
        <v/>
      </c>
      <c r="H772" s="4">
        <f>IFERROR(INDEX('Base de sorteio'!$E$3:$E$1723,MATCH($B772&amp;"|"&amp;$C772,'Base de sorteio'!$I$3:$I$1723,0)),"")</f>
        <v/>
      </c>
      <c r="I772" s="4">
        <f>IF(E772="","",HYPERLINK(IFERROR(INDEX('Base de sorteio'!$J$3:$J$1723,MATCH($B772&amp;"|"&amp;$C772,'Base de sorteio'!$I$3:$I$1723,0)),""),"abrir"))</f>
        <v/>
      </c>
      <c r="J772" s="4" t="n"/>
      <c r="K772" s="4" t="n"/>
      <c r="L772" s="4" t="n"/>
      <c r="M772" s="4" t="n"/>
      <c r="N772" s="4">
        <f>IF(AND(K772="",M772=""),"",IF(OR(K772="sim",M772="sim"),"sim",IF(OR(K772="inconclusivo",M772="inconclusivo"),"inconclusivo","não")))</f>
        <v/>
      </c>
      <c r="O772" s="5">
        <f>IF(N772="sim",COUNTIFS($B$3:$B772,$B772,$N$3:$N772,"sim"),"")</f>
        <v/>
      </c>
      <c r="P772" s="5" t="n"/>
      <c r="Q772" s="4" t="n"/>
      <c r="R772" s="5" t="n"/>
      <c r="S772" s="9" t="n"/>
      <c r="T772" s="4" t="n"/>
    </row>
    <row r="773">
      <c r="A773" s="5">
        <f>ROW()-2</f>
        <v/>
      </c>
      <c r="B773" s="4" t="inlineStr">
        <is>
          <t>Metrópole</t>
        </is>
      </c>
      <c r="C773" s="5" t="n">
        <v>771</v>
      </c>
      <c r="D773" s="5">
        <f>IFERROR(INDEX('Base de sorteio'!$A$3:$A$1723,MATCH($B773&amp;"|"&amp;$C773,'Base de sorteio'!$I$3:$I$1723,0)),"")</f>
        <v/>
      </c>
      <c r="E773" s="4">
        <f>IFERROR(INDEX('Base de sorteio'!$B$3:$B$1723,MATCH($B773&amp;"|"&amp;$C773,'Base de sorteio'!$I$3:$I$1723,0)),"")</f>
        <v/>
      </c>
      <c r="F773" s="4">
        <f>IFERROR(INDEX('Base de sorteio'!$C$3:$C$1723,MATCH($B773&amp;"|"&amp;$C773,'Base de sorteio'!$I$3:$I$1723,0)),"")</f>
        <v/>
      </c>
      <c r="G773" s="4">
        <f>IFERROR(INDEX('Base de sorteio'!$D$3:$D$1723,MATCH($B773&amp;"|"&amp;$C773,'Base de sorteio'!$I$3:$I$1723,0)),"")</f>
        <v/>
      </c>
      <c r="H773" s="4">
        <f>IFERROR(INDEX('Base de sorteio'!$E$3:$E$1723,MATCH($B773&amp;"|"&amp;$C773,'Base de sorteio'!$I$3:$I$1723,0)),"")</f>
        <v/>
      </c>
      <c r="I773" s="4">
        <f>IF(E773="","",HYPERLINK(IFERROR(INDEX('Base de sorteio'!$J$3:$J$1723,MATCH($B773&amp;"|"&amp;$C773,'Base de sorteio'!$I$3:$I$1723,0)),""),"abrir"))</f>
        <v/>
      </c>
      <c r="J773" s="4" t="n"/>
      <c r="K773" s="4" t="n"/>
      <c r="L773" s="4" t="n"/>
      <c r="M773" s="4" t="n"/>
      <c r="N773" s="4">
        <f>IF(AND(K773="",M773=""),"",IF(OR(K773="sim",M773="sim"),"sim",IF(OR(K773="inconclusivo",M773="inconclusivo"),"inconclusivo","não")))</f>
        <v/>
      </c>
      <c r="O773" s="5">
        <f>IF(N773="sim",COUNTIFS($B$3:$B773,$B773,$N$3:$N773,"sim"),"")</f>
        <v/>
      </c>
      <c r="P773" s="5" t="n"/>
      <c r="Q773" s="4" t="n"/>
      <c r="R773" s="5" t="n"/>
      <c r="S773" s="9" t="n"/>
      <c r="T773" s="4" t="n"/>
    </row>
    <row r="774">
      <c r="A774" s="5">
        <f>ROW()-2</f>
        <v/>
      </c>
      <c r="B774" s="4" t="inlineStr">
        <is>
          <t>Metrópole</t>
        </is>
      </c>
      <c r="C774" s="5" t="n">
        <v>772</v>
      </c>
      <c r="D774" s="5">
        <f>IFERROR(INDEX('Base de sorteio'!$A$3:$A$1723,MATCH($B774&amp;"|"&amp;$C774,'Base de sorteio'!$I$3:$I$1723,0)),"")</f>
        <v/>
      </c>
      <c r="E774" s="4">
        <f>IFERROR(INDEX('Base de sorteio'!$B$3:$B$1723,MATCH($B774&amp;"|"&amp;$C774,'Base de sorteio'!$I$3:$I$1723,0)),"")</f>
        <v/>
      </c>
      <c r="F774" s="4">
        <f>IFERROR(INDEX('Base de sorteio'!$C$3:$C$1723,MATCH($B774&amp;"|"&amp;$C774,'Base de sorteio'!$I$3:$I$1723,0)),"")</f>
        <v/>
      </c>
      <c r="G774" s="4">
        <f>IFERROR(INDEX('Base de sorteio'!$D$3:$D$1723,MATCH($B774&amp;"|"&amp;$C774,'Base de sorteio'!$I$3:$I$1723,0)),"")</f>
        <v/>
      </c>
      <c r="H774" s="4">
        <f>IFERROR(INDEX('Base de sorteio'!$E$3:$E$1723,MATCH($B774&amp;"|"&amp;$C774,'Base de sorteio'!$I$3:$I$1723,0)),"")</f>
        <v/>
      </c>
      <c r="I774" s="4">
        <f>IF(E774="","",HYPERLINK(IFERROR(INDEX('Base de sorteio'!$J$3:$J$1723,MATCH($B774&amp;"|"&amp;$C774,'Base de sorteio'!$I$3:$I$1723,0)),""),"abrir"))</f>
        <v/>
      </c>
      <c r="J774" s="4" t="n"/>
      <c r="K774" s="4" t="n"/>
      <c r="L774" s="4" t="n"/>
      <c r="M774" s="4" t="n"/>
      <c r="N774" s="4">
        <f>IF(AND(K774="",M774=""),"",IF(OR(K774="sim",M774="sim"),"sim",IF(OR(K774="inconclusivo",M774="inconclusivo"),"inconclusivo","não")))</f>
        <v/>
      </c>
      <c r="O774" s="5">
        <f>IF(N774="sim",COUNTIFS($B$3:$B774,$B774,$N$3:$N774,"sim"),"")</f>
        <v/>
      </c>
      <c r="P774" s="5" t="n"/>
      <c r="Q774" s="4" t="n"/>
      <c r="R774" s="5" t="n"/>
      <c r="S774" s="9" t="n"/>
      <c r="T774" s="4" t="n"/>
    </row>
    <row r="775">
      <c r="A775" s="5">
        <f>ROW()-2</f>
        <v/>
      </c>
      <c r="B775" s="4" t="inlineStr">
        <is>
          <t>Metrópole</t>
        </is>
      </c>
      <c r="C775" s="5" t="n">
        <v>773</v>
      </c>
      <c r="D775" s="5">
        <f>IFERROR(INDEX('Base de sorteio'!$A$3:$A$1723,MATCH($B775&amp;"|"&amp;$C775,'Base de sorteio'!$I$3:$I$1723,0)),"")</f>
        <v/>
      </c>
      <c r="E775" s="4">
        <f>IFERROR(INDEX('Base de sorteio'!$B$3:$B$1723,MATCH($B775&amp;"|"&amp;$C775,'Base de sorteio'!$I$3:$I$1723,0)),"")</f>
        <v/>
      </c>
      <c r="F775" s="4">
        <f>IFERROR(INDEX('Base de sorteio'!$C$3:$C$1723,MATCH($B775&amp;"|"&amp;$C775,'Base de sorteio'!$I$3:$I$1723,0)),"")</f>
        <v/>
      </c>
      <c r="G775" s="4">
        <f>IFERROR(INDEX('Base de sorteio'!$D$3:$D$1723,MATCH($B775&amp;"|"&amp;$C775,'Base de sorteio'!$I$3:$I$1723,0)),"")</f>
        <v/>
      </c>
      <c r="H775" s="4">
        <f>IFERROR(INDEX('Base de sorteio'!$E$3:$E$1723,MATCH($B775&amp;"|"&amp;$C775,'Base de sorteio'!$I$3:$I$1723,0)),"")</f>
        <v/>
      </c>
      <c r="I775" s="4">
        <f>IF(E775="","",HYPERLINK(IFERROR(INDEX('Base de sorteio'!$J$3:$J$1723,MATCH($B775&amp;"|"&amp;$C775,'Base de sorteio'!$I$3:$I$1723,0)),""),"abrir"))</f>
        <v/>
      </c>
      <c r="J775" s="4" t="n"/>
      <c r="K775" s="4" t="n"/>
      <c r="L775" s="4" t="n"/>
      <c r="M775" s="4" t="n"/>
      <c r="N775" s="4">
        <f>IF(AND(K775="",M775=""),"",IF(OR(K775="sim",M775="sim"),"sim",IF(OR(K775="inconclusivo",M775="inconclusivo"),"inconclusivo","não")))</f>
        <v/>
      </c>
      <c r="O775" s="5">
        <f>IF(N775="sim",COUNTIFS($B$3:$B775,$B775,$N$3:$N775,"sim"),"")</f>
        <v/>
      </c>
      <c r="P775" s="5" t="n"/>
      <c r="Q775" s="4" t="n"/>
      <c r="R775" s="5" t="n"/>
      <c r="S775" s="9" t="n"/>
      <c r="T775" s="4" t="n"/>
    </row>
    <row r="776">
      <c r="A776" s="5">
        <f>ROW()-2</f>
        <v/>
      </c>
      <c r="B776" s="4" t="inlineStr">
        <is>
          <t>Metrópole</t>
        </is>
      </c>
      <c r="C776" s="5" t="n">
        <v>774</v>
      </c>
      <c r="D776" s="5">
        <f>IFERROR(INDEX('Base de sorteio'!$A$3:$A$1723,MATCH($B776&amp;"|"&amp;$C776,'Base de sorteio'!$I$3:$I$1723,0)),"")</f>
        <v/>
      </c>
      <c r="E776" s="4">
        <f>IFERROR(INDEX('Base de sorteio'!$B$3:$B$1723,MATCH($B776&amp;"|"&amp;$C776,'Base de sorteio'!$I$3:$I$1723,0)),"")</f>
        <v/>
      </c>
      <c r="F776" s="4">
        <f>IFERROR(INDEX('Base de sorteio'!$C$3:$C$1723,MATCH($B776&amp;"|"&amp;$C776,'Base de sorteio'!$I$3:$I$1723,0)),"")</f>
        <v/>
      </c>
      <c r="G776" s="4">
        <f>IFERROR(INDEX('Base de sorteio'!$D$3:$D$1723,MATCH($B776&amp;"|"&amp;$C776,'Base de sorteio'!$I$3:$I$1723,0)),"")</f>
        <v/>
      </c>
      <c r="H776" s="4">
        <f>IFERROR(INDEX('Base de sorteio'!$E$3:$E$1723,MATCH($B776&amp;"|"&amp;$C776,'Base de sorteio'!$I$3:$I$1723,0)),"")</f>
        <v/>
      </c>
      <c r="I776" s="4">
        <f>IF(E776="","",HYPERLINK(IFERROR(INDEX('Base de sorteio'!$J$3:$J$1723,MATCH($B776&amp;"|"&amp;$C776,'Base de sorteio'!$I$3:$I$1723,0)),""),"abrir"))</f>
        <v/>
      </c>
      <c r="J776" s="4" t="n"/>
      <c r="K776" s="4" t="n"/>
      <c r="L776" s="4" t="n"/>
      <c r="M776" s="4" t="n"/>
      <c r="N776" s="4">
        <f>IF(AND(K776="",M776=""),"",IF(OR(K776="sim",M776="sim"),"sim",IF(OR(K776="inconclusivo",M776="inconclusivo"),"inconclusivo","não")))</f>
        <v/>
      </c>
      <c r="O776" s="5">
        <f>IF(N776="sim",COUNTIFS($B$3:$B776,$B776,$N$3:$N776,"sim"),"")</f>
        <v/>
      </c>
      <c r="P776" s="5" t="n"/>
      <c r="Q776" s="4" t="n"/>
      <c r="R776" s="5" t="n"/>
      <c r="S776" s="9" t="n"/>
      <c r="T776" s="4" t="n"/>
    </row>
    <row r="777">
      <c r="A777" s="5">
        <f>ROW()-2</f>
        <v/>
      </c>
      <c r="B777" s="4" t="inlineStr">
        <is>
          <t>Metrópole</t>
        </is>
      </c>
      <c r="C777" s="5" t="n">
        <v>775</v>
      </c>
      <c r="D777" s="5">
        <f>IFERROR(INDEX('Base de sorteio'!$A$3:$A$1723,MATCH($B777&amp;"|"&amp;$C777,'Base de sorteio'!$I$3:$I$1723,0)),"")</f>
        <v/>
      </c>
      <c r="E777" s="4">
        <f>IFERROR(INDEX('Base de sorteio'!$B$3:$B$1723,MATCH($B777&amp;"|"&amp;$C777,'Base de sorteio'!$I$3:$I$1723,0)),"")</f>
        <v/>
      </c>
      <c r="F777" s="4">
        <f>IFERROR(INDEX('Base de sorteio'!$C$3:$C$1723,MATCH($B777&amp;"|"&amp;$C777,'Base de sorteio'!$I$3:$I$1723,0)),"")</f>
        <v/>
      </c>
      <c r="G777" s="4">
        <f>IFERROR(INDEX('Base de sorteio'!$D$3:$D$1723,MATCH($B777&amp;"|"&amp;$C777,'Base de sorteio'!$I$3:$I$1723,0)),"")</f>
        <v/>
      </c>
      <c r="H777" s="4">
        <f>IFERROR(INDEX('Base de sorteio'!$E$3:$E$1723,MATCH($B777&amp;"|"&amp;$C777,'Base de sorteio'!$I$3:$I$1723,0)),"")</f>
        <v/>
      </c>
      <c r="I777" s="4">
        <f>IF(E777="","",HYPERLINK(IFERROR(INDEX('Base de sorteio'!$J$3:$J$1723,MATCH($B777&amp;"|"&amp;$C777,'Base de sorteio'!$I$3:$I$1723,0)),""),"abrir"))</f>
        <v/>
      </c>
      <c r="J777" s="4" t="n"/>
      <c r="K777" s="4" t="n"/>
      <c r="L777" s="4" t="n"/>
      <c r="M777" s="4" t="n"/>
      <c r="N777" s="4">
        <f>IF(AND(K777="",M777=""),"",IF(OR(K777="sim",M777="sim"),"sim",IF(OR(K777="inconclusivo",M777="inconclusivo"),"inconclusivo","não")))</f>
        <v/>
      </c>
      <c r="O777" s="5">
        <f>IF(N777="sim",COUNTIFS($B$3:$B777,$B777,$N$3:$N777,"sim"),"")</f>
        <v/>
      </c>
      <c r="P777" s="5" t="n"/>
      <c r="Q777" s="4" t="n"/>
      <c r="R777" s="5" t="n"/>
      <c r="S777" s="9" t="n"/>
      <c r="T777" s="4" t="n"/>
    </row>
    <row r="778">
      <c r="A778" s="5">
        <f>ROW()-2</f>
        <v/>
      </c>
      <c r="B778" s="4" t="inlineStr">
        <is>
          <t>Metrópole</t>
        </is>
      </c>
      <c r="C778" s="5" t="n">
        <v>776</v>
      </c>
      <c r="D778" s="5">
        <f>IFERROR(INDEX('Base de sorteio'!$A$3:$A$1723,MATCH($B778&amp;"|"&amp;$C778,'Base de sorteio'!$I$3:$I$1723,0)),"")</f>
        <v/>
      </c>
      <c r="E778" s="4">
        <f>IFERROR(INDEX('Base de sorteio'!$B$3:$B$1723,MATCH($B778&amp;"|"&amp;$C778,'Base de sorteio'!$I$3:$I$1723,0)),"")</f>
        <v/>
      </c>
      <c r="F778" s="4">
        <f>IFERROR(INDEX('Base de sorteio'!$C$3:$C$1723,MATCH($B778&amp;"|"&amp;$C778,'Base de sorteio'!$I$3:$I$1723,0)),"")</f>
        <v/>
      </c>
      <c r="G778" s="4">
        <f>IFERROR(INDEX('Base de sorteio'!$D$3:$D$1723,MATCH($B778&amp;"|"&amp;$C778,'Base de sorteio'!$I$3:$I$1723,0)),"")</f>
        <v/>
      </c>
      <c r="H778" s="4">
        <f>IFERROR(INDEX('Base de sorteio'!$E$3:$E$1723,MATCH($B778&amp;"|"&amp;$C778,'Base de sorteio'!$I$3:$I$1723,0)),"")</f>
        <v/>
      </c>
      <c r="I778" s="4">
        <f>IF(E778="","",HYPERLINK(IFERROR(INDEX('Base de sorteio'!$J$3:$J$1723,MATCH($B778&amp;"|"&amp;$C778,'Base de sorteio'!$I$3:$I$1723,0)),""),"abrir"))</f>
        <v/>
      </c>
      <c r="J778" s="4" t="n"/>
      <c r="K778" s="4" t="n"/>
      <c r="L778" s="4" t="n"/>
      <c r="M778" s="4" t="n"/>
      <c r="N778" s="4">
        <f>IF(AND(K778="",M778=""),"",IF(OR(K778="sim",M778="sim"),"sim",IF(OR(K778="inconclusivo",M778="inconclusivo"),"inconclusivo","não")))</f>
        <v/>
      </c>
      <c r="O778" s="5">
        <f>IF(N778="sim",COUNTIFS($B$3:$B778,$B778,$N$3:$N778,"sim"),"")</f>
        <v/>
      </c>
      <c r="P778" s="5" t="n"/>
      <c r="Q778" s="4" t="n"/>
      <c r="R778" s="5" t="n"/>
      <c r="S778" s="9" t="n"/>
      <c r="T778" s="4" t="n"/>
    </row>
    <row r="779">
      <c r="A779" s="5">
        <f>ROW()-2</f>
        <v/>
      </c>
      <c r="B779" s="4" t="inlineStr">
        <is>
          <t>Metrópole</t>
        </is>
      </c>
      <c r="C779" s="5" t="n">
        <v>777</v>
      </c>
      <c r="D779" s="5">
        <f>IFERROR(INDEX('Base de sorteio'!$A$3:$A$1723,MATCH($B779&amp;"|"&amp;$C779,'Base de sorteio'!$I$3:$I$1723,0)),"")</f>
        <v/>
      </c>
      <c r="E779" s="4">
        <f>IFERROR(INDEX('Base de sorteio'!$B$3:$B$1723,MATCH($B779&amp;"|"&amp;$C779,'Base de sorteio'!$I$3:$I$1723,0)),"")</f>
        <v/>
      </c>
      <c r="F779" s="4">
        <f>IFERROR(INDEX('Base de sorteio'!$C$3:$C$1723,MATCH($B779&amp;"|"&amp;$C779,'Base de sorteio'!$I$3:$I$1723,0)),"")</f>
        <v/>
      </c>
      <c r="G779" s="4">
        <f>IFERROR(INDEX('Base de sorteio'!$D$3:$D$1723,MATCH($B779&amp;"|"&amp;$C779,'Base de sorteio'!$I$3:$I$1723,0)),"")</f>
        <v/>
      </c>
      <c r="H779" s="4">
        <f>IFERROR(INDEX('Base de sorteio'!$E$3:$E$1723,MATCH($B779&amp;"|"&amp;$C779,'Base de sorteio'!$I$3:$I$1723,0)),"")</f>
        <v/>
      </c>
      <c r="I779" s="4">
        <f>IF(E779="","",HYPERLINK(IFERROR(INDEX('Base de sorteio'!$J$3:$J$1723,MATCH($B779&amp;"|"&amp;$C779,'Base de sorteio'!$I$3:$I$1723,0)),""),"abrir"))</f>
        <v/>
      </c>
      <c r="J779" s="4" t="n"/>
      <c r="K779" s="4" t="n"/>
      <c r="L779" s="4" t="n"/>
      <c r="M779" s="4" t="n"/>
      <c r="N779" s="4">
        <f>IF(AND(K779="",M779=""),"",IF(OR(K779="sim",M779="sim"),"sim",IF(OR(K779="inconclusivo",M779="inconclusivo"),"inconclusivo","não")))</f>
        <v/>
      </c>
      <c r="O779" s="5">
        <f>IF(N779="sim",COUNTIFS($B$3:$B779,$B779,$N$3:$N779,"sim"),"")</f>
        <v/>
      </c>
      <c r="P779" s="5" t="n"/>
      <c r="Q779" s="4" t="n"/>
      <c r="R779" s="5" t="n"/>
      <c r="S779" s="9" t="n"/>
      <c r="T779" s="4" t="n"/>
    </row>
    <row r="780">
      <c r="A780" s="5">
        <f>ROW()-2</f>
        <v/>
      </c>
      <c r="B780" s="4" t="inlineStr">
        <is>
          <t>Metrópole</t>
        </is>
      </c>
      <c r="C780" s="5" t="n">
        <v>778</v>
      </c>
      <c r="D780" s="5">
        <f>IFERROR(INDEX('Base de sorteio'!$A$3:$A$1723,MATCH($B780&amp;"|"&amp;$C780,'Base de sorteio'!$I$3:$I$1723,0)),"")</f>
        <v/>
      </c>
      <c r="E780" s="4">
        <f>IFERROR(INDEX('Base de sorteio'!$B$3:$B$1723,MATCH($B780&amp;"|"&amp;$C780,'Base de sorteio'!$I$3:$I$1723,0)),"")</f>
        <v/>
      </c>
      <c r="F780" s="4">
        <f>IFERROR(INDEX('Base de sorteio'!$C$3:$C$1723,MATCH($B780&amp;"|"&amp;$C780,'Base de sorteio'!$I$3:$I$1723,0)),"")</f>
        <v/>
      </c>
      <c r="G780" s="4">
        <f>IFERROR(INDEX('Base de sorteio'!$D$3:$D$1723,MATCH($B780&amp;"|"&amp;$C780,'Base de sorteio'!$I$3:$I$1723,0)),"")</f>
        <v/>
      </c>
      <c r="H780" s="4">
        <f>IFERROR(INDEX('Base de sorteio'!$E$3:$E$1723,MATCH($B780&amp;"|"&amp;$C780,'Base de sorteio'!$I$3:$I$1723,0)),"")</f>
        <v/>
      </c>
      <c r="I780" s="4">
        <f>IF(E780="","",HYPERLINK(IFERROR(INDEX('Base de sorteio'!$J$3:$J$1723,MATCH($B780&amp;"|"&amp;$C780,'Base de sorteio'!$I$3:$I$1723,0)),""),"abrir"))</f>
        <v/>
      </c>
      <c r="J780" s="4" t="n"/>
      <c r="K780" s="4" t="n"/>
      <c r="L780" s="4" t="n"/>
      <c r="M780" s="4" t="n"/>
      <c r="N780" s="4">
        <f>IF(AND(K780="",M780=""),"",IF(OR(K780="sim",M780="sim"),"sim",IF(OR(K780="inconclusivo",M780="inconclusivo"),"inconclusivo","não")))</f>
        <v/>
      </c>
      <c r="O780" s="5">
        <f>IF(N780="sim",COUNTIFS($B$3:$B780,$B780,$N$3:$N780,"sim"),"")</f>
        <v/>
      </c>
      <c r="P780" s="5" t="n"/>
      <c r="Q780" s="4" t="n"/>
      <c r="R780" s="5" t="n"/>
      <c r="S780" s="9" t="n"/>
      <c r="T780" s="4" t="n"/>
    </row>
    <row r="781">
      <c r="A781" s="5">
        <f>ROW()-2</f>
        <v/>
      </c>
      <c r="B781" s="4" t="inlineStr">
        <is>
          <t>Metrópole</t>
        </is>
      </c>
      <c r="C781" s="5" t="n">
        <v>779</v>
      </c>
      <c r="D781" s="5">
        <f>IFERROR(INDEX('Base de sorteio'!$A$3:$A$1723,MATCH($B781&amp;"|"&amp;$C781,'Base de sorteio'!$I$3:$I$1723,0)),"")</f>
        <v/>
      </c>
      <c r="E781" s="4">
        <f>IFERROR(INDEX('Base de sorteio'!$B$3:$B$1723,MATCH($B781&amp;"|"&amp;$C781,'Base de sorteio'!$I$3:$I$1723,0)),"")</f>
        <v/>
      </c>
      <c r="F781" s="4">
        <f>IFERROR(INDEX('Base de sorteio'!$C$3:$C$1723,MATCH($B781&amp;"|"&amp;$C781,'Base de sorteio'!$I$3:$I$1723,0)),"")</f>
        <v/>
      </c>
      <c r="G781" s="4">
        <f>IFERROR(INDEX('Base de sorteio'!$D$3:$D$1723,MATCH($B781&amp;"|"&amp;$C781,'Base de sorteio'!$I$3:$I$1723,0)),"")</f>
        <v/>
      </c>
      <c r="H781" s="4">
        <f>IFERROR(INDEX('Base de sorteio'!$E$3:$E$1723,MATCH($B781&amp;"|"&amp;$C781,'Base de sorteio'!$I$3:$I$1723,0)),"")</f>
        <v/>
      </c>
      <c r="I781" s="4">
        <f>IF(E781="","",HYPERLINK(IFERROR(INDEX('Base de sorteio'!$J$3:$J$1723,MATCH($B781&amp;"|"&amp;$C781,'Base de sorteio'!$I$3:$I$1723,0)),""),"abrir"))</f>
        <v/>
      </c>
      <c r="J781" s="4" t="n"/>
      <c r="K781" s="4" t="n"/>
      <c r="L781" s="4" t="n"/>
      <c r="M781" s="4" t="n"/>
      <c r="N781" s="4">
        <f>IF(AND(K781="",M781=""),"",IF(OR(K781="sim",M781="sim"),"sim",IF(OR(K781="inconclusivo",M781="inconclusivo"),"inconclusivo","não")))</f>
        <v/>
      </c>
      <c r="O781" s="5">
        <f>IF(N781="sim",COUNTIFS($B$3:$B781,$B781,$N$3:$N781,"sim"),"")</f>
        <v/>
      </c>
      <c r="P781" s="5" t="n"/>
      <c r="Q781" s="4" t="n"/>
      <c r="R781" s="5" t="n"/>
      <c r="S781" s="9" t="n"/>
      <c r="T781" s="4" t="n"/>
    </row>
    <row r="782">
      <c r="A782" s="5">
        <f>ROW()-2</f>
        <v/>
      </c>
      <c r="B782" s="4" t="inlineStr">
        <is>
          <t>Metrópole</t>
        </is>
      </c>
      <c r="C782" s="5" t="n">
        <v>780</v>
      </c>
      <c r="D782" s="5">
        <f>IFERROR(INDEX('Base de sorteio'!$A$3:$A$1723,MATCH($B782&amp;"|"&amp;$C782,'Base de sorteio'!$I$3:$I$1723,0)),"")</f>
        <v/>
      </c>
      <c r="E782" s="4">
        <f>IFERROR(INDEX('Base de sorteio'!$B$3:$B$1723,MATCH($B782&amp;"|"&amp;$C782,'Base de sorteio'!$I$3:$I$1723,0)),"")</f>
        <v/>
      </c>
      <c r="F782" s="4">
        <f>IFERROR(INDEX('Base de sorteio'!$C$3:$C$1723,MATCH($B782&amp;"|"&amp;$C782,'Base de sorteio'!$I$3:$I$1723,0)),"")</f>
        <v/>
      </c>
      <c r="G782" s="4">
        <f>IFERROR(INDEX('Base de sorteio'!$D$3:$D$1723,MATCH($B782&amp;"|"&amp;$C782,'Base de sorteio'!$I$3:$I$1723,0)),"")</f>
        <v/>
      </c>
      <c r="H782" s="4">
        <f>IFERROR(INDEX('Base de sorteio'!$E$3:$E$1723,MATCH($B782&amp;"|"&amp;$C782,'Base de sorteio'!$I$3:$I$1723,0)),"")</f>
        <v/>
      </c>
      <c r="I782" s="4">
        <f>IF(E782="","",HYPERLINK(IFERROR(INDEX('Base de sorteio'!$J$3:$J$1723,MATCH($B782&amp;"|"&amp;$C782,'Base de sorteio'!$I$3:$I$1723,0)),""),"abrir"))</f>
        <v/>
      </c>
      <c r="J782" s="4" t="n"/>
      <c r="K782" s="4" t="n"/>
      <c r="L782" s="4" t="n"/>
      <c r="M782" s="4" t="n"/>
      <c r="N782" s="4">
        <f>IF(AND(K782="",M782=""),"",IF(OR(K782="sim",M782="sim"),"sim",IF(OR(K782="inconclusivo",M782="inconclusivo"),"inconclusivo","não")))</f>
        <v/>
      </c>
      <c r="O782" s="5">
        <f>IF(N782="sim",COUNTIFS($B$3:$B782,$B782,$N$3:$N782,"sim"),"")</f>
        <v/>
      </c>
      <c r="P782" s="5" t="n"/>
      <c r="Q782" s="4" t="n"/>
      <c r="R782" s="5" t="n"/>
      <c r="S782" s="9" t="n"/>
      <c r="T782" s="4" t="n"/>
    </row>
    <row r="783">
      <c r="A783" s="5">
        <f>ROW()-2</f>
        <v/>
      </c>
      <c r="B783" s="4" t="inlineStr">
        <is>
          <t>Metrópole</t>
        </is>
      </c>
      <c r="C783" s="5" t="n">
        <v>781</v>
      </c>
      <c r="D783" s="5">
        <f>IFERROR(INDEX('Base de sorteio'!$A$3:$A$1723,MATCH($B783&amp;"|"&amp;$C783,'Base de sorteio'!$I$3:$I$1723,0)),"")</f>
        <v/>
      </c>
      <c r="E783" s="4">
        <f>IFERROR(INDEX('Base de sorteio'!$B$3:$B$1723,MATCH($B783&amp;"|"&amp;$C783,'Base de sorteio'!$I$3:$I$1723,0)),"")</f>
        <v/>
      </c>
      <c r="F783" s="4">
        <f>IFERROR(INDEX('Base de sorteio'!$C$3:$C$1723,MATCH($B783&amp;"|"&amp;$C783,'Base de sorteio'!$I$3:$I$1723,0)),"")</f>
        <v/>
      </c>
      <c r="G783" s="4">
        <f>IFERROR(INDEX('Base de sorteio'!$D$3:$D$1723,MATCH($B783&amp;"|"&amp;$C783,'Base de sorteio'!$I$3:$I$1723,0)),"")</f>
        <v/>
      </c>
      <c r="H783" s="4">
        <f>IFERROR(INDEX('Base de sorteio'!$E$3:$E$1723,MATCH($B783&amp;"|"&amp;$C783,'Base de sorteio'!$I$3:$I$1723,0)),"")</f>
        <v/>
      </c>
      <c r="I783" s="4">
        <f>IF(E783="","",HYPERLINK(IFERROR(INDEX('Base de sorteio'!$J$3:$J$1723,MATCH($B783&amp;"|"&amp;$C783,'Base de sorteio'!$I$3:$I$1723,0)),""),"abrir"))</f>
        <v/>
      </c>
      <c r="J783" s="4" t="n"/>
      <c r="K783" s="4" t="n"/>
      <c r="L783" s="4" t="n"/>
      <c r="M783" s="4" t="n"/>
      <c r="N783" s="4">
        <f>IF(AND(K783="",M783=""),"",IF(OR(K783="sim",M783="sim"),"sim",IF(OR(K783="inconclusivo",M783="inconclusivo"),"inconclusivo","não")))</f>
        <v/>
      </c>
      <c r="O783" s="5">
        <f>IF(N783="sim",COUNTIFS($B$3:$B783,$B783,$N$3:$N783,"sim"),"")</f>
        <v/>
      </c>
      <c r="P783" s="5" t="n"/>
      <c r="Q783" s="4" t="n"/>
      <c r="R783" s="5" t="n"/>
      <c r="S783" s="9" t="n"/>
      <c r="T783" s="4" t="n"/>
    </row>
    <row r="784">
      <c r="A784" s="5">
        <f>ROW()-2</f>
        <v/>
      </c>
      <c r="B784" s="4" t="inlineStr">
        <is>
          <t>Metrópole</t>
        </is>
      </c>
      <c r="C784" s="5" t="n">
        <v>782</v>
      </c>
      <c r="D784" s="5">
        <f>IFERROR(INDEX('Base de sorteio'!$A$3:$A$1723,MATCH($B784&amp;"|"&amp;$C784,'Base de sorteio'!$I$3:$I$1723,0)),"")</f>
        <v/>
      </c>
      <c r="E784" s="4">
        <f>IFERROR(INDEX('Base de sorteio'!$B$3:$B$1723,MATCH($B784&amp;"|"&amp;$C784,'Base de sorteio'!$I$3:$I$1723,0)),"")</f>
        <v/>
      </c>
      <c r="F784" s="4">
        <f>IFERROR(INDEX('Base de sorteio'!$C$3:$C$1723,MATCH($B784&amp;"|"&amp;$C784,'Base de sorteio'!$I$3:$I$1723,0)),"")</f>
        <v/>
      </c>
      <c r="G784" s="4">
        <f>IFERROR(INDEX('Base de sorteio'!$D$3:$D$1723,MATCH($B784&amp;"|"&amp;$C784,'Base de sorteio'!$I$3:$I$1723,0)),"")</f>
        <v/>
      </c>
      <c r="H784" s="4">
        <f>IFERROR(INDEX('Base de sorteio'!$E$3:$E$1723,MATCH($B784&amp;"|"&amp;$C784,'Base de sorteio'!$I$3:$I$1723,0)),"")</f>
        <v/>
      </c>
      <c r="I784" s="4">
        <f>IF(E784="","",HYPERLINK(IFERROR(INDEX('Base de sorteio'!$J$3:$J$1723,MATCH($B784&amp;"|"&amp;$C784,'Base de sorteio'!$I$3:$I$1723,0)),""),"abrir"))</f>
        <v/>
      </c>
      <c r="J784" s="4" t="n"/>
      <c r="K784" s="4" t="n"/>
      <c r="L784" s="4" t="n"/>
      <c r="M784" s="4" t="n"/>
      <c r="N784" s="4">
        <f>IF(AND(K784="",M784=""),"",IF(OR(K784="sim",M784="sim"),"sim",IF(OR(K784="inconclusivo",M784="inconclusivo"),"inconclusivo","não")))</f>
        <v/>
      </c>
      <c r="O784" s="5">
        <f>IF(N784="sim",COUNTIFS($B$3:$B784,$B784,$N$3:$N784,"sim"),"")</f>
        <v/>
      </c>
      <c r="P784" s="5" t="n"/>
      <c r="Q784" s="4" t="n"/>
      <c r="R784" s="5" t="n"/>
      <c r="S784" s="9" t="n"/>
      <c r="T784" s="4" t="n"/>
    </row>
    <row r="785">
      <c r="A785" s="5">
        <f>ROW()-2</f>
        <v/>
      </c>
      <c r="B785" s="4" t="inlineStr">
        <is>
          <t>Metrópole</t>
        </is>
      </c>
      <c r="C785" s="5" t="n">
        <v>783</v>
      </c>
      <c r="D785" s="5">
        <f>IFERROR(INDEX('Base de sorteio'!$A$3:$A$1723,MATCH($B785&amp;"|"&amp;$C785,'Base de sorteio'!$I$3:$I$1723,0)),"")</f>
        <v/>
      </c>
      <c r="E785" s="4">
        <f>IFERROR(INDEX('Base de sorteio'!$B$3:$B$1723,MATCH($B785&amp;"|"&amp;$C785,'Base de sorteio'!$I$3:$I$1723,0)),"")</f>
        <v/>
      </c>
      <c r="F785" s="4">
        <f>IFERROR(INDEX('Base de sorteio'!$C$3:$C$1723,MATCH($B785&amp;"|"&amp;$C785,'Base de sorteio'!$I$3:$I$1723,0)),"")</f>
        <v/>
      </c>
      <c r="G785" s="4">
        <f>IFERROR(INDEX('Base de sorteio'!$D$3:$D$1723,MATCH($B785&amp;"|"&amp;$C785,'Base de sorteio'!$I$3:$I$1723,0)),"")</f>
        <v/>
      </c>
      <c r="H785" s="4">
        <f>IFERROR(INDEX('Base de sorteio'!$E$3:$E$1723,MATCH($B785&amp;"|"&amp;$C785,'Base de sorteio'!$I$3:$I$1723,0)),"")</f>
        <v/>
      </c>
      <c r="I785" s="4">
        <f>IF(E785="","",HYPERLINK(IFERROR(INDEX('Base de sorteio'!$J$3:$J$1723,MATCH($B785&amp;"|"&amp;$C785,'Base de sorteio'!$I$3:$I$1723,0)),""),"abrir"))</f>
        <v/>
      </c>
      <c r="J785" s="4" t="n"/>
      <c r="K785" s="4" t="n"/>
      <c r="L785" s="4" t="n"/>
      <c r="M785" s="4" t="n"/>
      <c r="N785" s="4">
        <f>IF(AND(K785="",M785=""),"",IF(OR(K785="sim",M785="sim"),"sim",IF(OR(K785="inconclusivo",M785="inconclusivo"),"inconclusivo","não")))</f>
        <v/>
      </c>
      <c r="O785" s="5">
        <f>IF(N785="sim",COUNTIFS($B$3:$B785,$B785,$N$3:$N785,"sim"),"")</f>
        <v/>
      </c>
      <c r="P785" s="5" t="n"/>
      <c r="Q785" s="4" t="n"/>
      <c r="R785" s="5" t="n"/>
      <c r="S785" s="9" t="n"/>
      <c r="T785" s="4" t="n"/>
    </row>
    <row r="786">
      <c r="A786" s="5">
        <f>ROW()-2</f>
        <v/>
      </c>
      <c r="B786" s="4" t="inlineStr">
        <is>
          <t>Metrópole</t>
        </is>
      </c>
      <c r="C786" s="5" t="n">
        <v>784</v>
      </c>
      <c r="D786" s="5">
        <f>IFERROR(INDEX('Base de sorteio'!$A$3:$A$1723,MATCH($B786&amp;"|"&amp;$C786,'Base de sorteio'!$I$3:$I$1723,0)),"")</f>
        <v/>
      </c>
      <c r="E786" s="4">
        <f>IFERROR(INDEX('Base de sorteio'!$B$3:$B$1723,MATCH($B786&amp;"|"&amp;$C786,'Base de sorteio'!$I$3:$I$1723,0)),"")</f>
        <v/>
      </c>
      <c r="F786" s="4">
        <f>IFERROR(INDEX('Base de sorteio'!$C$3:$C$1723,MATCH($B786&amp;"|"&amp;$C786,'Base de sorteio'!$I$3:$I$1723,0)),"")</f>
        <v/>
      </c>
      <c r="G786" s="4">
        <f>IFERROR(INDEX('Base de sorteio'!$D$3:$D$1723,MATCH($B786&amp;"|"&amp;$C786,'Base de sorteio'!$I$3:$I$1723,0)),"")</f>
        <v/>
      </c>
      <c r="H786" s="4">
        <f>IFERROR(INDEX('Base de sorteio'!$E$3:$E$1723,MATCH($B786&amp;"|"&amp;$C786,'Base de sorteio'!$I$3:$I$1723,0)),"")</f>
        <v/>
      </c>
      <c r="I786" s="4">
        <f>IF(E786="","",HYPERLINK(IFERROR(INDEX('Base de sorteio'!$J$3:$J$1723,MATCH($B786&amp;"|"&amp;$C786,'Base de sorteio'!$I$3:$I$1723,0)),""),"abrir"))</f>
        <v/>
      </c>
      <c r="J786" s="4" t="n"/>
      <c r="K786" s="4" t="n"/>
      <c r="L786" s="4" t="n"/>
      <c r="M786" s="4" t="n"/>
      <c r="N786" s="4">
        <f>IF(AND(K786="",M786=""),"",IF(OR(K786="sim",M786="sim"),"sim",IF(OR(K786="inconclusivo",M786="inconclusivo"),"inconclusivo","não")))</f>
        <v/>
      </c>
      <c r="O786" s="5">
        <f>IF(N786="sim",COUNTIFS($B$3:$B786,$B786,$N$3:$N786,"sim"),"")</f>
        <v/>
      </c>
      <c r="P786" s="5" t="n"/>
      <c r="Q786" s="4" t="n"/>
      <c r="R786" s="5" t="n"/>
      <c r="S786" s="9" t="n"/>
      <c r="T786" s="4" t="n"/>
    </row>
    <row r="787">
      <c r="A787" s="5">
        <f>ROW()-2</f>
        <v/>
      </c>
      <c r="B787" s="4" t="inlineStr">
        <is>
          <t>Metrópole</t>
        </is>
      </c>
      <c r="C787" s="5" t="n">
        <v>785</v>
      </c>
      <c r="D787" s="5">
        <f>IFERROR(INDEX('Base de sorteio'!$A$3:$A$1723,MATCH($B787&amp;"|"&amp;$C787,'Base de sorteio'!$I$3:$I$1723,0)),"")</f>
        <v/>
      </c>
      <c r="E787" s="4">
        <f>IFERROR(INDEX('Base de sorteio'!$B$3:$B$1723,MATCH($B787&amp;"|"&amp;$C787,'Base de sorteio'!$I$3:$I$1723,0)),"")</f>
        <v/>
      </c>
      <c r="F787" s="4">
        <f>IFERROR(INDEX('Base de sorteio'!$C$3:$C$1723,MATCH($B787&amp;"|"&amp;$C787,'Base de sorteio'!$I$3:$I$1723,0)),"")</f>
        <v/>
      </c>
      <c r="G787" s="4">
        <f>IFERROR(INDEX('Base de sorteio'!$D$3:$D$1723,MATCH($B787&amp;"|"&amp;$C787,'Base de sorteio'!$I$3:$I$1723,0)),"")</f>
        <v/>
      </c>
      <c r="H787" s="4">
        <f>IFERROR(INDEX('Base de sorteio'!$E$3:$E$1723,MATCH($B787&amp;"|"&amp;$C787,'Base de sorteio'!$I$3:$I$1723,0)),"")</f>
        <v/>
      </c>
      <c r="I787" s="4">
        <f>IF(E787="","",HYPERLINK(IFERROR(INDEX('Base de sorteio'!$J$3:$J$1723,MATCH($B787&amp;"|"&amp;$C787,'Base de sorteio'!$I$3:$I$1723,0)),""),"abrir"))</f>
        <v/>
      </c>
      <c r="J787" s="4" t="n"/>
      <c r="K787" s="4" t="n"/>
      <c r="L787" s="4" t="n"/>
      <c r="M787" s="4" t="n"/>
      <c r="N787" s="4">
        <f>IF(AND(K787="",M787=""),"",IF(OR(K787="sim",M787="sim"),"sim",IF(OR(K787="inconclusivo",M787="inconclusivo"),"inconclusivo","não")))</f>
        <v/>
      </c>
      <c r="O787" s="5">
        <f>IF(N787="sim",COUNTIFS($B$3:$B787,$B787,$N$3:$N787,"sim"),"")</f>
        <v/>
      </c>
      <c r="P787" s="5" t="n"/>
      <c r="Q787" s="4" t="n"/>
      <c r="R787" s="5" t="n"/>
      <c r="S787" s="9" t="n"/>
      <c r="T787" s="4" t="n"/>
    </row>
    <row r="788">
      <c r="A788" s="5">
        <f>ROW()-2</f>
        <v/>
      </c>
      <c r="B788" s="4" t="inlineStr">
        <is>
          <t>Metrópole</t>
        </is>
      </c>
      <c r="C788" s="5" t="n">
        <v>786</v>
      </c>
      <c r="D788" s="5">
        <f>IFERROR(INDEX('Base de sorteio'!$A$3:$A$1723,MATCH($B788&amp;"|"&amp;$C788,'Base de sorteio'!$I$3:$I$1723,0)),"")</f>
        <v/>
      </c>
      <c r="E788" s="4">
        <f>IFERROR(INDEX('Base de sorteio'!$B$3:$B$1723,MATCH($B788&amp;"|"&amp;$C788,'Base de sorteio'!$I$3:$I$1723,0)),"")</f>
        <v/>
      </c>
      <c r="F788" s="4">
        <f>IFERROR(INDEX('Base de sorteio'!$C$3:$C$1723,MATCH($B788&amp;"|"&amp;$C788,'Base de sorteio'!$I$3:$I$1723,0)),"")</f>
        <v/>
      </c>
      <c r="G788" s="4">
        <f>IFERROR(INDEX('Base de sorteio'!$D$3:$D$1723,MATCH($B788&amp;"|"&amp;$C788,'Base de sorteio'!$I$3:$I$1723,0)),"")</f>
        <v/>
      </c>
      <c r="H788" s="4">
        <f>IFERROR(INDEX('Base de sorteio'!$E$3:$E$1723,MATCH($B788&amp;"|"&amp;$C788,'Base de sorteio'!$I$3:$I$1723,0)),"")</f>
        <v/>
      </c>
      <c r="I788" s="4">
        <f>IF(E788="","",HYPERLINK(IFERROR(INDEX('Base de sorteio'!$J$3:$J$1723,MATCH($B788&amp;"|"&amp;$C788,'Base de sorteio'!$I$3:$I$1723,0)),""),"abrir"))</f>
        <v/>
      </c>
      <c r="J788" s="4" t="n"/>
      <c r="K788" s="4" t="n"/>
      <c r="L788" s="4" t="n"/>
      <c r="M788" s="4" t="n"/>
      <c r="N788" s="4">
        <f>IF(AND(K788="",M788=""),"",IF(OR(K788="sim",M788="sim"),"sim",IF(OR(K788="inconclusivo",M788="inconclusivo"),"inconclusivo","não")))</f>
        <v/>
      </c>
      <c r="O788" s="5">
        <f>IF(N788="sim",COUNTIFS($B$3:$B788,$B788,$N$3:$N788,"sim"),"")</f>
        <v/>
      </c>
      <c r="P788" s="5" t="n"/>
      <c r="Q788" s="4" t="n"/>
      <c r="R788" s="5" t="n"/>
      <c r="S788" s="9" t="n"/>
      <c r="T788" s="4" t="n"/>
    </row>
    <row r="789">
      <c r="A789" s="5">
        <f>ROW()-2</f>
        <v/>
      </c>
      <c r="B789" s="4" t="inlineStr">
        <is>
          <t>Metrópole</t>
        </is>
      </c>
      <c r="C789" s="5" t="n">
        <v>787</v>
      </c>
      <c r="D789" s="5">
        <f>IFERROR(INDEX('Base de sorteio'!$A$3:$A$1723,MATCH($B789&amp;"|"&amp;$C789,'Base de sorteio'!$I$3:$I$1723,0)),"")</f>
        <v/>
      </c>
      <c r="E789" s="4">
        <f>IFERROR(INDEX('Base de sorteio'!$B$3:$B$1723,MATCH($B789&amp;"|"&amp;$C789,'Base de sorteio'!$I$3:$I$1723,0)),"")</f>
        <v/>
      </c>
      <c r="F789" s="4">
        <f>IFERROR(INDEX('Base de sorteio'!$C$3:$C$1723,MATCH($B789&amp;"|"&amp;$C789,'Base de sorteio'!$I$3:$I$1723,0)),"")</f>
        <v/>
      </c>
      <c r="G789" s="4">
        <f>IFERROR(INDEX('Base de sorteio'!$D$3:$D$1723,MATCH($B789&amp;"|"&amp;$C789,'Base de sorteio'!$I$3:$I$1723,0)),"")</f>
        <v/>
      </c>
      <c r="H789" s="4">
        <f>IFERROR(INDEX('Base de sorteio'!$E$3:$E$1723,MATCH($B789&amp;"|"&amp;$C789,'Base de sorteio'!$I$3:$I$1723,0)),"")</f>
        <v/>
      </c>
      <c r="I789" s="4">
        <f>IF(E789="","",HYPERLINK(IFERROR(INDEX('Base de sorteio'!$J$3:$J$1723,MATCH($B789&amp;"|"&amp;$C789,'Base de sorteio'!$I$3:$I$1723,0)),""),"abrir"))</f>
        <v/>
      </c>
      <c r="J789" s="4" t="n"/>
      <c r="K789" s="4" t="n"/>
      <c r="L789" s="4" t="n"/>
      <c r="M789" s="4" t="n"/>
      <c r="N789" s="4">
        <f>IF(AND(K789="",M789=""),"",IF(OR(K789="sim",M789="sim"),"sim",IF(OR(K789="inconclusivo",M789="inconclusivo"),"inconclusivo","não")))</f>
        <v/>
      </c>
      <c r="O789" s="5">
        <f>IF(N789="sim",COUNTIFS($B$3:$B789,$B789,$N$3:$N789,"sim"),"")</f>
        <v/>
      </c>
      <c r="P789" s="5" t="n"/>
      <c r="Q789" s="4" t="n"/>
      <c r="R789" s="5" t="n"/>
      <c r="S789" s="9" t="n"/>
      <c r="T789" s="4" t="n"/>
    </row>
    <row r="790">
      <c r="A790" s="5">
        <f>ROW()-2</f>
        <v/>
      </c>
      <c r="B790" s="4" t="inlineStr">
        <is>
          <t>Metrópole</t>
        </is>
      </c>
      <c r="C790" s="5" t="n">
        <v>788</v>
      </c>
      <c r="D790" s="5">
        <f>IFERROR(INDEX('Base de sorteio'!$A$3:$A$1723,MATCH($B790&amp;"|"&amp;$C790,'Base de sorteio'!$I$3:$I$1723,0)),"")</f>
        <v/>
      </c>
      <c r="E790" s="4">
        <f>IFERROR(INDEX('Base de sorteio'!$B$3:$B$1723,MATCH($B790&amp;"|"&amp;$C790,'Base de sorteio'!$I$3:$I$1723,0)),"")</f>
        <v/>
      </c>
      <c r="F790" s="4">
        <f>IFERROR(INDEX('Base de sorteio'!$C$3:$C$1723,MATCH($B790&amp;"|"&amp;$C790,'Base de sorteio'!$I$3:$I$1723,0)),"")</f>
        <v/>
      </c>
      <c r="G790" s="4">
        <f>IFERROR(INDEX('Base de sorteio'!$D$3:$D$1723,MATCH($B790&amp;"|"&amp;$C790,'Base de sorteio'!$I$3:$I$1723,0)),"")</f>
        <v/>
      </c>
      <c r="H790" s="4">
        <f>IFERROR(INDEX('Base de sorteio'!$E$3:$E$1723,MATCH($B790&amp;"|"&amp;$C790,'Base de sorteio'!$I$3:$I$1723,0)),"")</f>
        <v/>
      </c>
      <c r="I790" s="4">
        <f>IF(E790="","",HYPERLINK(IFERROR(INDEX('Base de sorteio'!$J$3:$J$1723,MATCH($B790&amp;"|"&amp;$C790,'Base de sorteio'!$I$3:$I$1723,0)),""),"abrir"))</f>
        <v/>
      </c>
      <c r="J790" s="4" t="n"/>
      <c r="K790" s="4" t="n"/>
      <c r="L790" s="4" t="n"/>
      <c r="M790" s="4" t="n"/>
      <c r="N790" s="4">
        <f>IF(AND(K790="",M790=""),"",IF(OR(K790="sim",M790="sim"),"sim",IF(OR(K790="inconclusivo",M790="inconclusivo"),"inconclusivo","não")))</f>
        <v/>
      </c>
      <c r="O790" s="5">
        <f>IF(N790="sim",COUNTIFS($B$3:$B790,$B790,$N$3:$N790,"sim"),"")</f>
        <v/>
      </c>
      <c r="P790" s="5" t="n"/>
      <c r="Q790" s="4" t="n"/>
      <c r="R790" s="5" t="n"/>
      <c r="S790" s="9" t="n"/>
      <c r="T790" s="4" t="n"/>
    </row>
    <row r="791">
      <c r="A791" s="5">
        <f>ROW()-2</f>
        <v/>
      </c>
      <c r="B791" s="4" t="inlineStr">
        <is>
          <t>Metrópole</t>
        </is>
      </c>
      <c r="C791" s="5" t="n">
        <v>789</v>
      </c>
      <c r="D791" s="5">
        <f>IFERROR(INDEX('Base de sorteio'!$A$3:$A$1723,MATCH($B791&amp;"|"&amp;$C791,'Base de sorteio'!$I$3:$I$1723,0)),"")</f>
        <v/>
      </c>
      <c r="E791" s="4">
        <f>IFERROR(INDEX('Base de sorteio'!$B$3:$B$1723,MATCH($B791&amp;"|"&amp;$C791,'Base de sorteio'!$I$3:$I$1723,0)),"")</f>
        <v/>
      </c>
      <c r="F791" s="4">
        <f>IFERROR(INDEX('Base de sorteio'!$C$3:$C$1723,MATCH($B791&amp;"|"&amp;$C791,'Base de sorteio'!$I$3:$I$1723,0)),"")</f>
        <v/>
      </c>
      <c r="G791" s="4">
        <f>IFERROR(INDEX('Base de sorteio'!$D$3:$D$1723,MATCH($B791&amp;"|"&amp;$C791,'Base de sorteio'!$I$3:$I$1723,0)),"")</f>
        <v/>
      </c>
      <c r="H791" s="4">
        <f>IFERROR(INDEX('Base de sorteio'!$E$3:$E$1723,MATCH($B791&amp;"|"&amp;$C791,'Base de sorteio'!$I$3:$I$1723,0)),"")</f>
        <v/>
      </c>
      <c r="I791" s="4">
        <f>IF(E791="","",HYPERLINK(IFERROR(INDEX('Base de sorteio'!$J$3:$J$1723,MATCH($B791&amp;"|"&amp;$C791,'Base de sorteio'!$I$3:$I$1723,0)),""),"abrir"))</f>
        <v/>
      </c>
      <c r="J791" s="4" t="n"/>
      <c r="K791" s="4" t="n"/>
      <c r="L791" s="4" t="n"/>
      <c r="M791" s="4" t="n"/>
      <c r="N791" s="4">
        <f>IF(AND(K791="",M791=""),"",IF(OR(K791="sim",M791="sim"),"sim",IF(OR(K791="inconclusivo",M791="inconclusivo"),"inconclusivo","não")))</f>
        <v/>
      </c>
      <c r="O791" s="5">
        <f>IF(N791="sim",COUNTIFS($B$3:$B791,$B791,$N$3:$N791,"sim"),"")</f>
        <v/>
      </c>
      <c r="P791" s="5" t="n"/>
      <c r="Q791" s="4" t="n"/>
      <c r="R791" s="5" t="n"/>
      <c r="S791" s="9" t="n"/>
      <c r="T791" s="4" t="n"/>
    </row>
    <row r="792">
      <c r="A792" s="5">
        <f>ROW()-2</f>
        <v/>
      </c>
      <c r="B792" s="4" t="inlineStr">
        <is>
          <t>Metrópole</t>
        </is>
      </c>
      <c r="C792" s="5" t="n">
        <v>790</v>
      </c>
      <c r="D792" s="5">
        <f>IFERROR(INDEX('Base de sorteio'!$A$3:$A$1723,MATCH($B792&amp;"|"&amp;$C792,'Base de sorteio'!$I$3:$I$1723,0)),"")</f>
        <v/>
      </c>
      <c r="E792" s="4">
        <f>IFERROR(INDEX('Base de sorteio'!$B$3:$B$1723,MATCH($B792&amp;"|"&amp;$C792,'Base de sorteio'!$I$3:$I$1723,0)),"")</f>
        <v/>
      </c>
      <c r="F792" s="4">
        <f>IFERROR(INDEX('Base de sorteio'!$C$3:$C$1723,MATCH($B792&amp;"|"&amp;$C792,'Base de sorteio'!$I$3:$I$1723,0)),"")</f>
        <v/>
      </c>
      <c r="G792" s="4">
        <f>IFERROR(INDEX('Base de sorteio'!$D$3:$D$1723,MATCH($B792&amp;"|"&amp;$C792,'Base de sorteio'!$I$3:$I$1723,0)),"")</f>
        <v/>
      </c>
      <c r="H792" s="4">
        <f>IFERROR(INDEX('Base de sorteio'!$E$3:$E$1723,MATCH($B792&amp;"|"&amp;$C792,'Base de sorteio'!$I$3:$I$1723,0)),"")</f>
        <v/>
      </c>
      <c r="I792" s="4">
        <f>IF(E792="","",HYPERLINK(IFERROR(INDEX('Base de sorteio'!$J$3:$J$1723,MATCH($B792&amp;"|"&amp;$C792,'Base de sorteio'!$I$3:$I$1723,0)),""),"abrir"))</f>
        <v/>
      </c>
      <c r="J792" s="4" t="n"/>
      <c r="K792" s="4" t="n"/>
      <c r="L792" s="4" t="n"/>
      <c r="M792" s="4" t="n"/>
      <c r="N792" s="4">
        <f>IF(AND(K792="",M792=""),"",IF(OR(K792="sim",M792="sim"),"sim",IF(OR(K792="inconclusivo",M792="inconclusivo"),"inconclusivo","não")))</f>
        <v/>
      </c>
      <c r="O792" s="5">
        <f>IF(N792="sim",COUNTIFS($B$3:$B792,$B792,$N$3:$N792,"sim"),"")</f>
        <v/>
      </c>
      <c r="P792" s="5" t="n"/>
      <c r="Q792" s="4" t="n"/>
      <c r="R792" s="5" t="n"/>
      <c r="S792" s="9" t="n"/>
      <c r="T792" s="4" t="n"/>
    </row>
    <row r="793">
      <c r="A793" s="5">
        <f>ROW()-2</f>
        <v/>
      </c>
      <c r="B793" s="4" t="inlineStr">
        <is>
          <t>Metrópole</t>
        </is>
      </c>
      <c r="C793" s="5" t="n">
        <v>791</v>
      </c>
      <c r="D793" s="5">
        <f>IFERROR(INDEX('Base de sorteio'!$A$3:$A$1723,MATCH($B793&amp;"|"&amp;$C793,'Base de sorteio'!$I$3:$I$1723,0)),"")</f>
        <v/>
      </c>
      <c r="E793" s="4">
        <f>IFERROR(INDEX('Base de sorteio'!$B$3:$B$1723,MATCH($B793&amp;"|"&amp;$C793,'Base de sorteio'!$I$3:$I$1723,0)),"")</f>
        <v/>
      </c>
      <c r="F793" s="4">
        <f>IFERROR(INDEX('Base de sorteio'!$C$3:$C$1723,MATCH($B793&amp;"|"&amp;$C793,'Base de sorteio'!$I$3:$I$1723,0)),"")</f>
        <v/>
      </c>
      <c r="G793" s="4">
        <f>IFERROR(INDEX('Base de sorteio'!$D$3:$D$1723,MATCH($B793&amp;"|"&amp;$C793,'Base de sorteio'!$I$3:$I$1723,0)),"")</f>
        <v/>
      </c>
      <c r="H793" s="4">
        <f>IFERROR(INDEX('Base de sorteio'!$E$3:$E$1723,MATCH($B793&amp;"|"&amp;$C793,'Base de sorteio'!$I$3:$I$1723,0)),"")</f>
        <v/>
      </c>
      <c r="I793" s="4">
        <f>IF(E793="","",HYPERLINK(IFERROR(INDEX('Base de sorteio'!$J$3:$J$1723,MATCH($B793&amp;"|"&amp;$C793,'Base de sorteio'!$I$3:$I$1723,0)),""),"abrir"))</f>
        <v/>
      </c>
      <c r="J793" s="4" t="n"/>
      <c r="K793" s="4" t="n"/>
      <c r="L793" s="4" t="n"/>
      <c r="M793" s="4" t="n"/>
      <c r="N793" s="4">
        <f>IF(AND(K793="",M793=""),"",IF(OR(K793="sim",M793="sim"),"sim",IF(OR(K793="inconclusivo",M793="inconclusivo"),"inconclusivo","não")))</f>
        <v/>
      </c>
      <c r="O793" s="5">
        <f>IF(N793="sim",COUNTIFS($B$3:$B793,$B793,$N$3:$N793,"sim"),"")</f>
        <v/>
      </c>
      <c r="P793" s="5" t="n"/>
      <c r="Q793" s="4" t="n"/>
      <c r="R793" s="5" t="n"/>
      <c r="S793" s="9" t="n"/>
      <c r="T793" s="4" t="n"/>
    </row>
    <row r="794">
      <c r="A794" s="5">
        <f>ROW()-2</f>
        <v/>
      </c>
      <c r="B794" s="4" t="inlineStr">
        <is>
          <t>Metrópole</t>
        </is>
      </c>
      <c r="C794" s="5" t="n">
        <v>792</v>
      </c>
      <c r="D794" s="5">
        <f>IFERROR(INDEX('Base de sorteio'!$A$3:$A$1723,MATCH($B794&amp;"|"&amp;$C794,'Base de sorteio'!$I$3:$I$1723,0)),"")</f>
        <v/>
      </c>
      <c r="E794" s="4">
        <f>IFERROR(INDEX('Base de sorteio'!$B$3:$B$1723,MATCH($B794&amp;"|"&amp;$C794,'Base de sorteio'!$I$3:$I$1723,0)),"")</f>
        <v/>
      </c>
      <c r="F794" s="4">
        <f>IFERROR(INDEX('Base de sorteio'!$C$3:$C$1723,MATCH($B794&amp;"|"&amp;$C794,'Base de sorteio'!$I$3:$I$1723,0)),"")</f>
        <v/>
      </c>
      <c r="G794" s="4">
        <f>IFERROR(INDEX('Base de sorteio'!$D$3:$D$1723,MATCH($B794&amp;"|"&amp;$C794,'Base de sorteio'!$I$3:$I$1723,0)),"")</f>
        <v/>
      </c>
      <c r="H794" s="4">
        <f>IFERROR(INDEX('Base de sorteio'!$E$3:$E$1723,MATCH($B794&amp;"|"&amp;$C794,'Base de sorteio'!$I$3:$I$1723,0)),"")</f>
        <v/>
      </c>
      <c r="I794" s="4">
        <f>IF(E794="","",HYPERLINK(IFERROR(INDEX('Base de sorteio'!$J$3:$J$1723,MATCH($B794&amp;"|"&amp;$C794,'Base de sorteio'!$I$3:$I$1723,0)),""),"abrir"))</f>
        <v/>
      </c>
      <c r="J794" s="4" t="n"/>
      <c r="K794" s="4" t="n"/>
      <c r="L794" s="4" t="n"/>
      <c r="M794" s="4" t="n"/>
      <c r="N794" s="4">
        <f>IF(AND(K794="",M794=""),"",IF(OR(K794="sim",M794="sim"),"sim",IF(OR(K794="inconclusivo",M794="inconclusivo"),"inconclusivo","não")))</f>
        <v/>
      </c>
      <c r="O794" s="5">
        <f>IF(N794="sim",COUNTIFS($B$3:$B794,$B794,$N$3:$N794,"sim"),"")</f>
        <v/>
      </c>
      <c r="P794" s="5" t="n"/>
      <c r="Q794" s="4" t="n"/>
      <c r="R794" s="5" t="n"/>
      <c r="S794" s="9" t="n"/>
      <c r="T794" s="4" t="n"/>
    </row>
    <row r="795">
      <c r="A795" s="5">
        <f>ROW()-2</f>
        <v/>
      </c>
      <c r="B795" s="4" t="inlineStr">
        <is>
          <t>Metrópole</t>
        </is>
      </c>
      <c r="C795" s="5" t="n">
        <v>793</v>
      </c>
      <c r="D795" s="5">
        <f>IFERROR(INDEX('Base de sorteio'!$A$3:$A$1723,MATCH($B795&amp;"|"&amp;$C795,'Base de sorteio'!$I$3:$I$1723,0)),"")</f>
        <v/>
      </c>
      <c r="E795" s="4">
        <f>IFERROR(INDEX('Base de sorteio'!$B$3:$B$1723,MATCH($B795&amp;"|"&amp;$C795,'Base de sorteio'!$I$3:$I$1723,0)),"")</f>
        <v/>
      </c>
      <c r="F795" s="4">
        <f>IFERROR(INDEX('Base de sorteio'!$C$3:$C$1723,MATCH($B795&amp;"|"&amp;$C795,'Base de sorteio'!$I$3:$I$1723,0)),"")</f>
        <v/>
      </c>
      <c r="G795" s="4">
        <f>IFERROR(INDEX('Base de sorteio'!$D$3:$D$1723,MATCH($B795&amp;"|"&amp;$C795,'Base de sorteio'!$I$3:$I$1723,0)),"")</f>
        <v/>
      </c>
      <c r="H795" s="4">
        <f>IFERROR(INDEX('Base de sorteio'!$E$3:$E$1723,MATCH($B795&amp;"|"&amp;$C795,'Base de sorteio'!$I$3:$I$1723,0)),"")</f>
        <v/>
      </c>
      <c r="I795" s="4">
        <f>IF(E795="","",HYPERLINK(IFERROR(INDEX('Base de sorteio'!$J$3:$J$1723,MATCH($B795&amp;"|"&amp;$C795,'Base de sorteio'!$I$3:$I$1723,0)),""),"abrir"))</f>
        <v/>
      </c>
      <c r="J795" s="4" t="n"/>
      <c r="K795" s="4" t="n"/>
      <c r="L795" s="4" t="n"/>
      <c r="M795" s="4" t="n"/>
      <c r="N795" s="4">
        <f>IF(AND(K795="",M795=""),"",IF(OR(K795="sim",M795="sim"),"sim",IF(OR(K795="inconclusivo",M795="inconclusivo"),"inconclusivo","não")))</f>
        <v/>
      </c>
      <c r="O795" s="5">
        <f>IF(N795="sim",COUNTIFS($B$3:$B795,$B795,$N$3:$N795,"sim"),"")</f>
        <v/>
      </c>
      <c r="P795" s="5" t="n"/>
      <c r="Q795" s="4" t="n"/>
      <c r="R795" s="5" t="n"/>
      <c r="S795" s="9" t="n"/>
      <c r="T795" s="4" t="n"/>
    </row>
    <row r="796">
      <c r="A796" s="5">
        <f>ROW()-2</f>
        <v/>
      </c>
      <c r="B796" s="4" t="inlineStr">
        <is>
          <t>Metrópole</t>
        </is>
      </c>
      <c r="C796" s="5" t="n">
        <v>794</v>
      </c>
      <c r="D796" s="5">
        <f>IFERROR(INDEX('Base de sorteio'!$A$3:$A$1723,MATCH($B796&amp;"|"&amp;$C796,'Base de sorteio'!$I$3:$I$1723,0)),"")</f>
        <v/>
      </c>
      <c r="E796" s="4">
        <f>IFERROR(INDEX('Base de sorteio'!$B$3:$B$1723,MATCH($B796&amp;"|"&amp;$C796,'Base de sorteio'!$I$3:$I$1723,0)),"")</f>
        <v/>
      </c>
      <c r="F796" s="4">
        <f>IFERROR(INDEX('Base de sorteio'!$C$3:$C$1723,MATCH($B796&amp;"|"&amp;$C796,'Base de sorteio'!$I$3:$I$1723,0)),"")</f>
        <v/>
      </c>
      <c r="G796" s="4">
        <f>IFERROR(INDEX('Base de sorteio'!$D$3:$D$1723,MATCH($B796&amp;"|"&amp;$C796,'Base de sorteio'!$I$3:$I$1723,0)),"")</f>
        <v/>
      </c>
      <c r="H796" s="4">
        <f>IFERROR(INDEX('Base de sorteio'!$E$3:$E$1723,MATCH($B796&amp;"|"&amp;$C796,'Base de sorteio'!$I$3:$I$1723,0)),"")</f>
        <v/>
      </c>
      <c r="I796" s="4">
        <f>IF(E796="","",HYPERLINK(IFERROR(INDEX('Base de sorteio'!$J$3:$J$1723,MATCH($B796&amp;"|"&amp;$C796,'Base de sorteio'!$I$3:$I$1723,0)),""),"abrir"))</f>
        <v/>
      </c>
      <c r="J796" s="4" t="n"/>
      <c r="K796" s="4" t="n"/>
      <c r="L796" s="4" t="n"/>
      <c r="M796" s="4" t="n"/>
      <c r="N796" s="4">
        <f>IF(AND(K796="",M796=""),"",IF(OR(K796="sim",M796="sim"),"sim",IF(OR(K796="inconclusivo",M796="inconclusivo"),"inconclusivo","não")))</f>
        <v/>
      </c>
      <c r="O796" s="5">
        <f>IF(N796="sim",COUNTIFS($B$3:$B796,$B796,$N$3:$N796,"sim"),"")</f>
        <v/>
      </c>
      <c r="P796" s="5" t="n"/>
      <c r="Q796" s="4" t="n"/>
      <c r="R796" s="5" t="n"/>
      <c r="S796" s="9" t="n"/>
      <c r="T796" s="4" t="n"/>
    </row>
    <row r="797">
      <c r="A797" s="5">
        <f>ROW()-2</f>
        <v/>
      </c>
      <c r="B797" s="4" t="inlineStr">
        <is>
          <t>Metrópole</t>
        </is>
      </c>
      <c r="C797" s="5" t="n">
        <v>795</v>
      </c>
      <c r="D797" s="5">
        <f>IFERROR(INDEX('Base de sorteio'!$A$3:$A$1723,MATCH($B797&amp;"|"&amp;$C797,'Base de sorteio'!$I$3:$I$1723,0)),"")</f>
        <v/>
      </c>
      <c r="E797" s="4">
        <f>IFERROR(INDEX('Base de sorteio'!$B$3:$B$1723,MATCH($B797&amp;"|"&amp;$C797,'Base de sorteio'!$I$3:$I$1723,0)),"")</f>
        <v/>
      </c>
      <c r="F797" s="4">
        <f>IFERROR(INDEX('Base de sorteio'!$C$3:$C$1723,MATCH($B797&amp;"|"&amp;$C797,'Base de sorteio'!$I$3:$I$1723,0)),"")</f>
        <v/>
      </c>
      <c r="G797" s="4">
        <f>IFERROR(INDEX('Base de sorteio'!$D$3:$D$1723,MATCH($B797&amp;"|"&amp;$C797,'Base de sorteio'!$I$3:$I$1723,0)),"")</f>
        <v/>
      </c>
      <c r="H797" s="4">
        <f>IFERROR(INDEX('Base de sorteio'!$E$3:$E$1723,MATCH($B797&amp;"|"&amp;$C797,'Base de sorteio'!$I$3:$I$1723,0)),"")</f>
        <v/>
      </c>
      <c r="I797" s="4">
        <f>IF(E797="","",HYPERLINK(IFERROR(INDEX('Base de sorteio'!$J$3:$J$1723,MATCH($B797&amp;"|"&amp;$C797,'Base de sorteio'!$I$3:$I$1723,0)),""),"abrir"))</f>
        <v/>
      </c>
      <c r="J797" s="4" t="n"/>
      <c r="K797" s="4" t="n"/>
      <c r="L797" s="4" t="n"/>
      <c r="M797" s="4" t="n"/>
      <c r="N797" s="4">
        <f>IF(AND(K797="",M797=""),"",IF(OR(K797="sim",M797="sim"),"sim",IF(OR(K797="inconclusivo",M797="inconclusivo"),"inconclusivo","não")))</f>
        <v/>
      </c>
      <c r="O797" s="5">
        <f>IF(N797="sim",COUNTIFS($B$3:$B797,$B797,$N$3:$N797,"sim"),"")</f>
        <v/>
      </c>
      <c r="P797" s="5" t="n"/>
      <c r="Q797" s="4" t="n"/>
      <c r="R797" s="5" t="n"/>
      <c r="S797" s="9" t="n"/>
      <c r="T797" s="4" t="n"/>
    </row>
    <row r="798">
      <c r="A798" s="5">
        <f>ROW()-2</f>
        <v/>
      </c>
      <c r="B798" s="4" t="inlineStr">
        <is>
          <t>Metrópole</t>
        </is>
      </c>
      <c r="C798" s="5" t="n">
        <v>796</v>
      </c>
      <c r="D798" s="5">
        <f>IFERROR(INDEX('Base de sorteio'!$A$3:$A$1723,MATCH($B798&amp;"|"&amp;$C798,'Base de sorteio'!$I$3:$I$1723,0)),"")</f>
        <v/>
      </c>
      <c r="E798" s="4">
        <f>IFERROR(INDEX('Base de sorteio'!$B$3:$B$1723,MATCH($B798&amp;"|"&amp;$C798,'Base de sorteio'!$I$3:$I$1723,0)),"")</f>
        <v/>
      </c>
      <c r="F798" s="4">
        <f>IFERROR(INDEX('Base de sorteio'!$C$3:$C$1723,MATCH($B798&amp;"|"&amp;$C798,'Base de sorteio'!$I$3:$I$1723,0)),"")</f>
        <v/>
      </c>
      <c r="G798" s="4">
        <f>IFERROR(INDEX('Base de sorteio'!$D$3:$D$1723,MATCH($B798&amp;"|"&amp;$C798,'Base de sorteio'!$I$3:$I$1723,0)),"")</f>
        <v/>
      </c>
      <c r="H798" s="4">
        <f>IFERROR(INDEX('Base de sorteio'!$E$3:$E$1723,MATCH($B798&amp;"|"&amp;$C798,'Base de sorteio'!$I$3:$I$1723,0)),"")</f>
        <v/>
      </c>
      <c r="I798" s="4">
        <f>IF(E798="","",HYPERLINK(IFERROR(INDEX('Base de sorteio'!$J$3:$J$1723,MATCH($B798&amp;"|"&amp;$C798,'Base de sorteio'!$I$3:$I$1723,0)),""),"abrir"))</f>
        <v/>
      </c>
      <c r="J798" s="4" t="n"/>
      <c r="K798" s="4" t="n"/>
      <c r="L798" s="4" t="n"/>
      <c r="M798" s="4" t="n"/>
      <c r="N798" s="4">
        <f>IF(AND(K798="",M798=""),"",IF(OR(K798="sim",M798="sim"),"sim",IF(OR(K798="inconclusivo",M798="inconclusivo"),"inconclusivo","não")))</f>
        <v/>
      </c>
      <c r="O798" s="5">
        <f>IF(N798="sim",COUNTIFS($B$3:$B798,$B798,$N$3:$N798,"sim"),"")</f>
        <v/>
      </c>
      <c r="P798" s="5" t="n"/>
      <c r="Q798" s="4" t="n"/>
      <c r="R798" s="5" t="n"/>
      <c r="S798" s="9" t="n"/>
      <c r="T798" s="4" t="n"/>
    </row>
    <row r="799">
      <c r="A799" s="5">
        <f>ROW()-2</f>
        <v/>
      </c>
      <c r="B799" s="4" t="inlineStr">
        <is>
          <t>Metrópole</t>
        </is>
      </c>
      <c r="C799" s="5" t="n">
        <v>797</v>
      </c>
      <c r="D799" s="5">
        <f>IFERROR(INDEX('Base de sorteio'!$A$3:$A$1723,MATCH($B799&amp;"|"&amp;$C799,'Base de sorteio'!$I$3:$I$1723,0)),"")</f>
        <v/>
      </c>
      <c r="E799" s="4">
        <f>IFERROR(INDEX('Base de sorteio'!$B$3:$B$1723,MATCH($B799&amp;"|"&amp;$C799,'Base de sorteio'!$I$3:$I$1723,0)),"")</f>
        <v/>
      </c>
      <c r="F799" s="4">
        <f>IFERROR(INDEX('Base de sorteio'!$C$3:$C$1723,MATCH($B799&amp;"|"&amp;$C799,'Base de sorteio'!$I$3:$I$1723,0)),"")</f>
        <v/>
      </c>
      <c r="G799" s="4">
        <f>IFERROR(INDEX('Base de sorteio'!$D$3:$D$1723,MATCH($B799&amp;"|"&amp;$C799,'Base de sorteio'!$I$3:$I$1723,0)),"")</f>
        <v/>
      </c>
      <c r="H799" s="4">
        <f>IFERROR(INDEX('Base de sorteio'!$E$3:$E$1723,MATCH($B799&amp;"|"&amp;$C799,'Base de sorteio'!$I$3:$I$1723,0)),"")</f>
        <v/>
      </c>
      <c r="I799" s="4">
        <f>IF(E799="","",HYPERLINK(IFERROR(INDEX('Base de sorteio'!$J$3:$J$1723,MATCH($B799&amp;"|"&amp;$C799,'Base de sorteio'!$I$3:$I$1723,0)),""),"abrir"))</f>
        <v/>
      </c>
      <c r="J799" s="4" t="n"/>
      <c r="K799" s="4" t="n"/>
      <c r="L799" s="4" t="n"/>
      <c r="M799" s="4" t="n"/>
      <c r="N799" s="4">
        <f>IF(AND(K799="",M799=""),"",IF(OR(K799="sim",M799="sim"),"sim",IF(OR(K799="inconclusivo",M799="inconclusivo"),"inconclusivo","não")))</f>
        <v/>
      </c>
      <c r="O799" s="5">
        <f>IF(N799="sim",COUNTIFS($B$3:$B799,$B799,$N$3:$N799,"sim"),"")</f>
        <v/>
      </c>
      <c r="P799" s="5" t="n"/>
      <c r="Q799" s="4" t="n"/>
      <c r="R799" s="5" t="n"/>
      <c r="S799" s="9" t="n"/>
      <c r="T799" s="4" t="n"/>
    </row>
    <row r="800">
      <c r="A800" s="5">
        <f>ROW()-2</f>
        <v/>
      </c>
      <c r="B800" s="4" t="inlineStr">
        <is>
          <t>Metrópole</t>
        </is>
      </c>
      <c r="C800" s="5" t="n">
        <v>798</v>
      </c>
      <c r="D800" s="5">
        <f>IFERROR(INDEX('Base de sorteio'!$A$3:$A$1723,MATCH($B800&amp;"|"&amp;$C800,'Base de sorteio'!$I$3:$I$1723,0)),"")</f>
        <v/>
      </c>
      <c r="E800" s="4">
        <f>IFERROR(INDEX('Base de sorteio'!$B$3:$B$1723,MATCH($B800&amp;"|"&amp;$C800,'Base de sorteio'!$I$3:$I$1723,0)),"")</f>
        <v/>
      </c>
      <c r="F800" s="4">
        <f>IFERROR(INDEX('Base de sorteio'!$C$3:$C$1723,MATCH($B800&amp;"|"&amp;$C800,'Base de sorteio'!$I$3:$I$1723,0)),"")</f>
        <v/>
      </c>
      <c r="G800" s="4">
        <f>IFERROR(INDEX('Base de sorteio'!$D$3:$D$1723,MATCH($B800&amp;"|"&amp;$C800,'Base de sorteio'!$I$3:$I$1723,0)),"")</f>
        <v/>
      </c>
      <c r="H800" s="4">
        <f>IFERROR(INDEX('Base de sorteio'!$E$3:$E$1723,MATCH($B800&amp;"|"&amp;$C800,'Base de sorteio'!$I$3:$I$1723,0)),"")</f>
        <v/>
      </c>
      <c r="I800" s="4">
        <f>IF(E800="","",HYPERLINK(IFERROR(INDEX('Base de sorteio'!$J$3:$J$1723,MATCH($B800&amp;"|"&amp;$C800,'Base de sorteio'!$I$3:$I$1723,0)),""),"abrir"))</f>
        <v/>
      </c>
      <c r="J800" s="4" t="n"/>
      <c r="K800" s="4" t="n"/>
      <c r="L800" s="4" t="n"/>
      <c r="M800" s="4" t="n"/>
      <c r="N800" s="4">
        <f>IF(AND(K800="",M800=""),"",IF(OR(K800="sim",M800="sim"),"sim",IF(OR(K800="inconclusivo",M800="inconclusivo"),"inconclusivo","não")))</f>
        <v/>
      </c>
      <c r="O800" s="5">
        <f>IF(N800="sim",COUNTIFS($B$3:$B800,$B800,$N$3:$N800,"sim"),"")</f>
        <v/>
      </c>
      <c r="P800" s="5" t="n"/>
      <c r="Q800" s="4" t="n"/>
      <c r="R800" s="5" t="n"/>
      <c r="S800" s="9" t="n"/>
      <c r="T800" s="4" t="n"/>
    </row>
    <row r="801">
      <c r="A801" s="5">
        <f>ROW()-2</f>
        <v/>
      </c>
      <c r="B801" s="4" t="inlineStr">
        <is>
          <t>Metrópole</t>
        </is>
      </c>
      <c r="C801" s="5" t="n">
        <v>799</v>
      </c>
      <c r="D801" s="5">
        <f>IFERROR(INDEX('Base de sorteio'!$A$3:$A$1723,MATCH($B801&amp;"|"&amp;$C801,'Base de sorteio'!$I$3:$I$1723,0)),"")</f>
        <v/>
      </c>
      <c r="E801" s="4">
        <f>IFERROR(INDEX('Base de sorteio'!$B$3:$B$1723,MATCH($B801&amp;"|"&amp;$C801,'Base de sorteio'!$I$3:$I$1723,0)),"")</f>
        <v/>
      </c>
      <c r="F801" s="4">
        <f>IFERROR(INDEX('Base de sorteio'!$C$3:$C$1723,MATCH($B801&amp;"|"&amp;$C801,'Base de sorteio'!$I$3:$I$1723,0)),"")</f>
        <v/>
      </c>
      <c r="G801" s="4">
        <f>IFERROR(INDEX('Base de sorteio'!$D$3:$D$1723,MATCH($B801&amp;"|"&amp;$C801,'Base de sorteio'!$I$3:$I$1723,0)),"")</f>
        <v/>
      </c>
      <c r="H801" s="4">
        <f>IFERROR(INDEX('Base de sorteio'!$E$3:$E$1723,MATCH($B801&amp;"|"&amp;$C801,'Base de sorteio'!$I$3:$I$1723,0)),"")</f>
        <v/>
      </c>
      <c r="I801" s="4">
        <f>IF(E801="","",HYPERLINK(IFERROR(INDEX('Base de sorteio'!$J$3:$J$1723,MATCH($B801&amp;"|"&amp;$C801,'Base de sorteio'!$I$3:$I$1723,0)),""),"abrir"))</f>
        <v/>
      </c>
      <c r="J801" s="4" t="n"/>
      <c r="K801" s="4" t="n"/>
      <c r="L801" s="4" t="n"/>
      <c r="M801" s="4" t="n"/>
      <c r="N801" s="4">
        <f>IF(AND(K801="",M801=""),"",IF(OR(K801="sim",M801="sim"),"sim",IF(OR(K801="inconclusivo",M801="inconclusivo"),"inconclusivo","não")))</f>
        <v/>
      </c>
      <c r="O801" s="5">
        <f>IF(N801="sim",COUNTIFS($B$3:$B801,$B801,$N$3:$N801,"sim"),"")</f>
        <v/>
      </c>
      <c r="P801" s="5" t="n"/>
      <c r="Q801" s="4" t="n"/>
      <c r="R801" s="5" t="n"/>
      <c r="S801" s="9" t="n"/>
      <c r="T801" s="4" t="n"/>
    </row>
    <row r="802">
      <c r="A802" s="5">
        <f>ROW()-2</f>
        <v/>
      </c>
      <c r="B802" s="4" t="inlineStr">
        <is>
          <t>Metrópole</t>
        </is>
      </c>
      <c r="C802" s="5" t="n">
        <v>800</v>
      </c>
      <c r="D802" s="5">
        <f>IFERROR(INDEX('Base de sorteio'!$A$3:$A$1723,MATCH($B802&amp;"|"&amp;$C802,'Base de sorteio'!$I$3:$I$1723,0)),"")</f>
        <v/>
      </c>
      <c r="E802" s="4">
        <f>IFERROR(INDEX('Base de sorteio'!$B$3:$B$1723,MATCH($B802&amp;"|"&amp;$C802,'Base de sorteio'!$I$3:$I$1723,0)),"")</f>
        <v/>
      </c>
      <c r="F802" s="4">
        <f>IFERROR(INDEX('Base de sorteio'!$C$3:$C$1723,MATCH($B802&amp;"|"&amp;$C802,'Base de sorteio'!$I$3:$I$1723,0)),"")</f>
        <v/>
      </c>
      <c r="G802" s="4">
        <f>IFERROR(INDEX('Base de sorteio'!$D$3:$D$1723,MATCH($B802&amp;"|"&amp;$C802,'Base de sorteio'!$I$3:$I$1723,0)),"")</f>
        <v/>
      </c>
      <c r="H802" s="4">
        <f>IFERROR(INDEX('Base de sorteio'!$E$3:$E$1723,MATCH($B802&amp;"|"&amp;$C802,'Base de sorteio'!$I$3:$I$1723,0)),"")</f>
        <v/>
      </c>
      <c r="I802" s="4">
        <f>IF(E802="","",HYPERLINK(IFERROR(INDEX('Base de sorteio'!$J$3:$J$1723,MATCH($B802&amp;"|"&amp;$C802,'Base de sorteio'!$I$3:$I$1723,0)),""),"abrir"))</f>
        <v/>
      </c>
      <c r="J802" s="4" t="n"/>
      <c r="K802" s="4" t="n"/>
      <c r="L802" s="4" t="n"/>
      <c r="M802" s="4" t="n"/>
      <c r="N802" s="4">
        <f>IF(AND(K802="",M802=""),"",IF(OR(K802="sim",M802="sim"),"sim",IF(OR(K802="inconclusivo",M802="inconclusivo"),"inconclusivo","não")))</f>
        <v/>
      </c>
      <c r="O802" s="5">
        <f>IF(N802="sim",COUNTIFS($B$3:$B802,$B802,$N$3:$N802,"sim"),"")</f>
        <v/>
      </c>
      <c r="P802" s="5" t="n"/>
      <c r="Q802" s="4" t="n"/>
      <c r="R802" s="5" t="n"/>
      <c r="S802" s="9" t="n"/>
      <c r="T802" s="4" t="n"/>
    </row>
    <row r="803">
      <c r="A803" s="5">
        <f>ROW()-2</f>
        <v/>
      </c>
      <c r="B803" s="4" t="inlineStr">
        <is>
          <t>Metrópole</t>
        </is>
      </c>
      <c r="C803" s="5" t="n">
        <v>801</v>
      </c>
      <c r="D803" s="5">
        <f>IFERROR(INDEX('Base de sorteio'!$A$3:$A$1723,MATCH($B803&amp;"|"&amp;$C803,'Base de sorteio'!$I$3:$I$1723,0)),"")</f>
        <v/>
      </c>
      <c r="E803" s="4">
        <f>IFERROR(INDEX('Base de sorteio'!$B$3:$B$1723,MATCH($B803&amp;"|"&amp;$C803,'Base de sorteio'!$I$3:$I$1723,0)),"")</f>
        <v/>
      </c>
      <c r="F803" s="4">
        <f>IFERROR(INDEX('Base de sorteio'!$C$3:$C$1723,MATCH($B803&amp;"|"&amp;$C803,'Base de sorteio'!$I$3:$I$1723,0)),"")</f>
        <v/>
      </c>
      <c r="G803" s="4">
        <f>IFERROR(INDEX('Base de sorteio'!$D$3:$D$1723,MATCH($B803&amp;"|"&amp;$C803,'Base de sorteio'!$I$3:$I$1723,0)),"")</f>
        <v/>
      </c>
      <c r="H803" s="4">
        <f>IFERROR(INDEX('Base de sorteio'!$E$3:$E$1723,MATCH($B803&amp;"|"&amp;$C803,'Base de sorteio'!$I$3:$I$1723,0)),"")</f>
        <v/>
      </c>
      <c r="I803" s="4">
        <f>IF(E803="","",HYPERLINK(IFERROR(INDEX('Base de sorteio'!$J$3:$J$1723,MATCH($B803&amp;"|"&amp;$C803,'Base de sorteio'!$I$3:$I$1723,0)),""),"abrir"))</f>
        <v/>
      </c>
      <c r="J803" s="4" t="n"/>
      <c r="K803" s="4" t="n"/>
      <c r="L803" s="4" t="n"/>
      <c r="M803" s="4" t="n"/>
      <c r="N803" s="4">
        <f>IF(AND(K803="",M803=""),"",IF(OR(K803="sim",M803="sim"),"sim",IF(OR(K803="inconclusivo",M803="inconclusivo"),"inconclusivo","não")))</f>
        <v/>
      </c>
      <c r="O803" s="5">
        <f>IF(N803="sim",COUNTIFS($B$3:$B803,$B803,$N$3:$N803,"sim"),"")</f>
        <v/>
      </c>
      <c r="P803" s="5" t="n"/>
      <c r="Q803" s="4" t="n"/>
      <c r="R803" s="5" t="n"/>
      <c r="S803" s="9" t="n"/>
      <c r="T803" s="4" t="n"/>
    </row>
    <row r="804">
      <c r="A804" s="5">
        <f>ROW()-2</f>
        <v/>
      </c>
      <c r="B804" s="4" t="inlineStr">
        <is>
          <t>Metrópole</t>
        </is>
      </c>
      <c r="C804" s="5" t="n">
        <v>802</v>
      </c>
      <c r="D804" s="5">
        <f>IFERROR(INDEX('Base de sorteio'!$A$3:$A$1723,MATCH($B804&amp;"|"&amp;$C804,'Base de sorteio'!$I$3:$I$1723,0)),"")</f>
        <v/>
      </c>
      <c r="E804" s="4">
        <f>IFERROR(INDEX('Base de sorteio'!$B$3:$B$1723,MATCH($B804&amp;"|"&amp;$C804,'Base de sorteio'!$I$3:$I$1723,0)),"")</f>
        <v/>
      </c>
      <c r="F804" s="4">
        <f>IFERROR(INDEX('Base de sorteio'!$C$3:$C$1723,MATCH($B804&amp;"|"&amp;$C804,'Base de sorteio'!$I$3:$I$1723,0)),"")</f>
        <v/>
      </c>
      <c r="G804" s="4">
        <f>IFERROR(INDEX('Base de sorteio'!$D$3:$D$1723,MATCH($B804&amp;"|"&amp;$C804,'Base de sorteio'!$I$3:$I$1723,0)),"")</f>
        <v/>
      </c>
      <c r="H804" s="4">
        <f>IFERROR(INDEX('Base de sorteio'!$E$3:$E$1723,MATCH($B804&amp;"|"&amp;$C804,'Base de sorteio'!$I$3:$I$1723,0)),"")</f>
        <v/>
      </c>
      <c r="I804" s="4">
        <f>IF(E804="","",HYPERLINK(IFERROR(INDEX('Base de sorteio'!$J$3:$J$1723,MATCH($B804&amp;"|"&amp;$C804,'Base de sorteio'!$I$3:$I$1723,0)),""),"abrir"))</f>
        <v/>
      </c>
      <c r="J804" s="4" t="n"/>
      <c r="K804" s="4" t="n"/>
      <c r="L804" s="4" t="n"/>
      <c r="M804" s="4" t="n"/>
      <c r="N804" s="4">
        <f>IF(AND(K804="",M804=""),"",IF(OR(K804="sim",M804="sim"),"sim",IF(OR(K804="inconclusivo",M804="inconclusivo"),"inconclusivo","não")))</f>
        <v/>
      </c>
      <c r="O804" s="5">
        <f>IF(N804="sim",COUNTIFS($B$3:$B804,$B804,$N$3:$N804,"sim"),"")</f>
        <v/>
      </c>
      <c r="P804" s="5" t="n"/>
      <c r="Q804" s="4" t="n"/>
      <c r="R804" s="5" t="n"/>
      <c r="S804" s="9" t="n"/>
      <c r="T804" s="4" t="n"/>
    </row>
    <row r="805">
      <c r="A805" s="5">
        <f>ROW()-2</f>
        <v/>
      </c>
      <c r="B805" s="4" t="inlineStr">
        <is>
          <t>Metrópole</t>
        </is>
      </c>
      <c r="C805" s="5" t="n">
        <v>803</v>
      </c>
      <c r="D805" s="5">
        <f>IFERROR(INDEX('Base de sorteio'!$A$3:$A$1723,MATCH($B805&amp;"|"&amp;$C805,'Base de sorteio'!$I$3:$I$1723,0)),"")</f>
        <v/>
      </c>
      <c r="E805" s="4">
        <f>IFERROR(INDEX('Base de sorteio'!$B$3:$B$1723,MATCH($B805&amp;"|"&amp;$C805,'Base de sorteio'!$I$3:$I$1723,0)),"")</f>
        <v/>
      </c>
      <c r="F805" s="4">
        <f>IFERROR(INDEX('Base de sorteio'!$C$3:$C$1723,MATCH($B805&amp;"|"&amp;$C805,'Base de sorteio'!$I$3:$I$1723,0)),"")</f>
        <v/>
      </c>
      <c r="G805" s="4">
        <f>IFERROR(INDEX('Base de sorteio'!$D$3:$D$1723,MATCH($B805&amp;"|"&amp;$C805,'Base de sorteio'!$I$3:$I$1723,0)),"")</f>
        <v/>
      </c>
      <c r="H805" s="4">
        <f>IFERROR(INDEX('Base de sorteio'!$E$3:$E$1723,MATCH($B805&amp;"|"&amp;$C805,'Base de sorteio'!$I$3:$I$1723,0)),"")</f>
        <v/>
      </c>
      <c r="I805" s="4">
        <f>IF(E805="","",HYPERLINK(IFERROR(INDEX('Base de sorteio'!$J$3:$J$1723,MATCH($B805&amp;"|"&amp;$C805,'Base de sorteio'!$I$3:$I$1723,0)),""),"abrir"))</f>
        <v/>
      </c>
      <c r="J805" s="4" t="n"/>
      <c r="K805" s="4" t="n"/>
      <c r="L805" s="4" t="n"/>
      <c r="M805" s="4" t="n"/>
      <c r="N805" s="4">
        <f>IF(AND(K805="",M805=""),"",IF(OR(K805="sim",M805="sim"),"sim",IF(OR(K805="inconclusivo",M805="inconclusivo"),"inconclusivo","não")))</f>
        <v/>
      </c>
      <c r="O805" s="5">
        <f>IF(N805="sim",COUNTIFS($B$3:$B805,$B805,$N$3:$N805,"sim"),"")</f>
        <v/>
      </c>
      <c r="P805" s="5" t="n"/>
      <c r="Q805" s="4" t="n"/>
      <c r="R805" s="5" t="n"/>
      <c r="S805" s="9" t="n"/>
      <c r="T805" s="4" t="n"/>
    </row>
    <row r="806">
      <c r="A806" s="5">
        <f>ROW()-2</f>
        <v/>
      </c>
      <c r="B806" s="4" t="inlineStr">
        <is>
          <t>Metrópole</t>
        </is>
      </c>
      <c r="C806" s="5" t="n">
        <v>804</v>
      </c>
      <c r="D806" s="5">
        <f>IFERROR(INDEX('Base de sorteio'!$A$3:$A$1723,MATCH($B806&amp;"|"&amp;$C806,'Base de sorteio'!$I$3:$I$1723,0)),"")</f>
        <v/>
      </c>
      <c r="E806" s="4">
        <f>IFERROR(INDEX('Base de sorteio'!$B$3:$B$1723,MATCH($B806&amp;"|"&amp;$C806,'Base de sorteio'!$I$3:$I$1723,0)),"")</f>
        <v/>
      </c>
      <c r="F806" s="4">
        <f>IFERROR(INDEX('Base de sorteio'!$C$3:$C$1723,MATCH($B806&amp;"|"&amp;$C806,'Base de sorteio'!$I$3:$I$1723,0)),"")</f>
        <v/>
      </c>
      <c r="G806" s="4">
        <f>IFERROR(INDEX('Base de sorteio'!$D$3:$D$1723,MATCH($B806&amp;"|"&amp;$C806,'Base de sorteio'!$I$3:$I$1723,0)),"")</f>
        <v/>
      </c>
      <c r="H806" s="4">
        <f>IFERROR(INDEX('Base de sorteio'!$E$3:$E$1723,MATCH($B806&amp;"|"&amp;$C806,'Base de sorteio'!$I$3:$I$1723,0)),"")</f>
        <v/>
      </c>
      <c r="I806" s="4">
        <f>IF(E806="","",HYPERLINK(IFERROR(INDEX('Base de sorteio'!$J$3:$J$1723,MATCH($B806&amp;"|"&amp;$C806,'Base de sorteio'!$I$3:$I$1723,0)),""),"abrir"))</f>
        <v/>
      </c>
      <c r="J806" s="4" t="n"/>
      <c r="K806" s="4" t="n"/>
      <c r="L806" s="4" t="n"/>
      <c r="M806" s="4" t="n"/>
      <c r="N806" s="4">
        <f>IF(AND(K806="",M806=""),"",IF(OR(K806="sim",M806="sim"),"sim",IF(OR(K806="inconclusivo",M806="inconclusivo"),"inconclusivo","não")))</f>
        <v/>
      </c>
      <c r="O806" s="5">
        <f>IF(N806="sim",COUNTIFS($B$3:$B806,$B806,$N$3:$N806,"sim"),"")</f>
        <v/>
      </c>
      <c r="P806" s="5" t="n"/>
      <c r="Q806" s="4" t="n"/>
      <c r="R806" s="5" t="n"/>
      <c r="S806" s="9" t="n"/>
      <c r="T806" s="4" t="n"/>
    </row>
    <row r="807">
      <c r="A807" s="5">
        <f>ROW()-2</f>
        <v/>
      </c>
      <c r="B807" s="4" t="inlineStr">
        <is>
          <t>Metrópole</t>
        </is>
      </c>
      <c r="C807" s="5" t="n">
        <v>805</v>
      </c>
      <c r="D807" s="5">
        <f>IFERROR(INDEX('Base de sorteio'!$A$3:$A$1723,MATCH($B807&amp;"|"&amp;$C807,'Base de sorteio'!$I$3:$I$1723,0)),"")</f>
        <v/>
      </c>
      <c r="E807" s="4">
        <f>IFERROR(INDEX('Base de sorteio'!$B$3:$B$1723,MATCH($B807&amp;"|"&amp;$C807,'Base de sorteio'!$I$3:$I$1723,0)),"")</f>
        <v/>
      </c>
      <c r="F807" s="4">
        <f>IFERROR(INDEX('Base de sorteio'!$C$3:$C$1723,MATCH($B807&amp;"|"&amp;$C807,'Base de sorteio'!$I$3:$I$1723,0)),"")</f>
        <v/>
      </c>
      <c r="G807" s="4">
        <f>IFERROR(INDEX('Base de sorteio'!$D$3:$D$1723,MATCH($B807&amp;"|"&amp;$C807,'Base de sorteio'!$I$3:$I$1723,0)),"")</f>
        <v/>
      </c>
      <c r="H807" s="4">
        <f>IFERROR(INDEX('Base de sorteio'!$E$3:$E$1723,MATCH($B807&amp;"|"&amp;$C807,'Base de sorteio'!$I$3:$I$1723,0)),"")</f>
        <v/>
      </c>
      <c r="I807" s="4">
        <f>IF(E807="","",HYPERLINK(IFERROR(INDEX('Base de sorteio'!$J$3:$J$1723,MATCH($B807&amp;"|"&amp;$C807,'Base de sorteio'!$I$3:$I$1723,0)),""),"abrir"))</f>
        <v/>
      </c>
      <c r="J807" s="4" t="n"/>
      <c r="K807" s="4" t="n"/>
      <c r="L807" s="4" t="n"/>
      <c r="M807" s="4" t="n"/>
      <c r="N807" s="4">
        <f>IF(AND(K807="",M807=""),"",IF(OR(K807="sim",M807="sim"),"sim",IF(OR(K807="inconclusivo",M807="inconclusivo"),"inconclusivo","não")))</f>
        <v/>
      </c>
      <c r="O807" s="5">
        <f>IF(N807="sim",COUNTIFS($B$3:$B807,$B807,$N$3:$N807,"sim"),"")</f>
        <v/>
      </c>
      <c r="P807" s="5" t="n"/>
      <c r="Q807" s="4" t="n"/>
      <c r="R807" s="5" t="n"/>
      <c r="S807" s="9" t="n"/>
      <c r="T807" s="4" t="n"/>
    </row>
    <row r="808">
      <c r="A808" s="5">
        <f>ROW()-2</f>
        <v/>
      </c>
      <c r="B808" s="4" t="inlineStr">
        <is>
          <t>Metrópole</t>
        </is>
      </c>
      <c r="C808" s="5" t="n">
        <v>806</v>
      </c>
      <c r="D808" s="5">
        <f>IFERROR(INDEX('Base de sorteio'!$A$3:$A$1723,MATCH($B808&amp;"|"&amp;$C808,'Base de sorteio'!$I$3:$I$1723,0)),"")</f>
        <v/>
      </c>
      <c r="E808" s="4">
        <f>IFERROR(INDEX('Base de sorteio'!$B$3:$B$1723,MATCH($B808&amp;"|"&amp;$C808,'Base de sorteio'!$I$3:$I$1723,0)),"")</f>
        <v/>
      </c>
      <c r="F808" s="4">
        <f>IFERROR(INDEX('Base de sorteio'!$C$3:$C$1723,MATCH($B808&amp;"|"&amp;$C808,'Base de sorteio'!$I$3:$I$1723,0)),"")</f>
        <v/>
      </c>
      <c r="G808" s="4">
        <f>IFERROR(INDEX('Base de sorteio'!$D$3:$D$1723,MATCH($B808&amp;"|"&amp;$C808,'Base de sorteio'!$I$3:$I$1723,0)),"")</f>
        <v/>
      </c>
      <c r="H808" s="4">
        <f>IFERROR(INDEX('Base de sorteio'!$E$3:$E$1723,MATCH($B808&amp;"|"&amp;$C808,'Base de sorteio'!$I$3:$I$1723,0)),"")</f>
        <v/>
      </c>
      <c r="I808" s="4">
        <f>IF(E808="","",HYPERLINK(IFERROR(INDEX('Base de sorteio'!$J$3:$J$1723,MATCH($B808&amp;"|"&amp;$C808,'Base de sorteio'!$I$3:$I$1723,0)),""),"abrir"))</f>
        <v/>
      </c>
      <c r="J808" s="4" t="n"/>
      <c r="K808" s="4" t="n"/>
      <c r="L808" s="4" t="n"/>
      <c r="M808" s="4" t="n"/>
      <c r="N808" s="4">
        <f>IF(AND(K808="",M808=""),"",IF(OR(K808="sim",M808="sim"),"sim",IF(OR(K808="inconclusivo",M808="inconclusivo"),"inconclusivo","não")))</f>
        <v/>
      </c>
      <c r="O808" s="5">
        <f>IF(N808="sim",COUNTIFS($B$3:$B808,$B808,$N$3:$N808,"sim"),"")</f>
        <v/>
      </c>
      <c r="P808" s="5" t="n"/>
      <c r="Q808" s="4" t="n"/>
      <c r="R808" s="5" t="n"/>
      <c r="S808" s="9" t="n"/>
      <c r="T808" s="4" t="n"/>
    </row>
    <row r="809">
      <c r="A809" s="5">
        <f>ROW()-2</f>
        <v/>
      </c>
      <c r="B809" s="4" t="inlineStr">
        <is>
          <t>Metrópole</t>
        </is>
      </c>
      <c r="C809" s="5" t="n">
        <v>807</v>
      </c>
      <c r="D809" s="5">
        <f>IFERROR(INDEX('Base de sorteio'!$A$3:$A$1723,MATCH($B809&amp;"|"&amp;$C809,'Base de sorteio'!$I$3:$I$1723,0)),"")</f>
        <v/>
      </c>
      <c r="E809" s="4">
        <f>IFERROR(INDEX('Base de sorteio'!$B$3:$B$1723,MATCH($B809&amp;"|"&amp;$C809,'Base de sorteio'!$I$3:$I$1723,0)),"")</f>
        <v/>
      </c>
      <c r="F809" s="4">
        <f>IFERROR(INDEX('Base de sorteio'!$C$3:$C$1723,MATCH($B809&amp;"|"&amp;$C809,'Base de sorteio'!$I$3:$I$1723,0)),"")</f>
        <v/>
      </c>
      <c r="G809" s="4">
        <f>IFERROR(INDEX('Base de sorteio'!$D$3:$D$1723,MATCH($B809&amp;"|"&amp;$C809,'Base de sorteio'!$I$3:$I$1723,0)),"")</f>
        <v/>
      </c>
      <c r="H809" s="4">
        <f>IFERROR(INDEX('Base de sorteio'!$E$3:$E$1723,MATCH($B809&amp;"|"&amp;$C809,'Base de sorteio'!$I$3:$I$1723,0)),"")</f>
        <v/>
      </c>
      <c r="I809" s="4">
        <f>IF(E809="","",HYPERLINK(IFERROR(INDEX('Base de sorteio'!$J$3:$J$1723,MATCH($B809&amp;"|"&amp;$C809,'Base de sorteio'!$I$3:$I$1723,0)),""),"abrir"))</f>
        <v/>
      </c>
      <c r="J809" s="4" t="n"/>
      <c r="K809" s="4" t="n"/>
      <c r="L809" s="4" t="n"/>
      <c r="M809" s="4" t="n"/>
      <c r="N809" s="4">
        <f>IF(AND(K809="",M809=""),"",IF(OR(K809="sim",M809="sim"),"sim",IF(OR(K809="inconclusivo",M809="inconclusivo"),"inconclusivo","não")))</f>
        <v/>
      </c>
      <c r="O809" s="5">
        <f>IF(N809="sim",COUNTIFS($B$3:$B809,$B809,$N$3:$N809,"sim"),"")</f>
        <v/>
      </c>
      <c r="P809" s="5" t="n"/>
      <c r="Q809" s="4" t="n"/>
      <c r="R809" s="5" t="n"/>
      <c r="S809" s="9" t="n"/>
      <c r="T809" s="4" t="n"/>
    </row>
    <row r="810">
      <c r="A810" s="5">
        <f>ROW()-2</f>
        <v/>
      </c>
      <c r="B810" s="4" t="inlineStr">
        <is>
          <t>Metrópole</t>
        </is>
      </c>
      <c r="C810" s="5" t="n">
        <v>808</v>
      </c>
      <c r="D810" s="5">
        <f>IFERROR(INDEX('Base de sorteio'!$A$3:$A$1723,MATCH($B810&amp;"|"&amp;$C810,'Base de sorteio'!$I$3:$I$1723,0)),"")</f>
        <v/>
      </c>
      <c r="E810" s="4">
        <f>IFERROR(INDEX('Base de sorteio'!$B$3:$B$1723,MATCH($B810&amp;"|"&amp;$C810,'Base de sorteio'!$I$3:$I$1723,0)),"")</f>
        <v/>
      </c>
      <c r="F810" s="4">
        <f>IFERROR(INDEX('Base de sorteio'!$C$3:$C$1723,MATCH($B810&amp;"|"&amp;$C810,'Base de sorteio'!$I$3:$I$1723,0)),"")</f>
        <v/>
      </c>
      <c r="G810" s="4">
        <f>IFERROR(INDEX('Base de sorteio'!$D$3:$D$1723,MATCH($B810&amp;"|"&amp;$C810,'Base de sorteio'!$I$3:$I$1723,0)),"")</f>
        <v/>
      </c>
      <c r="H810" s="4">
        <f>IFERROR(INDEX('Base de sorteio'!$E$3:$E$1723,MATCH($B810&amp;"|"&amp;$C810,'Base de sorteio'!$I$3:$I$1723,0)),"")</f>
        <v/>
      </c>
      <c r="I810" s="4">
        <f>IF(E810="","",HYPERLINK(IFERROR(INDEX('Base de sorteio'!$J$3:$J$1723,MATCH($B810&amp;"|"&amp;$C810,'Base de sorteio'!$I$3:$I$1723,0)),""),"abrir"))</f>
        <v/>
      </c>
      <c r="J810" s="4" t="n"/>
      <c r="K810" s="4" t="n"/>
      <c r="L810" s="4" t="n"/>
      <c r="M810" s="4" t="n"/>
      <c r="N810" s="4">
        <f>IF(AND(K810="",M810=""),"",IF(OR(K810="sim",M810="sim"),"sim",IF(OR(K810="inconclusivo",M810="inconclusivo"),"inconclusivo","não")))</f>
        <v/>
      </c>
      <c r="O810" s="5">
        <f>IF(N810="sim",COUNTIFS($B$3:$B810,$B810,$N$3:$N810,"sim"),"")</f>
        <v/>
      </c>
      <c r="P810" s="5" t="n"/>
      <c r="Q810" s="4" t="n"/>
      <c r="R810" s="5" t="n"/>
      <c r="S810" s="9" t="n"/>
      <c r="T810" s="4" t="n"/>
    </row>
    <row r="811">
      <c r="A811" s="5">
        <f>ROW()-2</f>
        <v/>
      </c>
      <c r="B811" s="4" t="inlineStr">
        <is>
          <t>Metrópole</t>
        </is>
      </c>
      <c r="C811" s="5" t="n">
        <v>809</v>
      </c>
      <c r="D811" s="5">
        <f>IFERROR(INDEX('Base de sorteio'!$A$3:$A$1723,MATCH($B811&amp;"|"&amp;$C811,'Base de sorteio'!$I$3:$I$1723,0)),"")</f>
        <v/>
      </c>
      <c r="E811" s="4">
        <f>IFERROR(INDEX('Base de sorteio'!$B$3:$B$1723,MATCH($B811&amp;"|"&amp;$C811,'Base de sorteio'!$I$3:$I$1723,0)),"")</f>
        <v/>
      </c>
      <c r="F811" s="4">
        <f>IFERROR(INDEX('Base de sorteio'!$C$3:$C$1723,MATCH($B811&amp;"|"&amp;$C811,'Base de sorteio'!$I$3:$I$1723,0)),"")</f>
        <v/>
      </c>
      <c r="G811" s="4">
        <f>IFERROR(INDEX('Base de sorteio'!$D$3:$D$1723,MATCH($B811&amp;"|"&amp;$C811,'Base de sorteio'!$I$3:$I$1723,0)),"")</f>
        <v/>
      </c>
      <c r="H811" s="4">
        <f>IFERROR(INDEX('Base de sorteio'!$E$3:$E$1723,MATCH($B811&amp;"|"&amp;$C811,'Base de sorteio'!$I$3:$I$1723,0)),"")</f>
        <v/>
      </c>
      <c r="I811" s="4">
        <f>IF(E811="","",HYPERLINK(IFERROR(INDEX('Base de sorteio'!$J$3:$J$1723,MATCH($B811&amp;"|"&amp;$C811,'Base de sorteio'!$I$3:$I$1723,0)),""),"abrir"))</f>
        <v/>
      </c>
      <c r="J811" s="4" t="n"/>
      <c r="K811" s="4" t="n"/>
      <c r="L811" s="4" t="n"/>
      <c r="M811" s="4" t="n"/>
      <c r="N811" s="4">
        <f>IF(AND(K811="",M811=""),"",IF(OR(K811="sim",M811="sim"),"sim",IF(OR(K811="inconclusivo",M811="inconclusivo"),"inconclusivo","não")))</f>
        <v/>
      </c>
      <c r="O811" s="5">
        <f>IF(N811="sim",COUNTIFS($B$3:$B811,$B811,$N$3:$N811,"sim"),"")</f>
        <v/>
      </c>
      <c r="P811" s="5" t="n"/>
      <c r="Q811" s="4" t="n"/>
      <c r="R811" s="5" t="n"/>
      <c r="S811" s="9" t="n"/>
      <c r="T811" s="4" t="n"/>
    </row>
    <row r="812">
      <c r="A812" s="5">
        <f>ROW()-2</f>
        <v/>
      </c>
      <c r="B812" s="4" t="inlineStr">
        <is>
          <t>Metrópole</t>
        </is>
      </c>
      <c r="C812" s="5" t="n">
        <v>810</v>
      </c>
      <c r="D812" s="5">
        <f>IFERROR(INDEX('Base de sorteio'!$A$3:$A$1723,MATCH($B812&amp;"|"&amp;$C812,'Base de sorteio'!$I$3:$I$1723,0)),"")</f>
        <v/>
      </c>
      <c r="E812" s="4">
        <f>IFERROR(INDEX('Base de sorteio'!$B$3:$B$1723,MATCH($B812&amp;"|"&amp;$C812,'Base de sorteio'!$I$3:$I$1723,0)),"")</f>
        <v/>
      </c>
      <c r="F812" s="4">
        <f>IFERROR(INDEX('Base de sorteio'!$C$3:$C$1723,MATCH($B812&amp;"|"&amp;$C812,'Base de sorteio'!$I$3:$I$1723,0)),"")</f>
        <v/>
      </c>
      <c r="G812" s="4">
        <f>IFERROR(INDEX('Base de sorteio'!$D$3:$D$1723,MATCH($B812&amp;"|"&amp;$C812,'Base de sorteio'!$I$3:$I$1723,0)),"")</f>
        <v/>
      </c>
      <c r="H812" s="4">
        <f>IFERROR(INDEX('Base de sorteio'!$E$3:$E$1723,MATCH($B812&amp;"|"&amp;$C812,'Base de sorteio'!$I$3:$I$1723,0)),"")</f>
        <v/>
      </c>
      <c r="I812" s="4">
        <f>IF(E812="","",HYPERLINK(IFERROR(INDEX('Base de sorteio'!$J$3:$J$1723,MATCH($B812&amp;"|"&amp;$C812,'Base de sorteio'!$I$3:$I$1723,0)),""),"abrir"))</f>
        <v/>
      </c>
      <c r="J812" s="4" t="n"/>
      <c r="K812" s="4" t="n"/>
      <c r="L812" s="4" t="n"/>
      <c r="M812" s="4" t="n"/>
      <c r="N812" s="4">
        <f>IF(AND(K812="",M812=""),"",IF(OR(K812="sim",M812="sim"),"sim",IF(OR(K812="inconclusivo",M812="inconclusivo"),"inconclusivo","não")))</f>
        <v/>
      </c>
      <c r="O812" s="5">
        <f>IF(N812="sim",COUNTIFS($B$3:$B812,$B812,$N$3:$N812,"sim"),"")</f>
        <v/>
      </c>
      <c r="P812" s="5" t="n"/>
      <c r="Q812" s="4" t="n"/>
      <c r="R812" s="5" t="n"/>
      <c r="S812" s="9" t="n"/>
      <c r="T812" s="4" t="n"/>
    </row>
    <row r="813">
      <c r="A813" s="5">
        <f>ROW()-2</f>
        <v/>
      </c>
      <c r="B813" s="4" t="inlineStr">
        <is>
          <t>Metrópole</t>
        </is>
      </c>
      <c r="C813" s="5" t="n">
        <v>811</v>
      </c>
      <c r="D813" s="5">
        <f>IFERROR(INDEX('Base de sorteio'!$A$3:$A$1723,MATCH($B813&amp;"|"&amp;$C813,'Base de sorteio'!$I$3:$I$1723,0)),"")</f>
        <v/>
      </c>
      <c r="E813" s="4">
        <f>IFERROR(INDEX('Base de sorteio'!$B$3:$B$1723,MATCH($B813&amp;"|"&amp;$C813,'Base de sorteio'!$I$3:$I$1723,0)),"")</f>
        <v/>
      </c>
      <c r="F813" s="4">
        <f>IFERROR(INDEX('Base de sorteio'!$C$3:$C$1723,MATCH($B813&amp;"|"&amp;$C813,'Base de sorteio'!$I$3:$I$1723,0)),"")</f>
        <v/>
      </c>
      <c r="G813" s="4">
        <f>IFERROR(INDEX('Base de sorteio'!$D$3:$D$1723,MATCH($B813&amp;"|"&amp;$C813,'Base de sorteio'!$I$3:$I$1723,0)),"")</f>
        <v/>
      </c>
      <c r="H813" s="4">
        <f>IFERROR(INDEX('Base de sorteio'!$E$3:$E$1723,MATCH($B813&amp;"|"&amp;$C813,'Base de sorteio'!$I$3:$I$1723,0)),"")</f>
        <v/>
      </c>
      <c r="I813" s="4">
        <f>IF(E813="","",HYPERLINK(IFERROR(INDEX('Base de sorteio'!$J$3:$J$1723,MATCH($B813&amp;"|"&amp;$C813,'Base de sorteio'!$I$3:$I$1723,0)),""),"abrir"))</f>
        <v/>
      </c>
      <c r="J813" s="4" t="n"/>
      <c r="K813" s="4" t="n"/>
      <c r="L813" s="4" t="n"/>
      <c r="M813" s="4" t="n"/>
      <c r="N813" s="4">
        <f>IF(AND(K813="",M813=""),"",IF(OR(K813="sim",M813="sim"),"sim",IF(OR(K813="inconclusivo",M813="inconclusivo"),"inconclusivo","não")))</f>
        <v/>
      </c>
      <c r="O813" s="5">
        <f>IF(N813="sim",COUNTIFS($B$3:$B813,$B813,$N$3:$N813,"sim"),"")</f>
        <v/>
      </c>
      <c r="P813" s="5" t="n"/>
      <c r="Q813" s="4" t="n"/>
      <c r="R813" s="5" t="n"/>
      <c r="S813" s="9" t="n"/>
      <c r="T813" s="4" t="n"/>
    </row>
    <row r="814">
      <c r="A814" s="5">
        <f>ROW()-2</f>
        <v/>
      </c>
      <c r="B814" s="4" t="inlineStr">
        <is>
          <t>Metrópole</t>
        </is>
      </c>
      <c r="C814" s="5" t="n">
        <v>812</v>
      </c>
      <c r="D814" s="5">
        <f>IFERROR(INDEX('Base de sorteio'!$A$3:$A$1723,MATCH($B814&amp;"|"&amp;$C814,'Base de sorteio'!$I$3:$I$1723,0)),"")</f>
        <v/>
      </c>
      <c r="E814" s="4">
        <f>IFERROR(INDEX('Base de sorteio'!$B$3:$B$1723,MATCH($B814&amp;"|"&amp;$C814,'Base de sorteio'!$I$3:$I$1723,0)),"")</f>
        <v/>
      </c>
      <c r="F814" s="4">
        <f>IFERROR(INDEX('Base de sorteio'!$C$3:$C$1723,MATCH($B814&amp;"|"&amp;$C814,'Base de sorteio'!$I$3:$I$1723,0)),"")</f>
        <v/>
      </c>
      <c r="G814" s="4">
        <f>IFERROR(INDEX('Base de sorteio'!$D$3:$D$1723,MATCH($B814&amp;"|"&amp;$C814,'Base de sorteio'!$I$3:$I$1723,0)),"")</f>
        <v/>
      </c>
      <c r="H814" s="4">
        <f>IFERROR(INDEX('Base de sorteio'!$E$3:$E$1723,MATCH($B814&amp;"|"&amp;$C814,'Base de sorteio'!$I$3:$I$1723,0)),"")</f>
        <v/>
      </c>
      <c r="I814" s="4">
        <f>IF(E814="","",HYPERLINK(IFERROR(INDEX('Base de sorteio'!$J$3:$J$1723,MATCH($B814&amp;"|"&amp;$C814,'Base de sorteio'!$I$3:$I$1723,0)),""),"abrir"))</f>
        <v/>
      </c>
      <c r="J814" s="4" t="n"/>
      <c r="K814" s="4" t="n"/>
      <c r="L814" s="4" t="n"/>
      <c r="M814" s="4" t="n"/>
      <c r="N814" s="4">
        <f>IF(AND(K814="",M814=""),"",IF(OR(K814="sim",M814="sim"),"sim",IF(OR(K814="inconclusivo",M814="inconclusivo"),"inconclusivo","não")))</f>
        <v/>
      </c>
      <c r="O814" s="5">
        <f>IF(N814="sim",COUNTIFS($B$3:$B814,$B814,$N$3:$N814,"sim"),"")</f>
        <v/>
      </c>
      <c r="P814" s="5" t="n"/>
      <c r="Q814" s="4" t="n"/>
      <c r="R814" s="5" t="n"/>
      <c r="S814" s="9" t="n"/>
      <c r="T814" s="4" t="n"/>
    </row>
    <row r="815">
      <c r="A815" s="5">
        <f>ROW()-2</f>
        <v/>
      </c>
      <c r="B815" s="4" t="inlineStr">
        <is>
          <t>Metrópole</t>
        </is>
      </c>
      <c r="C815" s="5" t="n">
        <v>813</v>
      </c>
      <c r="D815" s="5">
        <f>IFERROR(INDEX('Base de sorteio'!$A$3:$A$1723,MATCH($B815&amp;"|"&amp;$C815,'Base de sorteio'!$I$3:$I$1723,0)),"")</f>
        <v/>
      </c>
      <c r="E815" s="4">
        <f>IFERROR(INDEX('Base de sorteio'!$B$3:$B$1723,MATCH($B815&amp;"|"&amp;$C815,'Base de sorteio'!$I$3:$I$1723,0)),"")</f>
        <v/>
      </c>
      <c r="F815" s="4">
        <f>IFERROR(INDEX('Base de sorteio'!$C$3:$C$1723,MATCH($B815&amp;"|"&amp;$C815,'Base de sorteio'!$I$3:$I$1723,0)),"")</f>
        <v/>
      </c>
      <c r="G815" s="4">
        <f>IFERROR(INDEX('Base de sorteio'!$D$3:$D$1723,MATCH($B815&amp;"|"&amp;$C815,'Base de sorteio'!$I$3:$I$1723,0)),"")</f>
        <v/>
      </c>
      <c r="H815" s="4">
        <f>IFERROR(INDEX('Base de sorteio'!$E$3:$E$1723,MATCH($B815&amp;"|"&amp;$C815,'Base de sorteio'!$I$3:$I$1723,0)),"")</f>
        <v/>
      </c>
      <c r="I815" s="4">
        <f>IF(E815="","",HYPERLINK(IFERROR(INDEX('Base de sorteio'!$J$3:$J$1723,MATCH($B815&amp;"|"&amp;$C815,'Base de sorteio'!$I$3:$I$1723,0)),""),"abrir"))</f>
        <v/>
      </c>
      <c r="J815" s="4" t="n"/>
      <c r="K815" s="4" t="n"/>
      <c r="L815" s="4" t="n"/>
      <c r="M815" s="4" t="n"/>
      <c r="N815" s="4">
        <f>IF(AND(K815="",M815=""),"",IF(OR(K815="sim",M815="sim"),"sim",IF(OR(K815="inconclusivo",M815="inconclusivo"),"inconclusivo","não")))</f>
        <v/>
      </c>
      <c r="O815" s="5">
        <f>IF(N815="sim",COUNTIFS($B$3:$B815,$B815,$N$3:$N815,"sim"),"")</f>
        <v/>
      </c>
      <c r="P815" s="5" t="n"/>
      <c r="Q815" s="4" t="n"/>
      <c r="R815" s="5" t="n"/>
      <c r="S815" s="9" t="n"/>
      <c r="T815" s="4" t="n"/>
    </row>
    <row r="816">
      <c r="A816" s="5">
        <f>ROW()-2</f>
        <v/>
      </c>
      <c r="B816" s="4" t="inlineStr">
        <is>
          <t>Metrópole</t>
        </is>
      </c>
      <c r="C816" s="5" t="n">
        <v>814</v>
      </c>
      <c r="D816" s="5">
        <f>IFERROR(INDEX('Base de sorteio'!$A$3:$A$1723,MATCH($B816&amp;"|"&amp;$C816,'Base de sorteio'!$I$3:$I$1723,0)),"")</f>
        <v/>
      </c>
      <c r="E816" s="4">
        <f>IFERROR(INDEX('Base de sorteio'!$B$3:$B$1723,MATCH($B816&amp;"|"&amp;$C816,'Base de sorteio'!$I$3:$I$1723,0)),"")</f>
        <v/>
      </c>
      <c r="F816" s="4">
        <f>IFERROR(INDEX('Base de sorteio'!$C$3:$C$1723,MATCH($B816&amp;"|"&amp;$C816,'Base de sorteio'!$I$3:$I$1723,0)),"")</f>
        <v/>
      </c>
      <c r="G816" s="4">
        <f>IFERROR(INDEX('Base de sorteio'!$D$3:$D$1723,MATCH($B816&amp;"|"&amp;$C816,'Base de sorteio'!$I$3:$I$1723,0)),"")</f>
        <v/>
      </c>
      <c r="H816" s="4">
        <f>IFERROR(INDEX('Base de sorteio'!$E$3:$E$1723,MATCH($B816&amp;"|"&amp;$C816,'Base de sorteio'!$I$3:$I$1723,0)),"")</f>
        <v/>
      </c>
      <c r="I816" s="4">
        <f>IF(E816="","",HYPERLINK(IFERROR(INDEX('Base de sorteio'!$J$3:$J$1723,MATCH($B816&amp;"|"&amp;$C816,'Base de sorteio'!$I$3:$I$1723,0)),""),"abrir"))</f>
        <v/>
      </c>
      <c r="J816" s="4" t="n"/>
      <c r="K816" s="4" t="n"/>
      <c r="L816" s="4" t="n"/>
      <c r="M816" s="4" t="n"/>
      <c r="N816" s="4">
        <f>IF(AND(K816="",M816=""),"",IF(OR(K816="sim",M816="sim"),"sim",IF(OR(K816="inconclusivo",M816="inconclusivo"),"inconclusivo","não")))</f>
        <v/>
      </c>
      <c r="O816" s="5">
        <f>IF(N816="sim",COUNTIFS($B$3:$B816,$B816,$N$3:$N816,"sim"),"")</f>
        <v/>
      </c>
      <c r="P816" s="5" t="n"/>
      <c r="Q816" s="4" t="n"/>
      <c r="R816" s="5" t="n"/>
      <c r="S816" s="9" t="n"/>
      <c r="T816" s="4" t="n"/>
    </row>
    <row r="817">
      <c r="A817" s="5">
        <f>ROW()-2</f>
        <v/>
      </c>
      <c r="B817" s="4" t="inlineStr">
        <is>
          <t>Metrópole</t>
        </is>
      </c>
      <c r="C817" s="5" t="n">
        <v>815</v>
      </c>
      <c r="D817" s="5">
        <f>IFERROR(INDEX('Base de sorteio'!$A$3:$A$1723,MATCH($B817&amp;"|"&amp;$C817,'Base de sorteio'!$I$3:$I$1723,0)),"")</f>
        <v/>
      </c>
      <c r="E817" s="4">
        <f>IFERROR(INDEX('Base de sorteio'!$B$3:$B$1723,MATCH($B817&amp;"|"&amp;$C817,'Base de sorteio'!$I$3:$I$1723,0)),"")</f>
        <v/>
      </c>
      <c r="F817" s="4">
        <f>IFERROR(INDEX('Base de sorteio'!$C$3:$C$1723,MATCH($B817&amp;"|"&amp;$C817,'Base de sorteio'!$I$3:$I$1723,0)),"")</f>
        <v/>
      </c>
      <c r="G817" s="4">
        <f>IFERROR(INDEX('Base de sorteio'!$D$3:$D$1723,MATCH($B817&amp;"|"&amp;$C817,'Base de sorteio'!$I$3:$I$1723,0)),"")</f>
        <v/>
      </c>
      <c r="H817" s="4">
        <f>IFERROR(INDEX('Base de sorteio'!$E$3:$E$1723,MATCH($B817&amp;"|"&amp;$C817,'Base de sorteio'!$I$3:$I$1723,0)),"")</f>
        <v/>
      </c>
      <c r="I817" s="4">
        <f>IF(E817="","",HYPERLINK(IFERROR(INDEX('Base de sorteio'!$J$3:$J$1723,MATCH($B817&amp;"|"&amp;$C817,'Base de sorteio'!$I$3:$I$1723,0)),""),"abrir"))</f>
        <v/>
      </c>
      <c r="J817" s="4" t="n"/>
      <c r="K817" s="4" t="n"/>
      <c r="L817" s="4" t="n"/>
      <c r="M817" s="4" t="n"/>
      <c r="N817" s="4">
        <f>IF(AND(K817="",M817=""),"",IF(OR(K817="sim",M817="sim"),"sim",IF(OR(K817="inconclusivo",M817="inconclusivo"),"inconclusivo","não")))</f>
        <v/>
      </c>
      <c r="O817" s="5">
        <f>IF(N817="sim",COUNTIFS($B$3:$B817,$B817,$N$3:$N817,"sim"),"")</f>
        <v/>
      </c>
      <c r="P817" s="5" t="n"/>
      <c r="Q817" s="4" t="n"/>
      <c r="R817" s="5" t="n"/>
      <c r="S817" s="9" t="n"/>
      <c r="T817" s="4" t="n"/>
    </row>
    <row r="818">
      <c r="A818" s="5">
        <f>ROW()-2</f>
        <v/>
      </c>
      <c r="B818" s="4" t="inlineStr">
        <is>
          <t>Metrópole</t>
        </is>
      </c>
      <c r="C818" s="5" t="n">
        <v>816</v>
      </c>
      <c r="D818" s="5">
        <f>IFERROR(INDEX('Base de sorteio'!$A$3:$A$1723,MATCH($B818&amp;"|"&amp;$C818,'Base de sorteio'!$I$3:$I$1723,0)),"")</f>
        <v/>
      </c>
      <c r="E818" s="4">
        <f>IFERROR(INDEX('Base de sorteio'!$B$3:$B$1723,MATCH($B818&amp;"|"&amp;$C818,'Base de sorteio'!$I$3:$I$1723,0)),"")</f>
        <v/>
      </c>
      <c r="F818" s="4">
        <f>IFERROR(INDEX('Base de sorteio'!$C$3:$C$1723,MATCH($B818&amp;"|"&amp;$C818,'Base de sorteio'!$I$3:$I$1723,0)),"")</f>
        <v/>
      </c>
      <c r="G818" s="4">
        <f>IFERROR(INDEX('Base de sorteio'!$D$3:$D$1723,MATCH($B818&amp;"|"&amp;$C818,'Base de sorteio'!$I$3:$I$1723,0)),"")</f>
        <v/>
      </c>
      <c r="H818" s="4">
        <f>IFERROR(INDEX('Base de sorteio'!$E$3:$E$1723,MATCH($B818&amp;"|"&amp;$C818,'Base de sorteio'!$I$3:$I$1723,0)),"")</f>
        <v/>
      </c>
      <c r="I818" s="4">
        <f>IF(E818="","",HYPERLINK(IFERROR(INDEX('Base de sorteio'!$J$3:$J$1723,MATCH($B818&amp;"|"&amp;$C818,'Base de sorteio'!$I$3:$I$1723,0)),""),"abrir"))</f>
        <v/>
      </c>
      <c r="J818" s="4" t="n"/>
      <c r="K818" s="4" t="n"/>
      <c r="L818" s="4" t="n"/>
      <c r="M818" s="4" t="n"/>
      <c r="N818" s="4">
        <f>IF(AND(K818="",M818=""),"",IF(OR(K818="sim",M818="sim"),"sim",IF(OR(K818="inconclusivo",M818="inconclusivo"),"inconclusivo","não")))</f>
        <v/>
      </c>
      <c r="O818" s="5">
        <f>IF(N818="sim",COUNTIFS($B$3:$B818,$B818,$N$3:$N818,"sim"),"")</f>
        <v/>
      </c>
      <c r="P818" s="5" t="n"/>
      <c r="Q818" s="4" t="n"/>
      <c r="R818" s="5" t="n"/>
      <c r="S818" s="9" t="n"/>
      <c r="T818" s="4" t="n"/>
    </row>
    <row r="819">
      <c r="A819" s="5">
        <f>ROW()-2</f>
        <v/>
      </c>
      <c r="B819" s="4" t="inlineStr">
        <is>
          <t>Metrópole</t>
        </is>
      </c>
      <c r="C819" s="5" t="n">
        <v>817</v>
      </c>
      <c r="D819" s="5">
        <f>IFERROR(INDEX('Base de sorteio'!$A$3:$A$1723,MATCH($B819&amp;"|"&amp;$C819,'Base de sorteio'!$I$3:$I$1723,0)),"")</f>
        <v/>
      </c>
      <c r="E819" s="4">
        <f>IFERROR(INDEX('Base de sorteio'!$B$3:$B$1723,MATCH($B819&amp;"|"&amp;$C819,'Base de sorteio'!$I$3:$I$1723,0)),"")</f>
        <v/>
      </c>
      <c r="F819" s="4">
        <f>IFERROR(INDEX('Base de sorteio'!$C$3:$C$1723,MATCH($B819&amp;"|"&amp;$C819,'Base de sorteio'!$I$3:$I$1723,0)),"")</f>
        <v/>
      </c>
      <c r="G819" s="4">
        <f>IFERROR(INDEX('Base de sorteio'!$D$3:$D$1723,MATCH($B819&amp;"|"&amp;$C819,'Base de sorteio'!$I$3:$I$1723,0)),"")</f>
        <v/>
      </c>
      <c r="H819" s="4">
        <f>IFERROR(INDEX('Base de sorteio'!$E$3:$E$1723,MATCH($B819&amp;"|"&amp;$C819,'Base de sorteio'!$I$3:$I$1723,0)),"")</f>
        <v/>
      </c>
      <c r="I819" s="4">
        <f>IF(E819="","",HYPERLINK(IFERROR(INDEX('Base de sorteio'!$J$3:$J$1723,MATCH($B819&amp;"|"&amp;$C819,'Base de sorteio'!$I$3:$I$1723,0)),""),"abrir"))</f>
        <v/>
      </c>
      <c r="J819" s="4" t="n"/>
      <c r="K819" s="4" t="n"/>
      <c r="L819" s="4" t="n"/>
      <c r="M819" s="4" t="n"/>
      <c r="N819" s="4">
        <f>IF(AND(K819="",M819=""),"",IF(OR(K819="sim",M819="sim"),"sim",IF(OR(K819="inconclusivo",M819="inconclusivo"),"inconclusivo","não")))</f>
        <v/>
      </c>
      <c r="O819" s="5">
        <f>IF(N819="sim",COUNTIFS($B$3:$B819,$B819,$N$3:$N819,"sim"),"")</f>
        <v/>
      </c>
      <c r="P819" s="5" t="n"/>
      <c r="Q819" s="4" t="n"/>
      <c r="R819" s="5" t="n"/>
      <c r="S819" s="9" t="n"/>
      <c r="T819" s="4" t="n"/>
    </row>
    <row r="820">
      <c r="A820" s="5">
        <f>ROW()-2</f>
        <v/>
      </c>
      <c r="B820" s="4" t="inlineStr">
        <is>
          <t>Metrópole</t>
        </is>
      </c>
      <c r="C820" s="5" t="n">
        <v>818</v>
      </c>
      <c r="D820" s="5">
        <f>IFERROR(INDEX('Base de sorteio'!$A$3:$A$1723,MATCH($B820&amp;"|"&amp;$C820,'Base de sorteio'!$I$3:$I$1723,0)),"")</f>
        <v/>
      </c>
      <c r="E820" s="4">
        <f>IFERROR(INDEX('Base de sorteio'!$B$3:$B$1723,MATCH($B820&amp;"|"&amp;$C820,'Base de sorteio'!$I$3:$I$1723,0)),"")</f>
        <v/>
      </c>
      <c r="F820" s="4">
        <f>IFERROR(INDEX('Base de sorteio'!$C$3:$C$1723,MATCH($B820&amp;"|"&amp;$C820,'Base de sorteio'!$I$3:$I$1723,0)),"")</f>
        <v/>
      </c>
      <c r="G820" s="4">
        <f>IFERROR(INDEX('Base de sorteio'!$D$3:$D$1723,MATCH($B820&amp;"|"&amp;$C820,'Base de sorteio'!$I$3:$I$1723,0)),"")</f>
        <v/>
      </c>
      <c r="H820" s="4">
        <f>IFERROR(INDEX('Base de sorteio'!$E$3:$E$1723,MATCH($B820&amp;"|"&amp;$C820,'Base de sorteio'!$I$3:$I$1723,0)),"")</f>
        <v/>
      </c>
      <c r="I820" s="4">
        <f>IF(E820="","",HYPERLINK(IFERROR(INDEX('Base de sorteio'!$J$3:$J$1723,MATCH($B820&amp;"|"&amp;$C820,'Base de sorteio'!$I$3:$I$1723,0)),""),"abrir"))</f>
        <v/>
      </c>
      <c r="J820" s="4" t="n"/>
      <c r="K820" s="4" t="n"/>
      <c r="L820" s="4" t="n"/>
      <c r="M820" s="4" t="n"/>
      <c r="N820" s="4">
        <f>IF(AND(K820="",M820=""),"",IF(OR(K820="sim",M820="sim"),"sim",IF(OR(K820="inconclusivo",M820="inconclusivo"),"inconclusivo","não")))</f>
        <v/>
      </c>
      <c r="O820" s="5">
        <f>IF(N820="sim",COUNTIFS($B$3:$B820,$B820,$N$3:$N820,"sim"),"")</f>
        <v/>
      </c>
      <c r="P820" s="5" t="n"/>
      <c r="Q820" s="4" t="n"/>
      <c r="R820" s="5" t="n"/>
      <c r="S820" s="9" t="n"/>
      <c r="T820" s="4" t="n"/>
    </row>
    <row r="821">
      <c r="A821" s="5">
        <f>ROW()-2</f>
        <v/>
      </c>
      <c r="B821" s="4" t="inlineStr">
        <is>
          <t>Metrópole</t>
        </is>
      </c>
      <c r="C821" s="5" t="n">
        <v>819</v>
      </c>
      <c r="D821" s="5">
        <f>IFERROR(INDEX('Base de sorteio'!$A$3:$A$1723,MATCH($B821&amp;"|"&amp;$C821,'Base de sorteio'!$I$3:$I$1723,0)),"")</f>
        <v/>
      </c>
      <c r="E821" s="4">
        <f>IFERROR(INDEX('Base de sorteio'!$B$3:$B$1723,MATCH($B821&amp;"|"&amp;$C821,'Base de sorteio'!$I$3:$I$1723,0)),"")</f>
        <v/>
      </c>
      <c r="F821" s="4">
        <f>IFERROR(INDEX('Base de sorteio'!$C$3:$C$1723,MATCH($B821&amp;"|"&amp;$C821,'Base de sorteio'!$I$3:$I$1723,0)),"")</f>
        <v/>
      </c>
      <c r="G821" s="4">
        <f>IFERROR(INDEX('Base de sorteio'!$D$3:$D$1723,MATCH($B821&amp;"|"&amp;$C821,'Base de sorteio'!$I$3:$I$1723,0)),"")</f>
        <v/>
      </c>
      <c r="H821" s="4">
        <f>IFERROR(INDEX('Base de sorteio'!$E$3:$E$1723,MATCH($B821&amp;"|"&amp;$C821,'Base de sorteio'!$I$3:$I$1723,0)),"")</f>
        <v/>
      </c>
      <c r="I821" s="4">
        <f>IF(E821="","",HYPERLINK(IFERROR(INDEX('Base de sorteio'!$J$3:$J$1723,MATCH($B821&amp;"|"&amp;$C821,'Base de sorteio'!$I$3:$I$1723,0)),""),"abrir"))</f>
        <v/>
      </c>
      <c r="J821" s="4" t="n"/>
      <c r="K821" s="4" t="n"/>
      <c r="L821" s="4" t="n"/>
      <c r="M821" s="4" t="n"/>
      <c r="N821" s="4">
        <f>IF(AND(K821="",M821=""),"",IF(OR(K821="sim",M821="sim"),"sim",IF(OR(K821="inconclusivo",M821="inconclusivo"),"inconclusivo","não")))</f>
        <v/>
      </c>
      <c r="O821" s="5">
        <f>IF(N821="sim",COUNTIFS($B$3:$B821,$B821,$N$3:$N821,"sim"),"")</f>
        <v/>
      </c>
      <c r="P821" s="5" t="n"/>
      <c r="Q821" s="4" t="n"/>
      <c r="R821" s="5" t="n"/>
      <c r="S821" s="9" t="n"/>
      <c r="T821" s="4" t="n"/>
    </row>
    <row r="822">
      <c r="A822" s="5">
        <f>ROW()-2</f>
        <v/>
      </c>
      <c r="B822" s="4" t="inlineStr">
        <is>
          <t>Metrópole</t>
        </is>
      </c>
      <c r="C822" s="5" t="n">
        <v>820</v>
      </c>
      <c r="D822" s="5">
        <f>IFERROR(INDEX('Base de sorteio'!$A$3:$A$1723,MATCH($B822&amp;"|"&amp;$C822,'Base de sorteio'!$I$3:$I$1723,0)),"")</f>
        <v/>
      </c>
      <c r="E822" s="4">
        <f>IFERROR(INDEX('Base de sorteio'!$B$3:$B$1723,MATCH($B822&amp;"|"&amp;$C822,'Base de sorteio'!$I$3:$I$1723,0)),"")</f>
        <v/>
      </c>
      <c r="F822" s="4">
        <f>IFERROR(INDEX('Base de sorteio'!$C$3:$C$1723,MATCH($B822&amp;"|"&amp;$C822,'Base de sorteio'!$I$3:$I$1723,0)),"")</f>
        <v/>
      </c>
      <c r="G822" s="4">
        <f>IFERROR(INDEX('Base de sorteio'!$D$3:$D$1723,MATCH($B822&amp;"|"&amp;$C822,'Base de sorteio'!$I$3:$I$1723,0)),"")</f>
        <v/>
      </c>
      <c r="H822" s="4">
        <f>IFERROR(INDEX('Base de sorteio'!$E$3:$E$1723,MATCH($B822&amp;"|"&amp;$C822,'Base de sorteio'!$I$3:$I$1723,0)),"")</f>
        <v/>
      </c>
      <c r="I822" s="4">
        <f>IF(E822="","",HYPERLINK(IFERROR(INDEX('Base de sorteio'!$J$3:$J$1723,MATCH($B822&amp;"|"&amp;$C822,'Base de sorteio'!$I$3:$I$1723,0)),""),"abrir"))</f>
        <v/>
      </c>
      <c r="J822" s="4" t="n"/>
      <c r="K822" s="4" t="n"/>
      <c r="L822" s="4" t="n"/>
      <c r="M822" s="4" t="n"/>
      <c r="N822" s="4">
        <f>IF(AND(K822="",M822=""),"",IF(OR(K822="sim",M822="sim"),"sim",IF(OR(K822="inconclusivo",M822="inconclusivo"),"inconclusivo","não")))</f>
        <v/>
      </c>
      <c r="O822" s="5">
        <f>IF(N822="sim",COUNTIFS($B$3:$B822,$B822,$N$3:$N822,"sim"),"")</f>
        <v/>
      </c>
      <c r="P822" s="5" t="n"/>
      <c r="Q822" s="4" t="n"/>
      <c r="R822" s="5" t="n"/>
      <c r="S822" s="9" t="n"/>
      <c r="T822" s="4" t="n"/>
    </row>
    <row r="823">
      <c r="A823" s="5">
        <f>ROW()-2</f>
        <v/>
      </c>
      <c r="B823" s="4" t="inlineStr">
        <is>
          <t>Metrópole</t>
        </is>
      </c>
      <c r="C823" s="5" t="n">
        <v>821</v>
      </c>
      <c r="D823" s="5">
        <f>IFERROR(INDEX('Base de sorteio'!$A$3:$A$1723,MATCH($B823&amp;"|"&amp;$C823,'Base de sorteio'!$I$3:$I$1723,0)),"")</f>
        <v/>
      </c>
      <c r="E823" s="4">
        <f>IFERROR(INDEX('Base de sorteio'!$B$3:$B$1723,MATCH($B823&amp;"|"&amp;$C823,'Base de sorteio'!$I$3:$I$1723,0)),"")</f>
        <v/>
      </c>
      <c r="F823" s="4">
        <f>IFERROR(INDEX('Base de sorteio'!$C$3:$C$1723,MATCH($B823&amp;"|"&amp;$C823,'Base de sorteio'!$I$3:$I$1723,0)),"")</f>
        <v/>
      </c>
      <c r="G823" s="4">
        <f>IFERROR(INDEX('Base de sorteio'!$D$3:$D$1723,MATCH($B823&amp;"|"&amp;$C823,'Base de sorteio'!$I$3:$I$1723,0)),"")</f>
        <v/>
      </c>
      <c r="H823" s="4">
        <f>IFERROR(INDEX('Base de sorteio'!$E$3:$E$1723,MATCH($B823&amp;"|"&amp;$C823,'Base de sorteio'!$I$3:$I$1723,0)),"")</f>
        <v/>
      </c>
      <c r="I823" s="4">
        <f>IF(E823="","",HYPERLINK(IFERROR(INDEX('Base de sorteio'!$J$3:$J$1723,MATCH($B823&amp;"|"&amp;$C823,'Base de sorteio'!$I$3:$I$1723,0)),""),"abrir"))</f>
        <v/>
      </c>
      <c r="J823" s="4" t="n"/>
      <c r="K823" s="4" t="n"/>
      <c r="L823" s="4" t="n"/>
      <c r="M823" s="4" t="n"/>
      <c r="N823" s="4">
        <f>IF(AND(K823="",M823=""),"",IF(OR(K823="sim",M823="sim"),"sim",IF(OR(K823="inconclusivo",M823="inconclusivo"),"inconclusivo","não")))</f>
        <v/>
      </c>
      <c r="O823" s="5">
        <f>IF(N823="sim",COUNTIFS($B$3:$B823,$B823,$N$3:$N823,"sim"),"")</f>
        <v/>
      </c>
      <c r="P823" s="5" t="n"/>
      <c r="Q823" s="4" t="n"/>
      <c r="R823" s="5" t="n"/>
      <c r="S823" s="9" t="n"/>
      <c r="T823" s="4" t="n"/>
    </row>
    <row r="824">
      <c r="A824" s="5">
        <f>ROW()-2</f>
        <v/>
      </c>
      <c r="B824" s="4" t="inlineStr">
        <is>
          <t>Metrópole</t>
        </is>
      </c>
      <c r="C824" s="5" t="n">
        <v>822</v>
      </c>
      <c r="D824" s="5">
        <f>IFERROR(INDEX('Base de sorteio'!$A$3:$A$1723,MATCH($B824&amp;"|"&amp;$C824,'Base de sorteio'!$I$3:$I$1723,0)),"")</f>
        <v/>
      </c>
      <c r="E824" s="4">
        <f>IFERROR(INDEX('Base de sorteio'!$B$3:$B$1723,MATCH($B824&amp;"|"&amp;$C824,'Base de sorteio'!$I$3:$I$1723,0)),"")</f>
        <v/>
      </c>
      <c r="F824" s="4">
        <f>IFERROR(INDEX('Base de sorteio'!$C$3:$C$1723,MATCH($B824&amp;"|"&amp;$C824,'Base de sorteio'!$I$3:$I$1723,0)),"")</f>
        <v/>
      </c>
      <c r="G824" s="4">
        <f>IFERROR(INDEX('Base de sorteio'!$D$3:$D$1723,MATCH($B824&amp;"|"&amp;$C824,'Base de sorteio'!$I$3:$I$1723,0)),"")</f>
        <v/>
      </c>
      <c r="H824" s="4">
        <f>IFERROR(INDEX('Base de sorteio'!$E$3:$E$1723,MATCH($B824&amp;"|"&amp;$C824,'Base de sorteio'!$I$3:$I$1723,0)),"")</f>
        <v/>
      </c>
      <c r="I824" s="4">
        <f>IF(E824="","",HYPERLINK(IFERROR(INDEX('Base de sorteio'!$J$3:$J$1723,MATCH($B824&amp;"|"&amp;$C824,'Base de sorteio'!$I$3:$I$1723,0)),""),"abrir"))</f>
        <v/>
      </c>
      <c r="J824" s="4" t="n"/>
      <c r="K824" s="4" t="n"/>
      <c r="L824" s="4" t="n"/>
      <c r="M824" s="4" t="n"/>
      <c r="N824" s="4">
        <f>IF(AND(K824="",M824=""),"",IF(OR(K824="sim",M824="sim"),"sim",IF(OR(K824="inconclusivo",M824="inconclusivo"),"inconclusivo","não")))</f>
        <v/>
      </c>
      <c r="O824" s="5">
        <f>IF(N824="sim",COUNTIFS($B$3:$B824,$B824,$N$3:$N824,"sim"),"")</f>
        <v/>
      </c>
      <c r="P824" s="5" t="n"/>
      <c r="Q824" s="4" t="n"/>
      <c r="R824" s="5" t="n"/>
      <c r="S824" s="9" t="n"/>
      <c r="T824" s="4" t="n"/>
    </row>
    <row r="825">
      <c r="A825" s="5">
        <f>ROW()-2</f>
        <v/>
      </c>
      <c r="B825" s="4" t="inlineStr">
        <is>
          <t>Metrópole</t>
        </is>
      </c>
      <c r="C825" s="5" t="n">
        <v>823</v>
      </c>
      <c r="D825" s="5">
        <f>IFERROR(INDEX('Base de sorteio'!$A$3:$A$1723,MATCH($B825&amp;"|"&amp;$C825,'Base de sorteio'!$I$3:$I$1723,0)),"")</f>
        <v/>
      </c>
      <c r="E825" s="4">
        <f>IFERROR(INDEX('Base de sorteio'!$B$3:$B$1723,MATCH($B825&amp;"|"&amp;$C825,'Base de sorteio'!$I$3:$I$1723,0)),"")</f>
        <v/>
      </c>
      <c r="F825" s="4">
        <f>IFERROR(INDEX('Base de sorteio'!$C$3:$C$1723,MATCH($B825&amp;"|"&amp;$C825,'Base de sorteio'!$I$3:$I$1723,0)),"")</f>
        <v/>
      </c>
      <c r="G825" s="4">
        <f>IFERROR(INDEX('Base de sorteio'!$D$3:$D$1723,MATCH($B825&amp;"|"&amp;$C825,'Base de sorteio'!$I$3:$I$1723,0)),"")</f>
        <v/>
      </c>
      <c r="H825" s="4">
        <f>IFERROR(INDEX('Base de sorteio'!$E$3:$E$1723,MATCH($B825&amp;"|"&amp;$C825,'Base de sorteio'!$I$3:$I$1723,0)),"")</f>
        <v/>
      </c>
      <c r="I825" s="4">
        <f>IF(E825="","",HYPERLINK(IFERROR(INDEX('Base de sorteio'!$J$3:$J$1723,MATCH($B825&amp;"|"&amp;$C825,'Base de sorteio'!$I$3:$I$1723,0)),""),"abrir"))</f>
        <v/>
      </c>
      <c r="J825" s="4" t="n"/>
      <c r="K825" s="4" t="n"/>
      <c r="L825" s="4" t="n"/>
      <c r="M825" s="4" t="n"/>
      <c r="N825" s="4">
        <f>IF(AND(K825="",M825=""),"",IF(OR(K825="sim",M825="sim"),"sim",IF(OR(K825="inconclusivo",M825="inconclusivo"),"inconclusivo","não")))</f>
        <v/>
      </c>
      <c r="O825" s="5">
        <f>IF(N825="sim",COUNTIFS($B$3:$B825,$B825,$N$3:$N825,"sim"),"")</f>
        <v/>
      </c>
      <c r="P825" s="5" t="n"/>
      <c r="Q825" s="4" t="n"/>
      <c r="R825" s="5" t="n"/>
      <c r="S825" s="9" t="n"/>
      <c r="T825" s="4" t="n"/>
    </row>
    <row r="826">
      <c r="A826" s="5">
        <f>ROW()-2</f>
        <v/>
      </c>
      <c r="B826" s="4" t="inlineStr">
        <is>
          <t>Metrópole</t>
        </is>
      </c>
      <c r="C826" s="5" t="n">
        <v>824</v>
      </c>
      <c r="D826" s="5">
        <f>IFERROR(INDEX('Base de sorteio'!$A$3:$A$1723,MATCH($B826&amp;"|"&amp;$C826,'Base de sorteio'!$I$3:$I$1723,0)),"")</f>
        <v/>
      </c>
      <c r="E826" s="4">
        <f>IFERROR(INDEX('Base de sorteio'!$B$3:$B$1723,MATCH($B826&amp;"|"&amp;$C826,'Base de sorteio'!$I$3:$I$1723,0)),"")</f>
        <v/>
      </c>
      <c r="F826" s="4">
        <f>IFERROR(INDEX('Base de sorteio'!$C$3:$C$1723,MATCH($B826&amp;"|"&amp;$C826,'Base de sorteio'!$I$3:$I$1723,0)),"")</f>
        <v/>
      </c>
      <c r="G826" s="4">
        <f>IFERROR(INDEX('Base de sorteio'!$D$3:$D$1723,MATCH($B826&amp;"|"&amp;$C826,'Base de sorteio'!$I$3:$I$1723,0)),"")</f>
        <v/>
      </c>
      <c r="H826" s="4">
        <f>IFERROR(INDEX('Base de sorteio'!$E$3:$E$1723,MATCH($B826&amp;"|"&amp;$C826,'Base de sorteio'!$I$3:$I$1723,0)),"")</f>
        <v/>
      </c>
      <c r="I826" s="4">
        <f>IF(E826="","",HYPERLINK(IFERROR(INDEX('Base de sorteio'!$J$3:$J$1723,MATCH($B826&amp;"|"&amp;$C826,'Base de sorteio'!$I$3:$I$1723,0)),""),"abrir"))</f>
        <v/>
      </c>
      <c r="J826" s="4" t="n"/>
      <c r="K826" s="4" t="n"/>
      <c r="L826" s="4" t="n"/>
      <c r="M826" s="4" t="n"/>
      <c r="N826" s="4">
        <f>IF(AND(K826="",M826=""),"",IF(OR(K826="sim",M826="sim"),"sim",IF(OR(K826="inconclusivo",M826="inconclusivo"),"inconclusivo","não")))</f>
        <v/>
      </c>
      <c r="O826" s="5">
        <f>IF(N826="sim",COUNTIFS($B$3:$B826,$B826,$N$3:$N826,"sim"),"")</f>
        <v/>
      </c>
      <c r="P826" s="5" t="n"/>
      <c r="Q826" s="4" t="n"/>
      <c r="R826" s="5" t="n"/>
      <c r="S826" s="9" t="n"/>
      <c r="T826" s="4" t="n"/>
    </row>
    <row r="827">
      <c r="A827" s="5">
        <f>ROW()-2</f>
        <v/>
      </c>
      <c r="B827" s="4" t="inlineStr">
        <is>
          <t>Metrópole</t>
        </is>
      </c>
      <c r="C827" s="5" t="n">
        <v>825</v>
      </c>
      <c r="D827" s="5">
        <f>IFERROR(INDEX('Base de sorteio'!$A$3:$A$1723,MATCH($B827&amp;"|"&amp;$C827,'Base de sorteio'!$I$3:$I$1723,0)),"")</f>
        <v/>
      </c>
      <c r="E827" s="4">
        <f>IFERROR(INDEX('Base de sorteio'!$B$3:$B$1723,MATCH($B827&amp;"|"&amp;$C827,'Base de sorteio'!$I$3:$I$1723,0)),"")</f>
        <v/>
      </c>
      <c r="F827" s="4">
        <f>IFERROR(INDEX('Base de sorteio'!$C$3:$C$1723,MATCH($B827&amp;"|"&amp;$C827,'Base de sorteio'!$I$3:$I$1723,0)),"")</f>
        <v/>
      </c>
      <c r="G827" s="4">
        <f>IFERROR(INDEX('Base de sorteio'!$D$3:$D$1723,MATCH($B827&amp;"|"&amp;$C827,'Base de sorteio'!$I$3:$I$1723,0)),"")</f>
        <v/>
      </c>
      <c r="H827" s="4">
        <f>IFERROR(INDEX('Base de sorteio'!$E$3:$E$1723,MATCH($B827&amp;"|"&amp;$C827,'Base de sorteio'!$I$3:$I$1723,0)),"")</f>
        <v/>
      </c>
      <c r="I827" s="4">
        <f>IF(E827="","",HYPERLINK(IFERROR(INDEX('Base de sorteio'!$J$3:$J$1723,MATCH($B827&amp;"|"&amp;$C827,'Base de sorteio'!$I$3:$I$1723,0)),""),"abrir"))</f>
        <v/>
      </c>
      <c r="J827" s="4" t="n"/>
      <c r="K827" s="4" t="n"/>
      <c r="L827" s="4" t="n"/>
      <c r="M827" s="4" t="n"/>
      <c r="N827" s="4">
        <f>IF(AND(K827="",M827=""),"",IF(OR(K827="sim",M827="sim"),"sim",IF(OR(K827="inconclusivo",M827="inconclusivo"),"inconclusivo","não")))</f>
        <v/>
      </c>
      <c r="O827" s="5">
        <f>IF(N827="sim",COUNTIFS($B$3:$B827,$B827,$N$3:$N827,"sim"),"")</f>
        <v/>
      </c>
      <c r="P827" s="5" t="n"/>
      <c r="Q827" s="4" t="n"/>
      <c r="R827" s="5" t="n"/>
      <c r="S827" s="9" t="n"/>
      <c r="T827" s="4" t="n"/>
    </row>
    <row r="828">
      <c r="A828" s="5">
        <f>ROW()-2</f>
        <v/>
      </c>
      <c r="B828" s="4" t="inlineStr">
        <is>
          <t>Metrópole</t>
        </is>
      </c>
      <c r="C828" s="5" t="n">
        <v>826</v>
      </c>
      <c r="D828" s="5">
        <f>IFERROR(INDEX('Base de sorteio'!$A$3:$A$1723,MATCH($B828&amp;"|"&amp;$C828,'Base de sorteio'!$I$3:$I$1723,0)),"")</f>
        <v/>
      </c>
      <c r="E828" s="4">
        <f>IFERROR(INDEX('Base de sorteio'!$B$3:$B$1723,MATCH($B828&amp;"|"&amp;$C828,'Base de sorteio'!$I$3:$I$1723,0)),"")</f>
        <v/>
      </c>
      <c r="F828" s="4">
        <f>IFERROR(INDEX('Base de sorteio'!$C$3:$C$1723,MATCH($B828&amp;"|"&amp;$C828,'Base de sorteio'!$I$3:$I$1723,0)),"")</f>
        <v/>
      </c>
      <c r="G828" s="4">
        <f>IFERROR(INDEX('Base de sorteio'!$D$3:$D$1723,MATCH($B828&amp;"|"&amp;$C828,'Base de sorteio'!$I$3:$I$1723,0)),"")</f>
        <v/>
      </c>
      <c r="H828" s="4">
        <f>IFERROR(INDEX('Base de sorteio'!$E$3:$E$1723,MATCH($B828&amp;"|"&amp;$C828,'Base de sorteio'!$I$3:$I$1723,0)),"")</f>
        <v/>
      </c>
      <c r="I828" s="4">
        <f>IF(E828="","",HYPERLINK(IFERROR(INDEX('Base de sorteio'!$J$3:$J$1723,MATCH($B828&amp;"|"&amp;$C828,'Base de sorteio'!$I$3:$I$1723,0)),""),"abrir"))</f>
        <v/>
      </c>
      <c r="J828" s="4" t="n"/>
      <c r="K828" s="4" t="n"/>
      <c r="L828" s="4" t="n"/>
      <c r="M828" s="4" t="n"/>
      <c r="N828" s="4">
        <f>IF(AND(K828="",M828=""),"",IF(OR(K828="sim",M828="sim"),"sim",IF(OR(K828="inconclusivo",M828="inconclusivo"),"inconclusivo","não")))</f>
        <v/>
      </c>
      <c r="O828" s="5">
        <f>IF(N828="sim",COUNTIFS($B$3:$B828,$B828,$N$3:$N828,"sim"),"")</f>
        <v/>
      </c>
      <c r="P828" s="5" t="n"/>
      <c r="Q828" s="4" t="n"/>
      <c r="R828" s="5" t="n"/>
      <c r="S828" s="9" t="n"/>
      <c r="T828" s="4" t="n"/>
    </row>
    <row r="829">
      <c r="A829" s="5">
        <f>ROW()-2</f>
        <v/>
      </c>
      <c r="B829" s="4" t="inlineStr">
        <is>
          <t>Metrópole</t>
        </is>
      </c>
      <c r="C829" s="5" t="n">
        <v>827</v>
      </c>
      <c r="D829" s="5">
        <f>IFERROR(INDEX('Base de sorteio'!$A$3:$A$1723,MATCH($B829&amp;"|"&amp;$C829,'Base de sorteio'!$I$3:$I$1723,0)),"")</f>
        <v/>
      </c>
      <c r="E829" s="4">
        <f>IFERROR(INDEX('Base de sorteio'!$B$3:$B$1723,MATCH($B829&amp;"|"&amp;$C829,'Base de sorteio'!$I$3:$I$1723,0)),"")</f>
        <v/>
      </c>
      <c r="F829" s="4">
        <f>IFERROR(INDEX('Base de sorteio'!$C$3:$C$1723,MATCH($B829&amp;"|"&amp;$C829,'Base de sorteio'!$I$3:$I$1723,0)),"")</f>
        <v/>
      </c>
      <c r="G829" s="4">
        <f>IFERROR(INDEX('Base de sorteio'!$D$3:$D$1723,MATCH($B829&amp;"|"&amp;$C829,'Base de sorteio'!$I$3:$I$1723,0)),"")</f>
        <v/>
      </c>
      <c r="H829" s="4">
        <f>IFERROR(INDEX('Base de sorteio'!$E$3:$E$1723,MATCH($B829&amp;"|"&amp;$C829,'Base de sorteio'!$I$3:$I$1723,0)),"")</f>
        <v/>
      </c>
      <c r="I829" s="4">
        <f>IF(E829="","",HYPERLINK(IFERROR(INDEX('Base de sorteio'!$J$3:$J$1723,MATCH($B829&amp;"|"&amp;$C829,'Base de sorteio'!$I$3:$I$1723,0)),""),"abrir"))</f>
        <v/>
      </c>
      <c r="J829" s="4" t="n"/>
      <c r="K829" s="4" t="n"/>
      <c r="L829" s="4" t="n"/>
      <c r="M829" s="4" t="n"/>
      <c r="N829" s="4">
        <f>IF(AND(K829="",M829=""),"",IF(OR(K829="sim",M829="sim"),"sim",IF(OR(K829="inconclusivo",M829="inconclusivo"),"inconclusivo","não")))</f>
        <v/>
      </c>
      <c r="O829" s="5">
        <f>IF(N829="sim",COUNTIFS($B$3:$B829,$B829,$N$3:$N829,"sim"),"")</f>
        <v/>
      </c>
      <c r="P829" s="5" t="n"/>
      <c r="Q829" s="4" t="n"/>
      <c r="R829" s="5" t="n"/>
      <c r="S829" s="9" t="n"/>
      <c r="T829" s="4" t="n"/>
    </row>
    <row r="830">
      <c r="A830" s="5">
        <f>ROW()-2</f>
        <v/>
      </c>
      <c r="B830" s="4" t="inlineStr">
        <is>
          <t>Metrópole</t>
        </is>
      </c>
      <c r="C830" s="5" t="n">
        <v>828</v>
      </c>
      <c r="D830" s="5">
        <f>IFERROR(INDEX('Base de sorteio'!$A$3:$A$1723,MATCH($B830&amp;"|"&amp;$C830,'Base de sorteio'!$I$3:$I$1723,0)),"")</f>
        <v/>
      </c>
      <c r="E830" s="4">
        <f>IFERROR(INDEX('Base de sorteio'!$B$3:$B$1723,MATCH($B830&amp;"|"&amp;$C830,'Base de sorteio'!$I$3:$I$1723,0)),"")</f>
        <v/>
      </c>
      <c r="F830" s="4">
        <f>IFERROR(INDEX('Base de sorteio'!$C$3:$C$1723,MATCH($B830&amp;"|"&amp;$C830,'Base de sorteio'!$I$3:$I$1723,0)),"")</f>
        <v/>
      </c>
      <c r="G830" s="4">
        <f>IFERROR(INDEX('Base de sorteio'!$D$3:$D$1723,MATCH($B830&amp;"|"&amp;$C830,'Base de sorteio'!$I$3:$I$1723,0)),"")</f>
        <v/>
      </c>
      <c r="H830" s="4">
        <f>IFERROR(INDEX('Base de sorteio'!$E$3:$E$1723,MATCH($B830&amp;"|"&amp;$C830,'Base de sorteio'!$I$3:$I$1723,0)),"")</f>
        <v/>
      </c>
      <c r="I830" s="4">
        <f>IF(E830="","",HYPERLINK(IFERROR(INDEX('Base de sorteio'!$J$3:$J$1723,MATCH($B830&amp;"|"&amp;$C830,'Base de sorteio'!$I$3:$I$1723,0)),""),"abrir"))</f>
        <v/>
      </c>
      <c r="J830" s="4" t="n"/>
      <c r="K830" s="4" t="n"/>
      <c r="L830" s="4" t="n"/>
      <c r="M830" s="4" t="n"/>
      <c r="N830" s="4">
        <f>IF(AND(K830="",M830=""),"",IF(OR(K830="sim",M830="sim"),"sim",IF(OR(K830="inconclusivo",M830="inconclusivo"),"inconclusivo","não")))</f>
        <v/>
      </c>
      <c r="O830" s="5">
        <f>IF(N830="sim",COUNTIFS($B$3:$B830,$B830,$N$3:$N830,"sim"),"")</f>
        <v/>
      </c>
      <c r="P830" s="5" t="n"/>
      <c r="Q830" s="4" t="n"/>
      <c r="R830" s="5" t="n"/>
      <c r="S830" s="9" t="n"/>
      <c r="T830" s="4" t="n"/>
    </row>
    <row r="831">
      <c r="A831" s="5">
        <f>ROW()-2</f>
        <v/>
      </c>
      <c r="B831" s="4" t="inlineStr">
        <is>
          <t>Metrópole</t>
        </is>
      </c>
      <c r="C831" s="5" t="n">
        <v>829</v>
      </c>
      <c r="D831" s="5">
        <f>IFERROR(INDEX('Base de sorteio'!$A$3:$A$1723,MATCH($B831&amp;"|"&amp;$C831,'Base de sorteio'!$I$3:$I$1723,0)),"")</f>
        <v/>
      </c>
      <c r="E831" s="4">
        <f>IFERROR(INDEX('Base de sorteio'!$B$3:$B$1723,MATCH($B831&amp;"|"&amp;$C831,'Base de sorteio'!$I$3:$I$1723,0)),"")</f>
        <v/>
      </c>
      <c r="F831" s="4">
        <f>IFERROR(INDEX('Base de sorteio'!$C$3:$C$1723,MATCH($B831&amp;"|"&amp;$C831,'Base de sorteio'!$I$3:$I$1723,0)),"")</f>
        <v/>
      </c>
      <c r="G831" s="4">
        <f>IFERROR(INDEX('Base de sorteio'!$D$3:$D$1723,MATCH($B831&amp;"|"&amp;$C831,'Base de sorteio'!$I$3:$I$1723,0)),"")</f>
        <v/>
      </c>
      <c r="H831" s="4">
        <f>IFERROR(INDEX('Base de sorteio'!$E$3:$E$1723,MATCH($B831&amp;"|"&amp;$C831,'Base de sorteio'!$I$3:$I$1723,0)),"")</f>
        <v/>
      </c>
      <c r="I831" s="4">
        <f>IF(E831="","",HYPERLINK(IFERROR(INDEX('Base de sorteio'!$J$3:$J$1723,MATCH($B831&amp;"|"&amp;$C831,'Base de sorteio'!$I$3:$I$1723,0)),""),"abrir"))</f>
        <v/>
      </c>
      <c r="J831" s="4" t="n"/>
      <c r="K831" s="4" t="n"/>
      <c r="L831" s="4" t="n"/>
      <c r="M831" s="4" t="n"/>
      <c r="N831" s="4">
        <f>IF(AND(K831="",M831=""),"",IF(OR(K831="sim",M831="sim"),"sim",IF(OR(K831="inconclusivo",M831="inconclusivo"),"inconclusivo","não")))</f>
        <v/>
      </c>
      <c r="O831" s="5">
        <f>IF(N831="sim",COUNTIFS($B$3:$B831,$B831,$N$3:$N831,"sim"),"")</f>
        <v/>
      </c>
      <c r="P831" s="5" t="n"/>
      <c r="Q831" s="4" t="n"/>
      <c r="R831" s="5" t="n"/>
      <c r="S831" s="9" t="n"/>
      <c r="T831" s="4" t="n"/>
    </row>
    <row r="832">
      <c r="A832" s="5">
        <f>ROW()-2</f>
        <v/>
      </c>
      <c r="B832" s="4" t="inlineStr">
        <is>
          <t>Metrópole</t>
        </is>
      </c>
      <c r="C832" s="5" t="n">
        <v>830</v>
      </c>
      <c r="D832" s="5">
        <f>IFERROR(INDEX('Base de sorteio'!$A$3:$A$1723,MATCH($B832&amp;"|"&amp;$C832,'Base de sorteio'!$I$3:$I$1723,0)),"")</f>
        <v/>
      </c>
      <c r="E832" s="4">
        <f>IFERROR(INDEX('Base de sorteio'!$B$3:$B$1723,MATCH($B832&amp;"|"&amp;$C832,'Base de sorteio'!$I$3:$I$1723,0)),"")</f>
        <v/>
      </c>
      <c r="F832" s="4">
        <f>IFERROR(INDEX('Base de sorteio'!$C$3:$C$1723,MATCH($B832&amp;"|"&amp;$C832,'Base de sorteio'!$I$3:$I$1723,0)),"")</f>
        <v/>
      </c>
      <c r="G832" s="4">
        <f>IFERROR(INDEX('Base de sorteio'!$D$3:$D$1723,MATCH($B832&amp;"|"&amp;$C832,'Base de sorteio'!$I$3:$I$1723,0)),"")</f>
        <v/>
      </c>
      <c r="H832" s="4">
        <f>IFERROR(INDEX('Base de sorteio'!$E$3:$E$1723,MATCH($B832&amp;"|"&amp;$C832,'Base de sorteio'!$I$3:$I$1723,0)),"")</f>
        <v/>
      </c>
      <c r="I832" s="4">
        <f>IF(E832="","",HYPERLINK(IFERROR(INDEX('Base de sorteio'!$J$3:$J$1723,MATCH($B832&amp;"|"&amp;$C832,'Base de sorteio'!$I$3:$I$1723,0)),""),"abrir"))</f>
        <v/>
      </c>
      <c r="J832" s="4" t="n"/>
      <c r="K832" s="4" t="n"/>
      <c r="L832" s="4" t="n"/>
      <c r="M832" s="4" t="n"/>
      <c r="N832" s="4">
        <f>IF(AND(K832="",M832=""),"",IF(OR(K832="sim",M832="sim"),"sim",IF(OR(K832="inconclusivo",M832="inconclusivo"),"inconclusivo","não")))</f>
        <v/>
      </c>
      <c r="O832" s="5">
        <f>IF(N832="sim",COUNTIFS($B$3:$B832,$B832,$N$3:$N832,"sim"),"")</f>
        <v/>
      </c>
      <c r="P832" s="5" t="n"/>
      <c r="Q832" s="4" t="n"/>
      <c r="R832" s="5" t="n"/>
      <c r="S832" s="9" t="n"/>
      <c r="T832" s="4" t="n"/>
    </row>
    <row r="833">
      <c r="A833" s="5">
        <f>ROW()-2</f>
        <v/>
      </c>
      <c r="B833" s="4" t="inlineStr">
        <is>
          <t>Metrópole</t>
        </is>
      </c>
      <c r="C833" s="5" t="n">
        <v>831</v>
      </c>
      <c r="D833" s="5">
        <f>IFERROR(INDEX('Base de sorteio'!$A$3:$A$1723,MATCH($B833&amp;"|"&amp;$C833,'Base de sorteio'!$I$3:$I$1723,0)),"")</f>
        <v/>
      </c>
      <c r="E833" s="4">
        <f>IFERROR(INDEX('Base de sorteio'!$B$3:$B$1723,MATCH($B833&amp;"|"&amp;$C833,'Base de sorteio'!$I$3:$I$1723,0)),"")</f>
        <v/>
      </c>
      <c r="F833" s="4">
        <f>IFERROR(INDEX('Base de sorteio'!$C$3:$C$1723,MATCH($B833&amp;"|"&amp;$C833,'Base de sorteio'!$I$3:$I$1723,0)),"")</f>
        <v/>
      </c>
      <c r="G833" s="4">
        <f>IFERROR(INDEX('Base de sorteio'!$D$3:$D$1723,MATCH($B833&amp;"|"&amp;$C833,'Base de sorteio'!$I$3:$I$1723,0)),"")</f>
        <v/>
      </c>
      <c r="H833" s="4">
        <f>IFERROR(INDEX('Base de sorteio'!$E$3:$E$1723,MATCH($B833&amp;"|"&amp;$C833,'Base de sorteio'!$I$3:$I$1723,0)),"")</f>
        <v/>
      </c>
      <c r="I833" s="4">
        <f>IF(E833="","",HYPERLINK(IFERROR(INDEX('Base de sorteio'!$J$3:$J$1723,MATCH($B833&amp;"|"&amp;$C833,'Base de sorteio'!$I$3:$I$1723,0)),""),"abrir"))</f>
        <v/>
      </c>
      <c r="J833" s="4" t="n"/>
      <c r="K833" s="4" t="n"/>
      <c r="L833" s="4" t="n"/>
      <c r="M833" s="4" t="n"/>
      <c r="N833" s="4">
        <f>IF(AND(K833="",M833=""),"",IF(OR(K833="sim",M833="sim"),"sim",IF(OR(K833="inconclusivo",M833="inconclusivo"),"inconclusivo","não")))</f>
        <v/>
      </c>
      <c r="O833" s="5">
        <f>IF(N833="sim",COUNTIFS($B$3:$B833,$B833,$N$3:$N833,"sim"),"")</f>
        <v/>
      </c>
      <c r="P833" s="5" t="n"/>
      <c r="Q833" s="4" t="n"/>
      <c r="R833" s="5" t="n"/>
      <c r="S833" s="9" t="n"/>
      <c r="T833" s="4" t="n"/>
    </row>
    <row r="834">
      <c r="A834" s="5">
        <f>ROW()-2</f>
        <v/>
      </c>
      <c r="B834" s="4" t="inlineStr">
        <is>
          <t>Metrópole</t>
        </is>
      </c>
      <c r="C834" s="5" t="n">
        <v>832</v>
      </c>
      <c r="D834" s="5">
        <f>IFERROR(INDEX('Base de sorteio'!$A$3:$A$1723,MATCH($B834&amp;"|"&amp;$C834,'Base de sorteio'!$I$3:$I$1723,0)),"")</f>
        <v/>
      </c>
      <c r="E834" s="4">
        <f>IFERROR(INDEX('Base de sorteio'!$B$3:$B$1723,MATCH($B834&amp;"|"&amp;$C834,'Base de sorteio'!$I$3:$I$1723,0)),"")</f>
        <v/>
      </c>
      <c r="F834" s="4">
        <f>IFERROR(INDEX('Base de sorteio'!$C$3:$C$1723,MATCH($B834&amp;"|"&amp;$C834,'Base de sorteio'!$I$3:$I$1723,0)),"")</f>
        <v/>
      </c>
      <c r="G834" s="4">
        <f>IFERROR(INDEX('Base de sorteio'!$D$3:$D$1723,MATCH($B834&amp;"|"&amp;$C834,'Base de sorteio'!$I$3:$I$1723,0)),"")</f>
        <v/>
      </c>
      <c r="H834" s="4">
        <f>IFERROR(INDEX('Base de sorteio'!$E$3:$E$1723,MATCH($B834&amp;"|"&amp;$C834,'Base de sorteio'!$I$3:$I$1723,0)),"")</f>
        <v/>
      </c>
      <c r="I834" s="4">
        <f>IF(E834="","",HYPERLINK(IFERROR(INDEX('Base de sorteio'!$J$3:$J$1723,MATCH($B834&amp;"|"&amp;$C834,'Base de sorteio'!$I$3:$I$1723,0)),""),"abrir"))</f>
        <v/>
      </c>
      <c r="J834" s="4" t="n"/>
      <c r="K834" s="4" t="n"/>
      <c r="L834" s="4" t="n"/>
      <c r="M834" s="4" t="n"/>
      <c r="N834" s="4">
        <f>IF(AND(K834="",M834=""),"",IF(OR(K834="sim",M834="sim"),"sim",IF(OR(K834="inconclusivo",M834="inconclusivo"),"inconclusivo","não")))</f>
        <v/>
      </c>
      <c r="O834" s="5">
        <f>IF(N834="sim",COUNTIFS($B$3:$B834,$B834,$N$3:$N834,"sim"),"")</f>
        <v/>
      </c>
      <c r="P834" s="5" t="n"/>
      <c r="Q834" s="4" t="n"/>
      <c r="R834" s="5" t="n"/>
      <c r="S834" s="9" t="n"/>
      <c r="T834" s="4" t="n"/>
    </row>
    <row r="835">
      <c r="A835" s="5">
        <f>ROW()-2</f>
        <v/>
      </c>
      <c r="B835" s="4" t="inlineStr">
        <is>
          <t>Metrópole</t>
        </is>
      </c>
      <c r="C835" s="5" t="n">
        <v>833</v>
      </c>
      <c r="D835" s="5">
        <f>IFERROR(INDEX('Base de sorteio'!$A$3:$A$1723,MATCH($B835&amp;"|"&amp;$C835,'Base de sorteio'!$I$3:$I$1723,0)),"")</f>
        <v/>
      </c>
      <c r="E835" s="4">
        <f>IFERROR(INDEX('Base de sorteio'!$B$3:$B$1723,MATCH($B835&amp;"|"&amp;$C835,'Base de sorteio'!$I$3:$I$1723,0)),"")</f>
        <v/>
      </c>
      <c r="F835" s="4">
        <f>IFERROR(INDEX('Base de sorteio'!$C$3:$C$1723,MATCH($B835&amp;"|"&amp;$C835,'Base de sorteio'!$I$3:$I$1723,0)),"")</f>
        <v/>
      </c>
      <c r="G835" s="4">
        <f>IFERROR(INDEX('Base de sorteio'!$D$3:$D$1723,MATCH($B835&amp;"|"&amp;$C835,'Base de sorteio'!$I$3:$I$1723,0)),"")</f>
        <v/>
      </c>
      <c r="H835" s="4">
        <f>IFERROR(INDEX('Base de sorteio'!$E$3:$E$1723,MATCH($B835&amp;"|"&amp;$C835,'Base de sorteio'!$I$3:$I$1723,0)),"")</f>
        <v/>
      </c>
      <c r="I835" s="4">
        <f>IF(E835="","",HYPERLINK(IFERROR(INDEX('Base de sorteio'!$J$3:$J$1723,MATCH($B835&amp;"|"&amp;$C835,'Base de sorteio'!$I$3:$I$1723,0)),""),"abrir"))</f>
        <v/>
      </c>
      <c r="J835" s="4" t="n"/>
      <c r="K835" s="4" t="n"/>
      <c r="L835" s="4" t="n"/>
      <c r="M835" s="4" t="n"/>
      <c r="N835" s="4">
        <f>IF(AND(K835="",M835=""),"",IF(OR(K835="sim",M835="sim"),"sim",IF(OR(K835="inconclusivo",M835="inconclusivo"),"inconclusivo","não")))</f>
        <v/>
      </c>
      <c r="O835" s="5">
        <f>IF(N835="sim",COUNTIFS($B$3:$B835,$B835,$N$3:$N835,"sim"),"")</f>
        <v/>
      </c>
      <c r="P835" s="5" t="n"/>
      <c r="Q835" s="4" t="n"/>
      <c r="R835" s="5" t="n"/>
      <c r="S835" s="9" t="n"/>
      <c r="T835" s="4" t="n"/>
    </row>
    <row r="836">
      <c r="A836" s="5">
        <f>ROW()-2</f>
        <v/>
      </c>
      <c r="B836" s="4" t="inlineStr">
        <is>
          <t>Metrópole</t>
        </is>
      </c>
      <c r="C836" s="5" t="n">
        <v>834</v>
      </c>
      <c r="D836" s="5">
        <f>IFERROR(INDEX('Base de sorteio'!$A$3:$A$1723,MATCH($B836&amp;"|"&amp;$C836,'Base de sorteio'!$I$3:$I$1723,0)),"")</f>
        <v/>
      </c>
      <c r="E836" s="4">
        <f>IFERROR(INDEX('Base de sorteio'!$B$3:$B$1723,MATCH($B836&amp;"|"&amp;$C836,'Base de sorteio'!$I$3:$I$1723,0)),"")</f>
        <v/>
      </c>
      <c r="F836" s="4">
        <f>IFERROR(INDEX('Base de sorteio'!$C$3:$C$1723,MATCH($B836&amp;"|"&amp;$C836,'Base de sorteio'!$I$3:$I$1723,0)),"")</f>
        <v/>
      </c>
      <c r="G836" s="4">
        <f>IFERROR(INDEX('Base de sorteio'!$D$3:$D$1723,MATCH($B836&amp;"|"&amp;$C836,'Base de sorteio'!$I$3:$I$1723,0)),"")</f>
        <v/>
      </c>
      <c r="H836" s="4">
        <f>IFERROR(INDEX('Base de sorteio'!$E$3:$E$1723,MATCH($B836&amp;"|"&amp;$C836,'Base de sorteio'!$I$3:$I$1723,0)),"")</f>
        <v/>
      </c>
      <c r="I836" s="4">
        <f>IF(E836="","",HYPERLINK(IFERROR(INDEX('Base de sorteio'!$J$3:$J$1723,MATCH($B836&amp;"|"&amp;$C836,'Base de sorteio'!$I$3:$I$1723,0)),""),"abrir"))</f>
        <v/>
      </c>
      <c r="J836" s="4" t="n"/>
      <c r="K836" s="4" t="n"/>
      <c r="L836" s="4" t="n"/>
      <c r="M836" s="4" t="n"/>
      <c r="N836" s="4">
        <f>IF(AND(K836="",M836=""),"",IF(OR(K836="sim",M836="sim"),"sim",IF(OR(K836="inconclusivo",M836="inconclusivo"),"inconclusivo","não")))</f>
        <v/>
      </c>
      <c r="O836" s="5">
        <f>IF(N836="sim",COUNTIFS($B$3:$B836,$B836,$N$3:$N836,"sim"),"")</f>
        <v/>
      </c>
      <c r="P836" s="5" t="n"/>
      <c r="Q836" s="4" t="n"/>
      <c r="R836" s="5" t="n"/>
      <c r="S836" s="9" t="n"/>
      <c r="T836" s="4" t="n"/>
    </row>
    <row r="837">
      <c r="A837" s="5">
        <f>ROW()-2</f>
        <v/>
      </c>
      <c r="B837" s="4" t="inlineStr">
        <is>
          <t>Metrópole</t>
        </is>
      </c>
      <c r="C837" s="5" t="n">
        <v>835</v>
      </c>
      <c r="D837" s="5">
        <f>IFERROR(INDEX('Base de sorteio'!$A$3:$A$1723,MATCH($B837&amp;"|"&amp;$C837,'Base de sorteio'!$I$3:$I$1723,0)),"")</f>
        <v/>
      </c>
      <c r="E837" s="4">
        <f>IFERROR(INDEX('Base de sorteio'!$B$3:$B$1723,MATCH($B837&amp;"|"&amp;$C837,'Base de sorteio'!$I$3:$I$1723,0)),"")</f>
        <v/>
      </c>
      <c r="F837" s="4">
        <f>IFERROR(INDEX('Base de sorteio'!$C$3:$C$1723,MATCH($B837&amp;"|"&amp;$C837,'Base de sorteio'!$I$3:$I$1723,0)),"")</f>
        <v/>
      </c>
      <c r="G837" s="4">
        <f>IFERROR(INDEX('Base de sorteio'!$D$3:$D$1723,MATCH($B837&amp;"|"&amp;$C837,'Base de sorteio'!$I$3:$I$1723,0)),"")</f>
        <v/>
      </c>
      <c r="H837" s="4">
        <f>IFERROR(INDEX('Base de sorteio'!$E$3:$E$1723,MATCH($B837&amp;"|"&amp;$C837,'Base de sorteio'!$I$3:$I$1723,0)),"")</f>
        <v/>
      </c>
      <c r="I837" s="4">
        <f>IF(E837="","",HYPERLINK(IFERROR(INDEX('Base de sorteio'!$J$3:$J$1723,MATCH($B837&amp;"|"&amp;$C837,'Base de sorteio'!$I$3:$I$1723,0)),""),"abrir"))</f>
        <v/>
      </c>
      <c r="J837" s="4" t="n"/>
      <c r="K837" s="4" t="n"/>
      <c r="L837" s="4" t="n"/>
      <c r="M837" s="4" t="n"/>
      <c r="N837" s="4">
        <f>IF(AND(K837="",M837=""),"",IF(OR(K837="sim",M837="sim"),"sim",IF(OR(K837="inconclusivo",M837="inconclusivo"),"inconclusivo","não")))</f>
        <v/>
      </c>
      <c r="O837" s="5">
        <f>IF(N837="sim",COUNTIFS($B$3:$B837,$B837,$N$3:$N837,"sim"),"")</f>
        <v/>
      </c>
      <c r="P837" s="5" t="n"/>
      <c r="Q837" s="4" t="n"/>
      <c r="R837" s="5" t="n"/>
      <c r="S837" s="9" t="n"/>
      <c r="T837" s="4" t="n"/>
    </row>
    <row r="838">
      <c r="A838" s="5">
        <f>ROW()-2</f>
        <v/>
      </c>
      <c r="B838" s="4" t="inlineStr">
        <is>
          <t>Metrópole</t>
        </is>
      </c>
      <c r="C838" s="5" t="n">
        <v>836</v>
      </c>
      <c r="D838" s="5">
        <f>IFERROR(INDEX('Base de sorteio'!$A$3:$A$1723,MATCH($B838&amp;"|"&amp;$C838,'Base de sorteio'!$I$3:$I$1723,0)),"")</f>
        <v/>
      </c>
      <c r="E838" s="4">
        <f>IFERROR(INDEX('Base de sorteio'!$B$3:$B$1723,MATCH($B838&amp;"|"&amp;$C838,'Base de sorteio'!$I$3:$I$1723,0)),"")</f>
        <v/>
      </c>
      <c r="F838" s="4">
        <f>IFERROR(INDEX('Base de sorteio'!$C$3:$C$1723,MATCH($B838&amp;"|"&amp;$C838,'Base de sorteio'!$I$3:$I$1723,0)),"")</f>
        <v/>
      </c>
      <c r="G838" s="4">
        <f>IFERROR(INDEX('Base de sorteio'!$D$3:$D$1723,MATCH($B838&amp;"|"&amp;$C838,'Base de sorteio'!$I$3:$I$1723,0)),"")</f>
        <v/>
      </c>
      <c r="H838" s="4">
        <f>IFERROR(INDEX('Base de sorteio'!$E$3:$E$1723,MATCH($B838&amp;"|"&amp;$C838,'Base de sorteio'!$I$3:$I$1723,0)),"")</f>
        <v/>
      </c>
      <c r="I838" s="4">
        <f>IF(E838="","",HYPERLINK(IFERROR(INDEX('Base de sorteio'!$J$3:$J$1723,MATCH($B838&amp;"|"&amp;$C838,'Base de sorteio'!$I$3:$I$1723,0)),""),"abrir"))</f>
        <v/>
      </c>
      <c r="J838" s="4" t="n"/>
      <c r="K838" s="4" t="n"/>
      <c r="L838" s="4" t="n"/>
      <c r="M838" s="4" t="n"/>
      <c r="N838" s="4">
        <f>IF(AND(K838="",M838=""),"",IF(OR(K838="sim",M838="sim"),"sim",IF(OR(K838="inconclusivo",M838="inconclusivo"),"inconclusivo","não")))</f>
        <v/>
      </c>
      <c r="O838" s="5">
        <f>IF(N838="sim",COUNTIFS($B$3:$B838,$B838,$N$3:$N838,"sim"),"")</f>
        <v/>
      </c>
      <c r="P838" s="5" t="n"/>
      <c r="Q838" s="4" t="n"/>
      <c r="R838" s="5" t="n"/>
      <c r="S838" s="9" t="n"/>
      <c r="T838" s="4" t="n"/>
    </row>
    <row r="839">
      <c r="A839" s="5">
        <f>ROW()-2</f>
        <v/>
      </c>
      <c r="B839" s="4" t="inlineStr">
        <is>
          <t>Metrópole</t>
        </is>
      </c>
      <c r="C839" s="5" t="n">
        <v>837</v>
      </c>
      <c r="D839" s="5">
        <f>IFERROR(INDEX('Base de sorteio'!$A$3:$A$1723,MATCH($B839&amp;"|"&amp;$C839,'Base de sorteio'!$I$3:$I$1723,0)),"")</f>
        <v/>
      </c>
      <c r="E839" s="4">
        <f>IFERROR(INDEX('Base de sorteio'!$B$3:$B$1723,MATCH($B839&amp;"|"&amp;$C839,'Base de sorteio'!$I$3:$I$1723,0)),"")</f>
        <v/>
      </c>
      <c r="F839" s="4">
        <f>IFERROR(INDEX('Base de sorteio'!$C$3:$C$1723,MATCH($B839&amp;"|"&amp;$C839,'Base de sorteio'!$I$3:$I$1723,0)),"")</f>
        <v/>
      </c>
      <c r="G839" s="4">
        <f>IFERROR(INDEX('Base de sorteio'!$D$3:$D$1723,MATCH($B839&amp;"|"&amp;$C839,'Base de sorteio'!$I$3:$I$1723,0)),"")</f>
        <v/>
      </c>
      <c r="H839" s="4">
        <f>IFERROR(INDEX('Base de sorteio'!$E$3:$E$1723,MATCH($B839&amp;"|"&amp;$C839,'Base de sorteio'!$I$3:$I$1723,0)),"")</f>
        <v/>
      </c>
      <c r="I839" s="4">
        <f>IF(E839="","",HYPERLINK(IFERROR(INDEX('Base de sorteio'!$J$3:$J$1723,MATCH($B839&amp;"|"&amp;$C839,'Base de sorteio'!$I$3:$I$1723,0)),""),"abrir"))</f>
        <v/>
      </c>
      <c r="J839" s="4" t="n"/>
      <c r="K839" s="4" t="n"/>
      <c r="L839" s="4" t="n"/>
      <c r="M839" s="4" t="n"/>
      <c r="N839" s="4">
        <f>IF(AND(K839="",M839=""),"",IF(OR(K839="sim",M839="sim"),"sim",IF(OR(K839="inconclusivo",M839="inconclusivo"),"inconclusivo","não")))</f>
        <v/>
      </c>
      <c r="O839" s="5">
        <f>IF(N839="sim",COUNTIFS($B$3:$B839,$B839,$N$3:$N839,"sim"),"")</f>
        <v/>
      </c>
      <c r="P839" s="5" t="n"/>
      <c r="Q839" s="4" t="n"/>
      <c r="R839" s="5" t="n"/>
      <c r="S839" s="9" t="n"/>
      <c r="T839" s="4" t="n"/>
    </row>
    <row r="840">
      <c r="A840" s="5">
        <f>ROW()-2</f>
        <v/>
      </c>
      <c r="B840" s="4" t="inlineStr">
        <is>
          <t>Metrópole</t>
        </is>
      </c>
      <c r="C840" s="5" t="n">
        <v>838</v>
      </c>
      <c r="D840" s="5">
        <f>IFERROR(INDEX('Base de sorteio'!$A$3:$A$1723,MATCH($B840&amp;"|"&amp;$C840,'Base de sorteio'!$I$3:$I$1723,0)),"")</f>
        <v/>
      </c>
      <c r="E840" s="4">
        <f>IFERROR(INDEX('Base de sorteio'!$B$3:$B$1723,MATCH($B840&amp;"|"&amp;$C840,'Base de sorteio'!$I$3:$I$1723,0)),"")</f>
        <v/>
      </c>
      <c r="F840" s="4">
        <f>IFERROR(INDEX('Base de sorteio'!$C$3:$C$1723,MATCH($B840&amp;"|"&amp;$C840,'Base de sorteio'!$I$3:$I$1723,0)),"")</f>
        <v/>
      </c>
      <c r="G840" s="4">
        <f>IFERROR(INDEX('Base de sorteio'!$D$3:$D$1723,MATCH($B840&amp;"|"&amp;$C840,'Base de sorteio'!$I$3:$I$1723,0)),"")</f>
        <v/>
      </c>
      <c r="H840" s="4">
        <f>IFERROR(INDEX('Base de sorteio'!$E$3:$E$1723,MATCH($B840&amp;"|"&amp;$C840,'Base de sorteio'!$I$3:$I$1723,0)),"")</f>
        <v/>
      </c>
      <c r="I840" s="4">
        <f>IF(E840="","",HYPERLINK(IFERROR(INDEX('Base de sorteio'!$J$3:$J$1723,MATCH($B840&amp;"|"&amp;$C840,'Base de sorteio'!$I$3:$I$1723,0)),""),"abrir"))</f>
        <v/>
      </c>
      <c r="J840" s="4" t="n"/>
      <c r="K840" s="4" t="n"/>
      <c r="L840" s="4" t="n"/>
      <c r="M840" s="4" t="n"/>
      <c r="N840" s="4">
        <f>IF(AND(K840="",M840=""),"",IF(OR(K840="sim",M840="sim"),"sim",IF(OR(K840="inconclusivo",M840="inconclusivo"),"inconclusivo","não")))</f>
        <v/>
      </c>
      <c r="O840" s="5">
        <f>IF(N840="sim",COUNTIFS($B$3:$B840,$B840,$N$3:$N840,"sim"),"")</f>
        <v/>
      </c>
      <c r="P840" s="5" t="n"/>
      <c r="Q840" s="4" t="n"/>
      <c r="R840" s="5" t="n"/>
      <c r="S840" s="9" t="n"/>
      <c r="T840" s="4" t="n"/>
    </row>
    <row r="841">
      <c r="A841" s="5">
        <f>ROW()-2</f>
        <v/>
      </c>
      <c r="B841" s="4" t="inlineStr">
        <is>
          <t>Metrópole</t>
        </is>
      </c>
      <c r="C841" s="5" t="n">
        <v>839</v>
      </c>
      <c r="D841" s="5">
        <f>IFERROR(INDEX('Base de sorteio'!$A$3:$A$1723,MATCH($B841&amp;"|"&amp;$C841,'Base de sorteio'!$I$3:$I$1723,0)),"")</f>
        <v/>
      </c>
      <c r="E841" s="4">
        <f>IFERROR(INDEX('Base de sorteio'!$B$3:$B$1723,MATCH($B841&amp;"|"&amp;$C841,'Base de sorteio'!$I$3:$I$1723,0)),"")</f>
        <v/>
      </c>
      <c r="F841" s="4">
        <f>IFERROR(INDEX('Base de sorteio'!$C$3:$C$1723,MATCH($B841&amp;"|"&amp;$C841,'Base de sorteio'!$I$3:$I$1723,0)),"")</f>
        <v/>
      </c>
      <c r="G841" s="4">
        <f>IFERROR(INDEX('Base de sorteio'!$D$3:$D$1723,MATCH($B841&amp;"|"&amp;$C841,'Base de sorteio'!$I$3:$I$1723,0)),"")</f>
        <v/>
      </c>
      <c r="H841" s="4">
        <f>IFERROR(INDEX('Base de sorteio'!$E$3:$E$1723,MATCH($B841&amp;"|"&amp;$C841,'Base de sorteio'!$I$3:$I$1723,0)),"")</f>
        <v/>
      </c>
      <c r="I841" s="4">
        <f>IF(E841="","",HYPERLINK(IFERROR(INDEX('Base de sorteio'!$J$3:$J$1723,MATCH($B841&amp;"|"&amp;$C841,'Base de sorteio'!$I$3:$I$1723,0)),""),"abrir"))</f>
        <v/>
      </c>
      <c r="J841" s="4" t="n"/>
      <c r="K841" s="4" t="n"/>
      <c r="L841" s="4" t="n"/>
      <c r="M841" s="4" t="n"/>
      <c r="N841" s="4">
        <f>IF(AND(K841="",M841=""),"",IF(OR(K841="sim",M841="sim"),"sim",IF(OR(K841="inconclusivo",M841="inconclusivo"),"inconclusivo","não")))</f>
        <v/>
      </c>
      <c r="O841" s="5">
        <f>IF(N841="sim",COUNTIFS($B$3:$B841,$B841,$N$3:$N841,"sim"),"")</f>
        <v/>
      </c>
      <c r="P841" s="5" t="n"/>
      <c r="Q841" s="4" t="n"/>
      <c r="R841" s="5" t="n"/>
      <c r="S841" s="9" t="n"/>
      <c r="T841" s="4" t="n"/>
    </row>
    <row r="842">
      <c r="A842" s="5">
        <f>ROW()-2</f>
        <v/>
      </c>
      <c r="B842" s="4" t="inlineStr">
        <is>
          <t>Metrópole</t>
        </is>
      </c>
      <c r="C842" s="5" t="n">
        <v>840</v>
      </c>
      <c r="D842" s="5">
        <f>IFERROR(INDEX('Base de sorteio'!$A$3:$A$1723,MATCH($B842&amp;"|"&amp;$C842,'Base de sorteio'!$I$3:$I$1723,0)),"")</f>
        <v/>
      </c>
      <c r="E842" s="4">
        <f>IFERROR(INDEX('Base de sorteio'!$B$3:$B$1723,MATCH($B842&amp;"|"&amp;$C842,'Base de sorteio'!$I$3:$I$1723,0)),"")</f>
        <v/>
      </c>
      <c r="F842" s="4">
        <f>IFERROR(INDEX('Base de sorteio'!$C$3:$C$1723,MATCH($B842&amp;"|"&amp;$C842,'Base de sorteio'!$I$3:$I$1723,0)),"")</f>
        <v/>
      </c>
      <c r="G842" s="4">
        <f>IFERROR(INDEX('Base de sorteio'!$D$3:$D$1723,MATCH($B842&amp;"|"&amp;$C842,'Base de sorteio'!$I$3:$I$1723,0)),"")</f>
        <v/>
      </c>
      <c r="H842" s="4">
        <f>IFERROR(INDEX('Base de sorteio'!$E$3:$E$1723,MATCH($B842&amp;"|"&amp;$C842,'Base de sorteio'!$I$3:$I$1723,0)),"")</f>
        <v/>
      </c>
      <c r="I842" s="4">
        <f>IF(E842="","",HYPERLINK(IFERROR(INDEX('Base de sorteio'!$J$3:$J$1723,MATCH($B842&amp;"|"&amp;$C842,'Base de sorteio'!$I$3:$I$1723,0)),""),"abrir"))</f>
        <v/>
      </c>
      <c r="J842" s="4" t="n"/>
      <c r="K842" s="4" t="n"/>
      <c r="L842" s="4" t="n"/>
      <c r="M842" s="4" t="n"/>
      <c r="N842" s="4">
        <f>IF(AND(K842="",M842=""),"",IF(OR(K842="sim",M842="sim"),"sim",IF(OR(K842="inconclusivo",M842="inconclusivo"),"inconclusivo","não")))</f>
        <v/>
      </c>
      <c r="O842" s="5">
        <f>IF(N842="sim",COUNTIFS($B$3:$B842,$B842,$N$3:$N842,"sim"),"")</f>
        <v/>
      </c>
      <c r="P842" s="5" t="n"/>
      <c r="Q842" s="4" t="n"/>
      <c r="R842" s="5" t="n"/>
      <c r="S842" s="9" t="n"/>
      <c r="T842" s="4" t="n"/>
    </row>
    <row r="843">
      <c r="A843" s="5">
        <f>ROW()-2</f>
        <v/>
      </c>
      <c r="B843" s="4" t="inlineStr">
        <is>
          <t>Metrópole</t>
        </is>
      </c>
      <c r="C843" s="5" t="n">
        <v>841</v>
      </c>
      <c r="D843" s="5">
        <f>IFERROR(INDEX('Base de sorteio'!$A$3:$A$1723,MATCH($B843&amp;"|"&amp;$C843,'Base de sorteio'!$I$3:$I$1723,0)),"")</f>
        <v/>
      </c>
      <c r="E843" s="4">
        <f>IFERROR(INDEX('Base de sorteio'!$B$3:$B$1723,MATCH($B843&amp;"|"&amp;$C843,'Base de sorteio'!$I$3:$I$1723,0)),"")</f>
        <v/>
      </c>
      <c r="F843" s="4">
        <f>IFERROR(INDEX('Base de sorteio'!$C$3:$C$1723,MATCH($B843&amp;"|"&amp;$C843,'Base de sorteio'!$I$3:$I$1723,0)),"")</f>
        <v/>
      </c>
      <c r="G843" s="4">
        <f>IFERROR(INDEX('Base de sorteio'!$D$3:$D$1723,MATCH($B843&amp;"|"&amp;$C843,'Base de sorteio'!$I$3:$I$1723,0)),"")</f>
        <v/>
      </c>
      <c r="H843" s="4">
        <f>IFERROR(INDEX('Base de sorteio'!$E$3:$E$1723,MATCH($B843&amp;"|"&amp;$C843,'Base de sorteio'!$I$3:$I$1723,0)),"")</f>
        <v/>
      </c>
      <c r="I843" s="4">
        <f>IF(E843="","",HYPERLINK(IFERROR(INDEX('Base de sorteio'!$J$3:$J$1723,MATCH($B843&amp;"|"&amp;$C843,'Base de sorteio'!$I$3:$I$1723,0)),""),"abrir"))</f>
        <v/>
      </c>
      <c r="J843" s="4" t="n"/>
      <c r="K843" s="4" t="n"/>
      <c r="L843" s="4" t="n"/>
      <c r="M843" s="4" t="n"/>
      <c r="N843" s="4">
        <f>IF(AND(K843="",M843=""),"",IF(OR(K843="sim",M843="sim"),"sim",IF(OR(K843="inconclusivo",M843="inconclusivo"),"inconclusivo","não")))</f>
        <v/>
      </c>
      <c r="O843" s="5">
        <f>IF(N843="sim",COUNTIFS($B$3:$B843,$B843,$N$3:$N843,"sim"),"")</f>
        <v/>
      </c>
      <c r="P843" s="5" t="n"/>
      <c r="Q843" s="4" t="n"/>
      <c r="R843" s="5" t="n"/>
      <c r="S843" s="9" t="n"/>
      <c r="T843" s="4" t="n"/>
    </row>
    <row r="844">
      <c r="A844" s="5">
        <f>ROW()-2</f>
        <v/>
      </c>
      <c r="B844" s="4" t="inlineStr">
        <is>
          <t>Metrópole</t>
        </is>
      </c>
      <c r="C844" s="5" t="n">
        <v>842</v>
      </c>
      <c r="D844" s="5">
        <f>IFERROR(INDEX('Base de sorteio'!$A$3:$A$1723,MATCH($B844&amp;"|"&amp;$C844,'Base de sorteio'!$I$3:$I$1723,0)),"")</f>
        <v/>
      </c>
      <c r="E844" s="4">
        <f>IFERROR(INDEX('Base de sorteio'!$B$3:$B$1723,MATCH($B844&amp;"|"&amp;$C844,'Base de sorteio'!$I$3:$I$1723,0)),"")</f>
        <v/>
      </c>
      <c r="F844" s="4">
        <f>IFERROR(INDEX('Base de sorteio'!$C$3:$C$1723,MATCH($B844&amp;"|"&amp;$C844,'Base de sorteio'!$I$3:$I$1723,0)),"")</f>
        <v/>
      </c>
      <c r="G844" s="4">
        <f>IFERROR(INDEX('Base de sorteio'!$D$3:$D$1723,MATCH($B844&amp;"|"&amp;$C844,'Base de sorteio'!$I$3:$I$1723,0)),"")</f>
        <v/>
      </c>
      <c r="H844" s="4">
        <f>IFERROR(INDEX('Base de sorteio'!$E$3:$E$1723,MATCH($B844&amp;"|"&amp;$C844,'Base de sorteio'!$I$3:$I$1723,0)),"")</f>
        <v/>
      </c>
      <c r="I844" s="4">
        <f>IF(E844="","",HYPERLINK(IFERROR(INDEX('Base de sorteio'!$J$3:$J$1723,MATCH($B844&amp;"|"&amp;$C844,'Base de sorteio'!$I$3:$I$1723,0)),""),"abrir"))</f>
        <v/>
      </c>
      <c r="J844" s="4" t="n"/>
      <c r="K844" s="4" t="n"/>
      <c r="L844" s="4" t="n"/>
      <c r="M844" s="4" t="n"/>
      <c r="N844" s="4">
        <f>IF(AND(K844="",M844=""),"",IF(OR(K844="sim",M844="sim"),"sim",IF(OR(K844="inconclusivo",M844="inconclusivo"),"inconclusivo","não")))</f>
        <v/>
      </c>
      <c r="O844" s="5">
        <f>IF(N844="sim",COUNTIFS($B$3:$B844,$B844,$N$3:$N844,"sim"),"")</f>
        <v/>
      </c>
      <c r="P844" s="5" t="n"/>
      <c r="Q844" s="4" t="n"/>
      <c r="R844" s="5" t="n"/>
      <c r="S844" s="9" t="n"/>
      <c r="T844" s="4" t="n"/>
    </row>
    <row r="845">
      <c r="A845" s="5">
        <f>ROW()-2</f>
        <v/>
      </c>
      <c r="B845" s="4" t="inlineStr">
        <is>
          <t>Metrópole</t>
        </is>
      </c>
      <c r="C845" s="5" t="n">
        <v>843</v>
      </c>
      <c r="D845" s="5">
        <f>IFERROR(INDEX('Base de sorteio'!$A$3:$A$1723,MATCH($B845&amp;"|"&amp;$C845,'Base de sorteio'!$I$3:$I$1723,0)),"")</f>
        <v/>
      </c>
      <c r="E845" s="4">
        <f>IFERROR(INDEX('Base de sorteio'!$B$3:$B$1723,MATCH($B845&amp;"|"&amp;$C845,'Base de sorteio'!$I$3:$I$1723,0)),"")</f>
        <v/>
      </c>
      <c r="F845" s="4">
        <f>IFERROR(INDEX('Base de sorteio'!$C$3:$C$1723,MATCH($B845&amp;"|"&amp;$C845,'Base de sorteio'!$I$3:$I$1723,0)),"")</f>
        <v/>
      </c>
      <c r="G845" s="4">
        <f>IFERROR(INDEX('Base de sorteio'!$D$3:$D$1723,MATCH($B845&amp;"|"&amp;$C845,'Base de sorteio'!$I$3:$I$1723,0)),"")</f>
        <v/>
      </c>
      <c r="H845" s="4">
        <f>IFERROR(INDEX('Base de sorteio'!$E$3:$E$1723,MATCH($B845&amp;"|"&amp;$C845,'Base de sorteio'!$I$3:$I$1723,0)),"")</f>
        <v/>
      </c>
      <c r="I845" s="4">
        <f>IF(E845="","",HYPERLINK(IFERROR(INDEX('Base de sorteio'!$J$3:$J$1723,MATCH($B845&amp;"|"&amp;$C845,'Base de sorteio'!$I$3:$I$1723,0)),""),"abrir"))</f>
        <v/>
      </c>
      <c r="J845" s="4" t="n"/>
      <c r="K845" s="4" t="n"/>
      <c r="L845" s="4" t="n"/>
      <c r="M845" s="4" t="n"/>
      <c r="N845" s="4">
        <f>IF(AND(K845="",M845=""),"",IF(OR(K845="sim",M845="sim"),"sim",IF(OR(K845="inconclusivo",M845="inconclusivo"),"inconclusivo","não")))</f>
        <v/>
      </c>
      <c r="O845" s="5">
        <f>IF(N845="sim",COUNTIFS($B$3:$B845,$B845,$N$3:$N845,"sim"),"")</f>
        <v/>
      </c>
      <c r="P845" s="5" t="n"/>
      <c r="Q845" s="4" t="n"/>
      <c r="R845" s="5" t="n"/>
      <c r="S845" s="9" t="n"/>
      <c r="T845" s="4" t="n"/>
    </row>
    <row r="846">
      <c r="A846" s="5">
        <f>ROW()-2</f>
        <v/>
      </c>
      <c r="B846" s="4" t="inlineStr">
        <is>
          <t>Metrópole</t>
        </is>
      </c>
      <c r="C846" s="5" t="n">
        <v>844</v>
      </c>
      <c r="D846" s="5">
        <f>IFERROR(INDEX('Base de sorteio'!$A$3:$A$1723,MATCH($B846&amp;"|"&amp;$C846,'Base de sorteio'!$I$3:$I$1723,0)),"")</f>
        <v/>
      </c>
      <c r="E846" s="4">
        <f>IFERROR(INDEX('Base de sorteio'!$B$3:$B$1723,MATCH($B846&amp;"|"&amp;$C846,'Base de sorteio'!$I$3:$I$1723,0)),"")</f>
        <v/>
      </c>
      <c r="F846" s="4">
        <f>IFERROR(INDEX('Base de sorteio'!$C$3:$C$1723,MATCH($B846&amp;"|"&amp;$C846,'Base de sorteio'!$I$3:$I$1723,0)),"")</f>
        <v/>
      </c>
      <c r="G846" s="4">
        <f>IFERROR(INDEX('Base de sorteio'!$D$3:$D$1723,MATCH($B846&amp;"|"&amp;$C846,'Base de sorteio'!$I$3:$I$1723,0)),"")</f>
        <v/>
      </c>
      <c r="H846" s="4">
        <f>IFERROR(INDEX('Base de sorteio'!$E$3:$E$1723,MATCH($B846&amp;"|"&amp;$C846,'Base de sorteio'!$I$3:$I$1723,0)),"")</f>
        <v/>
      </c>
      <c r="I846" s="4">
        <f>IF(E846="","",HYPERLINK(IFERROR(INDEX('Base de sorteio'!$J$3:$J$1723,MATCH($B846&amp;"|"&amp;$C846,'Base de sorteio'!$I$3:$I$1723,0)),""),"abrir"))</f>
        <v/>
      </c>
      <c r="J846" s="4" t="n"/>
      <c r="K846" s="4" t="n"/>
      <c r="L846" s="4" t="n"/>
      <c r="M846" s="4" t="n"/>
      <c r="N846" s="4">
        <f>IF(AND(K846="",M846=""),"",IF(OR(K846="sim",M846="sim"),"sim",IF(OR(K846="inconclusivo",M846="inconclusivo"),"inconclusivo","não")))</f>
        <v/>
      </c>
      <c r="O846" s="5">
        <f>IF(N846="sim",COUNTIFS($B$3:$B846,$B846,$N$3:$N846,"sim"),"")</f>
        <v/>
      </c>
      <c r="P846" s="5" t="n"/>
      <c r="Q846" s="4" t="n"/>
      <c r="R846" s="5" t="n"/>
      <c r="S846" s="9" t="n"/>
      <c r="T846" s="4" t="n"/>
    </row>
    <row r="847">
      <c r="A847" s="5">
        <f>ROW()-2</f>
        <v/>
      </c>
      <c r="B847" s="4" t="inlineStr">
        <is>
          <t>Metrópole</t>
        </is>
      </c>
      <c r="C847" s="5" t="n">
        <v>845</v>
      </c>
      <c r="D847" s="5">
        <f>IFERROR(INDEX('Base de sorteio'!$A$3:$A$1723,MATCH($B847&amp;"|"&amp;$C847,'Base de sorteio'!$I$3:$I$1723,0)),"")</f>
        <v/>
      </c>
      <c r="E847" s="4">
        <f>IFERROR(INDEX('Base de sorteio'!$B$3:$B$1723,MATCH($B847&amp;"|"&amp;$C847,'Base de sorteio'!$I$3:$I$1723,0)),"")</f>
        <v/>
      </c>
      <c r="F847" s="4">
        <f>IFERROR(INDEX('Base de sorteio'!$C$3:$C$1723,MATCH($B847&amp;"|"&amp;$C847,'Base de sorteio'!$I$3:$I$1723,0)),"")</f>
        <v/>
      </c>
      <c r="G847" s="4">
        <f>IFERROR(INDEX('Base de sorteio'!$D$3:$D$1723,MATCH($B847&amp;"|"&amp;$C847,'Base de sorteio'!$I$3:$I$1723,0)),"")</f>
        <v/>
      </c>
      <c r="H847" s="4">
        <f>IFERROR(INDEX('Base de sorteio'!$E$3:$E$1723,MATCH($B847&amp;"|"&amp;$C847,'Base de sorteio'!$I$3:$I$1723,0)),"")</f>
        <v/>
      </c>
      <c r="I847" s="4">
        <f>IF(E847="","",HYPERLINK(IFERROR(INDEX('Base de sorteio'!$J$3:$J$1723,MATCH($B847&amp;"|"&amp;$C847,'Base de sorteio'!$I$3:$I$1723,0)),""),"abrir"))</f>
        <v/>
      </c>
      <c r="J847" s="4" t="n"/>
      <c r="K847" s="4" t="n"/>
      <c r="L847" s="4" t="n"/>
      <c r="M847" s="4" t="n"/>
      <c r="N847" s="4">
        <f>IF(AND(K847="",M847=""),"",IF(OR(K847="sim",M847="sim"),"sim",IF(OR(K847="inconclusivo",M847="inconclusivo"),"inconclusivo","não")))</f>
        <v/>
      </c>
      <c r="O847" s="5">
        <f>IF(N847="sim",COUNTIFS($B$3:$B847,$B847,$N$3:$N847,"sim"),"")</f>
        <v/>
      </c>
      <c r="P847" s="5" t="n"/>
      <c r="Q847" s="4" t="n"/>
      <c r="R847" s="5" t="n"/>
      <c r="S847" s="9" t="n"/>
      <c r="T847" s="4" t="n"/>
    </row>
    <row r="848">
      <c r="A848" s="5">
        <f>ROW()-2</f>
        <v/>
      </c>
      <c r="B848" s="4" t="inlineStr">
        <is>
          <t>Metrópole</t>
        </is>
      </c>
      <c r="C848" s="5" t="n">
        <v>846</v>
      </c>
      <c r="D848" s="5">
        <f>IFERROR(INDEX('Base de sorteio'!$A$3:$A$1723,MATCH($B848&amp;"|"&amp;$C848,'Base de sorteio'!$I$3:$I$1723,0)),"")</f>
        <v/>
      </c>
      <c r="E848" s="4">
        <f>IFERROR(INDEX('Base de sorteio'!$B$3:$B$1723,MATCH($B848&amp;"|"&amp;$C848,'Base de sorteio'!$I$3:$I$1723,0)),"")</f>
        <v/>
      </c>
      <c r="F848" s="4">
        <f>IFERROR(INDEX('Base de sorteio'!$C$3:$C$1723,MATCH($B848&amp;"|"&amp;$C848,'Base de sorteio'!$I$3:$I$1723,0)),"")</f>
        <v/>
      </c>
      <c r="G848" s="4">
        <f>IFERROR(INDEX('Base de sorteio'!$D$3:$D$1723,MATCH($B848&amp;"|"&amp;$C848,'Base de sorteio'!$I$3:$I$1723,0)),"")</f>
        <v/>
      </c>
      <c r="H848" s="4">
        <f>IFERROR(INDEX('Base de sorteio'!$E$3:$E$1723,MATCH($B848&amp;"|"&amp;$C848,'Base de sorteio'!$I$3:$I$1723,0)),"")</f>
        <v/>
      </c>
      <c r="I848" s="4">
        <f>IF(E848="","",HYPERLINK(IFERROR(INDEX('Base de sorteio'!$J$3:$J$1723,MATCH($B848&amp;"|"&amp;$C848,'Base de sorteio'!$I$3:$I$1723,0)),""),"abrir"))</f>
        <v/>
      </c>
      <c r="J848" s="4" t="n"/>
      <c r="K848" s="4" t="n"/>
      <c r="L848" s="4" t="n"/>
      <c r="M848" s="4" t="n"/>
      <c r="N848" s="4">
        <f>IF(AND(K848="",M848=""),"",IF(OR(K848="sim",M848="sim"),"sim",IF(OR(K848="inconclusivo",M848="inconclusivo"),"inconclusivo","não")))</f>
        <v/>
      </c>
      <c r="O848" s="5">
        <f>IF(N848="sim",COUNTIFS($B$3:$B848,$B848,$N$3:$N848,"sim"),"")</f>
        <v/>
      </c>
      <c r="P848" s="5" t="n"/>
      <c r="Q848" s="4" t="n"/>
      <c r="R848" s="5" t="n"/>
      <c r="S848" s="9" t="n"/>
      <c r="T848" s="4" t="n"/>
    </row>
    <row r="849">
      <c r="A849" s="5">
        <f>ROW()-2</f>
        <v/>
      </c>
      <c r="B849" s="4" t="inlineStr">
        <is>
          <t>Metrópole</t>
        </is>
      </c>
      <c r="C849" s="5" t="n">
        <v>847</v>
      </c>
      <c r="D849" s="5">
        <f>IFERROR(INDEX('Base de sorteio'!$A$3:$A$1723,MATCH($B849&amp;"|"&amp;$C849,'Base de sorteio'!$I$3:$I$1723,0)),"")</f>
        <v/>
      </c>
      <c r="E849" s="4">
        <f>IFERROR(INDEX('Base de sorteio'!$B$3:$B$1723,MATCH($B849&amp;"|"&amp;$C849,'Base de sorteio'!$I$3:$I$1723,0)),"")</f>
        <v/>
      </c>
      <c r="F849" s="4">
        <f>IFERROR(INDEX('Base de sorteio'!$C$3:$C$1723,MATCH($B849&amp;"|"&amp;$C849,'Base de sorteio'!$I$3:$I$1723,0)),"")</f>
        <v/>
      </c>
      <c r="G849" s="4">
        <f>IFERROR(INDEX('Base de sorteio'!$D$3:$D$1723,MATCH($B849&amp;"|"&amp;$C849,'Base de sorteio'!$I$3:$I$1723,0)),"")</f>
        <v/>
      </c>
      <c r="H849" s="4">
        <f>IFERROR(INDEX('Base de sorteio'!$E$3:$E$1723,MATCH($B849&amp;"|"&amp;$C849,'Base de sorteio'!$I$3:$I$1723,0)),"")</f>
        <v/>
      </c>
      <c r="I849" s="4">
        <f>IF(E849="","",HYPERLINK(IFERROR(INDEX('Base de sorteio'!$J$3:$J$1723,MATCH($B849&amp;"|"&amp;$C849,'Base de sorteio'!$I$3:$I$1723,0)),""),"abrir"))</f>
        <v/>
      </c>
      <c r="J849" s="4" t="n"/>
      <c r="K849" s="4" t="n"/>
      <c r="L849" s="4" t="n"/>
      <c r="M849" s="4" t="n"/>
      <c r="N849" s="4">
        <f>IF(AND(K849="",M849=""),"",IF(OR(K849="sim",M849="sim"),"sim",IF(OR(K849="inconclusivo",M849="inconclusivo"),"inconclusivo","não")))</f>
        <v/>
      </c>
      <c r="O849" s="5">
        <f>IF(N849="sim",COUNTIFS($B$3:$B849,$B849,$N$3:$N849,"sim"),"")</f>
        <v/>
      </c>
      <c r="P849" s="5" t="n"/>
      <c r="Q849" s="4" t="n"/>
      <c r="R849" s="5" t="n"/>
      <c r="S849" s="9" t="n"/>
      <c r="T849" s="4" t="n"/>
    </row>
    <row r="850">
      <c r="A850" s="5">
        <f>ROW()-2</f>
        <v/>
      </c>
      <c r="B850" s="4" t="inlineStr">
        <is>
          <t>Metrópole</t>
        </is>
      </c>
      <c r="C850" s="5" t="n">
        <v>848</v>
      </c>
      <c r="D850" s="5">
        <f>IFERROR(INDEX('Base de sorteio'!$A$3:$A$1723,MATCH($B850&amp;"|"&amp;$C850,'Base de sorteio'!$I$3:$I$1723,0)),"")</f>
        <v/>
      </c>
      <c r="E850" s="4">
        <f>IFERROR(INDEX('Base de sorteio'!$B$3:$B$1723,MATCH($B850&amp;"|"&amp;$C850,'Base de sorteio'!$I$3:$I$1723,0)),"")</f>
        <v/>
      </c>
      <c r="F850" s="4">
        <f>IFERROR(INDEX('Base de sorteio'!$C$3:$C$1723,MATCH($B850&amp;"|"&amp;$C850,'Base de sorteio'!$I$3:$I$1723,0)),"")</f>
        <v/>
      </c>
      <c r="G850" s="4">
        <f>IFERROR(INDEX('Base de sorteio'!$D$3:$D$1723,MATCH($B850&amp;"|"&amp;$C850,'Base de sorteio'!$I$3:$I$1723,0)),"")</f>
        <v/>
      </c>
      <c r="H850" s="4">
        <f>IFERROR(INDEX('Base de sorteio'!$E$3:$E$1723,MATCH($B850&amp;"|"&amp;$C850,'Base de sorteio'!$I$3:$I$1723,0)),"")</f>
        <v/>
      </c>
      <c r="I850" s="4">
        <f>IF(E850="","",HYPERLINK(IFERROR(INDEX('Base de sorteio'!$J$3:$J$1723,MATCH($B850&amp;"|"&amp;$C850,'Base de sorteio'!$I$3:$I$1723,0)),""),"abrir"))</f>
        <v/>
      </c>
      <c r="J850" s="4" t="n"/>
      <c r="K850" s="4" t="n"/>
      <c r="L850" s="4" t="n"/>
      <c r="M850" s="4" t="n"/>
      <c r="N850" s="4">
        <f>IF(AND(K850="",M850=""),"",IF(OR(K850="sim",M850="sim"),"sim",IF(OR(K850="inconclusivo",M850="inconclusivo"),"inconclusivo","não")))</f>
        <v/>
      </c>
      <c r="O850" s="5">
        <f>IF(N850="sim",COUNTIFS($B$3:$B850,$B850,$N$3:$N850,"sim"),"")</f>
        <v/>
      </c>
      <c r="P850" s="5" t="n"/>
      <c r="Q850" s="4" t="n"/>
      <c r="R850" s="5" t="n"/>
      <c r="S850" s="9" t="n"/>
      <c r="T850" s="4" t="n"/>
    </row>
    <row r="851">
      <c r="A851" s="5">
        <f>ROW()-2</f>
        <v/>
      </c>
      <c r="B851" s="4" t="inlineStr">
        <is>
          <t>Metrópole</t>
        </is>
      </c>
      <c r="C851" s="5" t="n">
        <v>849</v>
      </c>
      <c r="D851" s="5">
        <f>IFERROR(INDEX('Base de sorteio'!$A$3:$A$1723,MATCH($B851&amp;"|"&amp;$C851,'Base de sorteio'!$I$3:$I$1723,0)),"")</f>
        <v/>
      </c>
      <c r="E851" s="4">
        <f>IFERROR(INDEX('Base de sorteio'!$B$3:$B$1723,MATCH($B851&amp;"|"&amp;$C851,'Base de sorteio'!$I$3:$I$1723,0)),"")</f>
        <v/>
      </c>
      <c r="F851" s="4">
        <f>IFERROR(INDEX('Base de sorteio'!$C$3:$C$1723,MATCH($B851&amp;"|"&amp;$C851,'Base de sorteio'!$I$3:$I$1723,0)),"")</f>
        <v/>
      </c>
      <c r="G851" s="4">
        <f>IFERROR(INDEX('Base de sorteio'!$D$3:$D$1723,MATCH($B851&amp;"|"&amp;$C851,'Base de sorteio'!$I$3:$I$1723,0)),"")</f>
        <v/>
      </c>
      <c r="H851" s="4">
        <f>IFERROR(INDEX('Base de sorteio'!$E$3:$E$1723,MATCH($B851&amp;"|"&amp;$C851,'Base de sorteio'!$I$3:$I$1723,0)),"")</f>
        <v/>
      </c>
      <c r="I851" s="4">
        <f>IF(E851="","",HYPERLINK(IFERROR(INDEX('Base de sorteio'!$J$3:$J$1723,MATCH($B851&amp;"|"&amp;$C851,'Base de sorteio'!$I$3:$I$1723,0)),""),"abrir"))</f>
        <v/>
      </c>
      <c r="J851" s="4" t="n"/>
      <c r="K851" s="4" t="n"/>
      <c r="L851" s="4" t="n"/>
      <c r="M851" s="4" t="n"/>
      <c r="N851" s="4">
        <f>IF(AND(K851="",M851=""),"",IF(OR(K851="sim",M851="sim"),"sim",IF(OR(K851="inconclusivo",M851="inconclusivo"),"inconclusivo","não")))</f>
        <v/>
      </c>
      <c r="O851" s="5">
        <f>IF(N851="sim",COUNTIFS($B$3:$B851,$B851,$N$3:$N851,"sim"),"")</f>
        <v/>
      </c>
      <c r="P851" s="5" t="n"/>
      <c r="Q851" s="4" t="n"/>
      <c r="R851" s="5" t="n"/>
      <c r="S851" s="9" t="n"/>
      <c r="T851" s="4" t="n"/>
    </row>
    <row r="852">
      <c r="A852" s="5">
        <f>ROW()-2</f>
        <v/>
      </c>
      <c r="B852" s="4" t="inlineStr">
        <is>
          <t>Metrópole</t>
        </is>
      </c>
      <c r="C852" s="5" t="n">
        <v>850</v>
      </c>
      <c r="D852" s="5">
        <f>IFERROR(INDEX('Base de sorteio'!$A$3:$A$1723,MATCH($B852&amp;"|"&amp;$C852,'Base de sorteio'!$I$3:$I$1723,0)),"")</f>
        <v/>
      </c>
      <c r="E852" s="4">
        <f>IFERROR(INDEX('Base de sorteio'!$B$3:$B$1723,MATCH($B852&amp;"|"&amp;$C852,'Base de sorteio'!$I$3:$I$1723,0)),"")</f>
        <v/>
      </c>
      <c r="F852" s="4">
        <f>IFERROR(INDEX('Base de sorteio'!$C$3:$C$1723,MATCH($B852&amp;"|"&amp;$C852,'Base de sorteio'!$I$3:$I$1723,0)),"")</f>
        <v/>
      </c>
      <c r="G852" s="4">
        <f>IFERROR(INDEX('Base de sorteio'!$D$3:$D$1723,MATCH($B852&amp;"|"&amp;$C852,'Base de sorteio'!$I$3:$I$1723,0)),"")</f>
        <v/>
      </c>
      <c r="H852" s="4">
        <f>IFERROR(INDEX('Base de sorteio'!$E$3:$E$1723,MATCH($B852&amp;"|"&amp;$C852,'Base de sorteio'!$I$3:$I$1723,0)),"")</f>
        <v/>
      </c>
      <c r="I852" s="4">
        <f>IF(E852="","",HYPERLINK(IFERROR(INDEX('Base de sorteio'!$J$3:$J$1723,MATCH($B852&amp;"|"&amp;$C852,'Base de sorteio'!$I$3:$I$1723,0)),""),"abrir"))</f>
        <v/>
      </c>
      <c r="J852" s="4" t="n"/>
      <c r="K852" s="4" t="n"/>
      <c r="L852" s="4" t="n"/>
      <c r="M852" s="4" t="n"/>
      <c r="N852" s="4">
        <f>IF(AND(K852="",M852=""),"",IF(OR(K852="sim",M852="sim"),"sim",IF(OR(K852="inconclusivo",M852="inconclusivo"),"inconclusivo","não")))</f>
        <v/>
      </c>
      <c r="O852" s="5">
        <f>IF(N852="sim",COUNTIFS($B$3:$B852,$B852,$N$3:$N852,"sim"),"")</f>
        <v/>
      </c>
      <c r="P852" s="5" t="n"/>
      <c r="Q852" s="4" t="n"/>
      <c r="R852" s="5" t="n"/>
      <c r="S852" s="9" t="n"/>
      <c r="T852" s="4" t="n"/>
    </row>
    <row r="853">
      <c r="A853" s="5">
        <f>ROW()-2</f>
        <v/>
      </c>
      <c r="B853" s="4" t="inlineStr">
        <is>
          <t>Metrópole</t>
        </is>
      </c>
      <c r="C853" s="5" t="n">
        <v>851</v>
      </c>
      <c r="D853" s="5">
        <f>IFERROR(INDEX('Base de sorteio'!$A$3:$A$1723,MATCH($B853&amp;"|"&amp;$C853,'Base de sorteio'!$I$3:$I$1723,0)),"")</f>
        <v/>
      </c>
      <c r="E853" s="4">
        <f>IFERROR(INDEX('Base de sorteio'!$B$3:$B$1723,MATCH($B853&amp;"|"&amp;$C853,'Base de sorteio'!$I$3:$I$1723,0)),"")</f>
        <v/>
      </c>
      <c r="F853" s="4">
        <f>IFERROR(INDEX('Base de sorteio'!$C$3:$C$1723,MATCH($B853&amp;"|"&amp;$C853,'Base de sorteio'!$I$3:$I$1723,0)),"")</f>
        <v/>
      </c>
      <c r="G853" s="4">
        <f>IFERROR(INDEX('Base de sorteio'!$D$3:$D$1723,MATCH($B853&amp;"|"&amp;$C853,'Base de sorteio'!$I$3:$I$1723,0)),"")</f>
        <v/>
      </c>
      <c r="H853" s="4">
        <f>IFERROR(INDEX('Base de sorteio'!$E$3:$E$1723,MATCH($B853&amp;"|"&amp;$C853,'Base de sorteio'!$I$3:$I$1723,0)),"")</f>
        <v/>
      </c>
      <c r="I853" s="4">
        <f>IF(E853="","",HYPERLINK(IFERROR(INDEX('Base de sorteio'!$J$3:$J$1723,MATCH($B853&amp;"|"&amp;$C853,'Base de sorteio'!$I$3:$I$1723,0)),""),"abrir"))</f>
        <v/>
      </c>
      <c r="J853" s="4" t="n"/>
      <c r="K853" s="4" t="n"/>
      <c r="L853" s="4" t="n"/>
      <c r="M853" s="4" t="n"/>
      <c r="N853" s="4">
        <f>IF(AND(K853="",M853=""),"",IF(OR(K853="sim",M853="sim"),"sim",IF(OR(K853="inconclusivo",M853="inconclusivo"),"inconclusivo","não")))</f>
        <v/>
      </c>
      <c r="O853" s="5">
        <f>IF(N853="sim",COUNTIFS($B$3:$B853,$B853,$N$3:$N853,"sim"),"")</f>
        <v/>
      </c>
      <c r="P853" s="5" t="n"/>
      <c r="Q853" s="4" t="n"/>
      <c r="R853" s="5" t="n"/>
      <c r="S853" s="9" t="n"/>
      <c r="T853" s="4" t="n"/>
    </row>
    <row r="854">
      <c r="A854" s="5">
        <f>ROW()-2</f>
        <v/>
      </c>
      <c r="B854" s="4" t="inlineStr">
        <is>
          <t>Metrópole</t>
        </is>
      </c>
      <c r="C854" s="5" t="n">
        <v>852</v>
      </c>
      <c r="D854" s="5">
        <f>IFERROR(INDEX('Base de sorteio'!$A$3:$A$1723,MATCH($B854&amp;"|"&amp;$C854,'Base de sorteio'!$I$3:$I$1723,0)),"")</f>
        <v/>
      </c>
      <c r="E854" s="4">
        <f>IFERROR(INDEX('Base de sorteio'!$B$3:$B$1723,MATCH($B854&amp;"|"&amp;$C854,'Base de sorteio'!$I$3:$I$1723,0)),"")</f>
        <v/>
      </c>
      <c r="F854" s="4">
        <f>IFERROR(INDEX('Base de sorteio'!$C$3:$C$1723,MATCH($B854&amp;"|"&amp;$C854,'Base de sorteio'!$I$3:$I$1723,0)),"")</f>
        <v/>
      </c>
      <c r="G854" s="4">
        <f>IFERROR(INDEX('Base de sorteio'!$D$3:$D$1723,MATCH($B854&amp;"|"&amp;$C854,'Base de sorteio'!$I$3:$I$1723,0)),"")</f>
        <v/>
      </c>
      <c r="H854" s="4">
        <f>IFERROR(INDEX('Base de sorteio'!$E$3:$E$1723,MATCH($B854&amp;"|"&amp;$C854,'Base de sorteio'!$I$3:$I$1723,0)),"")</f>
        <v/>
      </c>
      <c r="I854" s="4">
        <f>IF(E854="","",HYPERLINK(IFERROR(INDEX('Base de sorteio'!$J$3:$J$1723,MATCH($B854&amp;"|"&amp;$C854,'Base de sorteio'!$I$3:$I$1723,0)),""),"abrir"))</f>
        <v/>
      </c>
      <c r="J854" s="4" t="n"/>
      <c r="K854" s="4" t="n"/>
      <c r="L854" s="4" t="n"/>
      <c r="M854" s="4" t="n"/>
      <c r="N854" s="4">
        <f>IF(AND(K854="",M854=""),"",IF(OR(K854="sim",M854="sim"),"sim",IF(OR(K854="inconclusivo",M854="inconclusivo"),"inconclusivo","não")))</f>
        <v/>
      </c>
      <c r="O854" s="5">
        <f>IF(N854="sim",COUNTIFS($B$3:$B854,$B854,$N$3:$N854,"sim"),"")</f>
        <v/>
      </c>
      <c r="P854" s="5" t="n"/>
      <c r="Q854" s="4" t="n"/>
      <c r="R854" s="5" t="n"/>
      <c r="S854" s="9" t="n"/>
      <c r="T854" s="4" t="n"/>
    </row>
    <row r="855">
      <c r="A855" s="5">
        <f>ROW()-2</f>
        <v/>
      </c>
      <c r="B855" s="4" t="inlineStr">
        <is>
          <t>Metrópole</t>
        </is>
      </c>
      <c r="C855" s="5" t="n">
        <v>853</v>
      </c>
      <c r="D855" s="5">
        <f>IFERROR(INDEX('Base de sorteio'!$A$3:$A$1723,MATCH($B855&amp;"|"&amp;$C855,'Base de sorteio'!$I$3:$I$1723,0)),"")</f>
        <v/>
      </c>
      <c r="E855" s="4">
        <f>IFERROR(INDEX('Base de sorteio'!$B$3:$B$1723,MATCH($B855&amp;"|"&amp;$C855,'Base de sorteio'!$I$3:$I$1723,0)),"")</f>
        <v/>
      </c>
      <c r="F855" s="4">
        <f>IFERROR(INDEX('Base de sorteio'!$C$3:$C$1723,MATCH($B855&amp;"|"&amp;$C855,'Base de sorteio'!$I$3:$I$1723,0)),"")</f>
        <v/>
      </c>
      <c r="G855" s="4">
        <f>IFERROR(INDEX('Base de sorteio'!$D$3:$D$1723,MATCH($B855&amp;"|"&amp;$C855,'Base de sorteio'!$I$3:$I$1723,0)),"")</f>
        <v/>
      </c>
      <c r="H855" s="4">
        <f>IFERROR(INDEX('Base de sorteio'!$E$3:$E$1723,MATCH($B855&amp;"|"&amp;$C855,'Base de sorteio'!$I$3:$I$1723,0)),"")</f>
        <v/>
      </c>
      <c r="I855" s="4">
        <f>IF(E855="","",HYPERLINK(IFERROR(INDEX('Base de sorteio'!$J$3:$J$1723,MATCH($B855&amp;"|"&amp;$C855,'Base de sorteio'!$I$3:$I$1723,0)),""),"abrir"))</f>
        <v/>
      </c>
      <c r="J855" s="4" t="n"/>
      <c r="K855" s="4" t="n"/>
      <c r="L855" s="4" t="n"/>
      <c r="M855" s="4" t="n"/>
      <c r="N855" s="4">
        <f>IF(AND(K855="",M855=""),"",IF(OR(K855="sim",M855="sim"),"sim",IF(OR(K855="inconclusivo",M855="inconclusivo"),"inconclusivo","não")))</f>
        <v/>
      </c>
      <c r="O855" s="5">
        <f>IF(N855="sim",COUNTIFS($B$3:$B855,$B855,$N$3:$N855,"sim"),"")</f>
        <v/>
      </c>
      <c r="P855" s="5" t="n"/>
      <c r="Q855" s="4" t="n"/>
      <c r="R855" s="5" t="n"/>
      <c r="S855" s="9" t="n"/>
      <c r="T855" s="4" t="n"/>
    </row>
    <row r="856">
      <c r="A856" s="5">
        <f>ROW()-2</f>
        <v/>
      </c>
      <c r="B856" s="4" t="inlineStr">
        <is>
          <t>Metrópole</t>
        </is>
      </c>
      <c r="C856" s="5" t="n">
        <v>854</v>
      </c>
      <c r="D856" s="5">
        <f>IFERROR(INDEX('Base de sorteio'!$A$3:$A$1723,MATCH($B856&amp;"|"&amp;$C856,'Base de sorteio'!$I$3:$I$1723,0)),"")</f>
        <v/>
      </c>
      <c r="E856" s="4">
        <f>IFERROR(INDEX('Base de sorteio'!$B$3:$B$1723,MATCH($B856&amp;"|"&amp;$C856,'Base de sorteio'!$I$3:$I$1723,0)),"")</f>
        <v/>
      </c>
      <c r="F856" s="4">
        <f>IFERROR(INDEX('Base de sorteio'!$C$3:$C$1723,MATCH($B856&amp;"|"&amp;$C856,'Base de sorteio'!$I$3:$I$1723,0)),"")</f>
        <v/>
      </c>
      <c r="G856" s="4">
        <f>IFERROR(INDEX('Base de sorteio'!$D$3:$D$1723,MATCH($B856&amp;"|"&amp;$C856,'Base de sorteio'!$I$3:$I$1723,0)),"")</f>
        <v/>
      </c>
      <c r="H856" s="4">
        <f>IFERROR(INDEX('Base de sorteio'!$E$3:$E$1723,MATCH($B856&amp;"|"&amp;$C856,'Base de sorteio'!$I$3:$I$1723,0)),"")</f>
        <v/>
      </c>
      <c r="I856" s="4">
        <f>IF(E856="","",HYPERLINK(IFERROR(INDEX('Base de sorteio'!$J$3:$J$1723,MATCH($B856&amp;"|"&amp;$C856,'Base de sorteio'!$I$3:$I$1723,0)),""),"abrir"))</f>
        <v/>
      </c>
      <c r="J856" s="4" t="n"/>
      <c r="K856" s="4" t="n"/>
      <c r="L856" s="4" t="n"/>
      <c r="M856" s="4" t="n"/>
      <c r="N856" s="4">
        <f>IF(AND(K856="",M856=""),"",IF(OR(K856="sim",M856="sim"),"sim",IF(OR(K856="inconclusivo",M856="inconclusivo"),"inconclusivo","não")))</f>
        <v/>
      </c>
      <c r="O856" s="5">
        <f>IF(N856="sim",COUNTIFS($B$3:$B856,$B856,$N$3:$N856,"sim"),"")</f>
        <v/>
      </c>
      <c r="P856" s="5" t="n"/>
      <c r="Q856" s="4" t="n"/>
      <c r="R856" s="5" t="n"/>
      <c r="S856" s="9" t="n"/>
      <c r="T856" s="4" t="n"/>
    </row>
    <row r="857">
      <c r="A857" s="5">
        <f>ROW()-2</f>
        <v/>
      </c>
      <c r="B857" s="4" t="inlineStr">
        <is>
          <t>Metrópole</t>
        </is>
      </c>
      <c r="C857" s="5" t="n">
        <v>855</v>
      </c>
      <c r="D857" s="5">
        <f>IFERROR(INDEX('Base de sorteio'!$A$3:$A$1723,MATCH($B857&amp;"|"&amp;$C857,'Base de sorteio'!$I$3:$I$1723,0)),"")</f>
        <v/>
      </c>
      <c r="E857" s="4">
        <f>IFERROR(INDEX('Base de sorteio'!$B$3:$B$1723,MATCH($B857&amp;"|"&amp;$C857,'Base de sorteio'!$I$3:$I$1723,0)),"")</f>
        <v/>
      </c>
      <c r="F857" s="4">
        <f>IFERROR(INDEX('Base de sorteio'!$C$3:$C$1723,MATCH($B857&amp;"|"&amp;$C857,'Base de sorteio'!$I$3:$I$1723,0)),"")</f>
        <v/>
      </c>
      <c r="G857" s="4">
        <f>IFERROR(INDEX('Base de sorteio'!$D$3:$D$1723,MATCH($B857&amp;"|"&amp;$C857,'Base de sorteio'!$I$3:$I$1723,0)),"")</f>
        <v/>
      </c>
      <c r="H857" s="4">
        <f>IFERROR(INDEX('Base de sorteio'!$E$3:$E$1723,MATCH($B857&amp;"|"&amp;$C857,'Base de sorteio'!$I$3:$I$1723,0)),"")</f>
        <v/>
      </c>
      <c r="I857" s="4">
        <f>IF(E857="","",HYPERLINK(IFERROR(INDEX('Base de sorteio'!$J$3:$J$1723,MATCH($B857&amp;"|"&amp;$C857,'Base de sorteio'!$I$3:$I$1723,0)),""),"abrir"))</f>
        <v/>
      </c>
      <c r="J857" s="4" t="n"/>
      <c r="K857" s="4" t="n"/>
      <c r="L857" s="4" t="n"/>
      <c r="M857" s="4" t="n"/>
      <c r="N857" s="4">
        <f>IF(AND(K857="",M857=""),"",IF(OR(K857="sim",M857="sim"),"sim",IF(OR(K857="inconclusivo",M857="inconclusivo"),"inconclusivo","não")))</f>
        <v/>
      </c>
      <c r="O857" s="5">
        <f>IF(N857="sim",COUNTIFS($B$3:$B857,$B857,$N$3:$N857,"sim"),"")</f>
        <v/>
      </c>
      <c r="P857" s="5" t="n"/>
      <c r="Q857" s="4" t="n"/>
      <c r="R857" s="5" t="n"/>
      <c r="S857" s="9" t="n"/>
      <c r="T857" s="4" t="n"/>
    </row>
    <row r="858">
      <c r="A858" s="5">
        <f>ROW()-2</f>
        <v/>
      </c>
      <c r="B858" s="4" t="inlineStr">
        <is>
          <t>Metrópole</t>
        </is>
      </c>
      <c r="C858" s="5" t="n">
        <v>856</v>
      </c>
      <c r="D858" s="5">
        <f>IFERROR(INDEX('Base de sorteio'!$A$3:$A$1723,MATCH($B858&amp;"|"&amp;$C858,'Base de sorteio'!$I$3:$I$1723,0)),"")</f>
        <v/>
      </c>
      <c r="E858" s="4">
        <f>IFERROR(INDEX('Base de sorteio'!$B$3:$B$1723,MATCH($B858&amp;"|"&amp;$C858,'Base de sorteio'!$I$3:$I$1723,0)),"")</f>
        <v/>
      </c>
      <c r="F858" s="4">
        <f>IFERROR(INDEX('Base de sorteio'!$C$3:$C$1723,MATCH($B858&amp;"|"&amp;$C858,'Base de sorteio'!$I$3:$I$1723,0)),"")</f>
        <v/>
      </c>
      <c r="G858" s="4">
        <f>IFERROR(INDEX('Base de sorteio'!$D$3:$D$1723,MATCH($B858&amp;"|"&amp;$C858,'Base de sorteio'!$I$3:$I$1723,0)),"")</f>
        <v/>
      </c>
      <c r="H858" s="4">
        <f>IFERROR(INDEX('Base de sorteio'!$E$3:$E$1723,MATCH($B858&amp;"|"&amp;$C858,'Base de sorteio'!$I$3:$I$1723,0)),"")</f>
        <v/>
      </c>
      <c r="I858" s="4">
        <f>IF(E858="","",HYPERLINK(IFERROR(INDEX('Base de sorteio'!$J$3:$J$1723,MATCH($B858&amp;"|"&amp;$C858,'Base de sorteio'!$I$3:$I$1723,0)),""),"abrir"))</f>
        <v/>
      </c>
      <c r="J858" s="4" t="n"/>
      <c r="K858" s="4" t="n"/>
      <c r="L858" s="4" t="n"/>
      <c r="M858" s="4" t="n"/>
      <c r="N858" s="4">
        <f>IF(AND(K858="",M858=""),"",IF(OR(K858="sim",M858="sim"),"sim",IF(OR(K858="inconclusivo",M858="inconclusivo"),"inconclusivo","não")))</f>
        <v/>
      </c>
      <c r="O858" s="5">
        <f>IF(N858="sim",COUNTIFS($B$3:$B858,$B858,$N$3:$N858,"sim"),"")</f>
        <v/>
      </c>
      <c r="P858" s="5" t="n"/>
      <c r="Q858" s="4" t="n"/>
      <c r="R858" s="5" t="n"/>
      <c r="S858" s="9" t="n"/>
      <c r="T858" s="4" t="n"/>
    </row>
    <row r="859">
      <c r="A859" s="5">
        <f>ROW()-2</f>
        <v/>
      </c>
      <c r="B859" s="4" t="inlineStr">
        <is>
          <t>Metrópole</t>
        </is>
      </c>
      <c r="C859" s="5" t="n">
        <v>857</v>
      </c>
      <c r="D859" s="5">
        <f>IFERROR(INDEX('Base de sorteio'!$A$3:$A$1723,MATCH($B859&amp;"|"&amp;$C859,'Base de sorteio'!$I$3:$I$1723,0)),"")</f>
        <v/>
      </c>
      <c r="E859" s="4">
        <f>IFERROR(INDEX('Base de sorteio'!$B$3:$B$1723,MATCH($B859&amp;"|"&amp;$C859,'Base de sorteio'!$I$3:$I$1723,0)),"")</f>
        <v/>
      </c>
      <c r="F859" s="4">
        <f>IFERROR(INDEX('Base de sorteio'!$C$3:$C$1723,MATCH($B859&amp;"|"&amp;$C859,'Base de sorteio'!$I$3:$I$1723,0)),"")</f>
        <v/>
      </c>
      <c r="G859" s="4">
        <f>IFERROR(INDEX('Base de sorteio'!$D$3:$D$1723,MATCH($B859&amp;"|"&amp;$C859,'Base de sorteio'!$I$3:$I$1723,0)),"")</f>
        <v/>
      </c>
      <c r="H859" s="4">
        <f>IFERROR(INDEX('Base de sorteio'!$E$3:$E$1723,MATCH($B859&amp;"|"&amp;$C859,'Base de sorteio'!$I$3:$I$1723,0)),"")</f>
        <v/>
      </c>
      <c r="I859" s="4">
        <f>IF(E859="","",HYPERLINK(IFERROR(INDEX('Base de sorteio'!$J$3:$J$1723,MATCH($B859&amp;"|"&amp;$C859,'Base de sorteio'!$I$3:$I$1723,0)),""),"abrir"))</f>
        <v/>
      </c>
      <c r="J859" s="4" t="n"/>
      <c r="K859" s="4" t="n"/>
      <c r="L859" s="4" t="n"/>
      <c r="M859" s="4" t="n"/>
      <c r="N859" s="4">
        <f>IF(AND(K859="",M859=""),"",IF(OR(K859="sim",M859="sim"),"sim",IF(OR(K859="inconclusivo",M859="inconclusivo"),"inconclusivo","não")))</f>
        <v/>
      </c>
      <c r="O859" s="5">
        <f>IF(N859="sim",COUNTIFS($B$3:$B859,$B859,$N$3:$N859,"sim"),"")</f>
        <v/>
      </c>
      <c r="P859" s="5" t="n"/>
      <c r="Q859" s="4" t="n"/>
      <c r="R859" s="5" t="n"/>
      <c r="S859" s="9" t="n"/>
      <c r="T859" s="4" t="n"/>
    </row>
    <row r="860">
      <c r="A860" s="5">
        <f>ROW()-2</f>
        <v/>
      </c>
      <c r="B860" s="4" t="inlineStr">
        <is>
          <t>Metrópole</t>
        </is>
      </c>
      <c r="C860" s="5" t="n">
        <v>858</v>
      </c>
      <c r="D860" s="5">
        <f>IFERROR(INDEX('Base de sorteio'!$A$3:$A$1723,MATCH($B860&amp;"|"&amp;$C860,'Base de sorteio'!$I$3:$I$1723,0)),"")</f>
        <v/>
      </c>
      <c r="E860" s="4">
        <f>IFERROR(INDEX('Base de sorteio'!$B$3:$B$1723,MATCH($B860&amp;"|"&amp;$C860,'Base de sorteio'!$I$3:$I$1723,0)),"")</f>
        <v/>
      </c>
      <c r="F860" s="4">
        <f>IFERROR(INDEX('Base de sorteio'!$C$3:$C$1723,MATCH($B860&amp;"|"&amp;$C860,'Base de sorteio'!$I$3:$I$1723,0)),"")</f>
        <v/>
      </c>
      <c r="G860" s="4">
        <f>IFERROR(INDEX('Base de sorteio'!$D$3:$D$1723,MATCH($B860&amp;"|"&amp;$C860,'Base de sorteio'!$I$3:$I$1723,0)),"")</f>
        <v/>
      </c>
      <c r="H860" s="4">
        <f>IFERROR(INDEX('Base de sorteio'!$E$3:$E$1723,MATCH($B860&amp;"|"&amp;$C860,'Base de sorteio'!$I$3:$I$1723,0)),"")</f>
        <v/>
      </c>
      <c r="I860" s="4">
        <f>IF(E860="","",HYPERLINK(IFERROR(INDEX('Base de sorteio'!$J$3:$J$1723,MATCH($B860&amp;"|"&amp;$C860,'Base de sorteio'!$I$3:$I$1723,0)),""),"abrir"))</f>
        <v/>
      </c>
      <c r="J860" s="4" t="n"/>
      <c r="K860" s="4" t="n"/>
      <c r="L860" s="4" t="n"/>
      <c r="M860" s="4" t="n"/>
      <c r="N860" s="4">
        <f>IF(AND(K860="",M860=""),"",IF(OR(K860="sim",M860="sim"),"sim",IF(OR(K860="inconclusivo",M860="inconclusivo"),"inconclusivo","não")))</f>
        <v/>
      </c>
      <c r="O860" s="5">
        <f>IF(N860="sim",COUNTIFS($B$3:$B860,$B860,$N$3:$N860,"sim"),"")</f>
        <v/>
      </c>
      <c r="P860" s="5" t="n"/>
      <c r="Q860" s="4" t="n"/>
      <c r="R860" s="5" t="n"/>
      <c r="S860" s="9" t="n"/>
      <c r="T860" s="4" t="n"/>
    </row>
    <row r="861">
      <c r="A861" s="5">
        <f>ROW()-2</f>
        <v/>
      </c>
      <c r="B861" s="4" t="inlineStr">
        <is>
          <t>Metrópole</t>
        </is>
      </c>
      <c r="C861" s="5" t="n">
        <v>859</v>
      </c>
      <c r="D861" s="5">
        <f>IFERROR(INDEX('Base de sorteio'!$A$3:$A$1723,MATCH($B861&amp;"|"&amp;$C861,'Base de sorteio'!$I$3:$I$1723,0)),"")</f>
        <v/>
      </c>
      <c r="E861" s="4">
        <f>IFERROR(INDEX('Base de sorteio'!$B$3:$B$1723,MATCH($B861&amp;"|"&amp;$C861,'Base de sorteio'!$I$3:$I$1723,0)),"")</f>
        <v/>
      </c>
      <c r="F861" s="4">
        <f>IFERROR(INDEX('Base de sorteio'!$C$3:$C$1723,MATCH($B861&amp;"|"&amp;$C861,'Base de sorteio'!$I$3:$I$1723,0)),"")</f>
        <v/>
      </c>
      <c r="G861" s="4">
        <f>IFERROR(INDEX('Base de sorteio'!$D$3:$D$1723,MATCH($B861&amp;"|"&amp;$C861,'Base de sorteio'!$I$3:$I$1723,0)),"")</f>
        <v/>
      </c>
      <c r="H861" s="4">
        <f>IFERROR(INDEX('Base de sorteio'!$E$3:$E$1723,MATCH($B861&amp;"|"&amp;$C861,'Base de sorteio'!$I$3:$I$1723,0)),"")</f>
        <v/>
      </c>
      <c r="I861" s="4">
        <f>IF(E861="","",HYPERLINK(IFERROR(INDEX('Base de sorteio'!$J$3:$J$1723,MATCH($B861&amp;"|"&amp;$C861,'Base de sorteio'!$I$3:$I$1723,0)),""),"abrir"))</f>
        <v/>
      </c>
      <c r="J861" s="4" t="n"/>
      <c r="K861" s="4" t="n"/>
      <c r="L861" s="4" t="n"/>
      <c r="M861" s="4" t="n"/>
      <c r="N861" s="4">
        <f>IF(AND(K861="",M861=""),"",IF(OR(K861="sim",M861="sim"),"sim",IF(OR(K861="inconclusivo",M861="inconclusivo"),"inconclusivo","não")))</f>
        <v/>
      </c>
      <c r="O861" s="5">
        <f>IF(N861="sim",COUNTIFS($B$3:$B861,$B861,$N$3:$N861,"sim"),"")</f>
        <v/>
      </c>
      <c r="P861" s="5" t="n"/>
      <c r="Q861" s="4" t="n"/>
      <c r="R861" s="5" t="n"/>
      <c r="S861" s="9" t="n"/>
      <c r="T861" s="4" t="n"/>
    </row>
    <row r="862">
      <c r="A862" s="5">
        <f>ROW()-2</f>
        <v/>
      </c>
      <c r="B862" s="4" t="inlineStr">
        <is>
          <t>Metrópole</t>
        </is>
      </c>
      <c r="C862" s="5" t="n">
        <v>860</v>
      </c>
      <c r="D862" s="5">
        <f>IFERROR(INDEX('Base de sorteio'!$A$3:$A$1723,MATCH($B862&amp;"|"&amp;$C862,'Base de sorteio'!$I$3:$I$1723,0)),"")</f>
        <v/>
      </c>
      <c r="E862" s="4">
        <f>IFERROR(INDEX('Base de sorteio'!$B$3:$B$1723,MATCH($B862&amp;"|"&amp;$C862,'Base de sorteio'!$I$3:$I$1723,0)),"")</f>
        <v/>
      </c>
      <c r="F862" s="4">
        <f>IFERROR(INDEX('Base de sorteio'!$C$3:$C$1723,MATCH($B862&amp;"|"&amp;$C862,'Base de sorteio'!$I$3:$I$1723,0)),"")</f>
        <v/>
      </c>
      <c r="G862" s="4">
        <f>IFERROR(INDEX('Base de sorteio'!$D$3:$D$1723,MATCH($B862&amp;"|"&amp;$C862,'Base de sorteio'!$I$3:$I$1723,0)),"")</f>
        <v/>
      </c>
      <c r="H862" s="4">
        <f>IFERROR(INDEX('Base de sorteio'!$E$3:$E$1723,MATCH($B862&amp;"|"&amp;$C862,'Base de sorteio'!$I$3:$I$1723,0)),"")</f>
        <v/>
      </c>
      <c r="I862" s="4">
        <f>IF(E862="","",HYPERLINK(IFERROR(INDEX('Base de sorteio'!$J$3:$J$1723,MATCH($B862&amp;"|"&amp;$C862,'Base de sorteio'!$I$3:$I$1723,0)),""),"abrir"))</f>
        <v/>
      </c>
      <c r="J862" s="4" t="n"/>
      <c r="K862" s="4" t="n"/>
      <c r="L862" s="4" t="n"/>
      <c r="M862" s="4" t="n"/>
      <c r="N862" s="4">
        <f>IF(AND(K862="",M862=""),"",IF(OR(K862="sim",M862="sim"),"sim",IF(OR(K862="inconclusivo",M862="inconclusivo"),"inconclusivo","não")))</f>
        <v/>
      </c>
      <c r="O862" s="5">
        <f>IF(N862="sim",COUNTIFS($B$3:$B862,$B862,$N$3:$N862,"sim"),"")</f>
        <v/>
      </c>
      <c r="P862" s="5" t="n"/>
      <c r="Q862" s="4" t="n"/>
      <c r="R862" s="5" t="n"/>
      <c r="S862" s="9" t="n"/>
      <c r="T862" s="4" t="n"/>
    </row>
    <row r="863">
      <c r="A863" s="5">
        <f>ROW()-2</f>
        <v/>
      </c>
      <c r="B863" s="4" t="inlineStr">
        <is>
          <t>Metrópole</t>
        </is>
      </c>
      <c r="C863" s="5" t="n">
        <v>861</v>
      </c>
      <c r="D863" s="5">
        <f>IFERROR(INDEX('Base de sorteio'!$A$3:$A$1723,MATCH($B863&amp;"|"&amp;$C863,'Base de sorteio'!$I$3:$I$1723,0)),"")</f>
        <v/>
      </c>
      <c r="E863" s="4">
        <f>IFERROR(INDEX('Base de sorteio'!$B$3:$B$1723,MATCH($B863&amp;"|"&amp;$C863,'Base de sorteio'!$I$3:$I$1723,0)),"")</f>
        <v/>
      </c>
      <c r="F863" s="4">
        <f>IFERROR(INDEX('Base de sorteio'!$C$3:$C$1723,MATCH($B863&amp;"|"&amp;$C863,'Base de sorteio'!$I$3:$I$1723,0)),"")</f>
        <v/>
      </c>
      <c r="G863" s="4">
        <f>IFERROR(INDEX('Base de sorteio'!$D$3:$D$1723,MATCH($B863&amp;"|"&amp;$C863,'Base de sorteio'!$I$3:$I$1723,0)),"")</f>
        <v/>
      </c>
      <c r="H863" s="4">
        <f>IFERROR(INDEX('Base de sorteio'!$E$3:$E$1723,MATCH($B863&amp;"|"&amp;$C863,'Base de sorteio'!$I$3:$I$1723,0)),"")</f>
        <v/>
      </c>
      <c r="I863" s="4">
        <f>IF(E863="","",HYPERLINK(IFERROR(INDEX('Base de sorteio'!$J$3:$J$1723,MATCH($B863&amp;"|"&amp;$C863,'Base de sorteio'!$I$3:$I$1723,0)),""),"abrir"))</f>
        <v/>
      </c>
      <c r="J863" s="4" t="n"/>
      <c r="K863" s="4" t="n"/>
      <c r="L863" s="4" t="n"/>
      <c r="M863" s="4" t="n"/>
      <c r="N863" s="4">
        <f>IF(AND(K863="",M863=""),"",IF(OR(K863="sim",M863="sim"),"sim",IF(OR(K863="inconclusivo",M863="inconclusivo"),"inconclusivo","não")))</f>
        <v/>
      </c>
      <c r="O863" s="5">
        <f>IF(N863="sim",COUNTIFS($B$3:$B863,$B863,$N$3:$N863,"sim"),"")</f>
        <v/>
      </c>
      <c r="P863" s="5" t="n"/>
      <c r="Q863" s="4" t="n"/>
      <c r="R863" s="5" t="n"/>
      <c r="S863" s="9" t="n"/>
      <c r="T863" s="4" t="n"/>
    </row>
    <row r="864">
      <c r="A864" s="5">
        <f>ROW()-2</f>
        <v/>
      </c>
      <c r="B864" s="4" t="inlineStr">
        <is>
          <t>Metrópole</t>
        </is>
      </c>
      <c r="C864" s="5" t="n">
        <v>862</v>
      </c>
      <c r="D864" s="5">
        <f>IFERROR(INDEX('Base de sorteio'!$A$3:$A$1723,MATCH($B864&amp;"|"&amp;$C864,'Base de sorteio'!$I$3:$I$1723,0)),"")</f>
        <v/>
      </c>
      <c r="E864" s="4">
        <f>IFERROR(INDEX('Base de sorteio'!$B$3:$B$1723,MATCH($B864&amp;"|"&amp;$C864,'Base de sorteio'!$I$3:$I$1723,0)),"")</f>
        <v/>
      </c>
      <c r="F864" s="4">
        <f>IFERROR(INDEX('Base de sorteio'!$C$3:$C$1723,MATCH($B864&amp;"|"&amp;$C864,'Base de sorteio'!$I$3:$I$1723,0)),"")</f>
        <v/>
      </c>
      <c r="G864" s="4">
        <f>IFERROR(INDEX('Base de sorteio'!$D$3:$D$1723,MATCH($B864&amp;"|"&amp;$C864,'Base de sorteio'!$I$3:$I$1723,0)),"")</f>
        <v/>
      </c>
      <c r="H864" s="4">
        <f>IFERROR(INDEX('Base de sorteio'!$E$3:$E$1723,MATCH($B864&amp;"|"&amp;$C864,'Base de sorteio'!$I$3:$I$1723,0)),"")</f>
        <v/>
      </c>
      <c r="I864" s="4">
        <f>IF(E864="","",HYPERLINK(IFERROR(INDEX('Base de sorteio'!$J$3:$J$1723,MATCH($B864&amp;"|"&amp;$C864,'Base de sorteio'!$I$3:$I$1723,0)),""),"abrir"))</f>
        <v/>
      </c>
      <c r="J864" s="4" t="n"/>
      <c r="K864" s="4" t="n"/>
      <c r="L864" s="4" t="n"/>
      <c r="M864" s="4" t="n"/>
      <c r="N864" s="4">
        <f>IF(AND(K864="",M864=""),"",IF(OR(K864="sim",M864="sim"),"sim",IF(OR(K864="inconclusivo",M864="inconclusivo"),"inconclusivo","não")))</f>
        <v/>
      </c>
      <c r="O864" s="5">
        <f>IF(N864="sim",COUNTIFS($B$3:$B864,$B864,$N$3:$N864,"sim"),"")</f>
        <v/>
      </c>
      <c r="P864" s="5" t="n"/>
      <c r="Q864" s="4" t="n"/>
      <c r="R864" s="5" t="n"/>
      <c r="S864" s="9" t="n"/>
      <c r="T864" s="4" t="n"/>
    </row>
    <row r="865">
      <c r="A865" s="5">
        <f>ROW()-2</f>
        <v/>
      </c>
      <c r="B865" s="4" t="inlineStr">
        <is>
          <t>Metrópole</t>
        </is>
      </c>
      <c r="C865" s="5" t="n">
        <v>863</v>
      </c>
      <c r="D865" s="5">
        <f>IFERROR(INDEX('Base de sorteio'!$A$3:$A$1723,MATCH($B865&amp;"|"&amp;$C865,'Base de sorteio'!$I$3:$I$1723,0)),"")</f>
        <v/>
      </c>
      <c r="E865" s="4">
        <f>IFERROR(INDEX('Base de sorteio'!$B$3:$B$1723,MATCH($B865&amp;"|"&amp;$C865,'Base de sorteio'!$I$3:$I$1723,0)),"")</f>
        <v/>
      </c>
      <c r="F865" s="4">
        <f>IFERROR(INDEX('Base de sorteio'!$C$3:$C$1723,MATCH($B865&amp;"|"&amp;$C865,'Base de sorteio'!$I$3:$I$1723,0)),"")</f>
        <v/>
      </c>
      <c r="G865" s="4">
        <f>IFERROR(INDEX('Base de sorteio'!$D$3:$D$1723,MATCH($B865&amp;"|"&amp;$C865,'Base de sorteio'!$I$3:$I$1723,0)),"")</f>
        <v/>
      </c>
      <c r="H865" s="4">
        <f>IFERROR(INDEX('Base de sorteio'!$E$3:$E$1723,MATCH($B865&amp;"|"&amp;$C865,'Base de sorteio'!$I$3:$I$1723,0)),"")</f>
        <v/>
      </c>
      <c r="I865" s="4">
        <f>IF(E865="","",HYPERLINK(IFERROR(INDEX('Base de sorteio'!$J$3:$J$1723,MATCH($B865&amp;"|"&amp;$C865,'Base de sorteio'!$I$3:$I$1723,0)),""),"abrir"))</f>
        <v/>
      </c>
      <c r="J865" s="4" t="n"/>
      <c r="K865" s="4" t="n"/>
      <c r="L865" s="4" t="n"/>
      <c r="M865" s="4" t="n"/>
      <c r="N865" s="4">
        <f>IF(AND(K865="",M865=""),"",IF(OR(K865="sim",M865="sim"),"sim",IF(OR(K865="inconclusivo",M865="inconclusivo"),"inconclusivo","não")))</f>
        <v/>
      </c>
      <c r="O865" s="5">
        <f>IF(N865="sim",COUNTIFS($B$3:$B865,$B865,$N$3:$N865,"sim"),"")</f>
        <v/>
      </c>
      <c r="P865" s="5" t="n"/>
      <c r="Q865" s="4" t="n"/>
      <c r="R865" s="5" t="n"/>
      <c r="S865" s="9" t="n"/>
      <c r="T865" s="4" t="n"/>
    </row>
    <row r="866">
      <c r="A866" s="5">
        <f>ROW()-2</f>
        <v/>
      </c>
      <c r="B866" s="4" t="inlineStr">
        <is>
          <t>Metrópole</t>
        </is>
      </c>
      <c r="C866" s="5" t="n">
        <v>864</v>
      </c>
      <c r="D866" s="5">
        <f>IFERROR(INDEX('Base de sorteio'!$A$3:$A$1723,MATCH($B866&amp;"|"&amp;$C866,'Base de sorteio'!$I$3:$I$1723,0)),"")</f>
        <v/>
      </c>
      <c r="E866" s="4">
        <f>IFERROR(INDEX('Base de sorteio'!$B$3:$B$1723,MATCH($B866&amp;"|"&amp;$C866,'Base de sorteio'!$I$3:$I$1723,0)),"")</f>
        <v/>
      </c>
      <c r="F866" s="4">
        <f>IFERROR(INDEX('Base de sorteio'!$C$3:$C$1723,MATCH($B866&amp;"|"&amp;$C866,'Base de sorteio'!$I$3:$I$1723,0)),"")</f>
        <v/>
      </c>
      <c r="G866" s="4">
        <f>IFERROR(INDEX('Base de sorteio'!$D$3:$D$1723,MATCH($B866&amp;"|"&amp;$C866,'Base de sorteio'!$I$3:$I$1723,0)),"")</f>
        <v/>
      </c>
      <c r="H866" s="4">
        <f>IFERROR(INDEX('Base de sorteio'!$E$3:$E$1723,MATCH($B866&amp;"|"&amp;$C866,'Base de sorteio'!$I$3:$I$1723,0)),"")</f>
        <v/>
      </c>
      <c r="I866" s="4">
        <f>IF(E866="","",HYPERLINK(IFERROR(INDEX('Base de sorteio'!$J$3:$J$1723,MATCH($B866&amp;"|"&amp;$C866,'Base de sorteio'!$I$3:$I$1723,0)),""),"abrir"))</f>
        <v/>
      </c>
      <c r="J866" s="4" t="n"/>
      <c r="K866" s="4" t="n"/>
      <c r="L866" s="4" t="n"/>
      <c r="M866" s="4" t="n"/>
      <c r="N866" s="4">
        <f>IF(AND(K866="",M866=""),"",IF(OR(K866="sim",M866="sim"),"sim",IF(OR(K866="inconclusivo",M866="inconclusivo"),"inconclusivo","não")))</f>
        <v/>
      </c>
      <c r="O866" s="5">
        <f>IF(N866="sim",COUNTIFS($B$3:$B866,$B866,$N$3:$N866,"sim"),"")</f>
        <v/>
      </c>
      <c r="P866" s="5" t="n"/>
      <c r="Q866" s="4" t="n"/>
      <c r="R866" s="5" t="n"/>
      <c r="S866" s="9" t="n"/>
      <c r="T866" s="4" t="n"/>
    </row>
    <row r="867">
      <c r="A867" s="5">
        <f>ROW()-2</f>
        <v/>
      </c>
      <c r="B867" s="4" t="inlineStr">
        <is>
          <t>Metrópole</t>
        </is>
      </c>
      <c r="C867" s="5" t="n">
        <v>865</v>
      </c>
      <c r="D867" s="5">
        <f>IFERROR(INDEX('Base de sorteio'!$A$3:$A$1723,MATCH($B867&amp;"|"&amp;$C867,'Base de sorteio'!$I$3:$I$1723,0)),"")</f>
        <v/>
      </c>
      <c r="E867" s="4">
        <f>IFERROR(INDEX('Base de sorteio'!$B$3:$B$1723,MATCH($B867&amp;"|"&amp;$C867,'Base de sorteio'!$I$3:$I$1723,0)),"")</f>
        <v/>
      </c>
      <c r="F867" s="4">
        <f>IFERROR(INDEX('Base de sorteio'!$C$3:$C$1723,MATCH($B867&amp;"|"&amp;$C867,'Base de sorteio'!$I$3:$I$1723,0)),"")</f>
        <v/>
      </c>
      <c r="G867" s="4">
        <f>IFERROR(INDEX('Base de sorteio'!$D$3:$D$1723,MATCH($B867&amp;"|"&amp;$C867,'Base de sorteio'!$I$3:$I$1723,0)),"")</f>
        <v/>
      </c>
      <c r="H867" s="4">
        <f>IFERROR(INDEX('Base de sorteio'!$E$3:$E$1723,MATCH($B867&amp;"|"&amp;$C867,'Base de sorteio'!$I$3:$I$1723,0)),"")</f>
        <v/>
      </c>
      <c r="I867" s="4">
        <f>IF(E867="","",HYPERLINK(IFERROR(INDEX('Base de sorteio'!$J$3:$J$1723,MATCH($B867&amp;"|"&amp;$C867,'Base de sorteio'!$I$3:$I$1723,0)),""),"abrir"))</f>
        <v/>
      </c>
      <c r="J867" s="4" t="n"/>
      <c r="K867" s="4" t="n"/>
      <c r="L867" s="4" t="n"/>
      <c r="M867" s="4" t="n"/>
      <c r="N867" s="4">
        <f>IF(AND(K867="",M867=""),"",IF(OR(K867="sim",M867="sim"),"sim",IF(OR(K867="inconclusivo",M867="inconclusivo"),"inconclusivo","não")))</f>
        <v/>
      </c>
      <c r="O867" s="5">
        <f>IF(N867="sim",COUNTIFS($B$3:$B867,$B867,$N$3:$N867,"sim"),"")</f>
        <v/>
      </c>
      <c r="P867" s="5" t="n"/>
      <c r="Q867" s="4" t="n"/>
      <c r="R867" s="5" t="n"/>
      <c r="S867" s="9" t="n"/>
      <c r="T867" s="4" t="n"/>
    </row>
    <row r="868">
      <c r="A868" s="5">
        <f>ROW()-2</f>
        <v/>
      </c>
      <c r="B868" s="4" t="inlineStr">
        <is>
          <t>Metrópole</t>
        </is>
      </c>
      <c r="C868" s="5" t="n">
        <v>866</v>
      </c>
      <c r="D868" s="5">
        <f>IFERROR(INDEX('Base de sorteio'!$A$3:$A$1723,MATCH($B868&amp;"|"&amp;$C868,'Base de sorteio'!$I$3:$I$1723,0)),"")</f>
        <v/>
      </c>
      <c r="E868" s="4">
        <f>IFERROR(INDEX('Base de sorteio'!$B$3:$B$1723,MATCH($B868&amp;"|"&amp;$C868,'Base de sorteio'!$I$3:$I$1723,0)),"")</f>
        <v/>
      </c>
      <c r="F868" s="4">
        <f>IFERROR(INDEX('Base de sorteio'!$C$3:$C$1723,MATCH($B868&amp;"|"&amp;$C868,'Base de sorteio'!$I$3:$I$1723,0)),"")</f>
        <v/>
      </c>
      <c r="G868" s="4">
        <f>IFERROR(INDEX('Base de sorteio'!$D$3:$D$1723,MATCH($B868&amp;"|"&amp;$C868,'Base de sorteio'!$I$3:$I$1723,0)),"")</f>
        <v/>
      </c>
      <c r="H868" s="4">
        <f>IFERROR(INDEX('Base de sorteio'!$E$3:$E$1723,MATCH($B868&amp;"|"&amp;$C868,'Base de sorteio'!$I$3:$I$1723,0)),"")</f>
        <v/>
      </c>
      <c r="I868" s="4">
        <f>IF(E868="","",HYPERLINK(IFERROR(INDEX('Base de sorteio'!$J$3:$J$1723,MATCH($B868&amp;"|"&amp;$C868,'Base de sorteio'!$I$3:$I$1723,0)),""),"abrir"))</f>
        <v/>
      </c>
      <c r="J868" s="4" t="n"/>
      <c r="K868" s="4" t="n"/>
      <c r="L868" s="4" t="n"/>
      <c r="M868" s="4" t="n"/>
      <c r="N868" s="4">
        <f>IF(AND(K868="",M868=""),"",IF(OR(K868="sim",M868="sim"),"sim",IF(OR(K868="inconclusivo",M868="inconclusivo"),"inconclusivo","não")))</f>
        <v/>
      </c>
      <c r="O868" s="5">
        <f>IF(N868="sim",COUNTIFS($B$3:$B868,$B868,$N$3:$N868,"sim"),"")</f>
        <v/>
      </c>
      <c r="P868" s="5" t="n"/>
      <c r="Q868" s="4" t="n"/>
      <c r="R868" s="5" t="n"/>
      <c r="S868" s="9" t="n"/>
      <c r="T868" s="4" t="n"/>
    </row>
    <row r="869">
      <c r="A869" s="5">
        <f>ROW()-2</f>
        <v/>
      </c>
      <c r="B869" s="4" t="inlineStr">
        <is>
          <t>Metrópole</t>
        </is>
      </c>
      <c r="C869" s="5" t="n">
        <v>867</v>
      </c>
      <c r="D869" s="5">
        <f>IFERROR(INDEX('Base de sorteio'!$A$3:$A$1723,MATCH($B869&amp;"|"&amp;$C869,'Base de sorteio'!$I$3:$I$1723,0)),"")</f>
        <v/>
      </c>
      <c r="E869" s="4">
        <f>IFERROR(INDEX('Base de sorteio'!$B$3:$B$1723,MATCH($B869&amp;"|"&amp;$C869,'Base de sorteio'!$I$3:$I$1723,0)),"")</f>
        <v/>
      </c>
      <c r="F869" s="4">
        <f>IFERROR(INDEX('Base de sorteio'!$C$3:$C$1723,MATCH($B869&amp;"|"&amp;$C869,'Base de sorteio'!$I$3:$I$1723,0)),"")</f>
        <v/>
      </c>
      <c r="G869" s="4">
        <f>IFERROR(INDEX('Base de sorteio'!$D$3:$D$1723,MATCH($B869&amp;"|"&amp;$C869,'Base de sorteio'!$I$3:$I$1723,0)),"")</f>
        <v/>
      </c>
      <c r="H869" s="4">
        <f>IFERROR(INDEX('Base de sorteio'!$E$3:$E$1723,MATCH($B869&amp;"|"&amp;$C869,'Base de sorteio'!$I$3:$I$1723,0)),"")</f>
        <v/>
      </c>
      <c r="I869" s="4">
        <f>IF(E869="","",HYPERLINK(IFERROR(INDEX('Base de sorteio'!$J$3:$J$1723,MATCH($B869&amp;"|"&amp;$C869,'Base de sorteio'!$I$3:$I$1723,0)),""),"abrir"))</f>
        <v/>
      </c>
      <c r="J869" s="4" t="n"/>
      <c r="K869" s="4" t="n"/>
      <c r="L869" s="4" t="n"/>
      <c r="M869" s="4" t="n"/>
      <c r="N869" s="4">
        <f>IF(AND(K869="",M869=""),"",IF(OR(K869="sim",M869="sim"),"sim",IF(OR(K869="inconclusivo",M869="inconclusivo"),"inconclusivo","não")))</f>
        <v/>
      </c>
      <c r="O869" s="5">
        <f>IF(N869="sim",COUNTIFS($B$3:$B869,$B869,$N$3:$N869,"sim"),"")</f>
        <v/>
      </c>
      <c r="P869" s="5" t="n"/>
      <c r="Q869" s="4" t="n"/>
      <c r="R869" s="5" t="n"/>
      <c r="S869" s="9" t="n"/>
      <c r="T869" s="4" t="n"/>
    </row>
    <row r="870">
      <c r="A870" s="5">
        <f>ROW()-2</f>
        <v/>
      </c>
      <c r="B870" s="4" t="inlineStr">
        <is>
          <t>Metrópole</t>
        </is>
      </c>
      <c r="C870" s="5" t="n">
        <v>868</v>
      </c>
      <c r="D870" s="5">
        <f>IFERROR(INDEX('Base de sorteio'!$A$3:$A$1723,MATCH($B870&amp;"|"&amp;$C870,'Base de sorteio'!$I$3:$I$1723,0)),"")</f>
        <v/>
      </c>
      <c r="E870" s="4">
        <f>IFERROR(INDEX('Base de sorteio'!$B$3:$B$1723,MATCH($B870&amp;"|"&amp;$C870,'Base de sorteio'!$I$3:$I$1723,0)),"")</f>
        <v/>
      </c>
      <c r="F870" s="4">
        <f>IFERROR(INDEX('Base de sorteio'!$C$3:$C$1723,MATCH($B870&amp;"|"&amp;$C870,'Base de sorteio'!$I$3:$I$1723,0)),"")</f>
        <v/>
      </c>
      <c r="G870" s="4">
        <f>IFERROR(INDEX('Base de sorteio'!$D$3:$D$1723,MATCH($B870&amp;"|"&amp;$C870,'Base de sorteio'!$I$3:$I$1723,0)),"")</f>
        <v/>
      </c>
      <c r="H870" s="4">
        <f>IFERROR(INDEX('Base de sorteio'!$E$3:$E$1723,MATCH($B870&amp;"|"&amp;$C870,'Base de sorteio'!$I$3:$I$1723,0)),"")</f>
        <v/>
      </c>
      <c r="I870" s="4">
        <f>IF(E870="","",HYPERLINK(IFERROR(INDEX('Base de sorteio'!$J$3:$J$1723,MATCH($B870&amp;"|"&amp;$C870,'Base de sorteio'!$I$3:$I$1723,0)),""),"abrir"))</f>
        <v/>
      </c>
      <c r="J870" s="4" t="n"/>
      <c r="K870" s="4" t="n"/>
      <c r="L870" s="4" t="n"/>
      <c r="M870" s="4" t="n"/>
      <c r="N870" s="4">
        <f>IF(AND(K870="",M870=""),"",IF(OR(K870="sim",M870="sim"),"sim",IF(OR(K870="inconclusivo",M870="inconclusivo"),"inconclusivo","não")))</f>
        <v/>
      </c>
      <c r="O870" s="5">
        <f>IF(N870="sim",COUNTIFS($B$3:$B870,$B870,$N$3:$N870,"sim"),"")</f>
        <v/>
      </c>
      <c r="P870" s="5" t="n"/>
      <c r="Q870" s="4" t="n"/>
      <c r="R870" s="5" t="n"/>
      <c r="S870" s="9" t="n"/>
      <c r="T870" s="4" t="n"/>
    </row>
    <row r="871">
      <c r="A871" s="5">
        <f>ROW()-2</f>
        <v/>
      </c>
      <c r="B871" s="4" t="inlineStr">
        <is>
          <t>Metrópole</t>
        </is>
      </c>
      <c r="C871" s="5" t="n">
        <v>869</v>
      </c>
      <c r="D871" s="5">
        <f>IFERROR(INDEX('Base de sorteio'!$A$3:$A$1723,MATCH($B871&amp;"|"&amp;$C871,'Base de sorteio'!$I$3:$I$1723,0)),"")</f>
        <v/>
      </c>
      <c r="E871" s="4">
        <f>IFERROR(INDEX('Base de sorteio'!$B$3:$B$1723,MATCH($B871&amp;"|"&amp;$C871,'Base de sorteio'!$I$3:$I$1723,0)),"")</f>
        <v/>
      </c>
      <c r="F871" s="4">
        <f>IFERROR(INDEX('Base de sorteio'!$C$3:$C$1723,MATCH($B871&amp;"|"&amp;$C871,'Base de sorteio'!$I$3:$I$1723,0)),"")</f>
        <v/>
      </c>
      <c r="G871" s="4">
        <f>IFERROR(INDEX('Base de sorteio'!$D$3:$D$1723,MATCH($B871&amp;"|"&amp;$C871,'Base de sorteio'!$I$3:$I$1723,0)),"")</f>
        <v/>
      </c>
      <c r="H871" s="4">
        <f>IFERROR(INDEX('Base de sorteio'!$E$3:$E$1723,MATCH($B871&amp;"|"&amp;$C871,'Base de sorteio'!$I$3:$I$1723,0)),"")</f>
        <v/>
      </c>
      <c r="I871" s="4">
        <f>IF(E871="","",HYPERLINK(IFERROR(INDEX('Base de sorteio'!$J$3:$J$1723,MATCH($B871&amp;"|"&amp;$C871,'Base de sorteio'!$I$3:$I$1723,0)),""),"abrir"))</f>
        <v/>
      </c>
      <c r="J871" s="4" t="n"/>
      <c r="K871" s="4" t="n"/>
      <c r="L871" s="4" t="n"/>
      <c r="M871" s="4" t="n"/>
      <c r="N871" s="4">
        <f>IF(AND(K871="",M871=""),"",IF(OR(K871="sim",M871="sim"),"sim",IF(OR(K871="inconclusivo",M871="inconclusivo"),"inconclusivo","não")))</f>
        <v/>
      </c>
      <c r="O871" s="5">
        <f>IF(N871="sim",COUNTIFS($B$3:$B871,$B871,$N$3:$N871,"sim"),"")</f>
        <v/>
      </c>
      <c r="P871" s="5" t="n"/>
      <c r="Q871" s="4" t="n"/>
      <c r="R871" s="5" t="n"/>
      <c r="S871" s="9" t="n"/>
      <c r="T871" s="4" t="n"/>
    </row>
    <row r="872">
      <c r="A872" s="5">
        <f>ROW()-2</f>
        <v/>
      </c>
      <c r="B872" s="4" t="inlineStr">
        <is>
          <t>Metrópole</t>
        </is>
      </c>
      <c r="C872" s="5" t="n">
        <v>870</v>
      </c>
      <c r="D872" s="5">
        <f>IFERROR(INDEX('Base de sorteio'!$A$3:$A$1723,MATCH($B872&amp;"|"&amp;$C872,'Base de sorteio'!$I$3:$I$1723,0)),"")</f>
        <v/>
      </c>
      <c r="E872" s="4">
        <f>IFERROR(INDEX('Base de sorteio'!$B$3:$B$1723,MATCH($B872&amp;"|"&amp;$C872,'Base de sorteio'!$I$3:$I$1723,0)),"")</f>
        <v/>
      </c>
      <c r="F872" s="4">
        <f>IFERROR(INDEX('Base de sorteio'!$C$3:$C$1723,MATCH($B872&amp;"|"&amp;$C872,'Base de sorteio'!$I$3:$I$1723,0)),"")</f>
        <v/>
      </c>
      <c r="G872" s="4">
        <f>IFERROR(INDEX('Base de sorteio'!$D$3:$D$1723,MATCH($B872&amp;"|"&amp;$C872,'Base de sorteio'!$I$3:$I$1723,0)),"")</f>
        <v/>
      </c>
      <c r="H872" s="4">
        <f>IFERROR(INDEX('Base de sorteio'!$E$3:$E$1723,MATCH($B872&amp;"|"&amp;$C872,'Base de sorteio'!$I$3:$I$1723,0)),"")</f>
        <v/>
      </c>
      <c r="I872" s="4">
        <f>IF(E872="","",HYPERLINK(IFERROR(INDEX('Base de sorteio'!$J$3:$J$1723,MATCH($B872&amp;"|"&amp;$C872,'Base de sorteio'!$I$3:$I$1723,0)),""),"abrir"))</f>
        <v/>
      </c>
      <c r="J872" s="4" t="n"/>
      <c r="K872" s="4" t="n"/>
      <c r="L872" s="4" t="n"/>
      <c r="M872" s="4" t="n"/>
      <c r="N872" s="4">
        <f>IF(AND(K872="",M872=""),"",IF(OR(K872="sim",M872="sim"),"sim",IF(OR(K872="inconclusivo",M872="inconclusivo"),"inconclusivo","não")))</f>
        <v/>
      </c>
      <c r="O872" s="5">
        <f>IF(N872="sim",COUNTIFS($B$3:$B872,$B872,$N$3:$N872,"sim"),"")</f>
        <v/>
      </c>
      <c r="P872" s="5" t="n"/>
      <c r="Q872" s="4" t="n"/>
      <c r="R872" s="5" t="n"/>
      <c r="S872" s="9" t="n"/>
      <c r="T872" s="4" t="n"/>
    </row>
    <row r="873">
      <c r="A873" s="5">
        <f>ROW()-2</f>
        <v/>
      </c>
      <c r="B873" s="4" t="inlineStr">
        <is>
          <t>Metrópole</t>
        </is>
      </c>
      <c r="C873" s="5" t="n">
        <v>871</v>
      </c>
      <c r="D873" s="5">
        <f>IFERROR(INDEX('Base de sorteio'!$A$3:$A$1723,MATCH($B873&amp;"|"&amp;$C873,'Base de sorteio'!$I$3:$I$1723,0)),"")</f>
        <v/>
      </c>
      <c r="E873" s="4">
        <f>IFERROR(INDEX('Base de sorteio'!$B$3:$B$1723,MATCH($B873&amp;"|"&amp;$C873,'Base de sorteio'!$I$3:$I$1723,0)),"")</f>
        <v/>
      </c>
      <c r="F873" s="4">
        <f>IFERROR(INDEX('Base de sorteio'!$C$3:$C$1723,MATCH($B873&amp;"|"&amp;$C873,'Base de sorteio'!$I$3:$I$1723,0)),"")</f>
        <v/>
      </c>
      <c r="G873" s="4">
        <f>IFERROR(INDEX('Base de sorteio'!$D$3:$D$1723,MATCH($B873&amp;"|"&amp;$C873,'Base de sorteio'!$I$3:$I$1723,0)),"")</f>
        <v/>
      </c>
      <c r="H873" s="4">
        <f>IFERROR(INDEX('Base de sorteio'!$E$3:$E$1723,MATCH($B873&amp;"|"&amp;$C873,'Base de sorteio'!$I$3:$I$1723,0)),"")</f>
        <v/>
      </c>
      <c r="I873" s="4">
        <f>IF(E873="","",HYPERLINK(IFERROR(INDEX('Base de sorteio'!$J$3:$J$1723,MATCH($B873&amp;"|"&amp;$C873,'Base de sorteio'!$I$3:$I$1723,0)),""),"abrir"))</f>
        <v/>
      </c>
      <c r="J873" s="4" t="n"/>
      <c r="K873" s="4" t="n"/>
      <c r="L873" s="4" t="n"/>
      <c r="M873" s="4" t="n"/>
      <c r="N873" s="4">
        <f>IF(AND(K873="",M873=""),"",IF(OR(K873="sim",M873="sim"),"sim",IF(OR(K873="inconclusivo",M873="inconclusivo"),"inconclusivo","não")))</f>
        <v/>
      </c>
      <c r="O873" s="5">
        <f>IF(N873="sim",COUNTIFS($B$3:$B873,$B873,$N$3:$N873,"sim"),"")</f>
        <v/>
      </c>
      <c r="P873" s="5" t="n"/>
      <c r="Q873" s="4" t="n"/>
      <c r="R873" s="5" t="n"/>
      <c r="S873" s="9" t="n"/>
      <c r="T873" s="4" t="n"/>
    </row>
    <row r="874">
      <c r="A874" s="5">
        <f>ROW()-2</f>
        <v/>
      </c>
      <c r="B874" s="4" t="inlineStr">
        <is>
          <t>Metrópole</t>
        </is>
      </c>
      <c r="C874" s="5" t="n">
        <v>872</v>
      </c>
      <c r="D874" s="5">
        <f>IFERROR(INDEX('Base de sorteio'!$A$3:$A$1723,MATCH($B874&amp;"|"&amp;$C874,'Base de sorteio'!$I$3:$I$1723,0)),"")</f>
        <v/>
      </c>
      <c r="E874" s="4">
        <f>IFERROR(INDEX('Base de sorteio'!$B$3:$B$1723,MATCH($B874&amp;"|"&amp;$C874,'Base de sorteio'!$I$3:$I$1723,0)),"")</f>
        <v/>
      </c>
      <c r="F874" s="4">
        <f>IFERROR(INDEX('Base de sorteio'!$C$3:$C$1723,MATCH($B874&amp;"|"&amp;$C874,'Base de sorteio'!$I$3:$I$1723,0)),"")</f>
        <v/>
      </c>
      <c r="G874" s="4">
        <f>IFERROR(INDEX('Base de sorteio'!$D$3:$D$1723,MATCH($B874&amp;"|"&amp;$C874,'Base de sorteio'!$I$3:$I$1723,0)),"")</f>
        <v/>
      </c>
      <c r="H874" s="4">
        <f>IFERROR(INDEX('Base de sorteio'!$E$3:$E$1723,MATCH($B874&amp;"|"&amp;$C874,'Base de sorteio'!$I$3:$I$1723,0)),"")</f>
        <v/>
      </c>
      <c r="I874" s="4">
        <f>IF(E874="","",HYPERLINK(IFERROR(INDEX('Base de sorteio'!$J$3:$J$1723,MATCH($B874&amp;"|"&amp;$C874,'Base de sorteio'!$I$3:$I$1723,0)),""),"abrir"))</f>
        <v/>
      </c>
      <c r="J874" s="4" t="n"/>
      <c r="K874" s="4" t="n"/>
      <c r="L874" s="4" t="n"/>
      <c r="M874" s="4" t="n"/>
      <c r="N874" s="4">
        <f>IF(AND(K874="",M874=""),"",IF(OR(K874="sim",M874="sim"),"sim",IF(OR(K874="inconclusivo",M874="inconclusivo"),"inconclusivo","não")))</f>
        <v/>
      </c>
      <c r="O874" s="5">
        <f>IF(N874="sim",COUNTIFS($B$3:$B874,$B874,$N$3:$N874,"sim"),"")</f>
        <v/>
      </c>
      <c r="P874" s="5" t="n"/>
      <c r="Q874" s="4" t="n"/>
      <c r="R874" s="5" t="n"/>
      <c r="S874" s="9" t="n"/>
      <c r="T874" s="4" t="n"/>
    </row>
    <row r="875">
      <c r="A875" s="5">
        <f>ROW()-2</f>
        <v/>
      </c>
      <c r="B875" s="4" t="inlineStr">
        <is>
          <t>Metrópole</t>
        </is>
      </c>
      <c r="C875" s="5" t="n">
        <v>873</v>
      </c>
      <c r="D875" s="5">
        <f>IFERROR(INDEX('Base de sorteio'!$A$3:$A$1723,MATCH($B875&amp;"|"&amp;$C875,'Base de sorteio'!$I$3:$I$1723,0)),"")</f>
        <v/>
      </c>
      <c r="E875" s="4">
        <f>IFERROR(INDEX('Base de sorteio'!$B$3:$B$1723,MATCH($B875&amp;"|"&amp;$C875,'Base de sorteio'!$I$3:$I$1723,0)),"")</f>
        <v/>
      </c>
      <c r="F875" s="4">
        <f>IFERROR(INDEX('Base de sorteio'!$C$3:$C$1723,MATCH($B875&amp;"|"&amp;$C875,'Base de sorteio'!$I$3:$I$1723,0)),"")</f>
        <v/>
      </c>
      <c r="G875" s="4">
        <f>IFERROR(INDEX('Base de sorteio'!$D$3:$D$1723,MATCH($B875&amp;"|"&amp;$C875,'Base de sorteio'!$I$3:$I$1723,0)),"")</f>
        <v/>
      </c>
      <c r="H875" s="4">
        <f>IFERROR(INDEX('Base de sorteio'!$E$3:$E$1723,MATCH($B875&amp;"|"&amp;$C875,'Base de sorteio'!$I$3:$I$1723,0)),"")</f>
        <v/>
      </c>
      <c r="I875" s="4">
        <f>IF(E875="","",HYPERLINK(IFERROR(INDEX('Base de sorteio'!$J$3:$J$1723,MATCH($B875&amp;"|"&amp;$C875,'Base de sorteio'!$I$3:$I$1723,0)),""),"abrir"))</f>
        <v/>
      </c>
      <c r="J875" s="4" t="n"/>
      <c r="K875" s="4" t="n"/>
      <c r="L875" s="4" t="n"/>
      <c r="M875" s="4" t="n"/>
      <c r="N875" s="4">
        <f>IF(AND(K875="",M875=""),"",IF(OR(K875="sim",M875="sim"),"sim",IF(OR(K875="inconclusivo",M875="inconclusivo"),"inconclusivo","não")))</f>
        <v/>
      </c>
      <c r="O875" s="5">
        <f>IF(N875="sim",COUNTIFS($B$3:$B875,$B875,$N$3:$N875,"sim"),"")</f>
        <v/>
      </c>
      <c r="P875" s="5" t="n"/>
      <c r="Q875" s="4" t="n"/>
      <c r="R875" s="5" t="n"/>
      <c r="S875" s="9" t="n"/>
      <c r="T875" s="4" t="n"/>
    </row>
    <row r="876">
      <c r="A876" s="5">
        <f>ROW()-2</f>
        <v/>
      </c>
      <c r="B876" s="4" t="inlineStr">
        <is>
          <t>Metrópole</t>
        </is>
      </c>
      <c r="C876" s="5" t="n">
        <v>874</v>
      </c>
      <c r="D876" s="5">
        <f>IFERROR(INDEX('Base de sorteio'!$A$3:$A$1723,MATCH($B876&amp;"|"&amp;$C876,'Base de sorteio'!$I$3:$I$1723,0)),"")</f>
        <v/>
      </c>
      <c r="E876" s="4">
        <f>IFERROR(INDEX('Base de sorteio'!$B$3:$B$1723,MATCH($B876&amp;"|"&amp;$C876,'Base de sorteio'!$I$3:$I$1723,0)),"")</f>
        <v/>
      </c>
      <c r="F876" s="4">
        <f>IFERROR(INDEX('Base de sorteio'!$C$3:$C$1723,MATCH($B876&amp;"|"&amp;$C876,'Base de sorteio'!$I$3:$I$1723,0)),"")</f>
        <v/>
      </c>
      <c r="G876" s="4">
        <f>IFERROR(INDEX('Base de sorteio'!$D$3:$D$1723,MATCH($B876&amp;"|"&amp;$C876,'Base de sorteio'!$I$3:$I$1723,0)),"")</f>
        <v/>
      </c>
      <c r="H876" s="4">
        <f>IFERROR(INDEX('Base de sorteio'!$E$3:$E$1723,MATCH($B876&amp;"|"&amp;$C876,'Base de sorteio'!$I$3:$I$1723,0)),"")</f>
        <v/>
      </c>
      <c r="I876" s="4">
        <f>IF(E876="","",HYPERLINK(IFERROR(INDEX('Base de sorteio'!$J$3:$J$1723,MATCH($B876&amp;"|"&amp;$C876,'Base de sorteio'!$I$3:$I$1723,0)),""),"abrir"))</f>
        <v/>
      </c>
      <c r="J876" s="4" t="n"/>
      <c r="K876" s="4" t="n"/>
      <c r="L876" s="4" t="n"/>
      <c r="M876" s="4" t="n"/>
      <c r="N876" s="4">
        <f>IF(AND(K876="",M876=""),"",IF(OR(K876="sim",M876="sim"),"sim",IF(OR(K876="inconclusivo",M876="inconclusivo"),"inconclusivo","não")))</f>
        <v/>
      </c>
      <c r="O876" s="5">
        <f>IF(N876="sim",COUNTIFS($B$3:$B876,$B876,$N$3:$N876,"sim"),"")</f>
        <v/>
      </c>
      <c r="P876" s="5" t="n"/>
      <c r="Q876" s="4" t="n"/>
      <c r="R876" s="5" t="n"/>
      <c r="S876" s="9" t="n"/>
      <c r="T876" s="4" t="n"/>
    </row>
    <row r="877">
      <c r="A877" s="5">
        <f>ROW()-2</f>
        <v/>
      </c>
      <c r="B877" s="4" t="inlineStr">
        <is>
          <t>Metrópole</t>
        </is>
      </c>
      <c r="C877" s="5" t="n">
        <v>875</v>
      </c>
      <c r="D877" s="5">
        <f>IFERROR(INDEX('Base de sorteio'!$A$3:$A$1723,MATCH($B877&amp;"|"&amp;$C877,'Base de sorteio'!$I$3:$I$1723,0)),"")</f>
        <v/>
      </c>
      <c r="E877" s="4">
        <f>IFERROR(INDEX('Base de sorteio'!$B$3:$B$1723,MATCH($B877&amp;"|"&amp;$C877,'Base de sorteio'!$I$3:$I$1723,0)),"")</f>
        <v/>
      </c>
      <c r="F877" s="4">
        <f>IFERROR(INDEX('Base de sorteio'!$C$3:$C$1723,MATCH($B877&amp;"|"&amp;$C877,'Base de sorteio'!$I$3:$I$1723,0)),"")</f>
        <v/>
      </c>
      <c r="G877" s="4">
        <f>IFERROR(INDEX('Base de sorteio'!$D$3:$D$1723,MATCH($B877&amp;"|"&amp;$C877,'Base de sorteio'!$I$3:$I$1723,0)),"")</f>
        <v/>
      </c>
      <c r="H877" s="4">
        <f>IFERROR(INDEX('Base de sorteio'!$E$3:$E$1723,MATCH($B877&amp;"|"&amp;$C877,'Base de sorteio'!$I$3:$I$1723,0)),"")</f>
        <v/>
      </c>
      <c r="I877" s="4">
        <f>IF(E877="","",HYPERLINK(IFERROR(INDEX('Base de sorteio'!$J$3:$J$1723,MATCH($B877&amp;"|"&amp;$C877,'Base de sorteio'!$I$3:$I$1723,0)),""),"abrir"))</f>
        <v/>
      </c>
      <c r="J877" s="4" t="n"/>
      <c r="K877" s="4" t="n"/>
      <c r="L877" s="4" t="n"/>
      <c r="M877" s="4" t="n"/>
      <c r="N877" s="4">
        <f>IF(AND(K877="",M877=""),"",IF(OR(K877="sim",M877="sim"),"sim",IF(OR(K877="inconclusivo",M877="inconclusivo"),"inconclusivo","não")))</f>
        <v/>
      </c>
      <c r="O877" s="5">
        <f>IF(N877="sim",COUNTIFS($B$3:$B877,$B877,$N$3:$N877,"sim"),"")</f>
        <v/>
      </c>
      <c r="P877" s="5" t="n"/>
      <c r="Q877" s="4" t="n"/>
      <c r="R877" s="5" t="n"/>
      <c r="S877" s="9" t="n"/>
      <c r="T877" s="4" t="n"/>
    </row>
    <row r="878">
      <c r="A878" s="5">
        <f>ROW()-2</f>
        <v/>
      </c>
      <c r="B878" s="4" t="inlineStr">
        <is>
          <t>Metrópole</t>
        </is>
      </c>
      <c r="C878" s="5" t="n">
        <v>876</v>
      </c>
      <c r="D878" s="5">
        <f>IFERROR(INDEX('Base de sorteio'!$A$3:$A$1723,MATCH($B878&amp;"|"&amp;$C878,'Base de sorteio'!$I$3:$I$1723,0)),"")</f>
        <v/>
      </c>
      <c r="E878" s="4">
        <f>IFERROR(INDEX('Base de sorteio'!$B$3:$B$1723,MATCH($B878&amp;"|"&amp;$C878,'Base de sorteio'!$I$3:$I$1723,0)),"")</f>
        <v/>
      </c>
      <c r="F878" s="4">
        <f>IFERROR(INDEX('Base de sorteio'!$C$3:$C$1723,MATCH($B878&amp;"|"&amp;$C878,'Base de sorteio'!$I$3:$I$1723,0)),"")</f>
        <v/>
      </c>
      <c r="G878" s="4">
        <f>IFERROR(INDEX('Base de sorteio'!$D$3:$D$1723,MATCH($B878&amp;"|"&amp;$C878,'Base de sorteio'!$I$3:$I$1723,0)),"")</f>
        <v/>
      </c>
      <c r="H878" s="4">
        <f>IFERROR(INDEX('Base de sorteio'!$E$3:$E$1723,MATCH($B878&amp;"|"&amp;$C878,'Base de sorteio'!$I$3:$I$1723,0)),"")</f>
        <v/>
      </c>
      <c r="I878" s="4">
        <f>IF(E878="","",HYPERLINK(IFERROR(INDEX('Base de sorteio'!$J$3:$J$1723,MATCH($B878&amp;"|"&amp;$C878,'Base de sorteio'!$I$3:$I$1723,0)),""),"abrir"))</f>
        <v/>
      </c>
      <c r="J878" s="4" t="n"/>
      <c r="K878" s="4" t="n"/>
      <c r="L878" s="4" t="n"/>
      <c r="M878" s="4" t="n"/>
      <c r="N878" s="4">
        <f>IF(AND(K878="",M878=""),"",IF(OR(K878="sim",M878="sim"),"sim",IF(OR(K878="inconclusivo",M878="inconclusivo"),"inconclusivo","não")))</f>
        <v/>
      </c>
      <c r="O878" s="5">
        <f>IF(N878="sim",COUNTIFS($B$3:$B878,$B878,$N$3:$N878,"sim"),"")</f>
        <v/>
      </c>
      <c r="P878" s="5" t="n"/>
      <c r="Q878" s="4" t="n"/>
      <c r="R878" s="5" t="n"/>
      <c r="S878" s="9" t="n"/>
      <c r="T878" s="4" t="n"/>
    </row>
    <row r="879">
      <c r="A879" s="5">
        <f>ROW()-2</f>
        <v/>
      </c>
      <c r="B879" s="4" t="inlineStr">
        <is>
          <t>Metrópole</t>
        </is>
      </c>
      <c r="C879" s="5" t="n">
        <v>877</v>
      </c>
      <c r="D879" s="5">
        <f>IFERROR(INDEX('Base de sorteio'!$A$3:$A$1723,MATCH($B879&amp;"|"&amp;$C879,'Base de sorteio'!$I$3:$I$1723,0)),"")</f>
        <v/>
      </c>
      <c r="E879" s="4">
        <f>IFERROR(INDEX('Base de sorteio'!$B$3:$B$1723,MATCH($B879&amp;"|"&amp;$C879,'Base de sorteio'!$I$3:$I$1723,0)),"")</f>
        <v/>
      </c>
      <c r="F879" s="4">
        <f>IFERROR(INDEX('Base de sorteio'!$C$3:$C$1723,MATCH($B879&amp;"|"&amp;$C879,'Base de sorteio'!$I$3:$I$1723,0)),"")</f>
        <v/>
      </c>
      <c r="G879" s="4">
        <f>IFERROR(INDEX('Base de sorteio'!$D$3:$D$1723,MATCH($B879&amp;"|"&amp;$C879,'Base de sorteio'!$I$3:$I$1723,0)),"")</f>
        <v/>
      </c>
      <c r="H879" s="4">
        <f>IFERROR(INDEX('Base de sorteio'!$E$3:$E$1723,MATCH($B879&amp;"|"&amp;$C879,'Base de sorteio'!$I$3:$I$1723,0)),"")</f>
        <v/>
      </c>
      <c r="I879" s="4">
        <f>IF(E879="","",HYPERLINK(IFERROR(INDEX('Base de sorteio'!$J$3:$J$1723,MATCH($B879&amp;"|"&amp;$C879,'Base de sorteio'!$I$3:$I$1723,0)),""),"abrir"))</f>
        <v/>
      </c>
      <c r="J879" s="4" t="n"/>
      <c r="K879" s="4" t="n"/>
      <c r="L879" s="4" t="n"/>
      <c r="M879" s="4" t="n"/>
      <c r="N879" s="4">
        <f>IF(AND(K879="",M879=""),"",IF(OR(K879="sim",M879="sim"),"sim",IF(OR(K879="inconclusivo",M879="inconclusivo"),"inconclusivo","não")))</f>
        <v/>
      </c>
      <c r="O879" s="5">
        <f>IF(N879="sim",COUNTIFS($B$3:$B879,$B879,$N$3:$N879,"sim"),"")</f>
        <v/>
      </c>
      <c r="P879" s="5" t="n"/>
      <c r="Q879" s="4" t="n"/>
      <c r="R879" s="5" t="n"/>
      <c r="S879" s="9" t="n"/>
      <c r="T879" s="4" t="n"/>
    </row>
    <row r="880">
      <c r="A880" s="5">
        <f>ROW()-2</f>
        <v/>
      </c>
      <c r="B880" s="4" t="inlineStr">
        <is>
          <t>Metrópole</t>
        </is>
      </c>
      <c r="C880" s="5" t="n">
        <v>878</v>
      </c>
      <c r="D880" s="5">
        <f>IFERROR(INDEX('Base de sorteio'!$A$3:$A$1723,MATCH($B880&amp;"|"&amp;$C880,'Base de sorteio'!$I$3:$I$1723,0)),"")</f>
        <v/>
      </c>
      <c r="E880" s="4">
        <f>IFERROR(INDEX('Base de sorteio'!$B$3:$B$1723,MATCH($B880&amp;"|"&amp;$C880,'Base de sorteio'!$I$3:$I$1723,0)),"")</f>
        <v/>
      </c>
      <c r="F880" s="4">
        <f>IFERROR(INDEX('Base de sorteio'!$C$3:$C$1723,MATCH($B880&amp;"|"&amp;$C880,'Base de sorteio'!$I$3:$I$1723,0)),"")</f>
        <v/>
      </c>
      <c r="G880" s="4">
        <f>IFERROR(INDEX('Base de sorteio'!$D$3:$D$1723,MATCH($B880&amp;"|"&amp;$C880,'Base de sorteio'!$I$3:$I$1723,0)),"")</f>
        <v/>
      </c>
      <c r="H880" s="4">
        <f>IFERROR(INDEX('Base de sorteio'!$E$3:$E$1723,MATCH($B880&amp;"|"&amp;$C880,'Base de sorteio'!$I$3:$I$1723,0)),"")</f>
        <v/>
      </c>
      <c r="I880" s="4">
        <f>IF(E880="","",HYPERLINK(IFERROR(INDEX('Base de sorteio'!$J$3:$J$1723,MATCH($B880&amp;"|"&amp;$C880,'Base de sorteio'!$I$3:$I$1723,0)),""),"abrir"))</f>
        <v/>
      </c>
      <c r="J880" s="4" t="n"/>
      <c r="K880" s="4" t="n"/>
      <c r="L880" s="4" t="n"/>
      <c r="M880" s="4" t="n"/>
      <c r="N880" s="4">
        <f>IF(AND(K880="",M880=""),"",IF(OR(K880="sim",M880="sim"),"sim",IF(OR(K880="inconclusivo",M880="inconclusivo"),"inconclusivo","não")))</f>
        <v/>
      </c>
      <c r="O880" s="5">
        <f>IF(N880="sim",COUNTIFS($B$3:$B880,$B880,$N$3:$N880,"sim"),"")</f>
        <v/>
      </c>
      <c r="P880" s="5" t="n"/>
      <c r="Q880" s="4" t="n"/>
      <c r="R880" s="5" t="n"/>
      <c r="S880" s="9" t="n"/>
      <c r="T880" s="4" t="n"/>
    </row>
    <row r="881">
      <c r="A881" s="5">
        <f>ROW()-2</f>
        <v/>
      </c>
      <c r="B881" s="4" t="inlineStr">
        <is>
          <t>Metrópole</t>
        </is>
      </c>
      <c r="C881" s="5" t="n">
        <v>879</v>
      </c>
      <c r="D881" s="5">
        <f>IFERROR(INDEX('Base de sorteio'!$A$3:$A$1723,MATCH($B881&amp;"|"&amp;$C881,'Base de sorteio'!$I$3:$I$1723,0)),"")</f>
        <v/>
      </c>
      <c r="E881" s="4">
        <f>IFERROR(INDEX('Base de sorteio'!$B$3:$B$1723,MATCH($B881&amp;"|"&amp;$C881,'Base de sorteio'!$I$3:$I$1723,0)),"")</f>
        <v/>
      </c>
      <c r="F881" s="4">
        <f>IFERROR(INDEX('Base de sorteio'!$C$3:$C$1723,MATCH($B881&amp;"|"&amp;$C881,'Base de sorteio'!$I$3:$I$1723,0)),"")</f>
        <v/>
      </c>
      <c r="G881" s="4">
        <f>IFERROR(INDEX('Base de sorteio'!$D$3:$D$1723,MATCH($B881&amp;"|"&amp;$C881,'Base de sorteio'!$I$3:$I$1723,0)),"")</f>
        <v/>
      </c>
      <c r="H881" s="4">
        <f>IFERROR(INDEX('Base de sorteio'!$E$3:$E$1723,MATCH($B881&amp;"|"&amp;$C881,'Base de sorteio'!$I$3:$I$1723,0)),"")</f>
        <v/>
      </c>
      <c r="I881" s="4">
        <f>IF(E881="","",HYPERLINK(IFERROR(INDEX('Base de sorteio'!$J$3:$J$1723,MATCH($B881&amp;"|"&amp;$C881,'Base de sorteio'!$I$3:$I$1723,0)),""),"abrir"))</f>
        <v/>
      </c>
      <c r="J881" s="4" t="n"/>
      <c r="K881" s="4" t="n"/>
      <c r="L881" s="4" t="n"/>
      <c r="M881" s="4" t="n"/>
      <c r="N881" s="4">
        <f>IF(AND(K881="",M881=""),"",IF(OR(K881="sim",M881="sim"),"sim",IF(OR(K881="inconclusivo",M881="inconclusivo"),"inconclusivo","não")))</f>
        <v/>
      </c>
      <c r="O881" s="5">
        <f>IF(N881="sim",COUNTIFS($B$3:$B881,$B881,$N$3:$N881,"sim"),"")</f>
        <v/>
      </c>
      <c r="P881" s="5" t="n"/>
      <c r="Q881" s="4" t="n"/>
      <c r="R881" s="5" t="n"/>
      <c r="S881" s="9" t="n"/>
      <c r="T881" s="4" t="n"/>
    </row>
    <row r="882">
      <c r="A882" s="5">
        <f>ROW()-2</f>
        <v/>
      </c>
      <c r="B882" s="4" t="inlineStr">
        <is>
          <t>Metrópole</t>
        </is>
      </c>
      <c r="C882" s="5" t="n">
        <v>880</v>
      </c>
      <c r="D882" s="5">
        <f>IFERROR(INDEX('Base de sorteio'!$A$3:$A$1723,MATCH($B882&amp;"|"&amp;$C882,'Base de sorteio'!$I$3:$I$1723,0)),"")</f>
        <v/>
      </c>
      <c r="E882" s="4">
        <f>IFERROR(INDEX('Base de sorteio'!$B$3:$B$1723,MATCH($B882&amp;"|"&amp;$C882,'Base de sorteio'!$I$3:$I$1723,0)),"")</f>
        <v/>
      </c>
      <c r="F882" s="4">
        <f>IFERROR(INDEX('Base de sorteio'!$C$3:$C$1723,MATCH($B882&amp;"|"&amp;$C882,'Base de sorteio'!$I$3:$I$1723,0)),"")</f>
        <v/>
      </c>
      <c r="G882" s="4">
        <f>IFERROR(INDEX('Base de sorteio'!$D$3:$D$1723,MATCH($B882&amp;"|"&amp;$C882,'Base de sorteio'!$I$3:$I$1723,0)),"")</f>
        <v/>
      </c>
      <c r="H882" s="4">
        <f>IFERROR(INDEX('Base de sorteio'!$E$3:$E$1723,MATCH($B882&amp;"|"&amp;$C882,'Base de sorteio'!$I$3:$I$1723,0)),"")</f>
        <v/>
      </c>
      <c r="I882" s="4">
        <f>IF(E882="","",HYPERLINK(IFERROR(INDEX('Base de sorteio'!$J$3:$J$1723,MATCH($B882&amp;"|"&amp;$C882,'Base de sorteio'!$I$3:$I$1723,0)),""),"abrir"))</f>
        <v/>
      </c>
      <c r="J882" s="4" t="n"/>
      <c r="K882" s="4" t="n"/>
      <c r="L882" s="4" t="n"/>
      <c r="M882" s="4" t="n"/>
      <c r="N882" s="4">
        <f>IF(AND(K882="",M882=""),"",IF(OR(K882="sim",M882="sim"),"sim",IF(OR(K882="inconclusivo",M882="inconclusivo"),"inconclusivo","não")))</f>
        <v/>
      </c>
      <c r="O882" s="5">
        <f>IF(N882="sim",COUNTIFS($B$3:$B882,$B882,$N$3:$N882,"sim"),"")</f>
        <v/>
      </c>
      <c r="P882" s="5" t="n"/>
      <c r="Q882" s="4" t="n"/>
      <c r="R882" s="5" t="n"/>
      <c r="S882" s="9" t="n"/>
      <c r="T882" s="4" t="n"/>
    </row>
    <row r="883">
      <c r="A883" s="5">
        <f>ROW()-2</f>
        <v/>
      </c>
      <c r="B883" s="4" t="inlineStr">
        <is>
          <t>Metrópole</t>
        </is>
      </c>
      <c r="C883" s="5" t="n">
        <v>881</v>
      </c>
      <c r="D883" s="5">
        <f>IFERROR(INDEX('Base de sorteio'!$A$3:$A$1723,MATCH($B883&amp;"|"&amp;$C883,'Base de sorteio'!$I$3:$I$1723,0)),"")</f>
        <v/>
      </c>
      <c r="E883" s="4">
        <f>IFERROR(INDEX('Base de sorteio'!$B$3:$B$1723,MATCH($B883&amp;"|"&amp;$C883,'Base de sorteio'!$I$3:$I$1723,0)),"")</f>
        <v/>
      </c>
      <c r="F883" s="4">
        <f>IFERROR(INDEX('Base de sorteio'!$C$3:$C$1723,MATCH($B883&amp;"|"&amp;$C883,'Base de sorteio'!$I$3:$I$1723,0)),"")</f>
        <v/>
      </c>
      <c r="G883" s="4">
        <f>IFERROR(INDEX('Base de sorteio'!$D$3:$D$1723,MATCH($B883&amp;"|"&amp;$C883,'Base de sorteio'!$I$3:$I$1723,0)),"")</f>
        <v/>
      </c>
      <c r="H883" s="4">
        <f>IFERROR(INDEX('Base de sorteio'!$E$3:$E$1723,MATCH($B883&amp;"|"&amp;$C883,'Base de sorteio'!$I$3:$I$1723,0)),"")</f>
        <v/>
      </c>
      <c r="I883" s="4">
        <f>IF(E883="","",HYPERLINK(IFERROR(INDEX('Base de sorteio'!$J$3:$J$1723,MATCH($B883&amp;"|"&amp;$C883,'Base de sorteio'!$I$3:$I$1723,0)),""),"abrir"))</f>
        <v/>
      </c>
      <c r="J883" s="4" t="n"/>
      <c r="K883" s="4" t="n"/>
      <c r="L883" s="4" t="n"/>
      <c r="M883" s="4" t="n"/>
      <c r="N883" s="4">
        <f>IF(AND(K883="",M883=""),"",IF(OR(K883="sim",M883="sim"),"sim",IF(OR(K883="inconclusivo",M883="inconclusivo"),"inconclusivo","não")))</f>
        <v/>
      </c>
      <c r="O883" s="5">
        <f>IF(N883="sim",COUNTIFS($B$3:$B883,$B883,$N$3:$N883,"sim"),"")</f>
        <v/>
      </c>
      <c r="P883" s="5" t="n"/>
      <c r="Q883" s="4" t="n"/>
      <c r="R883" s="5" t="n"/>
      <c r="S883" s="9" t="n"/>
      <c r="T883" s="4" t="n"/>
    </row>
    <row r="884">
      <c r="A884" s="5">
        <f>ROW()-2</f>
        <v/>
      </c>
      <c r="B884" s="4" t="inlineStr">
        <is>
          <t>Metrópole</t>
        </is>
      </c>
      <c r="C884" s="5" t="n">
        <v>882</v>
      </c>
      <c r="D884" s="5">
        <f>IFERROR(INDEX('Base de sorteio'!$A$3:$A$1723,MATCH($B884&amp;"|"&amp;$C884,'Base de sorteio'!$I$3:$I$1723,0)),"")</f>
        <v/>
      </c>
      <c r="E884" s="4">
        <f>IFERROR(INDEX('Base de sorteio'!$B$3:$B$1723,MATCH($B884&amp;"|"&amp;$C884,'Base de sorteio'!$I$3:$I$1723,0)),"")</f>
        <v/>
      </c>
      <c r="F884" s="4">
        <f>IFERROR(INDEX('Base de sorteio'!$C$3:$C$1723,MATCH($B884&amp;"|"&amp;$C884,'Base de sorteio'!$I$3:$I$1723,0)),"")</f>
        <v/>
      </c>
      <c r="G884" s="4">
        <f>IFERROR(INDEX('Base de sorteio'!$D$3:$D$1723,MATCH($B884&amp;"|"&amp;$C884,'Base de sorteio'!$I$3:$I$1723,0)),"")</f>
        <v/>
      </c>
      <c r="H884" s="4">
        <f>IFERROR(INDEX('Base de sorteio'!$E$3:$E$1723,MATCH($B884&amp;"|"&amp;$C884,'Base de sorteio'!$I$3:$I$1723,0)),"")</f>
        <v/>
      </c>
      <c r="I884" s="4">
        <f>IF(E884="","",HYPERLINK(IFERROR(INDEX('Base de sorteio'!$J$3:$J$1723,MATCH($B884&amp;"|"&amp;$C884,'Base de sorteio'!$I$3:$I$1723,0)),""),"abrir"))</f>
        <v/>
      </c>
      <c r="J884" s="4" t="n"/>
      <c r="K884" s="4" t="n"/>
      <c r="L884" s="4" t="n"/>
      <c r="M884" s="4" t="n"/>
      <c r="N884" s="4">
        <f>IF(AND(K884="",M884=""),"",IF(OR(K884="sim",M884="sim"),"sim",IF(OR(K884="inconclusivo",M884="inconclusivo"),"inconclusivo","não")))</f>
        <v/>
      </c>
      <c r="O884" s="5">
        <f>IF(N884="sim",COUNTIFS($B$3:$B884,$B884,$N$3:$N884,"sim"),"")</f>
        <v/>
      </c>
      <c r="P884" s="5" t="n"/>
      <c r="Q884" s="4" t="n"/>
      <c r="R884" s="5" t="n"/>
      <c r="S884" s="9" t="n"/>
      <c r="T884" s="4" t="n"/>
    </row>
    <row r="885">
      <c r="A885" s="5">
        <f>ROW()-2</f>
        <v/>
      </c>
      <c r="B885" s="4" t="inlineStr">
        <is>
          <t>Metrópole</t>
        </is>
      </c>
      <c r="C885" s="5" t="n">
        <v>883</v>
      </c>
      <c r="D885" s="5">
        <f>IFERROR(INDEX('Base de sorteio'!$A$3:$A$1723,MATCH($B885&amp;"|"&amp;$C885,'Base de sorteio'!$I$3:$I$1723,0)),"")</f>
        <v/>
      </c>
      <c r="E885" s="4">
        <f>IFERROR(INDEX('Base de sorteio'!$B$3:$B$1723,MATCH($B885&amp;"|"&amp;$C885,'Base de sorteio'!$I$3:$I$1723,0)),"")</f>
        <v/>
      </c>
      <c r="F885" s="4">
        <f>IFERROR(INDEX('Base de sorteio'!$C$3:$C$1723,MATCH($B885&amp;"|"&amp;$C885,'Base de sorteio'!$I$3:$I$1723,0)),"")</f>
        <v/>
      </c>
      <c r="G885" s="4">
        <f>IFERROR(INDEX('Base de sorteio'!$D$3:$D$1723,MATCH($B885&amp;"|"&amp;$C885,'Base de sorteio'!$I$3:$I$1723,0)),"")</f>
        <v/>
      </c>
      <c r="H885" s="4">
        <f>IFERROR(INDEX('Base de sorteio'!$E$3:$E$1723,MATCH($B885&amp;"|"&amp;$C885,'Base de sorteio'!$I$3:$I$1723,0)),"")</f>
        <v/>
      </c>
      <c r="I885" s="4">
        <f>IF(E885="","",HYPERLINK(IFERROR(INDEX('Base de sorteio'!$J$3:$J$1723,MATCH($B885&amp;"|"&amp;$C885,'Base de sorteio'!$I$3:$I$1723,0)),""),"abrir"))</f>
        <v/>
      </c>
      <c r="J885" s="4" t="n"/>
      <c r="K885" s="4" t="n"/>
      <c r="L885" s="4" t="n"/>
      <c r="M885" s="4" t="n"/>
      <c r="N885" s="4">
        <f>IF(AND(K885="",M885=""),"",IF(OR(K885="sim",M885="sim"),"sim",IF(OR(K885="inconclusivo",M885="inconclusivo"),"inconclusivo","não")))</f>
        <v/>
      </c>
      <c r="O885" s="5">
        <f>IF(N885="sim",COUNTIFS($B$3:$B885,$B885,$N$3:$N885,"sim"),"")</f>
        <v/>
      </c>
      <c r="P885" s="5" t="n"/>
      <c r="Q885" s="4" t="n"/>
      <c r="R885" s="5" t="n"/>
      <c r="S885" s="9" t="n"/>
      <c r="T885" s="4" t="n"/>
    </row>
    <row r="886">
      <c r="A886" s="5">
        <f>ROW()-2</f>
        <v/>
      </c>
      <c r="B886" s="4" t="inlineStr">
        <is>
          <t>Metrópole</t>
        </is>
      </c>
      <c r="C886" s="5" t="n">
        <v>884</v>
      </c>
      <c r="D886" s="5">
        <f>IFERROR(INDEX('Base de sorteio'!$A$3:$A$1723,MATCH($B886&amp;"|"&amp;$C886,'Base de sorteio'!$I$3:$I$1723,0)),"")</f>
        <v/>
      </c>
      <c r="E886" s="4">
        <f>IFERROR(INDEX('Base de sorteio'!$B$3:$B$1723,MATCH($B886&amp;"|"&amp;$C886,'Base de sorteio'!$I$3:$I$1723,0)),"")</f>
        <v/>
      </c>
      <c r="F886" s="4">
        <f>IFERROR(INDEX('Base de sorteio'!$C$3:$C$1723,MATCH($B886&amp;"|"&amp;$C886,'Base de sorteio'!$I$3:$I$1723,0)),"")</f>
        <v/>
      </c>
      <c r="G886" s="4">
        <f>IFERROR(INDEX('Base de sorteio'!$D$3:$D$1723,MATCH($B886&amp;"|"&amp;$C886,'Base de sorteio'!$I$3:$I$1723,0)),"")</f>
        <v/>
      </c>
      <c r="H886" s="4">
        <f>IFERROR(INDEX('Base de sorteio'!$E$3:$E$1723,MATCH($B886&amp;"|"&amp;$C886,'Base de sorteio'!$I$3:$I$1723,0)),"")</f>
        <v/>
      </c>
      <c r="I886" s="4">
        <f>IF(E886="","",HYPERLINK(IFERROR(INDEX('Base de sorteio'!$J$3:$J$1723,MATCH($B886&amp;"|"&amp;$C886,'Base de sorteio'!$I$3:$I$1723,0)),""),"abrir"))</f>
        <v/>
      </c>
      <c r="J886" s="4" t="n"/>
      <c r="K886" s="4" t="n"/>
      <c r="L886" s="4" t="n"/>
      <c r="M886" s="4" t="n"/>
      <c r="N886" s="4">
        <f>IF(AND(K886="",M886=""),"",IF(OR(K886="sim",M886="sim"),"sim",IF(OR(K886="inconclusivo",M886="inconclusivo"),"inconclusivo","não")))</f>
        <v/>
      </c>
      <c r="O886" s="5">
        <f>IF(N886="sim",COUNTIFS($B$3:$B886,$B886,$N$3:$N886,"sim"),"")</f>
        <v/>
      </c>
      <c r="P886" s="5" t="n"/>
      <c r="Q886" s="4" t="n"/>
      <c r="R886" s="5" t="n"/>
      <c r="S886" s="9" t="n"/>
      <c r="T886" s="4" t="n"/>
    </row>
    <row r="887">
      <c r="A887" s="5">
        <f>ROW()-2</f>
        <v/>
      </c>
      <c r="B887" s="4" t="inlineStr">
        <is>
          <t>Metrópole</t>
        </is>
      </c>
      <c r="C887" s="5" t="n">
        <v>885</v>
      </c>
      <c r="D887" s="5">
        <f>IFERROR(INDEX('Base de sorteio'!$A$3:$A$1723,MATCH($B887&amp;"|"&amp;$C887,'Base de sorteio'!$I$3:$I$1723,0)),"")</f>
        <v/>
      </c>
      <c r="E887" s="4">
        <f>IFERROR(INDEX('Base de sorteio'!$B$3:$B$1723,MATCH($B887&amp;"|"&amp;$C887,'Base de sorteio'!$I$3:$I$1723,0)),"")</f>
        <v/>
      </c>
      <c r="F887" s="4">
        <f>IFERROR(INDEX('Base de sorteio'!$C$3:$C$1723,MATCH($B887&amp;"|"&amp;$C887,'Base de sorteio'!$I$3:$I$1723,0)),"")</f>
        <v/>
      </c>
      <c r="G887" s="4">
        <f>IFERROR(INDEX('Base de sorteio'!$D$3:$D$1723,MATCH($B887&amp;"|"&amp;$C887,'Base de sorteio'!$I$3:$I$1723,0)),"")</f>
        <v/>
      </c>
      <c r="H887" s="4">
        <f>IFERROR(INDEX('Base de sorteio'!$E$3:$E$1723,MATCH($B887&amp;"|"&amp;$C887,'Base de sorteio'!$I$3:$I$1723,0)),"")</f>
        <v/>
      </c>
      <c r="I887" s="4">
        <f>IF(E887="","",HYPERLINK(IFERROR(INDEX('Base de sorteio'!$J$3:$J$1723,MATCH($B887&amp;"|"&amp;$C887,'Base de sorteio'!$I$3:$I$1723,0)),""),"abrir"))</f>
        <v/>
      </c>
      <c r="J887" s="4" t="n"/>
      <c r="K887" s="4" t="n"/>
      <c r="L887" s="4" t="n"/>
      <c r="M887" s="4" t="n"/>
      <c r="N887" s="4">
        <f>IF(AND(K887="",M887=""),"",IF(OR(K887="sim",M887="sim"),"sim",IF(OR(K887="inconclusivo",M887="inconclusivo"),"inconclusivo","não")))</f>
        <v/>
      </c>
      <c r="O887" s="5">
        <f>IF(N887="sim",COUNTIFS($B$3:$B887,$B887,$N$3:$N887,"sim"),"")</f>
        <v/>
      </c>
      <c r="P887" s="5" t="n"/>
      <c r="Q887" s="4" t="n"/>
      <c r="R887" s="5" t="n"/>
      <c r="S887" s="9" t="n"/>
      <c r="T887" s="4" t="n"/>
    </row>
    <row r="888">
      <c r="A888" s="5">
        <f>ROW()-2</f>
        <v/>
      </c>
      <c r="B888" s="4" t="inlineStr">
        <is>
          <t>Metrópole</t>
        </is>
      </c>
      <c r="C888" s="5" t="n">
        <v>886</v>
      </c>
      <c r="D888" s="5">
        <f>IFERROR(INDEX('Base de sorteio'!$A$3:$A$1723,MATCH($B888&amp;"|"&amp;$C888,'Base de sorteio'!$I$3:$I$1723,0)),"")</f>
        <v/>
      </c>
      <c r="E888" s="4">
        <f>IFERROR(INDEX('Base de sorteio'!$B$3:$B$1723,MATCH($B888&amp;"|"&amp;$C888,'Base de sorteio'!$I$3:$I$1723,0)),"")</f>
        <v/>
      </c>
      <c r="F888" s="4">
        <f>IFERROR(INDEX('Base de sorteio'!$C$3:$C$1723,MATCH($B888&amp;"|"&amp;$C888,'Base de sorteio'!$I$3:$I$1723,0)),"")</f>
        <v/>
      </c>
      <c r="G888" s="4">
        <f>IFERROR(INDEX('Base de sorteio'!$D$3:$D$1723,MATCH($B888&amp;"|"&amp;$C888,'Base de sorteio'!$I$3:$I$1723,0)),"")</f>
        <v/>
      </c>
      <c r="H888" s="4">
        <f>IFERROR(INDEX('Base de sorteio'!$E$3:$E$1723,MATCH($B888&amp;"|"&amp;$C888,'Base de sorteio'!$I$3:$I$1723,0)),"")</f>
        <v/>
      </c>
      <c r="I888" s="4">
        <f>IF(E888="","",HYPERLINK(IFERROR(INDEX('Base de sorteio'!$J$3:$J$1723,MATCH($B888&amp;"|"&amp;$C888,'Base de sorteio'!$I$3:$I$1723,0)),""),"abrir"))</f>
        <v/>
      </c>
      <c r="J888" s="4" t="n"/>
      <c r="K888" s="4" t="n"/>
      <c r="L888" s="4" t="n"/>
      <c r="M888" s="4" t="n"/>
      <c r="N888" s="4">
        <f>IF(AND(K888="",M888=""),"",IF(OR(K888="sim",M888="sim"),"sim",IF(OR(K888="inconclusivo",M888="inconclusivo"),"inconclusivo","não")))</f>
        <v/>
      </c>
      <c r="O888" s="5">
        <f>IF(N888="sim",COUNTIFS($B$3:$B888,$B888,$N$3:$N888,"sim"),"")</f>
        <v/>
      </c>
      <c r="P888" s="5" t="n"/>
      <c r="Q888" s="4" t="n"/>
      <c r="R888" s="5" t="n"/>
      <c r="S888" s="9" t="n"/>
      <c r="T888" s="4" t="n"/>
    </row>
    <row r="889">
      <c r="A889" s="5">
        <f>ROW()-2</f>
        <v/>
      </c>
      <c r="B889" s="4" t="inlineStr">
        <is>
          <t>Metrópole</t>
        </is>
      </c>
      <c r="C889" s="5" t="n">
        <v>887</v>
      </c>
      <c r="D889" s="5">
        <f>IFERROR(INDEX('Base de sorteio'!$A$3:$A$1723,MATCH($B889&amp;"|"&amp;$C889,'Base de sorteio'!$I$3:$I$1723,0)),"")</f>
        <v/>
      </c>
      <c r="E889" s="4">
        <f>IFERROR(INDEX('Base de sorteio'!$B$3:$B$1723,MATCH($B889&amp;"|"&amp;$C889,'Base de sorteio'!$I$3:$I$1723,0)),"")</f>
        <v/>
      </c>
      <c r="F889" s="4">
        <f>IFERROR(INDEX('Base de sorteio'!$C$3:$C$1723,MATCH($B889&amp;"|"&amp;$C889,'Base de sorteio'!$I$3:$I$1723,0)),"")</f>
        <v/>
      </c>
      <c r="G889" s="4">
        <f>IFERROR(INDEX('Base de sorteio'!$D$3:$D$1723,MATCH($B889&amp;"|"&amp;$C889,'Base de sorteio'!$I$3:$I$1723,0)),"")</f>
        <v/>
      </c>
      <c r="H889" s="4">
        <f>IFERROR(INDEX('Base de sorteio'!$E$3:$E$1723,MATCH($B889&amp;"|"&amp;$C889,'Base de sorteio'!$I$3:$I$1723,0)),"")</f>
        <v/>
      </c>
      <c r="I889" s="4">
        <f>IF(E889="","",HYPERLINK(IFERROR(INDEX('Base de sorteio'!$J$3:$J$1723,MATCH($B889&amp;"|"&amp;$C889,'Base de sorteio'!$I$3:$I$1723,0)),""),"abrir"))</f>
        <v/>
      </c>
      <c r="J889" s="4" t="n"/>
      <c r="K889" s="4" t="n"/>
      <c r="L889" s="4" t="n"/>
      <c r="M889" s="4" t="n"/>
      <c r="N889" s="4">
        <f>IF(AND(K889="",M889=""),"",IF(OR(K889="sim",M889="sim"),"sim",IF(OR(K889="inconclusivo",M889="inconclusivo"),"inconclusivo","não")))</f>
        <v/>
      </c>
      <c r="O889" s="5">
        <f>IF(N889="sim",COUNTIFS($B$3:$B889,$B889,$N$3:$N889,"sim"),"")</f>
        <v/>
      </c>
      <c r="P889" s="5" t="n"/>
      <c r="Q889" s="4" t="n"/>
      <c r="R889" s="5" t="n"/>
      <c r="S889" s="9" t="n"/>
      <c r="T889" s="4" t="n"/>
    </row>
    <row r="890">
      <c r="A890" s="5">
        <f>ROW()-2</f>
        <v/>
      </c>
      <c r="B890" s="4" t="inlineStr">
        <is>
          <t>Metrópole</t>
        </is>
      </c>
      <c r="C890" s="5" t="n">
        <v>888</v>
      </c>
      <c r="D890" s="5">
        <f>IFERROR(INDEX('Base de sorteio'!$A$3:$A$1723,MATCH($B890&amp;"|"&amp;$C890,'Base de sorteio'!$I$3:$I$1723,0)),"")</f>
        <v/>
      </c>
      <c r="E890" s="4">
        <f>IFERROR(INDEX('Base de sorteio'!$B$3:$B$1723,MATCH($B890&amp;"|"&amp;$C890,'Base de sorteio'!$I$3:$I$1723,0)),"")</f>
        <v/>
      </c>
      <c r="F890" s="4">
        <f>IFERROR(INDEX('Base de sorteio'!$C$3:$C$1723,MATCH($B890&amp;"|"&amp;$C890,'Base de sorteio'!$I$3:$I$1723,0)),"")</f>
        <v/>
      </c>
      <c r="G890" s="4">
        <f>IFERROR(INDEX('Base de sorteio'!$D$3:$D$1723,MATCH($B890&amp;"|"&amp;$C890,'Base de sorteio'!$I$3:$I$1723,0)),"")</f>
        <v/>
      </c>
      <c r="H890" s="4">
        <f>IFERROR(INDEX('Base de sorteio'!$E$3:$E$1723,MATCH($B890&amp;"|"&amp;$C890,'Base de sorteio'!$I$3:$I$1723,0)),"")</f>
        <v/>
      </c>
      <c r="I890" s="4">
        <f>IF(E890="","",HYPERLINK(IFERROR(INDEX('Base de sorteio'!$J$3:$J$1723,MATCH($B890&amp;"|"&amp;$C890,'Base de sorteio'!$I$3:$I$1723,0)),""),"abrir"))</f>
        <v/>
      </c>
      <c r="J890" s="4" t="n"/>
      <c r="K890" s="4" t="n"/>
      <c r="L890" s="4" t="n"/>
      <c r="M890" s="4" t="n"/>
      <c r="N890" s="4">
        <f>IF(AND(K890="",M890=""),"",IF(OR(K890="sim",M890="sim"),"sim",IF(OR(K890="inconclusivo",M890="inconclusivo"),"inconclusivo","não")))</f>
        <v/>
      </c>
      <c r="O890" s="5">
        <f>IF(N890="sim",COUNTIFS($B$3:$B890,$B890,$N$3:$N890,"sim"),"")</f>
        <v/>
      </c>
      <c r="P890" s="5" t="n"/>
      <c r="Q890" s="4" t="n"/>
      <c r="R890" s="5" t="n"/>
      <c r="S890" s="9" t="n"/>
      <c r="T890" s="4" t="n"/>
    </row>
    <row r="891">
      <c r="A891" s="5">
        <f>ROW()-2</f>
        <v/>
      </c>
      <c r="B891" s="4" t="inlineStr">
        <is>
          <t>Metrópole</t>
        </is>
      </c>
      <c r="C891" s="5" t="n">
        <v>889</v>
      </c>
      <c r="D891" s="5">
        <f>IFERROR(INDEX('Base de sorteio'!$A$3:$A$1723,MATCH($B891&amp;"|"&amp;$C891,'Base de sorteio'!$I$3:$I$1723,0)),"")</f>
        <v/>
      </c>
      <c r="E891" s="4">
        <f>IFERROR(INDEX('Base de sorteio'!$B$3:$B$1723,MATCH($B891&amp;"|"&amp;$C891,'Base de sorteio'!$I$3:$I$1723,0)),"")</f>
        <v/>
      </c>
      <c r="F891" s="4">
        <f>IFERROR(INDEX('Base de sorteio'!$C$3:$C$1723,MATCH($B891&amp;"|"&amp;$C891,'Base de sorteio'!$I$3:$I$1723,0)),"")</f>
        <v/>
      </c>
      <c r="G891" s="4">
        <f>IFERROR(INDEX('Base de sorteio'!$D$3:$D$1723,MATCH($B891&amp;"|"&amp;$C891,'Base de sorteio'!$I$3:$I$1723,0)),"")</f>
        <v/>
      </c>
      <c r="H891" s="4">
        <f>IFERROR(INDEX('Base de sorteio'!$E$3:$E$1723,MATCH($B891&amp;"|"&amp;$C891,'Base de sorteio'!$I$3:$I$1723,0)),"")</f>
        <v/>
      </c>
      <c r="I891" s="4">
        <f>IF(E891="","",HYPERLINK(IFERROR(INDEX('Base de sorteio'!$J$3:$J$1723,MATCH($B891&amp;"|"&amp;$C891,'Base de sorteio'!$I$3:$I$1723,0)),""),"abrir"))</f>
        <v/>
      </c>
      <c r="J891" s="4" t="n"/>
      <c r="K891" s="4" t="n"/>
      <c r="L891" s="4" t="n"/>
      <c r="M891" s="4" t="n"/>
      <c r="N891" s="4">
        <f>IF(AND(K891="",M891=""),"",IF(OR(K891="sim",M891="sim"),"sim",IF(OR(K891="inconclusivo",M891="inconclusivo"),"inconclusivo","não")))</f>
        <v/>
      </c>
      <c r="O891" s="5">
        <f>IF(N891="sim",COUNTIFS($B$3:$B891,$B891,$N$3:$N891,"sim"),"")</f>
        <v/>
      </c>
      <c r="P891" s="5" t="n"/>
      <c r="Q891" s="4" t="n"/>
      <c r="R891" s="5" t="n"/>
      <c r="S891" s="9" t="n"/>
      <c r="T891" s="4" t="n"/>
    </row>
    <row r="892">
      <c r="A892" s="5">
        <f>ROW()-2</f>
        <v/>
      </c>
      <c r="B892" s="4" t="inlineStr">
        <is>
          <t>Metrópole</t>
        </is>
      </c>
      <c r="C892" s="5" t="n">
        <v>890</v>
      </c>
      <c r="D892" s="5">
        <f>IFERROR(INDEX('Base de sorteio'!$A$3:$A$1723,MATCH($B892&amp;"|"&amp;$C892,'Base de sorteio'!$I$3:$I$1723,0)),"")</f>
        <v/>
      </c>
      <c r="E892" s="4">
        <f>IFERROR(INDEX('Base de sorteio'!$B$3:$B$1723,MATCH($B892&amp;"|"&amp;$C892,'Base de sorteio'!$I$3:$I$1723,0)),"")</f>
        <v/>
      </c>
      <c r="F892" s="4">
        <f>IFERROR(INDEX('Base de sorteio'!$C$3:$C$1723,MATCH($B892&amp;"|"&amp;$C892,'Base de sorteio'!$I$3:$I$1723,0)),"")</f>
        <v/>
      </c>
      <c r="G892" s="4">
        <f>IFERROR(INDEX('Base de sorteio'!$D$3:$D$1723,MATCH($B892&amp;"|"&amp;$C892,'Base de sorteio'!$I$3:$I$1723,0)),"")</f>
        <v/>
      </c>
      <c r="H892" s="4">
        <f>IFERROR(INDEX('Base de sorteio'!$E$3:$E$1723,MATCH($B892&amp;"|"&amp;$C892,'Base de sorteio'!$I$3:$I$1723,0)),"")</f>
        <v/>
      </c>
      <c r="I892" s="4">
        <f>IF(E892="","",HYPERLINK(IFERROR(INDEX('Base de sorteio'!$J$3:$J$1723,MATCH($B892&amp;"|"&amp;$C892,'Base de sorteio'!$I$3:$I$1723,0)),""),"abrir"))</f>
        <v/>
      </c>
      <c r="J892" s="4" t="n"/>
      <c r="K892" s="4" t="n"/>
      <c r="L892" s="4" t="n"/>
      <c r="M892" s="4" t="n"/>
      <c r="N892" s="4">
        <f>IF(AND(K892="",M892=""),"",IF(OR(K892="sim",M892="sim"),"sim",IF(OR(K892="inconclusivo",M892="inconclusivo"),"inconclusivo","não")))</f>
        <v/>
      </c>
      <c r="O892" s="5">
        <f>IF(N892="sim",COUNTIFS($B$3:$B892,$B892,$N$3:$N892,"sim"),"")</f>
        <v/>
      </c>
      <c r="P892" s="5" t="n"/>
      <c r="Q892" s="4" t="n"/>
      <c r="R892" s="5" t="n"/>
      <c r="S892" s="9" t="n"/>
      <c r="T892" s="4" t="n"/>
    </row>
    <row r="893">
      <c r="A893" s="5">
        <f>ROW()-2</f>
        <v/>
      </c>
      <c r="B893" s="4" t="inlineStr">
        <is>
          <t>Metrópole</t>
        </is>
      </c>
      <c r="C893" s="5" t="n">
        <v>891</v>
      </c>
      <c r="D893" s="5">
        <f>IFERROR(INDEX('Base de sorteio'!$A$3:$A$1723,MATCH($B893&amp;"|"&amp;$C893,'Base de sorteio'!$I$3:$I$1723,0)),"")</f>
        <v/>
      </c>
      <c r="E893" s="4">
        <f>IFERROR(INDEX('Base de sorteio'!$B$3:$B$1723,MATCH($B893&amp;"|"&amp;$C893,'Base de sorteio'!$I$3:$I$1723,0)),"")</f>
        <v/>
      </c>
      <c r="F893" s="4">
        <f>IFERROR(INDEX('Base de sorteio'!$C$3:$C$1723,MATCH($B893&amp;"|"&amp;$C893,'Base de sorteio'!$I$3:$I$1723,0)),"")</f>
        <v/>
      </c>
      <c r="G893" s="4">
        <f>IFERROR(INDEX('Base de sorteio'!$D$3:$D$1723,MATCH($B893&amp;"|"&amp;$C893,'Base de sorteio'!$I$3:$I$1723,0)),"")</f>
        <v/>
      </c>
      <c r="H893" s="4">
        <f>IFERROR(INDEX('Base de sorteio'!$E$3:$E$1723,MATCH($B893&amp;"|"&amp;$C893,'Base de sorteio'!$I$3:$I$1723,0)),"")</f>
        <v/>
      </c>
      <c r="I893" s="4">
        <f>IF(E893="","",HYPERLINK(IFERROR(INDEX('Base de sorteio'!$J$3:$J$1723,MATCH($B893&amp;"|"&amp;$C893,'Base de sorteio'!$I$3:$I$1723,0)),""),"abrir"))</f>
        <v/>
      </c>
      <c r="J893" s="4" t="n"/>
      <c r="K893" s="4" t="n"/>
      <c r="L893" s="4" t="n"/>
      <c r="M893" s="4" t="n"/>
      <c r="N893" s="4">
        <f>IF(AND(K893="",M893=""),"",IF(OR(K893="sim",M893="sim"),"sim",IF(OR(K893="inconclusivo",M893="inconclusivo"),"inconclusivo","não")))</f>
        <v/>
      </c>
      <c r="O893" s="5">
        <f>IF(N893="sim",COUNTIFS($B$3:$B893,$B893,$N$3:$N893,"sim"),"")</f>
        <v/>
      </c>
      <c r="P893" s="5" t="n"/>
      <c r="Q893" s="4" t="n"/>
      <c r="R893" s="5" t="n"/>
      <c r="S893" s="9" t="n"/>
      <c r="T893" s="4" t="n"/>
    </row>
    <row r="894">
      <c r="A894" s="5">
        <f>ROW()-2</f>
        <v/>
      </c>
      <c r="B894" s="4" t="inlineStr">
        <is>
          <t>Metrópole</t>
        </is>
      </c>
      <c r="C894" s="5" t="n">
        <v>892</v>
      </c>
      <c r="D894" s="5">
        <f>IFERROR(INDEX('Base de sorteio'!$A$3:$A$1723,MATCH($B894&amp;"|"&amp;$C894,'Base de sorteio'!$I$3:$I$1723,0)),"")</f>
        <v/>
      </c>
      <c r="E894" s="4">
        <f>IFERROR(INDEX('Base de sorteio'!$B$3:$B$1723,MATCH($B894&amp;"|"&amp;$C894,'Base de sorteio'!$I$3:$I$1723,0)),"")</f>
        <v/>
      </c>
      <c r="F894" s="4">
        <f>IFERROR(INDEX('Base de sorteio'!$C$3:$C$1723,MATCH($B894&amp;"|"&amp;$C894,'Base de sorteio'!$I$3:$I$1723,0)),"")</f>
        <v/>
      </c>
      <c r="G894" s="4">
        <f>IFERROR(INDEX('Base de sorteio'!$D$3:$D$1723,MATCH($B894&amp;"|"&amp;$C894,'Base de sorteio'!$I$3:$I$1723,0)),"")</f>
        <v/>
      </c>
      <c r="H894" s="4">
        <f>IFERROR(INDEX('Base de sorteio'!$E$3:$E$1723,MATCH($B894&amp;"|"&amp;$C894,'Base de sorteio'!$I$3:$I$1723,0)),"")</f>
        <v/>
      </c>
      <c r="I894" s="4">
        <f>IF(E894="","",HYPERLINK(IFERROR(INDEX('Base de sorteio'!$J$3:$J$1723,MATCH($B894&amp;"|"&amp;$C894,'Base de sorteio'!$I$3:$I$1723,0)),""),"abrir"))</f>
        <v/>
      </c>
      <c r="J894" s="4" t="n"/>
      <c r="K894" s="4" t="n"/>
      <c r="L894" s="4" t="n"/>
      <c r="M894" s="4" t="n"/>
      <c r="N894" s="4">
        <f>IF(AND(K894="",M894=""),"",IF(OR(K894="sim",M894="sim"),"sim",IF(OR(K894="inconclusivo",M894="inconclusivo"),"inconclusivo","não")))</f>
        <v/>
      </c>
      <c r="O894" s="5">
        <f>IF(N894="sim",COUNTIFS($B$3:$B894,$B894,$N$3:$N894,"sim"),"")</f>
        <v/>
      </c>
      <c r="P894" s="5" t="n"/>
      <c r="Q894" s="4" t="n"/>
      <c r="R894" s="5" t="n"/>
      <c r="S894" s="9" t="n"/>
      <c r="T894" s="4" t="n"/>
    </row>
    <row r="895">
      <c r="A895" s="5">
        <f>ROW()-2</f>
        <v/>
      </c>
      <c r="B895" s="4" t="inlineStr">
        <is>
          <t>Metrópole</t>
        </is>
      </c>
      <c r="C895" s="5" t="n">
        <v>893</v>
      </c>
      <c r="D895" s="5">
        <f>IFERROR(INDEX('Base de sorteio'!$A$3:$A$1723,MATCH($B895&amp;"|"&amp;$C895,'Base de sorteio'!$I$3:$I$1723,0)),"")</f>
        <v/>
      </c>
      <c r="E895" s="4">
        <f>IFERROR(INDEX('Base de sorteio'!$B$3:$B$1723,MATCH($B895&amp;"|"&amp;$C895,'Base de sorteio'!$I$3:$I$1723,0)),"")</f>
        <v/>
      </c>
      <c r="F895" s="4">
        <f>IFERROR(INDEX('Base de sorteio'!$C$3:$C$1723,MATCH($B895&amp;"|"&amp;$C895,'Base de sorteio'!$I$3:$I$1723,0)),"")</f>
        <v/>
      </c>
      <c r="G895" s="4">
        <f>IFERROR(INDEX('Base de sorteio'!$D$3:$D$1723,MATCH($B895&amp;"|"&amp;$C895,'Base de sorteio'!$I$3:$I$1723,0)),"")</f>
        <v/>
      </c>
      <c r="H895" s="4">
        <f>IFERROR(INDEX('Base de sorteio'!$E$3:$E$1723,MATCH($B895&amp;"|"&amp;$C895,'Base de sorteio'!$I$3:$I$1723,0)),"")</f>
        <v/>
      </c>
      <c r="I895" s="4">
        <f>IF(E895="","",HYPERLINK(IFERROR(INDEX('Base de sorteio'!$J$3:$J$1723,MATCH($B895&amp;"|"&amp;$C895,'Base de sorteio'!$I$3:$I$1723,0)),""),"abrir"))</f>
        <v/>
      </c>
      <c r="J895" s="4" t="n"/>
      <c r="K895" s="4" t="n"/>
      <c r="L895" s="4" t="n"/>
      <c r="M895" s="4" t="n"/>
      <c r="N895" s="4">
        <f>IF(AND(K895="",M895=""),"",IF(OR(K895="sim",M895="sim"),"sim",IF(OR(K895="inconclusivo",M895="inconclusivo"),"inconclusivo","não")))</f>
        <v/>
      </c>
      <c r="O895" s="5">
        <f>IF(N895="sim",COUNTIFS($B$3:$B895,$B895,$N$3:$N895,"sim"),"")</f>
        <v/>
      </c>
      <c r="P895" s="5" t="n"/>
      <c r="Q895" s="4" t="n"/>
      <c r="R895" s="5" t="n"/>
      <c r="S895" s="9" t="n"/>
      <c r="T895" s="4" t="n"/>
    </row>
    <row r="896">
      <c r="A896" s="5">
        <f>ROW()-2</f>
        <v/>
      </c>
      <c r="B896" s="4" t="inlineStr">
        <is>
          <t>Metrópole</t>
        </is>
      </c>
      <c r="C896" s="5" t="n">
        <v>894</v>
      </c>
      <c r="D896" s="5">
        <f>IFERROR(INDEX('Base de sorteio'!$A$3:$A$1723,MATCH($B896&amp;"|"&amp;$C896,'Base de sorteio'!$I$3:$I$1723,0)),"")</f>
        <v/>
      </c>
      <c r="E896" s="4">
        <f>IFERROR(INDEX('Base de sorteio'!$B$3:$B$1723,MATCH($B896&amp;"|"&amp;$C896,'Base de sorteio'!$I$3:$I$1723,0)),"")</f>
        <v/>
      </c>
      <c r="F896" s="4">
        <f>IFERROR(INDEX('Base de sorteio'!$C$3:$C$1723,MATCH($B896&amp;"|"&amp;$C896,'Base de sorteio'!$I$3:$I$1723,0)),"")</f>
        <v/>
      </c>
      <c r="G896" s="4">
        <f>IFERROR(INDEX('Base de sorteio'!$D$3:$D$1723,MATCH($B896&amp;"|"&amp;$C896,'Base de sorteio'!$I$3:$I$1723,0)),"")</f>
        <v/>
      </c>
      <c r="H896" s="4">
        <f>IFERROR(INDEX('Base de sorteio'!$E$3:$E$1723,MATCH($B896&amp;"|"&amp;$C896,'Base de sorteio'!$I$3:$I$1723,0)),"")</f>
        <v/>
      </c>
      <c r="I896" s="4">
        <f>IF(E896="","",HYPERLINK(IFERROR(INDEX('Base de sorteio'!$J$3:$J$1723,MATCH($B896&amp;"|"&amp;$C896,'Base de sorteio'!$I$3:$I$1723,0)),""),"abrir"))</f>
        <v/>
      </c>
      <c r="J896" s="4" t="n"/>
      <c r="K896" s="4" t="n"/>
      <c r="L896" s="4" t="n"/>
      <c r="M896" s="4" t="n"/>
      <c r="N896" s="4">
        <f>IF(AND(K896="",M896=""),"",IF(OR(K896="sim",M896="sim"),"sim",IF(OR(K896="inconclusivo",M896="inconclusivo"),"inconclusivo","não")))</f>
        <v/>
      </c>
      <c r="O896" s="5">
        <f>IF(N896="sim",COUNTIFS($B$3:$B896,$B896,$N$3:$N896,"sim"),"")</f>
        <v/>
      </c>
      <c r="P896" s="5" t="n"/>
      <c r="Q896" s="4" t="n"/>
      <c r="R896" s="5" t="n"/>
      <c r="S896" s="9" t="n"/>
      <c r="T896" s="4" t="n"/>
    </row>
    <row r="897">
      <c r="A897" s="5">
        <f>ROW()-2</f>
        <v/>
      </c>
      <c r="B897" s="4" t="inlineStr">
        <is>
          <t>Metrópole</t>
        </is>
      </c>
      <c r="C897" s="5" t="n">
        <v>895</v>
      </c>
      <c r="D897" s="5">
        <f>IFERROR(INDEX('Base de sorteio'!$A$3:$A$1723,MATCH($B897&amp;"|"&amp;$C897,'Base de sorteio'!$I$3:$I$1723,0)),"")</f>
        <v/>
      </c>
      <c r="E897" s="4">
        <f>IFERROR(INDEX('Base de sorteio'!$B$3:$B$1723,MATCH($B897&amp;"|"&amp;$C897,'Base de sorteio'!$I$3:$I$1723,0)),"")</f>
        <v/>
      </c>
      <c r="F897" s="4">
        <f>IFERROR(INDEX('Base de sorteio'!$C$3:$C$1723,MATCH($B897&amp;"|"&amp;$C897,'Base de sorteio'!$I$3:$I$1723,0)),"")</f>
        <v/>
      </c>
      <c r="G897" s="4">
        <f>IFERROR(INDEX('Base de sorteio'!$D$3:$D$1723,MATCH($B897&amp;"|"&amp;$C897,'Base de sorteio'!$I$3:$I$1723,0)),"")</f>
        <v/>
      </c>
      <c r="H897" s="4">
        <f>IFERROR(INDEX('Base de sorteio'!$E$3:$E$1723,MATCH($B897&amp;"|"&amp;$C897,'Base de sorteio'!$I$3:$I$1723,0)),"")</f>
        <v/>
      </c>
      <c r="I897" s="4">
        <f>IF(E897="","",HYPERLINK(IFERROR(INDEX('Base de sorteio'!$J$3:$J$1723,MATCH($B897&amp;"|"&amp;$C897,'Base de sorteio'!$I$3:$I$1723,0)),""),"abrir"))</f>
        <v/>
      </c>
      <c r="J897" s="4" t="n"/>
      <c r="K897" s="4" t="n"/>
      <c r="L897" s="4" t="n"/>
      <c r="M897" s="4" t="n"/>
      <c r="N897" s="4">
        <f>IF(AND(K897="",M897=""),"",IF(OR(K897="sim",M897="sim"),"sim",IF(OR(K897="inconclusivo",M897="inconclusivo"),"inconclusivo","não")))</f>
        <v/>
      </c>
      <c r="O897" s="5">
        <f>IF(N897="sim",COUNTIFS($B$3:$B897,$B897,$N$3:$N897,"sim"),"")</f>
        <v/>
      </c>
      <c r="P897" s="5" t="n"/>
      <c r="Q897" s="4" t="n"/>
      <c r="R897" s="5" t="n"/>
      <c r="S897" s="9" t="n"/>
      <c r="T897" s="4" t="n"/>
    </row>
    <row r="898">
      <c r="A898" s="5">
        <f>ROW()-2</f>
        <v/>
      </c>
      <c r="B898" s="4" t="inlineStr">
        <is>
          <t>Metrópole</t>
        </is>
      </c>
      <c r="C898" s="5" t="n">
        <v>896</v>
      </c>
      <c r="D898" s="5">
        <f>IFERROR(INDEX('Base de sorteio'!$A$3:$A$1723,MATCH($B898&amp;"|"&amp;$C898,'Base de sorteio'!$I$3:$I$1723,0)),"")</f>
        <v/>
      </c>
      <c r="E898" s="4">
        <f>IFERROR(INDEX('Base de sorteio'!$B$3:$B$1723,MATCH($B898&amp;"|"&amp;$C898,'Base de sorteio'!$I$3:$I$1723,0)),"")</f>
        <v/>
      </c>
      <c r="F898" s="4">
        <f>IFERROR(INDEX('Base de sorteio'!$C$3:$C$1723,MATCH($B898&amp;"|"&amp;$C898,'Base de sorteio'!$I$3:$I$1723,0)),"")</f>
        <v/>
      </c>
      <c r="G898" s="4">
        <f>IFERROR(INDEX('Base de sorteio'!$D$3:$D$1723,MATCH($B898&amp;"|"&amp;$C898,'Base de sorteio'!$I$3:$I$1723,0)),"")</f>
        <v/>
      </c>
      <c r="H898" s="4">
        <f>IFERROR(INDEX('Base de sorteio'!$E$3:$E$1723,MATCH($B898&amp;"|"&amp;$C898,'Base de sorteio'!$I$3:$I$1723,0)),"")</f>
        <v/>
      </c>
      <c r="I898" s="4">
        <f>IF(E898="","",HYPERLINK(IFERROR(INDEX('Base de sorteio'!$J$3:$J$1723,MATCH($B898&amp;"|"&amp;$C898,'Base de sorteio'!$I$3:$I$1723,0)),""),"abrir"))</f>
        <v/>
      </c>
      <c r="J898" s="4" t="n"/>
      <c r="K898" s="4" t="n"/>
      <c r="L898" s="4" t="n"/>
      <c r="M898" s="4" t="n"/>
      <c r="N898" s="4">
        <f>IF(AND(K898="",M898=""),"",IF(OR(K898="sim",M898="sim"),"sim",IF(OR(K898="inconclusivo",M898="inconclusivo"),"inconclusivo","não")))</f>
        <v/>
      </c>
      <c r="O898" s="5">
        <f>IF(N898="sim",COUNTIFS($B$3:$B898,$B898,$N$3:$N898,"sim"),"")</f>
        <v/>
      </c>
      <c r="P898" s="5" t="n"/>
      <c r="Q898" s="4" t="n"/>
      <c r="R898" s="5" t="n"/>
      <c r="S898" s="9" t="n"/>
      <c r="T898" s="4" t="n"/>
    </row>
    <row r="899">
      <c r="A899" s="5">
        <f>ROW()-2</f>
        <v/>
      </c>
      <c r="B899" s="4" t="inlineStr">
        <is>
          <t>Metrópole</t>
        </is>
      </c>
      <c r="C899" s="5" t="n">
        <v>897</v>
      </c>
      <c r="D899" s="5">
        <f>IFERROR(INDEX('Base de sorteio'!$A$3:$A$1723,MATCH($B899&amp;"|"&amp;$C899,'Base de sorteio'!$I$3:$I$1723,0)),"")</f>
        <v/>
      </c>
      <c r="E899" s="4">
        <f>IFERROR(INDEX('Base de sorteio'!$B$3:$B$1723,MATCH($B899&amp;"|"&amp;$C899,'Base de sorteio'!$I$3:$I$1723,0)),"")</f>
        <v/>
      </c>
      <c r="F899" s="4">
        <f>IFERROR(INDEX('Base de sorteio'!$C$3:$C$1723,MATCH($B899&amp;"|"&amp;$C899,'Base de sorteio'!$I$3:$I$1723,0)),"")</f>
        <v/>
      </c>
      <c r="G899" s="4">
        <f>IFERROR(INDEX('Base de sorteio'!$D$3:$D$1723,MATCH($B899&amp;"|"&amp;$C899,'Base de sorteio'!$I$3:$I$1723,0)),"")</f>
        <v/>
      </c>
      <c r="H899" s="4">
        <f>IFERROR(INDEX('Base de sorteio'!$E$3:$E$1723,MATCH($B899&amp;"|"&amp;$C899,'Base de sorteio'!$I$3:$I$1723,0)),"")</f>
        <v/>
      </c>
      <c r="I899" s="4">
        <f>IF(E899="","",HYPERLINK(IFERROR(INDEX('Base de sorteio'!$J$3:$J$1723,MATCH($B899&amp;"|"&amp;$C899,'Base de sorteio'!$I$3:$I$1723,0)),""),"abrir"))</f>
        <v/>
      </c>
      <c r="J899" s="4" t="n"/>
      <c r="K899" s="4" t="n"/>
      <c r="L899" s="4" t="n"/>
      <c r="M899" s="4" t="n"/>
      <c r="N899" s="4">
        <f>IF(AND(K899="",M899=""),"",IF(OR(K899="sim",M899="sim"),"sim",IF(OR(K899="inconclusivo",M899="inconclusivo"),"inconclusivo","não")))</f>
        <v/>
      </c>
      <c r="O899" s="5">
        <f>IF(N899="sim",COUNTIFS($B$3:$B899,$B899,$N$3:$N899,"sim"),"")</f>
        <v/>
      </c>
      <c r="P899" s="5" t="n"/>
      <c r="Q899" s="4" t="n"/>
      <c r="R899" s="5" t="n"/>
      <c r="S899" s="9" t="n"/>
      <c r="T899" s="4" t="n"/>
    </row>
    <row r="900">
      <c r="A900" s="5">
        <f>ROW()-2</f>
        <v/>
      </c>
      <c r="B900" s="4" t="inlineStr">
        <is>
          <t>Metrópole</t>
        </is>
      </c>
      <c r="C900" s="5" t="n">
        <v>898</v>
      </c>
      <c r="D900" s="5">
        <f>IFERROR(INDEX('Base de sorteio'!$A$3:$A$1723,MATCH($B900&amp;"|"&amp;$C900,'Base de sorteio'!$I$3:$I$1723,0)),"")</f>
        <v/>
      </c>
      <c r="E900" s="4">
        <f>IFERROR(INDEX('Base de sorteio'!$B$3:$B$1723,MATCH($B900&amp;"|"&amp;$C900,'Base de sorteio'!$I$3:$I$1723,0)),"")</f>
        <v/>
      </c>
      <c r="F900" s="4">
        <f>IFERROR(INDEX('Base de sorteio'!$C$3:$C$1723,MATCH($B900&amp;"|"&amp;$C900,'Base de sorteio'!$I$3:$I$1723,0)),"")</f>
        <v/>
      </c>
      <c r="G900" s="4">
        <f>IFERROR(INDEX('Base de sorteio'!$D$3:$D$1723,MATCH($B900&amp;"|"&amp;$C900,'Base de sorteio'!$I$3:$I$1723,0)),"")</f>
        <v/>
      </c>
      <c r="H900" s="4">
        <f>IFERROR(INDEX('Base de sorteio'!$E$3:$E$1723,MATCH($B900&amp;"|"&amp;$C900,'Base de sorteio'!$I$3:$I$1723,0)),"")</f>
        <v/>
      </c>
      <c r="I900" s="4">
        <f>IF(E900="","",HYPERLINK(IFERROR(INDEX('Base de sorteio'!$J$3:$J$1723,MATCH($B900&amp;"|"&amp;$C900,'Base de sorteio'!$I$3:$I$1723,0)),""),"abrir"))</f>
        <v/>
      </c>
      <c r="J900" s="4" t="n"/>
      <c r="K900" s="4" t="n"/>
      <c r="L900" s="4" t="n"/>
      <c r="M900" s="4" t="n"/>
      <c r="N900" s="4">
        <f>IF(AND(K900="",M900=""),"",IF(OR(K900="sim",M900="sim"),"sim",IF(OR(K900="inconclusivo",M900="inconclusivo"),"inconclusivo","não")))</f>
        <v/>
      </c>
      <c r="O900" s="5">
        <f>IF(N900="sim",COUNTIFS($B$3:$B900,$B900,$N$3:$N900,"sim"),"")</f>
        <v/>
      </c>
      <c r="P900" s="5" t="n"/>
      <c r="Q900" s="4" t="n"/>
      <c r="R900" s="5" t="n"/>
      <c r="S900" s="9" t="n"/>
      <c r="T900" s="4" t="n"/>
    </row>
    <row r="901">
      <c r="A901" s="5">
        <f>ROW()-2</f>
        <v/>
      </c>
      <c r="B901" s="4" t="inlineStr">
        <is>
          <t>Metrópole</t>
        </is>
      </c>
      <c r="C901" s="5" t="n">
        <v>899</v>
      </c>
      <c r="D901" s="5">
        <f>IFERROR(INDEX('Base de sorteio'!$A$3:$A$1723,MATCH($B901&amp;"|"&amp;$C901,'Base de sorteio'!$I$3:$I$1723,0)),"")</f>
        <v/>
      </c>
      <c r="E901" s="4">
        <f>IFERROR(INDEX('Base de sorteio'!$B$3:$B$1723,MATCH($B901&amp;"|"&amp;$C901,'Base de sorteio'!$I$3:$I$1723,0)),"")</f>
        <v/>
      </c>
      <c r="F901" s="4">
        <f>IFERROR(INDEX('Base de sorteio'!$C$3:$C$1723,MATCH($B901&amp;"|"&amp;$C901,'Base de sorteio'!$I$3:$I$1723,0)),"")</f>
        <v/>
      </c>
      <c r="G901" s="4">
        <f>IFERROR(INDEX('Base de sorteio'!$D$3:$D$1723,MATCH($B901&amp;"|"&amp;$C901,'Base de sorteio'!$I$3:$I$1723,0)),"")</f>
        <v/>
      </c>
      <c r="H901" s="4">
        <f>IFERROR(INDEX('Base de sorteio'!$E$3:$E$1723,MATCH($B901&amp;"|"&amp;$C901,'Base de sorteio'!$I$3:$I$1723,0)),"")</f>
        <v/>
      </c>
      <c r="I901" s="4">
        <f>IF(E901="","",HYPERLINK(IFERROR(INDEX('Base de sorteio'!$J$3:$J$1723,MATCH($B901&amp;"|"&amp;$C901,'Base de sorteio'!$I$3:$I$1723,0)),""),"abrir"))</f>
        <v/>
      </c>
      <c r="J901" s="4" t="n"/>
      <c r="K901" s="4" t="n"/>
      <c r="L901" s="4" t="n"/>
      <c r="M901" s="4" t="n"/>
      <c r="N901" s="4">
        <f>IF(AND(K901="",M901=""),"",IF(OR(K901="sim",M901="sim"),"sim",IF(OR(K901="inconclusivo",M901="inconclusivo"),"inconclusivo","não")))</f>
        <v/>
      </c>
      <c r="O901" s="5">
        <f>IF(N901="sim",COUNTIFS($B$3:$B901,$B901,$N$3:$N901,"sim"),"")</f>
        <v/>
      </c>
      <c r="P901" s="5" t="n"/>
      <c r="Q901" s="4" t="n"/>
      <c r="R901" s="5" t="n"/>
      <c r="S901" s="9" t="n"/>
      <c r="T901" s="4" t="n"/>
    </row>
    <row r="902">
      <c r="A902" s="5">
        <f>ROW()-2</f>
        <v/>
      </c>
      <c r="B902" s="4" t="inlineStr">
        <is>
          <t>Metrópole</t>
        </is>
      </c>
      <c r="C902" s="5" t="n">
        <v>900</v>
      </c>
      <c r="D902" s="5">
        <f>IFERROR(INDEX('Base de sorteio'!$A$3:$A$1723,MATCH($B902&amp;"|"&amp;$C902,'Base de sorteio'!$I$3:$I$1723,0)),"")</f>
        <v/>
      </c>
      <c r="E902" s="4">
        <f>IFERROR(INDEX('Base de sorteio'!$B$3:$B$1723,MATCH($B902&amp;"|"&amp;$C902,'Base de sorteio'!$I$3:$I$1723,0)),"")</f>
        <v/>
      </c>
      <c r="F902" s="4">
        <f>IFERROR(INDEX('Base de sorteio'!$C$3:$C$1723,MATCH($B902&amp;"|"&amp;$C902,'Base de sorteio'!$I$3:$I$1723,0)),"")</f>
        <v/>
      </c>
      <c r="G902" s="4">
        <f>IFERROR(INDEX('Base de sorteio'!$D$3:$D$1723,MATCH($B902&amp;"|"&amp;$C902,'Base de sorteio'!$I$3:$I$1723,0)),"")</f>
        <v/>
      </c>
      <c r="H902" s="4">
        <f>IFERROR(INDEX('Base de sorteio'!$E$3:$E$1723,MATCH($B902&amp;"|"&amp;$C902,'Base de sorteio'!$I$3:$I$1723,0)),"")</f>
        <v/>
      </c>
      <c r="I902" s="4">
        <f>IF(E902="","",HYPERLINK(IFERROR(INDEX('Base de sorteio'!$J$3:$J$1723,MATCH($B902&amp;"|"&amp;$C902,'Base de sorteio'!$I$3:$I$1723,0)),""),"abrir"))</f>
        <v/>
      </c>
      <c r="J902" s="4" t="n"/>
      <c r="K902" s="4" t="n"/>
      <c r="L902" s="4" t="n"/>
      <c r="M902" s="4" t="n"/>
      <c r="N902" s="4">
        <f>IF(AND(K902="",M902=""),"",IF(OR(K902="sim",M902="sim"),"sim",IF(OR(K902="inconclusivo",M902="inconclusivo"),"inconclusivo","não")))</f>
        <v/>
      </c>
      <c r="O902" s="5">
        <f>IF(N902="sim",COUNTIFS($B$3:$B902,$B902,$N$3:$N902,"sim"),"")</f>
        <v/>
      </c>
      <c r="P902" s="5" t="n"/>
      <c r="Q902" s="4" t="n"/>
      <c r="R902" s="5" t="n"/>
      <c r="S902" s="9" t="n"/>
      <c r="T902" s="4" t="n"/>
    </row>
    <row r="903">
      <c r="A903" s="5">
        <f>ROW()-2</f>
        <v/>
      </c>
      <c r="B903" s="4" t="inlineStr">
        <is>
          <t>Metrópole</t>
        </is>
      </c>
      <c r="C903" s="5" t="n">
        <v>901</v>
      </c>
      <c r="D903" s="5">
        <f>IFERROR(INDEX('Base de sorteio'!$A$3:$A$1723,MATCH($B903&amp;"|"&amp;$C903,'Base de sorteio'!$I$3:$I$1723,0)),"")</f>
        <v/>
      </c>
      <c r="E903" s="4">
        <f>IFERROR(INDEX('Base de sorteio'!$B$3:$B$1723,MATCH($B903&amp;"|"&amp;$C903,'Base de sorteio'!$I$3:$I$1723,0)),"")</f>
        <v/>
      </c>
      <c r="F903" s="4">
        <f>IFERROR(INDEX('Base de sorteio'!$C$3:$C$1723,MATCH($B903&amp;"|"&amp;$C903,'Base de sorteio'!$I$3:$I$1723,0)),"")</f>
        <v/>
      </c>
      <c r="G903" s="4">
        <f>IFERROR(INDEX('Base de sorteio'!$D$3:$D$1723,MATCH($B903&amp;"|"&amp;$C903,'Base de sorteio'!$I$3:$I$1723,0)),"")</f>
        <v/>
      </c>
      <c r="H903" s="4">
        <f>IFERROR(INDEX('Base de sorteio'!$E$3:$E$1723,MATCH($B903&amp;"|"&amp;$C903,'Base de sorteio'!$I$3:$I$1723,0)),"")</f>
        <v/>
      </c>
      <c r="I903" s="4">
        <f>IF(E903="","",HYPERLINK(IFERROR(INDEX('Base de sorteio'!$J$3:$J$1723,MATCH($B903&amp;"|"&amp;$C903,'Base de sorteio'!$I$3:$I$1723,0)),""),"abrir"))</f>
        <v/>
      </c>
      <c r="J903" s="4" t="n"/>
      <c r="K903" s="4" t="n"/>
      <c r="L903" s="4" t="n"/>
      <c r="M903" s="4" t="n"/>
      <c r="N903" s="4">
        <f>IF(AND(K903="",M903=""),"",IF(OR(K903="sim",M903="sim"),"sim",IF(OR(K903="inconclusivo",M903="inconclusivo"),"inconclusivo","não")))</f>
        <v/>
      </c>
      <c r="O903" s="5">
        <f>IF(N903="sim",COUNTIFS($B$3:$B903,$B903,$N$3:$N903,"sim"),"")</f>
        <v/>
      </c>
      <c r="P903" s="5" t="n"/>
      <c r="Q903" s="4" t="n"/>
      <c r="R903" s="5" t="n"/>
      <c r="S903" s="9" t="n"/>
      <c r="T903" s="4" t="n"/>
    </row>
    <row r="904">
      <c r="A904" s="5">
        <f>ROW()-2</f>
        <v/>
      </c>
      <c r="B904" s="4" t="inlineStr">
        <is>
          <t>Metrópole</t>
        </is>
      </c>
      <c r="C904" s="5" t="n">
        <v>902</v>
      </c>
      <c r="D904" s="5">
        <f>IFERROR(INDEX('Base de sorteio'!$A$3:$A$1723,MATCH($B904&amp;"|"&amp;$C904,'Base de sorteio'!$I$3:$I$1723,0)),"")</f>
        <v/>
      </c>
      <c r="E904" s="4">
        <f>IFERROR(INDEX('Base de sorteio'!$B$3:$B$1723,MATCH($B904&amp;"|"&amp;$C904,'Base de sorteio'!$I$3:$I$1723,0)),"")</f>
        <v/>
      </c>
      <c r="F904" s="4">
        <f>IFERROR(INDEX('Base de sorteio'!$C$3:$C$1723,MATCH($B904&amp;"|"&amp;$C904,'Base de sorteio'!$I$3:$I$1723,0)),"")</f>
        <v/>
      </c>
      <c r="G904" s="4">
        <f>IFERROR(INDEX('Base de sorteio'!$D$3:$D$1723,MATCH($B904&amp;"|"&amp;$C904,'Base de sorteio'!$I$3:$I$1723,0)),"")</f>
        <v/>
      </c>
      <c r="H904" s="4">
        <f>IFERROR(INDEX('Base de sorteio'!$E$3:$E$1723,MATCH($B904&amp;"|"&amp;$C904,'Base de sorteio'!$I$3:$I$1723,0)),"")</f>
        <v/>
      </c>
      <c r="I904" s="4">
        <f>IF(E904="","",HYPERLINK(IFERROR(INDEX('Base de sorteio'!$J$3:$J$1723,MATCH($B904&amp;"|"&amp;$C904,'Base de sorteio'!$I$3:$I$1723,0)),""),"abrir"))</f>
        <v/>
      </c>
      <c r="J904" s="4" t="n"/>
      <c r="K904" s="4" t="n"/>
      <c r="L904" s="4" t="n"/>
      <c r="M904" s="4" t="n"/>
      <c r="N904" s="4">
        <f>IF(AND(K904="",M904=""),"",IF(OR(K904="sim",M904="sim"),"sim",IF(OR(K904="inconclusivo",M904="inconclusivo"),"inconclusivo","não")))</f>
        <v/>
      </c>
      <c r="O904" s="5">
        <f>IF(N904="sim",COUNTIFS($B$3:$B904,$B904,$N$3:$N904,"sim"),"")</f>
        <v/>
      </c>
      <c r="P904" s="5" t="n"/>
      <c r="Q904" s="4" t="n"/>
      <c r="R904" s="5" t="n"/>
      <c r="S904" s="9" t="n"/>
      <c r="T904" s="4" t="n"/>
    </row>
    <row r="905">
      <c r="A905" s="5">
        <f>ROW()-2</f>
        <v/>
      </c>
      <c r="B905" s="4" t="inlineStr">
        <is>
          <t>Metrópole</t>
        </is>
      </c>
      <c r="C905" s="5" t="n">
        <v>903</v>
      </c>
      <c r="D905" s="5">
        <f>IFERROR(INDEX('Base de sorteio'!$A$3:$A$1723,MATCH($B905&amp;"|"&amp;$C905,'Base de sorteio'!$I$3:$I$1723,0)),"")</f>
        <v/>
      </c>
      <c r="E905" s="4">
        <f>IFERROR(INDEX('Base de sorteio'!$B$3:$B$1723,MATCH($B905&amp;"|"&amp;$C905,'Base de sorteio'!$I$3:$I$1723,0)),"")</f>
        <v/>
      </c>
      <c r="F905" s="4">
        <f>IFERROR(INDEX('Base de sorteio'!$C$3:$C$1723,MATCH($B905&amp;"|"&amp;$C905,'Base de sorteio'!$I$3:$I$1723,0)),"")</f>
        <v/>
      </c>
      <c r="G905" s="4">
        <f>IFERROR(INDEX('Base de sorteio'!$D$3:$D$1723,MATCH($B905&amp;"|"&amp;$C905,'Base de sorteio'!$I$3:$I$1723,0)),"")</f>
        <v/>
      </c>
      <c r="H905" s="4">
        <f>IFERROR(INDEX('Base de sorteio'!$E$3:$E$1723,MATCH($B905&amp;"|"&amp;$C905,'Base de sorteio'!$I$3:$I$1723,0)),"")</f>
        <v/>
      </c>
      <c r="I905" s="4">
        <f>IF(E905="","",HYPERLINK(IFERROR(INDEX('Base de sorteio'!$J$3:$J$1723,MATCH($B905&amp;"|"&amp;$C905,'Base de sorteio'!$I$3:$I$1723,0)),""),"abrir"))</f>
        <v/>
      </c>
      <c r="J905" s="4" t="n"/>
      <c r="K905" s="4" t="n"/>
      <c r="L905" s="4" t="n"/>
      <c r="M905" s="4" t="n"/>
      <c r="N905" s="4">
        <f>IF(AND(K905="",M905=""),"",IF(OR(K905="sim",M905="sim"),"sim",IF(OR(K905="inconclusivo",M905="inconclusivo"),"inconclusivo","não")))</f>
        <v/>
      </c>
      <c r="O905" s="5">
        <f>IF(N905="sim",COUNTIFS($B$3:$B905,$B905,$N$3:$N905,"sim"),"")</f>
        <v/>
      </c>
      <c r="P905" s="5" t="n"/>
      <c r="Q905" s="4" t="n"/>
      <c r="R905" s="5" t="n"/>
      <c r="S905" s="9" t="n"/>
      <c r="T905" s="4" t="n"/>
    </row>
    <row r="906">
      <c r="A906" s="5">
        <f>ROW()-2</f>
        <v/>
      </c>
      <c r="B906" s="4" t="inlineStr">
        <is>
          <t>Metrópole</t>
        </is>
      </c>
      <c r="C906" s="5" t="n">
        <v>904</v>
      </c>
      <c r="D906" s="5">
        <f>IFERROR(INDEX('Base de sorteio'!$A$3:$A$1723,MATCH($B906&amp;"|"&amp;$C906,'Base de sorteio'!$I$3:$I$1723,0)),"")</f>
        <v/>
      </c>
      <c r="E906" s="4">
        <f>IFERROR(INDEX('Base de sorteio'!$B$3:$B$1723,MATCH($B906&amp;"|"&amp;$C906,'Base de sorteio'!$I$3:$I$1723,0)),"")</f>
        <v/>
      </c>
      <c r="F906" s="4">
        <f>IFERROR(INDEX('Base de sorteio'!$C$3:$C$1723,MATCH($B906&amp;"|"&amp;$C906,'Base de sorteio'!$I$3:$I$1723,0)),"")</f>
        <v/>
      </c>
      <c r="G906" s="4">
        <f>IFERROR(INDEX('Base de sorteio'!$D$3:$D$1723,MATCH($B906&amp;"|"&amp;$C906,'Base de sorteio'!$I$3:$I$1723,0)),"")</f>
        <v/>
      </c>
      <c r="H906" s="4">
        <f>IFERROR(INDEX('Base de sorteio'!$E$3:$E$1723,MATCH($B906&amp;"|"&amp;$C906,'Base de sorteio'!$I$3:$I$1723,0)),"")</f>
        <v/>
      </c>
      <c r="I906" s="4">
        <f>IF(E906="","",HYPERLINK(IFERROR(INDEX('Base de sorteio'!$J$3:$J$1723,MATCH($B906&amp;"|"&amp;$C906,'Base de sorteio'!$I$3:$I$1723,0)),""),"abrir"))</f>
        <v/>
      </c>
      <c r="J906" s="4" t="n"/>
      <c r="K906" s="4" t="n"/>
      <c r="L906" s="4" t="n"/>
      <c r="M906" s="4" t="n"/>
      <c r="N906" s="4">
        <f>IF(AND(K906="",M906=""),"",IF(OR(K906="sim",M906="sim"),"sim",IF(OR(K906="inconclusivo",M906="inconclusivo"),"inconclusivo","não")))</f>
        <v/>
      </c>
      <c r="O906" s="5">
        <f>IF(N906="sim",COUNTIFS($B$3:$B906,$B906,$N$3:$N906,"sim"),"")</f>
        <v/>
      </c>
      <c r="P906" s="5" t="n"/>
      <c r="Q906" s="4" t="n"/>
      <c r="R906" s="5" t="n"/>
      <c r="S906" s="9" t="n"/>
      <c r="T906" s="4" t="n"/>
    </row>
    <row r="907">
      <c r="A907" s="5">
        <f>ROW()-2</f>
        <v/>
      </c>
      <c r="B907" s="4" t="inlineStr">
        <is>
          <t>Metrópole</t>
        </is>
      </c>
      <c r="C907" s="5" t="n">
        <v>905</v>
      </c>
      <c r="D907" s="5">
        <f>IFERROR(INDEX('Base de sorteio'!$A$3:$A$1723,MATCH($B907&amp;"|"&amp;$C907,'Base de sorteio'!$I$3:$I$1723,0)),"")</f>
        <v/>
      </c>
      <c r="E907" s="4">
        <f>IFERROR(INDEX('Base de sorteio'!$B$3:$B$1723,MATCH($B907&amp;"|"&amp;$C907,'Base de sorteio'!$I$3:$I$1723,0)),"")</f>
        <v/>
      </c>
      <c r="F907" s="4">
        <f>IFERROR(INDEX('Base de sorteio'!$C$3:$C$1723,MATCH($B907&amp;"|"&amp;$C907,'Base de sorteio'!$I$3:$I$1723,0)),"")</f>
        <v/>
      </c>
      <c r="G907" s="4">
        <f>IFERROR(INDEX('Base de sorteio'!$D$3:$D$1723,MATCH($B907&amp;"|"&amp;$C907,'Base de sorteio'!$I$3:$I$1723,0)),"")</f>
        <v/>
      </c>
      <c r="H907" s="4">
        <f>IFERROR(INDEX('Base de sorteio'!$E$3:$E$1723,MATCH($B907&amp;"|"&amp;$C907,'Base de sorteio'!$I$3:$I$1723,0)),"")</f>
        <v/>
      </c>
      <c r="I907" s="4">
        <f>IF(E907="","",HYPERLINK(IFERROR(INDEX('Base de sorteio'!$J$3:$J$1723,MATCH($B907&amp;"|"&amp;$C907,'Base de sorteio'!$I$3:$I$1723,0)),""),"abrir"))</f>
        <v/>
      </c>
      <c r="J907" s="4" t="n"/>
      <c r="K907" s="4" t="n"/>
      <c r="L907" s="4" t="n"/>
      <c r="M907" s="4" t="n"/>
      <c r="N907" s="4">
        <f>IF(AND(K907="",M907=""),"",IF(OR(K907="sim",M907="sim"),"sim",IF(OR(K907="inconclusivo",M907="inconclusivo"),"inconclusivo","não")))</f>
        <v/>
      </c>
      <c r="O907" s="5">
        <f>IF(N907="sim",COUNTIFS($B$3:$B907,$B907,$N$3:$N907,"sim"),"")</f>
        <v/>
      </c>
      <c r="P907" s="5" t="n"/>
      <c r="Q907" s="4" t="n"/>
      <c r="R907" s="5" t="n"/>
      <c r="S907" s="9" t="n"/>
      <c r="T907" s="4" t="n"/>
    </row>
    <row r="908">
      <c r="A908" s="5">
        <f>ROW()-2</f>
        <v/>
      </c>
      <c r="B908" s="4" t="inlineStr">
        <is>
          <t>Metrópole</t>
        </is>
      </c>
      <c r="C908" s="5" t="n">
        <v>906</v>
      </c>
      <c r="D908" s="5">
        <f>IFERROR(INDEX('Base de sorteio'!$A$3:$A$1723,MATCH($B908&amp;"|"&amp;$C908,'Base de sorteio'!$I$3:$I$1723,0)),"")</f>
        <v/>
      </c>
      <c r="E908" s="4">
        <f>IFERROR(INDEX('Base de sorteio'!$B$3:$B$1723,MATCH($B908&amp;"|"&amp;$C908,'Base de sorteio'!$I$3:$I$1723,0)),"")</f>
        <v/>
      </c>
      <c r="F908" s="4">
        <f>IFERROR(INDEX('Base de sorteio'!$C$3:$C$1723,MATCH($B908&amp;"|"&amp;$C908,'Base de sorteio'!$I$3:$I$1723,0)),"")</f>
        <v/>
      </c>
      <c r="G908" s="4">
        <f>IFERROR(INDEX('Base de sorteio'!$D$3:$D$1723,MATCH($B908&amp;"|"&amp;$C908,'Base de sorteio'!$I$3:$I$1723,0)),"")</f>
        <v/>
      </c>
      <c r="H908" s="4">
        <f>IFERROR(INDEX('Base de sorteio'!$E$3:$E$1723,MATCH($B908&amp;"|"&amp;$C908,'Base de sorteio'!$I$3:$I$1723,0)),"")</f>
        <v/>
      </c>
      <c r="I908" s="4">
        <f>IF(E908="","",HYPERLINK(IFERROR(INDEX('Base de sorteio'!$J$3:$J$1723,MATCH($B908&amp;"|"&amp;$C908,'Base de sorteio'!$I$3:$I$1723,0)),""),"abrir"))</f>
        <v/>
      </c>
      <c r="J908" s="4" t="n"/>
      <c r="K908" s="4" t="n"/>
      <c r="L908" s="4" t="n"/>
      <c r="M908" s="4" t="n"/>
      <c r="N908" s="4">
        <f>IF(AND(K908="",M908=""),"",IF(OR(K908="sim",M908="sim"),"sim",IF(OR(K908="inconclusivo",M908="inconclusivo"),"inconclusivo","não")))</f>
        <v/>
      </c>
      <c r="O908" s="5">
        <f>IF(N908="sim",COUNTIFS($B$3:$B908,$B908,$N$3:$N908,"sim"),"")</f>
        <v/>
      </c>
      <c r="P908" s="5" t="n"/>
      <c r="Q908" s="4" t="n"/>
      <c r="R908" s="5" t="n"/>
      <c r="S908" s="9" t="n"/>
      <c r="T908" s="4" t="n"/>
    </row>
    <row r="909">
      <c r="A909" s="5">
        <f>ROW()-2</f>
        <v/>
      </c>
      <c r="B909" s="4" t="inlineStr">
        <is>
          <t>Metrópole</t>
        </is>
      </c>
      <c r="C909" s="5" t="n">
        <v>907</v>
      </c>
      <c r="D909" s="5">
        <f>IFERROR(INDEX('Base de sorteio'!$A$3:$A$1723,MATCH($B909&amp;"|"&amp;$C909,'Base de sorteio'!$I$3:$I$1723,0)),"")</f>
        <v/>
      </c>
      <c r="E909" s="4">
        <f>IFERROR(INDEX('Base de sorteio'!$B$3:$B$1723,MATCH($B909&amp;"|"&amp;$C909,'Base de sorteio'!$I$3:$I$1723,0)),"")</f>
        <v/>
      </c>
      <c r="F909" s="4">
        <f>IFERROR(INDEX('Base de sorteio'!$C$3:$C$1723,MATCH($B909&amp;"|"&amp;$C909,'Base de sorteio'!$I$3:$I$1723,0)),"")</f>
        <v/>
      </c>
      <c r="G909" s="4">
        <f>IFERROR(INDEX('Base de sorteio'!$D$3:$D$1723,MATCH($B909&amp;"|"&amp;$C909,'Base de sorteio'!$I$3:$I$1723,0)),"")</f>
        <v/>
      </c>
      <c r="H909" s="4">
        <f>IFERROR(INDEX('Base de sorteio'!$E$3:$E$1723,MATCH($B909&amp;"|"&amp;$C909,'Base de sorteio'!$I$3:$I$1723,0)),"")</f>
        <v/>
      </c>
      <c r="I909" s="4">
        <f>IF(E909="","",HYPERLINK(IFERROR(INDEX('Base de sorteio'!$J$3:$J$1723,MATCH($B909&amp;"|"&amp;$C909,'Base de sorteio'!$I$3:$I$1723,0)),""),"abrir"))</f>
        <v/>
      </c>
      <c r="J909" s="4" t="n"/>
      <c r="K909" s="4" t="n"/>
      <c r="L909" s="4" t="n"/>
      <c r="M909" s="4" t="n"/>
      <c r="N909" s="4">
        <f>IF(AND(K909="",M909=""),"",IF(OR(K909="sim",M909="sim"),"sim",IF(OR(K909="inconclusivo",M909="inconclusivo"),"inconclusivo","não")))</f>
        <v/>
      </c>
      <c r="O909" s="5">
        <f>IF(N909="sim",COUNTIFS($B$3:$B909,$B909,$N$3:$N909,"sim"),"")</f>
        <v/>
      </c>
      <c r="P909" s="5" t="n"/>
      <c r="Q909" s="4" t="n"/>
      <c r="R909" s="5" t="n"/>
      <c r="S909" s="9" t="n"/>
      <c r="T909" s="4" t="n"/>
    </row>
    <row r="910">
      <c r="A910" s="5">
        <f>ROW()-2</f>
        <v/>
      </c>
      <c r="B910" s="4" t="inlineStr">
        <is>
          <t>Metrópole</t>
        </is>
      </c>
      <c r="C910" s="5" t="n">
        <v>908</v>
      </c>
      <c r="D910" s="5">
        <f>IFERROR(INDEX('Base de sorteio'!$A$3:$A$1723,MATCH($B910&amp;"|"&amp;$C910,'Base de sorteio'!$I$3:$I$1723,0)),"")</f>
        <v/>
      </c>
      <c r="E910" s="4">
        <f>IFERROR(INDEX('Base de sorteio'!$B$3:$B$1723,MATCH($B910&amp;"|"&amp;$C910,'Base de sorteio'!$I$3:$I$1723,0)),"")</f>
        <v/>
      </c>
      <c r="F910" s="4">
        <f>IFERROR(INDEX('Base de sorteio'!$C$3:$C$1723,MATCH($B910&amp;"|"&amp;$C910,'Base de sorteio'!$I$3:$I$1723,0)),"")</f>
        <v/>
      </c>
      <c r="G910" s="4">
        <f>IFERROR(INDEX('Base de sorteio'!$D$3:$D$1723,MATCH($B910&amp;"|"&amp;$C910,'Base de sorteio'!$I$3:$I$1723,0)),"")</f>
        <v/>
      </c>
      <c r="H910" s="4">
        <f>IFERROR(INDEX('Base de sorteio'!$E$3:$E$1723,MATCH($B910&amp;"|"&amp;$C910,'Base de sorteio'!$I$3:$I$1723,0)),"")</f>
        <v/>
      </c>
      <c r="I910" s="4">
        <f>IF(E910="","",HYPERLINK(IFERROR(INDEX('Base de sorteio'!$J$3:$J$1723,MATCH($B910&amp;"|"&amp;$C910,'Base de sorteio'!$I$3:$I$1723,0)),""),"abrir"))</f>
        <v/>
      </c>
      <c r="J910" s="4" t="n"/>
      <c r="K910" s="4" t="n"/>
      <c r="L910" s="4" t="n"/>
      <c r="M910" s="4" t="n"/>
      <c r="N910" s="4">
        <f>IF(AND(K910="",M910=""),"",IF(OR(K910="sim",M910="sim"),"sim",IF(OR(K910="inconclusivo",M910="inconclusivo"),"inconclusivo","não")))</f>
        <v/>
      </c>
      <c r="O910" s="5">
        <f>IF(N910="sim",COUNTIFS($B$3:$B910,$B910,$N$3:$N910,"sim"),"")</f>
        <v/>
      </c>
      <c r="P910" s="5" t="n"/>
      <c r="Q910" s="4" t="n"/>
      <c r="R910" s="5" t="n"/>
      <c r="S910" s="9" t="n"/>
      <c r="T910" s="4" t="n"/>
    </row>
    <row r="911">
      <c r="A911" s="5">
        <f>ROW()-2</f>
        <v/>
      </c>
      <c r="B911" s="4" t="inlineStr">
        <is>
          <t>Metrópole</t>
        </is>
      </c>
      <c r="C911" s="5" t="n">
        <v>909</v>
      </c>
      <c r="D911" s="5">
        <f>IFERROR(INDEX('Base de sorteio'!$A$3:$A$1723,MATCH($B911&amp;"|"&amp;$C911,'Base de sorteio'!$I$3:$I$1723,0)),"")</f>
        <v/>
      </c>
      <c r="E911" s="4">
        <f>IFERROR(INDEX('Base de sorteio'!$B$3:$B$1723,MATCH($B911&amp;"|"&amp;$C911,'Base de sorteio'!$I$3:$I$1723,0)),"")</f>
        <v/>
      </c>
      <c r="F911" s="4">
        <f>IFERROR(INDEX('Base de sorteio'!$C$3:$C$1723,MATCH($B911&amp;"|"&amp;$C911,'Base de sorteio'!$I$3:$I$1723,0)),"")</f>
        <v/>
      </c>
      <c r="G911" s="4">
        <f>IFERROR(INDEX('Base de sorteio'!$D$3:$D$1723,MATCH($B911&amp;"|"&amp;$C911,'Base de sorteio'!$I$3:$I$1723,0)),"")</f>
        <v/>
      </c>
      <c r="H911" s="4">
        <f>IFERROR(INDEX('Base de sorteio'!$E$3:$E$1723,MATCH($B911&amp;"|"&amp;$C911,'Base de sorteio'!$I$3:$I$1723,0)),"")</f>
        <v/>
      </c>
      <c r="I911" s="4">
        <f>IF(E911="","",HYPERLINK(IFERROR(INDEX('Base de sorteio'!$J$3:$J$1723,MATCH($B911&amp;"|"&amp;$C911,'Base de sorteio'!$I$3:$I$1723,0)),""),"abrir"))</f>
        <v/>
      </c>
      <c r="J911" s="4" t="n"/>
      <c r="K911" s="4" t="n"/>
      <c r="L911" s="4" t="n"/>
      <c r="M911" s="4" t="n"/>
      <c r="N911" s="4">
        <f>IF(AND(K911="",M911=""),"",IF(OR(K911="sim",M911="sim"),"sim",IF(OR(K911="inconclusivo",M911="inconclusivo"),"inconclusivo","não")))</f>
        <v/>
      </c>
      <c r="O911" s="5">
        <f>IF(N911="sim",COUNTIFS($B$3:$B911,$B911,$N$3:$N911,"sim"),"")</f>
        <v/>
      </c>
      <c r="P911" s="5" t="n"/>
      <c r="Q911" s="4" t="n"/>
      <c r="R911" s="5" t="n"/>
      <c r="S911" s="9" t="n"/>
      <c r="T911" s="4" t="n"/>
    </row>
    <row r="912">
      <c r="A912" s="5">
        <f>ROW()-2</f>
        <v/>
      </c>
      <c r="B912" s="4" t="inlineStr">
        <is>
          <t>Metrópole</t>
        </is>
      </c>
      <c r="C912" s="5" t="n">
        <v>910</v>
      </c>
      <c r="D912" s="5">
        <f>IFERROR(INDEX('Base de sorteio'!$A$3:$A$1723,MATCH($B912&amp;"|"&amp;$C912,'Base de sorteio'!$I$3:$I$1723,0)),"")</f>
        <v/>
      </c>
      <c r="E912" s="4">
        <f>IFERROR(INDEX('Base de sorteio'!$B$3:$B$1723,MATCH($B912&amp;"|"&amp;$C912,'Base de sorteio'!$I$3:$I$1723,0)),"")</f>
        <v/>
      </c>
      <c r="F912" s="4">
        <f>IFERROR(INDEX('Base de sorteio'!$C$3:$C$1723,MATCH($B912&amp;"|"&amp;$C912,'Base de sorteio'!$I$3:$I$1723,0)),"")</f>
        <v/>
      </c>
      <c r="G912" s="4">
        <f>IFERROR(INDEX('Base de sorteio'!$D$3:$D$1723,MATCH($B912&amp;"|"&amp;$C912,'Base de sorteio'!$I$3:$I$1723,0)),"")</f>
        <v/>
      </c>
      <c r="H912" s="4">
        <f>IFERROR(INDEX('Base de sorteio'!$E$3:$E$1723,MATCH($B912&amp;"|"&amp;$C912,'Base de sorteio'!$I$3:$I$1723,0)),"")</f>
        <v/>
      </c>
      <c r="I912" s="4">
        <f>IF(E912="","",HYPERLINK(IFERROR(INDEX('Base de sorteio'!$J$3:$J$1723,MATCH($B912&amp;"|"&amp;$C912,'Base de sorteio'!$I$3:$I$1723,0)),""),"abrir"))</f>
        <v/>
      </c>
      <c r="J912" s="4" t="n"/>
      <c r="K912" s="4" t="n"/>
      <c r="L912" s="4" t="n"/>
      <c r="M912" s="4" t="n"/>
      <c r="N912" s="4">
        <f>IF(AND(K912="",M912=""),"",IF(OR(K912="sim",M912="sim"),"sim",IF(OR(K912="inconclusivo",M912="inconclusivo"),"inconclusivo","não")))</f>
        <v/>
      </c>
      <c r="O912" s="5">
        <f>IF(N912="sim",COUNTIFS($B$3:$B912,$B912,$N$3:$N912,"sim"),"")</f>
        <v/>
      </c>
      <c r="P912" s="5" t="n"/>
      <c r="Q912" s="4" t="n"/>
      <c r="R912" s="5" t="n"/>
      <c r="S912" s="9" t="n"/>
      <c r="T912" s="4" t="n"/>
    </row>
    <row r="913">
      <c r="A913" s="5">
        <f>ROW()-2</f>
        <v/>
      </c>
      <c r="B913" s="4" t="inlineStr">
        <is>
          <t>Metrópole</t>
        </is>
      </c>
      <c r="C913" s="5" t="n">
        <v>911</v>
      </c>
      <c r="D913" s="5">
        <f>IFERROR(INDEX('Base de sorteio'!$A$3:$A$1723,MATCH($B913&amp;"|"&amp;$C913,'Base de sorteio'!$I$3:$I$1723,0)),"")</f>
        <v/>
      </c>
      <c r="E913" s="4">
        <f>IFERROR(INDEX('Base de sorteio'!$B$3:$B$1723,MATCH($B913&amp;"|"&amp;$C913,'Base de sorteio'!$I$3:$I$1723,0)),"")</f>
        <v/>
      </c>
      <c r="F913" s="4">
        <f>IFERROR(INDEX('Base de sorteio'!$C$3:$C$1723,MATCH($B913&amp;"|"&amp;$C913,'Base de sorteio'!$I$3:$I$1723,0)),"")</f>
        <v/>
      </c>
      <c r="G913" s="4">
        <f>IFERROR(INDEX('Base de sorteio'!$D$3:$D$1723,MATCH($B913&amp;"|"&amp;$C913,'Base de sorteio'!$I$3:$I$1723,0)),"")</f>
        <v/>
      </c>
      <c r="H913" s="4">
        <f>IFERROR(INDEX('Base de sorteio'!$E$3:$E$1723,MATCH($B913&amp;"|"&amp;$C913,'Base de sorteio'!$I$3:$I$1723,0)),"")</f>
        <v/>
      </c>
      <c r="I913" s="4">
        <f>IF(E913="","",HYPERLINK(IFERROR(INDEX('Base de sorteio'!$J$3:$J$1723,MATCH($B913&amp;"|"&amp;$C913,'Base de sorteio'!$I$3:$I$1723,0)),""),"abrir"))</f>
        <v/>
      </c>
      <c r="J913" s="4" t="n"/>
      <c r="K913" s="4" t="n"/>
      <c r="L913" s="4" t="n"/>
      <c r="M913" s="4" t="n"/>
      <c r="N913" s="4">
        <f>IF(AND(K913="",M913=""),"",IF(OR(K913="sim",M913="sim"),"sim",IF(OR(K913="inconclusivo",M913="inconclusivo"),"inconclusivo","não")))</f>
        <v/>
      </c>
      <c r="O913" s="5">
        <f>IF(N913="sim",COUNTIFS($B$3:$B913,$B913,$N$3:$N913,"sim"),"")</f>
        <v/>
      </c>
      <c r="P913" s="5" t="n"/>
      <c r="Q913" s="4" t="n"/>
      <c r="R913" s="5" t="n"/>
      <c r="S913" s="9" t="n"/>
      <c r="T913" s="4" t="n"/>
    </row>
    <row r="914">
      <c r="A914" s="5">
        <f>ROW()-2</f>
        <v/>
      </c>
      <c r="B914" s="4" t="inlineStr">
        <is>
          <t>Metrópole</t>
        </is>
      </c>
      <c r="C914" s="5" t="n">
        <v>912</v>
      </c>
      <c r="D914" s="5">
        <f>IFERROR(INDEX('Base de sorteio'!$A$3:$A$1723,MATCH($B914&amp;"|"&amp;$C914,'Base de sorteio'!$I$3:$I$1723,0)),"")</f>
        <v/>
      </c>
      <c r="E914" s="4">
        <f>IFERROR(INDEX('Base de sorteio'!$B$3:$B$1723,MATCH($B914&amp;"|"&amp;$C914,'Base de sorteio'!$I$3:$I$1723,0)),"")</f>
        <v/>
      </c>
      <c r="F914" s="4">
        <f>IFERROR(INDEX('Base de sorteio'!$C$3:$C$1723,MATCH($B914&amp;"|"&amp;$C914,'Base de sorteio'!$I$3:$I$1723,0)),"")</f>
        <v/>
      </c>
      <c r="G914" s="4">
        <f>IFERROR(INDEX('Base de sorteio'!$D$3:$D$1723,MATCH($B914&amp;"|"&amp;$C914,'Base de sorteio'!$I$3:$I$1723,0)),"")</f>
        <v/>
      </c>
      <c r="H914" s="4">
        <f>IFERROR(INDEX('Base de sorteio'!$E$3:$E$1723,MATCH($B914&amp;"|"&amp;$C914,'Base de sorteio'!$I$3:$I$1723,0)),"")</f>
        <v/>
      </c>
      <c r="I914" s="4">
        <f>IF(E914="","",HYPERLINK(IFERROR(INDEX('Base de sorteio'!$J$3:$J$1723,MATCH($B914&amp;"|"&amp;$C914,'Base de sorteio'!$I$3:$I$1723,0)),""),"abrir"))</f>
        <v/>
      </c>
      <c r="J914" s="4" t="n"/>
      <c r="K914" s="4" t="n"/>
      <c r="L914" s="4" t="n"/>
      <c r="M914" s="4" t="n"/>
      <c r="N914" s="4">
        <f>IF(AND(K914="",M914=""),"",IF(OR(K914="sim",M914="sim"),"sim",IF(OR(K914="inconclusivo",M914="inconclusivo"),"inconclusivo","não")))</f>
        <v/>
      </c>
      <c r="O914" s="5">
        <f>IF(N914="sim",COUNTIFS($B$3:$B914,$B914,$N$3:$N914,"sim"),"")</f>
        <v/>
      </c>
      <c r="P914" s="5" t="n"/>
      <c r="Q914" s="4" t="n"/>
      <c r="R914" s="5" t="n"/>
      <c r="S914" s="9" t="n"/>
      <c r="T914" s="4" t="n"/>
    </row>
    <row r="915">
      <c r="A915" s="5">
        <f>ROW()-2</f>
        <v/>
      </c>
      <c r="B915" s="4" t="inlineStr">
        <is>
          <t>Metrópole</t>
        </is>
      </c>
      <c r="C915" s="5" t="n">
        <v>913</v>
      </c>
      <c r="D915" s="5">
        <f>IFERROR(INDEX('Base de sorteio'!$A$3:$A$1723,MATCH($B915&amp;"|"&amp;$C915,'Base de sorteio'!$I$3:$I$1723,0)),"")</f>
        <v/>
      </c>
      <c r="E915" s="4">
        <f>IFERROR(INDEX('Base de sorteio'!$B$3:$B$1723,MATCH($B915&amp;"|"&amp;$C915,'Base de sorteio'!$I$3:$I$1723,0)),"")</f>
        <v/>
      </c>
      <c r="F915" s="4">
        <f>IFERROR(INDEX('Base de sorteio'!$C$3:$C$1723,MATCH($B915&amp;"|"&amp;$C915,'Base de sorteio'!$I$3:$I$1723,0)),"")</f>
        <v/>
      </c>
      <c r="G915" s="4">
        <f>IFERROR(INDEX('Base de sorteio'!$D$3:$D$1723,MATCH($B915&amp;"|"&amp;$C915,'Base de sorteio'!$I$3:$I$1723,0)),"")</f>
        <v/>
      </c>
      <c r="H915" s="4">
        <f>IFERROR(INDEX('Base de sorteio'!$E$3:$E$1723,MATCH($B915&amp;"|"&amp;$C915,'Base de sorteio'!$I$3:$I$1723,0)),"")</f>
        <v/>
      </c>
      <c r="I915" s="4">
        <f>IF(E915="","",HYPERLINK(IFERROR(INDEX('Base de sorteio'!$J$3:$J$1723,MATCH($B915&amp;"|"&amp;$C915,'Base de sorteio'!$I$3:$I$1723,0)),""),"abrir"))</f>
        <v/>
      </c>
      <c r="J915" s="4" t="n"/>
      <c r="K915" s="4" t="n"/>
      <c r="L915" s="4" t="n"/>
      <c r="M915" s="4" t="n"/>
      <c r="N915" s="4">
        <f>IF(AND(K915="",M915=""),"",IF(OR(K915="sim",M915="sim"),"sim",IF(OR(K915="inconclusivo",M915="inconclusivo"),"inconclusivo","não")))</f>
        <v/>
      </c>
      <c r="O915" s="5">
        <f>IF(N915="sim",COUNTIFS($B$3:$B915,$B915,$N$3:$N915,"sim"),"")</f>
        <v/>
      </c>
      <c r="P915" s="5" t="n"/>
      <c r="Q915" s="4" t="n"/>
      <c r="R915" s="5" t="n"/>
      <c r="S915" s="9" t="n"/>
      <c r="T915" s="4" t="n"/>
    </row>
    <row r="916">
      <c r="A916" s="5">
        <f>ROW()-2</f>
        <v/>
      </c>
      <c r="B916" s="4" t="inlineStr">
        <is>
          <t>Metrópole</t>
        </is>
      </c>
      <c r="C916" s="5" t="n">
        <v>914</v>
      </c>
      <c r="D916" s="5">
        <f>IFERROR(INDEX('Base de sorteio'!$A$3:$A$1723,MATCH($B916&amp;"|"&amp;$C916,'Base de sorteio'!$I$3:$I$1723,0)),"")</f>
        <v/>
      </c>
      <c r="E916" s="4">
        <f>IFERROR(INDEX('Base de sorteio'!$B$3:$B$1723,MATCH($B916&amp;"|"&amp;$C916,'Base de sorteio'!$I$3:$I$1723,0)),"")</f>
        <v/>
      </c>
      <c r="F916" s="4">
        <f>IFERROR(INDEX('Base de sorteio'!$C$3:$C$1723,MATCH($B916&amp;"|"&amp;$C916,'Base de sorteio'!$I$3:$I$1723,0)),"")</f>
        <v/>
      </c>
      <c r="G916" s="4">
        <f>IFERROR(INDEX('Base de sorteio'!$D$3:$D$1723,MATCH($B916&amp;"|"&amp;$C916,'Base de sorteio'!$I$3:$I$1723,0)),"")</f>
        <v/>
      </c>
      <c r="H916" s="4">
        <f>IFERROR(INDEX('Base de sorteio'!$E$3:$E$1723,MATCH($B916&amp;"|"&amp;$C916,'Base de sorteio'!$I$3:$I$1723,0)),"")</f>
        <v/>
      </c>
      <c r="I916" s="4">
        <f>IF(E916="","",HYPERLINK(IFERROR(INDEX('Base de sorteio'!$J$3:$J$1723,MATCH($B916&amp;"|"&amp;$C916,'Base de sorteio'!$I$3:$I$1723,0)),""),"abrir"))</f>
        <v/>
      </c>
      <c r="J916" s="4" t="n"/>
      <c r="K916" s="4" t="n"/>
      <c r="L916" s="4" t="n"/>
      <c r="M916" s="4" t="n"/>
      <c r="N916" s="4">
        <f>IF(AND(K916="",M916=""),"",IF(OR(K916="sim",M916="sim"),"sim",IF(OR(K916="inconclusivo",M916="inconclusivo"),"inconclusivo","não")))</f>
        <v/>
      </c>
      <c r="O916" s="5">
        <f>IF(N916="sim",COUNTIFS($B$3:$B916,$B916,$N$3:$N916,"sim"),"")</f>
        <v/>
      </c>
      <c r="P916" s="5" t="n"/>
      <c r="Q916" s="4" t="n"/>
      <c r="R916" s="5" t="n"/>
      <c r="S916" s="9" t="n"/>
      <c r="T916" s="4" t="n"/>
    </row>
    <row r="917">
      <c r="A917" s="5">
        <f>ROW()-2</f>
        <v/>
      </c>
      <c r="B917" s="4" t="inlineStr">
        <is>
          <t>Metrópole</t>
        </is>
      </c>
      <c r="C917" s="5" t="n">
        <v>915</v>
      </c>
      <c r="D917" s="5">
        <f>IFERROR(INDEX('Base de sorteio'!$A$3:$A$1723,MATCH($B917&amp;"|"&amp;$C917,'Base de sorteio'!$I$3:$I$1723,0)),"")</f>
        <v/>
      </c>
      <c r="E917" s="4">
        <f>IFERROR(INDEX('Base de sorteio'!$B$3:$B$1723,MATCH($B917&amp;"|"&amp;$C917,'Base de sorteio'!$I$3:$I$1723,0)),"")</f>
        <v/>
      </c>
      <c r="F917" s="4">
        <f>IFERROR(INDEX('Base de sorteio'!$C$3:$C$1723,MATCH($B917&amp;"|"&amp;$C917,'Base de sorteio'!$I$3:$I$1723,0)),"")</f>
        <v/>
      </c>
      <c r="G917" s="4">
        <f>IFERROR(INDEX('Base de sorteio'!$D$3:$D$1723,MATCH($B917&amp;"|"&amp;$C917,'Base de sorteio'!$I$3:$I$1723,0)),"")</f>
        <v/>
      </c>
      <c r="H917" s="4">
        <f>IFERROR(INDEX('Base de sorteio'!$E$3:$E$1723,MATCH($B917&amp;"|"&amp;$C917,'Base de sorteio'!$I$3:$I$1723,0)),"")</f>
        <v/>
      </c>
      <c r="I917" s="4">
        <f>IF(E917="","",HYPERLINK(IFERROR(INDEX('Base de sorteio'!$J$3:$J$1723,MATCH($B917&amp;"|"&amp;$C917,'Base de sorteio'!$I$3:$I$1723,0)),""),"abrir"))</f>
        <v/>
      </c>
      <c r="J917" s="4" t="n"/>
      <c r="K917" s="4" t="n"/>
      <c r="L917" s="4" t="n"/>
      <c r="M917" s="4" t="n"/>
      <c r="N917" s="4">
        <f>IF(AND(K917="",M917=""),"",IF(OR(K917="sim",M917="sim"),"sim",IF(OR(K917="inconclusivo",M917="inconclusivo"),"inconclusivo","não")))</f>
        <v/>
      </c>
      <c r="O917" s="5">
        <f>IF(N917="sim",COUNTIFS($B$3:$B917,$B917,$N$3:$N917,"sim"),"")</f>
        <v/>
      </c>
      <c r="P917" s="5" t="n"/>
      <c r="Q917" s="4" t="n"/>
      <c r="R917" s="5" t="n"/>
      <c r="S917" s="9" t="n"/>
      <c r="T917" s="4" t="n"/>
    </row>
    <row r="918">
      <c r="A918" s="5">
        <f>ROW()-2</f>
        <v/>
      </c>
      <c r="B918" s="4" t="inlineStr">
        <is>
          <t>Metrópole</t>
        </is>
      </c>
      <c r="C918" s="5" t="n">
        <v>916</v>
      </c>
      <c r="D918" s="5">
        <f>IFERROR(INDEX('Base de sorteio'!$A$3:$A$1723,MATCH($B918&amp;"|"&amp;$C918,'Base de sorteio'!$I$3:$I$1723,0)),"")</f>
        <v/>
      </c>
      <c r="E918" s="4">
        <f>IFERROR(INDEX('Base de sorteio'!$B$3:$B$1723,MATCH($B918&amp;"|"&amp;$C918,'Base de sorteio'!$I$3:$I$1723,0)),"")</f>
        <v/>
      </c>
      <c r="F918" s="4">
        <f>IFERROR(INDEX('Base de sorteio'!$C$3:$C$1723,MATCH($B918&amp;"|"&amp;$C918,'Base de sorteio'!$I$3:$I$1723,0)),"")</f>
        <v/>
      </c>
      <c r="G918" s="4">
        <f>IFERROR(INDEX('Base de sorteio'!$D$3:$D$1723,MATCH($B918&amp;"|"&amp;$C918,'Base de sorteio'!$I$3:$I$1723,0)),"")</f>
        <v/>
      </c>
      <c r="H918" s="4">
        <f>IFERROR(INDEX('Base de sorteio'!$E$3:$E$1723,MATCH($B918&amp;"|"&amp;$C918,'Base de sorteio'!$I$3:$I$1723,0)),"")</f>
        <v/>
      </c>
      <c r="I918" s="4">
        <f>IF(E918="","",HYPERLINK(IFERROR(INDEX('Base de sorteio'!$J$3:$J$1723,MATCH($B918&amp;"|"&amp;$C918,'Base de sorteio'!$I$3:$I$1723,0)),""),"abrir"))</f>
        <v/>
      </c>
      <c r="J918" s="4" t="n"/>
      <c r="K918" s="4" t="n"/>
      <c r="L918" s="4" t="n"/>
      <c r="M918" s="4" t="n"/>
      <c r="N918" s="4">
        <f>IF(AND(K918="",M918=""),"",IF(OR(K918="sim",M918="sim"),"sim",IF(OR(K918="inconclusivo",M918="inconclusivo"),"inconclusivo","não")))</f>
        <v/>
      </c>
      <c r="O918" s="5">
        <f>IF(N918="sim",COUNTIFS($B$3:$B918,$B918,$N$3:$N918,"sim"),"")</f>
        <v/>
      </c>
      <c r="P918" s="5" t="n"/>
      <c r="Q918" s="4" t="n"/>
      <c r="R918" s="5" t="n"/>
      <c r="S918" s="9" t="n"/>
      <c r="T918" s="4" t="n"/>
    </row>
    <row r="919">
      <c r="A919" s="5">
        <f>ROW()-2</f>
        <v/>
      </c>
      <c r="B919" s="4" t="inlineStr">
        <is>
          <t>Metrópole</t>
        </is>
      </c>
      <c r="C919" s="5" t="n">
        <v>917</v>
      </c>
      <c r="D919" s="5">
        <f>IFERROR(INDEX('Base de sorteio'!$A$3:$A$1723,MATCH($B919&amp;"|"&amp;$C919,'Base de sorteio'!$I$3:$I$1723,0)),"")</f>
        <v/>
      </c>
      <c r="E919" s="4">
        <f>IFERROR(INDEX('Base de sorteio'!$B$3:$B$1723,MATCH($B919&amp;"|"&amp;$C919,'Base de sorteio'!$I$3:$I$1723,0)),"")</f>
        <v/>
      </c>
      <c r="F919" s="4">
        <f>IFERROR(INDEX('Base de sorteio'!$C$3:$C$1723,MATCH($B919&amp;"|"&amp;$C919,'Base de sorteio'!$I$3:$I$1723,0)),"")</f>
        <v/>
      </c>
      <c r="G919" s="4">
        <f>IFERROR(INDEX('Base de sorteio'!$D$3:$D$1723,MATCH($B919&amp;"|"&amp;$C919,'Base de sorteio'!$I$3:$I$1723,0)),"")</f>
        <v/>
      </c>
      <c r="H919" s="4">
        <f>IFERROR(INDEX('Base de sorteio'!$E$3:$E$1723,MATCH($B919&amp;"|"&amp;$C919,'Base de sorteio'!$I$3:$I$1723,0)),"")</f>
        <v/>
      </c>
      <c r="I919" s="4">
        <f>IF(E919="","",HYPERLINK(IFERROR(INDEX('Base de sorteio'!$J$3:$J$1723,MATCH($B919&amp;"|"&amp;$C919,'Base de sorteio'!$I$3:$I$1723,0)),""),"abrir"))</f>
        <v/>
      </c>
      <c r="J919" s="4" t="n"/>
      <c r="K919" s="4" t="n"/>
      <c r="L919" s="4" t="n"/>
      <c r="M919" s="4" t="n"/>
      <c r="N919" s="4">
        <f>IF(AND(K919="",M919=""),"",IF(OR(K919="sim",M919="sim"),"sim",IF(OR(K919="inconclusivo",M919="inconclusivo"),"inconclusivo","não")))</f>
        <v/>
      </c>
      <c r="O919" s="5">
        <f>IF(N919="sim",COUNTIFS($B$3:$B919,$B919,$N$3:$N919,"sim"),"")</f>
        <v/>
      </c>
      <c r="P919" s="5" t="n"/>
      <c r="Q919" s="4" t="n"/>
      <c r="R919" s="5" t="n"/>
      <c r="S919" s="9" t="n"/>
      <c r="T919" s="4" t="n"/>
    </row>
    <row r="920">
      <c r="A920" s="5">
        <f>ROW()-2</f>
        <v/>
      </c>
      <c r="B920" s="4" t="inlineStr">
        <is>
          <t>Metrópole</t>
        </is>
      </c>
      <c r="C920" s="5" t="n">
        <v>918</v>
      </c>
      <c r="D920" s="5">
        <f>IFERROR(INDEX('Base de sorteio'!$A$3:$A$1723,MATCH($B920&amp;"|"&amp;$C920,'Base de sorteio'!$I$3:$I$1723,0)),"")</f>
        <v/>
      </c>
      <c r="E920" s="4">
        <f>IFERROR(INDEX('Base de sorteio'!$B$3:$B$1723,MATCH($B920&amp;"|"&amp;$C920,'Base de sorteio'!$I$3:$I$1723,0)),"")</f>
        <v/>
      </c>
      <c r="F920" s="4">
        <f>IFERROR(INDEX('Base de sorteio'!$C$3:$C$1723,MATCH($B920&amp;"|"&amp;$C920,'Base de sorteio'!$I$3:$I$1723,0)),"")</f>
        <v/>
      </c>
      <c r="G920" s="4">
        <f>IFERROR(INDEX('Base de sorteio'!$D$3:$D$1723,MATCH($B920&amp;"|"&amp;$C920,'Base de sorteio'!$I$3:$I$1723,0)),"")</f>
        <v/>
      </c>
      <c r="H920" s="4">
        <f>IFERROR(INDEX('Base de sorteio'!$E$3:$E$1723,MATCH($B920&amp;"|"&amp;$C920,'Base de sorteio'!$I$3:$I$1723,0)),"")</f>
        <v/>
      </c>
      <c r="I920" s="4">
        <f>IF(E920="","",HYPERLINK(IFERROR(INDEX('Base de sorteio'!$J$3:$J$1723,MATCH($B920&amp;"|"&amp;$C920,'Base de sorteio'!$I$3:$I$1723,0)),""),"abrir"))</f>
        <v/>
      </c>
      <c r="J920" s="4" t="n"/>
      <c r="K920" s="4" t="n"/>
      <c r="L920" s="4" t="n"/>
      <c r="M920" s="4" t="n"/>
      <c r="N920" s="4">
        <f>IF(AND(K920="",M920=""),"",IF(OR(K920="sim",M920="sim"),"sim",IF(OR(K920="inconclusivo",M920="inconclusivo"),"inconclusivo","não")))</f>
        <v/>
      </c>
      <c r="O920" s="5">
        <f>IF(N920="sim",COUNTIFS($B$3:$B920,$B920,$N$3:$N920,"sim"),"")</f>
        <v/>
      </c>
      <c r="P920" s="5" t="n"/>
      <c r="Q920" s="4" t="n"/>
      <c r="R920" s="5" t="n"/>
      <c r="S920" s="9" t="n"/>
      <c r="T920" s="4" t="n"/>
    </row>
    <row r="921">
      <c r="A921" s="5">
        <f>ROW()-2</f>
        <v/>
      </c>
      <c r="B921" s="4" t="inlineStr">
        <is>
          <t>Metrópole</t>
        </is>
      </c>
      <c r="C921" s="5" t="n">
        <v>919</v>
      </c>
      <c r="D921" s="5">
        <f>IFERROR(INDEX('Base de sorteio'!$A$3:$A$1723,MATCH($B921&amp;"|"&amp;$C921,'Base de sorteio'!$I$3:$I$1723,0)),"")</f>
        <v/>
      </c>
      <c r="E921" s="4">
        <f>IFERROR(INDEX('Base de sorteio'!$B$3:$B$1723,MATCH($B921&amp;"|"&amp;$C921,'Base de sorteio'!$I$3:$I$1723,0)),"")</f>
        <v/>
      </c>
      <c r="F921" s="4">
        <f>IFERROR(INDEX('Base de sorteio'!$C$3:$C$1723,MATCH($B921&amp;"|"&amp;$C921,'Base de sorteio'!$I$3:$I$1723,0)),"")</f>
        <v/>
      </c>
      <c r="G921" s="4">
        <f>IFERROR(INDEX('Base de sorteio'!$D$3:$D$1723,MATCH($B921&amp;"|"&amp;$C921,'Base de sorteio'!$I$3:$I$1723,0)),"")</f>
        <v/>
      </c>
      <c r="H921" s="4">
        <f>IFERROR(INDEX('Base de sorteio'!$E$3:$E$1723,MATCH($B921&amp;"|"&amp;$C921,'Base de sorteio'!$I$3:$I$1723,0)),"")</f>
        <v/>
      </c>
      <c r="I921" s="4">
        <f>IF(E921="","",HYPERLINK(IFERROR(INDEX('Base de sorteio'!$J$3:$J$1723,MATCH($B921&amp;"|"&amp;$C921,'Base de sorteio'!$I$3:$I$1723,0)),""),"abrir"))</f>
        <v/>
      </c>
      <c r="J921" s="4" t="n"/>
      <c r="K921" s="4" t="n"/>
      <c r="L921" s="4" t="n"/>
      <c r="M921" s="4" t="n"/>
      <c r="N921" s="4">
        <f>IF(AND(K921="",M921=""),"",IF(OR(K921="sim",M921="sim"),"sim",IF(OR(K921="inconclusivo",M921="inconclusivo"),"inconclusivo","não")))</f>
        <v/>
      </c>
      <c r="O921" s="5">
        <f>IF(N921="sim",COUNTIFS($B$3:$B921,$B921,$N$3:$N921,"sim"),"")</f>
        <v/>
      </c>
      <c r="P921" s="5" t="n"/>
      <c r="Q921" s="4" t="n"/>
      <c r="R921" s="5" t="n"/>
      <c r="S921" s="9" t="n"/>
      <c r="T921" s="4" t="n"/>
    </row>
    <row r="922">
      <c r="A922" s="5">
        <f>ROW()-2</f>
        <v/>
      </c>
      <c r="B922" s="4" t="inlineStr">
        <is>
          <t>Metrópole</t>
        </is>
      </c>
      <c r="C922" s="5" t="n">
        <v>920</v>
      </c>
      <c r="D922" s="5">
        <f>IFERROR(INDEX('Base de sorteio'!$A$3:$A$1723,MATCH($B922&amp;"|"&amp;$C922,'Base de sorteio'!$I$3:$I$1723,0)),"")</f>
        <v/>
      </c>
      <c r="E922" s="4">
        <f>IFERROR(INDEX('Base de sorteio'!$B$3:$B$1723,MATCH($B922&amp;"|"&amp;$C922,'Base de sorteio'!$I$3:$I$1723,0)),"")</f>
        <v/>
      </c>
      <c r="F922" s="4">
        <f>IFERROR(INDEX('Base de sorteio'!$C$3:$C$1723,MATCH($B922&amp;"|"&amp;$C922,'Base de sorteio'!$I$3:$I$1723,0)),"")</f>
        <v/>
      </c>
      <c r="G922" s="4">
        <f>IFERROR(INDEX('Base de sorteio'!$D$3:$D$1723,MATCH($B922&amp;"|"&amp;$C922,'Base de sorteio'!$I$3:$I$1723,0)),"")</f>
        <v/>
      </c>
      <c r="H922" s="4">
        <f>IFERROR(INDEX('Base de sorteio'!$E$3:$E$1723,MATCH($B922&amp;"|"&amp;$C922,'Base de sorteio'!$I$3:$I$1723,0)),"")</f>
        <v/>
      </c>
      <c r="I922" s="4">
        <f>IF(E922="","",HYPERLINK(IFERROR(INDEX('Base de sorteio'!$J$3:$J$1723,MATCH($B922&amp;"|"&amp;$C922,'Base de sorteio'!$I$3:$I$1723,0)),""),"abrir"))</f>
        <v/>
      </c>
      <c r="J922" s="4" t="n"/>
      <c r="K922" s="4" t="n"/>
      <c r="L922" s="4" t="n"/>
      <c r="M922" s="4" t="n"/>
      <c r="N922" s="4">
        <f>IF(AND(K922="",M922=""),"",IF(OR(K922="sim",M922="sim"),"sim",IF(OR(K922="inconclusivo",M922="inconclusivo"),"inconclusivo","não")))</f>
        <v/>
      </c>
      <c r="O922" s="5">
        <f>IF(N922="sim",COUNTIFS($B$3:$B922,$B922,$N$3:$N922,"sim"),"")</f>
        <v/>
      </c>
      <c r="P922" s="5" t="n"/>
      <c r="Q922" s="4" t="n"/>
      <c r="R922" s="5" t="n"/>
      <c r="S922" s="9" t="n"/>
      <c r="T922" s="4" t="n"/>
    </row>
    <row r="923">
      <c r="A923" s="5">
        <f>ROW()-2</f>
        <v/>
      </c>
      <c r="B923" s="4" t="inlineStr">
        <is>
          <t>Metrópole</t>
        </is>
      </c>
      <c r="C923" s="5" t="n">
        <v>921</v>
      </c>
      <c r="D923" s="5">
        <f>IFERROR(INDEX('Base de sorteio'!$A$3:$A$1723,MATCH($B923&amp;"|"&amp;$C923,'Base de sorteio'!$I$3:$I$1723,0)),"")</f>
        <v/>
      </c>
      <c r="E923" s="4">
        <f>IFERROR(INDEX('Base de sorteio'!$B$3:$B$1723,MATCH($B923&amp;"|"&amp;$C923,'Base de sorteio'!$I$3:$I$1723,0)),"")</f>
        <v/>
      </c>
      <c r="F923" s="4">
        <f>IFERROR(INDEX('Base de sorteio'!$C$3:$C$1723,MATCH($B923&amp;"|"&amp;$C923,'Base de sorteio'!$I$3:$I$1723,0)),"")</f>
        <v/>
      </c>
      <c r="G923" s="4">
        <f>IFERROR(INDEX('Base de sorteio'!$D$3:$D$1723,MATCH($B923&amp;"|"&amp;$C923,'Base de sorteio'!$I$3:$I$1723,0)),"")</f>
        <v/>
      </c>
      <c r="H923" s="4">
        <f>IFERROR(INDEX('Base de sorteio'!$E$3:$E$1723,MATCH($B923&amp;"|"&amp;$C923,'Base de sorteio'!$I$3:$I$1723,0)),"")</f>
        <v/>
      </c>
      <c r="I923" s="4">
        <f>IF(E923="","",HYPERLINK(IFERROR(INDEX('Base de sorteio'!$J$3:$J$1723,MATCH($B923&amp;"|"&amp;$C923,'Base de sorteio'!$I$3:$I$1723,0)),""),"abrir"))</f>
        <v/>
      </c>
      <c r="J923" s="4" t="n"/>
      <c r="K923" s="4" t="n"/>
      <c r="L923" s="4" t="n"/>
      <c r="M923" s="4" t="n"/>
      <c r="N923" s="4">
        <f>IF(AND(K923="",M923=""),"",IF(OR(K923="sim",M923="sim"),"sim",IF(OR(K923="inconclusivo",M923="inconclusivo"),"inconclusivo","não")))</f>
        <v/>
      </c>
      <c r="O923" s="5">
        <f>IF(N923="sim",COUNTIFS($B$3:$B923,$B923,$N$3:$N923,"sim"),"")</f>
        <v/>
      </c>
      <c r="P923" s="5" t="n"/>
      <c r="Q923" s="4" t="n"/>
      <c r="R923" s="5" t="n"/>
      <c r="S923" s="9" t="n"/>
      <c r="T923" s="4" t="n"/>
    </row>
    <row r="924">
      <c r="A924" s="5">
        <f>ROW()-2</f>
        <v/>
      </c>
      <c r="B924" s="4" t="inlineStr">
        <is>
          <t>Metrópole</t>
        </is>
      </c>
      <c r="C924" s="5" t="n">
        <v>922</v>
      </c>
      <c r="D924" s="5">
        <f>IFERROR(INDEX('Base de sorteio'!$A$3:$A$1723,MATCH($B924&amp;"|"&amp;$C924,'Base de sorteio'!$I$3:$I$1723,0)),"")</f>
        <v/>
      </c>
      <c r="E924" s="4">
        <f>IFERROR(INDEX('Base de sorteio'!$B$3:$B$1723,MATCH($B924&amp;"|"&amp;$C924,'Base de sorteio'!$I$3:$I$1723,0)),"")</f>
        <v/>
      </c>
      <c r="F924" s="4">
        <f>IFERROR(INDEX('Base de sorteio'!$C$3:$C$1723,MATCH($B924&amp;"|"&amp;$C924,'Base de sorteio'!$I$3:$I$1723,0)),"")</f>
        <v/>
      </c>
      <c r="G924" s="4">
        <f>IFERROR(INDEX('Base de sorteio'!$D$3:$D$1723,MATCH($B924&amp;"|"&amp;$C924,'Base de sorteio'!$I$3:$I$1723,0)),"")</f>
        <v/>
      </c>
      <c r="H924" s="4">
        <f>IFERROR(INDEX('Base de sorteio'!$E$3:$E$1723,MATCH($B924&amp;"|"&amp;$C924,'Base de sorteio'!$I$3:$I$1723,0)),"")</f>
        <v/>
      </c>
      <c r="I924" s="4">
        <f>IF(E924="","",HYPERLINK(IFERROR(INDEX('Base de sorteio'!$J$3:$J$1723,MATCH($B924&amp;"|"&amp;$C924,'Base de sorteio'!$I$3:$I$1723,0)),""),"abrir"))</f>
        <v/>
      </c>
      <c r="J924" s="4" t="n"/>
      <c r="K924" s="4" t="n"/>
      <c r="L924" s="4" t="n"/>
      <c r="M924" s="4" t="n"/>
      <c r="N924" s="4">
        <f>IF(AND(K924="",M924=""),"",IF(OR(K924="sim",M924="sim"),"sim",IF(OR(K924="inconclusivo",M924="inconclusivo"),"inconclusivo","não")))</f>
        <v/>
      </c>
      <c r="O924" s="5">
        <f>IF(N924="sim",COUNTIFS($B$3:$B924,$B924,$N$3:$N924,"sim"),"")</f>
        <v/>
      </c>
      <c r="P924" s="5" t="n"/>
      <c r="Q924" s="4" t="n"/>
      <c r="R924" s="5" t="n"/>
      <c r="S924" s="9" t="n"/>
      <c r="T924" s="4" t="n"/>
    </row>
    <row r="925">
      <c r="A925" s="5">
        <f>ROW()-2</f>
        <v/>
      </c>
      <c r="B925" s="4" t="inlineStr">
        <is>
          <t>Metrópole</t>
        </is>
      </c>
      <c r="C925" s="5" t="n">
        <v>923</v>
      </c>
      <c r="D925" s="5">
        <f>IFERROR(INDEX('Base de sorteio'!$A$3:$A$1723,MATCH($B925&amp;"|"&amp;$C925,'Base de sorteio'!$I$3:$I$1723,0)),"")</f>
        <v/>
      </c>
      <c r="E925" s="4">
        <f>IFERROR(INDEX('Base de sorteio'!$B$3:$B$1723,MATCH($B925&amp;"|"&amp;$C925,'Base de sorteio'!$I$3:$I$1723,0)),"")</f>
        <v/>
      </c>
      <c r="F925" s="4">
        <f>IFERROR(INDEX('Base de sorteio'!$C$3:$C$1723,MATCH($B925&amp;"|"&amp;$C925,'Base de sorteio'!$I$3:$I$1723,0)),"")</f>
        <v/>
      </c>
      <c r="G925" s="4">
        <f>IFERROR(INDEX('Base de sorteio'!$D$3:$D$1723,MATCH($B925&amp;"|"&amp;$C925,'Base de sorteio'!$I$3:$I$1723,0)),"")</f>
        <v/>
      </c>
      <c r="H925" s="4">
        <f>IFERROR(INDEX('Base de sorteio'!$E$3:$E$1723,MATCH($B925&amp;"|"&amp;$C925,'Base de sorteio'!$I$3:$I$1723,0)),"")</f>
        <v/>
      </c>
      <c r="I925" s="4">
        <f>IF(E925="","",HYPERLINK(IFERROR(INDEX('Base de sorteio'!$J$3:$J$1723,MATCH($B925&amp;"|"&amp;$C925,'Base de sorteio'!$I$3:$I$1723,0)),""),"abrir"))</f>
        <v/>
      </c>
      <c r="J925" s="4" t="n"/>
      <c r="K925" s="4" t="n"/>
      <c r="L925" s="4" t="n"/>
      <c r="M925" s="4" t="n"/>
      <c r="N925" s="4">
        <f>IF(AND(K925="",M925=""),"",IF(OR(K925="sim",M925="sim"),"sim",IF(OR(K925="inconclusivo",M925="inconclusivo"),"inconclusivo","não")))</f>
        <v/>
      </c>
      <c r="O925" s="5">
        <f>IF(N925="sim",COUNTIFS($B$3:$B925,$B925,$N$3:$N925,"sim"),"")</f>
        <v/>
      </c>
      <c r="P925" s="5" t="n"/>
      <c r="Q925" s="4" t="n"/>
      <c r="R925" s="5" t="n"/>
      <c r="S925" s="9" t="n"/>
      <c r="T925" s="4" t="n"/>
    </row>
    <row r="926">
      <c r="A926" s="5">
        <f>ROW()-2</f>
        <v/>
      </c>
      <c r="B926" s="4" t="inlineStr">
        <is>
          <t>Metrópole</t>
        </is>
      </c>
      <c r="C926" s="5" t="n">
        <v>924</v>
      </c>
      <c r="D926" s="5">
        <f>IFERROR(INDEX('Base de sorteio'!$A$3:$A$1723,MATCH($B926&amp;"|"&amp;$C926,'Base de sorteio'!$I$3:$I$1723,0)),"")</f>
        <v/>
      </c>
      <c r="E926" s="4">
        <f>IFERROR(INDEX('Base de sorteio'!$B$3:$B$1723,MATCH($B926&amp;"|"&amp;$C926,'Base de sorteio'!$I$3:$I$1723,0)),"")</f>
        <v/>
      </c>
      <c r="F926" s="4">
        <f>IFERROR(INDEX('Base de sorteio'!$C$3:$C$1723,MATCH($B926&amp;"|"&amp;$C926,'Base de sorteio'!$I$3:$I$1723,0)),"")</f>
        <v/>
      </c>
      <c r="G926" s="4">
        <f>IFERROR(INDEX('Base de sorteio'!$D$3:$D$1723,MATCH($B926&amp;"|"&amp;$C926,'Base de sorteio'!$I$3:$I$1723,0)),"")</f>
        <v/>
      </c>
      <c r="H926" s="4">
        <f>IFERROR(INDEX('Base de sorteio'!$E$3:$E$1723,MATCH($B926&amp;"|"&amp;$C926,'Base de sorteio'!$I$3:$I$1723,0)),"")</f>
        <v/>
      </c>
      <c r="I926" s="4">
        <f>IF(E926="","",HYPERLINK(IFERROR(INDEX('Base de sorteio'!$J$3:$J$1723,MATCH($B926&amp;"|"&amp;$C926,'Base de sorteio'!$I$3:$I$1723,0)),""),"abrir"))</f>
        <v/>
      </c>
      <c r="J926" s="4" t="n"/>
      <c r="K926" s="4" t="n"/>
      <c r="L926" s="4" t="n"/>
      <c r="M926" s="4" t="n"/>
      <c r="N926" s="4">
        <f>IF(AND(K926="",M926=""),"",IF(OR(K926="sim",M926="sim"),"sim",IF(OR(K926="inconclusivo",M926="inconclusivo"),"inconclusivo","não")))</f>
        <v/>
      </c>
      <c r="O926" s="5">
        <f>IF(N926="sim",COUNTIFS($B$3:$B926,$B926,$N$3:$N926,"sim"),"")</f>
        <v/>
      </c>
      <c r="P926" s="5" t="n"/>
      <c r="Q926" s="4" t="n"/>
      <c r="R926" s="5" t="n"/>
      <c r="S926" s="9" t="n"/>
      <c r="T926" s="4" t="n"/>
    </row>
    <row r="927">
      <c r="A927" s="5">
        <f>ROW()-2</f>
        <v/>
      </c>
      <c r="B927" s="4" t="inlineStr">
        <is>
          <t>Metrópole</t>
        </is>
      </c>
      <c r="C927" s="5" t="n">
        <v>925</v>
      </c>
      <c r="D927" s="5">
        <f>IFERROR(INDEX('Base de sorteio'!$A$3:$A$1723,MATCH($B927&amp;"|"&amp;$C927,'Base de sorteio'!$I$3:$I$1723,0)),"")</f>
        <v/>
      </c>
      <c r="E927" s="4">
        <f>IFERROR(INDEX('Base de sorteio'!$B$3:$B$1723,MATCH($B927&amp;"|"&amp;$C927,'Base de sorteio'!$I$3:$I$1723,0)),"")</f>
        <v/>
      </c>
      <c r="F927" s="4">
        <f>IFERROR(INDEX('Base de sorteio'!$C$3:$C$1723,MATCH($B927&amp;"|"&amp;$C927,'Base de sorteio'!$I$3:$I$1723,0)),"")</f>
        <v/>
      </c>
      <c r="G927" s="4">
        <f>IFERROR(INDEX('Base de sorteio'!$D$3:$D$1723,MATCH($B927&amp;"|"&amp;$C927,'Base de sorteio'!$I$3:$I$1723,0)),"")</f>
        <v/>
      </c>
      <c r="H927" s="4">
        <f>IFERROR(INDEX('Base de sorteio'!$E$3:$E$1723,MATCH($B927&amp;"|"&amp;$C927,'Base de sorteio'!$I$3:$I$1723,0)),"")</f>
        <v/>
      </c>
      <c r="I927" s="4">
        <f>IF(E927="","",HYPERLINK(IFERROR(INDEX('Base de sorteio'!$J$3:$J$1723,MATCH($B927&amp;"|"&amp;$C927,'Base de sorteio'!$I$3:$I$1723,0)),""),"abrir"))</f>
        <v/>
      </c>
      <c r="J927" s="4" t="n"/>
      <c r="K927" s="4" t="n"/>
      <c r="L927" s="4" t="n"/>
      <c r="M927" s="4" t="n"/>
      <c r="N927" s="4">
        <f>IF(AND(K927="",M927=""),"",IF(OR(K927="sim",M927="sim"),"sim",IF(OR(K927="inconclusivo",M927="inconclusivo"),"inconclusivo","não")))</f>
        <v/>
      </c>
      <c r="O927" s="5">
        <f>IF(N927="sim",COUNTIFS($B$3:$B927,$B927,$N$3:$N927,"sim"),"")</f>
        <v/>
      </c>
      <c r="P927" s="5" t="n"/>
      <c r="Q927" s="4" t="n"/>
      <c r="R927" s="5" t="n"/>
      <c r="S927" s="9" t="n"/>
      <c r="T927" s="4" t="n"/>
    </row>
    <row r="928">
      <c r="A928" s="5">
        <f>ROW()-2</f>
        <v/>
      </c>
      <c r="B928" s="4" t="inlineStr">
        <is>
          <t>Metrópole</t>
        </is>
      </c>
      <c r="C928" s="5" t="n">
        <v>926</v>
      </c>
      <c r="D928" s="5">
        <f>IFERROR(INDEX('Base de sorteio'!$A$3:$A$1723,MATCH($B928&amp;"|"&amp;$C928,'Base de sorteio'!$I$3:$I$1723,0)),"")</f>
        <v/>
      </c>
      <c r="E928" s="4">
        <f>IFERROR(INDEX('Base de sorteio'!$B$3:$B$1723,MATCH($B928&amp;"|"&amp;$C928,'Base de sorteio'!$I$3:$I$1723,0)),"")</f>
        <v/>
      </c>
      <c r="F928" s="4">
        <f>IFERROR(INDEX('Base de sorteio'!$C$3:$C$1723,MATCH($B928&amp;"|"&amp;$C928,'Base de sorteio'!$I$3:$I$1723,0)),"")</f>
        <v/>
      </c>
      <c r="G928" s="4">
        <f>IFERROR(INDEX('Base de sorteio'!$D$3:$D$1723,MATCH($B928&amp;"|"&amp;$C928,'Base de sorteio'!$I$3:$I$1723,0)),"")</f>
        <v/>
      </c>
      <c r="H928" s="4">
        <f>IFERROR(INDEX('Base de sorteio'!$E$3:$E$1723,MATCH($B928&amp;"|"&amp;$C928,'Base de sorteio'!$I$3:$I$1723,0)),"")</f>
        <v/>
      </c>
      <c r="I928" s="4">
        <f>IF(E928="","",HYPERLINK(IFERROR(INDEX('Base de sorteio'!$J$3:$J$1723,MATCH($B928&amp;"|"&amp;$C928,'Base de sorteio'!$I$3:$I$1723,0)),""),"abrir"))</f>
        <v/>
      </c>
      <c r="J928" s="4" t="n"/>
      <c r="K928" s="4" t="n"/>
      <c r="L928" s="4" t="n"/>
      <c r="M928" s="4" t="n"/>
      <c r="N928" s="4">
        <f>IF(AND(K928="",M928=""),"",IF(OR(K928="sim",M928="sim"),"sim",IF(OR(K928="inconclusivo",M928="inconclusivo"),"inconclusivo","não")))</f>
        <v/>
      </c>
      <c r="O928" s="5">
        <f>IF(N928="sim",COUNTIFS($B$3:$B928,$B928,$N$3:$N928,"sim"),"")</f>
        <v/>
      </c>
      <c r="P928" s="5" t="n"/>
      <c r="Q928" s="4" t="n"/>
      <c r="R928" s="5" t="n"/>
      <c r="S928" s="9" t="n"/>
      <c r="T928" s="4" t="n"/>
    </row>
    <row r="929">
      <c r="A929" s="5">
        <f>ROW()-2</f>
        <v/>
      </c>
      <c r="B929" s="4" t="inlineStr">
        <is>
          <t>Metrópole</t>
        </is>
      </c>
      <c r="C929" s="5" t="n">
        <v>927</v>
      </c>
      <c r="D929" s="5">
        <f>IFERROR(INDEX('Base de sorteio'!$A$3:$A$1723,MATCH($B929&amp;"|"&amp;$C929,'Base de sorteio'!$I$3:$I$1723,0)),"")</f>
        <v/>
      </c>
      <c r="E929" s="4">
        <f>IFERROR(INDEX('Base de sorteio'!$B$3:$B$1723,MATCH($B929&amp;"|"&amp;$C929,'Base de sorteio'!$I$3:$I$1723,0)),"")</f>
        <v/>
      </c>
      <c r="F929" s="4">
        <f>IFERROR(INDEX('Base de sorteio'!$C$3:$C$1723,MATCH($B929&amp;"|"&amp;$C929,'Base de sorteio'!$I$3:$I$1723,0)),"")</f>
        <v/>
      </c>
      <c r="G929" s="4">
        <f>IFERROR(INDEX('Base de sorteio'!$D$3:$D$1723,MATCH($B929&amp;"|"&amp;$C929,'Base de sorteio'!$I$3:$I$1723,0)),"")</f>
        <v/>
      </c>
      <c r="H929" s="4">
        <f>IFERROR(INDEX('Base de sorteio'!$E$3:$E$1723,MATCH($B929&amp;"|"&amp;$C929,'Base de sorteio'!$I$3:$I$1723,0)),"")</f>
        <v/>
      </c>
      <c r="I929" s="4">
        <f>IF(E929="","",HYPERLINK(IFERROR(INDEX('Base de sorteio'!$J$3:$J$1723,MATCH($B929&amp;"|"&amp;$C929,'Base de sorteio'!$I$3:$I$1723,0)),""),"abrir"))</f>
        <v/>
      </c>
      <c r="J929" s="4" t="n"/>
      <c r="K929" s="4" t="n"/>
      <c r="L929" s="4" t="n"/>
      <c r="M929" s="4" t="n"/>
      <c r="N929" s="4">
        <f>IF(AND(K929="",M929=""),"",IF(OR(K929="sim",M929="sim"),"sim",IF(OR(K929="inconclusivo",M929="inconclusivo"),"inconclusivo","não")))</f>
        <v/>
      </c>
      <c r="O929" s="5">
        <f>IF(N929="sim",COUNTIFS($B$3:$B929,$B929,$N$3:$N929,"sim"),"")</f>
        <v/>
      </c>
      <c r="P929" s="5" t="n"/>
      <c r="Q929" s="4" t="n"/>
      <c r="R929" s="5" t="n"/>
      <c r="S929" s="9" t="n"/>
      <c r="T929" s="4" t="n"/>
    </row>
    <row r="930">
      <c r="A930" s="5">
        <f>ROW()-2</f>
        <v/>
      </c>
      <c r="B930" s="4" t="inlineStr">
        <is>
          <t>Metrópole</t>
        </is>
      </c>
      <c r="C930" s="5" t="n">
        <v>928</v>
      </c>
      <c r="D930" s="5">
        <f>IFERROR(INDEX('Base de sorteio'!$A$3:$A$1723,MATCH($B930&amp;"|"&amp;$C930,'Base de sorteio'!$I$3:$I$1723,0)),"")</f>
        <v/>
      </c>
      <c r="E930" s="4">
        <f>IFERROR(INDEX('Base de sorteio'!$B$3:$B$1723,MATCH($B930&amp;"|"&amp;$C930,'Base de sorteio'!$I$3:$I$1723,0)),"")</f>
        <v/>
      </c>
      <c r="F930" s="4">
        <f>IFERROR(INDEX('Base de sorteio'!$C$3:$C$1723,MATCH($B930&amp;"|"&amp;$C930,'Base de sorteio'!$I$3:$I$1723,0)),"")</f>
        <v/>
      </c>
      <c r="G930" s="4">
        <f>IFERROR(INDEX('Base de sorteio'!$D$3:$D$1723,MATCH($B930&amp;"|"&amp;$C930,'Base de sorteio'!$I$3:$I$1723,0)),"")</f>
        <v/>
      </c>
      <c r="H930" s="4">
        <f>IFERROR(INDEX('Base de sorteio'!$E$3:$E$1723,MATCH($B930&amp;"|"&amp;$C930,'Base de sorteio'!$I$3:$I$1723,0)),"")</f>
        <v/>
      </c>
      <c r="I930" s="4">
        <f>IF(E930="","",HYPERLINK(IFERROR(INDEX('Base de sorteio'!$J$3:$J$1723,MATCH($B930&amp;"|"&amp;$C930,'Base de sorteio'!$I$3:$I$1723,0)),""),"abrir"))</f>
        <v/>
      </c>
      <c r="J930" s="4" t="n"/>
      <c r="K930" s="4" t="n"/>
      <c r="L930" s="4" t="n"/>
      <c r="M930" s="4" t="n"/>
      <c r="N930" s="4">
        <f>IF(AND(K930="",M930=""),"",IF(OR(K930="sim",M930="sim"),"sim",IF(OR(K930="inconclusivo",M930="inconclusivo"),"inconclusivo","não")))</f>
        <v/>
      </c>
      <c r="O930" s="5">
        <f>IF(N930="sim",COUNTIFS($B$3:$B930,$B930,$N$3:$N930,"sim"),"")</f>
        <v/>
      </c>
      <c r="P930" s="5" t="n"/>
      <c r="Q930" s="4" t="n"/>
      <c r="R930" s="5" t="n"/>
      <c r="S930" s="9" t="n"/>
      <c r="T930" s="4" t="n"/>
    </row>
    <row r="931">
      <c r="A931" s="5">
        <f>ROW()-2</f>
        <v/>
      </c>
      <c r="B931" s="4" t="inlineStr">
        <is>
          <t>Metrópole</t>
        </is>
      </c>
      <c r="C931" s="5" t="n">
        <v>929</v>
      </c>
      <c r="D931" s="5">
        <f>IFERROR(INDEX('Base de sorteio'!$A$3:$A$1723,MATCH($B931&amp;"|"&amp;$C931,'Base de sorteio'!$I$3:$I$1723,0)),"")</f>
        <v/>
      </c>
      <c r="E931" s="4">
        <f>IFERROR(INDEX('Base de sorteio'!$B$3:$B$1723,MATCH($B931&amp;"|"&amp;$C931,'Base de sorteio'!$I$3:$I$1723,0)),"")</f>
        <v/>
      </c>
      <c r="F931" s="4">
        <f>IFERROR(INDEX('Base de sorteio'!$C$3:$C$1723,MATCH($B931&amp;"|"&amp;$C931,'Base de sorteio'!$I$3:$I$1723,0)),"")</f>
        <v/>
      </c>
      <c r="G931" s="4">
        <f>IFERROR(INDEX('Base de sorteio'!$D$3:$D$1723,MATCH($B931&amp;"|"&amp;$C931,'Base de sorteio'!$I$3:$I$1723,0)),"")</f>
        <v/>
      </c>
      <c r="H931" s="4">
        <f>IFERROR(INDEX('Base de sorteio'!$E$3:$E$1723,MATCH($B931&amp;"|"&amp;$C931,'Base de sorteio'!$I$3:$I$1723,0)),"")</f>
        <v/>
      </c>
      <c r="I931" s="4">
        <f>IF(E931="","",HYPERLINK(IFERROR(INDEX('Base de sorteio'!$J$3:$J$1723,MATCH($B931&amp;"|"&amp;$C931,'Base de sorteio'!$I$3:$I$1723,0)),""),"abrir"))</f>
        <v/>
      </c>
      <c r="J931" s="4" t="n"/>
      <c r="K931" s="4" t="n"/>
      <c r="L931" s="4" t="n"/>
      <c r="M931" s="4" t="n"/>
      <c r="N931" s="4">
        <f>IF(AND(K931="",M931=""),"",IF(OR(K931="sim",M931="sim"),"sim",IF(OR(K931="inconclusivo",M931="inconclusivo"),"inconclusivo","não")))</f>
        <v/>
      </c>
      <c r="O931" s="5">
        <f>IF(N931="sim",COUNTIFS($B$3:$B931,$B931,$N$3:$N931,"sim"),"")</f>
        <v/>
      </c>
      <c r="P931" s="5" t="n"/>
      <c r="Q931" s="4" t="n"/>
      <c r="R931" s="5" t="n"/>
      <c r="S931" s="9" t="n"/>
      <c r="T931" s="4" t="n"/>
    </row>
    <row r="932">
      <c r="A932" s="5">
        <f>ROW()-2</f>
        <v/>
      </c>
      <c r="B932" s="4" t="inlineStr">
        <is>
          <t>Metrópole</t>
        </is>
      </c>
      <c r="C932" s="5" t="n">
        <v>930</v>
      </c>
      <c r="D932" s="5">
        <f>IFERROR(INDEX('Base de sorteio'!$A$3:$A$1723,MATCH($B932&amp;"|"&amp;$C932,'Base de sorteio'!$I$3:$I$1723,0)),"")</f>
        <v/>
      </c>
      <c r="E932" s="4">
        <f>IFERROR(INDEX('Base de sorteio'!$B$3:$B$1723,MATCH($B932&amp;"|"&amp;$C932,'Base de sorteio'!$I$3:$I$1723,0)),"")</f>
        <v/>
      </c>
      <c r="F932" s="4">
        <f>IFERROR(INDEX('Base de sorteio'!$C$3:$C$1723,MATCH($B932&amp;"|"&amp;$C932,'Base de sorteio'!$I$3:$I$1723,0)),"")</f>
        <v/>
      </c>
      <c r="G932" s="4">
        <f>IFERROR(INDEX('Base de sorteio'!$D$3:$D$1723,MATCH($B932&amp;"|"&amp;$C932,'Base de sorteio'!$I$3:$I$1723,0)),"")</f>
        <v/>
      </c>
      <c r="H932" s="4">
        <f>IFERROR(INDEX('Base de sorteio'!$E$3:$E$1723,MATCH($B932&amp;"|"&amp;$C932,'Base de sorteio'!$I$3:$I$1723,0)),"")</f>
        <v/>
      </c>
      <c r="I932" s="4">
        <f>IF(E932="","",HYPERLINK(IFERROR(INDEX('Base de sorteio'!$J$3:$J$1723,MATCH($B932&amp;"|"&amp;$C932,'Base de sorteio'!$I$3:$I$1723,0)),""),"abrir"))</f>
        <v/>
      </c>
      <c r="J932" s="4" t="n"/>
      <c r="K932" s="4" t="n"/>
      <c r="L932" s="4" t="n"/>
      <c r="M932" s="4" t="n"/>
      <c r="N932" s="4">
        <f>IF(AND(K932="",M932=""),"",IF(OR(K932="sim",M932="sim"),"sim",IF(OR(K932="inconclusivo",M932="inconclusivo"),"inconclusivo","não")))</f>
        <v/>
      </c>
      <c r="O932" s="5">
        <f>IF(N932="sim",COUNTIFS($B$3:$B932,$B932,$N$3:$N932,"sim"),"")</f>
        <v/>
      </c>
      <c r="P932" s="5" t="n"/>
      <c r="Q932" s="4" t="n"/>
      <c r="R932" s="5" t="n"/>
      <c r="S932" s="9" t="n"/>
      <c r="T932" s="4" t="n"/>
    </row>
    <row r="933">
      <c r="A933" s="5">
        <f>ROW()-2</f>
        <v/>
      </c>
      <c r="B933" s="4" t="inlineStr">
        <is>
          <t>Metrópole</t>
        </is>
      </c>
      <c r="C933" s="5" t="n">
        <v>931</v>
      </c>
      <c r="D933" s="5">
        <f>IFERROR(INDEX('Base de sorteio'!$A$3:$A$1723,MATCH($B933&amp;"|"&amp;$C933,'Base de sorteio'!$I$3:$I$1723,0)),"")</f>
        <v/>
      </c>
      <c r="E933" s="4">
        <f>IFERROR(INDEX('Base de sorteio'!$B$3:$B$1723,MATCH($B933&amp;"|"&amp;$C933,'Base de sorteio'!$I$3:$I$1723,0)),"")</f>
        <v/>
      </c>
      <c r="F933" s="4">
        <f>IFERROR(INDEX('Base de sorteio'!$C$3:$C$1723,MATCH($B933&amp;"|"&amp;$C933,'Base de sorteio'!$I$3:$I$1723,0)),"")</f>
        <v/>
      </c>
      <c r="G933" s="4">
        <f>IFERROR(INDEX('Base de sorteio'!$D$3:$D$1723,MATCH($B933&amp;"|"&amp;$C933,'Base de sorteio'!$I$3:$I$1723,0)),"")</f>
        <v/>
      </c>
      <c r="H933" s="4">
        <f>IFERROR(INDEX('Base de sorteio'!$E$3:$E$1723,MATCH($B933&amp;"|"&amp;$C933,'Base de sorteio'!$I$3:$I$1723,0)),"")</f>
        <v/>
      </c>
      <c r="I933" s="4">
        <f>IF(E933="","",HYPERLINK(IFERROR(INDEX('Base de sorteio'!$J$3:$J$1723,MATCH($B933&amp;"|"&amp;$C933,'Base de sorteio'!$I$3:$I$1723,0)),""),"abrir"))</f>
        <v/>
      </c>
      <c r="J933" s="4" t="n"/>
      <c r="K933" s="4" t="n"/>
      <c r="L933" s="4" t="n"/>
      <c r="M933" s="4" t="n"/>
      <c r="N933" s="4">
        <f>IF(AND(K933="",M933=""),"",IF(OR(K933="sim",M933="sim"),"sim",IF(OR(K933="inconclusivo",M933="inconclusivo"),"inconclusivo","não")))</f>
        <v/>
      </c>
      <c r="O933" s="5">
        <f>IF(N933="sim",COUNTIFS($B$3:$B933,$B933,$N$3:$N933,"sim"),"")</f>
        <v/>
      </c>
      <c r="P933" s="5" t="n"/>
      <c r="Q933" s="4" t="n"/>
      <c r="R933" s="5" t="n"/>
      <c r="S933" s="9" t="n"/>
      <c r="T933" s="4" t="n"/>
    </row>
    <row r="934">
      <c r="A934" s="5">
        <f>ROW()-2</f>
        <v/>
      </c>
      <c r="B934" s="4" t="inlineStr">
        <is>
          <t>Metrópole</t>
        </is>
      </c>
      <c r="C934" s="5" t="n">
        <v>932</v>
      </c>
      <c r="D934" s="5">
        <f>IFERROR(INDEX('Base de sorteio'!$A$3:$A$1723,MATCH($B934&amp;"|"&amp;$C934,'Base de sorteio'!$I$3:$I$1723,0)),"")</f>
        <v/>
      </c>
      <c r="E934" s="4">
        <f>IFERROR(INDEX('Base de sorteio'!$B$3:$B$1723,MATCH($B934&amp;"|"&amp;$C934,'Base de sorteio'!$I$3:$I$1723,0)),"")</f>
        <v/>
      </c>
      <c r="F934" s="4">
        <f>IFERROR(INDEX('Base de sorteio'!$C$3:$C$1723,MATCH($B934&amp;"|"&amp;$C934,'Base de sorteio'!$I$3:$I$1723,0)),"")</f>
        <v/>
      </c>
      <c r="G934" s="4">
        <f>IFERROR(INDEX('Base de sorteio'!$D$3:$D$1723,MATCH($B934&amp;"|"&amp;$C934,'Base de sorteio'!$I$3:$I$1723,0)),"")</f>
        <v/>
      </c>
      <c r="H934" s="4">
        <f>IFERROR(INDEX('Base de sorteio'!$E$3:$E$1723,MATCH($B934&amp;"|"&amp;$C934,'Base de sorteio'!$I$3:$I$1723,0)),"")</f>
        <v/>
      </c>
      <c r="I934" s="4">
        <f>IF(E934="","",HYPERLINK(IFERROR(INDEX('Base de sorteio'!$J$3:$J$1723,MATCH($B934&amp;"|"&amp;$C934,'Base de sorteio'!$I$3:$I$1723,0)),""),"abrir"))</f>
        <v/>
      </c>
      <c r="J934" s="4" t="n"/>
      <c r="K934" s="4" t="n"/>
      <c r="L934" s="4" t="n"/>
      <c r="M934" s="4" t="n"/>
      <c r="N934" s="4">
        <f>IF(AND(K934="",M934=""),"",IF(OR(K934="sim",M934="sim"),"sim",IF(OR(K934="inconclusivo",M934="inconclusivo"),"inconclusivo","não")))</f>
        <v/>
      </c>
      <c r="O934" s="5">
        <f>IF(N934="sim",COUNTIFS($B$3:$B934,$B934,$N$3:$N934,"sim"),"")</f>
        <v/>
      </c>
      <c r="P934" s="5" t="n"/>
      <c r="Q934" s="4" t="n"/>
      <c r="R934" s="5" t="n"/>
      <c r="S934" s="9" t="n"/>
      <c r="T934" s="4" t="n"/>
    </row>
    <row r="935">
      <c r="A935" s="5">
        <f>ROW()-2</f>
        <v/>
      </c>
      <c r="B935" s="4" t="inlineStr">
        <is>
          <t>Metrópole</t>
        </is>
      </c>
      <c r="C935" s="5" t="n">
        <v>933</v>
      </c>
      <c r="D935" s="5">
        <f>IFERROR(INDEX('Base de sorteio'!$A$3:$A$1723,MATCH($B935&amp;"|"&amp;$C935,'Base de sorteio'!$I$3:$I$1723,0)),"")</f>
        <v/>
      </c>
      <c r="E935" s="4">
        <f>IFERROR(INDEX('Base de sorteio'!$B$3:$B$1723,MATCH($B935&amp;"|"&amp;$C935,'Base de sorteio'!$I$3:$I$1723,0)),"")</f>
        <v/>
      </c>
      <c r="F935" s="4">
        <f>IFERROR(INDEX('Base de sorteio'!$C$3:$C$1723,MATCH($B935&amp;"|"&amp;$C935,'Base de sorteio'!$I$3:$I$1723,0)),"")</f>
        <v/>
      </c>
      <c r="G935" s="4">
        <f>IFERROR(INDEX('Base de sorteio'!$D$3:$D$1723,MATCH($B935&amp;"|"&amp;$C935,'Base de sorteio'!$I$3:$I$1723,0)),"")</f>
        <v/>
      </c>
      <c r="H935" s="4">
        <f>IFERROR(INDEX('Base de sorteio'!$E$3:$E$1723,MATCH($B935&amp;"|"&amp;$C935,'Base de sorteio'!$I$3:$I$1723,0)),"")</f>
        <v/>
      </c>
      <c r="I935" s="4">
        <f>IF(E935="","",HYPERLINK(IFERROR(INDEX('Base de sorteio'!$J$3:$J$1723,MATCH($B935&amp;"|"&amp;$C935,'Base de sorteio'!$I$3:$I$1723,0)),""),"abrir"))</f>
        <v/>
      </c>
      <c r="J935" s="4" t="n"/>
      <c r="K935" s="4" t="n"/>
      <c r="L935" s="4" t="n"/>
      <c r="M935" s="4" t="n"/>
      <c r="N935" s="4">
        <f>IF(AND(K935="",M935=""),"",IF(OR(K935="sim",M935="sim"),"sim",IF(OR(K935="inconclusivo",M935="inconclusivo"),"inconclusivo","não")))</f>
        <v/>
      </c>
      <c r="O935" s="5">
        <f>IF(N935="sim",COUNTIFS($B$3:$B935,$B935,$N$3:$N935,"sim"),"")</f>
        <v/>
      </c>
      <c r="P935" s="5" t="n"/>
      <c r="Q935" s="4" t="n"/>
      <c r="R935" s="5" t="n"/>
      <c r="S935" s="9" t="n"/>
      <c r="T935" s="4" t="n"/>
    </row>
    <row r="936">
      <c r="A936" s="5">
        <f>ROW()-2</f>
        <v/>
      </c>
      <c r="B936" s="4" t="inlineStr">
        <is>
          <t>Metrópole</t>
        </is>
      </c>
      <c r="C936" s="5" t="n">
        <v>934</v>
      </c>
      <c r="D936" s="5">
        <f>IFERROR(INDEX('Base de sorteio'!$A$3:$A$1723,MATCH($B936&amp;"|"&amp;$C936,'Base de sorteio'!$I$3:$I$1723,0)),"")</f>
        <v/>
      </c>
      <c r="E936" s="4">
        <f>IFERROR(INDEX('Base de sorteio'!$B$3:$B$1723,MATCH($B936&amp;"|"&amp;$C936,'Base de sorteio'!$I$3:$I$1723,0)),"")</f>
        <v/>
      </c>
      <c r="F936" s="4">
        <f>IFERROR(INDEX('Base de sorteio'!$C$3:$C$1723,MATCH($B936&amp;"|"&amp;$C936,'Base de sorteio'!$I$3:$I$1723,0)),"")</f>
        <v/>
      </c>
      <c r="G936" s="4">
        <f>IFERROR(INDEX('Base de sorteio'!$D$3:$D$1723,MATCH($B936&amp;"|"&amp;$C936,'Base de sorteio'!$I$3:$I$1723,0)),"")</f>
        <v/>
      </c>
      <c r="H936" s="4">
        <f>IFERROR(INDEX('Base de sorteio'!$E$3:$E$1723,MATCH($B936&amp;"|"&amp;$C936,'Base de sorteio'!$I$3:$I$1723,0)),"")</f>
        <v/>
      </c>
      <c r="I936" s="4">
        <f>IF(E936="","",HYPERLINK(IFERROR(INDEX('Base de sorteio'!$J$3:$J$1723,MATCH($B936&amp;"|"&amp;$C936,'Base de sorteio'!$I$3:$I$1723,0)),""),"abrir"))</f>
        <v/>
      </c>
      <c r="J936" s="4" t="n"/>
      <c r="K936" s="4" t="n"/>
      <c r="L936" s="4" t="n"/>
      <c r="M936" s="4" t="n"/>
      <c r="N936" s="4">
        <f>IF(AND(K936="",M936=""),"",IF(OR(K936="sim",M936="sim"),"sim",IF(OR(K936="inconclusivo",M936="inconclusivo"),"inconclusivo","não")))</f>
        <v/>
      </c>
      <c r="O936" s="5">
        <f>IF(N936="sim",COUNTIFS($B$3:$B936,$B936,$N$3:$N936,"sim"),"")</f>
        <v/>
      </c>
      <c r="P936" s="5" t="n"/>
      <c r="Q936" s="4" t="n"/>
      <c r="R936" s="5" t="n"/>
      <c r="S936" s="9" t="n"/>
      <c r="T936" s="4" t="n"/>
    </row>
    <row r="937">
      <c r="A937" s="5">
        <f>ROW()-2</f>
        <v/>
      </c>
      <c r="B937" s="4" t="inlineStr">
        <is>
          <t>Metrópole</t>
        </is>
      </c>
      <c r="C937" s="5" t="n">
        <v>935</v>
      </c>
      <c r="D937" s="5">
        <f>IFERROR(INDEX('Base de sorteio'!$A$3:$A$1723,MATCH($B937&amp;"|"&amp;$C937,'Base de sorteio'!$I$3:$I$1723,0)),"")</f>
        <v/>
      </c>
      <c r="E937" s="4">
        <f>IFERROR(INDEX('Base de sorteio'!$B$3:$B$1723,MATCH($B937&amp;"|"&amp;$C937,'Base de sorteio'!$I$3:$I$1723,0)),"")</f>
        <v/>
      </c>
      <c r="F937" s="4">
        <f>IFERROR(INDEX('Base de sorteio'!$C$3:$C$1723,MATCH($B937&amp;"|"&amp;$C937,'Base de sorteio'!$I$3:$I$1723,0)),"")</f>
        <v/>
      </c>
      <c r="G937" s="4">
        <f>IFERROR(INDEX('Base de sorteio'!$D$3:$D$1723,MATCH($B937&amp;"|"&amp;$C937,'Base de sorteio'!$I$3:$I$1723,0)),"")</f>
        <v/>
      </c>
      <c r="H937" s="4">
        <f>IFERROR(INDEX('Base de sorteio'!$E$3:$E$1723,MATCH($B937&amp;"|"&amp;$C937,'Base de sorteio'!$I$3:$I$1723,0)),"")</f>
        <v/>
      </c>
      <c r="I937" s="4">
        <f>IF(E937="","",HYPERLINK(IFERROR(INDEX('Base de sorteio'!$J$3:$J$1723,MATCH($B937&amp;"|"&amp;$C937,'Base de sorteio'!$I$3:$I$1723,0)),""),"abrir"))</f>
        <v/>
      </c>
      <c r="J937" s="4" t="n"/>
      <c r="K937" s="4" t="n"/>
      <c r="L937" s="4" t="n"/>
      <c r="M937" s="4" t="n"/>
      <c r="N937" s="4">
        <f>IF(AND(K937="",M937=""),"",IF(OR(K937="sim",M937="sim"),"sim",IF(OR(K937="inconclusivo",M937="inconclusivo"),"inconclusivo","não")))</f>
        <v/>
      </c>
      <c r="O937" s="5">
        <f>IF(N937="sim",COUNTIFS($B$3:$B937,$B937,$N$3:$N937,"sim"),"")</f>
        <v/>
      </c>
      <c r="P937" s="5" t="n"/>
      <c r="Q937" s="4" t="n"/>
      <c r="R937" s="5" t="n"/>
      <c r="S937" s="9" t="n"/>
      <c r="T937" s="4" t="n"/>
    </row>
    <row r="938">
      <c r="A938" s="5">
        <f>ROW()-2</f>
        <v/>
      </c>
      <c r="B938" s="4" t="inlineStr">
        <is>
          <t>Metrópole</t>
        </is>
      </c>
      <c r="C938" s="5" t="n">
        <v>936</v>
      </c>
      <c r="D938" s="5">
        <f>IFERROR(INDEX('Base de sorteio'!$A$3:$A$1723,MATCH($B938&amp;"|"&amp;$C938,'Base de sorteio'!$I$3:$I$1723,0)),"")</f>
        <v/>
      </c>
      <c r="E938" s="4">
        <f>IFERROR(INDEX('Base de sorteio'!$B$3:$B$1723,MATCH($B938&amp;"|"&amp;$C938,'Base de sorteio'!$I$3:$I$1723,0)),"")</f>
        <v/>
      </c>
      <c r="F938" s="4">
        <f>IFERROR(INDEX('Base de sorteio'!$C$3:$C$1723,MATCH($B938&amp;"|"&amp;$C938,'Base de sorteio'!$I$3:$I$1723,0)),"")</f>
        <v/>
      </c>
      <c r="G938" s="4">
        <f>IFERROR(INDEX('Base de sorteio'!$D$3:$D$1723,MATCH($B938&amp;"|"&amp;$C938,'Base de sorteio'!$I$3:$I$1723,0)),"")</f>
        <v/>
      </c>
      <c r="H938" s="4">
        <f>IFERROR(INDEX('Base de sorteio'!$E$3:$E$1723,MATCH($B938&amp;"|"&amp;$C938,'Base de sorteio'!$I$3:$I$1723,0)),"")</f>
        <v/>
      </c>
      <c r="I938" s="4">
        <f>IF(E938="","",HYPERLINK(IFERROR(INDEX('Base de sorteio'!$J$3:$J$1723,MATCH($B938&amp;"|"&amp;$C938,'Base de sorteio'!$I$3:$I$1723,0)),""),"abrir"))</f>
        <v/>
      </c>
      <c r="J938" s="4" t="n"/>
      <c r="K938" s="4" t="n"/>
      <c r="L938" s="4" t="n"/>
      <c r="M938" s="4" t="n"/>
      <c r="N938" s="4">
        <f>IF(AND(K938="",M938=""),"",IF(OR(K938="sim",M938="sim"),"sim",IF(OR(K938="inconclusivo",M938="inconclusivo"),"inconclusivo","não")))</f>
        <v/>
      </c>
      <c r="O938" s="5">
        <f>IF(N938="sim",COUNTIFS($B$3:$B938,$B938,$N$3:$N938,"sim"),"")</f>
        <v/>
      </c>
      <c r="P938" s="5" t="n"/>
      <c r="Q938" s="4" t="n"/>
      <c r="R938" s="5" t="n"/>
      <c r="S938" s="9" t="n"/>
      <c r="T938" s="4" t="n"/>
    </row>
    <row r="939">
      <c r="A939" s="5">
        <f>ROW()-2</f>
        <v/>
      </c>
      <c r="B939" s="4" t="inlineStr">
        <is>
          <t>Metrópole</t>
        </is>
      </c>
      <c r="C939" s="5" t="n">
        <v>937</v>
      </c>
      <c r="D939" s="5">
        <f>IFERROR(INDEX('Base de sorteio'!$A$3:$A$1723,MATCH($B939&amp;"|"&amp;$C939,'Base de sorteio'!$I$3:$I$1723,0)),"")</f>
        <v/>
      </c>
      <c r="E939" s="4">
        <f>IFERROR(INDEX('Base de sorteio'!$B$3:$B$1723,MATCH($B939&amp;"|"&amp;$C939,'Base de sorteio'!$I$3:$I$1723,0)),"")</f>
        <v/>
      </c>
      <c r="F939" s="4">
        <f>IFERROR(INDEX('Base de sorteio'!$C$3:$C$1723,MATCH($B939&amp;"|"&amp;$C939,'Base de sorteio'!$I$3:$I$1723,0)),"")</f>
        <v/>
      </c>
      <c r="G939" s="4">
        <f>IFERROR(INDEX('Base de sorteio'!$D$3:$D$1723,MATCH($B939&amp;"|"&amp;$C939,'Base de sorteio'!$I$3:$I$1723,0)),"")</f>
        <v/>
      </c>
      <c r="H939" s="4">
        <f>IFERROR(INDEX('Base de sorteio'!$E$3:$E$1723,MATCH($B939&amp;"|"&amp;$C939,'Base de sorteio'!$I$3:$I$1723,0)),"")</f>
        <v/>
      </c>
      <c r="I939" s="4">
        <f>IF(E939="","",HYPERLINK(IFERROR(INDEX('Base de sorteio'!$J$3:$J$1723,MATCH($B939&amp;"|"&amp;$C939,'Base de sorteio'!$I$3:$I$1723,0)),""),"abrir"))</f>
        <v/>
      </c>
      <c r="J939" s="4" t="n"/>
      <c r="K939" s="4" t="n"/>
      <c r="L939" s="4" t="n"/>
      <c r="M939" s="4" t="n"/>
      <c r="N939" s="4">
        <f>IF(AND(K939="",M939=""),"",IF(OR(K939="sim",M939="sim"),"sim",IF(OR(K939="inconclusivo",M939="inconclusivo"),"inconclusivo","não")))</f>
        <v/>
      </c>
      <c r="O939" s="5">
        <f>IF(N939="sim",COUNTIFS($B$3:$B939,$B939,$N$3:$N939,"sim"),"")</f>
        <v/>
      </c>
      <c r="P939" s="5" t="n"/>
      <c r="Q939" s="4" t="n"/>
      <c r="R939" s="5" t="n"/>
      <c r="S939" s="9" t="n"/>
      <c r="T939" s="4" t="n"/>
    </row>
    <row r="940">
      <c r="A940" s="5">
        <f>ROW()-2</f>
        <v/>
      </c>
      <c r="B940" s="4" t="inlineStr">
        <is>
          <t>Metrópole</t>
        </is>
      </c>
      <c r="C940" s="5" t="n">
        <v>938</v>
      </c>
      <c r="D940" s="5">
        <f>IFERROR(INDEX('Base de sorteio'!$A$3:$A$1723,MATCH($B940&amp;"|"&amp;$C940,'Base de sorteio'!$I$3:$I$1723,0)),"")</f>
        <v/>
      </c>
      <c r="E940" s="4">
        <f>IFERROR(INDEX('Base de sorteio'!$B$3:$B$1723,MATCH($B940&amp;"|"&amp;$C940,'Base de sorteio'!$I$3:$I$1723,0)),"")</f>
        <v/>
      </c>
      <c r="F940" s="4">
        <f>IFERROR(INDEX('Base de sorteio'!$C$3:$C$1723,MATCH($B940&amp;"|"&amp;$C940,'Base de sorteio'!$I$3:$I$1723,0)),"")</f>
        <v/>
      </c>
      <c r="G940" s="4">
        <f>IFERROR(INDEX('Base de sorteio'!$D$3:$D$1723,MATCH($B940&amp;"|"&amp;$C940,'Base de sorteio'!$I$3:$I$1723,0)),"")</f>
        <v/>
      </c>
      <c r="H940" s="4">
        <f>IFERROR(INDEX('Base de sorteio'!$E$3:$E$1723,MATCH($B940&amp;"|"&amp;$C940,'Base de sorteio'!$I$3:$I$1723,0)),"")</f>
        <v/>
      </c>
      <c r="I940" s="4">
        <f>IF(E940="","",HYPERLINK(IFERROR(INDEX('Base de sorteio'!$J$3:$J$1723,MATCH($B940&amp;"|"&amp;$C940,'Base de sorteio'!$I$3:$I$1723,0)),""),"abrir"))</f>
        <v/>
      </c>
      <c r="J940" s="4" t="n"/>
      <c r="K940" s="4" t="n"/>
      <c r="L940" s="4" t="n"/>
      <c r="M940" s="4" t="n"/>
      <c r="N940" s="4">
        <f>IF(AND(K940="",M940=""),"",IF(OR(K940="sim",M940="sim"),"sim",IF(OR(K940="inconclusivo",M940="inconclusivo"),"inconclusivo","não")))</f>
        <v/>
      </c>
      <c r="O940" s="5">
        <f>IF(N940="sim",COUNTIFS($B$3:$B940,$B940,$N$3:$N940,"sim"),"")</f>
        <v/>
      </c>
      <c r="P940" s="5" t="n"/>
      <c r="Q940" s="4" t="n"/>
      <c r="R940" s="5" t="n"/>
      <c r="S940" s="9" t="n"/>
      <c r="T940" s="4" t="n"/>
    </row>
    <row r="941">
      <c r="A941" s="5">
        <f>ROW()-2</f>
        <v/>
      </c>
      <c r="B941" s="4" t="inlineStr">
        <is>
          <t>Metrópole</t>
        </is>
      </c>
      <c r="C941" s="5" t="n">
        <v>939</v>
      </c>
      <c r="D941" s="5">
        <f>IFERROR(INDEX('Base de sorteio'!$A$3:$A$1723,MATCH($B941&amp;"|"&amp;$C941,'Base de sorteio'!$I$3:$I$1723,0)),"")</f>
        <v/>
      </c>
      <c r="E941" s="4">
        <f>IFERROR(INDEX('Base de sorteio'!$B$3:$B$1723,MATCH($B941&amp;"|"&amp;$C941,'Base de sorteio'!$I$3:$I$1723,0)),"")</f>
        <v/>
      </c>
      <c r="F941" s="4">
        <f>IFERROR(INDEX('Base de sorteio'!$C$3:$C$1723,MATCH($B941&amp;"|"&amp;$C941,'Base de sorteio'!$I$3:$I$1723,0)),"")</f>
        <v/>
      </c>
      <c r="G941" s="4">
        <f>IFERROR(INDEX('Base de sorteio'!$D$3:$D$1723,MATCH($B941&amp;"|"&amp;$C941,'Base de sorteio'!$I$3:$I$1723,0)),"")</f>
        <v/>
      </c>
      <c r="H941" s="4">
        <f>IFERROR(INDEX('Base de sorteio'!$E$3:$E$1723,MATCH($B941&amp;"|"&amp;$C941,'Base de sorteio'!$I$3:$I$1723,0)),"")</f>
        <v/>
      </c>
      <c r="I941" s="4">
        <f>IF(E941="","",HYPERLINK(IFERROR(INDEX('Base de sorteio'!$J$3:$J$1723,MATCH($B941&amp;"|"&amp;$C941,'Base de sorteio'!$I$3:$I$1723,0)),""),"abrir"))</f>
        <v/>
      </c>
      <c r="J941" s="4" t="n"/>
      <c r="K941" s="4" t="n"/>
      <c r="L941" s="4" t="n"/>
      <c r="M941" s="4" t="n"/>
      <c r="N941" s="4">
        <f>IF(AND(K941="",M941=""),"",IF(OR(K941="sim",M941="sim"),"sim",IF(OR(K941="inconclusivo",M941="inconclusivo"),"inconclusivo","não")))</f>
        <v/>
      </c>
      <c r="O941" s="5">
        <f>IF(N941="sim",COUNTIFS($B$3:$B941,$B941,$N$3:$N941,"sim"),"")</f>
        <v/>
      </c>
      <c r="P941" s="5" t="n"/>
      <c r="Q941" s="4" t="n"/>
      <c r="R941" s="5" t="n"/>
      <c r="S941" s="9" t="n"/>
      <c r="T941" s="4" t="n"/>
    </row>
    <row r="942">
      <c r="A942" s="5">
        <f>ROW()-2</f>
        <v/>
      </c>
      <c r="B942" s="4" t="inlineStr">
        <is>
          <t>Metrópole</t>
        </is>
      </c>
      <c r="C942" s="5" t="n">
        <v>940</v>
      </c>
      <c r="D942" s="5">
        <f>IFERROR(INDEX('Base de sorteio'!$A$3:$A$1723,MATCH($B942&amp;"|"&amp;$C942,'Base de sorteio'!$I$3:$I$1723,0)),"")</f>
        <v/>
      </c>
      <c r="E942" s="4">
        <f>IFERROR(INDEX('Base de sorteio'!$B$3:$B$1723,MATCH($B942&amp;"|"&amp;$C942,'Base de sorteio'!$I$3:$I$1723,0)),"")</f>
        <v/>
      </c>
      <c r="F942" s="4">
        <f>IFERROR(INDEX('Base de sorteio'!$C$3:$C$1723,MATCH($B942&amp;"|"&amp;$C942,'Base de sorteio'!$I$3:$I$1723,0)),"")</f>
        <v/>
      </c>
      <c r="G942" s="4">
        <f>IFERROR(INDEX('Base de sorteio'!$D$3:$D$1723,MATCH($B942&amp;"|"&amp;$C942,'Base de sorteio'!$I$3:$I$1723,0)),"")</f>
        <v/>
      </c>
      <c r="H942" s="4">
        <f>IFERROR(INDEX('Base de sorteio'!$E$3:$E$1723,MATCH($B942&amp;"|"&amp;$C942,'Base de sorteio'!$I$3:$I$1723,0)),"")</f>
        <v/>
      </c>
      <c r="I942" s="4">
        <f>IF(E942="","",HYPERLINK(IFERROR(INDEX('Base de sorteio'!$J$3:$J$1723,MATCH($B942&amp;"|"&amp;$C942,'Base de sorteio'!$I$3:$I$1723,0)),""),"abrir"))</f>
        <v/>
      </c>
      <c r="J942" s="4" t="n"/>
      <c r="K942" s="4" t="n"/>
      <c r="L942" s="4" t="n"/>
      <c r="M942" s="4" t="n"/>
      <c r="N942" s="4">
        <f>IF(AND(K942="",M942=""),"",IF(OR(K942="sim",M942="sim"),"sim",IF(OR(K942="inconclusivo",M942="inconclusivo"),"inconclusivo","não")))</f>
        <v/>
      </c>
      <c r="O942" s="5">
        <f>IF(N942="sim",COUNTIFS($B$3:$B942,$B942,$N$3:$N942,"sim"),"")</f>
        <v/>
      </c>
      <c r="P942" s="5" t="n"/>
      <c r="Q942" s="4" t="n"/>
      <c r="R942" s="5" t="n"/>
      <c r="S942" s="9" t="n"/>
      <c r="T942" s="4" t="n"/>
    </row>
    <row r="943">
      <c r="A943" s="5">
        <f>ROW()-2</f>
        <v/>
      </c>
      <c r="B943" s="4" t="inlineStr">
        <is>
          <t>Metrópole</t>
        </is>
      </c>
      <c r="C943" s="5" t="n">
        <v>941</v>
      </c>
      <c r="D943" s="5">
        <f>IFERROR(INDEX('Base de sorteio'!$A$3:$A$1723,MATCH($B943&amp;"|"&amp;$C943,'Base de sorteio'!$I$3:$I$1723,0)),"")</f>
        <v/>
      </c>
      <c r="E943" s="4">
        <f>IFERROR(INDEX('Base de sorteio'!$B$3:$B$1723,MATCH($B943&amp;"|"&amp;$C943,'Base de sorteio'!$I$3:$I$1723,0)),"")</f>
        <v/>
      </c>
      <c r="F943" s="4">
        <f>IFERROR(INDEX('Base de sorteio'!$C$3:$C$1723,MATCH($B943&amp;"|"&amp;$C943,'Base de sorteio'!$I$3:$I$1723,0)),"")</f>
        <v/>
      </c>
      <c r="G943" s="4">
        <f>IFERROR(INDEX('Base de sorteio'!$D$3:$D$1723,MATCH($B943&amp;"|"&amp;$C943,'Base de sorteio'!$I$3:$I$1723,0)),"")</f>
        <v/>
      </c>
      <c r="H943" s="4">
        <f>IFERROR(INDEX('Base de sorteio'!$E$3:$E$1723,MATCH($B943&amp;"|"&amp;$C943,'Base de sorteio'!$I$3:$I$1723,0)),"")</f>
        <v/>
      </c>
      <c r="I943" s="4">
        <f>IF(E943="","",HYPERLINK(IFERROR(INDEX('Base de sorteio'!$J$3:$J$1723,MATCH($B943&amp;"|"&amp;$C943,'Base de sorteio'!$I$3:$I$1723,0)),""),"abrir"))</f>
        <v/>
      </c>
      <c r="J943" s="4" t="n"/>
      <c r="K943" s="4" t="n"/>
      <c r="L943" s="4" t="n"/>
      <c r="M943" s="4" t="n"/>
      <c r="N943" s="4">
        <f>IF(AND(K943="",M943=""),"",IF(OR(K943="sim",M943="sim"),"sim",IF(OR(K943="inconclusivo",M943="inconclusivo"),"inconclusivo","não")))</f>
        <v/>
      </c>
      <c r="O943" s="5">
        <f>IF(N943="sim",COUNTIFS($B$3:$B943,$B943,$N$3:$N943,"sim"),"")</f>
        <v/>
      </c>
      <c r="P943" s="5" t="n"/>
      <c r="Q943" s="4" t="n"/>
      <c r="R943" s="5" t="n"/>
      <c r="S943" s="9" t="n"/>
      <c r="T943" s="4" t="n"/>
    </row>
    <row r="944">
      <c r="A944" s="5">
        <f>ROW()-2</f>
        <v/>
      </c>
      <c r="B944" s="4" t="inlineStr">
        <is>
          <t>Metrópole</t>
        </is>
      </c>
      <c r="C944" s="5" t="n">
        <v>942</v>
      </c>
      <c r="D944" s="5">
        <f>IFERROR(INDEX('Base de sorteio'!$A$3:$A$1723,MATCH($B944&amp;"|"&amp;$C944,'Base de sorteio'!$I$3:$I$1723,0)),"")</f>
        <v/>
      </c>
      <c r="E944" s="4">
        <f>IFERROR(INDEX('Base de sorteio'!$B$3:$B$1723,MATCH($B944&amp;"|"&amp;$C944,'Base de sorteio'!$I$3:$I$1723,0)),"")</f>
        <v/>
      </c>
      <c r="F944" s="4">
        <f>IFERROR(INDEX('Base de sorteio'!$C$3:$C$1723,MATCH($B944&amp;"|"&amp;$C944,'Base de sorteio'!$I$3:$I$1723,0)),"")</f>
        <v/>
      </c>
      <c r="G944" s="4">
        <f>IFERROR(INDEX('Base de sorteio'!$D$3:$D$1723,MATCH($B944&amp;"|"&amp;$C944,'Base de sorteio'!$I$3:$I$1723,0)),"")</f>
        <v/>
      </c>
      <c r="H944" s="4">
        <f>IFERROR(INDEX('Base de sorteio'!$E$3:$E$1723,MATCH($B944&amp;"|"&amp;$C944,'Base de sorteio'!$I$3:$I$1723,0)),"")</f>
        <v/>
      </c>
      <c r="I944" s="4">
        <f>IF(E944="","",HYPERLINK(IFERROR(INDEX('Base de sorteio'!$J$3:$J$1723,MATCH($B944&amp;"|"&amp;$C944,'Base de sorteio'!$I$3:$I$1723,0)),""),"abrir"))</f>
        <v/>
      </c>
      <c r="J944" s="4" t="n"/>
      <c r="K944" s="4" t="n"/>
      <c r="L944" s="4" t="n"/>
      <c r="M944" s="4" t="n"/>
      <c r="N944" s="4">
        <f>IF(AND(K944="",M944=""),"",IF(OR(K944="sim",M944="sim"),"sim",IF(OR(K944="inconclusivo",M944="inconclusivo"),"inconclusivo","não")))</f>
        <v/>
      </c>
      <c r="O944" s="5">
        <f>IF(N944="sim",COUNTIFS($B$3:$B944,$B944,$N$3:$N944,"sim"),"")</f>
        <v/>
      </c>
      <c r="P944" s="5" t="n"/>
      <c r="Q944" s="4" t="n"/>
      <c r="R944" s="5" t="n"/>
      <c r="S944" s="9" t="n"/>
      <c r="T944" s="4" t="n"/>
    </row>
    <row r="945">
      <c r="A945" s="5">
        <f>ROW()-2</f>
        <v/>
      </c>
      <c r="B945" s="4" t="inlineStr">
        <is>
          <t>Capital regional</t>
        </is>
      </c>
      <c r="C945" s="5" t="n">
        <v>1</v>
      </c>
      <c r="D945" s="5">
        <f>IFERROR(INDEX('Base de sorteio'!$A$3:$A$1723,MATCH($B945&amp;"|"&amp;$C945,'Base de sorteio'!$I$3:$I$1723,0)),"")</f>
        <v/>
      </c>
      <c r="E945" s="4">
        <f>IFERROR(INDEX('Base de sorteio'!$B$3:$B$1723,MATCH($B945&amp;"|"&amp;$C945,'Base de sorteio'!$I$3:$I$1723,0)),"")</f>
        <v/>
      </c>
      <c r="F945" s="4">
        <f>IFERROR(INDEX('Base de sorteio'!$C$3:$C$1723,MATCH($B945&amp;"|"&amp;$C945,'Base de sorteio'!$I$3:$I$1723,0)),"")</f>
        <v/>
      </c>
      <c r="G945" s="4">
        <f>IFERROR(INDEX('Base de sorteio'!$D$3:$D$1723,MATCH($B945&amp;"|"&amp;$C945,'Base de sorteio'!$I$3:$I$1723,0)),"")</f>
        <v/>
      </c>
      <c r="H945" s="4">
        <f>IFERROR(INDEX('Base de sorteio'!$E$3:$E$1723,MATCH($B945&amp;"|"&amp;$C945,'Base de sorteio'!$I$3:$I$1723,0)),"")</f>
        <v/>
      </c>
      <c r="I945" s="4">
        <f>IF(E945="","",HYPERLINK(IFERROR(INDEX('Base de sorteio'!$J$3:$J$1723,MATCH($B945&amp;"|"&amp;$C945,'Base de sorteio'!$I$3:$I$1723,0)),""),"abrir"))</f>
        <v/>
      </c>
      <c r="J945" s="4" t="n"/>
      <c r="K945" s="4" t="n"/>
      <c r="L945" s="4" t="n"/>
      <c r="M945" s="4" t="n"/>
      <c r="N945" s="4">
        <f>IF(AND(K945="",M945=""),"",IF(OR(K945="sim",M945="sim"),"sim",IF(OR(K945="inconclusivo",M945="inconclusivo"),"inconclusivo","não")))</f>
        <v/>
      </c>
      <c r="O945" s="5">
        <f>IF(N945="sim",COUNTIFS($B$3:$B945,$B945,$N$3:$N945,"sim"),"")</f>
        <v/>
      </c>
      <c r="P945" s="5" t="n"/>
      <c r="Q945" s="4" t="n"/>
      <c r="R945" s="5" t="n"/>
      <c r="S945" s="9" t="n"/>
      <c r="T945" s="4" t="n"/>
    </row>
    <row r="946">
      <c r="A946" s="5">
        <f>ROW()-2</f>
        <v/>
      </c>
      <c r="B946" s="4" t="inlineStr">
        <is>
          <t>Capital regional</t>
        </is>
      </c>
      <c r="C946" s="5" t="n">
        <v>2</v>
      </c>
      <c r="D946" s="5">
        <f>IFERROR(INDEX('Base de sorteio'!$A$3:$A$1723,MATCH($B946&amp;"|"&amp;$C946,'Base de sorteio'!$I$3:$I$1723,0)),"")</f>
        <v/>
      </c>
      <c r="E946" s="4">
        <f>IFERROR(INDEX('Base de sorteio'!$B$3:$B$1723,MATCH($B946&amp;"|"&amp;$C946,'Base de sorteio'!$I$3:$I$1723,0)),"")</f>
        <v/>
      </c>
      <c r="F946" s="4">
        <f>IFERROR(INDEX('Base de sorteio'!$C$3:$C$1723,MATCH($B946&amp;"|"&amp;$C946,'Base de sorteio'!$I$3:$I$1723,0)),"")</f>
        <v/>
      </c>
      <c r="G946" s="4">
        <f>IFERROR(INDEX('Base de sorteio'!$D$3:$D$1723,MATCH($B946&amp;"|"&amp;$C946,'Base de sorteio'!$I$3:$I$1723,0)),"")</f>
        <v/>
      </c>
      <c r="H946" s="4">
        <f>IFERROR(INDEX('Base de sorteio'!$E$3:$E$1723,MATCH($B946&amp;"|"&amp;$C946,'Base de sorteio'!$I$3:$I$1723,0)),"")</f>
        <v/>
      </c>
      <c r="I946" s="4">
        <f>IF(E946="","",HYPERLINK(IFERROR(INDEX('Base de sorteio'!$J$3:$J$1723,MATCH($B946&amp;"|"&amp;$C946,'Base de sorteio'!$I$3:$I$1723,0)),""),"abrir"))</f>
        <v/>
      </c>
      <c r="J946" s="4" t="n"/>
      <c r="K946" s="4" t="n"/>
      <c r="L946" s="4" t="n"/>
      <c r="M946" s="4" t="n"/>
      <c r="N946" s="4">
        <f>IF(AND(K946="",M946=""),"",IF(OR(K946="sim",M946="sim"),"sim",IF(OR(K946="inconclusivo",M946="inconclusivo"),"inconclusivo","não")))</f>
        <v/>
      </c>
      <c r="O946" s="5">
        <f>IF(N946="sim",COUNTIFS($B$3:$B946,$B946,$N$3:$N946,"sim"),"")</f>
        <v/>
      </c>
      <c r="P946" s="5" t="n"/>
      <c r="Q946" s="4" t="n"/>
      <c r="R946" s="5" t="n"/>
      <c r="S946" s="9" t="n"/>
      <c r="T946" s="4" t="n"/>
    </row>
    <row r="947">
      <c r="A947" s="5">
        <f>ROW()-2</f>
        <v/>
      </c>
      <c r="B947" s="4" t="inlineStr">
        <is>
          <t>Capital regional</t>
        </is>
      </c>
      <c r="C947" s="5" t="n">
        <v>3</v>
      </c>
      <c r="D947" s="5">
        <f>IFERROR(INDEX('Base de sorteio'!$A$3:$A$1723,MATCH($B947&amp;"|"&amp;$C947,'Base de sorteio'!$I$3:$I$1723,0)),"")</f>
        <v/>
      </c>
      <c r="E947" s="4">
        <f>IFERROR(INDEX('Base de sorteio'!$B$3:$B$1723,MATCH($B947&amp;"|"&amp;$C947,'Base de sorteio'!$I$3:$I$1723,0)),"")</f>
        <v/>
      </c>
      <c r="F947" s="4">
        <f>IFERROR(INDEX('Base de sorteio'!$C$3:$C$1723,MATCH($B947&amp;"|"&amp;$C947,'Base de sorteio'!$I$3:$I$1723,0)),"")</f>
        <v/>
      </c>
      <c r="G947" s="4">
        <f>IFERROR(INDEX('Base de sorteio'!$D$3:$D$1723,MATCH($B947&amp;"|"&amp;$C947,'Base de sorteio'!$I$3:$I$1723,0)),"")</f>
        <v/>
      </c>
      <c r="H947" s="4">
        <f>IFERROR(INDEX('Base de sorteio'!$E$3:$E$1723,MATCH($B947&amp;"|"&amp;$C947,'Base de sorteio'!$I$3:$I$1723,0)),"")</f>
        <v/>
      </c>
      <c r="I947" s="4">
        <f>IF(E947="","",HYPERLINK(IFERROR(INDEX('Base de sorteio'!$J$3:$J$1723,MATCH($B947&amp;"|"&amp;$C947,'Base de sorteio'!$I$3:$I$1723,0)),""),"abrir"))</f>
        <v/>
      </c>
      <c r="J947" s="4" t="n"/>
      <c r="K947" s="4" t="n"/>
      <c r="L947" s="4" t="n"/>
      <c r="M947" s="4" t="n"/>
      <c r="N947" s="4">
        <f>IF(AND(K947="",M947=""),"",IF(OR(K947="sim",M947="sim"),"sim",IF(OR(K947="inconclusivo",M947="inconclusivo"),"inconclusivo","não")))</f>
        <v/>
      </c>
      <c r="O947" s="5">
        <f>IF(N947="sim",COUNTIFS($B$3:$B947,$B947,$N$3:$N947,"sim"),"")</f>
        <v/>
      </c>
      <c r="P947" s="5" t="n"/>
      <c r="Q947" s="4" t="n"/>
      <c r="R947" s="5" t="n"/>
      <c r="S947" s="9" t="n"/>
      <c r="T947" s="4" t="n"/>
    </row>
    <row r="948">
      <c r="A948" s="5">
        <f>ROW()-2</f>
        <v/>
      </c>
      <c r="B948" s="4" t="inlineStr">
        <is>
          <t>Capital regional</t>
        </is>
      </c>
      <c r="C948" s="5" t="n">
        <v>4</v>
      </c>
      <c r="D948" s="5">
        <f>IFERROR(INDEX('Base de sorteio'!$A$3:$A$1723,MATCH($B948&amp;"|"&amp;$C948,'Base de sorteio'!$I$3:$I$1723,0)),"")</f>
        <v/>
      </c>
      <c r="E948" s="4">
        <f>IFERROR(INDEX('Base de sorteio'!$B$3:$B$1723,MATCH($B948&amp;"|"&amp;$C948,'Base de sorteio'!$I$3:$I$1723,0)),"")</f>
        <v/>
      </c>
      <c r="F948" s="4">
        <f>IFERROR(INDEX('Base de sorteio'!$C$3:$C$1723,MATCH($B948&amp;"|"&amp;$C948,'Base de sorteio'!$I$3:$I$1723,0)),"")</f>
        <v/>
      </c>
      <c r="G948" s="4">
        <f>IFERROR(INDEX('Base de sorteio'!$D$3:$D$1723,MATCH($B948&amp;"|"&amp;$C948,'Base de sorteio'!$I$3:$I$1723,0)),"")</f>
        <v/>
      </c>
      <c r="H948" s="4">
        <f>IFERROR(INDEX('Base de sorteio'!$E$3:$E$1723,MATCH($B948&amp;"|"&amp;$C948,'Base de sorteio'!$I$3:$I$1723,0)),"")</f>
        <v/>
      </c>
      <c r="I948" s="4">
        <f>IF(E948="","",HYPERLINK(IFERROR(INDEX('Base de sorteio'!$J$3:$J$1723,MATCH($B948&amp;"|"&amp;$C948,'Base de sorteio'!$I$3:$I$1723,0)),""),"abrir"))</f>
        <v/>
      </c>
      <c r="J948" s="4" t="n"/>
      <c r="K948" s="4" t="n"/>
      <c r="L948" s="4" t="n"/>
      <c r="M948" s="4" t="n"/>
      <c r="N948" s="4">
        <f>IF(AND(K948="",M948=""),"",IF(OR(K948="sim",M948="sim"),"sim",IF(OR(K948="inconclusivo",M948="inconclusivo"),"inconclusivo","não")))</f>
        <v/>
      </c>
      <c r="O948" s="5">
        <f>IF(N948="sim",COUNTIFS($B$3:$B948,$B948,$N$3:$N948,"sim"),"")</f>
        <v/>
      </c>
      <c r="P948" s="5" t="n"/>
      <c r="Q948" s="4" t="n"/>
      <c r="R948" s="5" t="n"/>
      <c r="S948" s="9" t="n"/>
      <c r="T948" s="4" t="n"/>
    </row>
    <row r="949">
      <c r="A949" s="5">
        <f>ROW()-2</f>
        <v/>
      </c>
      <c r="B949" s="4" t="inlineStr">
        <is>
          <t>Capital regional</t>
        </is>
      </c>
      <c r="C949" s="5" t="n">
        <v>5</v>
      </c>
      <c r="D949" s="5">
        <f>IFERROR(INDEX('Base de sorteio'!$A$3:$A$1723,MATCH($B949&amp;"|"&amp;$C949,'Base de sorteio'!$I$3:$I$1723,0)),"")</f>
        <v/>
      </c>
      <c r="E949" s="4">
        <f>IFERROR(INDEX('Base de sorteio'!$B$3:$B$1723,MATCH($B949&amp;"|"&amp;$C949,'Base de sorteio'!$I$3:$I$1723,0)),"")</f>
        <v/>
      </c>
      <c r="F949" s="4">
        <f>IFERROR(INDEX('Base de sorteio'!$C$3:$C$1723,MATCH($B949&amp;"|"&amp;$C949,'Base de sorteio'!$I$3:$I$1723,0)),"")</f>
        <v/>
      </c>
      <c r="G949" s="4">
        <f>IFERROR(INDEX('Base de sorteio'!$D$3:$D$1723,MATCH($B949&amp;"|"&amp;$C949,'Base de sorteio'!$I$3:$I$1723,0)),"")</f>
        <v/>
      </c>
      <c r="H949" s="4">
        <f>IFERROR(INDEX('Base de sorteio'!$E$3:$E$1723,MATCH($B949&amp;"|"&amp;$C949,'Base de sorteio'!$I$3:$I$1723,0)),"")</f>
        <v/>
      </c>
      <c r="I949" s="4">
        <f>IF(E949="","",HYPERLINK(IFERROR(INDEX('Base de sorteio'!$J$3:$J$1723,MATCH($B949&amp;"|"&amp;$C949,'Base de sorteio'!$I$3:$I$1723,0)),""),"abrir"))</f>
        <v/>
      </c>
      <c r="J949" s="4" t="n"/>
      <c r="K949" s="4" t="n"/>
      <c r="L949" s="4" t="n"/>
      <c r="M949" s="4" t="n"/>
      <c r="N949" s="4">
        <f>IF(AND(K949="",M949=""),"",IF(OR(K949="sim",M949="sim"),"sim",IF(OR(K949="inconclusivo",M949="inconclusivo"),"inconclusivo","não")))</f>
        <v/>
      </c>
      <c r="O949" s="5">
        <f>IF(N949="sim",COUNTIFS($B$3:$B949,$B949,$N$3:$N949,"sim"),"")</f>
        <v/>
      </c>
      <c r="P949" s="5" t="n"/>
      <c r="Q949" s="4" t="n"/>
      <c r="R949" s="5" t="n"/>
      <c r="S949" s="9" t="n"/>
      <c r="T949" s="4" t="n"/>
    </row>
    <row r="950">
      <c r="A950" s="5">
        <f>ROW()-2</f>
        <v/>
      </c>
      <c r="B950" s="4" t="inlineStr">
        <is>
          <t>Capital regional</t>
        </is>
      </c>
      <c r="C950" s="5" t="n">
        <v>6</v>
      </c>
      <c r="D950" s="5">
        <f>IFERROR(INDEX('Base de sorteio'!$A$3:$A$1723,MATCH($B950&amp;"|"&amp;$C950,'Base de sorteio'!$I$3:$I$1723,0)),"")</f>
        <v/>
      </c>
      <c r="E950" s="4">
        <f>IFERROR(INDEX('Base de sorteio'!$B$3:$B$1723,MATCH($B950&amp;"|"&amp;$C950,'Base de sorteio'!$I$3:$I$1723,0)),"")</f>
        <v/>
      </c>
      <c r="F950" s="4">
        <f>IFERROR(INDEX('Base de sorteio'!$C$3:$C$1723,MATCH($B950&amp;"|"&amp;$C950,'Base de sorteio'!$I$3:$I$1723,0)),"")</f>
        <v/>
      </c>
      <c r="G950" s="4">
        <f>IFERROR(INDEX('Base de sorteio'!$D$3:$D$1723,MATCH($B950&amp;"|"&amp;$C950,'Base de sorteio'!$I$3:$I$1723,0)),"")</f>
        <v/>
      </c>
      <c r="H950" s="4">
        <f>IFERROR(INDEX('Base de sorteio'!$E$3:$E$1723,MATCH($B950&amp;"|"&amp;$C950,'Base de sorteio'!$I$3:$I$1723,0)),"")</f>
        <v/>
      </c>
      <c r="I950" s="4">
        <f>IF(E950="","",HYPERLINK(IFERROR(INDEX('Base de sorteio'!$J$3:$J$1723,MATCH($B950&amp;"|"&amp;$C950,'Base de sorteio'!$I$3:$I$1723,0)),""),"abrir"))</f>
        <v/>
      </c>
      <c r="J950" s="4" t="n"/>
      <c r="K950" s="4" t="n"/>
      <c r="L950" s="4" t="n"/>
      <c r="M950" s="4" t="n"/>
      <c r="N950" s="4">
        <f>IF(AND(K950="",M950=""),"",IF(OR(K950="sim",M950="sim"),"sim",IF(OR(K950="inconclusivo",M950="inconclusivo"),"inconclusivo","não")))</f>
        <v/>
      </c>
      <c r="O950" s="5">
        <f>IF(N950="sim",COUNTIFS($B$3:$B950,$B950,$N$3:$N950,"sim"),"")</f>
        <v/>
      </c>
      <c r="P950" s="5" t="n"/>
      <c r="Q950" s="4" t="n"/>
      <c r="R950" s="5" t="n"/>
      <c r="S950" s="9" t="n"/>
      <c r="T950" s="4" t="n"/>
    </row>
    <row r="951">
      <c r="A951" s="5">
        <f>ROW()-2</f>
        <v/>
      </c>
      <c r="B951" s="4" t="inlineStr">
        <is>
          <t>Capital regional</t>
        </is>
      </c>
      <c r="C951" s="5" t="n">
        <v>7</v>
      </c>
      <c r="D951" s="5">
        <f>IFERROR(INDEX('Base de sorteio'!$A$3:$A$1723,MATCH($B951&amp;"|"&amp;$C951,'Base de sorteio'!$I$3:$I$1723,0)),"")</f>
        <v/>
      </c>
      <c r="E951" s="4">
        <f>IFERROR(INDEX('Base de sorteio'!$B$3:$B$1723,MATCH($B951&amp;"|"&amp;$C951,'Base de sorteio'!$I$3:$I$1723,0)),"")</f>
        <v/>
      </c>
      <c r="F951" s="4">
        <f>IFERROR(INDEX('Base de sorteio'!$C$3:$C$1723,MATCH($B951&amp;"|"&amp;$C951,'Base de sorteio'!$I$3:$I$1723,0)),"")</f>
        <v/>
      </c>
      <c r="G951" s="4">
        <f>IFERROR(INDEX('Base de sorteio'!$D$3:$D$1723,MATCH($B951&amp;"|"&amp;$C951,'Base de sorteio'!$I$3:$I$1723,0)),"")</f>
        <v/>
      </c>
      <c r="H951" s="4">
        <f>IFERROR(INDEX('Base de sorteio'!$E$3:$E$1723,MATCH($B951&amp;"|"&amp;$C951,'Base de sorteio'!$I$3:$I$1723,0)),"")</f>
        <v/>
      </c>
      <c r="I951" s="4">
        <f>IF(E951="","",HYPERLINK(IFERROR(INDEX('Base de sorteio'!$J$3:$J$1723,MATCH($B951&amp;"|"&amp;$C951,'Base de sorteio'!$I$3:$I$1723,0)),""),"abrir"))</f>
        <v/>
      </c>
      <c r="J951" s="4" t="n"/>
      <c r="K951" s="4" t="n"/>
      <c r="L951" s="4" t="n"/>
      <c r="M951" s="4" t="n"/>
      <c r="N951" s="4">
        <f>IF(AND(K951="",M951=""),"",IF(OR(K951="sim",M951="sim"),"sim",IF(OR(K951="inconclusivo",M951="inconclusivo"),"inconclusivo","não")))</f>
        <v/>
      </c>
      <c r="O951" s="5">
        <f>IF(N951="sim",COUNTIFS($B$3:$B951,$B951,$N$3:$N951,"sim"),"")</f>
        <v/>
      </c>
      <c r="P951" s="5" t="n"/>
      <c r="Q951" s="4" t="n"/>
      <c r="R951" s="5" t="n"/>
      <c r="S951" s="9" t="n"/>
      <c r="T951" s="4" t="n"/>
    </row>
    <row r="952">
      <c r="A952" s="5">
        <f>ROW()-2</f>
        <v/>
      </c>
      <c r="B952" s="4" t="inlineStr">
        <is>
          <t>Capital regional</t>
        </is>
      </c>
      <c r="C952" s="5" t="n">
        <v>8</v>
      </c>
      <c r="D952" s="5">
        <f>IFERROR(INDEX('Base de sorteio'!$A$3:$A$1723,MATCH($B952&amp;"|"&amp;$C952,'Base de sorteio'!$I$3:$I$1723,0)),"")</f>
        <v/>
      </c>
      <c r="E952" s="4">
        <f>IFERROR(INDEX('Base de sorteio'!$B$3:$B$1723,MATCH($B952&amp;"|"&amp;$C952,'Base de sorteio'!$I$3:$I$1723,0)),"")</f>
        <v/>
      </c>
      <c r="F952" s="4">
        <f>IFERROR(INDEX('Base de sorteio'!$C$3:$C$1723,MATCH($B952&amp;"|"&amp;$C952,'Base de sorteio'!$I$3:$I$1723,0)),"")</f>
        <v/>
      </c>
      <c r="G952" s="4">
        <f>IFERROR(INDEX('Base de sorteio'!$D$3:$D$1723,MATCH($B952&amp;"|"&amp;$C952,'Base de sorteio'!$I$3:$I$1723,0)),"")</f>
        <v/>
      </c>
      <c r="H952" s="4">
        <f>IFERROR(INDEX('Base de sorteio'!$E$3:$E$1723,MATCH($B952&amp;"|"&amp;$C952,'Base de sorteio'!$I$3:$I$1723,0)),"")</f>
        <v/>
      </c>
      <c r="I952" s="4">
        <f>IF(E952="","",HYPERLINK(IFERROR(INDEX('Base de sorteio'!$J$3:$J$1723,MATCH($B952&amp;"|"&amp;$C952,'Base de sorteio'!$I$3:$I$1723,0)),""),"abrir"))</f>
        <v/>
      </c>
      <c r="J952" s="4" t="n"/>
      <c r="K952" s="4" t="n"/>
      <c r="L952" s="4" t="n"/>
      <c r="M952" s="4" t="n"/>
      <c r="N952" s="4">
        <f>IF(AND(K952="",M952=""),"",IF(OR(K952="sim",M952="sim"),"sim",IF(OR(K952="inconclusivo",M952="inconclusivo"),"inconclusivo","não")))</f>
        <v/>
      </c>
      <c r="O952" s="5">
        <f>IF(N952="sim",COUNTIFS($B$3:$B952,$B952,$N$3:$N952,"sim"),"")</f>
        <v/>
      </c>
      <c r="P952" s="5" t="n"/>
      <c r="Q952" s="4" t="n"/>
      <c r="R952" s="5" t="n"/>
      <c r="S952" s="9" t="n"/>
      <c r="T952" s="4" t="n"/>
    </row>
    <row r="953">
      <c r="A953" s="5">
        <f>ROW()-2</f>
        <v/>
      </c>
      <c r="B953" s="4" t="inlineStr">
        <is>
          <t>Capital regional</t>
        </is>
      </c>
      <c r="C953" s="5" t="n">
        <v>9</v>
      </c>
      <c r="D953" s="5">
        <f>IFERROR(INDEX('Base de sorteio'!$A$3:$A$1723,MATCH($B953&amp;"|"&amp;$C953,'Base de sorteio'!$I$3:$I$1723,0)),"")</f>
        <v/>
      </c>
      <c r="E953" s="4">
        <f>IFERROR(INDEX('Base de sorteio'!$B$3:$B$1723,MATCH($B953&amp;"|"&amp;$C953,'Base de sorteio'!$I$3:$I$1723,0)),"")</f>
        <v/>
      </c>
      <c r="F953" s="4">
        <f>IFERROR(INDEX('Base de sorteio'!$C$3:$C$1723,MATCH($B953&amp;"|"&amp;$C953,'Base de sorteio'!$I$3:$I$1723,0)),"")</f>
        <v/>
      </c>
      <c r="G953" s="4">
        <f>IFERROR(INDEX('Base de sorteio'!$D$3:$D$1723,MATCH($B953&amp;"|"&amp;$C953,'Base de sorteio'!$I$3:$I$1723,0)),"")</f>
        <v/>
      </c>
      <c r="H953" s="4">
        <f>IFERROR(INDEX('Base de sorteio'!$E$3:$E$1723,MATCH($B953&amp;"|"&amp;$C953,'Base de sorteio'!$I$3:$I$1723,0)),"")</f>
        <v/>
      </c>
      <c r="I953" s="4">
        <f>IF(E953="","",HYPERLINK(IFERROR(INDEX('Base de sorteio'!$J$3:$J$1723,MATCH($B953&amp;"|"&amp;$C953,'Base de sorteio'!$I$3:$I$1723,0)),""),"abrir"))</f>
        <v/>
      </c>
      <c r="J953" s="4" t="n"/>
      <c r="K953" s="4" t="n"/>
      <c r="L953" s="4" t="n"/>
      <c r="M953" s="4" t="n"/>
      <c r="N953" s="4">
        <f>IF(AND(K953="",M953=""),"",IF(OR(K953="sim",M953="sim"),"sim",IF(OR(K953="inconclusivo",M953="inconclusivo"),"inconclusivo","não")))</f>
        <v/>
      </c>
      <c r="O953" s="5">
        <f>IF(N953="sim",COUNTIFS($B$3:$B953,$B953,$N$3:$N953,"sim"),"")</f>
        <v/>
      </c>
      <c r="P953" s="5" t="n"/>
      <c r="Q953" s="4" t="n"/>
      <c r="R953" s="5" t="n"/>
      <c r="S953" s="9" t="n"/>
      <c r="T953" s="4" t="n"/>
    </row>
    <row r="954">
      <c r="A954" s="5">
        <f>ROW()-2</f>
        <v/>
      </c>
      <c r="B954" s="4" t="inlineStr">
        <is>
          <t>Capital regional</t>
        </is>
      </c>
      <c r="C954" s="5" t="n">
        <v>10</v>
      </c>
      <c r="D954" s="5">
        <f>IFERROR(INDEX('Base de sorteio'!$A$3:$A$1723,MATCH($B954&amp;"|"&amp;$C954,'Base de sorteio'!$I$3:$I$1723,0)),"")</f>
        <v/>
      </c>
      <c r="E954" s="4">
        <f>IFERROR(INDEX('Base de sorteio'!$B$3:$B$1723,MATCH($B954&amp;"|"&amp;$C954,'Base de sorteio'!$I$3:$I$1723,0)),"")</f>
        <v/>
      </c>
      <c r="F954" s="4">
        <f>IFERROR(INDEX('Base de sorteio'!$C$3:$C$1723,MATCH($B954&amp;"|"&amp;$C954,'Base de sorteio'!$I$3:$I$1723,0)),"")</f>
        <v/>
      </c>
      <c r="G954" s="4">
        <f>IFERROR(INDEX('Base de sorteio'!$D$3:$D$1723,MATCH($B954&amp;"|"&amp;$C954,'Base de sorteio'!$I$3:$I$1723,0)),"")</f>
        <v/>
      </c>
      <c r="H954" s="4">
        <f>IFERROR(INDEX('Base de sorteio'!$E$3:$E$1723,MATCH($B954&amp;"|"&amp;$C954,'Base de sorteio'!$I$3:$I$1723,0)),"")</f>
        <v/>
      </c>
      <c r="I954" s="4">
        <f>IF(E954="","",HYPERLINK(IFERROR(INDEX('Base de sorteio'!$J$3:$J$1723,MATCH($B954&amp;"|"&amp;$C954,'Base de sorteio'!$I$3:$I$1723,0)),""),"abrir"))</f>
        <v/>
      </c>
      <c r="J954" s="4" t="n"/>
      <c r="K954" s="4" t="n"/>
      <c r="L954" s="4" t="n"/>
      <c r="M954" s="4" t="n"/>
      <c r="N954" s="4">
        <f>IF(AND(K954="",M954=""),"",IF(OR(K954="sim",M954="sim"),"sim",IF(OR(K954="inconclusivo",M954="inconclusivo"),"inconclusivo","não")))</f>
        <v/>
      </c>
      <c r="O954" s="5">
        <f>IF(N954="sim",COUNTIFS($B$3:$B954,$B954,$N$3:$N954,"sim"),"")</f>
        <v/>
      </c>
      <c r="P954" s="5" t="n"/>
      <c r="Q954" s="4" t="n"/>
      <c r="R954" s="5" t="n"/>
      <c r="S954" s="9" t="n"/>
      <c r="T954" s="4" t="n"/>
    </row>
    <row r="955">
      <c r="A955" s="5">
        <f>ROW()-2</f>
        <v/>
      </c>
      <c r="B955" s="4" t="inlineStr">
        <is>
          <t>Capital regional</t>
        </is>
      </c>
      <c r="C955" s="5" t="n">
        <v>11</v>
      </c>
      <c r="D955" s="5">
        <f>IFERROR(INDEX('Base de sorteio'!$A$3:$A$1723,MATCH($B955&amp;"|"&amp;$C955,'Base de sorteio'!$I$3:$I$1723,0)),"")</f>
        <v/>
      </c>
      <c r="E955" s="4">
        <f>IFERROR(INDEX('Base de sorteio'!$B$3:$B$1723,MATCH($B955&amp;"|"&amp;$C955,'Base de sorteio'!$I$3:$I$1723,0)),"")</f>
        <v/>
      </c>
      <c r="F955" s="4">
        <f>IFERROR(INDEX('Base de sorteio'!$C$3:$C$1723,MATCH($B955&amp;"|"&amp;$C955,'Base de sorteio'!$I$3:$I$1723,0)),"")</f>
        <v/>
      </c>
      <c r="G955" s="4">
        <f>IFERROR(INDEX('Base de sorteio'!$D$3:$D$1723,MATCH($B955&amp;"|"&amp;$C955,'Base de sorteio'!$I$3:$I$1723,0)),"")</f>
        <v/>
      </c>
      <c r="H955" s="4">
        <f>IFERROR(INDEX('Base de sorteio'!$E$3:$E$1723,MATCH($B955&amp;"|"&amp;$C955,'Base de sorteio'!$I$3:$I$1723,0)),"")</f>
        <v/>
      </c>
      <c r="I955" s="4">
        <f>IF(E955="","",HYPERLINK(IFERROR(INDEX('Base de sorteio'!$J$3:$J$1723,MATCH($B955&amp;"|"&amp;$C955,'Base de sorteio'!$I$3:$I$1723,0)),""),"abrir"))</f>
        <v/>
      </c>
      <c r="J955" s="4" t="n"/>
      <c r="K955" s="4" t="n"/>
      <c r="L955" s="4" t="n"/>
      <c r="M955" s="4" t="n"/>
      <c r="N955" s="4">
        <f>IF(AND(K955="",M955=""),"",IF(OR(K955="sim",M955="sim"),"sim",IF(OR(K955="inconclusivo",M955="inconclusivo"),"inconclusivo","não")))</f>
        <v/>
      </c>
      <c r="O955" s="5">
        <f>IF(N955="sim",COUNTIFS($B$3:$B955,$B955,$N$3:$N955,"sim"),"")</f>
        <v/>
      </c>
      <c r="P955" s="5" t="n"/>
      <c r="Q955" s="4" t="n"/>
      <c r="R955" s="5" t="n"/>
      <c r="S955" s="9" t="n"/>
      <c r="T955" s="4" t="n"/>
    </row>
    <row r="956">
      <c r="A956" s="5">
        <f>ROW()-2</f>
        <v/>
      </c>
      <c r="B956" s="4" t="inlineStr">
        <is>
          <t>Capital regional</t>
        </is>
      </c>
      <c r="C956" s="5" t="n">
        <v>12</v>
      </c>
      <c r="D956" s="5">
        <f>IFERROR(INDEX('Base de sorteio'!$A$3:$A$1723,MATCH($B956&amp;"|"&amp;$C956,'Base de sorteio'!$I$3:$I$1723,0)),"")</f>
        <v/>
      </c>
      <c r="E956" s="4">
        <f>IFERROR(INDEX('Base de sorteio'!$B$3:$B$1723,MATCH($B956&amp;"|"&amp;$C956,'Base de sorteio'!$I$3:$I$1723,0)),"")</f>
        <v/>
      </c>
      <c r="F956" s="4">
        <f>IFERROR(INDEX('Base de sorteio'!$C$3:$C$1723,MATCH($B956&amp;"|"&amp;$C956,'Base de sorteio'!$I$3:$I$1723,0)),"")</f>
        <v/>
      </c>
      <c r="G956" s="4">
        <f>IFERROR(INDEX('Base de sorteio'!$D$3:$D$1723,MATCH($B956&amp;"|"&amp;$C956,'Base de sorteio'!$I$3:$I$1723,0)),"")</f>
        <v/>
      </c>
      <c r="H956" s="4">
        <f>IFERROR(INDEX('Base de sorteio'!$E$3:$E$1723,MATCH($B956&amp;"|"&amp;$C956,'Base de sorteio'!$I$3:$I$1723,0)),"")</f>
        <v/>
      </c>
      <c r="I956" s="4">
        <f>IF(E956="","",HYPERLINK(IFERROR(INDEX('Base de sorteio'!$J$3:$J$1723,MATCH($B956&amp;"|"&amp;$C956,'Base de sorteio'!$I$3:$I$1723,0)),""),"abrir"))</f>
        <v/>
      </c>
      <c r="J956" s="4" t="n"/>
      <c r="K956" s="4" t="n"/>
      <c r="L956" s="4" t="n"/>
      <c r="M956" s="4" t="n"/>
      <c r="N956" s="4">
        <f>IF(AND(K956="",M956=""),"",IF(OR(K956="sim",M956="sim"),"sim",IF(OR(K956="inconclusivo",M956="inconclusivo"),"inconclusivo","não")))</f>
        <v/>
      </c>
      <c r="O956" s="5">
        <f>IF(N956="sim",COUNTIFS($B$3:$B956,$B956,$N$3:$N956,"sim"),"")</f>
        <v/>
      </c>
      <c r="P956" s="5" t="n"/>
      <c r="Q956" s="4" t="n"/>
      <c r="R956" s="5" t="n"/>
      <c r="S956" s="9" t="n"/>
      <c r="T956" s="4" t="n"/>
    </row>
    <row r="957">
      <c r="A957" s="5">
        <f>ROW()-2</f>
        <v/>
      </c>
      <c r="B957" s="4" t="inlineStr">
        <is>
          <t>Capital regional</t>
        </is>
      </c>
      <c r="C957" s="5" t="n">
        <v>13</v>
      </c>
      <c r="D957" s="5">
        <f>IFERROR(INDEX('Base de sorteio'!$A$3:$A$1723,MATCH($B957&amp;"|"&amp;$C957,'Base de sorteio'!$I$3:$I$1723,0)),"")</f>
        <v/>
      </c>
      <c r="E957" s="4">
        <f>IFERROR(INDEX('Base de sorteio'!$B$3:$B$1723,MATCH($B957&amp;"|"&amp;$C957,'Base de sorteio'!$I$3:$I$1723,0)),"")</f>
        <v/>
      </c>
      <c r="F957" s="4">
        <f>IFERROR(INDEX('Base de sorteio'!$C$3:$C$1723,MATCH($B957&amp;"|"&amp;$C957,'Base de sorteio'!$I$3:$I$1723,0)),"")</f>
        <v/>
      </c>
      <c r="G957" s="4">
        <f>IFERROR(INDEX('Base de sorteio'!$D$3:$D$1723,MATCH($B957&amp;"|"&amp;$C957,'Base de sorteio'!$I$3:$I$1723,0)),"")</f>
        <v/>
      </c>
      <c r="H957" s="4">
        <f>IFERROR(INDEX('Base de sorteio'!$E$3:$E$1723,MATCH($B957&amp;"|"&amp;$C957,'Base de sorteio'!$I$3:$I$1723,0)),"")</f>
        <v/>
      </c>
      <c r="I957" s="4">
        <f>IF(E957="","",HYPERLINK(IFERROR(INDEX('Base de sorteio'!$J$3:$J$1723,MATCH($B957&amp;"|"&amp;$C957,'Base de sorteio'!$I$3:$I$1723,0)),""),"abrir"))</f>
        <v/>
      </c>
      <c r="J957" s="4" t="n"/>
      <c r="K957" s="4" t="n"/>
      <c r="L957" s="4" t="n"/>
      <c r="M957" s="4" t="n"/>
      <c r="N957" s="4">
        <f>IF(AND(K957="",M957=""),"",IF(OR(K957="sim",M957="sim"),"sim",IF(OR(K957="inconclusivo",M957="inconclusivo"),"inconclusivo","não")))</f>
        <v/>
      </c>
      <c r="O957" s="5">
        <f>IF(N957="sim",COUNTIFS($B$3:$B957,$B957,$N$3:$N957,"sim"),"")</f>
        <v/>
      </c>
      <c r="P957" s="5" t="n"/>
      <c r="Q957" s="4" t="n"/>
      <c r="R957" s="5" t="n"/>
      <c r="S957" s="9" t="n"/>
      <c r="T957" s="4" t="n"/>
    </row>
    <row r="958">
      <c r="A958" s="5">
        <f>ROW()-2</f>
        <v/>
      </c>
      <c r="B958" s="4" t="inlineStr">
        <is>
          <t>Capital regional</t>
        </is>
      </c>
      <c r="C958" s="5" t="n">
        <v>14</v>
      </c>
      <c r="D958" s="5">
        <f>IFERROR(INDEX('Base de sorteio'!$A$3:$A$1723,MATCH($B958&amp;"|"&amp;$C958,'Base de sorteio'!$I$3:$I$1723,0)),"")</f>
        <v/>
      </c>
      <c r="E958" s="4">
        <f>IFERROR(INDEX('Base de sorteio'!$B$3:$B$1723,MATCH($B958&amp;"|"&amp;$C958,'Base de sorteio'!$I$3:$I$1723,0)),"")</f>
        <v/>
      </c>
      <c r="F958" s="4">
        <f>IFERROR(INDEX('Base de sorteio'!$C$3:$C$1723,MATCH($B958&amp;"|"&amp;$C958,'Base de sorteio'!$I$3:$I$1723,0)),"")</f>
        <v/>
      </c>
      <c r="G958" s="4">
        <f>IFERROR(INDEX('Base de sorteio'!$D$3:$D$1723,MATCH($B958&amp;"|"&amp;$C958,'Base de sorteio'!$I$3:$I$1723,0)),"")</f>
        <v/>
      </c>
      <c r="H958" s="4">
        <f>IFERROR(INDEX('Base de sorteio'!$E$3:$E$1723,MATCH($B958&amp;"|"&amp;$C958,'Base de sorteio'!$I$3:$I$1723,0)),"")</f>
        <v/>
      </c>
      <c r="I958" s="4">
        <f>IF(E958="","",HYPERLINK(IFERROR(INDEX('Base de sorteio'!$J$3:$J$1723,MATCH($B958&amp;"|"&amp;$C958,'Base de sorteio'!$I$3:$I$1723,0)),""),"abrir"))</f>
        <v/>
      </c>
      <c r="J958" s="4" t="n"/>
      <c r="K958" s="4" t="n"/>
      <c r="L958" s="4" t="n"/>
      <c r="M958" s="4" t="n"/>
      <c r="N958" s="4">
        <f>IF(AND(K958="",M958=""),"",IF(OR(K958="sim",M958="sim"),"sim",IF(OR(K958="inconclusivo",M958="inconclusivo"),"inconclusivo","não")))</f>
        <v/>
      </c>
      <c r="O958" s="5">
        <f>IF(N958="sim",COUNTIFS($B$3:$B958,$B958,$N$3:$N958,"sim"),"")</f>
        <v/>
      </c>
      <c r="P958" s="5" t="n"/>
      <c r="Q958" s="4" t="n"/>
      <c r="R958" s="5" t="n"/>
      <c r="S958" s="9" t="n"/>
      <c r="T958" s="4" t="n"/>
    </row>
    <row r="959">
      <c r="A959" s="5">
        <f>ROW()-2</f>
        <v/>
      </c>
      <c r="B959" s="4" t="inlineStr">
        <is>
          <t>Capital regional</t>
        </is>
      </c>
      <c r="C959" s="5" t="n">
        <v>15</v>
      </c>
      <c r="D959" s="5">
        <f>IFERROR(INDEX('Base de sorteio'!$A$3:$A$1723,MATCH($B959&amp;"|"&amp;$C959,'Base de sorteio'!$I$3:$I$1723,0)),"")</f>
        <v/>
      </c>
      <c r="E959" s="4">
        <f>IFERROR(INDEX('Base de sorteio'!$B$3:$B$1723,MATCH($B959&amp;"|"&amp;$C959,'Base de sorteio'!$I$3:$I$1723,0)),"")</f>
        <v/>
      </c>
      <c r="F959" s="4">
        <f>IFERROR(INDEX('Base de sorteio'!$C$3:$C$1723,MATCH($B959&amp;"|"&amp;$C959,'Base de sorteio'!$I$3:$I$1723,0)),"")</f>
        <v/>
      </c>
      <c r="G959" s="4">
        <f>IFERROR(INDEX('Base de sorteio'!$D$3:$D$1723,MATCH($B959&amp;"|"&amp;$C959,'Base de sorteio'!$I$3:$I$1723,0)),"")</f>
        <v/>
      </c>
      <c r="H959" s="4">
        <f>IFERROR(INDEX('Base de sorteio'!$E$3:$E$1723,MATCH($B959&amp;"|"&amp;$C959,'Base de sorteio'!$I$3:$I$1723,0)),"")</f>
        <v/>
      </c>
      <c r="I959" s="4">
        <f>IF(E959="","",HYPERLINK(IFERROR(INDEX('Base de sorteio'!$J$3:$J$1723,MATCH($B959&amp;"|"&amp;$C959,'Base de sorteio'!$I$3:$I$1723,0)),""),"abrir"))</f>
        <v/>
      </c>
      <c r="J959" s="4" t="n"/>
      <c r="K959" s="4" t="n"/>
      <c r="L959" s="4" t="n"/>
      <c r="M959" s="4" t="n"/>
      <c r="N959" s="4">
        <f>IF(AND(K959="",M959=""),"",IF(OR(K959="sim",M959="sim"),"sim",IF(OR(K959="inconclusivo",M959="inconclusivo"),"inconclusivo","não")))</f>
        <v/>
      </c>
      <c r="O959" s="5">
        <f>IF(N959="sim",COUNTIFS($B$3:$B959,$B959,$N$3:$N959,"sim"),"")</f>
        <v/>
      </c>
      <c r="P959" s="5" t="n"/>
      <c r="Q959" s="4" t="n"/>
      <c r="R959" s="5" t="n"/>
      <c r="S959" s="9" t="n"/>
      <c r="T959" s="4" t="n"/>
    </row>
    <row r="960">
      <c r="A960" s="5">
        <f>ROW()-2</f>
        <v/>
      </c>
      <c r="B960" s="4" t="inlineStr">
        <is>
          <t>Capital regional</t>
        </is>
      </c>
      <c r="C960" s="5" t="n">
        <v>16</v>
      </c>
      <c r="D960" s="5">
        <f>IFERROR(INDEX('Base de sorteio'!$A$3:$A$1723,MATCH($B960&amp;"|"&amp;$C960,'Base de sorteio'!$I$3:$I$1723,0)),"")</f>
        <v/>
      </c>
      <c r="E960" s="4">
        <f>IFERROR(INDEX('Base de sorteio'!$B$3:$B$1723,MATCH($B960&amp;"|"&amp;$C960,'Base de sorteio'!$I$3:$I$1723,0)),"")</f>
        <v/>
      </c>
      <c r="F960" s="4">
        <f>IFERROR(INDEX('Base de sorteio'!$C$3:$C$1723,MATCH($B960&amp;"|"&amp;$C960,'Base de sorteio'!$I$3:$I$1723,0)),"")</f>
        <v/>
      </c>
      <c r="G960" s="4">
        <f>IFERROR(INDEX('Base de sorteio'!$D$3:$D$1723,MATCH($B960&amp;"|"&amp;$C960,'Base de sorteio'!$I$3:$I$1723,0)),"")</f>
        <v/>
      </c>
      <c r="H960" s="4">
        <f>IFERROR(INDEX('Base de sorteio'!$E$3:$E$1723,MATCH($B960&amp;"|"&amp;$C960,'Base de sorteio'!$I$3:$I$1723,0)),"")</f>
        <v/>
      </c>
      <c r="I960" s="4">
        <f>IF(E960="","",HYPERLINK(IFERROR(INDEX('Base de sorteio'!$J$3:$J$1723,MATCH($B960&amp;"|"&amp;$C960,'Base de sorteio'!$I$3:$I$1723,0)),""),"abrir"))</f>
        <v/>
      </c>
      <c r="J960" s="4" t="n"/>
      <c r="K960" s="4" t="n"/>
      <c r="L960" s="4" t="n"/>
      <c r="M960" s="4" t="n"/>
      <c r="N960" s="4">
        <f>IF(AND(K960="",M960=""),"",IF(OR(K960="sim",M960="sim"),"sim",IF(OR(K960="inconclusivo",M960="inconclusivo"),"inconclusivo","não")))</f>
        <v/>
      </c>
      <c r="O960" s="5">
        <f>IF(N960="sim",COUNTIFS($B$3:$B960,$B960,$N$3:$N960,"sim"),"")</f>
        <v/>
      </c>
      <c r="P960" s="5" t="n"/>
      <c r="Q960" s="4" t="n"/>
      <c r="R960" s="5" t="n"/>
      <c r="S960" s="9" t="n"/>
      <c r="T960" s="4" t="n"/>
    </row>
    <row r="961">
      <c r="A961" s="5">
        <f>ROW()-2</f>
        <v/>
      </c>
      <c r="B961" s="4" t="inlineStr">
        <is>
          <t>Capital regional</t>
        </is>
      </c>
      <c r="C961" s="5" t="n">
        <v>17</v>
      </c>
      <c r="D961" s="5">
        <f>IFERROR(INDEX('Base de sorteio'!$A$3:$A$1723,MATCH($B961&amp;"|"&amp;$C961,'Base de sorteio'!$I$3:$I$1723,0)),"")</f>
        <v/>
      </c>
      <c r="E961" s="4">
        <f>IFERROR(INDEX('Base de sorteio'!$B$3:$B$1723,MATCH($B961&amp;"|"&amp;$C961,'Base de sorteio'!$I$3:$I$1723,0)),"")</f>
        <v/>
      </c>
      <c r="F961" s="4">
        <f>IFERROR(INDEX('Base de sorteio'!$C$3:$C$1723,MATCH($B961&amp;"|"&amp;$C961,'Base de sorteio'!$I$3:$I$1723,0)),"")</f>
        <v/>
      </c>
      <c r="G961" s="4">
        <f>IFERROR(INDEX('Base de sorteio'!$D$3:$D$1723,MATCH($B961&amp;"|"&amp;$C961,'Base de sorteio'!$I$3:$I$1723,0)),"")</f>
        <v/>
      </c>
      <c r="H961" s="4">
        <f>IFERROR(INDEX('Base de sorteio'!$E$3:$E$1723,MATCH($B961&amp;"|"&amp;$C961,'Base de sorteio'!$I$3:$I$1723,0)),"")</f>
        <v/>
      </c>
      <c r="I961" s="4">
        <f>IF(E961="","",HYPERLINK(IFERROR(INDEX('Base de sorteio'!$J$3:$J$1723,MATCH($B961&amp;"|"&amp;$C961,'Base de sorteio'!$I$3:$I$1723,0)),""),"abrir"))</f>
        <v/>
      </c>
      <c r="J961" s="4" t="n"/>
      <c r="K961" s="4" t="n"/>
      <c r="L961" s="4" t="n"/>
      <c r="M961" s="4" t="n"/>
      <c r="N961" s="4">
        <f>IF(AND(K961="",M961=""),"",IF(OR(K961="sim",M961="sim"),"sim",IF(OR(K961="inconclusivo",M961="inconclusivo"),"inconclusivo","não")))</f>
        <v/>
      </c>
      <c r="O961" s="5">
        <f>IF(N961="sim",COUNTIFS($B$3:$B961,$B961,$N$3:$N961,"sim"),"")</f>
        <v/>
      </c>
      <c r="P961" s="5" t="n"/>
      <c r="Q961" s="4" t="n"/>
      <c r="R961" s="5" t="n"/>
      <c r="S961" s="9" t="n"/>
      <c r="T961" s="4" t="n"/>
    </row>
    <row r="962">
      <c r="A962" s="5">
        <f>ROW()-2</f>
        <v/>
      </c>
      <c r="B962" s="4" t="inlineStr">
        <is>
          <t>Capital regional</t>
        </is>
      </c>
      <c r="C962" s="5" t="n">
        <v>18</v>
      </c>
      <c r="D962" s="5">
        <f>IFERROR(INDEX('Base de sorteio'!$A$3:$A$1723,MATCH($B962&amp;"|"&amp;$C962,'Base de sorteio'!$I$3:$I$1723,0)),"")</f>
        <v/>
      </c>
      <c r="E962" s="4">
        <f>IFERROR(INDEX('Base de sorteio'!$B$3:$B$1723,MATCH($B962&amp;"|"&amp;$C962,'Base de sorteio'!$I$3:$I$1723,0)),"")</f>
        <v/>
      </c>
      <c r="F962" s="4">
        <f>IFERROR(INDEX('Base de sorteio'!$C$3:$C$1723,MATCH($B962&amp;"|"&amp;$C962,'Base de sorteio'!$I$3:$I$1723,0)),"")</f>
        <v/>
      </c>
      <c r="G962" s="4">
        <f>IFERROR(INDEX('Base de sorteio'!$D$3:$D$1723,MATCH($B962&amp;"|"&amp;$C962,'Base de sorteio'!$I$3:$I$1723,0)),"")</f>
        <v/>
      </c>
      <c r="H962" s="4">
        <f>IFERROR(INDEX('Base de sorteio'!$E$3:$E$1723,MATCH($B962&amp;"|"&amp;$C962,'Base de sorteio'!$I$3:$I$1723,0)),"")</f>
        <v/>
      </c>
      <c r="I962" s="4">
        <f>IF(E962="","",HYPERLINK(IFERROR(INDEX('Base de sorteio'!$J$3:$J$1723,MATCH($B962&amp;"|"&amp;$C962,'Base de sorteio'!$I$3:$I$1723,0)),""),"abrir"))</f>
        <v/>
      </c>
      <c r="J962" s="4" t="n"/>
      <c r="K962" s="4" t="n"/>
      <c r="L962" s="4" t="n"/>
      <c r="M962" s="4" t="n"/>
      <c r="N962" s="4">
        <f>IF(AND(K962="",M962=""),"",IF(OR(K962="sim",M962="sim"),"sim",IF(OR(K962="inconclusivo",M962="inconclusivo"),"inconclusivo","não")))</f>
        <v/>
      </c>
      <c r="O962" s="5">
        <f>IF(N962="sim",COUNTIFS($B$3:$B962,$B962,$N$3:$N962,"sim"),"")</f>
        <v/>
      </c>
      <c r="P962" s="5" t="n"/>
      <c r="Q962" s="4" t="n"/>
      <c r="R962" s="5" t="n"/>
      <c r="S962" s="9" t="n"/>
      <c r="T962" s="4" t="n"/>
    </row>
    <row r="963">
      <c r="A963" s="5">
        <f>ROW()-2</f>
        <v/>
      </c>
      <c r="B963" s="4" t="inlineStr">
        <is>
          <t>Capital regional</t>
        </is>
      </c>
      <c r="C963" s="5" t="n">
        <v>19</v>
      </c>
      <c r="D963" s="5">
        <f>IFERROR(INDEX('Base de sorteio'!$A$3:$A$1723,MATCH($B963&amp;"|"&amp;$C963,'Base de sorteio'!$I$3:$I$1723,0)),"")</f>
        <v/>
      </c>
      <c r="E963" s="4">
        <f>IFERROR(INDEX('Base de sorteio'!$B$3:$B$1723,MATCH($B963&amp;"|"&amp;$C963,'Base de sorteio'!$I$3:$I$1723,0)),"")</f>
        <v/>
      </c>
      <c r="F963" s="4">
        <f>IFERROR(INDEX('Base de sorteio'!$C$3:$C$1723,MATCH($B963&amp;"|"&amp;$C963,'Base de sorteio'!$I$3:$I$1723,0)),"")</f>
        <v/>
      </c>
      <c r="G963" s="4">
        <f>IFERROR(INDEX('Base de sorteio'!$D$3:$D$1723,MATCH($B963&amp;"|"&amp;$C963,'Base de sorteio'!$I$3:$I$1723,0)),"")</f>
        <v/>
      </c>
      <c r="H963" s="4">
        <f>IFERROR(INDEX('Base de sorteio'!$E$3:$E$1723,MATCH($B963&amp;"|"&amp;$C963,'Base de sorteio'!$I$3:$I$1723,0)),"")</f>
        <v/>
      </c>
      <c r="I963" s="4">
        <f>IF(E963="","",HYPERLINK(IFERROR(INDEX('Base de sorteio'!$J$3:$J$1723,MATCH($B963&amp;"|"&amp;$C963,'Base de sorteio'!$I$3:$I$1723,0)),""),"abrir"))</f>
        <v/>
      </c>
      <c r="J963" s="4" t="n"/>
      <c r="K963" s="4" t="n"/>
      <c r="L963" s="4" t="n"/>
      <c r="M963" s="4" t="n"/>
      <c r="N963" s="4">
        <f>IF(AND(K963="",M963=""),"",IF(OR(K963="sim",M963="sim"),"sim",IF(OR(K963="inconclusivo",M963="inconclusivo"),"inconclusivo","não")))</f>
        <v/>
      </c>
      <c r="O963" s="5">
        <f>IF(N963="sim",COUNTIFS($B$3:$B963,$B963,$N$3:$N963,"sim"),"")</f>
        <v/>
      </c>
      <c r="P963" s="5" t="n"/>
      <c r="Q963" s="4" t="n"/>
      <c r="R963" s="5" t="n"/>
      <c r="S963" s="9" t="n"/>
      <c r="T963" s="4" t="n"/>
    </row>
    <row r="964">
      <c r="A964" s="5">
        <f>ROW()-2</f>
        <v/>
      </c>
      <c r="B964" s="4" t="inlineStr">
        <is>
          <t>Capital regional</t>
        </is>
      </c>
      <c r="C964" s="5" t="n">
        <v>20</v>
      </c>
      <c r="D964" s="5">
        <f>IFERROR(INDEX('Base de sorteio'!$A$3:$A$1723,MATCH($B964&amp;"|"&amp;$C964,'Base de sorteio'!$I$3:$I$1723,0)),"")</f>
        <v/>
      </c>
      <c r="E964" s="4">
        <f>IFERROR(INDEX('Base de sorteio'!$B$3:$B$1723,MATCH($B964&amp;"|"&amp;$C964,'Base de sorteio'!$I$3:$I$1723,0)),"")</f>
        <v/>
      </c>
      <c r="F964" s="4">
        <f>IFERROR(INDEX('Base de sorteio'!$C$3:$C$1723,MATCH($B964&amp;"|"&amp;$C964,'Base de sorteio'!$I$3:$I$1723,0)),"")</f>
        <v/>
      </c>
      <c r="G964" s="4">
        <f>IFERROR(INDEX('Base de sorteio'!$D$3:$D$1723,MATCH($B964&amp;"|"&amp;$C964,'Base de sorteio'!$I$3:$I$1723,0)),"")</f>
        <v/>
      </c>
      <c r="H964" s="4">
        <f>IFERROR(INDEX('Base de sorteio'!$E$3:$E$1723,MATCH($B964&amp;"|"&amp;$C964,'Base de sorteio'!$I$3:$I$1723,0)),"")</f>
        <v/>
      </c>
      <c r="I964" s="4">
        <f>IF(E964="","",HYPERLINK(IFERROR(INDEX('Base de sorteio'!$J$3:$J$1723,MATCH($B964&amp;"|"&amp;$C964,'Base de sorteio'!$I$3:$I$1723,0)),""),"abrir"))</f>
        <v/>
      </c>
      <c r="J964" s="4" t="n"/>
      <c r="K964" s="4" t="n"/>
      <c r="L964" s="4" t="n"/>
      <c r="M964" s="4" t="n"/>
      <c r="N964" s="4">
        <f>IF(AND(K964="",M964=""),"",IF(OR(K964="sim",M964="sim"),"sim",IF(OR(K964="inconclusivo",M964="inconclusivo"),"inconclusivo","não")))</f>
        <v/>
      </c>
      <c r="O964" s="5">
        <f>IF(N964="sim",COUNTIFS($B$3:$B964,$B964,$N$3:$N964,"sim"),"")</f>
        <v/>
      </c>
      <c r="P964" s="5" t="n"/>
      <c r="Q964" s="4" t="n"/>
      <c r="R964" s="5" t="n"/>
      <c r="S964" s="9" t="n"/>
      <c r="T964" s="4" t="n"/>
    </row>
    <row r="965">
      <c r="A965" s="5">
        <f>ROW()-2</f>
        <v/>
      </c>
      <c r="B965" s="4" t="inlineStr">
        <is>
          <t>Capital regional</t>
        </is>
      </c>
      <c r="C965" s="5" t="n">
        <v>21</v>
      </c>
      <c r="D965" s="5">
        <f>IFERROR(INDEX('Base de sorteio'!$A$3:$A$1723,MATCH($B965&amp;"|"&amp;$C965,'Base de sorteio'!$I$3:$I$1723,0)),"")</f>
        <v/>
      </c>
      <c r="E965" s="4">
        <f>IFERROR(INDEX('Base de sorteio'!$B$3:$B$1723,MATCH($B965&amp;"|"&amp;$C965,'Base de sorteio'!$I$3:$I$1723,0)),"")</f>
        <v/>
      </c>
      <c r="F965" s="4">
        <f>IFERROR(INDEX('Base de sorteio'!$C$3:$C$1723,MATCH($B965&amp;"|"&amp;$C965,'Base de sorteio'!$I$3:$I$1723,0)),"")</f>
        <v/>
      </c>
      <c r="G965" s="4">
        <f>IFERROR(INDEX('Base de sorteio'!$D$3:$D$1723,MATCH($B965&amp;"|"&amp;$C965,'Base de sorteio'!$I$3:$I$1723,0)),"")</f>
        <v/>
      </c>
      <c r="H965" s="4">
        <f>IFERROR(INDEX('Base de sorteio'!$E$3:$E$1723,MATCH($B965&amp;"|"&amp;$C965,'Base de sorteio'!$I$3:$I$1723,0)),"")</f>
        <v/>
      </c>
      <c r="I965" s="4">
        <f>IF(E965="","",HYPERLINK(IFERROR(INDEX('Base de sorteio'!$J$3:$J$1723,MATCH($B965&amp;"|"&amp;$C965,'Base de sorteio'!$I$3:$I$1723,0)),""),"abrir"))</f>
        <v/>
      </c>
      <c r="J965" s="4" t="n"/>
      <c r="K965" s="4" t="n"/>
      <c r="L965" s="4" t="n"/>
      <c r="M965" s="4" t="n"/>
      <c r="N965" s="4">
        <f>IF(AND(K965="",M965=""),"",IF(OR(K965="sim",M965="sim"),"sim",IF(OR(K965="inconclusivo",M965="inconclusivo"),"inconclusivo","não")))</f>
        <v/>
      </c>
      <c r="O965" s="5">
        <f>IF(N965="sim",COUNTIFS($B$3:$B965,$B965,$N$3:$N965,"sim"),"")</f>
        <v/>
      </c>
      <c r="P965" s="5" t="n"/>
      <c r="Q965" s="4" t="n"/>
      <c r="R965" s="5" t="n"/>
      <c r="S965" s="9" t="n"/>
      <c r="T965" s="4" t="n"/>
    </row>
    <row r="966">
      <c r="A966" s="5">
        <f>ROW()-2</f>
        <v/>
      </c>
      <c r="B966" s="4" t="inlineStr">
        <is>
          <t>Capital regional</t>
        </is>
      </c>
      <c r="C966" s="5" t="n">
        <v>22</v>
      </c>
      <c r="D966" s="5">
        <f>IFERROR(INDEX('Base de sorteio'!$A$3:$A$1723,MATCH($B966&amp;"|"&amp;$C966,'Base de sorteio'!$I$3:$I$1723,0)),"")</f>
        <v/>
      </c>
      <c r="E966" s="4">
        <f>IFERROR(INDEX('Base de sorteio'!$B$3:$B$1723,MATCH($B966&amp;"|"&amp;$C966,'Base de sorteio'!$I$3:$I$1723,0)),"")</f>
        <v/>
      </c>
      <c r="F966" s="4">
        <f>IFERROR(INDEX('Base de sorteio'!$C$3:$C$1723,MATCH($B966&amp;"|"&amp;$C966,'Base de sorteio'!$I$3:$I$1723,0)),"")</f>
        <v/>
      </c>
      <c r="G966" s="4">
        <f>IFERROR(INDEX('Base de sorteio'!$D$3:$D$1723,MATCH($B966&amp;"|"&amp;$C966,'Base de sorteio'!$I$3:$I$1723,0)),"")</f>
        <v/>
      </c>
      <c r="H966" s="4">
        <f>IFERROR(INDEX('Base de sorteio'!$E$3:$E$1723,MATCH($B966&amp;"|"&amp;$C966,'Base de sorteio'!$I$3:$I$1723,0)),"")</f>
        <v/>
      </c>
      <c r="I966" s="4">
        <f>IF(E966="","",HYPERLINK(IFERROR(INDEX('Base de sorteio'!$J$3:$J$1723,MATCH($B966&amp;"|"&amp;$C966,'Base de sorteio'!$I$3:$I$1723,0)),""),"abrir"))</f>
        <v/>
      </c>
      <c r="J966" s="4" t="n"/>
      <c r="K966" s="4" t="n"/>
      <c r="L966" s="4" t="n"/>
      <c r="M966" s="4" t="n"/>
      <c r="N966" s="4">
        <f>IF(AND(K966="",M966=""),"",IF(OR(K966="sim",M966="sim"),"sim",IF(OR(K966="inconclusivo",M966="inconclusivo"),"inconclusivo","não")))</f>
        <v/>
      </c>
      <c r="O966" s="5">
        <f>IF(N966="sim",COUNTIFS($B$3:$B966,$B966,$N$3:$N966,"sim"),"")</f>
        <v/>
      </c>
      <c r="P966" s="5" t="n"/>
      <c r="Q966" s="4" t="n"/>
      <c r="R966" s="5" t="n"/>
      <c r="S966" s="9" t="n"/>
      <c r="T966" s="4" t="n"/>
    </row>
    <row r="967">
      <c r="A967" s="5">
        <f>ROW()-2</f>
        <v/>
      </c>
      <c r="B967" s="4" t="inlineStr">
        <is>
          <t>Capital regional</t>
        </is>
      </c>
      <c r="C967" s="5" t="n">
        <v>23</v>
      </c>
      <c r="D967" s="5">
        <f>IFERROR(INDEX('Base de sorteio'!$A$3:$A$1723,MATCH($B967&amp;"|"&amp;$C967,'Base de sorteio'!$I$3:$I$1723,0)),"")</f>
        <v/>
      </c>
      <c r="E967" s="4">
        <f>IFERROR(INDEX('Base de sorteio'!$B$3:$B$1723,MATCH($B967&amp;"|"&amp;$C967,'Base de sorteio'!$I$3:$I$1723,0)),"")</f>
        <v/>
      </c>
      <c r="F967" s="4">
        <f>IFERROR(INDEX('Base de sorteio'!$C$3:$C$1723,MATCH($B967&amp;"|"&amp;$C967,'Base de sorteio'!$I$3:$I$1723,0)),"")</f>
        <v/>
      </c>
      <c r="G967" s="4">
        <f>IFERROR(INDEX('Base de sorteio'!$D$3:$D$1723,MATCH($B967&amp;"|"&amp;$C967,'Base de sorteio'!$I$3:$I$1723,0)),"")</f>
        <v/>
      </c>
      <c r="H967" s="4">
        <f>IFERROR(INDEX('Base de sorteio'!$E$3:$E$1723,MATCH($B967&amp;"|"&amp;$C967,'Base de sorteio'!$I$3:$I$1723,0)),"")</f>
        <v/>
      </c>
      <c r="I967" s="4">
        <f>IF(E967="","",HYPERLINK(IFERROR(INDEX('Base de sorteio'!$J$3:$J$1723,MATCH($B967&amp;"|"&amp;$C967,'Base de sorteio'!$I$3:$I$1723,0)),""),"abrir"))</f>
        <v/>
      </c>
      <c r="J967" s="4" t="n"/>
      <c r="K967" s="4" t="n"/>
      <c r="L967" s="4" t="n"/>
      <c r="M967" s="4" t="n"/>
      <c r="N967" s="4">
        <f>IF(AND(K967="",M967=""),"",IF(OR(K967="sim",M967="sim"),"sim",IF(OR(K967="inconclusivo",M967="inconclusivo"),"inconclusivo","não")))</f>
        <v/>
      </c>
      <c r="O967" s="5">
        <f>IF(N967="sim",COUNTIFS($B$3:$B967,$B967,$N$3:$N967,"sim"),"")</f>
        <v/>
      </c>
      <c r="P967" s="5" t="n"/>
      <c r="Q967" s="4" t="n"/>
      <c r="R967" s="5" t="n"/>
      <c r="S967" s="9" t="n"/>
      <c r="T967" s="4" t="n"/>
    </row>
    <row r="968">
      <c r="A968" s="5">
        <f>ROW()-2</f>
        <v/>
      </c>
      <c r="B968" s="4" t="inlineStr">
        <is>
          <t>Capital regional</t>
        </is>
      </c>
      <c r="C968" s="5" t="n">
        <v>24</v>
      </c>
      <c r="D968" s="5">
        <f>IFERROR(INDEX('Base de sorteio'!$A$3:$A$1723,MATCH($B968&amp;"|"&amp;$C968,'Base de sorteio'!$I$3:$I$1723,0)),"")</f>
        <v/>
      </c>
      <c r="E968" s="4">
        <f>IFERROR(INDEX('Base de sorteio'!$B$3:$B$1723,MATCH($B968&amp;"|"&amp;$C968,'Base de sorteio'!$I$3:$I$1723,0)),"")</f>
        <v/>
      </c>
      <c r="F968" s="4">
        <f>IFERROR(INDEX('Base de sorteio'!$C$3:$C$1723,MATCH($B968&amp;"|"&amp;$C968,'Base de sorteio'!$I$3:$I$1723,0)),"")</f>
        <v/>
      </c>
      <c r="G968" s="4">
        <f>IFERROR(INDEX('Base de sorteio'!$D$3:$D$1723,MATCH($B968&amp;"|"&amp;$C968,'Base de sorteio'!$I$3:$I$1723,0)),"")</f>
        <v/>
      </c>
      <c r="H968" s="4">
        <f>IFERROR(INDEX('Base de sorteio'!$E$3:$E$1723,MATCH($B968&amp;"|"&amp;$C968,'Base de sorteio'!$I$3:$I$1723,0)),"")</f>
        <v/>
      </c>
      <c r="I968" s="4">
        <f>IF(E968="","",HYPERLINK(IFERROR(INDEX('Base de sorteio'!$J$3:$J$1723,MATCH($B968&amp;"|"&amp;$C968,'Base de sorteio'!$I$3:$I$1723,0)),""),"abrir"))</f>
        <v/>
      </c>
      <c r="J968" s="4" t="n"/>
      <c r="K968" s="4" t="n"/>
      <c r="L968" s="4" t="n"/>
      <c r="M968" s="4" t="n"/>
      <c r="N968" s="4">
        <f>IF(AND(K968="",M968=""),"",IF(OR(K968="sim",M968="sim"),"sim",IF(OR(K968="inconclusivo",M968="inconclusivo"),"inconclusivo","não")))</f>
        <v/>
      </c>
      <c r="O968" s="5">
        <f>IF(N968="sim",COUNTIFS($B$3:$B968,$B968,$N$3:$N968,"sim"),"")</f>
        <v/>
      </c>
      <c r="P968" s="5" t="n"/>
      <c r="Q968" s="4" t="n"/>
      <c r="R968" s="5" t="n"/>
      <c r="S968" s="9" t="n"/>
      <c r="T968" s="4" t="n"/>
    </row>
    <row r="969">
      <c r="A969" s="5">
        <f>ROW()-2</f>
        <v/>
      </c>
      <c r="B969" s="4" t="inlineStr">
        <is>
          <t>Capital regional</t>
        </is>
      </c>
      <c r="C969" s="5" t="n">
        <v>25</v>
      </c>
      <c r="D969" s="5">
        <f>IFERROR(INDEX('Base de sorteio'!$A$3:$A$1723,MATCH($B969&amp;"|"&amp;$C969,'Base de sorteio'!$I$3:$I$1723,0)),"")</f>
        <v/>
      </c>
      <c r="E969" s="4">
        <f>IFERROR(INDEX('Base de sorteio'!$B$3:$B$1723,MATCH($B969&amp;"|"&amp;$C969,'Base de sorteio'!$I$3:$I$1723,0)),"")</f>
        <v/>
      </c>
      <c r="F969" s="4">
        <f>IFERROR(INDEX('Base de sorteio'!$C$3:$C$1723,MATCH($B969&amp;"|"&amp;$C969,'Base de sorteio'!$I$3:$I$1723,0)),"")</f>
        <v/>
      </c>
      <c r="G969" s="4">
        <f>IFERROR(INDEX('Base de sorteio'!$D$3:$D$1723,MATCH($B969&amp;"|"&amp;$C969,'Base de sorteio'!$I$3:$I$1723,0)),"")</f>
        <v/>
      </c>
      <c r="H969" s="4">
        <f>IFERROR(INDEX('Base de sorteio'!$E$3:$E$1723,MATCH($B969&amp;"|"&amp;$C969,'Base de sorteio'!$I$3:$I$1723,0)),"")</f>
        <v/>
      </c>
      <c r="I969" s="4">
        <f>IF(E969="","",HYPERLINK(IFERROR(INDEX('Base de sorteio'!$J$3:$J$1723,MATCH($B969&amp;"|"&amp;$C969,'Base de sorteio'!$I$3:$I$1723,0)),""),"abrir"))</f>
        <v/>
      </c>
      <c r="J969" s="4" t="n"/>
      <c r="K969" s="4" t="n"/>
      <c r="L969" s="4" t="n"/>
      <c r="M969" s="4" t="n"/>
      <c r="N969" s="4">
        <f>IF(AND(K969="",M969=""),"",IF(OR(K969="sim",M969="sim"),"sim",IF(OR(K969="inconclusivo",M969="inconclusivo"),"inconclusivo","não")))</f>
        <v/>
      </c>
      <c r="O969" s="5">
        <f>IF(N969="sim",COUNTIFS($B$3:$B969,$B969,$N$3:$N969,"sim"),"")</f>
        <v/>
      </c>
      <c r="P969" s="5" t="n"/>
      <c r="Q969" s="4" t="n"/>
      <c r="R969" s="5" t="n"/>
      <c r="S969" s="9" t="n"/>
      <c r="T969" s="4" t="n"/>
    </row>
    <row r="970">
      <c r="A970" s="5">
        <f>ROW()-2</f>
        <v/>
      </c>
      <c r="B970" s="4" t="inlineStr">
        <is>
          <t>Capital regional</t>
        </is>
      </c>
      <c r="C970" s="5" t="n">
        <v>26</v>
      </c>
      <c r="D970" s="5">
        <f>IFERROR(INDEX('Base de sorteio'!$A$3:$A$1723,MATCH($B970&amp;"|"&amp;$C970,'Base de sorteio'!$I$3:$I$1723,0)),"")</f>
        <v/>
      </c>
      <c r="E970" s="4">
        <f>IFERROR(INDEX('Base de sorteio'!$B$3:$B$1723,MATCH($B970&amp;"|"&amp;$C970,'Base de sorteio'!$I$3:$I$1723,0)),"")</f>
        <v/>
      </c>
      <c r="F970" s="4">
        <f>IFERROR(INDEX('Base de sorteio'!$C$3:$C$1723,MATCH($B970&amp;"|"&amp;$C970,'Base de sorteio'!$I$3:$I$1723,0)),"")</f>
        <v/>
      </c>
      <c r="G970" s="4">
        <f>IFERROR(INDEX('Base de sorteio'!$D$3:$D$1723,MATCH($B970&amp;"|"&amp;$C970,'Base de sorteio'!$I$3:$I$1723,0)),"")</f>
        <v/>
      </c>
      <c r="H970" s="4">
        <f>IFERROR(INDEX('Base de sorteio'!$E$3:$E$1723,MATCH($B970&amp;"|"&amp;$C970,'Base de sorteio'!$I$3:$I$1723,0)),"")</f>
        <v/>
      </c>
      <c r="I970" s="4">
        <f>IF(E970="","",HYPERLINK(IFERROR(INDEX('Base de sorteio'!$J$3:$J$1723,MATCH($B970&amp;"|"&amp;$C970,'Base de sorteio'!$I$3:$I$1723,0)),""),"abrir"))</f>
        <v/>
      </c>
      <c r="J970" s="4" t="n"/>
      <c r="K970" s="4" t="n"/>
      <c r="L970" s="4" t="n"/>
      <c r="M970" s="4" t="n"/>
      <c r="N970" s="4">
        <f>IF(AND(K970="",M970=""),"",IF(OR(K970="sim",M970="sim"),"sim",IF(OR(K970="inconclusivo",M970="inconclusivo"),"inconclusivo","não")))</f>
        <v/>
      </c>
      <c r="O970" s="5">
        <f>IF(N970="sim",COUNTIFS($B$3:$B970,$B970,$N$3:$N970,"sim"),"")</f>
        <v/>
      </c>
      <c r="P970" s="5" t="n"/>
      <c r="Q970" s="4" t="n"/>
      <c r="R970" s="5" t="n"/>
      <c r="S970" s="9" t="n"/>
      <c r="T970" s="4" t="n"/>
    </row>
    <row r="971">
      <c r="A971" s="5">
        <f>ROW()-2</f>
        <v/>
      </c>
      <c r="B971" s="4" t="inlineStr">
        <is>
          <t>Capital regional</t>
        </is>
      </c>
      <c r="C971" s="5" t="n">
        <v>27</v>
      </c>
      <c r="D971" s="5">
        <f>IFERROR(INDEX('Base de sorteio'!$A$3:$A$1723,MATCH($B971&amp;"|"&amp;$C971,'Base de sorteio'!$I$3:$I$1723,0)),"")</f>
        <v/>
      </c>
      <c r="E971" s="4">
        <f>IFERROR(INDEX('Base de sorteio'!$B$3:$B$1723,MATCH($B971&amp;"|"&amp;$C971,'Base de sorteio'!$I$3:$I$1723,0)),"")</f>
        <v/>
      </c>
      <c r="F971" s="4">
        <f>IFERROR(INDEX('Base de sorteio'!$C$3:$C$1723,MATCH($B971&amp;"|"&amp;$C971,'Base de sorteio'!$I$3:$I$1723,0)),"")</f>
        <v/>
      </c>
      <c r="G971" s="4">
        <f>IFERROR(INDEX('Base de sorteio'!$D$3:$D$1723,MATCH($B971&amp;"|"&amp;$C971,'Base de sorteio'!$I$3:$I$1723,0)),"")</f>
        <v/>
      </c>
      <c r="H971" s="4">
        <f>IFERROR(INDEX('Base de sorteio'!$E$3:$E$1723,MATCH($B971&amp;"|"&amp;$C971,'Base de sorteio'!$I$3:$I$1723,0)),"")</f>
        <v/>
      </c>
      <c r="I971" s="4">
        <f>IF(E971="","",HYPERLINK(IFERROR(INDEX('Base de sorteio'!$J$3:$J$1723,MATCH($B971&amp;"|"&amp;$C971,'Base de sorteio'!$I$3:$I$1723,0)),""),"abrir"))</f>
        <v/>
      </c>
      <c r="J971" s="4" t="n"/>
      <c r="K971" s="4" t="n"/>
      <c r="L971" s="4" t="n"/>
      <c r="M971" s="4" t="n"/>
      <c r="N971" s="4">
        <f>IF(AND(K971="",M971=""),"",IF(OR(K971="sim",M971="sim"),"sim",IF(OR(K971="inconclusivo",M971="inconclusivo"),"inconclusivo","não")))</f>
        <v/>
      </c>
      <c r="O971" s="5">
        <f>IF(N971="sim",COUNTIFS($B$3:$B971,$B971,$N$3:$N971,"sim"),"")</f>
        <v/>
      </c>
      <c r="P971" s="5" t="n"/>
      <c r="Q971" s="4" t="n"/>
      <c r="R971" s="5" t="n"/>
      <c r="S971" s="9" t="n"/>
      <c r="T971" s="4" t="n"/>
    </row>
    <row r="972">
      <c r="A972" s="5">
        <f>ROW()-2</f>
        <v/>
      </c>
      <c r="B972" s="4" t="inlineStr">
        <is>
          <t>Capital regional</t>
        </is>
      </c>
      <c r="C972" s="5" t="n">
        <v>28</v>
      </c>
      <c r="D972" s="5">
        <f>IFERROR(INDEX('Base de sorteio'!$A$3:$A$1723,MATCH($B972&amp;"|"&amp;$C972,'Base de sorteio'!$I$3:$I$1723,0)),"")</f>
        <v/>
      </c>
      <c r="E972" s="4">
        <f>IFERROR(INDEX('Base de sorteio'!$B$3:$B$1723,MATCH($B972&amp;"|"&amp;$C972,'Base de sorteio'!$I$3:$I$1723,0)),"")</f>
        <v/>
      </c>
      <c r="F972" s="4">
        <f>IFERROR(INDEX('Base de sorteio'!$C$3:$C$1723,MATCH($B972&amp;"|"&amp;$C972,'Base de sorteio'!$I$3:$I$1723,0)),"")</f>
        <v/>
      </c>
      <c r="G972" s="4">
        <f>IFERROR(INDEX('Base de sorteio'!$D$3:$D$1723,MATCH($B972&amp;"|"&amp;$C972,'Base de sorteio'!$I$3:$I$1723,0)),"")</f>
        <v/>
      </c>
      <c r="H972" s="4">
        <f>IFERROR(INDEX('Base de sorteio'!$E$3:$E$1723,MATCH($B972&amp;"|"&amp;$C972,'Base de sorteio'!$I$3:$I$1723,0)),"")</f>
        <v/>
      </c>
      <c r="I972" s="4">
        <f>IF(E972="","",HYPERLINK(IFERROR(INDEX('Base de sorteio'!$J$3:$J$1723,MATCH($B972&amp;"|"&amp;$C972,'Base de sorteio'!$I$3:$I$1723,0)),""),"abrir"))</f>
        <v/>
      </c>
      <c r="J972" s="4" t="n"/>
      <c r="K972" s="4" t="n"/>
      <c r="L972" s="4" t="n"/>
      <c r="M972" s="4" t="n"/>
      <c r="N972" s="4">
        <f>IF(AND(K972="",M972=""),"",IF(OR(K972="sim",M972="sim"),"sim",IF(OR(K972="inconclusivo",M972="inconclusivo"),"inconclusivo","não")))</f>
        <v/>
      </c>
      <c r="O972" s="5">
        <f>IF(N972="sim",COUNTIFS($B$3:$B972,$B972,$N$3:$N972,"sim"),"")</f>
        <v/>
      </c>
      <c r="P972" s="5" t="n"/>
      <c r="Q972" s="4" t="n"/>
      <c r="R972" s="5" t="n"/>
      <c r="S972" s="9" t="n"/>
      <c r="T972" s="4" t="n"/>
    </row>
    <row r="973">
      <c r="A973" s="5">
        <f>ROW()-2</f>
        <v/>
      </c>
      <c r="B973" s="4" t="inlineStr">
        <is>
          <t>Capital regional</t>
        </is>
      </c>
      <c r="C973" s="5" t="n">
        <v>29</v>
      </c>
      <c r="D973" s="5">
        <f>IFERROR(INDEX('Base de sorteio'!$A$3:$A$1723,MATCH($B973&amp;"|"&amp;$C973,'Base de sorteio'!$I$3:$I$1723,0)),"")</f>
        <v/>
      </c>
      <c r="E973" s="4">
        <f>IFERROR(INDEX('Base de sorteio'!$B$3:$B$1723,MATCH($B973&amp;"|"&amp;$C973,'Base de sorteio'!$I$3:$I$1723,0)),"")</f>
        <v/>
      </c>
      <c r="F973" s="4">
        <f>IFERROR(INDEX('Base de sorteio'!$C$3:$C$1723,MATCH($B973&amp;"|"&amp;$C973,'Base de sorteio'!$I$3:$I$1723,0)),"")</f>
        <v/>
      </c>
      <c r="G973" s="4">
        <f>IFERROR(INDEX('Base de sorteio'!$D$3:$D$1723,MATCH($B973&amp;"|"&amp;$C973,'Base de sorteio'!$I$3:$I$1723,0)),"")</f>
        <v/>
      </c>
      <c r="H973" s="4">
        <f>IFERROR(INDEX('Base de sorteio'!$E$3:$E$1723,MATCH($B973&amp;"|"&amp;$C973,'Base de sorteio'!$I$3:$I$1723,0)),"")</f>
        <v/>
      </c>
      <c r="I973" s="4">
        <f>IF(E973="","",HYPERLINK(IFERROR(INDEX('Base de sorteio'!$J$3:$J$1723,MATCH($B973&amp;"|"&amp;$C973,'Base de sorteio'!$I$3:$I$1723,0)),""),"abrir"))</f>
        <v/>
      </c>
      <c r="J973" s="4" t="n"/>
      <c r="K973" s="4" t="n"/>
      <c r="L973" s="4" t="n"/>
      <c r="M973" s="4" t="n"/>
      <c r="N973" s="4">
        <f>IF(AND(K973="",M973=""),"",IF(OR(K973="sim",M973="sim"),"sim",IF(OR(K973="inconclusivo",M973="inconclusivo"),"inconclusivo","não")))</f>
        <v/>
      </c>
      <c r="O973" s="5">
        <f>IF(N973="sim",COUNTIFS($B$3:$B973,$B973,$N$3:$N973,"sim"),"")</f>
        <v/>
      </c>
      <c r="P973" s="5" t="n"/>
      <c r="Q973" s="4" t="n"/>
      <c r="R973" s="5" t="n"/>
      <c r="S973" s="9" t="n"/>
      <c r="T973" s="4" t="n"/>
    </row>
    <row r="974">
      <c r="A974" s="5">
        <f>ROW()-2</f>
        <v/>
      </c>
      <c r="B974" s="4" t="inlineStr">
        <is>
          <t>Capital regional</t>
        </is>
      </c>
      <c r="C974" s="5" t="n">
        <v>30</v>
      </c>
      <c r="D974" s="5">
        <f>IFERROR(INDEX('Base de sorteio'!$A$3:$A$1723,MATCH($B974&amp;"|"&amp;$C974,'Base de sorteio'!$I$3:$I$1723,0)),"")</f>
        <v/>
      </c>
      <c r="E974" s="4">
        <f>IFERROR(INDEX('Base de sorteio'!$B$3:$B$1723,MATCH($B974&amp;"|"&amp;$C974,'Base de sorteio'!$I$3:$I$1723,0)),"")</f>
        <v/>
      </c>
      <c r="F974" s="4">
        <f>IFERROR(INDEX('Base de sorteio'!$C$3:$C$1723,MATCH($B974&amp;"|"&amp;$C974,'Base de sorteio'!$I$3:$I$1723,0)),"")</f>
        <v/>
      </c>
      <c r="G974" s="4">
        <f>IFERROR(INDEX('Base de sorteio'!$D$3:$D$1723,MATCH($B974&amp;"|"&amp;$C974,'Base de sorteio'!$I$3:$I$1723,0)),"")</f>
        <v/>
      </c>
      <c r="H974" s="4">
        <f>IFERROR(INDEX('Base de sorteio'!$E$3:$E$1723,MATCH($B974&amp;"|"&amp;$C974,'Base de sorteio'!$I$3:$I$1723,0)),"")</f>
        <v/>
      </c>
      <c r="I974" s="4">
        <f>IF(E974="","",HYPERLINK(IFERROR(INDEX('Base de sorteio'!$J$3:$J$1723,MATCH($B974&amp;"|"&amp;$C974,'Base de sorteio'!$I$3:$I$1723,0)),""),"abrir"))</f>
        <v/>
      </c>
      <c r="J974" s="4" t="n"/>
      <c r="K974" s="4" t="n"/>
      <c r="L974" s="4" t="n"/>
      <c r="M974" s="4" t="n"/>
      <c r="N974" s="4">
        <f>IF(AND(K974="",M974=""),"",IF(OR(K974="sim",M974="sim"),"sim",IF(OR(K974="inconclusivo",M974="inconclusivo"),"inconclusivo","não")))</f>
        <v/>
      </c>
      <c r="O974" s="5">
        <f>IF(N974="sim",COUNTIFS($B$3:$B974,$B974,$N$3:$N974,"sim"),"")</f>
        <v/>
      </c>
      <c r="P974" s="5" t="n"/>
      <c r="Q974" s="4" t="n"/>
      <c r="R974" s="5" t="n"/>
      <c r="S974" s="9" t="n"/>
      <c r="T974" s="4" t="n"/>
    </row>
    <row r="975">
      <c r="A975" s="5">
        <f>ROW()-2</f>
        <v/>
      </c>
      <c r="B975" s="4" t="inlineStr">
        <is>
          <t>Capital regional</t>
        </is>
      </c>
      <c r="C975" s="5" t="n">
        <v>31</v>
      </c>
      <c r="D975" s="5">
        <f>IFERROR(INDEX('Base de sorteio'!$A$3:$A$1723,MATCH($B975&amp;"|"&amp;$C975,'Base de sorteio'!$I$3:$I$1723,0)),"")</f>
        <v/>
      </c>
      <c r="E975" s="4">
        <f>IFERROR(INDEX('Base de sorteio'!$B$3:$B$1723,MATCH($B975&amp;"|"&amp;$C975,'Base de sorteio'!$I$3:$I$1723,0)),"")</f>
        <v/>
      </c>
      <c r="F975" s="4">
        <f>IFERROR(INDEX('Base de sorteio'!$C$3:$C$1723,MATCH($B975&amp;"|"&amp;$C975,'Base de sorteio'!$I$3:$I$1723,0)),"")</f>
        <v/>
      </c>
      <c r="G975" s="4">
        <f>IFERROR(INDEX('Base de sorteio'!$D$3:$D$1723,MATCH($B975&amp;"|"&amp;$C975,'Base de sorteio'!$I$3:$I$1723,0)),"")</f>
        <v/>
      </c>
      <c r="H975" s="4">
        <f>IFERROR(INDEX('Base de sorteio'!$E$3:$E$1723,MATCH($B975&amp;"|"&amp;$C975,'Base de sorteio'!$I$3:$I$1723,0)),"")</f>
        <v/>
      </c>
      <c r="I975" s="4">
        <f>IF(E975="","",HYPERLINK(IFERROR(INDEX('Base de sorteio'!$J$3:$J$1723,MATCH($B975&amp;"|"&amp;$C975,'Base de sorteio'!$I$3:$I$1723,0)),""),"abrir"))</f>
        <v/>
      </c>
      <c r="J975" s="4" t="n"/>
      <c r="K975" s="4" t="n"/>
      <c r="L975" s="4" t="n"/>
      <c r="M975" s="4" t="n"/>
      <c r="N975" s="4">
        <f>IF(AND(K975="",M975=""),"",IF(OR(K975="sim",M975="sim"),"sim",IF(OR(K975="inconclusivo",M975="inconclusivo"),"inconclusivo","não")))</f>
        <v/>
      </c>
      <c r="O975" s="5">
        <f>IF(N975="sim",COUNTIFS($B$3:$B975,$B975,$N$3:$N975,"sim"),"")</f>
        <v/>
      </c>
      <c r="P975" s="5" t="n"/>
      <c r="Q975" s="4" t="n"/>
      <c r="R975" s="5" t="n"/>
      <c r="S975" s="9" t="n"/>
      <c r="T975" s="4" t="n"/>
    </row>
    <row r="976">
      <c r="A976" s="5">
        <f>ROW()-2</f>
        <v/>
      </c>
      <c r="B976" s="4" t="inlineStr">
        <is>
          <t>Capital regional</t>
        </is>
      </c>
      <c r="C976" s="5" t="n">
        <v>32</v>
      </c>
      <c r="D976" s="5">
        <f>IFERROR(INDEX('Base de sorteio'!$A$3:$A$1723,MATCH($B976&amp;"|"&amp;$C976,'Base de sorteio'!$I$3:$I$1723,0)),"")</f>
        <v/>
      </c>
      <c r="E976" s="4">
        <f>IFERROR(INDEX('Base de sorteio'!$B$3:$B$1723,MATCH($B976&amp;"|"&amp;$C976,'Base de sorteio'!$I$3:$I$1723,0)),"")</f>
        <v/>
      </c>
      <c r="F976" s="4">
        <f>IFERROR(INDEX('Base de sorteio'!$C$3:$C$1723,MATCH($B976&amp;"|"&amp;$C976,'Base de sorteio'!$I$3:$I$1723,0)),"")</f>
        <v/>
      </c>
      <c r="G976" s="4">
        <f>IFERROR(INDEX('Base de sorteio'!$D$3:$D$1723,MATCH($B976&amp;"|"&amp;$C976,'Base de sorteio'!$I$3:$I$1723,0)),"")</f>
        <v/>
      </c>
      <c r="H976" s="4">
        <f>IFERROR(INDEX('Base de sorteio'!$E$3:$E$1723,MATCH($B976&amp;"|"&amp;$C976,'Base de sorteio'!$I$3:$I$1723,0)),"")</f>
        <v/>
      </c>
      <c r="I976" s="4">
        <f>IF(E976="","",HYPERLINK(IFERROR(INDEX('Base de sorteio'!$J$3:$J$1723,MATCH($B976&amp;"|"&amp;$C976,'Base de sorteio'!$I$3:$I$1723,0)),""),"abrir"))</f>
        <v/>
      </c>
      <c r="J976" s="4" t="n"/>
      <c r="K976" s="4" t="n"/>
      <c r="L976" s="4" t="n"/>
      <c r="M976" s="4" t="n"/>
      <c r="N976" s="4">
        <f>IF(AND(K976="",M976=""),"",IF(OR(K976="sim",M976="sim"),"sim",IF(OR(K976="inconclusivo",M976="inconclusivo"),"inconclusivo","não")))</f>
        <v/>
      </c>
      <c r="O976" s="5">
        <f>IF(N976="sim",COUNTIFS($B$3:$B976,$B976,$N$3:$N976,"sim"),"")</f>
        <v/>
      </c>
      <c r="P976" s="5" t="n"/>
      <c r="Q976" s="4" t="n"/>
      <c r="R976" s="5" t="n"/>
      <c r="S976" s="9" t="n"/>
      <c r="T976" s="4" t="n"/>
    </row>
    <row r="977">
      <c r="A977" s="5">
        <f>ROW()-2</f>
        <v/>
      </c>
      <c r="B977" s="4" t="inlineStr">
        <is>
          <t>Capital regional</t>
        </is>
      </c>
      <c r="C977" s="5" t="n">
        <v>33</v>
      </c>
      <c r="D977" s="5">
        <f>IFERROR(INDEX('Base de sorteio'!$A$3:$A$1723,MATCH($B977&amp;"|"&amp;$C977,'Base de sorteio'!$I$3:$I$1723,0)),"")</f>
        <v/>
      </c>
      <c r="E977" s="4">
        <f>IFERROR(INDEX('Base de sorteio'!$B$3:$B$1723,MATCH($B977&amp;"|"&amp;$C977,'Base de sorteio'!$I$3:$I$1723,0)),"")</f>
        <v/>
      </c>
      <c r="F977" s="4">
        <f>IFERROR(INDEX('Base de sorteio'!$C$3:$C$1723,MATCH($B977&amp;"|"&amp;$C977,'Base de sorteio'!$I$3:$I$1723,0)),"")</f>
        <v/>
      </c>
      <c r="G977" s="4">
        <f>IFERROR(INDEX('Base de sorteio'!$D$3:$D$1723,MATCH($B977&amp;"|"&amp;$C977,'Base de sorteio'!$I$3:$I$1723,0)),"")</f>
        <v/>
      </c>
      <c r="H977" s="4">
        <f>IFERROR(INDEX('Base de sorteio'!$E$3:$E$1723,MATCH($B977&amp;"|"&amp;$C977,'Base de sorteio'!$I$3:$I$1723,0)),"")</f>
        <v/>
      </c>
      <c r="I977" s="4">
        <f>IF(E977="","",HYPERLINK(IFERROR(INDEX('Base de sorteio'!$J$3:$J$1723,MATCH($B977&amp;"|"&amp;$C977,'Base de sorteio'!$I$3:$I$1723,0)),""),"abrir"))</f>
        <v/>
      </c>
      <c r="J977" s="4" t="n"/>
      <c r="K977" s="4" t="n"/>
      <c r="L977" s="4" t="n"/>
      <c r="M977" s="4" t="n"/>
      <c r="N977" s="4">
        <f>IF(AND(K977="",M977=""),"",IF(OR(K977="sim",M977="sim"),"sim",IF(OR(K977="inconclusivo",M977="inconclusivo"),"inconclusivo","não")))</f>
        <v/>
      </c>
      <c r="O977" s="5">
        <f>IF(N977="sim",COUNTIFS($B$3:$B977,$B977,$N$3:$N977,"sim"),"")</f>
        <v/>
      </c>
      <c r="P977" s="5" t="n"/>
      <c r="Q977" s="4" t="n"/>
      <c r="R977" s="5" t="n"/>
      <c r="S977" s="9" t="n"/>
      <c r="T977" s="4" t="n"/>
    </row>
    <row r="978">
      <c r="A978" s="5">
        <f>ROW()-2</f>
        <v/>
      </c>
      <c r="B978" s="4" t="inlineStr">
        <is>
          <t>Capital regional</t>
        </is>
      </c>
      <c r="C978" s="5" t="n">
        <v>34</v>
      </c>
      <c r="D978" s="5">
        <f>IFERROR(INDEX('Base de sorteio'!$A$3:$A$1723,MATCH($B978&amp;"|"&amp;$C978,'Base de sorteio'!$I$3:$I$1723,0)),"")</f>
        <v/>
      </c>
      <c r="E978" s="4">
        <f>IFERROR(INDEX('Base de sorteio'!$B$3:$B$1723,MATCH($B978&amp;"|"&amp;$C978,'Base de sorteio'!$I$3:$I$1723,0)),"")</f>
        <v/>
      </c>
      <c r="F978" s="4">
        <f>IFERROR(INDEX('Base de sorteio'!$C$3:$C$1723,MATCH($B978&amp;"|"&amp;$C978,'Base de sorteio'!$I$3:$I$1723,0)),"")</f>
        <v/>
      </c>
      <c r="G978" s="4">
        <f>IFERROR(INDEX('Base de sorteio'!$D$3:$D$1723,MATCH($B978&amp;"|"&amp;$C978,'Base de sorteio'!$I$3:$I$1723,0)),"")</f>
        <v/>
      </c>
      <c r="H978" s="4">
        <f>IFERROR(INDEX('Base de sorteio'!$E$3:$E$1723,MATCH($B978&amp;"|"&amp;$C978,'Base de sorteio'!$I$3:$I$1723,0)),"")</f>
        <v/>
      </c>
      <c r="I978" s="4">
        <f>IF(E978="","",HYPERLINK(IFERROR(INDEX('Base de sorteio'!$J$3:$J$1723,MATCH($B978&amp;"|"&amp;$C978,'Base de sorteio'!$I$3:$I$1723,0)),""),"abrir"))</f>
        <v/>
      </c>
      <c r="J978" s="4" t="n"/>
      <c r="K978" s="4" t="n"/>
      <c r="L978" s="4" t="n"/>
      <c r="M978" s="4" t="n"/>
      <c r="N978" s="4">
        <f>IF(AND(K978="",M978=""),"",IF(OR(K978="sim",M978="sim"),"sim",IF(OR(K978="inconclusivo",M978="inconclusivo"),"inconclusivo","não")))</f>
        <v/>
      </c>
      <c r="O978" s="5">
        <f>IF(N978="sim",COUNTIFS($B$3:$B978,$B978,$N$3:$N978,"sim"),"")</f>
        <v/>
      </c>
      <c r="P978" s="5" t="n"/>
      <c r="Q978" s="4" t="n"/>
      <c r="R978" s="5" t="n"/>
      <c r="S978" s="9" t="n"/>
      <c r="T978" s="4" t="n"/>
    </row>
    <row r="979">
      <c r="A979" s="5">
        <f>ROW()-2</f>
        <v/>
      </c>
      <c r="B979" s="4" t="inlineStr">
        <is>
          <t>Capital regional</t>
        </is>
      </c>
      <c r="C979" s="5" t="n">
        <v>35</v>
      </c>
      <c r="D979" s="5">
        <f>IFERROR(INDEX('Base de sorteio'!$A$3:$A$1723,MATCH($B979&amp;"|"&amp;$C979,'Base de sorteio'!$I$3:$I$1723,0)),"")</f>
        <v/>
      </c>
      <c r="E979" s="4">
        <f>IFERROR(INDEX('Base de sorteio'!$B$3:$B$1723,MATCH($B979&amp;"|"&amp;$C979,'Base de sorteio'!$I$3:$I$1723,0)),"")</f>
        <v/>
      </c>
      <c r="F979" s="4">
        <f>IFERROR(INDEX('Base de sorteio'!$C$3:$C$1723,MATCH($B979&amp;"|"&amp;$C979,'Base de sorteio'!$I$3:$I$1723,0)),"")</f>
        <v/>
      </c>
      <c r="G979" s="4">
        <f>IFERROR(INDEX('Base de sorteio'!$D$3:$D$1723,MATCH($B979&amp;"|"&amp;$C979,'Base de sorteio'!$I$3:$I$1723,0)),"")</f>
        <v/>
      </c>
      <c r="H979" s="4">
        <f>IFERROR(INDEX('Base de sorteio'!$E$3:$E$1723,MATCH($B979&amp;"|"&amp;$C979,'Base de sorteio'!$I$3:$I$1723,0)),"")</f>
        <v/>
      </c>
      <c r="I979" s="4">
        <f>IF(E979="","",HYPERLINK(IFERROR(INDEX('Base de sorteio'!$J$3:$J$1723,MATCH($B979&amp;"|"&amp;$C979,'Base de sorteio'!$I$3:$I$1723,0)),""),"abrir"))</f>
        <v/>
      </c>
      <c r="J979" s="4" t="n"/>
      <c r="K979" s="4" t="n"/>
      <c r="L979" s="4" t="n"/>
      <c r="M979" s="4" t="n"/>
      <c r="N979" s="4">
        <f>IF(AND(K979="",M979=""),"",IF(OR(K979="sim",M979="sim"),"sim",IF(OR(K979="inconclusivo",M979="inconclusivo"),"inconclusivo","não")))</f>
        <v/>
      </c>
      <c r="O979" s="5">
        <f>IF(N979="sim",COUNTIFS($B$3:$B979,$B979,$N$3:$N979,"sim"),"")</f>
        <v/>
      </c>
      <c r="P979" s="5" t="n"/>
      <c r="Q979" s="4" t="n"/>
      <c r="R979" s="5" t="n"/>
      <c r="S979" s="9" t="n"/>
      <c r="T979" s="4" t="n"/>
    </row>
    <row r="980">
      <c r="A980" s="5">
        <f>ROW()-2</f>
        <v/>
      </c>
      <c r="B980" s="4" t="inlineStr">
        <is>
          <t>Capital regional</t>
        </is>
      </c>
      <c r="C980" s="5" t="n">
        <v>36</v>
      </c>
      <c r="D980" s="5">
        <f>IFERROR(INDEX('Base de sorteio'!$A$3:$A$1723,MATCH($B980&amp;"|"&amp;$C980,'Base de sorteio'!$I$3:$I$1723,0)),"")</f>
        <v/>
      </c>
      <c r="E980" s="4">
        <f>IFERROR(INDEX('Base de sorteio'!$B$3:$B$1723,MATCH($B980&amp;"|"&amp;$C980,'Base de sorteio'!$I$3:$I$1723,0)),"")</f>
        <v/>
      </c>
      <c r="F980" s="4">
        <f>IFERROR(INDEX('Base de sorteio'!$C$3:$C$1723,MATCH($B980&amp;"|"&amp;$C980,'Base de sorteio'!$I$3:$I$1723,0)),"")</f>
        <v/>
      </c>
      <c r="G980" s="4">
        <f>IFERROR(INDEX('Base de sorteio'!$D$3:$D$1723,MATCH($B980&amp;"|"&amp;$C980,'Base de sorteio'!$I$3:$I$1723,0)),"")</f>
        <v/>
      </c>
      <c r="H980" s="4">
        <f>IFERROR(INDEX('Base de sorteio'!$E$3:$E$1723,MATCH($B980&amp;"|"&amp;$C980,'Base de sorteio'!$I$3:$I$1723,0)),"")</f>
        <v/>
      </c>
      <c r="I980" s="4">
        <f>IF(E980="","",HYPERLINK(IFERROR(INDEX('Base de sorteio'!$J$3:$J$1723,MATCH($B980&amp;"|"&amp;$C980,'Base de sorteio'!$I$3:$I$1723,0)),""),"abrir"))</f>
        <v/>
      </c>
      <c r="J980" s="4" t="n"/>
      <c r="K980" s="4" t="n"/>
      <c r="L980" s="4" t="n"/>
      <c r="M980" s="4" t="n"/>
      <c r="N980" s="4">
        <f>IF(AND(K980="",M980=""),"",IF(OR(K980="sim",M980="sim"),"sim",IF(OR(K980="inconclusivo",M980="inconclusivo"),"inconclusivo","não")))</f>
        <v/>
      </c>
      <c r="O980" s="5">
        <f>IF(N980="sim",COUNTIFS($B$3:$B980,$B980,$N$3:$N980,"sim"),"")</f>
        <v/>
      </c>
      <c r="P980" s="5" t="n"/>
      <c r="Q980" s="4" t="n"/>
      <c r="R980" s="5" t="n"/>
      <c r="S980" s="9" t="n"/>
      <c r="T980" s="4" t="n"/>
    </row>
    <row r="981">
      <c r="A981" s="5">
        <f>ROW()-2</f>
        <v/>
      </c>
      <c r="B981" s="4" t="inlineStr">
        <is>
          <t>Capital regional</t>
        </is>
      </c>
      <c r="C981" s="5" t="n">
        <v>37</v>
      </c>
      <c r="D981" s="5">
        <f>IFERROR(INDEX('Base de sorteio'!$A$3:$A$1723,MATCH($B981&amp;"|"&amp;$C981,'Base de sorteio'!$I$3:$I$1723,0)),"")</f>
        <v/>
      </c>
      <c r="E981" s="4">
        <f>IFERROR(INDEX('Base de sorteio'!$B$3:$B$1723,MATCH($B981&amp;"|"&amp;$C981,'Base de sorteio'!$I$3:$I$1723,0)),"")</f>
        <v/>
      </c>
      <c r="F981" s="4">
        <f>IFERROR(INDEX('Base de sorteio'!$C$3:$C$1723,MATCH($B981&amp;"|"&amp;$C981,'Base de sorteio'!$I$3:$I$1723,0)),"")</f>
        <v/>
      </c>
      <c r="G981" s="4">
        <f>IFERROR(INDEX('Base de sorteio'!$D$3:$D$1723,MATCH($B981&amp;"|"&amp;$C981,'Base de sorteio'!$I$3:$I$1723,0)),"")</f>
        <v/>
      </c>
      <c r="H981" s="4">
        <f>IFERROR(INDEX('Base de sorteio'!$E$3:$E$1723,MATCH($B981&amp;"|"&amp;$C981,'Base de sorteio'!$I$3:$I$1723,0)),"")</f>
        <v/>
      </c>
      <c r="I981" s="4">
        <f>IF(E981="","",HYPERLINK(IFERROR(INDEX('Base de sorteio'!$J$3:$J$1723,MATCH($B981&amp;"|"&amp;$C981,'Base de sorteio'!$I$3:$I$1723,0)),""),"abrir"))</f>
        <v/>
      </c>
      <c r="J981" s="4" t="n"/>
      <c r="K981" s="4" t="n"/>
      <c r="L981" s="4" t="n"/>
      <c r="M981" s="4" t="n"/>
      <c r="N981" s="4">
        <f>IF(AND(K981="",M981=""),"",IF(OR(K981="sim",M981="sim"),"sim",IF(OR(K981="inconclusivo",M981="inconclusivo"),"inconclusivo","não")))</f>
        <v/>
      </c>
      <c r="O981" s="5">
        <f>IF(N981="sim",COUNTIFS($B$3:$B981,$B981,$N$3:$N981,"sim"),"")</f>
        <v/>
      </c>
      <c r="P981" s="5" t="n"/>
      <c r="Q981" s="4" t="n"/>
      <c r="R981" s="5" t="n"/>
      <c r="S981" s="9" t="n"/>
      <c r="T981" s="4" t="n"/>
    </row>
    <row r="982">
      <c r="A982" s="5">
        <f>ROW()-2</f>
        <v/>
      </c>
      <c r="B982" s="4" t="inlineStr">
        <is>
          <t>Capital regional</t>
        </is>
      </c>
      <c r="C982" s="5" t="n">
        <v>38</v>
      </c>
      <c r="D982" s="5">
        <f>IFERROR(INDEX('Base de sorteio'!$A$3:$A$1723,MATCH($B982&amp;"|"&amp;$C982,'Base de sorteio'!$I$3:$I$1723,0)),"")</f>
        <v/>
      </c>
      <c r="E982" s="4">
        <f>IFERROR(INDEX('Base de sorteio'!$B$3:$B$1723,MATCH($B982&amp;"|"&amp;$C982,'Base de sorteio'!$I$3:$I$1723,0)),"")</f>
        <v/>
      </c>
      <c r="F982" s="4">
        <f>IFERROR(INDEX('Base de sorteio'!$C$3:$C$1723,MATCH($B982&amp;"|"&amp;$C982,'Base de sorteio'!$I$3:$I$1723,0)),"")</f>
        <v/>
      </c>
      <c r="G982" s="4">
        <f>IFERROR(INDEX('Base de sorteio'!$D$3:$D$1723,MATCH($B982&amp;"|"&amp;$C982,'Base de sorteio'!$I$3:$I$1723,0)),"")</f>
        <v/>
      </c>
      <c r="H982" s="4">
        <f>IFERROR(INDEX('Base de sorteio'!$E$3:$E$1723,MATCH($B982&amp;"|"&amp;$C982,'Base de sorteio'!$I$3:$I$1723,0)),"")</f>
        <v/>
      </c>
      <c r="I982" s="4">
        <f>IF(E982="","",HYPERLINK(IFERROR(INDEX('Base de sorteio'!$J$3:$J$1723,MATCH($B982&amp;"|"&amp;$C982,'Base de sorteio'!$I$3:$I$1723,0)),""),"abrir"))</f>
        <v/>
      </c>
      <c r="J982" s="4" t="n"/>
      <c r="K982" s="4" t="n"/>
      <c r="L982" s="4" t="n"/>
      <c r="M982" s="4" t="n"/>
      <c r="N982" s="4">
        <f>IF(AND(K982="",M982=""),"",IF(OR(K982="sim",M982="sim"),"sim",IF(OR(K982="inconclusivo",M982="inconclusivo"),"inconclusivo","não")))</f>
        <v/>
      </c>
      <c r="O982" s="5">
        <f>IF(N982="sim",COUNTIFS($B$3:$B982,$B982,$N$3:$N982,"sim"),"")</f>
        <v/>
      </c>
      <c r="P982" s="5" t="n"/>
      <c r="Q982" s="4" t="n"/>
      <c r="R982" s="5" t="n"/>
      <c r="S982" s="9" t="n"/>
      <c r="T982" s="4" t="n"/>
    </row>
    <row r="983">
      <c r="A983" s="5">
        <f>ROW()-2</f>
        <v/>
      </c>
      <c r="B983" s="4" t="inlineStr">
        <is>
          <t>Capital regional</t>
        </is>
      </c>
      <c r="C983" s="5" t="n">
        <v>39</v>
      </c>
      <c r="D983" s="5">
        <f>IFERROR(INDEX('Base de sorteio'!$A$3:$A$1723,MATCH($B983&amp;"|"&amp;$C983,'Base de sorteio'!$I$3:$I$1723,0)),"")</f>
        <v/>
      </c>
      <c r="E983" s="4">
        <f>IFERROR(INDEX('Base de sorteio'!$B$3:$B$1723,MATCH($B983&amp;"|"&amp;$C983,'Base de sorteio'!$I$3:$I$1723,0)),"")</f>
        <v/>
      </c>
      <c r="F983" s="4">
        <f>IFERROR(INDEX('Base de sorteio'!$C$3:$C$1723,MATCH($B983&amp;"|"&amp;$C983,'Base de sorteio'!$I$3:$I$1723,0)),"")</f>
        <v/>
      </c>
      <c r="G983" s="4">
        <f>IFERROR(INDEX('Base de sorteio'!$D$3:$D$1723,MATCH($B983&amp;"|"&amp;$C983,'Base de sorteio'!$I$3:$I$1723,0)),"")</f>
        <v/>
      </c>
      <c r="H983" s="4">
        <f>IFERROR(INDEX('Base de sorteio'!$E$3:$E$1723,MATCH($B983&amp;"|"&amp;$C983,'Base de sorteio'!$I$3:$I$1723,0)),"")</f>
        <v/>
      </c>
      <c r="I983" s="4">
        <f>IF(E983="","",HYPERLINK(IFERROR(INDEX('Base de sorteio'!$J$3:$J$1723,MATCH($B983&amp;"|"&amp;$C983,'Base de sorteio'!$I$3:$I$1723,0)),""),"abrir"))</f>
        <v/>
      </c>
      <c r="J983" s="4" t="n"/>
      <c r="K983" s="4" t="n"/>
      <c r="L983" s="4" t="n"/>
      <c r="M983" s="4" t="n"/>
      <c r="N983" s="4">
        <f>IF(AND(K983="",M983=""),"",IF(OR(K983="sim",M983="sim"),"sim",IF(OR(K983="inconclusivo",M983="inconclusivo"),"inconclusivo","não")))</f>
        <v/>
      </c>
      <c r="O983" s="5">
        <f>IF(N983="sim",COUNTIFS($B$3:$B983,$B983,$N$3:$N983,"sim"),"")</f>
        <v/>
      </c>
      <c r="P983" s="5" t="n"/>
      <c r="Q983" s="4" t="n"/>
      <c r="R983" s="5" t="n"/>
      <c r="S983" s="9" t="n"/>
      <c r="T983" s="4" t="n"/>
    </row>
    <row r="984">
      <c r="A984" s="5">
        <f>ROW()-2</f>
        <v/>
      </c>
      <c r="B984" s="4" t="inlineStr">
        <is>
          <t>Capital regional</t>
        </is>
      </c>
      <c r="C984" s="5" t="n">
        <v>40</v>
      </c>
      <c r="D984" s="5">
        <f>IFERROR(INDEX('Base de sorteio'!$A$3:$A$1723,MATCH($B984&amp;"|"&amp;$C984,'Base de sorteio'!$I$3:$I$1723,0)),"")</f>
        <v/>
      </c>
      <c r="E984" s="4">
        <f>IFERROR(INDEX('Base de sorteio'!$B$3:$B$1723,MATCH($B984&amp;"|"&amp;$C984,'Base de sorteio'!$I$3:$I$1723,0)),"")</f>
        <v/>
      </c>
      <c r="F984" s="4">
        <f>IFERROR(INDEX('Base de sorteio'!$C$3:$C$1723,MATCH($B984&amp;"|"&amp;$C984,'Base de sorteio'!$I$3:$I$1723,0)),"")</f>
        <v/>
      </c>
      <c r="G984" s="4">
        <f>IFERROR(INDEX('Base de sorteio'!$D$3:$D$1723,MATCH($B984&amp;"|"&amp;$C984,'Base de sorteio'!$I$3:$I$1723,0)),"")</f>
        <v/>
      </c>
      <c r="H984" s="4">
        <f>IFERROR(INDEX('Base de sorteio'!$E$3:$E$1723,MATCH($B984&amp;"|"&amp;$C984,'Base de sorteio'!$I$3:$I$1723,0)),"")</f>
        <v/>
      </c>
      <c r="I984" s="4">
        <f>IF(E984="","",HYPERLINK(IFERROR(INDEX('Base de sorteio'!$J$3:$J$1723,MATCH($B984&amp;"|"&amp;$C984,'Base de sorteio'!$I$3:$I$1723,0)),""),"abrir"))</f>
        <v/>
      </c>
      <c r="J984" s="4" t="n"/>
      <c r="K984" s="4" t="n"/>
      <c r="L984" s="4" t="n"/>
      <c r="M984" s="4" t="n"/>
      <c r="N984" s="4">
        <f>IF(AND(K984="",M984=""),"",IF(OR(K984="sim",M984="sim"),"sim",IF(OR(K984="inconclusivo",M984="inconclusivo"),"inconclusivo","não")))</f>
        <v/>
      </c>
      <c r="O984" s="5">
        <f>IF(N984="sim",COUNTIFS($B$3:$B984,$B984,$N$3:$N984,"sim"),"")</f>
        <v/>
      </c>
      <c r="P984" s="5" t="n"/>
      <c r="Q984" s="4" t="n"/>
      <c r="R984" s="5" t="n"/>
      <c r="S984" s="9" t="n"/>
      <c r="T984" s="4" t="n"/>
    </row>
    <row r="985">
      <c r="A985" s="5">
        <f>ROW()-2</f>
        <v/>
      </c>
      <c r="B985" s="4" t="inlineStr">
        <is>
          <t>Capital regional</t>
        </is>
      </c>
      <c r="C985" s="5" t="n">
        <v>41</v>
      </c>
      <c r="D985" s="5">
        <f>IFERROR(INDEX('Base de sorteio'!$A$3:$A$1723,MATCH($B985&amp;"|"&amp;$C985,'Base de sorteio'!$I$3:$I$1723,0)),"")</f>
        <v/>
      </c>
      <c r="E985" s="4">
        <f>IFERROR(INDEX('Base de sorteio'!$B$3:$B$1723,MATCH($B985&amp;"|"&amp;$C985,'Base de sorteio'!$I$3:$I$1723,0)),"")</f>
        <v/>
      </c>
      <c r="F985" s="4">
        <f>IFERROR(INDEX('Base de sorteio'!$C$3:$C$1723,MATCH($B985&amp;"|"&amp;$C985,'Base de sorteio'!$I$3:$I$1723,0)),"")</f>
        <v/>
      </c>
      <c r="G985" s="4">
        <f>IFERROR(INDEX('Base de sorteio'!$D$3:$D$1723,MATCH($B985&amp;"|"&amp;$C985,'Base de sorteio'!$I$3:$I$1723,0)),"")</f>
        <v/>
      </c>
      <c r="H985" s="4">
        <f>IFERROR(INDEX('Base de sorteio'!$E$3:$E$1723,MATCH($B985&amp;"|"&amp;$C985,'Base de sorteio'!$I$3:$I$1723,0)),"")</f>
        <v/>
      </c>
      <c r="I985" s="4">
        <f>IF(E985="","",HYPERLINK(IFERROR(INDEX('Base de sorteio'!$J$3:$J$1723,MATCH($B985&amp;"|"&amp;$C985,'Base de sorteio'!$I$3:$I$1723,0)),""),"abrir"))</f>
        <v/>
      </c>
      <c r="J985" s="4" t="n"/>
      <c r="K985" s="4" t="n"/>
      <c r="L985" s="4" t="n"/>
      <c r="M985" s="4" t="n"/>
      <c r="N985" s="4">
        <f>IF(AND(K985="",M985=""),"",IF(OR(K985="sim",M985="sim"),"sim",IF(OR(K985="inconclusivo",M985="inconclusivo"),"inconclusivo","não")))</f>
        <v/>
      </c>
      <c r="O985" s="5">
        <f>IF(N985="sim",COUNTIFS($B$3:$B985,$B985,$N$3:$N985,"sim"),"")</f>
        <v/>
      </c>
      <c r="P985" s="5" t="n"/>
      <c r="Q985" s="4" t="n"/>
      <c r="R985" s="5" t="n"/>
      <c r="S985" s="9" t="n"/>
      <c r="T985" s="4" t="n"/>
    </row>
    <row r="986">
      <c r="A986" s="5">
        <f>ROW()-2</f>
        <v/>
      </c>
      <c r="B986" s="4" t="inlineStr">
        <is>
          <t>Capital regional</t>
        </is>
      </c>
      <c r="C986" s="5" t="n">
        <v>42</v>
      </c>
      <c r="D986" s="5">
        <f>IFERROR(INDEX('Base de sorteio'!$A$3:$A$1723,MATCH($B986&amp;"|"&amp;$C986,'Base de sorteio'!$I$3:$I$1723,0)),"")</f>
        <v/>
      </c>
      <c r="E986" s="4">
        <f>IFERROR(INDEX('Base de sorteio'!$B$3:$B$1723,MATCH($B986&amp;"|"&amp;$C986,'Base de sorteio'!$I$3:$I$1723,0)),"")</f>
        <v/>
      </c>
      <c r="F986" s="4">
        <f>IFERROR(INDEX('Base de sorteio'!$C$3:$C$1723,MATCH($B986&amp;"|"&amp;$C986,'Base de sorteio'!$I$3:$I$1723,0)),"")</f>
        <v/>
      </c>
      <c r="G986" s="4">
        <f>IFERROR(INDEX('Base de sorteio'!$D$3:$D$1723,MATCH($B986&amp;"|"&amp;$C986,'Base de sorteio'!$I$3:$I$1723,0)),"")</f>
        <v/>
      </c>
      <c r="H986" s="4">
        <f>IFERROR(INDEX('Base de sorteio'!$E$3:$E$1723,MATCH($B986&amp;"|"&amp;$C986,'Base de sorteio'!$I$3:$I$1723,0)),"")</f>
        <v/>
      </c>
      <c r="I986" s="4">
        <f>IF(E986="","",HYPERLINK(IFERROR(INDEX('Base de sorteio'!$J$3:$J$1723,MATCH($B986&amp;"|"&amp;$C986,'Base de sorteio'!$I$3:$I$1723,0)),""),"abrir"))</f>
        <v/>
      </c>
      <c r="J986" s="4" t="n"/>
      <c r="K986" s="4" t="n"/>
      <c r="L986" s="4" t="n"/>
      <c r="M986" s="4" t="n"/>
      <c r="N986" s="4">
        <f>IF(AND(K986="",M986=""),"",IF(OR(K986="sim",M986="sim"),"sim",IF(OR(K986="inconclusivo",M986="inconclusivo"),"inconclusivo","não")))</f>
        <v/>
      </c>
      <c r="O986" s="5">
        <f>IF(N986="sim",COUNTIFS($B$3:$B986,$B986,$N$3:$N986,"sim"),"")</f>
        <v/>
      </c>
      <c r="P986" s="5" t="n"/>
      <c r="Q986" s="4" t="n"/>
      <c r="R986" s="5" t="n"/>
      <c r="S986" s="9" t="n"/>
      <c r="T986" s="4" t="n"/>
    </row>
    <row r="987">
      <c r="A987" s="5">
        <f>ROW()-2</f>
        <v/>
      </c>
      <c r="B987" s="4" t="inlineStr">
        <is>
          <t>Capital regional</t>
        </is>
      </c>
      <c r="C987" s="5" t="n">
        <v>43</v>
      </c>
      <c r="D987" s="5">
        <f>IFERROR(INDEX('Base de sorteio'!$A$3:$A$1723,MATCH($B987&amp;"|"&amp;$C987,'Base de sorteio'!$I$3:$I$1723,0)),"")</f>
        <v/>
      </c>
      <c r="E987" s="4">
        <f>IFERROR(INDEX('Base de sorteio'!$B$3:$B$1723,MATCH($B987&amp;"|"&amp;$C987,'Base de sorteio'!$I$3:$I$1723,0)),"")</f>
        <v/>
      </c>
      <c r="F987" s="4">
        <f>IFERROR(INDEX('Base de sorteio'!$C$3:$C$1723,MATCH($B987&amp;"|"&amp;$C987,'Base de sorteio'!$I$3:$I$1723,0)),"")</f>
        <v/>
      </c>
      <c r="G987" s="4">
        <f>IFERROR(INDEX('Base de sorteio'!$D$3:$D$1723,MATCH($B987&amp;"|"&amp;$C987,'Base de sorteio'!$I$3:$I$1723,0)),"")</f>
        <v/>
      </c>
      <c r="H987" s="4">
        <f>IFERROR(INDEX('Base de sorteio'!$E$3:$E$1723,MATCH($B987&amp;"|"&amp;$C987,'Base de sorteio'!$I$3:$I$1723,0)),"")</f>
        <v/>
      </c>
      <c r="I987" s="4">
        <f>IF(E987="","",HYPERLINK(IFERROR(INDEX('Base de sorteio'!$J$3:$J$1723,MATCH($B987&amp;"|"&amp;$C987,'Base de sorteio'!$I$3:$I$1723,0)),""),"abrir"))</f>
        <v/>
      </c>
      <c r="J987" s="4" t="n"/>
      <c r="K987" s="4" t="n"/>
      <c r="L987" s="4" t="n"/>
      <c r="M987" s="4" t="n"/>
      <c r="N987" s="4">
        <f>IF(AND(K987="",M987=""),"",IF(OR(K987="sim",M987="sim"),"sim",IF(OR(K987="inconclusivo",M987="inconclusivo"),"inconclusivo","não")))</f>
        <v/>
      </c>
      <c r="O987" s="5">
        <f>IF(N987="sim",COUNTIFS($B$3:$B987,$B987,$N$3:$N987,"sim"),"")</f>
        <v/>
      </c>
      <c r="P987" s="5" t="n"/>
      <c r="Q987" s="4" t="n"/>
      <c r="R987" s="5" t="n"/>
      <c r="S987" s="9" t="n"/>
      <c r="T987" s="4" t="n"/>
    </row>
    <row r="988">
      <c r="A988" s="5">
        <f>ROW()-2</f>
        <v/>
      </c>
      <c r="B988" s="4" t="inlineStr">
        <is>
          <t>Capital regional</t>
        </is>
      </c>
      <c r="C988" s="5" t="n">
        <v>44</v>
      </c>
      <c r="D988" s="5">
        <f>IFERROR(INDEX('Base de sorteio'!$A$3:$A$1723,MATCH($B988&amp;"|"&amp;$C988,'Base de sorteio'!$I$3:$I$1723,0)),"")</f>
        <v/>
      </c>
      <c r="E988" s="4">
        <f>IFERROR(INDEX('Base de sorteio'!$B$3:$B$1723,MATCH($B988&amp;"|"&amp;$C988,'Base de sorteio'!$I$3:$I$1723,0)),"")</f>
        <v/>
      </c>
      <c r="F988" s="4">
        <f>IFERROR(INDEX('Base de sorteio'!$C$3:$C$1723,MATCH($B988&amp;"|"&amp;$C988,'Base de sorteio'!$I$3:$I$1723,0)),"")</f>
        <v/>
      </c>
      <c r="G988" s="4">
        <f>IFERROR(INDEX('Base de sorteio'!$D$3:$D$1723,MATCH($B988&amp;"|"&amp;$C988,'Base de sorteio'!$I$3:$I$1723,0)),"")</f>
        <v/>
      </c>
      <c r="H988" s="4">
        <f>IFERROR(INDEX('Base de sorteio'!$E$3:$E$1723,MATCH($B988&amp;"|"&amp;$C988,'Base de sorteio'!$I$3:$I$1723,0)),"")</f>
        <v/>
      </c>
      <c r="I988" s="4">
        <f>IF(E988="","",HYPERLINK(IFERROR(INDEX('Base de sorteio'!$J$3:$J$1723,MATCH($B988&amp;"|"&amp;$C988,'Base de sorteio'!$I$3:$I$1723,0)),""),"abrir"))</f>
        <v/>
      </c>
      <c r="J988" s="4" t="n"/>
      <c r="K988" s="4" t="n"/>
      <c r="L988" s="4" t="n"/>
      <c r="M988" s="4" t="n"/>
      <c r="N988" s="4">
        <f>IF(AND(K988="",M988=""),"",IF(OR(K988="sim",M988="sim"),"sim",IF(OR(K988="inconclusivo",M988="inconclusivo"),"inconclusivo","não")))</f>
        <v/>
      </c>
      <c r="O988" s="5">
        <f>IF(N988="sim",COUNTIFS($B$3:$B988,$B988,$N$3:$N988,"sim"),"")</f>
        <v/>
      </c>
      <c r="P988" s="5" t="n"/>
      <c r="Q988" s="4" t="n"/>
      <c r="R988" s="5" t="n"/>
      <c r="S988" s="9" t="n"/>
      <c r="T988" s="4" t="n"/>
    </row>
    <row r="989">
      <c r="A989" s="5">
        <f>ROW()-2</f>
        <v/>
      </c>
      <c r="B989" s="4" t="inlineStr">
        <is>
          <t>Capital regional</t>
        </is>
      </c>
      <c r="C989" s="5" t="n">
        <v>45</v>
      </c>
      <c r="D989" s="5">
        <f>IFERROR(INDEX('Base de sorteio'!$A$3:$A$1723,MATCH($B989&amp;"|"&amp;$C989,'Base de sorteio'!$I$3:$I$1723,0)),"")</f>
        <v/>
      </c>
      <c r="E989" s="4">
        <f>IFERROR(INDEX('Base de sorteio'!$B$3:$B$1723,MATCH($B989&amp;"|"&amp;$C989,'Base de sorteio'!$I$3:$I$1723,0)),"")</f>
        <v/>
      </c>
      <c r="F989" s="4">
        <f>IFERROR(INDEX('Base de sorteio'!$C$3:$C$1723,MATCH($B989&amp;"|"&amp;$C989,'Base de sorteio'!$I$3:$I$1723,0)),"")</f>
        <v/>
      </c>
      <c r="G989" s="4">
        <f>IFERROR(INDEX('Base de sorteio'!$D$3:$D$1723,MATCH($B989&amp;"|"&amp;$C989,'Base de sorteio'!$I$3:$I$1723,0)),"")</f>
        <v/>
      </c>
      <c r="H989" s="4">
        <f>IFERROR(INDEX('Base de sorteio'!$E$3:$E$1723,MATCH($B989&amp;"|"&amp;$C989,'Base de sorteio'!$I$3:$I$1723,0)),"")</f>
        <v/>
      </c>
      <c r="I989" s="4">
        <f>IF(E989="","",HYPERLINK(IFERROR(INDEX('Base de sorteio'!$J$3:$J$1723,MATCH($B989&amp;"|"&amp;$C989,'Base de sorteio'!$I$3:$I$1723,0)),""),"abrir"))</f>
        <v/>
      </c>
      <c r="J989" s="4" t="n"/>
      <c r="K989" s="4" t="n"/>
      <c r="L989" s="4" t="n"/>
      <c r="M989" s="4" t="n"/>
      <c r="N989" s="4">
        <f>IF(AND(K989="",M989=""),"",IF(OR(K989="sim",M989="sim"),"sim",IF(OR(K989="inconclusivo",M989="inconclusivo"),"inconclusivo","não")))</f>
        <v/>
      </c>
      <c r="O989" s="5">
        <f>IF(N989="sim",COUNTIFS($B$3:$B989,$B989,$N$3:$N989,"sim"),"")</f>
        <v/>
      </c>
      <c r="P989" s="5" t="n"/>
      <c r="Q989" s="4" t="n"/>
      <c r="R989" s="5" t="n"/>
      <c r="S989" s="9" t="n"/>
      <c r="T989" s="4" t="n"/>
    </row>
    <row r="990">
      <c r="A990" s="5">
        <f>ROW()-2</f>
        <v/>
      </c>
      <c r="B990" s="4" t="inlineStr">
        <is>
          <t>Capital regional</t>
        </is>
      </c>
      <c r="C990" s="5" t="n">
        <v>46</v>
      </c>
      <c r="D990" s="5">
        <f>IFERROR(INDEX('Base de sorteio'!$A$3:$A$1723,MATCH($B990&amp;"|"&amp;$C990,'Base de sorteio'!$I$3:$I$1723,0)),"")</f>
        <v/>
      </c>
      <c r="E990" s="4">
        <f>IFERROR(INDEX('Base de sorteio'!$B$3:$B$1723,MATCH($B990&amp;"|"&amp;$C990,'Base de sorteio'!$I$3:$I$1723,0)),"")</f>
        <v/>
      </c>
      <c r="F990" s="4">
        <f>IFERROR(INDEX('Base de sorteio'!$C$3:$C$1723,MATCH($B990&amp;"|"&amp;$C990,'Base de sorteio'!$I$3:$I$1723,0)),"")</f>
        <v/>
      </c>
      <c r="G990" s="4">
        <f>IFERROR(INDEX('Base de sorteio'!$D$3:$D$1723,MATCH($B990&amp;"|"&amp;$C990,'Base de sorteio'!$I$3:$I$1723,0)),"")</f>
        <v/>
      </c>
      <c r="H990" s="4">
        <f>IFERROR(INDEX('Base de sorteio'!$E$3:$E$1723,MATCH($B990&amp;"|"&amp;$C990,'Base de sorteio'!$I$3:$I$1723,0)),"")</f>
        <v/>
      </c>
      <c r="I990" s="4">
        <f>IF(E990="","",HYPERLINK(IFERROR(INDEX('Base de sorteio'!$J$3:$J$1723,MATCH($B990&amp;"|"&amp;$C990,'Base de sorteio'!$I$3:$I$1723,0)),""),"abrir"))</f>
        <v/>
      </c>
      <c r="J990" s="4" t="n"/>
      <c r="K990" s="4" t="n"/>
      <c r="L990" s="4" t="n"/>
      <c r="M990" s="4" t="n"/>
      <c r="N990" s="4">
        <f>IF(AND(K990="",M990=""),"",IF(OR(K990="sim",M990="sim"),"sim",IF(OR(K990="inconclusivo",M990="inconclusivo"),"inconclusivo","não")))</f>
        <v/>
      </c>
      <c r="O990" s="5">
        <f>IF(N990="sim",COUNTIFS($B$3:$B990,$B990,$N$3:$N990,"sim"),"")</f>
        <v/>
      </c>
      <c r="P990" s="5" t="n"/>
      <c r="Q990" s="4" t="n"/>
      <c r="R990" s="5" t="n"/>
      <c r="S990" s="9" t="n"/>
      <c r="T990" s="4" t="n"/>
    </row>
    <row r="991">
      <c r="A991" s="5">
        <f>ROW()-2</f>
        <v/>
      </c>
      <c r="B991" s="4" t="inlineStr">
        <is>
          <t>Capital regional</t>
        </is>
      </c>
      <c r="C991" s="5" t="n">
        <v>47</v>
      </c>
      <c r="D991" s="5">
        <f>IFERROR(INDEX('Base de sorteio'!$A$3:$A$1723,MATCH($B991&amp;"|"&amp;$C991,'Base de sorteio'!$I$3:$I$1723,0)),"")</f>
        <v/>
      </c>
      <c r="E991" s="4">
        <f>IFERROR(INDEX('Base de sorteio'!$B$3:$B$1723,MATCH($B991&amp;"|"&amp;$C991,'Base de sorteio'!$I$3:$I$1723,0)),"")</f>
        <v/>
      </c>
      <c r="F991" s="4">
        <f>IFERROR(INDEX('Base de sorteio'!$C$3:$C$1723,MATCH($B991&amp;"|"&amp;$C991,'Base de sorteio'!$I$3:$I$1723,0)),"")</f>
        <v/>
      </c>
      <c r="G991" s="4">
        <f>IFERROR(INDEX('Base de sorteio'!$D$3:$D$1723,MATCH($B991&amp;"|"&amp;$C991,'Base de sorteio'!$I$3:$I$1723,0)),"")</f>
        <v/>
      </c>
      <c r="H991" s="4">
        <f>IFERROR(INDEX('Base de sorteio'!$E$3:$E$1723,MATCH($B991&amp;"|"&amp;$C991,'Base de sorteio'!$I$3:$I$1723,0)),"")</f>
        <v/>
      </c>
      <c r="I991" s="4">
        <f>IF(E991="","",HYPERLINK(IFERROR(INDEX('Base de sorteio'!$J$3:$J$1723,MATCH($B991&amp;"|"&amp;$C991,'Base de sorteio'!$I$3:$I$1723,0)),""),"abrir"))</f>
        <v/>
      </c>
      <c r="J991" s="4" t="n"/>
      <c r="K991" s="4" t="n"/>
      <c r="L991" s="4" t="n"/>
      <c r="M991" s="4" t="n"/>
      <c r="N991" s="4">
        <f>IF(AND(K991="",M991=""),"",IF(OR(K991="sim",M991="sim"),"sim",IF(OR(K991="inconclusivo",M991="inconclusivo"),"inconclusivo","não")))</f>
        <v/>
      </c>
      <c r="O991" s="5">
        <f>IF(N991="sim",COUNTIFS($B$3:$B991,$B991,$N$3:$N991,"sim"),"")</f>
        <v/>
      </c>
      <c r="P991" s="5" t="n"/>
      <c r="Q991" s="4" t="n"/>
      <c r="R991" s="5" t="n"/>
      <c r="S991" s="9" t="n"/>
      <c r="T991" s="4" t="n"/>
    </row>
    <row r="992">
      <c r="A992" s="5">
        <f>ROW()-2</f>
        <v/>
      </c>
      <c r="B992" s="4" t="inlineStr">
        <is>
          <t>Capital regional</t>
        </is>
      </c>
      <c r="C992" s="5" t="n">
        <v>48</v>
      </c>
      <c r="D992" s="5">
        <f>IFERROR(INDEX('Base de sorteio'!$A$3:$A$1723,MATCH($B992&amp;"|"&amp;$C992,'Base de sorteio'!$I$3:$I$1723,0)),"")</f>
        <v/>
      </c>
      <c r="E992" s="4">
        <f>IFERROR(INDEX('Base de sorteio'!$B$3:$B$1723,MATCH($B992&amp;"|"&amp;$C992,'Base de sorteio'!$I$3:$I$1723,0)),"")</f>
        <v/>
      </c>
      <c r="F992" s="4">
        <f>IFERROR(INDEX('Base de sorteio'!$C$3:$C$1723,MATCH($B992&amp;"|"&amp;$C992,'Base de sorteio'!$I$3:$I$1723,0)),"")</f>
        <v/>
      </c>
      <c r="G992" s="4">
        <f>IFERROR(INDEX('Base de sorteio'!$D$3:$D$1723,MATCH($B992&amp;"|"&amp;$C992,'Base de sorteio'!$I$3:$I$1723,0)),"")</f>
        <v/>
      </c>
      <c r="H992" s="4">
        <f>IFERROR(INDEX('Base de sorteio'!$E$3:$E$1723,MATCH($B992&amp;"|"&amp;$C992,'Base de sorteio'!$I$3:$I$1723,0)),"")</f>
        <v/>
      </c>
      <c r="I992" s="4">
        <f>IF(E992="","",HYPERLINK(IFERROR(INDEX('Base de sorteio'!$J$3:$J$1723,MATCH($B992&amp;"|"&amp;$C992,'Base de sorteio'!$I$3:$I$1723,0)),""),"abrir"))</f>
        <v/>
      </c>
      <c r="J992" s="4" t="n"/>
      <c r="K992" s="4" t="n"/>
      <c r="L992" s="4" t="n"/>
      <c r="M992" s="4" t="n"/>
      <c r="N992" s="4">
        <f>IF(AND(K992="",M992=""),"",IF(OR(K992="sim",M992="sim"),"sim",IF(OR(K992="inconclusivo",M992="inconclusivo"),"inconclusivo","não")))</f>
        <v/>
      </c>
      <c r="O992" s="5">
        <f>IF(N992="sim",COUNTIFS($B$3:$B992,$B992,$N$3:$N992,"sim"),"")</f>
        <v/>
      </c>
      <c r="P992" s="5" t="n"/>
      <c r="Q992" s="4" t="n"/>
      <c r="R992" s="5" t="n"/>
      <c r="S992" s="9" t="n"/>
      <c r="T992" s="4" t="n"/>
    </row>
    <row r="993">
      <c r="A993" s="5">
        <f>ROW()-2</f>
        <v/>
      </c>
      <c r="B993" s="4" t="inlineStr">
        <is>
          <t>Capital regional</t>
        </is>
      </c>
      <c r="C993" s="5" t="n">
        <v>49</v>
      </c>
      <c r="D993" s="5">
        <f>IFERROR(INDEX('Base de sorteio'!$A$3:$A$1723,MATCH($B993&amp;"|"&amp;$C993,'Base de sorteio'!$I$3:$I$1723,0)),"")</f>
        <v/>
      </c>
      <c r="E993" s="4">
        <f>IFERROR(INDEX('Base de sorteio'!$B$3:$B$1723,MATCH($B993&amp;"|"&amp;$C993,'Base de sorteio'!$I$3:$I$1723,0)),"")</f>
        <v/>
      </c>
      <c r="F993" s="4">
        <f>IFERROR(INDEX('Base de sorteio'!$C$3:$C$1723,MATCH($B993&amp;"|"&amp;$C993,'Base de sorteio'!$I$3:$I$1723,0)),"")</f>
        <v/>
      </c>
      <c r="G993" s="4">
        <f>IFERROR(INDEX('Base de sorteio'!$D$3:$D$1723,MATCH($B993&amp;"|"&amp;$C993,'Base de sorteio'!$I$3:$I$1723,0)),"")</f>
        <v/>
      </c>
      <c r="H993" s="4">
        <f>IFERROR(INDEX('Base de sorteio'!$E$3:$E$1723,MATCH($B993&amp;"|"&amp;$C993,'Base de sorteio'!$I$3:$I$1723,0)),"")</f>
        <v/>
      </c>
      <c r="I993" s="4">
        <f>IF(E993="","",HYPERLINK(IFERROR(INDEX('Base de sorteio'!$J$3:$J$1723,MATCH($B993&amp;"|"&amp;$C993,'Base de sorteio'!$I$3:$I$1723,0)),""),"abrir"))</f>
        <v/>
      </c>
      <c r="J993" s="4" t="n"/>
      <c r="K993" s="4" t="n"/>
      <c r="L993" s="4" t="n"/>
      <c r="M993" s="4" t="n"/>
      <c r="N993" s="4">
        <f>IF(AND(K993="",M993=""),"",IF(OR(K993="sim",M993="sim"),"sim",IF(OR(K993="inconclusivo",M993="inconclusivo"),"inconclusivo","não")))</f>
        <v/>
      </c>
      <c r="O993" s="5">
        <f>IF(N993="sim",COUNTIFS($B$3:$B993,$B993,$N$3:$N993,"sim"),"")</f>
        <v/>
      </c>
      <c r="P993" s="5" t="n"/>
      <c r="Q993" s="4" t="n"/>
      <c r="R993" s="5" t="n"/>
      <c r="S993" s="9" t="n"/>
      <c r="T993" s="4" t="n"/>
    </row>
    <row r="994">
      <c r="A994" s="5">
        <f>ROW()-2</f>
        <v/>
      </c>
      <c r="B994" s="4" t="inlineStr">
        <is>
          <t>Capital regional</t>
        </is>
      </c>
      <c r="C994" s="5" t="n">
        <v>50</v>
      </c>
      <c r="D994" s="5">
        <f>IFERROR(INDEX('Base de sorteio'!$A$3:$A$1723,MATCH($B994&amp;"|"&amp;$C994,'Base de sorteio'!$I$3:$I$1723,0)),"")</f>
        <v/>
      </c>
      <c r="E994" s="4">
        <f>IFERROR(INDEX('Base de sorteio'!$B$3:$B$1723,MATCH($B994&amp;"|"&amp;$C994,'Base de sorteio'!$I$3:$I$1723,0)),"")</f>
        <v/>
      </c>
      <c r="F994" s="4">
        <f>IFERROR(INDEX('Base de sorteio'!$C$3:$C$1723,MATCH($B994&amp;"|"&amp;$C994,'Base de sorteio'!$I$3:$I$1723,0)),"")</f>
        <v/>
      </c>
      <c r="G994" s="4">
        <f>IFERROR(INDEX('Base de sorteio'!$D$3:$D$1723,MATCH($B994&amp;"|"&amp;$C994,'Base de sorteio'!$I$3:$I$1723,0)),"")</f>
        <v/>
      </c>
      <c r="H994" s="4">
        <f>IFERROR(INDEX('Base de sorteio'!$E$3:$E$1723,MATCH($B994&amp;"|"&amp;$C994,'Base de sorteio'!$I$3:$I$1723,0)),"")</f>
        <v/>
      </c>
      <c r="I994" s="4">
        <f>IF(E994="","",HYPERLINK(IFERROR(INDEX('Base de sorteio'!$J$3:$J$1723,MATCH($B994&amp;"|"&amp;$C994,'Base de sorteio'!$I$3:$I$1723,0)),""),"abrir"))</f>
        <v/>
      </c>
      <c r="J994" s="4" t="n"/>
      <c r="K994" s="4" t="n"/>
      <c r="L994" s="4" t="n"/>
      <c r="M994" s="4" t="n"/>
      <c r="N994" s="4">
        <f>IF(AND(K994="",M994=""),"",IF(OR(K994="sim",M994="sim"),"sim",IF(OR(K994="inconclusivo",M994="inconclusivo"),"inconclusivo","não")))</f>
        <v/>
      </c>
      <c r="O994" s="5">
        <f>IF(N994="sim",COUNTIFS($B$3:$B994,$B994,$N$3:$N994,"sim"),"")</f>
        <v/>
      </c>
      <c r="P994" s="5" t="n"/>
      <c r="Q994" s="4" t="n"/>
      <c r="R994" s="5" t="n"/>
      <c r="S994" s="9" t="n"/>
      <c r="T994" s="4" t="n"/>
    </row>
    <row r="995">
      <c r="A995" s="5">
        <f>ROW()-2</f>
        <v/>
      </c>
      <c r="B995" s="4" t="inlineStr">
        <is>
          <t>Capital regional</t>
        </is>
      </c>
      <c r="C995" s="5" t="n">
        <v>51</v>
      </c>
      <c r="D995" s="5">
        <f>IFERROR(INDEX('Base de sorteio'!$A$3:$A$1723,MATCH($B995&amp;"|"&amp;$C995,'Base de sorteio'!$I$3:$I$1723,0)),"")</f>
        <v/>
      </c>
      <c r="E995" s="4">
        <f>IFERROR(INDEX('Base de sorteio'!$B$3:$B$1723,MATCH($B995&amp;"|"&amp;$C995,'Base de sorteio'!$I$3:$I$1723,0)),"")</f>
        <v/>
      </c>
      <c r="F995" s="4">
        <f>IFERROR(INDEX('Base de sorteio'!$C$3:$C$1723,MATCH($B995&amp;"|"&amp;$C995,'Base de sorteio'!$I$3:$I$1723,0)),"")</f>
        <v/>
      </c>
      <c r="G995" s="4">
        <f>IFERROR(INDEX('Base de sorteio'!$D$3:$D$1723,MATCH($B995&amp;"|"&amp;$C995,'Base de sorteio'!$I$3:$I$1723,0)),"")</f>
        <v/>
      </c>
      <c r="H995" s="4">
        <f>IFERROR(INDEX('Base de sorteio'!$E$3:$E$1723,MATCH($B995&amp;"|"&amp;$C995,'Base de sorteio'!$I$3:$I$1723,0)),"")</f>
        <v/>
      </c>
      <c r="I995" s="4">
        <f>IF(E995="","",HYPERLINK(IFERROR(INDEX('Base de sorteio'!$J$3:$J$1723,MATCH($B995&amp;"|"&amp;$C995,'Base de sorteio'!$I$3:$I$1723,0)),""),"abrir"))</f>
        <v/>
      </c>
      <c r="J995" s="4" t="n"/>
      <c r="K995" s="4" t="n"/>
      <c r="L995" s="4" t="n"/>
      <c r="M995" s="4" t="n"/>
      <c r="N995" s="4">
        <f>IF(AND(K995="",M995=""),"",IF(OR(K995="sim",M995="sim"),"sim",IF(OR(K995="inconclusivo",M995="inconclusivo"),"inconclusivo","não")))</f>
        <v/>
      </c>
      <c r="O995" s="5">
        <f>IF(N995="sim",COUNTIFS($B$3:$B995,$B995,$N$3:$N995,"sim"),"")</f>
        <v/>
      </c>
      <c r="P995" s="5" t="n"/>
      <c r="Q995" s="4" t="n"/>
      <c r="R995" s="5" t="n"/>
      <c r="S995" s="9" t="n"/>
      <c r="T995" s="4" t="n"/>
    </row>
    <row r="996">
      <c r="A996" s="5">
        <f>ROW()-2</f>
        <v/>
      </c>
      <c r="B996" s="4" t="inlineStr">
        <is>
          <t>Capital regional</t>
        </is>
      </c>
      <c r="C996" s="5" t="n">
        <v>52</v>
      </c>
      <c r="D996" s="5">
        <f>IFERROR(INDEX('Base de sorteio'!$A$3:$A$1723,MATCH($B996&amp;"|"&amp;$C996,'Base de sorteio'!$I$3:$I$1723,0)),"")</f>
        <v/>
      </c>
      <c r="E996" s="4">
        <f>IFERROR(INDEX('Base de sorteio'!$B$3:$B$1723,MATCH($B996&amp;"|"&amp;$C996,'Base de sorteio'!$I$3:$I$1723,0)),"")</f>
        <v/>
      </c>
      <c r="F996" s="4">
        <f>IFERROR(INDEX('Base de sorteio'!$C$3:$C$1723,MATCH($B996&amp;"|"&amp;$C996,'Base de sorteio'!$I$3:$I$1723,0)),"")</f>
        <v/>
      </c>
      <c r="G996" s="4">
        <f>IFERROR(INDEX('Base de sorteio'!$D$3:$D$1723,MATCH($B996&amp;"|"&amp;$C996,'Base de sorteio'!$I$3:$I$1723,0)),"")</f>
        <v/>
      </c>
      <c r="H996" s="4">
        <f>IFERROR(INDEX('Base de sorteio'!$E$3:$E$1723,MATCH($B996&amp;"|"&amp;$C996,'Base de sorteio'!$I$3:$I$1723,0)),"")</f>
        <v/>
      </c>
      <c r="I996" s="4">
        <f>IF(E996="","",HYPERLINK(IFERROR(INDEX('Base de sorteio'!$J$3:$J$1723,MATCH($B996&amp;"|"&amp;$C996,'Base de sorteio'!$I$3:$I$1723,0)),""),"abrir"))</f>
        <v/>
      </c>
      <c r="J996" s="4" t="n"/>
      <c r="K996" s="4" t="n"/>
      <c r="L996" s="4" t="n"/>
      <c r="M996" s="4" t="n"/>
      <c r="N996" s="4">
        <f>IF(AND(K996="",M996=""),"",IF(OR(K996="sim",M996="sim"),"sim",IF(OR(K996="inconclusivo",M996="inconclusivo"),"inconclusivo","não")))</f>
        <v/>
      </c>
      <c r="O996" s="5">
        <f>IF(N996="sim",COUNTIFS($B$3:$B996,$B996,$N$3:$N996,"sim"),"")</f>
        <v/>
      </c>
      <c r="P996" s="5" t="n"/>
      <c r="Q996" s="4" t="n"/>
      <c r="R996" s="5" t="n"/>
      <c r="S996" s="9" t="n"/>
      <c r="T996" s="4" t="n"/>
    </row>
    <row r="997">
      <c r="A997" s="5">
        <f>ROW()-2</f>
        <v/>
      </c>
      <c r="B997" s="4" t="inlineStr">
        <is>
          <t>Capital regional</t>
        </is>
      </c>
      <c r="C997" s="5" t="n">
        <v>53</v>
      </c>
      <c r="D997" s="5">
        <f>IFERROR(INDEX('Base de sorteio'!$A$3:$A$1723,MATCH($B997&amp;"|"&amp;$C997,'Base de sorteio'!$I$3:$I$1723,0)),"")</f>
        <v/>
      </c>
      <c r="E997" s="4">
        <f>IFERROR(INDEX('Base de sorteio'!$B$3:$B$1723,MATCH($B997&amp;"|"&amp;$C997,'Base de sorteio'!$I$3:$I$1723,0)),"")</f>
        <v/>
      </c>
      <c r="F997" s="4">
        <f>IFERROR(INDEX('Base de sorteio'!$C$3:$C$1723,MATCH($B997&amp;"|"&amp;$C997,'Base de sorteio'!$I$3:$I$1723,0)),"")</f>
        <v/>
      </c>
      <c r="G997" s="4">
        <f>IFERROR(INDEX('Base de sorteio'!$D$3:$D$1723,MATCH($B997&amp;"|"&amp;$C997,'Base de sorteio'!$I$3:$I$1723,0)),"")</f>
        <v/>
      </c>
      <c r="H997" s="4">
        <f>IFERROR(INDEX('Base de sorteio'!$E$3:$E$1723,MATCH($B997&amp;"|"&amp;$C997,'Base de sorteio'!$I$3:$I$1723,0)),"")</f>
        <v/>
      </c>
      <c r="I997" s="4">
        <f>IF(E997="","",HYPERLINK(IFERROR(INDEX('Base de sorteio'!$J$3:$J$1723,MATCH($B997&amp;"|"&amp;$C997,'Base de sorteio'!$I$3:$I$1723,0)),""),"abrir"))</f>
        <v/>
      </c>
      <c r="J997" s="4" t="n"/>
      <c r="K997" s="4" t="n"/>
      <c r="L997" s="4" t="n"/>
      <c r="M997" s="4" t="n"/>
      <c r="N997" s="4">
        <f>IF(AND(K997="",M997=""),"",IF(OR(K997="sim",M997="sim"),"sim",IF(OR(K997="inconclusivo",M997="inconclusivo"),"inconclusivo","não")))</f>
        <v/>
      </c>
      <c r="O997" s="5">
        <f>IF(N997="sim",COUNTIFS($B$3:$B997,$B997,$N$3:$N997,"sim"),"")</f>
        <v/>
      </c>
      <c r="P997" s="5" t="n"/>
      <c r="Q997" s="4" t="n"/>
      <c r="R997" s="5" t="n"/>
      <c r="S997" s="9" t="n"/>
      <c r="T997" s="4" t="n"/>
    </row>
    <row r="998">
      <c r="A998" s="5">
        <f>ROW()-2</f>
        <v/>
      </c>
      <c r="B998" s="4" t="inlineStr">
        <is>
          <t>Capital regional</t>
        </is>
      </c>
      <c r="C998" s="5" t="n">
        <v>54</v>
      </c>
      <c r="D998" s="5">
        <f>IFERROR(INDEX('Base de sorteio'!$A$3:$A$1723,MATCH($B998&amp;"|"&amp;$C998,'Base de sorteio'!$I$3:$I$1723,0)),"")</f>
        <v/>
      </c>
      <c r="E998" s="4">
        <f>IFERROR(INDEX('Base de sorteio'!$B$3:$B$1723,MATCH($B998&amp;"|"&amp;$C998,'Base de sorteio'!$I$3:$I$1723,0)),"")</f>
        <v/>
      </c>
      <c r="F998" s="4">
        <f>IFERROR(INDEX('Base de sorteio'!$C$3:$C$1723,MATCH($B998&amp;"|"&amp;$C998,'Base de sorteio'!$I$3:$I$1723,0)),"")</f>
        <v/>
      </c>
      <c r="G998" s="4">
        <f>IFERROR(INDEX('Base de sorteio'!$D$3:$D$1723,MATCH($B998&amp;"|"&amp;$C998,'Base de sorteio'!$I$3:$I$1723,0)),"")</f>
        <v/>
      </c>
      <c r="H998" s="4">
        <f>IFERROR(INDEX('Base de sorteio'!$E$3:$E$1723,MATCH($B998&amp;"|"&amp;$C998,'Base de sorteio'!$I$3:$I$1723,0)),"")</f>
        <v/>
      </c>
      <c r="I998" s="4">
        <f>IF(E998="","",HYPERLINK(IFERROR(INDEX('Base de sorteio'!$J$3:$J$1723,MATCH($B998&amp;"|"&amp;$C998,'Base de sorteio'!$I$3:$I$1723,0)),""),"abrir"))</f>
        <v/>
      </c>
      <c r="J998" s="4" t="n"/>
      <c r="K998" s="4" t="n"/>
      <c r="L998" s="4" t="n"/>
      <c r="M998" s="4" t="n"/>
      <c r="N998" s="4">
        <f>IF(AND(K998="",M998=""),"",IF(OR(K998="sim",M998="sim"),"sim",IF(OR(K998="inconclusivo",M998="inconclusivo"),"inconclusivo","não")))</f>
        <v/>
      </c>
      <c r="O998" s="5">
        <f>IF(N998="sim",COUNTIFS($B$3:$B998,$B998,$N$3:$N998,"sim"),"")</f>
        <v/>
      </c>
      <c r="P998" s="5" t="n"/>
      <c r="Q998" s="4" t="n"/>
      <c r="R998" s="5" t="n"/>
      <c r="S998" s="9" t="n"/>
      <c r="T998" s="4" t="n"/>
    </row>
    <row r="999">
      <c r="A999" s="5">
        <f>ROW()-2</f>
        <v/>
      </c>
      <c r="B999" s="4" t="inlineStr">
        <is>
          <t>Capital regional</t>
        </is>
      </c>
      <c r="C999" s="5" t="n">
        <v>55</v>
      </c>
      <c r="D999" s="5">
        <f>IFERROR(INDEX('Base de sorteio'!$A$3:$A$1723,MATCH($B999&amp;"|"&amp;$C999,'Base de sorteio'!$I$3:$I$1723,0)),"")</f>
        <v/>
      </c>
      <c r="E999" s="4">
        <f>IFERROR(INDEX('Base de sorteio'!$B$3:$B$1723,MATCH($B999&amp;"|"&amp;$C999,'Base de sorteio'!$I$3:$I$1723,0)),"")</f>
        <v/>
      </c>
      <c r="F999" s="4">
        <f>IFERROR(INDEX('Base de sorteio'!$C$3:$C$1723,MATCH($B999&amp;"|"&amp;$C999,'Base de sorteio'!$I$3:$I$1723,0)),"")</f>
        <v/>
      </c>
      <c r="G999" s="4">
        <f>IFERROR(INDEX('Base de sorteio'!$D$3:$D$1723,MATCH($B999&amp;"|"&amp;$C999,'Base de sorteio'!$I$3:$I$1723,0)),"")</f>
        <v/>
      </c>
      <c r="H999" s="4">
        <f>IFERROR(INDEX('Base de sorteio'!$E$3:$E$1723,MATCH($B999&amp;"|"&amp;$C999,'Base de sorteio'!$I$3:$I$1723,0)),"")</f>
        <v/>
      </c>
      <c r="I999" s="4">
        <f>IF(E999="","",HYPERLINK(IFERROR(INDEX('Base de sorteio'!$J$3:$J$1723,MATCH($B999&amp;"|"&amp;$C999,'Base de sorteio'!$I$3:$I$1723,0)),""),"abrir"))</f>
        <v/>
      </c>
      <c r="J999" s="4" t="n"/>
      <c r="K999" s="4" t="n"/>
      <c r="L999" s="4" t="n"/>
      <c r="M999" s="4" t="n"/>
      <c r="N999" s="4">
        <f>IF(AND(K999="",M999=""),"",IF(OR(K999="sim",M999="sim"),"sim",IF(OR(K999="inconclusivo",M999="inconclusivo"),"inconclusivo","não")))</f>
        <v/>
      </c>
      <c r="O999" s="5">
        <f>IF(N999="sim",COUNTIFS($B$3:$B999,$B999,$N$3:$N999,"sim"),"")</f>
        <v/>
      </c>
      <c r="P999" s="5" t="n"/>
      <c r="Q999" s="4" t="n"/>
      <c r="R999" s="5" t="n"/>
      <c r="S999" s="9" t="n"/>
      <c r="T999" s="4" t="n"/>
    </row>
    <row r="1000">
      <c r="A1000" s="5">
        <f>ROW()-2</f>
        <v/>
      </c>
      <c r="B1000" s="4" t="inlineStr">
        <is>
          <t>Capital regional</t>
        </is>
      </c>
      <c r="C1000" s="5" t="n">
        <v>56</v>
      </c>
      <c r="D1000" s="5">
        <f>IFERROR(INDEX('Base de sorteio'!$A$3:$A$1723,MATCH($B1000&amp;"|"&amp;$C1000,'Base de sorteio'!$I$3:$I$1723,0)),"")</f>
        <v/>
      </c>
      <c r="E1000" s="4">
        <f>IFERROR(INDEX('Base de sorteio'!$B$3:$B$1723,MATCH($B1000&amp;"|"&amp;$C1000,'Base de sorteio'!$I$3:$I$1723,0)),"")</f>
        <v/>
      </c>
      <c r="F1000" s="4">
        <f>IFERROR(INDEX('Base de sorteio'!$C$3:$C$1723,MATCH($B1000&amp;"|"&amp;$C1000,'Base de sorteio'!$I$3:$I$1723,0)),"")</f>
        <v/>
      </c>
      <c r="G1000" s="4">
        <f>IFERROR(INDEX('Base de sorteio'!$D$3:$D$1723,MATCH($B1000&amp;"|"&amp;$C1000,'Base de sorteio'!$I$3:$I$1723,0)),"")</f>
        <v/>
      </c>
      <c r="H1000" s="4">
        <f>IFERROR(INDEX('Base de sorteio'!$E$3:$E$1723,MATCH($B1000&amp;"|"&amp;$C1000,'Base de sorteio'!$I$3:$I$1723,0)),"")</f>
        <v/>
      </c>
      <c r="I1000" s="4">
        <f>IF(E1000="","",HYPERLINK(IFERROR(INDEX('Base de sorteio'!$J$3:$J$1723,MATCH($B1000&amp;"|"&amp;$C1000,'Base de sorteio'!$I$3:$I$1723,0)),""),"abrir"))</f>
        <v/>
      </c>
      <c r="J1000" s="4" t="n"/>
      <c r="K1000" s="4" t="n"/>
      <c r="L1000" s="4" t="n"/>
      <c r="M1000" s="4" t="n"/>
      <c r="N1000" s="4">
        <f>IF(AND(K1000="",M1000=""),"",IF(OR(K1000="sim",M1000="sim"),"sim",IF(OR(K1000="inconclusivo",M1000="inconclusivo"),"inconclusivo","não")))</f>
        <v/>
      </c>
      <c r="O1000" s="5">
        <f>IF(N1000="sim",COUNTIFS($B$3:$B1000,$B1000,$N$3:$N1000,"sim"),"")</f>
        <v/>
      </c>
      <c r="P1000" s="5" t="n"/>
      <c r="Q1000" s="4" t="n"/>
      <c r="R1000" s="5" t="n"/>
      <c r="S1000" s="9" t="n"/>
      <c r="T1000" s="4" t="n"/>
    </row>
    <row r="1001">
      <c r="A1001" s="5">
        <f>ROW()-2</f>
        <v/>
      </c>
      <c r="B1001" s="4" t="inlineStr">
        <is>
          <t>Capital regional</t>
        </is>
      </c>
      <c r="C1001" s="5" t="n">
        <v>57</v>
      </c>
      <c r="D1001" s="5">
        <f>IFERROR(INDEX('Base de sorteio'!$A$3:$A$1723,MATCH($B1001&amp;"|"&amp;$C1001,'Base de sorteio'!$I$3:$I$1723,0)),"")</f>
        <v/>
      </c>
      <c r="E1001" s="4">
        <f>IFERROR(INDEX('Base de sorteio'!$B$3:$B$1723,MATCH($B1001&amp;"|"&amp;$C1001,'Base de sorteio'!$I$3:$I$1723,0)),"")</f>
        <v/>
      </c>
      <c r="F1001" s="4">
        <f>IFERROR(INDEX('Base de sorteio'!$C$3:$C$1723,MATCH($B1001&amp;"|"&amp;$C1001,'Base de sorteio'!$I$3:$I$1723,0)),"")</f>
        <v/>
      </c>
      <c r="G1001" s="4">
        <f>IFERROR(INDEX('Base de sorteio'!$D$3:$D$1723,MATCH($B1001&amp;"|"&amp;$C1001,'Base de sorteio'!$I$3:$I$1723,0)),"")</f>
        <v/>
      </c>
      <c r="H1001" s="4">
        <f>IFERROR(INDEX('Base de sorteio'!$E$3:$E$1723,MATCH($B1001&amp;"|"&amp;$C1001,'Base de sorteio'!$I$3:$I$1723,0)),"")</f>
        <v/>
      </c>
      <c r="I1001" s="4">
        <f>IF(E1001="","",HYPERLINK(IFERROR(INDEX('Base de sorteio'!$J$3:$J$1723,MATCH($B1001&amp;"|"&amp;$C1001,'Base de sorteio'!$I$3:$I$1723,0)),""),"abrir"))</f>
        <v/>
      </c>
      <c r="J1001" s="4" t="n"/>
      <c r="K1001" s="4" t="n"/>
      <c r="L1001" s="4" t="n"/>
      <c r="M1001" s="4" t="n"/>
      <c r="N1001" s="4">
        <f>IF(AND(K1001="",M1001=""),"",IF(OR(K1001="sim",M1001="sim"),"sim",IF(OR(K1001="inconclusivo",M1001="inconclusivo"),"inconclusivo","não")))</f>
        <v/>
      </c>
      <c r="O1001" s="5">
        <f>IF(N1001="sim",COUNTIFS($B$3:$B1001,$B1001,$N$3:$N1001,"sim"),"")</f>
        <v/>
      </c>
      <c r="P1001" s="5" t="n"/>
      <c r="Q1001" s="4" t="n"/>
      <c r="R1001" s="5" t="n"/>
      <c r="S1001" s="9" t="n"/>
      <c r="T1001" s="4" t="n"/>
    </row>
    <row r="1002">
      <c r="A1002" s="5">
        <f>ROW()-2</f>
        <v/>
      </c>
      <c r="B1002" s="4" t="inlineStr">
        <is>
          <t>Capital regional</t>
        </is>
      </c>
      <c r="C1002" s="5" t="n">
        <v>58</v>
      </c>
      <c r="D1002" s="5">
        <f>IFERROR(INDEX('Base de sorteio'!$A$3:$A$1723,MATCH($B1002&amp;"|"&amp;$C1002,'Base de sorteio'!$I$3:$I$1723,0)),"")</f>
        <v/>
      </c>
      <c r="E1002" s="4">
        <f>IFERROR(INDEX('Base de sorteio'!$B$3:$B$1723,MATCH($B1002&amp;"|"&amp;$C1002,'Base de sorteio'!$I$3:$I$1723,0)),"")</f>
        <v/>
      </c>
      <c r="F1002" s="4">
        <f>IFERROR(INDEX('Base de sorteio'!$C$3:$C$1723,MATCH($B1002&amp;"|"&amp;$C1002,'Base de sorteio'!$I$3:$I$1723,0)),"")</f>
        <v/>
      </c>
      <c r="G1002" s="4">
        <f>IFERROR(INDEX('Base de sorteio'!$D$3:$D$1723,MATCH($B1002&amp;"|"&amp;$C1002,'Base de sorteio'!$I$3:$I$1723,0)),"")</f>
        <v/>
      </c>
      <c r="H1002" s="4">
        <f>IFERROR(INDEX('Base de sorteio'!$E$3:$E$1723,MATCH($B1002&amp;"|"&amp;$C1002,'Base de sorteio'!$I$3:$I$1723,0)),"")</f>
        <v/>
      </c>
      <c r="I1002" s="4">
        <f>IF(E1002="","",HYPERLINK(IFERROR(INDEX('Base de sorteio'!$J$3:$J$1723,MATCH($B1002&amp;"|"&amp;$C1002,'Base de sorteio'!$I$3:$I$1723,0)),""),"abrir"))</f>
        <v/>
      </c>
      <c r="J1002" s="4" t="n"/>
      <c r="K1002" s="4" t="n"/>
      <c r="L1002" s="4" t="n"/>
      <c r="M1002" s="4" t="n"/>
      <c r="N1002" s="4">
        <f>IF(AND(K1002="",M1002=""),"",IF(OR(K1002="sim",M1002="sim"),"sim",IF(OR(K1002="inconclusivo",M1002="inconclusivo"),"inconclusivo","não")))</f>
        <v/>
      </c>
      <c r="O1002" s="5">
        <f>IF(N1002="sim",COUNTIFS($B$3:$B1002,$B1002,$N$3:$N1002,"sim"),"")</f>
        <v/>
      </c>
      <c r="P1002" s="5" t="n"/>
      <c r="Q1002" s="4" t="n"/>
      <c r="R1002" s="5" t="n"/>
      <c r="S1002" s="9" t="n"/>
      <c r="T1002" s="4" t="n"/>
    </row>
    <row r="1003">
      <c r="A1003" s="5">
        <f>ROW()-2</f>
        <v/>
      </c>
      <c r="B1003" s="4" t="inlineStr">
        <is>
          <t>Capital regional</t>
        </is>
      </c>
      <c r="C1003" s="5" t="n">
        <v>59</v>
      </c>
      <c r="D1003" s="5">
        <f>IFERROR(INDEX('Base de sorteio'!$A$3:$A$1723,MATCH($B1003&amp;"|"&amp;$C1003,'Base de sorteio'!$I$3:$I$1723,0)),"")</f>
        <v/>
      </c>
      <c r="E1003" s="4">
        <f>IFERROR(INDEX('Base de sorteio'!$B$3:$B$1723,MATCH($B1003&amp;"|"&amp;$C1003,'Base de sorteio'!$I$3:$I$1723,0)),"")</f>
        <v/>
      </c>
      <c r="F1003" s="4">
        <f>IFERROR(INDEX('Base de sorteio'!$C$3:$C$1723,MATCH($B1003&amp;"|"&amp;$C1003,'Base de sorteio'!$I$3:$I$1723,0)),"")</f>
        <v/>
      </c>
      <c r="G1003" s="4">
        <f>IFERROR(INDEX('Base de sorteio'!$D$3:$D$1723,MATCH($B1003&amp;"|"&amp;$C1003,'Base de sorteio'!$I$3:$I$1723,0)),"")</f>
        <v/>
      </c>
      <c r="H1003" s="4">
        <f>IFERROR(INDEX('Base de sorteio'!$E$3:$E$1723,MATCH($B1003&amp;"|"&amp;$C1003,'Base de sorteio'!$I$3:$I$1723,0)),"")</f>
        <v/>
      </c>
      <c r="I1003" s="4">
        <f>IF(E1003="","",HYPERLINK(IFERROR(INDEX('Base de sorteio'!$J$3:$J$1723,MATCH($B1003&amp;"|"&amp;$C1003,'Base de sorteio'!$I$3:$I$1723,0)),""),"abrir"))</f>
        <v/>
      </c>
      <c r="J1003" s="4" t="n"/>
      <c r="K1003" s="4" t="n"/>
      <c r="L1003" s="4" t="n"/>
      <c r="M1003" s="4" t="n"/>
      <c r="N1003" s="4">
        <f>IF(AND(K1003="",M1003=""),"",IF(OR(K1003="sim",M1003="sim"),"sim",IF(OR(K1003="inconclusivo",M1003="inconclusivo"),"inconclusivo","não")))</f>
        <v/>
      </c>
      <c r="O1003" s="5">
        <f>IF(N1003="sim",COUNTIFS($B$3:$B1003,$B1003,$N$3:$N1003,"sim"),"")</f>
        <v/>
      </c>
      <c r="P1003" s="5" t="n"/>
      <c r="Q1003" s="4" t="n"/>
      <c r="R1003" s="5" t="n"/>
      <c r="S1003" s="9" t="n"/>
      <c r="T1003" s="4" t="n"/>
    </row>
    <row r="1004">
      <c r="A1004" s="5">
        <f>ROW()-2</f>
        <v/>
      </c>
      <c r="B1004" s="4" t="inlineStr">
        <is>
          <t>Capital regional</t>
        </is>
      </c>
      <c r="C1004" s="5" t="n">
        <v>60</v>
      </c>
      <c r="D1004" s="5">
        <f>IFERROR(INDEX('Base de sorteio'!$A$3:$A$1723,MATCH($B1004&amp;"|"&amp;$C1004,'Base de sorteio'!$I$3:$I$1723,0)),"")</f>
        <v/>
      </c>
      <c r="E1004" s="4">
        <f>IFERROR(INDEX('Base de sorteio'!$B$3:$B$1723,MATCH($B1004&amp;"|"&amp;$C1004,'Base de sorteio'!$I$3:$I$1723,0)),"")</f>
        <v/>
      </c>
      <c r="F1004" s="4">
        <f>IFERROR(INDEX('Base de sorteio'!$C$3:$C$1723,MATCH($B1004&amp;"|"&amp;$C1004,'Base de sorteio'!$I$3:$I$1723,0)),"")</f>
        <v/>
      </c>
      <c r="G1004" s="4">
        <f>IFERROR(INDEX('Base de sorteio'!$D$3:$D$1723,MATCH($B1004&amp;"|"&amp;$C1004,'Base de sorteio'!$I$3:$I$1723,0)),"")</f>
        <v/>
      </c>
      <c r="H1004" s="4">
        <f>IFERROR(INDEX('Base de sorteio'!$E$3:$E$1723,MATCH($B1004&amp;"|"&amp;$C1004,'Base de sorteio'!$I$3:$I$1723,0)),"")</f>
        <v/>
      </c>
      <c r="I1004" s="4">
        <f>IF(E1004="","",HYPERLINK(IFERROR(INDEX('Base de sorteio'!$J$3:$J$1723,MATCH($B1004&amp;"|"&amp;$C1004,'Base de sorteio'!$I$3:$I$1723,0)),""),"abrir"))</f>
        <v/>
      </c>
      <c r="J1004" s="4" t="n"/>
      <c r="K1004" s="4" t="n"/>
      <c r="L1004" s="4" t="n"/>
      <c r="M1004" s="4" t="n"/>
      <c r="N1004" s="4">
        <f>IF(AND(K1004="",M1004=""),"",IF(OR(K1004="sim",M1004="sim"),"sim",IF(OR(K1004="inconclusivo",M1004="inconclusivo"),"inconclusivo","não")))</f>
        <v/>
      </c>
      <c r="O1004" s="5">
        <f>IF(N1004="sim",COUNTIFS($B$3:$B1004,$B1004,$N$3:$N1004,"sim"),"")</f>
        <v/>
      </c>
      <c r="P1004" s="5" t="n"/>
      <c r="Q1004" s="4" t="n"/>
      <c r="R1004" s="5" t="n"/>
      <c r="S1004" s="9" t="n"/>
      <c r="T1004" s="4" t="n"/>
    </row>
    <row r="1005">
      <c r="A1005" s="5">
        <f>ROW()-2</f>
        <v/>
      </c>
      <c r="B1005" s="4" t="inlineStr">
        <is>
          <t>Capital regional</t>
        </is>
      </c>
      <c r="C1005" s="5" t="n">
        <v>61</v>
      </c>
      <c r="D1005" s="5">
        <f>IFERROR(INDEX('Base de sorteio'!$A$3:$A$1723,MATCH($B1005&amp;"|"&amp;$C1005,'Base de sorteio'!$I$3:$I$1723,0)),"")</f>
        <v/>
      </c>
      <c r="E1005" s="4">
        <f>IFERROR(INDEX('Base de sorteio'!$B$3:$B$1723,MATCH($B1005&amp;"|"&amp;$C1005,'Base de sorteio'!$I$3:$I$1723,0)),"")</f>
        <v/>
      </c>
      <c r="F1005" s="4">
        <f>IFERROR(INDEX('Base de sorteio'!$C$3:$C$1723,MATCH($B1005&amp;"|"&amp;$C1005,'Base de sorteio'!$I$3:$I$1723,0)),"")</f>
        <v/>
      </c>
      <c r="G1005" s="4">
        <f>IFERROR(INDEX('Base de sorteio'!$D$3:$D$1723,MATCH($B1005&amp;"|"&amp;$C1005,'Base de sorteio'!$I$3:$I$1723,0)),"")</f>
        <v/>
      </c>
      <c r="H1005" s="4">
        <f>IFERROR(INDEX('Base de sorteio'!$E$3:$E$1723,MATCH($B1005&amp;"|"&amp;$C1005,'Base de sorteio'!$I$3:$I$1723,0)),"")</f>
        <v/>
      </c>
      <c r="I1005" s="4">
        <f>IF(E1005="","",HYPERLINK(IFERROR(INDEX('Base de sorteio'!$J$3:$J$1723,MATCH($B1005&amp;"|"&amp;$C1005,'Base de sorteio'!$I$3:$I$1723,0)),""),"abrir"))</f>
        <v/>
      </c>
      <c r="J1005" s="4" t="n"/>
      <c r="K1005" s="4" t="n"/>
      <c r="L1005" s="4" t="n"/>
      <c r="M1005" s="4" t="n"/>
      <c r="N1005" s="4">
        <f>IF(AND(K1005="",M1005=""),"",IF(OR(K1005="sim",M1005="sim"),"sim",IF(OR(K1005="inconclusivo",M1005="inconclusivo"),"inconclusivo","não")))</f>
        <v/>
      </c>
      <c r="O1005" s="5">
        <f>IF(N1005="sim",COUNTIFS($B$3:$B1005,$B1005,$N$3:$N1005,"sim"),"")</f>
        <v/>
      </c>
      <c r="P1005" s="5" t="n"/>
      <c r="Q1005" s="4" t="n"/>
      <c r="R1005" s="5" t="n"/>
      <c r="S1005" s="9" t="n"/>
      <c r="T1005" s="4" t="n"/>
    </row>
    <row r="1006">
      <c r="A1006" s="5">
        <f>ROW()-2</f>
        <v/>
      </c>
      <c r="B1006" s="4" t="inlineStr">
        <is>
          <t>Capital regional</t>
        </is>
      </c>
      <c r="C1006" s="5" t="n">
        <v>62</v>
      </c>
      <c r="D1006" s="5">
        <f>IFERROR(INDEX('Base de sorteio'!$A$3:$A$1723,MATCH($B1006&amp;"|"&amp;$C1006,'Base de sorteio'!$I$3:$I$1723,0)),"")</f>
        <v/>
      </c>
      <c r="E1006" s="4">
        <f>IFERROR(INDEX('Base de sorteio'!$B$3:$B$1723,MATCH($B1006&amp;"|"&amp;$C1006,'Base de sorteio'!$I$3:$I$1723,0)),"")</f>
        <v/>
      </c>
      <c r="F1006" s="4">
        <f>IFERROR(INDEX('Base de sorteio'!$C$3:$C$1723,MATCH($B1006&amp;"|"&amp;$C1006,'Base de sorteio'!$I$3:$I$1723,0)),"")</f>
        <v/>
      </c>
      <c r="G1006" s="4">
        <f>IFERROR(INDEX('Base de sorteio'!$D$3:$D$1723,MATCH($B1006&amp;"|"&amp;$C1006,'Base de sorteio'!$I$3:$I$1723,0)),"")</f>
        <v/>
      </c>
      <c r="H1006" s="4">
        <f>IFERROR(INDEX('Base de sorteio'!$E$3:$E$1723,MATCH($B1006&amp;"|"&amp;$C1006,'Base de sorteio'!$I$3:$I$1723,0)),"")</f>
        <v/>
      </c>
      <c r="I1006" s="4">
        <f>IF(E1006="","",HYPERLINK(IFERROR(INDEX('Base de sorteio'!$J$3:$J$1723,MATCH($B1006&amp;"|"&amp;$C1006,'Base de sorteio'!$I$3:$I$1723,0)),""),"abrir"))</f>
        <v/>
      </c>
      <c r="J1006" s="4" t="n"/>
      <c r="K1006" s="4" t="n"/>
      <c r="L1006" s="4" t="n"/>
      <c r="M1006" s="4" t="n"/>
      <c r="N1006" s="4">
        <f>IF(AND(K1006="",M1006=""),"",IF(OR(K1006="sim",M1006="sim"),"sim",IF(OR(K1006="inconclusivo",M1006="inconclusivo"),"inconclusivo","não")))</f>
        <v/>
      </c>
      <c r="O1006" s="5">
        <f>IF(N1006="sim",COUNTIFS($B$3:$B1006,$B1006,$N$3:$N1006,"sim"),"")</f>
        <v/>
      </c>
      <c r="P1006" s="5" t="n"/>
      <c r="Q1006" s="4" t="n"/>
      <c r="R1006" s="5" t="n"/>
      <c r="S1006" s="9" t="n"/>
      <c r="T1006" s="4" t="n"/>
    </row>
    <row r="1007">
      <c r="A1007" s="5">
        <f>ROW()-2</f>
        <v/>
      </c>
      <c r="B1007" s="4" t="inlineStr">
        <is>
          <t>Capital regional</t>
        </is>
      </c>
      <c r="C1007" s="5" t="n">
        <v>63</v>
      </c>
      <c r="D1007" s="5">
        <f>IFERROR(INDEX('Base de sorteio'!$A$3:$A$1723,MATCH($B1007&amp;"|"&amp;$C1007,'Base de sorteio'!$I$3:$I$1723,0)),"")</f>
        <v/>
      </c>
      <c r="E1007" s="4">
        <f>IFERROR(INDEX('Base de sorteio'!$B$3:$B$1723,MATCH($B1007&amp;"|"&amp;$C1007,'Base de sorteio'!$I$3:$I$1723,0)),"")</f>
        <v/>
      </c>
      <c r="F1007" s="4">
        <f>IFERROR(INDEX('Base de sorteio'!$C$3:$C$1723,MATCH($B1007&amp;"|"&amp;$C1007,'Base de sorteio'!$I$3:$I$1723,0)),"")</f>
        <v/>
      </c>
      <c r="G1007" s="4">
        <f>IFERROR(INDEX('Base de sorteio'!$D$3:$D$1723,MATCH($B1007&amp;"|"&amp;$C1007,'Base de sorteio'!$I$3:$I$1723,0)),"")</f>
        <v/>
      </c>
      <c r="H1007" s="4">
        <f>IFERROR(INDEX('Base de sorteio'!$E$3:$E$1723,MATCH($B1007&amp;"|"&amp;$C1007,'Base de sorteio'!$I$3:$I$1723,0)),"")</f>
        <v/>
      </c>
      <c r="I1007" s="4">
        <f>IF(E1007="","",HYPERLINK(IFERROR(INDEX('Base de sorteio'!$J$3:$J$1723,MATCH($B1007&amp;"|"&amp;$C1007,'Base de sorteio'!$I$3:$I$1723,0)),""),"abrir"))</f>
        <v/>
      </c>
      <c r="J1007" s="4" t="n"/>
      <c r="K1007" s="4" t="n"/>
      <c r="L1007" s="4" t="n"/>
      <c r="M1007" s="4" t="n"/>
      <c r="N1007" s="4">
        <f>IF(AND(K1007="",M1007=""),"",IF(OR(K1007="sim",M1007="sim"),"sim",IF(OR(K1007="inconclusivo",M1007="inconclusivo"),"inconclusivo","não")))</f>
        <v/>
      </c>
      <c r="O1007" s="5">
        <f>IF(N1007="sim",COUNTIFS($B$3:$B1007,$B1007,$N$3:$N1007,"sim"),"")</f>
        <v/>
      </c>
      <c r="P1007" s="5" t="n"/>
      <c r="Q1007" s="4" t="n"/>
      <c r="R1007" s="5" t="n"/>
      <c r="S1007" s="9" t="n"/>
      <c r="T1007" s="4" t="n"/>
    </row>
    <row r="1008">
      <c r="A1008" s="5">
        <f>ROW()-2</f>
        <v/>
      </c>
      <c r="B1008" s="4" t="inlineStr">
        <is>
          <t>Capital regional</t>
        </is>
      </c>
      <c r="C1008" s="5" t="n">
        <v>64</v>
      </c>
      <c r="D1008" s="5">
        <f>IFERROR(INDEX('Base de sorteio'!$A$3:$A$1723,MATCH($B1008&amp;"|"&amp;$C1008,'Base de sorteio'!$I$3:$I$1723,0)),"")</f>
        <v/>
      </c>
      <c r="E1008" s="4">
        <f>IFERROR(INDEX('Base de sorteio'!$B$3:$B$1723,MATCH($B1008&amp;"|"&amp;$C1008,'Base de sorteio'!$I$3:$I$1723,0)),"")</f>
        <v/>
      </c>
      <c r="F1008" s="4">
        <f>IFERROR(INDEX('Base de sorteio'!$C$3:$C$1723,MATCH($B1008&amp;"|"&amp;$C1008,'Base de sorteio'!$I$3:$I$1723,0)),"")</f>
        <v/>
      </c>
      <c r="G1008" s="4">
        <f>IFERROR(INDEX('Base de sorteio'!$D$3:$D$1723,MATCH($B1008&amp;"|"&amp;$C1008,'Base de sorteio'!$I$3:$I$1723,0)),"")</f>
        <v/>
      </c>
      <c r="H1008" s="4">
        <f>IFERROR(INDEX('Base de sorteio'!$E$3:$E$1723,MATCH($B1008&amp;"|"&amp;$C1008,'Base de sorteio'!$I$3:$I$1723,0)),"")</f>
        <v/>
      </c>
      <c r="I1008" s="4">
        <f>IF(E1008="","",HYPERLINK(IFERROR(INDEX('Base de sorteio'!$J$3:$J$1723,MATCH($B1008&amp;"|"&amp;$C1008,'Base de sorteio'!$I$3:$I$1723,0)),""),"abrir"))</f>
        <v/>
      </c>
      <c r="J1008" s="4" t="n"/>
      <c r="K1008" s="4" t="n"/>
      <c r="L1008" s="4" t="n"/>
      <c r="M1008" s="4" t="n"/>
      <c r="N1008" s="4">
        <f>IF(AND(K1008="",M1008=""),"",IF(OR(K1008="sim",M1008="sim"),"sim",IF(OR(K1008="inconclusivo",M1008="inconclusivo"),"inconclusivo","não")))</f>
        <v/>
      </c>
      <c r="O1008" s="5">
        <f>IF(N1008="sim",COUNTIFS($B$3:$B1008,$B1008,$N$3:$N1008,"sim"),"")</f>
        <v/>
      </c>
      <c r="P1008" s="5" t="n"/>
      <c r="Q1008" s="4" t="n"/>
      <c r="R1008" s="5" t="n"/>
      <c r="S1008" s="9" t="n"/>
      <c r="T1008" s="4" t="n"/>
    </row>
    <row r="1009">
      <c r="A1009" s="5">
        <f>ROW()-2</f>
        <v/>
      </c>
      <c r="B1009" s="4" t="inlineStr">
        <is>
          <t>Capital regional</t>
        </is>
      </c>
      <c r="C1009" s="5" t="n">
        <v>65</v>
      </c>
      <c r="D1009" s="5">
        <f>IFERROR(INDEX('Base de sorteio'!$A$3:$A$1723,MATCH($B1009&amp;"|"&amp;$C1009,'Base de sorteio'!$I$3:$I$1723,0)),"")</f>
        <v/>
      </c>
      <c r="E1009" s="4">
        <f>IFERROR(INDEX('Base de sorteio'!$B$3:$B$1723,MATCH($B1009&amp;"|"&amp;$C1009,'Base de sorteio'!$I$3:$I$1723,0)),"")</f>
        <v/>
      </c>
      <c r="F1009" s="4">
        <f>IFERROR(INDEX('Base de sorteio'!$C$3:$C$1723,MATCH($B1009&amp;"|"&amp;$C1009,'Base de sorteio'!$I$3:$I$1723,0)),"")</f>
        <v/>
      </c>
      <c r="G1009" s="4">
        <f>IFERROR(INDEX('Base de sorteio'!$D$3:$D$1723,MATCH($B1009&amp;"|"&amp;$C1009,'Base de sorteio'!$I$3:$I$1723,0)),"")</f>
        <v/>
      </c>
      <c r="H1009" s="4">
        <f>IFERROR(INDEX('Base de sorteio'!$E$3:$E$1723,MATCH($B1009&amp;"|"&amp;$C1009,'Base de sorteio'!$I$3:$I$1723,0)),"")</f>
        <v/>
      </c>
      <c r="I1009" s="4">
        <f>IF(E1009="","",HYPERLINK(IFERROR(INDEX('Base de sorteio'!$J$3:$J$1723,MATCH($B1009&amp;"|"&amp;$C1009,'Base de sorteio'!$I$3:$I$1723,0)),""),"abrir"))</f>
        <v/>
      </c>
      <c r="J1009" s="4" t="n"/>
      <c r="K1009" s="4" t="n"/>
      <c r="L1009" s="4" t="n"/>
      <c r="M1009" s="4" t="n"/>
      <c r="N1009" s="4">
        <f>IF(AND(K1009="",M1009=""),"",IF(OR(K1009="sim",M1009="sim"),"sim",IF(OR(K1009="inconclusivo",M1009="inconclusivo"),"inconclusivo","não")))</f>
        <v/>
      </c>
      <c r="O1009" s="5">
        <f>IF(N1009="sim",COUNTIFS($B$3:$B1009,$B1009,$N$3:$N1009,"sim"),"")</f>
        <v/>
      </c>
      <c r="P1009" s="5" t="n"/>
      <c r="Q1009" s="4" t="n"/>
      <c r="R1009" s="5" t="n"/>
      <c r="S1009" s="9" t="n"/>
      <c r="T1009" s="4" t="n"/>
    </row>
    <row r="1010">
      <c r="A1010" s="5">
        <f>ROW()-2</f>
        <v/>
      </c>
      <c r="B1010" s="4" t="inlineStr">
        <is>
          <t>Capital regional</t>
        </is>
      </c>
      <c r="C1010" s="5" t="n">
        <v>66</v>
      </c>
      <c r="D1010" s="5">
        <f>IFERROR(INDEX('Base de sorteio'!$A$3:$A$1723,MATCH($B1010&amp;"|"&amp;$C1010,'Base de sorteio'!$I$3:$I$1723,0)),"")</f>
        <v/>
      </c>
      <c r="E1010" s="4">
        <f>IFERROR(INDEX('Base de sorteio'!$B$3:$B$1723,MATCH($B1010&amp;"|"&amp;$C1010,'Base de sorteio'!$I$3:$I$1723,0)),"")</f>
        <v/>
      </c>
      <c r="F1010" s="4">
        <f>IFERROR(INDEX('Base de sorteio'!$C$3:$C$1723,MATCH($B1010&amp;"|"&amp;$C1010,'Base de sorteio'!$I$3:$I$1723,0)),"")</f>
        <v/>
      </c>
      <c r="G1010" s="4">
        <f>IFERROR(INDEX('Base de sorteio'!$D$3:$D$1723,MATCH($B1010&amp;"|"&amp;$C1010,'Base de sorteio'!$I$3:$I$1723,0)),"")</f>
        <v/>
      </c>
      <c r="H1010" s="4">
        <f>IFERROR(INDEX('Base de sorteio'!$E$3:$E$1723,MATCH($B1010&amp;"|"&amp;$C1010,'Base de sorteio'!$I$3:$I$1723,0)),"")</f>
        <v/>
      </c>
      <c r="I1010" s="4">
        <f>IF(E1010="","",HYPERLINK(IFERROR(INDEX('Base de sorteio'!$J$3:$J$1723,MATCH($B1010&amp;"|"&amp;$C1010,'Base de sorteio'!$I$3:$I$1723,0)),""),"abrir"))</f>
        <v/>
      </c>
      <c r="J1010" s="4" t="n"/>
      <c r="K1010" s="4" t="n"/>
      <c r="L1010" s="4" t="n"/>
      <c r="M1010" s="4" t="n"/>
      <c r="N1010" s="4">
        <f>IF(AND(K1010="",M1010=""),"",IF(OR(K1010="sim",M1010="sim"),"sim",IF(OR(K1010="inconclusivo",M1010="inconclusivo"),"inconclusivo","não")))</f>
        <v/>
      </c>
      <c r="O1010" s="5">
        <f>IF(N1010="sim",COUNTIFS($B$3:$B1010,$B1010,$N$3:$N1010,"sim"),"")</f>
        <v/>
      </c>
      <c r="P1010" s="5" t="n"/>
      <c r="Q1010" s="4" t="n"/>
      <c r="R1010" s="5" t="n"/>
      <c r="S1010" s="9" t="n"/>
      <c r="T1010" s="4" t="n"/>
    </row>
    <row r="1011">
      <c r="A1011" s="5">
        <f>ROW()-2</f>
        <v/>
      </c>
      <c r="B1011" s="4" t="inlineStr">
        <is>
          <t>Capital regional</t>
        </is>
      </c>
      <c r="C1011" s="5" t="n">
        <v>67</v>
      </c>
      <c r="D1011" s="5">
        <f>IFERROR(INDEX('Base de sorteio'!$A$3:$A$1723,MATCH($B1011&amp;"|"&amp;$C1011,'Base de sorteio'!$I$3:$I$1723,0)),"")</f>
        <v/>
      </c>
      <c r="E1011" s="4">
        <f>IFERROR(INDEX('Base de sorteio'!$B$3:$B$1723,MATCH($B1011&amp;"|"&amp;$C1011,'Base de sorteio'!$I$3:$I$1723,0)),"")</f>
        <v/>
      </c>
      <c r="F1011" s="4">
        <f>IFERROR(INDEX('Base de sorteio'!$C$3:$C$1723,MATCH($B1011&amp;"|"&amp;$C1011,'Base de sorteio'!$I$3:$I$1723,0)),"")</f>
        <v/>
      </c>
      <c r="G1011" s="4">
        <f>IFERROR(INDEX('Base de sorteio'!$D$3:$D$1723,MATCH($B1011&amp;"|"&amp;$C1011,'Base de sorteio'!$I$3:$I$1723,0)),"")</f>
        <v/>
      </c>
      <c r="H1011" s="4">
        <f>IFERROR(INDEX('Base de sorteio'!$E$3:$E$1723,MATCH($B1011&amp;"|"&amp;$C1011,'Base de sorteio'!$I$3:$I$1723,0)),"")</f>
        <v/>
      </c>
      <c r="I1011" s="4">
        <f>IF(E1011="","",HYPERLINK(IFERROR(INDEX('Base de sorteio'!$J$3:$J$1723,MATCH($B1011&amp;"|"&amp;$C1011,'Base de sorteio'!$I$3:$I$1723,0)),""),"abrir"))</f>
        <v/>
      </c>
      <c r="J1011" s="4" t="n"/>
      <c r="K1011" s="4" t="n"/>
      <c r="L1011" s="4" t="n"/>
      <c r="M1011" s="4" t="n"/>
      <c r="N1011" s="4">
        <f>IF(AND(K1011="",M1011=""),"",IF(OR(K1011="sim",M1011="sim"),"sim",IF(OR(K1011="inconclusivo",M1011="inconclusivo"),"inconclusivo","não")))</f>
        <v/>
      </c>
      <c r="O1011" s="5">
        <f>IF(N1011="sim",COUNTIFS($B$3:$B1011,$B1011,$N$3:$N1011,"sim"),"")</f>
        <v/>
      </c>
      <c r="P1011" s="5" t="n"/>
      <c r="Q1011" s="4" t="n"/>
      <c r="R1011" s="5" t="n"/>
      <c r="S1011" s="9" t="n"/>
      <c r="T1011" s="4" t="n"/>
    </row>
    <row r="1012">
      <c r="A1012" s="5">
        <f>ROW()-2</f>
        <v/>
      </c>
      <c r="B1012" s="4" t="inlineStr">
        <is>
          <t>Capital regional</t>
        </is>
      </c>
      <c r="C1012" s="5" t="n">
        <v>68</v>
      </c>
      <c r="D1012" s="5">
        <f>IFERROR(INDEX('Base de sorteio'!$A$3:$A$1723,MATCH($B1012&amp;"|"&amp;$C1012,'Base de sorteio'!$I$3:$I$1723,0)),"")</f>
        <v/>
      </c>
      <c r="E1012" s="4">
        <f>IFERROR(INDEX('Base de sorteio'!$B$3:$B$1723,MATCH($B1012&amp;"|"&amp;$C1012,'Base de sorteio'!$I$3:$I$1723,0)),"")</f>
        <v/>
      </c>
      <c r="F1012" s="4">
        <f>IFERROR(INDEX('Base de sorteio'!$C$3:$C$1723,MATCH($B1012&amp;"|"&amp;$C1012,'Base de sorteio'!$I$3:$I$1723,0)),"")</f>
        <v/>
      </c>
      <c r="G1012" s="4">
        <f>IFERROR(INDEX('Base de sorteio'!$D$3:$D$1723,MATCH($B1012&amp;"|"&amp;$C1012,'Base de sorteio'!$I$3:$I$1723,0)),"")</f>
        <v/>
      </c>
      <c r="H1012" s="4">
        <f>IFERROR(INDEX('Base de sorteio'!$E$3:$E$1723,MATCH($B1012&amp;"|"&amp;$C1012,'Base de sorteio'!$I$3:$I$1723,0)),"")</f>
        <v/>
      </c>
      <c r="I1012" s="4">
        <f>IF(E1012="","",HYPERLINK(IFERROR(INDEX('Base de sorteio'!$J$3:$J$1723,MATCH($B1012&amp;"|"&amp;$C1012,'Base de sorteio'!$I$3:$I$1723,0)),""),"abrir"))</f>
        <v/>
      </c>
      <c r="J1012" s="4" t="n"/>
      <c r="K1012" s="4" t="n"/>
      <c r="L1012" s="4" t="n"/>
      <c r="M1012" s="4" t="n"/>
      <c r="N1012" s="4">
        <f>IF(AND(K1012="",M1012=""),"",IF(OR(K1012="sim",M1012="sim"),"sim",IF(OR(K1012="inconclusivo",M1012="inconclusivo"),"inconclusivo","não")))</f>
        <v/>
      </c>
      <c r="O1012" s="5">
        <f>IF(N1012="sim",COUNTIFS($B$3:$B1012,$B1012,$N$3:$N1012,"sim"),"")</f>
        <v/>
      </c>
      <c r="P1012" s="5" t="n"/>
      <c r="Q1012" s="4" t="n"/>
      <c r="R1012" s="5" t="n"/>
      <c r="S1012" s="9" t="n"/>
      <c r="T1012" s="4" t="n"/>
    </row>
    <row r="1013">
      <c r="A1013" s="5">
        <f>ROW()-2</f>
        <v/>
      </c>
      <c r="B1013" s="4" t="inlineStr">
        <is>
          <t>Capital regional</t>
        </is>
      </c>
      <c r="C1013" s="5" t="n">
        <v>69</v>
      </c>
      <c r="D1013" s="5">
        <f>IFERROR(INDEX('Base de sorteio'!$A$3:$A$1723,MATCH($B1013&amp;"|"&amp;$C1013,'Base de sorteio'!$I$3:$I$1723,0)),"")</f>
        <v/>
      </c>
      <c r="E1013" s="4">
        <f>IFERROR(INDEX('Base de sorteio'!$B$3:$B$1723,MATCH($B1013&amp;"|"&amp;$C1013,'Base de sorteio'!$I$3:$I$1723,0)),"")</f>
        <v/>
      </c>
      <c r="F1013" s="4">
        <f>IFERROR(INDEX('Base de sorteio'!$C$3:$C$1723,MATCH($B1013&amp;"|"&amp;$C1013,'Base de sorteio'!$I$3:$I$1723,0)),"")</f>
        <v/>
      </c>
      <c r="G1013" s="4">
        <f>IFERROR(INDEX('Base de sorteio'!$D$3:$D$1723,MATCH($B1013&amp;"|"&amp;$C1013,'Base de sorteio'!$I$3:$I$1723,0)),"")</f>
        <v/>
      </c>
      <c r="H1013" s="4">
        <f>IFERROR(INDEX('Base de sorteio'!$E$3:$E$1723,MATCH($B1013&amp;"|"&amp;$C1013,'Base de sorteio'!$I$3:$I$1723,0)),"")</f>
        <v/>
      </c>
      <c r="I1013" s="4">
        <f>IF(E1013="","",HYPERLINK(IFERROR(INDEX('Base de sorteio'!$J$3:$J$1723,MATCH($B1013&amp;"|"&amp;$C1013,'Base de sorteio'!$I$3:$I$1723,0)),""),"abrir"))</f>
        <v/>
      </c>
      <c r="J1013" s="4" t="n"/>
      <c r="K1013" s="4" t="n"/>
      <c r="L1013" s="4" t="n"/>
      <c r="M1013" s="4" t="n"/>
      <c r="N1013" s="4">
        <f>IF(AND(K1013="",M1013=""),"",IF(OR(K1013="sim",M1013="sim"),"sim",IF(OR(K1013="inconclusivo",M1013="inconclusivo"),"inconclusivo","não")))</f>
        <v/>
      </c>
      <c r="O1013" s="5">
        <f>IF(N1013="sim",COUNTIFS($B$3:$B1013,$B1013,$N$3:$N1013,"sim"),"")</f>
        <v/>
      </c>
      <c r="P1013" s="5" t="n"/>
      <c r="Q1013" s="4" t="n"/>
      <c r="R1013" s="5" t="n"/>
      <c r="S1013" s="9" t="n"/>
      <c r="T1013" s="4" t="n"/>
    </row>
    <row r="1014">
      <c r="A1014" s="5">
        <f>ROW()-2</f>
        <v/>
      </c>
      <c r="B1014" s="4" t="inlineStr">
        <is>
          <t>Capital regional</t>
        </is>
      </c>
      <c r="C1014" s="5" t="n">
        <v>70</v>
      </c>
      <c r="D1014" s="5">
        <f>IFERROR(INDEX('Base de sorteio'!$A$3:$A$1723,MATCH($B1014&amp;"|"&amp;$C1014,'Base de sorteio'!$I$3:$I$1723,0)),"")</f>
        <v/>
      </c>
      <c r="E1014" s="4">
        <f>IFERROR(INDEX('Base de sorteio'!$B$3:$B$1723,MATCH($B1014&amp;"|"&amp;$C1014,'Base de sorteio'!$I$3:$I$1723,0)),"")</f>
        <v/>
      </c>
      <c r="F1014" s="4">
        <f>IFERROR(INDEX('Base de sorteio'!$C$3:$C$1723,MATCH($B1014&amp;"|"&amp;$C1014,'Base de sorteio'!$I$3:$I$1723,0)),"")</f>
        <v/>
      </c>
      <c r="G1014" s="4">
        <f>IFERROR(INDEX('Base de sorteio'!$D$3:$D$1723,MATCH($B1014&amp;"|"&amp;$C1014,'Base de sorteio'!$I$3:$I$1723,0)),"")</f>
        <v/>
      </c>
      <c r="H1014" s="4">
        <f>IFERROR(INDEX('Base de sorteio'!$E$3:$E$1723,MATCH($B1014&amp;"|"&amp;$C1014,'Base de sorteio'!$I$3:$I$1723,0)),"")</f>
        <v/>
      </c>
      <c r="I1014" s="4">
        <f>IF(E1014="","",HYPERLINK(IFERROR(INDEX('Base de sorteio'!$J$3:$J$1723,MATCH($B1014&amp;"|"&amp;$C1014,'Base de sorteio'!$I$3:$I$1723,0)),""),"abrir"))</f>
        <v/>
      </c>
      <c r="J1014" s="4" t="n"/>
      <c r="K1014" s="4" t="n"/>
      <c r="L1014" s="4" t="n"/>
      <c r="M1014" s="4" t="n"/>
      <c r="N1014" s="4">
        <f>IF(AND(K1014="",M1014=""),"",IF(OR(K1014="sim",M1014="sim"),"sim",IF(OR(K1014="inconclusivo",M1014="inconclusivo"),"inconclusivo","não")))</f>
        <v/>
      </c>
      <c r="O1014" s="5">
        <f>IF(N1014="sim",COUNTIFS($B$3:$B1014,$B1014,$N$3:$N1014,"sim"),"")</f>
        <v/>
      </c>
      <c r="P1014" s="5" t="n"/>
      <c r="Q1014" s="4" t="n"/>
      <c r="R1014" s="5" t="n"/>
      <c r="S1014" s="9" t="n"/>
      <c r="T1014" s="4" t="n"/>
    </row>
    <row r="1015">
      <c r="A1015" s="5">
        <f>ROW()-2</f>
        <v/>
      </c>
      <c r="B1015" s="4" t="inlineStr">
        <is>
          <t>Capital regional</t>
        </is>
      </c>
      <c r="C1015" s="5" t="n">
        <v>71</v>
      </c>
      <c r="D1015" s="5">
        <f>IFERROR(INDEX('Base de sorteio'!$A$3:$A$1723,MATCH($B1015&amp;"|"&amp;$C1015,'Base de sorteio'!$I$3:$I$1723,0)),"")</f>
        <v/>
      </c>
      <c r="E1015" s="4">
        <f>IFERROR(INDEX('Base de sorteio'!$B$3:$B$1723,MATCH($B1015&amp;"|"&amp;$C1015,'Base de sorteio'!$I$3:$I$1723,0)),"")</f>
        <v/>
      </c>
      <c r="F1015" s="4">
        <f>IFERROR(INDEX('Base de sorteio'!$C$3:$C$1723,MATCH($B1015&amp;"|"&amp;$C1015,'Base de sorteio'!$I$3:$I$1723,0)),"")</f>
        <v/>
      </c>
      <c r="G1015" s="4">
        <f>IFERROR(INDEX('Base de sorteio'!$D$3:$D$1723,MATCH($B1015&amp;"|"&amp;$C1015,'Base de sorteio'!$I$3:$I$1723,0)),"")</f>
        <v/>
      </c>
      <c r="H1015" s="4">
        <f>IFERROR(INDEX('Base de sorteio'!$E$3:$E$1723,MATCH($B1015&amp;"|"&amp;$C1015,'Base de sorteio'!$I$3:$I$1723,0)),"")</f>
        <v/>
      </c>
      <c r="I1015" s="4">
        <f>IF(E1015="","",HYPERLINK(IFERROR(INDEX('Base de sorteio'!$J$3:$J$1723,MATCH($B1015&amp;"|"&amp;$C1015,'Base de sorteio'!$I$3:$I$1723,0)),""),"abrir"))</f>
        <v/>
      </c>
      <c r="J1015" s="4" t="n"/>
      <c r="K1015" s="4" t="n"/>
      <c r="L1015" s="4" t="n"/>
      <c r="M1015" s="4" t="n"/>
      <c r="N1015" s="4">
        <f>IF(AND(K1015="",M1015=""),"",IF(OR(K1015="sim",M1015="sim"),"sim",IF(OR(K1015="inconclusivo",M1015="inconclusivo"),"inconclusivo","não")))</f>
        <v/>
      </c>
      <c r="O1015" s="5">
        <f>IF(N1015="sim",COUNTIFS($B$3:$B1015,$B1015,$N$3:$N1015,"sim"),"")</f>
        <v/>
      </c>
      <c r="P1015" s="5" t="n"/>
      <c r="Q1015" s="4" t="n"/>
      <c r="R1015" s="5" t="n"/>
      <c r="S1015" s="9" t="n"/>
      <c r="T1015" s="4" t="n"/>
    </row>
    <row r="1016">
      <c r="A1016" s="5">
        <f>ROW()-2</f>
        <v/>
      </c>
      <c r="B1016" s="4" t="inlineStr">
        <is>
          <t>Capital regional</t>
        </is>
      </c>
      <c r="C1016" s="5" t="n">
        <v>72</v>
      </c>
      <c r="D1016" s="5">
        <f>IFERROR(INDEX('Base de sorteio'!$A$3:$A$1723,MATCH($B1016&amp;"|"&amp;$C1016,'Base de sorteio'!$I$3:$I$1723,0)),"")</f>
        <v/>
      </c>
      <c r="E1016" s="4">
        <f>IFERROR(INDEX('Base de sorteio'!$B$3:$B$1723,MATCH($B1016&amp;"|"&amp;$C1016,'Base de sorteio'!$I$3:$I$1723,0)),"")</f>
        <v/>
      </c>
      <c r="F1016" s="4">
        <f>IFERROR(INDEX('Base de sorteio'!$C$3:$C$1723,MATCH($B1016&amp;"|"&amp;$C1016,'Base de sorteio'!$I$3:$I$1723,0)),"")</f>
        <v/>
      </c>
      <c r="G1016" s="4">
        <f>IFERROR(INDEX('Base de sorteio'!$D$3:$D$1723,MATCH($B1016&amp;"|"&amp;$C1016,'Base de sorteio'!$I$3:$I$1723,0)),"")</f>
        <v/>
      </c>
      <c r="H1016" s="4">
        <f>IFERROR(INDEX('Base de sorteio'!$E$3:$E$1723,MATCH($B1016&amp;"|"&amp;$C1016,'Base de sorteio'!$I$3:$I$1723,0)),"")</f>
        <v/>
      </c>
      <c r="I1016" s="4">
        <f>IF(E1016="","",HYPERLINK(IFERROR(INDEX('Base de sorteio'!$J$3:$J$1723,MATCH($B1016&amp;"|"&amp;$C1016,'Base de sorteio'!$I$3:$I$1723,0)),""),"abrir"))</f>
        <v/>
      </c>
      <c r="J1016" s="4" t="n"/>
      <c r="K1016" s="4" t="n"/>
      <c r="L1016" s="4" t="n"/>
      <c r="M1016" s="4" t="n"/>
      <c r="N1016" s="4">
        <f>IF(AND(K1016="",M1016=""),"",IF(OR(K1016="sim",M1016="sim"),"sim",IF(OR(K1016="inconclusivo",M1016="inconclusivo"),"inconclusivo","não")))</f>
        <v/>
      </c>
      <c r="O1016" s="5">
        <f>IF(N1016="sim",COUNTIFS($B$3:$B1016,$B1016,$N$3:$N1016,"sim"),"")</f>
        <v/>
      </c>
      <c r="P1016" s="5" t="n"/>
      <c r="Q1016" s="4" t="n"/>
      <c r="R1016" s="5" t="n"/>
      <c r="S1016" s="9" t="n"/>
      <c r="T1016" s="4" t="n"/>
    </row>
    <row r="1017">
      <c r="A1017" s="5">
        <f>ROW()-2</f>
        <v/>
      </c>
      <c r="B1017" s="4" t="inlineStr">
        <is>
          <t>Capital regional</t>
        </is>
      </c>
      <c r="C1017" s="5" t="n">
        <v>73</v>
      </c>
      <c r="D1017" s="5">
        <f>IFERROR(INDEX('Base de sorteio'!$A$3:$A$1723,MATCH($B1017&amp;"|"&amp;$C1017,'Base de sorteio'!$I$3:$I$1723,0)),"")</f>
        <v/>
      </c>
      <c r="E1017" s="4">
        <f>IFERROR(INDEX('Base de sorteio'!$B$3:$B$1723,MATCH($B1017&amp;"|"&amp;$C1017,'Base de sorteio'!$I$3:$I$1723,0)),"")</f>
        <v/>
      </c>
      <c r="F1017" s="4">
        <f>IFERROR(INDEX('Base de sorteio'!$C$3:$C$1723,MATCH($B1017&amp;"|"&amp;$C1017,'Base de sorteio'!$I$3:$I$1723,0)),"")</f>
        <v/>
      </c>
      <c r="G1017" s="4">
        <f>IFERROR(INDEX('Base de sorteio'!$D$3:$D$1723,MATCH($B1017&amp;"|"&amp;$C1017,'Base de sorteio'!$I$3:$I$1723,0)),"")</f>
        <v/>
      </c>
      <c r="H1017" s="4">
        <f>IFERROR(INDEX('Base de sorteio'!$E$3:$E$1723,MATCH($B1017&amp;"|"&amp;$C1017,'Base de sorteio'!$I$3:$I$1723,0)),"")</f>
        <v/>
      </c>
      <c r="I1017" s="4">
        <f>IF(E1017="","",HYPERLINK(IFERROR(INDEX('Base de sorteio'!$J$3:$J$1723,MATCH($B1017&amp;"|"&amp;$C1017,'Base de sorteio'!$I$3:$I$1723,0)),""),"abrir"))</f>
        <v/>
      </c>
      <c r="J1017" s="4" t="n"/>
      <c r="K1017" s="4" t="n"/>
      <c r="L1017" s="4" t="n"/>
      <c r="M1017" s="4" t="n"/>
      <c r="N1017" s="4">
        <f>IF(AND(K1017="",M1017=""),"",IF(OR(K1017="sim",M1017="sim"),"sim",IF(OR(K1017="inconclusivo",M1017="inconclusivo"),"inconclusivo","não")))</f>
        <v/>
      </c>
      <c r="O1017" s="5">
        <f>IF(N1017="sim",COUNTIFS($B$3:$B1017,$B1017,$N$3:$N1017,"sim"),"")</f>
        <v/>
      </c>
      <c r="P1017" s="5" t="n"/>
      <c r="Q1017" s="4" t="n"/>
      <c r="R1017" s="5" t="n"/>
      <c r="S1017" s="9" t="n"/>
      <c r="T1017" s="4" t="n"/>
    </row>
    <row r="1018">
      <c r="A1018" s="5">
        <f>ROW()-2</f>
        <v/>
      </c>
      <c r="B1018" s="4" t="inlineStr">
        <is>
          <t>Capital regional</t>
        </is>
      </c>
      <c r="C1018" s="5" t="n">
        <v>74</v>
      </c>
      <c r="D1018" s="5">
        <f>IFERROR(INDEX('Base de sorteio'!$A$3:$A$1723,MATCH($B1018&amp;"|"&amp;$C1018,'Base de sorteio'!$I$3:$I$1723,0)),"")</f>
        <v/>
      </c>
      <c r="E1018" s="4">
        <f>IFERROR(INDEX('Base de sorteio'!$B$3:$B$1723,MATCH($B1018&amp;"|"&amp;$C1018,'Base de sorteio'!$I$3:$I$1723,0)),"")</f>
        <v/>
      </c>
      <c r="F1018" s="4">
        <f>IFERROR(INDEX('Base de sorteio'!$C$3:$C$1723,MATCH($B1018&amp;"|"&amp;$C1018,'Base de sorteio'!$I$3:$I$1723,0)),"")</f>
        <v/>
      </c>
      <c r="G1018" s="4">
        <f>IFERROR(INDEX('Base de sorteio'!$D$3:$D$1723,MATCH($B1018&amp;"|"&amp;$C1018,'Base de sorteio'!$I$3:$I$1723,0)),"")</f>
        <v/>
      </c>
      <c r="H1018" s="4">
        <f>IFERROR(INDEX('Base de sorteio'!$E$3:$E$1723,MATCH($B1018&amp;"|"&amp;$C1018,'Base de sorteio'!$I$3:$I$1723,0)),"")</f>
        <v/>
      </c>
      <c r="I1018" s="4">
        <f>IF(E1018="","",HYPERLINK(IFERROR(INDEX('Base de sorteio'!$J$3:$J$1723,MATCH($B1018&amp;"|"&amp;$C1018,'Base de sorteio'!$I$3:$I$1723,0)),""),"abrir"))</f>
        <v/>
      </c>
      <c r="J1018" s="4" t="n"/>
      <c r="K1018" s="4" t="n"/>
      <c r="L1018" s="4" t="n"/>
      <c r="M1018" s="4" t="n"/>
      <c r="N1018" s="4">
        <f>IF(AND(K1018="",M1018=""),"",IF(OR(K1018="sim",M1018="sim"),"sim",IF(OR(K1018="inconclusivo",M1018="inconclusivo"),"inconclusivo","não")))</f>
        <v/>
      </c>
      <c r="O1018" s="5">
        <f>IF(N1018="sim",COUNTIFS($B$3:$B1018,$B1018,$N$3:$N1018,"sim"),"")</f>
        <v/>
      </c>
      <c r="P1018" s="5" t="n"/>
      <c r="Q1018" s="4" t="n"/>
      <c r="R1018" s="5" t="n"/>
      <c r="S1018" s="9" t="n"/>
      <c r="T1018" s="4" t="n"/>
    </row>
    <row r="1019">
      <c r="A1019" s="5">
        <f>ROW()-2</f>
        <v/>
      </c>
      <c r="B1019" s="4" t="inlineStr">
        <is>
          <t>Capital regional</t>
        </is>
      </c>
      <c r="C1019" s="5" t="n">
        <v>75</v>
      </c>
      <c r="D1019" s="5">
        <f>IFERROR(INDEX('Base de sorteio'!$A$3:$A$1723,MATCH($B1019&amp;"|"&amp;$C1019,'Base de sorteio'!$I$3:$I$1723,0)),"")</f>
        <v/>
      </c>
      <c r="E1019" s="4">
        <f>IFERROR(INDEX('Base de sorteio'!$B$3:$B$1723,MATCH($B1019&amp;"|"&amp;$C1019,'Base de sorteio'!$I$3:$I$1723,0)),"")</f>
        <v/>
      </c>
      <c r="F1019" s="4">
        <f>IFERROR(INDEX('Base de sorteio'!$C$3:$C$1723,MATCH($B1019&amp;"|"&amp;$C1019,'Base de sorteio'!$I$3:$I$1723,0)),"")</f>
        <v/>
      </c>
      <c r="G1019" s="4">
        <f>IFERROR(INDEX('Base de sorteio'!$D$3:$D$1723,MATCH($B1019&amp;"|"&amp;$C1019,'Base de sorteio'!$I$3:$I$1723,0)),"")</f>
        <v/>
      </c>
      <c r="H1019" s="4">
        <f>IFERROR(INDEX('Base de sorteio'!$E$3:$E$1723,MATCH($B1019&amp;"|"&amp;$C1019,'Base de sorteio'!$I$3:$I$1723,0)),"")</f>
        <v/>
      </c>
      <c r="I1019" s="4">
        <f>IF(E1019="","",HYPERLINK(IFERROR(INDEX('Base de sorteio'!$J$3:$J$1723,MATCH($B1019&amp;"|"&amp;$C1019,'Base de sorteio'!$I$3:$I$1723,0)),""),"abrir"))</f>
        <v/>
      </c>
      <c r="J1019" s="4" t="n"/>
      <c r="K1019" s="4" t="n"/>
      <c r="L1019" s="4" t="n"/>
      <c r="M1019" s="4" t="n"/>
      <c r="N1019" s="4">
        <f>IF(AND(K1019="",M1019=""),"",IF(OR(K1019="sim",M1019="sim"),"sim",IF(OR(K1019="inconclusivo",M1019="inconclusivo"),"inconclusivo","não")))</f>
        <v/>
      </c>
      <c r="O1019" s="5">
        <f>IF(N1019="sim",COUNTIFS($B$3:$B1019,$B1019,$N$3:$N1019,"sim"),"")</f>
        <v/>
      </c>
      <c r="P1019" s="5" t="n"/>
      <c r="Q1019" s="4" t="n"/>
      <c r="R1019" s="5" t="n"/>
      <c r="S1019" s="9" t="n"/>
      <c r="T1019" s="4" t="n"/>
    </row>
    <row r="1020">
      <c r="A1020" s="5">
        <f>ROW()-2</f>
        <v/>
      </c>
      <c r="B1020" s="4" t="inlineStr">
        <is>
          <t>Capital regional</t>
        </is>
      </c>
      <c r="C1020" s="5" t="n">
        <v>76</v>
      </c>
      <c r="D1020" s="5">
        <f>IFERROR(INDEX('Base de sorteio'!$A$3:$A$1723,MATCH($B1020&amp;"|"&amp;$C1020,'Base de sorteio'!$I$3:$I$1723,0)),"")</f>
        <v/>
      </c>
      <c r="E1020" s="4">
        <f>IFERROR(INDEX('Base de sorteio'!$B$3:$B$1723,MATCH($B1020&amp;"|"&amp;$C1020,'Base de sorteio'!$I$3:$I$1723,0)),"")</f>
        <v/>
      </c>
      <c r="F1020" s="4">
        <f>IFERROR(INDEX('Base de sorteio'!$C$3:$C$1723,MATCH($B1020&amp;"|"&amp;$C1020,'Base de sorteio'!$I$3:$I$1723,0)),"")</f>
        <v/>
      </c>
      <c r="G1020" s="4">
        <f>IFERROR(INDEX('Base de sorteio'!$D$3:$D$1723,MATCH($B1020&amp;"|"&amp;$C1020,'Base de sorteio'!$I$3:$I$1723,0)),"")</f>
        <v/>
      </c>
      <c r="H1020" s="4">
        <f>IFERROR(INDEX('Base de sorteio'!$E$3:$E$1723,MATCH($B1020&amp;"|"&amp;$C1020,'Base de sorteio'!$I$3:$I$1723,0)),"")</f>
        <v/>
      </c>
      <c r="I1020" s="4">
        <f>IF(E1020="","",HYPERLINK(IFERROR(INDEX('Base de sorteio'!$J$3:$J$1723,MATCH($B1020&amp;"|"&amp;$C1020,'Base de sorteio'!$I$3:$I$1723,0)),""),"abrir"))</f>
        <v/>
      </c>
      <c r="J1020" s="4" t="n"/>
      <c r="K1020" s="4" t="n"/>
      <c r="L1020" s="4" t="n"/>
      <c r="M1020" s="4" t="n"/>
      <c r="N1020" s="4">
        <f>IF(AND(K1020="",M1020=""),"",IF(OR(K1020="sim",M1020="sim"),"sim",IF(OR(K1020="inconclusivo",M1020="inconclusivo"),"inconclusivo","não")))</f>
        <v/>
      </c>
      <c r="O1020" s="5">
        <f>IF(N1020="sim",COUNTIFS($B$3:$B1020,$B1020,$N$3:$N1020,"sim"),"")</f>
        <v/>
      </c>
      <c r="P1020" s="5" t="n"/>
      <c r="Q1020" s="4" t="n"/>
      <c r="R1020" s="5" t="n"/>
      <c r="S1020" s="9" t="n"/>
      <c r="T1020" s="4" t="n"/>
    </row>
    <row r="1021">
      <c r="A1021" s="5">
        <f>ROW()-2</f>
        <v/>
      </c>
      <c r="B1021" s="4" t="inlineStr">
        <is>
          <t>Capital regional</t>
        </is>
      </c>
      <c r="C1021" s="5" t="n">
        <v>77</v>
      </c>
      <c r="D1021" s="5">
        <f>IFERROR(INDEX('Base de sorteio'!$A$3:$A$1723,MATCH($B1021&amp;"|"&amp;$C1021,'Base de sorteio'!$I$3:$I$1723,0)),"")</f>
        <v/>
      </c>
      <c r="E1021" s="4">
        <f>IFERROR(INDEX('Base de sorteio'!$B$3:$B$1723,MATCH($B1021&amp;"|"&amp;$C1021,'Base de sorteio'!$I$3:$I$1723,0)),"")</f>
        <v/>
      </c>
      <c r="F1021" s="4">
        <f>IFERROR(INDEX('Base de sorteio'!$C$3:$C$1723,MATCH($B1021&amp;"|"&amp;$C1021,'Base de sorteio'!$I$3:$I$1723,0)),"")</f>
        <v/>
      </c>
      <c r="G1021" s="4">
        <f>IFERROR(INDEX('Base de sorteio'!$D$3:$D$1723,MATCH($B1021&amp;"|"&amp;$C1021,'Base de sorteio'!$I$3:$I$1723,0)),"")</f>
        <v/>
      </c>
      <c r="H1021" s="4">
        <f>IFERROR(INDEX('Base de sorteio'!$E$3:$E$1723,MATCH($B1021&amp;"|"&amp;$C1021,'Base de sorteio'!$I$3:$I$1723,0)),"")</f>
        <v/>
      </c>
      <c r="I1021" s="4">
        <f>IF(E1021="","",HYPERLINK(IFERROR(INDEX('Base de sorteio'!$J$3:$J$1723,MATCH($B1021&amp;"|"&amp;$C1021,'Base de sorteio'!$I$3:$I$1723,0)),""),"abrir"))</f>
        <v/>
      </c>
      <c r="J1021" s="4" t="n"/>
      <c r="K1021" s="4" t="n"/>
      <c r="L1021" s="4" t="n"/>
      <c r="M1021" s="4" t="n"/>
      <c r="N1021" s="4">
        <f>IF(AND(K1021="",M1021=""),"",IF(OR(K1021="sim",M1021="sim"),"sim",IF(OR(K1021="inconclusivo",M1021="inconclusivo"),"inconclusivo","não")))</f>
        <v/>
      </c>
      <c r="O1021" s="5">
        <f>IF(N1021="sim",COUNTIFS($B$3:$B1021,$B1021,$N$3:$N1021,"sim"),"")</f>
        <v/>
      </c>
      <c r="P1021" s="5" t="n"/>
      <c r="Q1021" s="4" t="n"/>
      <c r="R1021" s="5" t="n"/>
      <c r="S1021" s="9" t="n"/>
      <c r="T1021" s="4" t="n"/>
    </row>
    <row r="1022">
      <c r="A1022" s="5">
        <f>ROW()-2</f>
        <v/>
      </c>
      <c r="B1022" s="4" t="inlineStr">
        <is>
          <t>Capital regional</t>
        </is>
      </c>
      <c r="C1022" s="5" t="n">
        <v>78</v>
      </c>
      <c r="D1022" s="5">
        <f>IFERROR(INDEX('Base de sorteio'!$A$3:$A$1723,MATCH($B1022&amp;"|"&amp;$C1022,'Base de sorteio'!$I$3:$I$1723,0)),"")</f>
        <v/>
      </c>
      <c r="E1022" s="4">
        <f>IFERROR(INDEX('Base de sorteio'!$B$3:$B$1723,MATCH($B1022&amp;"|"&amp;$C1022,'Base de sorteio'!$I$3:$I$1723,0)),"")</f>
        <v/>
      </c>
      <c r="F1022" s="4">
        <f>IFERROR(INDEX('Base de sorteio'!$C$3:$C$1723,MATCH($B1022&amp;"|"&amp;$C1022,'Base de sorteio'!$I$3:$I$1723,0)),"")</f>
        <v/>
      </c>
      <c r="G1022" s="4">
        <f>IFERROR(INDEX('Base de sorteio'!$D$3:$D$1723,MATCH($B1022&amp;"|"&amp;$C1022,'Base de sorteio'!$I$3:$I$1723,0)),"")</f>
        <v/>
      </c>
      <c r="H1022" s="4">
        <f>IFERROR(INDEX('Base de sorteio'!$E$3:$E$1723,MATCH($B1022&amp;"|"&amp;$C1022,'Base de sorteio'!$I$3:$I$1723,0)),"")</f>
        <v/>
      </c>
      <c r="I1022" s="4">
        <f>IF(E1022="","",HYPERLINK(IFERROR(INDEX('Base de sorteio'!$J$3:$J$1723,MATCH($B1022&amp;"|"&amp;$C1022,'Base de sorteio'!$I$3:$I$1723,0)),""),"abrir"))</f>
        <v/>
      </c>
      <c r="J1022" s="4" t="n"/>
      <c r="K1022" s="4" t="n"/>
      <c r="L1022" s="4" t="n"/>
      <c r="M1022" s="4" t="n"/>
      <c r="N1022" s="4">
        <f>IF(AND(K1022="",M1022=""),"",IF(OR(K1022="sim",M1022="sim"),"sim",IF(OR(K1022="inconclusivo",M1022="inconclusivo"),"inconclusivo","não")))</f>
        <v/>
      </c>
      <c r="O1022" s="5">
        <f>IF(N1022="sim",COUNTIFS($B$3:$B1022,$B1022,$N$3:$N1022,"sim"),"")</f>
        <v/>
      </c>
      <c r="P1022" s="5" t="n"/>
      <c r="Q1022" s="4" t="n"/>
      <c r="R1022" s="5" t="n"/>
      <c r="S1022" s="9" t="n"/>
      <c r="T1022" s="4" t="n"/>
    </row>
    <row r="1023">
      <c r="A1023" s="5">
        <f>ROW()-2</f>
        <v/>
      </c>
      <c r="B1023" s="4" t="inlineStr">
        <is>
          <t>Capital regional</t>
        </is>
      </c>
      <c r="C1023" s="5" t="n">
        <v>79</v>
      </c>
      <c r="D1023" s="5">
        <f>IFERROR(INDEX('Base de sorteio'!$A$3:$A$1723,MATCH($B1023&amp;"|"&amp;$C1023,'Base de sorteio'!$I$3:$I$1723,0)),"")</f>
        <v/>
      </c>
      <c r="E1023" s="4">
        <f>IFERROR(INDEX('Base de sorteio'!$B$3:$B$1723,MATCH($B1023&amp;"|"&amp;$C1023,'Base de sorteio'!$I$3:$I$1723,0)),"")</f>
        <v/>
      </c>
      <c r="F1023" s="4">
        <f>IFERROR(INDEX('Base de sorteio'!$C$3:$C$1723,MATCH($B1023&amp;"|"&amp;$C1023,'Base de sorteio'!$I$3:$I$1723,0)),"")</f>
        <v/>
      </c>
      <c r="G1023" s="4">
        <f>IFERROR(INDEX('Base de sorteio'!$D$3:$D$1723,MATCH($B1023&amp;"|"&amp;$C1023,'Base de sorteio'!$I$3:$I$1723,0)),"")</f>
        <v/>
      </c>
      <c r="H1023" s="4">
        <f>IFERROR(INDEX('Base de sorteio'!$E$3:$E$1723,MATCH($B1023&amp;"|"&amp;$C1023,'Base de sorteio'!$I$3:$I$1723,0)),"")</f>
        <v/>
      </c>
      <c r="I1023" s="4">
        <f>IF(E1023="","",HYPERLINK(IFERROR(INDEX('Base de sorteio'!$J$3:$J$1723,MATCH($B1023&amp;"|"&amp;$C1023,'Base de sorteio'!$I$3:$I$1723,0)),""),"abrir"))</f>
        <v/>
      </c>
      <c r="J1023" s="4" t="n"/>
      <c r="K1023" s="4" t="n"/>
      <c r="L1023" s="4" t="n"/>
      <c r="M1023" s="4" t="n"/>
      <c r="N1023" s="4">
        <f>IF(AND(K1023="",M1023=""),"",IF(OR(K1023="sim",M1023="sim"),"sim",IF(OR(K1023="inconclusivo",M1023="inconclusivo"),"inconclusivo","não")))</f>
        <v/>
      </c>
      <c r="O1023" s="5">
        <f>IF(N1023="sim",COUNTIFS($B$3:$B1023,$B1023,$N$3:$N1023,"sim"),"")</f>
        <v/>
      </c>
      <c r="P1023" s="5" t="n"/>
      <c r="Q1023" s="4" t="n"/>
      <c r="R1023" s="5" t="n"/>
      <c r="S1023" s="9" t="n"/>
      <c r="T1023" s="4" t="n"/>
    </row>
    <row r="1024">
      <c r="A1024" s="5">
        <f>ROW()-2</f>
        <v/>
      </c>
      <c r="B1024" s="4" t="inlineStr">
        <is>
          <t>Capital regional</t>
        </is>
      </c>
      <c r="C1024" s="5" t="n">
        <v>80</v>
      </c>
      <c r="D1024" s="5">
        <f>IFERROR(INDEX('Base de sorteio'!$A$3:$A$1723,MATCH($B1024&amp;"|"&amp;$C1024,'Base de sorteio'!$I$3:$I$1723,0)),"")</f>
        <v/>
      </c>
      <c r="E1024" s="4">
        <f>IFERROR(INDEX('Base de sorteio'!$B$3:$B$1723,MATCH($B1024&amp;"|"&amp;$C1024,'Base de sorteio'!$I$3:$I$1723,0)),"")</f>
        <v/>
      </c>
      <c r="F1024" s="4">
        <f>IFERROR(INDEX('Base de sorteio'!$C$3:$C$1723,MATCH($B1024&amp;"|"&amp;$C1024,'Base de sorteio'!$I$3:$I$1723,0)),"")</f>
        <v/>
      </c>
      <c r="G1024" s="4">
        <f>IFERROR(INDEX('Base de sorteio'!$D$3:$D$1723,MATCH($B1024&amp;"|"&amp;$C1024,'Base de sorteio'!$I$3:$I$1723,0)),"")</f>
        <v/>
      </c>
      <c r="H1024" s="4">
        <f>IFERROR(INDEX('Base de sorteio'!$E$3:$E$1723,MATCH($B1024&amp;"|"&amp;$C1024,'Base de sorteio'!$I$3:$I$1723,0)),"")</f>
        <v/>
      </c>
      <c r="I1024" s="4">
        <f>IF(E1024="","",HYPERLINK(IFERROR(INDEX('Base de sorteio'!$J$3:$J$1723,MATCH($B1024&amp;"|"&amp;$C1024,'Base de sorteio'!$I$3:$I$1723,0)),""),"abrir"))</f>
        <v/>
      </c>
      <c r="J1024" s="4" t="n"/>
      <c r="K1024" s="4" t="n"/>
      <c r="L1024" s="4" t="n"/>
      <c r="M1024" s="4" t="n"/>
      <c r="N1024" s="4">
        <f>IF(AND(K1024="",M1024=""),"",IF(OR(K1024="sim",M1024="sim"),"sim",IF(OR(K1024="inconclusivo",M1024="inconclusivo"),"inconclusivo","não")))</f>
        <v/>
      </c>
      <c r="O1024" s="5">
        <f>IF(N1024="sim",COUNTIFS($B$3:$B1024,$B1024,$N$3:$N1024,"sim"),"")</f>
        <v/>
      </c>
      <c r="P1024" s="5" t="n"/>
      <c r="Q1024" s="4" t="n"/>
      <c r="R1024" s="5" t="n"/>
      <c r="S1024" s="9" t="n"/>
      <c r="T1024" s="4" t="n"/>
    </row>
    <row r="1025">
      <c r="A1025" s="5">
        <f>ROW()-2</f>
        <v/>
      </c>
      <c r="B1025" s="4" t="inlineStr">
        <is>
          <t>Capital regional</t>
        </is>
      </c>
      <c r="C1025" s="5" t="n">
        <v>81</v>
      </c>
      <c r="D1025" s="5">
        <f>IFERROR(INDEX('Base de sorteio'!$A$3:$A$1723,MATCH($B1025&amp;"|"&amp;$C1025,'Base de sorteio'!$I$3:$I$1723,0)),"")</f>
        <v/>
      </c>
      <c r="E1025" s="4">
        <f>IFERROR(INDEX('Base de sorteio'!$B$3:$B$1723,MATCH($B1025&amp;"|"&amp;$C1025,'Base de sorteio'!$I$3:$I$1723,0)),"")</f>
        <v/>
      </c>
      <c r="F1025" s="4">
        <f>IFERROR(INDEX('Base de sorteio'!$C$3:$C$1723,MATCH($B1025&amp;"|"&amp;$C1025,'Base de sorteio'!$I$3:$I$1723,0)),"")</f>
        <v/>
      </c>
      <c r="G1025" s="4">
        <f>IFERROR(INDEX('Base de sorteio'!$D$3:$D$1723,MATCH($B1025&amp;"|"&amp;$C1025,'Base de sorteio'!$I$3:$I$1723,0)),"")</f>
        <v/>
      </c>
      <c r="H1025" s="4">
        <f>IFERROR(INDEX('Base de sorteio'!$E$3:$E$1723,MATCH($B1025&amp;"|"&amp;$C1025,'Base de sorteio'!$I$3:$I$1723,0)),"")</f>
        <v/>
      </c>
      <c r="I1025" s="4">
        <f>IF(E1025="","",HYPERLINK(IFERROR(INDEX('Base de sorteio'!$J$3:$J$1723,MATCH($B1025&amp;"|"&amp;$C1025,'Base de sorteio'!$I$3:$I$1723,0)),""),"abrir"))</f>
        <v/>
      </c>
      <c r="J1025" s="4" t="n"/>
      <c r="K1025" s="4" t="n"/>
      <c r="L1025" s="4" t="n"/>
      <c r="M1025" s="4" t="n"/>
      <c r="N1025" s="4">
        <f>IF(AND(K1025="",M1025=""),"",IF(OR(K1025="sim",M1025="sim"),"sim",IF(OR(K1025="inconclusivo",M1025="inconclusivo"),"inconclusivo","não")))</f>
        <v/>
      </c>
      <c r="O1025" s="5">
        <f>IF(N1025="sim",COUNTIFS($B$3:$B1025,$B1025,$N$3:$N1025,"sim"),"")</f>
        <v/>
      </c>
      <c r="P1025" s="5" t="n"/>
      <c r="Q1025" s="4" t="n"/>
      <c r="R1025" s="5" t="n"/>
      <c r="S1025" s="9" t="n"/>
      <c r="T1025" s="4" t="n"/>
    </row>
    <row r="1026">
      <c r="A1026" s="5">
        <f>ROW()-2</f>
        <v/>
      </c>
      <c r="B1026" s="4" t="inlineStr">
        <is>
          <t>Capital regional</t>
        </is>
      </c>
      <c r="C1026" s="5" t="n">
        <v>82</v>
      </c>
      <c r="D1026" s="5">
        <f>IFERROR(INDEX('Base de sorteio'!$A$3:$A$1723,MATCH($B1026&amp;"|"&amp;$C1026,'Base de sorteio'!$I$3:$I$1723,0)),"")</f>
        <v/>
      </c>
      <c r="E1026" s="4">
        <f>IFERROR(INDEX('Base de sorteio'!$B$3:$B$1723,MATCH($B1026&amp;"|"&amp;$C1026,'Base de sorteio'!$I$3:$I$1723,0)),"")</f>
        <v/>
      </c>
      <c r="F1026" s="4">
        <f>IFERROR(INDEX('Base de sorteio'!$C$3:$C$1723,MATCH($B1026&amp;"|"&amp;$C1026,'Base de sorteio'!$I$3:$I$1723,0)),"")</f>
        <v/>
      </c>
      <c r="G1026" s="4">
        <f>IFERROR(INDEX('Base de sorteio'!$D$3:$D$1723,MATCH($B1026&amp;"|"&amp;$C1026,'Base de sorteio'!$I$3:$I$1723,0)),"")</f>
        <v/>
      </c>
      <c r="H1026" s="4">
        <f>IFERROR(INDEX('Base de sorteio'!$E$3:$E$1723,MATCH($B1026&amp;"|"&amp;$C1026,'Base de sorteio'!$I$3:$I$1723,0)),"")</f>
        <v/>
      </c>
      <c r="I1026" s="4">
        <f>IF(E1026="","",HYPERLINK(IFERROR(INDEX('Base de sorteio'!$J$3:$J$1723,MATCH($B1026&amp;"|"&amp;$C1026,'Base de sorteio'!$I$3:$I$1723,0)),""),"abrir"))</f>
        <v/>
      </c>
      <c r="J1026" s="4" t="n"/>
      <c r="K1026" s="4" t="n"/>
      <c r="L1026" s="4" t="n"/>
      <c r="M1026" s="4" t="n"/>
      <c r="N1026" s="4">
        <f>IF(AND(K1026="",M1026=""),"",IF(OR(K1026="sim",M1026="sim"),"sim",IF(OR(K1026="inconclusivo",M1026="inconclusivo"),"inconclusivo","não")))</f>
        <v/>
      </c>
      <c r="O1026" s="5">
        <f>IF(N1026="sim",COUNTIFS($B$3:$B1026,$B1026,$N$3:$N1026,"sim"),"")</f>
        <v/>
      </c>
      <c r="P1026" s="5" t="n"/>
      <c r="Q1026" s="4" t="n"/>
      <c r="R1026" s="5" t="n"/>
      <c r="S1026" s="9" t="n"/>
      <c r="T1026" s="4" t="n"/>
    </row>
    <row r="1027">
      <c r="A1027" s="5">
        <f>ROW()-2</f>
        <v/>
      </c>
      <c r="B1027" s="4" t="inlineStr">
        <is>
          <t>Capital regional</t>
        </is>
      </c>
      <c r="C1027" s="5" t="n">
        <v>83</v>
      </c>
      <c r="D1027" s="5">
        <f>IFERROR(INDEX('Base de sorteio'!$A$3:$A$1723,MATCH($B1027&amp;"|"&amp;$C1027,'Base de sorteio'!$I$3:$I$1723,0)),"")</f>
        <v/>
      </c>
      <c r="E1027" s="4">
        <f>IFERROR(INDEX('Base de sorteio'!$B$3:$B$1723,MATCH($B1027&amp;"|"&amp;$C1027,'Base de sorteio'!$I$3:$I$1723,0)),"")</f>
        <v/>
      </c>
      <c r="F1027" s="4">
        <f>IFERROR(INDEX('Base de sorteio'!$C$3:$C$1723,MATCH($B1027&amp;"|"&amp;$C1027,'Base de sorteio'!$I$3:$I$1723,0)),"")</f>
        <v/>
      </c>
      <c r="G1027" s="4">
        <f>IFERROR(INDEX('Base de sorteio'!$D$3:$D$1723,MATCH($B1027&amp;"|"&amp;$C1027,'Base de sorteio'!$I$3:$I$1723,0)),"")</f>
        <v/>
      </c>
      <c r="H1027" s="4">
        <f>IFERROR(INDEX('Base de sorteio'!$E$3:$E$1723,MATCH($B1027&amp;"|"&amp;$C1027,'Base de sorteio'!$I$3:$I$1723,0)),"")</f>
        <v/>
      </c>
      <c r="I1027" s="4">
        <f>IF(E1027="","",HYPERLINK(IFERROR(INDEX('Base de sorteio'!$J$3:$J$1723,MATCH($B1027&amp;"|"&amp;$C1027,'Base de sorteio'!$I$3:$I$1723,0)),""),"abrir"))</f>
        <v/>
      </c>
      <c r="J1027" s="4" t="n"/>
      <c r="K1027" s="4" t="n"/>
      <c r="L1027" s="4" t="n"/>
      <c r="M1027" s="4" t="n"/>
      <c r="N1027" s="4">
        <f>IF(AND(K1027="",M1027=""),"",IF(OR(K1027="sim",M1027="sim"),"sim",IF(OR(K1027="inconclusivo",M1027="inconclusivo"),"inconclusivo","não")))</f>
        <v/>
      </c>
      <c r="O1027" s="5">
        <f>IF(N1027="sim",COUNTIFS($B$3:$B1027,$B1027,$N$3:$N1027,"sim"),"")</f>
        <v/>
      </c>
      <c r="P1027" s="5" t="n"/>
      <c r="Q1027" s="4" t="n"/>
      <c r="R1027" s="5" t="n"/>
      <c r="S1027" s="9" t="n"/>
      <c r="T1027" s="4" t="n"/>
    </row>
    <row r="1028">
      <c r="A1028" s="5">
        <f>ROW()-2</f>
        <v/>
      </c>
      <c r="B1028" s="4" t="inlineStr">
        <is>
          <t>Capital regional</t>
        </is>
      </c>
      <c r="C1028" s="5" t="n">
        <v>84</v>
      </c>
      <c r="D1028" s="5">
        <f>IFERROR(INDEX('Base de sorteio'!$A$3:$A$1723,MATCH($B1028&amp;"|"&amp;$C1028,'Base de sorteio'!$I$3:$I$1723,0)),"")</f>
        <v/>
      </c>
      <c r="E1028" s="4">
        <f>IFERROR(INDEX('Base de sorteio'!$B$3:$B$1723,MATCH($B1028&amp;"|"&amp;$C1028,'Base de sorteio'!$I$3:$I$1723,0)),"")</f>
        <v/>
      </c>
      <c r="F1028" s="4">
        <f>IFERROR(INDEX('Base de sorteio'!$C$3:$C$1723,MATCH($B1028&amp;"|"&amp;$C1028,'Base de sorteio'!$I$3:$I$1723,0)),"")</f>
        <v/>
      </c>
      <c r="G1028" s="4">
        <f>IFERROR(INDEX('Base de sorteio'!$D$3:$D$1723,MATCH($B1028&amp;"|"&amp;$C1028,'Base de sorteio'!$I$3:$I$1723,0)),"")</f>
        <v/>
      </c>
      <c r="H1028" s="4">
        <f>IFERROR(INDEX('Base de sorteio'!$E$3:$E$1723,MATCH($B1028&amp;"|"&amp;$C1028,'Base de sorteio'!$I$3:$I$1723,0)),"")</f>
        <v/>
      </c>
      <c r="I1028" s="4">
        <f>IF(E1028="","",HYPERLINK(IFERROR(INDEX('Base de sorteio'!$J$3:$J$1723,MATCH($B1028&amp;"|"&amp;$C1028,'Base de sorteio'!$I$3:$I$1723,0)),""),"abrir"))</f>
        <v/>
      </c>
      <c r="J1028" s="4" t="n"/>
      <c r="K1028" s="4" t="n"/>
      <c r="L1028" s="4" t="n"/>
      <c r="M1028" s="4" t="n"/>
      <c r="N1028" s="4">
        <f>IF(AND(K1028="",M1028=""),"",IF(OR(K1028="sim",M1028="sim"),"sim",IF(OR(K1028="inconclusivo",M1028="inconclusivo"),"inconclusivo","não")))</f>
        <v/>
      </c>
      <c r="O1028" s="5">
        <f>IF(N1028="sim",COUNTIFS($B$3:$B1028,$B1028,$N$3:$N1028,"sim"),"")</f>
        <v/>
      </c>
      <c r="P1028" s="5" t="n"/>
      <c r="Q1028" s="4" t="n"/>
      <c r="R1028" s="5" t="n"/>
      <c r="S1028" s="9" t="n"/>
      <c r="T1028" s="4" t="n"/>
    </row>
    <row r="1029">
      <c r="A1029" s="5">
        <f>ROW()-2</f>
        <v/>
      </c>
      <c r="B1029" s="4" t="inlineStr">
        <is>
          <t>Capital regional</t>
        </is>
      </c>
      <c r="C1029" s="5" t="n">
        <v>85</v>
      </c>
      <c r="D1029" s="5">
        <f>IFERROR(INDEX('Base de sorteio'!$A$3:$A$1723,MATCH($B1029&amp;"|"&amp;$C1029,'Base de sorteio'!$I$3:$I$1723,0)),"")</f>
        <v/>
      </c>
      <c r="E1029" s="4">
        <f>IFERROR(INDEX('Base de sorteio'!$B$3:$B$1723,MATCH($B1029&amp;"|"&amp;$C1029,'Base de sorteio'!$I$3:$I$1723,0)),"")</f>
        <v/>
      </c>
      <c r="F1029" s="4">
        <f>IFERROR(INDEX('Base de sorteio'!$C$3:$C$1723,MATCH($B1029&amp;"|"&amp;$C1029,'Base de sorteio'!$I$3:$I$1723,0)),"")</f>
        <v/>
      </c>
      <c r="G1029" s="4">
        <f>IFERROR(INDEX('Base de sorteio'!$D$3:$D$1723,MATCH($B1029&amp;"|"&amp;$C1029,'Base de sorteio'!$I$3:$I$1723,0)),"")</f>
        <v/>
      </c>
      <c r="H1029" s="4">
        <f>IFERROR(INDEX('Base de sorteio'!$E$3:$E$1723,MATCH($B1029&amp;"|"&amp;$C1029,'Base de sorteio'!$I$3:$I$1723,0)),"")</f>
        <v/>
      </c>
      <c r="I1029" s="4">
        <f>IF(E1029="","",HYPERLINK(IFERROR(INDEX('Base de sorteio'!$J$3:$J$1723,MATCH($B1029&amp;"|"&amp;$C1029,'Base de sorteio'!$I$3:$I$1723,0)),""),"abrir"))</f>
        <v/>
      </c>
      <c r="J1029" s="4" t="n"/>
      <c r="K1029" s="4" t="n"/>
      <c r="L1029" s="4" t="n"/>
      <c r="M1029" s="4" t="n"/>
      <c r="N1029" s="4">
        <f>IF(AND(K1029="",M1029=""),"",IF(OR(K1029="sim",M1029="sim"),"sim",IF(OR(K1029="inconclusivo",M1029="inconclusivo"),"inconclusivo","não")))</f>
        <v/>
      </c>
      <c r="O1029" s="5">
        <f>IF(N1029="sim",COUNTIFS($B$3:$B1029,$B1029,$N$3:$N1029,"sim"),"")</f>
        <v/>
      </c>
      <c r="P1029" s="5" t="n"/>
      <c r="Q1029" s="4" t="n"/>
      <c r="R1029" s="5" t="n"/>
      <c r="S1029" s="9" t="n"/>
      <c r="T1029" s="4" t="n"/>
    </row>
    <row r="1030">
      <c r="A1030" s="5">
        <f>ROW()-2</f>
        <v/>
      </c>
      <c r="B1030" s="4" t="inlineStr">
        <is>
          <t>Capital regional</t>
        </is>
      </c>
      <c r="C1030" s="5" t="n">
        <v>86</v>
      </c>
      <c r="D1030" s="5">
        <f>IFERROR(INDEX('Base de sorteio'!$A$3:$A$1723,MATCH($B1030&amp;"|"&amp;$C1030,'Base de sorteio'!$I$3:$I$1723,0)),"")</f>
        <v/>
      </c>
      <c r="E1030" s="4">
        <f>IFERROR(INDEX('Base de sorteio'!$B$3:$B$1723,MATCH($B1030&amp;"|"&amp;$C1030,'Base de sorteio'!$I$3:$I$1723,0)),"")</f>
        <v/>
      </c>
      <c r="F1030" s="4">
        <f>IFERROR(INDEX('Base de sorteio'!$C$3:$C$1723,MATCH($B1030&amp;"|"&amp;$C1030,'Base de sorteio'!$I$3:$I$1723,0)),"")</f>
        <v/>
      </c>
      <c r="G1030" s="4">
        <f>IFERROR(INDEX('Base de sorteio'!$D$3:$D$1723,MATCH($B1030&amp;"|"&amp;$C1030,'Base de sorteio'!$I$3:$I$1723,0)),"")</f>
        <v/>
      </c>
      <c r="H1030" s="4">
        <f>IFERROR(INDEX('Base de sorteio'!$E$3:$E$1723,MATCH($B1030&amp;"|"&amp;$C1030,'Base de sorteio'!$I$3:$I$1723,0)),"")</f>
        <v/>
      </c>
      <c r="I1030" s="4">
        <f>IF(E1030="","",HYPERLINK(IFERROR(INDEX('Base de sorteio'!$J$3:$J$1723,MATCH($B1030&amp;"|"&amp;$C1030,'Base de sorteio'!$I$3:$I$1723,0)),""),"abrir"))</f>
        <v/>
      </c>
      <c r="J1030" s="4" t="n"/>
      <c r="K1030" s="4" t="n"/>
      <c r="L1030" s="4" t="n"/>
      <c r="M1030" s="4" t="n"/>
      <c r="N1030" s="4">
        <f>IF(AND(K1030="",M1030=""),"",IF(OR(K1030="sim",M1030="sim"),"sim",IF(OR(K1030="inconclusivo",M1030="inconclusivo"),"inconclusivo","não")))</f>
        <v/>
      </c>
      <c r="O1030" s="5">
        <f>IF(N1030="sim",COUNTIFS($B$3:$B1030,$B1030,$N$3:$N1030,"sim"),"")</f>
        <v/>
      </c>
      <c r="P1030" s="5" t="n"/>
      <c r="Q1030" s="4" t="n"/>
      <c r="R1030" s="5" t="n"/>
      <c r="S1030" s="9" t="n"/>
      <c r="T1030" s="4" t="n"/>
    </row>
    <row r="1031">
      <c r="A1031" s="5">
        <f>ROW()-2</f>
        <v/>
      </c>
      <c r="B1031" s="4" t="inlineStr">
        <is>
          <t>Capital regional</t>
        </is>
      </c>
      <c r="C1031" s="5" t="n">
        <v>87</v>
      </c>
      <c r="D1031" s="5">
        <f>IFERROR(INDEX('Base de sorteio'!$A$3:$A$1723,MATCH($B1031&amp;"|"&amp;$C1031,'Base de sorteio'!$I$3:$I$1723,0)),"")</f>
        <v/>
      </c>
      <c r="E1031" s="4">
        <f>IFERROR(INDEX('Base de sorteio'!$B$3:$B$1723,MATCH($B1031&amp;"|"&amp;$C1031,'Base de sorteio'!$I$3:$I$1723,0)),"")</f>
        <v/>
      </c>
      <c r="F1031" s="4">
        <f>IFERROR(INDEX('Base de sorteio'!$C$3:$C$1723,MATCH($B1031&amp;"|"&amp;$C1031,'Base de sorteio'!$I$3:$I$1723,0)),"")</f>
        <v/>
      </c>
      <c r="G1031" s="4">
        <f>IFERROR(INDEX('Base de sorteio'!$D$3:$D$1723,MATCH($B1031&amp;"|"&amp;$C1031,'Base de sorteio'!$I$3:$I$1723,0)),"")</f>
        <v/>
      </c>
      <c r="H1031" s="4">
        <f>IFERROR(INDEX('Base de sorteio'!$E$3:$E$1723,MATCH($B1031&amp;"|"&amp;$C1031,'Base de sorteio'!$I$3:$I$1723,0)),"")</f>
        <v/>
      </c>
      <c r="I1031" s="4">
        <f>IF(E1031="","",HYPERLINK(IFERROR(INDEX('Base de sorteio'!$J$3:$J$1723,MATCH($B1031&amp;"|"&amp;$C1031,'Base de sorteio'!$I$3:$I$1723,0)),""),"abrir"))</f>
        <v/>
      </c>
      <c r="J1031" s="4" t="n"/>
      <c r="K1031" s="4" t="n"/>
      <c r="L1031" s="4" t="n"/>
      <c r="M1031" s="4" t="n"/>
      <c r="N1031" s="4">
        <f>IF(AND(K1031="",M1031=""),"",IF(OR(K1031="sim",M1031="sim"),"sim",IF(OR(K1031="inconclusivo",M1031="inconclusivo"),"inconclusivo","não")))</f>
        <v/>
      </c>
      <c r="O1031" s="5">
        <f>IF(N1031="sim",COUNTIFS($B$3:$B1031,$B1031,$N$3:$N1031,"sim"),"")</f>
        <v/>
      </c>
      <c r="P1031" s="5" t="n"/>
      <c r="Q1031" s="4" t="n"/>
      <c r="R1031" s="5" t="n"/>
      <c r="S1031" s="9" t="n"/>
      <c r="T1031" s="4" t="n"/>
    </row>
    <row r="1032">
      <c r="A1032" s="5">
        <f>ROW()-2</f>
        <v/>
      </c>
      <c r="B1032" s="4" t="inlineStr">
        <is>
          <t>Capital regional</t>
        </is>
      </c>
      <c r="C1032" s="5" t="n">
        <v>88</v>
      </c>
      <c r="D1032" s="5">
        <f>IFERROR(INDEX('Base de sorteio'!$A$3:$A$1723,MATCH($B1032&amp;"|"&amp;$C1032,'Base de sorteio'!$I$3:$I$1723,0)),"")</f>
        <v/>
      </c>
      <c r="E1032" s="4">
        <f>IFERROR(INDEX('Base de sorteio'!$B$3:$B$1723,MATCH($B1032&amp;"|"&amp;$C1032,'Base de sorteio'!$I$3:$I$1723,0)),"")</f>
        <v/>
      </c>
      <c r="F1032" s="4">
        <f>IFERROR(INDEX('Base de sorteio'!$C$3:$C$1723,MATCH($B1032&amp;"|"&amp;$C1032,'Base de sorteio'!$I$3:$I$1723,0)),"")</f>
        <v/>
      </c>
      <c r="G1032" s="4">
        <f>IFERROR(INDEX('Base de sorteio'!$D$3:$D$1723,MATCH($B1032&amp;"|"&amp;$C1032,'Base de sorteio'!$I$3:$I$1723,0)),"")</f>
        <v/>
      </c>
      <c r="H1032" s="4">
        <f>IFERROR(INDEX('Base de sorteio'!$E$3:$E$1723,MATCH($B1032&amp;"|"&amp;$C1032,'Base de sorteio'!$I$3:$I$1723,0)),"")</f>
        <v/>
      </c>
      <c r="I1032" s="4">
        <f>IF(E1032="","",HYPERLINK(IFERROR(INDEX('Base de sorteio'!$J$3:$J$1723,MATCH($B1032&amp;"|"&amp;$C1032,'Base de sorteio'!$I$3:$I$1723,0)),""),"abrir"))</f>
        <v/>
      </c>
      <c r="J1032" s="4" t="n"/>
      <c r="K1032" s="4" t="n"/>
      <c r="L1032" s="4" t="n"/>
      <c r="M1032" s="4" t="n"/>
      <c r="N1032" s="4">
        <f>IF(AND(K1032="",M1032=""),"",IF(OR(K1032="sim",M1032="sim"),"sim",IF(OR(K1032="inconclusivo",M1032="inconclusivo"),"inconclusivo","não")))</f>
        <v/>
      </c>
      <c r="O1032" s="5">
        <f>IF(N1032="sim",COUNTIFS($B$3:$B1032,$B1032,$N$3:$N1032,"sim"),"")</f>
        <v/>
      </c>
      <c r="P1032" s="5" t="n"/>
      <c r="Q1032" s="4" t="n"/>
      <c r="R1032" s="5" t="n"/>
      <c r="S1032" s="9" t="n"/>
      <c r="T1032" s="4" t="n"/>
    </row>
    <row r="1033">
      <c r="A1033" s="5">
        <f>ROW()-2</f>
        <v/>
      </c>
      <c r="B1033" s="4" t="inlineStr">
        <is>
          <t>Capital regional</t>
        </is>
      </c>
      <c r="C1033" s="5" t="n">
        <v>89</v>
      </c>
      <c r="D1033" s="5">
        <f>IFERROR(INDEX('Base de sorteio'!$A$3:$A$1723,MATCH($B1033&amp;"|"&amp;$C1033,'Base de sorteio'!$I$3:$I$1723,0)),"")</f>
        <v/>
      </c>
      <c r="E1033" s="4">
        <f>IFERROR(INDEX('Base de sorteio'!$B$3:$B$1723,MATCH($B1033&amp;"|"&amp;$C1033,'Base de sorteio'!$I$3:$I$1723,0)),"")</f>
        <v/>
      </c>
      <c r="F1033" s="4">
        <f>IFERROR(INDEX('Base de sorteio'!$C$3:$C$1723,MATCH($B1033&amp;"|"&amp;$C1033,'Base de sorteio'!$I$3:$I$1723,0)),"")</f>
        <v/>
      </c>
      <c r="G1033" s="4">
        <f>IFERROR(INDEX('Base de sorteio'!$D$3:$D$1723,MATCH($B1033&amp;"|"&amp;$C1033,'Base de sorteio'!$I$3:$I$1723,0)),"")</f>
        <v/>
      </c>
      <c r="H1033" s="4">
        <f>IFERROR(INDEX('Base de sorteio'!$E$3:$E$1723,MATCH($B1033&amp;"|"&amp;$C1033,'Base de sorteio'!$I$3:$I$1723,0)),"")</f>
        <v/>
      </c>
      <c r="I1033" s="4">
        <f>IF(E1033="","",HYPERLINK(IFERROR(INDEX('Base de sorteio'!$J$3:$J$1723,MATCH($B1033&amp;"|"&amp;$C1033,'Base de sorteio'!$I$3:$I$1723,0)),""),"abrir"))</f>
        <v/>
      </c>
      <c r="J1033" s="4" t="n"/>
      <c r="K1033" s="4" t="n"/>
      <c r="L1033" s="4" t="n"/>
      <c r="M1033" s="4" t="n"/>
      <c r="N1033" s="4">
        <f>IF(AND(K1033="",M1033=""),"",IF(OR(K1033="sim",M1033="sim"),"sim",IF(OR(K1033="inconclusivo",M1033="inconclusivo"),"inconclusivo","não")))</f>
        <v/>
      </c>
      <c r="O1033" s="5">
        <f>IF(N1033="sim",COUNTIFS($B$3:$B1033,$B1033,$N$3:$N1033,"sim"),"")</f>
        <v/>
      </c>
      <c r="P1033" s="5" t="n"/>
      <c r="Q1033" s="4" t="n"/>
      <c r="R1033" s="5" t="n"/>
      <c r="S1033" s="9" t="n"/>
      <c r="T1033" s="4" t="n"/>
    </row>
    <row r="1034">
      <c r="A1034" s="5">
        <f>ROW()-2</f>
        <v/>
      </c>
      <c r="B1034" s="4" t="inlineStr">
        <is>
          <t>Capital regional</t>
        </is>
      </c>
      <c r="C1034" s="5" t="n">
        <v>90</v>
      </c>
      <c r="D1034" s="5">
        <f>IFERROR(INDEX('Base de sorteio'!$A$3:$A$1723,MATCH($B1034&amp;"|"&amp;$C1034,'Base de sorteio'!$I$3:$I$1723,0)),"")</f>
        <v/>
      </c>
      <c r="E1034" s="4">
        <f>IFERROR(INDEX('Base de sorteio'!$B$3:$B$1723,MATCH($B1034&amp;"|"&amp;$C1034,'Base de sorteio'!$I$3:$I$1723,0)),"")</f>
        <v/>
      </c>
      <c r="F1034" s="4">
        <f>IFERROR(INDEX('Base de sorteio'!$C$3:$C$1723,MATCH($B1034&amp;"|"&amp;$C1034,'Base de sorteio'!$I$3:$I$1723,0)),"")</f>
        <v/>
      </c>
      <c r="G1034" s="4">
        <f>IFERROR(INDEX('Base de sorteio'!$D$3:$D$1723,MATCH($B1034&amp;"|"&amp;$C1034,'Base de sorteio'!$I$3:$I$1723,0)),"")</f>
        <v/>
      </c>
      <c r="H1034" s="4">
        <f>IFERROR(INDEX('Base de sorteio'!$E$3:$E$1723,MATCH($B1034&amp;"|"&amp;$C1034,'Base de sorteio'!$I$3:$I$1723,0)),"")</f>
        <v/>
      </c>
      <c r="I1034" s="4">
        <f>IF(E1034="","",HYPERLINK(IFERROR(INDEX('Base de sorteio'!$J$3:$J$1723,MATCH($B1034&amp;"|"&amp;$C1034,'Base de sorteio'!$I$3:$I$1723,0)),""),"abrir"))</f>
        <v/>
      </c>
      <c r="J1034" s="4" t="n"/>
      <c r="K1034" s="4" t="n"/>
      <c r="L1034" s="4" t="n"/>
      <c r="M1034" s="4" t="n"/>
      <c r="N1034" s="4">
        <f>IF(AND(K1034="",M1034=""),"",IF(OR(K1034="sim",M1034="sim"),"sim",IF(OR(K1034="inconclusivo",M1034="inconclusivo"),"inconclusivo","não")))</f>
        <v/>
      </c>
      <c r="O1034" s="5">
        <f>IF(N1034="sim",COUNTIFS($B$3:$B1034,$B1034,$N$3:$N1034,"sim"),"")</f>
        <v/>
      </c>
      <c r="P1034" s="5" t="n"/>
      <c r="Q1034" s="4" t="n"/>
      <c r="R1034" s="5" t="n"/>
      <c r="S1034" s="9" t="n"/>
      <c r="T1034" s="4" t="n"/>
    </row>
    <row r="1035">
      <c r="A1035" s="5">
        <f>ROW()-2</f>
        <v/>
      </c>
      <c r="B1035" s="4" t="inlineStr">
        <is>
          <t>Capital regional</t>
        </is>
      </c>
      <c r="C1035" s="5" t="n">
        <v>91</v>
      </c>
      <c r="D1035" s="5">
        <f>IFERROR(INDEX('Base de sorteio'!$A$3:$A$1723,MATCH($B1035&amp;"|"&amp;$C1035,'Base de sorteio'!$I$3:$I$1723,0)),"")</f>
        <v/>
      </c>
      <c r="E1035" s="4">
        <f>IFERROR(INDEX('Base de sorteio'!$B$3:$B$1723,MATCH($B1035&amp;"|"&amp;$C1035,'Base de sorteio'!$I$3:$I$1723,0)),"")</f>
        <v/>
      </c>
      <c r="F1035" s="4">
        <f>IFERROR(INDEX('Base de sorteio'!$C$3:$C$1723,MATCH($B1035&amp;"|"&amp;$C1035,'Base de sorteio'!$I$3:$I$1723,0)),"")</f>
        <v/>
      </c>
      <c r="G1035" s="4">
        <f>IFERROR(INDEX('Base de sorteio'!$D$3:$D$1723,MATCH($B1035&amp;"|"&amp;$C1035,'Base de sorteio'!$I$3:$I$1723,0)),"")</f>
        <v/>
      </c>
      <c r="H1035" s="4">
        <f>IFERROR(INDEX('Base de sorteio'!$E$3:$E$1723,MATCH($B1035&amp;"|"&amp;$C1035,'Base de sorteio'!$I$3:$I$1723,0)),"")</f>
        <v/>
      </c>
      <c r="I1035" s="4">
        <f>IF(E1035="","",HYPERLINK(IFERROR(INDEX('Base de sorteio'!$J$3:$J$1723,MATCH($B1035&amp;"|"&amp;$C1035,'Base de sorteio'!$I$3:$I$1723,0)),""),"abrir"))</f>
        <v/>
      </c>
      <c r="J1035" s="4" t="n"/>
      <c r="K1035" s="4" t="n"/>
      <c r="L1035" s="4" t="n"/>
      <c r="M1035" s="4" t="n"/>
      <c r="N1035" s="4">
        <f>IF(AND(K1035="",M1035=""),"",IF(OR(K1035="sim",M1035="sim"),"sim",IF(OR(K1035="inconclusivo",M1035="inconclusivo"),"inconclusivo","não")))</f>
        <v/>
      </c>
      <c r="O1035" s="5">
        <f>IF(N1035="sim",COUNTIFS($B$3:$B1035,$B1035,$N$3:$N1035,"sim"),"")</f>
        <v/>
      </c>
      <c r="P1035" s="5" t="n"/>
      <c r="Q1035" s="4" t="n"/>
      <c r="R1035" s="5" t="n"/>
      <c r="S1035" s="9" t="n"/>
      <c r="T1035" s="4" t="n"/>
    </row>
    <row r="1036">
      <c r="A1036" s="5">
        <f>ROW()-2</f>
        <v/>
      </c>
      <c r="B1036" s="4" t="inlineStr">
        <is>
          <t>Capital regional</t>
        </is>
      </c>
      <c r="C1036" s="5" t="n">
        <v>92</v>
      </c>
      <c r="D1036" s="5">
        <f>IFERROR(INDEX('Base de sorteio'!$A$3:$A$1723,MATCH($B1036&amp;"|"&amp;$C1036,'Base de sorteio'!$I$3:$I$1723,0)),"")</f>
        <v/>
      </c>
      <c r="E1036" s="4">
        <f>IFERROR(INDEX('Base de sorteio'!$B$3:$B$1723,MATCH($B1036&amp;"|"&amp;$C1036,'Base de sorteio'!$I$3:$I$1723,0)),"")</f>
        <v/>
      </c>
      <c r="F1036" s="4">
        <f>IFERROR(INDEX('Base de sorteio'!$C$3:$C$1723,MATCH($B1036&amp;"|"&amp;$C1036,'Base de sorteio'!$I$3:$I$1723,0)),"")</f>
        <v/>
      </c>
      <c r="G1036" s="4">
        <f>IFERROR(INDEX('Base de sorteio'!$D$3:$D$1723,MATCH($B1036&amp;"|"&amp;$C1036,'Base de sorteio'!$I$3:$I$1723,0)),"")</f>
        <v/>
      </c>
      <c r="H1036" s="4">
        <f>IFERROR(INDEX('Base de sorteio'!$E$3:$E$1723,MATCH($B1036&amp;"|"&amp;$C1036,'Base de sorteio'!$I$3:$I$1723,0)),"")</f>
        <v/>
      </c>
      <c r="I1036" s="4">
        <f>IF(E1036="","",HYPERLINK(IFERROR(INDEX('Base de sorteio'!$J$3:$J$1723,MATCH($B1036&amp;"|"&amp;$C1036,'Base de sorteio'!$I$3:$I$1723,0)),""),"abrir"))</f>
        <v/>
      </c>
      <c r="J1036" s="4" t="n"/>
      <c r="K1036" s="4" t="n"/>
      <c r="L1036" s="4" t="n"/>
      <c r="M1036" s="4" t="n"/>
      <c r="N1036" s="4">
        <f>IF(AND(K1036="",M1036=""),"",IF(OR(K1036="sim",M1036="sim"),"sim",IF(OR(K1036="inconclusivo",M1036="inconclusivo"),"inconclusivo","não")))</f>
        <v/>
      </c>
      <c r="O1036" s="5">
        <f>IF(N1036="sim",COUNTIFS($B$3:$B1036,$B1036,$N$3:$N1036,"sim"),"")</f>
        <v/>
      </c>
      <c r="P1036" s="5" t="n"/>
      <c r="Q1036" s="4" t="n"/>
      <c r="R1036" s="5" t="n"/>
      <c r="S1036" s="9" t="n"/>
      <c r="T1036" s="4" t="n"/>
    </row>
    <row r="1037">
      <c r="A1037" s="5">
        <f>ROW()-2</f>
        <v/>
      </c>
      <c r="B1037" s="4" t="inlineStr">
        <is>
          <t>Capital regional</t>
        </is>
      </c>
      <c r="C1037" s="5" t="n">
        <v>93</v>
      </c>
      <c r="D1037" s="5">
        <f>IFERROR(INDEX('Base de sorteio'!$A$3:$A$1723,MATCH($B1037&amp;"|"&amp;$C1037,'Base de sorteio'!$I$3:$I$1723,0)),"")</f>
        <v/>
      </c>
      <c r="E1037" s="4">
        <f>IFERROR(INDEX('Base de sorteio'!$B$3:$B$1723,MATCH($B1037&amp;"|"&amp;$C1037,'Base de sorteio'!$I$3:$I$1723,0)),"")</f>
        <v/>
      </c>
      <c r="F1037" s="4">
        <f>IFERROR(INDEX('Base de sorteio'!$C$3:$C$1723,MATCH($B1037&amp;"|"&amp;$C1037,'Base de sorteio'!$I$3:$I$1723,0)),"")</f>
        <v/>
      </c>
      <c r="G1037" s="4">
        <f>IFERROR(INDEX('Base de sorteio'!$D$3:$D$1723,MATCH($B1037&amp;"|"&amp;$C1037,'Base de sorteio'!$I$3:$I$1723,0)),"")</f>
        <v/>
      </c>
      <c r="H1037" s="4">
        <f>IFERROR(INDEX('Base de sorteio'!$E$3:$E$1723,MATCH($B1037&amp;"|"&amp;$C1037,'Base de sorteio'!$I$3:$I$1723,0)),"")</f>
        <v/>
      </c>
      <c r="I1037" s="4">
        <f>IF(E1037="","",HYPERLINK(IFERROR(INDEX('Base de sorteio'!$J$3:$J$1723,MATCH($B1037&amp;"|"&amp;$C1037,'Base de sorteio'!$I$3:$I$1723,0)),""),"abrir"))</f>
        <v/>
      </c>
      <c r="J1037" s="4" t="n"/>
      <c r="K1037" s="4" t="n"/>
      <c r="L1037" s="4" t="n"/>
      <c r="M1037" s="4" t="n"/>
      <c r="N1037" s="4">
        <f>IF(AND(K1037="",M1037=""),"",IF(OR(K1037="sim",M1037="sim"),"sim",IF(OR(K1037="inconclusivo",M1037="inconclusivo"),"inconclusivo","não")))</f>
        <v/>
      </c>
      <c r="O1037" s="5">
        <f>IF(N1037="sim",COUNTIFS($B$3:$B1037,$B1037,$N$3:$N1037,"sim"),"")</f>
        <v/>
      </c>
      <c r="P1037" s="5" t="n"/>
      <c r="Q1037" s="4" t="n"/>
      <c r="R1037" s="5" t="n"/>
      <c r="S1037" s="9" t="n"/>
      <c r="T1037" s="4" t="n"/>
    </row>
    <row r="1038">
      <c r="A1038" s="5">
        <f>ROW()-2</f>
        <v/>
      </c>
      <c r="B1038" s="4" t="inlineStr">
        <is>
          <t>Capital regional</t>
        </is>
      </c>
      <c r="C1038" s="5" t="n">
        <v>94</v>
      </c>
      <c r="D1038" s="5">
        <f>IFERROR(INDEX('Base de sorteio'!$A$3:$A$1723,MATCH($B1038&amp;"|"&amp;$C1038,'Base de sorteio'!$I$3:$I$1723,0)),"")</f>
        <v/>
      </c>
      <c r="E1038" s="4">
        <f>IFERROR(INDEX('Base de sorteio'!$B$3:$B$1723,MATCH($B1038&amp;"|"&amp;$C1038,'Base de sorteio'!$I$3:$I$1723,0)),"")</f>
        <v/>
      </c>
      <c r="F1038" s="4">
        <f>IFERROR(INDEX('Base de sorteio'!$C$3:$C$1723,MATCH($B1038&amp;"|"&amp;$C1038,'Base de sorteio'!$I$3:$I$1723,0)),"")</f>
        <v/>
      </c>
      <c r="G1038" s="4">
        <f>IFERROR(INDEX('Base de sorteio'!$D$3:$D$1723,MATCH($B1038&amp;"|"&amp;$C1038,'Base de sorteio'!$I$3:$I$1723,0)),"")</f>
        <v/>
      </c>
      <c r="H1038" s="4">
        <f>IFERROR(INDEX('Base de sorteio'!$E$3:$E$1723,MATCH($B1038&amp;"|"&amp;$C1038,'Base de sorteio'!$I$3:$I$1723,0)),"")</f>
        <v/>
      </c>
      <c r="I1038" s="4">
        <f>IF(E1038="","",HYPERLINK(IFERROR(INDEX('Base de sorteio'!$J$3:$J$1723,MATCH($B1038&amp;"|"&amp;$C1038,'Base de sorteio'!$I$3:$I$1723,0)),""),"abrir"))</f>
        <v/>
      </c>
      <c r="J1038" s="4" t="n"/>
      <c r="K1038" s="4" t="n"/>
      <c r="L1038" s="4" t="n"/>
      <c r="M1038" s="4" t="n"/>
      <c r="N1038" s="4">
        <f>IF(AND(K1038="",M1038=""),"",IF(OR(K1038="sim",M1038="sim"),"sim",IF(OR(K1038="inconclusivo",M1038="inconclusivo"),"inconclusivo","não")))</f>
        <v/>
      </c>
      <c r="O1038" s="5">
        <f>IF(N1038="sim",COUNTIFS($B$3:$B1038,$B1038,$N$3:$N1038,"sim"),"")</f>
        <v/>
      </c>
      <c r="P1038" s="5" t="n"/>
      <c r="Q1038" s="4" t="n"/>
      <c r="R1038" s="5" t="n"/>
      <c r="S1038" s="9" t="n"/>
      <c r="T1038" s="4" t="n"/>
    </row>
    <row r="1039">
      <c r="A1039" s="5">
        <f>ROW()-2</f>
        <v/>
      </c>
      <c r="B1039" s="4" t="inlineStr">
        <is>
          <t>Capital regional</t>
        </is>
      </c>
      <c r="C1039" s="5" t="n">
        <v>95</v>
      </c>
      <c r="D1039" s="5">
        <f>IFERROR(INDEX('Base de sorteio'!$A$3:$A$1723,MATCH($B1039&amp;"|"&amp;$C1039,'Base de sorteio'!$I$3:$I$1723,0)),"")</f>
        <v/>
      </c>
      <c r="E1039" s="4">
        <f>IFERROR(INDEX('Base de sorteio'!$B$3:$B$1723,MATCH($B1039&amp;"|"&amp;$C1039,'Base de sorteio'!$I$3:$I$1723,0)),"")</f>
        <v/>
      </c>
      <c r="F1039" s="4">
        <f>IFERROR(INDEX('Base de sorteio'!$C$3:$C$1723,MATCH($B1039&amp;"|"&amp;$C1039,'Base de sorteio'!$I$3:$I$1723,0)),"")</f>
        <v/>
      </c>
      <c r="G1039" s="4">
        <f>IFERROR(INDEX('Base de sorteio'!$D$3:$D$1723,MATCH($B1039&amp;"|"&amp;$C1039,'Base de sorteio'!$I$3:$I$1723,0)),"")</f>
        <v/>
      </c>
      <c r="H1039" s="4">
        <f>IFERROR(INDEX('Base de sorteio'!$E$3:$E$1723,MATCH($B1039&amp;"|"&amp;$C1039,'Base de sorteio'!$I$3:$I$1723,0)),"")</f>
        <v/>
      </c>
      <c r="I1039" s="4">
        <f>IF(E1039="","",HYPERLINK(IFERROR(INDEX('Base de sorteio'!$J$3:$J$1723,MATCH($B1039&amp;"|"&amp;$C1039,'Base de sorteio'!$I$3:$I$1723,0)),""),"abrir"))</f>
        <v/>
      </c>
      <c r="J1039" s="4" t="n"/>
      <c r="K1039" s="4" t="n"/>
      <c r="L1039" s="4" t="n"/>
      <c r="M1039" s="4" t="n"/>
      <c r="N1039" s="4">
        <f>IF(AND(K1039="",M1039=""),"",IF(OR(K1039="sim",M1039="sim"),"sim",IF(OR(K1039="inconclusivo",M1039="inconclusivo"),"inconclusivo","não")))</f>
        <v/>
      </c>
      <c r="O1039" s="5">
        <f>IF(N1039="sim",COUNTIFS($B$3:$B1039,$B1039,$N$3:$N1039,"sim"),"")</f>
        <v/>
      </c>
      <c r="P1039" s="5" t="n"/>
      <c r="Q1039" s="4" t="n"/>
      <c r="R1039" s="5" t="n"/>
      <c r="S1039" s="9" t="n"/>
      <c r="T1039" s="4" t="n"/>
    </row>
    <row r="1040">
      <c r="A1040" s="5">
        <f>ROW()-2</f>
        <v/>
      </c>
      <c r="B1040" s="4" t="inlineStr">
        <is>
          <t>Capital regional</t>
        </is>
      </c>
      <c r="C1040" s="5" t="n">
        <v>96</v>
      </c>
      <c r="D1040" s="5">
        <f>IFERROR(INDEX('Base de sorteio'!$A$3:$A$1723,MATCH($B1040&amp;"|"&amp;$C1040,'Base de sorteio'!$I$3:$I$1723,0)),"")</f>
        <v/>
      </c>
      <c r="E1040" s="4">
        <f>IFERROR(INDEX('Base de sorteio'!$B$3:$B$1723,MATCH($B1040&amp;"|"&amp;$C1040,'Base de sorteio'!$I$3:$I$1723,0)),"")</f>
        <v/>
      </c>
      <c r="F1040" s="4">
        <f>IFERROR(INDEX('Base de sorteio'!$C$3:$C$1723,MATCH($B1040&amp;"|"&amp;$C1040,'Base de sorteio'!$I$3:$I$1723,0)),"")</f>
        <v/>
      </c>
      <c r="G1040" s="4">
        <f>IFERROR(INDEX('Base de sorteio'!$D$3:$D$1723,MATCH($B1040&amp;"|"&amp;$C1040,'Base de sorteio'!$I$3:$I$1723,0)),"")</f>
        <v/>
      </c>
      <c r="H1040" s="4">
        <f>IFERROR(INDEX('Base de sorteio'!$E$3:$E$1723,MATCH($B1040&amp;"|"&amp;$C1040,'Base de sorteio'!$I$3:$I$1723,0)),"")</f>
        <v/>
      </c>
      <c r="I1040" s="4">
        <f>IF(E1040="","",HYPERLINK(IFERROR(INDEX('Base de sorteio'!$J$3:$J$1723,MATCH($B1040&amp;"|"&amp;$C1040,'Base de sorteio'!$I$3:$I$1723,0)),""),"abrir"))</f>
        <v/>
      </c>
      <c r="J1040" s="4" t="n"/>
      <c r="K1040" s="4" t="n"/>
      <c r="L1040" s="4" t="n"/>
      <c r="M1040" s="4" t="n"/>
      <c r="N1040" s="4">
        <f>IF(AND(K1040="",M1040=""),"",IF(OR(K1040="sim",M1040="sim"),"sim",IF(OR(K1040="inconclusivo",M1040="inconclusivo"),"inconclusivo","não")))</f>
        <v/>
      </c>
      <c r="O1040" s="5">
        <f>IF(N1040="sim",COUNTIFS($B$3:$B1040,$B1040,$N$3:$N1040,"sim"),"")</f>
        <v/>
      </c>
      <c r="P1040" s="5" t="n"/>
      <c r="Q1040" s="4" t="n"/>
      <c r="R1040" s="5" t="n"/>
      <c r="S1040" s="9" t="n"/>
      <c r="T1040" s="4" t="n"/>
    </row>
    <row r="1041">
      <c r="A1041" s="5">
        <f>ROW()-2</f>
        <v/>
      </c>
      <c r="B1041" s="4" t="inlineStr">
        <is>
          <t>Capital regional</t>
        </is>
      </c>
      <c r="C1041" s="5" t="n">
        <v>97</v>
      </c>
      <c r="D1041" s="5">
        <f>IFERROR(INDEX('Base de sorteio'!$A$3:$A$1723,MATCH($B1041&amp;"|"&amp;$C1041,'Base de sorteio'!$I$3:$I$1723,0)),"")</f>
        <v/>
      </c>
      <c r="E1041" s="4">
        <f>IFERROR(INDEX('Base de sorteio'!$B$3:$B$1723,MATCH($B1041&amp;"|"&amp;$C1041,'Base de sorteio'!$I$3:$I$1723,0)),"")</f>
        <v/>
      </c>
      <c r="F1041" s="4">
        <f>IFERROR(INDEX('Base de sorteio'!$C$3:$C$1723,MATCH($B1041&amp;"|"&amp;$C1041,'Base de sorteio'!$I$3:$I$1723,0)),"")</f>
        <v/>
      </c>
      <c r="G1041" s="4">
        <f>IFERROR(INDEX('Base de sorteio'!$D$3:$D$1723,MATCH($B1041&amp;"|"&amp;$C1041,'Base de sorteio'!$I$3:$I$1723,0)),"")</f>
        <v/>
      </c>
      <c r="H1041" s="4">
        <f>IFERROR(INDEX('Base de sorteio'!$E$3:$E$1723,MATCH($B1041&amp;"|"&amp;$C1041,'Base de sorteio'!$I$3:$I$1723,0)),"")</f>
        <v/>
      </c>
      <c r="I1041" s="4">
        <f>IF(E1041="","",HYPERLINK(IFERROR(INDEX('Base de sorteio'!$J$3:$J$1723,MATCH($B1041&amp;"|"&amp;$C1041,'Base de sorteio'!$I$3:$I$1723,0)),""),"abrir"))</f>
        <v/>
      </c>
      <c r="J1041" s="4" t="n"/>
      <c r="K1041" s="4" t="n"/>
      <c r="L1041" s="4" t="n"/>
      <c r="M1041" s="4" t="n"/>
      <c r="N1041" s="4">
        <f>IF(AND(K1041="",M1041=""),"",IF(OR(K1041="sim",M1041="sim"),"sim",IF(OR(K1041="inconclusivo",M1041="inconclusivo"),"inconclusivo","não")))</f>
        <v/>
      </c>
      <c r="O1041" s="5">
        <f>IF(N1041="sim",COUNTIFS($B$3:$B1041,$B1041,$N$3:$N1041,"sim"),"")</f>
        <v/>
      </c>
      <c r="P1041" s="5" t="n"/>
      <c r="Q1041" s="4" t="n"/>
      <c r="R1041" s="5" t="n"/>
      <c r="S1041" s="9" t="n"/>
      <c r="T1041" s="4" t="n"/>
    </row>
    <row r="1042">
      <c r="A1042" s="5">
        <f>ROW()-2</f>
        <v/>
      </c>
      <c r="B1042" s="4" t="inlineStr">
        <is>
          <t>Capital regional</t>
        </is>
      </c>
      <c r="C1042" s="5" t="n">
        <v>98</v>
      </c>
      <c r="D1042" s="5">
        <f>IFERROR(INDEX('Base de sorteio'!$A$3:$A$1723,MATCH($B1042&amp;"|"&amp;$C1042,'Base de sorteio'!$I$3:$I$1723,0)),"")</f>
        <v/>
      </c>
      <c r="E1042" s="4">
        <f>IFERROR(INDEX('Base de sorteio'!$B$3:$B$1723,MATCH($B1042&amp;"|"&amp;$C1042,'Base de sorteio'!$I$3:$I$1723,0)),"")</f>
        <v/>
      </c>
      <c r="F1042" s="4">
        <f>IFERROR(INDEX('Base de sorteio'!$C$3:$C$1723,MATCH($B1042&amp;"|"&amp;$C1042,'Base de sorteio'!$I$3:$I$1723,0)),"")</f>
        <v/>
      </c>
      <c r="G1042" s="4">
        <f>IFERROR(INDEX('Base de sorteio'!$D$3:$D$1723,MATCH($B1042&amp;"|"&amp;$C1042,'Base de sorteio'!$I$3:$I$1723,0)),"")</f>
        <v/>
      </c>
      <c r="H1042" s="4">
        <f>IFERROR(INDEX('Base de sorteio'!$E$3:$E$1723,MATCH($B1042&amp;"|"&amp;$C1042,'Base de sorteio'!$I$3:$I$1723,0)),"")</f>
        <v/>
      </c>
      <c r="I1042" s="4">
        <f>IF(E1042="","",HYPERLINK(IFERROR(INDEX('Base de sorteio'!$J$3:$J$1723,MATCH($B1042&amp;"|"&amp;$C1042,'Base de sorteio'!$I$3:$I$1723,0)),""),"abrir"))</f>
        <v/>
      </c>
      <c r="J1042" s="4" t="n"/>
      <c r="K1042" s="4" t="n"/>
      <c r="L1042" s="4" t="n"/>
      <c r="M1042" s="4" t="n"/>
      <c r="N1042" s="4">
        <f>IF(AND(K1042="",M1042=""),"",IF(OR(K1042="sim",M1042="sim"),"sim",IF(OR(K1042="inconclusivo",M1042="inconclusivo"),"inconclusivo","não")))</f>
        <v/>
      </c>
      <c r="O1042" s="5">
        <f>IF(N1042="sim",COUNTIFS($B$3:$B1042,$B1042,$N$3:$N1042,"sim"),"")</f>
        <v/>
      </c>
      <c r="P1042" s="5" t="n"/>
      <c r="Q1042" s="4" t="n"/>
      <c r="R1042" s="5" t="n"/>
      <c r="S1042" s="9" t="n"/>
      <c r="T1042" s="4" t="n"/>
    </row>
    <row r="1043">
      <c r="A1043" s="5">
        <f>ROW()-2</f>
        <v/>
      </c>
      <c r="B1043" s="4" t="inlineStr">
        <is>
          <t>Capital regional</t>
        </is>
      </c>
      <c r="C1043" s="5" t="n">
        <v>99</v>
      </c>
      <c r="D1043" s="5">
        <f>IFERROR(INDEX('Base de sorteio'!$A$3:$A$1723,MATCH($B1043&amp;"|"&amp;$C1043,'Base de sorteio'!$I$3:$I$1723,0)),"")</f>
        <v/>
      </c>
      <c r="E1043" s="4">
        <f>IFERROR(INDEX('Base de sorteio'!$B$3:$B$1723,MATCH($B1043&amp;"|"&amp;$C1043,'Base de sorteio'!$I$3:$I$1723,0)),"")</f>
        <v/>
      </c>
      <c r="F1043" s="4">
        <f>IFERROR(INDEX('Base de sorteio'!$C$3:$C$1723,MATCH($B1043&amp;"|"&amp;$C1043,'Base de sorteio'!$I$3:$I$1723,0)),"")</f>
        <v/>
      </c>
      <c r="G1043" s="4">
        <f>IFERROR(INDEX('Base de sorteio'!$D$3:$D$1723,MATCH($B1043&amp;"|"&amp;$C1043,'Base de sorteio'!$I$3:$I$1723,0)),"")</f>
        <v/>
      </c>
      <c r="H1043" s="4">
        <f>IFERROR(INDEX('Base de sorteio'!$E$3:$E$1723,MATCH($B1043&amp;"|"&amp;$C1043,'Base de sorteio'!$I$3:$I$1723,0)),"")</f>
        <v/>
      </c>
      <c r="I1043" s="4">
        <f>IF(E1043="","",HYPERLINK(IFERROR(INDEX('Base de sorteio'!$J$3:$J$1723,MATCH($B1043&amp;"|"&amp;$C1043,'Base de sorteio'!$I$3:$I$1723,0)),""),"abrir"))</f>
        <v/>
      </c>
      <c r="J1043" s="4" t="n"/>
      <c r="K1043" s="4" t="n"/>
      <c r="L1043" s="4" t="n"/>
      <c r="M1043" s="4" t="n"/>
      <c r="N1043" s="4">
        <f>IF(AND(K1043="",M1043=""),"",IF(OR(K1043="sim",M1043="sim"),"sim",IF(OR(K1043="inconclusivo",M1043="inconclusivo"),"inconclusivo","não")))</f>
        <v/>
      </c>
      <c r="O1043" s="5">
        <f>IF(N1043="sim",COUNTIFS($B$3:$B1043,$B1043,$N$3:$N1043,"sim"),"")</f>
        <v/>
      </c>
      <c r="P1043" s="5" t="n"/>
      <c r="Q1043" s="4" t="n"/>
      <c r="R1043" s="5" t="n"/>
      <c r="S1043" s="9" t="n"/>
      <c r="T1043" s="4" t="n"/>
    </row>
    <row r="1044">
      <c r="A1044" s="5">
        <f>ROW()-2</f>
        <v/>
      </c>
      <c r="B1044" s="4" t="inlineStr">
        <is>
          <t>Capital regional</t>
        </is>
      </c>
      <c r="C1044" s="5" t="n">
        <v>100</v>
      </c>
      <c r="D1044" s="5">
        <f>IFERROR(INDEX('Base de sorteio'!$A$3:$A$1723,MATCH($B1044&amp;"|"&amp;$C1044,'Base de sorteio'!$I$3:$I$1723,0)),"")</f>
        <v/>
      </c>
      <c r="E1044" s="4">
        <f>IFERROR(INDEX('Base de sorteio'!$B$3:$B$1723,MATCH($B1044&amp;"|"&amp;$C1044,'Base de sorteio'!$I$3:$I$1723,0)),"")</f>
        <v/>
      </c>
      <c r="F1044" s="4">
        <f>IFERROR(INDEX('Base de sorteio'!$C$3:$C$1723,MATCH($B1044&amp;"|"&amp;$C1044,'Base de sorteio'!$I$3:$I$1723,0)),"")</f>
        <v/>
      </c>
      <c r="G1044" s="4">
        <f>IFERROR(INDEX('Base de sorteio'!$D$3:$D$1723,MATCH($B1044&amp;"|"&amp;$C1044,'Base de sorteio'!$I$3:$I$1723,0)),"")</f>
        <v/>
      </c>
      <c r="H1044" s="4">
        <f>IFERROR(INDEX('Base de sorteio'!$E$3:$E$1723,MATCH($B1044&amp;"|"&amp;$C1044,'Base de sorteio'!$I$3:$I$1723,0)),"")</f>
        <v/>
      </c>
      <c r="I1044" s="4">
        <f>IF(E1044="","",HYPERLINK(IFERROR(INDEX('Base de sorteio'!$J$3:$J$1723,MATCH($B1044&amp;"|"&amp;$C1044,'Base de sorteio'!$I$3:$I$1723,0)),""),"abrir"))</f>
        <v/>
      </c>
      <c r="J1044" s="4" t="n"/>
      <c r="K1044" s="4" t="n"/>
      <c r="L1044" s="4" t="n"/>
      <c r="M1044" s="4" t="n"/>
      <c r="N1044" s="4">
        <f>IF(AND(K1044="",M1044=""),"",IF(OR(K1044="sim",M1044="sim"),"sim",IF(OR(K1044="inconclusivo",M1044="inconclusivo"),"inconclusivo","não")))</f>
        <v/>
      </c>
      <c r="O1044" s="5">
        <f>IF(N1044="sim",COUNTIFS($B$3:$B1044,$B1044,$N$3:$N1044,"sim"),"")</f>
        <v/>
      </c>
      <c r="P1044" s="5" t="n"/>
      <c r="Q1044" s="4" t="n"/>
      <c r="R1044" s="5" t="n"/>
      <c r="S1044" s="9" t="n"/>
      <c r="T1044" s="4" t="n"/>
    </row>
    <row r="1045">
      <c r="A1045" s="5">
        <f>ROW()-2</f>
        <v/>
      </c>
      <c r="B1045" s="4" t="inlineStr">
        <is>
          <t>Capital regional</t>
        </is>
      </c>
      <c r="C1045" s="5" t="n">
        <v>101</v>
      </c>
      <c r="D1045" s="5">
        <f>IFERROR(INDEX('Base de sorteio'!$A$3:$A$1723,MATCH($B1045&amp;"|"&amp;$C1045,'Base de sorteio'!$I$3:$I$1723,0)),"")</f>
        <v/>
      </c>
      <c r="E1045" s="4">
        <f>IFERROR(INDEX('Base de sorteio'!$B$3:$B$1723,MATCH($B1045&amp;"|"&amp;$C1045,'Base de sorteio'!$I$3:$I$1723,0)),"")</f>
        <v/>
      </c>
      <c r="F1045" s="4">
        <f>IFERROR(INDEX('Base de sorteio'!$C$3:$C$1723,MATCH($B1045&amp;"|"&amp;$C1045,'Base de sorteio'!$I$3:$I$1723,0)),"")</f>
        <v/>
      </c>
      <c r="G1045" s="4">
        <f>IFERROR(INDEX('Base de sorteio'!$D$3:$D$1723,MATCH($B1045&amp;"|"&amp;$C1045,'Base de sorteio'!$I$3:$I$1723,0)),"")</f>
        <v/>
      </c>
      <c r="H1045" s="4">
        <f>IFERROR(INDEX('Base de sorteio'!$E$3:$E$1723,MATCH($B1045&amp;"|"&amp;$C1045,'Base de sorteio'!$I$3:$I$1723,0)),"")</f>
        <v/>
      </c>
      <c r="I1045" s="4">
        <f>IF(E1045="","",HYPERLINK(IFERROR(INDEX('Base de sorteio'!$J$3:$J$1723,MATCH($B1045&amp;"|"&amp;$C1045,'Base de sorteio'!$I$3:$I$1723,0)),""),"abrir"))</f>
        <v/>
      </c>
      <c r="J1045" s="4" t="n"/>
      <c r="K1045" s="4" t="n"/>
      <c r="L1045" s="4" t="n"/>
      <c r="M1045" s="4" t="n"/>
      <c r="N1045" s="4">
        <f>IF(AND(K1045="",M1045=""),"",IF(OR(K1045="sim",M1045="sim"),"sim",IF(OR(K1045="inconclusivo",M1045="inconclusivo"),"inconclusivo","não")))</f>
        <v/>
      </c>
      <c r="O1045" s="5">
        <f>IF(N1045="sim",COUNTIFS($B$3:$B1045,$B1045,$N$3:$N1045,"sim"),"")</f>
        <v/>
      </c>
      <c r="P1045" s="5" t="n"/>
      <c r="Q1045" s="4" t="n"/>
      <c r="R1045" s="5" t="n"/>
      <c r="S1045" s="9" t="n"/>
      <c r="T1045" s="4" t="n"/>
    </row>
    <row r="1046">
      <c r="A1046" s="5">
        <f>ROW()-2</f>
        <v/>
      </c>
      <c r="B1046" s="4" t="inlineStr">
        <is>
          <t>Capital regional</t>
        </is>
      </c>
      <c r="C1046" s="5" t="n">
        <v>102</v>
      </c>
      <c r="D1046" s="5">
        <f>IFERROR(INDEX('Base de sorteio'!$A$3:$A$1723,MATCH($B1046&amp;"|"&amp;$C1046,'Base de sorteio'!$I$3:$I$1723,0)),"")</f>
        <v/>
      </c>
      <c r="E1046" s="4">
        <f>IFERROR(INDEX('Base de sorteio'!$B$3:$B$1723,MATCH($B1046&amp;"|"&amp;$C1046,'Base de sorteio'!$I$3:$I$1723,0)),"")</f>
        <v/>
      </c>
      <c r="F1046" s="4">
        <f>IFERROR(INDEX('Base de sorteio'!$C$3:$C$1723,MATCH($B1046&amp;"|"&amp;$C1046,'Base de sorteio'!$I$3:$I$1723,0)),"")</f>
        <v/>
      </c>
      <c r="G1046" s="4">
        <f>IFERROR(INDEX('Base de sorteio'!$D$3:$D$1723,MATCH($B1046&amp;"|"&amp;$C1046,'Base de sorteio'!$I$3:$I$1723,0)),"")</f>
        <v/>
      </c>
      <c r="H1046" s="4">
        <f>IFERROR(INDEX('Base de sorteio'!$E$3:$E$1723,MATCH($B1046&amp;"|"&amp;$C1046,'Base de sorteio'!$I$3:$I$1723,0)),"")</f>
        <v/>
      </c>
      <c r="I1046" s="4">
        <f>IF(E1046="","",HYPERLINK(IFERROR(INDEX('Base de sorteio'!$J$3:$J$1723,MATCH($B1046&amp;"|"&amp;$C1046,'Base de sorteio'!$I$3:$I$1723,0)),""),"abrir"))</f>
        <v/>
      </c>
      <c r="J1046" s="4" t="n"/>
      <c r="K1046" s="4" t="n"/>
      <c r="L1046" s="4" t="n"/>
      <c r="M1046" s="4" t="n"/>
      <c r="N1046" s="4">
        <f>IF(AND(K1046="",M1046=""),"",IF(OR(K1046="sim",M1046="sim"),"sim",IF(OR(K1046="inconclusivo",M1046="inconclusivo"),"inconclusivo","não")))</f>
        <v/>
      </c>
      <c r="O1046" s="5">
        <f>IF(N1046="sim",COUNTIFS($B$3:$B1046,$B1046,$N$3:$N1046,"sim"),"")</f>
        <v/>
      </c>
      <c r="P1046" s="5" t="n"/>
      <c r="Q1046" s="4" t="n"/>
      <c r="R1046" s="5" t="n"/>
      <c r="S1046" s="9" t="n"/>
      <c r="T1046" s="4" t="n"/>
    </row>
    <row r="1047">
      <c r="A1047" s="5">
        <f>ROW()-2</f>
        <v/>
      </c>
      <c r="B1047" s="4" t="inlineStr">
        <is>
          <t>Capital regional</t>
        </is>
      </c>
      <c r="C1047" s="5" t="n">
        <v>103</v>
      </c>
      <c r="D1047" s="5">
        <f>IFERROR(INDEX('Base de sorteio'!$A$3:$A$1723,MATCH($B1047&amp;"|"&amp;$C1047,'Base de sorteio'!$I$3:$I$1723,0)),"")</f>
        <v/>
      </c>
      <c r="E1047" s="4">
        <f>IFERROR(INDEX('Base de sorteio'!$B$3:$B$1723,MATCH($B1047&amp;"|"&amp;$C1047,'Base de sorteio'!$I$3:$I$1723,0)),"")</f>
        <v/>
      </c>
      <c r="F1047" s="4">
        <f>IFERROR(INDEX('Base de sorteio'!$C$3:$C$1723,MATCH($B1047&amp;"|"&amp;$C1047,'Base de sorteio'!$I$3:$I$1723,0)),"")</f>
        <v/>
      </c>
      <c r="G1047" s="4">
        <f>IFERROR(INDEX('Base de sorteio'!$D$3:$D$1723,MATCH($B1047&amp;"|"&amp;$C1047,'Base de sorteio'!$I$3:$I$1723,0)),"")</f>
        <v/>
      </c>
      <c r="H1047" s="4">
        <f>IFERROR(INDEX('Base de sorteio'!$E$3:$E$1723,MATCH($B1047&amp;"|"&amp;$C1047,'Base de sorteio'!$I$3:$I$1723,0)),"")</f>
        <v/>
      </c>
      <c r="I1047" s="4">
        <f>IF(E1047="","",HYPERLINK(IFERROR(INDEX('Base de sorteio'!$J$3:$J$1723,MATCH($B1047&amp;"|"&amp;$C1047,'Base de sorteio'!$I$3:$I$1723,0)),""),"abrir"))</f>
        <v/>
      </c>
      <c r="J1047" s="4" t="n"/>
      <c r="K1047" s="4" t="n"/>
      <c r="L1047" s="4" t="n"/>
      <c r="M1047" s="4" t="n"/>
      <c r="N1047" s="4">
        <f>IF(AND(K1047="",M1047=""),"",IF(OR(K1047="sim",M1047="sim"),"sim",IF(OR(K1047="inconclusivo",M1047="inconclusivo"),"inconclusivo","não")))</f>
        <v/>
      </c>
      <c r="O1047" s="5">
        <f>IF(N1047="sim",COUNTIFS($B$3:$B1047,$B1047,$N$3:$N1047,"sim"),"")</f>
        <v/>
      </c>
      <c r="P1047" s="5" t="n"/>
      <c r="Q1047" s="4" t="n"/>
      <c r="R1047" s="5" t="n"/>
      <c r="S1047" s="9" t="n"/>
      <c r="T1047" s="4" t="n"/>
    </row>
    <row r="1048">
      <c r="A1048" s="5">
        <f>ROW()-2</f>
        <v/>
      </c>
      <c r="B1048" s="4" t="inlineStr">
        <is>
          <t>Capital regional</t>
        </is>
      </c>
      <c r="C1048" s="5" t="n">
        <v>104</v>
      </c>
      <c r="D1048" s="5">
        <f>IFERROR(INDEX('Base de sorteio'!$A$3:$A$1723,MATCH($B1048&amp;"|"&amp;$C1048,'Base de sorteio'!$I$3:$I$1723,0)),"")</f>
        <v/>
      </c>
      <c r="E1048" s="4">
        <f>IFERROR(INDEX('Base de sorteio'!$B$3:$B$1723,MATCH($B1048&amp;"|"&amp;$C1048,'Base de sorteio'!$I$3:$I$1723,0)),"")</f>
        <v/>
      </c>
      <c r="F1048" s="4">
        <f>IFERROR(INDEX('Base de sorteio'!$C$3:$C$1723,MATCH($B1048&amp;"|"&amp;$C1048,'Base de sorteio'!$I$3:$I$1723,0)),"")</f>
        <v/>
      </c>
      <c r="G1048" s="4">
        <f>IFERROR(INDEX('Base de sorteio'!$D$3:$D$1723,MATCH($B1048&amp;"|"&amp;$C1048,'Base de sorteio'!$I$3:$I$1723,0)),"")</f>
        <v/>
      </c>
      <c r="H1048" s="4">
        <f>IFERROR(INDEX('Base de sorteio'!$E$3:$E$1723,MATCH($B1048&amp;"|"&amp;$C1048,'Base de sorteio'!$I$3:$I$1723,0)),"")</f>
        <v/>
      </c>
      <c r="I1048" s="4">
        <f>IF(E1048="","",HYPERLINK(IFERROR(INDEX('Base de sorteio'!$J$3:$J$1723,MATCH($B1048&amp;"|"&amp;$C1048,'Base de sorteio'!$I$3:$I$1723,0)),""),"abrir"))</f>
        <v/>
      </c>
      <c r="J1048" s="4" t="n"/>
      <c r="K1048" s="4" t="n"/>
      <c r="L1048" s="4" t="n"/>
      <c r="M1048" s="4" t="n"/>
      <c r="N1048" s="4">
        <f>IF(AND(K1048="",M1048=""),"",IF(OR(K1048="sim",M1048="sim"),"sim",IF(OR(K1048="inconclusivo",M1048="inconclusivo"),"inconclusivo","não")))</f>
        <v/>
      </c>
      <c r="O1048" s="5">
        <f>IF(N1048="sim",COUNTIFS($B$3:$B1048,$B1048,$N$3:$N1048,"sim"),"")</f>
        <v/>
      </c>
      <c r="P1048" s="5" t="n"/>
      <c r="Q1048" s="4" t="n"/>
      <c r="R1048" s="5" t="n"/>
      <c r="S1048" s="9" t="n"/>
      <c r="T1048" s="4" t="n"/>
    </row>
    <row r="1049">
      <c r="A1049" s="5">
        <f>ROW()-2</f>
        <v/>
      </c>
      <c r="B1049" s="4" t="inlineStr">
        <is>
          <t>Capital regional</t>
        </is>
      </c>
      <c r="C1049" s="5" t="n">
        <v>105</v>
      </c>
      <c r="D1049" s="5">
        <f>IFERROR(INDEX('Base de sorteio'!$A$3:$A$1723,MATCH($B1049&amp;"|"&amp;$C1049,'Base de sorteio'!$I$3:$I$1723,0)),"")</f>
        <v/>
      </c>
      <c r="E1049" s="4">
        <f>IFERROR(INDEX('Base de sorteio'!$B$3:$B$1723,MATCH($B1049&amp;"|"&amp;$C1049,'Base de sorteio'!$I$3:$I$1723,0)),"")</f>
        <v/>
      </c>
      <c r="F1049" s="4">
        <f>IFERROR(INDEX('Base de sorteio'!$C$3:$C$1723,MATCH($B1049&amp;"|"&amp;$C1049,'Base de sorteio'!$I$3:$I$1723,0)),"")</f>
        <v/>
      </c>
      <c r="G1049" s="4">
        <f>IFERROR(INDEX('Base de sorteio'!$D$3:$D$1723,MATCH($B1049&amp;"|"&amp;$C1049,'Base de sorteio'!$I$3:$I$1723,0)),"")</f>
        <v/>
      </c>
      <c r="H1049" s="4">
        <f>IFERROR(INDEX('Base de sorteio'!$E$3:$E$1723,MATCH($B1049&amp;"|"&amp;$C1049,'Base de sorteio'!$I$3:$I$1723,0)),"")</f>
        <v/>
      </c>
      <c r="I1049" s="4">
        <f>IF(E1049="","",HYPERLINK(IFERROR(INDEX('Base de sorteio'!$J$3:$J$1723,MATCH($B1049&amp;"|"&amp;$C1049,'Base de sorteio'!$I$3:$I$1723,0)),""),"abrir"))</f>
        <v/>
      </c>
      <c r="J1049" s="4" t="n"/>
      <c r="K1049" s="4" t="n"/>
      <c r="L1049" s="4" t="n"/>
      <c r="M1049" s="4" t="n"/>
      <c r="N1049" s="4">
        <f>IF(AND(K1049="",M1049=""),"",IF(OR(K1049="sim",M1049="sim"),"sim",IF(OR(K1049="inconclusivo",M1049="inconclusivo"),"inconclusivo","não")))</f>
        <v/>
      </c>
      <c r="O1049" s="5">
        <f>IF(N1049="sim",COUNTIFS($B$3:$B1049,$B1049,$N$3:$N1049,"sim"),"")</f>
        <v/>
      </c>
      <c r="P1049" s="5" t="n"/>
      <c r="Q1049" s="4" t="n"/>
      <c r="R1049" s="5" t="n"/>
      <c r="S1049" s="9" t="n"/>
      <c r="T1049" s="4" t="n"/>
    </row>
    <row r="1050">
      <c r="A1050" s="5">
        <f>ROW()-2</f>
        <v/>
      </c>
      <c r="B1050" s="4" t="inlineStr">
        <is>
          <t>Capital regional</t>
        </is>
      </c>
      <c r="C1050" s="5" t="n">
        <v>106</v>
      </c>
      <c r="D1050" s="5">
        <f>IFERROR(INDEX('Base de sorteio'!$A$3:$A$1723,MATCH($B1050&amp;"|"&amp;$C1050,'Base de sorteio'!$I$3:$I$1723,0)),"")</f>
        <v/>
      </c>
      <c r="E1050" s="4">
        <f>IFERROR(INDEX('Base de sorteio'!$B$3:$B$1723,MATCH($B1050&amp;"|"&amp;$C1050,'Base de sorteio'!$I$3:$I$1723,0)),"")</f>
        <v/>
      </c>
      <c r="F1050" s="4">
        <f>IFERROR(INDEX('Base de sorteio'!$C$3:$C$1723,MATCH($B1050&amp;"|"&amp;$C1050,'Base de sorteio'!$I$3:$I$1723,0)),"")</f>
        <v/>
      </c>
      <c r="G1050" s="4">
        <f>IFERROR(INDEX('Base de sorteio'!$D$3:$D$1723,MATCH($B1050&amp;"|"&amp;$C1050,'Base de sorteio'!$I$3:$I$1723,0)),"")</f>
        <v/>
      </c>
      <c r="H1050" s="4">
        <f>IFERROR(INDEX('Base de sorteio'!$E$3:$E$1723,MATCH($B1050&amp;"|"&amp;$C1050,'Base de sorteio'!$I$3:$I$1723,0)),"")</f>
        <v/>
      </c>
      <c r="I1050" s="4">
        <f>IF(E1050="","",HYPERLINK(IFERROR(INDEX('Base de sorteio'!$J$3:$J$1723,MATCH($B1050&amp;"|"&amp;$C1050,'Base de sorteio'!$I$3:$I$1723,0)),""),"abrir"))</f>
        <v/>
      </c>
      <c r="J1050" s="4" t="n"/>
      <c r="K1050" s="4" t="n"/>
      <c r="L1050" s="4" t="n"/>
      <c r="M1050" s="4" t="n"/>
      <c r="N1050" s="4">
        <f>IF(AND(K1050="",M1050=""),"",IF(OR(K1050="sim",M1050="sim"),"sim",IF(OR(K1050="inconclusivo",M1050="inconclusivo"),"inconclusivo","não")))</f>
        <v/>
      </c>
      <c r="O1050" s="5">
        <f>IF(N1050="sim",COUNTIFS($B$3:$B1050,$B1050,$N$3:$N1050,"sim"),"")</f>
        <v/>
      </c>
      <c r="P1050" s="5" t="n"/>
      <c r="Q1050" s="4" t="n"/>
      <c r="R1050" s="5" t="n"/>
      <c r="S1050" s="9" t="n"/>
      <c r="T1050" s="4" t="n"/>
    </row>
    <row r="1051">
      <c r="A1051" s="5">
        <f>ROW()-2</f>
        <v/>
      </c>
      <c r="B1051" s="4" t="inlineStr">
        <is>
          <t>Capital regional</t>
        </is>
      </c>
      <c r="C1051" s="5" t="n">
        <v>107</v>
      </c>
      <c r="D1051" s="5">
        <f>IFERROR(INDEX('Base de sorteio'!$A$3:$A$1723,MATCH($B1051&amp;"|"&amp;$C1051,'Base de sorteio'!$I$3:$I$1723,0)),"")</f>
        <v/>
      </c>
      <c r="E1051" s="4">
        <f>IFERROR(INDEX('Base de sorteio'!$B$3:$B$1723,MATCH($B1051&amp;"|"&amp;$C1051,'Base de sorteio'!$I$3:$I$1723,0)),"")</f>
        <v/>
      </c>
      <c r="F1051" s="4">
        <f>IFERROR(INDEX('Base de sorteio'!$C$3:$C$1723,MATCH($B1051&amp;"|"&amp;$C1051,'Base de sorteio'!$I$3:$I$1723,0)),"")</f>
        <v/>
      </c>
      <c r="G1051" s="4">
        <f>IFERROR(INDEX('Base de sorteio'!$D$3:$D$1723,MATCH($B1051&amp;"|"&amp;$C1051,'Base de sorteio'!$I$3:$I$1723,0)),"")</f>
        <v/>
      </c>
      <c r="H1051" s="4">
        <f>IFERROR(INDEX('Base de sorteio'!$E$3:$E$1723,MATCH($B1051&amp;"|"&amp;$C1051,'Base de sorteio'!$I$3:$I$1723,0)),"")</f>
        <v/>
      </c>
      <c r="I1051" s="4">
        <f>IF(E1051="","",HYPERLINK(IFERROR(INDEX('Base de sorteio'!$J$3:$J$1723,MATCH($B1051&amp;"|"&amp;$C1051,'Base de sorteio'!$I$3:$I$1723,0)),""),"abrir"))</f>
        <v/>
      </c>
      <c r="J1051" s="4" t="n"/>
      <c r="K1051" s="4" t="n"/>
      <c r="L1051" s="4" t="n"/>
      <c r="M1051" s="4" t="n"/>
      <c r="N1051" s="4">
        <f>IF(AND(K1051="",M1051=""),"",IF(OR(K1051="sim",M1051="sim"),"sim",IF(OR(K1051="inconclusivo",M1051="inconclusivo"),"inconclusivo","não")))</f>
        <v/>
      </c>
      <c r="O1051" s="5">
        <f>IF(N1051="sim",COUNTIFS($B$3:$B1051,$B1051,$N$3:$N1051,"sim"),"")</f>
        <v/>
      </c>
      <c r="P1051" s="5" t="n"/>
      <c r="Q1051" s="4" t="n"/>
      <c r="R1051" s="5" t="n"/>
      <c r="S1051" s="9" t="n"/>
      <c r="T1051" s="4" t="n"/>
    </row>
    <row r="1052">
      <c r="A1052" s="5">
        <f>ROW()-2</f>
        <v/>
      </c>
      <c r="B1052" s="4" t="inlineStr">
        <is>
          <t>Capital regional</t>
        </is>
      </c>
      <c r="C1052" s="5" t="n">
        <v>108</v>
      </c>
      <c r="D1052" s="5">
        <f>IFERROR(INDEX('Base de sorteio'!$A$3:$A$1723,MATCH($B1052&amp;"|"&amp;$C1052,'Base de sorteio'!$I$3:$I$1723,0)),"")</f>
        <v/>
      </c>
      <c r="E1052" s="4">
        <f>IFERROR(INDEX('Base de sorteio'!$B$3:$B$1723,MATCH($B1052&amp;"|"&amp;$C1052,'Base de sorteio'!$I$3:$I$1723,0)),"")</f>
        <v/>
      </c>
      <c r="F1052" s="4">
        <f>IFERROR(INDEX('Base de sorteio'!$C$3:$C$1723,MATCH($B1052&amp;"|"&amp;$C1052,'Base de sorteio'!$I$3:$I$1723,0)),"")</f>
        <v/>
      </c>
      <c r="G1052" s="4">
        <f>IFERROR(INDEX('Base de sorteio'!$D$3:$D$1723,MATCH($B1052&amp;"|"&amp;$C1052,'Base de sorteio'!$I$3:$I$1723,0)),"")</f>
        <v/>
      </c>
      <c r="H1052" s="4">
        <f>IFERROR(INDEX('Base de sorteio'!$E$3:$E$1723,MATCH($B1052&amp;"|"&amp;$C1052,'Base de sorteio'!$I$3:$I$1723,0)),"")</f>
        <v/>
      </c>
      <c r="I1052" s="4">
        <f>IF(E1052="","",HYPERLINK(IFERROR(INDEX('Base de sorteio'!$J$3:$J$1723,MATCH($B1052&amp;"|"&amp;$C1052,'Base de sorteio'!$I$3:$I$1723,0)),""),"abrir"))</f>
        <v/>
      </c>
      <c r="J1052" s="4" t="n"/>
      <c r="K1052" s="4" t="n"/>
      <c r="L1052" s="4" t="n"/>
      <c r="M1052" s="4" t="n"/>
      <c r="N1052" s="4">
        <f>IF(AND(K1052="",M1052=""),"",IF(OR(K1052="sim",M1052="sim"),"sim",IF(OR(K1052="inconclusivo",M1052="inconclusivo"),"inconclusivo","não")))</f>
        <v/>
      </c>
      <c r="O1052" s="5">
        <f>IF(N1052="sim",COUNTIFS($B$3:$B1052,$B1052,$N$3:$N1052,"sim"),"")</f>
        <v/>
      </c>
      <c r="P1052" s="5" t="n"/>
      <c r="Q1052" s="4" t="n"/>
      <c r="R1052" s="5" t="n"/>
      <c r="S1052" s="9" t="n"/>
      <c r="T1052" s="4" t="n"/>
    </row>
    <row r="1053">
      <c r="A1053" s="5">
        <f>ROW()-2</f>
        <v/>
      </c>
      <c r="B1053" s="4" t="inlineStr">
        <is>
          <t>Capital regional</t>
        </is>
      </c>
      <c r="C1053" s="5" t="n">
        <v>109</v>
      </c>
      <c r="D1053" s="5">
        <f>IFERROR(INDEX('Base de sorteio'!$A$3:$A$1723,MATCH($B1053&amp;"|"&amp;$C1053,'Base de sorteio'!$I$3:$I$1723,0)),"")</f>
        <v/>
      </c>
      <c r="E1053" s="4">
        <f>IFERROR(INDEX('Base de sorteio'!$B$3:$B$1723,MATCH($B1053&amp;"|"&amp;$C1053,'Base de sorteio'!$I$3:$I$1723,0)),"")</f>
        <v/>
      </c>
      <c r="F1053" s="4">
        <f>IFERROR(INDEX('Base de sorteio'!$C$3:$C$1723,MATCH($B1053&amp;"|"&amp;$C1053,'Base de sorteio'!$I$3:$I$1723,0)),"")</f>
        <v/>
      </c>
      <c r="G1053" s="4">
        <f>IFERROR(INDEX('Base de sorteio'!$D$3:$D$1723,MATCH($B1053&amp;"|"&amp;$C1053,'Base de sorteio'!$I$3:$I$1723,0)),"")</f>
        <v/>
      </c>
      <c r="H1053" s="4">
        <f>IFERROR(INDEX('Base de sorteio'!$E$3:$E$1723,MATCH($B1053&amp;"|"&amp;$C1053,'Base de sorteio'!$I$3:$I$1723,0)),"")</f>
        <v/>
      </c>
      <c r="I1053" s="4">
        <f>IF(E1053="","",HYPERLINK(IFERROR(INDEX('Base de sorteio'!$J$3:$J$1723,MATCH($B1053&amp;"|"&amp;$C1053,'Base de sorteio'!$I$3:$I$1723,0)),""),"abrir"))</f>
        <v/>
      </c>
      <c r="J1053" s="4" t="n"/>
      <c r="K1053" s="4" t="n"/>
      <c r="L1053" s="4" t="n"/>
      <c r="M1053" s="4" t="n"/>
      <c r="N1053" s="4">
        <f>IF(AND(K1053="",M1053=""),"",IF(OR(K1053="sim",M1053="sim"),"sim",IF(OR(K1053="inconclusivo",M1053="inconclusivo"),"inconclusivo","não")))</f>
        <v/>
      </c>
      <c r="O1053" s="5">
        <f>IF(N1053="sim",COUNTIFS($B$3:$B1053,$B1053,$N$3:$N1053,"sim"),"")</f>
        <v/>
      </c>
      <c r="P1053" s="5" t="n"/>
      <c r="Q1053" s="4" t="n"/>
      <c r="R1053" s="5" t="n"/>
      <c r="S1053" s="9" t="n"/>
      <c r="T1053" s="4" t="n"/>
    </row>
    <row r="1054">
      <c r="A1054" s="5">
        <f>ROW()-2</f>
        <v/>
      </c>
      <c r="B1054" s="4" t="inlineStr">
        <is>
          <t>Capital regional</t>
        </is>
      </c>
      <c r="C1054" s="5" t="n">
        <v>110</v>
      </c>
      <c r="D1054" s="5">
        <f>IFERROR(INDEX('Base de sorteio'!$A$3:$A$1723,MATCH($B1054&amp;"|"&amp;$C1054,'Base de sorteio'!$I$3:$I$1723,0)),"")</f>
        <v/>
      </c>
      <c r="E1054" s="4">
        <f>IFERROR(INDEX('Base de sorteio'!$B$3:$B$1723,MATCH($B1054&amp;"|"&amp;$C1054,'Base de sorteio'!$I$3:$I$1723,0)),"")</f>
        <v/>
      </c>
      <c r="F1054" s="4">
        <f>IFERROR(INDEX('Base de sorteio'!$C$3:$C$1723,MATCH($B1054&amp;"|"&amp;$C1054,'Base de sorteio'!$I$3:$I$1723,0)),"")</f>
        <v/>
      </c>
      <c r="G1054" s="4">
        <f>IFERROR(INDEX('Base de sorteio'!$D$3:$D$1723,MATCH($B1054&amp;"|"&amp;$C1054,'Base de sorteio'!$I$3:$I$1723,0)),"")</f>
        <v/>
      </c>
      <c r="H1054" s="4">
        <f>IFERROR(INDEX('Base de sorteio'!$E$3:$E$1723,MATCH($B1054&amp;"|"&amp;$C1054,'Base de sorteio'!$I$3:$I$1723,0)),"")</f>
        <v/>
      </c>
      <c r="I1054" s="4">
        <f>IF(E1054="","",HYPERLINK(IFERROR(INDEX('Base de sorteio'!$J$3:$J$1723,MATCH($B1054&amp;"|"&amp;$C1054,'Base de sorteio'!$I$3:$I$1723,0)),""),"abrir"))</f>
        <v/>
      </c>
      <c r="J1054" s="4" t="n"/>
      <c r="K1054" s="4" t="n"/>
      <c r="L1054" s="4" t="n"/>
      <c r="M1054" s="4" t="n"/>
      <c r="N1054" s="4">
        <f>IF(AND(K1054="",M1054=""),"",IF(OR(K1054="sim",M1054="sim"),"sim",IF(OR(K1054="inconclusivo",M1054="inconclusivo"),"inconclusivo","não")))</f>
        <v/>
      </c>
      <c r="O1054" s="5">
        <f>IF(N1054="sim",COUNTIFS($B$3:$B1054,$B1054,$N$3:$N1054,"sim"),"")</f>
        <v/>
      </c>
      <c r="P1054" s="5" t="n"/>
      <c r="Q1054" s="4" t="n"/>
      <c r="R1054" s="5" t="n"/>
      <c r="S1054" s="9" t="n"/>
      <c r="T1054" s="4" t="n"/>
    </row>
    <row r="1055">
      <c r="A1055" s="5">
        <f>ROW()-2</f>
        <v/>
      </c>
      <c r="B1055" s="4" t="inlineStr">
        <is>
          <t>Capital regional</t>
        </is>
      </c>
      <c r="C1055" s="5" t="n">
        <v>111</v>
      </c>
      <c r="D1055" s="5">
        <f>IFERROR(INDEX('Base de sorteio'!$A$3:$A$1723,MATCH($B1055&amp;"|"&amp;$C1055,'Base de sorteio'!$I$3:$I$1723,0)),"")</f>
        <v/>
      </c>
      <c r="E1055" s="4">
        <f>IFERROR(INDEX('Base de sorteio'!$B$3:$B$1723,MATCH($B1055&amp;"|"&amp;$C1055,'Base de sorteio'!$I$3:$I$1723,0)),"")</f>
        <v/>
      </c>
      <c r="F1055" s="4">
        <f>IFERROR(INDEX('Base de sorteio'!$C$3:$C$1723,MATCH($B1055&amp;"|"&amp;$C1055,'Base de sorteio'!$I$3:$I$1723,0)),"")</f>
        <v/>
      </c>
      <c r="G1055" s="4">
        <f>IFERROR(INDEX('Base de sorteio'!$D$3:$D$1723,MATCH($B1055&amp;"|"&amp;$C1055,'Base de sorteio'!$I$3:$I$1723,0)),"")</f>
        <v/>
      </c>
      <c r="H1055" s="4">
        <f>IFERROR(INDEX('Base de sorteio'!$E$3:$E$1723,MATCH($B1055&amp;"|"&amp;$C1055,'Base de sorteio'!$I$3:$I$1723,0)),"")</f>
        <v/>
      </c>
      <c r="I1055" s="4">
        <f>IF(E1055="","",HYPERLINK(IFERROR(INDEX('Base de sorteio'!$J$3:$J$1723,MATCH($B1055&amp;"|"&amp;$C1055,'Base de sorteio'!$I$3:$I$1723,0)),""),"abrir"))</f>
        <v/>
      </c>
      <c r="J1055" s="4" t="n"/>
      <c r="K1055" s="4" t="n"/>
      <c r="L1055" s="4" t="n"/>
      <c r="M1055" s="4" t="n"/>
      <c r="N1055" s="4">
        <f>IF(AND(K1055="",M1055=""),"",IF(OR(K1055="sim",M1055="sim"),"sim",IF(OR(K1055="inconclusivo",M1055="inconclusivo"),"inconclusivo","não")))</f>
        <v/>
      </c>
      <c r="O1055" s="5">
        <f>IF(N1055="sim",COUNTIFS($B$3:$B1055,$B1055,$N$3:$N1055,"sim"),"")</f>
        <v/>
      </c>
      <c r="P1055" s="5" t="n"/>
      <c r="Q1055" s="4" t="n"/>
      <c r="R1055" s="5" t="n"/>
      <c r="S1055" s="9" t="n"/>
      <c r="T1055" s="4" t="n"/>
    </row>
    <row r="1056">
      <c r="A1056" s="5">
        <f>ROW()-2</f>
        <v/>
      </c>
      <c r="B1056" s="4" t="inlineStr">
        <is>
          <t>Capital regional</t>
        </is>
      </c>
      <c r="C1056" s="5" t="n">
        <v>112</v>
      </c>
      <c r="D1056" s="5">
        <f>IFERROR(INDEX('Base de sorteio'!$A$3:$A$1723,MATCH($B1056&amp;"|"&amp;$C1056,'Base de sorteio'!$I$3:$I$1723,0)),"")</f>
        <v/>
      </c>
      <c r="E1056" s="4">
        <f>IFERROR(INDEX('Base de sorteio'!$B$3:$B$1723,MATCH($B1056&amp;"|"&amp;$C1056,'Base de sorteio'!$I$3:$I$1723,0)),"")</f>
        <v/>
      </c>
      <c r="F1056" s="4">
        <f>IFERROR(INDEX('Base de sorteio'!$C$3:$C$1723,MATCH($B1056&amp;"|"&amp;$C1056,'Base de sorteio'!$I$3:$I$1723,0)),"")</f>
        <v/>
      </c>
      <c r="G1056" s="4">
        <f>IFERROR(INDEX('Base de sorteio'!$D$3:$D$1723,MATCH($B1056&amp;"|"&amp;$C1056,'Base de sorteio'!$I$3:$I$1723,0)),"")</f>
        <v/>
      </c>
      <c r="H1056" s="4">
        <f>IFERROR(INDEX('Base de sorteio'!$E$3:$E$1723,MATCH($B1056&amp;"|"&amp;$C1056,'Base de sorteio'!$I$3:$I$1723,0)),"")</f>
        <v/>
      </c>
      <c r="I1056" s="4">
        <f>IF(E1056="","",HYPERLINK(IFERROR(INDEX('Base de sorteio'!$J$3:$J$1723,MATCH($B1056&amp;"|"&amp;$C1056,'Base de sorteio'!$I$3:$I$1723,0)),""),"abrir"))</f>
        <v/>
      </c>
      <c r="J1056" s="4" t="n"/>
      <c r="K1056" s="4" t="n"/>
      <c r="L1056" s="4" t="n"/>
      <c r="M1056" s="4" t="n"/>
      <c r="N1056" s="4">
        <f>IF(AND(K1056="",M1056=""),"",IF(OR(K1056="sim",M1056="sim"),"sim",IF(OR(K1056="inconclusivo",M1056="inconclusivo"),"inconclusivo","não")))</f>
        <v/>
      </c>
      <c r="O1056" s="5">
        <f>IF(N1056="sim",COUNTIFS($B$3:$B1056,$B1056,$N$3:$N1056,"sim"),"")</f>
        <v/>
      </c>
      <c r="P1056" s="5" t="n"/>
      <c r="Q1056" s="4" t="n"/>
      <c r="R1056" s="5" t="n"/>
      <c r="S1056" s="9" t="n"/>
      <c r="T1056" s="4" t="n"/>
    </row>
    <row r="1057">
      <c r="A1057" s="5">
        <f>ROW()-2</f>
        <v/>
      </c>
      <c r="B1057" s="4" t="inlineStr">
        <is>
          <t>Capital regional</t>
        </is>
      </c>
      <c r="C1057" s="5" t="n">
        <v>113</v>
      </c>
      <c r="D1057" s="5">
        <f>IFERROR(INDEX('Base de sorteio'!$A$3:$A$1723,MATCH($B1057&amp;"|"&amp;$C1057,'Base de sorteio'!$I$3:$I$1723,0)),"")</f>
        <v/>
      </c>
      <c r="E1057" s="4">
        <f>IFERROR(INDEX('Base de sorteio'!$B$3:$B$1723,MATCH($B1057&amp;"|"&amp;$C1057,'Base de sorteio'!$I$3:$I$1723,0)),"")</f>
        <v/>
      </c>
      <c r="F1057" s="4">
        <f>IFERROR(INDEX('Base de sorteio'!$C$3:$C$1723,MATCH($B1057&amp;"|"&amp;$C1057,'Base de sorteio'!$I$3:$I$1723,0)),"")</f>
        <v/>
      </c>
      <c r="G1057" s="4">
        <f>IFERROR(INDEX('Base de sorteio'!$D$3:$D$1723,MATCH($B1057&amp;"|"&amp;$C1057,'Base de sorteio'!$I$3:$I$1723,0)),"")</f>
        <v/>
      </c>
      <c r="H1057" s="4">
        <f>IFERROR(INDEX('Base de sorteio'!$E$3:$E$1723,MATCH($B1057&amp;"|"&amp;$C1057,'Base de sorteio'!$I$3:$I$1723,0)),"")</f>
        <v/>
      </c>
      <c r="I1057" s="4">
        <f>IF(E1057="","",HYPERLINK(IFERROR(INDEX('Base de sorteio'!$J$3:$J$1723,MATCH($B1057&amp;"|"&amp;$C1057,'Base de sorteio'!$I$3:$I$1723,0)),""),"abrir"))</f>
        <v/>
      </c>
      <c r="J1057" s="4" t="n"/>
      <c r="K1057" s="4" t="n"/>
      <c r="L1057" s="4" t="n"/>
      <c r="M1057" s="4" t="n"/>
      <c r="N1057" s="4">
        <f>IF(AND(K1057="",M1057=""),"",IF(OR(K1057="sim",M1057="sim"),"sim",IF(OR(K1057="inconclusivo",M1057="inconclusivo"),"inconclusivo","não")))</f>
        <v/>
      </c>
      <c r="O1057" s="5">
        <f>IF(N1057="sim",COUNTIFS($B$3:$B1057,$B1057,$N$3:$N1057,"sim"),"")</f>
        <v/>
      </c>
      <c r="P1057" s="5" t="n"/>
      <c r="Q1057" s="4" t="n"/>
      <c r="R1057" s="5" t="n"/>
      <c r="S1057" s="9" t="n"/>
      <c r="T1057" s="4" t="n"/>
    </row>
    <row r="1058">
      <c r="A1058" s="5">
        <f>ROW()-2</f>
        <v/>
      </c>
      <c r="B1058" s="4" t="inlineStr">
        <is>
          <t>Capital regional</t>
        </is>
      </c>
      <c r="C1058" s="5" t="n">
        <v>114</v>
      </c>
      <c r="D1058" s="5">
        <f>IFERROR(INDEX('Base de sorteio'!$A$3:$A$1723,MATCH($B1058&amp;"|"&amp;$C1058,'Base de sorteio'!$I$3:$I$1723,0)),"")</f>
        <v/>
      </c>
      <c r="E1058" s="4">
        <f>IFERROR(INDEX('Base de sorteio'!$B$3:$B$1723,MATCH($B1058&amp;"|"&amp;$C1058,'Base de sorteio'!$I$3:$I$1723,0)),"")</f>
        <v/>
      </c>
      <c r="F1058" s="4">
        <f>IFERROR(INDEX('Base de sorteio'!$C$3:$C$1723,MATCH($B1058&amp;"|"&amp;$C1058,'Base de sorteio'!$I$3:$I$1723,0)),"")</f>
        <v/>
      </c>
      <c r="G1058" s="4">
        <f>IFERROR(INDEX('Base de sorteio'!$D$3:$D$1723,MATCH($B1058&amp;"|"&amp;$C1058,'Base de sorteio'!$I$3:$I$1723,0)),"")</f>
        <v/>
      </c>
      <c r="H1058" s="4">
        <f>IFERROR(INDEX('Base de sorteio'!$E$3:$E$1723,MATCH($B1058&amp;"|"&amp;$C1058,'Base de sorteio'!$I$3:$I$1723,0)),"")</f>
        <v/>
      </c>
      <c r="I1058" s="4">
        <f>IF(E1058="","",HYPERLINK(IFERROR(INDEX('Base de sorteio'!$J$3:$J$1723,MATCH($B1058&amp;"|"&amp;$C1058,'Base de sorteio'!$I$3:$I$1723,0)),""),"abrir"))</f>
        <v/>
      </c>
      <c r="J1058" s="4" t="n"/>
      <c r="K1058" s="4" t="n"/>
      <c r="L1058" s="4" t="n"/>
      <c r="M1058" s="4" t="n"/>
      <c r="N1058" s="4">
        <f>IF(AND(K1058="",M1058=""),"",IF(OR(K1058="sim",M1058="sim"),"sim",IF(OR(K1058="inconclusivo",M1058="inconclusivo"),"inconclusivo","não")))</f>
        <v/>
      </c>
      <c r="O1058" s="5">
        <f>IF(N1058="sim",COUNTIFS($B$3:$B1058,$B1058,$N$3:$N1058,"sim"),"")</f>
        <v/>
      </c>
      <c r="P1058" s="5" t="n"/>
      <c r="Q1058" s="4" t="n"/>
      <c r="R1058" s="5" t="n"/>
      <c r="S1058" s="9" t="n"/>
      <c r="T1058" s="4" t="n"/>
    </row>
    <row r="1059">
      <c r="A1059" s="5">
        <f>ROW()-2</f>
        <v/>
      </c>
      <c r="B1059" s="4" t="inlineStr">
        <is>
          <t>Capital regional</t>
        </is>
      </c>
      <c r="C1059" s="5" t="n">
        <v>115</v>
      </c>
      <c r="D1059" s="5">
        <f>IFERROR(INDEX('Base de sorteio'!$A$3:$A$1723,MATCH($B1059&amp;"|"&amp;$C1059,'Base de sorteio'!$I$3:$I$1723,0)),"")</f>
        <v/>
      </c>
      <c r="E1059" s="4">
        <f>IFERROR(INDEX('Base de sorteio'!$B$3:$B$1723,MATCH($B1059&amp;"|"&amp;$C1059,'Base de sorteio'!$I$3:$I$1723,0)),"")</f>
        <v/>
      </c>
      <c r="F1059" s="4">
        <f>IFERROR(INDEX('Base de sorteio'!$C$3:$C$1723,MATCH($B1059&amp;"|"&amp;$C1059,'Base de sorteio'!$I$3:$I$1723,0)),"")</f>
        <v/>
      </c>
      <c r="G1059" s="4">
        <f>IFERROR(INDEX('Base de sorteio'!$D$3:$D$1723,MATCH($B1059&amp;"|"&amp;$C1059,'Base de sorteio'!$I$3:$I$1723,0)),"")</f>
        <v/>
      </c>
      <c r="H1059" s="4">
        <f>IFERROR(INDEX('Base de sorteio'!$E$3:$E$1723,MATCH($B1059&amp;"|"&amp;$C1059,'Base de sorteio'!$I$3:$I$1723,0)),"")</f>
        <v/>
      </c>
      <c r="I1059" s="4">
        <f>IF(E1059="","",HYPERLINK(IFERROR(INDEX('Base de sorteio'!$J$3:$J$1723,MATCH($B1059&amp;"|"&amp;$C1059,'Base de sorteio'!$I$3:$I$1723,0)),""),"abrir"))</f>
        <v/>
      </c>
      <c r="J1059" s="4" t="n"/>
      <c r="K1059" s="4" t="n"/>
      <c r="L1059" s="4" t="n"/>
      <c r="M1059" s="4" t="n"/>
      <c r="N1059" s="4">
        <f>IF(AND(K1059="",M1059=""),"",IF(OR(K1059="sim",M1059="sim"),"sim",IF(OR(K1059="inconclusivo",M1059="inconclusivo"),"inconclusivo","não")))</f>
        <v/>
      </c>
      <c r="O1059" s="5">
        <f>IF(N1059="sim",COUNTIFS($B$3:$B1059,$B1059,$N$3:$N1059,"sim"),"")</f>
        <v/>
      </c>
      <c r="P1059" s="5" t="n"/>
      <c r="Q1059" s="4" t="n"/>
      <c r="R1059" s="5" t="n"/>
      <c r="S1059" s="9" t="n"/>
      <c r="T1059" s="4" t="n"/>
    </row>
    <row r="1060">
      <c r="A1060" s="5">
        <f>ROW()-2</f>
        <v/>
      </c>
      <c r="B1060" s="4" t="inlineStr">
        <is>
          <t>Capital regional</t>
        </is>
      </c>
      <c r="C1060" s="5" t="n">
        <v>116</v>
      </c>
      <c r="D1060" s="5">
        <f>IFERROR(INDEX('Base de sorteio'!$A$3:$A$1723,MATCH($B1060&amp;"|"&amp;$C1060,'Base de sorteio'!$I$3:$I$1723,0)),"")</f>
        <v/>
      </c>
      <c r="E1060" s="4">
        <f>IFERROR(INDEX('Base de sorteio'!$B$3:$B$1723,MATCH($B1060&amp;"|"&amp;$C1060,'Base de sorteio'!$I$3:$I$1723,0)),"")</f>
        <v/>
      </c>
      <c r="F1060" s="4">
        <f>IFERROR(INDEX('Base de sorteio'!$C$3:$C$1723,MATCH($B1060&amp;"|"&amp;$C1060,'Base de sorteio'!$I$3:$I$1723,0)),"")</f>
        <v/>
      </c>
      <c r="G1060" s="4">
        <f>IFERROR(INDEX('Base de sorteio'!$D$3:$D$1723,MATCH($B1060&amp;"|"&amp;$C1060,'Base de sorteio'!$I$3:$I$1723,0)),"")</f>
        <v/>
      </c>
      <c r="H1060" s="4">
        <f>IFERROR(INDEX('Base de sorteio'!$E$3:$E$1723,MATCH($B1060&amp;"|"&amp;$C1060,'Base de sorteio'!$I$3:$I$1723,0)),"")</f>
        <v/>
      </c>
      <c r="I1060" s="4">
        <f>IF(E1060="","",HYPERLINK(IFERROR(INDEX('Base de sorteio'!$J$3:$J$1723,MATCH($B1060&amp;"|"&amp;$C1060,'Base de sorteio'!$I$3:$I$1723,0)),""),"abrir"))</f>
        <v/>
      </c>
      <c r="J1060" s="4" t="n"/>
      <c r="K1060" s="4" t="n"/>
      <c r="L1060" s="4" t="n"/>
      <c r="M1060" s="4" t="n"/>
      <c r="N1060" s="4">
        <f>IF(AND(K1060="",M1060=""),"",IF(OR(K1060="sim",M1060="sim"),"sim",IF(OR(K1060="inconclusivo",M1060="inconclusivo"),"inconclusivo","não")))</f>
        <v/>
      </c>
      <c r="O1060" s="5">
        <f>IF(N1060="sim",COUNTIFS($B$3:$B1060,$B1060,$N$3:$N1060,"sim"),"")</f>
        <v/>
      </c>
      <c r="P1060" s="5" t="n"/>
      <c r="Q1060" s="4" t="n"/>
      <c r="R1060" s="5" t="n"/>
      <c r="S1060" s="9" t="n"/>
      <c r="T1060" s="4" t="n"/>
    </row>
    <row r="1061">
      <c r="A1061" s="5">
        <f>ROW()-2</f>
        <v/>
      </c>
      <c r="B1061" s="4" t="inlineStr">
        <is>
          <t>Capital regional</t>
        </is>
      </c>
      <c r="C1061" s="5" t="n">
        <v>117</v>
      </c>
      <c r="D1061" s="5">
        <f>IFERROR(INDEX('Base de sorteio'!$A$3:$A$1723,MATCH($B1061&amp;"|"&amp;$C1061,'Base de sorteio'!$I$3:$I$1723,0)),"")</f>
        <v/>
      </c>
      <c r="E1061" s="4">
        <f>IFERROR(INDEX('Base de sorteio'!$B$3:$B$1723,MATCH($B1061&amp;"|"&amp;$C1061,'Base de sorteio'!$I$3:$I$1723,0)),"")</f>
        <v/>
      </c>
      <c r="F1061" s="4">
        <f>IFERROR(INDEX('Base de sorteio'!$C$3:$C$1723,MATCH($B1061&amp;"|"&amp;$C1061,'Base de sorteio'!$I$3:$I$1723,0)),"")</f>
        <v/>
      </c>
      <c r="G1061" s="4">
        <f>IFERROR(INDEX('Base de sorteio'!$D$3:$D$1723,MATCH($B1061&amp;"|"&amp;$C1061,'Base de sorteio'!$I$3:$I$1723,0)),"")</f>
        <v/>
      </c>
      <c r="H1061" s="4">
        <f>IFERROR(INDEX('Base de sorteio'!$E$3:$E$1723,MATCH($B1061&amp;"|"&amp;$C1061,'Base de sorteio'!$I$3:$I$1723,0)),"")</f>
        <v/>
      </c>
      <c r="I1061" s="4">
        <f>IF(E1061="","",HYPERLINK(IFERROR(INDEX('Base de sorteio'!$J$3:$J$1723,MATCH($B1061&amp;"|"&amp;$C1061,'Base de sorteio'!$I$3:$I$1723,0)),""),"abrir"))</f>
        <v/>
      </c>
      <c r="J1061" s="4" t="n"/>
      <c r="K1061" s="4" t="n"/>
      <c r="L1061" s="4" t="n"/>
      <c r="M1061" s="4" t="n"/>
      <c r="N1061" s="4">
        <f>IF(AND(K1061="",M1061=""),"",IF(OR(K1061="sim",M1061="sim"),"sim",IF(OR(K1061="inconclusivo",M1061="inconclusivo"),"inconclusivo","não")))</f>
        <v/>
      </c>
      <c r="O1061" s="5">
        <f>IF(N1061="sim",COUNTIFS($B$3:$B1061,$B1061,$N$3:$N1061,"sim"),"")</f>
        <v/>
      </c>
      <c r="P1061" s="5" t="n"/>
      <c r="Q1061" s="4" t="n"/>
      <c r="R1061" s="5" t="n"/>
      <c r="S1061" s="9" t="n"/>
      <c r="T1061" s="4" t="n"/>
    </row>
    <row r="1062">
      <c r="A1062" s="5">
        <f>ROW()-2</f>
        <v/>
      </c>
      <c r="B1062" s="4" t="inlineStr">
        <is>
          <t>Capital regional</t>
        </is>
      </c>
      <c r="C1062" s="5" t="n">
        <v>118</v>
      </c>
      <c r="D1062" s="5">
        <f>IFERROR(INDEX('Base de sorteio'!$A$3:$A$1723,MATCH($B1062&amp;"|"&amp;$C1062,'Base de sorteio'!$I$3:$I$1723,0)),"")</f>
        <v/>
      </c>
      <c r="E1062" s="4">
        <f>IFERROR(INDEX('Base de sorteio'!$B$3:$B$1723,MATCH($B1062&amp;"|"&amp;$C1062,'Base de sorteio'!$I$3:$I$1723,0)),"")</f>
        <v/>
      </c>
      <c r="F1062" s="4">
        <f>IFERROR(INDEX('Base de sorteio'!$C$3:$C$1723,MATCH($B1062&amp;"|"&amp;$C1062,'Base de sorteio'!$I$3:$I$1723,0)),"")</f>
        <v/>
      </c>
      <c r="G1062" s="4">
        <f>IFERROR(INDEX('Base de sorteio'!$D$3:$D$1723,MATCH($B1062&amp;"|"&amp;$C1062,'Base de sorteio'!$I$3:$I$1723,0)),"")</f>
        <v/>
      </c>
      <c r="H1062" s="4">
        <f>IFERROR(INDEX('Base de sorteio'!$E$3:$E$1723,MATCH($B1062&amp;"|"&amp;$C1062,'Base de sorteio'!$I$3:$I$1723,0)),"")</f>
        <v/>
      </c>
      <c r="I1062" s="4">
        <f>IF(E1062="","",HYPERLINK(IFERROR(INDEX('Base de sorteio'!$J$3:$J$1723,MATCH($B1062&amp;"|"&amp;$C1062,'Base de sorteio'!$I$3:$I$1723,0)),""),"abrir"))</f>
        <v/>
      </c>
      <c r="J1062" s="4" t="n"/>
      <c r="K1062" s="4" t="n"/>
      <c r="L1062" s="4" t="n"/>
      <c r="M1062" s="4" t="n"/>
      <c r="N1062" s="4">
        <f>IF(AND(K1062="",M1062=""),"",IF(OR(K1062="sim",M1062="sim"),"sim",IF(OR(K1062="inconclusivo",M1062="inconclusivo"),"inconclusivo","não")))</f>
        <v/>
      </c>
      <c r="O1062" s="5">
        <f>IF(N1062="sim",COUNTIFS($B$3:$B1062,$B1062,$N$3:$N1062,"sim"),"")</f>
        <v/>
      </c>
      <c r="P1062" s="5" t="n"/>
      <c r="Q1062" s="4" t="n"/>
      <c r="R1062" s="5" t="n"/>
      <c r="S1062" s="9" t="n"/>
      <c r="T1062" s="4" t="n"/>
    </row>
    <row r="1063">
      <c r="A1063" s="5">
        <f>ROW()-2</f>
        <v/>
      </c>
      <c r="B1063" s="4" t="inlineStr">
        <is>
          <t>Capital regional</t>
        </is>
      </c>
      <c r="C1063" s="5" t="n">
        <v>119</v>
      </c>
      <c r="D1063" s="5">
        <f>IFERROR(INDEX('Base de sorteio'!$A$3:$A$1723,MATCH($B1063&amp;"|"&amp;$C1063,'Base de sorteio'!$I$3:$I$1723,0)),"")</f>
        <v/>
      </c>
      <c r="E1063" s="4">
        <f>IFERROR(INDEX('Base de sorteio'!$B$3:$B$1723,MATCH($B1063&amp;"|"&amp;$C1063,'Base de sorteio'!$I$3:$I$1723,0)),"")</f>
        <v/>
      </c>
      <c r="F1063" s="4">
        <f>IFERROR(INDEX('Base de sorteio'!$C$3:$C$1723,MATCH($B1063&amp;"|"&amp;$C1063,'Base de sorteio'!$I$3:$I$1723,0)),"")</f>
        <v/>
      </c>
      <c r="G1063" s="4">
        <f>IFERROR(INDEX('Base de sorteio'!$D$3:$D$1723,MATCH($B1063&amp;"|"&amp;$C1063,'Base de sorteio'!$I$3:$I$1723,0)),"")</f>
        <v/>
      </c>
      <c r="H1063" s="4">
        <f>IFERROR(INDEX('Base de sorteio'!$E$3:$E$1723,MATCH($B1063&amp;"|"&amp;$C1063,'Base de sorteio'!$I$3:$I$1723,0)),"")</f>
        <v/>
      </c>
      <c r="I1063" s="4">
        <f>IF(E1063="","",HYPERLINK(IFERROR(INDEX('Base de sorteio'!$J$3:$J$1723,MATCH($B1063&amp;"|"&amp;$C1063,'Base de sorteio'!$I$3:$I$1723,0)),""),"abrir"))</f>
        <v/>
      </c>
      <c r="J1063" s="4" t="n"/>
      <c r="K1063" s="4" t="n"/>
      <c r="L1063" s="4" t="n"/>
      <c r="M1063" s="4" t="n"/>
      <c r="N1063" s="4">
        <f>IF(AND(K1063="",M1063=""),"",IF(OR(K1063="sim",M1063="sim"),"sim",IF(OR(K1063="inconclusivo",M1063="inconclusivo"),"inconclusivo","não")))</f>
        <v/>
      </c>
      <c r="O1063" s="5">
        <f>IF(N1063="sim",COUNTIFS($B$3:$B1063,$B1063,$N$3:$N1063,"sim"),"")</f>
        <v/>
      </c>
      <c r="P1063" s="5" t="n"/>
      <c r="Q1063" s="4" t="n"/>
      <c r="R1063" s="5" t="n"/>
      <c r="S1063" s="9" t="n"/>
      <c r="T1063" s="4" t="n"/>
    </row>
    <row r="1064">
      <c r="A1064" s="5">
        <f>ROW()-2</f>
        <v/>
      </c>
      <c r="B1064" s="4" t="inlineStr">
        <is>
          <t>Capital regional</t>
        </is>
      </c>
      <c r="C1064" s="5" t="n">
        <v>120</v>
      </c>
      <c r="D1064" s="5">
        <f>IFERROR(INDEX('Base de sorteio'!$A$3:$A$1723,MATCH($B1064&amp;"|"&amp;$C1064,'Base de sorteio'!$I$3:$I$1723,0)),"")</f>
        <v/>
      </c>
      <c r="E1064" s="4">
        <f>IFERROR(INDEX('Base de sorteio'!$B$3:$B$1723,MATCH($B1064&amp;"|"&amp;$C1064,'Base de sorteio'!$I$3:$I$1723,0)),"")</f>
        <v/>
      </c>
      <c r="F1064" s="4">
        <f>IFERROR(INDEX('Base de sorteio'!$C$3:$C$1723,MATCH($B1064&amp;"|"&amp;$C1064,'Base de sorteio'!$I$3:$I$1723,0)),"")</f>
        <v/>
      </c>
      <c r="G1064" s="4">
        <f>IFERROR(INDEX('Base de sorteio'!$D$3:$D$1723,MATCH($B1064&amp;"|"&amp;$C1064,'Base de sorteio'!$I$3:$I$1723,0)),"")</f>
        <v/>
      </c>
      <c r="H1064" s="4">
        <f>IFERROR(INDEX('Base de sorteio'!$E$3:$E$1723,MATCH($B1064&amp;"|"&amp;$C1064,'Base de sorteio'!$I$3:$I$1723,0)),"")</f>
        <v/>
      </c>
      <c r="I1064" s="4">
        <f>IF(E1064="","",HYPERLINK(IFERROR(INDEX('Base de sorteio'!$J$3:$J$1723,MATCH($B1064&amp;"|"&amp;$C1064,'Base de sorteio'!$I$3:$I$1723,0)),""),"abrir"))</f>
        <v/>
      </c>
      <c r="J1064" s="4" t="n"/>
      <c r="K1064" s="4" t="n"/>
      <c r="L1064" s="4" t="n"/>
      <c r="M1064" s="4" t="n"/>
      <c r="N1064" s="4">
        <f>IF(AND(K1064="",M1064=""),"",IF(OR(K1064="sim",M1064="sim"),"sim",IF(OR(K1064="inconclusivo",M1064="inconclusivo"),"inconclusivo","não")))</f>
        <v/>
      </c>
      <c r="O1064" s="5">
        <f>IF(N1064="sim",COUNTIFS($B$3:$B1064,$B1064,$N$3:$N1064,"sim"),"")</f>
        <v/>
      </c>
      <c r="P1064" s="5" t="n"/>
      <c r="Q1064" s="4" t="n"/>
      <c r="R1064" s="5" t="n"/>
      <c r="S1064" s="9" t="n"/>
      <c r="T1064" s="4" t="n"/>
    </row>
    <row r="1065">
      <c r="A1065" s="5">
        <f>ROW()-2</f>
        <v/>
      </c>
      <c r="B1065" s="4" t="inlineStr">
        <is>
          <t>Capital regional</t>
        </is>
      </c>
      <c r="C1065" s="5" t="n">
        <v>121</v>
      </c>
      <c r="D1065" s="5">
        <f>IFERROR(INDEX('Base de sorteio'!$A$3:$A$1723,MATCH($B1065&amp;"|"&amp;$C1065,'Base de sorteio'!$I$3:$I$1723,0)),"")</f>
        <v/>
      </c>
      <c r="E1065" s="4">
        <f>IFERROR(INDEX('Base de sorteio'!$B$3:$B$1723,MATCH($B1065&amp;"|"&amp;$C1065,'Base de sorteio'!$I$3:$I$1723,0)),"")</f>
        <v/>
      </c>
      <c r="F1065" s="4">
        <f>IFERROR(INDEX('Base de sorteio'!$C$3:$C$1723,MATCH($B1065&amp;"|"&amp;$C1065,'Base de sorteio'!$I$3:$I$1723,0)),"")</f>
        <v/>
      </c>
      <c r="G1065" s="4">
        <f>IFERROR(INDEX('Base de sorteio'!$D$3:$D$1723,MATCH($B1065&amp;"|"&amp;$C1065,'Base de sorteio'!$I$3:$I$1723,0)),"")</f>
        <v/>
      </c>
      <c r="H1065" s="4">
        <f>IFERROR(INDEX('Base de sorteio'!$E$3:$E$1723,MATCH($B1065&amp;"|"&amp;$C1065,'Base de sorteio'!$I$3:$I$1723,0)),"")</f>
        <v/>
      </c>
      <c r="I1065" s="4">
        <f>IF(E1065="","",HYPERLINK(IFERROR(INDEX('Base de sorteio'!$J$3:$J$1723,MATCH($B1065&amp;"|"&amp;$C1065,'Base de sorteio'!$I$3:$I$1723,0)),""),"abrir"))</f>
        <v/>
      </c>
      <c r="J1065" s="4" t="n"/>
      <c r="K1065" s="4" t="n"/>
      <c r="L1065" s="4" t="n"/>
      <c r="M1065" s="4" t="n"/>
      <c r="N1065" s="4">
        <f>IF(AND(K1065="",M1065=""),"",IF(OR(K1065="sim",M1065="sim"),"sim",IF(OR(K1065="inconclusivo",M1065="inconclusivo"),"inconclusivo","não")))</f>
        <v/>
      </c>
      <c r="O1065" s="5">
        <f>IF(N1065="sim",COUNTIFS($B$3:$B1065,$B1065,$N$3:$N1065,"sim"),"")</f>
        <v/>
      </c>
      <c r="P1065" s="5" t="n"/>
      <c r="Q1065" s="4" t="n"/>
      <c r="R1065" s="5" t="n"/>
      <c r="S1065" s="9" t="n"/>
      <c r="T1065" s="4" t="n"/>
    </row>
    <row r="1066">
      <c r="A1066" s="5">
        <f>ROW()-2</f>
        <v/>
      </c>
      <c r="B1066" s="4" t="inlineStr">
        <is>
          <t>Capital regional</t>
        </is>
      </c>
      <c r="C1066" s="5" t="n">
        <v>122</v>
      </c>
      <c r="D1066" s="5">
        <f>IFERROR(INDEX('Base de sorteio'!$A$3:$A$1723,MATCH($B1066&amp;"|"&amp;$C1066,'Base de sorteio'!$I$3:$I$1723,0)),"")</f>
        <v/>
      </c>
      <c r="E1066" s="4">
        <f>IFERROR(INDEX('Base de sorteio'!$B$3:$B$1723,MATCH($B1066&amp;"|"&amp;$C1066,'Base de sorteio'!$I$3:$I$1723,0)),"")</f>
        <v/>
      </c>
      <c r="F1066" s="4">
        <f>IFERROR(INDEX('Base de sorteio'!$C$3:$C$1723,MATCH($B1066&amp;"|"&amp;$C1066,'Base de sorteio'!$I$3:$I$1723,0)),"")</f>
        <v/>
      </c>
      <c r="G1066" s="4">
        <f>IFERROR(INDEX('Base de sorteio'!$D$3:$D$1723,MATCH($B1066&amp;"|"&amp;$C1066,'Base de sorteio'!$I$3:$I$1723,0)),"")</f>
        <v/>
      </c>
      <c r="H1066" s="4">
        <f>IFERROR(INDEX('Base de sorteio'!$E$3:$E$1723,MATCH($B1066&amp;"|"&amp;$C1066,'Base de sorteio'!$I$3:$I$1723,0)),"")</f>
        <v/>
      </c>
      <c r="I1066" s="4">
        <f>IF(E1066="","",HYPERLINK(IFERROR(INDEX('Base de sorteio'!$J$3:$J$1723,MATCH($B1066&amp;"|"&amp;$C1066,'Base de sorteio'!$I$3:$I$1723,0)),""),"abrir"))</f>
        <v/>
      </c>
      <c r="J1066" s="4" t="n"/>
      <c r="K1066" s="4" t="n"/>
      <c r="L1066" s="4" t="n"/>
      <c r="M1066" s="4" t="n"/>
      <c r="N1066" s="4">
        <f>IF(AND(K1066="",M1066=""),"",IF(OR(K1066="sim",M1066="sim"),"sim",IF(OR(K1066="inconclusivo",M1066="inconclusivo"),"inconclusivo","não")))</f>
        <v/>
      </c>
      <c r="O1066" s="5">
        <f>IF(N1066="sim",COUNTIFS($B$3:$B1066,$B1066,$N$3:$N1066,"sim"),"")</f>
        <v/>
      </c>
      <c r="P1066" s="5" t="n"/>
      <c r="Q1066" s="4" t="n"/>
      <c r="R1066" s="5" t="n"/>
      <c r="S1066" s="9" t="n"/>
      <c r="T1066" s="4" t="n"/>
    </row>
    <row r="1067">
      <c r="A1067" s="5">
        <f>ROW()-2</f>
        <v/>
      </c>
      <c r="B1067" s="4" t="inlineStr">
        <is>
          <t>Capital regional</t>
        </is>
      </c>
      <c r="C1067" s="5" t="n">
        <v>123</v>
      </c>
      <c r="D1067" s="5">
        <f>IFERROR(INDEX('Base de sorteio'!$A$3:$A$1723,MATCH($B1067&amp;"|"&amp;$C1067,'Base de sorteio'!$I$3:$I$1723,0)),"")</f>
        <v/>
      </c>
      <c r="E1067" s="4">
        <f>IFERROR(INDEX('Base de sorteio'!$B$3:$B$1723,MATCH($B1067&amp;"|"&amp;$C1067,'Base de sorteio'!$I$3:$I$1723,0)),"")</f>
        <v/>
      </c>
      <c r="F1067" s="4">
        <f>IFERROR(INDEX('Base de sorteio'!$C$3:$C$1723,MATCH($B1067&amp;"|"&amp;$C1067,'Base de sorteio'!$I$3:$I$1723,0)),"")</f>
        <v/>
      </c>
      <c r="G1067" s="4">
        <f>IFERROR(INDEX('Base de sorteio'!$D$3:$D$1723,MATCH($B1067&amp;"|"&amp;$C1067,'Base de sorteio'!$I$3:$I$1723,0)),"")</f>
        <v/>
      </c>
      <c r="H1067" s="4">
        <f>IFERROR(INDEX('Base de sorteio'!$E$3:$E$1723,MATCH($B1067&amp;"|"&amp;$C1067,'Base de sorteio'!$I$3:$I$1723,0)),"")</f>
        <v/>
      </c>
      <c r="I1067" s="4">
        <f>IF(E1067="","",HYPERLINK(IFERROR(INDEX('Base de sorteio'!$J$3:$J$1723,MATCH($B1067&amp;"|"&amp;$C1067,'Base de sorteio'!$I$3:$I$1723,0)),""),"abrir"))</f>
        <v/>
      </c>
      <c r="J1067" s="4" t="n"/>
      <c r="K1067" s="4" t="n"/>
      <c r="L1067" s="4" t="n"/>
      <c r="M1067" s="4" t="n"/>
      <c r="N1067" s="4">
        <f>IF(AND(K1067="",M1067=""),"",IF(OR(K1067="sim",M1067="sim"),"sim",IF(OR(K1067="inconclusivo",M1067="inconclusivo"),"inconclusivo","não")))</f>
        <v/>
      </c>
      <c r="O1067" s="5">
        <f>IF(N1067="sim",COUNTIFS($B$3:$B1067,$B1067,$N$3:$N1067,"sim"),"")</f>
        <v/>
      </c>
      <c r="P1067" s="5" t="n"/>
      <c r="Q1067" s="4" t="n"/>
      <c r="R1067" s="5" t="n"/>
      <c r="S1067" s="9" t="n"/>
      <c r="T1067" s="4" t="n"/>
    </row>
    <row r="1068">
      <c r="A1068" s="5">
        <f>ROW()-2</f>
        <v/>
      </c>
      <c r="B1068" s="4" t="inlineStr">
        <is>
          <t>Capital regional</t>
        </is>
      </c>
      <c r="C1068" s="5" t="n">
        <v>124</v>
      </c>
      <c r="D1068" s="5">
        <f>IFERROR(INDEX('Base de sorteio'!$A$3:$A$1723,MATCH($B1068&amp;"|"&amp;$C1068,'Base de sorteio'!$I$3:$I$1723,0)),"")</f>
        <v/>
      </c>
      <c r="E1068" s="4">
        <f>IFERROR(INDEX('Base de sorteio'!$B$3:$B$1723,MATCH($B1068&amp;"|"&amp;$C1068,'Base de sorteio'!$I$3:$I$1723,0)),"")</f>
        <v/>
      </c>
      <c r="F1068" s="4">
        <f>IFERROR(INDEX('Base de sorteio'!$C$3:$C$1723,MATCH($B1068&amp;"|"&amp;$C1068,'Base de sorteio'!$I$3:$I$1723,0)),"")</f>
        <v/>
      </c>
      <c r="G1068" s="4">
        <f>IFERROR(INDEX('Base de sorteio'!$D$3:$D$1723,MATCH($B1068&amp;"|"&amp;$C1068,'Base de sorteio'!$I$3:$I$1723,0)),"")</f>
        <v/>
      </c>
      <c r="H1068" s="4">
        <f>IFERROR(INDEX('Base de sorteio'!$E$3:$E$1723,MATCH($B1068&amp;"|"&amp;$C1068,'Base de sorteio'!$I$3:$I$1723,0)),"")</f>
        <v/>
      </c>
      <c r="I1068" s="4">
        <f>IF(E1068="","",HYPERLINK(IFERROR(INDEX('Base de sorteio'!$J$3:$J$1723,MATCH($B1068&amp;"|"&amp;$C1068,'Base de sorteio'!$I$3:$I$1723,0)),""),"abrir"))</f>
        <v/>
      </c>
      <c r="J1068" s="4" t="n"/>
      <c r="K1068" s="4" t="n"/>
      <c r="L1068" s="4" t="n"/>
      <c r="M1068" s="4" t="n"/>
      <c r="N1068" s="4">
        <f>IF(AND(K1068="",M1068=""),"",IF(OR(K1068="sim",M1068="sim"),"sim",IF(OR(K1068="inconclusivo",M1068="inconclusivo"),"inconclusivo","não")))</f>
        <v/>
      </c>
      <c r="O1068" s="5">
        <f>IF(N1068="sim",COUNTIFS($B$3:$B1068,$B1068,$N$3:$N1068,"sim"),"")</f>
        <v/>
      </c>
      <c r="P1068" s="5" t="n"/>
      <c r="Q1068" s="4" t="n"/>
      <c r="R1068" s="5" t="n"/>
      <c r="S1068" s="9" t="n"/>
      <c r="T1068" s="4" t="n"/>
    </row>
    <row r="1069">
      <c r="A1069" s="5">
        <f>ROW()-2</f>
        <v/>
      </c>
      <c r="B1069" s="4" t="inlineStr">
        <is>
          <t>Capital regional</t>
        </is>
      </c>
      <c r="C1069" s="5" t="n">
        <v>125</v>
      </c>
      <c r="D1069" s="5">
        <f>IFERROR(INDEX('Base de sorteio'!$A$3:$A$1723,MATCH($B1069&amp;"|"&amp;$C1069,'Base de sorteio'!$I$3:$I$1723,0)),"")</f>
        <v/>
      </c>
      <c r="E1069" s="4">
        <f>IFERROR(INDEX('Base de sorteio'!$B$3:$B$1723,MATCH($B1069&amp;"|"&amp;$C1069,'Base de sorteio'!$I$3:$I$1723,0)),"")</f>
        <v/>
      </c>
      <c r="F1069" s="4">
        <f>IFERROR(INDEX('Base de sorteio'!$C$3:$C$1723,MATCH($B1069&amp;"|"&amp;$C1069,'Base de sorteio'!$I$3:$I$1723,0)),"")</f>
        <v/>
      </c>
      <c r="G1069" s="4">
        <f>IFERROR(INDEX('Base de sorteio'!$D$3:$D$1723,MATCH($B1069&amp;"|"&amp;$C1069,'Base de sorteio'!$I$3:$I$1723,0)),"")</f>
        <v/>
      </c>
      <c r="H1069" s="4">
        <f>IFERROR(INDEX('Base de sorteio'!$E$3:$E$1723,MATCH($B1069&amp;"|"&amp;$C1069,'Base de sorteio'!$I$3:$I$1723,0)),"")</f>
        <v/>
      </c>
      <c r="I1069" s="4">
        <f>IF(E1069="","",HYPERLINK(IFERROR(INDEX('Base de sorteio'!$J$3:$J$1723,MATCH($B1069&amp;"|"&amp;$C1069,'Base de sorteio'!$I$3:$I$1723,0)),""),"abrir"))</f>
        <v/>
      </c>
      <c r="J1069" s="4" t="n"/>
      <c r="K1069" s="4" t="n"/>
      <c r="L1069" s="4" t="n"/>
      <c r="M1069" s="4" t="n"/>
      <c r="N1069" s="4">
        <f>IF(AND(K1069="",M1069=""),"",IF(OR(K1069="sim",M1069="sim"),"sim",IF(OR(K1069="inconclusivo",M1069="inconclusivo"),"inconclusivo","não")))</f>
        <v/>
      </c>
      <c r="O1069" s="5">
        <f>IF(N1069="sim",COUNTIFS($B$3:$B1069,$B1069,$N$3:$N1069,"sim"),"")</f>
        <v/>
      </c>
      <c r="P1069" s="5" t="n"/>
      <c r="Q1069" s="4" t="n"/>
      <c r="R1069" s="5" t="n"/>
      <c r="S1069" s="9" t="n"/>
      <c r="T1069" s="4" t="n"/>
    </row>
    <row r="1070">
      <c r="A1070" s="5">
        <f>ROW()-2</f>
        <v/>
      </c>
      <c r="B1070" s="4" t="inlineStr">
        <is>
          <t>Capital regional</t>
        </is>
      </c>
      <c r="C1070" s="5" t="n">
        <v>126</v>
      </c>
      <c r="D1070" s="5">
        <f>IFERROR(INDEX('Base de sorteio'!$A$3:$A$1723,MATCH($B1070&amp;"|"&amp;$C1070,'Base de sorteio'!$I$3:$I$1723,0)),"")</f>
        <v/>
      </c>
      <c r="E1070" s="4">
        <f>IFERROR(INDEX('Base de sorteio'!$B$3:$B$1723,MATCH($B1070&amp;"|"&amp;$C1070,'Base de sorteio'!$I$3:$I$1723,0)),"")</f>
        <v/>
      </c>
      <c r="F1070" s="4">
        <f>IFERROR(INDEX('Base de sorteio'!$C$3:$C$1723,MATCH($B1070&amp;"|"&amp;$C1070,'Base de sorteio'!$I$3:$I$1723,0)),"")</f>
        <v/>
      </c>
      <c r="G1070" s="4">
        <f>IFERROR(INDEX('Base de sorteio'!$D$3:$D$1723,MATCH($B1070&amp;"|"&amp;$C1070,'Base de sorteio'!$I$3:$I$1723,0)),"")</f>
        <v/>
      </c>
      <c r="H1070" s="4">
        <f>IFERROR(INDEX('Base de sorteio'!$E$3:$E$1723,MATCH($B1070&amp;"|"&amp;$C1070,'Base de sorteio'!$I$3:$I$1723,0)),"")</f>
        <v/>
      </c>
      <c r="I1070" s="4">
        <f>IF(E1070="","",HYPERLINK(IFERROR(INDEX('Base de sorteio'!$J$3:$J$1723,MATCH($B1070&amp;"|"&amp;$C1070,'Base de sorteio'!$I$3:$I$1723,0)),""),"abrir"))</f>
        <v/>
      </c>
      <c r="J1070" s="4" t="n"/>
      <c r="K1070" s="4" t="n"/>
      <c r="L1070" s="4" t="n"/>
      <c r="M1070" s="4" t="n"/>
      <c r="N1070" s="4">
        <f>IF(AND(K1070="",M1070=""),"",IF(OR(K1070="sim",M1070="sim"),"sim",IF(OR(K1070="inconclusivo",M1070="inconclusivo"),"inconclusivo","não")))</f>
        <v/>
      </c>
      <c r="O1070" s="5">
        <f>IF(N1070="sim",COUNTIFS($B$3:$B1070,$B1070,$N$3:$N1070,"sim"),"")</f>
        <v/>
      </c>
      <c r="P1070" s="5" t="n"/>
      <c r="Q1070" s="4" t="n"/>
      <c r="R1070" s="5" t="n"/>
      <c r="S1070" s="9" t="n"/>
      <c r="T1070" s="4" t="n"/>
    </row>
    <row r="1071">
      <c r="A1071" s="5">
        <f>ROW()-2</f>
        <v/>
      </c>
      <c r="B1071" s="4" t="inlineStr">
        <is>
          <t>Capital regional</t>
        </is>
      </c>
      <c r="C1071" s="5" t="n">
        <v>127</v>
      </c>
      <c r="D1071" s="5">
        <f>IFERROR(INDEX('Base de sorteio'!$A$3:$A$1723,MATCH($B1071&amp;"|"&amp;$C1071,'Base de sorteio'!$I$3:$I$1723,0)),"")</f>
        <v/>
      </c>
      <c r="E1071" s="4">
        <f>IFERROR(INDEX('Base de sorteio'!$B$3:$B$1723,MATCH($B1071&amp;"|"&amp;$C1071,'Base de sorteio'!$I$3:$I$1723,0)),"")</f>
        <v/>
      </c>
      <c r="F1071" s="4">
        <f>IFERROR(INDEX('Base de sorteio'!$C$3:$C$1723,MATCH($B1071&amp;"|"&amp;$C1071,'Base de sorteio'!$I$3:$I$1723,0)),"")</f>
        <v/>
      </c>
      <c r="G1071" s="4">
        <f>IFERROR(INDEX('Base de sorteio'!$D$3:$D$1723,MATCH($B1071&amp;"|"&amp;$C1071,'Base de sorteio'!$I$3:$I$1723,0)),"")</f>
        <v/>
      </c>
      <c r="H1071" s="4">
        <f>IFERROR(INDEX('Base de sorteio'!$E$3:$E$1723,MATCH($B1071&amp;"|"&amp;$C1071,'Base de sorteio'!$I$3:$I$1723,0)),"")</f>
        <v/>
      </c>
      <c r="I1071" s="4">
        <f>IF(E1071="","",HYPERLINK(IFERROR(INDEX('Base de sorteio'!$J$3:$J$1723,MATCH($B1071&amp;"|"&amp;$C1071,'Base de sorteio'!$I$3:$I$1723,0)),""),"abrir"))</f>
        <v/>
      </c>
      <c r="J1071" s="4" t="n"/>
      <c r="K1071" s="4" t="n"/>
      <c r="L1071" s="4" t="n"/>
      <c r="M1071" s="4" t="n"/>
      <c r="N1071" s="4">
        <f>IF(AND(K1071="",M1071=""),"",IF(OR(K1071="sim",M1071="sim"),"sim",IF(OR(K1071="inconclusivo",M1071="inconclusivo"),"inconclusivo","não")))</f>
        <v/>
      </c>
      <c r="O1071" s="5">
        <f>IF(N1071="sim",COUNTIFS($B$3:$B1071,$B1071,$N$3:$N1071,"sim"),"")</f>
        <v/>
      </c>
      <c r="P1071" s="5" t="n"/>
      <c r="Q1071" s="4" t="n"/>
      <c r="R1071" s="5" t="n"/>
      <c r="S1071" s="9" t="n"/>
      <c r="T1071" s="4" t="n"/>
    </row>
    <row r="1072">
      <c r="A1072" s="5">
        <f>ROW()-2</f>
        <v/>
      </c>
      <c r="B1072" s="4" t="inlineStr">
        <is>
          <t>Capital regional</t>
        </is>
      </c>
      <c r="C1072" s="5" t="n">
        <v>128</v>
      </c>
      <c r="D1072" s="5">
        <f>IFERROR(INDEX('Base de sorteio'!$A$3:$A$1723,MATCH($B1072&amp;"|"&amp;$C1072,'Base de sorteio'!$I$3:$I$1723,0)),"")</f>
        <v/>
      </c>
      <c r="E1072" s="4">
        <f>IFERROR(INDEX('Base de sorteio'!$B$3:$B$1723,MATCH($B1072&amp;"|"&amp;$C1072,'Base de sorteio'!$I$3:$I$1723,0)),"")</f>
        <v/>
      </c>
      <c r="F1072" s="4">
        <f>IFERROR(INDEX('Base de sorteio'!$C$3:$C$1723,MATCH($B1072&amp;"|"&amp;$C1072,'Base de sorteio'!$I$3:$I$1723,0)),"")</f>
        <v/>
      </c>
      <c r="G1072" s="4">
        <f>IFERROR(INDEX('Base de sorteio'!$D$3:$D$1723,MATCH($B1072&amp;"|"&amp;$C1072,'Base de sorteio'!$I$3:$I$1723,0)),"")</f>
        <v/>
      </c>
      <c r="H1072" s="4">
        <f>IFERROR(INDEX('Base de sorteio'!$E$3:$E$1723,MATCH($B1072&amp;"|"&amp;$C1072,'Base de sorteio'!$I$3:$I$1723,0)),"")</f>
        <v/>
      </c>
      <c r="I1072" s="4">
        <f>IF(E1072="","",HYPERLINK(IFERROR(INDEX('Base de sorteio'!$J$3:$J$1723,MATCH($B1072&amp;"|"&amp;$C1072,'Base de sorteio'!$I$3:$I$1723,0)),""),"abrir"))</f>
        <v/>
      </c>
      <c r="J1072" s="4" t="n"/>
      <c r="K1072" s="4" t="n"/>
      <c r="L1072" s="4" t="n"/>
      <c r="M1072" s="4" t="n"/>
      <c r="N1072" s="4">
        <f>IF(AND(K1072="",M1072=""),"",IF(OR(K1072="sim",M1072="sim"),"sim",IF(OR(K1072="inconclusivo",M1072="inconclusivo"),"inconclusivo","não")))</f>
        <v/>
      </c>
      <c r="O1072" s="5">
        <f>IF(N1072="sim",COUNTIFS($B$3:$B1072,$B1072,$N$3:$N1072,"sim"),"")</f>
        <v/>
      </c>
      <c r="P1072" s="5" t="n"/>
      <c r="Q1072" s="4" t="n"/>
      <c r="R1072" s="5" t="n"/>
      <c r="S1072" s="9" t="n"/>
      <c r="T1072" s="4" t="n"/>
    </row>
    <row r="1073">
      <c r="A1073" s="5">
        <f>ROW()-2</f>
        <v/>
      </c>
      <c r="B1073" s="4" t="inlineStr">
        <is>
          <t>Capital regional</t>
        </is>
      </c>
      <c r="C1073" s="5" t="n">
        <v>129</v>
      </c>
      <c r="D1073" s="5">
        <f>IFERROR(INDEX('Base de sorteio'!$A$3:$A$1723,MATCH($B1073&amp;"|"&amp;$C1073,'Base de sorteio'!$I$3:$I$1723,0)),"")</f>
        <v/>
      </c>
      <c r="E1073" s="4">
        <f>IFERROR(INDEX('Base de sorteio'!$B$3:$B$1723,MATCH($B1073&amp;"|"&amp;$C1073,'Base de sorteio'!$I$3:$I$1723,0)),"")</f>
        <v/>
      </c>
      <c r="F1073" s="4">
        <f>IFERROR(INDEX('Base de sorteio'!$C$3:$C$1723,MATCH($B1073&amp;"|"&amp;$C1073,'Base de sorteio'!$I$3:$I$1723,0)),"")</f>
        <v/>
      </c>
      <c r="G1073" s="4">
        <f>IFERROR(INDEX('Base de sorteio'!$D$3:$D$1723,MATCH($B1073&amp;"|"&amp;$C1073,'Base de sorteio'!$I$3:$I$1723,0)),"")</f>
        <v/>
      </c>
      <c r="H1073" s="4">
        <f>IFERROR(INDEX('Base de sorteio'!$E$3:$E$1723,MATCH($B1073&amp;"|"&amp;$C1073,'Base de sorteio'!$I$3:$I$1723,0)),"")</f>
        <v/>
      </c>
      <c r="I1073" s="4">
        <f>IF(E1073="","",HYPERLINK(IFERROR(INDEX('Base de sorteio'!$J$3:$J$1723,MATCH($B1073&amp;"|"&amp;$C1073,'Base de sorteio'!$I$3:$I$1723,0)),""),"abrir"))</f>
        <v/>
      </c>
      <c r="J1073" s="4" t="n"/>
      <c r="K1073" s="4" t="n"/>
      <c r="L1073" s="4" t="n"/>
      <c r="M1073" s="4" t="n"/>
      <c r="N1073" s="4">
        <f>IF(AND(K1073="",M1073=""),"",IF(OR(K1073="sim",M1073="sim"),"sim",IF(OR(K1073="inconclusivo",M1073="inconclusivo"),"inconclusivo","não")))</f>
        <v/>
      </c>
      <c r="O1073" s="5">
        <f>IF(N1073="sim",COUNTIFS($B$3:$B1073,$B1073,$N$3:$N1073,"sim"),"")</f>
        <v/>
      </c>
      <c r="P1073" s="5" t="n"/>
      <c r="Q1073" s="4" t="n"/>
      <c r="R1073" s="5" t="n"/>
      <c r="S1073" s="9" t="n"/>
      <c r="T1073" s="4" t="n"/>
    </row>
    <row r="1074">
      <c r="A1074" s="5">
        <f>ROW()-2</f>
        <v/>
      </c>
      <c r="B1074" s="4" t="inlineStr">
        <is>
          <t>Capital regional</t>
        </is>
      </c>
      <c r="C1074" s="5" t="n">
        <v>130</v>
      </c>
      <c r="D1074" s="5">
        <f>IFERROR(INDEX('Base de sorteio'!$A$3:$A$1723,MATCH($B1074&amp;"|"&amp;$C1074,'Base de sorteio'!$I$3:$I$1723,0)),"")</f>
        <v/>
      </c>
      <c r="E1074" s="4">
        <f>IFERROR(INDEX('Base de sorteio'!$B$3:$B$1723,MATCH($B1074&amp;"|"&amp;$C1074,'Base de sorteio'!$I$3:$I$1723,0)),"")</f>
        <v/>
      </c>
      <c r="F1074" s="4">
        <f>IFERROR(INDEX('Base de sorteio'!$C$3:$C$1723,MATCH($B1074&amp;"|"&amp;$C1074,'Base de sorteio'!$I$3:$I$1723,0)),"")</f>
        <v/>
      </c>
      <c r="G1074" s="4">
        <f>IFERROR(INDEX('Base de sorteio'!$D$3:$D$1723,MATCH($B1074&amp;"|"&amp;$C1074,'Base de sorteio'!$I$3:$I$1723,0)),"")</f>
        <v/>
      </c>
      <c r="H1074" s="4">
        <f>IFERROR(INDEX('Base de sorteio'!$E$3:$E$1723,MATCH($B1074&amp;"|"&amp;$C1074,'Base de sorteio'!$I$3:$I$1723,0)),"")</f>
        <v/>
      </c>
      <c r="I1074" s="4">
        <f>IF(E1074="","",HYPERLINK(IFERROR(INDEX('Base de sorteio'!$J$3:$J$1723,MATCH($B1074&amp;"|"&amp;$C1074,'Base de sorteio'!$I$3:$I$1723,0)),""),"abrir"))</f>
        <v/>
      </c>
      <c r="J1074" s="4" t="n"/>
      <c r="K1074" s="4" t="n"/>
      <c r="L1074" s="4" t="n"/>
      <c r="M1074" s="4" t="n"/>
      <c r="N1074" s="4">
        <f>IF(AND(K1074="",M1074=""),"",IF(OR(K1074="sim",M1074="sim"),"sim",IF(OR(K1074="inconclusivo",M1074="inconclusivo"),"inconclusivo","não")))</f>
        <v/>
      </c>
      <c r="O1074" s="5">
        <f>IF(N1074="sim",COUNTIFS($B$3:$B1074,$B1074,$N$3:$N1074,"sim"),"")</f>
        <v/>
      </c>
      <c r="P1074" s="5" t="n"/>
      <c r="Q1074" s="4" t="n"/>
      <c r="R1074" s="5" t="n"/>
      <c r="S1074" s="9" t="n"/>
      <c r="T1074" s="4" t="n"/>
    </row>
    <row r="1075">
      <c r="A1075" s="5">
        <f>ROW()-2</f>
        <v/>
      </c>
      <c r="B1075" s="4" t="inlineStr">
        <is>
          <t>Capital regional</t>
        </is>
      </c>
      <c r="C1075" s="5" t="n">
        <v>131</v>
      </c>
      <c r="D1075" s="5">
        <f>IFERROR(INDEX('Base de sorteio'!$A$3:$A$1723,MATCH($B1075&amp;"|"&amp;$C1075,'Base de sorteio'!$I$3:$I$1723,0)),"")</f>
        <v/>
      </c>
      <c r="E1075" s="4">
        <f>IFERROR(INDEX('Base de sorteio'!$B$3:$B$1723,MATCH($B1075&amp;"|"&amp;$C1075,'Base de sorteio'!$I$3:$I$1723,0)),"")</f>
        <v/>
      </c>
      <c r="F1075" s="4">
        <f>IFERROR(INDEX('Base de sorteio'!$C$3:$C$1723,MATCH($B1075&amp;"|"&amp;$C1075,'Base de sorteio'!$I$3:$I$1723,0)),"")</f>
        <v/>
      </c>
      <c r="G1075" s="4">
        <f>IFERROR(INDEX('Base de sorteio'!$D$3:$D$1723,MATCH($B1075&amp;"|"&amp;$C1075,'Base de sorteio'!$I$3:$I$1723,0)),"")</f>
        <v/>
      </c>
      <c r="H1075" s="4">
        <f>IFERROR(INDEX('Base de sorteio'!$E$3:$E$1723,MATCH($B1075&amp;"|"&amp;$C1075,'Base de sorteio'!$I$3:$I$1723,0)),"")</f>
        <v/>
      </c>
      <c r="I1075" s="4">
        <f>IF(E1075="","",HYPERLINK(IFERROR(INDEX('Base de sorteio'!$J$3:$J$1723,MATCH($B1075&amp;"|"&amp;$C1075,'Base de sorteio'!$I$3:$I$1723,0)),""),"abrir"))</f>
        <v/>
      </c>
      <c r="J1075" s="4" t="n"/>
      <c r="K1075" s="4" t="n"/>
      <c r="L1075" s="4" t="n"/>
      <c r="M1075" s="4" t="n"/>
      <c r="N1075" s="4">
        <f>IF(AND(K1075="",M1075=""),"",IF(OR(K1075="sim",M1075="sim"),"sim",IF(OR(K1075="inconclusivo",M1075="inconclusivo"),"inconclusivo","não")))</f>
        <v/>
      </c>
      <c r="O1075" s="5">
        <f>IF(N1075="sim",COUNTIFS($B$3:$B1075,$B1075,$N$3:$N1075,"sim"),"")</f>
        <v/>
      </c>
      <c r="P1075" s="5" t="n"/>
      <c r="Q1075" s="4" t="n"/>
      <c r="R1075" s="5" t="n"/>
      <c r="S1075" s="9" t="n"/>
      <c r="T1075" s="4" t="n"/>
    </row>
    <row r="1076">
      <c r="A1076" s="5">
        <f>ROW()-2</f>
        <v/>
      </c>
      <c r="B1076" s="4" t="inlineStr">
        <is>
          <t>Capital regional</t>
        </is>
      </c>
      <c r="C1076" s="5" t="n">
        <v>132</v>
      </c>
      <c r="D1076" s="5">
        <f>IFERROR(INDEX('Base de sorteio'!$A$3:$A$1723,MATCH($B1076&amp;"|"&amp;$C1076,'Base de sorteio'!$I$3:$I$1723,0)),"")</f>
        <v/>
      </c>
      <c r="E1076" s="4">
        <f>IFERROR(INDEX('Base de sorteio'!$B$3:$B$1723,MATCH($B1076&amp;"|"&amp;$C1076,'Base de sorteio'!$I$3:$I$1723,0)),"")</f>
        <v/>
      </c>
      <c r="F1076" s="4">
        <f>IFERROR(INDEX('Base de sorteio'!$C$3:$C$1723,MATCH($B1076&amp;"|"&amp;$C1076,'Base de sorteio'!$I$3:$I$1723,0)),"")</f>
        <v/>
      </c>
      <c r="G1076" s="4">
        <f>IFERROR(INDEX('Base de sorteio'!$D$3:$D$1723,MATCH($B1076&amp;"|"&amp;$C1076,'Base de sorteio'!$I$3:$I$1723,0)),"")</f>
        <v/>
      </c>
      <c r="H1076" s="4">
        <f>IFERROR(INDEX('Base de sorteio'!$E$3:$E$1723,MATCH($B1076&amp;"|"&amp;$C1076,'Base de sorteio'!$I$3:$I$1723,0)),"")</f>
        <v/>
      </c>
      <c r="I1076" s="4">
        <f>IF(E1076="","",HYPERLINK(IFERROR(INDEX('Base de sorteio'!$J$3:$J$1723,MATCH($B1076&amp;"|"&amp;$C1076,'Base de sorteio'!$I$3:$I$1723,0)),""),"abrir"))</f>
        <v/>
      </c>
      <c r="J1076" s="4" t="n"/>
      <c r="K1076" s="4" t="n"/>
      <c r="L1076" s="4" t="n"/>
      <c r="M1076" s="4" t="n"/>
      <c r="N1076" s="4">
        <f>IF(AND(K1076="",M1076=""),"",IF(OR(K1076="sim",M1076="sim"),"sim",IF(OR(K1076="inconclusivo",M1076="inconclusivo"),"inconclusivo","não")))</f>
        <v/>
      </c>
      <c r="O1076" s="5">
        <f>IF(N1076="sim",COUNTIFS($B$3:$B1076,$B1076,$N$3:$N1076,"sim"),"")</f>
        <v/>
      </c>
      <c r="P1076" s="5" t="n"/>
      <c r="Q1076" s="4" t="n"/>
      <c r="R1076" s="5" t="n"/>
      <c r="S1076" s="9" t="n"/>
      <c r="T1076" s="4" t="n"/>
    </row>
    <row r="1077">
      <c r="A1077" s="5">
        <f>ROW()-2</f>
        <v/>
      </c>
      <c r="B1077" s="4" t="inlineStr">
        <is>
          <t>Capital regional</t>
        </is>
      </c>
      <c r="C1077" s="5" t="n">
        <v>133</v>
      </c>
      <c r="D1077" s="5">
        <f>IFERROR(INDEX('Base de sorteio'!$A$3:$A$1723,MATCH($B1077&amp;"|"&amp;$C1077,'Base de sorteio'!$I$3:$I$1723,0)),"")</f>
        <v/>
      </c>
      <c r="E1077" s="4">
        <f>IFERROR(INDEX('Base de sorteio'!$B$3:$B$1723,MATCH($B1077&amp;"|"&amp;$C1077,'Base de sorteio'!$I$3:$I$1723,0)),"")</f>
        <v/>
      </c>
      <c r="F1077" s="4">
        <f>IFERROR(INDEX('Base de sorteio'!$C$3:$C$1723,MATCH($B1077&amp;"|"&amp;$C1077,'Base de sorteio'!$I$3:$I$1723,0)),"")</f>
        <v/>
      </c>
      <c r="G1077" s="4">
        <f>IFERROR(INDEX('Base de sorteio'!$D$3:$D$1723,MATCH($B1077&amp;"|"&amp;$C1077,'Base de sorteio'!$I$3:$I$1723,0)),"")</f>
        <v/>
      </c>
      <c r="H1077" s="4">
        <f>IFERROR(INDEX('Base de sorteio'!$E$3:$E$1723,MATCH($B1077&amp;"|"&amp;$C1077,'Base de sorteio'!$I$3:$I$1723,0)),"")</f>
        <v/>
      </c>
      <c r="I1077" s="4">
        <f>IF(E1077="","",HYPERLINK(IFERROR(INDEX('Base de sorteio'!$J$3:$J$1723,MATCH($B1077&amp;"|"&amp;$C1077,'Base de sorteio'!$I$3:$I$1723,0)),""),"abrir"))</f>
        <v/>
      </c>
      <c r="J1077" s="4" t="n"/>
      <c r="K1077" s="4" t="n"/>
      <c r="L1077" s="4" t="n"/>
      <c r="M1077" s="4" t="n"/>
      <c r="N1077" s="4">
        <f>IF(AND(K1077="",M1077=""),"",IF(OR(K1077="sim",M1077="sim"),"sim",IF(OR(K1077="inconclusivo",M1077="inconclusivo"),"inconclusivo","não")))</f>
        <v/>
      </c>
      <c r="O1077" s="5">
        <f>IF(N1077="sim",COUNTIFS($B$3:$B1077,$B1077,$N$3:$N1077,"sim"),"")</f>
        <v/>
      </c>
      <c r="P1077" s="5" t="n"/>
      <c r="Q1077" s="4" t="n"/>
      <c r="R1077" s="5" t="n"/>
      <c r="S1077" s="9" t="n"/>
      <c r="T1077" s="4" t="n"/>
    </row>
    <row r="1078">
      <c r="A1078" s="5">
        <f>ROW()-2</f>
        <v/>
      </c>
      <c r="B1078" s="4" t="inlineStr">
        <is>
          <t>Capital regional</t>
        </is>
      </c>
      <c r="C1078" s="5" t="n">
        <v>134</v>
      </c>
      <c r="D1078" s="5">
        <f>IFERROR(INDEX('Base de sorteio'!$A$3:$A$1723,MATCH($B1078&amp;"|"&amp;$C1078,'Base de sorteio'!$I$3:$I$1723,0)),"")</f>
        <v/>
      </c>
      <c r="E1078" s="4">
        <f>IFERROR(INDEX('Base de sorteio'!$B$3:$B$1723,MATCH($B1078&amp;"|"&amp;$C1078,'Base de sorteio'!$I$3:$I$1723,0)),"")</f>
        <v/>
      </c>
      <c r="F1078" s="4">
        <f>IFERROR(INDEX('Base de sorteio'!$C$3:$C$1723,MATCH($B1078&amp;"|"&amp;$C1078,'Base de sorteio'!$I$3:$I$1723,0)),"")</f>
        <v/>
      </c>
      <c r="G1078" s="4">
        <f>IFERROR(INDEX('Base de sorteio'!$D$3:$D$1723,MATCH($B1078&amp;"|"&amp;$C1078,'Base de sorteio'!$I$3:$I$1723,0)),"")</f>
        <v/>
      </c>
      <c r="H1078" s="4">
        <f>IFERROR(INDEX('Base de sorteio'!$E$3:$E$1723,MATCH($B1078&amp;"|"&amp;$C1078,'Base de sorteio'!$I$3:$I$1723,0)),"")</f>
        <v/>
      </c>
      <c r="I1078" s="4">
        <f>IF(E1078="","",HYPERLINK(IFERROR(INDEX('Base de sorteio'!$J$3:$J$1723,MATCH($B1078&amp;"|"&amp;$C1078,'Base de sorteio'!$I$3:$I$1723,0)),""),"abrir"))</f>
        <v/>
      </c>
      <c r="J1078" s="4" t="n"/>
      <c r="K1078" s="4" t="n"/>
      <c r="L1078" s="4" t="n"/>
      <c r="M1078" s="4" t="n"/>
      <c r="N1078" s="4">
        <f>IF(AND(K1078="",M1078=""),"",IF(OR(K1078="sim",M1078="sim"),"sim",IF(OR(K1078="inconclusivo",M1078="inconclusivo"),"inconclusivo","não")))</f>
        <v/>
      </c>
      <c r="O1078" s="5">
        <f>IF(N1078="sim",COUNTIFS($B$3:$B1078,$B1078,$N$3:$N1078,"sim"),"")</f>
        <v/>
      </c>
      <c r="P1078" s="5" t="n"/>
      <c r="Q1078" s="4" t="n"/>
      <c r="R1078" s="5" t="n"/>
      <c r="S1078" s="9" t="n"/>
      <c r="T1078" s="4" t="n"/>
    </row>
    <row r="1079">
      <c r="A1079" s="5">
        <f>ROW()-2</f>
        <v/>
      </c>
      <c r="B1079" s="4" t="inlineStr">
        <is>
          <t>Capital regional</t>
        </is>
      </c>
      <c r="C1079" s="5" t="n">
        <v>135</v>
      </c>
      <c r="D1079" s="5">
        <f>IFERROR(INDEX('Base de sorteio'!$A$3:$A$1723,MATCH($B1079&amp;"|"&amp;$C1079,'Base de sorteio'!$I$3:$I$1723,0)),"")</f>
        <v/>
      </c>
      <c r="E1079" s="4">
        <f>IFERROR(INDEX('Base de sorteio'!$B$3:$B$1723,MATCH($B1079&amp;"|"&amp;$C1079,'Base de sorteio'!$I$3:$I$1723,0)),"")</f>
        <v/>
      </c>
      <c r="F1079" s="4">
        <f>IFERROR(INDEX('Base de sorteio'!$C$3:$C$1723,MATCH($B1079&amp;"|"&amp;$C1079,'Base de sorteio'!$I$3:$I$1723,0)),"")</f>
        <v/>
      </c>
      <c r="G1079" s="4">
        <f>IFERROR(INDEX('Base de sorteio'!$D$3:$D$1723,MATCH($B1079&amp;"|"&amp;$C1079,'Base de sorteio'!$I$3:$I$1723,0)),"")</f>
        <v/>
      </c>
      <c r="H1079" s="4">
        <f>IFERROR(INDEX('Base de sorteio'!$E$3:$E$1723,MATCH($B1079&amp;"|"&amp;$C1079,'Base de sorteio'!$I$3:$I$1723,0)),"")</f>
        <v/>
      </c>
      <c r="I1079" s="4">
        <f>IF(E1079="","",HYPERLINK(IFERROR(INDEX('Base de sorteio'!$J$3:$J$1723,MATCH($B1079&amp;"|"&amp;$C1079,'Base de sorteio'!$I$3:$I$1723,0)),""),"abrir"))</f>
        <v/>
      </c>
      <c r="J1079" s="4" t="n"/>
      <c r="K1079" s="4" t="n"/>
      <c r="L1079" s="4" t="n"/>
      <c r="M1079" s="4" t="n"/>
      <c r="N1079" s="4">
        <f>IF(AND(K1079="",M1079=""),"",IF(OR(K1079="sim",M1079="sim"),"sim",IF(OR(K1079="inconclusivo",M1079="inconclusivo"),"inconclusivo","não")))</f>
        <v/>
      </c>
      <c r="O1079" s="5">
        <f>IF(N1079="sim",COUNTIFS($B$3:$B1079,$B1079,$N$3:$N1079,"sim"),"")</f>
        <v/>
      </c>
      <c r="P1079" s="5" t="n"/>
      <c r="Q1079" s="4" t="n"/>
      <c r="R1079" s="5" t="n"/>
      <c r="S1079" s="9" t="n"/>
      <c r="T1079" s="4" t="n"/>
    </row>
    <row r="1080">
      <c r="A1080" s="5">
        <f>ROW()-2</f>
        <v/>
      </c>
      <c r="B1080" s="4" t="inlineStr">
        <is>
          <t>Capital regional</t>
        </is>
      </c>
      <c r="C1080" s="5" t="n">
        <v>136</v>
      </c>
      <c r="D1080" s="5">
        <f>IFERROR(INDEX('Base de sorteio'!$A$3:$A$1723,MATCH($B1080&amp;"|"&amp;$C1080,'Base de sorteio'!$I$3:$I$1723,0)),"")</f>
        <v/>
      </c>
      <c r="E1080" s="4">
        <f>IFERROR(INDEX('Base de sorteio'!$B$3:$B$1723,MATCH($B1080&amp;"|"&amp;$C1080,'Base de sorteio'!$I$3:$I$1723,0)),"")</f>
        <v/>
      </c>
      <c r="F1080" s="4">
        <f>IFERROR(INDEX('Base de sorteio'!$C$3:$C$1723,MATCH($B1080&amp;"|"&amp;$C1080,'Base de sorteio'!$I$3:$I$1723,0)),"")</f>
        <v/>
      </c>
      <c r="G1080" s="4">
        <f>IFERROR(INDEX('Base de sorteio'!$D$3:$D$1723,MATCH($B1080&amp;"|"&amp;$C1080,'Base de sorteio'!$I$3:$I$1723,0)),"")</f>
        <v/>
      </c>
      <c r="H1080" s="4">
        <f>IFERROR(INDEX('Base de sorteio'!$E$3:$E$1723,MATCH($B1080&amp;"|"&amp;$C1080,'Base de sorteio'!$I$3:$I$1723,0)),"")</f>
        <v/>
      </c>
      <c r="I1080" s="4">
        <f>IF(E1080="","",HYPERLINK(IFERROR(INDEX('Base de sorteio'!$J$3:$J$1723,MATCH($B1080&amp;"|"&amp;$C1080,'Base de sorteio'!$I$3:$I$1723,0)),""),"abrir"))</f>
        <v/>
      </c>
      <c r="J1080" s="4" t="n"/>
      <c r="K1080" s="4" t="n"/>
      <c r="L1080" s="4" t="n"/>
      <c r="M1080" s="4" t="n"/>
      <c r="N1080" s="4">
        <f>IF(AND(K1080="",M1080=""),"",IF(OR(K1080="sim",M1080="sim"),"sim",IF(OR(K1080="inconclusivo",M1080="inconclusivo"),"inconclusivo","não")))</f>
        <v/>
      </c>
      <c r="O1080" s="5">
        <f>IF(N1080="sim",COUNTIFS($B$3:$B1080,$B1080,$N$3:$N1080,"sim"),"")</f>
        <v/>
      </c>
      <c r="P1080" s="5" t="n"/>
      <c r="Q1080" s="4" t="n"/>
      <c r="R1080" s="5" t="n"/>
      <c r="S1080" s="9" t="n"/>
      <c r="T1080" s="4" t="n"/>
    </row>
    <row r="1081">
      <c r="A1081" s="5">
        <f>ROW()-2</f>
        <v/>
      </c>
      <c r="B1081" s="4" t="inlineStr">
        <is>
          <t>Capital regional</t>
        </is>
      </c>
      <c r="C1081" s="5" t="n">
        <v>137</v>
      </c>
      <c r="D1081" s="5">
        <f>IFERROR(INDEX('Base de sorteio'!$A$3:$A$1723,MATCH($B1081&amp;"|"&amp;$C1081,'Base de sorteio'!$I$3:$I$1723,0)),"")</f>
        <v/>
      </c>
      <c r="E1081" s="4">
        <f>IFERROR(INDEX('Base de sorteio'!$B$3:$B$1723,MATCH($B1081&amp;"|"&amp;$C1081,'Base de sorteio'!$I$3:$I$1723,0)),"")</f>
        <v/>
      </c>
      <c r="F1081" s="4">
        <f>IFERROR(INDEX('Base de sorteio'!$C$3:$C$1723,MATCH($B1081&amp;"|"&amp;$C1081,'Base de sorteio'!$I$3:$I$1723,0)),"")</f>
        <v/>
      </c>
      <c r="G1081" s="4">
        <f>IFERROR(INDEX('Base de sorteio'!$D$3:$D$1723,MATCH($B1081&amp;"|"&amp;$C1081,'Base de sorteio'!$I$3:$I$1723,0)),"")</f>
        <v/>
      </c>
      <c r="H1081" s="4">
        <f>IFERROR(INDEX('Base de sorteio'!$E$3:$E$1723,MATCH($B1081&amp;"|"&amp;$C1081,'Base de sorteio'!$I$3:$I$1723,0)),"")</f>
        <v/>
      </c>
      <c r="I1081" s="4">
        <f>IF(E1081="","",HYPERLINK(IFERROR(INDEX('Base de sorteio'!$J$3:$J$1723,MATCH($B1081&amp;"|"&amp;$C1081,'Base de sorteio'!$I$3:$I$1723,0)),""),"abrir"))</f>
        <v/>
      </c>
      <c r="J1081" s="4" t="n"/>
      <c r="K1081" s="4" t="n"/>
      <c r="L1081" s="4" t="n"/>
      <c r="M1081" s="4" t="n"/>
      <c r="N1081" s="4">
        <f>IF(AND(K1081="",M1081=""),"",IF(OR(K1081="sim",M1081="sim"),"sim",IF(OR(K1081="inconclusivo",M1081="inconclusivo"),"inconclusivo","não")))</f>
        <v/>
      </c>
      <c r="O1081" s="5">
        <f>IF(N1081="sim",COUNTIFS($B$3:$B1081,$B1081,$N$3:$N1081,"sim"),"")</f>
        <v/>
      </c>
      <c r="P1081" s="5" t="n"/>
      <c r="Q1081" s="4" t="n"/>
      <c r="R1081" s="5" t="n"/>
      <c r="S1081" s="9" t="n"/>
      <c r="T1081" s="4" t="n"/>
    </row>
    <row r="1082">
      <c r="A1082" s="5">
        <f>ROW()-2</f>
        <v/>
      </c>
      <c r="B1082" s="4" t="inlineStr">
        <is>
          <t>Capital regional</t>
        </is>
      </c>
      <c r="C1082" s="5" t="n">
        <v>138</v>
      </c>
      <c r="D1082" s="5">
        <f>IFERROR(INDEX('Base de sorteio'!$A$3:$A$1723,MATCH($B1082&amp;"|"&amp;$C1082,'Base de sorteio'!$I$3:$I$1723,0)),"")</f>
        <v/>
      </c>
      <c r="E1082" s="4">
        <f>IFERROR(INDEX('Base de sorteio'!$B$3:$B$1723,MATCH($B1082&amp;"|"&amp;$C1082,'Base de sorteio'!$I$3:$I$1723,0)),"")</f>
        <v/>
      </c>
      <c r="F1082" s="4">
        <f>IFERROR(INDEX('Base de sorteio'!$C$3:$C$1723,MATCH($B1082&amp;"|"&amp;$C1082,'Base de sorteio'!$I$3:$I$1723,0)),"")</f>
        <v/>
      </c>
      <c r="G1082" s="4">
        <f>IFERROR(INDEX('Base de sorteio'!$D$3:$D$1723,MATCH($B1082&amp;"|"&amp;$C1082,'Base de sorteio'!$I$3:$I$1723,0)),"")</f>
        <v/>
      </c>
      <c r="H1082" s="4">
        <f>IFERROR(INDEX('Base de sorteio'!$E$3:$E$1723,MATCH($B1082&amp;"|"&amp;$C1082,'Base de sorteio'!$I$3:$I$1723,0)),"")</f>
        <v/>
      </c>
      <c r="I1082" s="4">
        <f>IF(E1082="","",HYPERLINK(IFERROR(INDEX('Base de sorteio'!$J$3:$J$1723,MATCH($B1082&amp;"|"&amp;$C1082,'Base de sorteio'!$I$3:$I$1723,0)),""),"abrir"))</f>
        <v/>
      </c>
      <c r="J1082" s="4" t="n"/>
      <c r="K1082" s="4" t="n"/>
      <c r="L1082" s="4" t="n"/>
      <c r="M1082" s="4" t="n"/>
      <c r="N1082" s="4">
        <f>IF(AND(K1082="",M1082=""),"",IF(OR(K1082="sim",M1082="sim"),"sim",IF(OR(K1082="inconclusivo",M1082="inconclusivo"),"inconclusivo","não")))</f>
        <v/>
      </c>
      <c r="O1082" s="5">
        <f>IF(N1082="sim",COUNTIFS($B$3:$B1082,$B1082,$N$3:$N1082,"sim"),"")</f>
        <v/>
      </c>
      <c r="P1082" s="5" t="n"/>
      <c r="Q1082" s="4" t="n"/>
      <c r="R1082" s="5" t="n"/>
      <c r="S1082" s="9" t="n"/>
      <c r="T1082" s="4" t="n"/>
    </row>
    <row r="1083">
      <c r="A1083" s="5">
        <f>ROW()-2</f>
        <v/>
      </c>
      <c r="B1083" s="4" t="inlineStr">
        <is>
          <t>Capital regional</t>
        </is>
      </c>
      <c r="C1083" s="5" t="n">
        <v>139</v>
      </c>
      <c r="D1083" s="5">
        <f>IFERROR(INDEX('Base de sorteio'!$A$3:$A$1723,MATCH($B1083&amp;"|"&amp;$C1083,'Base de sorteio'!$I$3:$I$1723,0)),"")</f>
        <v/>
      </c>
      <c r="E1083" s="4">
        <f>IFERROR(INDEX('Base de sorteio'!$B$3:$B$1723,MATCH($B1083&amp;"|"&amp;$C1083,'Base de sorteio'!$I$3:$I$1723,0)),"")</f>
        <v/>
      </c>
      <c r="F1083" s="4">
        <f>IFERROR(INDEX('Base de sorteio'!$C$3:$C$1723,MATCH($B1083&amp;"|"&amp;$C1083,'Base de sorteio'!$I$3:$I$1723,0)),"")</f>
        <v/>
      </c>
      <c r="G1083" s="4">
        <f>IFERROR(INDEX('Base de sorteio'!$D$3:$D$1723,MATCH($B1083&amp;"|"&amp;$C1083,'Base de sorteio'!$I$3:$I$1723,0)),"")</f>
        <v/>
      </c>
      <c r="H1083" s="4">
        <f>IFERROR(INDEX('Base de sorteio'!$E$3:$E$1723,MATCH($B1083&amp;"|"&amp;$C1083,'Base de sorteio'!$I$3:$I$1723,0)),"")</f>
        <v/>
      </c>
      <c r="I1083" s="4">
        <f>IF(E1083="","",HYPERLINK(IFERROR(INDEX('Base de sorteio'!$J$3:$J$1723,MATCH($B1083&amp;"|"&amp;$C1083,'Base de sorteio'!$I$3:$I$1723,0)),""),"abrir"))</f>
        <v/>
      </c>
      <c r="J1083" s="4" t="n"/>
      <c r="K1083" s="4" t="n"/>
      <c r="L1083" s="4" t="n"/>
      <c r="M1083" s="4" t="n"/>
      <c r="N1083" s="4">
        <f>IF(AND(K1083="",M1083=""),"",IF(OR(K1083="sim",M1083="sim"),"sim",IF(OR(K1083="inconclusivo",M1083="inconclusivo"),"inconclusivo","não")))</f>
        <v/>
      </c>
      <c r="O1083" s="5">
        <f>IF(N1083="sim",COUNTIFS($B$3:$B1083,$B1083,$N$3:$N1083,"sim"),"")</f>
        <v/>
      </c>
      <c r="P1083" s="5" t="n"/>
      <c r="Q1083" s="4" t="n"/>
      <c r="R1083" s="5" t="n"/>
      <c r="S1083" s="9" t="n"/>
      <c r="T1083" s="4" t="n"/>
    </row>
    <row r="1084">
      <c r="A1084" s="5">
        <f>ROW()-2</f>
        <v/>
      </c>
      <c r="B1084" s="4" t="inlineStr">
        <is>
          <t>Capital regional</t>
        </is>
      </c>
      <c r="C1084" s="5" t="n">
        <v>140</v>
      </c>
      <c r="D1084" s="5">
        <f>IFERROR(INDEX('Base de sorteio'!$A$3:$A$1723,MATCH($B1084&amp;"|"&amp;$C1084,'Base de sorteio'!$I$3:$I$1723,0)),"")</f>
        <v/>
      </c>
      <c r="E1084" s="4">
        <f>IFERROR(INDEX('Base de sorteio'!$B$3:$B$1723,MATCH($B1084&amp;"|"&amp;$C1084,'Base de sorteio'!$I$3:$I$1723,0)),"")</f>
        <v/>
      </c>
      <c r="F1084" s="4">
        <f>IFERROR(INDEX('Base de sorteio'!$C$3:$C$1723,MATCH($B1084&amp;"|"&amp;$C1084,'Base de sorteio'!$I$3:$I$1723,0)),"")</f>
        <v/>
      </c>
      <c r="G1084" s="4">
        <f>IFERROR(INDEX('Base de sorteio'!$D$3:$D$1723,MATCH($B1084&amp;"|"&amp;$C1084,'Base de sorteio'!$I$3:$I$1723,0)),"")</f>
        <v/>
      </c>
      <c r="H1084" s="4">
        <f>IFERROR(INDEX('Base de sorteio'!$E$3:$E$1723,MATCH($B1084&amp;"|"&amp;$C1084,'Base de sorteio'!$I$3:$I$1723,0)),"")</f>
        <v/>
      </c>
      <c r="I1084" s="4">
        <f>IF(E1084="","",HYPERLINK(IFERROR(INDEX('Base de sorteio'!$J$3:$J$1723,MATCH($B1084&amp;"|"&amp;$C1084,'Base de sorteio'!$I$3:$I$1723,0)),""),"abrir"))</f>
        <v/>
      </c>
      <c r="J1084" s="4" t="n"/>
      <c r="K1084" s="4" t="n"/>
      <c r="L1084" s="4" t="n"/>
      <c r="M1084" s="4" t="n"/>
      <c r="N1084" s="4">
        <f>IF(AND(K1084="",M1084=""),"",IF(OR(K1084="sim",M1084="sim"),"sim",IF(OR(K1084="inconclusivo",M1084="inconclusivo"),"inconclusivo","não")))</f>
        <v/>
      </c>
      <c r="O1084" s="5">
        <f>IF(N1084="sim",COUNTIFS($B$3:$B1084,$B1084,$N$3:$N1084,"sim"),"")</f>
        <v/>
      </c>
      <c r="P1084" s="5" t="n"/>
      <c r="Q1084" s="4" t="n"/>
      <c r="R1084" s="5" t="n"/>
      <c r="S1084" s="9" t="n"/>
      <c r="T1084" s="4" t="n"/>
    </row>
    <row r="1085">
      <c r="A1085" s="5">
        <f>ROW()-2</f>
        <v/>
      </c>
      <c r="B1085" s="4" t="inlineStr">
        <is>
          <t>Capital regional</t>
        </is>
      </c>
      <c r="C1085" s="5" t="n">
        <v>141</v>
      </c>
      <c r="D1085" s="5">
        <f>IFERROR(INDEX('Base de sorteio'!$A$3:$A$1723,MATCH($B1085&amp;"|"&amp;$C1085,'Base de sorteio'!$I$3:$I$1723,0)),"")</f>
        <v/>
      </c>
      <c r="E1085" s="4">
        <f>IFERROR(INDEX('Base de sorteio'!$B$3:$B$1723,MATCH($B1085&amp;"|"&amp;$C1085,'Base de sorteio'!$I$3:$I$1723,0)),"")</f>
        <v/>
      </c>
      <c r="F1085" s="4">
        <f>IFERROR(INDEX('Base de sorteio'!$C$3:$C$1723,MATCH($B1085&amp;"|"&amp;$C1085,'Base de sorteio'!$I$3:$I$1723,0)),"")</f>
        <v/>
      </c>
      <c r="G1085" s="4">
        <f>IFERROR(INDEX('Base de sorteio'!$D$3:$D$1723,MATCH($B1085&amp;"|"&amp;$C1085,'Base de sorteio'!$I$3:$I$1723,0)),"")</f>
        <v/>
      </c>
      <c r="H1085" s="4">
        <f>IFERROR(INDEX('Base de sorteio'!$E$3:$E$1723,MATCH($B1085&amp;"|"&amp;$C1085,'Base de sorteio'!$I$3:$I$1723,0)),"")</f>
        <v/>
      </c>
      <c r="I1085" s="4">
        <f>IF(E1085="","",HYPERLINK(IFERROR(INDEX('Base de sorteio'!$J$3:$J$1723,MATCH($B1085&amp;"|"&amp;$C1085,'Base de sorteio'!$I$3:$I$1723,0)),""),"abrir"))</f>
        <v/>
      </c>
      <c r="J1085" s="4" t="n"/>
      <c r="K1085" s="4" t="n"/>
      <c r="L1085" s="4" t="n"/>
      <c r="M1085" s="4" t="n"/>
      <c r="N1085" s="4">
        <f>IF(AND(K1085="",M1085=""),"",IF(OR(K1085="sim",M1085="sim"),"sim",IF(OR(K1085="inconclusivo",M1085="inconclusivo"),"inconclusivo","não")))</f>
        <v/>
      </c>
      <c r="O1085" s="5">
        <f>IF(N1085="sim",COUNTIFS($B$3:$B1085,$B1085,$N$3:$N1085,"sim"),"")</f>
        <v/>
      </c>
      <c r="P1085" s="5" t="n"/>
      <c r="Q1085" s="4" t="n"/>
      <c r="R1085" s="5" t="n"/>
      <c r="S1085" s="9" t="n"/>
      <c r="T1085" s="4" t="n"/>
    </row>
    <row r="1086">
      <c r="A1086" s="5">
        <f>ROW()-2</f>
        <v/>
      </c>
      <c r="B1086" s="4" t="inlineStr">
        <is>
          <t>Capital regional</t>
        </is>
      </c>
      <c r="C1086" s="5" t="n">
        <v>142</v>
      </c>
      <c r="D1086" s="5">
        <f>IFERROR(INDEX('Base de sorteio'!$A$3:$A$1723,MATCH($B1086&amp;"|"&amp;$C1086,'Base de sorteio'!$I$3:$I$1723,0)),"")</f>
        <v/>
      </c>
      <c r="E1086" s="4">
        <f>IFERROR(INDEX('Base de sorteio'!$B$3:$B$1723,MATCH($B1086&amp;"|"&amp;$C1086,'Base de sorteio'!$I$3:$I$1723,0)),"")</f>
        <v/>
      </c>
      <c r="F1086" s="4">
        <f>IFERROR(INDEX('Base de sorteio'!$C$3:$C$1723,MATCH($B1086&amp;"|"&amp;$C1086,'Base de sorteio'!$I$3:$I$1723,0)),"")</f>
        <v/>
      </c>
      <c r="G1086" s="4">
        <f>IFERROR(INDEX('Base de sorteio'!$D$3:$D$1723,MATCH($B1086&amp;"|"&amp;$C1086,'Base de sorteio'!$I$3:$I$1723,0)),"")</f>
        <v/>
      </c>
      <c r="H1086" s="4">
        <f>IFERROR(INDEX('Base de sorteio'!$E$3:$E$1723,MATCH($B1086&amp;"|"&amp;$C1086,'Base de sorteio'!$I$3:$I$1723,0)),"")</f>
        <v/>
      </c>
      <c r="I1086" s="4">
        <f>IF(E1086="","",HYPERLINK(IFERROR(INDEX('Base de sorteio'!$J$3:$J$1723,MATCH($B1086&amp;"|"&amp;$C1086,'Base de sorteio'!$I$3:$I$1723,0)),""),"abrir"))</f>
        <v/>
      </c>
      <c r="J1086" s="4" t="n"/>
      <c r="K1086" s="4" t="n"/>
      <c r="L1086" s="4" t="n"/>
      <c r="M1086" s="4" t="n"/>
      <c r="N1086" s="4">
        <f>IF(AND(K1086="",M1086=""),"",IF(OR(K1086="sim",M1086="sim"),"sim",IF(OR(K1086="inconclusivo",M1086="inconclusivo"),"inconclusivo","não")))</f>
        <v/>
      </c>
      <c r="O1086" s="5">
        <f>IF(N1086="sim",COUNTIFS($B$3:$B1086,$B1086,$N$3:$N1086,"sim"),"")</f>
        <v/>
      </c>
      <c r="P1086" s="5" t="n"/>
      <c r="Q1086" s="4" t="n"/>
      <c r="R1086" s="5" t="n"/>
      <c r="S1086" s="9" t="n"/>
      <c r="T1086" s="4" t="n"/>
    </row>
    <row r="1087">
      <c r="A1087" s="5">
        <f>ROW()-2</f>
        <v/>
      </c>
      <c r="B1087" s="4" t="inlineStr">
        <is>
          <t>Capital regional</t>
        </is>
      </c>
      <c r="C1087" s="5" t="n">
        <v>143</v>
      </c>
      <c r="D1087" s="5">
        <f>IFERROR(INDEX('Base de sorteio'!$A$3:$A$1723,MATCH($B1087&amp;"|"&amp;$C1087,'Base de sorteio'!$I$3:$I$1723,0)),"")</f>
        <v/>
      </c>
      <c r="E1087" s="4">
        <f>IFERROR(INDEX('Base de sorteio'!$B$3:$B$1723,MATCH($B1087&amp;"|"&amp;$C1087,'Base de sorteio'!$I$3:$I$1723,0)),"")</f>
        <v/>
      </c>
      <c r="F1087" s="4">
        <f>IFERROR(INDEX('Base de sorteio'!$C$3:$C$1723,MATCH($B1087&amp;"|"&amp;$C1087,'Base de sorteio'!$I$3:$I$1723,0)),"")</f>
        <v/>
      </c>
      <c r="G1087" s="4">
        <f>IFERROR(INDEX('Base de sorteio'!$D$3:$D$1723,MATCH($B1087&amp;"|"&amp;$C1087,'Base de sorteio'!$I$3:$I$1723,0)),"")</f>
        <v/>
      </c>
      <c r="H1087" s="4">
        <f>IFERROR(INDEX('Base de sorteio'!$E$3:$E$1723,MATCH($B1087&amp;"|"&amp;$C1087,'Base de sorteio'!$I$3:$I$1723,0)),"")</f>
        <v/>
      </c>
      <c r="I1087" s="4">
        <f>IF(E1087="","",HYPERLINK(IFERROR(INDEX('Base de sorteio'!$J$3:$J$1723,MATCH($B1087&amp;"|"&amp;$C1087,'Base de sorteio'!$I$3:$I$1723,0)),""),"abrir"))</f>
        <v/>
      </c>
      <c r="J1087" s="4" t="n"/>
      <c r="K1087" s="4" t="n"/>
      <c r="L1087" s="4" t="n"/>
      <c r="M1087" s="4" t="n"/>
      <c r="N1087" s="4">
        <f>IF(AND(K1087="",M1087=""),"",IF(OR(K1087="sim",M1087="sim"),"sim",IF(OR(K1087="inconclusivo",M1087="inconclusivo"),"inconclusivo","não")))</f>
        <v/>
      </c>
      <c r="O1087" s="5">
        <f>IF(N1087="sim",COUNTIFS($B$3:$B1087,$B1087,$N$3:$N1087,"sim"),"")</f>
        <v/>
      </c>
      <c r="P1087" s="5" t="n"/>
      <c r="Q1087" s="4" t="n"/>
      <c r="R1087" s="5" t="n"/>
      <c r="S1087" s="9" t="n"/>
      <c r="T1087" s="4" t="n"/>
    </row>
    <row r="1088">
      <c r="A1088" s="5">
        <f>ROW()-2</f>
        <v/>
      </c>
      <c r="B1088" s="4" t="inlineStr">
        <is>
          <t>Capital regional</t>
        </is>
      </c>
      <c r="C1088" s="5" t="n">
        <v>144</v>
      </c>
      <c r="D1088" s="5">
        <f>IFERROR(INDEX('Base de sorteio'!$A$3:$A$1723,MATCH($B1088&amp;"|"&amp;$C1088,'Base de sorteio'!$I$3:$I$1723,0)),"")</f>
        <v/>
      </c>
      <c r="E1088" s="4">
        <f>IFERROR(INDEX('Base de sorteio'!$B$3:$B$1723,MATCH($B1088&amp;"|"&amp;$C1088,'Base de sorteio'!$I$3:$I$1723,0)),"")</f>
        <v/>
      </c>
      <c r="F1088" s="4">
        <f>IFERROR(INDEX('Base de sorteio'!$C$3:$C$1723,MATCH($B1088&amp;"|"&amp;$C1088,'Base de sorteio'!$I$3:$I$1723,0)),"")</f>
        <v/>
      </c>
      <c r="G1088" s="4">
        <f>IFERROR(INDEX('Base de sorteio'!$D$3:$D$1723,MATCH($B1088&amp;"|"&amp;$C1088,'Base de sorteio'!$I$3:$I$1723,0)),"")</f>
        <v/>
      </c>
      <c r="H1088" s="4">
        <f>IFERROR(INDEX('Base de sorteio'!$E$3:$E$1723,MATCH($B1088&amp;"|"&amp;$C1088,'Base de sorteio'!$I$3:$I$1723,0)),"")</f>
        <v/>
      </c>
      <c r="I1088" s="4">
        <f>IF(E1088="","",HYPERLINK(IFERROR(INDEX('Base de sorteio'!$J$3:$J$1723,MATCH($B1088&amp;"|"&amp;$C1088,'Base de sorteio'!$I$3:$I$1723,0)),""),"abrir"))</f>
        <v/>
      </c>
      <c r="J1088" s="4" t="n"/>
      <c r="K1088" s="4" t="n"/>
      <c r="L1088" s="4" t="n"/>
      <c r="M1088" s="4" t="n"/>
      <c r="N1088" s="4">
        <f>IF(AND(K1088="",M1088=""),"",IF(OR(K1088="sim",M1088="sim"),"sim",IF(OR(K1088="inconclusivo",M1088="inconclusivo"),"inconclusivo","não")))</f>
        <v/>
      </c>
      <c r="O1088" s="5">
        <f>IF(N1088="sim",COUNTIFS($B$3:$B1088,$B1088,$N$3:$N1088,"sim"),"")</f>
        <v/>
      </c>
      <c r="P1088" s="5" t="n"/>
      <c r="Q1088" s="4" t="n"/>
      <c r="R1088" s="5" t="n"/>
      <c r="S1088" s="9" t="n"/>
      <c r="T1088" s="4" t="n"/>
    </row>
    <row r="1089">
      <c r="A1089" s="5">
        <f>ROW()-2</f>
        <v/>
      </c>
      <c r="B1089" s="4" t="inlineStr">
        <is>
          <t>Capital regional</t>
        </is>
      </c>
      <c r="C1089" s="5" t="n">
        <v>145</v>
      </c>
      <c r="D1089" s="5">
        <f>IFERROR(INDEX('Base de sorteio'!$A$3:$A$1723,MATCH($B1089&amp;"|"&amp;$C1089,'Base de sorteio'!$I$3:$I$1723,0)),"")</f>
        <v/>
      </c>
      <c r="E1089" s="4">
        <f>IFERROR(INDEX('Base de sorteio'!$B$3:$B$1723,MATCH($B1089&amp;"|"&amp;$C1089,'Base de sorteio'!$I$3:$I$1723,0)),"")</f>
        <v/>
      </c>
      <c r="F1089" s="4">
        <f>IFERROR(INDEX('Base de sorteio'!$C$3:$C$1723,MATCH($B1089&amp;"|"&amp;$C1089,'Base de sorteio'!$I$3:$I$1723,0)),"")</f>
        <v/>
      </c>
      <c r="G1089" s="4">
        <f>IFERROR(INDEX('Base de sorteio'!$D$3:$D$1723,MATCH($B1089&amp;"|"&amp;$C1089,'Base de sorteio'!$I$3:$I$1723,0)),"")</f>
        <v/>
      </c>
      <c r="H1089" s="4">
        <f>IFERROR(INDEX('Base de sorteio'!$E$3:$E$1723,MATCH($B1089&amp;"|"&amp;$C1089,'Base de sorteio'!$I$3:$I$1723,0)),"")</f>
        <v/>
      </c>
      <c r="I1089" s="4">
        <f>IF(E1089="","",HYPERLINK(IFERROR(INDEX('Base de sorteio'!$J$3:$J$1723,MATCH($B1089&amp;"|"&amp;$C1089,'Base de sorteio'!$I$3:$I$1723,0)),""),"abrir"))</f>
        <v/>
      </c>
      <c r="J1089" s="4" t="n"/>
      <c r="K1089" s="4" t="n"/>
      <c r="L1089" s="4" t="n"/>
      <c r="M1089" s="4" t="n"/>
      <c r="N1089" s="4">
        <f>IF(AND(K1089="",M1089=""),"",IF(OR(K1089="sim",M1089="sim"),"sim",IF(OR(K1089="inconclusivo",M1089="inconclusivo"),"inconclusivo","não")))</f>
        <v/>
      </c>
      <c r="O1089" s="5">
        <f>IF(N1089="sim",COUNTIFS($B$3:$B1089,$B1089,$N$3:$N1089,"sim"),"")</f>
        <v/>
      </c>
      <c r="P1089" s="5" t="n"/>
      <c r="Q1089" s="4" t="n"/>
      <c r="R1089" s="5" t="n"/>
      <c r="S1089" s="9" t="n"/>
      <c r="T1089" s="4" t="n"/>
    </row>
    <row r="1090">
      <c r="A1090" s="5">
        <f>ROW()-2</f>
        <v/>
      </c>
      <c r="B1090" s="4" t="inlineStr">
        <is>
          <t>Capital regional</t>
        </is>
      </c>
      <c r="C1090" s="5" t="n">
        <v>146</v>
      </c>
      <c r="D1090" s="5">
        <f>IFERROR(INDEX('Base de sorteio'!$A$3:$A$1723,MATCH($B1090&amp;"|"&amp;$C1090,'Base de sorteio'!$I$3:$I$1723,0)),"")</f>
        <v/>
      </c>
      <c r="E1090" s="4">
        <f>IFERROR(INDEX('Base de sorteio'!$B$3:$B$1723,MATCH($B1090&amp;"|"&amp;$C1090,'Base de sorteio'!$I$3:$I$1723,0)),"")</f>
        <v/>
      </c>
      <c r="F1090" s="4">
        <f>IFERROR(INDEX('Base de sorteio'!$C$3:$C$1723,MATCH($B1090&amp;"|"&amp;$C1090,'Base de sorteio'!$I$3:$I$1723,0)),"")</f>
        <v/>
      </c>
      <c r="G1090" s="4">
        <f>IFERROR(INDEX('Base de sorteio'!$D$3:$D$1723,MATCH($B1090&amp;"|"&amp;$C1090,'Base de sorteio'!$I$3:$I$1723,0)),"")</f>
        <v/>
      </c>
      <c r="H1090" s="4">
        <f>IFERROR(INDEX('Base de sorteio'!$E$3:$E$1723,MATCH($B1090&amp;"|"&amp;$C1090,'Base de sorteio'!$I$3:$I$1723,0)),"")</f>
        <v/>
      </c>
      <c r="I1090" s="4">
        <f>IF(E1090="","",HYPERLINK(IFERROR(INDEX('Base de sorteio'!$J$3:$J$1723,MATCH($B1090&amp;"|"&amp;$C1090,'Base de sorteio'!$I$3:$I$1723,0)),""),"abrir"))</f>
        <v/>
      </c>
      <c r="J1090" s="4" t="n"/>
      <c r="K1090" s="4" t="n"/>
      <c r="L1090" s="4" t="n"/>
      <c r="M1090" s="4" t="n"/>
      <c r="N1090" s="4">
        <f>IF(AND(K1090="",M1090=""),"",IF(OR(K1090="sim",M1090="sim"),"sim",IF(OR(K1090="inconclusivo",M1090="inconclusivo"),"inconclusivo","não")))</f>
        <v/>
      </c>
      <c r="O1090" s="5">
        <f>IF(N1090="sim",COUNTIFS($B$3:$B1090,$B1090,$N$3:$N1090,"sim"),"")</f>
        <v/>
      </c>
      <c r="P1090" s="5" t="n"/>
      <c r="Q1090" s="4" t="n"/>
      <c r="R1090" s="5" t="n"/>
      <c r="S1090" s="9" t="n"/>
      <c r="T1090" s="4" t="n"/>
    </row>
    <row r="1091">
      <c r="A1091" s="5">
        <f>ROW()-2</f>
        <v/>
      </c>
      <c r="B1091" s="4" t="inlineStr">
        <is>
          <t>Capital regional</t>
        </is>
      </c>
      <c r="C1091" s="5" t="n">
        <v>147</v>
      </c>
      <c r="D1091" s="5">
        <f>IFERROR(INDEX('Base de sorteio'!$A$3:$A$1723,MATCH($B1091&amp;"|"&amp;$C1091,'Base de sorteio'!$I$3:$I$1723,0)),"")</f>
        <v/>
      </c>
      <c r="E1091" s="4">
        <f>IFERROR(INDEX('Base de sorteio'!$B$3:$B$1723,MATCH($B1091&amp;"|"&amp;$C1091,'Base de sorteio'!$I$3:$I$1723,0)),"")</f>
        <v/>
      </c>
      <c r="F1091" s="4">
        <f>IFERROR(INDEX('Base de sorteio'!$C$3:$C$1723,MATCH($B1091&amp;"|"&amp;$C1091,'Base de sorteio'!$I$3:$I$1723,0)),"")</f>
        <v/>
      </c>
      <c r="G1091" s="4">
        <f>IFERROR(INDEX('Base de sorteio'!$D$3:$D$1723,MATCH($B1091&amp;"|"&amp;$C1091,'Base de sorteio'!$I$3:$I$1723,0)),"")</f>
        <v/>
      </c>
      <c r="H1091" s="4">
        <f>IFERROR(INDEX('Base de sorteio'!$E$3:$E$1723,MATCH($B1091&amp;"|"&amp;$C1091,'Base de sorteio'!$I$3:$I$1723,0)),"")</f>
        <v/>
      </c>
      <c r="I1091" s="4">
        <f>IF(E1091="","",HYPERLINK(IFERROR(INDEX('Base de sorteio'!$J$3:$J$1723,MATCH($B1091&amp;"|"&amp;$C1091,'Base de sorteio'!$I$3:$I$1723,0)),""),"abrir"))</f>
        <v/>
      </c>
      <c r="J1091" s="4" t="n"/>
      <c r="K1091" s="4" t="n"/>
      <c r="L1091" s="4" t="n"/>
      <c r="M1091" s="4" t="n"/>
      <c r="N1091" s="4">
        <f>IF(AND(K1091="",M1091=""),"",IF(OR(K1091="sim",M1091="sim"),"sim",IF(OR(K1091="inconclusivo",M1091="inconclusivo"),"inconclusivo","não")))</f>
        <v/>
      </c>
      <c r="O1091" s="5">
        <f>IF(N1091="sim",COUNTIFS($B$3:$B1091,$B1091,$N$3:$N1091,"sim"),"")</f>
        <v/>
      </c>
      <c r="P1091" s="5" t="n"/>
      <c r="Q1091" s="4" t="n"/>
      <c r="R1091" s="5" t="n"/>
      <c r="S1091" s="9" t="n"/>
      <c r="T1091" s="4" t="n"/>
    </row>
    <row r="1092">
      <c r="A1092" s="5">
        <f>ROW()-2</f>
        <v/>
      </c>
      <c r="B1092" s="4" t="inlineStr">
        <is>
          <t>Capital regional</t>
        </is>
      </c>
      <c r="C1092" s="5" t="n">
        <v>148</v>
      </c>
      <c r="D1092" s="5">
        <f>IFERROR(INDEX('Base de sorteio'!$A$3:$A$1723,MATCH($B1092&amp;"|"&amp;$C1092,'Base de sorteio'!$I$3:$I$1723,0)),"")</f>
        <v/>
      </c>
      <c r="E1092" s="4">
        <f>IFERROR(INDEX('Base de sorteio'!$B$3:$B$1723,MATCH($B1092&amp;"|"&amp;$C1092,'Base de sorteio'!$I$3:$I$1723,0)),"")</f>
        <v/>
      </c>
      <c r="F1092" s="4">
        <f>IFERROR(INDEX('Base de sorteio'!$C$3:$C$1723,MATCH($B1092&amp;"|"&amp;$C1092,'Base de sorteio'!$I$3:$I$1723,0)),"")</f>
        <v/>
      </c>
      <c r="G1092" s="4">
        <f>IFERROR(INDEX('Base de sorteio'!$D$3:$D$1723,MATCH($B1092&amp;"|"&amp;$C1092,'Base de sorteio'!$I$3:$I$1723,0)),"")</f>
        <v/>
      </c>
      <c r="H1092" s="4">
        <f>IFERROR(INDEX('Base de sorteio'!$E$3:$E$1723,MATCH($B1092&amp;"|"&amp;$C1092,'Base de sorteio'!$I$3:$I$1723,0)),"")</f>
        <v/>
      </c>
      <c r="I1092" s="4">
        <f>IF(E1092="","",HYPERLINK(IFERROR(INDEX('Base de sorteio'!$J$3:$J$1723,MATCH($B1092&amp;"|"&amp;$C1092,'Base de sorteio'!$I$3:$I$1723,0)),""),"abrir"))</f>
        <v/>
      </c>
      <c r="J1092" s="4" t="n"/>
      <c r="K1092" s="4" t="n"/>
      <c r="L1092" s="4" t="n"/>
      <c r="M1092" s="4" t="n"/>
      <c r="N1092" s="4">
        <f>IF(AND(K1092="",M1092=""),"",IF(OR(K1092="sim",M1092="sim"),"sim",IF(OR(K1092="inconclusivo",M1092="inconclusivo"),"inconclusivo","não")))</f>
        <v/>
      </c>
      <c r="O1092" s="5">
        <f>IF(N1092="sim",COUNTIFS($B$3:$B1092,$B1092,$N$3:$N1092,"sim"),"")</f>
        <v/>
      </c>
      <c r="P1092" s="5" t="n"/>
      <c r="Q1092" s="4" t="n"/>
      <c r="R1092" s="5" t="n"/>
      <c r="S1092" s="9" t="n"/>
      <c r="T1092" s="4" t="n"/>
    </row>
    <row r="1093">
      <c r="A1093" s="5">
        <f>ROW()-2</f>
        <v/>
      </c>
      <c r="B1093" s="4" t="inlineStr">
        <is>
          <t>Capital regional</t>
        </is>
      </c>
      <c r="C1093" s="5" t="n">
        <v>149</v>
      </c>
      <c r="D1093" s="5">
        <f>IFERROR(INDEX('Base de sorteio'!$A$3:$A$1723,MATCH($B1093&amp;"|"&amp;$C1093,'Base de sorteio'!$I$3:$I$1723,0)),"")</f>
        <v/>
      </c>
      <c r="E1093" s="4">
        <f>IFERROR(INDEX('Base de sorteio'!$B$3:$B$1723,MATCH($B1093&amp;"|"&amp;$C1093,'Base de sorteio'!$I$3:$I$1723,0)),"")</f>
        <v/>
      </c>
      <c r="F1093" s="4">
        <f>IFERROR(INDEX('Base de sorteio'!$C$3:$C$1723,MATCH($B1093&amp;"|"&amp;$C1093,'Base de sorteio'!$I$3:$I$1723,0)),"")</f>
        <v/>
      </c>
      <c r="G1093" s="4">
        <f>IFERROR(INDEX('Base de sorteio'!$D$3:$D$1723,MATCH($B1093&amp;"|"&amp;$C1093,'Base de sorteio'!$I$3:$I$1723,0)),"")</f>
        <v/>
      </c>
      <c r="H1093" s="4">
        <f>IFERROR(INDEX('Base de sorteio'!$E$3:$E$1723,MATCH($B1093&amp;"|"&amp;$C1093,'Base de sorteio'!$I$3:$I$1723,0)),"")</f>
        <v/>
      </c>
      <c r="I1093" s="4">
        <f>IF(E1093="","",HYPERLINK(IFERROR(INDEX('Base de sorteio'!$J$3:$J$1723,MATCH($B1093&amp;"|"&amp;$C1093,'Base de sorteio'!$I$3:$I$1723,0)),""),"abrir"))</f>
        <v/>
      </c>
      <c r="J1093" s="4" t="n"/>
      <c r="K1093" s="4" t="n"/>
      <c r="L1093" s="4" t="n"/>
      <c r="M1093" s="4" t="n"/>
      <c r="N1093" s="4">
        <f>IF(AND(K1093="",M1093=""),"",IF(OR(K1093="sim",M1093="sim"),"sim",IF(OR(K1093="inconclusivo",M1093="inconclusivo"),"inconclusivo","não")))</f>
        <v/>
      </c>
      <c r="O1093" s="5">
        <f>IF(N1093="sim",COUNTIFS($B$3:$B1093,$B1093,$N$3:$N1093,"sim"),"")</f>
        <v/>
      </c>
      <c r="P1093" s="5" t="n"/>
      <c r="Q1093" s="4" t="n"/>
      <c r="R1093" s="5" t="n"/>
      <c r="S1093" s="9" t="n"/>
      <c r="T1093" s="4" t="n"/>
    </row>
    <row r="1094">
      <c r="A1094" s="5">
        <f>ROW()-2</f>
        <v/>
      </c>
      <c r="B1094" s="4" t="inlineStr">
        <is>
          <t>Capital regional</t>
        </is>
      </c>
      <c r="C1094" s="5" t="n">
        <v>150</v>
      </c>
      <c r="D1094" s="5">
        <f>IFERROR(INDEX('Base de sorteio'!$A$3:$A$1723,MATCH($B1094&amp;"|"&amp;$C1094,'Base de sorteio'!$I$3:$I$1723,0)),"")</f>
        <v/>
      </c>
      <c r="E1094" s="4">
        <f>IFERROR(INDEX('Base de sorteio'!$B$3:$B$1723,MATCH($B1094&amp;"|"&amp;$C1094,'Base de sorteio'!$I$3:$I$1723,0)),"")</f>
        <v/>
      </c>
      <c r="F1094" s="4">
        <f>IFERROR(INDEX('Base de sorteio'!$C$3:$C$1723,MATCH($B1094&amp;"|"&amp;$C1094,'Base de sorteio'!$I$3:$I$1723,0)),"")</f>
        <v/>
      </c>
      <c r="G1094" s="4">
        <f>IFERROR(INDEX('Base de sorteio'!$D$3:$D$1723,MATCH($B1094&amp;"|"&amp;$C1094,'Base de sorteio'!$I$3:$I$1723,0)),"")</f>
        <v/>
      </c>
      <c r="H1094" s="4">
        <f>IFERROR(INDEX('Base de sorteio'!$E$3:$E$1723,MATCH($B1094&amp;"|"&amp;$C1094,'Base de sorteio'!$I$3:$I$1723,0)),"")</f>
        <v/>
      </c>
      <c r="I1094" s="4">
        <f>IF(E1094="","",HYPERLINK(IFERROR(INDEX('Base de sorteio'!$J$3:$J$1723,MATCH($B1094&amp;"|"&amp;$C1094,'Base de sorteio'!$I$3:$I$1723,0)),""),"abrir"))</f>
        <v/>
      </c>
      <c r="J1094" s="4" t="n"/>
      <c r="K1094" s="4" t="n"/>
      <c r="L1094" s="4" t="n"/>
      <c r="M1094" s="4" t="n"/>
      <c r="N1094" s="4">
        <f>IF(AND(K1094="",M1094=""),"",IF(OR(K1094="sim",M1094="sim"),"sim",IF(OR(K1094="inconclusivo",M1094="inconclusivo"),"inconclusivo","não")))</f>
        <v/>
      </c>
      <c r="O1094" s="5">
        <f>IF(N1094="sim",COUNTIFS($B$3:$B1094,$B1094,$N$3:$N1094,"sim"),"")</f>
        <v/>
      </c>
      <c r="P1094" s="5" t="n"/>
      <c r="Q1094" s="4" t="n"/>
      <c r="R1094" s="5" t="n"/>
      <c r="S1094" s="9" t="n"/>
      <c r="T1094" s="4" t="n"/>
    </row>
    <row r="1095">
      <c r="A1095" s="5">
        <f>ROW()-2</f>
        <v/>
      </c>
      <c r="B1095" s="4" t="inlineStr">
        <is>
          <t>Capital regional</t>
        </is>
      </c>
      <c r="C1095" s="5" t="n">
        <v>151</v>
      </c>
      <c r="D1095" s="5">
        <f>IFERROR(INDEX('Base de sorteio'!$A$3:$A$1723,MATCH($B1095&amp;"|"&amp;$C1095,'Base de sorteio'!$I$3:$I$1723,0)),"")</f>
        <v/>
      </c>
      <c r="E1095" s="4">
        <f>IFERROR(INDEX('Base de sorteio'!$B$3:$B$1723,MATCH($B1095&amp;"|"&amp;$C1095,'Base de sorteio'!$I$3:$I$1723,0)),"")</f>
        <v/>
      </c>
      <c r="F1095" s="4">
        <f>IFERROR(INDEX('Base de sorteio'!$C$3:$C$1723,MATCH($B1095&amp;"|"&amp;$C1095,'Base de sorteio'!$I$3:$I$1723,0)),"")</f>
        <v/>
      </c>
      <c r="G1095" s="4">
        <f>IFERROR(INDEX('Base de sorteio'!$D$3:$D$1723,MATCH($B1095&amp;"|"&amp;$C1095,'Base de sorteio'!$I$3:$I$1723,0)),"")</f>
        <v/>
      </c>
      <c r="H1095" s="4">
        <f>IFERROR(INDEX('Base de sorteio'!$E$3:$E$1723,MATCH($B1095&amp;"|"&amp;$C1095,'Base de sorteio'!$I$3:$I$1723,0)),"")</f>
        <v/>
      </c>
      <c r="I1095" s="4">
        <f>IF(E1095="","",HYPERLINK(IFERROR(INDEX('Base de sorteio'!$J$3:$J$1723,MATCH($B1095&amp;"|"&amp;$C1095,'Base de sorteio'!$I$3:$I$1723,0)),""),"abrir"))</f>
        <v/>
      </c>
      <c r="J1095" s="4" t="n"/>
      <c r="K1095" s="4" t="n"/>
      <c r="L1095" s="4" t="n"/>
      <c r="M1095" s="4" t="n"/>
      <c r="N1095" s="4">
        <f>IF(AND(K1095="",M1095=""),"",IF(OR(K1095="sim",M1095="sim"),"sim",IF(OR(K1095="inconclusivo",M1095="inconclusivo"),"inconclusivo","não")))</f>
        <v/>
      </c>
      <c r="O1095" s="5">
        <f>IF(N1095="sim",COUNTIFS($B$3:$B1095,$B1095,$N$3:$N1095,"sim"),"")</f>
        <v/>
      </c>
      <c r="P1095" s="5" t="n"/>
      <c r="Q1095" s="4" t="n"/>
      <c r="R1095" s="5" t="n"/>
      <c r="S1095" s="9" t="n"/>
      <c r="T1095" s="4" t="n"/>
    </row>
    <row r="1096">
      <c r="A1096" s="5">
        <f>ROW()-2</f>
        <v/>
      </c>
      <c r="B1096" s="4" t="inlineStr">
        <is>
          <t>Capital regional</t>
        </is>
      </c>
      <c r="C1096" s="5" t="n">
        <v>152</v>
      </c>
      <c r="D1096" s="5">
        <f>IFERROR(INDEX('Base de sorteio'!$A$3:$A$1723,MATCH($B1096&amp;"|"&amp;$C1096,'Base de sorteio'!$I$3:$I$1723,0)),"")</f>
        <v/>
      </c>
      <c r="E1096" s="4">
        <f>IFERROR(INDEX('Base de sorteio'!$B$3:$B$1723,MATCH($B1096&amp;"|"&amp;$C1096,'Base de sorteio'!$I$3:$I$1723,0)),"")</f>
        <v/>
      </c>
      <c r="F1096" s="4">
        <f>IFERROR(INDEX('Base de sorteio'!$C$3:$C$1723,MATCH($B1096&amp;"|"&amp;$C1096,'Base de sorteio'!$I$3:$I$1723,0)),"")</f>
        <v/>
      </c>
      <c r="G1096" s="4">
        <f>IFERROR(INDEX('Base de sorteio'!$D$3:$D$1723,MATCH($B1096&amp;"|"&amp;$C1096,'Base de sorteio'!$I$3:$I$1723,0)),"")</f>
        <v/>
      </c>
      <c r="H1096" s="4">
        <f>IFERROR(INDEX('Base de sorteio'!$E$3:$E$1723,MATCH($B1096&amp;"|"&amp;$C1096,'Base de sorteio'!$I$3:$I$1723,0)),"")</f>
        <v/>
      </c>
      <c r="I1096" s="4">
        <f>IF(E1096="","",HYPERLINK(IFERROR(INDEX('Base de sorteio'!$J$3:$J$1723,MATCH($B1096&amp;"|"&amp;$C1096,'Base de sorteio'!$I$3:$I$1723,0)),""),"abrir"))</f>
        <v/>
      </c>
      <c r="J1096" s="4" t="n"/>
      <c r="K1096" s="4" t="n"/>
      <c r="L1096" s="4" t="n"/>
      <c r="M1096" s="4" t="n"/>
      <c r="N1096" s="4">
        <f>IF(AND(K1096="",M1096=""),"",IF(OR(K1096="sim",M1096="sim"),"sim",IF(OR(K1096="inconclusivo",M1096="inconclusivo"),"inconclusivo","não")))</f>
        <v/>
      </c>
      <c r="O1096" s="5">
        <f>IF(N1096="sim",COUNTIFS($B$3:$B1096,$B1096,$N$3:$N1096,"sim"),"")</f>
        <v/>
      </c>
      <c r="P1096" s="5" t="n"/>
      <c r="Q1096" s="4" t="n"/>
      <c r="R1096" s="5" t="n"/>
      <c r="S1096" s="9" t="n"/>
      <c r="T1096" s="4" t="n"/>
    </row>
    <row r="1097">
      <c r="A1097" s="5">
        <f>ROW()-2</f>
        <v/>
      </c>
      <c r="B1097" s="4" t="inlineStr">
        <is>
          <t>Capital regional</t>
        </is>
      </c>
      <c r="C1097" s="5" t="n">
        <v>153</v>
      </c>
      <c r="D1097" s="5">
        <f>IFERROR(INDEX('Base de sorteio'!$A$3:$A$1723,MATCH($B1097&amp;"|"&amp;$C1097,'Base de sorteio'!$I$3:$I$1723,0)),"")</f>
        <v/>
      </c>
      <c r="E1097" s="4">
        <f>IFERROR(INDEX('Base de sorteio'!$B$3:$B$1723,MATCH($B1097&amp;"|"&amp;$C1097,'Base de sorteio'!$I$3:$I$1723,0)),"")</f>
        <v/>
      </c>
      <c r="F1097" s="4">
        <f>IFERROR(INDEX('Base de sorteio'!$C$3:$C$1723,MATCH($B1097&amp;"|"&amp;$C1097,'Base de sorteio'!$I$3:$I$1723,0)),"")</f>
        <v/>
      </c>
      <c r="G1097" s="4">
        <f>IFERROR(INDEX('Base de sorteio'!$D$3:$D$1723,MATCH($B1097&amp;"|"&amp;$C1097,'Base de sorteio'!$I$3:$I$1723,0)),"")</f>
        <v/>
      </c>
      <c r="H1097" s="4">
        <f>IFERROR(INDEX('Base de sorteio'!$E$3:$E$1723,MATCH($B1097&amp;"|"&amp;$C1097,'Base de sorteio'!$I$3:$I$1723,0)),"")</f>
        <v/>
      </c>
      <c r="I1097" s="4">
        <f>IF(E1097="","",HYPERLINK(IFERROR(INDEX('Base de sorteio'!$J$3:$J$1723,MATCH($B1097&amp;"|"&amp;$C1097,'Base de sorteio'!$I$3:$I$1723,0)),""),"abrir"))</f>
        <v/>
      </c>
      <c r="J1097" s="4" t="n"/>
      <c r="K1097" s="4" t="n"/>
      <c r="L1097" s="4" t="n"/>
      <c r="M1097" s="4" t="n"/>
      <c r="N1097" s="4">
        <f>IF(AND(K1097="",M1097=""),"",IF(OR(K1097="sim",M1097="sim"),"sim",IF(OR(K1097="inconclusivo",M1097="inconclusivo"),"inconclusivo","não")))</f>
        <v/>
      </c>
      <c r="O1097" s="5">
        <f>IF(N1097="sim",COUNTIFS($B$3:$B1097,$B1097,$N$3:$N1097,"sim"),"")</f>
        <v/>
      </c>
      <c r="P1097" s="5" t="n"/>
      <c r="Q1097" s="4" t="n"/>
      <c r="R1097" s="5" t="n"/>
      <c r="S1097" s="9" t="n"/>
      <c r="T1097" s="4" t="n"/>
    </row>
    <row r="1098">
      <c r="A1098" s="5">
        <f>ROW()-2</f>
        <v/>
      </c>
      <c r="B1098" s="4" t="inlineStr">
        <is>
          <t>Capital regional</t>
        </is>
      </c>
      <c r="C1098" s="5" t="n">
        <v>154</v>
      </c>
      <c r="D1098" s="5">
        <f>IFERROR(INDEX('Base de sorteio'!$A$3:$A$1723,MATCH($B1098&amp;"|"&amp;$C1098,'Base de sorteio'!$I$3:$I$1723,0)),"")</f>
        <v/>
      </c>
      <c r="E1098" s="4">
        <f>IFERROR(INDEX('Base de sorteio'!$B$3:$B$1723,MATCH($B1098&amp;"|"&amp;$C1098,'Base de sorteio'!$I$3:$I$1723,0)),"")</f>
        <v/>
      </c>
      <c r="F1098" s="4">
        <f>IFERROR(INDEX('Base de sorteio'!$C$3:$C$1723,MATCH($B1098&amp;"|"&amp;$C1098,'Base de sorteio'!$I$3:$I$1723,0)),"")</f>
        <v/>
      </c>
      <c r="G1098" s="4">
        <f>IFERROR(INDEX('Base de sorteio'!$D$3:$D$1723,MATCH($B1098&amp;"|"&amp;$C1098,'Base de sorteio'!$I$3:$I$1723,0)),"")</f>
        <v/>
      </c>
      <c r="H1098" s="4">
        <f>IFERROR(INDEX('Base de sorteio'!$E$3:$E$1723,MATCH($B1098&amp;"|"&amp;$C1098,'Base de sorteio'!$I$3:$I$1723,0)),"")</f>
        <v/>
      </c>
      <c r="I1098" s="4">
        <f>IF(E1098="","",HYPERLINK(IFERROR(INDEX('Base de sorteio'!$J$3:$J$1723,MATCH($B1098&amp;"|"&amp;$C1098,'Base de sorteio'!$I$3:$I$1723,0)),""),"abrir"))</f>
        <v/>
      </c>
      <c r="J1098" s="4" t="n"/>
      <c r="K1098" s="4" t="n"/>
      <c r="L1098" s="4" t="n"/>
      <c r="M1098" s="4" t="n"/>
      <c r="N1098" s="4">
        <f>IF(AND(K1098="",M1098=""),"",IF(OR(K1098="sim",M1098="sim"),"sim",IF(OR(K1098="inconclusivo",M1098="inconclusivo"),"inconclusivo","não")))</f>
        <v/>
      </c>
      <c r="O1098" s="5">
        <f>IF(N1098="sim",COUNTIFS($B$3:$B1098,$B1098,$N$3:$N1098,"sim"),"")</f>
        <v/>
      </c>
      <c r="P1098" s="5" t="n"/>
      <c r="Q1098" s="4" t="n"/>
      <c r="R1098" s="5" t="n"/>
      <c r="S1098" s="9" t="n"/>
      <c r="T1098" s="4" t="n"/>
    </row>
    <row r="1099">
      <c r="A1099" s="5">
        <f>ROW()-2</f>
        <v/>
      </c>
      <c r="B1099" s="4" t="inlineStr">
        <is>
          <t>Capital regional</t>
        </is>
      </c>
      <c r="C1099" s="5" t="n">
        <v>155</v>
      </c>
      <c r="D1099" s="5">
        <f>IFERROR(INDEX('Base de sorteio'!$A$3:$A$1723,MATCH($B1099&amp;"|"&amp;$C1099,'Base de sorteio'!$I$3:$I$1723,0)),"")</f>
        <v/>
      </c>
      <c r="E1099" s="4">
        <f>IFERROR(INDEX('Base de sorteio'!$B$3:$B$1723,MATCH($B1099&amp;"|"&amp;$C1099,'Base de sorteio'!$I$3:$I$1723,0)),"")</f>
        <v/>
      </c>
      <c r="F1099" s="4">
        <f>IFERROR(INDEX('Base de sorteio'!$C$3:$C$1723,MATCH($B1099&amp;"|"&amp;$C1099,'Base de sorteio'!$I$3:$I$1723,0)),"")</f>
        <v/>
      </c>
      <c r="G1099" s="4">
        <f>IFERROR(INDEX('Base de sorteio'!$D$3:$D$1723,MATCH($B1099&amp;"|"&amp;$C1099,'Base de sorteio'!$I$3:$I$1723,0)),"")</f>
        <v/>
      </c>
      <c r="H1099" s="4">
        <f>IFERROR(INDEX('Base de sorteio'!$E$3:$E$1723,MATCH($B1099&amp;"|"&amp;$C1099,'Base de sorteio'!$I$3:$I$1723,0)),"")</f>
        <v/>
      </c>
      <c r="I1099" s="4">
        <f>IF(E1099="","",HYPERLINK(IFERROR(INDEX('Base de sorteio'!$J$3:$J$1723,MATCH($B1099&amp;"|"&amp;$C1099,'Base de sorteio'!$I$3:$I$1723,0)),""),"abrir"))</f>
        <v/>
      </c>
      <c r="J1099" s="4" t="n"/>
      <c r="K1099" s="4" t="n"/>
      <c r="L1099" s="4" t="n"/>
      <c r="M1099" s="4" t="n"/>
      <c r="N1099" s="4">
        <f>IF(AND(K1099="",M1099=""),"",IF(OR(K1099="sim",M1099="sim"),"sim",IF(OR(K1099="inconclusivo",M1099="inconclusivo"),"inconclusivo","não")))</f>
        <v/>
      </c>
      <c r="O1099" s="5">
        <f>IF(N1099="sim",COUNTIFS($B$3:$B1099,$B1099,$N$3:$N1099,"sim"),"")</f>
        <v/>
      </c>
      <c r="P1099" s="5" t="n"/>
      <c r="Q1099" s="4" t="n"/>
      <c r="R1099" s="5" t="n"/>
      <c r="S1099" s="9" t="n"/>
      <c r="T1099" s="4" t="n"/>
    </row>
    <row r="1100">
      <c r="A1100" s="5">
        <f>ROW()-2</f>
        <v/>
      </c>
      <c r="B1100" s="4" t="inlineStr">
        <is>
          <t>Capital regional</t>
        </is>
      </c>
      <c r="C1100" s="5" t="n">
        <v>156</v>
      </c>
      <c r="D1100" s="5">
        <f>IFERROR(INDEX('Base de sorteio'!$A$3:$A$1723,MATCH($B1100&amp;"|"&amp;$C1100,'Base de sorteio'!$I$3:$I$1723,0)),"")</f>
        <v/>
      </c>
      <c r="E1100" s="4">
        <f>IFERROR(INDEX('Base de sorteio'!$B$3:$B$1723,MATCH($B1100&amp;"|"&amp;$C1100,'Base de sorteio'!$I$3:$I$1723,0)),"")</f>
        <v/>
      </c>
      <c r="F1100" s="4">
        <f>IFERROR(INDEX('Base de sorteio'!$C$3:$C$1723,MATCH($B1100&amp;"|"&amp;$C1100,'Base de sorteio'!$I$3:$I$1723,0)),"")</f>
        <v/>
      </c>
      <c r="G1100" s="4">
        <f>IFERROR(INDEX('Base de sorteio'!$D$3:$D$1723,MATCH($B1100&amp;"|"&amp;$C1100,'Base de sorteio'!$I$3:$I$1723,0)),"")</f>
        <v/>
      </c>
      <c r="H1100" s="4">
        <f>IFERROR(INDEX('Base de sorteio'!$E$3:$E$1723,MATCH($B1100&amp;"|"&amp;$C1100,'Base de sorteio'!$I$3:$I$1723,0)),"")</f>
        <v/>
      </c>
      <c r="I1100" s="4">
        <f>IF(E1100="","",HYPERLINK(IFERROR(INDEX('Base de sorteio'!$J$3:$J$1723,MATCH($B1100&amp;"|"&amp;$C1100,'Base de sorteio'!$I$3:$I$1723,0)),""),"abrir"))</f>
        <v/>
      </c>
      <c r="J1100" s="4" t="n"/>
      <c r="K1100" s="4" t="n"/>
      <c r="L1100" s="4" t="n"/>
      <c r="M1100" s="4" t="n"/>
      <c r="N1100" s="4">
        <f>IF(AND(K1100="",M1100=""),"",IF(OR(K1100="sim",M1100="sim"),"sim",IF(OR(K1100="inconclusivo",M1100="inconclusivo"),"inconclusivo","não")))</f>
        <v/>
      </c>
      <c r="O1100" s="5">
        <f>IF(N1100="sim",COUNTIFS($B$3:$B1100,$B1100,$N$3:$N1100,"sim"),"")</f>
        <v/>
      </c>
      <c r="P1100" s="5" t="n"/>
      <c r="Q1100" s="4" t="n"/>
      <c r="R1100" s="5" t="n"/>
      <c r="S1100" s="9" t="n"/>
      <c r="T1100" s="4" t="n"/>
    </row>
    <row r="1101">
      <c r="A1101" s="5">
        <f>ROW()-2</f>
        <v/>
      </c>
      <c r="B1101" s="4" t="inlineStr">
        <is>
          <t>Capital regional</t>
        </is>
      </c>
      <c r="C1101" s="5" t="n">
        <v>157</v>
      </c>
      <c r="D1101" s="5">
        <f>IFERROR(INDEX('Base de sorteio'!$A$3:$A$1723,MATCH($B1101&amp;"|"&amp;$C1101,'Base de sorteio'!$I$3:$I$1723,0)),"")</f>
        <v/>
      </c>
      <c r="E1101" s="4">
        <f>IFERROR(INDEX('Base de sorteio'!$B$3:$B$1723,MATCH($B1101&amp;"|"&amp;$C1101,'Base de sorteio'!$I$3:$I$1723,0)),"")</f>
        <v/>
      </c>
      <c r="F1101" s="4">
        <f>IFERROR(INDEX('Base de sorteio'!$C$3:$C$1723,MATCH($B1101&amp;"|"&amp;$C1101,'Base de sorteio'!$I$3:$I$1723,0)),"")</f>
        <v/>
      </c>
      <c r="G1101" s="4">
        <f>IFERROR(INDEX('Base de sorteio'!$D$3:$D$1723,MATCH($B1101&amp;"|"&amp;$C1101,'Base de sorteio'!$I$3:$I$1723,0)),"")</f>
        <v/>
      </c>
      <c r="H1101" s="4">
        <f>IFERROR(INDEX('Base de sorteio'!$E$3:$E$1723,MATCH($B1101&amp;"|"&amp;$C1101,'Base de sorteio'!$I$3:$I$1723,0)),"")</f>
        <v/>
      </c>
      <c r="I1101" s="4">
        <f>IF(E1101="","",HYPERLINK(IFERROR(INDEX('Base de sorteio'!$J$3:$J$1723,MATCH($B1101&amp;"|"&amp;$C1101,'Base de sorteio'!$I$3:$I$1723,0)),""),"abrir"))</f>
        <v/>
      </c>
      <c r="J1101" s="4" t="n"/>
      <c r="K1101" s="4" t="n"/>
      <c r="L1101" s="4" t="n"/>
      <c r="M1101" s="4" t="n"/>
      <c r="N1101" s="4">
        <f>IF(AND(K1101="",M1101=""),"",IF(OR(K1101="sim",M1101="sim"),"sim",IF(OR(K1101="inconclusivo",M1101="inconclusivo"),"inconclusivo","não")))</f>
        <v/>
      </c>
      <c r="O1101" s="5">
        <f>IF(N1101="sim",COUNTIFS($B$3:$B1101,$B1101,$N$3:$N1101,"sim"),"")</f>
        <v/>
      </c>
      <c r="P1101" s="5" t="n"/>
      <c r="Q1101" s="4" t="n"/>
      <c r="R1101" s="5" t="n"/>
      <c r="S1101" s="9" t="n"/>
      <c r="T1101" s="4" t="n"/>
    </row>
    <row r="1102">
      <c r="A1102" s="5">
        <f>ROW()-2</f>
        <v/>
      </c>
      <c r="B1102" s="4" t="inlineStr">
        <is>
          <t>Capital regional</t>
        </is>
      </c>
      <c r="C1102" s="5" t="n">
        <v>158</v>
      </c>
      <c r="D1102" s="5">
        <f>IFERROR(INDEX('Base de sorteio'!$A$3:$A$1723,MATCH($B1102&amp;"|"&amp;$C1102,'Base de sorteio'!$I$3:$I$1723,0)),"")</f>
        <v/>
      </c>
      <c r="E1102" s="4">
        <f>IFERROR(INDEX('Base de sorteio'!$B$3:$B$1723,MATCH($B1102&amp;"|"&amp;$C1102,'Base de sorteio'!$I$3:$I$1723,0)),"")</f>
        <v/>
      </c>
      <c r="F1102" s="4">
        <f>IFERROR(INDEX('Base de sorteio'!$C$3:$C$1723,MATCH($B1102&amp;"|"&amp;$C1102,'Base de sorteio'!$I$3:$I$1723,0)),"")</f>
        <v/>
      </c>
      <c r="G1102" s="4">
        <f>IFERROR(INDEX('Base de sorteio'!$D$3:$D$1723,MATCH($B1102&amp;"|"&amp;$C1102,'Base de sorteio'!$I$3:$I$1723,0)),"")</f>
        <v/>
      </c>
      <c r="H1102" s="4">
        <f>IFERROR(INDEX('Base de sorteio'!$E$3:$E$1723,MATCH($B1102&amp;"|"&amp;$C1102,'Base de sorteio'!$I$3:$I$1723,0)),"")</f>
        <v/>
      </c>
      <c r="I1102" s="4">
        <f>IF(E1102="","",HYPERLINK(IFERROR(INDEX('Base de sorteio'!$J$3:$J$1723,MATCH($B1102&amp;"|"&amp;$C1102,'Base de sorteio'!$I$3:$I$1723,0)),""),"abrir"))</f>
        <v/>
      </c>
      <c r="J1102" s="4" t="n"/>
      <c r="K1102" s="4" t="n"/>
      <c r="L1102" s="4" t="n"/>
      <c r="M1102" s="4" t="n"/>
      <c r="N1102" s="4">
        <f>IF(AND(K1102="",M1102=""),"",IF(OR(K1102="sim",M1102="sim"),"sim",IF(OR(K1102="inconclusivo",M1102="inconclusivo"),"inconclusivo","não")))</f>
        <v/>
      </c>
      <c r="O1102" s="5">
        <f>IF(N1102="sim",COUNTIFS($B$3:$B1102,$B1102,$N$3:$N1102,"sim"),"")</f>
        <v/>
      </c>
      <c r="P1102" s="5" t="n"/>
      <c r="Q1102" s="4" t="n"/>
      <c r="R1102" s="5" t="n"/>
      <c r="S1102" s="9" t="n"/>
      <c r="T1102" s="4" t="n"/>
    </row>
    <row r="1103">
      <c r="A1103" s="5">
        <f>ROW()-2</f>
        <v/>
      </c>
      <c r="B1103" s="4" t="inlineStr">
        <is>
          <t>Capital regional</t>
        </is>
      </c>
      <c r="C1103" s="5" t="n">
        <v>159</v>
      </c>
      <c r="D1103" s="5">
        <f>IFERROR(INDEX('Base de sorteio'!$A$3:$A$1723,MATCH($B1103&amp;"|"&amp;$C1103,'Base de sorteio'!$I$3:$I$1723,0)),"")</f>
        <v/>
      </c>
      <c r="E1103" s="4">
        <f>IFERROR(INDEX('Base de sorteio'!$B$3:$B$1723,MATCH($B1103&amp;"|"&amp;$C1103,'Base de sorteio'!$I$3:$I$1723,0)),"")</f>
        <v/>
      </c>
      <c r="F1103" s="4">
        <f>IFERROR(INDEX('Base de sorteio'!$C$3:$C$1723,MATCH($B1103&amp;"|"&amp;$C1103,'Base de sorteio'!$I$3:$I$1723,0)),"")</f>
        <v/>
      </c>
      <c r="G1103" s="4">
        <f>IFERROR(INDEX('Base de sorteio'!$D$3:$D$1723,MATCH($B1103&amp;"|"&amp;$C1103,'Base de sorteio'!$I$3:$I$1723,0)),"")</f>
        <v/>
      </c>
      <c r="H1103" s="4">
        <f>IFERROR(INDEX('Base de sorteio'!$E$3:$E$1723,MATCH($B1103&amp;"|"&amp;$C1103,'Base de sorteio'!$I$3:$I$1723,0)),"")</f>
        <v/>
      </c>
      <c r="I1103" s="4">
        <f>IF(E1103="","",HYPERLINK(IFERROR(INDEX('Base de sorteio'!$J$3:$J$1723,MATCH($B1103&amp;"|"&amp;$C1103,'Base de sorteio'!$I$3:$I$1723,0)),""),"abrir"))</f>
        <v/>
      </c>
      <c r="J1103" s="4" t="n"/>
      <c r="K1103" s="4" t="n"/>
      <c r="L1103" s="4" t="n"/>
      <c r="M1103" s="4" t="n"/>
      <c r="N1103" s="4">
        <f>IF(AND(K1103="",M1103=""),"",IF(OR(K1103="sim",M1103="sim"),"sim",IF(OR(K1103="inconclusivo",M1103="inconclusivo"),"inconclusivo","não")))</f>
        <v/>
      </c>
      <c r="O1103" s="5">
        <f>IF(N1103="sim",COUNTIFS($B$3:$B1103,$B1103,$N$3:$N1103,"sim"),"")</f>
        <v/>
      </c>
      <c r="P1103" s="5" t="n"/>
      <c r="Q1103" s="4" t="n"/>
      <c r="R1103" s="5" t="n"/>
      <c r="S1103" s="9" t="n"/>
      <c r="T1103" s="4" t="n"/>
    </row>
    <row r="1104">
      <c r="A1104" s="5">
        <f>ROW()-2</f>
        <v/>
      </c>
      <c r="B1104" s="4" t="inlineStr">
        <is>
          <t>Capital regional</t>
        </is>
      </c>
      <c r="C1104" s="5" t="n">
        <v>160</v>
      </c>
      <c r="D1104" s="5">
        <f>IFERROR(INDEX('Base de sorteio'!$A$3:$A$1723,MATCH($B1104&amp;"|"&amp;$C1104,'Base de sorteio'!$I$3:$I$1723,0)),"")</f>
        <v/>
      </c>
      <c r="E1104" s="4">
        <f>IFERROR(INDEX('Base de sorteio'!$B$3:$B$1723,MATCH($B1104&amp;"|"&amp;$C1104,'Base de sorteio'!$I$3:$I$1723,0)),"")</f>
        <v/>
      </c>
      <c r="F1104" s="4">
        <f>IFERROR(INDEX('Base de sorteio'!$C$3:$C$1723,MATCH($B1104&amp;"|"&amp;$C1104,'Base de sorteio'!$I$3:$I$1723,0)),"")</f>
        <v/>
      </c>
      <c r="G1104" s="4">
        <f>IFERROR(INDEX('Base de sorteio'!$D$3:$D$1723,MATCH($B1104&amp;"|"&amp;$C1104,'Base de sorteio'!$I$3:$I$1723,0)),"")</f>
        <v/>
      </c>
      <c r="H1104" s="4">
        <f>IFERROR(INDEX('Base de sorteio'!$E$3:$E$1723,MATCH($B1104&amp;"|"&amp;$C1104,'Base de sorteio'!$I$3:$I$1723,0)),"")</f>
        <v/>
      </c>
      <c r="I1104" s="4">
        <f>IF(E1104="","",HYPERLINK(IFERROR(INDEX('Base de sorteio'!$J$3:$J$1723,MATCH($B1104&amp;"|"&amp;$C1104,'Base de sorteio'!$I$3:$I$1723,0)),""),"abrir"))</f>
        <v/>
      </c>
      <c r="J1104" s="4" t="n"/>
      <c r="K1104" s="4" t="n"/>
      <c r="L1104" s="4" t="n"/>
      <c r="M1104" s="4" t="n"/>
      <c r="N1104" s="4">
        <f>IF(AND(K1104="",M1104=""),"",IF(OR(K1104="sim",M1104="sim"),"sim",IF(OR(K1104="inconclusivo",M1104="inconclusivo"),"inconclusivo","não")))</f>
        <v/>
      </c>
      <c r="O1104" s="5">
        <f>IF(N1104="sim",COUNTIFS($B$3:$B1104,$B1104,$N$3:$N1104,"sim"),"")</f>
        <v/>
      </c>
      <c r="P1104" s="5" t="n"/>
      <c r="Q1104" s="4" t="n"/>
      <c r="R1104" s="5" t="n"/>
      <c r="S1104" s="9" t="n"/>
      <c r="T1104" s="4" t="n"/>
    </row>
    <row r="1105">
      <c r="A1105" s="5">
        <f>ROW()-2</f>
        <v/>
      </c>
      <c r="B1105" s="4" t="inlineStr">
        <is>
          <t>Capital regional</t>
        </is>
      </c>
      <c r="C1105" s="5" t="n">
        <v>161</v>
      </c>
      <c r="D1105" s="5">
        <f>IFERROR(INDEX('Base de sorteio'!$A$3:$A$1723,MATCH($B1105&amp;"|"&amp;$C1105,'Base de sorteio'!$I$3:$I$1723,0)),"")</f>
        <v/>
      </c>
      <c r="E1105" s="4">
        <f>IFERROR(INDEX('Base de sorteio'!$B$3:$B$1723,MATCH($B1105&amp;"|"&amp;$C1105,'Base de sorteio'!$I$3:$I$1723,0)),"")</f>
        <v/>
      </c>
      <c r="F1105" s="4">
        <f>IFERROR(INDEX('Base de sorteio'!$C$3:$C$1723,MATCH($B1105&amp;"|"&amp;$C1105,'Base de sorteio'!$I$3:$I$1723,0)),"")</f>
        <v/>
      </c>
      <c r="G1105" s="4">
        <f>IFERROR(INDEX('Base de sorteio'!$D$3:$D$1723,MATCH($B1105&amp;"|"&amp;$C1105,'Base de sorteio'!$I$3:$I$1723,0)),"")</f>
        <v/>
      </c>
      <c r="H1105" s="4">
        <f>IFERROR(INDEX('Base de sorteio'!$E$3:$E$1723,MATCH($B1105&amp;"|"&amp;$C1105,'Base de sorteio'!$I$3:$I$1723,0)),"")</f>
        <v/>
      </c>
      <c r="I1105" s="4">
        <f>IF(E1105="","",HYPERLINK(IFERROR(INDEX('Base de sorteio'!$J$3:$J$1723,MATCH($B1105&amp;"|"&amp;$C1105,'Base de sorteio'!$I$3:$I$1723,0)),""),"abrir"))</f>
        <v/>
      </c>
      <c r="J1105" s="4" t="n"/>
      <c r="K1105" s="4" t="n"/>
      <c r="L1105" s="4" t="n"/>
      <c r="M1105" s="4" t="n"/>
      <c r="N1105" s="4">
        <f>IF(AND(K1105="",M1105=""),"",IF(OR(K1105="sim",M1105="sim"),"sim",IF(OR(K1105="inconclusivo",M1105="inconclusivo"),"inconclusivo","não")))</f>
        <v/>
      </c>
      <c r="O1105" s="5">
        <f>IF(N1105="sim",COUNTIFS($B$3:$B1105,$B1105,$N$3:$N1105,"sim"),"")</f>
        <v/>
      </c>
      <c r="P1105" s="5" t="n"/>
      <c r="Q1105" s="4" t="n"/>
      <c r="R1105" s="5" t="n"/>
      <c r="S1105" s="9" t="n"/>
      <c r="T1105" s="4" t="n"/>
    </row>
    <row r="1106">
      <c r="A1106" s="5">
        <f>ROW()-2</f>
        <v/>
      </c>
      <c r="B1106" s="4" t="inlineStr">
        <is>
          <t>Capital regional</t>
        </is>
      </c>
      <c r="C1106" s="5" t="n">
        <v>162</v>
      </c>
      <c r="D1106" s="5">
        <f>IFERROR(INDEX('Base de sorteio'!$A$3:$A$1723,MATCH($B1106&amp;"|"&amp;$C1106,'Base de sorteio'!$I$3:$I$1723,0)),"")</f>
        <v/>
      </c>
      <c r="E1106" s="4">
        <f>IFERROR(INDEX('Base de sorteio'!$B$3:$B$1723,MATCH($B1106&amp;"|"&amp;$C1106,'Base de sorteio'!$I$3:$I$1723,0)),"")</f>
        <v/>
      </c>
      <c r="F1106" s="4">
        <f>IFERROR(INDEX('Base de sorteio'!$C$3:$C$1723,MATCH($B1106&amp;"|"&amp;$C1106,'Base de sorteio'!$I$3:$I$1723,0)),"")</f>
        <v/>
      </c>
      <c r="G1106" s="4">
        <f>IFERROR(INDEX('Base de sorteio'!$D$3:$D$1723,MATCH($B1106&amp;"|"&amp;$C1106,'Base de sorteio'!$I$3:$I$1723,0)),"")</f>
        <v/>
      </c>
      <c r="H1106" s="4">
        <f>IFERROR(INDEX('Base de sorteio'!$E$3:$E$1723,MATCH($B1106&amp;"|"&amp;$C1106,'Base de sorteio'!$I$3:$I$1723,0)),"")</f>
        <v/>
      </c>
      <c r="I1106" s="4">
        <f>IF(E1106="","",HYPERLINK(IFERROR(INDEX('Base de sorteio'!$J$3:$J$1723,MATCH($B1106&amp;"|"&amp;$C1106,'Base de sorteio'!$I$3:$I$1723,0)),""),"abrir"))</f>
        <v/>
      </c>
      <c r="J1106" s="4" t="n"/>
      <c r="K1106" s="4" t="n"/>
      <c r="L1106" s="4" t="n"/>
      <c r="M1106" s="4" t="n"/>
      <c r="N1106" s="4">
        <f>IF(AND(K1106="",M1106=""),"",IF(OR(K1106="sim",M1106="sim"),"sim",IF(OR(K1106="inconclusivo",M1106="inconclusivo"),"inconclusivo","não")))</f>
        <v/>
      </c>
      <c r="O1106" s="5">
        <f>IF(N1106="sim",COUNTIFS($B$3:$B1106,$B1106,$N$3:$N1106,"sim"),"")</f>
        <v/>
      </c>
      <c r="P1106" s="5" t="n"/>
      <c r="Q1106" s="4" t="n"/>
      <c r="R1106" s="5" t="n"/>
      <c r="S1106" s="9" t="n"/>
      <c r="T1106" s="4" t="n"/>
    </row>
    <row r="1107">
      <c r="A1107" s="5">
        <f>ROW()-2</f>
        <v/>
      </c>
      <c r="B1107" s="4" t="inlineStr">
        <is>
          <t>Capital regional</t>
        </is>
      </c>
      <c r="C1107" s="5" t="n">
        <v>163</v>
      </c>
      <c r="D1107" s="5">
        <f>IFERROR(INDEX('Base de sorteio'!$A$3:$A$1723,MATCH($B1107&amp;"|"&amp;$C1107,'Base de sorteio'!$I$3:$I$1723,0)),"")</f>
        <v/>
      </c>
      <c r="E1107" s="4">
        <f>IFERROR(INDEX('Base de sorteio'!$B$3:$B$1723,MATCH($B1107&amp;"|"&amp;$C1107,'Base de sorteio'!$I$3:$I$1723,0)),"")</f>
        <v/>
      </c>
      <c r="F1107" s="4">
        <f>IFERROR(INDEX('Base de sorteio'!$C$3:$C$1723,MATCH($B1107&amp;"|"&amp;$C1107,'Base de sorteio'!$I$3:$I$1723,0)),"")</f>
        <v/>
      </c>
      <c r="G1107" s="4">
        <f>IFERROR(INDEX('Base de sorteio'!$D$3:$D$1723,MATCH($B1107&amp;"|"&amp;$C1107,'Base de sorteio'!$I$3:$I$1723,0)),"")</f>
        <v/>
      </c>
      <c r="H1107" s="4">
        <f>IFERROR(INDEX('Base de sorteio'!$E$3:$E$1723,MATCH($B1107&amp;"|"&amp;$C1107,'Base de sorteio'!$I$3:$I$1723,0)),"")</f>
        <v/>
      </c>
      <c r="I1107" s="4">
        <f>IF(E1107="","",HYPERLINK(IFERROR(INDEX('Base de sorteio'!$J$3:$J$1723,MATCH($B1107&amp;"|"&amp;$C1107,'Base de sorteio'!$I$3:$I$1723,0)),""),"abrir"))</f>
        <v/>
      </c>
      <c r="J1107" s="4" t="n"/>
      <c r="K1107" s="4" t="n"/>
      <c r="L1107" s="4" t="n"/>
      <c r="M1107" s="4" t="n"/>
      <c r="N1107" s="4">
        <f>IF(AND(K1107="",M1107=""),"",IF(OR(K1107="sim",M1107="sim"),"sim",IF(OR(K1107="inconclusivo",M1107="inconclusivo"),"inconclusivo","não")))</f>
        <v/>
      </c>
      <c r="O1107" s="5">
        <f>IF(N1107="sim",COUNTIFS($B$3:$B1107,$B1107,$N$3:$N1107,"sim"),"")</f>
        <v/>
      </c>
      <c r="P1107" s="5" t="n"/>
      <c r="Q1107" s="4" t="n"/>
      <c r="R1107" s="5" t="n"/>
      <c r="S1107" s="9" t="n"/>
      <c r="T1107" s="4" t="n"/>
    </row>
    <row r="1108">
      <c r="A1108" s="5">
        <f>ROW()-2</f>
        <v/>
      </c>
      <c r="B1108" s="4" t="inlineStr">
        <is>
          <t>Capital regional</t>
        </is>
      </c>
      <c r="C1108" s="5" t="n">
        <v>164</v>
      </c>
      <c r="D1108" s="5">
        <f>IFERROR(INDEX('Base de sorteio'!$A$3:$A$1723,MATCH($B1108&amp;"|"&amp;$C1108,'Base de sorteio'!$I$3:$I$1723,0)),"")</f>
        <v/>
      </c>
      <c r="E1108" s="4">
        <f>IFERROR(INDEX('Base de sorteio'!$B$3:$B$1723,MATCH($B1108&amp;"|"&amp;$C1108,'Base de sorteio'!$I$3:$I$1723,0)),"")</f>
        <v/>
      </c>
      <c r="F1108" s="4">
        <f>IFERROR(INDEX('Base de sorteio'!$C$3:$C$1723,MATCH($B1108&amp;"|"&amp;$C1108,'Base de sorteio'!$I$3:$I$1723,0)),"")</f>
        <v/>
      </c>
      <c r="G1108" s="4">
        <f>IFERROR(INDEX('Base de sorteio'!$D$3:$D$1723,MATCH($B1108&amp;"|"&amp;$C1108,'Base de sorteio'!$I$3:$I$1723,0)),"")</f>
        <v/>
      </c>
      <c r="H1108" s="4">
        <f>IFERROR(INDEX('Base de sorteio'!$E$3:$E$1723,MATCH($B1108&amp;"|"&amp;$C1108,'Base de sorteio'!$I$3:$I$1723,0)),"")</f>
        <v/>
      </c>
      <c r="I1108" s="4">
        <f>IF(E1108="","",HYPERLINK(IFERROR(INDEX('Base de sorteio'!$J$3:$J$1723,MATCH($B1108&amp;"|"&amp;$C1108,'Base de sorteio'!$I$3:$I$1723,0)),""),"abrir"))</f>
        <v/>
      </c>
      <c r="J1108" s="4" t="n"/>
      <c r="K1108" s="4" t="n"/>
      <c r="L1108" s="4" t="n"/>
      <c r="M1108" s="4" t="n"/>
      <c r="N1108" s="4">
        <f>IF(AND(K1108="",M1108=""),"",IF(OR(K1108="sim",M1108="sim"),"sim",IF(OR(K1108="inconclusivo",M1108="inconclusivo"),"inconclusivo","não")))</f>
        <v/>
      </c>
      <c r="O1108" s="5">
        <f>IF(N1108="sim",COUNTIFS($B$3:$B1108,$B1108,$N$3:$N1108,"sim"),"")</f>
        <v/>
      </c>
      <c r="P1108" s="5" t="n"/>
      <c r="Q1108" s="4" t="n"/>
      <c r="R1108" s="5" t="n"/>
      <c r="S1108" s="9" t="n"/>
      <c r="T1108" s="4" t="n"/>
    </row>
    <row r="1109">
      <c r="A1109" s="5">
        <f>ROW()-2</f>
        <v/>
      </c>
      <c r="B1109" s="4" t="inlineStr">
        <is>
          <t>Capital regional</t>
        </is>
      </c>
      <c r="C1109" s="5" t="n">
        <v>165</v>
      </c>
      <c r="D1109" s="5">
        <f>IFERROR(INDEX('Base de sorteio'!$A$3:$A$1723,MATCH($B1109&amp;"|"&amp;$C1109,'Base de sorteio'!$I$3:$I$1723,0)),"")</f>
        <v/>
      </c>
      <c r="E1109" s="4">
        <f>IFERROR(INDEX('Base de sorteio'!$B$3:$B$1723,MATCH($B1109&amp;"|"&amp;$C1109,'Base de sorteio'!$I$3:$I$1723,0)),"")</f>
        <v/>
      </c>
      <c r="F1109" s="4">
        <f>IFERROR(INDEX('Base de sorteio'!$C$3:$C$1723,MATCH($B1109&amp;"|"&amp;$C1109,'Base de sorteio'!$I$3:$I$1723,0)),"")</f>
        <v/>
      </c>
      <c r="G1109" s="4">
        <f>IFERROR(INDEX('Base de sorteio'!$D$3:$D$1723,MATCH($B1109&amp;"|"&amp;$C1109,'Base de sorteio'!$I$3:$I$1723,0)),"")</f>
        <v/>
      </c>
      <c r="H1109" s="4">
        <f>IFERROR(INDEX('Base de sorteio'!$E$3:$E$1723,MATCH($B1109&amp;"|"&amp;$C1109,'Base de sorteio'!$I$3:$I$1723,0)),"")</f>
        <v/>
      </c>
      <c r="I1109" s="4">
        <f>IF(E1109="","",HYPERLINK(IFERROR(INDEX('Base de sorteio'!$J$3:$J$1723,MATCH($B1109&amp;"|"&amp;$C1109,'Base de sorteio'!$I$3:$I$1723,0)),""),"abrir"))</f>
        <v/>
      </c>
      <c r="J1109" s="4" t="n"/>
      <c r="K1109" s="4" t="n"/>
      <c r="L1109" s="4" t="n"/>
      <c r="M1109" s="4" t="n"/>
      <c r="N1109" s="4">
        <f>IF(AND(K1109="",M1109=""),"",IF(OR(K1109="sim",M1109="sim"),"sim",IF(OR(K1109="inconclusivo",M1109="inconclusivo"),"inconclusivo","não")))</f>
        <v/>
      </c>
      <c r="O1109" s="5">
        <f>IF(N1109="sim",COUNTIFS($B$3:$B1109,$B1109,$N$3:$N1109,"sim"),"")</f>
        <v/>
      </c>
      <c r="P1109" s="5" t="n"/>
      <c r="Q1109" s="4" t="n"/>
      <c r="R1109" s="5" t="n"/>
      <c r="S1109" s="9" t="n"/>
      <c r="T1109" s="4" t="n"/>
    </row>
    <row r="1110">
      <c r="A1110" s="5">
        <f>ROW()-2</f>
        <v/>
      </c>
      <c r="B1110" s="4" t="inlineStr">
        <is>
          <t>Capital regional</t>
        </is>
      </c>
      <c r="C1110" s="5" t="n">
        <v>166</v>
      </c>
      <c r="D1110" s="5">
        <f>IFERROR(INDEX('Base de sorteio'!$A$3:$A$1723,MATCH($B1110&amp;"|"&amp;$C1110,'Base de sorteio'!$I$3:$I$1723,0)),"")</f>
        <v/>
      </c>
      <c r="E1110" s="4">
        <f>IFERROR(INDEX('Base de sorteio'!$B$3:$B$1723,MATCH($B1110&amp;"|"&amp;$C1110,'Base de sorteio'!$I$3:$I$1723,0)),"")</f>
        <v/>
      </c>
      <c r="F1110" s="4">
        <f>IFERROR(INDEX('Base de sorteio'!$C$3:$C$1723,MATCH($B1110&amp;"|"&amp;$C1110,'Base de sorteio'!$I$3:$I$1723,0)),"")</f>
        <v/>
      </c>
      <c r="G1110" s="4">
        <f>IFERROR(INDEX('Base de sorteio'!$D$3:$D$1723,MATCH($B1110&amp;"|"&amp;$C1110,'Base de sorteio'!$I$3:$I$1723,0)),"")</f>
        <v/>
      </c>
      <c r="H1110" s="4">
        <f>IFERROR(INDEX('Base de sorteio'!$E$3:$E$1723,MATCH($B1110&amp;"|"&amp;$C1110,'Base de sorteio'!$I$3:$I$1723,0)),"")</f>
        <v/>
      </c>
      <c r="I1110" s="4">
        <f>IF(E1110="","",HYPERLINK(IFERROR(INDEX('Base de sorteio'!$J$3:$J$1723,MATCH($B1110&amp;"|"&amp;$C1110,'Base de sorteio'!$I$3:$I$1723,0)),""),"abrir"))</f>
        <v/>
      </c>
      <c r="J1110" s="4" t="n"/>
      <c r="K1110" s="4" t="n"/>
      <c r="L1110" s="4" t="n"/>
      <c r="M1110" s="4" t="n"/>
      <c r="N1110" s="4">
        <f>IF(AND(K1110="",M1110=""),"",IF(OR(K1110="sim",M1110="sim"),"sim",IF(OR(K1110="inconclusivo",M1110="inconclusivo"),"inconclusivo","não")))</f>
        <v/>
      </c>
      <c r="O1110" s="5">
        <f>IF(N1110="sim",COUNTIFS($B$3:$B1110,$B1110,$N$3:$N1110,"sim"),"")</f>
        <v/>
      </c>
      <c r="P1110" s="5" t="n"/>
      <c r="Q1110" s="4" t="n"/>
      <c r="R1110" s="5" t="n"/>
      <c r="S1110" s="9" t="n"/>
      <c r="T1110" s="4" t="n"/>
    </row>
    <row r="1111">
      <c r="A1111" s="5">
        <f>ROW()-2</f>
        <v/>
      </c>
      <c r="B1111" s="4" t="inlineStr">
        <is>
          <t>Capital regional</t>
        </is>
      </c>
      <c r="C1111" s="5" t="n">
        <v>167</v>
      </c>
      <c r="D1111" s="5">
        <f>IFERROR(INDEX('Base de sorteio'!$A$3:$A$1723,MATCH($B1111&amp;"|"&amp;$C1111,'Base de sorteio'!$I$3:$I$1723,0)),"")</f>
        <v/>
      </c>
      <c r="E1111" s="4">
        <f>IFERROR(INDEX('Base de sorteio'!$B$3:$B$1723,MATCH($B1111&amp;"|"&amp;$C1111,'Base de sorteio'!$I$3:$I$1723,0)),"")</f>
        <v/>
      </c>
      <c r="F1111" s="4">
        <f>IFERROR(INDEX('Base de sorteio'!$C$3:$C$1723,MATCH($B1111&amp;"|"&amp;$C1111,'Base de sorteio'!$I$3:$I$1723,0)),"")</f>
        <v/>
      </c>
      <c r="G1111" s="4">
        <f>IFERROR(INDEX('Base de sorteio'!$D$3:$D$1723,MATCH($B1111&amp;"|"&amp;$C1111,'Base de sorteio'!$I$3:$I$1723,0)),"")</f>
        <v/>
      </c>
      <c r="H1111" s="4">
        <f>IFERROR(INDEX('Base de sorteio'!$E$3:$E$1723,MATCH($B1111&amp;"|"&amp;$C1111,'Base de sorteio'!$I$3:$I$1723,0)),"")</f>
        <v/>
      </c>
      <c r="I1111" s="4">
        <f>IF(E1111="","",HYPERLINK(IFERROR(INDEX('Base de sorteio'!$J$3:$J$1723,MATCH($B1111&amp;"|"&amp;$C1111,'Base de sorteio'!$I$3:$I$1723,0)),""),"abrir"))</f>
        <v/>
      </c>
      <c r="J1111" s="4" t="n"/>
      <c r="K1111" s="4" t="n"/>
      <c r="L1111" s="4" t="n"/>
      <c r="M1111" s="4" t="n"/>
      <c r="N1111" s="4">
        <f>IF(AND(K1111="",M1111=""),"",IF(OR(K1111="sim",M1111="sim"),"sim",IF(OR(K1111="inconclusivo",M1111="inconclusivo"),"inconclusivo","não")))</f>
        <v/>
      </c>
      <c r="O1111" s="5">
        <f>IF(N1111="sim",COUNTIFS($B$3:$B1111,$B1111,$N$3:$N1111,"sim"),"")</f>
        <v/>
      </c>
      <c r="P1111" s="5" t="n"/>
      <c r="Q1111" s="4" t="n"/>
      <c r="R1111" s="5" t="n"/>
      <c r="S1111" s="9" t="n"/>
      <c r="T1111" s="4" t="n"/>
    </row>
    <row r="1112">
      <c r="A1112" s="5">
        <f>ROW()-2</f>
        <v/>
      </c>
      <c r="B1112" s="4" t="inlineStr">
        <is>
          <t>Capital regional</t>
        </is>
      </c>
      <c r="C1112" s="5" t="n">
        <v>168</v>
      </c>
      <c r="D1112" s="5">
        <f>IFERROR(INDEX('Base de sorteio'!$A$3:$A$1723,MATCH($B1112&amp;"|"&amp;$C1112,'Base de sorteio'!$I$3:$I$1723,0)),"")</f>
        <v/>
      </c>
      <c r="E1112" s="4">
        <f>IFERROR(INDEX('Base de sorteio'!$B$3:$B$1723,MATCH($B1112&amp;"|"&amp;$C1112,'Base de sorteio'!$I$3:$I$1723,0)),"")</f>
        <v/>
      </c>
      <c r="F1112" s="4">
        <f>IFERROR(INDEX('Base de sorteio'!$C$3:$C$1723,MATCH($B1112&amp;"|"&amp;$C1112,'Base de sorteio'!$I$3:$I$1723,0)),"")</f>
        <v/>
      </c>
      <c r="G1112" s="4">
        <f>IFERROR(INDEX('Base de sorteio'!$D$3:$D$1723,MATCH($B1112&amp;"|"&amp;$C1112,'Base de sorteio'!$I$3:$I$1723,0)),"")</f>
        <v/>
      </c>
      <c r="H1112" s="4">
        <f>IFERROR(INDEX('Base de sorteio'!$E$3:$E$1723,MATCH($B1112&amp;"|"&amp;$C1112,'Base de sorteio'!$I$3:$I$1723,0)),"")</f>
        <v/>
      </c>
      <c r="I1112" s="4">
        <f>IF(E1112="","",HYPERLINK(IFERROR(INDEX('Base de sorteio'!$J$3:$J$1723,MATCH($B1112&amp;"|"&amp;$C1112,'Base de sorteio'!$I$3:$I$1723,0)),""),"abrir"))</f>
        <v/>
      </c>
      <c r="J1112" s="4" t="n"/>
      <c r="K1112" s="4" t="n"/>
      <c r="L1112" s="4" t="n"/>
      <c r="M1112" s="4" t="n"/>
      <c r="N1112" s="4">
        <f>IF(AND(K1112="",M1112=""),"",IF(OR(K1112="sim",M1112="sim"),"sim",IF(OR(K1112="inconclusivo",M1112="inconclusivo"),"inconclusivo","não")))</f>
        <v/>
      </c>
      <c r="O1112" s="5">
        <f>IF(N1112="sim",COUNTIFS($B$3:$B1112,$B1112,$N$3:$N1112,"sim"),"")</f>
        <v/>
      </c>
      <c r="P1112" s="5" t="n"/>
      <c r="Q1112" s="4" t="n"/>
      <c r="R1112" s="5" t="n"/>
      <c r="S1112" s="9" t="n"/>
      <c r="T1112" s="4" t="n"/>
    </row>
    <row r="1113">
      <c r="A1113" s="5">
        <f>ROW()-2</f>
        <v/>
      </c>
      <c r="B1113" s="4" t="inlineStr">
        <is>
          <t>Capital regional</t>
        </is>
      </c>
      <c r="C1113" s="5" t="n">
        <v>169</v>
      </c>
      <c r="D1113" s="5">
        <f>IFERROR(INDEX('Base de sorteio'!$A$3:$A$1723,MATCH($B1113&amp;"|"&amp;$C1113,'Base de sorteio'!$I$3:$I$1723,0)),"")</f>
        <v/>
      </c>
      <c r="E1113" s="4">
        <f>IFERROR(INDEX('Base de sorteio'!$B$3:$B$1723,MATCH($B1113&amp;"|"&amp;$C1113,'Base de sorteio'!$I$3:$I$1723,0)),"")</f>
        <v/>
      </c>
      <c r="F1113" s="4">
        <f>IFERROR(INDEX('Base de sorteio'!$C$3:$C$1723,MATCH($B1113&amp;"|"&amp;$C1113,'Base de sorteio'!$I$3:$I$1723,0)),"")</f>
        <v/>
      </c>
      <c r="G1113" s="4">
        <f>IFERROR(INDEX('Base de sorteio'!$D$3:$D$1723,MATCH($B1113&amp;"|"&amp;$C1113,'Base de sorteio'!$I$3:$I$1723,0)),"")</f>
        <v/>
      </c>
      <c r="H1113" s="4">
        <f>IFERROR(INDEX('Base de sorteio'!$E$3:$E$1723,MATCH($B1113&amp;"|"&amp;$C1113,'Base de sorteio'!$I$3:$I$1723,0)),"")</f>
        <v/>
      </c>
      <c r="I1113" s="4">
        <f>IF(E1113="","",HYPERLINK(IFERROR(INDEX('Base de sorteio'!$J$3:$J$1723,MATCH($B1113&amp;"|"&amp;$C1113,'Base de sorteio'!$I$3:$I$1723,0)),""),"abrir"))</f>
        <v/>
      </c>
      <c r="J1113" s="4" t="n"/>
      <c r="K1113" s="4" t="n"/>
      <c r="L1113" s="4" t="n"/>
      <c r="M1113" s="4" t="n"/>
      <c r="N1113" s="4">
        <f>IF(AND(K1113="",M1113=""),"",IF(OR(K1113="sim",M1113="sim"),"sim",IF(OR(K1113="inconclusivo",M1113="inconclusivo"),"inconclusivo","não")))</f>
        <v/>
      </c>
      <c r="O1113" s="5">
        <f>IF(N1113="sim",COUNTIFS($B$3:$B1113,$B1113,$N$3:$N1113,"sim"),"")</f>
        <v/>
      </c>
      <c r="P1113" s="5" t="n"/>
      <c r="Q1113" s="4" t="n"/>
      <c r="R1113" s="5" t="n"/>
      <c r="S1113" s="9" t="n"/>
      <c r="T1113" s="4" t="n"/>
    </row>
    <row r="1114">
      <c r="A1114" s="5">
        <f>ROW()-2</f>
        <v/>
      </c>
      <c r="B1114" s="4" t="inlineStr">
        <is>
          <t>Capital regional</t>
        </is>
      </c>
      <c r="C1114" s="5" t="n">
        <v>170</v>
      </c>
      <c r="D1114" s="5">
        <f>IFERROR(INDEX('Base de sorteio'!$A$3:$A$1723,MATCH($B1114&amp;"|"&amp;$C1114,'Base de sorteio'!$I$3:$I$1723,0)),"")</f>
        <v/>
      </c>
      <c r="E1114" s="4">
        <f>IFERROR(INDEX('Base de sorteio'!$B$3:$B$1723,MATCH($B1114&amp;"|"&amp;$C1114,'Base de sorteio'!$I$3:$I$1723,0)),"")</f>
        <v/>
      </c>
      <c r="F1114" s="4">
        <f>IFERROR(INDEX('Base de sorteio'!$C$3:$C$1723,MATCH($B1114&amp;"|"&amp;$C1114,'Base de sorteio'!$I$3:$I$1723,0)),"")</f>
        <v/>
      </c>
      <c r="G1114" s="4">
        <f>IFERROR(INDEX('Base de sorteio'!$D$3:$D$1723,MATCH($B1114&amp;"|"&amp;$C1114,'Base de sorteio'!$I$3:$I$1723,0)),"")</f>
        <v/>
      </c>
      <c r="H1114" s="4">
        <f>IFERROR(INDEX('Base de sorteio'!$E$3:$E$1723,MATCH($B1114&amp;"|"&amp;$C1114,'Base de sorteio'!$I$3:$I$1723,0)),"")</f>
        <v/>
      </c>
      <c r="I1114" s="4">
        <f>IF(E1114="","",HYPERLINK(IFERROR(INDEX('Base de sorteio'!$J$3:$J$1723,MATCH($B1114&amp;"|"&amp;$C1114,'Base de sorteio'!$I$3:$I$1723,0)),""),"abrir"))</f>
        <v/>
      </c>
      <c r="J1114" s="4" t="n"/>
      <c r="K1114" s="4" t="n"/>
      <c r="L1114" s="4" t="n"/>
      <c r="M1114" s="4" t="n"/>
      <c r="N1114" s="4">
        <f>IF(AND(K1114="",M1114=""),"",IF(OR(K1114="sim",M1114="sim"),"sim",IF(OR(K1114="inconclusivo",M1114="inconclusivo"),"inconclusivo","não")))</f>
        <v/>
      </c>
      <c r="O1114" s="5">
        <f>IF(N1114="sim",COUNTIFS($B$3:$B1114,$B1114,$N$3:$N1114,"sim"),"")</f>
        <v/>
      </c>
      <c r="P1114" s="5" t="n"/>
      <c r="Q1114" s="4" t="n"/>
      <c r="R1114" s="5" t="n"/>
      <c r="S1114" s="9" t="n"/>
      <c r="T1114" s="4" t="n"/>
    </row>
    <row r="1115">
      <c r="A1115" s="5">
        <f>ROW()-2</f>
        <v/>
      </c>
      <c r="B1115" s="4" t="inlineStr">
        <is>
          <t>Capital regional</t>
        </is>
      </c>
      <c r="C1115" s="5" t="n">
        <v>171</v>
      </c>
      <c r="D1115" s="5">
        <f>IFERROR(INDEX('Base de sorteio'!$A$3:$A$1723,MATCH($B1115&amp;"|"&amp;$C1115,'Base de sorteio'!$I$3:$I$1723,0)),"")</f>
        <v/>
      </c>
      <c r="E1115" s="4">
        <f>IFERROR(INDEX('Base de sorteio'!$B$3:$B$1723,MATCH($B1115&amp;"|"&amp;$C1115,'Base de sorteio'!$I$3:$I$1723,0)),"")</f>
        <v/>
      </c>
      <c r="F1115" s="4">
        <f>IFERROR(INDEX('Base de sorteio'!$C$3:$C$1723,MATCH($B1115&amp;"|"&amp;$C1115,'Base de sorteio'!$I$3:$I$1723,0)),"")</f>
        <v/>
      </c>
      <c r="G1115" s="4">
        <f>IFERROR(INDEX('Base de sorteio'!$D$3:$D$1723,MATCH($B1115&amp;"|"&amp;$C1115,'Base de sorteio'!$I$3:$I$1723,0)),"")</f>
        <v/>
      </c>
      <c r="H1115" s="4">
        <f>IFERROR(INDEX('Base de sorteio'!$E$3:$E$1723,MATCH($B1115&amp;"|"&amp;$C1115,'Base de sorteio'!$I$3:$I$1723,0)),"")</f>
        <v/>
      </c>
      <c r="I1115" s="4">
        <f>IF(E1115="","",HYPERLINK(IFERROR(INDEX('Base de sorteio'!$J$3:$J$1723,MATCH($B1115&amp;"|"&amp;$C1115,'Base de sorteio'!$I$3:$I$1723,0)),""),"abrir"))</f>
        <v/>
      </c>
      <c r="J1115" s="4" t="n"/>
      <c r="K1115" s="4" t="n"/>
      <c r="L1115" s="4" t="n"/>
      <c r="M1115" s="4" t="n"/>
      <c r="N1115" s="4">
        <f>IF(AND(K1115="",M1115=""),"",IF(OR(K1115="sim",M1115="sim"),"sim",IF(OR(K1115="inconclusivo",M1115="inconclusivo"),"inconclusivo","não")))</f>
        <v/>
      </c>
      <c r="O1115" s="5">
        <f>IF(N1115="sim",COUNTIFS($B$3:$B1115,$B1115,$N$3:$N1115,"sim"),"")</f>
        <v/>
      </c>
      <c r="P1115" s="5" t="n"/>
      <c r="Q1115" s="4" t="n"/>
      <c r="R1115" s="5" t="n"/>
      <c r="S1115" s="9" t="n"/>
      <c r="T1115" s="4" t="n"/>
    </row>
    <row r="1116">
      <c r="A1116" s="5">
        <f>ROW()-2</f>
        <v/>
      </c>
      <c r="B1116" s="4" t="inlineStr">
        <is>
          <t>Capital regional</t>
        </is>
      </c>
      <c r="C1116" s="5" t="n">
        <v>172</v>
      </c>
      <c r="D1116" s="5">
        <f>IFERROR(INDEX('Base de sorteio'!$A$3:$A$1723,MATCH($B1116&amp;"|"&amp;$C1116,'Base de sorteio'!$I$3:$I$1723,0)),"")</f>
        <v/>
      </c>
      <c r="E1116" s="4">
        <f>IFERROR(INDEX('Base de sorteio'!$B$3:$B$1723,MATCH($B1116&amp;"|"&amp;$C1116,'Base de sorteio'!$I$3:$I$1723,0)),"")</f>
        <v/>
      </c>
      <c r="F1116" s="4">
        <f>IFERROR(INDEX('Base de sorteio'!$C$3:$C$1723,MATCH($B1116&amp;"|"&amp;$C1116,'Base de sorteio'!$I$3:$I$1723,0)),"")</f>
        <v/>
      </c>
      <c r="G1116" s="4">
        <f>IFERROR(INDEX('Base de sorteio'!$D$3:$D$1723,MATCH($B1116&amp;"|"&amp;$C1116,'Base de sorteio'!$I$3:$I$1723,0)),"")</f>
        <v/>
      </c>
      <c r="H1116" s="4">
        <f>IFERROR(INDEX('Base de sorteio'!$E$3:$E$1723,MATCH($B1116&amp;"|"&amp;$C1116,'Base de sorteio'!$I$3:$I$1723,0)),"")</f>
        <v/>
      </c>
      <c r="I1116" s="4">
        <f>IF(E1116="","",HYPERLINK(IFERROR(INDEX('Base de sorteio'!$J$3:$J$1723,MATCH($B1116&amp;"|"&amp;$C1116,'Base de sorteio'!$I$3:$I$1723,0)),""),"abrir"))</f>
        <v/>
      </c>
      <c r="J1116" s="4" t="n"/>
      <c r="K1116" s="4" t="n"/>
      <c r="L1116" s="4" t="n"/>
      <c r="M1116" s="4" t="n"/>
      <c r="N1116" s="4">
        <f>IF(AND(K1116="",M1116=""),"",IF(OR(K1116="sim",M1116="sim"),"sim",IF(OR(K1116="inconclusivo",M1116="inconclusivo"),"inconclusivo","não")))</f>
        <v/>
      </c>
      <c r="O1116" s="5">
        <f>IF(N1116="sim",COUNTIFS($B$3:$B1116,$B1116,$N$3:$N1116,"sim"),"")</f>
        <v/>
      </c>
      <c r="P1116" s="5" t="n"/>
      <c r="Q1116" s="4" t="n"/>
      <c r="R1116" s="5" t="n"/>
      <c r="S1116" s="9" t="n"/>
      <c r="T1116" s="4" t="n"/>
    </row>
    <row r="1117">
      <c r="A1117" s="5">
        <f>ROW()-2</f>
        <v/>
      </c>
      <c r="B1117" s="4" t="inlineStr">
        <is>
          <t>Capital regional</t>
        </is>
      </c>
      <c r="C1117" s="5" t="n">
        <v>173</v>
      </c>
      <c r="D1117" s="5">
        <f>IFERROR(INDEX('Base de sorteio'!$A$3:$A$1723,MATCH($B1117&amp;"|"&amp;$C1117,'Base de sorteio'!$I$3:$I$1723,0)),"")</f>
        <v/>
      </c>
      <c r="E1117" s="4">
        <f>IFERROR(INDEX('Base de sorteio'!$B$3:$B$1723,MATCH($B1117&amp;"|"&amp;$C1117,'Base de sorteio'!$I$3:$I$1723,0)),"")</f>
        <v/>
      </c>
      <c r="F1117" s="4">
        <f>IFERROR(INDEX('Base de sorteio'!$C$3:$C$1723,MATCH($B1117&amp;"|"&amp;$C1117,'Base de sorteio'!$I$3:$I$1723,0)),"")</f>
        <v/>
      </c>
      <c r="G1117" s="4">
        <f>IFERROR(INDEX('Base de sorteio'!$D$3:$D$1723,MATCH($B1117&amp;"|"&amp;$C1117,'Base de sorteio'!$I$3:$I$1723,0)),"")</f>
        <v/>
      </c>
      <c r="H1117" s="4">
        <f>IFERROR(INDEX('Base de sorteio'!$E$3:$E$1723,MATCH($B1117&amp;"|"&amp;$C1117,'Base de sorteio'!$I$3:$I$1723,0)),"")</f>
        <v/>
      </c>
      <c r="I1117" s="4">
        <f>IF(E1117="","",HYPERLINK(IFERROR(INDEX('Base de sorteio'!$J$3:$J$1723,MATCH($B1117&amp;"|"&amp;$C1117,'Base de sorteio'!$I$3:$I$1723,0)),""),"abrir"))</f>
        <v/>
      </c>
      <c r="J1117" s="4" t="n"/>
      <c r="K1117" s="4" t="n"/>
      <c r="L1117" s="4" t="n"/>
      <c r="M1117" s="4" t="n"/>
      <c r="N1117" s="4">
        <f>IF(AND(K1117="",M1117=""),"",IF(OR(K1117="sim",M1117="sim"),"sim",IF(OR(K1117="inconclusivo",M1117="inconclusivo"),"inconclusivo","não")))</f>
        <v/>
      </c>
      <c r="O1117" s="5">
        <f>IF(N1117="sim",COUNTIFS($B$3:$B1117,$B1117,$N$3:$N1117,"sim"),"")</f>
        <v/>
      </c>
      <c r="P1117" s="5" t="n"/>
      <c r="Q1117" s="4" t="n"/>
      <c r="R1117" s="5" t="n"/>
      <c r="S1117" s="9" t="n"/>
      <c r="T1117" s="4" t="n"/>
    </row>
    <row r="1118">
      <c r="A1118" s="5">
        <f>ROW()-2</f>
        <v/>
      </c>
      <c r="B1118" s="4" t="inlineStr">
        <is>
          <t>Capital regional</t>
        </is>
      </c>
      <c r="C1118" s="5" t="n">
        <v>174</v>
      </c>
      <c r="D1118" s="5">
        <f>IFERROR(INDEX('Base de sorteio'!$A$3:$A$1723,MATCH($B1118&amp;"|"&amp;$C1118,'Base de sorteio'!$I$3:$I$1723,0)),"")</f>
        <v/>
      </c>
      <c r="E1118" s="4">
        <f>IFERROR(INDEX('Base de sorteio'!$B$3:$B$1723,MATCH($B1118&amp;"|"&amp;$C1118,'Base de sorteio'!$I$3:$I$1723,0)),"")</f>
        <v/>
      </c>
      <c r="F1118" s="4">
        <f>IFERROR(INDEX('Base de sorteio'!$C$3:$C$1723,MATCH($B1118&amp;"|"&amp;$C1118,'Base de sorteio'!$I$3:$I$1723,0)),"")</f>
        <v/>
      </c>
      <c r="G1118" s="4">
        <f>IFERROR(INDEX('Base de sorteio'!$D$3:$D$1723,MATCH($B1118&amp;"|"&amp;$C1118,'Base de sorteio'!$I$3:$I$1723,0)),"")</f>
        <v/>
      </c>
      <c r="H1118" s="4">
        <f>IFERROR(INDEX('Base de sorteio'!$E$3:$E$1723,MATCH($B1118&amp;"|"&amp;$C1118,'Base de sorteio'!$I$3:$I$1723,0)),"")</f>
        <v/>
      </c>
      <c r="I1118" s="4">
        <f>IF(E1118="","",HYPERLINK(IFERROR(INDEX('Base de sorteio'!$J$3:$J$1723,MATCH($B1118&amp;"|"&amp;$C1118,'Base de sorteio'!$I$3:$I$1723,0)),""),"abrir"))</f>
        <v/>
      </c>
      <c r="J1118" s="4" t="n"/>
      <c r="K1118" s="4" t="n"/>
      <c r="L1118" s="4" t="n"/>
      <c r="M1118" s="4" t="n"/>
      <c r="N1118" s="4">
        <f>IF(AND(K1118="",M1118=""),"",IF(OR(K1118="sim",M1118="sim"),"sim",IF(OR(K1118="inconclusivo",M1118="inconclusivo"),"inconclusivo","não")))</f>
        <v/>
      </c>
      <c r="O1118" s="5">
        <f>IF(N1118="sim",COUNTIFS($B$3:$B1118,$B1118,$N$3:$N1118,"sim"),"")</f>
        <v/>
      </c>
      <c r="P1118" s="5" t="n"/>
      <c r="Q1118" s="4" t="n"/>
      <c r="R1118" s="5" t="n"/>
      <c r="S1118" s="9" t="n"/>
      <c r="T1118" s="4" t="n"/>
    </row>
    <row r="1119">
      <c r="A1119" s="5">
        <f>ROW()-2</f>
        <v/>
      </c>
      <c r="B1119" s="4" t="inlineStr">
        <is>
          <t>Capital regional</t>
        </is>
      </c>
      <c r="C1119" s="5" t="n">
        <v>175</v>
      </c>
      <c r="D1119" s="5">
        <f>IFERROR(INDEX('Base de sorteio'!$A$3:$A$1723,MATCH($B1119&amp;"|"&amp;$C1119,'Base de sorteio'!$I$3:$I$1723,0)),"")</f>
        <v/>
      </c>
      <c r="E1119" s="4">
        <f>IFERROR(INDEX('Base de sorteio'!$B$3:$B$1723,MATCH($B1119&amp;"|"&amp;$C1119,'Base de sorteio'!$I$3:$I$1723,0)),"")</f>
        <v/>
      </c>
      <c r="F1119" s="4">
        <f>IFERROR(INDEX('Base de sorteio'!$C$3:$C$1723,MATCH($B1119&amp;"|"&amp;$C1119,'Base de sorteio'!$I$3:$I$1723,0)),"")</f>
        <v/>
      </c>
      <c r="G1119" s="4">
        <f>IFERROR(INDEX('Base de sorteio'!$D$3:$D$1723,MATCH($B1119&amp;"|"&amp;$C1119,'Base de sorteio'!$I$3:$I$1723,0)),"")</f>
        <v/>
      </c>
      <c r="H1119" s="4">
        <f>IFERROR(INDEX('Base de sorteio'!$E$3:$E$1723,MATCH($B1119&amp;"|"&amp;$C1119,'Base de sorteio'!$I$3:$I$1723,0)),"")</f>
        <v/>
      </c>
      <c r="I1119" s="4">
        <f>IF(E1119="","",HYPERLINK(IFERROR(INDEX('Base de sorteio'!$J$3:$J$1723,MATCH($B1119&amp;"|"&amp;$C1119,'Base de sorteio'!$I$3:$I$1723,0)),""),"abrir"))</f>
        <v/>
      </c>
      <c r="J1119" s="4" t="n"/>
      <c r="K1119" s="4" t="n"/>
      <c r="L1119" s="4" t="n"/>
      <c r="M1119" s="4" t="n"/>
      <c r="N1119" s="4">
        <f>IF(AND(K1119="",M1119=""),"",IF(OR(K1119="sim",M1119="sim"),"sim",IF(OR(K1119="inconclusivo",M1119="inconclusivo"),"inconclusivo","não")))</f>
        <v/>
      </c>
      <c r="O1119" s="5">
        <f>IF(N1119="sim",COUNTIFS($B$3:$B1119,$B1119,$N$3:$N1119,"sim"),"")</f>
        <v/>
      </c>
      <c r="P1119" s="5" t="n"/>
      <c r="Q1119" s="4" t="n"/>
      <c r="R1119" s="5" t="n"/>
      <c r="S1119" s="9" t="n"/>
      <c r="T1119" s="4" t="n"/>
    </row>
    <row r="1120">
      <c r="A1120" s="5">
        <f>ROW()-2</f>
        <v/>
      </c>
      <c r="B1120" s="4" t="inlineStr">
        <is>
          <t>Capital regional</t>
        </is>
      </c>
      <c r="C1120" s="5" t="n">
        <v>176</v>
      </c>
      <c r="D1120" s="5">
        <f>IFERROR(INDEX('Base de sorteio'!$A$3:$A$1723,MATCH($B1120&amp;"|"&amp;$C1120,'Base de sorteio'!$I$3:$I$1723,0)),"")</f>
        <v/>
      </c>
      <c r="E1120" s="4">
        <f>IFERROR(INDEX('Base de sorteio'!$B$3:$B$1723,MATCH($B1120&amp;"|"&amp;$C1120,'Base de sorteio'!$I$3:$I$1723,0)),"")</f>
        <v/>
      </c>
      <c r="F1120" s="4">
        <f>IFERROR(INDEX('Base de sorteio'!$C$3:$C$1723,MATCH($B1120&amp;"|"&amp;$C1120,'Base de sorteio'!$I$3:$I$1723,0)),"")</f>
        <v/>
      </c>
      <c r="G1120" s="4">
        <f>IFERROR(INDEX('Base de sorteio'!$D$3:$D$1723,MATCH($B1120&amp;"|"&amp;$C1120,'Base de sorteio'!$I$3:$I$1723,0)),"")</f>
        <v/>
      </c>
      <c r="H1120" s="4">
        <f>IFERROR(INDEX('Base de sorteio'!$E$3:$E$1723,MATCH($B1120&amp;"|"&amp;$C1120,'Base de sorteio'!$I$3:$I$1723,0)),"")</f>
        <v/>
      </c>
      <c r="I1120" s="4">
        <f>IF(E1120="","",HYPERLINK(IFERROR(INDEX('Base de sorteio'!$J$3:$J$1723,MATCH($B1120&amp;"|"&amp;$C1120,'Base de sorteio'!$I$3:$I$1723,0)),""),"abrir"))</f>
        <v/>
      </c>
      <c r="J1120" s="4" t="n"/>
      <c r="K1120" s="4" t="n"/>
      <c r="L1120" s="4" t="n"/>
      <c r="M1120" s="4" t="n"/>
      <c r="N1120" s="4">
        <f>IF(AND(K1120="",M1120=""),"",IF(OR(K1120="sim",M1120="sim"),"sim",IF(OR(K1120="inconclusivo",M1120="inconclusivo"),"inconclusivo","não")))</f>
        <v/>
      </c>
      <c r="O1120" s="5">
        <f>IF(N1120="sim",COUNTIFS($B$3:$B1120,$B1120,$N$3:$N1120,"sim"),"")</f>
        <v/>
      </c>
      <c r="P1120" s="5" t="n"/>
      <c r="Q1120" s="4" t="n"/>
      <c r="R1120" s="5" t="n"/>
      <c r="S1120" s="9" t="n"/>
      <c r="T1120" s="4" t="n"/>
    </row>
    <row r="1121">
      <c r="A1121" s="5">
        <f>ROW()-2</f>
        <v/>
      </c>
      <c r="B1121" s="4" t="inlineStr">
        <is>
          <t>Capital regional</t>
        </is>
      </c>
      <c r="C1121" s="5" t="n">
        <v>177</v>
      </c>
      <c r="D1121" s="5">
        <f>IFERROR(INDEX('Base de sorteio'!$A$3:$A$1723,MATCH($B1121&amp;"|"&amp;$C1121,'Base de sorteio'!$I$3:$I$1723,0)),"")</f>
        <v/>
      </c>
      <c r="E1121" s="4">
        <f>IFERROR(INDEX('Base de sorteio'!$B$3:$B$1723,MATCH($B1121&amp;"|"&amp;$C1121,'Base de sorteio'!$I$3:$I$1723,0)),"")</f>
        <v/>
      </c>
      <c r="F1121" s="4">
        <f>IFERROR(INDEX('Base de sorteio'!$C$3:$C$1723,MATCH($B1121&amp;"|"&amp;$C1121,'Base de sorteio'!$I$3:$I$1723,0)),"")</f>
        <v/>
      </c>
      <c r="G1121" s="4">
        <f>IFERROR(INDEX('Base de sorteio'!$D$3:$D$1723,MATCH($B1121&amp;"|"&amp;$C1121,'Base de sorteio'!$I$3:$I$1723,0)),"")</f>
        <v/>
      </c>
      <c r="H1121" s="4">
        <f>IFERROR(INDEX('Base de sorteio'!$E$3:$E$1723,MATCH($B1121&amp;"|"&amp;$C1121,'Base de sorteio'!$I$3:$I$1723,0)),"")</f>
        <v/>
      </c>
      <c r="I1121" s="4">
        <f>IF(E1121="","",HYPERLINK(IFERROR(INDEX('Base de sorteio'!$J$3:$J$1723,MATCH($B1121&amp;"|"&amp;$C1121,'Base de sorteio'!$I$3:$I$1723,0)),""),"abrir"))</f>
        <v/>
      </c>
      <c r="J1121" s="4" t="n"/>
      <c r="K1121" s="4" t="n"/>
      <c r="L1121" s="4" t="n"/>
      <c r="M1121" s="4" t="n"/>
      <c r="N1121" s="4">
        <f>IF(AND(K1121="",M1121=""),"",IF(OR(K1121="sim",M1121="sim"),"sim",IF(OR(K1121="inconclusivo",M1121="inconclusivo"),"inconclusivo","não")))</f>
        <v/>
      </c>
      <c r="O1121" s="5">
        <f>IF(N1121="sim",COUNTIFS($B$3:$B1121,$B1121,$N$3:$N1121,"sim"),"")</f>
        <v/>
      </c>
      <c r="P1121" s="5" t="n"/>
      <c r="Q1121" s="4" t="n"/>
      <c r="R1121" s="5" t="n"/>
      <c r="S1121" s="9" t="n"/>
      <c r="T1121" s="4" t="n"/>
    </row>
    <row r="1122">
      <c r="A1122" s="5">
        <f>ROW()-2</f>
        <v/>
      </c>
      <c r="B1122" s="4" t="inlineStr">
        <is>
          <t>Capital regional</t>
        </is>
      </c>
      <c r="C1122" s="5" t="n">
        <v>178</v>
      </c>
      <c r="D1122" s="5">
        <f>IFERROR(INDEX('Base de sorteio'!$A$3:$A$1723,MATCH($B1122&amp;"|"&amp;$C1122,'Base de sorteio'!$I$3:$I$1723,0)),"")</f>
        <v/>
      </c>
      <c r="E1122" s="4">
        <f>IFERROR(INDEX('Base de sorteio'!$B$3:$B$1723,MATCH($B1122&amp;"|"&amp;$C1122,'Base de sorteio'!$I$3:$I$1723,0)),"")</f>
        <v/>
      </c>
      <c r="F1122" s="4">
        <f>IFERROR(INDEX('Base de sorteio'!$C$3:$C$1723,MATCH($B1122&amp;"|"&amp;$C1122,'Base de sorteio'!$I$3:$I$1723,0)),"")</f>
        <v/>
      </c>
      <c r="G1122" s="4">
        <f>IFERROR(INDEX('Base de sorteio'!$D$3:$D$1723,MATCH($B1122&amp;"|"&amp;$C1122,'Base de sorteio'!$I$3:$I$1723,0)),"")</f>
        <v/>
      </c>
      <c r="H1122" s="4">
        <f>IFERROR(INDEX('Base de sorteio'!$E$3:$E$1723,MATCH($B1122&amp;"|"&amp;$C1122,'Base de sorteio'!$I$3:$I$1723,0)),"")</f>
        <v/>
      </c>
      <c r="I1122" s="4">
        <f>IF(E1122="","",HYPERLINK(IFERROR(INDEX('Base de sorteio'!$J$3:$J$1723,MATCH($B1122&amp;"|"&amp;$C1122,'Base de sorteio'!$I$3:$I$1723,0)),""),"abrir"))</f>
        <v/>
      </c>
      <c r="J1122" s="4" t="n"/>
      <c r="K1122" s="4" t="n"/>
      <c r="L1122" s="4" t="n"/>
      <c r="M1122" s="4" t="n"/>
      <c r="N1122" s="4">
        <f>IF(AND(K1122="",M1122=""),"",IF(OR(K1122="sim",M1122="sim"),"sim",IF(OR(K1122="inconclusivo",M1122="inconclusivo"),"inconclusivo","não")))</f>
        <v/>
      </c>
      <c r="O1122" s="5">
        <f>IF(N1122="sim",COUNTIFS($B$3:$B1122,$B1122,$N$3:$N1122,"sim"),"")</f>
        <v/>
      </c>
      <c r="P1122" s="5" t="n"/>
      <c r="Q1122" s="4" t="n"/>
      <c r="R1122" s="5" t="n"/>
      <c r="S1122" s="9" t="n"/>
      <c r="T1122" s="4" t="n"/>
    </row>
    <row r="1123">
      <c r="A1123" s="5">
        <f>ROW()-2</f>
        <v/>
      </c>
      <c r="B1123" s="4" t="inlineStr">
        <is>
          <t>Capital regional</t>
        </is>
      </c>
      <c r="C1123" s="5" t="n">
        <v>179</v>
      </c>
      <c r="D1123" s="5">
        <f>IFERROR(INDEX('Base de sorteio'!$A$3:$A$1723,MATCH($B1123&amp;"|"&amp;$C1123,'Base de sorteio'!$I$3:$I$1723,0)),"")</f>
        <v/>
      </c>
      <c r="E1123" s="4">
        <f>IFERROR(INDEX('Base de sorteio'!$B$3:$B$1723,MATCH($B1123&amp;"|"&amp;$C1123,'Base de sorteio'!$I$3:$I$1723,0)),"")</f>
        <v/>
      </c>
      <c r="F1123" s="4">
        <f>IFERROR(INDEX('Base de sorteio'!$C$3:$C$1723,MATCH($B1123&amp;"|"&amp;$C1123,'Base de sorteio'!$I$3:$I$1723,0)),"")</f>
        <v/>
      </c>
      <c r="G1123" s="4">
        <f>IFERROR(INDEX('Base de sorteio'!$D$3:$D$1723,MATCH($B1123&amp;"|"&amp;$C1123,'Base de sorteio'!$I$3:$I$1723,0)),"")</f>
        <v/>
      </c>
      <c r="H1123" s="4">
        <f>IFERROR(INDEX('Base de sorteio'!$E$3:$E$1723,MATCH($B1123&amp;"|"&amp;$C1123,'Base de sorteio'!$I$3:$I$1723,0)),"")</f>
        <v/>
      </c>
      <c r="I1123" s="4">
        <f>IF(E1123="","",HYPERLINK(IFERROR(INDEX('Base de sorteio'!$J$3:$J$1723,MATCH($B1123&amp;"|"&amp;$C1123,'Base de sorteio'!$I$3:$I$1723,0)),""),"abrir"))</f>
        <v/>
      </c>
      <c r="J1123" s="4" t="n"/>
      <c r="K1123" s="4" t="n"/>
      <c r="L1123" s="4" t="n"/>
      <c r="M1123" s="4" t="n"/>
      <c r="N1123" s="4">
        <f>IF(AND(K1123="",M1123=""),"",IF(OR(K1123="sim",M1123="sim"),"sim",IF(OR(K1123="inconclusivo",M1123="inconclusivo"),"inconclusivo","não")))</f>
        <v/>
      </c>
      <c r="O1123" s="5">
        <f>IF(N1123="sim",COUNTIFS($B$3:$B1123,$B1123,$N$3:$N1123,"sim"),"")</f>
        <v/>
      </c>
      <c r="P1123" s="5" t="n"/>
      <c r="Q1123" s="4" t="n"/>
      <c r="R1123" s="5" t="n"/>
      <c r="S1123" s="9" t="n"/>
      <c r="T1123" s="4" t="n"/>
    </row>
    <row r="1124">
      <c r="A1124" s="5">
        <f>ROW()-2</f>
        <v/>
      </c>
      <c r="B1124" s="4" t="inlineStr">
        <is>
          <t>Capital regional</t>
        </is>
      </c>
      <c r="C1124" s="5" t="n">
        <v>180</v>
      </c>
      <c r="D1124" s="5">
        <f>IFERROR(INDEX('Base de sorteio'!$A$3:$A$1723,MATCH($B1124&amp;"|"&amp;$C1124,'Base de sorteio'!$I$3:$I$1723,0)),"")</f>
        <v/>
      </c>
      <c r="E1124" s="4">
        <f>IFERROR(INDEX('Base de sorteio'!$B$3:$B$1723,MATCH($B1124&amp;"|"&amp;$C1124,'Base de sorteio'!$I$3:$I$1723,0)),"")</f>
        <v/>
      </c>
      <c r="F1124" s="4">
        <f>IFERROR(INDEX('Base de sorteio'!$C$3:$C$1723,MATCH($B1124&amp;"|"&amp;$C1124,'Base de sorteio'!$I$3:$I$1723,0)),"")</f>
        <v/>
      </c>
      <c r="G1124" s="4">
        <f>IFERROR(INDEX('Base de sorteio'!$D$3:$D$1723,MATCH($B1124&amp;"|"&amp;$C1124,'Base de sorteio'!$I$3:$I$1723,0)),"")</f>
        <v/>
      </c>
      <c r="H1124" s="4">
        <f>IFERROR(INDEX('Base de sorteio'!$E$3:$E$1723,MATCH($B1124&amp;"|"&amp;$C1124,'Base de sorteio'!$I$3:$I$1723,0)),"")</f>
        <v/>
      </c>
      <c r="I1124" s="4">
        <f>IF(E1124="","",HYPERLINK(IFERROR(INDEX('Base de sorteio'!$J$3:$J$1723,MATCH($B1124&amp;"|"&amp;$C1124,'Base de sorteio'!$I$3:$I$1723,0)),""),"abrir"))</f>
        <v/>
      </c>
      <c r="J1124" s="4" t="n"/>
      <c r="K1124" s="4" t="n"/>
      <c r="L1124" s="4" t="n"/>
      <c r="M1124" s="4" t="n"/>
      <c r="N1124" s="4">
        <f>IF(AND(K1124="",M1124=""),"",IF(OR(K1124="sim",M1124="sim"),"sim",IF(OR(K1124="inconclusivo",M1124="inconclusivo"),"inconclusivo","não")))</f>
        <v/>
      </c>
      <c r="O1124" s="5">
        <f>IF(N1124="sim",COUNTIFS($B$3:$B1124,$B1124,$N$3:$N1124,"sim"),"")</f>
        <v/>
      </c>
      <c r="P1124" s="5" t="n"/>
      <c r="Q1124" s="4" t="n"/>
      <c r="R1124" s="5" t="n"/>
      <c r="S1124" s="9" t="n"/>
      <c r="T1124" s="4" t="n"/>
    </row>
    <row r="1125">
      <c r="A1125" s="5">
        <f>ROW()-2</f>
        <v/>
      </c>
      <c r="B1125" s="4" t="inlineStr">
        <is>
          <t>Capital regional</t>
        </is>
      </c>
      <c r="C1125" s="5" t="n">
        <v>181</v>
      </c>
      <c r="D1125" s="5">
        <f>IFERROR(INDEX('Base de sorteio'!$A$3:$A$1723,MATCH($B1125&amp;"|"&amp;$C1125,'Base de sorteio'!$I$3:$I$1723,0)),"")</f>
        <v/>
      </c>
      <c r="E1125" s="4">
        <f>IFERROR(INDEX('Base de sorteio'!$B$3:$B$1723,MATCH($B1125&amp;"|"&amp;$C1125,'Base de sorteio'!$I$3:$I$1723,0)),"")</f>
        <v/>
      </c>
      <c r="F1125" s="4">
        <f>IFERROR(INDEX('Base de sorteio'!$C$3:$C$1723,MATCH($B1125&amp;"|"&amp;$C1125,'Base de sorteio'!$I$3:$I$1723,0)),"")</f>
        <v/>
      </c>
      <c r="G1125" s="4">
        <f>IFERROR(INDEX('Base de sorteio'!$D$3:$D$1723,MATCH($B1125&amp;"|"&amp;$C1125,'Base de sorteio'!$I$3:$I$1723,0)),"")</f>
        <v/>
      </c>
      <c r="H1125" s="4">
        <f>IFERROR(INDEX('Base de sorteio'!$E$3:$E$1723,MATCH($B1125&amp;"|"&amp;$C1125,'Base de sorteio'!$I$3:$I$1723,0)),"")</f>
        <v/>
      </c>
      <c r="I1125" s="4">
        <f>IF(E1125="","",HYPERLINK(IFERROR(INDEX('Base de sorteio'!$J$3:$J$1723,MATCH($B1125&amp;"|"&amp;$C1125,'Base de sorteio'!$I$3:$I$1723,0)),""),"abrir"))</f>
        <v/>
      </c>
      <c r="J1125" s="4" t="n"/>
      <c r="K1125" s="4" t="n"/>
      <c r="L1125" s="4" t="n"/>
      <c r="M1125" s="4" t="n"/>
      <c r="N1125" s="4">
        <f>IF(AND(K1125="",M1125=""),"",IF(OR(K1125="sim",M1125="sim"),"sim",IF(OR(K1125="inconclusivo",M1125="inconclusivo"),"inconclusivo","não")))</f>
        <v/>
      </c>
      <c r="O1125" s="5">
        <f>IF(N1125="sim",COUNTIFS($B$3:$B1125,$B1125,$N$3:$N1125,"sim"),"")</f>
        <v/>
      </c>
      <c r="P1125" s="5" t="n"/>
      <c r="Q1125" s="4" t="n"/>
      <c r="R1125" s="5" t="n"/>
      <c r="S1125" s="9" t="n"/>
      <c r="T1125" s="4" t="n"/>
    </row>
    <row r="1126">
      <c r="A1126" s="5">
        <f>ROW()-2</f>
        <v/>
      </c>
      <c r="B1126" s="4" t="inlineStr">
        <is>
          <t>Capital regional</t>
        </is>
      </c>
      <c r="C1126" s="5" t="n">
        <v>182</v>
      </c>
      <c r="D1126" s="5">
        <f>IFERROR(INDEX('Base de sorteio'!$A$3:$A$1723,MATCH($B1126&amp;"|"&amp;$C1126,'Base de sorteio'!$I$3:$I$1723,0)),"")</f>
        <v/>
      </c>
      <c r="E1126" s="4">
        <f>IFERROR(INDEX('Base de sorteio'!$B$3:$B$1723,MATCH($B1126&amp;"|"&amp;$C1126,'Base de sorteio'!$I$3:$I$1723,0)),"")</f>
        <v/>
      </c>
      <c r="F1126" s="4">
        <f>IFERROR(INDEX('Base de sorteio'!$C$3:$C$1723,MATCH($B1126&amp;"|"&amp;$C1126,'Base de sorteio'!$I$3:$I$1723,0)),"")</f>
        <v/>
      </c>
      <c r="G1126" s="4">
        <f>IFERROR(INDEX('Base de sorteio'!$D$3:$D$1723,MATCH($B1126&amp;"|"&amp;$C1126,'Base de sorteio'!$I$3:$I$1723,0)),"")</f>
        <v/>
      </c>
      <c r="H1126" s="4">
        <f>IFERROR(INDEX('Base de sorteio'!$E$3:$E$1723,MATCH($B1126&amp;"|"&amp;$C1126,'Base de sorteio'!$I$3:$I$1723,0)),"")</f>
        <v/>
      </c>
      <c r="I1126" s="4">
        <f>IF(E1126="","",HYPERLINK(IFERROR(INDEX('Base de sorteio'!$J$3:$J$1723,MATCH($B1126&amp;"|"&amp;$C1126,'Base de sorteio'!$I$3:$I$1723,0)),""),"abrir"))</f>
        <v/>
      </c>
      <c r="J1126" s="4" t="n"/>
      <c r="K1126" s="4" t="n"/>
      <c r="L1126" s="4" t="n"/>
      <c r="M1126" s="4" t="n"/>
      <c r="N1126" s="4">
        <f>IF(AND(K1126="",M1126=""),"",IF(OR(K1126="sim",M1126="sim"),"sim",IF(OR(K1126="inconclusivo",M1126="inconclusivo"),"inconclusivo","não")))</f>
        <v/>
      </c>
      <c r="O1126" s="5">
        <f>IF(N1126="sim",COUNTIFS($B$3:$B1126,$B1126,$N$3:$N1126,"sim"),"")</f>
        <v/>
      </c>
      <c r="P1126" s="5" t="n"/>
      <c r="Q1126" s="4" t="n"/>
      <c r="R1126" s="5" t="n"/>
      <c r="S1126" s="9" t="n"/>
      <c r="T1126" s="4" t="n"/>
    </row>
    <row r="1127">
      <c r="A1127" s="5">
        <f>ROW()-2</f>
        <v/>
      </c>
      <c r="B1127" s="4" t="inlineStr">
        <is>
          <t>Capital regional</t>
        </is>
      </c>
      <c r="C1127" s="5" t="n">
        <v>183</v>
      </c>
      <c r="D1127" s="5">
        <f>IFERROR(INDEX('Base de sorteio'!$A$3:$A$1723,MATCH($B1127&amp;"|"&amp;$C1127,'Base de sorteio'!$I$3:$I$1723,0)),"")</f>
        <v/>
      </c>
      <c r="E1127" s="4">
        <f>IFERROR(INDEX('Base de sorteio'!$B$3:$B$1723,MATCH($B1127&amp;"|"&amp;$C1127,'Base de sorteio'!$I$3:$I$1723,0)),"")</f>
        <v/>
      </c>
      <c r="F1127" s="4">
        <f>IFERROR(INDEX('Base de sorteio'!$C$3:$C$1723,MATCH($B1127&amp;"|"&amp;$C1127,'Base de sorteio'!$I$3:$I$1723,0)),"")</f>
        <v/>
      </c>
      <c r="G1127" s="4">
        <f>IFERROR(INDEX('Base de sorteio'!$D$3:$D$1723,MATCH($B1127&amp;"|"&amp;$C1127,'Base de sorteio'!$I$3:$I$1723,0)),"")</f>
        <v/>
      </c>
      <c r="H1127" s="4">
        <f>IFERROR(INDEX('Base de sorteio'!$E$3:$E$1723,MATCH($B1127&amp;"|"&amp;$C1127,'Base de sorteio'!$I$3:$I$1723,0)),"")</f>
        <v/>
      </c>
      <c r="I1127" s="4">
        <f>IF(E1127="","",HYPERLINK(IFERROR(INDEX('Base de sorteio'!$J$3:$J$1723,MATCH($B1127&amp;"|"&amp;$C1127,'Base de sorteio'!$I$3:$I$1723,0)),""),"abrir"))</f>
        <v/>
      </c>
      <c r="J1127" s="4" t="n"/>
      <c r="K1127" s="4" t="n"/>
      <c r="L1127" s="4" t="n"/>
      <c r="M1127" s="4" t="n"/>
      <c r="N1127" s="4">
        <f>IF(AND(K1127="",M1127=""),"",IF(OR(K1127="sim",M1127="sim"),"sim",IF(OR(K1127="inconclusivo",M1127="inconclusivo"),"inconclusivo","não")))</f>
        <v/>
      </c>
      <c r="O1127" s="5">
        <f>IF(N1127="sim",COUNTIFS($B$3:$B1127,$B1127,$N$3:$N1127,"sim"),"")</f>
        <v/>
      </c>
      <c r="P1127" s="5" t="n"/>
      <c r="Q1127" s="4" t="n"/>
      <c r="R1127" s="5" t="n"/>
      <c r="S1127" s="9" t="n"/>
      <c r="T1127" s="4" t="n"/>
    </row>
    <row r="1128">
      <c r="A1128" s="5">
        <f>ROW()-2</f>
        <v/>
      </c>
      <c r="B1128" s="4" t="inlineStr">
        <is>
          <t>Capital regional</t>
        </is>
      </c>
      <c r="C1128" s="5" t="n">
        <v>184</v>
      </c>
      <c r="D1128" s="5">
        <f>IFERROR(INDEX('Base de sorteio'!$A$3:$A$1723,MATCH($B1128&amp;"|"&amp;$C1128,'Base de sorteio'!$I$3:$I$1723,0)),"")</f>
        <v/>
      </c>
      <c r="E1128" s="4">
        <f>IFERROR(INDEX('Base de sorteio'!$B$3:$B$1723,MATCH($B1128&amp;"|"&amp;$C1128,'Base de sorteio'!$I$3:$I$1723,0)),"")</f>
        <v/>
      </c>
      <c r="F1128" s="4">
        <f>IFERROR(INDEX('Base de sorteio'!$C$3:$C$1723,MATCH($B1128&amp;"|"&amp;$C1128,'Base de sorteio'!$I$3:$I$1723,0)),"")</f>
        <v/>
      </c>
      <c r="G1128" s="4">
        <f>IFERROR(INDEX('Base de sorteio'!$D$3:$D$1723,MATCH($B1128&amp;"|"&amp;$C1128,'Base de sorteio'!$I$3:$I$1723,0)),"")</f>
        <v/>
      </c>
      <c r="H1128" s="4">
        <f>IFERROR(INDEX('Base de sorteio'!$E$3:$E$1723,MATCH($B1128&amp;"|"&amp;$C1128,'Base de sorteio'!$I$3:$I$1723,0)),"")</f>
        <v/>
      </c>
      <c r="I1128" s="4">
        <f>IF(E1128="","",HYPERLINK(IFERROR(INDEX('Base de sorteio'!$J$3:$J$1723,MATCH($B1128&amp;"|"&amp;$C1128,'Base de sorteio'!$I$3:$I$1723,0)),""),"abrir"))</f>
        <v/>
      </c>
      <c r="J1128" s="4" t="n"/>
      <c r="K1128" s="4" t="n"/>
      <c r="L1128" s="4" t="n"/>
      <c r="M1128" s="4" t="n"/>
      <c r="N1128" s="4">
        <f>IF(AND(K1128="",M1128=""),"",IF(OR(K1128="sim",M1128="sim"),"sim",IF(OR(K1128="inconclusivo",M1128="inconclusivo"),"inconclusivo","não")))</f>
        <v/>
      </c>
      <c r="O1128" s="5">
        <f>IF(N1128="sim",COUNTIFS($B$3:$B1128,$B1128,$N$3:$N1128,"sim"),"")</f>
        <v/>
      </c>
      <c r="P1128" s="5" t="n"/>
      <c r="Q1128" s="4" t="n"/>
      <c r="R1128" s="5" t="n"/>
      <c r="S1128" s="9" t="n"/>
      <c r="T1128" s="4" t="n"/>
    </row>
    <row r="1129">
      <c r="A1129" s="5">
        <f>ROW()-2</f>
        <v/>
      </c>
      <c r="B1129" s="4" t="inlineStr">
        <is>
          <t>Capital regional</t>
        </is>
      </c>
      <c r="C1129" s="5" t="n">
        <v>185</v>
      </c>
      <c r="D1129" s="5">
        <f>IFERROR(INDEX('Base de sorteio'!$A$3:$A$1723,MATCH($B1129&amp;"|"&amp;$C1129,'Base de sorteio'!$I$3:$I$1723,0)),"")</f>
        <v/>
      </c>
      <c r="E1129" s="4">
        <f>IFERROR(INDEX('Base de sorteio'!$B$3:$B$1723,MATCH($B1129&amp;"|"&amp;$C1129,'Base de sorteio'!$I$3:$I$1723,0)),"")</f>
        <v/>
      </c>
      <c r="F1129" s="4">
        <f>IFERROR(INDEX('Base de sorteio'!$C$3:$C$1723,MATCH($B1129&amp;"|"&amp;$C1129,'Base de sorteio'!$I$3:$I$1723,0)),"")</f>
        <v/>
      </c>
      <c r="G1129" s="4">
        <f>IFERROR(INDEX('Base de sorteio'!$D$3:$D$1723,MATCH($B1129&amp;"|"&amp;$C1129,'Base de sorteio'!$I$3:$I$1723,0)),"")</f>
        <v/>
      </c>
      <c r="H1129" s="4">
        <f>IFERROR(INDEX('Base de sorteio'!$E$3:$E$1723,MATCH($B1129&amp;"|"&amp;$C1129,'Base de sorteio'!$I$3:$I$1723,0)),"")</f>
        <v/>
      </c>
      <c r="I1129" s="4">
        <f>IF(E1129="","",HYPERLINK(IFERROR(INDEX('Base de sorteio'!$J$3:$J$1723,MATCH($B1129&amp;"|"&amp;$C1129,'Base de sorteio'!$I$3:$I$1723,0)),""),"abrir"))</f>
        <v/>
      </c>
      <c r="J1129" s="4" t="n"/>
      <c r="K1129" s="4" t="n"/>
      <c r="L1129" s="4" t="n"/>
      <c r="M1129" s="4" t="n"/>
      <c r="N1129" s="4">
        <f>IF(AND(K1129="",M1129=""),"",IF(OR(K1129="sim",M1129="sim"),"sim",IF(OR(K1129="inconclusivo",M1129="inconclusivo"),"inconclusivo","não")))</f>
        <v/>
      </c>
      <c r="O1129" s="5">
        <f>IF(N1129="sim",COUNTIFS($B$3:$B1129,$B1129,$N$3:$N1129,"sim"),"")</f>
        <v/>
      </c>
      <c r="P1129" s="5" t="n"/>
      <c r="Q1129" s="4" t="n"/>
      <c r="R1129" s="5" t="n"/>
      <c r="S1129" s="9" t="n"/>
      <c r="T1129" s="4" t="n"/>
    </row>
    <row r="1130">
      <c r="A1130" s="5">
        <f>ROW()-2</f>
        <v/>
      </c>
      <c r="B1130" s="4" t="inlineStr">
        <is>
          <t>Capital regional</t>
        </is>
      </c>
      <c r="C1130" s="5" t="n">
        <v>186</v>
      </c>
      <c r="D1130" s="5">
        <f>IFERROR(INDEX('Base de sorteio'!$A$3:$A$1723,MATCH($B1130&amp;"|"&amp;$C1130,'Base de sorteio'!$I$3:$I$1723,0)),"")</f>
        <v/>
      </c>
      <c r="E1130" s="4">
        <f>IFERROR(INDEX('Base de sorteio'!$B$3:$B$1723,MATCH($B1130&amp;"|"&amp;$C1130,'Base de sorteio'!$I$3:$I$1723,0)),"")</f>
        <v/>
      </c>
      <c r="F1130" s="4">
        <f>IFERROR(INDEX('Base de sorteio'!$C$3:$C$1723,MATCH($B1130&amp;"|"&amp;$C1130,'Base de sorteio'!$I$3:$I$1723,0)),"")</f>
        <v/>
      </c>
      <c r="G1130" s="4">
        <f>IFERROR(INDEX('Base de sorteio'!$D$3:$D$1723,MATCH($B1130&amp;"|"&amp;$C1130,'Base de sorteio'!$I$3:$I$1723,0)),"")</f>
        <v/>
      </c>
      <c r="H1130" s="4">
        <f>IFERROR(INDEX('Base de sorteio'!$E$3:$E$1723,MATCH($B1130&amp;"|"&amp;$C1130,'Base de sorteio'!$I$3:$I$1723,0)),"")</f>
        <v/>
      </c>
      <c r="I1130" s="4">
        <f>IF(E1130="","",HYPERLINK(IFERROR(INDEX('Base de sorteio'!$J$3:$J$1723,MATCH($B1130&amp;"|"&amp;$C1130,'Base de sorteio'!$I$3:$I$1723,0)),""),"abrir"))</f>
        <v/>
      </c>
      <c r="J1130" s="4" t="n"/>
      <c r="K1130" s="4" t="n"/>
      <c r="L1130" s="4" t="n"/>
      <c r="M1130" s="4" t="n"/>
      <c r="N1130" s="4">
        <f>IF(AND(K1130="",M1130=""),"",IF(OR(K1130="sim",M1130="sim"),"sim",IF(OR(K1130="inconclusivo",M1130="inconclusivo"),"inconclusivo","não")))</f>
        <v/>
      </c>
      <c r="O1130" s="5">
        <f>IF(N1130="sim",COUNTIFS($B$3:$B1130,$B1130,$N$3:$N1130,"sim"),"")</f>
        <v/>
      </c>
      <c r="P1130" s="5" t="n"/>
      <c r="Q1130" s="4" t="n"/>
      <c r="R1130" s="5" t="n"/>
      <c r="S1130" s="9" t="n"/>
      <c r="T1130" s="4" t="n"/>
    </row>
    <row r="1131">
      <c r="A1131" s="5">
        <f>ROW()-2</f>
        <v/>
      </c>
      <c r="B1131" s="4" t="inlineStr">
        <is>
          <t>Capital regional</t>
        </is>
      </c>
      <c r="C1131" s="5" t="n">
        <v>187</v>
      </c>
      <c r="D1131" s="5">
        <f>IFERROR(INDEX('Base de sorteio'!$A$3:$A$1723,MATCH($B1131&amp;"|"&amp;$C1131,'Base de sorteio'!$I$3:$I$1723,0)),"")</f>
        <v/>
      </c>
      <c r="E1131" s="4">
        <f>IFERROR(INDEX('Base de sorteio'!$B$3:$B$1723,MATCH($B1131&amp;"|"&amp;$C1131,'Base de sorteio'!$I$3:$I$1723,0)),"")</f>
        <v/>
      </c>
      <c r="F1131" s="4">
        <f>IFERROR(INDEX('Base de sorteio'!$C$3:$C$1723,MATCH($B1131&amp;"|"&amp;$C1131,'Base de sorteio'!$I$3:$I$1723,0)),"")</f>
        <v/>
      </c>
      <c r="G1131" s="4">
        <f>IFERROR(INDEX('Base de sorteio'!$D$3:$D$1723,MATCH($B1131&amp;"|"&amp;$C1131,'Base de sorteio'!$I$3:$I$1723,0)),"")</f>
        <v/>
      </c>
      <c r="H1131" s="4">
        <f>IFERROR(INDEX('Base de sorteio'!$E$3:$E$1723,MATCH($B1131&amp;"|"&amp;$C1131,'Base de sorteio'!$I$3:$I$1723,0)),"")</f>
        <v/>
      </c>
      <c r="I1131" s="4">
        <f>IF(E1131="","",HYPERLINK(IFERROR(INDEX('Base de sorteio'!$J$3:$J$1723,MATCH($B1131&amp;"|"&amp;$C1131,'Base de sorteio'!$I$3:$I$1723,0)),""),"abrir"))</f>
        <v/>
      </c>
      <c r="J1131" s="4" t="n"/>
      <c r="K1131" s="4" t="n"/>
      <c r="L1131" s="4" t="n"/>
      <c r="M1131" s="4" t="n"/>
      <c r="N1131" s="4">
        <f>IF(AND(K1131="",M1131=""),"",IF(OR(K1131="sim",M1131="sim"),"sim",IF(OR(K1131="inconclusivo",M1131="inconclusivo"),"inconclusivo","não")))</f>
        <v/>
      </c>
      <c r="O1131" s="5">
        <f>IF(N1131="sim",COUNTIFS($B$3:$B1131,$B1131,$N$3:$N1131,"sim"),"")</f>
        <v/>
      </c>
      <c r="P1131" s="5" t="n"/>
      <c r="Q1131" s="4" t="n"/>
      <c r="R1131" s="5" t="n"/>
      <c r="S1131" s="9" t="n"/>
      <c r="T1131" s="4" t="n"/>
    </row>
    <row r="1132">
      <c r="A1132" s="5">
        <f>ROW()-2</f>
        <v/>
      </c>
      <c r="B1132" s="4" t="inlineStr">
        <is>
          <t>Capital regional</t>
        </is>
      </c>
      <c r="C1132" s="5" t="n">
        <v>188</v>
      </c>
      <c r="D1132" s="5">
        <f>IFERROR(INDEX('Base de sorteio'!$A$3:$A$1723,MATCH($B1132&amp;"|"&amp;$C1132,'Base de sorteio'!$I$3:$I$1723,0)),"")</f>
        <v/>
      </c>
      <c r="E1132" s="4">
        <f>IFERROR(INDEX('Base de sorteio'!$B$3:$B$1723,MATCH($B1132&amp;"|"&amp;$C1132,'Base de sorteio'!$I$3:$I$1723,0)),"")</f>
        <v/>
      </c>
      <c r="F1132" s="4">
        <f>IFERROR(INDEX('Base de sorteio'!$C$3:$C$1723,MATCH($B1132&amp;"|"&amp;$C1132,'Base de sorteio'!$I$3:$I$1723,0)),"")</f>
        <v/>
      </c>
      <c r="G1132" s="4">
        <f>IFERROR(INDEX('Base de sorteio'!$D$3:$D$1723,MATCH($B1132&amp;"|"&amp;$C1132,'Base de sorteio'!$I$3:$I$1723,0)),"")</f>
        <v/>
      </c>
      <c r="H1132" s="4">
        <f>IFERROR(INDEX('Base de sorteio'!$E$3:$E$1723,MATCH($B1132&amp;"|"&amp;$C1132,'Base de sorteio'!$I$3:$I$1723,0)),"")</f>
        <v/>
      </c>
      <c r="I1132" s="4">
        <f>IF(E1132="","",HYPERLINK(IFERROR(INDEX('Base de sorteio'!$J$3:$J$1723,MATCH($B1132&amp;"|"&amp;$C1132,'Base de sorteio'!$I$3:$I$1723,0)),""),"abrir"))</f>
        <v/>
      </c>
      <c r="J1132" s="4" t="n"/>
      <c r="K1132" s="4" t="n"/>
      <c r="L1132" s="4" t="n"/>
      <c r="M1132" s="4" t="n"/>
      <c r="N1132" s="4">
        <f>IF(AND(K1132="",M1132=""),"",IF(OR(K1132="sim",M1132="sim"),"sim",IF(OR(K1132="inconclusivo",M1132="inconclusivo"),"inconclusivo","não")))</f>
        <v/>
      </c>
      <c r="O1132" s="5">
        <f>IF(N1132="sim",COUNTIFS($B$3:$B1132,$B1132,$N$3:$N1132,"sim"),"")</f>
        <v/>
      </c>
      <c r="P1132" s="5" t="n"/>
      <c r="Q1132" s="4" t="n"/>
      <c r="R1132" s="5" t="n"/>
      <c r="S1132" s="9" t="n"/>
      <c r="T1132" s="4" t="n"/>
    </row>
    <row r="1133">
      <c r="A1133" s="5">
        <f>ROW()-2</f>
        <v/>
      </c>
      <c r="B1133" s="4" t="inlineStr">
        <is>
          <t>Capital regional</t>
        </is>
      </c>
      <c r="C1133" s="5" t="n">
        <v>189</v>
      </c>
      <c r="D1133" s="5">
        <f>IFERROR(INDEX('Base de sorteio'!$A$3:$A$1723,MATCH($B1133&amp;"|"&amp;$C1133,'Base de sorteio'!$I$3:$I$1723,0)),"")</f>
        <v/>
      </c>
      <c r="E1133" s="4">
        <f>IFERROR(INDEX('Base de sorteio'!$B$3:$B$1723,MATCH($B1133&amp;"|"&amp;$C1133,'Base de sorteio'!$I$3:$I$1723,0)),"")</f>
        <v/>
      </c>
      <c r="F1133" s="4">
        <f>IFERROR(INDEX('Base de sorteio'!$C$3:$C$1723,MATCH($B1133&amp;"|"&amp;$C1133,'Base de sorteio'!$I$3:$I$1723,0)),"")</f>
        <v/>
      </c>
      <c r="G1133" s="4">
        <f>IFERROR(INDEX('Base de sorteio'!$D$3:$D$1723,MATCH($B1133&amp;"|"&amp;$C1133,'Base de sorteio'!$I$3:$I$1723,0)),"")</f>
        <v/>
      </c>
      <c r="H1133" s="4">
        <f>IFERROR(INDEX('Base de sorteio'!$E$3:$E$1723,MATCH($B1133&amp;"|"&amp;$C1133,'Base de sorteio'!$I$3:$I$1723,0)),"")</f>
        <v/>
      </c>
      <c r="I1133" s="4">
        <f>IF(E1133="","",HYPERLINK(IFERROR(INDEX('Base de sorteio'!$J$3:$J$1723,MATCH($B1133&amp;"|"&amp;$C1133,'Base de sorteio'!$I$3:$I$1723,0)),""),"abrir"))</f>
        <v/>
      </c>
      <c r="J1133" s="4" t="n"/>
      <c r="K1133" s="4" t="n"/>
      <c r="L1133" s="4" t="n"/>
      <c r="M1133" s="4" t="n"/>
      <c r="N1133" s="4">
        <f>IF(AND(K1133="",M1133=""),"",IF(OR(K1133="sim",M1133="sim"),"sim",IF(OR(K1133="inconclusivo",M1133="inconclusivo"),"inconclusivo","não")))</f>
        <v/>
      </c>
      <c r="O1133" s="5">
        <f>IF(N1133="sim",COUNTIFS($B$3:$B1133,$B1133,$N$3:$N1133,"sim"),"")</f>
        <v/>
      </c>
      <c r="P1133" s="5" t="n"/>
      <c r="Q1133" s="4" t="n"/>
      <c r="R1133" s="5" t="n"/>
      <c r="S1133" s="9" t="n"/>
      <c r="T1133" s="4" t="n"/>
    </row>
    <row r="1134">
      <c r="A1134" s="5">
        <f>ROW()-2</f>
        <v/>
      </c>
      <c r="B1134" s="4" t="inlineStr">
        <is>
          <t>Capital regional</t>
        </is>
      </c>
      <c r="C1134" s="5" t="n">
        <v>190</v>
      </c>
      <c r="D1134" s="5">
        <f>IFERROR(INDEX('Base de sorteio'!$A$3:$A$1723,MATCH($B1134&amp;"|"&amp;$C1134,'Base de sorteio'!$I$3:$I$1723,0)),"")</f>
        <v/>
      </c>
      <c r="E1134" s="4">
        <f>IFERROR(INDEX('Base de sorteio'!$B$3:$B$1723,MATCH($B1134&amp;"|"&amp;$C1134,'Base de sorteio'!$I$3:$I$1723,0)),"")</f>
        <v/>
      </c>
      <c r="F1134" s="4">
        <f>IFERROR(INDEX('Base de sorteio'!$C$3:$C$1723,MATCH($B1134&amp;"|"&amp;$C1134,'Base de sorteio'!$I$3:$I$1723,0)),"")</f>
        <v/>
      </c>
      <c r="G1134" s="4">
        <f>IFERROR(INDEX('Base de sorteio'!$D$3:$D$1723,MATCH($B1134&amp;"|"&amp;$C1134,'Base de sorteio'!$I$3:$I$1723,0)),"")</f>
        <v/>
      </c>
      <c r="H1134" s="4">
        <f>IFERROR(INDEX('Base de sorteio'!$E$3:$E$1723,MATCH($B1134&amp;"|"&amp;$C1134,'Base de sorteio'!$I$3:$I$1723,0)),"")</f>
        <v/>
      </c>
      <c r="I1134" s="4">
        <f>IF(E1134="","",HYPERLINK(IFERROR(INDEX('Base de sorteio'!$J$3:$J$1723,MATCH($B1134&amp;"|"&amp;$C1134,'Base de sorteio'!$I$3:$I$1723,0)),""),"abrir"))</f>
        <v/>
      </c>
      <c r="J1134" s="4" t="n"/>
      <c r="K1134" s="4" t="n"/>
      <c r="L1134" s="4" t="n"/>
      <c r="M1134" s="4" t="n"/>
      <c r="N1134" s="4">
        <f>IF(AND(K1134="",M1134=""),"",IF(OR(K1134="sim",M1134="sim"),"sim",IF(OR(K1134="inconclusivo",M1134="inconclusivo"),"inconclusivo","não")))</f>
        <v/>
      </c>
      <c r="O1134" s="5">
        <f>IF(N1134="sim",COUNTIFS($B$3:$B1134,$B1134,$N$3:$N1134,"sim"),"")</f>
        <v/>
      </c>
      <c r="P1134" s="5" t="n"/>
      <c r="Q1134" s="4" t="n"/>
      <c r="R1134" s="5" t="n"/>
      <c r="S1134" s="9" t="n"/>
      <c r="T1134" s="4" t="n"/>
    </row>
    <row r="1135">
      <c r="A1135" s="5">
        <f>ROW()-2</f>
        <v/>
      </c>
      <c r="B1135" s="4" t="inlineStr">
        <is>
          <t>Capital regional</t>
        </is>
      </c>
      <c r="C1135" s="5" t="n">
        <v>191</v>
      </c>
      <c r="D1135" s="5">
        <f>IFERROR(INDEX('Base de sorteio'!$A$3:$A$1723,MATCH($B1135&amp;"|"&amp;$C1135,'Base de sorteio'!$I$3:$I$1723,0)),"")</f>
        <v/>
      </c>
      <c r="E1135" s="4">
        <f>IFERROR(INDEX('Base de sorteio'!$B$3:$B$1723,MATCH($B1135&amp;"|"&amp;$C1135,'Base de sorteio'!$I$3:$I$1723,0)),"")</f>
        <v/>
      </c>
      <c r="F1135" s="4">
        <f>IFERROR(INDEX('Base de sorteio'!$C$3:$C$1723,MATCH($B1135&amp;"|"&amp;$C1135,'Base de sorteio'!$I$3:$I$1723,0)),"")</f>
        <v/>
      </c>
      <c r="G1135" s="4">
        <f>IFERROR(INDEX('Base de sorteio'!$D$3:$D$1723,MATCH($B1135&amp;"|"&amp;$C1135,'Base de sorteio'!$I$3:$I$1723,0)),"")</f>
        <v/>
      </c>
      <c r="H1135" s="4">
        <f>IFERROR(INDEX('Base de sorteio'!$E$3:$E$1723,MATCH($B1135&amp;"|"&amp;$C1135,'Base de sorteio'!$I$3:$I$1723,0)),"")</f>
        <v/>
      </c>
      <c r="I1135" s="4">
        <f>IF(E1135="","",HYPERLINK(IFERROR(INDEX('Base de sorteio'!$J$3:$J$1723,MATCH($B1135&amp;"|"&amp;$C1135,'Base de sorteio'!$I$3:$I$1723,0)),""),"abrir"))</f>
        <v/>
      </c>
      <c r="J1135" s="4" t="n"/>
      <c r="K1135" s="4" t="n"/>
      <c r="L1135" s="4" t="n"/>
      <c r="M1135" s="4" t="n"/>
      <c r="N1135" s="4">
        <f>IF(AND(K1135="",M1135=""),"",IF(OR(K1135="sim",M1135="sim"),"sim",IF(OR(K1135="inconclusivo",M1135="inconclusivo"),"inconclusivo","não")))</f>
        <v/>
      </c>
      <c r="O1135" s="5">
        <f>IF(N1135="sim",COUNTIFS($B$3:$B1135,$B1135,$N$3:$N1135,"sim"),"")</f>
        <v/>
      </c>
      <c r="P1135" s="5" t="n"/>
      <c r="Q1135" s="4" t="n"/>
      <c r="R1135" s="5" t="n"/>
      <c r="S1135" s="9" t="n"/>
      <c r="T1135" s="4" t="n"/>
    </row>
    <row r="1136">
      <c r="A1136" s="5">
        <f>ROW()-2</f>
        <v/>
      </c>
      <c r="B1136" s="4" t="inlineStr">
        <is>
          <t>Capital regional</t>
        </is>
      </c>
      <c r="C1136" s="5" t="n">
        <v>192</v>
      </c>
      <c r="D1136" s="5">
        <f>IFERROR(INDEX('Base de sorteio'!$A$3:$A$1723,MATCH($B1136&amp;"|"&amp;$C1136,'Base de sorteio'!$I$3:$I$1723,0)),"")</f>
        <v/>
      </c>
      <c r="E1136" s="4">
        <f>IFERROR(INDEX('Base de sorteio'!$B$3:$B$1723,MATCH($B1136&amp;"|"&amp;$C1136,'Base de sorteio'!$I$3:$I$1723,0)),"")</f>
        <v/>
      </c>
      <c r="F1136" s="4">
        <f>IFERROR(INDEX('Base de sorteio'!$C$3:$C$1723,MATCH($B1136&amp;"|"&amp;$C1136,'Base de sorteio'!$I$3:$I$1723,0)),"")</f>
        <v/>
      </c>
      <c r="G1136" s="4">
        <f>IFERROR(INDEX('Base de sorteio'!$D$3:$D$1723,MATCH($B1136&amp;"|"&amp;$C1136,'Base de sorteio'!$I$3:$I$1723,0)),"")</f>
        <v/>
      </c>
      <c r="H1136" s="4">
        <f>IFERROR(INDEX('Base de sorteio'!$E$3:$E$1723,MATCH($B1136&amp;"|"&amp;$C1136,'Base de sorteio'!$I$3:$I$1723,0)),"")</f>
        <v/>
      </c>
      <c r="I1136" s="4">
        <f>IF(E1136="","",HYPERLINK(IFERROR(INDEX('Base de sorteio'!$J$3:$J$1723,MATCH($B1136&amp;"|"&amp;$C1136,'Base de sorteio'!$I$3:$I$1723,0)),""),"abrir"))</f>
        <v/>
      </c>
      <c r="J1136" s="4" t="n"/>
      <c r="K1136" s="4" t="n"/>
      <c r="L1136" s="4" t="n"/>
      <c r="M1136" s="4" t="n"/>
      <c r="N1136" s="4">
        <f>IF(AND(K1136="",M1136=""),"",IF(OR(K1136="sim",M1136="sim"),"sim",IF(OR(K1136="inconclusivo",M1136="inconclusivo"),"inconclusivo","não")))</f>
        <v/>
      </c>
      <c r="O1136" s="5">
        <f>IF(N1136="sim",COUNTIFS($B$3:$B1136,$B1136,$N$3:$N1136,"sim"),"")</f>
        <v/>
      </c>
      <c r="P1136" s="5" t="n"/>
      <c r="Q1136" s="4" t="n"/>
      <c r="R1136" s="5" t="n"/>
      <c r="S1136" s="9" t="n"/>
      <c r="T1136" s="4" t="n"/>
    </row>
    <row r="1137">
      <c r="A1137" s="5">
        <f>ROW()-2</f>
        <v/>
      </c>
      <c r="B1137" s="4" t="inlineStr">
        <is>
          <t>Capital regional</t>
        </is>
      </c>
      <c r="C1137" s="5" t="n">
        <v>193</v>
      </c>
      <c r="D1137" s="5">
        <f>IFERROR(INDEX('Base de sorteio'!$A$3:$A$1723,MATCH($B1137&amp;"|"&amp;$C1137,'Base de sorteio'!$I$3:$I$1723,0)),"")</f>
        <v/>
      </c>
      <c r="E1137" s="4">
        <f>IFERROR(INDEX('Base de sorteio'!$B$3:$B$1723,MATCH($B1137&amp;"|"&amp;$C1137,'Base de sorteio'!$I$3:$I$1723,0)),"")</f>
        <v/>
      </c>
      <c r="F1137" s="4">
        <f>IFERROR(INDEX('Base de sorteio'!$C$3:$C$1723,MATCH($B1137&amp;"|"&amp;$C1137,'Base de sorteio'!$I$3:$I$1723,0)),"")</f>
        <v/>
      </c>
      <c r="G1137" s="4">
        <f>IFERROR(INDEX('Base de sorteio'!$D$3:$D$1723,MATCH($B1137&amp;"|"&amp;$C1137,'Base de sorteio'!$I$3:$I$1723,0)),"")</f>
        <v/>
      </c>
      <c r="H1137" s="4">
        <f>IFERROR(INDEX('Base de sorteio'!$E$3:$E$1723,MATCH($B1137&amp;"|"&amp;$C1137,'Base de sorteio'!$I$3:$I$1723,0)),"")</f>
        <v/>
      </c>
      <c r="I1137" s="4">
        <f>IF(E1137="","",HYPERLINK(IFERROR(INDEX('Base de sorteio'!$J$3:$J$1723,MATCH($B1137&amp;"|"&amp;$C1137,'Base de sorteio'!$I$3:$I$1723,0)),""),"abrir"))</f>
        <v/>
      </c>
      <c r="J1137" s="4" t="n"/>
      <c r="K1137" s="4" t="n"/>
      <c r="L1137" s="4" t="n"/>
      <c r="M1137" s="4" t="n"/>
      <c r="N1137" s="4">
        <f>IF(AND(K1137="",M1137=""),"",IF(OR(K1137="sim",M1137="sim"),"sim",IF(OR(K1137="inconclusivo",M1137="inconclusivo"),"inconclusivo","não")))</f>
        <v/>
      </c>
      <c r="O1137" s="5">
        <f>IF(N1137="sim",COUNTIFS($B$3:$B1137,$B1137,$N$3:$N1137,"sim"),"")</f>
        <v/>
      </c>
      <c r="P1137" s="5" t="n"/>
      <c r="Q1137" s="4" t="n"/>
      <c r="R1137" s="5" t="n"/>
      <c r="S1137" s="9" t="n"/>
      <c r="T1137" s="4" t="n"/>
    </row>
    <row r="1138">
      <c r="A1138" s="5">
        <f>ROW()-2</f>
        <v/>
      </c>
      <c r="B1138" s="4" t="inlineStr">
        <is>
          <t>Capital regional</t>
        </is>
      </c>
      <c r="C1138" s="5" t="n">
        <v>194</v>
      </c>
      <c r="D1138" s="5">
        <f>IFERROR(INDEX('Base de sorteio'!$A$3:$A$1723,MATCH($B1138&amp;"|"&amp;$C1138,'Base de sorteio'!$I$3:$I$1723,0)),"")</f>
        <v/>
      </c>
      <c r="E1138" s="4">
        <f>IFERROR(INDEX('Base de sorteio'!$B$3:$B$1723,MATCH($B1138&amp;"|"&amp;$C1138,'Base de sorteio'!$I$3:$I$1723,0)),"")</f>
        <v/>
      </c>
      <c r="F1138" s="4">
        <f>IFERROR(INDEX('Base de sorteio'!$C$3:$C$1723,MATCH($B1138&amp;"|"&amp;$C1138,'Base de sorteio'!$I$3:$I$1723,0)),"")</f>
        <v/>
      </c>
      <c r="G1138" s="4">
        <f>IFERROR(INDEX('Base de sorteio'!$D$3:$D$1723,MATCH($B1138&amp;"|"&amp;$C1138,'Base de sorteio'!$I$3:$I$1723,0)),"")</f>
        <v/>
      </c>
      <c r="H1138" s="4">
        <f>IFERROR(INDEX('Base de sorteio'!$E$3:$E$1723,MATCH($B1138&amp;"|"&amp;$C1138,'Base de sorteio'!$I$3:$I$1723,0)),"")</f>
        <v/>
      </c>
      <c r="I1138" s="4">
        <f>IF(E1138="","",HYPERLINK(IFERROR(INDEX('Base de sorteio'!$J$3:$J$1723,MATCH($B1138&amp;"|"&amp;$C1138,'Base de sorteio'!$I$3:$I$1723,0)),""),"abrir"))</f>
        <v/>
      </c>
      <c r="J1138" s="4" t="n"/>
      <c r="K1138" s="4" t="n"/>
      <c r="L1138" s="4" t="n"/>
      <c r="M1138" s="4" t="n"/>
      <c r="N1138" s="4">
        <f>IF(AND(K1138="",M1138=""),"",IF(OR(K1138="sim",M1138="sim"),"sim",IF(OR(K1138="inconclusivo",M1138="inconclusivo"),"inconclusivo","não")))</f>
        <v/>
      </c>
      <c r="O1138" s="5">
        <f>IF(N1138="sim",COUNTIFS($B$3:$B1138,$B1138,$N$3:$N1138,"sim"),"")</f>
        <v/>
      </c>
      <c r="P1138" s="5" t="n"/>
      <c r="Q1138" s="4" t="n"/>
      <c r="R1138" s="5" t="n"/>
      <c r="S1138" s="9" t="n"/>
      <c r="T1138" s="4" t="n"/>
    </row>
    <row r="1139">
      <c r="A1139" s="5">
        <f>ROW()-2</f>
        <v/>
      </c>
      <c r="B1139" s="4" t="inlineStr">
        <is>
          <t>Capital regional</t>
        </is>
      </c>
      <c r="C1139" s="5" t="n">
        <v>195</v>
      </c>
      <c r="D1139" s="5">
        <f>IFERROR(INDEX('Base de sorteio'!$A$3:$A$1723,MATCH($B1139&amp;"|"&amp;$C1139,'Base de sorteio'!$I$3:$I$1723,0)),"")</f>
        <v/>
      </c>
      <c r="E1139" s="4">
        <f>IFERROR(INDEX('Base de sorteio'!$B$3:$B$1723,MATCH($B1139&amp;"|"&amp;$C1139,'Base de sorteio'!$I$3:$I$1723,0)),"")</f>
        <v/>
      </c>
      <c r="F1139" s="4">
        <f>IFERROR(INDEX('Base de sorteio'!$C$3:$C$1723,MATCH($B1139&amp;"|"&amp;$C1139,'Base de sorteio'!$I$3:$I$1723,0)),"")</f>
        <v/>
      </c>
      <c r="G1139" s="4">
        <f>IFERROR(INDEX('Base de sorteio'!$D$3:$D$1723,MATCH($B1139&amp;"|"&amp;$C1139,'Base de sorteio'!$I$3:$I$1723,0)),"")</f>
        <v/>
      </c>
      <c r="H1139" s="4">
        <f>IFERROR(INDEX('Base de sorteio'!$E$3:$E$1723,MATCH($B1139&amp;"|"&amp;$C1139,'Base de sorteio'!$I$3:$I$1723,0)),"")</f>
        <v/>
      </c>
      <c r="I1139" s="4">
        <f>IF(E1139="","",HYPERLINK(IFERROR(INDEX('Base de sorteio'!$J$3:$J$1723,MATCH($B1139&amp;"|"&amp;$C1139,'Base de sorteio'!$I$3:$I$1723,0)),""),"abrir"))</f>
        <v/>
      </c>
      <c r="J1139" s="4" t="n"/>
      <c r="K1139" s="4" t="n"/>
      <c r="L1139" s="4" t="n"/>
      <c r="M1139" s="4" t="n"/>
      <c r="N1139" s="4">
        <f>IF(AND(K1139="",M1139=""),"",IF(OR(K1139="sim",M1139="sim"),"sim",IF(OR(K1139="inconclusivo",M1139="inconclusivo"),"inconclusivo","não")))</f>
        <v/>
      </c>
      <c r="O1139" s="5">
        <f>IF(N1139="sim",COUNTIFS($B$3:$B1139,$B1139,$N$3:$N1139,"sim"),"")</f>
        <v/>
      </c>
      <c r="P1139" s="5" t="n"/>
      <c r="Q1139" s="4" t="n"/>
      <c r="R1139" s="5" t="n"/>
      <c r="S1139" s="9" t="n"/>
      <c r="T1139" s="4" t="n"/>
    </row>
    <row r="1140">
      <c r="A1140" s="5">
        <f>ROW()-2</f>
        <v/>
      </c>
      <c r="B1140" s="4" t="inlineStr">
        <is>
          <t>Capital regional</t>
        </is>
      </c>
      <c r="C1140" s="5" t="n">
        <v>196</v>
      </c>
      <c r="D1140" s="5">
        <f>IFERROR(INDEX('Base de sorteio'!$A$3:$A$1723,MATCH($B1140&amp;"|"&amp;$C1140,'Base de sorteio'!$I$3:$I$1723,0)),"")</f>
        <v/>
      </c>
      <c r="E1140" s="4">
        <f>IFERROR(INDEX('Base de sorteio'!$B$3:$B$1723,MATCH($B1140&amp;"|"&amp;$C1140,'Base de sorteio'!$I$3:$I$1723,0)),"")</f>
        <v/>
      </c>
      <c r="F1140" s="4">
        <f>IFERROR(INDEX('Base de sorteio'!$C$3:$C$1723,MATCH($B1140&amp;"|"&amp;$C1140,'Base de sorteio'!$I$3:$I$1723,0)),"")</f>
        <v/>
      </c>
      <c r="G1140" s="4">
        <f>IFERROR(INDEX('Base de sorteio'!$D$3:$D$1723,MATCH($B1140&amp;"|"&amp;$C1140,'Base de sorteio'!$I$3:$I$1723,0)),"")</f>
        <v/>
      </c>
      <c r="H1140" s="4">
        <f>IFERROR(INDEX('Base de sorteio'!$E$3:$E$1723,MATCH($B1140&amp;"|"&amp;$C1140,'Base de sorteio'!$I$3:$I$1723,0)),"")</f>
        <v/>
      </c>
      <c r="I1140" s="4">
        <f>IF(E1140="","",HYPERLINK(IFERROR(INDEX('Base de sorteio'!$J$3:$J$1723,MATCH($B1140&amp;"|"&amp;$C1140,'Base de sorteio'!$I$3:$I$1723,0)),""),"abrir"))</f>
        <v/>
      </c>
      <c r="J1140" s="4" t="n"/>
      <c r="K1140" s="4" t="n"/>
      <c r="L1140" s="4" t="n"/>
      <c r="M1140" s="4" t="n"/>
      <c r="N1140" s="4">
        <f>IF(AND(K1140="",M1140=""),"",IF(OR(K1140="sim",M1140="sim"),"sim",IF(OR(K1140="inconclusivo",M1140="inconclusivo"),"inconclusivo","não")))</f>
        <v/>
      </c>
      <c r="O1140" s="5">
        <f>IF(N1140="sim",COUNTIFS($B$3:$B1140,$B1140,$N$3:$N1140,"sim"),"")</f>
        <v/>
      </c>
      <c r="P1140" s="5" t="n"/>
      <c r="Q1140" s="4" t="n"/>
      <c r="R1140" s="5" t="n"/>
      <c r="S1140" s="9" t="n"/>
      <c r="T1140" s="4" t="n"/>
    </row>
    <row r="1141">
      <c r="A1141" s="5">
        <f>ROW()-2</f>
        <v/>
      </c>
      <c r="B1141" s="4" t="inlineStr">
        <is>
          <t>Capital regional</t>
        </is>
      </c>
      <c r="C1141" s="5" t="n">
        <v>197</v>
      </c>
      <c r="D1141" s="5">
        <f>IFERROR(INDEX('Base de sorteio'!$A$3:$A$1723,MATCH($B1141&amp;"|"&amp;$C1141,'Base de sorteio'!$I$3:$I$1723,0)),"")</f>
        <v/>
      </c>
      <c r="E1141" s="4">
        <f>IFERROR(INDEX('Base de sorteio'!$B$3:$B$1723,MATCH($B1141&amp;"|"&amp;$C1141,'Base de sorteio'!$I$3:$I$1723,0)),"")</f>
        <v/>
      </c>
      <c r="F1141" s="4">
        <f>IFERROR(INDEX('Base de sorteio'!$C$3:$C$1723,MATCH($B1141&amp;"|"&amp;$C1141,'Base de sorteio'!$I$3:$I$1723,0)),"")</f>
        <v/>
      </c>
      <c r="G1141" s="4">
        <f>IFERROR(INDEX('Base de sorteio'!$D$3:$D$1723,MATCH($B1141&amp;"|"&amp;$C1141,'Base de sorteio'!$I$3:$I$1723,0)),"")</f>
        <v/>
      </c>
      <c r="H1141" s="4">
        <f>IFERROR(INDEX('Base de sorteio'!$E$3:$E$1723,MATCH($B1141&amp;"|"&amp;$C1141,'Base de sorteio'!$I$3:$I$1723,0)),"")</f>
        <v/>
      </c>
      <c r="I1141" s="4">
        <f>IF(E1141="","",HYPERLINK(IFERROR(INDEX('Base de sorteio'!$J$3:$J$1723,MATCH($B1141&amp;"|"&amp;$C1141,'Base de sorteio'!$I$3:$I$1723,0)),""),"abrir"))</f>
        <v/>
      </c>
      <c r="J1141" s="4" t="n"/>
      <c r="K1141" s="4" t="n"/>
      <c r="L1141" s="4" t="n"/>
      <c r="M1141" s="4" t="n"/>
      <c r="N1141" s="4">
        <f>IF(AND(K1141="",M1141=""),"",IF(OR(K1141="sim",M1141="sim"),"sim",IF(OR(K1141="inconclusivo",M1141="inconclusivo"),"inconclusivo","não")))</f>
        <v/>
      </c>
      <c r="O1141" s="5">
        <f>IF(N1141="sim",COUNTIFS($B$3:$B1141,$B1141,$N$3:$N1141,"sim"),"")</f>
        <v/>
      </c>
      <c r="P1141" s="5" t="n"/>
      <c r="Q1141" s="4" t="n"/>
      <c r="R1141" s="5" t="n"/>
      <c r="S1141" s="9" t="n"/>
      <c r="T1141" s="4" t="n"/>
    </row>
    <row r="1142">
      <c r="A1142" s="5">
        <f>ROW()-2</f>
        <v/>
      </c>
      <c r="B1142" s="4" t="inlineStr">
        <is>
          <t>Capital regional</t>
        </is>
      </c>
      <c r="C1142" s="5" t="n">
        <v>198</v>
      </c>
      <c r="D1142" s="5">
        <f>IFERROR(INDEX('Base de sorteio'!$A$3:$A$1723,MATCH($B1142&amp;"|"&amp;$C1142,'Base de sorteio'!$I$3:$I$1723,0)),"")</f>
        <v/>
      </c>
      <c r="E1142" s="4">
        <f>IFERROR(INDEX('Base de sorteio'!$B$3:$B$1723,MATCH($B1142&amp;"|"&amp;$C1142,'Base de sorteio'!$I$3:$I$1723,0)),"")</f>
        <v/>
      </c>
      <c r="F1142" s="4">
        <f>IFERROR(INDEX('Base de sorteio'!$C$3:$C$1723,MATCH($B1142&amp;"|"&amp;$C1142,'Base de sorteio'!$I$3:$I$1723,0)),"")</f>
        <v/>
      </c>
      <c r="G1142" s="4">
        <f>IFERROR(INDEX('Base de sorteio'!$D$3:$D$1723,MATCH($B1142&amp;"|"&amp;$C1142,'Base de sorteio'!$I$3:$I$1723,0)),"")</f>
        <v/>
      </c>
      <c r="H1142" s="4">
        <f>IFERROR(INDEX('Base de sorteio'!$E$3:$E$1723,MATCH($B1142&amp;"|"&amp;$C1142,'Base de sorteio'!$I$3:$I$1723,0)),"")</f>
        <v/>
      </c>
      <c r="I1142" s="4">
        <f>IF(E1142="","",HYPERLINK(IFERROR(INDEX('Base de sorteio'!$J$3:$J$1723,MATCH($B1142&amp;"|"&amp;$C1142,'Base de sorteio'!$I$3:$I$1723,0)),""),"abrir"))</f>
        <v/>
      </c>
      <c r="J1142" s="4" t="n"/>
      <c r="K1142" s="4" t="n"/>
      <c r="L1142" s="4" t="n"/>
      <c r="M1142" s="4" t="n"/>
      <c r="N1142" s="4">
        <f>IF(AND(K1142="",M1142=""),"",IF(OR(K1142="sim",M1142="sim"),"sim",IF(OR(K1142="inconclusivo",M1142="inconclusivo"),"inconclusivo","não")))</f>
        <v/>
      </c>
      <c r="O1142" s="5">
        <f>IF(N1142="sim",COUNTIFS($B$3:$B1142,$B1142,$N$3:$N1142,"sim"),"")</f>
        <v/>
      </c>
      <c r="P1142" s="5" t="n"/>
      <c r="Q1142" s="4" t="n"/>
      <c r="R1142" s="5" t="n"/>
      <c r="S1142" s="9" t="n"/>
      <c r="T1142" s="4" t="n"/>
    </row>
    <row r="1143">
      <c r="A1143" s="5">
        <f>ROW()-2</f>
        <v/>
      </c>
      <c r="B1143" s="4" t="inlineStr">
        <is>
          <t>Capital regional</t>
        </is>
      </c>
      <c r="C1143" s="5" t="n">
        <v>199</v>
      </c>
      <c r="D1143" s="5">
        <f>IFERROR(INDEX('Base de sorteio'!$A$3:$A$1723,MATCH($B1143&amp;"|"&amp;$C1143,'Base de sorteio'!$I$3:$I$1723,0)),"")</f>
        <v/>
      </c>
      <c r="E1143" s="4">
        <f>IFERROR(INDEX('Base de sorteio'!$B$3:$B$1723,MATCH($B1143&amp;"|"&amp;$C1143,'Base de sorteio'!$I$3:$I$1723,0)),"")</f>
        <v/>
      </c>
      <c r="F1143" s="4">
        <f>IFERROR(INDEX('Base de sorteio'!$C$3:$C$1723,MATCH($B1143&amp;"|"&amp;$C1143,'Base de sorteio'!$I$3:$I$1723,0)),"")</f>
        <v/>
      </c>
      <c r="G1143" s="4">
        <f>IFERROR(INDEX('Base de sorteio'!$D$3:$D$1723,MATCH($B1143&amp;"|"&amp;$C1143,'Base de sorteio'!$I$3:$I$1723,0)),"")</f>
        <v/>
      </c>
      <c r="H1143" s="4">
        <f>IFERROR(INDEX('Base de sorteio'!$E$3:$E$1723,MATCH($B1143&amp;"|"&amp;$C1143,'Base de sorteio'!$I$3:$I$1723,0)),"")</f>
        <v/>
      </c>
      <c r="I1143" s="4">
        <f>IF(E1143="","",HYPERLINK(IFERROR(INDEX('Base de sorteio'!$J$3:$J$1723,MATCH($B1143&amp;"|"&amp;$C1143,'Base de sorteio'!$I$3:$I$1723,0)),""),"abrir"))</f>
        <v/>
      </c>
      <c r="J1143" s="4" t="n"/>
      <c r="K1143" s="4" t="n"/>
      <c r="L1143" s="4" t="n"/>
      <c r="M1143" s="4" t="n"/>
      <c r="N1143" s="4">
        <f>IF(AND(K1143="",M1143=""),"",IF(OR(K1143="sim",M1143="sim"),"sim",IF(OR(K1143="inconclusivo",M1143="inconclusivo"),"inconclusivo","não")))</f>
        <v/>
      </c>
      <c r="O1143" s="5">
        <f>IF(N1143="sim",COUNTIFS($B$3:$B1143,$B1143,$N$3:$N1143,"sim"),"")</f>
        <v/>
      </c>
      <c r="P1143" s="5" t="n"/>
      <c r="Q1143" s="4" t="n"/>
      <c r="R1143" s="5" t="n"/>
      <c r="S1143" s="9" t="n"/>
      <c r="T1143" s="4" t="n"/>
    </row>
    <row r="1144">
      <c r="A1144" s="5">
        <f>ROW()-2</f>
        <v/>
      </c>
      <c r="B1144" s="4" t="inlineStr">
        <is>
          <t>Capital regional</t>
        </is>
      </c>
      <c r="C1144" s="5" t="n">
        <v>200</v>
      </c>
      <c r="D1144" s="5">
        <f>IFERROR(INDEX('Base de sorteio'!$A$3:$A$1723,MATCH($B1144&amp;"|"&amp;$C1144,'Base de sorteio'!$I$3:$I$1723,0)),"")</f>
        <v/>
      </c>
      <c r="E1144" s="4">
        <f>IFERROR(INDEX('Base de sorteio'!$B$3:$B$1723,MATCH($B1144&amp;"|"&amp;$C1144,'Base de sorteio'!$I$3:$I$1723,0)),"")</f>
        <v/>
      </c>
      <c r="F1144" s="4">
        <f>IFERROR(INDEX('Base de sorteio'!$C$3:$C$1723,MATCH($B1144&amp;"|"&amp;$C1144,'Base de sorteio'!$I$3:$I$1723,0)),"")</f>
        <v/>
      </c>
      <c r="G1144" s="4">
        <f>IFERROR(INDEX('Base de sorteio'!$D$3:$D$1723,MATCH($B1144&amp;"|"&amp;$C1144,'Base de sorteio'!$I$3:$I$1723,0)),"")</f>
        <v/>
      </c>
      <c r="H1144" s="4">
        <f>IFERROR(INDEX('Base de sorteio'!$E$3:$E$1723,MATCH($B1144&amp;"|"&amp;$C1144,'Base de sorteio'!$I$3:$I$1723,0)),"")</f>
        <v/>
      </c>
      <c r="I1144" s="4">
        <f>IF(E1144="","",HYPERLINK(IFERROR(INDEX('Base de sorteio'!$J$3:$J$1723,MATCH($B1144&amp;"|"&amp;$C1144,'Base de sorteio'!$I$3:$I$1723,0)),""),"abrir"))</f>
        <v/>
      </c>
      <c r="J1144" s="4" t="n"/>
      <c r="K1144" s="4" t="n"/>
      <c r="L1144" s="4" t="n"/>
      <c r="M1144" s="4" t="n"/>
      <c r="N1144" s="4">
        <f>IF(AND(K1144="",M1144=""),"",IF(OR(K1144="sim",M1144="sim"),"sim",IF(OR(K1144="inconclusivo",M1144="inconclusivo"),"inconclusivo","não")))</f>
        <v/>
      </c>
      <c r="O1144" s="5">
        <f>IF(N1144="sim",COUNTIFS($B$3:$B1144,$B1144,$N$3:$N1144,"sim"),"")</f>
        <v/>
      </c>
      <c r="P1144" s="5" t="n"/>
      <c r="Q1144" s="4" t="n"/>
      <c r="R1144" s="5" t="n"/>
      <c r="S1144" s="9" t="n"/>
      <c r="T1144" s="4" t="n"/>
    </row>
    <row r="1145">
      <c r="A1145" s="5">
        <f>ROW()-2</f>
        <v/>
      </c>
      <c r="B1145" s="4" t="inlineStr">
        <is>
          <t>Capital regional</t>
        </is>
      </c>
      <c r="C1145" s="5" t="n">
        <v>201</v>
      </c>
      <c r="D1145" s="5">
        <f>IFERROR(INDEX('Base de sorteio'!$A$3:$A$1723,MATCH($B1145&amp;"|"&amp;$C1145,'Base de sorteio'!$I$3:$I$1723,0)),"")</f>
        <v/>
      </c>
      <c r="E1145" s="4">
        <f>IFERROR(INDEX('Base de sorteio'!$B$3:$B$1723,MATCH($B1145&amp;"|"&amp;$C1145,'Base de sorteio'!$I$3:$I$1723,0)),"")</f>
        <v/>
      </c>
      <c r="F1145" s="4">
        <f>IFERROR(INDEX('Base de sorteio'!$C$3:$C$1723,MATCH($B1145&amp;"|"&amp;$C1145,'Base de sorteio'!$I$3:$I$1723,0)),"")</f>
        <v/>
      </c>
      <c r="G1145" s="4">
        <f>IFERROR(INDEX('Base de sorteio'!$D$3:$D$1723,MATCH($B1145&amp;"|"&amp;$C1145,'Base de sorteio'!$I$3:$I$1723,0)),"")</f>
        <v/>
      </c>
      <c r="H1145" s="4">
        <f>IFERROR(INDEX('Base de sorteio'!$E$3:$E$1723,MATCH($B1145&amp;"|"&amp;$C1145,'Base de sorteio'!$I$3:$I$1723,0)),"")</f>
        <v/>
      </c>
      <c r="I1145" s="4">
        <f>IF(E1145="","",HYPERLINK(IFERROR(INDEX('Base de sorteio'!$J$3:$J$1723,MATCH($B1145&amp;"|"&amp;$C1145,'Base de sorteio'!$I$3:$I$1723,0)),""),"abrir"))</f>
        <v/>
      </c>
      <c r="J1145" s="4" t="n"/>
      <c r="K1145" s="4" t="n"/>
      <c r="L1145" s="4" t="n"/>
      <c r="M1145" s="4" t="n"/>
      <c r="N1145" s="4">
        <f>IF(AND(K1145="",M1145=""),"",IF(OR(K1145="sim",M1145="sim"),"sim",IF(OR(K1145="inconclusivo",M1145="inconclusivo"),"inconclusivo","não")))</f>
        <v/>
      </c>
      <c r="O1145" s="5">
        <f>IF(N1145="sim",COUNTIFS($B$3:$B1145,$B1145,$N$3:$N1145,"sim"),"")</f>
        <v/>
      </c>
      <c r="P1145" s="5" t="n"/>
      <c r="Q1145" s="4" t="n"/>
      <c r="R1145" s="5" t="n"/>
      <c r="S1145" s="9" t="n"/>
      <c r="T1145" s="4" t="n"/>
    </row>
    <row r="1146">
      <c r="A1146" s="5">
        <f>ROW()-2</f>
        <v/>
      </c>
      <c r="B1146" s="4" t="inlineStr">
        <is>
          <t>Capital regional</t>
        </is>
      </c>
      <c r="C1146" s="5" t="n">
        <v>202</v>
      </c>
      <c r="D1146" s="5">
        <f>IFERROR(INDEX('Base de sorteio'!$A$3:$A$1723,MATCH($B1146&amp;"|"&amp;$C1146,'Base de sorteio'!$I$3:$I$1723,0)),"")</f>
        <v/>
      </c>
      <c r="E1146" s="4">
        <f>IFERROR(INDEX('Base de sorteio'!$B$3:$B$1723,MATCH($B1146&amp;"|"&amp;$C1146,'Base de sorteio'!$I$3:$I$1723,0)),"")</f>
        <v/>
      </c>
      <c r="F1146" s="4">
        <f>IFERROR(INDEX('Base de sorteio'!$C$3:$C$1723,MATCH($B1146&amp;"|"&amp;$C1146,'Base de sorteio'!$I$3:$I$1723,0)),"")</f>
        <v/>
      </c>
      <c r="G1146" s="4">
        <f>IFERROR(INDEX('Base de sorteio'!$D$3:$D$1723,MATCH($B1146&amp;"|"&amp;$C1146,'Base de sorteio'!$I$3:$I$1723,0)),"")</f>
        <v/>
      </c>
      <c r="H1146" s="4">
        <f>IFERROR(INDEX('Base de sorteio'!$E$3:$E$1723,MATCH($B1146&amp;"|"&amp;$C1146,'Base de sorteio'!$I$3:$I$1723,0)),"")</f>
        <v/>
      </c>
      <c r="I1146" s="4">
        <f>IF(E1146="","",HYPERLINK(IFERROR(INDEX('Base de sorteio'!$J$3:$J$1723,MATCH($B1146&amp;"|"&amp;$C1146,'Base de sorteio'!$I$3:$I$1723,0)),""),"abrir"))</f>
        <v/>
      </c>
      <c r="J1146" s="4" t="n"/>
      <c r="K1146" s="4" t="n"/>
      <c r="L1146" s="4" t="n"/>
      <c r="M1146" s="4" t="n"/>
      <c r="N1146" s="4">
        <f>IF(AND(K1146="",M1146=""),"",IF(OR(K1146="sim",M1146="sim"),"sim",IF(OR(K1146="inconclusivo",M1146="inconclusivo"),"inconclusivo","não")))</f>
        <v/>
      </c>
      <c r="O1146" s="5">
        <f>IF(N1146="sim",COUNTIFS($B$3:$B1146,$B1146,$N$3:$N1146,"sim"),"")</f>
        <v/>
      </c>
      <c r="P1146" s="5" t="n"/>
      <c r="Q1146" s="4" t="n"/>
      <c r="R1146" s="5" t="n"/>
      <c r="S1146" s="9" t="n"/>
      <c r="T1146" s="4" t="n"/>
    </row>
    <row r="1147">
      <c r="A1147" s="5">
        <f>ROW()-2</f>
        <v/>
      </c>
      <c r="B1147" s="4" t="inlineStr">
        <is>
          <t>Capital regional</t>
        </is>
      </c>
      <c r="C1147" s="5" t="n">
        <v>203</v>
      </c>
      <c r="D1147" s="5">
        <f>IFERROR(INDEX('Base de sorteio'!$A$3:$A$1723,MATCH($B1147&amp;"|"&amp;$C1147,'Base de sorteio'!$I$3:$I$1723,0)),"")</f>
        <v/>
      </c>
      <c r="E1147" s="4">
        <f>IFERROR(INDEX('Base de sorteio'!$B$3:$B$1723,MATCH($B1147&amp;"|"&amp;$C1147,'Base de sorteio'!$I$3:$I$1723,0)),"")</f>
        <v/>
      </c>
      <c r="F1147" s="4">
        <f>IFERROR(INDEX('Base de sorteio'!$C$3:$C$1723,MATCH($B1147&amp;"|"&amp;$C1147,'Base de sorteio'!$I$3:$I$1723,0)),"")</f>
        <v/>
      </c>
      <c r="G1147" s="4">
        <f>IFERROR(INDEX('Base de sorteio'!$D$3:$D$1723,MATCH($B1147&amp;"|"&amp;$C1147,'Base de sorteio'!$I$3:$I$1723,0)),"")</f>
        <v/>
      </c>
      <c r="H1147" s="4">
        <f>IFERROR(INDEX('Base de sorteio'!$E$3:$E$1723,MATCH($B1147&amp;"|"&amp;$C1147,'Base de sorteio'!$I$3:$I$1723,0)),"")</f>
        <v/>
      </c>
      <c r="I1147" s="4">
        <f>IF(E1147="","",HYPERLINK(IFERROR(INDEX('Base de sorteio'!$J$3:$J$1723,MATCH($B1147&amp;"|"&amp;$C1147,'Base de sorteio'!$I$3:$I$1723,0)),""),"abrir"))</f>
        <v/>
      </c>
      <c r="J1147" s="4" t="n"/>
      <c r="K1147" s="4" t="n"/>
      <c r="L1147" s="4" t="n"/>
      <c r="M1147" s="4" t="n"/>
      <c r="N1147" s="4">
        <f>IF(AND(K1147="",M1147=""),"",IF(OR(K1147="sim",M1147="sim"),"sim",IF(OR(K1147="inconclusivo",M1147="inconclusivo"),"inconclusivo","não")))</f>
        <v/>
      </c>
      <c r="O1147" s="5">
        <f>IF(N1147="sim",COUNTIFS($B$3:$B1147,$B1147,$N$3:$N1147,"sim"),"")</f>
        <v/>
      </c>
      <c r="P1147" s="5" t="n"/>
      <c r="Q1147" s="4" t="n"/>
      <c r="R1147" s="5" t="n"/>
      <c r="S1147" s="9" t="n"/>
      <c r="T1147" s="4" t="n"/>
    </row>
    <row r="1148">
      <c r="A1148" s="5">
        <f>ROW()-2</f>
        <v/>
      </c>
      <c r="B1148" s="4" t="inlineStr">
        <is>
          <t>Capital regional</t>
        </is>
      </c>
      <c r="C1148" s="5" t="n">
        <v>204</v>
      </c>
      <c r="D1148" s="5">
        <f>IFERROR(INDEX('Base de sorteio'!$A$3:$A$1723,MATCH($B1148&amp;"|"&amp;$C1148,'Base de sorteio'!$I$3:$I$1723,0)),"")</f>
        <v/>
      </c>
      <c r="E1148" s="4">
        <f>IFERROR(INDEX('Base de sorteio'!$B$3:$B$1723,MATCH($B1148&amp;"|"&amp;$C1148,'Base de sorteio'!$I$3:$I$1723,0)),"")</f>
        <v/>
      </c>
      <c r="F1148" s="4">
        <f>IFERROR(INDEX('Base de sorteio'!$C$3:$C$1723,MATCH($B1148&amp;"|"&amp;$C1148,'Base de sorteio'!$I$3:$I$1723,0)),"")</f>
        <v/>
      </c>
      <c r="G1148" s="4">
        <f>IFERROR(INDEX('Base de sorteio'!$D$3:$D$1723,MATCH($B1148&amp;"|"&amp;$C1148,'Base de sorteio'!$I$3:$I$1723,0)),"")</f>
        <v/>
      </c>
      <c r="H1148" s="4">
        <f>IFERROR(INDEX('Base de sorteio'!$E$3:$E$1723,MATCH($B1148&amp;"|"&amp;$C1148,'Base de sorteio'!$I$3:$I$1723,0)),"")</f>
        <v/>
      </c>
      <c r="I1148" s="4">
        <f>IF(E1148="","",HYPERLINK(IFERROR(INDEX('Base de sorteio'!$J$3:$J$1723,MATCH($B1148&amp;"|"&amp;$C1148,'Base de sorteio'!$I$3:$I$1723,0)),""),"abrir"))</f>
        <v/>
      </c>
      <c r="J1148" s="4" t="n"/>
      <c r="K1148" s="4" t="n"/>
      <c r="L1148" s="4" t="n"/>
      <c r="M1148" s="4" t="n"/>
      <c r="N1148" s="4">
        <f>IF(AND(K1148="",M1148=""),"",IF(OR(K1148="sim",M1148="sim"),"sim",IF(OR(K1148="inconclusivo",M1148="inconclusivo"),"inconclusivo","não")))</f>
        <v/>
      </c>
      <c r="O1148" s="5">
        <f>IF(N1148="sim",COUNTIFS($B$3:$B1148,$B1148,$N$3:$N1148,"sim"),"")</f>
        <v/>
      </c>
      <c r="P1148" s="5" t="n"/>
      <c r="Q1148" s="4" t="n"/>
      <c r="R1148" s="5" t="n"/>
      <c r="S1148" s="9" t="n"/>
      <c r="T1148" s="4" t="n"/>
    </row>
    <row r="1149">
      <c r="A1149" s="5">
        <f>ROW()-2</f>
        <v/>
      </c>
      <c r="B1149" s="4" t="inlineStr">
        <is>
          <t>Capital regional</t>
        </is>
      </c>
      <c r="C1149" s="5" t="n">
        <v>205</v>
      </c>
      <c r="D1149" s="5">
        <f>IFERROR(INDEX('Base de sorteio'!$A$3:$A$1723,MATCH($B1149&amp;"|"&amp;$C1149,'Base de sorteio'!$I$3:$I$1723,0)),"")</f>
        <v/>
      </c>
      <c r="E1149" s="4">
        <f>IFERROR(INDEX('Base de sorteio'!$B$3:$B$1723,MATCH($B1149&amp;"|"&amp;$C1149,'Base de sorteio'!$I$3:$I$1723,0)),"")</f>
        <v/>
      </c>
      <c r="F1149" s="4">
        <f>IFERROR(INDEX('Base de sorteio'!$C$3:$C$1723,MATCH($B1149&amp;"|"&amp;$C1149,'Base de sorteio'!$I$3:$I$1723,0)),"")</f>
        <v/>
      </c>
      <c r="G1149" s="4">
        <f>IFERROR(INDEX('Base de sorteio'!$D$3:$D$1723,MATCH($B1149&amp;"|"&amp;$C1149,'Base de sorteio'!$I$3:$I$1723,0)),"")</f>
        <v/>
      </c>
      <c r="H1149" s="4">
        <f>IFERROR(INDEX('Base de sorteio'!$E$3:$E$1723,MATCH($B1149&amp;"|"&amp;$C1149,'Base de sorteio'!$I$3:$I$1723,0)),"")</f>
        <v/>
      </c>
      <c r="I1149" s="4">
        <f>IF(E1149="","",HYPERLINK(IFERROR(INDEX('Base de sorteio'!$J$3:$J$1723,MATCH($B1149&amp;"|"&amp;$C1149,'Base de sorteio'!$I$3:$I$1723,0)),""),"abrir"))</f>
        <v/>
      </c>
      <c r="J1149" s="4" t="n"/>
      <c r="K1149" s="4" t="n"/>
      <c r="L1149" s="4" t="n"/>
      <c r="M1149" s="4" t="n"/>
      <c r="N1149" s="4">
        <f>IF(AND(K1149="",M1149=""),"",IF(OR(K1149="sim",M1149="sim"),"sim",IF(OR(K1149="inconclusivo",M1149="inconclusivo"),"inconclusivo","não")))</f>
        <v/>
      </c>
      <c r="O1149" s="5">
        <f>IF(N1149="sim",COUNTIFS($B$3:$B1149,$B1149,$N$3:$N1149,"sim"),"")</f>
        <v/>
      </c>
      <c r="P1149" s="5" t="n"/>
      <c r="Q1149" s="4" t="n"/>
      <c r="R1149" s="5" t="n"/>
      <c r="S1149" s="9" t="n"/>
      <c r="T1149" s="4" t="n"/>
    </row>
    <row r="1150">
      <c r="A1150" s="5">
        <f>ROW()-2</f>
        <v/>
      </c>
      <c r="B1150" s="4" t="inlineStr">
        <is>
          <t>Capital regional</t>
        </is>
      </c>
      <c r="C1150" s="5" t="n">
        <v>206</v>
      </c>
      <c r="D1150" s="5">
        <f>IFERROR(INDEX('Base de sorteio'!$A$3:$A$1723,MATCH($B1150&amp;"|"&amp;$C1150,'Base de sorteio'!$I$3:$I$1723,0)),"")</f>
        <v/>
      </c>
      <c r="E1150" s="4">
        <f>IFERROR(INDEX('Base de sorteio'!$B$3:$B$1723,MATCH($B1150&amp;"|"&amp;$C1150,'Base de sorteio'!$I$3:$I$1723,0)),"")</f>
        <v/>
      </c>
      <c r="F1150" s="4">
        <f>IFERROR(INDEX('Base de sorteio'!$C$3:$C$1723,MATCH($B1150&amp;"|"&amp;$C1150,'Base de sorteio'!$I$3:$I$1723,0)),"")</f>
        <v/>
      </c>
      <c r="G1150" s="4">
        <f>IFERROR(INDEX('Base de sorteio'!$D$3:$D$1723,MATCH($B1150&amp;"|"&amp;$C1150,'Base de sorteio'!$I$3:$I$1723,0)),"")</f>
        <v/>
      </c>
      <c r="H1150" s="4">
        <f>IFERROR(INDEX('Base de sorteio'!$E$3:$E$1723,MATCH($B1150&amp;"|"&amp;$C1150,'Base de sorteio'!$I$3:$I$1723,0)),"")</f>
        <v/>
      </c>
      <c r="I1150" s="4">
        <f>IF(E1150="","",HYPERLINK(IFERROR(INDEX('Base de sorteio'!$J$3:$J$1723,MATCH($B1150&amp;"|"&amp;$C1150,'Base de sorteio'!$I$3:$I$1723,0)),""),"abrir"))</f>
        <v/>
      </c>
      <c r="J1150" s="4" t="n"/>
      <c r="K1150" s="4" t="n"/>
      <c r="L1150" s="4" t="n"/>
      <c r="M1150" s="4" t="n"/>
      <c r="N1150" s="4">
        <f>IF(AND(K1150="",M1150=""),"",IF(OR(K1150="sim",M1150="sim"),"sim",IF(OR(K1150="inconclusivo",M1150="inconclusivo"),"inconclusivo","não")))</f>
        <v/>
      </c>
      <c r="O1150" s="5">
        <f>IF(N1150="sim",COUNTIFS($B$3:$B1150,$B1150,$N$3:$N1150,"sim"),"")</f>
        <v/>
      </c>
      <c r="P1150" s="5" t="n"/>
      <c r="Q1150" s="4" t="n"/>
      <c r="R1150" s="5" t="n"/>
      <c r="S1150" s="9" t="n"/>
      <c r="T1150" s="4" t="n"/>
    </row>
    <row r="1151">
      <c r="A1151" s="5">
        <f>ROW()-2</f>
        <v/>
      </c>
      <c r="B1151" s="4" t="inlineStr">
        <is>
          <t>Capital regional</t>
        </is>
      </c>
      <c r="C1151" s="5" t="n">
        <v>207</v>
      </c>
      <c r="D1151" s="5">
        <f>IFERROR(INDEX('Base de sorteio'!$A$3:$A$1723,MATCH($B1151&amp;"|"&amp;$C1151,'Base de sorteio'!$I$3:$I$1723,0)),"")</f>
        <v/>
      </c>
      <c r="E1151" s="4">
        <f>IFERROR(INDEX('Base de sorteio'!$B$3:$B$1723,MATCH($B1151&amp;"|"&amp;$C1151,'Base de sorteio'!$I$3:$I$1723,0)),"")</f>
        <v/>
      </c>
      <c r="F1151" s="4">
        <f>IFERROR(INDEX('Base de sorteio'!$C$3:$C$1723,MATCH($B1151&amp;"|"&amp;$C1151,'Base de sorteio'!$I$3:$I$1723,0)),"")</f>
        <v/>
      </c>
      <c r="G1151" s="4">
        <f>IFERROR(INDEX('Base de sorteio'!$D$3:$D$1723,MATCH($B1151&amp;"|"&amp;$C1151,'Base de sorteio'!$I$3:$I$1723,0)),"")</f>
        <v/>
      </c>
      <c r="H1151" s="4">
        <f>IFERROR(INDEX('Base de sorteio'!$E$3:$E$1723,MATCH($B1151&amp;"|"&amp;$C1151,'Base de sorteio'!$I$3:$I$1723,0)),"")</f>
        <v/>
      </c>
      <c r="I1151" s="4">
        <f>IF(E1151="","",HYPERLINK(IFERROR(INDEX('Base de sorteio'!$J$3:$J$1723,MATCH($B1151&amp;"|"&amp;$C1151,'Base de sorteio'!$I$3:$I$1723,0)),""),"abrir"))</f>
        <v/>
      </c>
      <c r="J1151" s="4" t="n"/>
      <c r="K1151" s="4" t="n"/>
      <c r="L1151" s="4" t="n"/>
      <c r="M1151" s="4" t="n"/>
      <c r="N1151" s="4">
        <f>IF(AND(K1151="",M1151=""),"",IF(OR(K1151="sim",M1151="sim"),"sim",IF(OR(K1151="inconclusivo",M1151="inconclusivo"),"inconclusivo","não")))</f>
        <v/>
      </c>
      <c r="O1151" s="5">
        <f>IF(N1151="sim",COUNTIFS($B$3:$B1151,$B1151,$N$3:$N1151,"sim"),"")</f>
        <v/>
      </c>
      <c r="P1151" s="5" t="n"/>
      <c r="Q1151" s="4" t="n"/>
      <c r="R1151" s="5" t="n"/>
      <c r="S1151" s="9" t="n"/>
      <c r="T1151" s="4" t="n"/>
    </row>
    <row r="1152">
      <c r="A1152" s="5">
        <f>ROW()-2</f>
        <v/>
      </c>
      <c r="B1152" s="4" t="inlineStr">
        <is>
          <t>Capital regional</t>
        </is>
      </c>
      <c r="C1152" s="5" t="n">
        <v>208</v>
      </c>
      <c r="D1152" s="5">
        <f>IFERROR(INDEX('Base de sorteio'!$A$3:$A$1723,MATCH($B1152&amp;"|"&amp;$C1152,'Base de sorteio'!$I$3:$I$1723,0)),"")</f>
        <v/>
      </c>
      <c r="E1152" s="4">
        <f>IFERROR(INDEX('Base de sorteio'!$B$3:$B$1723,MATCH($B1152&amp;"|"&amp;$C1152,'Base de sorteio'!$I$3:$I$1723,0)),"")</f>
        <v/>
      </c>
      <c r="F1152" s="4">
        <f>IFERROR(INDEX('Base de sorteio'!$C$3:$C$1723,MATCH($B1152&amp;"|"&amp;$C1152,'Base de sorteio'!$I$3:$I$1723,0)),"")</f>
        <v/>
      </c>
      <c r="G1152" s="4">
        <f>IFERROR(INDEX('Base de sorteio'!$D$3:$D$1723,MATCH($B1152&amp;"|"&amp;$C1152,'Base de sorteio'!$I$3:$I$1723,0)),"")</f>
        <v/>
      </c>
      <c r="H1152" s="4">
        <f>IFERROR(INDEX('Base de sorteio'!$E$3:$E$1723,MATCH($B1152&amp;"|"&amp;$C1152,'Base de sorteio'!$I$3:$I$1723,0)),"")</f>
        <v/>
      </c>
      <c r="I1152" s="4">
        <f>IF(E1152="","",HYPERLINK(IFERROR(INDEX('Base de sorteio'!$J$3:$J$1723,MATCH($B1152&amp;"|"&amp;$C1152,'Base de sorteio'!$I$3:$I$1723,0)),""),"abrir"))</f>
        <v/>
      </c>
      <c r="J1152" s="4" t="n"/>
      <c r="K1152" s="4" t="n"/>
      <c r="L1152" s="4" t="n"/>
      <c r="M1152" s="4" t="n"/>
      <c r="N1152" s="4">
        <f>IF(AND(K1152="",M1152=""),"",IF(OR(K1152="sim",M1152="sim"),"sim",IF(OR(K1152="inconclusivo",M1152="inconclusivo"),"inconclusivo","não")))</f>
        <v/>
      </c>
      <c r="O1152" s="5">
        <f>IF(N1152="sim",COUNTIFS($B$3:$B1152,$B1152,$N$3:$N1152,"sim"),"")</f>
        <v/>
      </c>
      <c r="P1152" s="5" t="n"/>
      <c r="Q1152" s="4" t="n"/>
      <c r="R1152" s="5" t="n"/>
      <c r="S1152" s="9" t="n"/>
      <c r="T1152" s="4" t="n"/>
    </row>
    <row r="1153">
      <c r="A1153" s="5">
        <f>ROW()-2</f>
        <v/>
      </c>
      <c r="B1153" s="4" t="inlineStr">
        <is>
          <t>Capital regional</t>
        </is>
      </c>
      <c r="C1153" s="5" t="n">
        <v>209</v>
      </c>
      <c r="D1153" s="5">
        <f>IFERROR(INDEX('Base de sorteio'!$A$3:$A$1723,MATCH($B1153&amp;"|"&amp;$C1153,'Base de sorteio'!$I$3:$I$1723,0)),"")</f>
        <v/>
      </c>
      <c r="E1153" s="4">
        <f>IFERROR(INDEX('Base de sorteio'!$B$3:$B$1723,MATCH($B1153&amp;"|"&amp;$C1153,'Base de sorteio'!$I$3:$I$1723,0)),"")</f>
        <v/>
      </c>
      <c r="F1153" s="4">
        <f>IFERROR(INDEX('Base de sorteio'!$C$3:$C$1723,MATCH($B1153&amp;"|"&amp;$C1153,'Base de sorteio'!$I$3:$I$1723,0)),"")</f>
        <v/>
      </c>
      <c r="G1153" s="4">
        <f>IFERROR(INDEX('Base de sorteio'!$D$3:$D$1723,MATCH($B1153&amp;"|"&amp;$C1153,'Base de sorteio'!$I$3:$I$1723,0)),"")</f>
        <v/>
      </c>
      <c r="H1153" s="4">
        <f>IFERROR(INDEX('Base de sorteio'!$E$3:$E$1723,MATCH($B1153&amp;"|"&amp;$C1153,'Base de sorteio'!$I$3:$I$1723,0)),"")</f>
        <v/>
      </c>
      <c r="I1153" s="4">
        <f>IF(E1153="","",HYPERLINK(IFERROR(INDEX('Base de sorteio'!$J$3:$J$1723,MATCH($B1153&amp;"|"&amp;$C1153,'Base de sorteio'!$I$3:$I$1723,0)),""),"abrir"))</f>
        <v/>
      </c>
      <c r="J1153" s="4" t="n"/>
      <c r="K1153" s="4" t="n"/>
      <c r="L1153" s="4" t="n"/>
      <c r="M1153" s="4" t="n"/>
      <c r="N1153" s="4">
        <f>IF(AND(K1153="",M1153=""),"",IF(OR(K1153="sim",M1153="sim"),"sim",IF(OR(K1153="inconclusivo",M1153="inconclusivo"),"inconclusivo","não")))</f>
        <v/>
      </c>
      <c r="O1153" s="5">
        <f>IF(N1153="sim",COUNTIFS($B$3:$B1153,$B1153,$N$3:$N1153,"sim"),"")</f>
        <v/>
      </c>
      <c r="P1153" s="5" t="n"/>
      <c r="Q1153" s="4" t="n"/>
      <c r="R1153" s="5" t="n"/>
      <c r="S1153" s="9" t="n"/>
      <c r="T1153" s="4" t="n"/>
    </row>
    <row r="1154">
      <c r="A1154" s="5">
        <f>ROW()-2</f>
        <v/>
      </c>
      <c r="B1154" s="4" t="inlineStr">
        <is>
          <t>Capital regional</t>
        </is>
      </c>
      <c r="C1154" s="5" t="n">
        <v>210</v>
      </c>
      <c r="D1154" s="5">
        <f>IFERROR(INDEX('Base de sorteio'!$A$3:$A$1723,MATCH($B1154&amp;"|"&amp;$C1154,'Base de sorteio'!$I$3:$I$1723,0)),"")</f>
        <v/>
      </c>
      <c r="E1154" s="4">
        <f>IFERROR(INDEX('Base de sorteio'!$B$3:$B$1723,MATCH($B1154&amp;"|"&amp;$C1154,'Base de sorteio'!$I$3:$I$1723,0)),"")</f>
        <v/>
      </c>
      <c r="F1154" s="4">
        <f>IFERROR(INDEX('Base de sorteio'!$C$3:$C$1723,MATCH($B1154&amp;"|"&amp;$C1154,'Base de sorteio'!$I$3:$I$1723,0)),"")</f>
        <v/>
      </c>
      <c r="G1154" s="4">
        <f>IFERROR(INDEX('Base de sorteio'!$D$3:$D$1723,MATCH($B1154&amp;"|"&amp;$C1154,'Base de sorteio'!$I$3:$I$1723,0)),"")</f>
        <v/>
      </c>
      <c r="H1154" s="4">
        <f>IFERROR(INDEX('Base de sorteio'!$E$3:$E$1723,MATCH($B1154&amp;"|"&amp;$C1154,'Base de sorteio'!$I$3:$I$1723,0)),"")</f>
        <v/>
      </c>
      <c r="I1154" s="4">
        <f>IF(E1154="","",HYPERLINK(IFERROR(INDEX('Base de sorteio'!$J$3:$J$1723,MATCH($B1154&amp;"|"&amp;$C1154,'Base de sorteio'!$I$3:$I$1723,0)),""),"abrir"))</f>
        <v/>
      </c>
      <c r="J1154" s="4" t="n"/>
      <c r="K1154" s="4" t="n"/>
      <c r="L1154" s="4" t="n"/>
      <c r="M1154" s="4" t="n"/>
      <c r="N1154" s="4">
        <f>IF(AND(K1154="",M1154=""),"",IF(OR(K1154="sim",M1154="sim"),"sim",IF(OR(K1154="inconclusivo",M1154="inconclusivo"),"inconclusivo","não")))</f>
        <v/>
      </c>
      <c r="O1154" s="5">
        <f>IF(N1154="sim",COUNTIFS($B$3:$B1154,$B1154,$N$3:$N1154,"sim"),"")</f>
        <v/>
      </c>
      <c r="P1154" s="5" t="n"/>
      <c r="Q1154" s="4" t="n"/>
      <c r="R1154" s="5" t="n"/>
      <c r="S1154" s="9" t="n"/>
      <c r="T1154" s="4" t="n"/>
    </row>
    <row r="1155">
      <c r="A1155" s="5">
        <f>ROW()-2</f>
        <v/>
      </c>
      <c r="B1155" s="4" t="inlineStr">
        <is>
          <t>Capital regional</t>
        </is>
      </c>
      <c r="C1155" s="5" t="n">
        <v>211</v>
      </c>
      <c r="D1155" s="5">
        <f>IFERROR(INDEX('Base de sorteio'!$A$3:$A$1723,MATCH($B1155&amp;"|"&amp;$C1155,'Base de sorteio'!$I$3:$I$1723,0)),"")</f>
        <v/>
      </c>
      <c r="E1155" s="4">
        <f>IFERROR(INDEX('Base de sorteio'!$B$3:$B$1723,MATCH($B1155&amp;"|"&amp;$C1155,'Base de sorteio'!$I$3:$I$1723,0)),"")</f>
        <v/>
      </c>
      <c r="F1155" s="4">
        <f>IFERROR(INDEX('Base de sorteio'!$C$3:$C$1723,MATCH($B1155&amp;"|"&amp;$C1155,'Base de sorteio'!$I$3:$I$1723,0)),"")</f>
        <v/>
      </c>
      <c r="G1155" s="4">
        <f>IFERROR(INDEX('Base de sorteio'!$D$3:$D$1723,MATCH($B1155&amp;"|"&amp;$C1155,'Base de sorteio'!$I$3:$I$1723,0)),"")</f>
        <v/>
      </c>
      <c r="H1155" s="4">
        <f>IFERROR(INDEX('Base de sorteio'!$E$3:$E$1723,MATCH($B1155&amp;"|"&amp;$C1155,'Base de sorteio'!$I$3:$I$1723,0)),"")</f>
        <v/>
      </c>
      <c r="I1155" s="4">
        <f>IF(E1155="","",HYPERLINK(IFERROR(INDEX('Base de sorteio'!$J$3:$J$1723,MATCH($B1155&amp;"|"&amp;$C1155,'Base de sorteio'!$I$3:$I$1723,0)),""),"abrir"))</f>
        <v/>
      </c>
      <c r="J1155" s="4" t="n"/>
      <c r="K1155" s="4" t="n"/>
      <c r="L1155" s="4" t="n"/>
      <c r="M1155" s="4" t="n"/>
      <c r="N1155" s="4">
        <f>IF(AND(K1155="",M1155=""),"",IF(OR(K1155="sim",M1155="sim"),"sim",IF(OR(K1155="inconclusivo",M1155="inconclusivo"),"inconclusivo","não")))</f>
        <v/>
      </c>
      <c r="O1155" s="5">
        <f>IF(N1155="sim",COUNTIFS($B$3:$B1155,$B1155,$N$3:$N1155,"sim"),"")</f>
        <v/>
      </c>
      <c r="P1155" s="5" t="n"/>
      <c r="Q1155" s="4" t="n"/>
      <c r="R1155" s="5" t="n"/>
      <c r="S1155" s="9" t="n"/>
      <c r="T1155" s="4" t="n"/>
    </row>
    <row r="1156">
      <c r="A1156" s="5">
        <f>ROW()-2</f>
        <v/>
      </c>
      <c r="B1156" s="4" t="inlineStr">
        <is>
          <t>Capital regional</t>
        </is>
      </c>
      <c r="C1156" s="5" t="n">
        <v>212</v>
      </c>
      <c r="D1156" s="5">
        <f>IFERROR(INDEX('Base de sorteio'!$A$3:$A$1723,MATCH($B1156&amp;"|"&amp;$C1156,'Base de sorteio'!$I$3:$I$1723,0)),"")</f>
        <v/>
      </c>
      <c r="E1156" s="4">
        <f>IFERROR(INDEX('Base de sorteio'!$B$3:$B$1723,MATCH($B1156&amp;"|"&amp;$C1156,'Base de sorteio'!$I$3:$I$1723,0)),"")</f>
        <v/>
      </c>
      <c r="F1156" s="4">
        <f>IFERROR(INDEX('Base de sorteio'!$C$3:$C$1723,MATCH($B1156&amp;"|"&amp;$C1156,'Base de sorteio'!$I$3:$I$1723,0)),"")</f>
        <v/>
      </c>
      <c r="G1156" s="4">
        <f>IFERROR(INDEX('Base de sorteio'!$D$3:$D$1723,MATCH($B1156&amp;"|"&amp;$C1156,'Base de sorteio'!$I$3:$I$1723,0)),"")</f>
        <v/>
      </c>
      <c r="H1156" s="4">
        <f>IFERROR(INDEX('Base de sorteio'!$E$3:$E$1723,MATCH($B1156&amp;"|"&amp;$C1156,'Base de sorteio'!$I$3:$I$1723,0)),"")</f>
        <v/>
      </c>
      <c r="I1156" s="4">
        <f>IF(E1156="","",HYPERLINK(IFERROR(INDEX('Base de sorteio'!$J$3:$J$1723,MATCH($B1156&amp;"|"&amp;$C1156,'Base de sorteio'!$I$3:$I$1723,0)),""),"abrir"))</f>
        <v/>
      </c>
      <c r="J1156" s="4" t="n"/>
      <c r="K1156" s="4" t="n"/>
      <c r="L1156" s="4" t="n"/>
      <c r="M1156" s="4" t="n"/>
      <c r="N1156" s="4">
        <f>IF(AND(K1156="",M1156=""),"",IF(OR(K1156="sim",M1156="sim"),"sim",IF(OR(K1156="inconclusivo",M1156="inconclusivo"),"inconclusivo","não")))</f>
        <v/>
      </c>
      <c r="O1156" s="5">
        <f>IF(N1156="sim",COUNTIFS($B$3:$B1156,$B1156,$N$3:$N1156,"sim"),"")</f>
        <v/>
      </c>
      <c r="P1156" s="5" t="n"/>
      <c r="Q1156" s="4" t="n"/>
      <c r="R1156" s="5" t="n"/>
      <c r="S1156" s="9" t="n"/>
      <c r="T1156" s="4" t="n"/>
    </row>
    <row r="1157">
      <c r="A1157" s="5">
        <f>ROW()-2</f>
        <v/>
      </c>
      <c r="B1157" s="4" t="inlineStr">
        <is>
          <t>Capital regional</t>
        </is>
      </c>
      <c r="C1157" s="5" t="n">
        <v>213</v>
      </c>
      <c r="D1157" s="5">
        <f>IFERROR(INDEX('Base de sorteio'!$A$3:$A$1723,MATCH($B1157&amp;"|"&amp;$C1157,'Base de sorteio'!$I$3:$I$1723,0)),"")</f>
        <v/>
      </c>
      <c r="E1157" s="4">
        <f>IFERROR(INDEX('Base de sorteio'!$B$3:$B$1723,MATCH($B1157&amp;"|"&amp;$C1157,'Base de sorteio'!$I$3:$I$1723,0)),"")</f>
        <v/>
      </c>
      <c r="F1157" s="4">
        <f>IFERROR(INDEX('Base de sorteio'!$C$3:$C$1723,MATCH($B1157&amp;"|"&amp;$C1157,'Base de sorteio'!$I$3:$I$1723,0)),"")</f>
        <v/>
      </c>
      <c r="G1157" s="4">
        <f>IFERROR(INDEX('Base de sorteio'!$D$3:$D$1723,MATCH($B1157&amp;"|"&amp;$C1157,'Base de sorteio'!$I$3:$I$1723,0)),"")</f>
        <v/>
      </c>
      <c r="H1157" s="4">
        <f>IFERROR(INDEX('Base de sorteio'!$E$3:$E$1723,MATCH($B1157&amp;"|"&amp;$C1157,'Base de sorteio'!$I$3:$I$1723,0)),"")</f>
        <v/>
      </c>
      <c r="I1157" s="4">
        <f>IF(E1157="","",HYPERLINK(IFERROR(INDEX('Base de sorteio'!$J$3:$J$1723,MATCH($B1157&amp;"|"&amp;$C1157,'Base de sorteio'!$I$3:$I$1723,0)),""),"abrir"))</f>
        <v/>
      </c>
      <c r="J1157" s="4" t="n"/>
      <c r="K1157" s="4" t="n"/>
      <c r="L1157" s="4" t="n"/>
      <c r="M1157" s="4" t="n"/>
      <c r="N1157" s="4">
        <f>IF(AND(K1157="",M1157=""),"",IF(OR(K1157="sim",M1157="sim"),"sim",IF(OR(K1157="inconclusivo",M1157="inconclusivo"),"inconclusivo","não")))</f>
        <v/>
      </c>
      <c r="O1157" s="5">
        <f>IF(N1157="sim",COUNTIFS($B$3:$B1157,$B1157,$N$3:$N1157,"sim"),"")</f>
        <v/>
      </c>
      <c r="P1157" s="5" t="n"/>
      <c r="Q1157" s="4" t="n"/>
      <c r="R1157" s="5" t="n"/>
      <c r="S1157" s="9" t="n"/>
      <c r="T1157" s="4" t="n"/>
    </row>
    <row r="1158">
      <c r="A1158" s="5">
        <f>ROW()-2</f>
        <v/>
      </c>
      <c r="B1158" s="4" t="inlineStr">
        <is>
          <t>Capital regional</t>
        </is>
      </c>
      <c r="C1158" s="5" t="n">
        <v>214</v>
      </c>
      <c r="D1158" s="5">
        <f>IFERROR(INDEX('Base de sorteio'!$A$3:$A$1723,MATCH($B1158&amp;"|"&amp;$C1158,'Base de sorteio'!$I$3:$I$1723,0)),"")</f>
        <v/>
      </c>
      <c r="E1158" s="4">
        <f>IFERROR(INDEX('Base de sorteio'!$B$3:$B$1723,MATCH($B1158&amp;"|"&amp;$C1158,'Base de sorteio'!$I$3:$I$1723,0)),"")</f>
        <v/>
      </c>
      <c r="F1158" s="4">
        <f>IFERROR(INDEX('Base de sorteio'!$C$3:$C$1723,MATCH($B1158&amp;"|"&amp;$C1158,'Base de sorteio'!$I$3:$I$1723,0)),"")</f>
        <v/>
      </c>
      <c r="G1158" s="4">
        <f>IFERROR(INDEX('Base de sorteio'!$D$3:$D$1723,MATCH($B1158&amp;"|"&amp;$C1158,'Base de sorteio'!$I$3:$I$1723,0)),"")</f>
        <v/>
      </c>
      <c r="H1158" s="4">
        <f>IFERROR(INDEX('Base de sorteio'!$E$3:$E$1723,MATCH($B1158&amp;"|"&amp;$C1158,'Base de sorteio'!$I$3:$I$1723,0)),"")</f>
        <v/>
      </c>
      <c r="I1158" s="4">
        <f>IF(E1158="","",HYPERLINK(IFERROR(INDEX('Base de sorteio'!$J$3:$J$1723,MATCH($B1158&amp;"|"&amp;$C1158,'Base de sorteio'!$I$3:$I$1723,0)),""),"abrir"))</f>
        <v/>
      </c>
      <c r="J1158" s="4" t="n"/>
      <c r="K1158" s="4" t="n"/>
      <c r="L1158" s="4" t="n"/>
      <c r="M1158" s="4" t="n"/>
      <c r="N1158" s="4">
        <f>IF(AND(K1158="",M1158=""),"",IF(OR(K1158="sim",M1158="sim"),"sim",IF(OR(K1158="inconclusivo",M1158="inconclusivo"),"inconclusivo","não")))</f>
        <v/>
      </c>
      <c r="O1158" s="5">
        <f>IF(N1158="sim",COUNTIFS($B$3:$B1158,$B1158,$N$3:$N1158,"sim"),"")</f>
        <v/>
      </c>
      <c r="P1158" s="5" t="n"/>
      <c r="Q1158" s="4" t="n"/>
      <c r="R1158" s="5" t="n"/>
      <c r="S1158" s="9" t="n"/>
      <c r="T1158" s="4" t="n"/>
    </row>
    <row r="1159">
      <c r="A1159" s="5">
        <f>ROW()-2</f>
        <v/>
      </c>
      <c r="B1159" s="4" t="inlineStr">
        <is>
          <t>Capital regional</t>
        </is>
      </c>
      <c r="C1159" s="5" t="n">
        <v>215</v>
      </c>
      <c r="D1159" s="5">
        <f>IFERROR(INDEX('Base de sorteio'!$A$3:$A$1723,MATCH($B1159&amp;"|"&amp;$C1159,'Base de sorteio'!$I$3:$I$1723,0)),"")</f>
        <v/>
      </c>
      <c r="E1159" s="4">
        <f>IFERROR(INDEX('Base de sorteio'!$B$3:$B$1723,MATCH($B1159&amp;"|"&amp;$C1159,'Base de sorteio'!$I$3:$I$1723,0)),"")</f>
        <v/>
      </c>
      <c r="F1159" s="4">
        <f>IFERROR(INDEX('Base de sorteio'!$C$3:$C$1723,MATCH($B1159&amp;"|"&amp;$C1159,'Base de sorteio'!$I$3:$I$1723,0)),"")</f>
        <v/>
      </c>
      <c r="G1159" s="4">
        <f>IFERROR(INDEX('Base de sorteio'!$D$3:$D$1723,MATCH($B1159&amp;"|"&amp;$C1159,'Base de sorteio'!$I$3:$I$1723,0)),"")</f>
        <v/>
      </c>
      <c r="H1159" s="4">
        <f>IFERROR(INDEX('Base de sorteio'!$E$3:$E$1723,MATCH($B1159&amp;"|"&amp;$C1159,'Base de sorteio'!$I$3:$I$1723,0)),"")</f>
        <v/>
      </c>
      <c r="I1159" s="4">
        <f>IF(E1159="","",HYPERLINK(IFERROR(INDEX('Base de sorteio'!$J$3:$J$1723,MATCH($B1159&amp;"|"&amp;$C1159,'Base de sorteio'!$I$3:$I$1723,0)),""),"abrir"))</f>
        <v/>
      </c>
      <c r="J1159" s="4" t="n"/>
      <c r="K1159" s="4" t="n"/>
      <c r="L1159" s="4" t="n"/>
      <c r="M1159" s="4" t="n"/>
      <c r="N1159" s="4">
        <f>IF(AND(K1159="",M1159=""),"",IF(OR(K1159="sim",M1159="sim"),"sim",IF(OR(K1159="inconclusivo",M1159="inconclusivo"),"inconclusivo","não")))</f>
        <v/>
      </c>
      <c r="O1159" s="5">
        <f>IF(N1159="sim",COUNTIFS($B$3:$B1159,$B1159,$N$3:$N1159,"sim"),"")</f>
        <v/>
      </c>
      <c r="P1159" s="5" t="n"/>
      <c r="Q1159" s="4" t="n"/>
      <c r="R1159" s="5" t="n"/>
      <c r="S1159" s="9" t="n"/>
      <c r="T1159" s="4" t="n"/>
    </row>
    <row r="1160">
      <c r="A1160" s="5">
        <f>ROW()-2</f>
        <v/>
      </c>
      <c r="B1160" s="4" t="inlineStr">
        <is>
          <t>Capital regional</t>
        </is>
      </c>
      <c r="C1160" s="5" t="n">
        <v>216</v>
      </c>
      <c r="D1160" s="5">
        <f>IFERROR(INDEX('Base de sorteio'!$A$3:$A$1723,MATCH($B1160&amp;"|"&amp;$C1160,'Base de sorteio'!$I$3:$I$1723,0)),"")</f>
        <v/>
      </c>
      <c r="E1160" s="4">
        <f>IFERROR(INDEX('Base de sorteio'!$B$3:$B$1723,MATCH($B1160&amp;"|"&amp;$C1160,'Base de sorteio'!$I$3:$I$1723,0)),"")</f>
        <v/>
      </c>
      <c r="F1160" s="4">
        <f>IFERROR(INDEX('Base de sorteio'!$C$3:$C$1723,MATCH($B1160&amp;"|"&amp;$C1160,'Base de sorteio'!$I$3:$I$1723,0)),"")</f>
        <v/>
      </c>
      <c r="G1160" s="4">
        <f>IFERROR(INDEX('Base de sorteio'!$D$3:$D$1723,MATCH($B1160&amp;"|"&amp;$C1160,'Base de sorteio'!$I$3:$I$1723,0)),"")</f>
        <v/>
      </c>
      <c r="H1160" s="4">
        <f>IFERROR(INDEX('Base de sorteio'!$E$3:$E$1723,MATCH($B1160&amp;"|"&amp;$C1160,'Base de sorteio'!$I$3:$I$1723,0)),"")</f>
        <v/>
      </c>
      <c r="I1160" s="4">
        <f>IF(E1160="","",HYPERLINK(IFERROR(INDEX('Base de sorteio'!$J$3:$J$1723,MATCH($B1160&amp;"|"&amp;$C1160,'Base de sorteio'!$I$3:$I$1723,0)),""),"abrir"))</f>
        <v/>
      </c>
      <c r="J1160" s="4" t="n"/>
      <c r="K1160" s="4" t="n"/>
      <c r="L1160" s="4" t="n"/>
      <c r="M1160" s="4" t="n"/>
      <c r="N1160" s="4">
        <f>IF(AND(K1160="",M1160=""),"",IF(OR(K1160="sim",M1160="sim"),"sim",IF(OR(K1160="inconclusivo",M1160="inconclusivo"),"inconclusivo","não")))</f>
        <v/>
      </c>
      <c r="O1160" s="5">
        <f>IF(N1160="sim",COUNTIFS($B$3:$B1160,$B1160,$N$3:$N1160,"sim"),"")</f>
        <v/>
      </c>
      <c r="P1160" s="5" t="n"/>
      <c r="Q1160" s="4" t="n"/>
      <c r="R1160" s="5" t="n"/>
      <c r="S1160" s="9" t="n"/>
      <c r="T1160" s="4" t="n"/>
    </row>
    <row r="1161">
      <c r="A1161" s="5">
        <f>ROW()-2</f>
        <v/>
      </c>
      <c r="B1161" s="4" t="inlineStr">
        <is>
          <t>Capital regional</t>
        </is>
      </c>
      <c r="C1161" s="5" t="n">
        <v>217</v>
      </c>
      <c r="D1161" s="5">
        <f>IFERROR(INDEX('Base de sorteio'!$A$3:$A$1723,MATCH($B1161&amp;"|"&amp;$C1161,'Base de sorteio'!$I$3:$I$1723,0)),"")</f>
        <v/>
      </c>
      <c r="E1161" s="4">
        <f>IFERROR(INDEX('Base de sorteio'!$B$3:$B$1723,MATCH($B1161&amp;"|"&amp;$C1161,'Base de sorteio'!$I$3:$I$1723,0)),"")</f>
        <v/>
      </c>
      <c r="F1161" s="4">
        <f>IFERROR(INDEX('Base de sorteio'!$C$3:$C$1723,MATCH($B1161&amp;"|"&amp;$C1161,'Base de sorteio'!$I$3:$I$1723,0)),"")</f>
        <v/>
      </c>
      <c r="G1161" s="4">
        <f>IFERROR(INDEX('Base de sorteio'!$D$3:$D$1723,MATCH($B1161&amp;"|"&amp;$C1161,'Base de sorteio'!$I$3:$I$1723,0)),"")</f>
        <v/>
      </c>
      <c r="H1161" s="4">
        <f>IFERROR(INDEX('Base de sorteio'!$E$3:$E$1723,MATCH($B1161&amp;"|"&amp;$C1161,'Base de sorteio'!$I$3:$I$1723,0)),"")</f>
        <v/>
      </c>
      <c r="I1161" s="4">
        <f>IF(E1161="","",HYPERLINK(IFERROR(INDEX('Base de sorteio'!$J$3:$J$1723,MATCH($B1161&amp;"|"&amp;$C1161,'Base de sorteio'!$I$3:$I$1723,0)),""),"abrir"))</f>
        <v/>
      </c>
      <c r="J1161" s="4" t="n"/>
      <c r="K1161" s="4" t="n"/>
      <c r="L1161" s="4" t="n"/>
      <c r="M1161" s="4" t="n"/>
      <c r="N1161" s="4">
        <f>IF(AND(K1161="",M1161=""),"",IF(OR(K1161="sim",M1161="sim"),"sim",IF(OR(K1161="inconclusivo",M1161="inconclusivo"),"inconclusivo","não")))</f>
        <v/>
      </c>
      <c r="O1161" s="5">
        <f>IF(N1161="sim",COUNTIFS($B$3:$B1161,$B1161,$N$3:$N1161,"sim"),"")</f>
        <v/>
      </c>
      <c r="P1161" s="5" t="n"/>
      <c r="Q1161" s="4" t="n"/>
      <c r="R1161" s="5" t="n"/>
      <c r="S1161" s="9" t="n"/>
      <c r="T1161" s="4" t="n"/>
    </row>
    <row r="1162">
      <c r="A1162" s="5">
        <f>ROW()-2</f>
        <v/>
      </c>
      <c r="B1162" s="4" t="inlineStr">
        <is>
          <t>Capital regional</t>
        </is>
      </c>
      <c r="C1162" s="5" t="n">
        <v>218</v>
      </c>
      <c r="D1162" s="5">
        <f>IFERROR(INDEX('Base de sorteio'!$A$3:$A$1723,MATCH($B1162&amp;"|"&amp;$C1162,'Base de sorteio'!$I$3:$I$1723,0)),"")</f>
        <v/>
      </c>
      <c r="E1162" s="4">
        <f>IFERROR(INDEX('Base de sorteio'!$B$3:$B$1723,MATCH($B1162&amp;"|"&amp;$C1162,'Base de sorteio'!$I$3:$I$1723,0)),"")</f>
        <v/>
      </c>
      <c r="F1162" s="4">
        <f>IFERROR(INDEX('Base de sorteio'!$C$3:$C$1723,MATCH($B1162&amp;"|"&amp;$C1162,'Base de sorteio'!$I$3:$I$1723,0)),"")</f>
        <v/>
      </c>
      <c r="G1162" s="4">
        <f>IFERROR(INDEX('Base de sorteio'!$D$3:$D$1723,MATCH($B1162&amp;"|"&amp;$C1162,'Base de sorteio'!$I$3:$I$1723,0)),"")</f>
        <v/>
      </c>
      <c r="H1162" s="4">
        <f>IFERROR(INDEX('Base de sorteio'!$E$3:$E$1723,MATCH($B1162&amp;"|"&amp;$C1162,'Base de sorteio'!$I$3:$I$1723,0)),"")</f>
        <v/>
      </c>
      <c r="I1162" s="4">
        <f>IF(E1162="","",HYPERLINK(IFERROR(INDEX('Base de sorteio'!$J$3:$J$1723,MATCH($B1162&amp;"|"&amp;$C1162,'Base de sorteio'!$I$3:$I$1723,0)),""),"abrir"))</f>
        <v/>
      </c>
      <c r="J1162" s="4" t="n"/>
      <c r="K1162" s="4" t="n"/>
      <c r="L1162" s="4" t="n"/>
      <c r="M1162" s="4" t="n"/>
      <c r="N1162" s="4">
        <f>IF(AND(K1162="",M1162=""),"",IF(OR(K1162="sim",M1162="sim"),"sim",IF(OR(K1162="inconclusivo",M1162="inconclusivo"),"inconclusivo","não")))</f>
        <v/>
      </c>
      <c r="O1162" s="5">
        <f>IF(N1162="sim",COUNTIFS($B$3:$B1162,$B1162,$N$3:$N1162,"sim"),"")</f>
        <v/>
      </c>
      <c r="P1162" s="5" t="n"/>
      <c r="Q1162" s="4" t="n"/>
      <c r="R1162" s="5" t="n"/>
      <c r="S1162" s="9" t="n"/>
      <c r="T1162" s="4" t="n"/>
    </row>
    <row r="1163">
      <c r="A1163" s="5">
        <f>ROW()-2</f>
        <v/>
      </c>
      <c r="B1163" s="4" t="inlineStr">
        <is>
          <t>Capital regional</t>
        </is>
      </c>
      <c r="C1163" s="5" t="n">
        <v>219</v>
      </c>
      <c r="D1163" s="5">
        <f>IFERROR(INDEX('Base de sorteio'!$A$3:$A$1723,MATCH($B1163&amp;"|"&amp;$C1163,'Base de sorteio'!$I$3:$I$1723,0)),"")</f>
        <v/>
      </c>
      <c r="E1163" s="4">
        <f>IFERROR(INDEX('Base de sorteio'!$B$3:$B$1723,MATCH($B1163&amp;"|"&amp;$C1163,'Base de sorteio'!$I$3:$I$1723,0)),"")</f>
        <v/>
      </c>
      <c r="F1163" s="4">
        <f>IFERROR(INDEX('Base de sorteio'!$C$3:$C$1723,MATCH($B1163&amp;"|"&amp;$C1163,'Base de sorteio'!$I$3:$I$1723,0)),"")</f>
        <v/>
      </c>
      <c r="G1163" s="4">
        <f>IFERROR(INDEX('Base de sorteio'!$D$3:$D$1723,MATCH($B1163&amp;"|"&amp;$C1163,'Base de sorteio'!$I$3:$I$1723,0)),"")</f>
        <v/>
      </c>
      <c r="H1163" s="4">
        <f>IFERROR(INDEX('Base de sorteio'!$E$3:$E$1723,MATCH($B1163&amp;"|"&amp;$C1163,'Base de sorteio'!$I$3:$I$1723,0)),"")</f>
        <v/>
      </c>
      <c r="I1163" s="4">
        <f>IF(E1163="","",HYPERLINK(IFERROR(INDEX('Base de sorteio'!$J$3:$J$1723,MATCH($B1163&amp;"|"&amp;$C1163,'Base de sorteio'!$I$3:$I$1723,0)),""),"abrir"))</f>
        <v/>
      </c>
      <c r="J1163" s="4" t="n"/>
      <c r="K1163" s="4" t="n"/>
      <c r="L1163" s="4" t="n"/>
      <c r="M1163" s="4" t="n"/>
      <c r="N1163" s="4">
        <f>IF(AND(K1163="",M1163=""),"",IF(OR(K1163="sim",M1163="sim"),"sim",IF(OR(K1163="inconclusivo",M1163="inconclusivo"),"inconclusivo","não")))</f>
        <v/>
      </c>
      <c r="O1163" s="5">
        <f>IF(N1163="sim",COUNTIFS($B$3:$B1163,$B1163,$N$3:$N1163,"sim"),"")</f>
        <v/>
      </c>
      <c r="P1163" s="5" t="n"/>
      <c r="Q1163" s="4" t="n"/>
      <c r="R1163" s="5" t="n"/>
      <c r="S1163" s="9" t="n"/>
      <c r="T1163" s="4" t="n"/>
    </row>
    <row r="1164">
      <c r="A1164" s="5">
        <f>ROW()-2</f>
        <v/>
      </c>
      <c r="B1164" s="4" t="inlineStr">
        <is>
          <t>Capital regional</t>
        </is>
      </c>
      <c r="C1164" s="5" t="n">
        <v>220</v>
      </c>
      <c r="D1164" s="5">
        <f>IFERROR(INDEX('Base de sorteio'!$A$3:$A$1723,MATCH($B1164&amp;"|"&amp;$C1164,'Base de sorteio'!$I$3:$I$1723,0)),"")</f>
        <v/>
      </c>
      <c r="E1164" s="4">
        <f>IFERROR(INDEX('Base de sorteio'!$B$3:$B$1723,MATCH($B1164&amp;"|"&amp;$C1164,'Base de sorteio'!$I$3:$I$1723,0)),"")</f>
        <v/>
      </c>
      <c r="F1164" s="4">
        <f>IFERROR(INDEX('Base de sorteio'!$C$3:$C$1723,MATCH($B1164&amp;"|"&amp;$C1164,'Base de sorteio'!$I$3:$I$1723,0)),"")</f>
        <v/>
      </c>
      <c r="G1164" s="4">
        <f>IFERROR(INDEX('Base de sorteio'!$D$3:$D$1723,MATCH($B1164&amp;"|"&amp;$C1164,'Base de sorteio'!$I$3:$I$1723,0)),"")</f>
        <v/>
      </c>
      <c r="H1164" s="4">
        <f>IFERROR(INDEX('Base de sorteio'!$E$3:$E$1723,MATCH($B1164&amp;"|"&amp;$C1164,'Base de sorteio'!$I$3:$I$1723,0)),"")</f>
        <v/>
      </c>
      <c r="I1164" s="4">
        <f>IF(E1164="","",HYPERLINK(IFERROR(INDEX('Base de sorteio'!$J$3:$J$1723,MATCH($B1164&amp;"|"&amp;$C1164,'Base de sorteio'!$I$3:$I$1723,0)),""),"abrir"))</f>
        <v/>
      </c>
      <c r="J1164" s="4" t="n"/>
      <c r="K1164" s="4" t="n"/>
      <c r="L1164" s="4" t="n"/>
      <c r="M1164" s="4" t="n"/>
      <c r="N1164" s="4">
        <f>IF(AND(K1164="",M1164=""),"",IF(OR(K1164="sim",M1164="sim"),"sim",IF(OR(K1164="inconclusivo",M1164="inconclusivo"),"inconclusivo","não")))</f>
        <v/>
      </c>
      <c r="O1164" s="5">
        <f>IF(N1164="sim",COUNTIFS($B$3:$B1164,$B1164,$N$3:$N1164,"sim"),"")</f>
        <v/>
      </c>
      <c r="P1164" s="5" t="n"/>
      <c r="Q1164" s="4" t="n"/>
      <c r="R1164" s="5" t="n"/>
      <c r="S1164" s="9" t="n"/>
      <c r="T1164" s="4" t="n"/>
    </row>
    <row r="1165">
      <c r="A1165" s="5">
        <f>ROW()-2</f>
        <v/>
      </c>
      <c r="B1165" s="4" t="inlineStr">
        <is>
          <t>Capital regional</t>
        </is>
      </c>
      <c r="C1165" s="5" t="n">
        <v>221</v>
      </c>
      <c r="D1165" s="5">
        <f>IFERROR(INDEX('Base de sorteio'!$A$3:$A$1723,MATCH($B1165&amp;"|"&amp;$C1165,'Base de sorteio'!$I$3:$I$1723,0)),"")</f>
        <v/>
      </c>
      <c r="E1165" s="4">
        <f>IFERROR(INDEX('Base de sorteio'!$B$3:$B$1723,MATCH($B1165&amp;"|"&amp;$C1165,'Base de sorteio'!$I$3:$I$1723,0)),"")</f>
        <v/>
      </c>
      <c r="F1165" s="4">
        <f>IFERROR(INDEX('Base de sorteio'!$C$3:$C$1723,MATCH($B1165&amp;"|"&amp;$C1165,'Base de sorteio'!$I$3:$I$1723,0)),"")</f>
        <v/>
      </c>
      <c r="G1165" s="4">
        <f>IFERROR(INDEX('Base de sorteio'!$D$3:$D$1723,MATCH($B1165&amp;"|"&amp;$C1165,'Base de sorteio'!$I$3:$I$1723,0)),"")</f>
        <v/>
      </c>
      <c r="H1165" s="4">
        <f>IFERROR(INDEX('Base de sorteio'!$E$3:$E$1723,MATCH($B1165&amp;"|"&amp;$C1165,'Base de sorteio'!$I$3:$I$1723,0)),"")</f>
        <v/>
      </c>
      <c r="I1165" s="4">
        <f>IF(E1165="","",HYPERLINK(IFERROR(INDEX('Base de sorteio'!$J$3:$J$1723,MATCH($B1165&amp;"|"&amp;$C1165,'Base de sorteio'!$I$3:$I$1723,0)),""),"abrir"))</f>
        <v/>
      </c>
      <c r="J1165" s="4" t="n"/>
      <c r="K1165" s="4" t="n"/>
      <c r="L1165" s="4" t="n"/>
      <c r="M1165" s="4" t="n"/>
      <c r="N1165" s="4">
        <f>IF(AND(K1165="",M1165=""),"",IF(OR(K1165="sim",M1165="sim"),"sim",IF(OR(K1165="inconclusivo",M1165="inconclusivo"),"inconclusivo","não")))</f>
        <v/>
      </c>
      <c r="O1165" s="5">
        <f>IF(N1165="sim",COUNTIFS($B$3:$B1165,$B1165,$N$3:$N1165,"sim"),"")</f>
        <v/>
      </c>
      <c r="P1165" s="5" t="n"/>
      <c r="Q1165" s="4" t="n"/>
      <c r="R1165" s="5" t="n"/>
      <c r="S1165" s="9" t="n"/>
      <c r="T1165" s="4" t="n"/>
    </row>
    <row r="1166">
      <c r="A1166" s="5">
        <f>ROW()-2</f>
        <v/>
      </c>
      <c r="B1166" s="4" t="inlineStr">
        <is>
          <t>Capital regional</t>
        </is>
      </c>
      <c r="C1166" s="5" t="n">
        <v>222</v>
      </c>
      <c r="D1166" s="5">
        <f>IFERROR(INDEX('Base de sorteio'!$A$3:$A$1723,MATCH($B1166&amp;"|"&amp;$C1166,'Base de sorteio'!$I$3:$I$1723,0)),"")</f>
        <v/>
      </c>
      <c r="E1166" s="4">
        <f>IFERROR(INDEX('Base de sorteio'!$B$3:$B$1723,MATCH($B1166&amp;"|"&amp;$C1166,'Base de sorteio'!$I$3:$I$1723,0)),"")</f>
        <v/>
      </c>
      <c r="F1166" s="4">
        <f>IFERROR(INDEX('Base de sorteio'!$C$3:$C$1723,MATCH($B1166&amp;"|"&amp;$C1166,'Base de sorteio'!$I$3:$I$1723,0)),"")</f>
        <v/>
      </c>
      <c r="G1166" s="4">
        <f>IFERROR(INDEX('Base de sorteio'!$D$3:$D$1723,MATCH($B1166&amp;"|"&amp;$C1166,'Base de sorteio'!$I$3:$I$1723,0)),"")</f>
        <v/>
      </c>
      <c r="H1166" s="4">
        <f>IFERROR(INDEX('Base de sorteio'!$E$3:$E$1723,MATCH($B1166&amp;"|"&amp;$C1166,'Base de sorteio'!$I$3:$I$1723,0)),"")</f>
        <v/>
      </c>
      <c r="I1166" s="4">
        <f>IF(E1166="","",HYPERLINK(IFERROR(INDEX('Base de sorteio'!$J$3:$J$1723,MATCH($B1166&amp;"|"&amp;$C1166,'Base de sorteio'!$I$3:$I$1723,0)),""),"abrir"))</f>
        <v/>
      </c>
      <c r="J1166" s="4" t="n"/>
      <c r="K1166" s="4" t="n"/>
      <c r="L1166" s="4" t="n"/>
      <c r="M1166" s="4" t="n"/>
      <c r="N1166" s="4">
        <f>IF(AND(K1166="",M1166=""),"",IF(OR(K1166="sim",M1166="sim"),"sim",IF(OR(K1166="inconclusivo",M1166="inconclusivo"),"inconclusivo","não")))</f>
        <v/>
      </c>
      <c r="O1166" s="5">
        <f>IF(N1166="sim",COUNTIFS($B$3:$B1166,$B1166,$N$3:$N1166,"sim"),"")</f>
        <v/>
      </c>
      <c r="P1166" s="5" t="n"/>
      <c r="Q1166" s="4" t="n"/>
      <c r="R1166" s="5" t="n"/>
      <c r="S1166" s="9" t="n"/>
      <c r="T1166" s="4" t="n"/>
    </row>
    <row r="1167">
      <c r="A1167" s="5">
        <f>ROW()-2</f>
        <v/>
      </c>
      <c r="B1167" s="4" t="inlineStr">
        <is>
          <t>Capital regional</t>
        </is>
      </c>
      <c r="C1167" s="5" t="n">
        <v>223</v>
      </c>
      <c r="D1167" s="5">
        <f>IFERROR(INDEX('Base de sorteio'!$A$3:$A$1723,MATCH($B1167&amp;"|"&amp;$C1167,'Base de sorteio'!$I$3:$I$1723,0)),"")</f>
        <v/>
      </c>
      <c r="E1167" s="4">
        <f>IFERROR(INDEX('Base de sorteio'!$B$3:$B$1723,MATCH($B1167&amp;"|"&amp;$C1167,'Base de sorteio'!$I$3:$I$1723,0)),"")</f>
        <v/>
      </c>
      <c r="F1167" s="4">
        <f>IFERROR(INDEX('Base de sorteio'!$C$3:$C$1723,MATCH($B1167&amp;"|"&amp;$C1167,'Base de sorteio'!$I$3:$I$1723,0)),"")</f>
        <v/>
      </c>
      <c r="G1167" s="4">
        <f>IFERROR(INDEX('Base de sorteio'!$D$3:$D$1723,MATCH($B1167&amp;"|"&amp;$C1167,'Base de sorteio'!$I$3:$I$1723,0)),"")</f>
        <v/>
      </c>
      <c r="H1167" s="4">
        <f>IFERROR(INDEX('Base de sorteio'!$E$3:$E$1723,MATCH($B1167&amp;"|"&amp;$C1167,'Base de sorteio'!$I$3:$I$1723,0)),"")</f>
        <v/>
      </c>
      <c r="I1167" s="4">
        <f>IF(E1167="","",HYPERLINK(IFERROR(INDEX('Base de sorteio'!$J$3:$J$1723,MATCH($B1167&amp;"|"&amp;$C1167,'Base de sorteio'!$I$3:$I$1723,0)),""),"abrir"))</f>
        <v/>
      </c>
      <c r="J1167" s="4" t="n"/>
      <c r="K1167" s="4" t="n"/>
      <c r="L1167" s="4" t="n"/>
      <c r="M1167" s="4" t="n"/>
      <c r="N1167" s="4">
        <f>IF(AND(K1167="",M1167=""),"",IF(OR(K1167="sim",M1167="sim"),"sim",IF(OR(K1167="inconclusivo",M1167="inconclusivo"),"inconclusivo","não")))</f>
        <v/>
      </c>
      <c r="O1167" s="5">
        <f>IF(N1167="sim",COUNTIFS($B$3:$B1167,$B1167,$N$3:$N1167,"sim"),"")</f>
        <v/>
      </c>
      <c r="P1167" s="5" t="n"/>
      <c r="Q1167" s="4" t="n"/>
      <c r="R1167" s="5" t="n"/>
      <c r="S1167" s="9" t="n"/>
      <c r="T1167" s="4" t="n"/>
    </row>
    <row r="1168">
      <c r="A1168" s="5">
        <f>ROW()-2</f>
        <v/>
      </c>
      <c r="B1168" s="4" t="inlineStr">
        <is>
          <t>Capital regional</t>
        </is>
      </c>
      <c r="C1168" s="5" t="n">
        <v>224</v>
      </c>
      <c r="D1168" s="5">
        <f>IFERROR(INDEX('Base de sorteio'!$A$3:$A$1723,MATCH($B1168&amp;"|"&amp;$C1168,'Base de sorteio'!$I$3:$I$1723,0)),"")</f>
        <v/>
      </c>
      <c r="E1168" s="4">
        <f>IFERROR(INDEX('Base de sorteio'!$B$3:$B$1723,MATCH($B1168&amp;"|"&amp;$C1168,'Base de sorteio'!$I$3:$I$1723,0)),"")</f>
        <v/>
      </c>
      <c r="F1168" s="4">
        <f>IFERROR(INDEX('Base de sorteio'!$C$3:$C$1723,MATCH($B1168&amp;"|"&amp;$C1168,'Base de sorteio'!$I$3:$I$1723,0)),"")</f>
        <v/>
      </c>
      <c r="G1168" s="4">
        <f>IFERROR(INDEX('Base de sorteio'!$D$3:$D$1723,MATCH($B1168&amp;"|"&amp;$C1168,'Base de sorteio'!$I$3:$I$1723,0)),"")</f>
        <v/>
      </c>
      <c r="H1168" s="4">
        <f>IFERROR(INDEX('Base de sorteio'!$E$3:$E$1723,MATCH($B1168&amp;"|"&amp;$C1168,'Base de sorteio'!$I$3:$I$1723,0)),"")</f>
        <v/>
      </c>
      <c r="I1168" s="4">
        <f>IF(E1168="","",HYPERLINK(IFERROR(INDEX('Base de sorteio'!$J$3:$J$1723,MATCH($B1168&amp;"|"&amp;$C1168,'Base de sorteio'!$I$3:$I$1723,0)),""),"abrir"))</f>
        <v/>
      </c>
      <c r="J1168" s="4" t="n"/>
      <c r="K1168" s="4" t="n"/>
      <c r="L1168" s="4" t="n"/>
      <c r="M1168" s="4" t="n"/>
      <c r="N1168" s="4">
        <f>IF(AND(K1168="",M1168=""),"",IF(OR(K1168="sim",M1168="sim"),"sim",IF(OR(K1168="inconclusivo",M1168="inconclusivo"),"inconclusivo","não")))</f>
        <v/>
      </c>
      <c r="O1168" s="5">
        <f>IF(N1168="sim",COUNTIFS($B$3:$B1168,$B1168,$N$3:$N1168,"sim"),"")</f>
        <v/>
      </c>
      <c r="P1168" s="5" t="n"/>
      <c r="Q1168" s="4" t="n"/>
      <c r="R1168" s="5" t="n"/>
      <c r="S1168" s="9" t="n"/>
      <c r="T1168" s="4" t="n"/>
    </row>
    <row r="1169">
      <c r="A1169" s="5">
        <f>ROW()-2</f>
        <v/>
      </c>
      <c r="B1169" s="4" t="inlineStr">
        <is>
          <t>Capital regional</t>
        </is>
      </c>
      <c r="C1169" s="5" t="n">
        <v>225</v>
      </c>
      <c r="D1169" s="5">
        <f>IFERROR(INDEX('Base de sorteio'!$A$3:$A$1723,MATCH($B1169&amp;"|"&amp;$C1169,'Base de sorteio'!$I$3:$I$1723,0)),"")</f>
        <v/>
      </c>
      <c r="E1169" s="4">
        <f>IFERROR(INDEX('Base de sorteio'!$B$3:$B$1723,MATCH($B1169&amp;"|"&amp;$C1169,'Base de sorteio'!$I$3:$I$1723,0)),"")</f>
        <v/>
      </c>
      <c r="F1169" s="4">
        <f>IFERROR(INDEX('Base de sorteio'!$C$3:$C$1723,MATCH($B1169&amp;"|"&amp;$C1169,'Base de sorteio'!$I$3:$I$1723,0)),"")</f>
        <v/>
      </c>
      <c r="G1169" s="4">
        <f>IFERROR(INDEX('Base de sorteio'!$D$3:$D$1723,MATCH($B1169&amp;"|"&amp;$C1169,'Base de sorteio'!$I$3:$I$1723,0)),"")</f>
        <v/>
      </c>
      <c r="H1169" s="4">
        <f>IFERROR(INDEX('Base de sorteio'!$E$3:$E$1723,MATCH($B1169&amp;"|"&amp;$C1169,'Base de sorteio'!$I$3:$I$1723,0)),"")</f>
        <v/>
      </c>
      <c r="I1169" s="4">
        <f>IF(E1169="","",HYPERLINK(IFERROR(INDEX('Base de sorteio'!$J$3:$J$1723,MATCH($B1169&amp;"|"&amp;$C1169,'Base de sorteio'!$I$3:$I$1723,0)),""),"abrir"))</f>
        <v/>
      </c>
      <c r="J1169" s="4" t="n"/>
      <c r="K1169" s="4" t="n"/>
      <c r="L1169" s="4" t="n"/>
      <c r="M1169" s="4" t="n"/>
      <c r="N1169" s="4">
        <f>IF(AND(K1169="",M1169=""),"",IF(OR(K1169="sim",M1169="sim"),"sim",IF(OR(K1169="inconclusivo",M1169="inconclusivo"),"inconclusivo","não")))</f>
        <v/>
      </c>
      <c r="O1169" s="5">
        <f>IF(N1169="sim",COUNTIFS($B$3:$B1169,$B1169,$N$3:$N1169,"sim"),"")</f>
        <v/>
      </c>
      <c r="P1169" s="5" t="n"/>
      <c r="Q1169" s="4" t="n"/>
      <c r="R1169" s="5" t="n"/>
      <c r="S1169" s="9" t="n"/>
      <c r="T1169" s="4" t="n"/>
    </row>
    <row r="1170">
      <c r="A1170" s="5">
        <f>ROW()-2</f>
        <v/>
      </c>
      <c r="B1170" s="4" t="inlineStr">
        <is>
          <t>Capital regional</t>
        </is>
      </c>
      <c r="C1170" s="5" t="n">
        <v>226</v>
      </c>
      <c r="D1170" s="5">
        <f>IFERROR(INDEX('Base de sorteio'!$A$3:$A$1723,MATCH($B1170&amp;"|"&amp;$C1170,'Base de sorteio'!$I$3:$I$1723,0)),"")</f>
        <v/>
      </c>
      <c r="E1170" s="4">
        <f>IFERROR(INDEX('Base de sorteio'!$B$3:$B$1723,MATCH($B1170&amp;"|"&amp;$C1170,'Base de sorteio'!$I$3:$I$1723,0)),"")</f>
        <v/>
      </c>
      <c r="F1170" s="4">
        <f>IFERROR(INDEX('Base de sorteio'!$C$3:$C$1723,MATCH($B1170&amp;"|"&amp;$C1170,'Base de sorteio'!$I$3:$I$1723,0)),"")</f>
        <v/>
      </c>
      <c r="G1170" s="4">
        <f>IFERROR(INDEX('Base de sorteio'!$D$3:$D$1723,MATCH($B1170&amp;"|"&amp;$C1170,'Base de sorteio'!$I$3:$I$1723,0)),"")</f>
        <v/>
      </c>
      <c r="H1170" s="4">
        <f>IFERROR(INDEX('Base de sorteio'!$E$3:$E$1723,MATCH($B1170&amp;"|"&amp;$C1170,'Base de sorteio'!$I$3:$I$1723,0)),"")</f>
        <v/>
      </c>
      <c r="I1170" s="4">
        <f>IF(E1170="","",HYPERLINK(IFERROR(INDEX('Base de sorteio'!$J$3:$J$1723,MATCH($B1170&amp;"|"&amp;$C1170,'Base de sorteio'!$I$3:$I$1723,0)),""),"abrir"))</f>
        <v/>
      </c>
      <c r="J1170" s="4" t="n"/>
      <c r="K1170" s="4" t="n"/>
      <c r="L1170" s="4" t="n"/>
      <c r="M1170" s="4" t="n"/>
      <c r="N1170" s="4">
        <f>IF(AND(K1170="",M1170=""),"",IF(OR(K1170="sim",M1170="sim"),"sim",IF(OR(K1170="inconclusivo",M1170="inconclusivo"),"inconclusivo","não")))</f>
        <v/>
      </c>
      <c r="O1170" s="5">
        <f>IF(N1170="sim",COUNTIFS($B$3:$B1170,$B1170,$N$3:$N1170,"sim"),"")</f>
        <v/>
      </c>
      <c r="P1170" s="5" t="n"/>
      <c r="Q1170" s="4" t="n"/>
      <c r="R1170" s="5" t="n"/>
      <c r="S1170" s="9" t="n"/>
      <c r="T1170" s="4" t="n"/>
    </row>
    <row r="1171">
      <c r="A1171" s="5">
        <f>ROW()-2</f>
        <v/>
      </c>
      <c r="B1171" s="4" t="inlineStr">
        <is>
          <t>Capital regional</t>
        </is>
      </c>
      <c r="C1171" s="5" t="n">
        <v>227</v>
      </c>
      <c r="D1171" s="5">
        <f>IFERROR(INDEX('Base de sorteio'!$A$3:$A$1723,MATCH($B1171&amp;"|"&amp;$C1171,'Base de sorteio'!$I$3:$I$1723,0)),"")</f>
        <v/>
      </c>
      <c r="E1171" s="4">
        <f>IFERROR(INDEX('Base de sorteio'!$B$3:$B$1723,MATCH($B1171&amp;"|"&amp;$C1171,'Base de sorteio'!$I$3:$I$1723,0)),"")</f>
        <v/>
      </c>
      <c r="F1171" s="4">
        <f>IFERROR(INDEX('Base de sorteio'!$C$3:$C$1723,MATCH($B1171&amp;"|"&amp;$C1171,'Base de sorteio'!$I$3:$I$1723,0)),"")</f>
        <v/>
      </c>
      <c r="G1171" s="4">
        <f>IFERROR(INDEX('Base de sorteio'!$D$3:$D$1723,MATCH($B1171&amp;"|"&amp;$C1171,'Base de sorteio'!$I$3:$I$1723,0)),"")</f>
        <v/>
      </c>
      <c r="H1171" s="4">
        <f>IFERROR(INDEX('Base de sorteio'!$E$3:$E$1723,MATCH($B1171&amp;"|"&amp;$C1171,'Base de sorteio'!$I$3:$I$1723,0)),"")</f>
        <v/>
      </c>
      <c r="I1171" s="4">
        <f>IF(E1171="","",HYPERLINK(IFERROR(INDEX('Base de sorteio'!$J$3:$J$1723,MATCH($B1171&amp;"|"&amp;$C1171,'Base de sorteio'!$I$3:$I$1723,0)),""),"abrir"))</f>
        <v/>
      </c>
      <c r="J1171" s="4" t="n"/>
      <c r="K1171" s="4" t="n"/>
      <c r="L1171" s="4" t="n"/>
      <c r="M1171" s="4" t="n"/>
      <c r="N1171" s="4">
        <f>IF(AND(K1171="",M1171=""),"",IF(OR(K1171="sim",M1171="sim"),"sim",IF(OR(K1171="inconclusivo",M1171="inconclusivo"),"inconclusivo","não")))</f>
        <v/>
      </c>
      <c r="O1171" s="5">
        <f>IF(N1171="sim",COUNTIFS($B$3:$B1171,$B1171,$N$3:$N1171,"sim"),"")</f>
        <v/>
      </c>
      <c r="P1171" s="5" t="n"/>
      <c r="Q1171" s="4" t="n"/>
      <c r="R1171" s="5" t="n"/>
      <c r="S1171" s="9" t="n"/>
      <c r="T1171" s="4" t="n"/>
    </row>
    <row r="1172">
      <c r="A1172" s="5">
        <f>ROW()-2</f>
        <v/>
      </c>
      <c r="B1172" s="4" t="inlineStr">
        <is>
          <t>Capital regional</t>
        </is>
      </c>
      <c r="C1172" s="5" t="n">
        <v>228</v>
      </c>
      <c r="D1172" s="5">
        <f>IFERROR(INDEX('Base de sorteio'!$A$3:$A$1723,MATCH($B1172&amp;"|"&amp;$C1172,'Base de sorteio'!$I$3:$I$1723,0)),"")</f>
        <v/>
      </c>
      <c r="E1172" s="4">
        <f>IFERROR(INDEX('Base de sorteio'!$B$3:$B$1723,MATCH($B1172&amp;"|"&amp;$C1172,'Base de sorteio'!$I$3:$I$1723,0)),"")</f>
        <v/>
      </c>
      <c r="F1172" s="4">
        <f>IFERROR(INDEX('Base de sorteio'!$C$3:$C$1723,MATCH($B1172&amp;"|"&amp;$C1172,'Base de sorteio'!$I$3:$I$1723,0)),"")</f>
        <v/>
      </c>
      <c r="G1172" s="4">
        <f>IFERROR(INDEX('Base de sorteio'!$D$3:$D$1723,MATCH($B1172&amp;"|"&amp;$C1172,'Base de sorteio'!$I$3:$I$1723,0)),"")</f>
        <v/>
      </c>
      <c r="H1172" s="4">
        <f>IFERROR(INDEX('Base de sorteio'!$E$3:$E$1723,MATCH($B1172&amp;"|"&amp;$C1172,'Base de sorteio'!$I$3:$I$1723,0)),"")</f>
        <v/>
      </c>
      <c r="I1172" s="4">
        <f>IF(E1172="","",HYPERLINK(IFERROR(INDEX('Base de sorteio'!$J$3:$J$1723,MATCH($B1172&amp;"|"&amp;$C1172,'Base de sorteio'!$I$3:$I$1723,0)),""),"abrir"))</f>
        <v/>
      </c>
      <c r="J1172" s="4" t="n"/>
      <c r="K1172" s="4" t="n"/>
      <c r="L1172" s="4" t="n"/>
      <c r="M1172" s="4" t="n"/>
      <c r="N1172" s="4">
        <f>IF(AND(K1172="",M1172=""),"",IF(OR(K1172="sim",M1172="sim"),"sim",IF(OR(K1172="inconclusivo",M1172="inconclusivo"),"inconclusivo","não")))</f>
        <v/>
      </c>
      <c r="O1172" s="5">
        <f>IF(N1172="sim",COUNTIFS($B$3:$B1172,$B1172,$N$3:$N1172,"sim"),"")</f>
        <v/>
      </c>
      <c r="P1172" s="5" t="n"/>
      <c r="Q1172" s="4" t="n"/>
      <c r="R1172" s="5" t="n"/>
      <c r="S1172" s="9" t="n"/>
      <c r="T1172" s="4" t="n"/>
    </row>
    <row r="1173">
      <c r="A1173" s="5">
        <f>ROW()-2</f>
        <v/>
      </c>
      <c r="B1173" s="4" t="inlineStr">
        <is>
          <t>Capital regional</t>
        </is>
      </c>
      <c r="C1173" s="5" t="n">
        <v>229</v>
      </c>
      <c r="D1173" s="5">
        <f>IFERROR(INDEX('Base de sorteio'!$A$3:$A$1723,MATCH($B1173&amp;"|"&amp;$C1173,'Base de sorteio'!$I$3:$I$1723,0)),"")</f>
        <v/>
      </c>
      <c r="E1173" s="4">
        <f>IFERROR(INDEX('Base de sorteio'!$B$3:$B$1723,MATCH($B1173&amp;"|"&amp;$C1173,'Base de sorteio'!$I$3:$I$1723,0)),"")</f>
        <v/>
      </c>
      <c r="F1173" s="4">
        <f>IFERROR(INDEX('Base de sorteio'!$C$3:$C$1723,MATCH($B1173&amp;"|"&amp;$C1173,'Base de sorteio'!$I$3:$I$1723,0)),"")</f>
        <v/>
      </c>
      <c r="G1173" s="4">
        <f>IFERROR(INDEX('Base de sorteio'!$D$3:$D$1723,MATCH($B1173&amp;"|"&amp;$C1173,'Base de sorteio'!$I$3:$I$1723,0)),"")</f>
        <v/>
      </c>
      <c r="H1173" s="4">
        <f>IFERROR(INDEX('Base de sorteio'!$E$3:$E$1723,MATCH($B1173&amp;"|"&amp;$C1173,'Base de sorteio'!$I$3:$I$1723,0)),"")</f>
        <v/>
      </c>
      <c r="I1173" s="4">
        <f>IF(E1173="","",HYPERLINK(IFERROR(INDEX('Base de sorteio'!$J$3:$J$1723,MATCH($B1173&amp;"|"&amp;$C1173,'Base de sorteio'!$I$3:$I$1723,0)),""),"abrir"))</f>
        <v/>
      </c>
      <c r="J1173" s="4" t="n"/>
      <c r="K1173" s="4" t="n"/>
      <c r="L1173" s="4" t="n"/>
      <c r="M1173" s="4" t="n"/>
      <c r="N1173" s="4">
        <f>IF(AND(K1173="",M1173=""),"",IF(OR(K1173="sim",M1173="sim"),"sim",IF(OR(K1173="inconclusivo",M1173="inconclusivo"),"inconclusivo","não")))</f>
        <v/>
      </c>
      <c r="O1173" s="5">
        <f>IF(N1173="sim",COUNTIFS($B$3:$B1173,$B1173,$N$3:$N1173,"sim"),"")</f>
        <v/>
      </c>
      <c r="P1173" s="5" t="n"/>
      <c r="Q1173" s="4" t="n"/>
      <c r="R1173" s="5" t="n"/>
      <c r="S1173" s="9" t="n"/>
      <c r="T1173" s="4" t="n"/>
    </row>
    <row r="1174">
      <c r="A1174" s="5">
        <f>ROW()-2</f>
        <v/>
      </c>
      <c r="B1174" s="4" t="inlineStr">
        <is>
          <t>Capital regional</t>
        </is>
      </c>
      <c r="C1174" s="5" t="n">
        <v>230</v>
      </c>
      <c r="D1174" s="5">
        <f>IFERROR(INDEX('Base de sorteio'!$A$3:$A$1723,MATCH($B1174&amp;"|"&amp;$C1174,'Base de sorteio'!$I$3:$I$1723,0)),"")</f>
        <v/>
      </c>
      <c r="E1174" s="4">
        <f>IFERROR(INDEX('Base de sorteio'!$B$3:$B$1723,MATCH($B1174&amp;"|"&amp;$C1174,'Base de sorteio'!$I$3:$I$1723,0)),"")</f>
        <v/>
      </c>
      <c r="F1174" s="4">
        <f>IFERROR(INDEX('Base de sorteio'!$C$3:$C$1723,MATCH($B1174&amp;"|"&amp;$C1174,'Base de sorteio'!$I$3:$I$1723,0)),"")</f>
        <v/>
      </c>
      <c r="G1174" s="4">
        <f>IFERROR(INDEX('Base de sorteio'!$D$3:$D$1723,MATCH($B1174&amp;"|"&amp;$C1174,'Base de sorteio'!$I$3:$I$1723,0)),"")</f>
        <v/>
      </c>
      <c r="H1174" s="4">
        <f>IFERROR(INDEX('Base de sorteio'!$E$3:$E$1723,MATCH($B1174&amp;"|"&amp;$C1174,'Base de sorteio'!$I$3:$I$1723,0)),"")</f>
        <v/>
      </c>
      <c r="I1174" s="4">
        <f>IF(E1174="","",HYPERLINK(IFERROR(INDEX('Base de sorteio'!$J$3:$J$1723,MATCH($B1174&amp;"|"&amp;$C1174,'Base de sorteio'!$I$3:$I$1723,0)),""),"abrir"))</f>
        <v/>
      </c>
      <c r="J1174" s="4" t="n"/>
      <c r="K1174" s="4" t="n"/>
      <c r="L1174" s="4" t="n"/>
      <c r="M1174" s="4" t="n"/>
      <c r="N1174" s="4">
        <f>IF(AND(K1174="",M1174=""),"",IF(OR(K1174="sim",M1174="sim"),"sim",IF(OR(K1174="inconclusivo",M1174="inconclusivo"),"inconclusivo","não")))</f>
        <v/>
      </c>
      <c r="O1174" s="5">
        <f>IF(N1174="sim",COUNTIFS($B$3:$B1174,$B1174,$N$3:$N1174,"sim"),"")</f>
        <v/>
      </c>
      <c r="P1174" s="5" t="n"/>
      <c r="Q1174" s="4" t="n"/>
      <c r="R1174" s="5" t="n"/>
      <c r="S1174" s="9" t="n"/>
      <c r="T1174" s="4" t="n"/>
    </row>
    <row r="1175">
      <c r="A1175" s="5">
        <f>ROW()-2</f>
        <v/>
      </c>
      <c r="B1175" s="4" t="inlineStr">
        <is>
          <t>Capital regional</t>
        </is>
      </c>
      <c r="C1175" s="5" t="n">
        <v>231</v>
      </c>
      <c r="D1175" s="5">
        <f>IFERROR(INDEX('Base de sorteio'!$A$3:$A$1723,MATCH($B1175&amp;"|"&amp;$C1175,'Base de sorteio'!$I$3:$I$1723,0)),"")</f>
        <v/>
      </c>
      <c r="E1175" s="4">
        <f>IFERROR(INDEX('Base de sorteio'!$B$3:$B$1723,MATCH($B1175&amp;"|"&amp;$C1175,'Base de sorteio'!$I$3:$I$1723,0)),"")</f>
        <v/>
      </c>
      <c r="F1175" s="4">
        <f>IFERROR(INDEX('Base de sorteio'!$C$3:$C$1723,MATCH($B1175&amp;"|"&amp;$C1175,'Base de sorteio'!$I$3:$I$1723,0)),"")</f>
        <v/>
      </c>
      <c r="G1175" s="4">
        <f>IFERROR(INDEX('Base de sorteio'!$D$3:$D$1723,MATCH($B1175&amp;"|"&amp;$C1175,'Base de sorteio'!$I$3:$I$1723,0)),"")</f>
        <v/>
      </c>
      <c r="H1175" s="4">
        <f>IFERROR(INDEX('Base de sorteio'!$E$3:$E$1723,MATCH($B1175&amp;"|"&amp;$C1175,'Base de sorteio'!$I$3:$I$1723,0)),"")</f>
        <v/>
      </c>
      <c r="I1175" s="4">
        <f>IF(E1175="","",HYPERLINK(IFERROR(INDEX('Base de sorteio'!$J$3:$J$1723,MATCH($B1175&amp;"|"&amp;$C1175,'Base de sorteio'!$I$3:$I$1723,0)),""),"abrir"))</f>
        <v/>
      </c>
      <c r="J1175" s="4" t="n"/>
      <c r="K1175" s="4" t="n"/>
      <c r="L1175" s="4" t="n"/>
      <c r="M1175" s="4" t="n"/>
      <c r="N1175" s="4">
        <f>IF(AND(K1175="",M1175=""),"",IF(OR(K1175="sim",M1175="sim"),"sim",IF(OR(K1175="inconclusivo",M1175="inconclusivo"),"inconclusivo","não")))</f>
        <v/>
      </c>
      <c r="O1175" s="5">
        <f>IF(N1175="sim",COUNTIFS($B$3:$B1175,$B1175,$N$3:$N1175,"sim"),"")</f>
        <v/>
      </c>
      <c r="P1175" s="5" t="n"/>
      <c r="Q1175" s="4" t="n"/>
      <c r="R1175" s="5" t="n"/>
      <c r="S1175" s="9" t="n"/>
      <c r="T1175" s="4" t="n"/>
    </row>
    <row r="1176">
      <c r="A1176" s="5">
        <f>ROW()-2</f>
        <v/>
      </c>
      <c r="B1176" s="4" t="inlineStr">
        <is>
          <t>Capital regional</t>
        </is>
      </c>
      <c r="C1176" s="5" t="n">
        <v>232</v>
      </c>
      <c r="D1176" s="5">
        <f>IFERROR(INDEX('Base de sorteio'!$A$3:$A$1723,MATCH($B1176&amp;"|"&amp;$C1176,'Base de sorteio'!$I$3:$I$1723,0)),"")</f>
        <v/>
      </c>
      <c r="E1176" s="4">
        <f>IFERROR(INDEX('Base de sorteio'!$B$3:$B$1723,MATCH($B1176&amp;"|"&amp;$C1176,'Base de sorteio'!$I$3:$I$1723,0)),"")</f>
        <v/>
      </c>
      <c r="F1176" s="4">
        <f>IFERROR(INDEX('Base de sorteio'!$C$3:$C$1723,MATCH($B1176&amp;"|"&amp;$C1176,'Base de sorteio'!$I$3:$I$1723,0)),"")</f>
        <v/>
      </c>
      <c r="G1176" s="4">
        <f>IFERROR(INDEX('Base de sorteio'!$D$3:$D$1723,MATCH($B1176&amp;"|"&amp;$C1176,'Base de sorteio'!$I$3:$I$1723,0)),"")</f>
        <v/>
      </c>
      <c r="H1176" s="4">
        <f>IFERROR(INDEX('Base de sorteio'!$E$3:$E$1723,MATCH($B1176&amp;"|"&amp;$C1176,'Base de sorteio'!$I$3:$I$1723,0)),"")</f>
        <v/>
      </c>
      <c r="I1176" s="4">
        <f>IF(E1176="","",HYPERLINK(IFERROR(INDEX('Base de sorteio'!$J$3:$J$1723,MATCH($B1176&amp;"|"&amp;$C1176,'Base de sorteio'!$I$3:$I$1723,0)),""),"abrir"))</f>
        <v/>
      </c>
      <c r="J1176" s="4" t="n"/>
      <c r="K1176" s="4" t="n"/>
      <c r="L1176" s="4" t="n"/>
      <c r="M1176" s="4" t="n"/>
      <c r="N1176" s="4">
        <f>IF(AND(K1176="",M1176=""),"",IF(OR(K1176="sim",M1176="sim"),"sim",IF(OR(K1176="inconclusivo",M1176="inconclusivo"),"inconclusivo","não")))</f>
        <v/>
      </c>
      <c r="O1176" s="5">
        <f>IF(N1176="sim",COUNTIFS($B$3:$B1176,$B1176,$N$3:$N1176,"sim"),"")</f>
        <v/>
      </c>
      <c r="P1176" s="5" t="n"/>
      <c r="Q1176" s="4" t="n"/>
      <c r="R1176" s="5" t="n"/>
      <c r="S1176" s="9" t="n"/>
      <c r="T1176" s="4" t="n"/>
    </row>
    <row r="1177">
      <c r="A1177" s="5">
        <f>ROW()-2</f>
        <v/>
      </c>
      <c r="B1177" s="4" t="inlineStr">
        <is>
          <t>Capital regional</t>
        </is>
      </c>
      <c r="C1177" s="5" t="n">
        <v>233</v>
      </c>
      <c r="D1177" s="5">
        <f>IFERROR(INDEX('Base de sorteio'!$A$3:$A$1723,MATCH($B1177&amp;"|"&amp;$C1177,'Base de sorteio'!$I$3:$I$1723,0)),"")</f>
        <v/>
      </c>
      <c r="E1177" s="4">
        <f>IFERROR(INDEX('Base de sorteio'!$B$3:$B$1723,MATCH($B1177&amp;"|"&amp;$C1177,'Base de sorteio'!$I$3:$I$1723,0)),"")</f>
        <v/>
      </c>
      <c r="F1177" s="4">
        <f>IFERROR(INDEX('Base de sorteio'!$C$3:$C$1723,MATCH($B1177&amp;"|"&amp;$C1177,'Base de sorteio'!$I$3:$I$1723,0)),"")</f>
        <v/>
      </c>
      <c r="G1177" s="4">
        <f>IFERROR(INDEX('Base de sorteio'!$D$3:$D$1723,MATCH($B1177&amp;"|"&amp;$C1177,'Base de sorteio'!$I$3:$I$1723,0)),"")</f>
        <v/>
      </c>
      <c r="H1177" s="4">
        <f>IFERROR(INDEX('Base de sorteio'!$E$3:$E$1723,MATCH($B1177&amp;"|"&amp;$C1177,'Base de sorteio'!$I$3:$I$1723,0)),"")</f>
        <v/>
      </c>
      <c r="I1177" s="4">
        <f>IF(E1177="","",HYPERLINK(IFERROR(INDEX('Base de sorteio'!$J$3:$J$1723,MATCH($B1177&amp;"|"&amp;$C1177,'Base de sorteio'!$I$3:$I$1723,0)),""),"abrir"))</f>
        <v/>
      </c>
      <c r="J1177" s="4" t="n"/>
      <c r="K1177" s="4" t="n"/>
      <c r="L1177" s="4" t="n"/>
      <c r="M1177" s="4" t="n"/>
      <c r="N1177" s="4">
        <f>IF(AND(K1177="",M1177=""),"",IF(OR(K1177="sim",M1177="sim"),"sim",IF(OR(K1177="inconclusivo",M1177="inconclusivo"),"inconclusivo","não")))</f>
        <v/>
      </c>
      <c r="O1177" s="5">
        <f>IF(N1177="sim",COUNTIFS($B$3:$B1177,$B1177,$N$3:$N1177,"sim"),"")</f>
        <v/>
      </c>
      <c r="P1177" s="5" t="n"/>
      <c r="Q1177" s="4" t="n"/>
      <c r="R1177" s="5" t="n"/>
      <c r="S1177" s="9" t="n"/>
      <c r="T1177" s="4" t="n"/>
    </row>
    <row r="1178">
      <c r="A1178" s="5">
        <f>ROW()-2</f>
        <v/>
      </c>
      <c r="B1178" s="4" t="inlineStr">
        <is>
          <t>Capital regional</t>
        </is>
      </c>
      <c r="C1178" s="5" t="n">
        <v>234</v>
      </c>
      <c r="D1178" s="5">
        <f>IFERROR(INDEX('Base de sorteio'!$A$3:$A$1723,MATCH($B1178&amp;"|"&amp;$C1178,'Base de sorteio'!$I$3:$I$1723,0)),"")</f>
        <v/>
      </c>
      <c r="E1178" s="4">
        <f>IFERROR(INDEX('Base de sorteio'!$B$3:$B$1723,MATCH($B1178&amp;"|"&amp;$C1178,'Base de sorteio'!$I$3:$I$1723,0)),"")</f>
        <v/>
      </c>
      <c r="F1178" s="4">
        <f>IFERROR(INDEX('Base de sorteio'!$C$3:$C$1723,MATCH($B1178&amp;"|"&amp;$C1178,'Base de sorteio'!$I$3:$I$1723,0)),"")</f>
        <v/>
      </c>
      <c r="G1178" s="4">
        <f>IFERROR(INDEX('Base de sorteio'!$D$3:$D$1723,MATCH($B1178&amp;"|"&amp;$C1178,'Base de sorteio'!$I$3:$I$1723,0)),"")</f>
        <v/>
      </c>
      <c r="H1178" s="4">
        <f>IFERROR(INDEX('Base de sorteio'!$E$3:$E$1723,MATCH($B1178&amp;"|"&amp;$C1178,'Base de sorteio'!$I$3:$I$1723,0)),"")</f>
        <v/>
      </c>
      <c r="I1178" s="4">
        <f>IF(E1178="","",HYPERLINK(IFERROR(INDEX('Base de sorteio'!$J$3:$J$1723,MATCH($B1178&amp;"|"&amp;$C1178,'Base de sorteio'!$I$3:$I$1723,0)),""),"abrir"))</f>
        <v/>
      </c>
      <c r="J1178" s="4" t="n"/>
      <c r="K1178" s="4" t="n"/>
      <c r="L1178" s="4" t="n"/>
      <c r="M1178" s="4" t="n"/>
      <c r="N1178" s="4">
        <f>IF(AND(K1178="",M1178=""),"",IF(OR(K1178="sim",M1178="sim"),"sim",IF(OR(K1178="inconclusivo",M1178="inconclusivo"),"inconclusivo","não")))</f>
        <v/>
      </c>
      <c r="O1178" s="5">
        <f>IF(N1178="sim",COUNTIFS($B$3:$B1178,$B1178,$N$3:$N1178,"sim"),"")</f>
        <v/>
      </c>
      <c r="P1178" s="5" t="n"/>
      <c r="Q1178" s="4" t="n"/>
      <c r="R1178" s="5" t="n"/>
      <c r="S1178" s="9" t="n"/>
      <c r="T1178" s="4" t="n"/>
    </row>
    <row r="1179">
      <c r="A1179" s="5">
        <f>ROW()-2</f>
        <v/>
      </c>
      <c r="B1179" s="4" t="inlineStr">
        <is>
          <t>Capital regional</t>
        </is>
      </c>
      <c r="C1179" s="5" t="n">
        <v>235</v>
      </c>
      <c r="D1179" s="5">
        <f>IFERROR(INDEX('Base de sorteio'!$A$3:$A$1723,MATCH($B1179&amp;"|"&amp;$C1179,'Base de sorteio'!$I$3:$I$1723,0)),"")</f>
        <v/>
      </c>
      <c r="E1179" s="4">
        <f>IFERROR(INDEX('Base de sorteio'!$B$3:$B$1723,MATCH($B1179&amp;"|"&amp;$C1179,'Base de sorteio'!$I$3:$I$1723,0)),"")</f>
        <v/>
      </c>
      <c r="F1179" s="4">
        <f>IFERROR(INDEX('Base de sorteio'!$C$3:$C$1723,MATCH($B1179&amp;"|"&amp;$C1179,'Base de sorteio'!$I$3:$I$1723,0)),"")</f>
        <v/>
      </c>
      <c r="G1179" s="4">
        <f>IFERROR(INDEX('Base de sorteio'!$D$3:$D$1723,MATCH($B1179&amp;"|"&amp;$C1179,'Base de sorteio'!$I$3:$I$1723,0)),"")</f>
        <v/>
      </c>
      <c r="H1179" s="4">
        <f>IFERROR(INDEX('Base de sorteio'!$E$3:$E$1723,MATCH($B1179&amp;"|"&amp;$C1179,'Base de sorteio'!$I$3:$I$1723,0)),"")</f>
        <v/>
      </c>
      <c r="I1179" s="4">
        <f>IF(E1179="","",HYPERLINK(IFERROR(INDEX('Base de sorteio'!$J$3:$J$1723,MATCH($B1179&amp;"|"&amp;$C1179,'Base de sorteio'!$I$3:$I$1723,0)),""),"abrir"))</f>
        <v/>
      </c>
      <c r="J1179" s="4" t="n"/>
      <c r="K1179" s="4" t="n"/>
      <c r="L1179" s="4" t="n"/>
      <c r="M1179" s="4" t="n"/>
      <c r="N1179" s="4">
        <f>IF(AND(K1179="",M1179=""),"",IF(OR(K1179="sim",M1179="sim"),"sim",IF(OR(K1179="inconclusivo",M1179="inconclusivo"),"inconclusivo","não")))</f>
        <v/>
      </c>
      <c r="O1179" s="5">
        <f>IF(N1179="sim",COUNTIFS($B$3:$B1179,$B1179,$N$3:$N1179,"sim"),"")</f>
        <v/>
      </c>
      <c r="P1179" s="5" t="n"/>
      <c r="Q1179" s="4" t="n"/>
      <c r="R1179" s="5" t="n"/>
      <c r="S1179" s="9" t="n"/>
      <c r="T1179" s="4" t="n"/>
    </row>
    <row r="1180">
      <c r="A1180" s="5">
        <f>ROW()-2</f>
        <v/>
      </c>
      <c r="B1180" s="4" t="inlineStr">
        <is>
          <t>Capital regional</t>
        </is>
      </c>
      <c r="C1180" s="5" t="n">
        <v>236</v>
      </c>
      <c r="D1180" s="5">
        <f>IFERROR(INDEX('Base de sorteio'!$A$3:$A$1723,MATCH($B1180&amp;"|"&amp;$C1180,'Base de sorteio'!$I$3:$I$1723,0)),"")</f>
        <v/>
      </c>
      <c r="E1180" s="4">
        <f>IFERROR(INDEX('Base de sorteio'!$B$3:$B$1723,MATCH($B1180&amp;"|"&amp;$C1180,'Base de sorteio'!$I$3:$I$1723,0)),"")</f>
        <v/>
      </c>
      <c r="F1180" s="4">
        <f>IFERROR(INDEX('Base de sorteio'!$C$3:$C$1723,MATCH($B1180&amp;"|"&amp;$C1180,'Base de sorteio'!$I$3:$I$1723,0)),"")</f>
        <v/>
      </c>
      <c r="G1180" s="4">
        <f>IFERROR(INDEX('Base de sorteio'!$D$3:$D$1723,MATCH($B1180&amp;"|"&amp;$C1180,'Base de sorteio'!$I$3:$I$1723,0)),"")</f>
        <v/>
      </c>
      <c r="H1180" s="4">
        <f>IFERROR(INDEX('Base de sorteio'!$E$3:$E$1723,MATCH($B1180&amp;"|"&amp;$C1180,'Base de sorteio'!$I$3:$I$1723,0)),"")</f>
        <v/>
      </c>
      <c r="I1180" s="4">
        <f>IF(E1180="","",HYPERLINK(IFERROR(INDEX('Base de sorteio'!$J$3:$J$1723,MATCH($B1180&amp;"|"&amp;$C1180,'Base de sorteio'!$I$3:$I$1723,0)),""),"abrir"))</f>
        <v/>
      </c>
      <c r="J1180" s="4" t="n"/>
      <c r="K1180" s="4" t="n"/>
      <c r="L1180" s="4" t="n"/>
      <c r="M1180" s="4" t="n"/>
      <c r="N1180" s="4">
        <f>IF(AND(K1180="",M1180=""),"",IF(OR(K1180="sim",M1180="sim"),"sim",IF(OR(K1180="inconclusivo",M1180="inconclusivo"),"inconclusivo","não")))</f>
        <v/>
      </c>
      <c r="O1180" s="5">
        <f>IF(N1180="sim",COUNTIFS($B$3:$B1180,$B1180,$N$3:$N1180,"sim"),"")</f>
        <v/>
      </c>
      <c r="P1180" s="5" t="n"/>
      <c r="Q1180" s="4" t="n"/>
      <c r="R1180" s="5" t="n"/>
      <c r="S1180" s="9" t="n"/>
      <c r="T1180" s="4" t="n"/>
    </row>
    <row r="1181">
      <c r="A1181" s="5">
        <f>ROW()-2</f>
        <v/>
      </c>
      <c r="B1181" s="4" t="inlineStr">
        <is>
          <t>Capital regional</t>
        </is>
      </c>
      <c r="C1181" s="5" t="n">
        <v>237</v>
      </c>
      <c r="D1181" s="5">
        <f>IFERROR(INDEX('Base de sorteio'!$A$3:$A$1723,MATCH($B1181&amp;"|"&amp;$C1181,'Base de sorteio'!$I$3:$I$1723,0)),"")</f>
        <v/>
      </c>
      <c r="E1181" s="4">
        <f>IFERROR(INDEX('Base de sorteio'!$B$3:$B$1723,MATCH($B1181&amp;"|"&amp;$C1181,'Base de sorteio'!$I$3:$I$1723,0)),"")</f>
        <v/>
      </c>
      <c r="F1181" s="4">
        <f>IFERROR(INDEX('Base de sorteio'!$C$3:$C$1723,MATCH($B1181&amp;"|"&amp;$C1181,'Base de sorteio'!$I$3:$I$1723,0)),"")</f>
        <v/>
      </c>
      <c r="G1181" s="4">
        <f>IFERROR(INDEX('Base de sorteio'!$D$3:$D$1723,MATCH($B1181&amp;"|"&amp;$C1181,'Base de sorteio'!$I$3:$I$1723,0)),"")</f>
        <v/>
      </c>
      <c r="H1181" s="4">
        <f>IFERROR(INDEX('Base de sorteio'!$E$3:$E$1723,MATCH($B1181&amp;"|"&amp;$C1181,'Base de sorteio'!$I$3:$I$1723,0)),"")</f>
        <v/>
      </c>
      <c r="I1181" s="4">
        <f>IF(E1181="","",HYPERLINK(IFERROR(INDEX('Base de sorteio'!$J$3:$J$1723,MATCH($B1181&amp;"|"&amp;$C1181,'Base de sorteio'!$I$3:$I$1723,0)),""),"abrir"))</f>
        <v/>
      </c>
      <c r="J1181" s="4" t="n"/>
      <c r="K1181" s="4" t="n"/>
      <c r="L1181" s="4" t="n"/>
      <c r="M1181" s="4" t="n"/>
      <c r="N1181" s="4">
        <f>IF(AND(K1181="",M1181=""),"",IF(OR(K1181="sim",M1181="sim"),"sim",IF(OR(K1181="inconclusivo",M1181="inconclusivo"),"inconclusivo","não")))</f>
        <v/>
      </c>
      <c r="O1181" s="5">
        <f>IF(N1181="sim",COUNTIFS($B$3:$B1181,$B1181,$N$3:$N1181,"sim"),"")</f>
        <v/>
      </c>
      <c r="P1181" s="5" t="n"/>
      <c r="Q1181" s="4" t="n"/>
      <c r="R1181" s="5" t="n"/>
      <c r="S1181" s="9" t="n"/>
      <c r="T1181" s="4" t="n"/>
    </row>
    <row r="1182">
      <c r="A1182" s="5">
        <f>ROW()-2</f>
        <v/>
      </c>
      <c r="B1182" s="4" t="inlineStr">
        <is>
          <t>Capital regional</t>
        </is>
      </c>
      <c r="C1182" s="5" t="n">
        <v>238</v>
      </c>
      <c r="D1182" s="5">
        <f>IFERROR(INDEX('Base de sorteio'!$A$3:$A$1723,MATCH($B1182&amp;"|"&amp;$C1182,'Base de sorteio'!$I$3:$I$1723,0)),"")</f>
        <v/>
      </c>
      <c r="E1182" s="4">
        <f>IFERROR(INDEX('Base de sorteio'!$B$3:$B$1723,MATCH($B1182&amp;"|"&amp;$C1182,'Base de sorteio'!$I$3:$I$1723,0)),"")</f>
        <v/>
      </c>
      <c r="F1182" s="4">
        <f>IFERROR(INDEX('Base de sorteio'!$C$3:$C$1723,MATCH($B1182&amp;"|"&amp;$C1182,'Base de sorteio'!$I$3:$I$1723,0)),"")</f>
        <v/>
      </c>
      <c r="G1182" s="4">
        <f>IFERROR(INDEX('Base de sorteio'!$D$3:$D$1723,MATCH($B1182&amp;"|"&amp;$C1182,'Base de sorteio'!$I$3:$I$1723,0)),"")</f>
        <v/>
      </c>
      <c r="H1182" s="4">
        <f>IFERROR(INDEX('Base de sorteio'!$E$3:$E$1723,MATCH($B1182&amp;"|"&amp;$C1182,'Base de sorteio'!$I$3:$I$1723,0)),"")</f>
        <v/>
      </c>
      <c r="I1182" s="4">
        <f>IF(E1182="","",HYPERLINK(IFERROR(INDEX('Base de sorteio'!$J$3:$J$1723,MATCH($B1182&amp;"|"&amp;$C1182,'Base de sorteio'!$I$3:$I$1723,0)),""),"abrir"))</f>
        <v/>
      </c>
      <c r="J1182" s="4" t="n"/>
      <c r="K1182" s="4" t="n"/>
      <c r="L1182" s="4" t="n"/>
      <c r="M1182" s="4" t="n"/>
      <c r="N1182" s="4">
        <f>IF(AND(K1182="",M1182=""),"",IF(OR(K1182="sim",M1182="sim"),"sim",IF(OR(K1182="inconclusivo",M1182="inconclusivo"),"inconclusivo","não")))</f>
        <v/>
      </c>
      <c r="O1182" s="5">
        <f>IF(N1182="sim",COUNTIFS($B$3:$B1182,$B1182,$N$3:$N1182,"sim"),"")</f>
        <v/>
      </c>
      <c r="P1182" s="5" t="n"/>
      <c r="Q1182" s="4" t="n"/>
      <c r="R1182" s="5" t="n"/>
      <c r="S1182" s="9" t="n"/>
      <c r="T1182" s="4" t="n"/>
    </row>
    <row r="1183">
      <c r="A1183" s="5">
        <f>ROW()-2</f>
        <v/>
      </c>
      <c r="B1183" s="4" t="inlineStr">
        <is>
          <t>Capital regional</t>
        </is>
      </c>
      <c r="C1183" s="5" t="n">
        <v>239</v>
      </c>
      <c r="D1183" s="5">
        <f>IFERROR(INDEX('Base de sorteio'!$A$3:$A$1723,MATCH($B1183&amp;"|"&amp;$C1183,'Base de sorteio'!$I$3:$I$1723,0)),"")</f>
        <v/>
      </c>
      <c r="E1183" s="4">
        <f>IFERROR(INDEX('Base de sorteio'!$B$3:$B$1723,MATCH($B1183&amp;"|"&amp;$C1183,'Base de sorteio'!$I$3:$I$1723,0)),"")</f>
        <v/>
      </c>
      <c r="F1183" s="4">
        <f>IFERROR(INDEX('Base de sorteio'!$C$3:$C$1723,MATCH($B1183&amp;"|"&amp;$C1183,'Base de sorteio'!$I$3:$I$1723,0)),"")</f>
        <v/>
      </c>
      <c r="G1183" s="4">
        <f>IFERROR(INDEX('Base de sorteio'!$D$3:$D$1723,MATCH($B1183&amp;"|"&amp;$C1183,'Base de sorteio'!$I$3:$I$1723,0)),"")</f>
        <v/>
      </c>
      <c r="H1183" s="4">
        <f>IFERROR(INDEX('Base de sorteio'!$E$3:$E$1723,MATCH($B1183&amp;"|"&amp;$C1183,'Base de sorteio'!$I$3:$I$1723,0)),"")</f>
        <v/>
      </c>
      <c r="I1183" s="4">
        <f>IF(E1183="","",HYPERLINK(IFERROR(INDEX('Base de sorteio'!$J$3:$J$1723,MATCH($B1183&amp;"|"&amp;$C1183,'Base de sorteio'!$I$3:$I$1723,0)),""),"abrir"))</f>
        <v/>
      </c>
      <c r="J1183" s="4" t="n"/>
      <c r="K1183" s="4" t="n"/>
      <c r="L1183" s="4" t="n"/>
      <c r="M1183" s="4" t="n"/>
      <c r="N1183" s="4">
        <f>IF(AND(K1183="",M1183=""),"",IF(OR(K1183="sim",M1183="sim"),"sim",IF(OR(K1183="inconclusivo",M1183="inconclusivo"),"inconclusivo","não")))</f>
        <v/>
      </c>
      <c r="O1183" s="5">
        <f>IF(N1183="sim",COUNTIFS($B$3:$B1183,$B1183,$N$3:$N1183,"sim"),"")</f>
        <v/>
      </c>
      <c r="P1183" s="5" t="n"/>
      <c r="Q1183" s="4" t="n"/>
      <c r="R1183" s="5" t="n"/>
      <c r="S1183" s="9" t="n"/>
      <c r="T1183" s="4" t="n"/>
    </row>
    <row r="1184">
      <c r="A1184" s="5">
        <f>ROW()-2</f>
        <v/>
      </c>
      <c r="B1184" s="4" t="inlineStr">
        <is>
          <t>Capital regional</t>
        </is>
      </c>
      <c r="C1184" s="5" t="n">
        <v>240</v>
      </c>
      <c r="D1184" s="5">
        <f>IFERROR(INDEX('Base de sorteio'!$A$3:$A$1723,MATCH($B1184&amp;"|"&amp;$C1184,'Base de sorteio'!$I$3:$I$1723,0)),"")</f>
        <v/>
      </c>
      <c r="E1184" s="4">
        <f>IFERROR(INDEX('Base de sorteio'!$B$3:$B$1723,MATCH($B1184&amp;"|"&amp;$C1184,'Base de sorteio'!$I$3:$I$1723,0)),"")</f>
        <v/>
      </c>
      <c r="F1184" s="4">
        <f>IFERROR(INDEX('Base de sorteio'!$C$3:$C$1723,MATCH($B1184&amp;"|"&amp;$C1184,'Base de sorteio'!$I$3:$I$1723,0)),"")</f>
        <v/>
      </c>
      <c r="G1184" s="4">
        <f>IFERROR(INDEX('Base de sorteio'!$D$3:$D$1723,MATCH($B1184&amp;"|"&amp;$C1184,'Base de sorteio'!$I$3:$I$1723,0)),"")</f>
        <v/>
      </c>
      <c r="H1184" s="4">
        <f>IFERROR(INDEX('Base de sorteio'!$E$3:$E$1723,MATCH($B1184&amp;"|"&amp;$C1184,'Base de sorteio'!$I$3:$I$1723,0)),"")</f>
        <v/>
      </c>
      <c r="I1184" s="4">
        <f>IF(E1184="","",HYPERLINK(IFERROR(INDEX('Base de sorteio'!$J$3:$J$1723,MATCH($B1184&amp;"|"&amp;$C1184,'Base de sorteio'!$I$3:$I$1723,0)),""),"abrir"))</f>
        <v/>
      </c>
      <c r="J1184" s="4" t="n"/>
      <c r="K1184" s="4" t="n"/>
      <c r="L1184" s="4" t="n"/>
      <c r="M1184" s="4" t="n"/>
      <c r="N1184" s="4">
        <f>IF(AND(K1184="",M1184=""),"",IF(OR(K1184="sim",M1184="sim"),"sim",IF(OR(K1184="inconclusivo",M1184="inconclusivo"),"inconclusivo","não")))</f>
        <v/>
      </c>
      <c r="O1184" s="5">
        <f>IF(N1184="sim",COUNTIFS($B$3:$B1184,$B1184,$N$3:$N1184,"sim"),"")</f>
        <v/>
      </c>
      <c r="P1184" s="5" t="n"/>
      <c r="Q1184" s="4" t="n"/>
      <c r="R1184" s="5" t="n"/>
      <c r="S1184" s="9" t="n"/>
      <c r="T1184" s="4" t="n"/>
    </row>
    <row r="1185">
      <c r="A1185" s="5">
        <f>ROW()-2</f>
        <v/>
      </c>
      <c r="B1185" s="4" t="inlineStr">
        <is>
          <t>Capital regional</t>
        </is>
      </c>
      <c r="C1185" s="5" t="n">
        <v>241</v>
      </c>
      <c r="D1185" s="5">
        <f>IFERROR(INDEX('Base de sorteio'!$A$3:$A$1723,MATCH($B1185&amp;"|"&amp;$C1185,'Base de sorteio'!$I$3:$I$1723,0)),"")</f>
        <v/>
      </c>
      <c r="E1185" s="4">
        <f>IFERROR(INDEX('Base de sorteio'!$B$3:$B$1723,MATCH($B1185&amp;"|"&amp;$C1185,'Base de sorteio'!$I$3:$I$1723,0)),"")</f>
        <v/>
      </c>
      <c r="F1185" s="4">
        <f>IFERROR(INDEX('Base de sorteio'!$C$3:$C$1723,MATCH($B1185&amp;"|"&amp;$C1185,'Base de sorteio'!$I$3:$I$1723,0)),"")</f>
        <v/>
      </c>
      <c r="G1185" s="4">
        <f>IFERROR(INDEX('Base de sorteio'!$D$3:$D$1723,MATCH($B1185&amp;"|"&amp;$C1185,'Base de sorteio'!$I$3:$I$1723,0)),"")</f>
        <v/>
      </c>
      <c r="H1185" s="4">
        <f>IFERROR(INDEX('Base de sorteio'!$E$3:$E$1723,MATCH($B1185&amp;"|"&amp;$C1185,'Base de sorteio'!$I$3:$I$1723,0)),"")</f>
        <v/>
      </c>
      <c r="I1185" s="4">
        <f>IF(E1185="","",HYPERLINK(IFERROR(INDEX('Base de sorteio'!$J$3:$J$1723,MATCH($B1185&amp;"|"&amp;$C1185,'Base de sorteio'!$I$3:$I$1723,0)),""),"abrir"))</f>
        <v/>
      </c>
      <c r="J1185" s="4" t="n"/>
      <c r="K1185" s="4" t="n"/>
      <c r="L1185" s="4" t="n"/>
      <c r="M1185" s="4" t="n"/>
      <c r="N1185" s="4">
        <f>IF(AND(K1185="",M1185=""),"",IF(OR(K1185="sim",M1185="sim"),"sim",IF(OR(K1185="inconclusivo",M1185="inconclusivo"),"inconclusivo","não")))</f>
        <v/>
      </c>
      <c r="O1185" s="5">
        <f>IF(N1185="sim",COUNTIFS($B$3:$B1185,$B1185,$N$3:$N1185,"sim"),"")</f>
        <v/>
      </c>
      <c r="P1185" s="5" t="n"/>
      <c r="Q1185" s="4" t="n"/>
      <c r="R1185" s="5" t="n"/>
      <c r="S1185" s="9" t="n"/>
      <c r="T1185" s="4" t="n"/>
    </row>
    <row r="1186">
      <c r="A1186" s="5">
        <f>ROW()-2</f>
        <v/>
      </c>
      <c r="B1186" s="4" t="inlineStr">
        <is>
          <t>Capital regional</t>
        </is>
      </c>
      <c r="C1186" s="5" t="n">
        <v>242</v>
      </c>
      <c r="D1186" s="5">
        <f>IFERROR(INDEX('Base de sorteio'!$A$3:$A$1723,MATCH($B1186&amp;"|"&amp;$C1186,'Base de sorteio'!$I$3:$I$1723,0)),"")</f>
        <v/>
      </c>
      <c r="E1186" s="4">
        <f>IFERROR(INDEX('Base de sorteio'!$B$3:$B$1723,MATCH($B1186&amp;"|"&amp;$C1186,'Base de sorteio'!$I$3:$I$1723,0)),"")</f>
        <v/>
      </c>
      <c r="F1186" s="4">
        <f>IFERROR(INDEX('Base de sorteio'!$C$3:$C$1723,MATCH($B1186&amp;"|"&amp;$C1186,'Base de sorteio'!$I$3:$I$1723,0)),"")</f>
        <v/>
      </c>
      <c r="G1186" s="4">
        <f>IFERROR(INDEX('Base de sorteio'!$D$3:$D$1723,MATCH($B1186&amp;"|"&amp;$C1186,'Base de sorteio'!$I$3:$I$1723,0)),"")</f>
        <v/>
      </c>
      <c r="H1186" s="4">
        <f>IFERROR(INDEX('Base de sorteio'!$E$3:$E$1723,MATCH($B1186&amp;"|"&amp;$C1186,'Base de sorteio'!$I$3:$I$1723,0)),"")</f>
        <v/>
      </c>
      <c r="I1186" s="4">
        <f>IF(E1186="","",HYPERLINK(IFERROR(INDEX('Base de sorteio'!$J$3:$J$1723,MATCH($B1186&amp;"|"&amp;$C1186,'Base de sorteio'!$I$3:$I$1723,0)),""),"abrir"))</f>
        <v/>
      </c>
      <c r="J1186" s="4" t="n"/>
      <c r="K1186" s="4" t="n"/>
      <c r="L1186" s="4" t="n"/>
      <c r="M1186" s="4" t="n"/>
      <c r="N1186" s="4">
        <f>IF(AND(K1186="",M1186=""),"",IF(OR(K1186="sim",M1186="sim"),"sim",IF(OR(K1186="inconclusivo",M1186="inconclusivo"),"inconclusivo","não")))</f>
        <v/>
      </c>
      <c r="O1186" s="5">
        <f>IF(N1186="sim",COUNTIFS($B$3:$B1186,$B1186,$N$3:$N1186,"sim"),"")</f>
        <v/>
      </c>
      <c r="P1186" s="5" t="n"/>
      <c r="Q1186" s="4" t="n"/>
      <c r="R1186" s="5" t="n"/>
      <c r="S1186" s="9" t="n"/>
      <c r="T1186" s="4" t="n"/>
    </row>
    <row r="1187">
      <c r="A1187" s="5">
        <f>ROW()-2</f>
        <v/>
      </c>
      <c r="B1187" s="4" t="inlineStr">
        <is>
          <t>Capital regional</t>
        </is>
      </c>
      <c r="C1187" s="5" t="n">
        <v>243</v>
      </c>
      <c r="D1187" s="5">
        <f>IFERROR(INDEX('Base de sorteio'!$A$3:$A$1723,MATCH($B1187&amp;"|"&amp;$C1187,'Base de sorteio'!$I$3:$I$1723,0)),"")</f>
        <v/>
      </c>
      <c r="E1187" s="4">
        <f>IFERROR(INDEX('Base de sorteio'!$B$3:$B$1723,MATCH($B1187&amp;"|"&amp;$C1187,'Base de sorteio'!$I$3:$I$1723,0)),"")</f>
        <v/>
      </c>
      <c r="F1187" s="4">
        <f>IFERROR(INDEX('Base de sorteio'!$C$3:$C$1723,MATCH($B1187&amp;"|"&amp;$C1187,'Base de sorteio'!$I$3:$I$1723,0)),"")</f>
        <v/>
      </c>
      <c r="G1187" s="4">
        <f>IFERROR(INDEX('Base de sorteio'!$D$3:$D$1723,MATCH($B1187&amp;"|"&amp;$C1187,'Base de sorteio'!$I$3:$I$1723,0)),"")</f>
        <v/>
      </c>
      <c r="H1187" s="4">
        <f>IFERROR(INDEX('Base de sorteio'!$E$3:$E$1723,MATCH($B1187&amp;"|"&amp;$C1187,'Base de sorteio'!$I$3:$I$1723,0)),"")</f>
        <v/>
      </c>
      <c r="I1187" s="4">
        <f>IF(E1187="","",HYPERLINK(IFERROR(INDEX('Base de sorteio'!$J$3:$J$1723,MATCH($B1187&amp;"|"&amp;$C1187,'Base de sorteio'!$I$3:$I$1723,0)),""),"abrir"))</f>
        <v/>
      </c>
      <c r="J1187" s="4" t="n"/>
      <c r="K1187" s="4" t="n"/>
      <c r="L1187" s="4" t="n"/>
      <c r="M1187" s="4" t="n"/>
      <c r="N1187" s="4">
        <f>IF(AND(K1187="",M1187=""),"",IF(OR(K1187="sim",M1187="sim"),"sim",IF(OR(K1187="inconclusivo",M1187="inconclusivo"),"inconclusivo","não")))</f>
        <v/>
      </c>
      <c r="O1187" s="5">
        <f>IF(N1187="sim",COUNTIFS($B$3:$B1187,$B1187,$N$3:$N1187,"sim"),"")</f>
        <v/>
      </c>
      <c r="P1187" s="5" t="n"/>
      <c r="Q1187" s="4" t="n"/>
      <c r="R1187" s="5" t="n"/>
      <c r="S1187" s="9" t="n"/>
      <c r="T1187" s="4" t="n"/>
    </row>
    <row r="1188">
      <c r="A1188" s="5">
        <f>ROW()-2</f>
        <v/>
      </c>
      <c r="B1188" s="4" t="inlineStr">
        <is>
          <t>Capital regional</t>
        </is>
      </c>
      <c r="C1188" s="5" t="n">
        <v>244</v>
      </c>
      <c r="D1188" s="5">
        <f>IFERROR(INDEX('Base de sorteio'!$A$3:$A$1723,MATCH($B1188&amp;"|"&amp;$C1188,'Base de sorteio'!$I$3:$I$1723,0)),"")</f>
        <v/>
      </c>
      <c r="E1188" s="4">
        <f>IFERROR(INDEX('Base de sorteio'!$B$3:$B$1723,MATCH($B1188&amp;"|"&amp;$C1188,'Base de sorteio'!$I$3:$I$1723,0)),"")</f>
        <v/>
      </c>
      <c r="F1188" s="4">
        <f>IFERROR(INDEX('Base de sorteio'!$C$3:$C$1723,MATCH($B1188&amp;"|"&amp;$C1188,'Base de sorteio'!$I$3:$I$1723,0)),"")</f>
        <v/>
      </c>
      <c r="G1188" s="4">
        <f>IFERROR(INDEX('Base de sorteio'!$D$3:$D$1723,MATCH($B1188&amp;"|"&amp;$C1188,'Base de sorteio'!$I$3:$I$1723,0)),"")</f>
        <v/>
      </c>
      <c r="H1188" s="4">
        <f>IFERROR(INDEX('Base de sorteio'!$E$3:$E$1723,MATCH($B1188&amp;"|"&amp;$C1188,'Base de sorteio'!$I$3:$I$1723,0)),"")</f>
        <v/>
      </c>
      <c r="I1188" s="4">
        <f>IF(E1188="","",HYPERLINK(IFERROR(INDEX('Base de sorteio'!$J$3:$J$1723,MATCH($B1188&amp;"|"&amp;$C1188,'Base de sorteio'!$I$3:$I$1723,0)),""),"abrir"))</f>
        <v/>
      </c>
      <c r="J1188" s="4" t="n"/>
      <c r="K1188" s="4" t="n"/>
      <c r="L1188" s="4" t="n"/>
      <c r="M1188" s="4" t="n"/>
      <c r="N1188" s="4">
        <f>IF(AND(K1188="",M1188=""),"",IF(OR(K1188="sim",M1188="sim"),"sim",IF(OR(K1188="inconclusivo",M1188="inconclusivo"),"inconclusivo","não")))</f>
        <v/>
      </c>
      <c r="O1188" s="5">
        <f>IF(N1188="sim",COUNTIFS($B$3:$B1188,$B1188,$N$3:$N1188,"sim"),"")</f>
        <v/>
      </c>
      <c r="P1188" s="5" t="n"/>
      <c r="Q1188" s="4" t="n"/>
      <c r="R1188" s="5" t="n"/>
      <c r="S1188" s="9" t="n"/>
      <c r="T1188" s="4" t="n"/>
    </row>
    <row r="1189">
      <c r="A1189" s="5">
        <f>ROW()-2</f>
        <v/>
      </c>
      <c r="B1189" s="4" t="inlineStr">
        <is>
          <t>Capital regional</t>
        </is>
      </c>
      <c r="C1189" s="5" t="n">
        <v>245</v>
      </c>
      <c r="D1189" s="5">
        <f>IFERROR(INDEX('Base de sorteio'!$A$3:$A$1723,MATCH($B1189&amp;"|"&amp;$C1189,'Base de sorteio'!$I$3:$I$1723,0)),"")</f>
        <v/>
      </c>
      <c r="E1189" s="4">
        <f>IFERROR(INDEX('Base de sorteio'!$B$3:$B$1723,MATCH($B1189&amp;"|"&amp;$C1189,'Base de sorteio'!$I$3:$I$1723,0)),"")</f>
        <v/>
      </c>
      <c r="F1189" s="4">
        <f>IFERROR(INDEX('Base de sorteio'!$C$3:$C$1723,MATCH($B1189&amp;"|"&amp;$C1189,'Base de sorteio'!$I$3:$I$1723,0)),"")</f>
        <v/>
      </c>
      <c r="G1189" s="4">
        <f>IFERROR(INDEX('Base de sorteio'!$D$3:$D$1723,MATCH($B1189&amp;"|"&amp;$C1189,'Base de sorteio'!$I$3:$I$1723,0)),"")</f>
        <v/>
      </c>
      <c r="H1189" s="4">
        <f>IFERROR(INDEX('Base de sorteio'!$E$3:$E$1723,MATCH($B1189&amp;"|"&amp;$C1189,'Base de sorteio'!$I$3:$I$1723,0)),"")</f>
        <v/>
      </c>
      <c r="I1189" s="4">
        <f>IF(E1189="","",HYPERLINK(IFERROR(INDEX('Base de sorteio'!$J$3:$J$1723,MATCH($B1189&amp;"|"&amp;$C1189,'Base de sorteio'!$I$3:$I$1723,0)),""),"abrir"))</f>
        <v/>
      </c>
      <c r="J1189" s="4" t="n"/>
      <c r="K1189" s="4" t="n"/>
      <c r="L1189" s="4" t="n"/>
      <c r="M1189" s="4" t="n"/>
      <c r="N1189" s="4">
        <f>IF(AND(K1189="",M1189=""),"",IF(OR(K1189="sim",M1189="sim"),"sim",IF(OR(K1189="inconclusivo",M1189="inconclusivo"),"inconclusivo","não")))</f>
        <v/>
      </c>
      <c r="O1189" s="5">
        <f>IF(N1189="sim",COUNTIFS($B$3:$B1189,$B1189,$N$3:$N1189,"sim"),"")</f>
        <v/>
      </c>
      <c r="P1189" s="5" t="n"/>
      <c r="Q1189" s="4" t="n"/>
      <c r="R1189" s="5" t="n"/>
      <c r="S1189" s="9" t="n"/>
      <c r="T1189" s="4" t="n"/>
    </row>
    <row r="1190">
      <c r="A1190" s="5">
        <f>ROW()-2</f>
        <v/>
      </c>
      <c r="B1190" s="4" t="inlineStr">
        <is>
          <t>Capital regional</t>
        </is>
      </c>
      <c r="C1190" s="5" t="n">
        <v>246</v>
      </c>
      <c r="D1190" s="5">
        <f>IFERROR(INDEX('Base de sorteio'!$A$3:$A$1723,MATCH($B1190&amp;"|"&amp;$C1190,'Base de sorteio'!$I$3:$I$1723,0)),"")</f>
        <v/>
      </c>
      <c r="E1190" s="4">
        <f>IFERROR(INDEX('Base de sorteio'!$B$3:$B$1723,MATCH($B1190&amp;"|"&amp;$C1190,'Base de sorteio'!$I$3:$I$1723,0)),"")</f>
        <v/>
      </c>
      <c r="F1190" s="4">
        <f>IFERROR(INDEX('Base de sorteio'!$C$3:$C$1723,MATCH($B1190&amp;"|"&amp;$C1190,'Base de sorteio'!$I$3:$I$1723,0)),"")</f>
        <v/>
      </c>
      <c r="G1190" s="4">
        <f>IFERROR(INDEX('Base de sorteio'!$D$3:$D$1723,MATCH($B1190&amp;"|"&amp;$C1190,'Base de sorteio'!$I$3:$I$1723,0)),"")</f>
        <v/>
      </c>
      <c r="H1190" s="4">
        <f>IFERROR(INDEX('Base de sorteio'!$E$3:$E$1723,MATCH($B1190&amp;"|"&amp;$C1190,'Base de sorteio'!$I$3:$I$1723,0)),"")</f>
        <v/>
      </c>
      <c r="I1190" s="4">
        <f>IF(E1190="","",HYPERLINK(IFERROR(INDEX('Base de sorteio'!$J$3:$J$1723,MATCH($B1190&amp;"|"&amp;$C1190,'Base de sorteio'!$I$3:$I$1723,0)),""),"abrir"))</f>
        <v/>
      </c>
      <c r="J1190" s="4" t="n"/>
      <c r="K1190" s="4" t="n"/>
      <c r="L1190" s="4" t="n"/>
      <c r="M1190" s="4" t="n"/>
      <c r="N1190" s="4">
        <f>IF(AND(K1190="",M1190=""),"",IF(OR(K1190="sim",M1190="sim"),"sim",IF(OR(K1190="inconclusivo",M1190="inconclusivo"),"inconclusivo","não")))</f>
        <v/>
      </c>
      <c r="O1190" s="5">
        <f>IF(N1190="sim",COUNTIFS($B$3:$B1190,$B1190,$N$3:$N1190,"sim"),"")</f>
        <v/>
      </c>
      <c r="P1190" s="5" t="n"/>
      <c r="Q1190" s="4" t="n"/>
      <c r="R1190" s="5" t="n"/>
      <c r="S1190" s="9" t="n"/>
      <c r="T1190" s="4" t="n"/>
    </row>
    <row r="1191">
      <c r="A1191" s="5">
        <f>ROW()-2</f>
        <v/>
      </c>
      <c r="B1191" s="4" t="inlineStr">
        <is>
          <t>Capital regional</t>
        </is>
      </c>
      <c r="C1191" s="5" t="n">
        <v>247</v>
      </c>
      <c r="D1191" s="5">
        <f>IFERROR(INDEX('Base de sorteio'!$A$3:$A$1723,MATCH($B1191&amp;"|"&amp;$C1191,'Base de sorteio'!$I$3:$I$1723,0)),"")</f>
        <v/>
      </c>
      <c r="E1191" s="4">
        <f>IFERROR(INDEX('Base de sorteio'!$B$3:$B$1723,MATCH($B1191&amp;"|"&amp;$C1191,'Base de sorteio'!$I$3:$I$1723,0)),"")</f>
        <v/>
      </c>
      <c r="F1191" s="4">
        <f>IFERROR(INDEX('Base de sorteio'!$C$3:$C$1723,MATCH($B1191&amp;"|"&amp;$C1191,'Base de sorteio'!$I$3:$I$1723,0)),"")</f>
        <v/>
      </c>
      <c r="G1191" s="4">
        <f>IFERROR(INDEX('Base de sorteio'!$D$3:$D$1723,MATCH($B1191&amp;"|"&amp;$C1191,'Base de sorteio'!$I$3:$I$1723,0)),"")</f>
        <v/>
      </c>
      <c r="H1191" s="4">
        <f>IFERROR(INDEX('Base de sorteio'!$E$3:$E$1723,MATCH($B1191&amp;"|"&amp;$C1191,'Base de sorteio'!$I$3:$I$1723,0)),"")</f>
        <v/>
      </c>
      <c r="I1191" s="4">
        <f>IF(E1191="","",HYPERLINK(IFERROR(INDEX('Base de sorteio'!$J$3:$J$1723,MATCH($B1191&amp;"|"&amp;$C1191,'Base de sorteio'!$I$3:$I$1723,0)),""),"abrir"))</f>
        <v/>
      </c>
      <c r="J1191" s="4" t="n"/>
      <c r="K1191" s="4" t="n"/>
      <c r="L1191" s="4" t="n"/>
      <c r="M1191" s="4" t="n"/>
      <c r="N1191" s="4">
        <f>IF(AND(K1191="",M1191=""),"",IF(OR(K1191="sim",M1191="sim"),"sim",IF(OR(K1191="inconclusivo",M1191="inconclusivo"),"inconclusivo","não")))</f>
        <v/>
      </c>
      <c r="O1191" s="5">
        <f>IF(N1191="sim",COUNTIFS($B$3:$B1191,$B1191,$N$3:$N1191,"sim"),"")</f>
        <v/>
      </c>
      <c r="P1191" s="5" t="n"/>
      <c r="Q1191" s="4" t="n"/>
      <c r="R1191" s="5" t="n"/>
      <c r="S1191" s="9" t="n"/>
      <c r="T1191" s="4" t="n"/>
    </row>
    <row r="1192">
      <c r="A1192" s="5">
        <f>ROW()-2</f>
        <v/>
      </c>
      <c r="B1192" s="4" t="inlineStr">
        <is>
          <t>Capital regional</t>
        </is>
      </c>
      <c r="C1192" s="5" t="n">
        <v>248</v>
      </c>
      <c r="D1192" s="5">
        <f>IFERROR(INDEX('Base de sorteio'!$A$3:$A$1723,MATCH($B1192&amp;"|"&amp;$C1192,'Base de sorteio'!$I$3:$I$1723,0)),"")</f>
        <v/>
      </c>
      <c r="E1192" s="4">
        <f>IFERROR(INDEX('Base de sorteio'!$B$3:$B$1723,MATCH($B1192&amp;"|"&amp;$C1192,'Base de sorteio'!$I$3:$I$1723,0)),"")</f>
        <v/>
      </c>
      <c r="F1192" s="4">
        <f>IFERROR(INDEX('Base de sorteio'!$C$3:$C$1723,MATCH($B1192&amp;"|"&amp;$C1192,'Base de sorteio'!$I$3:$I$1723,0)),"")</f>
        <v/>
      </c>
      <c r="G1192" s="4">
        <f>IFERROR(INDEX('Base de sorteio'!$D$3:$D$1723,MATCH($B1192&amp;"|"&amp;$C1192,'Base de sorteio'!$I$3:$I$1723,0)),"")</f>
        <v/>
      </c>
      <c r="H1192" s="4">
        <f>IFERROR(INDEX('Base de sorteio'!$E$3:$E$1723,MATCH($B1192&amp;"|"&amp;$C1192,'Base de sorteio'!$I$3:$I$1723,0)),"")</f>
        <v/>
      </c>
      <c r="I1192" s="4">
        <f>IF(E1192="","",HYPERLINK(IFERROR(INDEX('Base de sorteio'!$J$3:$J$1723,MATCH($B1192&amp;"|"&amp;$C1192,'Base de sorteio'!$I$3:$I$1723,0)),""),"abrir"))</f>
        <v/>
      </c>
      <c r="J1192" s="4" t="n"/>
      <c r="K1192" s="4" t="n"/>
      <c r="L1192" s="4" t="n"/>
      <c r="M1192" s="4" t="n"/>
      <c r="N1192" s="4">
        <f>IF(AND(K1192="",M1192=""),"",IF(OR(K1192="sim",M1192="sim"),"sim",IF(OR(K1192="inconclusivo",M1192="inconclusivo"),"inconclusivo","não")))</f>
        <v/>
      </c>
      <c r="O1192" s="5">
        <f>IF(N1192="sim",COUNTIFS($B$3:$B1192,$B1192,$N$3:$N1192,"sim"),"")</f>
        <v/>
      </c>
      <c r="P1192" s="5" t="n"/>
      <c r="Q1192" s="4" t="n"/>
      <c r="R1192" s="5" t="n"/>
      <c r="S1192" s="9" t="n"/>
      <c r="T1192" s="4" t="n"/>
    </row>
    <row r="1193">
      <c r="A1193" s="5">
        <f>ROW()-2</f>
        <v/>
      </c>
      <c r="B1193" s="4" t="inlineStr">
        <is>
          <t>Capital regional</t>
        </is>
      </c>
      <c r="C1193" s="5" t="n">
        <v>249</v>
      </c>
      <c r="D1193" s="5">
        <f>IFERROR(INDEX('Base de sorteio'!$A$3:$A$1723,MATCH($B1193&amp;"|"&amp;$C1193,'Base de sorteio'!$I$3:$I$1723,0)),"")</f>
        <v/>
      </c>
      <c r="E1193" s="4">
        <f>IFERROR(INDEX('Base de sorteio'!$B$3:$B$1723,MATCH($B1193&amp;"|"&amp;$C1193,'Base de sorteio'!$I$3:$I$1723,0)),"")</f>
        <v/>
      </c>
      <c r="F1193" s="4">
        <f>IFERROR(INDEX('Base de sorteio'!$C$3:$C$1723,MATCH($B1193&amp;"|"&amp;$C1193,'Base de sorteio'!$I$3:$I$1723,0)),"")</f>
        <v/>
      </c>
      <c r="G1193" s="4">
        <f>IFERROR(INDEX('Base de sorteio'!$D$3:$D$1723,MATCH($B1193&amp;"|"&amp;$C1193,'Base de sorteio'!$I$3:$I$1723,0)),"")</f>
        <v/>
      </c>
      <c r="H1193" s="4">
        <f>IFERROR(INDEX('Base de sorteio'!$E$3:$E$1723,MATCH($B1193&amp;"|"&amp;$C1193,'Base de sorteio'!$I$3:$I$1723,0)),"")</f>
        <v/>
      </c>
      <c r="I1193" s="4">
        <f>IF(E1193="","",HYPERLINK(IFERROR(INDEX('Base de sorteio'!$J$3:$J$1723,MATCH($B1193&amp;"|"&amp;$C1193,'Base de sorteio'!$I$3:$I$1723,0)),""),"abrir"))</f>
        <v/>
      </c>
      <c r="J1193" s="4" t="n"/>
      <c r="K1193" s="4" t="n"/>
      <c r="L1193" s="4" t="n"/>
      <c r="M1193" s="4" t="n"/>
      <c r="N1193" s="4">
        <f>IF(AND(K1193="",M1193=""),"",IF(OR(K1193="sim",M1193="sim"),"sim",IF(OR(K1193="inconclusivo",M1193="inconclusivo"),"inconclusivo","não")))</f>
        <v/>
      </c>
      <c r="O1193" s="5">
        <f>IF(N1193="sim",COUNTIFS($B$3:$B1193,$B1193,$N$3:$N1193,"sim"),"")</f>
        <v/>
      </c>
      <c r="P1193" s="5" t="n"/>
      <c r="Q1193" s="4" t="n"/>
      <c r="R1193" s="5" t="n"/>
      <c r="S1193" s="9" t="n"/>
      <c r="T1193" s="4" t="n"/>
    </row>
    <row r="1194">
      <c r="A1194" s="5">
        <f>ROW()-2</f>
        <v/>
      </c>
      <c r="B1194" s="4" t="inlineStr">
        <is>
          <t>Capital regional</t>
        </is>
      </c>
      <c r="C1194" s="5" t="n">
        <v>250</v>
      </c>
      <c r="D1194" s="5">
        <f>IFERROR(INDEX('Base de sorteio'!$A$3:$A$1723,MATCH($B1194&amp;"|"&amp;$C1194,'Base de sorteio'!$I$3:$I$1723,0)),"")</f>
        <v/>
      </c>
      <c r="E1194" s="4">
        <f>IFERROR(INDEX('Base de sorteio'!$B$3:$B$1723,MATCH($B1194&amp;"|"&amp;$C1194,'Base de sorteio'!$I$3:$I$1723,0)),"")</f>
        <v/>
      </c>
      <c r="F1194" s="4">
        <f>IFERROR(INDEX('Base de sorteio'!$C$3:$C$1723,MATCH($B1194&amp;"|"&amp;$C1194,'Base de sorteio'!$I$3:$I$1723,0)),"")</f>
        <v/>
      </c>
      <c r="G1194" s="4">
        <f>IFERROR(INDEX('Base de sorteio'!$D$3:$D$1723,MATCH($B1194&amp;"|"&amp;$C1194,'Base de sorteio'!$I$3:$I$1723,0)),"")</f>
        <v/>
      </c>
      <c r="H1194" s="4">
        <f>IFERROR(INDEX('Base de sorteio'!$E$3:$E$1723,MATCH($B1194&amp;"|"&amp;$C1194,'Base de sorteio'!$I$3:$I$1723,0)),"")</f>
        <v/>
      </c>
      <c r="I1194" s="4">
        <f>IF(E1194="","",HYPERLINK(IFERROR(INDEX('Base de sorteio'!$J$3:$J$1723,MATCH($B1194&amp;"|"&amp;$C1194,'Base de sorteio'!$I$3:$I$1723,0)),""),"abrir"))</f>
        <v/>
      </c>
      <c r="J1194" s="4" t="n"/>
      <c r="K1194" s="4" t="n"/>
      <c r="L1194" s="4" t="n"/>
      <c r="M1194" s="4" t="n"/>
      <c r="N1194" s="4">
        <f>IF(AND(K1194="",M1194=""),"",IF(OR(K1194="sim",M1194="sim"),"sim",IF(OR(K1194="inconclusivo",M1194="inconclusivo"),"inconclusivo","não")))</f>
        <v/>
      </c>
      <c r="O1194" s="5">
        <f>IF(N1194="sim",COUNTIFS($B$3:$B1194,$B1194,$N$3:$N1194,"sim"),"")</f>
        <v/>
      </c>
      <c r="P1194" s="5" t="n"/>
      <c r="Q1194" s="4" t="n"/>
      <c r="R1194" s="5" t="n"/>
      <c r="S1194" s="9" t="n"/>
      <c r="T1194" s="4" t="n"/>
    </row>
    <row r="1195">
      <c r="A1195" s="5">
        <f>ROW()-2</f>
        <v/>
      </c>
      <c r="B1195" s="4" t="inlineStr">
        <is>
          <t>Capital regional</t>
        </is>
      </c>
      <c r="C1195" s="5" t="n">
        <v>251</v>
      </c>
      <c r="D1195" s="5">
        <f>IFERROR(INDEX('Base de sorteio'!$A$3:$A$1723,MATCH($B1195&amp;"|"&amp;$C1195,'Base de sorteio'!$I$3:$I$1723,0)),"")</f>
        <v/>
      </c>
      <c r="E1195" s="4">
        <f>IFERROR(INDEX('Base de sorteio'!$B$3:$B$1723,MATCH($B1195&amp;"|"&amp;$C1195,'Base de sorteio'!$I$3:$I$1723,0)),"")</f>
        <v/>
      </c>
      <c r="F1195" s="4">
        <f>IFERROR(INDEX('Base de sorteio'!$C$3:$C$1723,MATCH($B1195&amp;"|"&amp;$C1195,'Base de sorteio'!$I$3:$I$1723,0)),"")</f>
        <v/>
      </c>
      <c r="G1195" s="4">
        <f>IFERROR(INDEX('Base de sorteio'!$D$3:$D$1723,MATCH($B1195&amp;"|"&amp;$C1195,'Base de sorteio'!$I$3:$I$1723,0)),"")</f>
        <v/>
      </c>
      <c r="H1195" s="4">
        <f>IFERROR(INDEX('Base de sorteio'!$E$3:$E$1723,MATCH($B1195&amp;"|"&amp;$C1195,'Base de sorteio'!$I$3:$I$1723,0)),"")</f>
        <v/>
      </c>
      <c r="I1195" s="4">
        <f>IF(E1195="","",HYPERLINK(IFERROR(INDEX('Base de sorteio'!$J$3:$J$1723,MATCH($B1195&amp;"|"&amp;$C1195,'Base de sorteio'!$I$3:$I$1723,0)),""),"abrir"))</f>
        <v/>
      </c>
      <c r="J1195" s="4" t="n"/>
      <c r="K1195" s="4" t="n"/>
      <c r="L1195" s="4" t="n"/>
      <c r="M1195" s="4" t="n"/>
      <c r="N1195" s="4">
        <f>IF(AND(K1195="",M1195=""),"",IF(OR(K1195="sim",M1195="sim"),"sim",IF(OR(K1195="inconclusivo",M1195="inconclusivo"),"inconclusivo","não")))</f>
        <v/>
      </c>
      <c r="O1195" s="5">
        <f>IF(N1195="sim",COUNTIFS($B$3:$B1195,$B1195,$N$3:$N1195,"sim"),"")</f>
        <v/>
      </c>
      <c r="P1195" s="5" t="n"/>
      <c r="Q1195" s="4" t="n"/>
      <c r="R1195" s="5" t="n"/>
      <c r="S1195" s="9" t="n"/>
      <c r="T1195" s="4" t="n"/>
    </row>
    <row r="1196">
      <c r="A1196" s="5">
        <f>ROW()-2</f>
        <v/>
      </c>
      <c r="B1196" s="4" t="inlineStr">
        <is>
          <t>Capital regional</t>
        </is>
      </c>
      <c r="C1196" s="5" t="n">
        <v>252</v>
      </c>
      <c r="D1196" s="5">
        <f>IFERROR(INDEX('Base de sorteio'!$A$3:$A$1723,MATCH($B1196&amp;"|"&amp;$C1196,'Base de sorteio'!$I$3:$I$1723,0)),"")</f>
        <v/>
      </c>
      <c r="E1196" s="4">
        <f>IFERROR(INDEX('Base de sorteio'!$B$3:$B$1723,MATCH($B1196&amp;"|"&amp;$C1196,'Base de sorteio'!$I$3:$I$1723,0)),"")</f>
        <v/>
      </c>
      <c r="F1196" s="4">
        <f>IFERROR(INDEX('Base de sorteio'!$C$3:$C$1723,MATCH($B1196&amp;"|"&amp;$C1196,'Base de sorteio'!$I$3:$I$1723,0)),"")</f>
        <v/>
      </c>
      <c r="G1196" s="4">
        <f>IFERROR(INDEX('Base de sorteio'!$D$3:$D$1723,MATCH($B1196&amp;"|"&amp;$C1196,'Base de sorteio'!$I$3:$I$1723,0)),"")</f>
        <v/>
      </c>
      <c r="H1196" s="4">
        <f>IFERROR(INDEX('Base de sorteio'!$E$3:$E$1723,MATCH($B1196&amp;"|"&amp;$C1196,'Base de sorteio'!$I$3:$I$1723,0)),"")</f>
        <v/>
      </c>
      <c r="I1196" s="4">
        <f>IF(E1196="","",HYPERLINK(IFERROR(INDEX('Base de sorteio'!$J$3:$J$1723,MATCH($B1196&amp;"|"&amp;$C1196,'Base de sorteio'!$I$3:$I$1723,0)),""),"abrir"))</f>
        <v/>
      </c>
      <c r="J1196" s="4" t="n"/>
      <c r="K1196" s="4" t="n"/>
      <c r="L1196" s="4" t="n"/>
      <c r="M1196" s="4" t="n"/>
      <c r="N1196" s="4">
        <f>IF(AND(K1196="",M1196=""),"",IF(OR(K1196="sim",M1196="sim"),"sim",IF(OR(K1196="inconclusivo",M1196="inconclusivo"),"inconclusivo","não")))</f>
        <v/>
      </c>
      <c r="O1196" s="5">
        <f>IF(N1196="sim",COUNTIFS($B$3:$B1196,$B1196,$N$3:$N1196,"sim"),"")</f>
        <v/>
      </c>
      <c r="P1196" s="5" t="n"/>
      <c r="Q1196" s="4" t="n"/>
      <c r="R1196" s="5" t="n"/>
      <c r="S1196" s="9" t="n"/>
      <c r="T1196" s="4" t="n"/>
    </row>
    <row r="1197">
      <c r="A1197" s="5">
        <f>ROW()-2</f>
        <v/>
      </c>
      <c r="B1197" s="4" t="inlineStr">
        <is>
          <t>Capital regional</t>
        </is>
      </c>
      <c r="C1197" s="5" t="n">
        <v>253</v>
      </c>
      <c r="D1197" s="5">
        <f>IFERROR(INDEX('Base de sorteio'!$A$3:$A$1723,MATCH($B1197&amp;"|"&amp;$C1197,'Base de sorteio'!$I$3:$I$1723,0)),"")</f>
        <v/>
      </c>
      <c r="E1197" s="4">
        <f>IFERROR(INDEX('Base de sorteio'!$B$3:$B$1723,MATCH($B1197&amp;"|"&amp;$C1197,'Base de sorteio'!$I$3:$I$1723,0)),"")</f>
        <v/>
      </c>
      <c r="F1197" s="4">
        <f>IFERROR(INDEX('Base de sorteio'!$C$3:$C$1723,MATCH($B1197&amp;"|"&amp;$C1197,'Base de sorteio'!$I$3:$I$1723,0)),"")</f>
        <v/>
      </c>
      <c r="G1197" s="4">
        <f>IFERROR(INDEX('Base de sorteio'!$D$3:$D$1723,MATCH($B1197&amp;"|"&amp;$C1197,'Base de sorteio'!$I$3:$I$1723,0)),"")</f>
        <v/>
      </c>
      <c r="H1197" s="4">
        <f>IFERROR(INDEX('Base de sorteio'!$E$3:$E$1723,MATCH($B1197&amp;"|"&amp;$C1197,'Base de sorteio'!$I$3:$I$1723,0)),"")</f>
        <v/>
      </c>
      <c r="I1197" s="4">
        <f>IF(E1197="","",HYPERLINK(IFERROR(INDEX('Base de sorteio'!$J$3:$J$1723,MATCH($B1197&amp;"|"&amp;$C1197,'Base de sorteio'!$I$3:$I$1723,0)),""),"abrir"))</f>
        <v/>
      </c>
      <c r="J1197" s="4" t="n"/>
      <c r="K1197" s="4" t="n"/>
      <c r="L1197" s="4" t="n"/>
      <c r="M1197" s="4" t="n"/>
      <c r="N1197" s="4">
        <f>IF(AND(K1197="",M1197=""),"",IF(OR(K1197="sim",M1197="sim"),"sim",IF(OR(K1197="inconclusivo",M1197="inconclusivo"),"inconclusivo","não")))</f>
        <v/>
      </c>
      <c r="O1197" s="5">
        <f>IF(N1197="sim",COUNTIFS($B$3:$B1197,$B1197,$N$3:$N1197,"sim"),"")</f>
        <v/>
      </c>
      <c r="P1197" s="5" t="n"/>
      <c r="Q1197" s="4" t="n"/>
      <c r="R1197" s="5" t="n"/>
      <c r="S1197" s="9" t="n"/>
      <c r="T1197" s="4" t="n"/>
    </row>
    <row r="1198">
      <c r="A1198" s="5">
        <f>ROW()-2</f>
        <v/>
      </c>
      <c r="B1198" s="4" t="inlineStr">
        <is>
          <t>Capital regional</t>
        </is>
      </c>
      <c r="C1198" s="5" t="n">
        <v>254</v>
      </c>
      <c r="D1198" s="5">
        <f>IFERROR(INDEX('Base de sorteio'!$A$3:$A$1723,MATCH($B1198&amp;"|"&amp;$C1198,'Base de sorteio'!$I$3:$I$1723,0)),"")</f>
        <v/>
      </c>
      <c r="E1198" s="4">
        <f>IFERROR(INDEX('Base de sorteio'!$B$3:$B$1723,MATCH($B1198&amp;"|"&amp;$C1198,'Base de sorteio'!$I$3:$I$1723,0)),"")</f>
        <v/>
      </c>
      <c r="F1198" s="4">
        <f>IFERROR(INDEX('Base de sorteio'!$C$3:$C$1723,MATCH($B1198&amp;"|"&amp;$C1198,'Base de sorteio'!$I$3:$I$1723,0)),"")</f>
        <v/>
      </c>
      <c r="G1198" s="4">
        <f>IFERROR(INDEX('Base de sorteio'!$D$3:$D$1723,MATCH($B1198&amp;"|"&amp;$C1198,'Base de sorteio'!$I$3:$I$1723,0)),"")</f>
        <v/>
      </c>
      <c r="H1198" s="4">
        <f>IFERROR(INDEX('Base de sorteio'!$E$3:$E$1723,MATCH($B1198&amp;"|"&amp;$C1198,'Base de sorteio'!$I$3:$I$1723,0)),"")</f>
        <v/>
      </c>
      <c r="I1198" s="4">
        <f>IF(E1198="","",HYPERLINK(IFERROR(INDEX('Base de sorteio'!$J$3:$J$1723,MATCH($B1198&amp;"|"&amp;$C1198,'Base de sorteio'!$I$3:$I$1723,0)),""),"abrir"))</f>
        <v/>
      </c>
      <c r="J1198" s="4" t="n"/>
      <c r="K1198" s="4" t="n"/>
      <c r="L1198" s="4" t="n"/>
      <c r="M1198" s="4" t="n"/>
      <c r="N1198" s="4">
        <f>IF(AND(K1198="",M1198=""),"",IF(OR(K1198="sim",M1198="sim"),"sim",IF(OR(K1198="inconclusivo",M1198="inconclusivo"),"inconclusivo","não")))</f>
        <v/>
      </c>
      <c r="O1198" s="5">
        <f>IF(N1198="sim",COUNTIFS($B$3:$B1198,$B1198,$N$3:$N1198,"sim"),"")</f>
        <v/>
      </c>
      <c r="P1198" s="5" t="n"/>
      <c r="Q1198" s="4" t="n"/>
      <c r="R1198" s="5" t="n"/>
      <c r="S1198" s="9" t="n"/>
      <c r="T1198" s="4" t="n"/>
    </row>
    <row r="1199">
      <c r="A1199" s="5">
        <f>ROW()-2</f>
        <v/>
      </c>
      <c r="B1199" s="4" t="inlineStr">
        <is>
          <t>Capital regional</t>
        </is>
      </c>
      <c r="C1199" s="5" t="n">
        <v>255</v>
      </c>
      <c r="D1199" s="5">
        <f>IFERROR(INDEX('Base de sorteio'!$A$3:$A$1723,MATCH($B1199&amp;"|"&amp;$C1199,'Base de sorteio'!$I$3:$I$1723,0)),"")</f>
        <v/>
      </c>
      <c r="E1199" s="4">
        <f>IFERROR(INDEX('Base de sorteio'!$B$3:$B$1723,MATCH($B1199&amp;"|"&amp;$C1199,'Base de sorteio'!$I$3:$I$1723,0)),"")</f>
        <v/>
      </c>
      <c r="F1199" s="4">
        <f>IFERROR(INDEX('Base de sorteio'!$C$3:$C$1723,MATCH($B1199&amp;"|"&amp;$C1199,'Base de sorteio'!$I$3:$I$1723,0)),"")</f>
        <v/>
      </c>
      <c r="G1199" s="4">
        <f>IFERROR(INDEX('Base de sorteio'!$D$3:$D$1723,MATCH($B1199&amp;"|"&amp;$C1199,'Base de sorteio'!$I$3:$I$1723,0)),"")</f>
        <v/>
      </c>
      <c r="H1199" s="4">
        <f>IFERROR(INDEX('Base de sorteio'!$E$3:$E$1723,MATCH($B1199&amp;"|"&amp;$C1199,'Base de sorteio'!$I$3:$I$1723,0)),"")</f>
        <v/>
      </c>
      <c r="I1199" s="4">
        <f>IF(E1199="","",HYPERLINK(IFERROR(INDEX('Base de sorteio'!$J$3:$J$1723,MATCH($B1199&amp;"|"&amp;$C1199,'Base de sorteio'!$I$3:$I$1723,0)),""),"abrir"))</f>
        <v/>
      </c>
      <c r="J1199" s="4" t="n"/>
      <c r="K1199" s="4" t="n"/>
      <c r="L1199" s="4" t="n"/>
      <c r="M1199" s="4" t="n"/>
      <c r="N1199" s="4">
        <f>IF(AND(K1199="",M1199=""),"",IF(OR(K1199="sim",M1199="sim"),"sim",IF(OR(K1199="inconclusivo",M1199="inconclusivo"),"inconclusivo","não")))</f>
        <v/>
      </c>
      <c r="O1199" s="5">
        <f>IF(N1199="sim",COUNTIFS($B$3:$B1199,$B1199,$N$3:$N1199,"sim"),"")</f>
        <v/>
      </c>
      <c r="P1199" s="5" t="n"/>
      <c r="Q1199" s="4" t="n"/>
      <c r="R1199" s="5" t="n"/>
      <c r="S1199" s="9" t="n"/>
      <c r="T1199" s="4" t="n"/>
    </row>
    <row r="1200">
      <c r="A1200" s="5">
        <f>ROW()-2</f>
        <v/>
      </c>
      <c r="B1200" s="4" t="inlineStr">
        <is>
          <t>Capital regional</t>
        </is>
      </c>
      <c r="C1200" s="5" t="n">
        <v>256</v>
      </c>
      <c r="D1200" s="5">
        <f>IFERROR(INDEX('Base de sorteio'!$A$3:$A$1723,MATCH($B1200&amp;"|"&amp;$C1200,'Base de sorteio'!$I$3:$I$1723,0)),"")</f>
        <v/>
      </c>
      <c r="E1200" s="4">
        <f>IFERROR(INDEX('Base de sorteio'!$B$3:$B$1723,MATCH($B1200&amp;"|"&amp;$C1200,'Base de sorteio'!$I$3:$I$1723,0)),"")</f>
        <v/>
      </c>
      <c r="F1200" s="4">
        <f>IFERROR(INDEX('Base de sorteio'!$C$3:$C$1723,MATCH($B1200&amp;"|"&amp;$C1200,'Base de sorteio'!$I$3:$I$1723,0)),"")</f>
        <v/>
      </c>
      <c r="G1200" s="4">
        <f>IFERROR(INDEX('Base de sorteio'!$D$3:$D$1723,MATCH($B1200&amp;"|"&amp;$C1200,'Base de sorteio'!$I$3:$I$1723,0)),"")</f>
        <v/>
      </c>
      <c r="H1200" s="4">
        <f>IFERROR(INDEX('Base de sorteio'!$E$3:$E$1723,MATCH($B1200&amp;"|"&amp;$C1200,'Base de sorteio'!$I$3:$I$1723,0)),"")</f>
        <v/>
      </c>
      <c r="I1200" s="4">
        <f>IF(E1200="","",HYPERLINK(IFERROR(INDEX('Base de sorteio'!$J$3:$J$1723,MATCH($B1200&amp;"|"&amp;$C1200,'Base de sorteio'!$I$3:$I$1723,0)),""),"abrir"))</f>
        <v/>
      </c>
      <c r="J1200" s="4" t="n"/>
      <c r="K1200" s="4" t="n"/>
      <c r="L1200" s="4" t="n"/>
      <c r="M1200" s="4" t="n"/>
      <c r="N1200" s="4">
        <f>IF(AND(K1200="",M1200=""),"",IF(OR(K1200="sim",M1200="sim"),"sim",IF(OR(K1200="inconclusivo",M1200="inconclusivo"),"inconclusivo","não")))</f>
        <v/>
      </c>
      <c r="O1200" s="5">
        <f>IF(N1200="sim",COUNTIFS($B$3:$B1200,$B1200,$N$3:$N1200,"sim"),"")</f>
        <v/>
      </c>
      <c r="P1200" s="5" t="n"/>
      <c r="Q1200" s="4" t="n"/>
      <c r="R1200" s="5" t="n"/>
      <c r="S1200" s="9" t="n"/>
      <c r="T1200" s="4" t="n"/>
    </row>
    <row r="1201">
      <c r="A1201" s="5">
        <f>ROW()-2</f>
        <v/>
      </c>
      <c r="B1201" s="4" t="inlineStr">
        <is>
          <t>Capital regional</t>
        </is>
      </c>
      <c r="C1201" s="5" t="n">
        <v>257</v>
      </c>
      <c r="D1201" s="5">
        <f>IFERROR(INDEX('Base de sorteio'!$A$3:$A$1723,MATCH($B1201&amp;"|"&amp;$C1201,'Base de sorteio'!$I$3:$I$1723,0)),"")</f>
        <v/>
      </c>
      <c r="E1201" s="4">
        <f>IFERROR(INDEX('Base de sorteio'!$B$3:$B$1723,MATCH($B1201&amp;"|"&amp;$C1201,'Base de sorteio'!$I$3:$I$1723,0)),"")</f>
        <v/>
      </c>
      <c r="F1201" s="4">
        <f>IFERROR(INDEX('Base de sorteio'!$C$3:$C$1723,MATCH($B1201&amp;"|"&amp;$C1201,'Base de sorteio'!$I$3:$I$1723,0)),"")</f>
        <v/>
      </c>
      <c r="G1201" s="4">
        <f>IFERROR(INDEX('Base de sorteio'!$D$3:$D$1723,MATCH($B1201&amp;"|"&amp;$C1201,'Base de sorteio'!$I$3:$I$1723,0)),"")</f>
        <v/>
      </c>
      <c r="H1201" s="4">
        <f>IFERROR(INDEX('Base de sorteio'!$E$3:$E$1723,MATCH($B1201&amp;"|"&amp;$C1201,'Base de sorteio'!$I$3:$I$1723,0)),"")</f>
        <v/>
      </c>
      <c r="I1201" s="4">
        <f>IF(E1201="","",HYPERLINK(IFERROR(INDEX('Base de sorteio'!$J$3:$J$1723,MATCH($B1201&amp;"|"&amp;$C1201,'Base de sorteio'!$I$3:$I$1723,0)),""),"abrir"))</f>
        <v/>
      </c>
      <c r="J1201" s="4" t="n"/>
      <c r="K1201" s="4" t="n"/>
      <c r="L1201" s="4" t="n"/>
      <c r="M1201" s="4" t="n"/>
      <c r="N1201" s="4">
        <f>IF(AND(K1201="",M1201=""),"",IF(OR(K1201="sim",M1201="sim"),"sim",IF(OR(K1201="inconclusivo",M1201="inconclusivo"),"inconclusivo","não")))</f>
        <v/>
      </c>
      <c r="O1201" s="5">
        <f>IF(N1201="sim",COUNTIFS($B$3:$B1201,$B1201,$N$3:$N1201,"sim"),"")</f>
        <v/>
      </c>
      <c r="P1201" s="5" t="n"/>
      <c r="Q1201" s="4" t="n"/>
      <c r="R1201" s="5" t="n"/>
      <c r="S1201" s="9" t="n"/>
      <c r="T1201" s="4" t="n"/>
    </row>
    <row r="1202">
      <c r="A1202" s="5">
        <f>ROW()-2</f>
        <v/>
      </c>
      <c r="B1202" s="4" t="inlineStr">
        <is>
          <t>Capital regional</t>
        </is>
      </c>
      <c r="C1202" s="5" t="n">
        <v>258</v>
      </c>
      <c r="D1202" s="5">
        <f>IFERROR(INDEX('Base de sorteio'!$A$3:$A$1723,MATCH($B1202&amp;"|"&amp;$C1202,'Base de sorteio'!$I$3:$I$1723,0)),"")</f>
        <v/>
      </c>
      <c r="E1202" s="4">
        <f>IFERROR(INDEX('Base de sorteio'!$B$3:$B$1723,MATCH($B1202&amp;"|"&amp;$C1202,'Base de sorteio'!$I$3:$I$1723,0)),"")</f>
        <v/>
      </c>
      <c r="F1202" s="4">
        <f>IFERROR(INDEX('Base de sorteio'!$C$3:$C$1723,MATCH($B1202&amp;"|"&amp;$C1202,'Base de sorteio'!$I$3:$I$1723,0)),"")</f>
        <v/>
      </c>
      <c r="G1202" s="4">
        <f>IFERROR(INDEX('Base de sorteio'!$D$3:$D$1723,MATCH($B1202&amp;"|"&amp;$C1202,'Base de sorteio'!$I$3:$I$1723,0)),"")</f>
        <v/>
      </c>
      <c r="H1202" s="4">
        <f>IFERROR(INDEX('Base de sorteio'!$E$3:$E$1723,MATCH($B1202&amp;"|"&amp;$C1202,'Base de sorteio'!$I$3:$I$1723,0)),"")</f>
        <v/>
      </c>
      <c r="I1202" s="4">
        <f>IF(E1202="","",HYPERLINK(IFERROR(INDEX('Base de sorteio'!$J$3:$J$1723,MATCH($B1202&amp;"|"&amp;$C1202,'Base de sorteio'!$I$3:$I$1723,0)),""),"abrir"))</f>
        <v/>
      </c>
      <c r="J1202" s="4" t="n"/>
      <c r="K1202" s="4" t="n"/>
      <c r="L1202" s="4" t="n"/>
      <c r="M1202" s="4" t="n"/>
      <c r="N1202" s="4">
        <f>IF(AND(K1202="",M1202=""),"",IF(OR(K1202="sim",M1202="sim"),"sim",IF(OR(K1202="inconclusivo",M1202="inconclusivo"),"inconclusivo","não")))</f>
        <v/>
      </c>
      <c r="O1202" s="5">
        <f>IF(N1202="sim",COUNTIFS($B$3:$B1202,$B1202,$N$3:$N1202,"sim"),"")</f>
        <v/>
      </c>
      <c r="P1202" s="5" t="n"/>
      <c r="Q1202" s="4" t="n"/>
      <c r="R1202" s="5" t="n"/>
      <c r="S1202" s="9" t="n"/>
      <c r="T1202" s="4" t="n"/>
    </row>
    <row r="1203">
      <c r="A1203" s="5">
        <f>ROW()-2</f>
        <v/>
      </c>
      <c r="B1203" s="4" t="inlineStr">
        <is>
          <t>Capital regional</t>
        </is>
      </c>
      <c r="C1203" s="5" t="n">
        <v>259</v>
      </c>
      <c r="D1203" s="5">
        <f>IFERROR(INDEX('Base de sorteio'!$A$3:$A$1723,MATCH($B1203&amp;"|"&amp;$C1203,'Base de sorteio'!$I$3:$I$1723,0)),"")</f>
        <v/>
      </c>
      <c r="E1203" s="4">
        <f>IFERROR(INDEX('Base de sorteio'!$B$3:$B$1723,MATCH($B1203&amp;"|"&amp;$C1203,'Base de sorteio'!$I$3:$I$1723,0)),"")</f>
        <v/>
      </c>
      <c r="F1203" s="4">
        <f>IFERROR(INDEX('Base de sorteio'!$C$3:$C$1723,MATCH($B1203&amp;"|"&amp;$C1203,'Base de sorteio'!$I$3:$I$1723,0)),"")</f>
        <v/>
      </c>
      <c r="G1203" s="4">
        <f>IFERROR(INDEX('Base de sorteio'!$D$3:$D$1723,MATCH($B1203&amp;"|"&amp;$C1203,'Base de sorteio'!$I$3:$I$1723,0)),"")</f>
        <v/>
      </c>
      <c r="H1203" s="4">
        <f>IFERROR(INDEX('Base de sorteio'!$E$3:$E$1723,MATCH($B1203&amp;"|"&amp;$C1203,'Base de sorteio'!$I$3:$I$1723,0)),"")</f>
        <v/>
      </c>
      <c r="I1203" s="4">
        <f>IF(E1203="","",HYPERLINK(IFERROR(INDEX('Base de sorteio'!$J$3:$J$1723,MATCH($B1203&amp;"|"&amp;$C1203,'Base de sorteio'!$I$3:$I$1723,0)),""),"abrir"))</f>
        <v/>
      </c>
      <c r="J1203" s="4" t="n"/>
      <c r="K1203" s="4" t="n"/>
      <c r="L1203" s="4" t="n"/>
      <c r="M1203" s="4" t="n"/>
      <c r="N1203" s="4">
        <f>IF(AND(K1203="",M1203=""),"",IF(OR(K1203="sim",M1203="sim"),"sim",IF(OR(K1203="inconclusivo",M1203="inconclusivo"),"inconclusivo","não")))</f>
        <v/>
      </c>
      <c r="O1203" s="5">
        <f>IF(N1203="sim",COUNTIFS($B$3:$B1203,$B1203,$N$3:$N1203,"sim"),"")</f>
        <v/>
      </c>
      <c r="P1203" s="5" t="n"/>
      <c r="Q1203" s="4" t="n"/>
      <c r="R1203" s="5" t="n"/>
      <c r="S1203" s="9" t="n"/>
      <c r="T1203" s="4" t="n"/>
    </row>
    <row r="1204">
      <c r="A1204" s="5">
        <f>ROW()-2</f>
        <v/>
      </c>
      <c r="B1204" s="4" t="inlineStr">
        <is>
          <t>Capital regional</t>
        </is>
      </c>
      <c r="C1204" s="5" t="n">
        <v>260</v>
      </c>
      <c r="D1204" s="5">
        <f>IFERROR(INDEX('Base de sorteio'!$A$3:$A$1723,MATCH($B1204&amp;"|"&amp;$C1204,'Base de sorteio'!$I$3:$I$1723,0)),"")</f>
        <v/>
      </c>
      <c r="E1204" s="4">
        <f>IFERROR(INDEX('Base de sorteio'!$B$3:$B$1723,MATCH($B1204&amp;"|"&amp;$C1204,'Base de sorteio'!$I$3:$I$1723,0)),"")</f>
        <v/>
      </c>
      <c r="F1204" s="4">
        <f>IFERROR(INDEX('Base de sorteio'!$C$3:$C$1723,MATCH($B1204&amp;"|"&amp;$C1204,'Base de sorteio'!$I$3:$I$1723,0)),"")</f>
        <v/>
      </c>
      <c r="G1204" s="4">
        <f>IFERROR(INDEX('Base de sorteio'!$D$3:$D$1723,MATCH($B1204&amp;"|"&amp;$C1204,'Base de sorteio'!$I$3:$I$1723,0)),"")</f>
        <v/>
      </c>
      <c r="H1204" s="4">
        <f>IFERROR(INDEX('Base de sorteio'!$E$3:$E$1723,MATCH($B1204&amp;"|"&amp;$C1204,'Base de sorteio'!$I$3:$I$1723,0)),"")</f>
        <v/>
      </c>
      <c r="I1204" s="4">
        <f>IF(E1204="","",HYPERLINK(IFERROR(INDEX('Base de sorteio'!$J$3:$J$1723,MATCH($B1204&amp;"|"&amp;$C1204,'Base de sorteio'!$I$3:$I$1723,0)),""),"abrir"))</f>
        <v/>
      </c>
      <c r="J1204" s="4" t="n"/>
      <c r="K1204" s="4" t="n"/>
      <c r="L1204" s="4" t="n"/>
      <c r="M1204" s="4" t="n"/>
      <c r="N1204" s="4">
        <f>IF(AND(K1204="",M1204=""),"",IF(OR(K1204="sim",M1204="sim"),"sim",IF(OR(K1204="inconclusivo",M1204="inconclusivo"),"inconclusivo","não")))</f>
        <v/>
      </c>
      <c r="O1204" s="5">
        <f>IF(N1204="sim",COUNTIFS($B$3:$B1204,$B1204,$N$3:$N1204,"sim"),"")</f>
        <v/>
      </c>
      <c r="P1204" s="5" t="n"/>
      <c r="Q1204" s="4" t="n"/>
      <c r="R1204" s="5" t="n"/>
      <c r="S1204" s="9" t="n"/>
      <c r="T1204" s="4" t="n"/>
    </row>
    <row r="1205">
      <c r="A1205" s="5">
        <f>ROW()-2</f>
        <v/>
      </c>
      <c r="B1205" s="4" t="inlineStr">
        <is>
          <t>Capital regional</t>
        </is>
      </c>
      <c r="C1205" s="5" t="n">
        <v>261</v>
      </c>
      <c r="D1205" s="5">
        <f>IFERROR(INDEX('Base de sorteio'!$A$3:$A$1723,MATCH($B1205&amp;"|"&amp;$C1205,'Base de sorteio'!$I$3:$I$1723,0)),"")</f>
        <v/>
      </c>
      <c r="E1205" s="4">
        <f>IFERROR(INDEX('Base de sorteio'!$B$3:$B$1723,MATCH($B1205&amp;"|"&amp;$C1205,'Base de sorteio'!$I$3:$I$1723,0)),"")</f>
        <v/>
      </c>
      <c r="F1205" s="4">
        <f>IFERROR(INDEX('Base de sorteio'!$C$3:$C$1723,MATCH($B1205&amp;"|"&amp;$C1205,'Base de sorteio'!$I$3:$I$1723,0)),"")</f>
        <v/>
      </c>
      <c r="G1205" s="4">
        <f>IFERROR(INDEX('Base de sorteio'!$D$3:$D$1723,MATCH($B1205&amp;"|"&amp;$C1205,'Base de sorteio'!$I$3:$I$1723,0)),"")</f>
        <v/>
      </c>
      <c r="H1205" s="4">
        <f>IFERROR(INDEX('Base de sorteio'!$E$3:$E$1723,MATCH($B1205&amp;"|"&amp;$C1205,'Base de sorteio'!$I$3:$I$1723,0)),"")</f>
        <v/>
      </c>
      <c r="I1205" s="4">
        <f>IF(E1205="","",HYPERLINK(IFERROR(INDEX('Base de sorteio'!$J$3:$J$1723,MATCH($B1205&amp;"|"&amp;$C1205,'Base de sorteio'!$I$3:$I$1723,0)),""),"abrir"))</f>
        <v/>
      </c>
      <c r="J1205" s="4" t="n"/>
      <c r="K1205" s="4" t="n"/>
      <c r="L1205" s="4" t="n"/>
      <c r="M1205" s="4" t="n"/>
      <c r="N1205" s="4">
        <f>IF(AND(K1205="",M1205=""),"",IF(OR(K1205="sim",M1205="sim"),"sim",IF(OR(K1205="inconclusivo",M1205="inconclusivo"),"inconclusivo","não")))</f>
        <v/>
      </c>
      <c r="O1205" s="5">
        <f>IF(N1205="sim",COUNTIFS($B$3:$B1205,$B1205,$N$3:$N1205,"sim"),"")</f>
        <v/>
      </c>
      <c r="P1205" s="5" t="n"/>
      <c r="Q1205" s="4" t="n"/>
      <c r="R1205" s="5" t="n"/>
      <c r="S1205" s="9" t="n"/>
      <c r="T1205" s="4" t="n"/>
    </row>
    <row r="1206">
      <c r="A1206" s="5">
        <f>ROW()-2</f>
        <v/>
      </c>
      <c r="B1206" s="4" t="inlineStr">
        <is>
          <t>Capital regional</t>
        </is>
      </c>
      <c r="C1206" s="5" t="n">
        <v>262</v>
      </c>
      <c r="D1206" s="5">
        <f>IFERROR(INDEX('Base de sorteio'!$A$3:$A$1723,MATCH($B1206&amp;"|"&amp;$C1206,'Base de sorteio'!$I$3:$I$1723,0)),"")</f>
        <v/>
      </c>
      <c r="E1206" s="4">
        <f>IFERROR(INDEX('Base de sorteio'!$B$3:$B$1723,MATCH($B1206&amp;"|"&amp;$C1206,'Base de sorteio'!$I$3:$I$1723,0)),"")</f>
        <v/>
      </c>
      <c r="F1206" s="4">
        <f>IFERROR(INDEX('Base de sorteio'!$C$3:$C$1723,MATCH($B1206&amp;"|"&amp;$C1206,'Base de sorteio'!$I$3:$I$1723,0)),"")</f>
        <v/>
      </c>
      <c r="G1206" s="4">
        <f>IFERROR(INDEX('Base de sorteio'!$D$3:$D$1723,MATCH($B1206&amp;"|"&amp;$C1206,'Base de sorteio'!$I$3:$I$1723,0)),"")</f>
        <v/>
      </c>
      <c r="H1206" s="4">
        <f>IFERROR(INDEX('Base de sorteio'!$E$3:$E$1723,MATCH($B1206&amp;"|"&amp;$C1206,'Base de sorteio'!$I$3:$I$1723,0)),"")</f>
        <v/>
      </c>
      <c r="I1206" s="4">
        <f>IF(E1206="","",HYPERLINK(IFERROR(INDEX('Base de sorteio'!$J$3:$J$1723,MATCH($B1206&amp;"|"&amp;$C1206,'Base de sorteio'!$I$3:$I$1723,0)),""),"abrir"))</f>
        <v/>
      </c>
      <c r="J1206" s="4" t="n"/>
      <c r="K1206" s="4" t="n"/>
      <c r="L1206" s="4" t="n"/>
      <c r="M1206" s="4" t="n"/>
      <c r="N1206" s="4">
        <f>IF(AND(K1206="",M1206=""),"",IF(OR(K1206="sim",M1206="sim"),"sim",IF(OR(K1206="inconclusivo",M1206="inconclusivo"),"inconclusivo","não")))</f>
        <v/>
      </c>
      <c r="O1206" s="5">
        <f>IF(N1206="sim",COUNTIFS($B$3:$B1206,$B1206,$N$3:$N1206,"sim"),"")</f>
        <v/>
      </c>
      <c r="P1206" s="5" t="n"/>
      <c r="Q1206" s="4" t="n"/>
      <c r="R1206" s="5" t="n"/>
      <c r="S1206" s="9" t="n"/>
      <c r="T1206" s="4" t="n"/>
    </row>
    <row r="1207">
      <c r="A1207" s="5">
        <f>ROW()-2</f>
        <v/>
      </c>
      <c r="B1207" s="4" t="inlineStr">
        <is>
          <t>Capital regional</t>
        </is>
      </c>
      <c r="C1207" s="5" t="n">
        <v>263</v>
      </c>
      <c r="D1207" s="5">
        <f>IFERROR(INDEX('Base de sorteio'!$A$3:$A$1723,MATCH($B1207&amp;"|"&amp;$C1207,'Base de sorteio'!$I$3:$I$1723,0)),"")</f>
        <v/>
      </c>
      <c r="E1207" s="4">
        <f>IFERROR(INDEX('Base de sorteio'!$B$3:$B$1723,MATCH($B1207&amp;"|"&amp;$C1207,'Base de sorteio'!$I$3:$I$1723,0)),"")</f>
        <v/>
      </c>
      <c r="F1207" s="4">
        <f>IFERROR(INDEX('Base de sorteio'!$C$3:$C$1723,MATCH($B1207&amp;"|"&amp;$C1207,'Base de sorteio'!$I$3:$I$1723,0)),"")</f>
        <v/>
      </c>
      <c r="G1207" s="4">
        <f>IFERROR(INDEX('Base de sorteio'!$D$3:$D$1723,MATCH($B1207&amp;"|"&amp;$C1207,'Base de sorteio'!$I$3:$I$1723,0)),"")</f>
        <v/>
      </c>
      <c r="H1207" s="4">
        <f>IFERROR(INDEX('Base de sorteio'!$E$3:$E$1723,MATCH($B1207&amp;"|"&amp;$C1207,'Base de sorteio'!$I$3:$I$1723,0)),"")</f>
        <v/>
      </c>
      <c r="I1207" s="4">
        <f>IF(E1207="","",HYPERLINK(IFERROR(INDEX('Base de sorteio'!$J$3:$J$1723,MATCH($B1207&amp;"|"&amp;$C1207,'Base de sorteio'!$I$3:$I$1723,0)),""),"abrir"))</f>
        <v/>
      </c>
      <c r="J1207" s="4" t="n"/>
      <c r="K1207" s="4" t="n"/>
      <c r="L1207" s="4" t="n"/>
      <c r="M1207" s="4" t="n"/>
      <c r="N1207" s="4">
        <f>IF(AND(K1207="",M1207=""),"",IF(OR(K1207="sim",M1207="sim"),"sim",IF(OR(K1207="inconclusivo",M1207="inconclusivo"),"inconclusivo","não")))</f>
        <v/>
      </c>
      <c r="O1207" s="5">
        <f>IF(N1207="sim",COUNTIFS($B$3:$B1207,$B1207,$N$3:$N1207,"sim"),"")</f>
        <v/>
      </c>
      <c r="P1207" s="5" t="n"/>
      <c r="Q1207" s="4" t="n"/>
      <c r="R1207" s="5" t="n"/>
      <c r="S1207" s="9" t="n"/>
      <c r="T1207" s="4" t="n"/>
    </row>
    <row r="1208">
      <c r="A1208" s="5">
        <f>ROW()-2</f>
        <v/>
      </c>
      <c r="B1208" s="4" t="inlineStr">
        <is>
          <t>Capital regional</t>
        </is>
      </c>
      <c r="C1208" s="5" t="n">
        <v>264</v>
      </c>
      <c r="D1208" s="5">
        <f>IFERROR(INDEX('Base de sorteio'!$A$3:$A$1723,MATCH($B1208&amp;"|"&amp;$C1208,'Base de sorteio'!$I$3:$I$1723,0)),"")</f>
        <v/>
      </c>
      <c r="E1208" s="4">
        <f>IFERROR(INDEX('Base de sorteio'!$B$3:$B$1723,MATCH($B1208&amp;"|"&amp;$C1208,'Base de sorteio'!$I$3:$I$1723,0)),"")</f>
        <v/>
      </c>
      <c r="F1208" s="4">
        <f>IFERROR(INDEX('Base de sorteio'!$C$3:$C$1723,MATCH($B1208&amp;"|"&amp;$C1208,'Base de sorteio'!$I$3:$I$1723,0)),"")</f>
        <v/>
      </c>
      <c r="G1208" s="4">
        <f>IFERROR(INDEX('Base de sorteio'!$D$3:$D$1723,MATCH($B1208&amp;"|"&amp;$C1208,'Base de sorteio'!$I$3:$I$1723,0)),"")</f>
        <v/>
      </c>
      <c r="H1208" s="4">
        <f>IFERROR(INDEX('Base de sorteio'!$E$3:$E$1723,MATCH($B1208&amp;"|"&amp;$C1208,'Base de sorteio'!$I$3:$I$1723,0)),"")</f>
        <v/>
      </c>
      <c r="I1208" s="4">
        <f>IF(E1208="","",HYPERLINK(IFERROR(INDEX('Base de sorteio'!$J$3:$J$1723,MATCH($B1208&amp;"|"&amp;$C1208,'Base de sorteio'!$I$3:$I$1723,0)),""),"abrir"))</f>
        <v/>
      </c>
      <c r="J1208" s="4" t="n"/>
      <c r="K1208" s="4" t="n"/>
      <c r="L1208" s="4" t="n"/>
      <c r="M1208" s="4" t="n"/>
      <c r="N1208" s="4">
        <f>IF(AND(K1208="",M1208=""),"",IF(OR(K1208="sim",M1208="sim"),"sim",IF(OR(K1208="inconclusivo",M1208="inconclusivo"),"inconclusivo","não")))</f>
        <v/>
      </c>
      <c r="O1208" s="5">
        <f>IF(N1208="sim",COUNTIFS($B$3:$B1208,$B1208,$N$3:$N1208,"sim"),"")</f>
        <v/>
      </c>
      <c r="P1208" s="5" t="n"/>
      <c r="Q1208" s="4" t="n"/>
      <c r="R1208" s="5" t="n"/>
      <c r="S1208" s="9" t="n"/>
      <c r="T1208" s="4" t="n"/>
    </row>
    <row r="1209">
      <c r="A1209" s="5">
        <f>ROW()-2</f>
        <v/>
      </c>
      <c r="B1209" s="4" t="inlineStr">
        <is>
          <t>Capital regional</t>
        </is>
      </c>
      <c r="C1209" s="5" t="n">
        <v>265</v>
      </c>
      <c r="D1209" s="5">
        <f>IFERROR(INDEX('Base de sorteio'!$A$3:$A$1723,MATCH($B1209&amp;"|"&amp;$C1209,'Base de sorteio'!$I$3:$I$1723,0)),"")</f>
        <v/>
      </c>
      <c r="E1209" s="4">
        <f>IFERROR(INDEX('Base de sorteio'!$B$3:$B$1723,MATCH($B1209&amp;"|"&amp;$C1209,'Base de sorteio'!$I$3:$I$1723,0)),"")</f>
        <v/>
      </c>
      <c r="F1209" s="4">
        <f>IFERROR(INDEX('Base de sorteio'!$C$3:$C$1723,MATCH($B1209&amp;"|"&amp;$C1209,'Base de sorteio'!$I$3:$I$1723,0)),"")</f>
        <v/>
      </c>
      <c r="G1209" s="4">
        <f>IFERROR(INDEX('Base de sorteio'!$D$3:$D$1723,MATCH($B1209&amp;"|"&amp;$C1209,'Base de sorteio'!$I$3:$I$1723,0)),"")</f>
        <v/>
      </c>
      <c r="H1209" s="4">
        <f>IFERROR(INDEX('Base de sorteio'!$E$3:$E$1723,MATCH($B1209&amp;"|"&amp;$C1209,'Base de sorteio'!$I$3:$I$1723,0)),"")</f>
        <v/>
      </c>
      <c r="I1209" s="4">
        <f>IF(E1209="","",HYPERLINK(IFERROR(INDEX('Base de sorteio'!$J$3:$J$1723,MATCH($B1209&amp;"|"&amp;$C1209,'Base de sorteio'!$I$3:$I$1723,0)),""),"abrir"))</f>
        <v/>
      </c>
      <c r="J1209" s="4" t="n"/>
      <c r="K1209" s="4" t="n"/>
      <c r="L1209" s="4" t="n"/>
      <c r="M1209" s="4" t="n"/>
      <c r="N1209" s="4">
        <f>IF(AND(K1209="",M1209=""),"",IF(OR(K1209="sim",M1209="sim"),"sim",IF(OR(K1209="inconclusivo",M1209="inconclusivo"),"inconclusivo","não")))</f>
        <v/>
      </c>
      <c r="O1209" s="5">
        <f>IF(N1209="sim",COUNTIFS($B$3:$B1209,$B1209,$N$3:$N1209,"sim"),"")</f>
        <v/>
      </c>
      <c r="P1209" s="5" t="n"/>
      <c r="Q1209" s="4" t="n"/>
      <c r="R1209" s="5" t="n"/>
      <c r="S1209" s="9" t="n"/>
      <c r="T1209" s="4" t="n"/>
    </row>
    <row r="1210">
      <c r="A1210" s="5">
        <f>ROW()-2</f>
        <v/>
      </c>
      <c r="B1210" s="4" t="inlineStr">
        <is>
          <t>Capital regional</t>
        </is>
      </c>
      <c r="C1210" s="5" t="n">
        <v>266</v>
      </c>
      <c r="D1210" s="5">
        <f>IFERROR(INDEX('Base de sorteio'!$A$3:$A$1723,MATCH($B1210&amp;"|"&amp;$C1210,'Base de sorteio'!$I$3:$I$1723,0)),"")</f>
        <v/>
      </c>
      <c r="E1210" s="4">
        <f>IFERROR(INDEX('Base de sorteio'!$B$3:$B$1723,MATCH($B1210&amp;"|"&amp;$C1210,'Base de sorteio'!$I$3:$I$1723,0)),"")</f>
        <v/>
      </c>
      <c r="F1210" s="4">
        <f>IFERROR(INDEX('Base de sorteio'!$C$3:$C$1723,MATCH($B1210&amp;"|"&amp;$C1210,'Base de sorteio'!$I$3:$I$1723,0)),"")</f>
        <v/>
      </c>
      <c r="G1210" s="4">
        <f>IFERROR(INDEX('Base de sorteio'!$D$3:$D$1723,MATCH($B1210&amp;"|"&amp;$C1210,'Base de sorteio'!$I$3:$I$1723,0)),"")</f>
        <v/>
      </c>
      <c r="H1210" s="4">
        <f>IFERROR(INDEX('Base de sorteio'!$E$3:$E$1723,MATCH($B1210&amp;"|"&amp;$C1210,'Base de sorteio'!$I$3:$I$1723,0)),"")</f>
        <v/>
      </c>
      <c r="I1210" s="4">
        <f>IF(E1210="","",HYPERLINK(IFERROR(INDEX('Base de sorteio'!$J$3:$J$1723,MATCH($B1210&amp;"|"&amp;$C1210,'Base de sorteio'!$I$3:$I$1723,0)),""),"abrir"))</f>
        <v/>
      </c>
      <c r="J1210" s="4" t="n"/>
      <c r="K1210" s="4" t="n"/>
      <c r="L1210" s="4" t="n"/>
      <c r="M1210" s="4" t="n"/>
      <c r="N1210" s="4">
        <f>IF(AND(K1210="",M1210=""),"",IF(OR(K1210="sim",M1210="sim"),"sim",IF(OR(K1210="inconclusivo",M1210="inconclusivo"),"inconclusivo","não")))</f>
        <v/>
      </c>
      <c r="O1210" s="5">
        <f>IF(N1210="sim",COUNTIFS($B$3:$B1210,$B1210,$N$3:$N1210,"sim"),"")</f>
        <v/>
      </c>
      <c r="P1210" s="5" t="n"/>
      <c r="Q1210" s="4" t="n"/>
      <c r="R1210" s="5" t="n"/>
      <c r="S1210" s="9" t="n"/>
      <c r="T1210" s="4" t="n"/>
    </row>
    <row r="1211">
      <c r="A1211" s="5">
        <f>ROW()-2</f>
        <v/>
      </c>
      <c r="B1211" s="4" t="inlineStr">
        <is>
          <t>Capital regional</t>
        </is>
      </c>
      <c r="C1211" s="5" t="n">
        <v>267</v>
      </c>
      <c r="D1211" s="5">
        <f>IFERROR(INDEX('Base de sorteio'!$A$3:$A$1723,MATCH($B1211&amp;"|"&amp;$C1211,'Base de sorteio'!$I$3:$I$1723,0)),"")</f>
        <v/>
      </c>
      <c r="E1211" s="4">
        <f>IFERROR(INDEX('Base de sorteio'!$B$3:$B$1723,MATCH($B1211&amp;"|"&amp;$C1211,'Base de sorteio'!$I$3:$I$1723,0)),"")</f>
        <v/>
      </c>
      <c r="F1211" s="4">
        <f>IFERROR(INDEX('Base de sorteio'!$C$3:$C$1723,MATCH($B1211&amp;"|"&amp;$C1211,'Base de sorteio'!$I$3:$I$1723,0)),"")</f>
        <v/>
      </c>
      <c r="G1211" s="4">
        <f>IFERROR(INDEX('Base de sorteio'!$D$3:$D$1723,MATCH($B1211&amp;"|"&amp;$C1211,'Base de sorteio'!$I$3:$I$1723,0)),"")</f>
        <v/>
      </c>
      <c r="H1211" s="4">
        <f>IFERROR(INDEX('Base de sorteio'!$E$3:$E$1723,MATCH($B1211&amp;"|"&amp;$C1211,'Base de sorteio'!$I$3:$I$1723,0)),"")</f>
        <v/>
      </c>
      <c r="I1211" s="4">
        <f>IF(E1211="","",HYPERLINK(IFERROR(INDEX('Base de sorteio'!$J$3:$J$1723,MATCH($B1211&amp;"|"&amp;$C1211,'Base de sorteio'!$I$3:$I$1723,0)),""),"abrir"))</f>
        <v/>
      </c>
      <c r="J1211" s="4" t="n"/>
      <c r="K1211" s="4" t="n"/>
      <c r="L1211" s="4" t="n"/>
      <c r="M1211" s="4" t="n"/>
      <c r="N1211" s="4">
        <f>IF(AND(K1211="",M1211=""),"",IF(OR(K1211="sim",M1211="sim"),"sim",IF(OR(K1211="inconclusivo",M1211="inconclusivo"),"inconclusivo","não")))</f>
        <v/>
      </c>
      <c r="O1211" s="5">
        <f>IF(N1211="sim",COUNTIFS($B$3:$B1211,$B1211,$N$3:$N1211,"sim"),"")</f>
        <v/>
      </c>
      <c r="P1211" s="5" t="n"/>
      <c r="Q1211" s="4" t="n"/>
      <c r="R1211" s="5" t="n"/>
      <c r="S1211" s="9" t="n"/>
      <c r="T1211" s="4" t="n"/>
    </row>
    <row r="1212">
      <c r="A1212" s="5">
        <f>ROW()-2</f>
        <v/>
      </c>
      <c r="B1212" s="4" t="inlineStr">
        <is>
          <t>Capital regional</t>
        </is>
      </c>
      <c r="C1212" s="5" t="n">
        <v>268</v>
      </c>
      <c r="D1212" s="5">
        <f>IFERROR(INDEX('Base de sorteio'!$A$3:$A$1723,MATCH($B1212&amp;"|"&amp;$C1212,'Base de sorteio'!$I$3:$I$1723,0)),"")</f>
        <v/>
      </c>
      <c r="E1212" s="4">
        <f>IFERROR(INDEX('Base de sorteio'!$B$3:$B$1723,MATCH($B1212&amp;"|"&amp;$C1212,'Base de sorteio'!$I$3:$I$1723,0)),"")</f>
        <v/>
      </c>
      <c r="F1212" s="4">
        <f>IFERROR(INDEX('Base de sorteio'!$C$3:$C$1723,MATCH($B1212&amp;"|"&amp;$C1212,'Base de sorteio'!$I$3:$I$1723,0)),"")</f>
        <v/>
      </c>
      <c r="G1212" s="4">
        <f>IFERROR(INDEX('Base de sorteio'!$D$3:$D$1723,MATCH($B1212&amp;"|"&amp;$C1212,'Base de sorteio'!$I$3:$I$1723,0)),"")</f>
        <v/>
      </c>
      <c r="H1212" s="4">
        <f>IFERROR(INDEX('Base de sorteio'!$E$3:$E$1723,MATCH($B1212&amp;"|"&amp;$C1212,'Base de sorteio'!$I$3:$I$1723,0)),"")</f>
        <v/>
      </c>
      <c r="I1212" s="4">
        <f>IF(E1212="","",HYPERLINK(IFERROR(INDEX('Base de sorteio'!$J$3:$J$1723,MATCH($B1212&amp;"|"&amp;$C1212,'Base de sorteio'!$I$3:$I$1723,0)),""),"abrir"))</f>
        <v/>
      </c>
      <c r="J1212" s="4" t="n"/>
      <c r="K1212" s="4" t="n"/>
      <c r="L1212" s="4" t="n"/>
      <c r="M1212" s="4" t="n"/>
      <c r="N1212" s="4">
        <f>IF(AND(K1212="",M1212=""),"",IF(OR(K1212="sim",M1212="sim"),"sim",IF(OR(K1212="inconclusivo",M1212="inconclusivo"),"inconclusivo","não")))</f>
        <v/>
      </c>
      <c r="O1212" s="5">
        <f>IF(N1212="sim",COUNTIFS($B$3:$B1212,$B1212,$N$3:$N1212,"sim"),"")</f>
        <v/>
      </c>
      <c r="P1212" s="5" t="n"/>
      <c r="Q1212" s="4" t="n"/>
      <c r="R1212" s="5" t="n"/>
      <c r="S1212" s="9" t="n"/>
      <c r="T1212" s="4" t="n"/>
    </row>
    <row r="1213">
      <c r="A1213" s="5">
        <f>ROW()-2</f>
        <v/>
      </c>
      <c r="B1213" s="4" t="inlineStr">
        <is>
          <t>Capital regional</t>
        </is>
      </c>
      <c r="C1213" s="5" t="n">
        <v>269</v>
      </c>
      <c r="D1213" s="5">
        <f>IFERROR(INDEX('Base de sorteio'!$A$3:$A$1723,MATCH($B1213&amp;"|"&amp;$C1213,'Base de sorteio'!$I$3:$I$1723,0)),"")</f>
        <v/>
      </c>
      <c r="E1213" s="4">
        <f>IFERROR(INDEX('Base de sorteio'!$B$3:$B$1723,MATCH($B1213&amp;"|"&amp;$C1213,'Base de sorteio'!$I$3:$I$1723,0)),"")</f>
        <v/>
      </c>
      <c r="F1213" s="4">
        <f>IFERROR(INDEX('Base de sorteio'!$C$3:$C$1723,MATCH($B1213&amp;"|"&amp;$C1213,'Base de sorteio'!$I$3:$I$1723,0)),"")</f>
        <v/>
      </c>
      <c r="G1213" s="4">
        <f>IFERROR(INDEX('Base de sorteio'!$D$3:$D$1723,MATCH($B1213&amp;"|"&amp;$C1213,'Base de sorteio'!$I$3:$I$1723,0)),"")</f>
        <v/>
      </c>
      <c r="H1213" s="4">
        <f>IFERROR(INDEX('Base de sorteio'!$E$3:$E$1723,MATCH($B1213&amp;"|"&amp;$C1213,'Base de sorteio'!$I$3:$I$1723,0)),"")</f>
        <v/>
      </c>
      <c r="I1213" s="4">
        <f>IF(E1213="","",HYPERLINK(IFERROR(INDEX('Base de sorteio'!$J$3:$J$1723,MATCH($B1213&amp;"|"&amp;$C1213,'Base de sorteio'!$I$3:$I$1723,0)),""),"abrir"))</f>
        <v/>
      </c>
      <c r="J1213" s="4" t="n"/>
      <c r="K1213" s="4" t="n"/>
      <c r="L1213" s="4" t="n"/>
      <c r="M1213" s="4" t="n"/>
      <c r="N1213" s="4">
        <f>IF(AND(K1213="",M1213=""),"",IF(OR(K1213="sim",M1213="sim"),"sim",IF(OR(K1213="inconclusivo",M1213="inconclusivo"),"inconclusivo","não")))</f>
        <v/>
      </c>
      <c r="O1213" s="5">
        <f>IF(N1213="sim",COUNTIFS($B$3:$B1213,$B1213,$N$3:$N1213,"sim"),"")</f>
        <v/>
      </c>
      <c r="P1213" s="5" t="n"/>
      <c r="Q1213" s="4" t="n"/>
      <c r="R1213" s="5" t="n"/>
      <c r="S1213" s="9" t="n"/>
      <c r="T1213" s="4" t="n"/>
    </row>
    <row r="1214">
      <c r="A1214" s="5">
        <f>ROW()-2</f>
        <v/>
      </c>
      <c r="B1214" s="4" t="inlineStr">
        <is>
          <t>Capital regional</t>
        </is>
      </c>
      <c r="C1214" s="5" t="n">
        <v>270</v>
      </c>
      <c r="D1214" s="5">
        <f>IFERROR(INDEX('Base de sorteio'!$A$3:$A$1723,MATCH($B1214&amp;"|"&amp;$C1214,'Base de sorteio'!$I$3:$I$1723,0)),"")</f>
        <v/>
      </c>
      <c r="E1214" s="4">
        <f>IFERROR(INDEX('Base de sorteio'!$B$3:$B$1723,MATCH($B1214&amp;"|"&amp;$C1214,'Base de sorteio'!$I$3:$I$1723,0)),"")</f>
        <v/>
      </c>
      <c r="F1214" s="4">
        <f>IFERROR(INDEX('Base de sorteio'!$C$3:$C$1723,MATCH($B1214&amp;"|"&amp;$C1214,'Base de sorteio'!$I$3:$I$1723,0)),"")</f>
        <v/>
      </c>
      <c r="G1214" s="4">
        <f>IFERROR(INDEX('Base de sorteio'!$D$3:$D$1723,MATCH($B1214&amp;"|"&amp;$C1214,'Base de sorteio'!$I$3:$I$1723,0)),"")</f>
        <v/>
      </c>
      <c r="H1214" s="4">
        <f>IFERROR(INDEX('Base de sorteio'!$E$3:$E$1723,MATCH($B1214&amp;"|"&amp;$C1214,'Base de sorteio'!$I$3:$I$1723,0)),"")</f>
        <v/>
      </c>
      <c r="I1214" s="4">
        <f>IF(E1214="","",HYPERLINK(IFERROR(INDEX('Base de sorteio'!$J$3:$J$1723,MATCH($B1214&amp;"|"&amp;$C1214,'Base de sorteio'!$I$3:$I$1723,0)),""),"abrir"))</f>
        <v/>
      </c>
      <c r="J1214" s="4" t="n"/>
      <c r="K1214" s="4" t="n"/>
      <c r="L1214" s="4" t="n"/>
      <c r="M1214" s="4" t="n"/>
      <c r="N1214" s="4">
        <f>IF(AND(K1214="",M1214=""),"",IF(OR(K1214="sim",M1214="sim"),"sim",IF(OR(K1214="inconclusivo",M1214="inconclusivo"),"inconclusivo","não")))</f>
        <v/>
      </c>
      <c r="O1214" s="5">
        <f>IF(N1214="sim",COUNTIFS($B$3:$B1214,$B1214,$N$3:$N1214,"sim"),"")</f>
        <v/>
      </c>
      <c r="P1214" s="5" t="n"/>
      <c r="Q1214" s="4" t="n"/>
      <c r="R1214" s="5" t="n"/>
      <c r="S1214" s="9" t="n"/>
      <c r="T1214" s="4" t="n"/>
    </row>
    <row r="1215">
      <c r="A1215" s="5">
        <f>ROW()-2</f>
        <v/>
      </c>
      <c r="B1215" s="4" t="inlineStr">
        <is>
          <t>Capital regional</t>
        </is>
      </c>
      <c r="C1215" s="5" t="n">
        <v>271</v>
      </c>
      <c r="D1215" s="5">
        <f>IFERROR(INDEX('Base de sorteio'!$A$3:$A$1723,MATCH($B1215&amp;"|"&amp;$C1215,'Base de sorteio'!$I$3:$I$1723,0)),"")</f>
        <v/>
      </c>
      <c r="E1215" s="4">
        <f>IFERROR(INDEX('Base de sorteio'!$B$3:$B$1723,MATCH($B1215&amp;"|"&amp;$C1215,'Base de sorteio'!$I$3:$I$1723,0)),"")</f>
        <v/>
      </c>
      <c r="F1215" s="4">
        <f>IFERROR(INDEX('Base de sorteio'!$C$3:$C$1723,MATCH($B1215&amp;"|"&amp;$C1215,'Base de sorteio'!$I$3:$I$1723,0)),"")</f>
        <v/>
      </c>
      <c r="G1215" s="4">
        <f>IFERROR(INDEX('Base de sorteio'!$D$3:$D$1723,MATCH($B1215&amp;"|"&amp;$C1215,'Base de sorteio'!$I$3:$I$1723,0)),"")</f>
        <v/>
      </c>
      <c r="H1215" s="4">
        <f>IFERROR(INDEX('Base de sorteio'!$E$3:$E$1723,MATCH($B1215&amp;"|"&amp;$C1215,'Base de sorteio'!$I$3:$I$1723,0)),"")</f>
        <v/>
      </c>
      <c r="I1215" s="4">
        <f>IF(E1215="","",HYPERLINK(IFERROR(INDEX('Base de sorteio'!$J$3:$J$1723,MATCH($B1215&amp;"|"&amp;$C1215,'Base de sorteio'!$I$3:$I$1723,0)),""),"abrir"))</f>
        <v/>
      </c>
      <c r="J1215" s="4" t="n"/>
      <c r="K1215" s="4" t="n"/>
      <c r="L1215" s="4" t="n"/>
      <c r="M1215" s="4" t="n"/>
      <c r="N1215" s="4">
        <f>IF(AND(K1215="",M1215=""),"",IF(OR(K1215="sim",M1215="sim"),"sim",IF(OR(K1215="inconclusivo",M1215="inconclusivo"),"inconclusivo","não")))</f>
        <v/>
      </c>
      <c r="O1215" s="5">
        <f>IF(N1215="sim",COUNTIFS($B$3:$B1215,$B1215,$N$3:$N1215,"sim"),"")</f>
        <v/>
      </c>
      <c r="P1215" s="5" t="n"/>
      <c r="Q1215" s="4" t="n"/>
      <c r="R1215" s="5" t="n"/>
      <c r="S1215" s="9" t="n"/>
      <c r="T1215" s="4" t="n"/>
    </row>
    <row r="1216">
      <c r="A1216" s="5">
        <f>ROW()-2</f>
        <v/>
      </c>
      <c r="B1216" s="4" t="inlineStr">
        <is>
          <t>Capital regional</t>
        </is>
      </c>
      <c r="C1216" s="5" t="n">
        <v>272</v>
      </c>
      <c r="D1216" s="5">
        <f>IFERROR(INDEX('Base de sorteio'!$A$3:$A$1723,MATCH($B1216&amp;"|"&amp;$C1216,'Base de sorteio'!$I$3:$I$1723,0)),"")</f>
        <v/>
      </c>
      <c r="E1216" s="4">
        <f>IFERROR(INDEX('Base de sorteio'!$B$3:$B$1723,MATCH($B1216&amp;"|"&amp;$C1216,'Base de sorteio'!$I$3:$I$1723,0)),"")</f>
        <v/>
      </c>
      <c r="F1216" s="4">
        <f>IFERROR(INDEX('Base de sorteio'!$C$3:$C$1723,MATCH($B1216&amp;"|"&amp;$C1216,'Base de sorteio'!$I$3:$I$1723,0)),"")</f>
        <v/>
      </c>
      <c r="G1216" s="4">
        <f>IFERROR(INDEX('Base de sorteio'!$D$3:$D$1723,MATCH($B1216&amp;"|"&amp;$C1216,'Base de sorteio'!$I$3:$I$1723,0)),"")</f>
        <v/>
      </c>
      <c r="H1216" s="4">
        <f>IFERROR(INDEX('Base de sorteio'!$E$3:$E$1723,MATCH($B1216&amp;"|"&amp;$C1216,'Base de sorteio'!$I$3:$I$1723,0)),"")</f>
        <v/>
      </c>
      <c r="I1216" s="4">
        <f>IF(E1216="","",HYPERLINK(IFERROR(INDEX('Base de sorteio'!$J$3:$J$1723,MATCH($B1216&amp;"|"&amp;$C1216,'Base de sorteio'!$I$3:$I$1723,0)),""),"abrir"))</f>
        <v/>
      </c>
      <c r="J1216" s="4" t="n"/>
      <c r="K1216" s="4" t="n"/>
      <c r="L1216" s="4" t="n"/>
      <c r="M1216" s="4" t="n"/>
      <c r="N1216" s="4">
        <f>IF(AND(K1216="",M1216=""),"",IF(OR(K1216="sim",M1216="sim"),"sim",IF(OR(K1216="inconclusivo",M1216="inconclusivo"),"inconclusivo","não")))</f>
        <v/>
      </c>
      <c r="O1216" s="5">
        <f>IF(N1216="sim",COUNTIFS($B$3:$B1216,$B1216,$N$3:$N1216,"sim"),"")</f>
        <v/>
      </c>
      <c r="P1216" s="5" t="n"/>
      <c r="Q1216" s="4" t="n"/>
      <c r="R1216" s="5" t="n"/>
      <c r="S1216" s="9" t="n"/>
      <c r="T1216" s="4" t="n"/>
    </row>
    <row r="1217">
      <c r="A1217" s="5">
        <f>ROW()-2</f>
        <v/>
      </c>
      <c r="B1217" s="4" t="inlineStr">
        <is>
          <t>Capital regional</t>
        </is>
      </c>
      <c r="C1217" s="5" t="n">
        <v>273</v>
      </c>
      <c r="D1217" s="5">
        <f>IFERROR(INDEX('Base de sorteio'!$A$3:$A$1723,MATCH($B1217&amp;"|"&amp;$C1217,'Base de sorteio'!$I$3:$I$1723,0)),"")</f>
        <v/>
      </c>
      <c r="E1217" s="4">
        <f>IFERROR(INDEX('Base de sorteio'!$B$3:$B$1723,MATCH($B1217&amp;"|"&amp;$C1217,'Base de sorteio'!$I$3:$I$1723,0)),"")</f>
        <v/>
      </c>
      <c r="F1217" s="4">
        <f>IFERROR(INDEX('Base de sorteio'!$C$3:$C$1723,MATCH($B1217&amp;"|"&amp;$C1217,'Base de sorteio'!$I$3:$I$1723,0)),"")</f>
        <v/>
      </c>
      <c r="G1217" s="4">
        <f>IFERROR(INDEX('Base de sorteio'!$D$3:$D$1723,MATCH($B1217&amp;"|"&amp;$C1217,'Base de sorteio'!$I$3:$I$1723,0)),"")</f>
        <v/>
      </c>
      <c r="H1217" s="4">
        <f>IFERROR(INDEX('Base de sorteio'!$E$3:$E$1723,MATCH($B1217&amp;"|"&amp;$C1217,'Base de sorteio'!$I$3:$I$1723,0)),"")</f>
        <v/>
      </c>
      <c r="I1217" s="4">
        <f>IF(E1217="","",HYPERLINK(IFERROR(INDEX('Base de sorteio'!$J$3:$J$1723,MATCH($B1217&amp;"|"&amp;$C1217,'Base de sorteio'!$I$3:$I$1723,0)),""),"abrir"))</f>
        <v/>
      </c>
      <c r="J1217" s="4" t="n"/>
      <c r="K1217" s="4" t="n"/>
      <c r="L1217" s="4" t="n"/>
      <c r="M1217" s="4" t="n"/>
      <c r="N1217" s="4">
        <f>IF(AND(K1217="",M1217=""),"",IF(OR(K1217="sim",M1217="sim"),"sim",IF(OR(K1217="inconclusivo",M1217="inconclusivo"),"inconclusivo","não")))</f>
        <v/>
      </c>
      <c r="O1217" s="5">
        <f>IF(N1217="sim",COUNTIFS($B$3:$B1217,$B1217,$N$3:$N1217,"sim"),"")</f>
        <v/>
      </c>
      <c r="P1217" s="5" t="n"/>
      <c r="Q1217" s="4" t="n"/>
      <c r="R1217" s="5" t="n"/>
      <c r="S1217" s="9" t="n"/>
      <c r="T1217" s="4" t="n"/>
    </row>
    <row r="1218">
      <c r="A1218" s="5">
        <f>ROW()-2</f>
        <v/>
      </c>
      <c r="B1218" s="4" t="inlineStr">
        <is>
          <t>Capital regional</t>
        </is>
      </c>
      <c r="C1218" s="5" t="n">
        <v>274</v>
      </c>
      <c r="D1218" s="5">
        <f>IFERROR(INDEX('Base de sorteio'!$A$3:$A$1723,MATCH($B1218&amp;"|"&amp;$C1218,'Base de sorteio'!$I$3:$I$1723,0)),"")</f>
        <v/>
      </c>
      <c r="E1218" s="4">
        <f>IFERROR(INDEX('Base de sorteio'!$B$3:$B$1723,MATCH($B1218&amp;"|"&amp;$C1218,'Base de sorteio'!$I$3:$I$1723,0)),"")</f>
        <v/>
      </c>
      <c r="F1218" s="4">
        <f>IFERROR(INDEX('Base de sorteio'!$C$3:$C$1723,MATCH($B1218&amp;"|"&amp;$C1218,'Base de sorteio'!$I$3:$I$1723,0)),"")</f>
        <v/>
      </c>
      <c r="G1218" s="4">
        <f>IFERROR(INDEX('Base de sorteio'!$D$3:$D$1723,MATCH($B1218&amp;"|"&amp;$C1218,'Base de sorteio'!$I$3:$I$1723,0)),"")</f>
        <v/>
      </c>
      <c r="H1218" s="4">
        <f>IFERROR(INDEX('Base de sorteio'!$E$3:$E$1723,MATCH($B1218&amp;"|"&amp;$C1218,'Base de sorteio'!$I$3:$I$1723,0)),"")</f>
        <v/>
      </c>
      <c r="I1218" s="4">
        <f>IF(E1218="","",HYPERLINK(IFERROR(INDEX('Base de sorteio'!$J$3:$J$1723,MATCH($B1218&amp;"|"&amp;$C1218,'Base de sorteio'!$I$3:$I$1723,0)),""),"abrir"))</f>
        <v/>
      </c>
      <c r="J1218" s="4" t="n"/>
      <c r="K1218" s="4" t="n"/>
      <c r="L1218" s="4" t="n"/>
      <c r="M1218" s="4" t="n"/>
      <c r="N1218" s="4">
        <f>IF(AND(K1218="",M1218=""),"",IF(OR(K1218="sim",M1218="sim"),"sim",IF(OR(K1218="inconclusivo",M1218="inconclusivo"),"inconclusivo","não")))</f>
        <v/>
      </c>
      <c r="O1218" s="5">
        <f>IF(N1218="sim",COUNTIFS($B$3:$B1218,$B1218,$N$3:$N1218,"sim"),"")</f>
        <v/>
      </c>
      <c r="P1218" s="5" t="n"/>
      <c r="Q1218" s="4" t="n"/>
      <c r="R1218" s="5" t="n"/>
      <c r="S1218" s="9" t="n"/>
      <c r="T1218" s="4" t="n"/>
    </row>
    <row r="1219">
      <c r="A1219" s="5">
        <f>ROW()-2</f>
        <v/>
      </c>
      <c r="B1219" s="4" t="inlineStr">
        <is>
          <t>Capital regional</t>
        </is>
      </c>
      <c r="C1219" s="5" t="n">
        <v>275</v>
      </c>
      <c r="D1219" s="5">
        <f>IFERROR(INDEX('Base de sorteio'!$A$3:$A$1723,MATCH($B1219&amp;"|"&amp;$C1219,'Base de sorteio'!$I$3:$I$1723,0)),"")</f>
        <v/>
      </c>
      <c r="E1219" s="4">
        <f>IFERROR(INDEX('Base de sorteio'!$B$3:$B$1723,MATCH($B1219&amp;"|"&amp;$C1219,'Base de sorteio'!$I$3:$I$1723,0)),"")</f>
        <v/>
      </c>
      <c r="F1219" s="4">
        <f>IFERROR(INDEX('Base de sorteio'!$C$3:$C$1723,MATCH($B1219&amp;"|"&amp;$C1219,'Base de sorteio'!$I$3:$I$1723,0)),"")</f>
        <v/>
      </c>
      <c r="G1219" s="4">
        <f>IFERROR(INDEX('Base de sorteio'!$D$3:$D$1723,MATCH($B1219&amp;"|"&amp;$C1219,'Base de sorteio'!$I$3:$I$1723,0)),"")</f>
        <v/>
      </c>
      <c r="H1219" s="4">
        <f>IFERROR(INDEX('Base de sorteio'!$E$3:$E$1723,MATCH($B1219&amp;"|"&amp;$C1219,'Base de sorteio'!$I$3:$I$1723,0)),"")</f>
        <v/>
      </c>
      <c r="I1219" s="4">
        <f>IF(E1219="","",HYPERLINK(IFERROR(INDEX('Base de sorteio'!$J$3:$J$1723,MATCH($B1219&amp;"|"&amp;$C1219,'Base de sorteio'!$I$3:$I$1723,0)),""),"abrir"))</f>
        <v/>
      </c>
      <c r="J1219" s="4" t="n"/>
      <c r="K1219" s="4" t="n"/>
      <c r="L1219" s="4" t="n"/>
      <c r="M1219" s="4" t="n"/>
      <c r="N1219" s="4">
        <f>IF(AND(K1219="",M1219=""),"",IF(OR(K1219="sim",M1219="sim"),"sim",IF(OR(K1219="inconclusivo",M1219="inconclusivo"),"inconclusivo","não")))</f>
        <v/>
      </c>
      <c r="O1219" s="5">
        <f>IF(N1219="sim",COUNTIFS($B$3:$B1219,$B1219,$N$3:$N1219,"sim"),"")</f>
        <v/>
      </c>
      <c r="P1219" s="5" t="n"/>
      <c r="Q1219" s="4" t="n"/>
      <c r="R1219" s="5" t="n"/>
      <c r="S1219" s="9" t="n"/>
      <c r="T1219" s="4" t="n"/>
    </row>
    <row r="1220">
      <c r="A1220" s="5">
        <f>ROW()-2</f>
        <v/>
      </c>
      <c r="B1220" s="4" t="inlineStr">
        <is>
          <t>Capital regional</t>
        </is>
      </c>
      <c r="C1220" s="5" t="n">
        <v>276</v>
      </c>
      <c r="D1220" s="5">
        <f>IFERROR(INDEX('Base de sorteio'!$A$3:$A$1723,MATCH($B1220&amp;"|"&amp;$C1220,'Base de sorteio'!$I$3:$I$1723,0)),"")</f>
        <v/>
      </c>
      <c r="E1220" s="4">
        <f>IFERROR(INDEX('Base de sorteio'!$B$3:$B$1723,MATCH($B1220&amp;"|"&amp;$C1220,'Base de sorteio'!$I$3:$I$1723,0)),"")</f>
        <v/>
      </c>
      <c r="F1220" s="4">
        <f>IFERROR(INDEX('Base de sorteio'!$C$3:$C$1723,MATCH($B1220&amp;"|"&amp;$C1220,'Base de sorteio'!$I$3:$I$1723,0)),"")</f>
        <v/>
      </c>
      <c r="G1220" s="4">
        <f>IFERROR(INDEX('Base de sorteio'!$D$3:$D$1723,MATCH($B1220&amp;"|"&amp;$C1220,'Base de sorteio'!$I$3:$I$1723,0)),"")</f>
        <v/>
      </c>
      <c r="H1220" s="4">
        <f>IFERROR(INDEX('Base de sorteio'!$E$3:$E$1723,MATCH($B1220&amp;"|"&amp;$C1220,'Base de sorteio'!$I$3:$I$1723,0)),"")</f>
        <v/>
      </c>
      <c r="I1220" s="4">
        <f>IF(E1220="","",HYPERLINK(IFERROR(INDEX('Base de sorteio'!$J$3:$J$1723,MATCH($B1220&amp;"|"&amp;$C1220,'Base de sorteio'!$I$3:$I$1723,0)),""),"abrir"))</f>
        <v/>
      </c>
      <c r="J1220" s="4" t="n"/>
      <c r="K1220" s="4" t="n"/>
      <c r="L1220" s="4" t="n"/>
      <c r="M1220" s="4" t="n"/>
      <c r="N1220" s="4">
        <f>IF(AND(K1220="",M1220=""),"",IF(OR(K1220="sim",M1220="sim"),"sim",IF(OR(K1220="inconclusivo",M1220="inconclusivo"),"inconclusivo","não")))</f>
        <v/>
      </c>
      <c r="O1220" s="5">
        <f>IF(N1220="sim",COUNTIFS($B$3:$B1220,$B1220,$N$3:$N1220,"sim"),"")</f>
        <v/>
      </c>
      <c r="P1220" s="5" t="n"/>
      <c r="Q1220" s="4" t="n"/>
      <c r="R1220" s="5" t="n"/>
      <c r="S1220" s="9" t="n"/>
      <c r="T1220" s="4" t="n"/>
    </row>
    <row r="1221">
      <c r="A1221" s="5">
        <f>ROW()-2</f>
        <v/>
      </c>
      <c r="B1221" s="4" t="inlineStr">
        <is>
          <t>Capital regional</t>
        </is>
      </c>
      <c r="C1221" s="5" t="n">
        <v>277</v>
      </c>
      <c r="D1221" s="5">
        <f>IFERROR(INDEX('Base de sorteio'!$A$3:$A$1723,MATCH($B1221&amp;"|"&amp;$C1221,'Base de sorteio'!$I$3:$I$1723,0)),"")</f>
        <v/>
      </c>
      <c r="E1221" s="4">
        <f>IFERROR(INDEX('Base de sorteio'!$B$3:$B$1723,MATCH($B1221&amp;"|"&amp;$C1221,'Base de sorteio'!$I$3:$I$1723,0)),"")</f>
        <v/>
      </c>
      <c r="F1221" s="4">
        <f>IFERROR(INDEX('Base de sorteio'!$C$3:$C$1723,MATCH($B1221&amp;"|"&amp;$C1221,'Base de sorteio'!$I$3:$I$1723,0)),"")</f>
        <v/>
      </c>
      <c r="G1221" s="4">
        <f>IFERROR(INDEX('Base de sorteio'!$D$3:$D$1723,MATCH($B1221&amp;"|"&amp;$C1221,'Base de sorteio'!$I$3:$I$1723,0)),"")</f>
        <v/>
      </c>
      <c r="H1221" s="4">
        <f>IFERROR(INDEX('Base de sorteio'!$E$3:$E$1723,MATCH($B1221&amp;"|"&amp;$C1221,'Base de sorteio'!$I$3:$I$1723,0)),"")</f>
        <v/>
      </c>
      <c r="I1221" s="4">
        <f>IF(E1221="","",HYPERLINK(IFERROR(INDEX('Base de sorteio'!$J$3:$J$1723,MATCH($B1221&amp;"|"&amp;$C1221,'Base de sorteio'!$I$3:$I$1723,0)),""),"abrir"))</f>
        <v/>
      </c>
      <c r="J1221" s="4" t="n"/>
      <c r="K1221" s="4" t="n"/>
      <c r="L1221" s="4" t="n"/>
      <c r="M1221" s="4" t="n"/>
      <c r="N1221" s="4">
        <f>IF(AND(K1221="",M1221=""),"",IF(OR(K1221="sim",M1221="sim"),"sim",IF(OR(K1221="inconclusivo",M1221="inconclusivo"),"inconclusivo","não")))</f>
        <v/>
      </c>
      <c r="O1221" s="5">
        <f>IF(N1221="sim",COUNTIFS($B$3:$B1221,$B1221,$N$3:$N1221,"sim"),"")</f>
        <v/>
      </c>
      <c r="P1221" s="5" t="n"/>
      <c r="Q1221" s="4" t="n"/>
      <c r="R1221" s="5" t="n"/>
      <c r="S1221" s="9" t="n"/>
      <c r="T1221" s="4" t="n"/>
    </row>
    <row r="1222">
      <c r="A1222" s="5">
        <f>ROW()-2</f>
        <v/>
      </c>
      <c r="B1222" s="4" t="inlineStr">
        <is>
          <t>Capital regional</t>
        </is>
      </c>
      <c r="C1222" s="5" t="n">
        <v>278</v>
      </c>
      <c r="D1222" s="5">
        <f>IFERROR(INDEX('Base de sorteio'!$A$3:$A$1723,MATCH($B1222&amp;"|"&amp;$C1222,'Base de sorteio'!$I$3:$I$1723,0)),"")</f>
        <v/>
      </c>
      <c r="E1222" s="4">
        <f>IFERROR(INDEX('Base de sorteio'!$B$3:$B$1723,MATCH($B1222&amp;"|"&amp;$C1222,'Base de sorteio'!$I$3:$I$1723,0)),"")</f>
        <v/>
      </c>
      <c r="F1222" s="4">
        <f>IFERROR(INDEX('Base de sorteio'!$C$3:$C$1723,MATCH($B1222&amp;"|"&amp;$C1222,'Base de sorteio'!$I$3:$I$1723,0)),"")</f>
        <v/>
      </c>
      <c r="G1222" s="4">
        <f>IFERROR(INDEX('Base de sorteio'!$D$3:$D$1723,MATCH($B1222&amp;"|"&amp;$C1222,'Base de sorteio'!$I$3:$I$1723,0)),"")</f>
        <v/>
      </c>
      <c r="H1222" s="4">
        <f>IFERROR(INDEX('Base de sorteio'!$E$3:$E$1723,MATCH($B1222&amp;"|"&amp;$C1222,'Base de sorteio'!$I$3:$I$1723,0)),"")</f>
        <v/>
      </c>
      <c r="I1222" s="4">
        <f>IF(E1222="","",HYPERLINK(IFERROR(INDEX('Base de sorteio'!$J$3:$J$1723,MATCH($B1222&amp;"|"&amp;$C1222,'Base de sorteio'!$I$3:$I$1723,0)),""),"abrir"))</f>
        <v/>
      </c>
      <c r="J1222" s="4" t="n"/>
      <c r="K1222" s="4" t="n"/>
      <c r="L1222" s="4" t="n"/>
      <c r="M1222" s="4" t="n"/>
      <c r="N1222" s="4">
        <f>IF(AND(K1222="",M1222=""),"",IF(OR(K1222="sim",M1222="sim"),"sim",IF(OR(K1222="inconclusivo",M1222="inconclusivo"),"inconclusivo","não")))</f>
        <v/>
      </c>
      <c r="O1222" s="5">
        <f>IF(N1222="sim",COUNTIFS($B$3:$B1222,$B1222,$N$3:$N1222,"sim"),"")</f>
        <v/>
      </c>
      <c r="P1222" s="5" t="n"/>
      <c r="Q1222" s="4" t="n"/>
      <c r="R1222" s="5" t="n"/>
      <c r="S1222" s="9" t="n"/>
      <c r="T1222" s="4" t="n"/>
    </row>
    <row r="1223">
      <c r="A1223" s="5">
        <f>ROW()-2</f>
        <v/>
      </c>
      <c r="B1223" s="4" t="inlineStr">
        <is>
          <t>Capital regional</t>
        </is>
      </c>
      <c r="C1223" s="5" t="n">
        <v>279</v>
      </c>
      <c r="D1223" s="5">
        <f>IFERROR(INDEX('Base de sorteio'!$A$3:$A$1723,MATCH($B1223&amp;"|"&amp;$C1223,'Base de sorteio'!$I$3:$I$1723,0)),"")</f>
        <v/>
      </c>
      <c r="E1223" s="4">
        <f>IFERROR(INDEX('Base de sorteio'!$B$3:$B$1723,MATCH($B1223&amp;"|"&amp;$C1223,'Base de sorteio'!$I$3:$I$1723,0)),"")</f>
        <v/>
      </c>
      <c r="F1223" s="4">
        <f>IFERROR(INDEX('Base de sorteio'!$C$3:$C$1723,MATCH($B1223&amp;"|"&amp;$C1223,'Base de sorteio'!$I$3:$I$1723,0)),"")</f>
        <v/>
      </c>
      <c r="G1223" s="4">
        <f>IFERROR(INDEX('Base de sorteio'!$D$3:$D$1723,MATCH($B1223&amp;"|"&amp;$C1223,'Base de sorteio'!$I$3:$I$1723,0)),"")</f>
        <v/>
      </c>
      <c r="H1223" s="4">
        <f>IFERROR(INDEX('Base de sorteio'!$E$3:$E$1723,MATCH($B1223&amp;"|"&amp;$C1223,'Base de sorteio'!$I$3:$I$1723,0)),"")</f>
        <v/>
      </c>
      <c r="I1223" s="4">
        <f>IF(E1223="","",HYPERLINK(IFERROR(INDEX('Base de sorteio'!$J$3:$J$1723,MATCH($B1223&amp;"|"&amp;$C1223,'Base de sorteio'!$I$3:$I$1723,0)),""),"abrir"))</f>
        <v/>
      </c>
      <c r="J1223" s="4" t="n"/>
      <c r="K1223" s="4" t="n"/>
      <c r="L1223" s="4" t="n"/>
      <c r="M1223" s="4" t="n"/>
      <c r="N1223" s="4">
        <f>IF(AND(K1223="",M1223=""),"",IF(OR(K1223="sim",M1223="sim"),"sim",IF(OR(K1223="inconclusivo",M1223="inconclusivo"),"inconclusivo","não")))</f>
        <v/>
      </c>
      <c r="O1223" s="5">
        <f>IF(N1223="sim",COUNTIFS($B$3:$B1223,$B1223,$N$3:$N1223,"sim"),"")</f>
        <v/>
      </c>
      <c r="P1223" s="5" t="n"/>
      <c r="Q1223" s="4" t="n"/>
      <c r="R1223" s="5" t="n"/>
      <c r="S1223" s="9" t="n"/>
      <c r="T1223" s="4" t="n"/>
    </row>
    <row r="1224">
      <c r="A1224" s="5">
        <f>ROW()-2</f>
        <v/>
      </c>
      <c r="B1224" s="4" t="inlineStr">
        <is>
          <t>Capital regional</t>
        </is>
      </c>
      <c r="C1224" s="5" t="n">
        <v>280</v>
      </c>
      <c r="D1224" s="5">
        <f>IFERROR(INDEX('Base de sorteio'!$A$3:$A$1723,MATCH($B1224&amp;"|"&amp;$C1224,'Base de sorteio'!$I$3:$I$1723,0)),"")</f>
        <v/>
      </c>
      <c r="E1224" s="4">
        <f>IFERROR(INDEX('Base de sorteio'!$B$3:$B$1723,MATCH($B1224&amp;"|"&amp;$C1224,'Base de sorteio'!$I$3:$I$1723,0)),"")</f>
        <v/>
      </c>
      <c r="F1224" s="4">
        <f>IFERROR(INDEX('Base de sorteio'!$C$3:$C$1723,MATCH($B1224&amp;"|"&amp;$C1224,'Base de sorteio'!$I$3:$I$1723,0)),"")</f>
        <v/>
      </c>
      <c r="G1224" s="4">
        <f>IFERROR(INDEX('Base de sorteio'!$D$3:$D$1723,MATCH($B1224&amp;"|"&amp;$C1224,'Base de sorteio'!$I$3:$I$1723,0)),"")</f>
        <v/>
      </c>
      <c r="H1224" s="4">
        <f>IFERROR(INDEX('Base de sorteio'!$E$3:$E$1723,MATCH($B1224&amp;"|"&amp;$C1224,'Base de sorteio'!$I$3:$I$1723,0)),"")</f>
        <v/>
      </c>
      <c r="I1224" s="4">
        <f>IF(E1224="","",HYPERLINK(IFERROR(INDEX('Base de sorteio'!$J$3:$J$1723,MATCH($B1224&amp;"|"&amp;$C1224,'Base de sorteio'!$I$3:$I$1723,0)),""),"abrir"))</f>
        <v/>
      </c>
      <c r="J1224" s="4" t="n"/>
      <c r="K1224" s="4" t="n"/>
      <c r="L1224" s="4" t="n"/>
      <c r="M1224" s="4" t="n"/>
      <c r="N1224" s="4">
        <f>IF(AND(K1224="",M1224=""),"",IF(OR(K1224="sim",M1224="sim"),"sim",IF(OR(K1224="inconclusivo",M1224="inconclusivo"),"inconclusivo","não")))</f>
        <v/>
      </c>
      <c r="O1224" s="5">
        <f>IF(N1224="sim",COUNTIFS($B$3:$B1224,$B1224,$N$3:$N1224,"sim"),"")</f>
        <v/>
      </c>
      <c r="P1224" s="5" t="n"/>
      <c r="Q1224" s="4" t="n"/>
      <c r="R1224" s="5" t="n"/>
      <c r="S1224" s="9" t="n"/>
      <c r="T1224" s="4" t="n"/>
    </row>
    <row r="1225">
      <c r="A1225" s="5">
        <f>ROW()-2</f>
        <v/>
      </c>
      <c r="B1225" s="4" t="inlineStr">
        <is>
          <t>Capital regional</t>
        </is>
      </c>
      <c r="C1225" s="5" t="n">
        <v>281</v>
      </c>
      <c r="D1225" s="5">
        <f>IFERROR(INDEX('Base de sorteio'!$A$3:$A$1723,MATCH($B1225&amp;"|"&amp;$C1225,'Base de sorteio'!$I$3:$I$1723,0)),"")</f>
        <v/>
      </c>
      <c r="E1225" s="4">
        <f>IFERROR(INDEX('Base de sorteio'!$B$3:$B$1723,MATCH($B1225&amp;"|"&amp;$C1225,'Base de sorteio'!$I$3:$I$1723,0)),"")</f>
        <v/>
      </c>
      <c r="F1225" s="4">
        <f>IFERROR(INDEX('Base de sorteio'!$C$3:$C$1723,MATCH($B1225&amp;"|"&amp;$C1225,'Base de sorteio'!$I$3:$I$1723,0)),"")</f>
        <v/>
      </c>
      <c r="G1225" s="4">
        <f>IFERROR(INDEX('Base de sorteio'!$D$3:$D$1723,MATCH($B1225&amp;"|"&amp;$C1225,'Base de sorteio'!$I$3:$I$1723,0)),"")</f>
        <v/>
      </c>
      <c r="H1225" s="4">
        <f>IFERROR(INDEX('Base de sorteio'!$E$3:$E$1723,MATCH($B1225&amp;"|"&amp;$C1225,'Base de sorteio'!$I$3:$I$1723,0)),"")</f>
        <v/>
      </c>
      <c r="I1225" s="4">
        <f>IF(E1225="","",HYPERLINK(IFERROR(INDEX('Base de sorteio'!$J$3:$J$1723,MATCH($B1225&amp;"|"&amp;$C1225,'Base de sorteio'!$I$3:$I$1723,0)),""),"abrir"))</f>
        <v/>
      </c>
      <c r="J1225" s="4" t="n"/>
      <c r="K1225" s="4" t="n"/>
      <c r="L1225" s="4" t="n"/>
      <c r="M1225" s="4" t="n"/>
      <c r="N1225" s="4">
        <f>IF(AND(K1225="",M1225=""),"",IF(OR(K1225="sim",M1225="sim"),"sim",IF(OR(K1225="inconclusivo",M1225="inconclusivo"),"inconclusivo","não")))</f>
        <v/>
      </c>
      <c r="O1225" s="5">
        <f>IF(N1225="sim",COUNTIFS($B$3:$B1225,$B1225,$N$3:$N1225,"sim"),"")</f>
        <v/>
      </c>
      <c r="P1225" s="5" t="n"/>
      <c r="Q1225" s="4" t="n"/>
      <c r="R1225" s="5" t="n"/>
      <c r="S1225" s="9" t="n"/>
      <c r="T1225" s="4" t="n"/>
    </row>
    <row r="1226">
      <c r="A1226" s="5">
        <f>ROW()-2</f>
        <v/>
      </c>
      <c r="B1226" s="4" t="inlineStr">
        <is>
          <t>Capital regional</t>
        </is>
      </c>
      <c r="C1226" s="5" t="n">
        <v>282</v>
      </c>
      <c r="D1226" s="5">
        <f>IFERROR(INDEX('Base de sorteio'!$A$3:$A$1723,MATCH($B1226&amp;"|"&amp;$C1226,'Base de sorteio'!$I$3:$I$1723,0)),"")</f>
        <v/>
      </c>
      <c r="E1226" s="4">
        <f>IFERROR(INDEX('Base de sorteio'!$B$3:$B$1723,MATCH($B1226&amp;"|"&amp;$C1226,'Base de sorteio'!$I$3:$I$1723,0)),"")</f>
        <v/>
      </c>
      <c r="F1226" s="4">
        <f>IFERROR(INDEX('Base de sorteio'!$C$3:$C$1723,MATCH($B1226&amp;"|"&amp;$C1226,'Base de sorteio'!$I$3:$I$1723,0)),"")</f>
        <v/>
      </c>
      <c r="G1226" s="4">
        <f>IFERROR(INDEX('Base de sorteio'!$D$3:$D$1723,MATCH($B1226&amp;"|"&amp;$C1226,'Base de sorteio'!$I$3:$I$1723,0)),"")</f>
        <v/>
      </c>
      <c r="H1226" s="4">
        <f>IFERROR(INDEX('Base de sorteio'!$E$3:$E$1723,MATCH($B1226&amp;"|"&amp;$C1226,'Base de sorteio'!$I$3:$I$1723,0)),"")</f>
        <v/>
      </c>
      <c r="I1226" s="4">
        <f>IF(E1226="","",HYPERLINK(IFERROR(INDEX('Base de sorteio'!$J$3:$J$1723,MATCH($B1226&amp;"|"&amp;$C1226,'Base de sorteio'!$I$3:$I$1723,0)),""),"abrir"))</f>
        <v/>
      </c>
      <c r="J1226" s="4" t="n"/>
      <c r="K1226" s="4" t="n"/>
      <c r="L1226" s="4" t="n"/>
      <c r="M1226" s="4" t="n"/>
      <c r="N1226" s="4">
        <f>IF(AND(K1226="",M1226=""),"",IF(OR(K1226="sim",M1226="sim"),"sim",IF(OR(K1226="inconclusivo",M1226="inconclusivo"),"inconclusivo","não")))</f>
        <v/>
      </c>
      <c r="O1226" s="5">
        <f>IF(N1226="sim",COUNTIFS($B$3:$B1226,$B1226,$N$3:$N1226,"sim"),"")</f>
        <v/>
      </c>
      <c r="P1226" s="5" t="n"/>
      <c r="Q1226" s="4" t="n"/>
      <c r="R1226" s="5" t="n"/>
      <c r="S1226" s="9" t="n"/>
      <c r="T1226" s="4" t="n"/>
    </row>
    <row r="1227">
      <c r="A1227" s="5">
        <f>ROW()-2</f>
        <v/>
      </c>
      <c r="B1227" s="4" t="inlineStr">
        <is>
          <t>Capital regional</t>
        </is>
      </c>
      <c r="C1227" s="5" t="n">
        <v>283</v>
      </c>
      <c r="D1227" s="5">
        <f>IFERROR(INDEX('Base de sorteio'!$A$3:$A$1723,MATCH($B1227&amp;"|"&amp;$C1227,'Base de sorteio'!$I$3:$I$1723,0)),"")</f>
        <v/>
      </c>
      <c r="E1227" s="4">
        <f>IFERROR(INDEX('Base de sorteio'!$B$3:$B$1723,MATCH($B1227&amp;"|"&amp;$C1227,'Base de sorteio'!$I$3:$I$1723,0)),"")</f>
        <v/>
      </c>
      <c r="F1227" s="4">
        <f>IFERROR(INDEX('Base de sorteio'!$C$3:$C$1723,MATCH($B1227&amp;"|"&amp;$C1227,'Base de sorteio'!$I$3:$I$1723,0)),"")</f>
        <v/>
      </c>
      <c r="G1227" s="4">
        <f>IFERROR(INDEX('Base de sorteio'!$D$3:$D$1723,MATCH($B1227&amp;"|"&amp;$C1227,'Base de sorteio'!$I$3:$I$1723,0)),"")</f>
        <v/>
      </c>
      <c r="H1227" s="4">
        <f>IFERROR(INDEX('Base de sorteio'!$E$3:$E$1723,MATCH($B1227&amp;"|"&amp;$C1227,'Base de sorteio'!$I$3:$I$1723,0)),"")</f>
        <v/>
      </c>
      <c r="I1227" s="4">
        <f>IF(E1227="","",HYPERLINK(IFERROR(INDEX('Base de sorteio'!$J$3:$J$1723,MATCH($B1227&amp;"|"&amp;$C1227,'Base de sorteio'!$I$3:$I$1723,0)),""),"abrir"))</f>
        <v/>
      </c>
      <c r="J1227" s="4" t="n"/>
      <c r="K1227" s="4" t="n"/>
      <c r="L1227" s="4" t="n"/>
      <c r="M1227" s="4" t="n"/>
      <c r="N1227" s="4">
        <f>IF(AND(K1227="",M1227=""),"",IF(OR(K1227="sim",M1227="sim"),"sim",IF(OR(K1227="inconclusivo",M1227="inconclusivo"),"inconclusivo","não")))</f>
        <v/>
      </c>
      <c r="O1227" s="5">
        <f>IF(N1227="sim",COUNTIFS($B$3:$B1227,$B1227,$N$3:$N1227,"sim"),"")</f>
        <v/>
      </c>
      <c r="P1227" s="5" t="n"/>
      <c r="Q1227" s="4" t="n"/>
      <c r="R1227" s="5" t="n"/>
      <c r="S1227" s="9" t="n"/>
      <c r="T1227" s="4" t="n"/>
    </row>
    <row r="1228">
      <c r="A1228" s="5">
        <f>ROW()-2</f>
        <v/>
      </c>
      <c r="B1228" s="4" t="inlineStr">
        <is>
          <t>Capital regional</t>
        </is>
      </c>
      <c r="C1228" s="5" t="n">
        <v>284</v>
      </c>
      <c r="D1228" s="5">
        <f>IFERROR(INDEX('Base de sorteio'!$A$3:$A$1723,MATCH($B1228&amp;"|"&amp;$C1228,'Base de sorteio'!$I$3:$I$1723,0)),"")</f>
        <v/>
      </c>
      <c r="E1228" s="4">
        <f>IFERROR(INDEX('Base de sorteio'!$B$3:$B$1723,MATCH($B1228&amp;"|"&amp;$C1228,'Base de sorteio'!$I$3:$I$1723,0)),"")</f>
        <v/>
      </c>
      <c r="F1228" s="4">
        <f>IFERROR(INDEX('Base de sorteio'!$C$3:$C$1723,MATCH($B1228&amp;"|"&amp;$C1228,'Base de sorteio'!$I$3:$I$1723,0)),"")</f>
        <v/>
      </c>
      <c r="G1228" s="4">
        <f>IFERROR(INDEX('Base de sorteio'!$D$3:$D$1723,MATCH($B1228&amp;"|"&amp;$C1228,'Base de sorteio'!$I$3:$I$1723,0)),"")</f>
        <v/>
      </c>
      <c r="H1228" s="4">
        <f>IFERROR(INDEX('Base de sorteio'!$E$3:$E$1723,MATCH($B1228&amp;"|"&amp;$C1228,'Base de sorteio'!$I$3:$I$1723,0)),"")</f>
        <v/>
      </c>
      <c r="I1228" s="4">
        <f>IF(E1228="","",HYPERLINK(IFERROR(INDEX('Base de sorteio'!$J$3:$J$1723,MATCH($B1228&amp;"|"&amp;$C1228,'Base de sorteio'!$I$3:$I$1723,0)),""),"abrir"))</f>
        <v/>
      </c>
      <c r="J1228" s="4" t="n"/>
      <c r="K1228" s="4" t="n"/>
      <c r="L1228" s="4" t="n"/>
      <c r="M1228" s="4" t="n"/>
      <c r="N1228" s="4">
        <f>IF(AND(K1228="",M1228=""),"",IF(OR(K1228="sim",M1228="sim"),"sim",IF(OR(K1228="inconclusivo",M1228="inconclusivo"),"inconclusivo","não")))</f>
        <v/>
      </c>
      <c r="O1228" s="5">
        <f>IF(N1228="sim",COUNTIFS($B$3:$B1228,$B1228,$N$3:$N1228,"sim"),"")</f>
        <v/>
      </c>
      <c r="P1228" s="5" t="n"/>
      <c r="Q1228" s="4" t="n"/>
      <c r="R1228" s="5" t="n"/>
      <c r="S1228" s="9" t="n"/>
      <c r="T1228" s="4" t="n"/>
    </row>
    <row r="1229">
      <c r="A1229" s="5">
        <f>ROW()-2</f>
        <v/>
      </c>
      <c r="B1229" s="4" t="inlineStr">
        <is>
          <t>Capital regional</t>
        </is>
      </c>
      <c r="C1229" s="5" t="n">
        <v>285</v>
      </c>
      <c r="D1229" s="5">
        <f>IFERROR(INDEX('Base de sorteio'!$A$3:$A$1723,MATCH($B1229&amp;"|"&amp;$C1229,'Base de sorteio'!$I$3:$I$1723,0)),"")</f>
        <v/>
      </c>
      <c r="E1229" s="4">
        <f>IFERROR(INDEX('Base de sorteio'!$B$3:$B$1723,MATCH($B1229&amp;"|"&amp;$C1229,'Base de sorteio'!$I$3:$I$1723,0)),"")</f>
        <v/>
      </c>
      <c r="F1229" s="4">
        <f>IFERROR(INDEX('Base de sorteio'!$C$3:$C$1723,MATCH($B1229&amp;"|"&amp;$C1229,'Base de sorteio'!$I$3:$I$1723,0)),"")</f>
        <v/>
      </c>
      <c r="G1229" s="4">
        <f>IFERROR(INDEX('Base de sorteio'!$D$3:$D$1723,MATCH($B1229&amp;"|"&amp;$C1229,'Base de sorteio'!$I$3:$I$1723,0)),"")</f>
        <v/>
      </c>
      <c r="H1229" s="4">
        <f>IFERROR(INDEX('Base de sorteio'!$E$3:$E$1723,MATCH($B1229&amp;"|"&amp;$C1229,'Base de sorteio'!$I$3:$I$1723,0)),"")</f>
        <v/>
      </c>
      <c r="I1229" s="4">
        <f>IF(E1229="","",HYPERLINK(IFERROR(INDEX('Base de sorteio'!$J$3:$J$1723,MATCH($B1229&amp;"|"&amp;$C1229,'Base de sorteio'!$I$3:$I$1723,0)),""),"abrir"))</f>
        <v/>
      </c>
      <c r="J1229" s="4" t="n"/>
      <c r="K1229" s="4" t="n"/>
      <c r="L1229" s="4" t="n"/>
      <c r="M1229" s="4" t="n"/>
      <c r="N1229" s="4">
        <f>IF(AND(K1229="",M1229=""),"",IF(OR(K1229="sim",M1229="sim"),"sim",IF(OR(K1229="inconclusivo",M1229="inconclusivo"),"inconclusivo","não")))</f>
        <v/>
      </c>
      <c r="O1229" s="5">
        <f>IF(N1229="sim",COUNTIFS($B$3:$B1229,$B1229,$N$3:$N1229,"sim"),"")</f>
        <v/>
      </c>
      <c r="P1229" s="5" t="n"/>
      <c r="Q1229" s="4" t="n"/>
      <c r="R1229" s="5" t="n"/>
      <c r="S1229" s="9" t="n"/>
      <c r="T1229" s="4" t="n"/>
    </row>
    <row r="1230">
      <c r="A1230" s="5">
        <f>ROW()-2</f>
        <v/>
      </c>
      <c r="B1230" s="4" t="inlineStr">
        <is>
          <t>Capital regional</t>
        </is>
      </c>
      <c r="C1230" s="5" t="n">
        <v>286</v>
      </c>
      <c r="D1230" s="5">
        <f>IFERROR(INDEX('Base de sorteio'!$A$3:$A$1723,MATCH($B1230&amp;"|"&amp;$C1230,'Base de sorteio'!$I$3:$I$1723,0)),"")</f>
        <v/>
      </c>
      <c r="E1230" s="4">
        <f>IFERROR(INDEX('Base de sorteio'!$B$3:$B$1723,MATCH($B1230&amp;"|"&amp;$C1230,'Base de sorteio'!$I$3:$I$1723,0)),"")</f>
        <v/>
      </c>
      <c r="F1230" s="4">
        <f>IFERROR(INDEX('Base de sorteio'!$C$3:$C$1723,MATCH($B1230&amp;"|"&amp;$C1230,'Base de sorteio'!$I$3:$I$1723,0)),"")</f>
        <v/>
      </c>
      <c r="G1230" s="4">
        <f>IFERROR(INDEX('Base de sorteio'!$D$3:$D$1723,MATCH($B1230&amp;"|"&amp;$C1230,'Base de sorteio'!$I$3:$I$1723,0)),"")</f>
        <v/>
      </c>
      <c r="H1230" s="4">
        <f>IFERROR(INDEX('Base de sorteio'!$E$3:$E$1723,MATCH($B1230&amp;"|"&amp;$C1230,'Base de sorteio'!$I$3:$I$1723,0)),"")</f>
        <v/>
      </c>
      <c r="I1230" s="4">
        <f>IF(E1230="","",HYPERLINK(IFERROR(INDEX('Base de sorteio'!$J$3:$J$1723,MATCH($B1230&amp;"|"&amp;$C1230,'Base de sorteio'!$I$3:$I$1723,0)),""),"abrir"))</f>
        <v/>
      </c>
      <c r="J1230" s="4" t="n"/>
      <c r="K1230" s="4" t="n"/>
      <c r="L1230" s="4" t="n"/>
      <c r="M1230" s="4" t="n"/>
      <c r="N1230" s="4">
        <f>IF(AND(K1230="",M1230=""),"",IF(OR(K1230="sim",M1230="sim"),"sim",IF(OR(K1230="inconclusivo",M1230="inconclusivo"),"inconclusivo","não")))</f>
        <v/>
      </c>
      <c r="O1230" s="5">
        <f>IF(N1230="sim",COUNTIFS($B$3:$B1230,$B1230,$N$3:$N1230,"sim"),"")</f>
        <v/>
      </c>
      <c r="P1230" s="5" t="n"/>
      <c r="Q1230" s="4" t="n"/>
      <c r="R1230" s="5" t="n"/>
      <c r="S1230" s="9" t="n"/>
      <c r="T1230" s="4" t="n"/>
    </row>
    <row r="1231">
      <c r="A1231" s="5">
        <f>ROW()-2</f>
        <v/>
      </c>
      <c r="B1231" s="4" t="inlineStr">
        <is>
          <t>Capital regional</t>
        </is>
      </c>
      <c r="C1231" s="5" t="n">
        <v>287</v>
      </c>
      <c r="D1231" s="5">
        <f>IFERROR(INDEX('Base de sorteio'!$A$3:$A$1723,MATCH($B1231&amp;"|"&amp;$C1231,'Base de sorteio'!$I$3:$I$1723,0)),"")</f>
        <v/>
      </c>
      <c r="E1231" s="4">
        <f>IFERROR(INDEX('Base de sorteio'!$B$3:$B$1723,MATCH($B1231&amp;"|"&amp;$C1231,'Base de sorteio'!$I$3:$I$1723,0)),"")</f>
        <v/>
      </c>
      <c r="F1231" s="4">
        <f>IFERROR(INDEX('Base de sorteio'!$C$3:$C$1723,MATCH($B1231&amp;"|"&amp;$C1231,'Base de sorteio'!$I$3:$I$1723,0)),"")</f>
        <v/>
      </c>
      <c r="G1231" s="4">
        <f>IFERROR(INDEX('Base de sorteio'!$D$3:$D$1723,MATCH($B1231&amp;"|"&amp;$C1231,'Base de sorteio'!$I$3:$I$1723,0)),"")</f>
        <v/>
      </c>
      <c r="H1231" s="4">
        <f>IFERROR(INDEX('Base de sorteio'!$E$3:$E$1723,MATCH($B1231&amp;"|"&amp;$C1231,'Base de sorteio'!$I$3:$I$1723,0)),"")</f>
        <v/>
      </c>
      <c r="I1231" s="4">
        <f>IF(E1231="","",HYPERLINK(IFERROR(INDEX('Base de sorteio'!$J$3:$J$1723,MATCH($B1231&amp;"|"&amp;$C1231,'Base de sorteio'!$I$3:$I$1723,0)),""),"abrir"))</f>
        <v/>
      </c>
      <c r="J1231" s="4" t="n"/>
      <c r="K1231" s="4" t="n"/>
      <c r="L1231" s="4" t="n"/>
      <c r="M1231" s="4" t="n"/>
      <c r="N1231" s="4">
        <f>IF(AND(K1231="",M1231=""),"",IF(OR(K1231="sim",M1231="sim"),"sim",IF(OR(K1231="inconclusivo",M1231="inconclusivo"),"inconclusivo","não")))</f>
        <v/>
      </c>
      <c r="O1231" s="5">
        <f>IF(N1231="sim",COUNTIFS($B$3:$B1231,$B1231,$N$3:$N1231,"sim"),"")</f>
        <v/>
      </c>
      <c r="P1231" s="5" t="n"/>
      <c r="Q1231" s="4" t="n"/>
      <c r="R1231" s="5" t="n"/>
      <c r="S1231" s="9" t="n"/>
      <c r="T1231" s="4" t="n"/>
    </row>
    <row r="1232">
      <c r="A1232" s="5">
        <f>ROW()-2</f>
        <v/>
      </c>
      <c r="B1232" s="4" t="inlineStr">
        <is>
          <t>Capital regional</t>
        </is>
      </c>
      <c r="C1232" s="5" t="n">
        <v>288</v>
      </c>
      <c r="D1232" s="5">
        <f>IFERROR(INDEX('Base de sorteio'!$A$3:$A$1723,MATCH($B1232&amp;"|"&amp;$C1232,'Base de sorteio'!$I$3:$I$1723,0)),"")</f>
        <v/>
      </c>
      <c r="E1232" s="4">
        <f>IFERROR(INDEX('Base de sorteio'!$B$3:$B$1723,MATCH($B1232&amp;"|"&amp;$C1232,'Base de sorteio'!$I$3:$I$1723,0)),"")</f>
        <v/>
      </c>
      <c r="F1232" s="4">
        <f>IFERROR(INDEX('Base de sorteio'!$C$3:$C$1723,MATCH($B1232&amp;"|"&amp;$C1232,'Base de sorteio'!$I$3:$I$1723,0)),"")</f>
        <v/>
      </c>
      <c r="G1232" s="4">
        <f>IFERROR(INDEX('Base de sorteio'!$D$3:$D$1723,MATCH($B1232&amp;"|"&amp;$C1232,'Base de sorteio'!$I$3:$I$1723,0)),"")</f>
        <v/>
      </c>
      <c r="H1232" s="4">
        <f>IFERROR(INDEX('Base de sorteio'!$E$3:$E$1723,MATCH($B1232&amp;"|"&amp;$C1232,'Base de sorteio'!$I$3:$I$1723,0)),"")</f>
        <v/>
      </c>
      <c r="I1232" s="4">
        <f>IF(E1232="","",HYPERLINK(IFERROR(INDEX('Base de sorteio'!$J$3:$J$1723,MATCH($B1232&amp;"|"&amp;$C1232,'Base de sorteio'!$I$3:$I$1723,0)),""),"abrir"))</f>
        <v/>
      </c>
      <c r="J1232" s="4" t="n"/>
      <c r="K1232" s="4" t="n"/>
      <c r="L1232" s="4" t="n"/>
      <c r="M1232" s="4" t="n"/>
      <c r="N1232" s="4">
        <f>IF(AND(K1232="",M1232=""),"",IF(OR(K1232="sim",M1232="sim"),"sim",IF(OR(K1232="inconclusivo",M1232="inconclusivo"),"inconclusivo","não")))</f>
        <v/>
      </c>
      <c r="O1232" s="5">
        <f>IF(N1232="sim",COUNTIFS($B$3:$B1232,$B1232,$N$3:$N1232,"sim"),"")</f>
        <v/>
      </c>
      <c r="P1232" s="5" t="n"/>
      <c r="Q1232" s="4" t="n"/>
      <c r="R1232" s="5" t="n"/>
      <c r="S1232" s="9" t="n"/>
      <c r="T1232" s="4" t="n"/>
    </row>
    <row r="1233">
      <c r="A1233" s="5">
        <f>ROW()-2</f>
        <v/>
      </c>
      <c r="B1233" s="4" t="inlineStr">
        <is>
          <t>Capital regional</t>
        </is>
      </c>
      <c r="C1233" s="5" t="n">
        <v>289</v>
      </c>
      <c r="D1233" s="5">
        <f>IFERROR(INDEX('Base de sorteio'!$A$3:$A$1723,MATCH($B1233&amp;"|"&amp;$C1233,'Base de sorteio'!$I$3:$I$1723,0)),"")</f>
        <v/>
      </c>
      <c r="E1233" s="4">
        <f>IFERROR(INDEX('Base de sorteio'!$B$3:$B$1723,MATCH($B1233&amp;"|"&amp;$C1233,'Base de sorteio'!$I$3:$I$1723,0)),"")</f>
        <v/>
      </c>
      <c r="F1233" s="4">
        <f>IFERROR(INDEX('Base de sorteio'!$C$3:$C$1723,MATCH($B1233&amp;"|"&amp;$C1233,'Base de sorteio'!$I$3:$I$1723,0)),"")</f>
        <v/>
      </c>
      <c r="G1233" s="4">
        <f>IFERROR(INDEX('Base de sorteio'!$D$3:$D$1723,MATCH($B1233&amp;"|"&amp;$C1233,'Base de sorteio'!$I$3:$I$1723,0)),"")</f>
        <v/>
      </c>
      <c r="H1233" s="4">
        <f>IFERROR(INDEX('Base de sorteio'!$E$3:$E$1723,MATCH($B1233&amp;"|"&amp;$C1233,'Base de sorteio'!$I$3:$I$1723,0)),"")</f>
        <v/>
      </c>
      <c r="I1233" s="4">
        <f>IF(E1233="","",HYPERLINK(IFERROR(INDEX('Base de sorteio'!$J$3:$J$1723,MATCH($B1233&amp;"|"&amp;$C1233,'Base de sorteio'!$I$3:$I$1723,0)),""),"abrir"))</f>
        <v/>
      </c>
      <c r="J1233" s="4" t="n"/>
      <c r="K1233" s="4" t="n"/>
      <c r="L1233" s="4" t="n"/>
      <c r="M1233" s="4" t="n"/>
      <c r="N1233" s="4">
        <f>IF(AND(K1233="",M1233=""),"",IF(OR(K1233="sim",M1233="sim"),"sim",IF(OR(K1233="inconclusivo",M1233="inconclusivo"),"inconclusivo","não")))</f>
        <v/>
      </c>
      <c r="O1233" s="5">
        <f>IF(N1233="sim",COUNTIFS($B$3:$B1233,$B1233,$N$3:$N1233,"sim"),"")</f>
        <v/>
      </c>
      <c r="P1233" s="5" t="n"/>
      <c r="Q1233" s="4" t="n"/>
      <c r="R1233" s="5" t="n"/>
      <c r="S1233" s="9" t="n"/>
      <c r="T1233" s="4" t="n"/>
    </row>
    <row r="1234">
      <c r="A1234" s="5">
        <f>ROW()-2</f>
        <v/>
      </c>
      <c r="B1234" s="4" t="inlineStr">
        <is>
          <t>Capital regional</t>
        </is>
      </c>
      <c r="C1234" s="5" t="n">
        <v>290</v>
      </c>
      <c r="D1234" s="5">
        <f>IFERROR(INDEX('Base de sorteio'!$A$3:$A$1723,MATCH($B1234&amp;"|"&amp;$C1234,'Base de sorteio'!$I$3:$I$1723,0)),"")</f>
        <v/>
      </c>
      <c r="E1234" s="4">
        <f>IFERROR(INDEX('Base de sorteio'!$B$3:$B$1723,MATCH($B1234&amp;"|"&amp;$C1234,'Base de sorteio'!$I$3:$I$1723,0)),"")</f>
        <v/>
      </c>
      <c r="F1234" s="4">
        <f>IFERROR(INDEX('Base de sorteio'!$C$3:$C$1723,MATCH($B1234&amp;"|"&amp;$C1234,'Base de sorteio'!$I$3:$I$1723,0)),"")</f>
        <v/>
      </c>
      <c r="G1234" s="4">
        <f>IFERROR(INDEX('Base de sorteio'!$D$3:$D$1723,MATCH($B1234&amp;"|"&amp;$C1234,'Base de sorteio'!$I$3:$I$1723,0)),"")</f>
        <v/>
      </c>
      <c r="H1234" s="4">
        <f>IFERROR(INDEX('Base de sorteio'!$E$3:$E$1723,MATCH($B1234&amp;"|"&amp;$C1234,'Base de sorteio'!$I$3:$I$1723,0)),"")</f>
        <v/>
      </c>
      <c r="I1234" s="4">
        <f>IF(E1234="","",HYPERLINK(IFERROR(INDEX('Base de sorteio'!$J$3:$J$1723,MATCH($B1234&amp;"|"&amp;$C1234,'Base de sorteio'!$I$3:$I$1723,0)),""),"abrir"))</f>
        <v/>
      </c>
      <c r="J1234" s="4" t="n"/>
      <c r="K1234" s="4" t="n"/>
      <c r="L1234" s="4" t="n"/>
      <c r="M1234" s="4" t="n"/>
      <c r="N1234" s="4">
        <f>IF(AND(K1234="",M1234=""),"",IF(OR(K1234="sim",M1234="sim"),"sim",IF(OR(K1234="inconclusivo",M1234="inconclusivo"),"inconclusivo","não")))</f>
        <v/>
      </c>
      <c r="O1234" s="5">
        <f>IF(N1234="sim",COUNTIFS($B$3:$B1234,$B1234,$N$3:$N1234,"sim"),"")</f>
        <v/>
      </c>
      <c r="P1234" s="5" t="n"/>
      <c r="Q1234" s="4" t="n"/>
      <c r="R1234" s="5" t="n"/>
      <c r="S1234" s="9" t="n"/>
      <c r="T1234" s="4" t="n"/>
    </row>
    <row r="1235">
      <c r="A1235" s="5">
        <f>ROW()-2</f>
        <v/>
      </c>
      <c r="B1235" s="4" t="inlineStr">
        <is>
          <t>Capital regional</t>
        </is>
      </c>
      <c r="C1235" s="5" t="n">
        <v>291</v>
      </c>
      <c r="D1235" s="5">
        <f>IFERROR(INDEX('Base de sorteio'!$A$3:$A$1723,MATCH($B1235&amp;"|"&amp;$C1235,'Base de sorteio'!$I$3:$I$1723,0)),"")</f>
        <v/>
      </c>
      <c r="E1235" s="4">
        <f>IFERROR(INDEX('Base de sorteio'!$B$3:$B$1723,MATCH($B1235&amp;"|"&amp;$C1235,'Base de sorteio'!$I$3:$I$1723,0)),"")</f>
        <v/>
      </c>
      <c r="F1235" s="4">
        <f>IFERROR(INDEX('Base de sorteio'!$C$3:$C$1723,MATCH($B1235&amp;"|"&amp;$C1235,'Base de sorteio'!$I$3:$I$1723,0)),"")</f>
        <v/>
      </c>
      <c r="G1235" s="4">
        <f>IFERROR(INDEX('Base de sorteio'!$D$3:$D$1723,MATCH($B1235&amp;"|"&amp;$C1235,'Base de sorteio'!$I$3:$I$1723,0)),"")</f>
        <v/>
      </c>
      <c r="H1235" s="4">
        <f>IFERROR(INDEX('Base de sorteio'!$E$3:$E$1723,MATCH($B1235&amp;"|"&amp;$C1235,'Base de sorteio'!$I$3:$I$1723,0)),"")</f>
        <v/>
      </c>
      <c r="I1235" s="4">
        <f>IF(E1235="","",HYPERLINK(IFERROR(INDEX('Base de sorteio'!$J$3:$J$1723,MATCH($B1235&amp;"|"&amp;$C1235,'Base de sorteio'!$I$3:$I$1723,0)),""),"abrir"))</f>
        <v/>
      </c>
      <c r="J1235" s="4" t="n"/>
      <c r="K1235" s="4" t="n"/>
      <c r="L1235" s="4" t="n"/>
      <c r="M1235" s="4" t="n"/>
      <c r="N1235" s="4">
        <f>IF(AND(K1235="",M1235=""),"",IF(OR(K1235="sim",M1235="sim"),"sim",IF(OR(K1235="inconclusivo",M1235="inconclusivo"),"inconclusivo","não")))</f>
        <v/>
      </c>
      <c r="O1235" s="5">
        <f>IF(N1235="sim",COUNTIFS($B$3:$B1235,$B1235,$N$3:$N1235,"sim"),"")</f>
        <v/>
      </c>
      <c r="P1235" s="5" t="n"/>
      <c r="Q1235" s="4" t="n"/>
      <c r="R1235" s="5" t="n"/>
      <c r="S1235" s="9" t="n"/>
      <c r="T1235" s="4" t="n"/>
    </row>
    <row r="1236">
      <c r="A1236" s="5">
        <f>ROW()-2</f>
        <v/>
      </c>
      <c r="B1236" s="4" t="inlineStr">
        <is>
          <t>Capital regional</t>
        </is>
      </c>
      <c r="C1236" s="5" t="n">
        <v>292</v>
      </c>
      <c r="D1236" s="5">
        <f>IFERROR(INDEX('Base de sorteio'!$A$3:$A$1723,MATCH($B1236&amp;"|"&amp;$C1236,'Base de sorteio'!$I$3:$I$1723,0)),"")</f>
        <v/>
      </c>
      <c r="E1236" s="4">
        <f>IFERROR(INDEX('Base de sorteio'!$B$3:$B$1723,MATCH($B1236&amp;"|"&amp;$C1236,'Base de sorteio'!$I$3:$I$1723,0)),"")</f>
        <v/>
      </c>
      <c r="F1236" s="4">
        <f>IFERROR(INDEX('Base de sorteio'!$C$3:$C$1723,MATCH($B1236&amp;"|"&amp;$C1236,'Base de sorteio'!$I$3:$I$1723,0)),"")</f>
        <v/>
      </c>
      <c r="G1236" s="4">
        <f>IFERROR(INDEX('Base de sorteio'!$D$3:$D$1723,MATCH($B1236&amp;"|"&amp;$C1236,'Base de sorteio'!$I$3:$I$1723,0)),"")</f>
        <v/>
      </c>
      <c r="H1236" s="4">
        <f>IFERROR(INDEX('Base de sorteio'!$E$3:$E$1723,MATCH($B1236&amp;"|"&amp;$C1236,'Base de sorteio'!$I$3:$I$1723,0)),"")</f>
        <v/>
      </c>
      <c r="I1236" s="4">
        <f>IF(E1236="","",HYPERLINK(IFERROR(INDEX('Base de sorteio'!$J$3:$J$1723,MATCH($B1236&amp;"|"&amp;$C1236,'Base de sorteio'!$I$3:$I$1723,0)),""),"abrir"))</f>
        <v/>
      </c>
      <c r="J1236" s="4" t="n"/>
      <c r="K1236" s="4" t="n"/>
      <c r="L1236" s="4" t="n"/>
      <c r="M1236" s="4" t="n"/>
      <c r="N1236" s="4">
        <f>IF(AND(K1236="",M1236=""),"",IF(OR(K1236="sim",M1236="sim"),"sim",IF(OR(K1236="inconclusivo",M1236="inconclusivo"),"inconclusivo","não")))</f>
        <v/>
      </c>
      <c r="O1236" s="5">
        <f>IF(N1236="sim",COUNTIFS($B$3:$B1236,$B1236,$N$3:$N1236,"sim"),"")</f>
        <v/>
      </c>
      <c r="P1236" s="5" t="n"/>
      <c r="Q1236" s="4" t="n"/>
      <c r="R1236" s="5" t="n"/>
      <c r="S1236" s="9" t="n"/>
      <c r="T1236" s="4" t="n"/>
    </row>
    <row r="1237">
      <c r="A1237" s="5">
        <f>ROW()-2</f>
        <v/>
      </c>
      <c r="B1237" s="4" t="inlineStr">
        <is>
          <t>Capital regional</t>
        </is>
      </c>
      <c r="C1237" s="5" t="n">
        <v>293</v>
      </c>
      <c r="D1237" s="5">
        <f>IFERROR(INDEX('Base de sorteio'!$A$3:$A$1723,MATCH($B1237&amp;"|"&amp;$C1237,'Base de sorteio'!$I$3:$I$1723,0)),"")</f>
        <v/>
      </c>
      <c r="E1237" s="4">
        <f>IFERROR(INDEX('Base de sorteio'!$B$3:$B$1723,MATCH($B1237&amp;"|"&amp;$C1237,'Base de sorteio'!$I$3:$I$1723,0)),"")</f>
        <v/>
      </c>
      <c r="F1237" s="4">
        <f>IFERROR(INDEX('Base de sorteio'!$C$3:$C$1723,MATCH($B1237&amp;"|"&amp;$C1237,'Base de sorteio'!$I$3:$I$1723,0)),"")</f>
        <v/>
      </c>
      <c r="G1237" s="4">
        <f>IFERROR(INDEX('Base de sorteio'!$D$3:$D$1723,MATCH($B1237&amp;"|"&amp;$C1237,'Base de sorteio'!$I$3:$I$1723,0)),"")</f>
        <v/>
      </c>
      <c r="H1237" s="4">
        <f>IFERROR(INDEX('Base de sorteio'!$E$3:$E$1723,MATCH($B1237&amp;"|"&amp;$C1237,'Base de sorteio'!$I$3:$I$1723,0)),"")</f>
        <v/>
      </c>
      <c r="I1237" s="4">
        <f>IF(E1237="","",HYPERLINK(IFERROR(INDEX('Base de sorteio'!$J$3:$J$1723,MATCH($B1237&amp;"|"&amp;$C1237,'Base de sorteio'!$I$3:$I$1723,0)),""),"abrir"))</f>
        <v/>
      </c>
      <c r="J1237" s="4" t="n"/>
      <c r="K1237" s="4" t="n"/>
      <c r="L1237" s="4" t="n"/>
      <c r="M1237" s="4" t="n"/>
      <c r="N1237" s="4">
        <f>IF(AND(K1237="",M1237=""),"",IF(OR(K1237="sim",M1237="sim"),"sim",IF(OR(K1237="inconclusivo",M1237="inconclusivo"),"inconclusivo","não")))</f>
        <v/>
      </c>
      <c r="O1237" s="5">
        <f>IF(N1237="sim",COUNTIFS($B$3:$B1237,$B1237,$N$3:$N1237,"sim"),"")</f>
        <v/>
      </c>
      <c r="P1237" s="5" t="n"/>
      <c r="Q1237" s="4" t="n"/>
      <c r="R1237" s="5" t="n"/>
      <c r="S1237" s="9" t="n"/>
      <c r="T1237" s="4" t="n"/>
    </row>
    <row r="1238">
      <c r="A1238" s="5">
        <f>ROW()-2</f>
        <v/>
      </c>
      <c r="B1238" s="4" t="inlineStr">
        <is>
          <t>Capital regional</t>
        </is>
      </c>
      <c r="C1238" s="5" t="n">
        <v>294</v>
      </c>
      <c r="D1238" s="5">
        <f>IFERROR(INDEX('Base de sorteio'!$A$3:$A$1723,MATCH($B1238&amp;"|"&amp;$C1238,'Base de sorteio'!$I$3:$I$1723,0)),"")</f>
        <v/>
      </c>
      <c r="E1238" s="4">
        <f>IFERROR(INDEX('Base de sorteio'!$B$3:$B$1723,MATCH($B1238&amp;"|"&amp;$C1238,'Base de sorteio'!$I$3:$I$1723,0)),"")</f>
        <v/>
      </c>
      <c r="F1238" s="4">
        <f>IFERROR(INDEX('Base de sorteio'!$C$3:$C$1723,MATCH($B1238&amp;"|"&amp;$C1238,'Base de sorteio'!$I$3:$I$1723,0)),"")</f>
        <v/>
      </c>
      <c r="G1238" s="4">
        <f>IFERROR(INDEX('Base de sorteio'!$D$3:$D$1723,MATCH($B1238&amp;"|"&amp;$C1238,'Base de sorteio'!$I$3:$I$1723,0)),"")</f>
        <v/>
      </c>
      <c r="H1238" s="4">
        <f>IFERROR(INDEX('Base de sorteio'!$E$3:$E$1723,MATCH($B1238&amp;"|"&amp;$C1238,'Base de sorteio'!$I$3:$I$1723,0)),"")</f>
        <v/>
      </c>
      <c r="I1238" s="4">
        <f>IF(E1238="","",HYPERLINK(IFERROR(INDEX('Base de sorteio'!$J$3:$J$1723,MATCH($B1238&amp;"|"&amp;$C1238,'Base de sorteio'!$I$3:$I$1723,0)),""),"abrir"))</f>
        <v/>
      </c>
      <c r="J1238" s="4" t="n"/>
      <c r="K1238" s="4" t="n"/>
      <c r="L1238" s="4" t="n"/>
      <c r="M1238" s="4" t="n"/>
      <c r="N1238" s="4">
        <f>IF(AND(K1238="",M1238=""),"",IF(OR(K1238="sim",M1238="sim"),"sim",IF(OR(K1238="inconclusivo",M1238="inconclusivo"),"inconclusivo","não")))</f>
        <v/>
      </c>
      <c r="O1238" s="5">
        <f>IF(N1238="sim",COUNTIFS($B$3:$B1238,$B1238,$N$3:$N1238,"sim"),"")</f>
        <v/>
      </c>
      <c r="P1238" s="5" t="n"/>
      <c r="Q1238" s="4" t="n"/>
      <c r="R1238" s="5" t="n"/>
      <c r="S1238" s="9" t="n"/>
      <c r="T1238" s="4" t="n"/>
    </row>
    <row r="1239">
      <c r="A1239" s="5">
        <f>ROW()-2</f>
        <v/>
      </c>
      <c r="B1239" s="4" t="inlineStr">
        <is>
          <t>Capital regional</t>
        </is>
      </c>
      <c r="C1239" s="5" t="n">
        <v>295</v>
      </c>
      <c r="D1239" s="5">
        <f>IFERROR(INDEX('Base de sorteio'!$A$3:$A$1723,MATCH($B1239&amp;"|"&amp;$C1239,'Base de sorteio'!$I$3:$I$1723,0)),"")</f>
        <v/>
      </c>
      <c r="E1239" s="4">
        <f>IFERROR(INDEX('Base de sorteio'!$B$3:$B$1723,MATCH($B1239&amp;"|"&amp;$C1239,'Base de sorteio'!$I$3:$I$1723,0)),"")</f>
        <v/>
      </c>
      <c r="F1239" s="4">
        <f>IFERROR(INDEX('Base de sorteio'!$C$3:$C$1723,MATCH($B1239&amp;"|"&amp;$C1239,'Base de sorteio'!$I$3:$I$1723,0)),"")</f>
        <v/>
      </c>
      <c r="G1239" s="4">
        <f>IFERROR(INDEX('Base de sorteio'!$D$3:$D$1723,MATCH($B1239&amp;"|"&amp;$C1239,'Base de sorteio'!$I$3:$I$1723,0)),"")</f>
        <v/>
      </c>
      <c r="H1239" s="4">
        <f>IFERROR(INDEX('Base de sorteio'!$E$3:$E$1723,MATCH($B1239&amp;"|"&amp;$C1239,'Base de sorteio'!$I$3:$I$1723,0)),"")</f>
        <v/>
      </c>
      <c r="I1239" s="4">
        <f>IF(E1239="","",HYPERLINK(IFERROR(INDEX('Base de sorteio'!$J$3:$J$1723,MATCH($B1239&amp;"|"&amp;$C1239,'Base de sorteio'!$I$3:$I$1723,0)),""),"abrir"))</f>
        <v/>
      </c>
      <c r="J1239" s="4" t="n"/>
      <c r="K1239" s="4" t="n"/>
      <c r="L1239" s="4" t="n"/>
      <c r="M1239" s="4" t="n"/>
      <c r="N1239" s="4">
        <f>IF(AND(K1239="",M1239=""),"",IF(OR(K1239="sim",M1239="sim"),"sim",IF(OR(K1239="inconclusivo",M1239="inconclusivo"),"inconclusivo","não")))</f>
        <v/>
      </c>
      <c r="O1239" s="5">
        <f>IF(N1239="sim",COUNTIFS($B$3:$B1239,$B1239,$N$3:$N1239,"sim"),"")</f>
        <v/>
      </c>
      <c r="P1239" s="5" t="n"/>
      <c r="Q1239" s="4" t="n"/>
      <c r="R1239" s="5" t="n"/>
      <c r="S1239" s="9" t="n"/>
      <c r="T1239" s="4" t="n"/>
    </row>
    <row r="1240">
      <c r="A1240" s="5">
        <f>ROW()-2</f>
        <v/>
      </c>
      <c r="B1240" s="4" t="inlineStr">
        <is>
          <t>Capital regional</t>
        </is>
      </c>
      <c r="C1240" s="5" t="n">
        <v>296</v>
      </c>
      <c r="D1240" s="5">
        <f>IFERROR(INDEX('Base de sorteio'!$A$3:$A$1723,MATCH($B1240&amp;"|"&amp;$C1240,'Base de sorteio'!$I$3:$I$1723,0)),"")</f>
        <v/>
      </c>
      <c r="E1240" s="4">
        <f>IFERROR(INDEX('Base de sorteio'!$B$3:$B$1723,MATCH($B1240&amp;"|"&amp;$C1240,'Base de sorteio'!$I$3:$I$1723,0)),"")</f>
        <v/>
      </c>
      <c r="F1240" s="4">
        <f>IFERROR(INDEX('Base de sorteio'!$C$3:$C$1723,MATCH($B1240&amp;"|"&amp;$C1240,'Base de sorteio'!$I$3:$I$1723,0)),"")</f>
        <v/>
      </c>
      <c r="G1240" s="4">
        <f>IFERROR(INDEX('Base de sorteio'!$D$3:$D$1723,MATCH($B1240&amp;"|"&amp;$C1240,'Base de sorteio'!$I$3:$I$1723,0)),"")</f>
        <v/>
      </c>
      <c r="H1240" s="4">
        <f>IFERROR(INDEX('Base de sorteio'!$E$3:$E$1723,MATCH($B1240&amp;"|"&amp;$C1240,'Base de sorteio'!$I$3:$I$1723,0)),"")</f>
        <v/>
      </c>
      <c r="I1240" s="4">
        <f>IF(E1240="","",HYPERLINK(IFERROR(INDEX('Base de sorteio'!$J$3:$J$1723,MATCH($B1240&amp;"|"&amp;$C1240,'Base de sorteio'!$I$3:$I$1723,0)),""),"abrir"))</f>
        <v/>
      </c>
      <c r="J1240" s="4" t="n"/>
      <c r="K1240" s="4" t="n"/>
      <c r="L1240" s="4" t="n"/>
      <c r="M1240" s="4" t="n"/>
      <c r="N1240" s="4">
        <f>IF(AND(K1240="",M1240=""),"",IF(OR(K1240="sim",M1240="sim"),"sim",IF(OR(K1240="inconclusivo",M1240="inconclusivo"),"inconclusivo","não")))</f>
        <v/>
      </c>
      <c r="O1240" s="5">
        <f>IF(N1240="sim",COUNTIFS($B$3:$B1240,$B1240,$N$3:$N1240,"sim"),"")</f>
        <v/>
      </c>
      <c r="P1240" s="5" t="n"/>
      <c r="Q1240" s="4" t="n"/>
      <c r="R1240" s="5" t="n"/>
      <c r="S1240" s="9" t="n"/>
      <c r="T1240" s="4" t="n"/>
    </row>
    <row r="1241">
      <c r="A1241" s="5">
        <f>ROW()-2</f>
        <v/>
      </c>
      <c r="B1241" s="4" t="inlineStr">
        <is>
          <t>Capital regional</t>
        </is>
      </c>
      <c r="C1241" s="5" t="n">
        <v>297</v>
      </c>
      <c r="D1241" s="5">
        <f>IFERROR(INDEX('Base de sorteio'!$A$3:$A$1723,MATCH($B1241&amp;"|"&amp;$C1241,'Base de sorteio'!$I$3:$I$1723,0)),"")</f>
        <v/>
      </c>
      <c r="E1241" s="4">
        <f>IFERROR(INDEX('Base de sorteio'!$B$3:$B$1723,MATCH($B1241&amp;"|"&amp;$C1241,'Base de sorteio'!$I$3:$I$1723,0)),"")</f>
        <v/>
      </c>
      <c r="F1241" s="4">
        <f>IFERROR(INDEX('Base de sorteio'!$C$3:$C$1723,MATCH($B1241&amp;"|"&amp;$C1241,'Base de sorteio'!$I$3:$I$1723,0)),"")</f>
        <v/>
      </c>
      <c r="G1241" s="4">
        <f>IFERROR(INDEX('Base de sorteio'!$D$3:$D$1723,MATCH($B1241&amp;"|"&amp;$C1241,'Base de sorteio'!$I$3:$I$1723,0)),"")</f>
        <v/>
      </c>
      <c r="H1241" s="4">
        <f>IFERROR(INDEX('Base de sorteio'!$E$3:$E$1723,MATCH($B1241&amp;"|"&amp;$C1241,'Base de sorteio'!$I$3:$I$1723,0)),"")</f>
        <v/>
      </c>
      <c r="I1241" s="4">
        <f>IF(E1241="","",HYPERLINK(IFERROR(INDEX('Base de sorteio'!$J$3:$J$1723,MATCH($B1241&amp;"|"&amp;$C1241,'Base de sorteio'!$I$3:$I$1723,0)),""),"abrir"))</f>
        <v/>
      </c>
      <c r="J1241" s="4" t="n"/>
      <c r="K1241" s="4" t="n"/>
      <c r="L1241" s="4" t="n"/>
      <c r="M1241" s="4" t="n"/>
      <c r="N1241" s="4">
        <f>IF(AND(K1241="",M1241=""),"",IF(OR(K1241="sim",M1241="sim"),"sim",IF(OR(K1241="inconclusivo",M1241="inconclusivo"),"inconclusivo","não")))</f>
        <v/>
      </c>
      <c r="O1241" s="5">
        <f>IF(N1241="sim",COUNTIFS($B$3:$B1241,$B1241,$N$3:$N1241,"sim"),"")</f>
        <v/>
      </c>
      <c r="P1241" s="5" t="n"/>
      <c r="Q1241" s="4" t="n"/>
      <c r="R1241" s="5" t="n"/>
      <c r="S1241" s="9" t="n"/>
      <c r="T1241" s="4" t="n"/>
    </row>
    <row r="1242">
      <c r="A1242" s="5">
        <f>ROW()-2</f>
        <v/>
      </c>
      <c r="B1242" s="4" t="inlineStr">
        <is>
          <t>Capital regional</t>
        </is>
      </c>
      <c r="C1242" s="5" t="n">
        <v>298</v>
      </c>
      <c r="D1242" s="5">
        <f>IFERROR(INDEX('Base de sorteio'!$A$3:$A$1723,MATCH($B1242&amp;"|"&amp;$C1242,'Base de sorteio'!$I$3:$I$1723,0)),"")</f>
        <v/>
      </c>
      <c r="E1242" s="4">
        <f>IFERROR(INDEX('Base de sorteio'!$B$3:$B$1723,MATCH($B1242&amp;"|"&amp;$C1242,'Base de sorteio'!$I$3:$I$1723,0)),"")</f>
        <v/>
      </c>
      <c r="F1242" s="4">
        <f>IFERROR(INDEX('Base de sorteio'!$C$3:$C$1723,MATCH($B1242&amp;"|"&amp;$C1242,'Base de sorteio'!$I$3:$I$1723,0)),"")</f>
        <v/>
      </c>
      <c r="G1242" s="4">
        <f>IFERROR(INDEX('Base de sorteio'!$D$3:$D$1723,MATCH($B1242&amp;"|"&amp;$C1242,'Base de sorteio'!$I$3:$I$1723,0)),"")</f>
        <v/>
      </c>
      <c r="H1242" s="4">
        <f>IFERROR(INDEX('Base de sorteio'!$E$3:$E$1723,MATCH($B1242&amp;"|"&amp;$C1242,'Base de sorteio'!$I$3:$I$1723,0)),"")</f>
        <v/>
      </c>
      <c r="I1242" s="4">
        <f>IF(E1242="","",HYPERLINK(IFERROR(INDEX('Base de sorteio'!$J$3:$J$1723,MATCH($B1242&amp;"|"&amp;$C1242,'Base de sorteio'!$I$3:$I$1723,0)),""),"abrir"))</f>
        <v/>
      </c>
      <c r="J1242" s="4" t="n"/>
      <c r="K1242" s="4" t="n"/>
      <c r="L1242" s="4" t="n"/>
      <c r="M1242" s="4" t="n"/>
      <c r="N1242" s="4">
        <f>IF(AND(K1242="",M1242=""),"",IF(OR(K1242="sim",M1242="sim"),"sim",IF(OR(K1242="inconclusivo",M1242="inconclusivo"),"inconclusivo","não")))</f>
        <v/>
      </c>
      <c r="O1242" s="5">
        <f>IF(N1242="sim",COUNTIFS($B$3:$B1242,$B1242,$N$3:$N1242,"sim"),"")</f>
        <v/>
      </c>
      <c r="P1242" s="5" t="n"/>
      <c r="Q1242" s="4" t="n"/>
      <c r="R1242" s="5" t="n"/>
      <c r="S1242" s="9" t="n"/>
      <c r="T1242" s="4" t="n"/>
    </row>
    <row r="1243">
      <c r="A1243" s="5">
        <f>ROW()-2</f>
        <v/>
      </c>
      <c r="B1243" s="4" t="inlineStr">
        <is>
          <t>Capital regional</t>
        </is>
      </c>
      <c r="C1243" s="5" t="n">
        <v>299</v>
      </c>
      <c r="D1243" s="5">
        <f>IFERROR(INDEX('Base de sorteio'!$A$3:$A$1723,MATCH($B1243&amp;"|"&amp;$C1243,'Base de sorteio'!$I$3:$I$1723,0)),"")</f>
        <v/>
      </c>
      <c r="E1243" s="4">
        <f>IFERROR(INDEX('Base de sorteio'!$B$3:$B$1723,MATCH($B1243&amp;"|"&amp;$C1243,'Base de sorteio'!$I$3:$I$1723,0)),"")</f>
        <v/>
      </c>
      <c r="F1243" s="4">
        <f>IFERROR(INDEX('Base de sorteio'!$C$3:$C$1723,MATCH($B1243&amp;"|"&amp;$C1243,'Base de sorteio'!$I$3:$I$1723,0)),"")</f>
        <v/>
      </c>
      <c r="G1243" s="4">
        <f>IFERROR(INDEX('Base de sorteio'!$D$3:$D$1723,MATCH($B1243&amp;"|"&amp;$C1243,'Base de sorteio'!$I$3:$I$1723,0)),"")</f>
        <v/>
      </c>
      <c r="H1243" s="4">
        <f>IFERROR(INDEX('Base de sorteio'!$E$3:$E$1723,MATCH($B1243&amp;"|"&amp;$C1243,'Base de sorteio'!$I$3:$I$1723,0)),"")</f>
        <v/>
      </c>
      <c r="I1243" s="4">
        <f>IF(E1243="","",HYPERLINK(IFERROR(INDEX('Base de sorteio'!$J$3:$J$1723,MATCH($B1243&amp;"|"&amp;$C1243,'Base de sorteio'!$I$3:$I$1723,0)),""),"abrir"))</f>
        <v/>
      </c>
      <c r="J1243" s="4" t="n"/>
      <c r="K1243" s="4" t="n"/>
      <c r="L1243" s="4" t="n"/>
      <c r="M1243" s="4" t="n"/>
      <c r="N1243" s="4">
        <f>IF(AND(K1243="",M1243=""),"",IF(OR(K1243="sim",M1243="sim"),"sim",IF(OR(K1243="inconclusivo",M1243="inconclusivo"),"inconclusivo","não")))</f>
        <v/>
      </c>
      <c r="O1243" s="5">
        <f>IF(N1243="sim",COUNTIFS($B$3:$B1243,$B1243,$N$3:$N1243,"sim"),"")</f>
        <v/>
      </c>
      <c r="P1243" s="5" t="n"/>
      <c r="Q1243" s="4" t="n"/>
      <c r="R1243" s="5" t="n"/>
      <c r="S1243" s="9" t="n"/>
      <c r="T1243" s="4" t="n"/>
    </row>
    <row r="1244">
      <c r="A1244" s="5">
        <f>ROW()-2</f>
        <v/>
      </c>
      <c r="B1244" s="4" t="inlineStr">
        <is>
          <t>Capital regional</t>
        </is>
      </c>
      <c r="C1244" s="5" t="n">
        <v>300</v>
      </c>
      <c r="D1244" s="5">
        <f>IFERROR(INDEX('Base de sorteio'!$A$3:$A$1723,MATCH($B1244&amp;"|"&amp;$C1244,'Base de sorteio'!$I$3:$I$1723,0)),"")</f>
        <v/>
      </c>
      <c r="E1244" s="4">
        <f>IFERROR(INDEX('Base de sorteio'!$B$3:$B$1723,MATCH($B1244&amp;"|"&amp;$C1244,'Base de sorteio'!$I$3:$I$1723,0)),"")</f>
        <v/>
      </c>
      <c r="F1244" s="4">
        <f>IFERROR(INDEX('Base de sorteio'!$C$3:$C$1723,MATCH($B1244&amp;"|"&amp;$C1244,'Base de sorteio'!$I$3:$I$1723,0)),"")</f>
        <v/>
      </c>
      <c r="G1244" s="4">
        <f>IFERROR(INDEX('Base de sorteio'!$D$3:$D$1723,MATCH($B1244&amp;"|"&amp;$C1244,'Base de sorteio'!$I$3:$I$1723,0)),"")</f>
        <v/>
      </c>
      <c r="H1244" s="4">
        <f>IFERROR(INDEX('Base de sorteio'!$E$3:$E$1723,MATCH($B1244&amp;"|"&amp;$C1244,'Base de sorteio'!$I$3:$I$1723,0)),"")</f>
        <v/>
      </c>
      <c r="I1244" s="4">
        <f>IF(E1244="","",HYPERLINK(IFERROR(INDEX('Base de sorteio'!$J$3:$J$1723,MATCH($B1244&amp;"|"&amp;$C1244,'Base de sorteio'!$I$3:$I$1723,0)),""),"abrir"))</f>
        <v/>
      </c>
      <c r="J1244" s="4" t="n"/>
      <c r="K1244" s="4" t="n"/>
      <c r="L1244" s="4" t="n"/>
      <c r="M1244" s="4" t="n"/>
      <c r="N1244" s="4">
        <f>IF(AND(K1244="",M1244=""),"",IF(OR(K1244="sim",M1244="sim"),"sim",IF(OR(K1244="inconclusivo",M1244="inconclusivo"),"inconclusivo","não")))</f>
        <v/>
      </c>
      <c r="O1244" s="5">
        <f>IF(N1244="sim",COUNTIFS($B$3:$B1244,$B1244,$N$3:$N1244,"sim"),"")</f>
        <v/>
      </c>
      <c r="P1244" s="5" t="n"/>
      <c r="Q1244" s="4" t="n"/>
      <c r="R1244" s="5" t="n"/>
      <c r="S1244" s="9" t="n"/>
      <c r="T1244" s="4" t="n"/>
    </row>
    <row r="1245">
      <c r="A1245" s="5">
        <f>ROW()-2</f>
        <v/>
      </c>
      <c r="B1245" s="4" t="inlineStr">
        <is>
          <t>Capital regional</t>
        </is>
      </c>
      <c r="C1245" s="5" t="n">
        <v>301</v>
      </c>
      <c r="D1245" s="5">
        <f>IFERROR(INDEX('Base de sorteio'!$A$3:$A$1723,MATCH($B1245&amp;"|"&amp;$C1245,'Base de sorteio'!$I$3:$I$1723,0)),"")</f>
        <v/>
      </c>
      <c r="E1245" s="4">
        <f>IFERROR(INDEX('Base de sorteio'!$B$3:$B$1723,MATCH($B1245&amp;"|"&amp;$C1245,'Base de sorteio'!$I$3:$I$1723,0)),"")</f>
        <v/>
      </c>
      <c r="F1245" s="4">
        <f>IFERROR(INDEX('Base de sorteio'!$C$3:$C$1723,MATCH($B1245&amp;"|"&amp;$C1245,'Base de sorteio'!$I$3:$I$1723,0)),"")</f>
        <v/>
      </c>
      <c r="G1245" s="4">
        <f>IFERROR(INDEX('Base de sorteio'!$D$3:$D$1723,MATCH($B1245&amp;"|"&amp;$C1245,'Base de sorteio'!$I$3:$I$1723,0)),"")</f>
        <v/>
      </c>
      <c r="H1245" s="4">
        <f>IFERROR(INDEX('Base de sorteio'!$E$3:$E$1723,MATCH($B1245&amp;"|"&amp;$C1245,'Base de sorteio'!$I$3:$I$1723,0)),"")</f>
        <v/>
      </c>
      <c r="I1245" s="4">
        <f>IF(E1245="","",HYPERLINK(IFERROR(INDEX('Base de sorteio'!$J$3:$J$1723,MATCH($B1245&amp;"|"&amp;$C1245,'Base de sorteio'!$I$3:$I$1723,0)),""),"abrir"))</f>
        <v/>
      </c>
      <c r="J1245" s="4" t="n"/>
      <c r="K1245" s="4" t="n"/>
      <c r="L1245" s="4" t="n"/>
      <c r="M1245" s="4" t="n"/>
      <c r="N1245" s="4">
        <f>IF(AND(K1245="",M1245=""),"",IF(OR(K1245="sim",M1245="sim"),"sim",IF(OR(K1245="inconclusivo",M1245="inconclusivo"),"inconclusivo","não")))</f>
        <v/>
      </c>
      <c r="O1245" s="5">
        <f>IF(N1245="sim",COUNTIFS($B$3:$B1245,$B1245,$N$3:$N1245,"sim"),"")</f>
        <v/>
      </c>
      <c r="P1245" s="5" t="n"/>
      <c r="Q1245" s="4" t="n"/>
      <c r="R1245" s="5" t="n"/>
      <c r="S1245" s="9" t="n"/>
      <c r="T1245" s="4" t="n"/>
    </row>
    <row r="1246">
      <c r="A1246" s="5">
        <f>ROW()-2</f>
        <v/>
      </c>
      <c r="B1246" s="4" t="inlineStr">
        <is>
          <t>Capital regional</t>
        </is>
      </c>
      <c r="C1246" s="5" t="n">
        <v>302</v>
      </c>
      <c r="D1246" s="5">
        <f>IFERROR(INDEX('Base de sorteio'!$A$3:$A$1723,MATCH($B1246&amp;"|"&amp;$C1246,'Base de sorteio'!$I$3:$I$1723,0)),"")</f>
        <v/>
      </c>
      <c r="E1246" s="4">
        <f>IFERROR(INDEX('Base de sorteio'!$B$3:$B$1723,MATCH($B1246&amp;"|"&amp;$C1246,'Base de sorteio'!$I$3:$I$1723,0)),"")</f>
        <v/>
      </c>
      <c r="F1246" s="4">
        <f>IFERROR(INDEX('Base de sorteio'!$C$3:$C$1723,MATCH($B1246&amp;"|"&amp;$C1246,'Base de sorteio'!$I$3:$I$1723,0)),"")</f>
        <v/>
      </c>
      <c r="G1246" s="4">
        <f>IFERROR(INDEX('Base de sorteio'!$D$3:$D$1723,MATCH($B1246&amp;"|"&amp;$C1246,'Base de sorteio'!$I$3:$I$1723,0)),"")</f>
        <v/>
      </c>
      <c r="H1246" s="4">
        <f>IFERROR(INDEX('Base de sorteio'!$E$3:$E$1723,MATCH($B1246&amp;"|"&amp;$C1246,'Base de sorteio'!$I$3:$I$1723,0)),"")</f>
        <v/>
      </c>
      <c r="I1246" s="4">
        <f>IF(E1246="","",HYPERLINK(IFERROR(INDEX('Base de sorteio'!$J$3:$J$1723,MATCH($B1246&amp;"|"&amp;$C1246,'Base de sorteio'!$I$3:$I$1723,0)),""),"abrir"))</f>
        <v/>
      </c>
      <c r="J1246" s="4" t="n"/>
      <c r="K1246" s="4" t="n"/>
      <c r="L1246" s="4" t="n"/>
      <c r="M1246" s="4" t="n"/>
      <c r="N1246" s="4">
        <f>IF(AND(K1246="",M1246=""),"",IF(OR(K1246="sim",M1246="sim"),"sim",IF(OR(K1246="inconclusivo",M1246="inconclusivo"),"inconclusivo","não")))</f>
        <v/>
      </c>
      <c r="O1246" s="5">
        <f>IF(N1246="sim",COUNTIFS($B$3:$B1246,$B1246,$N$3:$N1246,"sim"),"")</f>
        <v/>
      </c>
      <c r="P1246" s="5" t="n"/>
      <c r="Q1246" s="4" t="n"/>
      <c r="R1246" s="5" t="n"/>
      <c r="S1246" s="9" t="n"/>
      <c r="T1246" s="4" t="n"/>
    </row>
    <row r="1247">
      <c r="A1247" s="5">
        <f>ROW()-2</f>
        <v/>
      </c>
      <c r="B1247" s="4" t="inlineStr">
        <is>
          <t>Capital regional</t>
        </is>
      </c>
      <c r="C1247" s="5" t="n">
        <v>303</v>
      </c>
      <c r="D1247" s="5">
        <f>IFERROR(INDEX('Base de sorteio'!$A$3:$A$1723,MATCH($B1247&amp;"|"&amp;$C1247,'Base de sorteio'!$I$3:$I$1723,0)),"")</f>
        <v/>
      </c>
      <c r="E1247" s="4">
        <f>IFERROR(INDEX('Base de sorteio'!$B$3:$B$1723,MATCH($B1247&amp;"|"&amp;$C1247,'Base de sorteio'!$I$3:$I$1723,0)),"")</f>
        <v/>
      </c>
      <c r="F1247" s="4">
        <f>IFERROR(INDEX('Base de sorteio'!$C$3:$C$1723,MATCH($B1247&amp;"|"&amp;$C1247,'Base de sorteio'!$I$3:$I$1723,0)),"")</f>
        <v/>
      </c>
      <c r="G1247" s="4">
        <f>IFERROR(INDEX('Base de sorteio'!$D$3:$D$1723,MATCH($B1247&amp;"|"&amp;$C1247,'Base de sorteio'!$I$3:$I$1723,0)),"")</f>
        <v/>
      </c>
      <c r="H1247" s="4">
        <f>IFERROR(INDEX('Base de sorteio'!$E$3:$E$1723,MATCH($B1247&amp;"|"&amp;$C1247,'Base de sorteio'!$I$3:$I$1723,0)),"")</f>
        <v/>
      </c>
      <c r="I1247" s="4">
        <f>IF(E1247="","",HYPERLINK(IFERROR(INDEX('Base de sorteio'!$J$3:$J$1723,MATCH($B1247&amp;"|"&amp;$C1247,'Base de sorteio'!$I$3:$I$1723,0)),""),"abrir"))</f>
        <v/>
      </c>
      <c r="J1247" s="4" t="n"/>
      <c r="K1247" s="4" t="n"/>
      <c r="L1247" s="4" t="n"/>
      <c r="M1247" s="4" t="n"/>
      <c r="N1247" s="4">
        <f>IF(AND(K1247="",M1247=""),"",IF(OR(K1247="sim",M1247="sim"),"sim",IF(OR(K1247="inconclusivo",M1247="inconclusivo"),"inconclusivo","não")))</f>
        <v/>
      </c>
      <c r="O1247" s="5">
        <f>IF(N1247="sim",COUNTIFS($B$3:$B1247,$B1247,$N$3:$N1247,"sim"),"")</f>
        <v/>
      </c>
      <c r="P1247" s="5" t="n"/>
      <c r="Q1247" s="4" t="n"/>
      <c r="R1247" s="5" t="n"/>
      <c r="S1247" s="9" t="n"/>
      <c r="T1247" s="4" t="n"/>
    </row>
    <row r="1248">
      <c r="A1248" s="5">
        <f>ROW()-2</f>
        <v/>
      </c>
      <c r="B1248" s="4" t="inlineStr">
        <is>
          <t>Capital regional</t>
        </is>
      </c>
      <c r="C1248" s="5" t="n">
        <v>304</v>
      </c>
      <c r="D1248" s="5">
        <f>IFERROR(INDEX('Base de sorteio'!$A$3:$A$1723,MATCH($B1248&amp;"|"&amp;$C1248,'Base de sorteio'!$I$3:$I$1723,0)),"")</f>
        <v/>
      </c>
      <c r="E1248" s="4">
        <f>IFERROR(INDEX('Base de sorteio'!$B$3:$B$1723,MATCH($B1248&amp;"|"&amp;$C1248,'Base de sorteio'!$I$3:$I$1723,0)),"")</f>
        <v/>
      </c>
      <c r="F1248" s="4">
        <f>IFERROR(INDEX('Base de sorteio'!$C$3:$C$1723,MATCH($B1248&amp;"|"&amp;$C1248,'Base de sorteio'!$I$3:$I$1723,0)),"")</f>
        <v/>
      </c>
      <c r="G1248" s="4">
        <f>IFERROR(INDEX('Base de sorteio'!$D$3:$D$1723,MATCH($B1248&amp;"|"&amp;$C1248,'Base de sorteio'!$I$3:$I$1723,0)),"")</f>
        <v/>
      </c>
      <c r="H1248" s="4">
        <f>IFERROR(INDEX('Base de sorteio'!$E$3:$E$1723,MATCH($B1248&amp;"|"&amp;$C1248,'Base de sorteio'!$I$3:$I$1723,0)),"")</f>
        <v/>
      </c>
      <c r="I1248" s="4">
        <f>IF(E1248="","",HYPERLINK(IFERROR(INDEX('Base de sorteio'!$J$3:$J$1723,MATCH($B1248&amp;"|"&amp;$C1248,'Base de sorteio'!$I$3:$I$1723,0)),""),"abrir"))</f>
        <v/>
      </c>
      <c r="J1248" s="4" t="n"/>
      <c r="K1248" s="4" t="n"/>
      <c r="L1248" s="4" t="n"/>
      <c r="M1248" s="4" t="n"/>
      <c r="N1248" s="4">
        <f>IF(AND(K1248="",M1248=""),"",IF(OR(K1248="sim",M1248="sim"),"sim",IF(OR(K1248="inconclusivo",M1248="inconclusivo"),"inconclusivo","não")))</f>
        <v/>
      </c>
      <c r="O1248" s="5">
        <f>IF(N1248="sim",COUNTIFS($B$3:$B1248,$B1248,$N$3:$N1248,"sim"),"")</f>
        <v/>
      </c>
      <c r="P1248" s="5" t="n"/>
      <c r="Q1248" s="4" t="n"/>
      <c r="R1248" s="5" t="n"/>
      <c r="S1248" s="9" t="n"/>
      <c r="T1248" s="4" t="n"/>
    </row>
    <row r="1249">
      <c r="A1249" s="5">
        <f>ROW()-2</f>
        <v/>
      </c>
      <c r="B1249" s="4" t="inlineStr">
        <is>
          <t>Capital regional</t>
        </is>
      </c>
      <c r="C1249" s="5" t="n">
        <v>305</v>
      </c>
      <c r="D1249" s="5">
        <f>IFERROR(INDEX('Base de sorteio'!$A$3:$A$1723,MATCH($B1249&amp;"|"&amp;$C1249,'Base de sorteio'!$I$3:$I$1723,0)),"")</f>
        <v/>
      </c>
      <c r="E1249" s="4">
        <f>IFERROR(INDEX('Base de sorteio'!$B$3:$B$1723,MATCH($B1249&amp;"|"&amp;$C1249,'Base de sorteio'!$I$3:$I$1723,0)),"")</f>
        <v/>
      </c>
      <c r="F1249" s="4">
        <f>IFERROR(INDEX('Base de sorteio'!$C$3:$C$1723,MATCH($B1249&amp;"|"&amp;$C1249,'Base de sorteio'!$I$3:$I$1723,0)),"")</f>
        <v/>
      </c>
      <c r="G1249" s="4">
        <f>IFERROR(INDEX('Base de sorteio'!$D$3:$D$1723,MATCH($B1249&amp;"|"&amp;$C1249,'Base de sorteio'!$I$3:$I$1723,0)),"")</f>
        <v/>
      </c>
      <c r="H1249" s="4">
        <f>IFERROR(INDEX('Base de sorteio'!$E$3:$E$1723,MATCH($B1249&amp;"|"&amp;$C1249,'Base de sorteio'!$I$3:$I$1723,0)),"")</f>
        <v/>
      </c>
      <c r="I1249" s="4">
        <f>IF(E1249="","",HYPERLINK(IFERROR(INDEX('Base de sorteio'!$J$3:$J$1723,MATCH($B1249&amp;"|"&amp;$C1249,'Base de sorteio'!$I$3:$I$1723,0)),""),"abrir"))</f>
        <v/>
      </c>
      <c r="J1249" s="4" t="n"/>
      <c r="K1249" s="4" t="n"/>
      <c r="L1249" s="4" t="n"/>
      <c r="M1249" s="4" t="n"/>
      <c r="N1249" s="4">
        <f>IF(AND(K1249="",M1249=""),"",IF(OR(K1249="sim",M1249="sim"),"sim",IF(OR(K1249="inconclusivo",M1249="inconclusivo"),"inconclusivo","não")))</f>
        <v/>
      </c>
      <c r="O1249" s="5">
        <f>IF(N1249="sim",COUNTIFS($B$3:$B1249,$B1249,$N$3:$N1249,"sim"),"")</f>
        <v/>
      </c>
      <c r="P1249" s="5" t="n"/>
      <c r="Q1249" s="4" t="n"/>
      <c r="R1249" s="5" t="n"/>
      <c r="S1249" s="9" t="n"/>
      <c r="T1249" s="4" t="n"/>
    </row>
    <row r="1250">
      <c r="A1250" s="5">
        <f>ROW()-2</f>
        <v/>
      </c>
      <c r="B1250" s="4" t="inlineStr">
        <is>
          <t>Capital regional</t>
        </is>
      </c>
      <c r="C1250" s="5" t="n">
        <v>306</v>
      </c>
      <c r="D1250" s="5">
        <f>IFERROR(INDEX('Base de sorteio'!$A$3:$A$1723,MATCH($B1250&amp;"|"&amp;$C1250,'Base de sorteio'!$I$3:$I$1723,0)),"")</f>
        <v/>
      </c>
      <c r="E1250" s="4">
        <f>IFERROR(INDEX('Base de sorteio'!$B$3:$B$1723,MATCH($B1250&amp;"|"&amp;$C1250,'Base de sorteio'!$I$3:$I$1723,0)),"")</f>
        <v/>
      </c>
      <c r="F1250" s="4">
        <f>IFERROR(INDEX('Base de sorteio'!$C$3:$C$1723,MATCH($B1250&amp;"|"&amp;$C1250,'Base de sorteio'!$I$3:$I$1723,0)),"")</f>
        <v/>
      </c>
      <c r="G1250" s="4">
        <f>IFERROR(INDEX('Base de sorteio'!$D$3:$D$1723,MATCH($B1250&amp;"|"&amp;$C1250,'Base de sorteio'!$I$3:$I$1723,0)),"")</f>
        <v/>
      </c>
      <c r="H1250" s="4">
        <f>IFERROR(INDEX('Base de sorteio'!$E$3:$E$1723,MATCH($B1250&amp;"|"&amp;$C1250,'Base de sorteio'!$I$3:$I$1723,0)),"")</f>
        <v/>
      </c>
      <c r="I1250" s="4">
        <f>IF(E1250="","",HYPERLINK(IFERROR(INDEX('Base de sorteio'!$J$3:$J$1723,MATCH($B1250&amp;"|"&amp;$C1250,'Base de sorteio'!$I$3:$I$1723,0)),""),"abrir"))</f>
        <v/>
      </c>
      <c r="J1250" s="4" t="n"/>
      <c r="K1250" s="4" t="n"/>
      <c r="L1250" s="4" t="n"/>
      <c r="M1250" s="4" t="n"/>
      <c r="N1250" s="4">
        <f>IF(AND(K1250="",M1250=""),"",IF(OR(K1250="sim",M1250="sim"),"sim",IF(OR(K1250="inconclusivo",M1250="inconclusivo"),"inconclusivo","não")))</f>
        <v/>
      </c>
      <c r="O1250" s="5">
        <f>IF(N1250="sim",COUNTIFS($B$3:$B1250,$B1250,$N$3:$N1250,"sim"),"")</f>
        <v/>
      </c>
      <c r="P1250" s="5" t="n"/>
      <c r="Q1250" s="4" t="n"/>
      <c r="R1250" s="5" t="n"/>
      <c r="S1250" s="9" t="n"/>
      <c r="T1250" s="4" t="n"/>
    </row>
    <row r="1251">
      <c r="A1251" s="5">
        <f>ROW()-2</f>
        <v/>
      </c>
      <c r="B1251" s="4" t="inlineStr">
        <is>
          <t>Capital regional</t>
        </is>
      </c>
      <c r="C1251" s="5" t="n">
        <v>307</v>
      </c>
      <c r="D1251" s="5">
        <f>IFERROR(INDEX('Base de sorteio'!$A$3:$A$1723,MATCH($B1251&amp;"|"&amp;$C1251,'Base de sorteio'!$I$3:$I$1723,0)),"")</f>
        <v/>
      </c>
      <c r="E1251" s="4">
        <f>IFERROR(INDEX('Base de sorteio'!$B$3:$B$1723,MATCH($B1251&amp;"|"&amp;$C1251,'Base de sorteio'!$I$3:$I$1723,0)),"")</f>
        <v/>
      </c>
      <c r="F1251" s="4">
        <f>IFERROR(INDEX('Base de sorteio'!$C$3:$C$1723,MATCH($B1251&amp;"|"&amp;$C1251,'Base de sorteio'!$I$3:$I$1723,0)),"")</f>
        <v/>
      </c>
      <c r="G1251" s="4">
        <f>IFERROR(INDEX('Base de sorteio'!$D$3:$D$1723,MATCH($B1251&amp;"|"&amp;$C1251,'Base de sorteio'!$I$3:$I$1723,0)),"")</f>
        <v/>
      </c>
      <c r="H1251" s="4">
        <f>IFERROR(INDEX('Base de sorteio'!$E$3:$E$1723,MATCH($B1251&amp;"|"&amp;$C1251,'Base de sorteio'!$I$3:$I$1723,0)),"")</f>
        <v/>
      </c>
      <c r="I1251" s="4">
        <f>IF(E1251="","",HYPERLINK(IFERROR(INDEX('Base de sorteio'!$J$3:$J$1723,MATCH($B1251&amp;"|"&amp;$C1251,'Base de sorteio'!$I$3:$I$1723,0)),""),"abrir"))</f>
        <v/>
      </c>
      <c r="J1251" s="4" t="n"/>
      <c r="K1251" s="4" t="n"/>
      <c r="L1251" s="4" t="n"/>
      <c r="M1251" s="4" t="n"/>
      <c r="N1251" s="4">
        <f>IF(AND(K1251="",M1251=""),"",IF(OR(K1251="sim",M1251="sim"),"sim",IF(OR(K1251="inconclusivo",M1251="inconclusivo"),"inconclusivo","não")))</f>
        <v/>
      </c>
      <c r="O1251" s="5">
        <f>IF(N1251="sim",COUNTIFS($B$3:$B1251,$B1251,$N$3:$N1251,"sim"),"")</f>
        <v/>
      </c>
      <c r="P1251" s="5" t="n"/>
      <c r="Q1251" s="4" t="n"/>
      <c r="R1251" s="5" t="n"/>
      <c r="S1251" s="9" t="n"/>
      <c r="T1251" s="4" t="n"/>
    </row>
    <row r="1252">
      <c r="A1252" s="5">
        <f>ROW()-2</f>
        <v/>
      </c>
      <c r="B1252" s="4" t="inlineStr">
        <is>
          <t>Capital regional</t>
        </is>
      </c>
      <c r="C1252" s="5" t="n">
        <v>308</v>
      </c>
      <c r="D1252" s="5">
        <f>IFERROR(INDEX('Base de sorteio'!$A$3:$A$1723,MATCH($B1252&amp;"|"&amp;$C1252,'Base de sorteio'!$I$3:$I$1723,0)),"")</f>
        <v/>
      </c>
      <c r="E1252" s="4">
        <f>IFERROR(INDEX('Base de sorteio'!$B$3:$B$1723,MATCH($B1252&amp;"|"&amp;$C1252,'Base de sorteio'!$I$3:$I$1723,0)),"")</f>
        <v/>
      </c>
      <c r="F1252" s="4">
        <f>IFERROR(INDEX('Base de sorteio'!$C$3:$C$1723,MATCH($B1252&amp;"|"&amp;$C1252,'Base de sorteio'!$I$3:$I$1723,0)),"")</f>
        <v/>
      </c>
      <c r="G1252" s="4">
        <f>IFERROR(INDEX('Base de sorteio'!$D$3:$D$1723,MATCH($B1252&amp;"|"&amp;$C1252,'Base de sorteio'!$I$3:$I$1723,0)),"")</f>
        <v/>
      </c>
      <c r="H1252" s="4">
        <f>IFERROR(INDEX('Base de sorteio'!$E$3:$E$1723,MATCH($B1252&amp;"|"&amp;$C1252,'Base de sorteio'!$I$3:$I$1723,0)),"")</f>
        <v/>
      </c>
      <c r="I1252" s="4">
        <f>IF(E1252="","",HYPERLINK(IFERROR(INDEX('Base de sorteio'!$J$3:$J$1723,MATCH($B1252&amp;"|"&amp;$C1252,'Base de sorteio'!$I$3:$I$1723,0)),""),"abrir"))</f>
        <v/>
      </c>
      <c r="J1252" s="4" t="n"/>
      <c r="K1252" s="4" t="n"/>
      <c r="L1252" s="4" t="n"/>
      <c r="M1252" s="4" t="n"/>
      <c r="N1252" s="4">
        <f>IF(AND(K1252="",M1252=""),"",IF(OR(K1252="sim",M1252="sim"),"sim",IF(OR(K1252="inconclusivo",M1252="inconclusivo"),"inconclusivo","não")))</f>
        <v/>
      </c>
      <c r="O1252" s="5">
        <f>IF(N1252="sim",COUNTIFS($B$3:$B1252,$B1252,$N$3:$N1252,"sim"),"")</f>
        <v/>
      </c>
      <c r="P1252" s="5" t="n"/>
      <c r="Q1252" s="4" t="n"/>
      <c r="R1252" s="5" t="n"/>
      <c r="S1252" s="9" t="n"/>
      <c r="T1252" s="4" t="n"/>
    </row>
    <row r="1253">
      <c r="A1253" s="5">
        <f>ROW()-2</f>
        <v/>
      </c>
      <c r="B1253" s="4" t="inlineStr">
        <is>
          <t>Capital regional</t>
        </is>
      </c>
      <c r="C1253" s="5" t="n">
        <v>309</v>
      </c>
      <c r="D1253" s="5">
        <f>IFERROR(INDEX('Base de sorteio'!$A$3:$A$1723,MATCH($B1253&amp;"|"&amp;$C1253,'Base de sorteio'!$I$3:$I$1723,0)),"")</f>
        <v/>
      </c>
      <c r="E1253" s="4">
        <f>IFERROR(INDEX('Base de sorteio'!$B$3:$B$1723,MATCH($B1253&amp;"|"&amp;$C1253,'Base de sorteio'!$I$3:$I$1723,0)),"")</f>
        <v/>
      </c>
      <c r="F1253" s="4">
        <f>IFERROR(INDEX('Base de sorteio'!$C$3:$C$1723,MATCH($B1253&amp;"|"&amp;$C1253,'Base de sorteio'!$I$3:$I$1723,0)),"")</f>
        <v/>
      </c>
      <c r="G1253" s="4">
        <f>IFERROR(INDEX('Base de sorteio'!$D$3:$D$1723,MATCH($B1253&amp;"|"&amp;$C1253,'Base de sorteio'!$I$3:$I$1723,0)),"")</f>
        <v/>
      </c>
      <c r="H1253" s="4">
        <f>IFERROR(INDEX('Base de sorteio'!$E$3:$E$1723,MATCH($B1253&amp;"|"&amp;$C1253,'Base de sorteio'!$I$3:$I$1723,0)),"")</f>
        <v/>
      </c>
      <c r="I1253" s="4">
        <f>IF(E1253="","",HYPERLINK(IFERROR(INDEX('Base de sorteio'!$J$3:$J$1723,MATCH($B1253&amp;"|"&amp;$C1253,'Base de sorteio'!$I$3:$I$1723,0)),""),"abrir"))</f>
        <v/>
      </c>
      <c r="J1253" s="4" t="n"/>
      <c r="K1253" s="4" t="n"/>
      <c r="L1253" s="4" t="n"/>
      <c r="M1253" s="4" t="n"/>
      <c r="N1253" s="4">
        <f>IF(AND(K1253="",M1253=""),"",IF(OR(K1253="sim",M1253="sim"),"sim",IF(OR(K1253="inconclusivo",M1253="inconclusivo"),"inconclusivo","não")))</f>
        <v/>
      </c>
      <c r="O1253" s="5">
        <f>IF(N1253="sim",COUNTIFS($B$3:$B1253,$B1253,$N$3:$N1253,"sim"),"")</f>
        <v/>
      </c>
      <c r="P1253" s="5" t="n"/>
      <c r="Q1253" s="4" t="n"/>
      <c r="R1253" s="5" t="n"/>
      <c r="S1253" s="9" t="n"/>
      <c r="T1253" s="4" t="n"/>
    </row>
    <row r="1254">
      <c r="A1254" s="5">
        <f>ROW()-2</f>
        <v/>
      </c>
      <c r="B1254" s="4" t="inlineStr">
        <is>
          <t>Capital regional</t>
        </is>
      </c>
      <c r="C1254" s="5" t="n">
        <v>310</v>
      </c>
      <c r="D1254" s="5">
        <f>IFERROR(INDEX('Base de sorteio'!$A$3:$A$1723,MATCH($B1254&amp;"|"&amp;$C1254,'Base de sorteio'!$I$3:$I$1723,0)),"")</f>
        <v/>
      </c>
      <c r="E1254" s="4">
        <f>IFERROR(INDEX('Base de sorteio'!$B$3:$B$1723,MATCH($B1254&amp;"|"&amp;$C1254,'Base de sorteio'!$I$3:$I$1723,0)),"")</f>
        <v/>
      </c>
      <c r="F1254" s="4">
        <f>IFERROR(INDEX('Base de sorteio'!$C$3:$C$1723,MATCH($B1254&amp;"|"&amp;$C1254,'Base de sorteio'!$I$3:$I$1723,0)),"")</f>
        <v/>
      </c>
      <c r="G1254" s="4">
        <f>IFERROR(INDEX('Base de sorteio'!$D$3:$D$1723,MATCH($B1254&amp;"|"&amp;$C1254,'Base de sorteio'!$I$3:$I$1723,0)),"")</f>
        <v/>
      </c>
      <c r="H1254" s="4">
        <f>IFERROR(INDEX('Base de sorteio'!$E$3:$E$1723,MATCH($B1254&amp;"|"&amp;$C1254,'Base de sorteio'!$I$3:$I$1723,0)),"")</f>
        <v/>
      </c>
      <c r="I1254" s="4">
        <f>IF(E1254="","",HYPERLINK(IFERROR(INDEX('Base de sorteio'!$J$3:$J$1723,MATCH($B1254&amp;"|"&amp;$C1254,'Base de sorteio'!$I$3:$I$1723,0)),""),"abrir"))</f>
        <v/>
      </c>
      <c r="J1254" s="4" t="n"/>
      <c r="K1254" s="4" t="n"/>
      <c r="L1254" s="4" t="n"/>
      <c r="M1254" s="4" t="n"/>
      <c r="N1254" s="4">
        <f>IF(AND(K1254="",M1254=""),"",IF(OR(K1254="sim",M1254="sim"),"sim",IF(OR(K1254="inconclusivo",M1254="inconclusivo"),"inconclusivo","não")))</f>
        <v/>
      </c>
      <c r="O1254" s="5">
        <f>IF(N1254="sim",COUNTIFS($B$3:$B1254,$B1254,$N$3:$N1254,"sim"),"")</f>
        <v/>
      </c>
      <c r="P1254" s="5" t="n"/>
      <c r="Q1254" s="4" t="n"/>
      <c r="R1254" s="5" t="n"/>
      <c r="S1254" s="9" t="n"/>
      <c r="T1254" s="4" t="n"/>
    </row>
    <row r="1255">
      <c r="A1255" s="5">
        <f>ROW()-2</f>
        <v/>
      </c>
      <c r="B1255" s="4" t="inlineStr">
        <is>
          <t>Capital regional</t>
        </is>
      </c>
      <c r="C1255" s="5" t="n">
        <v>311</v>
      </c>
      <c r="D1255" s="5">
        <f>IFERROR(INDEX('Base de sorteio'!$A$3:$A$1723,MATCH($B1255&amp;"|"&amp;$C1255,'Base de sorteio'!$I$3:$I$1723,0)),"")</f>
        <v/>
      </c>
      <c r="E1255" s="4">
        <f>IFERROR(INDEX('Base de sorteio'!$B$3:$B$1723,MATCH($B1255&amp;"|"&amp;$C1255,'Base de sorteio'!$I$3:$I$1723,0)),"")</f>
        <v/>
      </c>
      <c r="F1255" s="4">
        <f>IFERROR(INDEX('Base de sorteio'!$C$3:$C$1723,MATCH($B1255&amp;"|"&amp;$C1255,'Base de sorteio'!$I$3:$I$1723,0)),"")</f>
        <v/>
      </c>
      <c r="G1255" s="4">
        <f>IFERROR(INDEX('Base de sorteio'!$D$3:$D$1723,MATCH($B1255&amp;"|"&amp;$C1255,'Base de sorteio'!$I$3:$I$1723,0)),"")</f>
        <v/>
      </c>
      <c r="H1255" s="4">
        <f>IFERROR(INDEX('Base de sorteio'!$E$3:$E$1723,MATCH($B1255&amp;"|"&amp;$C1255,'Base de sorteio'!$I$3:$I$1723,0)),"")</f>
        <v/>
      </c>
      <c r="I1255" s="4">
        <f>IF(E1255="","",HYPERLINK(IFERROR(INDEX('Base de sorteio'!$J$3:$J$1723,MATCH($B1255&amp;"|"&amp;$C1255,'Base de sorteio'!$I$3:$I$1723,0)),""),"abrir"))</f>
        <v/>
      </c>
      <c r="J1255" s="4" t="n"/>
      <c r="K1255" s="4" t="n"/>
      <c r="L1255" s="4" t="n"/>
      <c r="M1255" s="4" t="n"/>
      <c r="N1255" s="4">
        <f>IF(AND(K1255="",M1255=""),"",IF(OR(K1255="sim",M1255="sim"),"sim",IF(OR(K1255="inconclusivo",M1255="inconclusivo"),"inconclusivo","não")))</f>
        <v/>
      </c>
      <c r="O1255" s="5">
        <f>IF(N1255="sim",COUNTIFS($B$3:$B1255,$B1255,$N$3:$N1255,"sim"),"")</f>
        <v/>
      </c>
      <c r="P1255" s="5" t="n"/>
      <c r="Q1255" s="4" t="n"/>
      <c r="R1255" s="5" t="n"/>
      <c r="S1255" s="9" t="n"/>
      <c r="T1255" s="4" t="n"/>
    </row>
    <row r="1256">
      <c r="A1256" s="5">
        <f>ROW()-2</f>
        <v/>
      </c>
      <c r="B1256" s="4" t="inlineStr">
        <is>
          <t>Capital regional</t>
        </is>
      </c>
      <c r="C1256" s="5" t="n">
        <v>312</v>
      </c>
      <c r="D1256" s="5">
        <f>IFERROR(INDEX('Base de sorteio'!$A$3:$A$1723,MATCH($B1256&amp;"|"&amp;$C1256,'Base de sorteio'!$I$3:$I$1723,0)),"")</f>
        <v/>
      </c>
      <c r="E1256" s="4">
        <f>IFERROR(INDEX('Base de sorteio'!$B$3:$B$1723,MATCH($B1256&amp;"|"&amp;$C1256,'Base de sorteio'!$I$3:$I$1723,0)),"")</f>
        <v/>
      </c>
      <c r="F1256" s="4">
        <f>IFERROR(INDEX('Base de sorteio'!$C$3:$C$1723,MATCH($B1256&amp;"|"&amp;$C1256,'Base de sorteio'!$I$3:$I$1723,0)),"")</f>
        <v/>
      </c>
      <c r="G1256" s="4">
        <f>IFERROR(INDEX('Base de sorteio'!$D$3:$D$1723,MATCH($B1256&amp;"|"&amp;$C1256,'Base de sorteio'!$I$3:$I$1723,0)),"")</f>
        <v/>
      </c>
      <c r="H1256" s="4">
        <f>IFERROR(INDEX('Base de sorteio'!$E$3:$E$1723,MATCH($B1256&amp;"|"&amp;$C1256,'Base de sorteio'!$I$3:$I$1723,0)),"")</f>
        <v/>
      </c>
      <c r="I1256" s="4">
        <f>IF(E1256="","",HYPERLINK(IFERROR(INDEX('Base de sorteio'!$J$3:$J$1723,MATCH($B1256&amp;"|"&amp;$C1256,'Base de sorteio'!$I$3:$I$1723,0)),""),"abrir"))</f>
        <v/>
      </c>
      <c r="J1256" s="4" t="n"/>
      <c r="K1256" s="4" t="n"/>
      <c r="L1256" s="4" t="n"/>
      <c r="M1256" s="4" t="n"/>
      <c r="N1256" s="4">
        <f>IF(AND(K1256="",M1256=""),"",IF(OR(K1256="sim",M1256="sim"),"sim",IF(OR(K1256="inconclusivo",M1256="inconclusivo"),"inconclusivo","não")))</f>
        <v/>
      </c>
      <c r="O1256" s="5">
        <f>IF(N1256="sim",COUNTIFS($B$3:$B1256,$B1256,$N$3:$N1256,"sim"),"")</f>
        <v/>
      </c>
      <c r="P1256" s="5" t="n"/>
      <c r="Q1256" s="4" t="n"/>
      <c r="R1256" s="5" t="n"/>
      <c r="S1256" s="9" t="n"/>
      <c r="T1256" s="4" t="n"/>
    </row>
    <row r="1257">
      <c r="A1257" s="5">
        <f>ROW()-2</f>
        <v/>
      </c>
      <c r="B1257" s="4" t="inlineStr">
        <is>
          <t>Capital regional</t>
        </is>
      </c>
      <c r="C1257" s="5" t="n">
        <v>313</v>
      </c>
      <c r="D1257" s="5">
        <f>IFERROR(INDEX('Base de sorteio'!$A$3:$A$1723,MATCH($B1257&amp;"|"&amp;$C1257,'Base de sorteio'!$I$3:$I$1723,0)),"")</f>
        <v/>
      </c>
      <c r="E1257" s="4">
        <f>IFERROR(INDEX('Base de sorteio'!$B$3:$B$1723,MATCH($B1257&amp;"|"&amp;$C1257,'Base de sorteio'!$I$3:$I$1723,0)),"")</f>
        <v/>
      </c>
      <c r="F1257" s="4">
        <f>IFERROR(INDEX('Base de sorteio'!$C$3:$C$1723,MATCH($B1257&amp;"|"&amp;$C1257,'Base de sorteio'!$I$3:$I$1723,0)),"")</f>
        <v/>
      </c>
      <c r="G1257" s="4">
        <f>IFERROR(INDEX('Base de sorteio'!$D$3:$D$1723,MATCH($B1257&amp;"|"&amp;$C1257,'Base de sorteio'!$I$3:$I$1723,0)),"")</f>
        <v/>
      </c>
      <c r="H1257" s="4">
        <f>IFERROR(INDEX('Base de sorteio'!$E$3:$E$1723,MATCH($B1257&amp;"|"&amp;$C1257,'Base de sorteio'!$I$3:$I$1723,0)),"")</f>
        <v/>
      </c>
      <c r="I1257" s="4">
        <f>IF(E1257="","",HYPERLINK(IFERROR(INDEX('Base de sorteio'!$J$3:$J$1723,MATCH($B1257&amp;"|"&amp;$C1257,'Base de sorteio'!$I$3:$I$1723,0)),""),"abrir"))</f>
        <v/>
      </c>
      <c r="J1257" s="4" t="n"/>
      <c r="K1257" s="4" t="n"/>
      <c r="L1257" s="4" t="n"/>
      <c r="M1257" s="4" t="n"/>
      <c r="N1257" s="4">
        <f>IF(AND(K1257="",M1257=""),"",IF(OR(K1257="sim",M1257="sim"),"sim",IF(OR(K1257="inconclusivo",M1257="inconclusivo"),"inconclusivo","não")))</f>
        <v/>
      </c>
      <c r="O1257" s="5">
        <f>IF(N1257="sim",COUNTIFS($B$3:$B1257,$B1257,$N$3:$N1257,"sim"),"")</f>
        <v/>
      </c>
      <c r="P1257" s="5" t="n"/>
      <c r="Q1257" s="4" t="n"/>
      <c r="R1257" s="5" t="n"/>
      <c r="S1257" s="9" t="n"/>
      <c r="T1257" s="4" t="n"/>
    </row>
    <row r="1258">
      <c r="A1258" s="5">
        <f>ROW()-2</f>
        <v/>
      </c>
      <c r="B1258" s="4" t="inlineStr">
        <is>
          <t>Capital regional</t>
        </is>
      </c>
      <c r="C1258" s="5" t="n">
        <v>314</v>
      </c>
      <c r="D1258" s="5">
        <f>IFERROR(INDEX('Base de sorteio'!$A$3:$A$1723,MATCH($B1258&amp;"|"&amp;$C1258,'Base de sorteio'!$I$3:$I$1723,0)),"")</f>
        <v/>
      </c>
      <c r="E1258" s="4">
        <f>IFERROR(INDEX('Base de sorteio'!$B$3:$B$1723,MATCH($B1258&amp;"|"&amp;$C1258,'Base de sorteio'!$I$3:$I$1723,0)),"")</f>
        <v/>
      </c>
      <c r="F1258" s="4">
        <f>IFERROR(INDEX('Base de sorteio'!$C$3:$C$1723,MATCH($B1258&amp;"|"&amp;$C1258,'Base de sorteio'!$I$3:$I$1723,0)),"")</f>
        <v/>
      </c>
      <c r="G1258" s="4">
        <f>IFERROR(INDEX('Base de sorteio'!$D$3:$D$1723,MATCH($B1258&amp;"|"&amp;$C1258,'Base de sorteio'!$I$3:$I$1723,0)),"")</f>
        <v/>
      </c>
      <c r="H1258" s="4">
        <f>IFERROR(INDEX('Base de sorteio'!$E$3:$E$1723,MATCH($B1258&amp;"|"&amp;$C1258,'Base de sorteio'!$I$3:$I$1723,0)),"")</f>
        <v/>
      </c>
      <c r="I1258" s="4">
        <f>IF(E1258="","",HYPERLINK(IFERROR(INDEX('Base de sorteio'!$J$3:$J$1723,MATCH($B1258&amp;"|"&amp;$C1258,'Base de sorteio'!$I$3:$I$1723,0)),""),"abrir"))</f>
        <v/>
      </c>
      <c r="J1258" s="4" t="n"/>
      <c r="K1258" s="4" t="n"/>
      <c r="L1258" s="4" t="n"/>
      <c r="M1258" s="4" t="n"/>
      <c r="N1258" s="4">
        <f>IF(AND(K1258="",M1258=""),"",IF(OR(K1258="sim",M1258="sim"),"sim",IF(OR(K1258="inconclusivo",M1258="inconclusivo"),"inconclusivo","não")))</f>
        <v/>
      </c>
      <c r="O1258" s="5">
        <f>IF(N1258="sim",COUNTIFS($B$3:$B1258,$B1258,$N$3:$N1258,"sim"),"")</f>
        <v/>
      </c>
      <c r="P1258" s="5" t="n"/>
      <c r="Q1258" s="4" t="n"/>
      <c r="R1258" s="5" t="n"/>
      <c r="S1258" s="9" t="n"/>
      <c r="T1258" s="4" t="n"/>
    </row>
    <row r="1259">
      <c r="A1259" s="5">
        <f>ROW()-2</f>
        <v/>
      </c>
      <c r="B1259" s="4" t="inlineStr">
        <is>
          <t>Capital regional</t>
        </is>
      </c>
      <c r="C1259" s="5" t="n">
        <v>315</v>
      </c>
      <c r="D1259" s="5">
        <f>IFERROR(INDEX('Base de sorteio'!$A$3:$A$1723,MATCH($B1259&amp;"|"&amp;$C1259,'Base de sorteio'!$I$3:$I$1723,0)),"")</f>
        <v/>
      </c>
      <c r="E1259" s="4">
        <f>IFERROR(INDEX('Base de sorteio'!$B$3:$B$1723,MATCH($B1259&amp;"|"&amp;$C1259,'Base de sorteio'!$I$3:$I$1723,0)),"")</f>
        <v/>
      </c>
      <c r="F1259" s="4">
        <f>IFERROR(INDEX('Base de sorteio'!$C$3:$C$1723,MATCH($B1259&amp;"|"&amp;$C1259,'Base de sorteio'!$I$3:$I$1723,0)),"")</f>
        <v/>
      </c>
      <c r="G1259" s="4">
        <f>IFERROR(INDEX('Base de sorteio'!$D$3:$D$1723,MATCH($B1259&amp;"|"&amp;$C1259,'Base de sorteio'!$I$3:$I$1723,0)),"")</f>
        <v/>
      </c>
      <c r="H1259" s="4">
        <f>IFERROR(INDEX('Base de sorteio'!$E$3:$E$1723,MATCH($B1259&amp;"|"&amp;$C1259,'Base de sorteio'!$I$3:$I$1723,0)),"")</f>
        <v/>
      </c>
      <c r="I1259" s="4">
        <f>IF(E1259="","",HYPERLINK(IFERROR(INDEX('Base de sorteio'!$J$3:$J$1723,MATCH($B1259&amp;"|"&amp;$C1259,'Base de sorteio'!$I$3:$I$1723,0)),""),"abrir"))</f>
        <v/>
      </c>
      <c r="J1259" s="4" t="n"/>
      <c r="K1259" s="4" t="n"/>
      <c r="L1259" s="4" t="n"/>
      <c r="M1259" s="4" t="n"/>
      <c r="N1259" s="4">
        <f>IF(AND(K1259="",M1259=""),"",IF(OR(K1259="sim",M1259="sim"),"sim",IF(OR(K1259="inconclusivo",M1259="inconclusivo"),"inconclusivo","não")))</f>
        <v/>
      </c>
      <c r="O1259" s="5">
        <f>IF(N1259="sim",COUNTIFS($B$3:$B1259,$B1259,$N$3:$N1259,"sim"),"")</f>
        <v/>
      </c>
      <c r="P1259" s="5" t="n"/>
      <c r="Q1259" s="4" t="n"/>
      <c r="R1259" s="5" t="n"/>
      <c r="S1259" s="9" t="n"/>
      <c r="T1259" s="4" t="n"/>
    </row>
    <row r="1260">
      <c r="A1260" s="5">
        <f>ROW()-2</f>
        <v/>
      </c>
      <c r="B1260" s="4" t="inlineStr">
        <is>
          <t>Capital regional</t>
        </is>
      </c>
      <c r="C1260" s="5" t="n">
        <v>316</v>
      </c>
      <c r="D1260" s="5">
        <f>IFERROR(INDEX('Base de sorteio'!$A$3:$A$1723,MATCH($B1260&amp;"|"&amp;$C1260,'Base de sorteio'!$I$3:$I$1723,0)),"")</f>
        <v/>
      </c>
      <c r="E1260" s="4">
        <f>IFERROR(INDEX('Base de sorteio'!$B$3:$B$1723,MATCH($B1260&amp;"|"&amp;$C1260,'Base de sorteio'!$I$3:$I$1723,0)),"")</f>
        <v/>
      </c>
      <c r="F1260" s="4">
        <f>IFERROR(INDEX('Base de sorteio'!$C$3:$C$1723,MATCH($B1260&amp;"|"&amp;$C1260,'Base de sorteio'!$I$3:$I$1723,0)),"")</f>
        <v/>
      </c>
      <c r="G1260" s="4">
        <f>IFERROR(INDEX('Base de sorteio'!$D$3:$D$1723,MATCH($B1260&amp;"|"&amp;$C1260,'Base de sorteio'!$I$3:$I$1723,0)),"")</f>
        <v/>
      </c>
      <c r="H1260" s="4">
        <f>IFERROR(INDEX('Base de sorteio'!$E$3:$E$1723,MATCH($B1260&amp;"|"&amp;$C1260,'Base de sorteio'!$I$3:$I$1723,0)),"")</f>
        <v/>
      </c>
      <c r="I1260" s="4">
        <f>IF(E1260="","",HYPERLINK(IFERROR(INDEX('Base de sorteio'!$J$3:$J$1723,MATCH($B1260&amp;"|"&amp;$C1260,'Base de sorteio'!$I$3:$I$1723,0)),""),"abrir"))</f>
        <v/>
      </c>
      <c r="J1260" s="4" t="n"/>
      <c r="K1260" s="4" t="n"/>
      <c r="L1260" s="4" t="n"/>
      <c r="M1260" s="4" t="n"/>
      <c r="N1260" s="4">
        <f>IF(AND(K1260="",M1260=""),"",IF(OR(K1260="sim",M1260="sim"),"sim",IF(OR(K1260="inconclusivo",M1260="inconclusivo"),"inconclusivo","não")))</f>
        <v/>
      </c>
      <c r="O1260" s="5">
        <f>IF(N1260="sim",COUNTIFS($B$3:$B1260,$B1260,$N$3:$N1260,"sim"),"")</f>
        <v/>
      </c>
      <c r="P1260" s="5" t="n"/>
      <c r="Q1260" s="4" t="n"/>
      <c r="R1260" s="5" t="n"/>
      <c r="S1260" s="9" t="n"/>
      <c r="T1260" s="4" t="n"/>
    </row>
    <row r="1261">
      <c r="A1261" s="5">
        <f>ROW()-2</f>
        <v/>
      </c>
      <c r="B1261" s="4" t="inlineStr">
        <is>
          <t>Capital regional</t>
        </is>
      </c>
      <c r="C1261" s="5" t="n">
        <v>317</v>
      </c>
      <c r="D1261" s="5">
        <f>IFERROR(INDEX('Base de sorteio'!$A$3:$A$1723,MATCH($B1261&amp;"|"&amp;$C1261,'Base de sorteio'!$I$3:$I$1723,0)),"")</f>
        <v/>
      </c>
      <c r="E1261" s="4">
        <f>IFERROR(INDEX('Base de sorteio'!$B$3:$B$1723,MATCH($B1261&amp;"|"&amp;$C1261,'Base de sorteio'!$I$3:$I$1723,0)),"")</f>
        <v/>
      </c>
      <c r="F1261" s="4">
        <f>IFERROR(INDEX('Base de sorteio'!$C$3:$C$1723,MATCH($B1261&amp;"|"&amp;$C1261,'Base de sorteio'!$I$3:$I$1723,0)),"")</f>
        <v/>
      </c>
      <c r="G1261" s="4">
        <f>IFERROR(INDEX('Base de sorteio'!$D$3:$D$1723,MATCH($B1261&amp;"|"&amp;$C1261,'Base de sorteio'!$I$3:$I$1723,0)),"")</f>
        <v/>
      </c>
      <c r="H1261" s="4">
        <f>IFERROR(INDEX('Base de sorteio'!$E$3:$E$1723,MATCH($B1261&amp;"|"&amp;$C1261,'Base de sorteio'!$I$3:$I$1723,0)),"")</f>
        <v/>
      </c>
      <c r="I1261" s="4">
        <f>IF(E1261="","",HYPERLINK(IFERROR(INDEX('Base de sorteio'!$J$3:$J$1723,MATCH($B1261&amp;"|"&amp;$C1261,'Base de sorteio'!$I$3:$I$1723,0)),""),"abrir"))</f>
        <v/>
      </c>
      <c r="J1261" s="4" t="n"/>
      <c r="K1261" s="4" t="n"/>
      <c r="L1261" s="4" t="n"/>
      <c r="M1261" s="4" t="n"/>
      <c r="N1261" s="4">
        <f>IF(AND(K1261="",M1261=""),"",IF(OR(K1261="sim",M1261="sim"),"sim",IF(OR(K1261="inconclusivo",M1261="inconclusivo"),"inconclusivo","não")))</f>
        <v/>
      </c>
      <c r="O1261" s="5">
        <f>IF(N1261="sim",COUNTIFS($B$3:$B1261,$B1261,$N$3:$N1261,"sim"),"")</f>
        <v/>
      </c>
      <c r="P1261" s="5" t="n"/>
      <c r="Q1261" s="4" t="n"/>
      <c r="R1261" s="5" t="n"/>
      <c r="S1261" s="9" t="n"/>
      <c r="T1261" s="4" t="n"/>
    </row>
    <row r="1262">
      <c r="A1262" s="5">
        <f>ROW()-2</f>
        <v/>
      </c>
      <c r="B1262" s="4" t="inlineStr">
        <is>
          <t>Capital regional</t>
        </is>
      </c>
      <c r="C1262" s="5" t="n">
        <v>318</v>
      </c>
      <c r="D1262" s="5">
        <f>IFERROR(INDEX('Base de sorteio'!$A$3:$A$1723,MATCH($B1262&amp;"|"&amp;$C1262,'Base de sorteio'!$I$3:$I$1723,0)),"")</f>
        <v/>
      </c>
      <c r="E1262" s="4">
        <f>IFERROR(INDEX('Base de sorteio'!$B$3:$B$1723,MATCH($B1262&amp;"|"&amp;$C1262,'Base de sorteio'!$I$3:$I$1723,0)),"")</f>
        <v/>
      </c>
      <c r="F1262" s="4">
        <f>IFERROR(INDEX('Base de sorteio'!$C$3:$C$1723,MATCH($B1262&amp;"|"&amp;$C1262,'Base de sorteio'!$I$3:$I$1723,0)),"")</f>
        <v/>
      </c>
      <c r="G1262" s="4">
        <f>IFERROR(INDEX('Base de sorteio'!$D$3:$D$1723,MATCH($B1262&amp;"|"&amp;$C1262,'Base de sorteio'!$I$3:$I$1723,0)),"")</f>
        <v/>
      </c>
      <c r="H1262" s="4">
        <f>IFERROR(INDEX('Base de sorteio'!$E$3:$E$1723,MATCH($B1262&amp;"|"&amp;$C1262,'Base de sorteio'!$I$3:$I$1723,0)),"")</f>
        <v/>
      </c>
      <c r="I1262" s="4">
        <f>IF(E1262="","",HYPERLINK(IFERROR(INDEX('Base de sorteio'!$J$3:$J$1723,MATCH($B1262&amp;"|"&amp;$C1262,'Base de sorteio'!$I$3:$I$1723,0)),""),"abrir"))</f>
        <v/>
      </c>
      <c r="J1262" s="4" t="n"/>
      <c r="K1262" s="4" t="n"/>
      <c r="L1262" s="4" t="n"/>
      <c r="M1262" s="4" t="n"/>
      <c r="N1262" s="4">
        <f>IF(AND(K1262="",M1262=""),"",IF(OR(K1262="sim",M1262="sim"),"sim",IF(OR(K1262="inconclusivo",M1262="inconclusivo"),"inconclusivo","não")))</f>
        <v/>
      </c>
      <c r="O1262" s="5">
        <f>IF(N1262="sim",COUNTIFS($B$3:$B1262,$B1262,$N$3:$N1262,"sim"),"")</f>
        <v/>
      </c>
      <c r="P1262" s="5" t="n"/>
      <c r="Q1262" s="4" t="n"/>
      <c r="R1262" s="5" t="n"/>
      <c r="S1262" s="9" t="n"/>
      <c r="T1262" s="4" t="n"/>
    </row>
    <row r="1263">
      <c r="A1263" s="5">
        <f>ROW()-2</f>
        <v/>
      </c>
      <c r="B1263" s="4" t="inlineStr">
        <is>
          <t>Capital regional</t>
        </is>
      </c>
      <c r="C1263" s="5" t="n">
        <v>319</v>
      </c>
      <c r="D1263" s="5">
        <f>IFERROR(INDEX('Base de sorteio'!$A$3:$A$1723,MATCH($B1263&amp;"|"&amp;$C1263,'Base de sorteio'!$I$3:$I$1723,0)),"")</f>
        <v/>
      </c>
      <c r="E1263" s="4">
        <f>IFERROR(INDEX('Base de sorteio'!$B$3:$B$1723,MATCH($B1263&amp;"|"&amp;$C1263,'Base de sorteio'!$I$3:$I$1723,0)),"")</f>
        <v/>
      </c>
      <c r="F1263" s="4">
        <f>IFERROR(INDEX('Base de sorteio'!$C$3:$C$1723,MATCH($B1263&amp;"|"&amp;$C1263,'Base de sorteio'!$I$3:$I$1723,0)),"")</f>
        <v/>
      </c>
      <c r="G1263" s="4">
        <f>IFERROR(INDEX('Base de sorteio'!$D$3:$D$1723,MATCH($B1263&amp;"|"&amp;$C1263,'Base de sorteio'!$I$3:$I$1723,0)),"")</f>
        <v/>
      </c>
      <c r="H1263" s="4">
        <f>IFERROR(INDEX('Base de sorteio'!$E$3:$E$1723,MATCH($B1263&amp;"|"&amp;$C1263,'Base de sorteio'!$I$3:$I$1723,0)),"")</f>
        <v/>
      </c>
      <c r="I1263" s="4">
        <f>IF(E1263="","",HYPERLINK(IFERROR(INDEX('Base de sorteio'!$J$3:$J$1723,MATCH($B1263&amp;"|"&amp;$C1263,'Base de sorteio'!$I$3:$I$1723,0)),""),"abrir"))</f>
        <v/>
      </c>
      <c r="J1263" s="4" t="n"/>
      <c r="K1263" s="4" t="n"/>
      <c r="L1263" s="4" t="n"/>
      <c r="M1263" s="4" t="n"/>
      <c r="N1263" s="4">
        <f>IF(AND(K1263="",M1263=""),"",IF(OR(K1263="sim",M1263="sim"),"sim",IF(OR(K1263="inconclusivo",M1263="inconclusivo"),"inconclusivo","não")))</f>
        <v/>
      </c>
      <c r="O1263" s="5">
        <f>IF(N1263="sim",COUNTIFS($B$3:$B1263,$B1263,$N$3:$N1263,"sim"),"")</f>
        <v/>
      </c>
      <c r="P1263" s="5" t="n"/>
      <c r="Q1263" s="4" t="n"/>
      <c r="R1263" s="5" t="n"/>
      <c r="S1263" s="9" t="n"/>
      <c r="T1263" s="4" t="n"/>
    </row>
    <row r="1264">
      <c r="A1264" s="5">
        <f>ROW()-2</f>
        <v/>
      </c>
      <c r="B1264" s="4" t="inlineStr">
        <is>
          <t>Capital regional</t>
        </is>
      </c>
      <c r="C1264" s="5" t="n">
        <v>320</v>
      </c>
      <c r="D1264" s="5">
        <f>IFERROR(INDEX('Base de sorteio'!$A$3:$A$1723,MATCH($B1264&amp;"|"&amp;$C1264,'Base de sorteio'!$I$3:$I$1723,0)),"")</f>
        <v/>
      </c>
      <c r="E1264" s="4">
        <f>IFERROR(INDEX('Base de sorteio'!$B$3:$B$1723,MATCH($B1264&amp;"|"&amp;$C1264,'Base de sorteio'!$I$3:$I$1723,0)),"")</f>
        <v/>
      </c>
      <c r="F1264" s="4">
        <f>IFERROR(INDEX('Base de sorteio'!$C$3:$C$1723,MATCH($B1264&amp;"|"&amp;$C1264,'Base de sorteio'!$I$3:$I$1723,0)),"")</f>
        <v/>
      </c>
      <c r="G1264" s="4">
        <f>IFERROR(INDEX('Base de sorteio'!$D$3:$D$1723,MATCH($B1264&amp;"|"&amp;$C1264,'Base de sorteio'!$I$3:$I$1723,0)),"")</f>
        <v/>
      </c>
      <c r="H1264" s="4">
        <f>IFERROR(INDEX('Base de sorteio'!$E$3:$E$1723,MATCH($B1264&amp;"|"&amp;$C1264,'Base de sorteio'!$I$3:$I$1723,0)),"")</f>
        <v/>
      </c>
      <c r="I1264" s="4">
        <f>IF(E1264="","",HYPERLINK(IFERROR(INDEX('Base de sorteio'!$J$3:$J$1723,MATCH($B1264&amp;"|"&amp;$C1264,'Base de sorteio'!$I$3:$I$1723,0)),""),"abrir"))</f>
        <v/>
      </c>
      <c r="J1264" s="4" t="n"/>
      <c r="K1264" s="4" t="n"/>
      <c r="L1264" s="4" t="n"/>
      <c r="M1264" s="4" t="n"/>
      <c r="N1264" s="4">
        <f>IF(AND(K1264="",M1264=""),"",IF(OR(K1264="sim",M1264="sim"),"sim",IF(OR(K1264="inconclusivo",M1264="inconclusivo"),"inconclusivo","não")))</f>
        <v/>
      </c>
      <c r="O1264" s="5">
        <f>IF(N1264="sim",COUNTIFS($B$3:$B1264,$B1264,$N$3:$N1264,"sim"),"")</f>
        <v/>
      </c>
      <c r="P1264" s="5" t="n"/>
      <c r="Q1264" s="4" t="n"/>
      <c r="R1264" s="5" t="n"/>
      <c r="S1264" s="9" t="n"/>
      <c r="T1264" s="4" t="n"/>
    </row>
    <row r="1265">
      <c r="A1265" s="5">
        <f>ROW()-2</f>
        <v/>
      </c>
      <c r="B1265" s="4" t="inlineStr">
        <is>
          <t>Capital regional</t>
        </is>
      </c>
      <c r="C1265" s="5" t="n">
        <v>321</v>
      </c>
      <c r="D1265" s="5">
        <f>IFERROR(INDEX('Base de sorteio'!$A$3:$A$1723,MATCH($B1265&amp;"|"&amp;$C1265,'Base de sorteio'!$I$3:$I$1723,0)),"")</f>
        <v/>
      </c>
      <c r="E1265" s="4">
        <f>IFERROR(INDEX('Base de sorteio'!$B$3:$B$1723,MATCH($B1265&amp;"|"&amp;$C1265,'Base de sorteio'!$I$3:$I$1723,0)),"")</f>
        <v/>
      </c>
      <c r="F1265" s="4">
        <f>IFERROR(INDEX('Base de sorteio'!$C$3:$C$1723,MATCH($B1265&amp;"|"&amp;$C1265,'Base de sorteio'!$I$3:$I$1723,0)),"")</f>
        <v/>
      </c>
      <c r="G1265" s="4">
        <f>IFERROR(INDEX('Base de sorteio'!$D$3:$D$1723,MATCH($B1265&amp;"|"&amp;$C1265,'Base de sorteio'!$I$3:$I$1723,0)),"")</f>
        <v/>
      </c>
      <c r="H1265" s="4">
        <f>IFERROR(INDEX('Base de sorteio'!$E$3:$E$1723,MATCH($B1265&amp;"|"&amp;$C1265,'Base de sorteio'!$I$3:$I$1723,0)),"")</f>
        <v/>
      </c>
      <c r="I1265" s="4">
        <f>IF(E1265="","",HYPERLINK(IFERROR(INDEX('Base de sorteio'!$J$3:$J$1723,MATCH($B1265&amp;"|"&amp;$C1265,'Base de sorteio'!$I$3:$I$1723,0)),""),"abrir"))</f>
        <v/>
      </c>
      <c r="J1265" s="4" t="n"/>
      <c r="K1265" s="4" t="n"/>
      <c r="L1265" s="4" t="n"/>
      <c r="M1265" s="4" t="n"/>
      <c r="N1265" s="4">
        <f>IF(AND(K1265="",M1265=""),"",IF(OR(K1265="sim",M1265="sim"),"sim",IF(OR(K1265="inconclusivo",M1265="inconclusivo"),"inconclusivo","não")))</f>
        <v/>
      </c>
      <c r="O1265" s="5">
        <f>IF(N1265="sim",COUNTIFS($B$3:$B1265,$B1265,$N$3:$N1265,"sim"),"")</f>
        <v/>
      </c>
      <c r="P1265" s="5" t="n"/>
      <c r="Q1265" s="4" t="n"/>
      <c r="R1265" s="5" t="n"/>
      <c r="S1265" s="9" t="n"/>
      <c r="T1265" s="4" t="n"/>
    </row>
    <row r="1266">
      <c r="A1266" s="5">
        <f>ROW()-2</f>
        <v/>
      </c>
      <c r="B1266" s="4" t="inlineStr">
        <is>
          <t>Capital regional</t>
        </is>
      </c>
      <c r="C1266" s="5" t="n">
        <v>322</v>
      </c>
      <c r="D1266" s="5">
        <f>IFERROR(INDEX('Base de sorteio'!$A$3:$A$1723,MATCH($B1266&amp;"|"&amp;$C1266,'Base de sorteio'!$I$3:$I$1723,0)),"")</f>
        <v/>
      </c>
      <c r="E1266" s="4">
        <f>IFERROR(INDEX('Base de sorteio'!$B$3:$B$1723,MATCH($B1266&amp;"|"&amp;$C1266,'Base de sorteio'!$I$3:$I$1723,0)),"")</f>
        <v/>
      </c>
      <c r="F1266" s="4">
        <f>IFERROR(INDEX('Base de sorteio'!$C$3:$C$1723,MATCH($B1266&amp;"|"&amp;$C1266,'Base de sorteio'!$I$3:$I$1723,0)),"")</f>
        <v/>
      </c>
      <c r="G1266" s="4">
        <f>IFERROR(INDEX('Base de sorteio'!$D$3:$D$1723,MATCH($B1266&amp;"|"&amp;$C1266,'Base de sorteio'!$I$3:$I$1723,0)),"")</f>
        <v/>
      </c>
      <c r="H1266" s="4">
        <f>IFERROR(INDEX('Base de sorteio'!$E$3:$E$1723,MATCH($B1266&amp;"|"&amp;$C1266,'Base de sorteio'!$I$3:$I$1723,0)),"")</f>
        <v/>
      </c>
      <c r="I1266" s="4">
        <f>IF(E1266="","",HYPERLINK(IFERROR(INDEX('Base de sorteio'!$J$3:$J$1723,MATCH($B1266&amp;"|"&amp;$C1266,'Base de sorteio'!$I$3:$I$1723,0)),""),"abrir"))</f>
        <v/>
      </c>
      <c r="J1266" s="4" t="n"/>
      <c r="K1266" s="4" t="n"/>
      <c r="L1266" s="4" t="n"/>
      <c r="M1266" s="4" t="n"/>
      <c r="N1266" s="4">
        <f>IF(AND(K1266="",M1266=""),"",IF(OR(K1266="sim",M1266="sim"),"sim",IF(OR(K1266="inconclusivo",M1266="inconclusivo"),"inconclusivo","não")))</f>
        <v/>
      </c>
      <c r="O1266" s="5">
        <f>IF(N1266="sim",COUNTIFS($B$3:$B1266,$B1266,$N$3:$N1266,"sim"),"")</f>
        <v/>
      </c>
      <c r="P1266" s="5" t="n"/>
      <c r="Q1266" s="4" t="n"/>
      <c r="R1266" s="5" t="n"/>
      <c r="S1266" s="9" t="n"/>
      <c r="T1266" s="4" t="n"/>
    </row>
    <row r="1267">
      <c r="A1267" s="5">
        <f>ROW()-2</f>
        <v/>
      </c>
      <c r="B1267" s="4" t="inlineStr">
        <is>
          <t>Capital regional</t>
        </is>
      </c>
      <c r="C1267" s="5" t="n">
        <v>323</v>
      </c>
      <c r="D1267" s="5">
        <f>IFERROR(INDEX('Base de sorteio'!$A$3:$A$1723,MATCH($B1267&amp;"|"&amp;$C1267,'Base de sorteio'!$I$3:$I$1723,0)),"")</f>
        <v/>
      </c>
      <c r="E1267" s="4">
        <f>IFERROR(INDEX('Base de sorteio'!$B$3:$B$1723,MATCH($B1267&amp;"|"&amp;$C1267,'Base de sorteio'!$I$3:$I$1723,0)),"")</f>
        <v/>
      </c>
      <c r="F1267" s="4">
        <f>IFERROR(INDEX('Base de sorteio'!$C$3:$C$1723,MATCH($B1267&amp;"|"&amp;$C1267,'Base de sorteio'!$I$3:$I$1723,0)),"")</f>
        <v/>
      </c>
      <c r="G1267" s="4">
        <f>IFERROR(INDEX('Base de sorteio'!$D$3:$D$1723,MATCH($B1267&amp;"|"&amp;$C1267,'Base de sorteio'!$I$3:$I$1723,0)),"")</f>
        <v/>
      </c>
      <c r="H1267" s="4">
        <f>IFERROR(INDEX('Base de sorteio'!$E$3:$E$1723,MATCH($B1267&amp;"|"&amp;$C1267,'Base de sorteio'!$I$3:$I$1723,0)),"")</f>
        <v/>
      </c>
      <c r="I1267" s="4">
        <f>IF(E1267="","",HYPERLINK(IFERROR(INDEX('Base de sorteio'!$J$3:$J$1723,MATCH($B1267&amp;"|"&amp;$C1267,'Base de sorteio'!$I$3:$I$1723,0)),""),"abrir"))</f>
        <v/>
      </c>
      <c r="J1267" s="4" t="n"/>
      <c r="K1267" s="4" t="n"/>
      <c r="L1267" s="4" t="n"/>
      <c r="M1267" s="4" t="n"/>
      <c r="N1267" s="4">
        <f>IF(AND(K1267="",M1267=""),"",IF(OR(K1267="sim",M1267="sim"),"sim",IF(OR(K1267="inconclusivo",M1267="inconclusivo"),"inconclusivo","não")))</f>
        <v/>
      </c>
      <c r="O1267" s="5">
        <f>IF(N1267="sim",COUNTIFS($B$3:$B1267,$B1267,$N$3:$N1267,"sim"),"")</f>
        <v/>
      </c>
      <c r="P1267" s="5" t="n"/>
      <c r="Q1267" s="4" t="n"/>
      <c r="R1267" s="5" t="n"/>
      <c r="S1267" s="9" t="n"/>
      <c r="T1267" s="4" t="n"/>
    </row>
    <row r="1268">
      <c r="A1268" s="5">
        <f>ROW()-2</f>
        <v/>
      </c>
      <c r="B1268" s="4" t="inlineStr">
        <is>
          <t>Capital regional</t>
        </is>
      </c>
      <c r="C1268" s="5" t="n">
        <v>324</v>
      </c>
      <c r="D1268" s="5">
        <f>IFERROR(INDEX('Base de sorteio'!$A$3:$A$1723,MATCH($B1268&amp;"|"&amp;$C1268,'Base de sorteio'!$I$3:$I$1723,0)),"")</f>
        <v/>
      </c>
      <c r="E1268" s="4">
        <f>IFERROR(INDEX('Base de sorteio'!$B$3:$B$1723,MATCH($B1268&amp;"|"&amp;$C1268,'Base de sorteio'!$I$3:$I$1723,0)),"")</f>
        <v/>
      </c>
      <c r="F1268" s="4">
        <f>IFERROR(INDEX('Base de sorteio'!$C$3:$C$1723,MATCH($B1268&amp;"|"&amp;$C1268,'Base de sorteio'!$I$3:$I$1723,0)),"")</f>
        <v/>
      </c>
      <c r="G1268" s="4">
        <f>IFERROR(INDEX('Base de sorteio'!$D$3:$D$1723,MATCH($B1268&amp;"|"&amp;$C1268,'Base de sorteio'!$I$3:$I$1723,0)),"")</f>
        <v/>
      </c>
      <c r="H1268" s="4">
        <f>IFERROR(INDEX('Base de sorteio'!$E$3:$E$1723,MATCH($B1268&amp;"|"&amp;$C1268,'Base de sorteio'!$I$3:$I$1723,0)),"")</f>
        <v/>
      </c>
      <c r="I1268" s="4">
        <f>IF(E1268="","",HYPERLINK(IFERROR(INDEX('Base de sorteio'!$J$3:$J$1723,MATCH($B1268&amp;"|"&amp;$C1268,'Base de sorteio'!$I$3:$I$1723,0)),""),"abrir"))</f>
        <v/>
      </c>
      <c r="J1268" s="4" t="n"/>
      <c r="K1268" s="4" t="n"/>
      <c r="L1268" s="4" t="n"/>
      <c r="M1268" s="4" t="n"/>
      <c r="N1268" s="4">
        <f>IF(AND(K1268="",M1268=""),"",IF(OR(K1268="sim",M1268="sim"),"sim",IF(OR(K1268="inconclusivo",M1268="inconclusivo"),"inconclusivo","não")))</f>
        <v/>
      </c>
      <c r="O1268" s="5">
        <f>IF(N1268="sim",COUNTIFS($B$3:$B1268,$B1268,$N$3:$N1268,"sim"),"")</f>
        <v/>
      </c>
      <c r="P1268" s="5" t="n"/>
      <c r="Q1268" s="4" t="n"/>
      <c r="R1268" s="5" t="n"/>
      <c r="S1268" s="9" t="n"/>
      <c r="T1268" s="4" t="n"/>
    </row>
    <row r="1269">
      <c r="A1269" s="5">
        <f>ROW()-2</f>
        <v/>
      </c>
      <c r="B1269" s="4" t="inlineStr">
        <is>
          <t>Capital regional</t>
        </is>
      </c>
      <c r="C1269" s="5" t="n">
        <v>325</v>
      </c>
      <c r="D1269" s="5">
        <f>IFERROR(INDEX('Base de sorteio'!$A$3:$A$1723,MATCH($B1269&amp;"|"&amp;$C1269,'Base de sorteio'!$I$3:$I$1723,0)),"")</f>
        <v/>
      </c>
      <c r="E1269" s="4">
        <f>IFERROR(INDEX('Base de sorteio'!$B$3:$B$1723,MATCH($B1269&amp;"|"&amp;$C1269,'Base de sorteio'!$I$3:$I$1723,0)),"")</f>
        <v/>
      </c>
      <c r="F1269" s="4">
        <f>IFERROR(INDEX('Base de sorteio'!$C$3:$C$1723,MATCH($B1269&amp;"|"&amp;$C1269,'Base de sorteio'!$I$3:$I$1723,0)),"")</f>
        <v/>
      </c>
      <c r="G1269" s="4">
        <f>IFERROR(INDEX('Base de sorteio'!$D$3:$D$1723,MATCH($B1269&amp;"|"&amp;$C1269,'Base de sorteio'!$I$3:$I$1723,0)),"")</f>
        <v/>
      </c>
      <c r="H1269" s="4">
        <f>IFERROR(INDEX('Base de sorteio'!$E$3:$E$1723,MATCH($B1269&amp;"|"&amp;$C1269,'Base de sorteio'!$I$3:$I$1723,0)),"")</f>
        <v/>
      </c>
      <c r="I1269" s="4">
        <f>IF(E1269="","",HYPERLINK(IFERROR(INDEX('Base de sorteio'!$J$3:$J$1723,MATCH($B1269&amp;"|"&amp;$C1269,'Base de sorteio'!$I$3:$I$1723,0)),""),"abrir"))</f>
        <v/>
      </c>
      <c r="J1269" s="4" t="n"/>
      <c r="K1269" s="4" t="n"/>
      <c r="L1269" s="4" t="n"/>
      <c r="M1269" s="4" t="n"/>
      <c r="N1269" s="4">
        <f>IF(AND(K1269="",M1269=""),"",IF(OR(K1269="sim",M1269="sim"),"sim",IF(OR(K1269="inconclusivo",M1269="inconclusivo"),"inconclusivo","não")))</f>
        <v/>
      </c>
      <c r="O1269" s="5">
        <f>IF(N1269="sim",COUNTIFS($B$3:$B1269,$B1269,$N$3:$N1269,"sim"),"")</f>
        <v/>
      </c>
      <c r="P1269" s="5" t="n"/>
      <c r="Q1269" s="4" t="n"/>
      <c r="R1269" s="5" t="n"/>
      <c r="S1269" s="9" t="n"/>
      <c r="T1269" s="4" t="n"/>
    </row>
    <row r="1270">
      <c r="A1270" s="5">
        <f>ROW()-2</f>
        <v/>
      </c>
      <c r="B1270" s="4" t="inlineStr">
        <is>
          <t>Capital regional</t>
        </is>
      </c>
      <c r="C1270" s="5" t="n">
        <v>326</v>
      </c>
      <c r="D1270" s="5">
        <f>IFERROR(INDEX('Base de sorteio'!$A$3:$A$1723,MATCH($B1270&amp;"|"&amp;$C1270,'Base de sorteio'!$I$3:$I$1723,0)),"")</f>
        <v/>
      </c>
      <c r="E1270" s="4">
        <f>IFERROR(INDEX('Base de sorteio'!$B$3:$B$1723,MATCH($B1270&amp;"|"&amp;$C1270,'Base de sorteio'!$I$3:$I$1723,0)),"")</f>
        <v/>
      </c>
      <c r="F1270" s="4">
        <f>IFERROR(INDEX('Base de sorteio'!$C$3:$C$1723,MATCH($B1270&amp;"|"&amp;$C1270,'Base de sorteio'!$I$3:$I$1723,0)),"")</f>
        <v/>
      </c>
      <c r="G1270" s="4">
        <f>IFERROR(INDEX('Base de sorteio'!$D$3:$D$1723,MATCH($B1270&amp;"|"&amp;$C1270,'Base de sorteio'!$I$3:$I$1723,0)),"")</f>
        <v/>
      </c>
      <c r="H1270" s="4">
        <f>IFERROR(INDEX('Base de sorteio'!$E$3:$E$1723,MATCH($B1270&amp;"|"&amp;$C1270,'Base de sorteio'!$I$3:$I$1723,0)),"")</f>
        <v/>
      </c>
      <c r="I1270" s="4">
        <f>IF(E1270="","",HYPERLINK(IFERROR(INDEX('Base de sorteio'!$J$3:$J$1723,MATCH($B1270&amp;"|"&amp;$C1270,'Base de sorteio'!$I$3:$I$1723,0)),""),"abrir"))</f>
        <v/>
      </c>
      <c r="J1270" s="4" t="n"/>
      <c r="K1270" s="4" t="n"/>
      <c r="L1270" s="4" t="n"/>
      <c r="M1270" s="4" t="n"/>
      <c r="N1270" s="4">
        <f>IF(AND(K1270="",M1270=""),"",IF(OR(K1270="sim",M1270="sim"),"sim",IF(OR(K1270="inconclusivo",M1270="inconclusivo"),"inconclusivo","não")))</f>
        <v/>
      </c>
      <c r="O1270" s="5">
        <f>IF(N1270="sim",COUNTIFS($B$3:$B1270,$B1270,$N$3:$N1270,"sim"),"")</f>
        <v/>
      </c>
      <c r="P1270" s="5" t="n"/>
      <c r="Q1270" s="4" t="n"/>
      <c r="R1270" s="5" t="n"/>
      <c r="S1270" s="9" t="n"/>
      <c r="T1270" s="4" t="n"/>
    </row>
    <row r="1271">
      <c r="A1271" s="5">
        <f>ROW()-2</f>
        <v/>
      </c>
      <c r="B1271" s="4" t="inlineStr">
        <is>
          <t>Capital regional</t>
        </is>
      </c>
      <c r="C1271" s="5" t="n">
        <v>327</v>
      </c>
      <c r="D1271" s="5">
        <f>IFERROR(INDEX('Base de sorteio'!$A$3:$A$1723,MATCH($B1271&amp;"|"&amp;$C1271,'Base de sorteio'!$I$3:$I$1723,0)),"")</f>
        <v/>
      </c>
      <c r="E1271" s="4">
        <f>IFERROR(INDEX('Base de sorteio'!$B$3:$B$1723,MATCH($B1271&amp;"|"&amp;$C1271,'Base de sorteio'!$I$3:$I$1723,0)),"")</f>
        <v/>
      </c>
      <c r="F1271" s="4">
        <f>IFERROR(INDEX('Base de sorteio'!$C$3:$C$1723,MATCH($B1271&amp;"|"&amp;$C1271,'Base de sorteio'!$I$3:$I$1723,0)),"")</f>
        <v/>
      </c>
      <c r="G1271" s="4">
        <f>IFERROR(INDEX('Base de sorteio'!$D$3:$D$1723,MATCH($B1271&amp;"|"&amp;$C1271,'Base de sorteio'!$I$3:$I$1723,0)),"")</f>
        <v/>
      </c>
      <c r="H1271" s="4">
        <f>IFERROR(INDEX('Base de sorteio'!$E$3:$E$1723,MATCH($B1271&amp;"|"&amp;$C1271,'Base de sorteio'!$I$3:$I$1723,0)),"")</f>
        <v/>
      </c>
      <c r="I1271" s="4">
        <f>IF(E1271="","",HYPERLINK(IFERROR(INDEX('Base de sorteio'!$J$3:$J$1723,MATCH($B1271&amp;"|"&amp;$C1271,'Base de sorteio'!$I$3:$I$1723,0)),""),"abrir"))</f>
        <v/>
      </c>
      <c r="J1271" s="4" t="n"/>
      <c r="K1271" s="4" t="n"/>
      <c r="L1271" s="4" t="n"/>
      <c r="M1271" s="4" t="n"/>
      <c r="N1271" s="4">
        <f>IF(AND(K1271="",M1271=""),"",IF(OR(K1271="sim",M1271="sim"),"sim",IF(OR(K1271="inconclusivo",M1271="inconclusivo"),"inconclusivo","não")))</f>
        <v/>
      </c>
      <c r="O1271" s="5">
        <f>IF(N1271="sim",COUNTIFS($B$3:$B1271,$B1271,$N$3:$N1271,"sim"),"")</f>
        <v/>
      </c>
      <c r="P1271" s="5" t="n"/>
      <c r="Q1271" s="4" t="n"/>
      <c r="R1271" s="5" t="n"/>
      <c r="S1271" s="9" t="n"/>
      <c r="T1271" s="4" t="n"/>
    </row>
    <row r="1272">
      <c r="A1272" s="5">
        <f>ROW()-2</f>
        <v/>
      </c>
      <c r="B1272" s="4" t="inlineStr">
        <is>
          <t>Capital regional</t>
        </is>
      </c>
      <c r="C1272" s="5" t="n">
        <v>328</v>
      </c>
      <c r="D1272" s="5">
        <f>IFERROR(INDEX('Base de sorteio'!$A$3:$A$1723,MATCH($B1272&amp;"|"&amp;$C1272,'Base de sorteio'!$I$3:$I$1723,0)),"")</f>
        <v/>
      </c>
      <c r="E1272" s="4">
        <f>IFERROR(INDEX('Base de sorteio'!$B$3:$B$1723,MATCH($B1272&amp;"|"&amp;$C1272,'Base de sorteio'!$I$3:$I$1723,0)),"")</f>
        <v/>
      </c>
      <c r="F1272" s="4">
        <f>IFERROR(INDEX('Base de sorteio'!$C$3:$C$1723,MATCH($B1272&amp;"|"&amp;$C1272,'Base de sorteio'!$I$3:$I$1723,0)),"")</f>
        <v/>
      </c>
      <c r="G1272" s="4">
        <f>IFERROR(INDEX('Base de sorteio'!$D$3:$D$1723,MATCH($B1272&amp;"|"&amp;$C1272,'Base de sorteio'!$I$3:$I$1723,0)),"")</f>
        <v/>
      </c>
      <c r="H1272" s="4">
        <f>IFERROR(INDEX('Base de sorteio'!$E$3:$E$1723,MATCH($B1272&amp;"|"&amp;$C1272,'Base de sorteio'!$I$3:$I$1723,0)),"")</f>
        <v/>
      </c>
      <c r="I1272" s="4">
        <f>IF(E1272="","",HYPERLINK(IFERROR(INDEX('Base de sorteio'!$J$3:$J$1723,MATCH($B1272&amp;"|"&amp;$C1272,'Base de sorteio'!$I$3:$I$1723,0)),""),"abrir"))</f>
        <v/>
      </c>
      <c r="J1272" s="4" t="n"/>
      <c r="K1272" s="4" t="n"/>
      <c r="L1272" s="4" t="n"/>
      <c r="M1272" s="4" t="n"/>
      <c r="N1272" s="4">
        <f>IF(AND(K1272="",M1272=""),"",IF(OR(K1272="sim",M1272="sim"),"sim",IF(OR(K1272="inconclusivo",M1272="inconclusivo"),"inconclusivo","não")))</f>
        <v/>
      </c>
      <c r="O1272" s="5">
        <f>IF(N1272="sim",COUNTIFS($B$3:$B1272,$B1272,$N$3:$N1272,"sim"),"")</f>
        <v/>
      </c>
      <c r="P1272" s="5" t="n"/>
      <c r="Q1272" s="4" t="n"/>
      <c r="R1272" s="5" t="n"/>
      <c r="S1272" s="9" t="n"/>
      <c r="T1272" s="4" t="n"/>
    </row>
    <row r="1273">
      <c r="A1273" s="5">
        <f>ROW()-2</f>
        <v/>
      </c>
      <c r="B1273" s="4" t="inlineStr">
        <is>
          <t>Capital regional</t>
        </is>
      </c>
      <c r="C1273" s="5" t="n">
        <v>329</v>
      </c>
      <c r="D1273" s="5">
        <f>IFERROR(INDEX('Base de sorteio'!$A$3:$A$1723,MATCH($B1273&amp;"|"&amp;$C1273,'Base de sorteio'!$I$3:$I$1723,0)),"")</f>
        <v/>
      </c>
      <c r="E1273" s="4">
        <f>IFERROR(INDEX('Base de sorteio'!$B$3:$B$1723,MATCH($B1273&amp;"|"&amp;$C1273,'Base de sorteio'!$I$3:$I$1723,0)),"")</f>
        <v/>
      </c>
      <c r="F1273" s="4">
        <f>IFERROR(INDEX('Base de sorteio'!$C$3:$C$1723,MATCH($B1273&amp;"|"&amp;$C1273,'Base de sorteio'!$I$3:$I$1723,0)),"")</f>
        <v/>
      </c>
      <c r="G1273" s="4">
        <f>IFERROR(INDEX('Base de sorteio'!$D$3:$D$1723,MATCH($B1273&amp;"|"&amp;$C1273,'Base de sorteio'!$I$3:$I$1723,0)),"")</f>
        <v/>
      </c>
      <c r="H1273" s="4">
        <f>IFERROR(INDEX('Base de sorteio'!$E$3:$E$1723,MATCH($B1273&amp;"|"&amp;$C1273,'Base de sorteio'!$I$3:$I$1723,0)),"")</f>
        <v/>
      </c>
      <c r="I1273" s="4">
        <f>IF(E1273="","",HYPERLINK(IFERROR(INDEX('Base de sorteio'!$J$3:$J$1723,MATCH($B1273&amp;"|"&amp;$C1273,'Base de sorteio'!$I$3:$I$1723,0)),""),"abrir"))</f>
        <v/>
      </c>
      <c r="J1273" s="4" t="n"/>
      <c r="K1273" s="4" t="n"/>
      <c r="L1273" s="4" t="n"/>
      <c r="M1273" s="4" t="n"/>
      <c r="N1273" s="4">
        <f>IF(AND(K1273="",M1273=""),"",IF(OR(K1273="sim",M1273="sim"),"sim",IF(OR(K1273="inconclusivo",M1273="inconclusivo"),"inconclusivo","não")))</f>
        <v/>
      </c>
      <c r="O1273" s="5">
        <f>IF(N1273="sim",COUNTIFS($B$3:$B1273,$B1273,$N$3:$N1273,"sim"),"")</f>
        <v/>
      </c>
      <c r="P1273" s="5" t="n"/>
      <c r="Q1273" s="4" t="n"/>
      <c r="R1273" s="5" t="n"/>
      <c r="S1273" s="9" t="n"/>
      <c r="T1273" s="4" t="n"/>
    </row>
    <row r="1274">
      <c r="A1274" s="5">
        <f>ROW()-2</f>
        <v/>
      </c>
      <c r="B1274" s="4" t="inlineStr">
        <is>
          <t>Capital regional</t>
        </is>
      </c>
      <c r="C1274" s="5" t="n">
        <v>330</v>
      </c>
      <c r="D1274" s="5">
        <f>IFERROR(INDEX('Base de sorteio'!$A$3:$A$1723,MATCH($B1274&amp;"|"&amp;$C1274,'Base de sorteio'!$I$3:$I$1723,0)),"")</f>
        <v/>
      </c>
      <c r="E1274" s="4">
        <f>IFERROR(INDEX('Base de sorteio'!$B$3:$B$1723,MATCH($B1274&amp;"|"&amp;$C1274,'Base de sorteio'!$I$3:$I$1723,0)),"")</f>
        <v/>
      </c>
      <c r="F1274" s="4">
        <f>IFERROR(INDEX('Base de sorteio'!$C$3:$C$1723,MATCH($B1274&amp;"|"&amp;$C1274,'Base de sorteio'!$I$3:$I$1723,0)),"")</f>
        <v/>
      </c>
      <c r="G1274" s="4">
        <f>IFERROR(INDEX('Base de sorteio'!$D$3:$D$1723,MATCH($B1274&amp;"|"&amp;$C1274,'Base de sorteio'!$I$3:$I$1723,0)),"")</f>
        <v/>
      </c>
      <c r="H1274" s="4">
        <f>IFERROR(INDEX('Base de sorteio'!$E$3:$E$1723,MATCH($B1274&amp;"|"&amp;$C1274,'Base de sorteio'!$I$3:$I$1723,0)),"")</f>
        <v/>
      </c>
      <c r="I1274" s="4">
        <f>IF(E1274="","",HYPERLINK(IFERROR(INDEX('Base de sorteio'!$J$3:$J$1723,MATCH($B1274&amp;"|"&amp;$C1274,'Base de sorteio'!$I$3:$I$1723,0)),""),"abrir"))</f>
        <v/>
      </c>
      <c r="J1274" s="4" t="n"/>
      <c r="K1274" s="4" t="n"/>
      <c r="L1274" s="4" t="n"/>
      <c r="M1274" s="4" t="n"/>
      <c r="N1274" s="4">
        <f>IF(AND(K1274="",M1274=""),"",IF(OR(K1274="sim",M1274="sim"),"sim",IF(OR(K1274="inconclusivo",M1274="inconclusivo"),"inconclusivo","não")))</f>
        <v/>
      </c>
      <c r="O1274" s="5">
        <f>IF(N1274="sim",COUNTIFS($B$3:$B1274,$B1274,$N$3:$N1274,"sim"),"")</f>
        <v/>
      </c>
      <c r="P1274" s="5" t="n"/>
      <c r="Q1274" s="4" t="n"/>
      <c r="R1274" s="5" t="n"/>
      <c r="S1274" s="9" t="n"/>
      <c r="T1274" s="4" t="n"/>
    </row>
    <row r="1275">
      <c r="A1275" s="5">
        <f>ROW()-2</f>
        <v/>
      </c>
      <c r="B1275" s="4" t="inlineStr">
        <is>
          <t>Capital regional</t>
        </is>
      </c>
      <c r="C1275" s="5" t="n">
        <v>331</v>
      </c>
      <c r="D1275" s="5">
        <f>IFERROR(INDEX('Base de sorteio'!$A$3:$A$1723,MATCH($B1275&amp;"|"&amp;$C1275,'Base de sorteio'!$I$3:$I$1723,0)),"")</f>
        <v/>
      </c>
      <c r="E1275" s="4">
        <f>IFERROR(INDEX('Base de sorteio'!$B$3:$B$1723,MATCH($B1275&amp;"|"&amp;$C1275,'Base de sorteio'!$I$3:$I$1723,0)),"")</f>
        <v/>
      </c>
      <c r="F1275" s="4">
        <f>IFERROR(INDEX('Base de sorteio'!$C$3:$C$1723,MATCH($B1275&amp;"|"&amp;$C1275,'Base de sorteio'!$I$3:$I$1723,0)),"")</f>
        <v/>
      </c>
      <c r="G1275" s="4">
        <f>IFERROR(INDEX('Base de sorteio'!$D$3:$D$1723,MATCH($B1275&amp;"|"&amp;$C1275,'Base de sorteio'!$I$3:$I$1723,0)),"")</f>
        <v/>
      </c>
      <c r="H1275" s="4">
        <f>IFERROR(INDEX('Base de sorteio'!$E$3:$E$1723,MATCH($B1275&amp;"|"&amp;$C1275,'Base de sorteio'!$I$3:$I$1723,0)),"")</f>
        <v/>
      </c>
      <c r="I1275" s="4">
        <f>IF(E1275="","",HYPERLINK(IFERROR(INDEX('Base de sorteio'!$J$3:$J$1723,MATCH($B1275&amp;"|"&amp;$C1275,'Base de sorteio'!$I$3:$I$1723,0)),""),"abrir"))</f>
        <v/>
      </c>
      <c r="J1275" s="4" t="n"/>
      <c r="K1275" s="4" t="n"/>
      <c r="L1275" s="4" t="n"/>
      <c r="M1275" s="4" t="n"/>
      <c r="N1275" s="4">
        <f>IF(AND(K1275="",M1275=""),"",IF(OR(K1275="sim",M1275="sim"),"sim",IF(OR(K1275="inconclusivo",M1275="inconclusivo"),"inconclusivo","não")))</f>
        <v/>
      </c>
      <c r="O1275" s="5">
        <f>IF(N1275="sim",COUNTIFS($B$3:$B1275,$B1275,$N$3:$N1275,"sim"),"")</f>
        <v/>
      </c>
      <c r="P1275" s="5" t="n"/>
      <c r="Q1275" s="4" t="n"/>
      <c r="R1275" s="5" t="n"/>
      <c r="S1275" s="9" t="n"/>
      <c r="T1275" s="4" t="n"/>
    </row>
    <row r="1276">
      <c r="A1276" s="5">
        <f>ROW()-2</f>
        <v/>
      </c>
      <c r="B1276" s="4" t="inlineStr">
        <is>
          <t>Capital regional</t>
        </is>
      </c>
      <c r="C1276" s="5" t="n">
        <v>332</v>
      </c>
      <c r="D1276" s="5">
        <f>IFERROR(INDEX('Base de sorteio'!$A$3:$A$1723,MATCH($B1276&amp;"|"&amp;$C1276,'Base de sorteio'!$I$3:$I$1723,0)),"")</f>
        <v/>
      </c>
      <c r="E1276" s="4">
        <f>IFERROR(INDEX('Base de sorteio'!$B$3:$B$1723,MATCH($B1276&amp;"|"&amp;$C1276,'Base de sorteio'!$I$3:$I$1723,0)),"")</f>
        <v/>
      </c>
      <c r="F1276" s="4">
        <f>IFERROR(INDEX('Base de sorteio'!$C$3:$C$1723,MATCH($B1276&amp;"|"&amp;$C1276,'Base de sorteio'!$I$3:$I$1723,0)),"")</f>
        <v/>
      </c>
      <c r="G1276" s="4">
        <f>IFERROR(INDEX('Base de sorteio'!$D$3:$D$1723,MATCH($B1276&amp;"|"&amp;$C1276,'Base de sorteio'!$I$3:$I$1723,0)),"")</f>
        <v/>
      </c>
      <c r="H1276" s="4">
        <f>IFERROR(INDEX('Base de sorteio'!$E$3:$E$1723,MATCH($B1276&amp;"|"&amp;$C1276,'Base de sorteio'!$I$3:$I$1723,0)),"")</f>
        <v/>
      </c>
      <c r="I1276" s="4">
        <f>IF(E1276="","",HYPERLINK(IFERROR(INDEX('Base de sorteio'!$J$3:$J$1723,MATCH($B1276&amp;"|"&amp;$C1276,'Base de sorteio'!$I$3:$I$1723,0)),""),"abrir"))</f>
        <v/>
      </c>
      <c r="J1276" s="4" t="n"/>
      <c r="K1276" s="4" t="n"/>
      <c r="L1276" s="4" t="n"/>
      <c r="M1276" s="4" t="n"/>
      <c r="N1276" s="4">
        <f>IF(AND(K1276="",M1276=""),"",IF(OR(K1276="sim",M1276="sim"),"sim",IF(OR(K1276="inconclusivo",M1276="inconclusivo"),"inconclusivo","não")))</f>
        <v/>
      </c>
      <c r="O1276" s="5">
        <f>IF(N1276="sim",COUNTIFS($B$3:$B1276,$B1276,$N$3:$N1276,"sim"),"")</f>
        <v/>
      </c>
      <c r="P1276" s="5" t="n"/>
      <c r="Q1276" s="4" t="n"/>
      <c r="R1276" s="5" t="n"/>
      <c r="S1276" s="9" t="n"/>
      <c r="T1276" s="4" t="n"/>
    </row>
    <row r="1277">
      <c r="A1277" s="5">
        <f>ROW()-2</f>
        <v/>
      </c>
      <c r="B1277" s="4" t="inlineStr">
        <is>
          <t>Capital regional</t>
        </is>
      </c>
      <c r="C1277" s="5" t="n">
        <v>333</v>
      </c>
      <c r="D1277" s="5">
        <f>IFERROR(INDEX('Base de sorteio'!$A$3:$A$1723,MATCH($B1277&amp;"|"&amp;$C1277,'Base de sorteio'!$I$3:$I$1723,0)),"")</f>
        <v/>
      </c>
      <c r="E1277" s="4">
        <f>IFERROR(INDEX('Base de sorteio'!$B$3:$B$1723,MATCH($B1277&amp;"|"&amp;$C1277,'Base de sorteio'!$I$3:$I$1723,0)),"")</f>
        <v/>
      </c>
      <c r="F1277" s="4">
        <f>IFERROR(INDEX('Base de sorteio'!$C$3:$C$1723,MATCH($B1277&amp;"|"&amp;$C1277,'Base de sorteio'!$I$3:$I$1723,0)),"")</f>
        <v/>
      </c>
      <c r="G1277" s="4">
        <f>IFERROR(INDEX('Base de sorteio'!$D$3:$D$1723,MATCH($B1277&amp;"|"&amp;$C1277,'Base de sorteio'!$I$3:$I$1723,0)),"")</f>
        <v/>
      </c>
      <c r="H1277" s="4">
        <f>IFERROR(INDEX('Base de sorteio'!$E$3:$E$1723,MATCH($B1277&amp;"|"&amp;$C1277,'Base de sorteio'!$I$3:$I$1723,0)),"")</f>
        <v/>
      </c>
      <c r="I1277" s="4">
        <f>IF(E1277="","",HYPERLINK(IFERROR(INDEX('Base de sorteio'!$J$3:$J$1723,MATCH($B1277&amp;"|"&amp;$C1277,'Base de sorteio'!$I$3:$I$1723,0)),""),"abrir"))</f>
        <v/>
      </c>
      <c r="J1277" s="4" t="n"/>
      <c r="K1277" s="4" t="n"/>
      <c r="L1277" s="4" t="n"/>
      <c r="M1277" s="4" t="n"/>
      <c r="N1277" s="4">
        <f>IF(AND(K1277="",M1277=""),"",IF(OR(K1277="sim",M1277="sim"),"sim",IF(OR(K1277="inconclusivo",M1277="inconclusivo"),"inconclusivo","não")))</f>
        <v/>
      </c>
      <c r="O1277" s="5">
        <f>IF(N1277="sim",COUNTIFS($B$3:$B1277,$B1277,$N$3:$N1277,"sim"),"")</f>
        <v/>
      </c>
      <c r="P1277" s="5" t="n"/>
      <c r="Q1277" s="4" t="n"/>
      <c r="R1277" s="5" t="n"/>
      <c r="S1277" s="9" t="n"/>
      <c r="T1277" s="4" t="n"/>
    </row>
    <row r="1278">
      <c r="A1278" s="5">
        <f>ROW()-2</f>
        <v/>
      </c>
      <c r="B1278" s="4" t="inlineStr">
        <is>
          <t>Capital regional</t>
        </is>
      </c>
      <c r="C1278" s="5" t="n">
        <v>334</v>
      </c>
      <c r="D1278" s="5">
        <f>IFERROR(INDEX('Base de sorteio'!$A$3:$A$1723,MATCH($B1278&amp;"|"&amp;$C1278,'Base de sorteio'!$I$3:$I$1723,0)),"")</f>
        <v/>
      </c>
      <c r="E1278" s="4">
        <f>IFERROR(INDEX('Base de sorteio'!$B$3:$B$1723,MATCH($B1278&amp;"|"&amp;$C1278,'Base de sorteio'!$I$3:$I$1723,0)),"")</f>
        <v/>
      </c>
      <c r="F1278" s="4">
        <f>IFERROR(INDEX('Base de sorteio'!$C$3:$C$1723,MATCH($B1278&amp;"|"&amp;$C1278,'Base de sorteio'!$I$3:$I$1723,0)),"")</f>
        <v/>
      </c>
      <c r="G1278" s="4">
        <f>IFERROR(INDEX('Base de sorteio'!$D$3:$D$1723,MATCH($B1278&amp;"|"&amp;$C1278,'Base de sorteio'!$I$3:$I$1723,0)),"")</f>
        <v/>
      </c>
      <c r="H1278" s="4">
        <f>IFERROR(INDEX('Base de sorteio'!$E$3:$E$1723,MATCH($B1278&amp;"|"&amp;$C1278,'Base de sorteio'!$I$3:$I$1723,0)),"")</f>
        <v/>
      </c>
      <c r="I1278" s="4">
        <f>IF(E1278="","",HYPERLINK(IFERROR(INDEX('Base de sorteio'!$J$3:$J$1723,MATCH($B1278&amp;"|"&amp;$C1278,'Base de sorteio'!$I$3:$I$1723,0)),""),"abrir"))</f>
        <v/>
      </c>
      <c r="J1278" s="4" t="n"/>
      <c r="K1278" s="4" t="n"/>
      <c r="L1278" s="4" t="n"/>
      <c r="M1278" s="4" t="n"/>
      <c r="N1278" s="4">
        <f>IF(AND(K1278="",M1278=""),"",IF(OR(K1278="sim",M1278="sim"),"sim",IF(OR(K1278="inconclusivo",M1278="inconclusivo"),"inconclusivo","não")))</f>
        <v/>
      </c>
      <c r="O1278" s="5">
        <f>IF(N1278="sim",COUNTIFS($B$3:$B1278,$B1278,$N$3:$N1278,"sim"),"")</f>
        <v/>
      </c>
      <c r="P1278" s="5" t="n"/>
      <c r="Q1278" s="4" t="n"/>
      <c r="R1278" s="5" t="n"/>
      <c r="S1278" s="9" t="n"/>
      <c r="T1278" s="4" t="n"/>
    </row>
    <row r="1279">
      <c r="A1279" s="5">
        <f>ROW()-2</f>
        <v/>
      </c>
      <c r="B1279" s="4" t="inlineStr">
        <is>
          <t>Capital regional</t>
        </is>
      </c>
      <c r="C1279" s="5" t="n">
        <v>335</v>
      </c>
      <c r="D1279" s="5">
        <f>IFERROR(INDEX('Base de sorteio'!$A$3:$A$1723,MATCH($B1279&amp;"|"&amp;$C1279,'Base de sorteio'!$I$3:$I$1723,0)),"")</f>
        <v/>
      </c>
      <c r="E1279" s="4">
        <f>IFERROR(INDEX('Base de sorteio'!$B$3:$B$1723,MATCH($B1279&amp;"|"&amp;$C1279,'Base de sorteio'!$I$3:$I$1723,0)),"")</f>
        <v/>
      </c>
      <c r="F1279" s="4">
        <f>IFERROR(INDEX('Base de sorteio'!$C$3:$C$1723,MATCH($B1279&amp;"|"&amp;$C1279,'Base de sorteio'!$I$3:$I$1723,0)),"")</f>
        <v/>
      </c>
      <c r="G1279" s="4">
        <f>IFERROR(INDEX('Base de sorteio'!$D$3:$D$1723,MATCH($B1279&amp;"|"&amp;$C1279,'Base de sorteio'!$I$3:$I$1723,0)),"")</f>
        <v/>
      </c>
      <c r="H1279" s="4">
        <f>IFERROR(INDEX('Base de sorteio'!$E$3:$E$1723,MATCH($B1279&amp;"|"&amp;$C1279,'Base de sorteio'!$I$3:$I$1723,0)),"")</f>
        <v/>
      </c>
      <c r="I1279" s="4">
        <f>IF(E1279="","",HYPERLINK(IFERROR(INDEX('Base de sorteio'!$J$3:$J$1723,MATCH($B1279&amp;"|"&amp;$C1279,'Base de sorteio'!$I$3:$I$1723,0)),""),"abrir"))</f>
        <v/>
      </c>
      <c r="J1279" s="4" t="n"/>
      <c r="K1279" s="4" t="n"/>
      <c r="L1279" s="4" t="n"/>
      <c r="M1279" s="4" t="n"/>
      <c r="N1279" s="4">
        <f>IF(AND(K1279="",M1279=""),"",IF(OR(K1279="sim",M1279="sim"),"sim",IF(OR(K1279="inconclusivo",M1279="inconclusivo"),"inconclusivo","não")))</f>
        <v/>
      </c>
      <c r="O1279" s="5">
        <f>IF(N1279="sim",COUNTIFS($B$3:$B1279,$B1279,$N$3:$N1279,"sim"),"")</f>
        <v/>
      </c>
      <c r="P1279" s="5" t="n"/>
      <c r="Q1279" s="4" t="n"/>
      <c r="R1279" s="5" t="n"/>
      <c r="S1279" s="9" t="n"/>
      <c r="T1279" s="4" t="n"/>
    </row>
    <row r="1280">
      <c r="A1280" s="5">
        <f>ROW()-2</f>
        <v/>
      </c>
      <c r="B1280" s="4" t="inlineStr">
        <is>
          <t>Capital regional</t>
        </is>
      </c>
      <c r="C1280" s="5" t="n">
        <v>336</v>
      </c>
      <c r="D1280" s="5">
        <f>IFERROR(INDEX('Base de sorteio'!$A$3:$A$1723,MATCH($B1280&amp;"|"&amp;$C1280,'Base de sorteio'!$I$3:$I$1723,0)),"")</f>
        <v/>
      </c>
      <c r="E1280" s="4">
        <f>IFERROR(INDEX('Base de sorteio'!$B$3:$B$1723,MATCH($B1280&amp;"|"&amp;$C1280,'Base de sorteio'!$I$3:$I$1723,0)),"")</f>
        <v/>
      </c>
      <c r="F1280" s="4">
        <f>IFERROR(INDEX('Base de sorteio'!$C$3:$C$1723,MATCH($B1280&amp;"|"&amp;$C1280,'Base de sorteio'!$I$3:$I$1723,0)),"")</f>
        <v/>
      </c>
      <c r="G1280" s="4">
        <f>IFERROR(INDEX('Base de sorteio'!$D$3:$D$1723,MATCH($B1280&amp;"|"&amp;$C1280,'Base de sorteio'!$I$3:$I$1723,0)),"")</f>
        <v/>
      </c>
      <c r="H1280" s="4">
        <f>IFERROR(INDEX('Base de sorteio'!$E$3:$E$1723,MATCH($B1280&amp;"|"&amp;$C1280,'Base de sorteio'!$I$3:$I$1723,0)),"")</f>
        <v/>
      </c>
      <c r="I1280" s="4">
        <f>IF(E1280="","",HYPERLINK(IFERROR(INDEX('Base de sorteio'!$J$3:$J$1723,MATCH($B1280&amp;"|"&amp;$C1280,'Base de sorteio'!$I$3:$I$1723,0)),""),"abrir"))</f>
        <v/>
      </c>
      <c r="J1280" s="4" t="n"/>
      <c r="K1280" s="4" t="n"/>
      <c r="L1280" s="4" t="n"/>
      <c r="M1280" s="4" t="n"/>
      <c r="N1280" s="4">
        <f>IF(AND(K1280="",M1280=""),"",IF(OR(K1280="sim",M1280="sim"),"sim",IF(OR(K1280="inconclusivo",M1280="inconclusivo"),"inconclusivo","não")))</f>
        <v/>
      </c>
      <c r="O1280" s="5">
        <f>IF(N1280="sim",COUNTIFS($B$3:$B1280,$B1280,$N$3:$N1280,"sim"),"")</f>
        <v/>
      </c>
      <c r="P1280" s="5" t="n"/>
      <c r="Q1280" s="4" t="n"/>
      <c r="R1280" s="5" t="n"/>
      <c r="S1280" s="9" t="n"/>
      <c r="T1280" s="4" t="n"/>
    </row>
    <row r="1281">
      <c r="A1281" s="5">
        <f>ROW()-2</f>
        <v/>
      </c>
      <c r="B1281" s="4" t="inlineStr">
        <is>
          <t>Capital regional</t>
        </is>
      </c>
      <c r="C1281" s="5" t="n">
        <v>337</v>
      </c>
      <c r="D1281" s="5">
        <f>IFERROR(INDEX('Base de sorteio'!$A$3:$A$1723,MATCH($B1281&amp;"|"&amp;$C1281,'Base de sorteio'!$I$3:$I$1723,0)),"")</f>
        <v/>
      </c>
      <c r="E1281" s="4">
        <f>IFERROR(INDEX('Base de sorteio'!$B$3:$B$1723,MATCH($B1281&amp;"|"&amp;$C1281,'Base de sorteio'!$I$3:$I$1723,0)),"")</f>
        <v/>
      </c>
      <c r="F1281" s="4">
        <f>IFERROR(INDEX('Base de sorteio'!$C$3:$C$1723,MATCH($B1281&amp;"|"&amp;$C1281,'Base de sorteio'!$I$3:$I$1723,0)),"")</f>
        <v/>
      </c>
      <c r="G1281" s="4">
        <f>IFERROR(INDEX('Base de sorteio'!$D$3:$D$1723,MATCH($B1281&amp;"|"&amp;$C1281,'Base de sorteio'!$I$3:$I$1723,0)),"")</f>
        <v/>
      </c>
      <c r="H1281" s="4">
        <f>IFERROR(INDEX('Base de sorteio'!$E$3:$E$1723,MATCH($B1281&amp;"|"&amp;$C1281,'Base de sorteio'!$I$3:$I$1723,0)),"")</f>
        <v/>
      </c>
      <c r="I1281" s="4">
        <f>IF(E1281="","",HYPERLINK(IFERROR(INDEX('Base de sorteio'!$J$3:$J$1723,MATCH($B1281&amp;"|"&amp;$C1281,'Base de sorteio'!$I$3:$I$1723,0)),""),"abrir"))</f>
        <v/>
      </c>
      <c r="J1281" s="4" t="n"/>
      <c r="K1281" s="4" t="n"/>
      <c r="L1281" s="4" t="n"/>
      <c r="M1281" s="4" t="n"/>
      <c r="N1281" s="4">
        <f>IF(AND(K1281="",M1281=""),"",IF(OR(K1281="sim",M1281="sim"),"sim",IF(OR(K1281="inconclusivo",M1281="inconclusivo"),"inconclusivo","não")))</f>
        <v/>
      </c>
      <c r="O1281" s="5">
        <f>IF(N1281="sim",COUNTIFS($B$3:$B1281,$B1281,$N$3:$N1281,"sim"),"")</f>
        <v/>
      </c>
      <c r="P1281" s="5" t="n"/>
      <c r="Q1281" s="4" t="n"/>
      <c r="R1281" s="5" t="n"/>
      <c r="S1281" s="9" t="n"/>
      <c r="T1281" s="4" t="n"/>
    </row>
    <row r="1282">
      <c r="A1282" s="5">
        <f>ROW()-2</f>
        <v/>
      </c>
      <c r="B1282" s="4" t="inlineStr">
        <is>
          <t>Capital regional</t>
        </is>
      </c>
      <c r="C1282" s="5" t="n">
        <v>338</v>
      </c>
      <c r="D1282" s="5">
        <f>IFERROR(INDEX('Base de sorteio'!$A$3:$A$1723,MATCH($B1282&amp;"|"&amp;$C1282,'Base de sorteio'!$I$3:$I$1723,0)),"")</f>
        <v/>
      </c>
      <c r="E1282" s="4">
        <f>IFERROR(INDEX('Base de sorteio'!$B$3:$B$1723,MATCH($B1282&amp;"|"&amp;$C1282,'Base de sorteio'!$I$3:$I$1723,0)),"")</f>
        <v/>
      </c>
      <c r="F1282" s="4">
        <f>IFERROR(INDEX('Base de sorteio'!$C$3:$C$1723,MATCH($B1282&amp;"|"&amp;$C1282,'Base de sorteio'!$I$3:$I$1723,0)),"")</f>
        <v/>
      </c>
      <c r="G1282" s="4">
        <f>IFERROR(INDEX('Base de sorteio'!$D$3:$D$1723,MATCH($B1282&amp;"|"&amp;$C1282,'Base de sorteio'!$I$3:$I$1723,0)),"")</f>
        <v/>
      </c>
      <c r="H1282" s="4">
        <f>IFERROR(INDEX('Base de sorteio'!$E$3:$E$1723,MATCH($B1282&amp;"|"&amp;$C1282,'Base de sorteio'!$I$3:$I$1723,0)),"")</f>
        <v/>
      </c>
      <c r="I1282" s="4">
        <f>IF(E1282="","",HYPERLINK(IFERROR(INDEX('Base de sorteio'!$J$3:$J$1723,MATCH($B1282&amp;"|"&amp;$C1282,'Base de sorteio'!$I$3:$I$1723,0)),""),"abrir"))</f>
        <v/>
      </c>
      <c r="J1282" s="4" t="n"/>
      <c r="K1282" s="4" t="n"/>
      <c r="L1282" s="4" t="n"/>
      <c r="M1282" s="4" t="n"/>
      <c r="N1282" s="4">
        <f>IF(AND(K1282="",M1282=""),"",IF(OR(K1282="sim",M1282="sim"),"sim",IF(OR(K1282="inconclusivo",M1282="inconclusivo"),"inconclusivo","não")))</f>
        <v/>
      </c>
      <c r="O1282" s="5">
        <f>IF(N1282="sim",COUNTIFS($B$3:$B1282,$B1282,$N$3:$N1282,"sim"),"")</f>
        <v/>
      </c>
      <c r="P1282" s="5" t="n"/>
      <c r="Q1282" s="4" t="n"/>
      <c r="R1282" s="5" t="n"/>
      <c r="S1282" s="9" t="n"/>
      <c r="T1282" s="4" t="n"/>
    </row>
    <row r="1283">
      <c r="A1283" s="5">
        <f>ROW()-2</f>
        <v/>
      </c>
      <c r="B1283" s="4" t="inlineStr">
        <is>
          <t>Capital regional</t>
        </is>
      </c>
      <c r="C1283" s="5" t="n">
        <v>339</v>
      </c>
      <c r="D1283" s="5">
        <f>IFERROR(INDEX('Base de sorteio'!$A$3:$A$1723,MATCH($B1283&amp;"|"&amp;$C1283,'Base de sorteio'!$I$3:$I$1723,0)),"")</f>
        <v/>
      </c>
      <c r="E1283" s="4">
        <f>IFERROR(INDEX('Base de sorteio'!$B$3:$B$1723,MATCH($B1283&amp;"|"&amp;$C1283,'Base de sorteio'!$I$3:$I$1723,0)),"")</f>
        <v/>
      </c>
      <c r="F1283" s="4">
        <f>IFERROR(INDEX('Base de sorteio'!$C$3:$C$1723,MATCH($B1283&amp;"|"&amp;$C1283,'Base de sorteio'!$I$3:$I$1723,0)),"")</f>
        <v/>
      </c>
      <c r="G1283" s="4">
        <f>IFERROR(INDEX('Base de sorteio'!$D$3:$D$1723,MATCH($B1283&amp;"|"&amp;$C1283,'Base de sorteio'!$I$3:$I$1723,0)),"")</f>
        <v/>
      </c>
      <c r="H1283" s="4">
        <f>IFERROR(INDEX('Base de sorteio'!$E$3:$E$1723,MATCH($B1283&amp;"|"&amp;$C1283,'Base de sorteio'!$I$3:$I$1723,0)),"")</f>
        <v/>
      </c>
      <c r="I1283" s="4">
        <f>IF(E1283="","",HYPERLINK(IFERROR(INDEX('Base de sorteio'!$J$3:$J$1723,MATCH($B1283&amp;"|"&amp;$C1283,'Base de sorteio'!$I$3:$I$1723,0)),""),"abrir"))</f>
        <v/>
      </c>
      <c r="J1283" s="4" t="n"/>
      <c r="K1283" s="4" t="n"/>
      <c r="L1283" s="4" t="n"/>
      <c r="M1283" s="4" t="n"/>
      <c r="N1283" s="4">
        <f>IF(AND(K1283="",M1283=""),"",IF(OR(K1283="sim",M1283="sim"),"sim",IF(OR(K1283="inconclusivo",M1283="inconclusivo"),"inconclusivo","não")))</f>
        <v/>
      </c>
      <c r="O1283" s="5">
        <f>IF(N1283="sim",COUNTIFS($B$3:$B1283,$B1283,$N$3:$N1283,"sim"),"")</f>
        <v/>
      </c>
      <c r="P1283" s="5" t="n"/>
      <c r="Q1283" s="4" t="n"/>
      <c r="R1283" s="5" t="n"/>
      <c r="S1283" s="9" t="n"/>
      <c r="T1283" s="4" t="n"/>
    </row>
    <row r="1284">
      <c r="A1284" s="5">
        <f>ROW()-2</f>
        <v/>
      </c>
      <c r="B1284" s="4" t="inlineStr">
        <is>
          <t>Capital regional</t>
        </is>
      </c>
      <c r="C1284" s="5" t="n">
        <v>340</v>
      </c>
      <c r="D1284" s="5">
        <f>IFERROR(INDEX('Base de sorteio'!$A$3:$A$1723,MATCH($B1284&amp;"|"&amp;$C1284,'Base de sorteio'!$I$3:$I$1723,0)),"")</f>
        <v/>
      </c>
      <c r="E1284" s="4">
        <f>IFERROR(INDEX('Base de sorteio'!$B$3:$B$1723,MATCH($B1284&amp;"|"&amp;$C1284,'Base de sorteio'!$I$3:$I$1723,0)),"")</f>
        <v/>
      </c>
      <c r="F1284" s="4">
        <f>IFERROR(INDEX('Base de sorteio'!$C$3:$C$1723,MATCH($B1284&amp;"|"&amp;$C1284,'Base de sorteio'!$I$3:$I$1723,0)),"")</f>
        <v/>
      </c>
      <c r="G1284" s="4">
        <f>IFERROR(INDEX('Base de sorteio'!$D$3:$D$1723,MATCH($B1284&amp;"|"&amp;$C1284,'Base de sorteio'!$I$3:$I$1723,0)),"")</f>
        <v/>
      </c>
      <c r="H1284" s="4">
        <f>IFERROR(INDEX('Base de sorteio'!$E$3:$E$1723,MATCH($B1284&amp;"|"&amp;$C1284,'Base de sorteio'!$I$3:$I$1723,0)),"")</f>
        <v/>
      </c>
      <c r="I1284" s="4">
        <f>IF(E1284="","",HYPERLINK(IFERROR(INDEX('Base de sorteio'!$J$3:$J$1723,MATCH($B1284&amp;"|"&amp;$C1284,'Base de sorteio'!$I$3:$I$1723,0)),""),"abrir"))</f>
        <v/>
      </c>
      <c r="J1284" s="4" t="n"/>
      <c r="K1284" s="4" t="n"/>
      <c r="L1284" s="4" t="n"/>
      <c r="M1284" s="4" t="n"/>
      <c r="N1284" s="4">
        <f>IF(AND(K1284="",M1284=""),"",IF(OR(K1284="sim",M1284="sim"),"sim",IF(OR(K1284="inconclusivo",M1284="inconclusivo"),"inconclusivo","não")))</f>
        <v/>
      </c>
      <c r="O1284" s="5">
        <f>IF(N1284="sim",COUNTIFS($B$3:$B1284,$B1284,$N$3:$N1284,"sim"),"")</f>
        <v/>
      </c>
      <c r="P1284" s="5" t="n"/>
      <c r="Q1284" s="4" t="n"/>
      <c r="R1284" s="5" t="n"/>
      <c r="S1284" s="9" t="n"/>
      <c r="T1284" s="4" t="n"/>
    </row>
    <row r="1285">
      <c r="A1285" s="5">
        <f>ROW()-2</f>
        <v/>
      </c>
      <c r="B1285" s="4" t="inlineStr">
        <is>
          <t>Capital regional</t>
        </is>
      </c>
      <c r="C1285" s="5" t="n">
        <v>341</v>
      </c>
      <c r="D1285" s="5">
        <f>IFERROR(INDEX('Base de sorteio'!$A$3:$A$1723,MATCH($B1285&amp;"|"&amp;$C1285,'Base de sorteio'!$I$3:$I$1723,0)),"")</f>
        <v/>
      </c>
      <c r="E1285" s="4">
        <f>IFERROR(INDEX('Base de sorteio'!$B$3:$B$1723,MATCH($B1285&amp;"|"&amp;$C1285,'Base de sorteio'!$I$3:$I$1723,0)),"")</f>
        <v/>
      </c>
      <c r="F1285" s="4">
        <f>IFERROR(INDEX('Base de sorteio'!$C$3:$C$1723,MATCH($B1285&amp;"|"&amp;$C1285,'Base de sorteio'!$I$3:$I$1723,0)),"")</f>
        <v/>
      </c>
      <c r="G1285" s="4">
        <f>IFERROR(INDEX('Base de sorteio'!$D$3:$D$1723,MATCH($B1285&amp;"|"&amp;$C1285,'Base de sorteio'!$I$3:$I$1723,0)),"")</f>
        <v/>
      </c>
      <c r="H1285" s="4">
        <f>IFERROR(INDEX('Base de sorteio'!$E$3:$E$1723,MATCH($B1285&amp;"|"&amp;$C1285,'Base de sorteio'!$I$3:$I$1723,0)),"")</f>
        <v/>
      </c>
      <c r="I1285" s="4">
        <f>IF(E1285="","",HYPERLINK(IFERROR(INDEX('Base de sorteio'!$J$3:$J$1723,MATCH($B1285&amp;"|"&amp;$C1285,'Base de sorteio'!$I$3:$I$1723,0)),""),"abrir"))</f>
        <v/>
      </c>
      <c r="J1285" s="4" t="n"/>
      <c r="K1285" s="4" t="n"/>
      <c r="L1285" s="4" t="n"/>
      <c r="M1285" s="4" t="n"/>
      <c r="N1285" s="4">
        <f>IF(AND(K1285="",M1285=""),"",IF(OR(K1285="sim",M1285="sim"),"sim",IF(OR(K1285="inconclusivo",M1285="inconclusivo"),"inconclusivo","não")))</f>
        <v/>
      </c>
      <c r="O1285" s="5">
        <f>IF(N1285="sim",COUNTIFS($B$3:$B1285,$B1285,$N$3:$N1285,"sim"),"")</f>
        <v/>
      </c>
      <c r="P1285" s="5" t="n"/>
      <c r="Q1285" s="4" t="n"/>
      <c r="R1285" s="5" t="n"/>
      <c r="S1285" s="9" t="n"/>
      <c r="T1285" s="4" t="n"/>
    </row>
    <row r="1286">
      <c r="A1286" s="5">
        <f>ROW()-2</f>
        <v/>
      </c>
      <c r="B1286" s="4" t="inlineStr">
        <is>
          <t>Capital regional</t>
        </is>
      </c>
      <c r="C1286" s="5" t="n">
        <v>342</v>
      </c>
      <c r="D1286" s="5">
        <f>IFERROR(INDEX('Base de sorteio'!$A$3:$A$1723,MATCH($B1286&amp;"|"&amp;$C1286,'Base de sorteio'!$I$3:$I$1723,0)),"")</f>
        <v/>
      </c>
      <c r="E1286" s="4">
        <f>IFERROR(INDEX('Base de sorteio'!$B$3:$B$1723,MATCH($B1286&amp;"|"&amp;$C1286,'Base de sorteio'!$I$3:$I$1723,0)),"")</f>
        <v/>
      </c>
      <c r="F1286" s="4">
        <f>IFERROR(INDEX('Base de sorteio'!$C$3:$C$1723,MATCH($B1286&amp;"|"&amp;$C1286,'Base de sorteio'!$I$3:$I$1723,0)),"")</f>
        <v/>
      </c>
      <c r="G1286" s="4">
        <f>IFERROR(INDEX('Base de sorteio'!$D$3:$D$1723,MATCH($B1286&amp;"|"&amp;$C1286,'Base de sorteio'!$I$3:$I$1723,0)),"")</f>
        <v/>
      </c>
      <c r="H1286" s="4">
        <f>IFERROR(INDEX('Base de sorteio'!$E$3:$E$1723,MATCH($B1286&amp;"|"&amp;$C1286,'Base de sorteio'!$I$3:$I$1723,0)),"")</f>
        <v/>
      </c>
      <c r="I1286" s="4">
        <f>IF(E1286="","",HYPERLINK(IFERROR(INDEX('Base de sorteio'!$J$3:$J$1723,MATCH($B1286&amp;"|"&amp;$C1286,'Base de sorteio'!$I$3:$I$1723,0)),""),"abrir"))</f>
        <v/>
      </c>
      <c r="J1286" s="4" t="n"/>
      <c r="K1286" s="4" t="n"/>
      <c r="L1286" s="4" t="n"/>
      <c r="M1286" s="4" t="n"/>
      <c r="N1286" s="4">
        <f>IF(AND(K1286="",M1286=""),"",IF(OR(K1286="sim",M1286="sim"),"sim",IF(OR(K1286="inconclusivo",M1286="inconclusivo"),"inconclusivo","não")))</f>
        <v/>
      </c>
      <c r="O1286" s="5">
        <f>IF(N1286="sim",COUNTIFS($B$3:$B1286,$B1286,$N$3:$N1286,"sim"),"")</f>
        <v/>
      </c>
      <c r="P1286" s="5" t="n"/>
      <c r="Q1286" s="4" t="n"/>
      <c r="R1286" s="5" t="n"/>
      <c r="S1286" s="9" t="n"/>
      <c r="T1286" s="4" t="n"/>
    </row>
    <row r="1287">
      <c r="A1287" s="5">
        <f>ROW()-2</f>
        <v/>
      </c>
      <c r="B1287" s="4" t="inlineStr">
        <is>
          <t>Capital regional</t>
        </is>
      </c>
      <c r="C1287" s="5" t="n">
        <v>343</v>
      </c>
      <c r="D1287" s="5">
        <f>IFERROR(INDEX('Base de sorteio'!$A$3:$A$1723,MATCH($B1287&amp;"|"&amp;$C1287,'Base de sorteio'!$I$3:$I$1723,0)),"")</f>
        <v/>
      </c>
      <c r="E1287" s="4">
        <f>IFERROR(INDEX('Base de sorteio'!$B$3:$B$1723,MATCH($B1287&amp;"|"&amp;$C1287,'Base de sorteio'!$I$3:$I$1723,0)),"")</f>
        <v/>
      </c>
      <c r="F1287" s="4">
        <f>IFERROR(INDEX('Base de sorteio'!$C$3:$C$1723,MATCH($B1287&amp;"|"&amp;$C1287,'Base de sorteio'!$I$3:$I$1723,0)),"")</f>
        <v/>
      </c>
      <c r="G1287" s="4">
        <f>IFERROR(INDEX('Base de sorteio'!$D$3:$D$1723,MATCH($B1287&amp;"|"&amp;$C1287,'Base de sorteio'!$I$3:$I$1723,0)),"")</f>
        <v/>
      </c>
      <c r="H1287" s="4">
        <f>IFERROR(INDEX('Base de sorteio'!$E$3:$E$1723,MATCH($B1287&amp;"|"&amp;$C1287,'Base de sorteio'!$I$3:$I$1723,0)),"")</f>
        <v/>
      </c>
      <c r="I1287" s="4">
        <f>IF(E1287="","",HYPERLINK(IFERROR(INDEX('Base de sorteio'!$J$3:$J$1723,MATCH($B1287&amp;"|"&amp;$C1287,'Base de sorteio'!$I$3:$I$1723,0)),""),"abrir"))</f>
        <v/>
      </c>
      <c r="J1287" s="4" t="n"/>
      <c r="K1287" s="4" t="n"/>
      <c r="L1287" s="4" t="n"/>
      <c r="M1287" s="4" t="n"/>
      <c r="N1287" s="4">
        <f>IF(AND(K1287="",M1287=""),"",IF(OR(K1287="sim",M1287="sim"),"sim",IF(OR(K1287="inconclusivo",M1287="inconclusivo"),"inconclusivo","não")))</f>
        <v/>
      </c>
      <c r="O1287" s="5">
        <f>IF(N1287="sim",COUNTIFS($B$3:$B1287,$B1287,$N$3:$N1287,"sim"),"")</f>
        <v/>
      </c>
      <c r="P1287" s="5" t="n"/>
      <c r="Q1287" s="4" t="n"/>
      <c r="R1287" s="5" t="n"/>
      <c r="S1287" s="9" t="n"/>
      <c r="T1287" s="4" t="n"/>
    </row>
    <row r="1288">
      <c r="A1288" s="5">
        <f>ROW()-2</f>
        <v/>
      </c>
      <c r="B1288" s="4" t="inlineStr">
        <is>
          <t>Capital regional</t>
        </is>
      </c>
      <c r="C1288" s="5" t="n">
        <v>344</v>
      </c>
      <c r="D1288" s="5">
        <f>IFERROR(INDEX('Base de sorteio'!$A$3:$A$1723,MATCH($B1288&amp;"|"&amp;$C1288,'Base de sorteio'!$I$3:$I$1723,0)),"")</f>
        <v/>
      </c>
      <c r="E1288" s="4">
        <f>IFERROR(INDEX('Base de sorteio'!$B$3:$B$1723,MATCH($B1288&amp;"|"&amp;$C1288,'Base de sorteio'!$I$3:$I$1723,0)),"")</f>
        <v/>
      </c>
      <c r="F1288" s="4">
        <f>IFERROR(INDEX('Base de sorteio'!$C$3:$C$1723,MATCH($B1288&amp;"|"&amp;$C1288,'Base de sorteio'!$I$3:$I$1723,0)),"")</f>
        <v/>
      </c>
      <c r="G1288" s="4">
        <f>IFERROR(INDEX('Base de sorteio'!$D$3:$D$1723,MATCH($B1288&amp;"|"&amp;$C1288,'Base de sorteio'!$I$3:$I$1723,0)),"")</f>
        <v/>
      </c>
      <c r="H1288" s="4">
        <f>IFERROR(INDEX('Base de sorteio'!$E$3:$E$1723,MATCH($B1288&amp;"|"&amp;$C1288,'Base de sorteio'!$I$3:$I$1723,0)),"")</f>
        <v/>
      </c>
      <c r="I1288" s="4">
        <f>IF(E1288="","",HYPERLINK(IFERROR(INDEX('Base de sorteio'!$J$3:$J$1723,MATCH($B1288&amp;"|"&amp;$C1288,'Base de sorteio'!$I$3:$I$1723,0)),""),"abrir"))</f>
        <v/>
      </c>
      <c r="J1288" s="4" t="n"/>
      <c r="K1288" s="4" t="n"/>
      <c r="L1288" s="4" t="n"/>
      <c r="M1288" s="4" t="n"/>
      <c r="N1288" s="4">
        <f>IF(AND(K1288="",M1288=""),"",IF(OR(K1288="sim",M1288="sim"),"sim",IF(OR(K1288="inconclusivo",M1288="inconclusivo"),"inconclusivo","não")))</f>
        <v/>
      </c>
      <c r="O1288" s="5">
        <f>IF(N1288="sim",COUNTIFS($B$3:$B1288,$B1288,$N$3:$N1288,"sim"),"")</f>
        <v/>
      </c>
      <c r="P1288" s="5" t="n"/>
      <c r="Q1288" s="4" t="n"/>
      <c r="R1288" s="5" t="n"/>
      <c r="S1288" s="9" t="n"/>
      <c r="T1288" s="4" t="n"/>
    </row>
    <row r="1289">
      <c r="A1289" s="5">
        <f>ROW()-2</f>
        <v/>
      </c>
      <c r="B1289" s="4" t="inlineStr">
        <is>
          <t>Capital regional</t>
        </is>
      </c>
      <c r="C1289" s="5" t="n">
        <v>345</v>
      </c>
      <c r="D1289" s="5">
        <f>IFERROR(INDEX('Base de sorteio'!$A$3:$A$1723,MATCH($B1289&amp;"|"&amp;$C1289,'Base de sorteio'!$I$3:$I$1723,0)),"")</f>
        <v/>
      </c>
      <c r="E1289" s="4">
        <f>IFERROR(INDEX('Base de sorteio'!$B$3:$B$1723,MATCH($B1289&amp;"|"&amp;$C1289,'Base de sorteio'!$I$3:$I$1723,0)),"")</f>
        <v/>
      </c>
      <c r="F1289" s="4">
        <f>IFERROR(INDEX('Base de sorteio'!$C$3:$C$1723,MATCH($B1289&amp;"|"&amp;$C1289,'Base de sorteio'!$I$3:$I$1723,0)),"")</f>
        <v/>
      </c>
      <c r="G1289" s="4">
        <f>IFERROR(INDEX('Base de sorteio'!$D$3:$D$1723,MATCH($B1289&amp;"|"&amp;$C1289,'Base de sorteio'!$I$3:$I$1723,0)),"")</f>
        <v/>
      </c>
      <c r="H1289" s="4">
        <f>IFERROR(INDEX('Base de sorteio'!$E$3:$E$1723,MATCH($B1289&amp;"|"&amp;$C1289,'Base de sorteio'!$I$3:$I$1723,0)),"")</f>
        <v/>
      </c>
      <c r="I1289" s="4">
        <f>IF(E1289="","",HYPERLINK(IFERROR(INDEX('Base de sorteio'!$J$3:$J$1723,MATCH($B1289&amp;"|"&amp;$C1289,'Base de sorteio'!$I$3:$I$1723,0)),""),"abrir"))</f>
        <v/>
      </c>
      <c r="J1289" s="4" t="n"/>
      <c r="K1289" s="4" t="n"/>
      <c r="L1289" s="4" t="n"/>
      <c r="M1289" s="4" t="n"/>
      <c r="N1289" s="4">
        <f>IF(AND(K1289="",M1289=""),"",IF(OR(K1289="sim",M1289="sim"),"sim",IF(OR(K1289="inconclusivo",M1289="inconclusivo"),"inconclusivo","não")))</f>
        <v/>
      </c>
      <c r="O1289" s="5">
        <f>IF(N1289="sim",COUNTIFS($B$3:$B1289,$B1289,$N$3:$N1289,"sim"),"")</f>
        <v/>
      </c>
      <c r="P1289" s="5" t="n"/>
      <c r="Q1289" s="4" t="n"/>
      <c r="R1289" s="5" t="n"/>
      <c r="S1289" s="9" t="n"/>
      <c r="T1289" s="4" t="n"/>
    </row>
    <row r="1290">
      <c r="A1290" s="5">
        <f>ROW()-2</f>
        <v/>
      </c>
      <c r="B1290" s="4" t="inlineStr">
        <is>
          <t>Capital regional</t>
        </is>
      </c>
      <c r="C1290" s="5" t="n">
        <v>346</v>
      </c>
      <c r="D1290" s="5">
        <f>IFERROR(INDEX('Base de sorteio'!$A$3:$A$1723,MATCH($B1290&amp;"|"&amp;$C1290,'Base de sorteio'!$I$3:$I$1723,0)),"")</f>
        <v/>
      </c>
      <c r="E1290" s="4">
        <f>IFERROR(INDEX('Base de sorteio'!$B$3:$B$1723,MATCH($B1290&amp;"|"&amp;$C1290,'Base de sorteio'!$I$3:$I$1723,0)),"")</f>
        <v/>
      </c>
      <c r="F1290" s="4">
        <f>IFERROR(INDEX('Base de sorteio'!$C$3:$C$1723,MATCH($B1290&amp;"|"&amp;$C1290,'Base de sorteio'!$I$3:$I$1723,0)),"")</f>
        <v/>
      </c>
      <c r="G1290" s="4">
        <f>IFERROR(INDEX('Base de sorteio'!$D$3:$D$1723,MATCH($B1290&amp;"|"&amp;$C1290,'Base de sorteio'!$I$3:$I$1723,0)),"")</f>
        <v/>
      </c>
      <c r="H1290" s="4">
        <f>IFERROR(INDEX('Base de sorteio'!$E$3:$E$1723,MATCH($B1290&amp;"|"&amp;$C1290,'Base de sorteio'!$I$3:$I$1723,0)),"")</f>
        <v/>
      </c>
      <c r="I1290" s="4">
        <f>IF(E1290="","",HYPERLINK(IFERROR(INDEX('Base de sorteio'!$J$3:$J$1723,MATCH($B1290&amp;"|"&amp;$C1290,'Base de sorteio'!$I$3:$I$1723,0)),""),"abrir"))</f>
        <v/>
      </c>
      <c r="J1290" s="4" t="n"/>
      <c r="K1290" s="4" t="n"/>
      <c r="L1290" s="4" t="n"/>
      <c r="M1290" s="4" t="n"/>
      <c r="N1290" s="4">
        <f>IF(AND(K1290="",M1290=""),"",IF(OR(K1290="sim",M1290="sim"),"sim",IF(OR(K1290="inconclusivo",M1290="inconclusivo"),"inconclusivo","não")))</f>
        <v/>
      </c>
      <c r="O1290" s="5">
        <f>IF(N1290="sim",COUNTIFS($B$3:$B1290,$B1290,$N$3:$N1290,"sim"),"")</f>
        <v/>
      </c>
      <c r="P1290" s="5" t="n"/>
      <c r="Q1290" s="4" t="n"/>
      <c r="R1290" s="5" t="n"/>
      <c r="S1290" s="9" t="n"/>
      <c r="T1290" s="4" t="n"/>
    </row>
    <row r="1291">
      <c r="A1291" s="5">
        <f>ROW()-2</f>
        <v/>
      </c>
      <c r="B1291" s="4" t="inlineStr">
        <is>
          <t>Capital regional</t>
        </is>
      </c>
      <c r="C1291" s="5" t="n">
        <v>347</v>
      </c>
      <c r="D1291" s="5">
        <f>IFERROR(INDEX('Base de sorteio'!$A$3:$A$1723,MATCH($B1291&amp;"|"&amp;$C1291,'Base de sorteio'!$I$3:$I$1723,0)),"")</f>
        <v/>
      </c>
      <c r="E1291" s="4">
        <f>IFERROR(INDEX('Base de sorteio'!$B$3:$B$1723,MATCH($B1291&amp;"|"&amp;$C1291,'Base de sorteio'!$I$3:$I$1723,0)),"")</f>
        <v/>
      </c>
      <c r="F1291" s="4">
        <f>IFERROR(INDEX('Base de sorteio'!$C$3:$C$1723,MATCH($B1291&amp;"|"&amp;$C1291,'Base de sorteio'!$I$3:$I$1723,0)),"")</f>
        <v/>
      </c>
      <c r="G1291" s="4">
        <f>IFERROR(INDEX('Base de sorteio'!$D$3:$D$1723,MATCH($B1291&amp;"|"&amp;$C1291,'Base de sorteio'!$I$3:$I$1723,0)),"")</f>
        <v/>
      </c>
      <c r="H1291" s="4">
        <f>IFERROR(INDEX('Base de sorteio'!$E$3:$E$1723,MATCH($B1291&amp;"|"&amp;$C1291,'Base de sorteio'!$I$3:$I$1723,0)),"")</f>
        <v/>
      </c>
      <c r="I1291" s="4">
        <f>IF(E1291="","",HYPERLINK(IFERROR(INDEX('Base de sorteio'!$J$3:$J$1723,MATCH($B1291&amp;"|"&amp;$C1291,'Base de sorteio'!$I$3:$I$1723,0)),""),"abrir"))</f>
        <v/>
      </c>
      <c r="J1291" s="4" t="n"/>
      <c r="K1291" s="4" t="n"/>
      <c r="L1291" s="4" t="n"/>
      <c r="M1291" s="4" t="n"/>
      <c r="N1291" s="4">
        <f>IF(AND(K1291="",M1291=""),"",IF(OR(K1291="sim",M1291="sim"),"sim",IF(OR(K1291="inconclusivo",M1291="inconclusivo"),"inconclusivo","não")))</f>
        <v/>
      </c>
      <c r="O1291" s="5">
        <f>IF(N1291="sim",COUNTIFS($B$3:$B1291,$B1291,$N$3:$N1291,"sim"),"")</f>
        <v/>
      </c>
      <c r="P1291" s="5" t="n"/>
      <c r="Q1291" s="4" t="n"/>
      <c r="R1291" s="5" t="n"/>
      <c r="S1291" s="9" t="n"/>
      <c r="T1291" s="4" t="n"/>
    </row>
    <row r="1292">
      <c r="A1292" s="5">
        <f>ROW()-2</f>
        <v/>
      </c>
      <c r="B1292" s="4" t="inlineStr">
        <is>
          <t>Capital regional</t>
        </is>
      </c>
      <c r="C1292" s="5" t="n">
        <v>348</v>
      </c>
      <c r="D1292" s="5">
        <f>IFERROR(INDEX('Base de sorteio'!$A$3:$A$1723,MATCH($B1292&amp;"|"&amp;$C1292,'Base de sorteio'!$I$3:$I$1723,0)),"")</f>
        <v/>
      </c>
      <c r="E1292" s="4">
        <f>IFERROR(INDEX('Base de sorteio'!$B$3:$B$1723,MATCH($B1292&amp;"|"&amp;$C1292,'Base de sorteio'!$I$3:$I$1723,0)),"")</f>
        <v/>
      </c>
      <c r="F1292" s="4">
        <f>IFERROR(INDEX('Base de sorteio'!$C$3:$C$1723,MATCH($B1292&amp;"|"&amp;$C1292,'Base de sorteio'!$I$3:$I$1723,0)),"")</f>
        <v/>
      </c>
      <c r="G1292" s="4">
        <f>IFERROR(INDEX('Base de sorteio'!$D$3:$D$1723,MATCH($B1292&amp;"|"&amp;$C1292,'Base de sorteio'!$I$3:$I$1723,0)),"")</f>
        <v/>
      </c>
      <c r="H1292" s="4">
        <f>IFERROR(INDEX('Base de sorteio'!$E$3:$E$1723,MATCH($B1292&amp;"|"&amp;$C1292,'Base de sorteio'!$I$3:$I$1723,0)),"")</f>
        <v/>
      </c>
      <c r="I1292" s="4">
        <f>IF(E1292="","",HYPERLINK(IFERROR(INDEX('Base de sorteio'!$J$3:$J$1723,MATCH($B1292&amp;"|"&amp;$C1292,'Base de sorteio'!$I$3:$I$1723,0)),""),"abrir"))</f>
        <v/>
      </c>
      <c r="J1292" s="4" t="n"/>
      <c r="K1292" s="4" t="n"/>
      <c r="L1292" s="4" t="n"/>
      <c r="M1292" s="4" t="n"/>
      <c r="N1292" s="4">
        <f>IF(AND(K1292="",M1292=""),"",IF(OR(K1292="sim",M1292="sim"),"sim",IF(OR(K1292="inconclusivo",M1292="inconclusivo"),"inconclusivo","não")))</f>
        <v/>
      </c>
      <c r="O1292" s="5">
        <f>IF(N1292="sim",COUNTIFS($B$3:$B1292,$B1292,$N$3:$N1292,"sim"),"")</f>
        <v/>
      </c>
      <c r="P1292" s="5" t="n"/>
      <c r="Q1292" s="4" t="n"/>
      <c r="R1292" s="5" t="n"/>
      <c r="S1292" s="9" t="n"/>
      <c r="T1292" s="4" t="n"/>
    </row>
    <row r="1293">
      <c r="A1293" s="5">
        <f>ROW()-2</f>
        <v/>
      </c>
      <c r="B1293" s="4" t="inlineStr">
        <is>
          <t>Capital regional</t>
        </is>
      </c>
      <c r="C1293" s="5" t="n">
        <v>349</v>
      </c>
      <c r="D1293" s="5">
        <f>IFERROR(INDEX('Base de sorteio'!$A$3:$A$1723,MATCH($B1293&amp;"|"&amp;$C1293,'Base de sorteio'!$I$3:$I$1723,0)),"")</f>
        <v/>
      </c>
      <c r="E1293" s="4">
        <f>IFERROR(INDEX('Base de sorteio'!$B$3:$B$1723,MATCH($B1293&amp;"|"&amp;$C1293,'Base de sorteio'!$I$3:$I$1723,0)),"")</f>
        <v/>
      </c>
      <c r="F1293" s="4">
        <f>IFERROR(INDEX('Base de sorteio'!$C$3:$C$1723,MATCH($B1293&amp;"|"&amp;$C1293,'Base de sorteio'!$I$3:$I$1723,0)),"")</f>
        <v/>
      </c>
      <c r="G1293" s="4">
        <f>IFERROR(INDEX('Base de sorteio'!$D$3:$D$1723,MATCH($B1293&amp;"|"&amp;$C1293,'Base de sorteio'!$I$3:$I$1723,0)),"")</f>
        <v/>
      </c>
      <c r="H1293" s="4">
        <f>IFERROR(INDEX('Base de sorteio'!$E$3:$E$1723,MATCH($B1293&amp;"|"&amp;$C1293,'Base de sorteio'!$I$3:$I$1723,0)),"")</f>
        <v/>
      </c>
      <c r="I1293" s="4">
        <f>IF(E1293="","",HYPERLINK(IFERROR(INDEX('Base de sorteio'!$J$3:$J$1723,MATCH($B1293&amp;"|"&amp;$C1293,'Base de sorteio'!$I$3:$I$1723,0)),""),"abrir"))</f>
        <v/>
      </c>
      <c r="J1293" s="4" t="n"/>
      <c r="K1293" s="4" t="n"/>
      <c r="L1293" s="4" t="n"/>
      <c r="M1293" s="4" t="n"/>
      <c r="N1293" s="4">
        <f>IF(AND(K1293="",M1293=""),"",IF(OR(K1293="sim",M1293="sim"),"sim",IF(OR(K1293="inconclusivo",M1293="inconclusivo"),"inconclusivo","não")))</f>
        <v/>
      </c>
      <c r="O1293" s="5">
        <f>IF(N1293="sim",COUNTIFS($B$3:$B1293,$B1293,$N$3:$N1293,"sim"),"")</f>
        <v/>
      </c>
      <c r="P1293" s="5" t="n"/>
      <c r="Q1293" s="4" t="n"/>
      <c r="R1293" s="5" t="n"/>
      <c r="S1293" s="9" t="n"/>
      <c r="T1293" s="4" t="n"/>
    </row>
    <row r="1294">
      <c r="A1294" s="5">
        <f>ROW()-2</f>
        <v/>
      </c>
      <c r="B1294" s="4" t="inlineStr">
        <is>
          <t>Capital regional</t>
        </is>
      </c>
      <c r="C1294" s="5" t="n">
        <v>350</v>
      </c>
      <c r="D1294" s="5">
        <f>IFERROR(INDEX('Base de sorteio'!$A$3:$A$1723,MATCH($B1294&amp;"|"&amp;$C1294,'Base de sorteio'!$I$3:$I$1723,0)),"")</f>
        <v/>
      </c>
      <c r="E1294" s="4">
        <f>IFERROR(INDEX('Base de sorteio'!$B$3:$B$1723,MATCH($B1294&amp;"|"&amp;$C1294,'Base de sorteio'!$I$3:$I$1723,0)),"")</f>
        <v/>
      </c>
      <c r="F1294" s="4">
        <f>IFERROR(INDEX('Base de sorteio'!$C$3:$C$1723,MATCH($B1294&amp;"|"&amp;$C1294,'Base de sorteio'!$I$3:$I$1723,0)),"")</f>
        <v/>
      </c>
      <c r="G1294" s="4">
        <f>IFERROR(INDEX('Base de sorteio'!$D$3:$D$1723,MATCH($B1294&amp;"|"&amp;$C1294,'Base de sorteio'!$I$3:$I$1723,0)),"")</f>
        <v/>
      </c>
      <c r="H1294" s="4">
        <f>IFERROR(INDEX('Base de sorteio'!$E$3:$E$1723,MATCH($B1294&amp;"|"&amp;$C1294,'Base de sorteio'!$I$3:$I$1723,0)),"")</f>
        <v/>
      </c>
      <c r="I1294" s="4">
        <f>IF(E1294="","",HYPERLINK(IFERROR(INDEX('Base de sorteio'!$J$3:$J$1723,MATCH($B1294&amp;"|"&amp;$C1294,'Base de sorteio'!$I$3:$I$1723,0)),""),"abrir"))</f>
        <v/>
      </c>
      <c r="J1294" s="4" t="n"/>
      <c r="K1294" s="4" t="n"/>
      <c r="L1294" s="4" t="n"/>
      <c r="M1294" s="4" t="n"/>
      <c r="N1294" s="4">
        <f>IF(AND(K1294="",M1294=""),"",IF(OR(K1294="sim",M1294="sim"),"sim",IF(OR(K1294="inconclusivo",M1294="inconclusivo"),"inconclusivo","não")))</f>
        <v/>
      </c>
      <c r="O1294" s="5">
        <f>IF(N1294="sim",COUNTIFS($B$3:$B1294,$B1294,$N$3:$N1294,"sim"),"")</f>
        <v/>
      </c>
      <c r="P1294" s="5" t="n"/>
      <c r="Q1294" s="4" t="n"/>
      <c r="R1294" s="5" t="n"/>
      <c r="S1294" s="9" t="n"/>
      <c r="T1294" s="4" t="n"/>
    </row>
    <row r="1295">
      <c r="A1295" s="5">
        <f>ROW()-2</f>
        <v/>
      </c>
      <c r="B1295" s="4" t="inlineStr">
        <is>
          <t>Capital regional</t>
        </is>
      </c>
      <c r="C1295" s="5" t="n">
        <v>351</v>
      </c>
      <c r="D1295" s="5">
        <f>IFERROR(INDEX('Base de sorteio'!$A$3:$A$1723,MATCH($B1295&amp;"|"&amp;$C1295,'Base de sorteio'!$I$3:$I$1723,0)),"")</f>
        <v/>
      </c>
      <c r="E1295" s="4">
        <f>IFERROR(INDEX('Base de sorteio'!$B$3:$B$1723,MATCH($B1295&amp;"|"&amp;$C1295,'Base de sorteio'!$I$3:$I$1723,0)),"")</f>
        <v/>
      </c>
      <c r="F1295" s="4">
        <f>IFERROR(INDEX('Base de sorteio'!$C$3:$C$1723,MATCH($B1295&amp;"|"&amp;$C1295,'Base de sorteio'!$I$3:$I$1723,0)),"")</f>
        <v/>
      </c>
      <c r="G1295" s="4">
        <f>IFERROR(INDEX('Base de sorteio'!$D$3:$D$1723,MATCH($B1295&amp;"|"&amp;$C1295,'Base de sorteio'!$I$3:$I$1723,0)),"")</f>
        <v/>
      </c>
      <c r="H1295" s="4">
        <f>IFERROR(INDEX('Base de sorteio'!$E$3:$E$1723,MATCH($B1295&amp;"|"&amp;$C1295,'Base de sorteio'!$I$3:$I$1723,0)),"")</f>
        <v/>
      </c>
      <c r="I1295" s="4">
        <f>IF(E1295="","",HYPERLINK(IFERROR(INDEX('Base de sorteio'!$J$3:$J$1723,MATCH($B1295&amp;"|"&amp;$C1295,'Base de sorteio'!$I$3:$I$1723,0)),""),"abrir"))</f>
        <v/>
      </c>
      <c r="J1295" s="4" t="n"/>
      <c r="K1295" s="4" t="n"/>
      <c r="L1295" s="4" t="n"/>
      <c r="M1295" s="4" t="n"/>
      <c r="N1295" s="4">
        <f>IF(AND(K1295="",M1295=""),"",IF(OR(K1295="sim",M1295="sim"),"sim",IF(OR(K1295="inconclusivo",M1295="inconclusivo"),"inconclusivo","não")))</f>
        <v/>
      </c>
      <c r="O1295" s="5">
        <f>IF(N1295="sim",COUNTIFS($B$3:$B1295,$B1295,$N$3:$N1295,"sim"),"")</f>
        <v/>
      </c>
      <c r="P1295" s="5" t="n"/>
      <c r="Q1295" s="4" t="n"/>
      <c r="R1295" s="5" t="n"/>
      <c r="S1295" s="9" t="n"/>
      <c r="T1295" s="4" t="n"/>
    </row>
    <row r="1296">
      <c r="A1296" s="5">
        <f>ROW()-2</f>
        <v/>
      </c>
      <c r="B1296" s="4" t="inlineStr">
        <is>
          <t>Capital regional</t>
        </is>
      </c>
      <c r="C1296" s="5" t="n">
        <v>352</v>
      </c>
      <c r="D1296" s="5">
        <f>IFERROR(INDEX('Base de sorteio'!$A$3:$A$1723,MATCH($B1296&amp;"|"&amp;$C1296,'Base de sorteio'!$I$3:$I$1723,0)),"")</f>
        <v/>
      </c>
      <c r="E1296" s="4">
        <f>IFERROR(INDEX('Base de sorteio'!$B$3:$B$1723,MATCH($B1296&amp;"|"&amp;$C1296,'Base de sorteio'!$I$3:$I$1723,0)),"")</f>
        <v/>
      </c>
      <c r="F1296" s="4">
        <f>IFERROR(INDEX('Base de sorteio'!$C$3:$C$1723,MATCH($B1296&amp;"|"&amp;$C1296,'Base de sorteio'!$I$3:$I$1723,0)),"")</f>
        <v/>
      </c>
      <c r="G1296" s="4">
        <f>IFERROR(INDEX('Base de sorteio'!$D$3:$D$1723,MATCH($B1296&amp;"|"&amp;$C1296,'Base de sorteio'!$I$3:$I$1723,0)),"")</f>
        <v/>
      </c>
      <c r="H1296" s="4">
        <f>IFERROR(INDEX('Base de sorteio'!$E$3:$E$1723,MATCH($B1296&amp;"|"&amp;$C1296,'Base de sorteio'!$I$3:$I$1723,0)),"")</f>
        <v/>
      </c>
      <c r="I1296" s="4">
        <f>IF(E1296="","",HYPERLINK(IFERROR(INDEX('Base de sorteio'!$J$3:$J$1723,MATCH($B1296&amp;"|"&amp;$C1296,'Base de sorteio'!$I$3:$I$1723,0)),""),"abrir"))</f>
        <v/>
      </c>
      <c r="J1296" s="4" t="n"/>
      <c r="K1296" s="4" t="n"/>
      <c r="L1296" s="4" t="n"/>
      <c r="M1296" s="4" t="n"/>
      <c r="N1296" s="4">
        <f>IF(AND(K1296="",M1296=""),"",IF(OR(K1296="sim",M1296="sim"),"sim",IF(OR(K1296="inconclusivo",M1296="inconclusivo"),"inconclusivo","não")))</f>
        <v/>
      </c>
      <c r="O1296" s="5">
        <f>IF(N1296="sim",COUNTIFS($B$3:$B1296,$B1296,$N$3:$N1296,"sim"),"")</f>
        <v/>
      </c>
      <c r="P1296" s="5" t="n"/>
      <c r="Q1296" s="4" t="n"/>
      <c r="R1296" s="5" t="n"/>
      <c r="S1296" s="9" t="n"/>
      <c r="T1296" s="4" t="n"/>
    </row>
    <row r="1297">
      <c r="A1297" s="5">
        <f>ROW()-2</f>
        <v/>
      </c>
      <c r="B1297" s="4" t="inlineStr">
        <is>
          <t>Capital regional</t>
        </is>
      </c>
      <c r="C1297" s="5" t="n">
        <v>353</v>
      </c>
      <c r="D1297" s="5">
        <f>IFERROR(INDEX('Base de sorteio'!$A$3:$A$1723,MATCH($B1297&amp;"|"&amp;$C1297,'Base de sorteio'!$I$3:$I$1723,0)),"")</f>
        <v/>
      </c>
      <c r="E1297" s="4">
        <f>IFERROR(INDEX('Base de sorteio'!$B$3:$B$1723,MATCH($B1297&amp;"|"&amp;$C1297,'Base de sorteio'!$I$3:$I$1723,0)),"")</f>
        <v/>
      </c>
      <c r="F1297" s="4">
        <f>IFERROR(INDEX('Base de sorteio'!$C$3:$C$1723,MATCH($B1297&amp;"|"&amp;$C1297,'Base de sorteio'!$I$3:$I$1723,0)),"")</f>
        <v/>
      </c>
      <c r="G1297" s="4">
        <f>IFERROR(INDEX('Base de sorteio'!$D$3:$D$1723,MATCH($B1297&amp;"|"&amp;$C1297,'Base de sorteio'!$I$3:$I$1723,0)),"")</f>
        <v/>
      </c>
      <c r="H1297" s="4">
        <f>IFERROR(INDEX('Base de sorteio'!$E$3:$E$1723,MATCH($B1297&amp;"|"&amp;$C1297,'Base de sorteio'!$I$3:$I$1723,0)),"")</f>
        <v/>
      </c>
      <c r="I1297" s="4">
        <f>IF(E1297="","",HYPERLINK(IFERROR(INDEX('Base de sorteio'!$J$3:$J$1723,MATCH($B1297&amp;"|"&amp;$C1297,'Base de sorteio'!$I$3:$I$1723,0)),""),"abrir"))</f>
        <v/>
      </c>
      <c r="J1297" s="4" t="n"/>
      <c r="K1297" s="4" t="n"/>
      <c r="L1297" s="4" t="n"/>
      <c r="M1297" s="4" t="n"/>
      <c r="N1297" s="4">
        <f>IF(AND(K1297="",M1297=""),"",IF(OR(K1297="sim",M1297="sim"),"sim",IF(OR(K1297="inconclusivo",M1297="inconclusivo"),"inconclusivo","não")))</f>
        <v/>
      </c>
      <c r="O1297" s="5">
        <f>IF(N1297="sim",COUNTIFS($B$3:$B1297,$B1297,$N$3:$N1297,"sim"),"")</f>
        <v/>
      </c>
      <c r="P1297" s="5" t="n"/>
      <c r="Q1297" s="4" t="n"/>
      <c r="R1297" s="5" t="n"/>
      <c r="S1297" s="9" t="n"/>
      <c r="T1297" s="4" t="n"/>
    </row>
    <row r="1298">
      <c r="A1298" s="5">
        <f>ROW()-2</f>
        <v/>
      </c>
      <c r="B1298" s="4" t="inlineStr">
        <is>
          <t>Capital regional</t>
        </is>
      </c>
      <c r="C1298" s="5" t="n">
        <v>354</v>
      </c>
      <c r="D1298" s="5">
        <f>IFERROR(INDEX('Base de sorteio'!$A$3:$A$1723,MATCH($B1298&amp;"|"&amp;$C1298,'Base de sorteio'!$I$3:$I$1723,0)),"")</f>
        <v/>
      </c>
      <c r="E1298" s="4">
        <f>IFERROR(INDEX('Base de sorteio'!$B$3:$B$1723,MATCH($B1298&amp;"|"&amp;$C1298,'Base de sorteio'!$I$3:$I$1723,0)),"")</f>
        <v/>
      </c>
      <c r="F1298" s="4">
        <f>IFERROR(INDEX('Base de sorteio'!$C$3:$C$1723,MATCH($B1298&amp;"|"&amp;$C1298,'Base de sorteio'!$I$3:$I$1723,0)),"")</f>
        <v/>
      </c>
      <c r="G1298" s="4">
        <f>IFERROR(INDEX('Base de sorteio'!$D$3:$D$1723,MATCH($B1298&amp;"|"&amp;$C1298,'Base de sorteio'!$I$3:$I$1723,0)),"")</f>
        <v/>
      </c>
      <c r="H1298" s="4">
        <f>IFERROR(INDEX('Base de sorteio'!$E$3:$E$1723,MATCH($B1298&amp;"|"&amp;$C1298,'Base de sorteio'!$I$3:$I$1723,0)),"")</f>
        <v/>
      </c>
      <c r="I1298" s="4">
        <f>IF(E1298="","",HYPERLINK(IFERROR(INDEX('Base de sorteio'!$J$3:$J$1723,MATCH($B1298&amp;"|"&amp;$C1298,'Base de sorteio'!$I$3:$I$1723,0)),""),"abrir"))</f>
        <v/>
      </c>
      <c r="J1298" s="4" t="n"/>
      <c r="K1298" s="4" t="n"/>
      <c r="L1298" s="4" t="n"/>
      <c r="M1298" s="4" t="n"/>
      <c r="N1298" s="4">
        <f>IF(AND(K1298="",M1298=""),"",IF(OR(K1298="sim",M1298="sim"),"sim",IF(OR(K1298="inconclusivo",M1298="inconclusivo"),"inconclusivo","não")))</f>
        <v/>
      </c>
      <c r="O1298" s="5">
        <f>IF(N1298="sim",COUNTIFS($B$3:$B1298,$B1298,$N$3:$N1298,"sim"),"")</f>
        <v/>
      </c>
      <c r="P1298" s="5" t="n"/>
      <c r="Q1298" s="4" t="n"/>
      <c r="R1298" s="5" t="n"/>
      <c r="S1298" s="9" t="n"/>
      <c r="T1298" s="4" t="n"/>
    </row>
    <row r="1299">
      <c r="A1299" s="5">
        <f>ROW()-2</f>
        <v/>
      </c>
      <c r="B1299" s="4" t="inlineStr">
        <is>
          <t>Capital regional</t>
        </is>
      </c>
      <c r="C1299" s="5" t="n">
        <v>355</v>
      </c>
      <c r="D1299" s="5">
        <f>IFERROR(INDEX('Base de sorteio'!$A$3:$A$1723,MATCH($B1299&amp;"|"&amp;$C1299,'Base de sorteio'!$I$3:$I$1723,0)),"")</f>
        <v/>
      </c>
      <c r="E1299" s="4">
        <f>IFERROR(INDEX('Base de sorteio'!$B$3:$B$1723,MATCH($B1299&amp;"|"&amp;$C1299,'Base de sorteio'!$I$3:$I$1723,0)),"")</f>
        <v/>
      </c>
      <c r="F1299" s="4">
        <f>IFERROR(INDEX('Base de sorteio'!$C$3:$C$1723,MATCH($B1299&amp;"|"&amp;$C1299,'Base de sorteio'!$I$3:$I$1723,0)),"")</f>
        <v/>
      </c>
      <c r="G1299" s="4">
        <f>IFERROR(INDEX('Base de sorteio'!$D$3:$D$1723,MATCH($B1299&amp;"|"&amp;$C1299,'Base de sorteio'!$I$3:$I$1723,0)),"")</f>
        <v/>
      </c>
      <c r="H1299" s="4">
        <f>IFERROR(INDEX('Base de sorteio'!$E$3:$E$1723,MATCH($B1299&amp;"|"&amp;$C1299,'Base de sorteio'!$I$3:$I$1723,0)),"")</f>
        <v/>
      </c>
      <c r="I1299" s="4">
        <f>IF(E1299="","",HYPERLINK(IFERROR(INDEX('Base de sorteio'!$J$3:$J$1723,MATCH($B1299&amp;"|"&amp;$C1299,'Base de sorteio'!$I$3:$I$1723,0)),""),"abrir"))</f>
        <v/>
      </c>
      <c r="J1299" s="4" t="n"/>
      <c r="K1299" s="4" t="n"/>
      <c r="L1299" s="4" t="n"/>
      <c r="M1299" s="4" t="n"/>
      <c r="N1299" s="4">
        <f>IF(AND(K1299="",M1299=""),"",IF(OR(K1299="sim",M1299="sim"),"sim",IF(OR(K1299="inconclusivo",M1299="inconclusivo"),"inconclusivo","não")))</f>
        <v/>
      </c>
      <c r="O1299" s="5">
        <f>IF(N1299="sim",COUNTIFS($B$3:$B1299,$B1299,$N$3:$N1299,"sim"),"")</f>
        <v/>
      </c>
      <c r="P1299" s="5" t="n"/>
      <c r="Q1299" s="4" t="n"/>
      <c r="R1299" s="5" t="n"/>
      <c r="S1299" s="9" t="n"/>
      <c r="T1299" s="4" t="n"/>
    </row>
    <row r="1300">
      <c r="A1300" s="5">
        <f>ROW()-2</f>
        <v/>
      </c>
      <c r="B1300" s="4" t="inlineStr">
        <is>
          <t>Capital regional</t>
        </is>
      </c>
      <c r="C1300" s="5" t="n">
        <v>356</v>
      </c>
      <c r="D1300" s="5">
        <f>IFERROR(INDEX('Base de sorteio'!$A$3:$A$1723,MATCH($B1300&amp;"|"&amp;$C1300,'Base de sorteio'!$I$3:$I$1723,0)),"")</f>
        <v/>
      </c>
      <c r="E1300" s="4">
        <f>IFERROR(INDEX('Base de sorteio'!$B$3:$B$1723,MATCH($B1300&amp;"|"&amp;$C1300,'Base de sorteio'!$I$3:$I$1723,0)),"")</f>
        <v/>
      </c>
      <c r="F1300" s="4">
        <f>IFERROR(INDEX('Base de sorteio'!$C$3:$C$1723,MATCH($B1300&amp;"|"&amp;$C1300,'Base de sorteio'!$I$3:$I$1723,0)),"")</f>
        <v/>
      </c>
      <c r="G1300" s="4">
        <f>IFERROR(INDEX('Base de sorteio'!$D$3:$D$1723,MATCH($B1300&amp;"|"&amp;$C1300,'Base de sorteio'!$I$3:$I$1723,0)),"")</f>
        <v/>
      </c>
      <c r="H1300" s="4">
        <f>IFERROR(INDEX('Base de sorteio'!$E$3:$E$1723,MATCH($B1300&amp;"|"&amp;$C1300,'Base de sorteio'!$I$3:$I$1723,0)),"")</f>
        <v/>
      </c>
      <c r="I1300" s="4">
        <f>IF(E1300="","",HYPERLINK(IFERROR(INDEX('Base de sorteio'!$J$3:$J$1723,MATCH($B1300&amp;"|"&amp;$C1300,'Base de sorteio'!$I$3:$I$1723,0)),""),"abrir"))</f>
        <v/>
      </c>
      <c r="J1300" s="4" t="n"/>
      <c r="K1300" s="4" t="n"/>
      <c r="L1300" s="4" t="n"/>
      <c r="M1300" s="4" t="n"/>
      <c r="N1300" s="4">
        <f>IF(AND(K1300="",M1300=""),"",IF(OR(K1300="sim",M1300="sim"),"sim",IF(OR(K1300="inconclusivo",M1300="inconclusivo"),"inconclusivo","não")))</f>
        <v/>
      </c>
      <c r="O1300" s="5">
        <f>IF(N1300="sim",COUNTIFS($B$3:$B1300,$B1300,$N$3:$N1300,"sim"),"")</f>
        <v/>
      </c>
      <c r="P1300" s="5" t="n"/>
      <c r="Q1300" s="4" t="n"/>
      <c r="R1300" s="5" t="n"/>
      <c r="S1300" s="9" t="n"/>
      <c r="T1300" s="4" t="n"/>
    </row>
    <row r="1301">
      <c r="A1301" s="5">
        <f>ROW()-2</f>
        <v/>
      </c>
      <c r="B1301" s="4" t="inlineStr">
        <is>
          <t>Capital regional</t>
        </is>
      </c>
      <c r="C1301" s="5" t="n">
        <v>357</v>
      </c>
      <c r="D1301" s="5">
        <f>IFERROR(INDEX('Base de sorteio'!$A$3:$A$1723,MATCH($B1301&amp;"|"&amp;$C1301,'Base de sorteio'!$I$3:$I$1723,0)),"")</f>
        <v/>
      </c>
      <c r="E1301" s="4">
        <f>IFERROR(INDEX('Base de sorteio'!$B$3:$B$1723,MATCH($B1301&amp;"|"&amp;$C1301,'Base de sorteio'!$I$3:$I$1723,0)),"")</f>
        <v/>
      </c>
      <c r="F1301" s="4">
        <f>IFERROR(INDEX('Base de sorteio'!$C$3:$C$1723,MATCH($B1301&amp;"|"&amp;$C1301,'Base de sorteio'!$I$3:$I$1723,0)),"")</f>
        <v/>
      </c>
      <c r="G1301" s="4">
        <f>IFERROR(INDEX('Base de sorteio'!$D$3:$D$1723,MATCH($B1301&amp;"|"&amp;$C1301,'Base de sorteio'!$I$3:$I$1723,0)),"")</f>
        <v/>
      </c>
      <c r="H1301" s="4">
        <f>IFERROR(INDEX('Base de sorteio'!$E$3:$E$1723,MATCH($B1301&amp;"|"&amp;$C1301,'Base de sorteio'!$I$3:$I$1723,0)),"")</f>
        <v/>
      </c>
      <c r="I1301" s="4">
        <f>IF(E1301="","",HYPERLINK(IFERROR(INDEX('Base de sorteio'!$J$3:$J$1723,MATCH($B1301&amp;"|"&amp;$C1301,'Base de sorteio'!$I$3:$I$1723,0)),""),"abrir"))</f>
        <v/>
      </c>
      <c r="J1301" s="4" t="n"/>
      <c r="K1301" s="4" t="n"/>
      <c r="L1301" s="4" t="n"/>
      <c r="M1301" s="4" t="n"/>
      <c r="N1301" s="4">
        <f>IF(AND(K1301="",M1301=""),"",IF(OR(K1301="sim",M1301="sim"),"sim",IF(OR(K1301="inconclusivo",M1301="inconclusivo"),"inconclusivo","não")))</f>
        <v/>
      </c>
      <c r="O1301" s="5">
        <f>IF(N1301="sim",COUNTIFS($B$3:$B1301,$B1301,$N$3:$N1301,"sim"),"")</f>
        <v/>
      </c>
      <c r="P1301" s="5" t="n"/>
      <c r="Q1301" s="4" t="n"/>
      <c r="R1301" s="5" t="n"/>
      <c r="S1301" s="9" t="n"/>
      <c r="T1301" s="4" t="n"/>
    </row>
    <row r="1302">
      <c r="A1302" s="5">
        <f>ROW()-2</f>
        <v/>
      </c>
      <c r="B1302" s="4" t="inlineStr">
        <is>
          <t>Capital regional</t>
        </is>
      </c>
      <c r="C1302" s="5" t="n">
        <v>358</v>
      </c>
      <c r="D1302" s="5">
        <f>IFERROR(INDEX('Base de sorteio'!$A$3:$A$1723,MATCH($B1302&amp;"|"&amp;$C1302,'Base de sorteio'!$I$3:$I$1723,0)),"")</f>
        <v/>
      </c>
      <c r="E1302" s="4">
        <f>IFERROR(INDEX('Base de sorteio'!$B$3:$B$1723,MATCH($B1302&amp;"|"&amp;$C1302,'Base de sorteio'!$I$3:$I$1723,0)),"")</f>
        <v/>
      </c>
      <c r="F1302" s="4">
        <f>IFERROR(INDEX('Base de sorteio'!$C$3:$C$1723,MATCH($B1302&amp;"|"&amp;$C1302,'Base de sorteio'!$I$3:$I$1723,0)),"")</f>
        <v/>
      </c>
      <c r="G1302" s="4">
        <f>IFERROR(INDEX('Base de sorteio'!$D$3:$D$1723,MATCH($B1302&amp;"|"&amp;$C1302,'Base de sorteio'!$I$3:$I$1723,0)),"")</f>
        <v/>
      </c>
      <c r="H1302" s="4">
        <f>IFERROR(INDEX('Base de sorteio'!$E$3:$E$1723,MATCH($B1302&amp;"|"&amp;$C1302,'Base de sorteio'!$I$3:$I$1723,0)),"")</f>
        <v/>
      </c>
      <c r="I1302" s="4">
        <f>IF(E1302="","",HYPERLINK(IFERROR(INDEX('Base de sorteio'!$J$3:$J$1723,MATCH($B1302&amp;"|"&amp;$C1302,'Base de sorteio'!$I$3:$I$1723,0)),""),"abrir"))</f>
        <v/>
      </c>
      <c r="J1302" s="4" t="n"/>
      <c r="K1302" s="4" t="n"/>
      <c r="L1302" s="4" t="n"/>
      <c r="M1302" s="4" t="n"/>
      <c r="N1302" s="4">
        <f>IF(AND(K1302="",M1302=""),"",IF(OR(K1302="sim",M1302="sim"),"sim",IF(OR(K1302="inconclusivo",M1302="inconclusivo"),"inconclusivo","não")))</f>
        <v/>
      </c>
      <c r="O1302" s="5">
        <f>IF(N1302="sim",COUNTIFS($B$3:$B1302,$B1302,$N$3:$N1302,"sim"),"")</f>
        <v/>
      </c>
      <c r="P1302" s="5" t="n"/>
      <c r="Q1302" s="4" t="n"/>
      <c r="R1302" s="5" t="n"/>
      <c r="S1302" s="9" t="n"/>
      <c r="T1302" s="4" t="n"/>
    </row>
    <row r="1303">
      <c r="A1303" s="5">
        <f>ROW()-2</f>
        <v/>
      </c>
      <c r="B1303" s="4" t="inlineStr">
        <is>
          <t>Capital regional</t>
        </is>
      </c>
      <c r="C1303" s="5" t="n">
        <v>359</v>
      </c>
      <c r="D1303" s="5">
        <f>IFERROR(INDEX('Base de sorteio'!$A$3:$A$1723,MATCH($B1303&amp;"|"&amp;$C1303,'Base de sorteio'!$I$3:$I$1723,0)),"")</f>
        <v/>
      </c>
      <c r="E1303" s="4">
        <f>IFERROR(INDEX('Base de sorteio'!$B$3:$B$1723,MATCH($B1303&amp;"|"&amp;$C1303,'Base de sorteio'!$I$3:$I$1723,0)),"")</f>
        <v/>
      </c>
      <c r="F1303" s="4">
        <f>IFERROR(INDEX('Base de sorteio'!$C$3:$C$1723,MATCH($B1303&amp;"|"&amp;$C1303,'Base de sorteio'!$I$3:$I$1723,0)),"")</f>
        <v/>
      </c>
      <c r="G1303" s="4">
        <f>IFERROR(INDEX('Base de sorteio'!$D$3:$D$1723,MATCH($B1303&amp;"|"&amp;$C1303,'Base de sorteio'!$I$3:$I$1723,0)),"")</f>
        <v/>
      </c>
      <c r="H1303" s="4">
        <f>IFERROR(INDEX('Base de sorteio'!$E$3:$E$1723,MATCH($B1303&amp;"|"&amp;$C1303,'Base de sorteio'!$I$3:$I$1723,0)),"")</f>
        <v/>
      </c>
      <c r="I1303" s="4">
        <f>IF(E1303="","",HYPERLINK(IFERROR(INDEX('Base de sorteio'!$J$3:$J$1723,MATCH($B1303&amp;"|"&amp;$C1303,'Base de sorteio'!$I$3:$I$1723,0)),""),"abrir"))</f>
        <v/>
      </c>
      <c r="J1303" s="4" t="n"/>
      <c r="K1303" s="4" t="n"/>
      <c r="L1303" s="4" t="n"/>
      <c r="M1303" s="4" t="n"/>
      <c r="N1303" s="4">
        <f>IF(AND(K1303="",M1303=""),"",IF(OR(K1303="sim",M1303="sim"),"sim",IF(OR(K1303="inconclusivo",M1303="inconclusivo"),"inconclusivo","não")))</f>
        <v/>
      </c>
      <c r="O1303" s="5">
        <f>IF(N1303="sim",COUNTIFS($B$3:$B1303,$B1303,$N$3:$N1303,"sim"),"")</f>
        <v/>
      </c>
      <c r="P1303" s="5" t="n"/>
      <c r="Q1303" s="4" t="n"/>
      <c r="R1303" s="5" t="n"/>
      <c r="S1303" s="9" t="n"/>
      <c r="T1303" s="4" t="n"/>
    </row>
    <row r="1304">
      <c r="A1304" s="5">
        <f>ROW()-2</f>
        <v/>
      </c>
      <c r="B1304" s="4" t="inlineStr">
        <is>
          <t>Capital regional</t>
        </is>
      </c>
      <c r="C1304" s="5" t="n">
        <v>360</v>
      </c>
      <c r="D1304" s="5">
        <f>IFERROR(INDEX('Base de sorteio'!$A$3:$A$1723,MATCH($B1304&amp;"|"&amp;$C1304,'Base de sorteio'!$I$3:$I$1723,0)),"")</f>
        <v/>
      </c>
      <c r="E1304" s="4">
        <f>IFERROR(INDEX('Base de sorteio'!$B$3:$B$1723,MATCH($B1304&amp;"|"&amp;$C1304,'Base de sorteio'!$I$3:$I$1723,0)),"")</f>
        <v/>
      </c>
      <c r="F1304" s="4">
        <f>IFERROR(INDEX('Base de sorteio'!$C$3:$C$1723,MATCH($B1304&amp;"|"&amp;$C1304,'Base de sorteio'!$I$3:$I$1723,0)),"")</f>
        <v/>
      </c>
      <c r="G1304" s="4">
        <f>IFERROR(INDEX('Base de sorteio'!$D$3:$D$1723,MATCH($B1304&amp;"|"&amp;$C1304,'Base de sorteio'!$I$3:$I$1723,0)),"")</f>
        <v/>
      </c>
      <c r="H1304" s="4">
        <f>IFERROR(INDEX('Base de sorteio'!$E$3:$E$1723,MATCH($B1304&amp;"|"&amp;$C1304,'Base de sorteio'!$I$3:$I$1723,0)),"")</f>
        <v/>
      </c>
      <c r="I1304" s="4">
        <f>IF(E1304="","",HYPERLINK(IFERROR(INDEX('Base de sorteio'!$J$3:$J$1723,MATCH($B1304&amp;"|"&amp;$C1304,'Base de sorteio'!$I$3:$I$1723,0)),""),"abrir"))</f>
        <v/>
      </c>
      <c r="J1304" s="4" t="n"/>
      <c r="K1304" s="4" t="n"/>
      <c r="L1304" s="4" t="n"/>
      <c r="M1304" s="4" t="n"/>
      <c r="N1304" s="4">
        <f>IF(AND(K1304="",M1304=""),"",IF(OR(K1304="sim",M1304="sim"),"sim",IF(OR(K1304="inconclusivo",M1304="inconclusivo"),"inconclusivo","não")))</f>
        <v/>
      </c>
      <c r="O1304" s="5">
        <f>IF(N1304="sim",COUNTIFS($B$3:$B1304,$B1304,$N$3:$N1304,"sim"),"")</f>
        <v/>
      </c>
      <c r="P1304" s="5" t="n"/>
      <c r="Q1304" s="4" t="n"/>
      <c r="R1304" s="5" t="n"/>
      <c r="S1304" s="9" t="n"/>
      <c r="T1304" s="4" t="n"/>
    </row>
    <row r="1305">
      <c r="A1305" s="5">
        <f>ROW()-2</f>
        <v/>
      </c>
      <c r="B1305" s="4" t="inlineStr">
        <is>
          <t>Capital regional</t>
        </is>
      </c>
      <c r="C1305" s="5" t="n">
        <v>361</v>
      </c>
      <c r="D1305" s="5">
        <f>IFERROR(INDEX('Base de sorteio'!$A$3:$A$1723,MATCH($B1305&amp;"|"&amp;$C1305,'Base de sorteio'!$I$3:$I$1723,0)),"")</f>
        <v/>
      </c>
      <c r="E1305" s="4">
        <f>IFERROR(INDEX('Base de sorteio'!$B$3:$B$1723,MATCH($B1305&amp;"|"&amp;$C1305,'Base de sorteio'!$I$3:$I$1723,0)),"")</f>
        <v/>
      </c>
      <c r="F1305" s="4">
        <f>IFERROR(INDEX('Base de sorteio'!$C$3:$C$1723,MATCH($B1305&amp;"|"&amp;$C1305,'Base de sorteio'!$I$3:$I$1723,0)),"")</f>
        <v/>
      </c>
      <c r="G1305" s="4">
        <f>IFERROR(INDEX('Base de sorteio'!$D$3:$D$1723,MATCH($B1305&amp;"|"&amp;$C1305,'Base de sorteio'!$I$3:$I$1723,0)),"")</f>
        <v/>
      </c>
      <c r="H1305" s="4">
        <f>IFERROR(INDEX('Base de sorteio'!$E$3:$E$1723,MATCH($B1305&amp;"|"&amp;$C1305,'Base de sorteio'!$I$3:$I$1723,0)),"")</f>
        <v/>
      </c>
      <c r="I1305" s="4">
        <f>IF(E1305="","",HYPERLINK(IFERROR(INDEX('Base de sorteio'!$J$3:$J$1723,MATCH($B1305&amp;"|"&amp;$C1305,'Base de sorteio'!$I$3:$I$1723,0)),""),"abrir"))</f>
        <v/>
      </c>
      <c r="J1305" s="4" t="n"/>
      <c r="K1305" s="4" t="n"/>
      <c r="L1305" s="4" t="n"/>
      <c r="M1305" s="4" t="n"/>
      <c r="N1305" s="4">
        <f>IF(AND(K1305="",M1305=""),"",IF(OR(K1305="sim",M1305="sim"),"sim",IF(OR(K1305="inconclusivo",M1305="inconclusivo"),"inconclusivo","não")))</f>
        <v/>
      </c>
      <c r="O1305" s="5">
        <f>IF(N1305="sim",COUNTIFS($B$3:$B1305,$B1305,$N$3:$N1305,"sim"),"")</f>
        <v/>
      </c>
      <c r="P1305" s="5" t="n"/>
      <c r="Q1305" s="4" t="n"/>
      <c r="R1305" s="5" t="n"/>
      <c r="S1305" s="9" t="n"/>
      <c r="T1305" s="4" t="n"/>
    </row>
    <row r="1306">
      <c r="A1306" s="5">
        <f>ROW()-2</f>
        <v/>
      </c>
      <c r="B1306" s="4" t="inlineStr">
        <is>
          <t>Capital regional</t>
        </is>
      </c>
      <c r="C1306" s="5" t="n">
        <v>362</v>
      </c>
      <c r="D1306" s="5">
        <f>IFERROR(INDEX('Base de sorteio'!$A$3:$A$1723,MATCH($B1306&amp;"|"&amp;$C1306,'Base de sorteio'!$I$3:$I$1723,0)),"")</f>
        <v/>
      </c>
      <c r="E1306" s="4">
        <f>IFERROR(INDEX('Base de sorteio'!$B$3:$B$1723,MATCH($B1306&amp;"|"&amp;$C1306,'Base de sorteio'!$I$3:$I$1723,0)),"")</f>
        <v/>
      </c>
      <c r="F1306" s="4">
        <f>IFERROR(INDEX('Base de sorteio'!$C$3:$C$1723,MATCH($B1306&amp;"|"&amp;$C1306,'Base de sorteio'!$I$3:$I$1723,0)),"")</f>
        <v/>
      </c>
      <c r="G1306" s="4">
        <f>IFERROR(INDEX('Base de sorteio'!$D$3:$D$1723,MATCH($B1306&amp;"|"&amp;$C1306,'Base de sorteio'!$I$3:$I$1723,0)),"")</f>
        <v/>
      </c>
      <c r="H1306" s="4">
        <f>IFERROR(INDEX('Base de sorteio'!$E$3:$E$1723,MATCH($B1306&amp;"|"&amp;$C1306,'Base de sorteio'!$I$3:$I$1723,0)),"")</f>
        <v/>
      </c>
      <c r="I1306" s="4">
        <f>IF(E1306="","",HYPERLINK(IFERROR(INDEX('Base de sorteio'!$J$3:$J$1723,MATCH($B1306&amp;"|"&amp;$C1306,'Base de sorteio'!$I$3:$I$1723,0)),""),"abrir"))</f>
        <v/>
      </c>
      <c r="J1306" s="4" t="n"/>
      <c r="K1306" s="4" t="n"/>
      <c r="L1306" s="4" t="n"/>
      <c r="M1306" s="4" t="n"/>
      <c r="N1306" s="4">
        <f>IF(AND(K1306="",M1306=""),"",IF(OR(K1306="sim",M1306="sim"),"sim",IF(OR(K1306="inconclusivo",M1306="inconclusivo"),"inconclusivo","não")))</f>
        <v/>
      </c>
      <c r="O1306" s="5">
        <f>IF(N1306="sim",COUNTIFS($B$3:$B1306,$B1306,$N$3:$N1306,"sim"),"")</f>
        <v/>
      </c>
      <c r="P1306" s="5" t="n"/>
      <c r="Q1306" s="4" t="n"/>
      <c r="R1306" s="5" t="n"/>
      <c r="S1306" s="9" t="n"/>
      <c r="T1306" s="4" t="n"/>
    </row>
    <row r="1307">
      <c r="A1307" s="5">
        <f>ROW()-2</f>
        <v/>
      </c>
      <c r="B1307" s="4" t="inlineStr">
        <is>
          <t>Capital regional</t>
        </is>
      </c>
      <c r="C1307" s="5" t="n">
        <v>363</v>
      </c>
      <c r="D1307" s="5">
        <f>IFERROR(INDEX('Base de sorteio'!$A$3:$A$1723,MATCH($B1307&amp;"|"&amp;$C1307,'Base de sorteio'!$I$3:$I$1723,0)),"")</f>
        <v/>
      </c>
      <c r="E1307" s="4">
        <f>IFERROR(INDEX('Base de sorteio'!$B$3:$B$1723,MATCH($B1307&amp;"|"&amp;$C1307,'Base de sorteio'!$I$3:$I$1723,0)),"")</f>
        <v/>
      </c>
      <c r="F1307" s="4">
        <f>IFERROR(INDEX('Base de sorteio'!$C$3:$C$1723,MATCH($B1307&amp;"|"&amp;$C1307,'Base de sorteio'!$I$3:$I$1723,0)),"")</f>
        <v/>
      </c>
      <c r="G1307" s="4">
        <f>IFERROR(INDEX('Base de sorteio'!$D$3:$D$1723,MATCH($B1307&amp;"|"&amp;$C1307,'Base de sorteio'!$I$3:$I$1723,0)),"")</f>
        <v/>
      </c>
      <c r="H1307" s="4">
        <f>IFERROR(INDEX('Base de sorteio'!$E$3:$E$1723,MATCH($B1307&amp;"|"&amp;$C1307,'Base de sorteio'!$I$3:$I$1723,0)),"")</f>
        <v/>
      </c>
      <c r="I1307" s="4">
        <f>IF(E1307="","",HYPERLINK(IFERROR(INDEX('Base de sorteio'!$J$3:$J$1723,MATCH($B1307&amp;"|"&amp;$C1307,'Base de sorteio'!$I$3:$I$1723,0)),""),"abrir"))</f>
        <v/>
      </c>
      <c r="J1307" s="4" t="n"/>
      <c r="K1307" s="4" t="n"/>
      <c r="L1307" s="4" t="n"/>
      <c r="M1307" s="4" t="n"/>
      <c r="N1307" s="4">
        <f>IF(AND(K1307="",M1307=""),"",IF(OR(K1307="sim",M1307="sim"),"sim",IF(OR(K1307="inconclusivo",M1307="inconclusivo"),"inconclusivo","não")))</f>
        <v/>
      </c>
      <c r="O1307" s="5">
        <f>IF(N1307="sim",COUNTIFS($B$3:$B1307,$B1307,$N$3:$N1307,"sim"),"")</f>
        <v/>
      </c>
      <c r="P1307" s="5" t="n"/>
      <c r="Q1307" s="4" t="n"/>
      <c r="R1307" s="5" t="n"/>
      <c r="S1307" s="9" t="n"/>
      <c r="T1307" s="4" t="n"/>
    </row>
    <row r="1308">
      <c r="A1308" s="5">
        <f>ROW()-2</f>
        <v/>
      </c>
      <c r="B1308" s="4" t="inlineStr">
        <is>
          <t>Capital regional</t>
        </is>
      </c>
      <c r="C1308" s="5" t="n">
        <v>364</v>
      </c>
      <c r="D1308" s="5">
        <f>IFERROR(INDEX('Base de sorteio'!$A$3:$A$1723,MATCH($B1308&amp;"|"&amp;$C1308,'Base de sorteio'!$I$3:$I$1723,0)),"")</f>
        <v/>
      </c>
      <c r="E1308" s="4">
        <f>IFERROR(INDEX('Base de sorteio'!$B$3:$B$1723,MATCH($B1308&amp;"|"&amp;$C1308,'Base de sorteio'!$I$3:$I$1723,0)),"")</f>
        <v/>
      </c>
      <c r="F1308" s="4">
        <f>IFERROR(INDEX('Base de sorteio'!$C$3:$C$1723,MATCH($B1308&amp;"|"&amp;$C1308,'Base de sorteio'!$I$3:$I$1723,0)),"")</f>
        <v/>
      </c>
      <c r="G1308" s="4">
        <f>IFERROR(INDEX('Base de sorteio'!$D$3:$D$1723,MATCH($B1308&amp;"|"&amp;$C1308,'Base de sorteio'!$I$3:$I$1723,0)),"")</f>
        <v/>
      </c>
      <c r="H1308" s="4">
        <f>IFERROR(INDEX('Base de sorteio'!$E$3:$E$1723,MATCH($B1308&amp;"|"&amp;$C1308,'Base de sorteio'!$I$3:$I$1723,0)),"")</f>
        <v/>
      </c>
      <c r="I1308" s="4">
        <f>IF(E1308="","",HYPERLINK(IFERROR(INDEX('Base de sorteio'!$J$3:$J$1723,MATCH($B1308&amp;"|"&amp;$C1308,'Base de sorteio'!$I$3:$I$1723,0)),""),"abrir"))</f>
        <v/>
      </c>
      <c r="J1308" s="4" t="n"/>
      <c r="K1308" s="4" t="n"/>
      <c r="L1308" s="4" t="n"/>
      <c r="M1308" s="4" t="n"/>
      <c r="N1308" s="4">
        <f>IF(AND(K1308="",M1308=""),"",IF(OR(K1308="sim",M1308="sim"),"sim",IF(OR(K1308="inconclusivo",M1308="inconclusivo"),"inconclusivo","não")))</f>
        <v/>
      </c>
      <c r="O1308" s="5">
        <f>IF(N1308="sim",COUNTIFS($B$3:$B1308,$B1308,$N$3:$N1308,"sim"),"")</f>
        <v/>
      </c>
      <c r="P1308" s="5" t="n"/>
      <c r="Q1308" s="4" t="n"/>
      <c r="R1308" s="5" t="n"/>
      <c r="S1308" s="9" t="n"/>
      <c r="T1308" s="4" t="n"/>
    </row>
    <row r="1309">
      <c r="A1309" s="5">
        <f>ROW()-2</f>
        <v/>
      </c>
      <c r="B1309" s="4" t="inlineStr">
        <is>
          <t>Capital regional</t>
        </is>
      </c>
      <c r="C1309" s="5" t="n">
        <v>365</v>
      </c>
      <c r="D1309" s="5">
        <f>IFERROR(INDEX('Base de sorteio'!$A$3:$A$1723,MATCH($B1309&amp;"|"&amp;$C1309,'Base de sorteio'!$I$3:$I$1723,0)),"")</f>
        <v/>
      </c>
      <c r="E1309" s="4">
        <f>IFERROR(INDEX('Base de sorteio'!$B$3:$B$1723,MATCH($B1309&amp;"|"&amp;$C1309,'Base de sorteio'!$I$3:$I$1723,0)),"")</f>
        <v/>
      </c>
      <c r="F1309" s="4">
        <f>IFERROR(INDEX('Base de sorteio'!$C$3:$C$1723,MATCH($B1309&amp;"|"&amp;$C1309,'Base de sorteio'!$I$3:$I$1723,0)),"")</f>
        <v/>
      </c>
      <c r="G1309" s="4">
        <f>IFERROR(INDEX('Base de sorteio'!$D$3:$D$1723,MATCH($B1309&amp;"|"&amp;$C1309,'Base de sorteio'!$I$3:$I$1723,0)),"")</f>
        <v/>
      </c>
      <c r="H1309" s="4">
        <f>IFERROR(INDEX('Base de sorteio'!$E$3:$E$1723,MATCH($B1309&amp;"|"&amp;$C1309,'Base de sorteio'!$I$3:$I$1723,0)),"")</f>
        <v/>
      </c>
      <c r="I1309" s="4">
        <f>IF(E1309="","",HYPERLINK(IFERROR(INDEX('Base de sorteio'!$J$3:$J$1723,MATCH($B1309&amp;"|"&amp;$C1309,'Base de sorteio'!$I$3:$I$1723,0)),""),"abrir"))</f>
        <v/>
      </c>
      <c r="J1309" s="4" t="n"/>
      <c r="K1309" s="4" t="n"/>
      <c r="L1309" s="4" t="n"/>
      <c r="M1309" s="4" t="n"/>
      <c r="N1309" s="4">
        <f>IF(AND(K1309="",M1309=""),"",IF(OR(K1309="sim",M1309="sim"),"sim",IF(OR(K1309="inconclusivo",M1309="inconclusivo"),"inconclusivo","não")))</f>
        <v/>
      </c>
      <c r="O1309" s="5">
        <f>IF(N1309="sim",COUNTIFS($B$3:$B1309,$B1309,$N$3:$N1309,"sim"),"")</f>
        <v/>
      </c>
      <c r="P1309" s="5" t="n"/>
      <c r="Q1309" s="4" t="n"/>
      <c r="R1309" s="5" t="n"/>
      <c r="S1309" s="9" t="n"/>
      <c r="T1309" s="4" t="n"/>
    </row>
    <row r="1310">
      <c r="A1310" s="5">
        <f>ROW()-2</f>
        <v/>
      </c>
      <c r="B1310" s="4" t="inlineStr">
        <is>
          <t>Capital regional</t>
        </is>
      </c>
      <c r="C1310" s="5" t="n">
        <v>366</v>
      </c>
      <c r="D1310" s="5">
        <f>IFERROR(INDEX('Base de sorteio'!$A$3:$A$1723,MATCH($B1310&amp;"|"&amp;$C1310,'Base de sorteio'!$I$3:$I$1723,0)),"")</f>
        <v/>
      </c>
      <c r="E1310" s="4">
        <f>IFERROR(INDEX('Base de sorteio'!$B$3:$B$1723,MATCH($B1310&amp;"|"&amp;$C1310,'Base de sorteio'!$I$3:$I$1723,0)),"")</f>
        <v/>
      </c>
      <c r="F1310" s="4">
        <f>IFERROR(INDEX('Base de sorteio'!$C$3:$C$1723,MATCH($B1310&amp;"|"&amp;$C1310,'Base de sorteio'!$I$3:$I$1723,0)),"")</f>
        <v/>
      </c>
      <c r="G1310" s="4">
        <f>IFERROR(INDEX('Base de sorteio'!$D$3:$D$1723,MATCH($B1310&amp;"|"&amp;$C1310,'Base de sorteio'!$I$3:$I$1723,0)),"")</f>
        <v/>
      </c>
      <c r="H1310" s="4">
        <f>IFERROR(INDEX('Base de sorteio'!$E$3:$E$1723,MATCH($B1310&amp;"|"&amp;$C1310,'Base de sorteio'!$I$3:$I$1723,0)),"")</f>
        <v/>
      </c>
      <c r="I1310" s="4">
        <f>IF(E1310="","",HYPERLINK(IFERROR(INDEX('Base de sorteio'!$J$3:$J$1723,MATCH($B1310&amp;"|"&amp;$C1310,'Base de sorteio'!$I$3:$I$1723,0)),""),"abrir"))</f>
        <v/>
      </c>
      <c r="J1310" s="4" t="n"/>
      <c r="K1310" s="4" t="n"/>
      <c r="L1310" s="4" t="n"/>
      <c r="M1310" s="4" t="n"/>
      <c r="N1310" s="4">
        <f>IF(AND(K1310="",M1310=""),"",IF(OR(K1310="sim",M1310="sim"),"sim",IF(OR(K1310="inconclusivo",M1310="inconclusivo"),"inconclusivo","não")))</f>
        <v/>
      </c>
      <c r="O1310" s="5">
        <f>IF(N1310="sim",COUNTIFS($B$3:$B1310,$B1310,$N$3:$N1310,"sim"),"")</f>
        <v/>
      </c>
      <c r="P1310" s="5" t="n"/>
      <c r="Q1310" s="4" t="n"/>
      <c r="R1310" s="5" t="n"/>
      <c r="S1310" s="9" t="n"/>
      <c r="T1310" s="4" t="n"/>
    </row>
    <row r="1311">
      <c r="A1311" s="5">
        <f>ROW()-2</f>
        <v/>
      </c>
      <c r="B1311" s="4" t="inlineStr">
        <is>
          <t>Capital regional</t>
        </is>
      </c>
      <c r="C1311" s="5" t="n">
        <v>367</v>
      </c>
      <c r="D1311" s="5">
        <f>IFERROR(INDEX('Base de sorteio'!$A$3:$A$1723,MATCH($B1311&amp;"|"&amp;$C1311,'Base de sorteio'!$I$3:$I$1723,0)),"")</f>
        <v/>
      </c>
      <c r="E1311" s="4">
        <f>IFERROR(INDEX('Base de sorteio'!$B$3:$B$1723,MATCH($B1311&amp;"|"&amp;$C1311,'Base de sorteio'!$I$3:$I$1723,0)),"")</f>
        <v/>
      </c>
      <c r="F1311" s="4">
        <f>IFERROR(INDEX('Base de sorteio'!$C$3:$C$1723,MATCH($B1311&amp;"|"&amp;$C1311,'Base de sorteio'!$I$3:$I$1723,0)),"")</f>
        <v/>
      </c>
      <c r="G1311" s="4">
        <f>IFERROR(INDEX('Base de sorteio'!$D$3:$D$1723,MATCH($B1311&amp;"|"&amp;$C1311,'Base de sorteio'!$I$3:$I$1723,0)),"")</f>
        <v/>
      </c>
      <c r="H1311" s="4">
        <f>IFERROR(INDEX('Base de sorteio'!$E$3:$E$1723,MATCH($B1311&amp;"|"&amp;$C1311,'Base de sorteio'!$I$3:$I$1723,0)),"")</f>
        <v/>
      </c>
      <c r="I1311" s="4">
        <f>IF(E1311="","",HYPERLINK(IFERROR(INDEX('Base de sorteio'!$J$3:$J$1723,MATCH($B1311&amp;"|"&amp;$C1311,'Base de sorteio'!$I$3:$I$1723,0)),""),"abrir"))</f>
        <v/>
      </c>
      <c r="J1311" s="4" t="n"/>
      <c r="K1311" s="4" t="n"/>
      <c r="L1311" s="4" t="n"/>
      <c r="M1311" s="4" t="n"/>
      <c r="N1311" s="4">
        <f>IF(AND(K1311="",M1311=""),"",IF(OR(K1311="sim",M1311="sim"),"sim",IF(OR(K1311="inconclusivo",M1311="inconclusivo"),"inconclusivo","não")))</f>
        <v/>
      </c>
      <c r="O1311" s="5">
        <f>IF(N1311="sim",COUNTIFS($B$3:$B1311,$B1311,$N$3:$N1311,"sim"),"")</f>
        <v/>
      </c>
      <c r="P1311" s="5" t="n"/>
      <c r="Q1311" s="4" t="n"/>
      <c r="R1311" s="5" t="n"/>
      <c r="S1311" s="9" t="n"/>
      <c r="T1311" s="4" t="n"/>
    </row>
    <row r="1312">
      <c r="A1312" s="5">
        <f>ROW()-2</f>
        <v/>
      </c>
      <c r="B1312" s="4" t="inlineStr">
        <is>
          <t>Capital regional</t>
        </is>
      </c>
      <c r="C1312" s="5" t="n">
        <v>368</v>
      </c>
      <c r="D1312" s="5">
        <f>IFERROR(INDEX('Base de sorteio'!$A$3:$A$1723,MATCH($B1312&amp;"|"&amp;$C1312,'Base de sorteio'!$I$3:$I$1723,0)),"")</f>
        <v/>
      </c>
      <c r="E1312" s="4">
        <f>IFERROR(INDEX('Base de sorteio'!$B$3:$B$1723,MATCH($B1312&amp;"|"&amp;$C1312,'Base de sorteio'!$I$3:$I$1723,0)),"")</f>
        <v/>
      </c>
      <c r="F1312" s="4">
        <f>IFERROR(INDEX('Base de sorteio'!$C$3:$C$1723,MATCH($B1312&amp;"|"&amp;$C1312,'Base de sorteio'!$I$3:$I$1723,0)),"")</f>
        <v/>
      </c>
      <c r="G1312" s="4">
        <f>IFERROR(INDEX('Base de sorteio'!$D$3:$D$1723,MATCH($B1312&amp;"|"&amp;$C1312,'Base de sorteio'!$I$3:$I$1723,0)),"")</f>
        <v/>
      </c>
      <c r="H1312" s="4">
        <f>IFERROR(INDEX('Base de sorteio'!$E$3:$E$1723,MATCH($B1312&amp;"|"&amp;$C1312,'Base de sorteio'!$I$3:$I$1723,0)),"")</f>
        <v/>
      </c>
      <c r="I1312" s="4">
        <f>IF(E1312="","",HYPERLINK(IFERROR(INDEX('Base de sorteio'!$J$3:$J$1723,MATCH($B1312&amp;"|"&amp;$C1312,'Base de sorteio'!$I$3:$I$1723,0)),""),"abrir"))</f>
        <v/>
      </c>
      <c r="J1312" s="4" t="n"/>
      <c r="K1312" s="4" t="n"/>
      <c r="L1312" s="4" t="n"/>
      <c r="M1312" s="4" t="n"/>
      <c r="N1312" s="4">
        <f>IF(AND(K1312="",M1312=""),"",IF(OR(K1312="sim",M1312="sim"),"sim",IF(OR(K1312="inconclusivo",M1312="inconclusivo"),"inconclusivo","não")))</f>
        <v/>
      </c>
      <c r="O1312" s="5">
        <f>IF(N1312="sim",COUNTIFS($B$3:$B1312,$B1312,$N$3:$N1312,"sim"),"")</f>
        <v/>
      </c>
      <c r="P1312" s="5" t="n"/>
      <c r="Q1312" s="4" t="n"/>
      <c r="R1312" s="5" t="n"/>
      <c r="S1312" s="9" t="n"/>
      <c r="T1312" s="4" t="n"/>
    </row>
    <row r="1313">
      <c r="A1313" s="5">
        <f>ROW()-2</f>
        <v/>
      </c>
      <c r="B1313" s="4" t="inlineStr">
        <is>
          <t>Capital regional</t>
        </is>
      </c>
      <c r="C1313" s="5" t="n">
        <v>369</v>
      </c>
      <c r="D1313" s="5">
        <f>IFERROR(INDEX('Base de sorteio'!$A$3:$A$1723,MATCH($B1313&amp;"|"&amp;$C1313,'Base de sorteio'!$I$3:$I$1723,0)),"")</f>
        <v/>
      </c>
      <c r="E1313" s="4">
        <f>IFERROR(INDEX('Base de sorteio'!$B$3:$B$1723,MATCH($B1313&amp;"|"&amp;$C1313,'Base de sorteio'!$I$3:$I$1723,0)),"")</f>
        <v/>
      </c>
      <c r="F1313" s="4">
        <f>IFERROR(INDEX('Base de sorteio'!$C$3:$C$1723,MATCH($B1313&amp;"|"&amp;$C1313,'Base de sorteio'!$I$3:$I$1723,0)),"")</f>
        <v/>
      </c>
      <c r="G1313" s="4">
        <f>IFERROR(INDEX('Base de sorteio'!$D$3:$D$1723,MATCH($B1313&amp;"|"&amp;$C1313,'Base de sorteio'!$I$3:$I$1723,0)),"")</f>
        <v/>
      </c>
      <c r="H1313" s="4">
        <f>IFERROR(INDEX('Base de sorteio'!$E$3:$E$1723,MATCH($B1313&amp;"|"&amp;$C1313,'Base de sorteio'!$I$3:$I$1723,0)),"")</f>
        <v/>
      </c>
      <c r="I1313" s="4">
        <f>IF(E1313="","",HYPERLINK(IFERROR(INDEX('Base de sorteio'!$J$3:$J$1723,MATCH($B1313&amp;"|"&amp;$C1313,'Base de sorteio'!$I$3:$I$1723,0)),""),"abrir"))</f>
        <v/>
      </c>
      <c r="J1313" s="4" t="n"/>
      <c r="K1313" s="4" t="n"/>
      <c r="L1313" s="4" t="n"/>
      <c r="M1313" s="4" t="n"/>
      <c r="N1313" s="4">
        <f>IF(AND(K1313="",M1313=""),"",IF(OR(K1313="sim",M1313="sim"),"sim",IF(OR(K1313="inconclusivo",M1313="inconclusivo"),"inconclusivo","não")))</f>
        <v/>
      </c>
      <c r="O1313" s="5">
        <f>IF(N1313="sim",COUNTIFS($B$3:$B1313,$B1313,$N$3:$N1313,"sim"),"")</f>
        <v/>
      </c>
      <c r="P1313" s="5" t="n"/>
      <c r="Q1313" s="4" t="n"/>
      <c r="R1313" s="5" t="n"/>
      <c r="S1313" s="9" t="n"/>
      <c r="T1313" s="4" t="n"/>
    </row>
    <row r="1314">
      <c r="A1314" s="5">
        <f>ROW()-2</f>
        <v/>
      </c>
      <c r="B1314" s="4" t="inlineStr">
        <is>
          <t>Capital regional</t>
        </is>
      </c>
      <c r="C1314" s="5" t="n">
        <v>370</v>
      </c>
      <c r="D1314" s="5">
        <f>IFERROR(INDEX('Base de sorteio'!$A$3:$A$1723,MATCH($B1314&amp;"|"&amp;$C1314,'Base de sorteio'!$I$3:$I$1723,0)),"")</f>
        <v/>
      </c>
      <c r="E1314" s="4">
        <f>IFERROR(INDEX('Base de sorteio'!$B$3:$B$1723,MATCH($B1314&amp;"|"&amp;$C1314,'Base de sorteio'!$I$3:$I$1723,0)),"")</f>
        <v/>
      </c>
      <c r="F1314" s="4">
        <f>IFERROR(INDEX('Base de sorteio'!$C$3:$C$1723,MATCH($B1314&amp;"|"&amp;$C1314,'Base de sorteio'!$I$3:$I$1723,0)),"")</f>
        <v/>
      </c>
      <c r="G1314" s="4">
        <f>IFERROR(INDEX('Base de sorteio'!$D$3:$D$1723,MATCH($B1314&amp;"|"&amp;$C1314,'Base de sorteio'!$I$3:$I$1723,0)),"")</f>
        <v/>
      </c>
      <c r="H1314" s="4">
        <f>IFERROR(INDEX('Base de sorteio'!$E$3:$E$1723,MATCH($B1314&amp;"|"&amp;$C1314,'Base de sorteio'!$I$3:$I$1723,0)),"")</f>
        <v/>
      </c>
      <c r="I1314" s="4">
        <f>IF(E1314="","",HYPERLINK(IFERROR(INDEX('Base de sorteio'!$J$3:$J$1723,MATCH($B1314&amp;"|"&amp;$C1314,'Base de sorteio'!$I$3:$I$1723,0)),""),"abrir"))</f>
        <v/>
      </c>
      <c r="J1314" s="4" t="n"/>
      <c r="K1314" s="4" t="n"/>
      <c r="L1314" s="4" t="n"/>
      <c r="M1314" s="4" t="n"/>
      <c r="N1314" s="4">
        <f>IF(AND(K1314="",M1314=""),"",IF(OR(K1314="sim",M1314="sim"),"sim",IF(OR(K1314="inconclusivo",M1314="inconclusivo"),"inconclusivo","não")))</f>
        <v/>
      </c>
      <c r="O1314" s="5">
        <f>IF(N1314="sim",COUNTIFS($B$3:$B1314,$B1314,$N$3:$N1314,"sim"),"")</f>
        <v/>
      </c>
      <c r="P1314" s="5" t="n"/>
      <c r="Q1314" s="4" t="n"/>
      <c r="R1314" s="5" t="n"/>
      <c r="S1314" s="9" t="n"/>
      <c r="T1314" s="4" t="n"/>
    </row>
    <row r="1315">
      <c r="A1315" s="5">
        <f>ROW()-2</f>
        <v/>
      </c>
      <c r="B1315" s="4" t="inlineStr">
        <is>
          <t>Capital regional</t>
        </is>
      </c>
      <c r="C1315" s="5" t="n">
        <v>371</v>
      </c>
      <c r="D1315" s="5">
        <f>IFERROR(INDEX('Base de sorteio'!$A$3:$A$1723,MATCH($B1315&amp;"|"&amp;$C1315,'Base de sorteio'!$I$3:$I$1723,0)),"")</f>
        <v/>
      </c>
      <c r="E1315" s="4">
        <f>IFERROR(INDEX('Base de sorteio'!$B$3:$B$1723,MATCH($B1315&amp;"|"&amp;$C1315,'Base de sorteio'!$I$3:$I$1723,0)),"")</f>
        <v/>
      </c>
      <c r="F1315" s="4">
        <f>IFERROR(INDEX('Base de sorteio'!$C$3:$C$1723,MATCH($B1315&amp;"|"&amp;$C1315,'Base de sorteio'!$I$3:$I$1723,0)),"")</f>
        <v/>
      </c>
      <c r="G1315" s="4">
        <f>IFERROR(INDEX('Base de sorteio'!$D$3:$D$1723,MATCH($B1315&amp;"|"&amp;$C1315,'Base de sorteio'!$I$3:$I$1723,0)),"")</f>
        <v/>
      </c>
      <c r="H1315" s="4">
        <f>IFERROR(INDEX('Base de sorteio'!$E$3:$E$1723,MATCH($B1315&amp;"|"&amp;$C1315,'Base de sorteio'!$I$3:$I$1723,0)),"")</f>
        <v/>
      </c>
      <c r="I1315" s="4">
        <f>IF(E1315="","",HYPERLINK(IFERROR(INDEX('Base de sorteio'!$J$3:$J$1723,MATCH($B1315&amp;"|"&amp;$C1315,'Base de sorteio'!$I$3:$I$1723,0)),""),"abrir"))</f>
        <v/>
      </c>
      <c r="J1315" s="4" t="n"/>
      <c r="K1315" s="4" t="n"/>
      <c r="L1315" s="4" t="n"/>
      <c r="M1315" s="4" t="n"/>
      <c r="N1315" s="4">
        <f>IF(AND(K1315="",M1315=""),"",IF(OR(K1315="sim",M1315="sim"),"sim",IF(OR(K1315="inconclusivo",M1315="inconclusivo"),"inconclusivo","não")))</f>
        <v/>
      </c>
      <c r="O1315" s="5">
        <f>IF(N1315="sim",COUNTIFS($B$3:$B1315,$B1315,$N$3:$N1315,"sim"),"")</f>
        <v/>
      </c>
      <c r="P1315" s="5" t="n"/>
      <c r="Q1315" s="4" t="n"/>
      <c r="R1315" s="5" t="n"/>
      <c r="S1315" s="9" t="n"/>
      <c r="T1315" s="4" t="n"/>
    </row>
    <row r="1316">
      <c r="A1316" s="5">
        <f>ROW()-2</f>
        <v/>
      </c>
      <c r="B1316" s="4" t="inlineStr">
        <is>
          <t>Capital regional</t>
        </is>
      </c>
      <c r="C1316" s="5" t="n">
        <v>372</v>
      </c>
      <c r="D1316" s="5">
        <f>IFERROR(INDEX('Base de sorteio'!$A$3:$A$1723,MATCH($B1316&amp;"|"&amp;$C1316,'Base de sorteio'!$I$3:$I$1723,0)),"")</f>
        <v/>
      </c>
      <c r="E1316" s="4">
        <f>IFERROR(INDEX('Base de sorteio'!$B$3:$B$1723,MATCH($B1316&amp;"|"&amp;$C1316,'Base de sorteio'!$I$3:$I$1723,0)),"")</f>
        <v/>
      </c>
      <c r="F1316" s="4">
        <f>IFERROR(INDEX('Base de sorteio'!$C$3:$C$1723,MATCH($B1316&amp;"|"&amp;$C1316,'Base de sorteio'!$I$3:$I$1723,0)),"")</f>
        <v/>
      </c>
      <c r="G1316" s="4">
        <f>IFERROR(INDEX('Base de sorteio'!$D$3:$D$1723,MATCH($B1316&amp;"|"&amp;$C1316,'Base de sorteio'!$I$3:$I$1723,0)),"")</f>
        <v/>
      </c>
      <c r="H1316" s="4">
        <f>IFERROR(INDEX('Base de sorteio'!$E$3:$E$1723,MATCH($B1316&amp;"|"&amp;$C1316,'Base de sorteio'!$I$3:$I$1723,0)),"")</f>
        <v/>
      </c>
      <c r="I1316" s="4">
        <f>IF(E1316="","",HYPERLINK(IFERROR(INDEX('Base de sorteio'!$J$3:$J$1723,MATCH($B1316&amp;"|"&amp;$C1316,'Base de sorteio'!$I$3:$I$1723,0)),""),"abrir"))</f>
        <v/>
      </c>
      <c r="J1316" s="4" t="n"/>
      <c r="K1316" s="4" t="n"/>
      <c r="L1316" s="4" t="n"/>
      <c r="M1316" s="4" t="n"/>
      <c r="N1316" s="4">
        <f>IF(AND(K1316="",M1316=""),"",IF(OR(K1316="sim",M1316="sim"),"sim",IF(OR(K1316="inconclusivo",M1316="inconclusivo"),"inconclusivo","não")))</f>
        <v/>
      </c>
      <c r="O1316" s="5">
        <f>IF(N1316="sim",COUNTIFS($B$3:$B1316,$B1316,$N$3:$N1316,"sim"),"")</f>
        <v/>
      </c>
      <c r="P1316" s="5" t="n"/>
      <c r="Q1316" s="4" t="n"/>
      <c r="R1316" s="5" t="n"/>
      <c r="S1316" s="9" t="n"/>
      <c r="T1316" s="4" t="n"/>
    </row>
    <row r="1317">
      <c r="A1317" s="5">
        <f>ROW()-2</f>
        <v/>
      </c>
      <c r="B1317" s="4" t="inlineStr">
        <is>
          <t>Capital regional</t>
        </is>
      </c>
      <c r="C1317" s="5" t="n">
        <v>373</v>
      </c>
      <c r="D1317" s="5">
        <f>IFERROR(INDEX('Base de sorteio'!$A$3:$A$1723,MATCH($B1317&amp;"|"&amp;$C1317,'Base de sorteio'!$I$3:$I$1723,0)),"")</f>
        <v/>
      </c>
      <c r="E1317" s="4">
        <f>IFERROR(INDEX('Base de sorteio'!$B$3:$B$1723,MATCH($B1317&amp;"|"&amp;$C1317,'Base de sorteio'!$I$3:$I$1723,0)),"")</f>
        <v/>
      </c>
      <c r="F1317" s="4">
        <f>IFERROR(INDEX('Base de sorteio'!$C$3:$C$1723,MATCH($B1317&amp;"|"&amp;$C1317,'Base de sorteio'!$I$3:$I$1723,0)),"")</f>
        <v/>
      </c>
      <c r="G1317" s="4">
        <f>IFERROR(INDEX('Base de sorteio'!$D$3:$D$1723,MATCH($B1317&amp;"|"&amp;$C1317,'Base de sorteio'!$I$3:$I$1723,0)),"")</f>
        <v/>
      </c>
      <c r="H1317" s="4">
        <f>IFERROR(INDEX('Base de sorteio'!$E$3:$E$1723,MATCH($B1317&amp;"|"&amp;$C1317,'Base de sorteio'!$I$3:$I$1723,0)),"")</f>
        <v/>
      </c>
      <c r="I1317" s="4">
        <f>IF(E1317="","",HYPERLINK(IFERROR(INDEX('Base de sorteio'!$J$3:$J$1723,MATCH($B1317&amp;"|"&amp;$C1317,'Base de sorteio'!$I$3:$I$1723,0)),""),"abrir"))</f>
        <v/>
      </c>
      <c r="J1317" s="4" t="n"/>
      <c r="K1317" s="4" t="n"/>
      <c r="L1317" s="4" t="n"/>
      <c r="M1317" s="4" t="n"/>
      <c r="N1317" s="4">
        <f>IF(AND(K1317="",M1317=""),"",IF(OR(K1317="sim",M1317="sim"),"sim",IF(OR(K1317="inconclusivo",M1317="inconclusivo"),"inconclusivo","não")))</f>
        <v/>
      </c>
      <c r="O1317" s="5">
        <f>IF(N1317="sim",COUNTIFS($B$3:$B1317,$B1317,$N$3:$N1317,"sim"),"")</f>
        <v/>
      </c>
      <c r="P1317" s="5" t="n"/>
      <c r="Q1317" s="4" t="n"/>
      <c r="R1317" s="5" t="n"/>
      <c r="S1317" s="9" t="n"/>
      <c r="T1317" s="4" t="n"/>
    </row>
    <row r="1318">
      <c r="A1318" s="5">
        <f>ROW()-2</f>
        <v/>
      </c>
      <c r="B1318" s="4" t="inlineStr">
        <is>
          <t>Capital regional</t>
        </is>
      </c>
      <c r="C1318" s="5" t="n">
        <v>374</v>
      </c>
      <c r="D1318" s="5">
        <f>IFERROR(INDEX('Base de sorteio'!$A$3:$A$1723,MATCH($B1318&amp;"|"&amp;$C1318,'Base de sorteio'!$I$3:$I$1723,0)),"")</f>
        <v/>
      </c>
      <c r="E1318" s="4">
        <f>IFERROR(INDEX('Base de sorteio'!$B$3:$B$1723,MATCH($B1318&amp;"|"&amp;$C1318,'Base de sorteio'!$I$3:$I$1723,0)),"")</f>
        <v/>
      </c>
      <c r="F1318" s="4">
        <f>IFERROR(INDEX('Base de sorteio'!$C$3:$C$1723,MATCH($B1318&amp;"|"&amp;$C1318,'Base de sorteio'!$I$3:$I$1723,0)),"")</f>
        <v/>
      </c>
      <c r="G1318" s="4">
        <f>IFERROR(INDEX('Base de sorteio'!$D$3:$D$1723,MATCH($B1318&amp;"|"&amp;$C1318,'Base de sorteio'!$I$3:$I$1723,0)),"")</f>
        <v/>
      </c>
      <c r="H1318" s="4">
        <f>IFERROR(INDEX('Base de sorteio'!$E$3:$E$1723,MATCH($B1318&amp;"|"&amp;$C1318,'Base de sorteio'!$I$3:$I$1723,0)),"")</f>
        <v/>
      </c>
      <c r="I1318" s="4">
        <f>IF(E1318="","",HYPERLINK(IFERROR(INDEX('Base de sorteio'!$J$3:$J$1723,MATCH($B1318&amp;"|"&amp;$C1318,'Base de sorteio'!$I$3:$I$1723,0)),""),"abrir"))</f>
        <v/>
      </c>
      <c r="J1318" s="4" t="n"/>
      <c r="K1318" s="4" t="n"/>
      <c r="L1318" s="4" t="n"/>
      <c r="M1318" s="4" t="n"/>
      <c r="N1318" s="4">
        <f>IF(AND(K1318="",M1318=""),"",IF(OR(K1318="sim",M1318="sim"),"sim",IF(OR(K1318="inconclusivo",M1318="inconclusivo"),"inconclusivo","não")))</f>
        <v/>
      </c>
      <c r="O1318" s="5">
        <f>IF(N1318="sim",COUNTIFS($B$3:$B1318,$B1318,$N$3:$N1318,"sim"),"")</f>
        <v/>
      </c>
      <c r="P1318" s="5" t="n"/>
      <c r="Q1318" s="4" t="n"/>
      <c r="R1318" s="5" t="n"/>
      <c r="S1318" s="9" t="n"/>
      <c r="T1318" s="4" t="n"/>
    </row>
    <row r="1319">
      <c r="A1319" s="5">
        <f>ROW()-2</f>
        <v/>
      </c>
      <c r="B1319" s="4" t="inlineStr">
        <is>
          <t>Capital regional</t>
        </is>
      </c>
      <c r="C1319" s="5" t="n">
        <v>375</v>
      </c>
      <c r="D1319" s="5">
        <f>IFERROR(INDEX('Base de sorteio'!$A$3:$A$1723,MATCH($B1319&amp;"|"&amp;$C1319,'Base de sorteio'!$I$3:$I$1723,0)),"")</f>
        <v/>
      </c>
      <c r="E1319" s="4">
        <f>IFERROR(INDEX('Base de sorteio'!$B$3:$B$1723,MATCH($B1319&amp;"|"&amp;$C1319,'Base de sorteio'!$I$3:$I$1723,0)),"")</f>
        <v/>
      </c>
      <c r="F1319" s="4">
        <f>IFERROR(INDEX('Base de sorteio'!$C$3:$C$1723,MATCH($B1319&amp;"|"&amp;$C1319,'Base de sorteio'!$I$3:$I$1723,0)),"")</f>
        <v/>
      </c>
      <c r="G1319" s="4">
        <f>IFERROR(INDEX('Base de sorteio'!$D$3:$D$1723,MATCH($B1319&amp;"|"&amp;$C1319,'Base de sorteio'!$I$3:$I$1723,0)),"")</f>
        <v/>
      </c>
      <c r="H1319" s="4">
        <f>IFERROR(INDEX('Base de sorteio'!$E$3:$E$1723,MATCH($B1319&amp;"|"&amp;$C1319,'Base de sorteio'!$I$3:$I$1723,0)),"")</f>
        <v/>
      </c>
      <c r="I1319" s="4">
        <f>IF(E1319="","",HYPERLINK(IFERROR(INDEX('Base de sorteio'!$J$3:$J$1723,MATCH($B1319&amp;"|"&amp;$C1319,'Base de sorteio'!$I$3:$I$1723,0)),""),"abrir"))</f>
        <v/>
      </c>
      <c r="J1319" s="4" t="n"/>
      <c r="K1319" s="4" t="n"/>
      <c r="L1319" s="4" t="n"/>
      <c r="M1319" s="4" t="n"/>
      <c r="N1319" s="4">
        <f>IF(AND(K1319="",M1319=""),"",IF(OR(K1319="sim",M1319="sim"),"sim",IF(OR(K1319="inconclusivo",M1319="inconclusivo"),"inconclusivo","não")))</f>
        <v/>
      </c>
      <c r="O1319" s="5">
        <f>IF(N1319="sim",COUNTIFS($B$3:$B1319,$B1319,$N$3:$N1319,"sim"),"")</f>
        <v/>
      </c>
      <c r="P1319" s="5" t="n"/>
      <c r="Q1319" s="4" t="n"/>
      <c r="R1319" s="5" t="n"/>
      <c r="S1319" s="9" t="n"/>
      <c r="T1319" s="4" t="n"/>
    </row>
    <row r="1320">
      <c r="A1320" s="5">
        <f>ROW()-2</f>
        <v/>
      </c>
      <c r="B1320" s="4" t="inlineStr">
        <is>
          <t>Capital regional</t>
        </is>
      </c>
      <c r="C1320" s="5" t="n">
        <v>376</v>
      </c>
      <c r="D1320" s="5">
        <f>IFERROR(INDEX('Base de sorteio'!$A$3:$A$1723,MATCH($B1320&amp;"|"&amp;$C1320,'Base de sorteio'!$I$3:$I$1723,0)),"")</f>
        <v/>
      </c>
      <c r="E1320" s="4">
        <f>IFERROR(INDEX('Base de sorteio'!$B$3:$B$1723,MATCH($B1320&amp;"|"&amp;$C1320,'Base de sorteio'!$I$3:$I$1723,0)),"")</f>
        <v/>
      </c>
      <c r="F1320" s="4">
        <f>IFERROR(INDEX('Base de sorteio'!$C$3:$C$1723,MATCH($B1320&amp;"|"&amp;$C1320,'Base de sorteio'!$I$3:$I$1723,0)),"")</f>
        <v/>
      </c>
      <c r="G1320" s="4">
        <f>IFERROR(INDEX('Base de sorteio'!$D$3:$D$1723,MATCH($B1320&amp;"|"&amp;$C1320,'Base de sorteio'!$I$3:$I$1723,0)),"")</f>
        <v/>
      </c>
      <c r="H1320" s="4">
        <f>IFERROR(INDEX('Base de sorteio'!$E$3:$E$1723,MATCH($B1320&amp;"|"&amp;$C1320,'Base de sorteio'!$I$3:$I$1723,0)),"")</f>
        <v/>
      </c>
      <c r="I1320" s="4">
        <f>IF(E1320="","",HYPERLINK(IFERROR(INDEX('Base de sorteio'!$J$3:$J$1723,MATCH($B1320&amp;"|"&amp;$C1320,'Base de sorteio'!$I$3:$I$1723,0)),""),"abrir"))</f>
        <v/>
      </c>
      <c r="J1320" s="4" t="n"/>
      <c r="K1320" s="4" t="n"/>
      <c r="L1320" s="4" t="n"/>
      <c r="M1320" s="4" t="n"/>
      <c r="N1320" s="4">
        <f>IF(AND(K1320="",M1320=""),"",IF(OR(K1320="sim",M1320="sim"),"sim",IF(OR(K1320="inconclusivo",M1320="inconclusivo"),"inconclusivo","não")))</f>
        <v/>
      </c>
      <c r="O1320" s="5">
        <f>IF(N1320="sim",COUNTIFS($B$3:$B1320,$B1320,$N$3:$N1320,"sim"),"")</f>
        <v/>
      </c>
      <c r="P1320" s="5" t="n"/>
      <c r="Q1320" s="4" t="n"/>
      <c r="R1320" s="5" t="n"/>
      <c r="S1320" s="9" t="n"/>
      <c r="T1320" s="4" t="n"/>
    </row>
    <row r="1321">
      <c r="A1321" s="5">
        <f>ROW()-2</f>
        <v/>
      </c>
      <c r="B1321" s="4" t="inlineStr">
        <is>
          <t>Capital regional</t>
        </is>
      </c>
      <c r="C1321" s="5" t="n">
        <v>377</v>
      </c>
      <c r="D1321" s="5">
        <f>IFERROR(INDEX('Base de sorteio'!$A$3:$A$1723,MATCH($B1321&amp;"|"&amp;$C1321,'Base de sorteio'!$I$3:$I$1723,0)),"")</f>
        <v/>
      </c>
      <c r="E1321" s="4">
        <f>IFERROR(INDEX('Base de sorteio'!$B$3:$B$1723,MATCH($B1321&amp;"|"&amp;$C1321,'Base de sorteio'!$I$3:$I$1723,0)),"")</f>
        <v/>
      </c>
      <c r="F1321" s="4">
        <f>IFERROR(INDEX('Base de sorteio'!$C$3:$C$1723,MATCH($B1321&amp;"|"&amp;$C1321,'Base de sorteio'!$I$3:$I$1723,0)),"")</f>
        <v/>
      </c>
      <c r="G1321" s="4">
        <f>IFERROR(INDEX('Base de sorteio'!$D$3:$D$1723,MATCH($B1321&amp;"|"&amp;$C1321,'Base de sorteio'!$I$3:$I$1723,0)),"")</f>
        <v/>
      </c>
      <c r="H1321" s="4">
        <f>IFERROR(INDEX('Base de sorteio'!$E$3:$E$1723,MATCH($B1321&amp;"|"&amp;$C1321,'Base de sorteio'!$I$3:$I$1723,0)),"")</f>
        <v/>
      </c>
      <c r="I1321" s="4">
        <f>IF(E1321="","",HYPERLINK(IFERROR(INDEX('Base de sorteio'!$J$3:$J$1723,MATCH($B1321&amp;"|"&amp;$C1321,'Base de sorteio'!$I$3:$I$1723,0)),""),"abrir"))</f>
        <v/>
      </c>
      <c r="J1321" s="4" t="n"/>
      <c r="K1321" s="4" t="n"/>
      <c r="L1321" s="4" t="n"/>
      <c r="M1321" s="4" t="n"/>
      <c r="N1321" s="4">
        <f>IF(AND(K1321="",M1321=""),"",IF(OR(K1321="sim",M1321="sim"),"sim",IF(OR(K1321="inconclusivo",M1321="inconclusivo"),"inconclusivo","não")))</f>
        <v/>
      </c>
      <c r="O1321" s="5">
        <f>IF(N1321="sim",COUNTIFS($B$3:$B1321,$B1321,$N$3:$N1321,"sim"),"")</f>
        <v/>
      </c>
      <c r="P1321" s="5" t="n"/>
      <c r="Q1321" s="4" t="n"/>
      <c r="R1321" s="5" t="n"/>
      <c r="S1321" s="9" t="n"/>
      <c r="T1321" s="4" t="n"/>
    </row>
    <row r="1322">
      <c r="A1322" s="5">
        <f>ROW()-2</f>
        <v/>
      </c>
      <c r="B1322" s="4" t="inlineStr">
        <is>
          <t>Capital regional</t>
        </is>
      </c>
      <c r="C1322" s="5" t="n">
        <v>378</v>
      </c>
      <c r="D1322" s="5">
        <f>IFERROR(INDEX('Base de sorteio'!$A$3:$A$1723,MATCH($B1322&amp;"|"&amp;$C1322,'Base de sorteio'!$I$3:$I$1723,0)),"")</f>
        <v/>
      </c>
      <c r="E1322" s="4">
        <f>IFERROR(INDEX('Base de sorteio'!$B$3:$B$1723,MATCH($B1322&amp;"|"&amp;$C1322,'Base de sorteio'!$I$3:$I$1723,0)),"")</f>
        <v/>
      </c>
      <c r="F1322" s="4">
        <f>IFERROR(INDEX('Base de sorteio'!$C$3:$C$1723,MATCH($B1322&amp;"|"&amp;$C1322,'Base de sorteio'!$I$3:$I$1723,0)),"")</f>
        <v/>
      </c>
      <c r="G1322" s="4">
        <f>IFERROR(INDEX('Base de sorteio'!$D$3:$D$1723,MATCH($B1322&amp;"|"&amp;$C1322,'Base de sorteio'!$I$3:$I$1723,0)),"")</f>
        <v/>
      </c>
      <c r="H1322" s="4">
        <f>IFERROR(INDEX('Base de sorteio'!$E$3:$E$1723,MATCH($B1322&amp;"|"&amp;$C1322,'Base de sorteio'!$I$3:$I$1723,0)),"")</f>
        <v/>
      </c>
      <c r="I1322" s="4">
        <f>IF(E1322="","",HYPERLINK(IFERROR(INDEX('Base de sorteio'!$J$3:$J$1723,MATCH($B1322&amp;"|"&amp;$C1322,'Base de sorteio'!$I$3:$I$1723,0)),""),"abrir"))</f>
        <v/>
      </c>
      <c r="J1322" s="4" t="n"/>
      <c r="K1322" s="4" t="n"/>
      <c r="L1322" s="4" t="n"/>
      <c r="M1322" s="4" t="n"/>
      <c r="N1322" s="4">
        <f>IF(AND(K1322="",M1322=""),"",IF(OR(K1322="sim",M1322="sim"),"sim",IF(OR(K1322="inconclusivo",M1322="inconclusivo"),"inconclusivo","não")))</f>
        <v/>
      </c>
      <c r="O1322" s="5">
        <f>IF(N1322="sim",COUNTIFS($B$3:$B1322,$B1322,$N$3:$N1322,"sim"),"")</f>
        <v/>
      </c>
      <c r="P1322" s="5" t="n"/>
      <c r="Q1322" s="4" t="n"/>
      <c r="R1322" s="5" t="n"/>
      <c r="S1322" s="9" t="n"/>
      <c r="T1322" s="4" t="n"/>
    </row>
    <row r="1323">
      <c r="A1323" s="5">
        <f>ROW()-2</f>
        <v/>
      </c>
      <c r="B1323" s="4" t="inlineStr">
        <is>
          <t>Capital regional</t>
        </is>
      </c>
      <c r="C1323" s="5" t="n">
        <v>379</v>
      </c>
      <c r="D1323" s="5">
        <f>IFERROR(INDEX('Base de sorteio'!$A$3:$A$1723,MATCH($B1323&amp;"|"&amp;$C1323,'Base de sorteio'!$I$3:$I$1723,0)),"")</f>
        <v/>
      </c>
      <c r="E1323" s="4">
        <f>IFERROR(INDEX('Base de sorteio'!$B$3:$B$1723,MATCH($B1323&amp;"|"&amp;$C1323,'Base de sorteio'!$I$3:$I$1723,0)),"")</f>
        <v/>
      </c>
      <c r="F1323" s="4">
        <f>IFERROR(INDEX('Base de sorteio'!$C$3:$C$1723,MATCH($B1323&amp;"|"&amp;$C1323,'Base de sorteio'!$I$3:$I$1723,0)),"")</f>
        <v/>
      </c>
      <c r="G1323" s="4">
        <f>IFERROR(INDEX('Base de sorteio'!$D$3:$D$1723,MATCH($B1323&amp;"|"&amp;$C1323,'Base de sorteio'!$I$3:$I$1723,0)),"")</f>
        <v/>
      </c>
      <c r="H1323" s="4">
        <f>IFERROR(INDEX('Base de sorteio'!$E$3:$E$1723,MATCH($B1323&amp;"|"&amp;$C1323,'Base de sorteio'!$I$3:$I$1723,0)),"")</f>
        <v/>
      </c>
      <c r="I1323" s="4">
        <f>IF(E1323="","",HYPERLINK(IFERROR(INDEX('Base de sorteio'!$J$3:$J$1723,MATCH($B1323&amp;"|"&amp;$C1323,'Base de sorteio'!$I$3:$I$1723,0)),""),"abrir"))</f>
        <v/>
      </c>
      <c r="J1323" s="4" t="n"/>
      <c r="K1323" s="4" t="n"/>
      <c r="L1323" s="4" t="n"/>
      <c r="M1323" s="4" t="n"/>
      <c r="N1323" s="4">
        <f>IF(AND(K1323="",M1323=""),"",IF(OR(K1323="sim",M1323="sim"),"sim",IF(OR(K1323="inconclusivo",M1323="inconclusivo"),"inconclusivo","não")))</f>
        <v/>
      </c>
      <c r="O1323" s="5">
        <f>IF(N1323="sim",COUNTIFS($B$3:$B1323,$B1323,$N$3:$N1323,"sim"),"")</f>
        <v/>
      </c>
      <c r="P1323" s="5" t="n"/>
      <c r="Q1323" s="4" t="n"/>
      <c r="R1323" s="5" t="n"/>
      <c r="S1323" s="9" t="n"/>
      <c r="T1323" s="4" t="n"/>
    </row>
    <row r="1324">
      <c r="A1324" s="5">
        <f>ROW()-2</f>
        <v/>
      </c>
      <c r="B1324" s="4" t="inlineStr">
        <is>
          <t>Capital regional</t>
        </is>
      </c>
      <c r="C1324" s="5" t="n">
        <v>380</v>
      </c>
      <c r="D1324" s="5">
        <f>IFERROR(INDEX('Base de sorteio'!$A$3:$A$1723,MATCH($B1324&amp;"|"&amp;$C1324,'Base de sorteio'!$I$3:$I$1723,0)),"")</f>
        <v/>
      </c>
      <c r="E1324" s="4">
        <f>IFERROR(INDEX('Base de sorteio'!$B$3:$B$1723,MATCH($B1324&amp;"|"&amp;$C1324,'Base de sorteio'!$I$3:$I$1723,0)),"")</f>
        <v/>
      </c>
      <c r="F1324" s="4">
        <f>IFERROR(INDEX('Base de sorteio'!$C$3:$C$1723,MATCH($B1324&amp;"|"&amp;$C1324,'Base de sorteio'!$I$3:$I$1723,0)),"")</f>
        <v/>
      </c>
      <c r="G1324" s="4">
        <f>IFERROR(INDEX('Base de sorteio'!$D$3:$D$1723,MATCH($B1324&amp;"|"&amp;$C1324,'Base de sorteio'!$I$3:$I$1723,0)),"")</f>
        <v/>
      </c>
      <c r="H1324" s="4">
        <f>IFERROR(INDEX('Base de sorteio'!$E$3:$E$1723,MATCH($B1324&amp;"|"&amp;$C1324,'Base de sorteio'!$I$3:$I$1723,0)),"")</f>
        <v/>
      </c>
      <c r="I1324" s="4">
        <f>IF(E1324="","",HYPERLINK(IFERROR(INDEX('Base de sorteio'!$J$3:$J$1723,MATCH($B1324&amp;"|"&amp;$C1324,'Base de sorteio'!$I$3:$I$1723,0)),""),"abrir"))</f>
        <v/>
      </c>
      <c r="J1324" s="4" t="n"/>
      <c r="K1324" s="4" t="n"/>
      <c r="L1324" s="4" t="n"/>
      <c r="M1324" s="4" t="n"/>
      <c r="N1324" s="4">
        <f>IF(AND(K1324="",M1324=""),"",IF(OR(K1324="sim",M1324="sim"),"sim",IF(OR(K1324="inconclusivo",M1324="inconclusivo"),"inconclusivo","não")))</f>
        <v/>
      </c>
      <c r="O1324" s="5">
        <f>IF(N1324="sim",COUNTIFS($B$3:$B1324,$B1324,$N$3:$N1324,"sim"),"")</f>
        <v/>
      </c>
      <c r="P1324" s="5" t="n"/>
      <c r="Q1324" s="4" t="n"/>
      <c r="R1324" s="5" t="n"/>
      <c r="S1324" s="9" t="n"/>
      <c r="T1324" s="4" t="n"/>
    </row>
    <row r="1325">
      <c r="A1325" s="5">
        <f>ROW()-2</f>
        <v/>
      </c>
      <c r="B1325" s="4" t="inlineStr">
        <is>
          <t>Capital regional</t>
        </is>
      </c>
      <c r="C1325" s="5" t="n">
        <v>381</v>
      </c>
      <c r="D1325" s="5">
        <f>IFERROR(INDEX('Base de sorteio'!$A$3:$A$1723,MATCH($B1325&amp;"|"&amp;$C1325,'Base de sorteio'!$I$3:$I$1723,0)),"")</f>
        <v/>
      </c>
      <c r="E1325" s="4">
        <f>IFERROR(INDEX('Base de sorteio'!$B$3:$B$1723,MATCH($B1325&amp;"|"&amp;$C1325,'Base de sorteio'!$I$3:$I$1723,0)),"")</f>
        <v/>
      </c>
      <c r="F1325" s="4">
        <f>IFERROR(INDEX('Base de sorteio'!$C$3:$C$1723,MATCH($B1325&amp;"|"&amp;$C1325,'Base de sorteio'!$I$3:$I$1723,0)),"")</f>
        <v/>
      </c>
      <c r="G1325" s="4">
        <f>IFERROR(INDEX('Base de sorteio'!$D$3:$D$1723,MATCH($B1325&amp;"|"&amp;$C1325,'Base de sorteio'!$I$3:$I$1723,0)),"")</f>
        <v/>
      </c>
      <c r="H1325" s="4">
        <f>IFERROR(INDEX('Base de sorteio'!$E$3:$E$1723,MATCH($B1325&amp;"|"&amp;$C1325,'Base de sorteio'!$I$3:$I$1723,0)),"")</f>
        <v/>
      </c>
      <c r="I1325" s="4">
        <f>IF(E1325="","",HYPERLINK(IFERROR(INDEX('Base de sorteio'!$J$3:$J$1723,MATCH($B1325&amp;"|"&amp;$C1325,'Base de sorteio'!$I$3:$I$1723,0)),""),"abrir"))</f>
        <v/>
      </c>
      <c r="J1325" s="4" t="n"/>
      <c r="K1325" s="4" t="n"/>
      <c r="L1325" s="4" t="n"/>
      <c r="M1325" s="4" t="n"/>
      <c r="N1325" s="4">
        <f>IF(AND(K1325="",M1325=""),"",IF(OR(K1325="sim",M1325="sim"),"sim",IF(OR(K1325="inconclusivo",M1325="inconclusivo"),"inconclusivo","não")))</f>
        <v/>
      </c>
      <c r="O1325" s="5">
        <f>IF(N1325="sim",COUNTIFS($B$3:$B1325,$B1325,$N$3:$N1325,"sim"),"")</f>
        <v/>
      </c>
      <c r="P1325" s="5" t="n"/>
      <c r="Q1325" s="4" t="n"/>
      <c r="R1325" s="5" t="n"/>
      <c r="S1325" s="9" t="n"/>
      <c r="T1325" s="4" t="n"/>
    </row>
    <row r="1326">
      <c r="A1326" s="5">
        <f>ROW()-2</f>
        <v/>
      </c>
      <c r="B1326" s="4" t="inlineStr">
        <is>
          <t>Capital regional</t>
        </is>
      </c>
      <c r="C1326" s="5" t="n">
        <v>382</v>
      </c>
      <c r="D1326" s="5">
        <f>IFERROR(INDEX('Base de sorteio'!$A$3:$A$1723,MATCH($B1326&amp;"|"&amp;$C1326,'Base de sorteio'!$I$3:$I$1723,0)),"")</f>
        <v/>
      </c>
      <c r="E1326" s="4">
        <f>IFERROR(INDEX('Base de sorteio'!$B$3:$B$1723,MATCH($B1326&amp;"|"&amp;$C1326,'Base de sorteio'!$I$3:$I$1723,0)),"")</f>
        <v/>
      </c>
      <c r="F1326" s="4">
        <f>IFERROR(INDEX('Base de sorteio'!$C$3:$C$1723,MATCH($B1326&amp;"|"&amp;$C1326,'Base de sorteio'!$I$3:$I$1723,0)),"")</f>
        <v/>
      </c>
      <c r="G1326" s="4">
        <f>IFERROR(INDEX('Base de sorteio'!$D$3:$D$1723,MATCH($B1326&amp;"|"&amp;$C1326,'Base de sorteio'!$I$3:$I$1723,0)),"")</f>
        <v/>
      </c>
      <c r="H1326" s="4">
        <f>IFERROR(INDEX('Base de sorteio'!$E$3:$E$1723,MATCH($B1326&amp;"|"&amp;$C1326,'Base de sorteio'!$I$3:$I$1723,0)),"")</f>
        <v/>
      </c>
      <c r="I1326" s="4">
        <f>IF(E1326="","",HYPERLINK(IFERROR(INDEX('Base de sorteio'!$J$3:$J$1723,MATCH($B1326&amp;"|"&amp;$C1326,'Base de sorteio'!$I$3:$I$1723,0)),""),"abrir"))</f>
        <v/>
      </c>
      <c r="J1326" s="4" t="n"/>
      <c r="K1326" s="4" t="n"/>
      <c r="L1326" s="4" t="n"/>
      <c r="M1326" s="4" t="n"/>
      <c r="N1326" s="4">
        <f>IF(AND(K1326="",M1326=""),"",IF(OR(K1326="sim",M1326="sim"),"sim",IF(OR(K1326="inconclusivo",M1326="inconclusivo"),"inconclusivo","não")))</f>
        <v/>
      </c>
      <c r="O1326" s="5">
        <f>IF(N1326="sim",COUNTIFS($B$3:$B1326,$B1326,$N$3:$N1326,"sim"),"")</f>
        <v/>
      </c>
      <c r="P1326" s="5" t="n"/>
      <c r="Q1326" s="4" t="n"/>
      <c r="R1326" s="5" t="n"/>
      <c r="S1326" s="9" t="n"/>
      <c r="T1326" s="4" t="n"/>
    </row>
    <row r="1327">
      <c r="A1327" s="5">
        <f>ROW()-2</f>
        <v/>
      </c>
      <c r="B1327" s="4" t="inlineStr">
        <is>
          <t>Capital regional</t>
        </is>
      </c>
      <c r="C1327" s="5" t="n">
        <v>383</v>
      </c>
      <c r="D1327" s="5">
        <f>IFERROR(INDEX('Base de sorteio'!$A$3:$A$1723,MATCH($B1327&amp;"|"&amp;$C1327,'Base de sorteio'!$I$3:$I$1723,0)),"")</f>
        <v/>
      </c>
      <c r="E1327" s="4">
        <f>IFERROR(INDEX('Base de sorteio'!$B$3:$B$1723,MATCH($B1327&amp;"|"&amp;$C1327,'Base de sorteio'!$I$3:$I$1723,0)),"")</f>
        <v/>
      </c>
      <c r="F1327" s="4">
        <f>IFERROR(INDEX('Base de sorteio'!$C$3:$C$1723,MATCH($B1327&amp;"|"&amp;$C1327,'Base de sorteio'!$I$3:$I$1723,0)),"")</f>
        <v/>
      </c>
      <c r="G1327" s="4">
        <f>IFERROR(INDEX('Base de sorteio'!$D$3:$D$1723,MATCH($B1327&amp;"|"&amp;$C1327,'Base de sorteio'!$I$3:$I$1723,0)),"")</f>
        <v/>
      </c>
      <c r="H1327" s="4">
        <f>IFERROR(INDEX('Base de sorteio'!$E$3:$E$1723,MATCH($B1327&amp;"|"&amp;$C1327,'Base de sorteio'!$I$3:$I$1723,0)),"")</f>
        <v/>
      </c>
      <c r="I1327" s="4">
        <f>IF(E1327="","",HYPERLINK(IFERROR(INDEX('Base de sorteio'!$J$3:$J$1723,MATCH($B1327&amp;"|"&amp;$C1327,'Base de sorteio'!$I$3:$I$1723,0)),""),"abrir"))</f>
        <v/>
      </c>
      <c r="J1327" s="4" t="n"/>
      <c r="K1327" s="4" t="n"/>
      <c r="L1327" s="4" t="n"/>
      <c r="M1327" s="4" t="n"/>
      <c r="N1327" s="4">
        <f>IF(AND(K1327="",M1327=""),"",IF(OR(K1327="sim",M1327="sim"),"sim",IF(OR(K1327="inconclusivo",M1327="inconclusivo"),"inconclusivo","não")))</f>
        <v/>
      </c>
      <c r="O1327" s="5">
        <f>IF(N1327="sim",COUNTIFS($B$3:$B1327,$B1327,$N$3:$N1327,"sim"),"")</f>
        <v/>
      </c>
      <c r="P1327" s="5" t="n"/>
      <c r="Q1327" s="4" t="n"/>
      <c r="R1327" s="5" t="n"/>
      <c r="S1327" s="9" t="n"/>
      <c r="T1327" s="4" t="n"/>
    </row>
    <row r="1328">
      <c r="A1328" s="5">
        <f>ROW()-2</f>
        <v/>
      </c>
      <c r="B1328" s="4" t="inlineStr">
        <is>
          <t>Capital regional</t>
        </is>
      </c>
      <c r="C1328" s="5" t="n">
        <v>384</v>
      </c>
      <c r="D1328" s="5">
        <f>IFERROR(INDEX('Base de sorteio'!$A$3:$A$1723,MATCH($B1328&amp;"|"&amp;$C1328,'Base de sorteio'!$I$3:$I$1723,0)),"")</f>
        <v/>
      </c>
      <c r="E1328" s="4">
        <f>IFERROR(INDEX('Base de sorteio'!$B$3:$B$1723,MATCH($B1328&amp;"|"&amp;$C1328,'Base de sorteio'!$I$3:$I$1723,0)),"")</f>
        <v/>
      </c>
      <c r="F1328" s="4">
        <f>IFERROR(INDEX('Base de sorteio'!$C$3:$C$1723,MATCH($B1328&amp;"|"&amp;$C1328,'Base de sorteio'!$I$3:$I$1723,0)),"")</f>
        <v/>
      </c>
      <c r="G1328" s="4">
        <f>IFERROR(INDEX('Base de sorteio'!$D$3:$D$1723,MATCH($B1328&amp;"|"&amp;$C1328,'Base de sorteio'!$I$3:$I$1723,0)),"")</f>
        <v/>
      </c>
      <c r="H1328" s="4">
        <f>IFERROR(INDEX('Base de sorteio'!$E$3:$E$1723,MATCH($B1328&amp;"|"&amp;$C1328,'Base de sorteio'!$I$3:$I$1723,0)),"")</f>
        <v/>
      </c>
      <c r="I1328" s="4">
        <f>IF(E1328="","",HYPERLINK(IFERROR(INDEX('Base de sorteio'!$J$3:$J$1723,MATCH($B1328&amp;"|"&amp;$C1328,'Base de sorteio'!$I$3:$I$1723,0)),""),"abrir"))</f>
        <v/>
      </c>
      <c r="J1328" s="4" t="n"/>
      <c r="K1328" s="4" t="n"/>
      <c r="L1328" s="4" t="n"/>
      <c r="M1328" s="4" t="n"/>
      <c r="N1328" s="4">
        <f>IF(AND(K1328="",M1328=""),"",IF(OR(K1328="sim",M1328="sim"),"sim",IF(OR(K1328="inconclusivo",M1328="inconclusivo"),"inconclusivo","não")))</f>
        <v/>
      </c>
      <c r="O1328" s="5">
        <f>IF(N1328="sim",COUNTIFS($B$3:$B1328,$B1328,$N$3:$N1328,"sim"),"")</f>
        <v/>
      </c>
      <c r="P1328" s="5" t="n"/>
      <c r="Q1328" s="4" t="n"/>
      <c r="R1328" s="5" t="n"/>
      <c r="S1328" s="9" t="n"/>
      <c r="T1328" s="4" t="n"/>
    </row>
    <row r="1329">
      <c r="A1329" s="5">
        <f>ROW()-2</f>
        <v/>
      </c>
      <c r="B1329" s="4" t="inlineStr">
        <is>
          <t>Capital regional</t>
        </is>
      </c>
      <c r="C1329" s="5" t="n">
        <v>385</v>
      </c>
      <c r="D1329" s="5">
        <f>IFERROR(INDEX('Base de sorteio'!$A$3:$A$1723,MATCH($B1329&amp;"|"&amp;$C1329,'Base de sorteio'!$I$3:$I$1723,0)),"")</f>
        <v/>
      </c>
      <c r="E1329" s="4">
        <f>IFERROR(INDEX('Base de sorteio'!$B$3:$B$1723,MATCH($B1329&amp;"|"&amp;$C1329,'Base de sorteio'!$I$3:$I$1723,0)),"")</f>
        <v/>
      </c>
      <c r="F1329" s="4">
        <f>IFERROR(INDEX('Base de sorteio'!$C$3:$C$1723,MATCH($B1329&amp;"|"&amp;$C1329,'Base de sorteio'!$I$3:$I$1723,0)),"")</f>
        <v/>
      </c>
      <c r="G1329" s="4">
        <f>IFERROR(INDEX('Base de sorteio'!$D$3:$D$1723,MATCH($B1329&amp;"|"&amp;$C1329,'Base de sorteio'!$I$3:$I$1723,0)),"")</f>
        <v/>
      </c>
      <c r="H1329" s="4">
        <f>IFERROR(INDEX('Base de sorteio'!$E$3:$E$1723,MATCH($B1329&amp;"|"&amp;$C1329,'Base de sorteio'!$I$3:$I$1723,0)),"")</f>
        <v/>
      </c>
      <c r="I1329" s="4">
        <f>IF(E1329="","",HYPERLINK(IFERROR(INDEX('Base de sorteio'!$J$3:$J$1723,MATCH($B1329&amp;"|"&amp;$C1329,'Base de sorteio'!$I$3:$I$1723,0)),""),"abrir"))</f>
        <v/>
      </c>
      <c r="J1329" s="4" t="n"/>
      <c r="K1329" s="4" t="n"/>
      <c r="L1329" s="4" t="n"/>
      <c r="M1329" s="4" t="n"/>
      <c r="N1329" s="4">
        <f>IF(AND(K1329="",M1329=""),"",IF(OR(K1329="sim",M1329="sim"),"sim",IF(OR(K1329="inconclusivo",M1329="inconclusivo"),"inconclusivo","não")))</f>
        <v/>
      </c>
      <c r="O1329" s="5">
        <f>IF(N1329="sim",COUNTIFS($B$3:$B1329,$B1329,$N$3:$N1329,"sim"),"")</f>
        <v/>
      </c>
      <c r="P1329" s="5" t="n"/>
      <c r="Q1329" s="4" t="n"/>
      <c r="R1329" s="5" t="n"/>
      <c r="S1329" s="9" t="n"/>
      <c r="T1329" s="4" t="n"/>
    </row>
    <row r="1330">
      <c r="A1330" s="5">
        <f>ROW()-2</f>
        <v/>
      </c>
      <c r="B1330" s="4" t="inlineStr">
        <is>
          <t>Capital regional</t>
        </is>
      </c>
      <c r="C1330" s="5" t="n">
        <v>386</v>
      </c>
      <c r="D1330" s="5">
        <f>IFERROR(INDEX('Base de sorteio'!$A$3:$A$1723,MATCH($B1330&amp;"|"&amp;$C1330,'Base de sorteio'!$I$3:$I$1723,0)),"")</f>
        <v/>
      </c>
      <c r="E1330" s="4">
        <f>IFERROR(INDEX('Base de sorteio'!$B$3:$B$1723,MATCH($B1330&amp;"|"&amp;$C1330,'Base de sorteio'!$I$3:$I$1723,0)),"")</f>
        <v/>
      </c>
      <c r="F1330" s="4">
        <f>IFERROR(INDEX('Base de sorteio'!$C$3:$C$1723,MATCH($B1330&amp;"|"&amp;$C1330,'Base de sorteio'!$I$3:$I$1723,0)),"")</f>
        <v/>
      </c>
      <c r="G1330" s="4">
        <f>IFERROR(INDEX('Base de sorteio'!$D$3:$D$1723,MATCH($B1330&amp;"|"&amp;$C1330,'Base de sorteio'!$I$3:$I$1723,0)),"")</f>
        <v/>
      </c>
      <c r="H1330" s="4">
        <f>IFERROR(INDEX('Base de sorteio'!$E$3:$E$1723,MATCH($B1330&amp;"|"&amp;$C1330,'Base de sorteio'!$I$3:$I$1723,0)),"")</f>
        <v/>
      </c>
      <c r="I1330" s="4">
        <f>IF(E1330="","",HYPERLINK(IFERROR(INDEX('Base de sorteio'!$J$3:$J$1723,MATCH($B1330&amp;"|"&amp;$C1330,'Base de sorteio'!$I$3:$I$1723,0)),""),"abrir"))</f>
        <v/>
      </c>
      <c r="J1330" s="4" t="n"/>
      <c r="K1330" s="4" t="n"/>
      <c r="L1330" s="4" t="n"/>
      <c r="M1330" s="4" t="n"/>
      <c r="N1330" s="4">
        <f>IF(AND(K1330="",M1330=""),"",IF(OR(K1330="sim",M1330="sim"),"sim",IF(OR(K1330="inconclusivo",M1330="inconclusivo"),"inconclusivo","não")))</f>
        <v/>
      </c>
      <c r="O1330" s="5">
        <f>IF(N1330="sim",COUNTIFS($B$3:$B1330,$B1330,$N$3:$N1330,"sim"),"")</f>
        <v/>
      </c>
      <c r="P1330" s="5" t="n"/>
      <c r="Q1330" s="4" t="n"/>
      <c r="R1330" s="5" t="n"/>
      <c r="S1330" s="9" t="n"/>
      <c r="T1330" s="4" t="n"/>
    </row>
    <row r="1331">
      <c r="A1331" s="5">
        <f>ROW()-2</f>
        <v/>
      </c>
      <c r="B1331" s="4" t="inlineStr">
        <is>
          <t>Capital regional</t>
        </is>
      </c>
      <c r="C1331" s="5" t="n">
        <v>387</v>
      </c>
      <c r="D1331" s="5">
        <f>IFERROR(INDEX('Base de sorteio'!$A$3:$A$1723,MATCH($B1331&amp;"|"&amp;$C1331,'Base de sorteio'!$I$3:$I$1723,0)),"")</f>
        <v/>
      </c>
      <c r="E1331" s="4">
        <f>IFERROR(INDEX('Base de sorteio'!$B$3:$B$1723,MATCH($B1331&amp;"|"&amp;$C1331,'Base de sorteio'!$I$3:$I$1723,0)),"")</f>
        <v/>
      </c>
      <c r="F1331" s="4">
        <f>IFERROR(INDEX('Base de sorteio'!$C$3:$C$1723,MATCH($B1331&amp;"|"&amp;$C1331,'Base de sorteio'!$I$3:$I$1723,0)),"")</f>
        <v/>
      </c>
      <c r="G1331" s="4">
        <f>IFERROR(INDEX('Base de sorteio'!$D$3:$D$1723,MATCH($B1331&amp;"|"&amp;$C1331,'Base de sorteio'!$I$3:$I$1723,0)),"")</f>
        <v/>
      </c>
      <c r="H1331" s="4">
        <f>IFERROR(INDEX('Base de sorteio'!$E$3:$E$1723,MATCH($B1331&amp;"|"&amp;$C1331,'Base de sorteio'!$I$3:$I$1723,0)),"")</f>
        <v/>
      </c>
      <c r="I1331" s="4">
        <f>IF(E1331="","",HYPERLINK(IFERROR(INDEX('Base de sorteio'!$J$3:$J$1723,MATCH($B1331&amp;"|"&amp;$C1331,'Base de sorteio'!$I$3:$I$1723,0)),""),"abrir"))</f>
        <v/>
      </c>
      <c r="J1331" s="4" t="n"/>
      <c r="K1331" s="4" t="n"/>
      <c r="L1331" s="4" t="n"/>
      <c r="M1331" s="4" t="n"/>
      <c r="N1331" s="4">
        <f>IF(AND(K1331="",M1331=""),"",IF(OR(K1331="sim",M1331="sim"),"sim",IF(OR(K1331="inconclusivo",M1331="inconclusivo"),"inconclusivo","não")))</f>
        <v/>
      </c>
      <c r="O1331" s="5">
        <f>IF(N1331="sim",COUNTIFS($B$3:$B1331,$B1331,$N$3:$N1331,"sim"),"")</f>
        <v/>
      </c>
      <c r="P1331" s="5" t="n"/>
      <c r="Q1331" s="4" t="n"/>
      <c r="R1331" s="5" t="n"/>
      <c r="S1331" s="9" t="n"/>
      <c r="T1331" s="4" t="n"/>
    </row>
    <row r="1332">
      <c r="A1332" s="5">
        <f>ROW()-2</f>
        <v/>
      </c>
      <c r="B1332" s="4" t="inlineStr">
        <is>
          <t>Capital regional</t>
        </is>
      </c>
      <c r="C1332" s="5" t="n">
        <v>388</v>
      </c>
      <c r="D1332" s="5">
        <f>IFERROR(INDEX('Base de sorteio'!$A$3:$A$1723,MATCH($B1332&amp;"|"&amp;$C1332,'Base de sorteio'!$I$3:$I$1723,0)),"")</f>
        <v/>
      </c>
      <c r="E1332" s="4">
        <f>IFERROR(INDEX('Base de sorteio'!$B$3:$B$1723,MATCH($B1332&amp;"|"&amp;$C1332,'Base de sorteio'!$I$3:$I$1723,0)),"")</f>
        <v/>
      </c>
      <c r="F1332" s="4">
        <f>IFERROR(INDEX('Base de sorteio'!$C$3:$C$1723,MATCH($B1332&amp;"|"&amp;$C1332,'Base de sorteio'!$I$3:$I$1723,0)),"")</f>
        <v/>
      </c>
      <c r="G1332" s="4">
        <f>IFERROR(INDEX('Base de sorteio'!$D$3:$D$1723,MATCH($B1332&amp;"|"&amp;$C1332,'Base de sorteio'!$I$3:$I$1723,0)),"")</f>
        <v/>
      </c>
      <c r="H1332" s="4">
        <f>IFERROR(INDEX('Base de sorteio'!$E$3:$E$1723,MATCH($B1332&amp;"|"&amp;$C1332,'Base de sorteio'!$I$3:$I$1723,0)),"")</f>
        <v/>
      </c>
      <c r="I1332" s="4">
        <f>IF(E1332="","",HYPERLINK(IFERROR(INDEX('Base de sorteio'!$J$3:$J$1723,MATCH($B1332&amp;"|"&amp;$C1332,'Base de sorteio'!$I$3:$I$1723,0)),""),"abrir"))</f>
        <v/>
      </c>
      <c r="J1332" s="4" t="n"/>
      <c r="K1332" s="4" t="n"/>
      <c r="L1332" s="4" t="n"/>
      <c r="M1332" s="4" t="n"/>
      <c r="N1332" s="4">
        <f>IF(AND(K1332="",M1332=""),"",IF(OR(K1332="sim",M1332="sim"),"sim",IF(OR(K1332="inconclusivo",M1332="inconclusivo"),"inconclusivo","não")))</f>
        <v/>
      </c>
      <c r="O1332" s="5">
        <f>IF(N1332="sim",COUNTIFS($B$3:$B1332,$B1332,$N$3:$N1332,"sim"),"")</f>
        <v/>
      </c>
      <c r="P1332" s="5" t="n"/>
      <c r="Q1332" s="4" t="n"/>
      <c r="R1332" s="5" t="n"/>
      <c r="S1332" s="9" t="n"/>
      <c r="T1332" s="4" t="n"/>
    </row>
    <row r="1333">
      <c r="A1333" s="5">
        <f>ROW()-2</f>
        <v/>
      </c>
      <c r="B1333" s="4" t="inlineStr">
        <is>
          <t>Capital regional</t>
        </is>
      </c>
      <c r="C1333" s="5" t="n">
        <v>389</v>
      </c>
      <c r="D1333" s="5">
        <f>IFERROR(INDEX('Base de sorteio'!$A$3:$A$1723,MATCH($B1333&amp;"|"&amp;$C1333,'Base de sorteio'!$I$3:$I$1723,0)),"")</f>
        <v/>
      </c>
      <c r="E1333" s="4">
        <f>IFERROR(INDEX('Base de sorteio'!$B$3:$B$1723,MATCH($B1333&amp;"|"&amp;$C1333,'Base de sorteio'!$I$3:$I$1723,0)),"")</f>
        <v/>
      </c>
      <c r="F1333" s="4">
        <f>IFERROR(INDEX('Base de sorteio'!$C$3:$C$1723,MATCH($B1333&amp;"|"&amp;$C1333,'Base de sorteio'!$I$3:$I$1723,0)),"")</f>
        <v/>
      </c>
      <c r="G1333" s="4">
        <f>IFERROR(INDEX('Base de sorteio'!$D$3:$D$1723,MATCH($B1333&amp;"|"&amp;$C1333,'Base de sorteio'!$I$3:$I$1723,0)),"")</f>
        <v/>
      </c>
      <c r="H1333" s="4">
        <f>IFERROR(INDEX('Base de sorteio'!$E$3:$E$1723,MATCH($B1333&amp;"|"&amp;$C1333,'Base de sorteio'!$I$3:$I$1723,0)),"")</f>
        <v/>
      </c>
      <c r="I1333" s="4">
        <f>IF(E1333="","",HYPERLINK(IFERROR(INDEX('Base de sorteio'!$J$3:$J$1723,MATCH($B1333&amp;"|"&amp;$C1333,'Base de sorteio'!$I$3:$I$1723,0)),""),"abrir"))</f>
        <v/>
      </c>
      <c r="J1333" s="4" t="n"/>
      <c r="K1333" s="4" t="n"/>
      <c r="L1333" s="4" t="n"/>
      <c r="M1333" s="4" t="n"/>
      <c r="N1333" s="4">
        <f>IF(AND(K1333="",M1333=""),"",IF(OR(K1333="sim",M1333="sim"),"sim",IF(OR(K1333="inconclusivo",M1333="inconclusivo"),"inconclusivo","não")))</f>
        <v/>
      </c>
      <c r="O1333" s="5">
        <f>IF(N1333="sim",COUNTIFS($B$3:$B1333,$B1333,$N$3:$N1333,"sim"),"")</f>
        <v/>
      </c>
      <c r="P1333" s="5" t="n"/>
      <c r="Q1333" s="4" t="n"/>
      <c r="R1333" s="5" t="n"/>
      <c r="S1333" s="9" t="n"/>
      <c r="T1333" s="4" t="n"/>
    </row>
    <row r="1334">
      <c r="A1334" s="5">
        <f>ROW()-2</f>
        <v/>
      </c>
      <c r="B1334" s="4" t="inlineStr">
        <is>
          <t>Capital regional</t>
        </is>
      </c>
      <c r="C1334" s="5" t="n">
        <v>390</v>
      </c>
      <c r="D1334" s="5">
        <f>IFERROR(INDEX('Base de sorteio'!$A$3:$A$1723,MATCH($B1334&amp;"|"&amp;$C1334,'Base de sorteio'!$I$3:$I$1723,0)),"")</f>
        <v/>
      </c>
      <c r="E1334" s="4">
        <f>IFERROR(INDEX('Base de sorteio'!$B$3:$B$1723,MATCH($B1334&amp;"|"&amp;$C1334,'Base de sorteio'!$I$3:$I$1723,0)),"")</f>
        <v/>
      </c>
      <c r="F1334" s="4">
        <f>IFERROR(INDEX('Base de sorteio'!$C$3:$C$1723,MATCH($B1334&amp;"|"&amp;$C1334,'Base de sorteio'!$I$3:$I$1723,0)),"")</f>
        <v/>
      </c>
      <c r="G1334" s="4">
        <f>IFERROR(INDEX('Base de sorteio'!$D$3:$D$1723,MATCH($B1334&amp;"|"&amp;$C1334,'Base de sorteio'!$I$3:$I$1723,0)),"")</f>
        <v/>
      </c>
      <c r="H1334" s="4">
        <f>IFERROR(INDEX('Base de sorteio'!$E$3:$E$1723,MATCH($B1334&amp;"|"&amp;$C1334,'Base de sorteio'!$I$3:$I$1723,0)),"")</f>
        <v/>
      </c>
      <c r="I1334" s="4">
        <f>IF(E1334="","",HYPERLINK(IFERROR(INDEX('Base de sorteio'!$J$3:$J$1723,MATCH($B1334&amp;"|"&amp;$C1334,'Base de sorteio'!$I$3:$I$1723,0)),""),"abrir"))</f>
        <v/>
      </c>
      <c r="J1334" s="4" t="n"/>
      <c r="K1334" s="4" t="n"/>
      <c r="L1334" s="4" t="n"/>
      <c r="M1334" s="4" t="n"/>
      <c r="N1334" s="4">
        <f>IF(AND(K1334="",M1334=""),"",IF(OR(K1334="sim",M1334="sim"),"sim",IF(OR(K1334="inconclusivo",M1334="inconclusivo"),"inconclusivo","não")))</f>
        <v/>
      </c>
      <c r="O1334" s="5">
        <f>IF(N1334="sim",COUNTIFS($B$3:$B1334,$B1334,$N$3:$N1334,"sim"),"")</f>
        <v/>
      </c>
      <c r="P1334" s="5" t="n"/>
      <c r="Q1334" s="4" t="n"/>
      <c r="R1334" s="5" t="n"/>
      <c r="S1334" s="9" t="n"/>
      <c r="T1334" s="4" t="n"/>
    </row>
    <row r="1335">
      <c r="A1335" s="5">
        <f>ROW()-2</f>
        <v/>
      </c>
      <c r="B1335" s="4" t="inlineStr">
        <is>
          <t>Capital regional</t>
        </is>
      </c>
      <c r="C1335" s="5" t="n">
        <v>391</v>
      </c>
      <c r="D1335" s="5">
        <f>IFERROR(INDEX('Base de sorteio'!$A$3:$A$1723,MATCH($B1335&amp;"|"&amp;$C1335,'Base de sorteio'!$I$3:$I$1723,0)),"")</f>
        <v/>
      </c>
      <c r="E1335" s="4">
        <f>IFERROR(INDEX('Base de sorteio'!$B$3:$B$1723,MATCH($B1335&amp;"|"&amp;$C1335,'Base de sorteio'!$I$3:$I$1723,0)),"")</f>
        <v/>
      </c>
      <c r="F1335" s="4">
        <f>IFERROR(INDEX('Base de sorteio'!$C$3:$C$1723,MATCH($B1335&amp;"|"&amp;$C1335,'Base de sorteio'!$I$3:$I$1723,0)),"")</f>
        <v/>
      </c>
      <c r="G1335" s="4">
        <f>IFERROR(INDEX('Base de sorteio'!$D$3:$D$1723,MATCH($B1335&amp;"|"&amp;$C1335,'Base de sorteio'!$I$3:$I$1723,0)),"")</f>
        <v/>
      </c>
      <c r="H1335" s="4">
        <f>IFERROR(INDEX('Base de sorteio'!$E$3:$E$1723,MATCH($B1335&amp;"|"&amp;$C1335,'Base de sorteio'!$I$3:$I$1723,0)),"")</f>
        <v/>
      </c>
      <c r="I1335" s="4">
        <f>IF(E1335="","",HYPERLINK(IFERROR(INDEX('Base de sorteio'!$J$3:$J$1723,MATCH($B1335&amp;"|"&amp;$C1335,'Base de sorteio'!$I$3:$I$1723,0)),""),"abrir"))</f>
        <v/>
      </c>
      <c r="J1335" s="4" t="n"/>
      <c r="K1335" s="4" t="n"/>
      <c r="L1335" s="4" t="n"/>
      <c r="M1335" s="4" t="n"/>
      <c r="N1335" s="4">
        <f>IF(AND(K1335="",M1335=""),"",IF(OR(K1335="sim",M1335="sim"),"sim",IF(OR(K1335="inconclusivo",M1335="inconclusivo"),"inconclusivo","não")))</f>
        <v/>
      </c>
      <c r="O1335" s="5">
        <f>IF(N1335="sim",COUNTIFS($B$3:$B1335,$B1335,$N$3:$N1335,"sim"),"")</f>
        <v/>
      </c>
      <c r="P1335" s="5" t="n"/>
      <c r="Q1335" s="4" t="n"/>
      <c r="R1335" s="5" t="n"/>
      <c r="S1335" s="9" t="n"/>
      <c r="T1335" s="4" t="n"/>
    </row>
    <row r="1336">
      <c r="A1336" s="5">
        <f>ROW()-2</f>
        <v/>
      </c>
      <c r="B1336" s="4" t="inlineStr">
        <is>
          <t>Capital regional</t>
        </is>
      </c>
      <c r="C1336" s="5" t="n">
        <v>392</v>
      </c>
      <c r="D1336" s="5">
        <f>IFERROR(INDEX('Base de sorteio'!$A$3:$A$1723,MATCH($B1336&amp;"|"&amp;$C1336,'Base de sorteio'!$I$3:$I$1723,0)),"")</f>
        <v/>
      </c>
      <c r="E1336" s="4">
        <f>IFERROR(INDEX('Base de sorteio'!$B$3:$B$1723,MATCH($B1336&amp;"|"&amp;$C1336,'Base de sorteio'!$I$3:$I$1723,0)),"")</f>
        <v/>
      </c>
      <c r="F1336" s="4">
        <f>IFERROR(INDEX('Base de sorteio'!$C$3:$C$1723,MATCH($B1336&amp;"|"&amp;$C1336,'Base de sorteio'!$I$3:$I$1723,0)),"")</f>
        <v/>
      </c>
      <c r="G1336" s="4">
        <f>IFERROR(INDEX('Base de sorteio'!$D$3:$D$1723,MATCH($B1336&amp;"|"&amp;$C1336,'Base de sorteio'!$I$3:$I$1723,0)),"")</f>
        <v/>
      </c>
      <c r="H1336" s="4">
        <f>IFERROR(INDEX('Base de sorteio'!$E$3:$E$1723,MATCH($B1336&amp;"|"&amp;$C1336,'Base de sorteio'!$I$3:$I$1723,0)),"")</f>
        <v/>
      </c>
      <c r="I1336" s="4">
        <f>IF(E1336="","",HYPERLINK(IFERROR(INDEX('Base de sorteio'!$J$3:$J$1723,MATCH($B1336&amp;"|"&amp;$C1336,'Base de sorteio'!$I$3:$I$1723,0)),""),"abrir"))</f>
        <v/>
      </c>
      <c r="J1336" s="4" t="n"/>
      <c r="K1336" s="4" t="n"/>
      <c r="L1336" s="4" t="n"/>
      <c r="M1336" s="4" t="n"/>
      <c r="N1336" s="4">
        <f>IF(AND(K1336="",M1336=""),"",IF(OR(K1336="sim",M1336="sim"),"sim",IF(OR(K1336="inconclusivo",M1336="inconclusivo"),"inconclusivo","não")))</f>
        <v/>
      </c>
      <c r="O1336" s="5">
        <f>IF(N1336="sim",COUNTIFS($B$3:$B1336,$B1336,$N$3:$N1336,"sim"),"")</f>
        <v/>
      </c>
      <c r="P1336" s="5" t="n"/>
      <c r="Q1336" s="4" t="n"/>
      <c r="R1336" s="5" t="n"/>
      <c r="S1336" s="9" t="n"/>
      <c r="T1336" s="4" t="n"/>
    </row>
    <row r="1337">
      <c r="A1337" s="5">
        <f>ROW()-2</f>
        <v/>
      </c>
      <c r="B1337" s="4" t="inlineStr">
        <is>
          <t>Capital regional</t>
        </is>
      </c>
      <c r="C1337" s="5" t="n">
        <v>393</v>
      </c>
      <c r="D1337" s="5">
        <f>IFERROR(INDEX('Base de sorteio'!$A$3:$A$1723,MATCH($B1337&amp;"|"&amp;$C1337,'Base de sorteio'!$I$3:$I$1723,0)),"")</f>
        <v/>
      </c>
      <c r="E1337" s="4">
        <f>IFERROR(INDEX('Base de sorteio'!$B$3:$B$1723,MATCH($B1337&amp;"|"&amp;$C1337,'Base de sorteio'!$I$3:$I$1723,0)),"")</f>
        <v/>
      </c>
      <c r="F1337" s="4">
        <f>IFERROR(INDEX('Base de sorteio'!$C$3:$C$1723,MATCH($B1337&amp;"|"&amp;$C1337,'Base de sorteio'!$I$3:$I$1723,0)),"")</f>
        <v/>
      </c>
      <c r="G1337" s="4">
        <f>IFERROR(INDEX('Base de sorteio'!$D$3:$D$1723,MATCH($B1337&amp;"|"&amp;$C1337,'Base de sorteio'!$I$3:$I$1723,0)),"")</f>
        <v/>
      </c>
      <c r="H1337" s="4">
        <f>IFERROR(INDEX('Base de sorteio'!$E$3:$E$1723,MATCH($B1337&amp;"|"&amp;$C1337,'Base de sorteio'!$I$3:$I$1723,0)),"")</f>
        <v/>
      </c>
      <c r="I1337" s="4">
        <f>IF(E1337="","",HYPERLINK(IFERROR(INDEX('Base de sorteio'!$J$3:$J$1723,MATCH($B1337&amp;"|"&amp;$C1337,'Base de sorteio'!$I$3:$I$1723,0)),""),"abrir"))</f>
        <v/>
      </c>
      <c r="J1337" s="4" t="n"/>
      <c r="K1337" s="4" t="n"/>
      <c r="L1337" s="4" t="n"/>
      <c r="M1337" s="4" t="n"/>
      <c r="N1337" s="4">
        <f>IF(AND(K1337="",M1337=""),"",IF(OR(K1337="sim",M1337="sim"),"sim",IF(OR(K1337="inconclusivo",M1337="inconclusivo"),"inconclusivo","não")))</f>
        <v/>
      </c>
      <c r="O1337" s="5">
        <f>IF(N1337="sim",COUNTIFS($B$3:$B1337,$B1337,$N$3:$N1337,"sim"),"")</f>
        <v/>
      </c>
      <c r="P1337" s="5" t="n"/>
      <c r="Q1337" s="4" t="n"/>
      <c r="R1337" s="5" t="n"/>
      <c r="S1337" s="9" t="n"/>
      <c r="T1337" s="4" t="n"/>
    </row>
    <row r="1338">
      <c r="A1338" s="5">
        <f>ROW()-2</f>
        <v/>
      </c>
      <c r="B1338" s="4" t="inlineStr">
        <is>
          <t>Capital regional</t>
        </is>
      </c>
      <c r="C1338" s="5" t="n">
        <v>394</v>
      </c>
      <c r="D1338" s="5">
        <f>IFERROR(INDEX('Base de sorteio'!$A$3:$A$1723,MATCH($B1338&amp;"|"&amp;$C1338,'Base de sorteio'!$I$3:$I$1723,0)),"")</f>
        <v/>
      </c>
      <c r="E1338" s="4">
        <f>IFERROR(INDEX('Base de sorteio'!$B$3:$B$1723,MATCH($B1338&amp;"|"&amp;$C1338,'Base de sorteio'!$I$3:$I$1723,0)),"")</f>
        <v/>
      </c>
      <c r="F1338" s="4">
        <f>IFERROR(INDEX('Base de sorteio'!$C$3:$C$1723,MATCH($B1338&amp;"|"&amp;$C1338,'Base de sorteio'!$I$3:$I$1723,0)),"")</f>
        <v/>
      </c>
      <c r="G1338" s="4">
        <f>IFERROR(INDEX('Base de sorteio'!$D$3:$D$1723,MATCH($B1338&amp;"|"&amp;$C1338,'Base de sorteio'!$I$3:$I$1723,0)),"")</f>
        <v/>
      </c>
      <c r="H1338" s="4">
        <f>IFERROR(INDEX('Base de sorteio'!$E$3:$E$1723,MATCH($B1338&amp;"|"&amp;$C1338,'Base de sorteio'!$I$3:$I$1723,0)),"")</f>
        <v/>
      </c>
      <c r="I1338" s="4">
        <f>IF(E1338="","",HYPERLINK(IFERROR(INDEX('Base de sorteio'!$J$3:$J$1723,MATCH($B1338&amp;"|"&amp;$C1338,'Base de sorteio'!$I$3:$I$1723,0)),""),"abrir"))</f>
        <v/>
      </c>
      <c r="J1338" s="4" t="n"/>
      <c r="K1338" s="4" t="n"/>
      <c r="L1338" s="4" t="n"/>
      <c r="M1338" s="4" t="n"/>
      <c r="N1338" s="4">
        <f>IF(AND(K1338="",M1338=""),"",IF(OR(K1338="sim",M1338="sim"),"sim",IF(OR(K1338="inconclusivo",M1338="inconclusivo"),"inconclusivo","não")))</f>
        <v/>
      </c>
      <c r="O1338" s="5">
        <f>IF(N1338="sim",COUNTIFS($B$3:$B1338,$B1338,$N$3:$N1338,"sim"),"")</f>
        <v/>
      </c>
      <c r="P1338" s="5" t="n"/>
      <c r="Q1338" s="4" t="n"/>
      <c r="R1338" s="5" t="n"/>
      <c r="S1338" s="9" t="n"/>
      <c r="T1338" s="4" t="n"/>
    </row>
    <row r="1339">
      <c r="A1339" s="5">
        <f>ROW()-2</f>
        <v/>
      </c>
      <c r="B1339" s="4" t="inlineStr">
        <is>
          <t>Capital regional</t>
        </is>
      </c>
      <c r="C1339" s="5" t="n">
        <v>395</v>
      </c>
      <c r="D1339" s="5">
        <f>IFERROR(INDEX('Base de sorteio'!$A$3:$A$1723,MATCH($B1339&amp;"|"&amp;$C1339,'Base de sorteio'!$I$3:$I$1723,0)),"")</f>
        <v/>
      </c>
      <c r="E1339" s="4">
        <f>IFERROR(INDEX('Base de sorteio'!$B$3:$B$1723,MATCH($B1339&amp;"|"&amp;$C1339,'Base de sorteio'!$I$3:$I$1723,0)),"")</f>
        <v/>
      </c>
      <c r="F1339" s="4">
        <f>IFERROR(INDEX('Base de sorteio'!$C$3:$C$1723,MATCH($B1339&amp;"|"&amp;$C1339,'Base de sorteio'!$I$3:$I$1723,0)),"")</f>
        <v/>
      </c>
      <c r="G1339" s="4">
        <f>IFERROR(INDEX('Base de sorteio'!$D$3:$D$1723,MATCH($B1339&amp;"|"&amp;$C1339,'Base de sorteio'!$I$3:$I$1723,0)),"")</f>
        <v/>
      </c>
      <c r="H1339" s="4">
        <f>IFERROR(INDEX('Base de sorteio'!$E$3:$E$1723,MATCH($B1339&amp;"|"&amp;$C1339,'Base de sorteio'!$I$3:$I$1723,0)),"")</f>
        <v/>
      </c>
      <c r="I1339" s="4">
        <f>IF(E1339="","",HYPERLINK(IFERROR(INDEX('Base de sorteio'!$J$3:$J$1723,MATCH($B1339&amp;"|"&amp;$C1339,'Base de sorteio'!$I$3:$I$1723,0)),""),"abrir"))</f>
        <v/>
      </c>
      <c r="J1339" s="4" t="n"/>
      <c r="K1339" s="4" t="n"/>
      <c r="L1339" s="4" t="n"/>
      <c r="M1339" s="4" t="n"/>
      <c r="N1339" s="4">
        <f>IF(AND(K1339="",M1339=""),"",IF(OR(K1339="sim",M1339="sim"),"sim",IF(OR(K1339="inconclusivo",M1339="inconclusivo"),"inconclusivo","não")))</f>
        <v/>
      </c>
      <c r="O1339" s="5">
        <f>IF(N1339="sim",COUNTIFS($B$3:$B1339,$B1339,$N$3:$N1339,"sim"),"")</f>
        <v/>
      </c>
      <c r="P1339" s="5" t="n"/>
      <c r="Q1339" s="4" t="n"/>
      <c r="R1339" s="5" t="n"/>
      <c r="S1339" s="9" t="n"/>
      <c r="T1339" s="4" t="n"/>
    </row>
    <row r="1340">
      <c r="A1340" s="5">
        <f>ROW()-2</f>
        <v/>
      </c>
      <c r="B1340" s="4" t="inlineStr">
        <is>
          <t>Capital regional</t>
        </is>
      </c>
      <c r="C1340" s="5" t="n">
        <v>396</v>
      </c>
      <c r="D1340" s="5">
        <f>IFERROR(INDEX('Base de sorteio'!$A$3:$A$1723,MATCH($B1340&amp;"|"&amp;$C1340,'Base de sorteio'!$I$3:$I$1723,0)),"")</f>
        <v/>
      </c>
      <c r="E1340" s="4">
        <f>IFERROR(INDEX('Base de sorteio'!$B$3:$B$1723,MATCH($B1340&amp;"|"&amp;$C1340,'Base de sorteio'!$I$3:$I$1723,0)),"")</f>
        <v/>
      </c>
      <c r="F1340" s="4">
        <f>IFERROR(INDEX('Base de sorteio'!$C$3:$C$1723,MATCH($B1340&amp;"|"&amp;$C1340,'Base de sorteio'!$I$3:$I$1723,0)),"")</f>
        <v/>
      </c>
      <c r="G1340" s="4">
        <f>IFERROR(INDEX('Base de sorteio'!$D$3:$D$1723,MATCH($B1340&amp;"|"&amp;$C1340,'Base de sorteio'!$I$3:$I$1723,0)),"")</f>
        <v/>
      </c>
      <c r="H1340" s="4">
        <f>IFERROR(INDEX('Base de sorteio'!$E$3:$E$1723,MATCH($B1340&amp;"|"&amp;$C1340,'Base de sorteio'!$I$3:$I$1723,0)),"")</f>
        <v/>
      </c>
      <c r="I1340" s="4">
        <f>IF(E1340="","",HYPERLINK(IFERROR(INDEX('Base de sorteio'!$J$3:$J$1723,MATCH($B1340&amp;"|"&amp;$C1340,'Base de sorteio'!$I$3:$I$1723,0)),""),"abrir"))</f>
        <v/>
      </c>
      <c r="J1340" s="4" t="n"/>
      <c r="K1340" s="4" t="n"/>
      <c r="L1340" s="4" t="n"/>
      <c r="M1340" s="4" t="n"/>
      <c r="N1340" s="4">
        <f>IF(AND(K1340="",M1340=""),"",IF(OR(K1340="sim",M1340="sim"),"sim",IF(OR(K1340="inconclusivo",M1340="inconclusivo"),"inconclusivo","não")))</f>
        <v/>
      </c>
      <c r="O1340" s="5">
        <f>IF(N1340="sim",COUNTIFS($B$3:$B1340,$B1340,$N$3:$N1340,"sim"),"")</f>
        <v/>
      </c>
      <c r="P1340" s="5" t="n"/>
      <c r="Q1340" s="4" t="n"/>
      <c r="R1340" s="5" t="n"/>
      <c r="S1340" s="9" t="n"/>
      <c r="T1340" s="4" t="n"/>
    </row>
    <row r="1341">
      <c r="A1341" s="5">
        <f>ROW()-2</f>
        <v/>
      </c>
      <c r="B1341" s="4" t="inlineStr">
        <is>
          <t>Capital regional</t>
        </is>
      </c>
      <c r="C1341" s="5" t="n">
        <v>397</v>
      </c>
      <c r="D1341" s="5">
        <f>IFERROR(INDEX('Base de sorteio'!$A$3:$A$1723,MATCH($B1341&amp;"|"&amp;$C1341,'Base de sorteio'!$I$3:$I$1723,0)),"")</f>
        <v/>
      </c>
      <c r="E1341" s="4">
        <f>IFERROR(INDEX('Base de sorteio'!$B$3:$B$1723,MATCH($B1341&amp;"|"&amp;$C1341,'Base de sorteio'!$I$3:$I$1723,0)),"")</f>
        <v/>
      </c>
      <c r="F1341" s="4">
        <f>IFERROR(INDEX('Base de sorteio'!$C$3:$C$1723,MATCH($B1341&amp;"|"&amp;$C1341,'Base de sorteio'!$I$3:$I$1723,0)),"")</f>
        <v/>
      </c>
      <c r="G1341" s="4">
        <f>IFERROR(INDEX('Base de sorteio'!$D$3:$D$1723,MATCH($B1341&amp;"|"&amp;$C1341,'Base de sorteio'!$I$3:$I$1723,0)),"")</f>
        <v/>
      </c>
      <c r="H1341" s="4">
        <f>IFERROR(INDEX('Base de sorteio'!$E$3:$E$1723,MATCH($B1341&amp;"|"&amp;$C1341,'Base de sorteio'!$I$3:$I$1723,0)),"")</f>
        <v/>
      </c>
      <c r="I1341" s="4">
        <f>IF(E1341="","",HYPERLINK(IFERROR(INDEX('Base de sorteio'!$J$3:$J$1723,MATCH($B1341&amp;"|"&amp;$C1341,'Base de sorteio'!$I$3:$I$1723,0)),""),"abrir"))</f>
        <v/>
      </c>
      <c r="J1341" s="4" t="n"/>
      <c r="K1341" s="4" t="n"/>
      <c r="L1341" s="4" t="n"/>
      <c r="M1341" s="4" t="n"/>
      <c r="N1341" s="4">
        <f>IF(AND(K1341="",M1341=""),"",IF(OR(K1341="sim",M1341="sim"),"sim",IF(OR(K1341="inconclusivo",M1341="inconclusivo"),"inconclusivo","não")))</f>
        <v/>
      </c>
      <c r="O1341" s="5">
        <f>IF(N1341="sim",COUNTIFS($B$3:$B1341,$B1341,$N$3:$N1341,"sim"),"")</f>
        <v/>
      </c>
      <c r="P1341" s="5" t="n"/>
      <c r="Q1341" s="4" t="n"/>
      <c r="R1341" s="5" t="n"/>
      <c r="S1341" s="9" t="n"/>
      <c r="T1341" s="4" t="n"/>
    </row>
    <row r="1342">
      <c r="A1342" s="5">
        <f>ROW()-2</f>
        <v/>
      </c>
      <c r="B1342" s="4" t="inlineStr">
        <is>
          <t>Capital regional</t>
        </is>
      </c>
      <c r="C1342" s="5" t="n">
        <v>398</v>
      </c>
      <c r="D1342" s="5">
        <f>IFERROR(INDEX('Base de sorteio'!$A$3:$A$1723,MATCH($B1342&amp;"|"&amp;$C1342,'Base de sorteio'!$I$3:$I$1723,0)),"")</f>
        <v/>
      </c>
      <c r="E1342" s="4">
        <f>IFERROR(INDEX('Base de sorteio'!$B$3:$B$1723,MATCH($B1342&amp;"|"&amp;$C1342,'Base de sorteio'!$I$3:$I$1723,0)),"")</f>
        <v/>
      </c>
      <c r="F1342" s="4">
        <f>IFERROR(INDEX('Base de sorteio'!$C$3:$C$1723,MATCH($B1342&amp;"|"&amp;$C1342,'Base de sorteio'!$I$3:$I$1723,0)),"")</f>
        <v/>
      </c>
      <c r="G1342" s="4">
        <f>IFERROR(INDEX('Base de sorteio'!$D$3:$D$1723,MATCH($B1342&amp;"|"&amp;$C1342,'Base de sorteio'!$I$3:$I$1723,0)),"")</f>
        <v/>
      </c>
      <c r="H1342" s="4">
        <f>IFERROR(INDEX('Base de sorteio'!$E$3:$E$1723,MATCH($B1342&amp;"|"&amp;$C1342,'Base de sorteio'!$I$3:$I$1723,0)),"")</f>
        <v/>
      </c>
      <c r="I1342" s="4">
        <f>IF(E1342="","",HYPERLINK(IFERROR(INDEX('Base de sorteio'!$J$3:$J$1723,MATCH($B1342&amp;"|"&amp;$C1342,'Base de sorteio'!$I$3:$I$1723,0)),""),"abrir"))</f>
        <v/>
      </c>
      <c r="J1342" s="4" t="n"/>
      <c r="K1342" s="4" t="n"/>
      <c r="L1342" s="4" t="n"/>
      <c r="M1342" s="4" t="n"/>
      <c r="N1342" s="4">
        <f>IF(AND(K1342="",M1342=""),"",IF(OR(K1342="sim",M1342="sim"),"sim",IF(OR(K1342="inconclusivo",M1342="inconclusivo"),"inconclusivo","não")))</f>
        <v/>
      </c>
      <c r="O1342" s="5">
        <f>IF(N1342="sim",COUNTIFS($B$3:$B1342,$B1342,$N$3:$N1342,"sim"),"")</f>
        <v/>
      </c>
      <c r="P1342" s="5" t="n"/>
      <c r="Q1342" s="4" t="n"/>
      <c r="R1342" s="5" t="n"/>
      <c r="S1342" s="9" t="n"/>
      <c r="T1342" s="4" t="n"/>
    </row>
    <row r="1343">
      <c r="A1343" s="5">
        <f>ROW()-2</f>
        <v/>
      </c>
      <c r="B1343" s="4" t="inlineStr">
        <is>
          <t>Capital regional</t>
        </is>
      </c>
      <c r="C1343" s="5" t="n">
        <v>399</v>
      </c>
      <c r="D1343" s="5">
        <f>IFERROR(INDEX('Base de sorteio'!$A$3:$A$1723,MATCH($B1343&amp;"|"&amp;$C1343,'Base de sorteio'!$I$3:$I$1723,0)),"")</f>
        <v/>
      </c>
      <c r="E1343" s="4">
        <f>IFERROR(INDEX('Base de sorteio'!$B$3:$B$1723,MATCH($B1343&amp;"|"&amp;$C1343,'Base de sorteio'!$I$3:$I$1723,0)),"")</f>
        <v/>
      </c>
      <c r="F1343" s="4">
        <f>IFERROR(INDEX('Base de sorteio'!$C$3:$C$1723,MATCH($B1343&amp;"|"&amp;$C1343,'Base de sorteio'!$I$3:$I$1723,0)),"")</f>
        <v/>
      </c>
      <c r="G1343" s="4">
        <f>IFERROR(INDEX('Base de sorteio'!$D$3:$D$1723,MATCH($B1343&amp;"|"&amp;$C1343,'Base de sorteio'!$I$3:$I$1723,0)),"")</f>
        <v/>
      </c>
      <c r="H1343" s="4">
        <f>IFERROR(INDEX('Base de sorteio'!$E$3:$E$1723,MATCH($B1343&amp;"|"&amp;$C1343,'Base de sorteio'!$I$3:$I$1723,0)),"")</f>
        <v/>
      </c>
      <c r="I1343" s="4">
        <f>IF(E1343="","",HYPERLINK(IFERROR(INDEX('Base de sorteio'!$J$3:$J$1723,MATCH($B1343&amp;"|"&amp;$C1343,'Base de sorteio'!$I$3:$I$1723,0)),""),"abrir"))</f>
        <v/>
      </c>
      <c r="J1343" s="4" t="n"/>
      <c r="K1343" s="4" t="n"/>
      <c r="L1343" s="4" t="n"/>
      <c r="M1343" s="4" t="n"/>
      <c r="N1343" s="4">
        <f>IF(AND(K1343="",M1343=""),"",IF(OR(K1343="sim",M1343="sim"),"sim",IF(OR(K1343="inconclusivo",M1343="inconclusivo"),"inconclusivo","não")))</f>
        <v/>
      </c>
      <c r="O1343" s="5">
        <f>IF(N1343="sim",COUNTIFS($B$3:$B1343,$B1343,$N$3:$N1343,"sim"),"")</f>
        <v/>
      </c>
      <c r="P1343" s="5" t="n"/>
      <c r="Q1343" s="4" t="n"/>
      <c r="R1343" s="5" t="n"/>
      <c r="S1343" s="9" t="n"/>
      <c r="T1343" s="4" t="n"/>
    </row>
    <row r="1344">
      <c r="A1344" s="5">
        <f>ROW()-2</f>
        <v/>
      </c>
      <c r="B1344" s="4" t="inlineStr">
        <is>
          <t>Capital regional</t>
        </is>
      </c>
      <c r="C1344" s="5" t="n">
        <v>400</v>
      </c>
      <c r="D1344" s="5">
        <f>IFERROR(INDEX('Base de sorteio'!$A$3:$A$1723,MATCH($B1344&amp;"|"&amp;$C1344,'Base de sorteio'!$I$3:$I$1723,0)),"")</f>
        <v/>
      </c>
      <c r="E1344" s="4">
        <f>IFERROR(INDEX('Base de sorteio'!$B$3:$B$1723,MATCH($B1344&amp;"|"&amp;$C1344,'Base de sorteio'!$I$3:$I$1723,0)),"")</f>
        <v/>
      </c>
      <c r="F1344" s="4">
        <f>IFERROR(INDEX('Base de sorteio'!$C$3:$C$1723,MATCH($B1344&amp;"|"&amp;$C1344,'Base de sorteio'!$I$3:$I$1723,0)),"")</f>
        <v/>
      </c>
      <c r="G1344" s="4">
        <f>IFERROR(INDEX('Base de sorteio'!$D$3:$D$1723,MATCH($B1344&amp;"|"&amp;$C1344,'Base de sorteio'!$I$3:$I$1723,0)),"")</f>
        <v/>
      </c>
      <c r="H1344" s="4">
        <f>IFERROR(INDEX('Base de sorteio'!$E$3:$E$1723,MATCH($B1344&amp;"|"&amp;$C1344,'Base de sorteio'!$I$3:$I$1723,0)),"")</f>
        <v/>
      </c>
      <c r="I1344" s="4">
        <f>IF(E1344="","",HYPERLINK(IFERROR(INDEX('Base de sorteio'!$J$3:$J$1723,MATCH($B1344&amp;"|"&amp;$C1344,'Base de sorteio'!$I$3:$I$1723,0)),""),"abrir"))</f>
        <v/>
      </c>
      <c r="J1344" s="4" t="n"/>
      <c r="K1344" s="4" t="n"/>
      <c r="L1344" s="4" t="n"/>
      <c r="M1344" s="4" t="n"/>
      <c r="N1344" s="4">
        <f>IF(AND(K1344="",M1344=""),"",IF(OR(K1344="sim",M1344="sim"),"sim",IF(OR(K1344="inconclusivo",M1344="inconclusivo"),"inconclusivo","não")))</f>
        <v/>
      </c>
      <c r="O1344" s="5">
        <f>IF(N1344="sim",COUNTIFS($B$3:$B1344,$B1344,$N$3:$N1344,"sim"),"")</f>
        <v/>
      </c>
      <c r="P1344" s="5" t="n"/>
      <c r="Q1344" s="4" t="n"/>
      <c r="R1344" s="5" t="n"/>
      <c r="S1344" s="9" t="n"/>
      <c r="T1344" s="4" t="n"/>
    </row>
    <row r="1345">
      <c r="A1345" s="5">
        <f>ROW()-2</f>
        <v/>
      </c>
      <c r="B1345" s="4" t="inlineStr">
        <is>
          <t>Capital regional</t>
        </is>
      </c>
      <c r="C1345" s="5" t="n">
        <v>401</v>
      </c>
      <c r="D1345" s="5">
        <f>IFERROR(INDEX('Base de sorteio'!$A$3:$A$1723,MATCH($B1345&amp;"|"&amp;$C1345,'Base de sorteio'!$I$3:$I$1723,0)),"")</f>
        <v/>
      </c>
      <c r="E1345" s="4">
        <f>IFERROR(INDEX('Base de sorteio'!$B$3:$B$1723,MATCH($B1345&amp;"|"&amp;$C1345,'Base de sorteio'!$I$3:$I$1723,0)),"")</f>
        <v/>
      </c>
      <c r="F1345" s="4">
        <f>IFERROR(INDEX('Base de sorteio'!$C$3:$C$1723,MATCH($B1345&amp;"|"&amp;$C1345,'Base de sorteio'!$I$3:$I$1723,0)),"")</f>
        <v/>
      </c>
      <c r="G1345" s="4">
        <f>IFERROR(INDEX('Base de sorteio'!$D$3:$D$1723,MATCH($B1345&amp;"|"&amp;$C1345,'Base de sorteio'!$I$3:$I$1723,0)),"")</f>
        <v/>
      </c>
      <c r="H1345" s="4">
        <f>IFERROR(INDEX('Base de sorteio'!$E$3:$E$1723,MATCH($B1345&amp;"|"&amp;$C1345,'Base de sorteio'!$I$3:$I$1723,0)),"")</f>
        <v/>
      </c>
      <c r="I1345" s="4">
        <f>IF(E1345="","",HYPERLINK(IFERROR(INDEX('Base de sorteio'!$J$3:$J$1723,MATCH($B1345&amp;"|"&amp;$C1345,'Base de sorteio'!$I$3:$I$1723,0)),""),"abrir"))</f>
        <v/>
      </c>
      <c r="J1345" s="4" t="n"/>
      <c r="K1345" s="4" t="n"/>
      <c r="L1345" s="4" t="n"/>
      <c r="M1345" s="4" t="n"/>
      <c r="N1345" s="4">
        <f>IF(AND(K1345="",M1345=""),"",IF(OR(K1345="sim",M1345="sim"),"sim",IF(OR(K1345="inconclusivo",M1345="inconclusivo"),"inconclusivo","não")))</f>
        <v/>
      </c>
      <c r="O1345" s="5">
        <f>IF(N1345="sim",COUNTIFS($B$3:$B1345,$B1345,$N$3:$N1345,"sim"),"")</f>
        <v/>
      </c>
      <c r="P1345" s="5" t="n"/>
      <c r="Q1345" s="4" t="n"/>
      <c r="R1345" s="5" t="n"/>
      <c r="S1345" s="9" t="n"/>
      <c r="T1345" s="4" t="n"/>
    </row>
    <row r="1346">
      <c r="A1346" s="5">
        <f>ROW()-2</f>
        <v/>
      </c>
      <c r="B1346" s="4" t="inlineStr">
        <is>
          <t>Capital regional</t>
        </is>
      </c>
      <c r="C1346" s="5" t="n">
        <v>402</v>
      </c>
      <c r="D1346" s="5">
        <f>IFERROR(INDEX('Base de sorteio'!$A$3:$A$1723,MATCH($B1346&amp;"|"&amp;$C1346,'Base de sorteio'!$I$3:$I$1723,0)),"")</f>
        <v/>
      </c>
      <c r="E1346" s="4">
        <f>IFERROR(INDEX('Base de sorteio'!$B$3:$B$1723,MATCH($B1346&amp;"|"&amp;$C1346,'Base de sorteio'!$I$3:$I$1723,0)),"")</f>
        <v/>
      </c>
      <c r="F1346" s="4">
        <f>IFERROR(INDEX('Base de sorteio'!$C$3:$C$1723,MATCH($B1346&amp;"|"&amp;$C1346,'Base de sorteio'!$I$3:$I$1723,0)),"")</f>
        <v/>
      </c>
      <c r="G1346" s="4">
        <f>IFERROR(INDEX('Base de sorteio'!$D$3:$D$1723,MATCH($B1346&amp;"|"&amp;$C1346,'Base de sorteio'!$I$3:$I$1723,0)),"")</f>
        <v/>
      </c>
      <c r="H1346" s="4">
        <f>IFERROR(INDEX('Base de sorteio'!$E$3:$E$1723,MATCH($B1346&amp;"|"&amp;$C1346,'Base de sorteio'!$I$3:$I$1723,0)),"")</f>
        <v/>
      </c>
      <c r="I1346" s="4">
        <f>IF(E1346="","",HYPERLINK(IFERROR(INDEX('Base de sorteio'!$J$3:$J$1723,MATCH($B1346&amp;"|"&amp;$C1346,'Base de sorteio'!$I$3:$I$1723,0)),""),"abrir"))</f>
        <v/>
      </c>
      <c r="J1346" s="4" t="n"/>
      <c r="K1346" s="4" t="n"/>
      <c r="L1346" s="4" t="n"/>
      <c r="M1346" s="4" t="n"/>
      <c r="N1346" s="4">
        <f>IF(AND(K1346="",M1346=""),"",IF(OR(K1346="sim",M1346="sim"),"sim",IF(OR(K1346="inconclusivo",M1346="inconclusivo"),"inconclusivo","não")))</f>
        <v/>
      </c>
      <c r="O1346" s="5">
        <f>IF(N1346="sim",COUNTIFS($B$3:$B1346,$B1346,$N$3:$N1346,"sim"),"")</f>
        <v/>
      </c>
      <c r="P1346" s="5" t="n"/>
      <c r="Q1346" s="4" t="n"/>
      <c r="R1346" s="5" t="n"/>
      <c r="S1346" s="9" t="n"/>
      <c r="T1346" s="4" t="n"/>
    </row>
    <row r="1347">
      <c r="A1347" s="5">
        <f>ROW()-2</f>
        <v/>
      </c>
      <c r="B1347" s="4" t="inlineStr">
        <is>
          <t>Capital regional</t>
        </is>
      </c>
      <c r="C1347" s="5" t="n">
        <v>403</v>
      </c>
      <c r="D1347" s="5">
        <f>IFERROR(INDEX('Base de sorteio'!$A$3:$A$1723,MATCH($B1347&amp;"|"&amp;$C1347,'Base de sorteio'!$I$3:$I$1723,0)),"")</f>
        <v/>
      </c>
      <c r="E1347" s="4">
        <f>IFERROR(INDEX('Base de sorteio'!$B$3:$B$1723,MATCH($B1347&amp;"|"&amp;$C1347,'Base de sorteio'!$I$3:$I$1723,0)),"")</f>
        <v/>
      </c>
      <c r="F1347" s="4">
        <f>IFERROR(INDEX('Base de sorteio'!$C$3:$C$1723,MATCH($B1347&amp;"|"&amp;$C1347,'Base de sorteio'!$I$3:$I$1723,0)),"")</f>
        <v/>
      </c>
      <c r="G1347" s="4">
        <f>IFERROR(INDEX('Base de sorteio'!$D$3:$D$1723,MATCH($B1347&amp;"|"&amp;$C1347,'Base de sorteio'!$I$3:$I$1723,0)),"")</f>
        <v/>
      </c>
      <c r="H1347" s="4">
        <f>IFERROR(INDEX('Base de sorteio'!$E$3:$E$1723,MATCH($B1347&amp;"|"&amp;$C1347,'Base de sorteio'!$I$3:$I$1723,0)),"")</f>
        <v/>
      </c>
      <c r="I1347" s="4">
        <f>IF(E1347="","",HYPERLINK(IFERROR(INDEX('Base de sorteio'!$J$3:$J$1723,MATCH($B1347&amp;"|"&amp;$C1347,'Base de sorteio'!$I$3:$I$1723,0)),""),"abrir"))</f>
        <v/>
      </c>
      <c r="J1347" s="4" t="n"/>
      <c r="K1347" s="4" t="n"/>
      <c r="L1347" s="4" t="n"/>
      <c r="M1347" s="4" t="n"/>
      <c r="N1347" s="4">
        <f>IF(AND(K1347="",M1347=""),"",IF(OR(K1347="sim",M1347="sim"),"sim",IF(OR(K1347="inconclusivo",M1347="inconclusivo"),"inconclusivo","não")))</f>
        <v/>
      </c>
      <c r="O1347" s="5">
        <f>IF(N1347="sim",COUNTIFS($B$3:$B1347,$B1347,$N$3:$N1347,"sim"),"")</f>
        <v/>
      </c>
      <c r="P1347" s="5" t="n"/>
      <c r="Q1347" s="4" t="n"/>
      <c r="R1347" s="5" t="n"/>
      <c r="S1347" s="9" t="n"/>
      <c r="T1347" s="4" t="n"/>
    </row>
    <row r="1348">
      <c r="A1348" s="5">
        <f>ROW()-2</f>
        <v/>
      </c>
      <c r="B1348" s="4" t="inlineStr">
        <is>
          <t>Capital regional</t>
        </is>
      </c>
      <c r="C1348" s="5" t="n">
        <v>404</v>
      </c>
      <c r="D1348" s="5">
        <f>IFERROR(INDEX('Base de sorteio'!$A$3:$A$1723,MATCH($B1348&amp;"|"&amp;$C1348,'Base de sorteio'!$I$3:$I$1723,0)),"")</f>
        <v/>
      </c>
      <c r="E1348" s="4">
        <f>IFERROR(INDEX('Base de sorteio'!$B$3:$B$1723,MATCH($B1348&amp;"|"&amp;$C1348,'Base de sorteio'!$I$3:$I$1723,0)),"")</f>
        <v/>
      </c>
      <c r="F1348" s="4">
        <f>IFERROR(INDEX('Base de sorteio'!$C$3:$C$1723,MATCH($B1348&amp;"|"&amp;$C1348,'Base de sorteio'!$I$3:$I$1723,0)),"")</f>
        <v/>
      </c>
      <c r="G1348" s="4">
        <f>IFERROR(INDEX('Base de sorteio'!$D$3:$D$1723,MATCH($B1348&amp;"|"&amp;$C1348,'Base de sorteio'!$I$3:$I$1723,0)),"")</f>
        <v/>
      </c>
      <c r="H1348" s="4">
        <f>IFERROR(INDEX('Base de sorteio'!$E$3:$E$1723,MATCH($B1348&amp;"|"&amp;$C1348,'Base de sorteio'!$I$3:$I$1723,0)),"")</f>
        <v/>
      </c>
      <c r="I1348" s="4">
        <f>IF(E1348="","",HYPERLINK(IFERROR(INDEX('Base de sorteio'!$J$3:$J$1723,MATCH($B1348&amp;"|"&amp;$C1348,'Base de sorteio'!$I$3:$I$1723,0)),""),"abrir"))</f>
        <v/>
      </c>
      <c r="J1348" s="4" t="n"/>
      <c r="K1348" s="4" t="n"/>
      <c r="L1348" s="4" t="n"/>
      <c r="M1348" s="4" t="n"/>
      <c r="N1348" s="4">
        <f>IF(AND(K1348="",M1348=""),"",IF(OR(K1348="sim",M1348="sim"),"sim",IF(OR(K1348="inconclusivo",M1348="inconclusivo"),"inconclusivo","não")))</f>
        <v/>
      </c>
      <c r="O1348" s="5">
        <f>IF(N1348="sim",COUNTIFS($B$3:$B1348,$B1348,$N$3:$N1348,"sim"),"")</f>
        <v/>
      </c>
      <c r="P1348" s="5" t="n"/>
      <c r="Q1348" s="4" t="n"/>
      <c r="R1348" s="5" t="n"/>
      <c r="S1348" s="9" t="n"/>
      <c r="T1348" s="4" t="n"/>
    </row>
    <row r="1349">
      <c r="A1349" s="5">
        <f>ROW()-2</f>
        <v/>
      </c>
      <c r="B1349" s="4" t="inlineStr">
        <is>
          <t>Capital regional</t>
        </is>
      </c>
      <c r="C1349" s="5" t="n">
        <v>405</v>
      </c>
      <c r="D1349" s="5">
        <f>IFERROR(INDEX('Base de sorteio'!$A$3:$A$1723,MATCH($B1349&amp;"|"&amp;$C1349,'Base de sorteio'!$I$3:$I$1723,0)),"")</f>
        <v/>
      </c>
      <c r="E1349" s="4">
        <f>IFERROR(INDEX('Base de sorteio'!$B$3:$B$1723,MATCH($B1349&amp;"|"&amp;$C1349,'Base de sorteio'!$I$3:$I$1723,0)),"")</f>
        <v/>
      </c>
      <c r="F1349" s="4">
        <f>IFERROR(INDEX('Base de sorteio'!$C$3:$C$1723,MATCH($B1349&amp;"|"&amp;$C1349,'Base de sorteio'!$I$3:$I$1723,0)),"")</f>
        <v/>
      </c>
      <c r="G1349" s="4">
        <f>IFERROR(INDEX('Base de sorteio'!$D$3:$D$1723,MATCH($B1349&amp;"|"&amp;$C1349,'Base de sorteio'!$I$3:$I$1723,0)),"")</f>
        <v/>
      </c>
      <c r="H1349" s="4">
        <f>IFERROR(INDEX('Base de sorteio'!$E$3:$E$1723,MATCH($B1349&amp;"|"&amp;$C1349,'Base de sorteio'!$I$3:$I$1723,0)),"")</f>
        <v/>
      </c>
      <c r="I1349" s="4">
        <f>IF(E1349="","",HYPERLINK(IFERROR(INDEX('Base de sorteio'!$J$3:$J$1723,MATCH($B1349&amp;"|"&amp;$C1349,'Base de sorteio'!$I$3:$I$1723,0)),""),"abrir"))</f>
        <v/>
      </c>
      <c r="J1349" s="4" t="n"/>
      <c r="K1349" s="4" t="n"/>
      <c r="L1349" s="4" t="n"/>
      <c r="M1349" s="4" t="n"/>
      <c r="N1349" s="4">
        <f>IF(AND(K1349="",M1349=""),"",IF(OR(K1349="sim",M1349="sim"),"sim",IF(OR(K1349="inconclusivo",M1349="inconclusivo"),"inconclusivo","não")))</f>
        <v/>
      </c>
      <c r="O1349" s="5">
        <f>IF(N1349="sim",COUNTIFS($B$3:$B1349,$B1349,$N$3:$N1349,"sim"),"")</f>
        <v/>
      </c>
      <c r="P1349" s="5" t="n"/>
      <c r="Q1349" s="4" t="n"/>
      <c r="R1349" s="5" t="n"/>
      <c r="S1349" s="9" t="n"/>
      <c r="T1349" s="4" t="n"/>
    </row>
    <row r="1350">
      <c r="A1350" s="5">
        <f>ROW()-2</f>
        <v/>
      </c>
      <c r="B1350" s="4" t="inlineStr">
        <is>
          <t>Capital regional</t>
        </is>
      </c>
      <c r="C1350" s="5" t="n">
        <v>406</v>
      </c>
      <c r="D1350" s="5">
        <f>IFERROR(INDEX('Base de sorteio'!$A$3:$A$1723,MATCH($B1350&amp;"|"&amp;$C1350,'Base de sorteio'!$I$3:$I$1723,0)),"")</f>
        <v/>
      </c>
      <c r="E1350" s="4">
        <f>IFERROR(INDEX('Base de sorteio'!$B$3:$B$1723,MATCH($B1350&amp;"|"&amp;$C1350,'Base de sorteio'!$I$3:$I$1723,0)),"")</f>
        <v/>
      </c>
      <c r="F1350" s="4">
        <f>IFERROR(INDEX('Base de sorteio'!$C$3:$C$1723,MATCH($B1350&amp;"|"&amp;$C1350,'Base de sorteio'!$I$3:$I$1723,0)),"")</f>
        <v/>
      </c>
      <c r="G1350" s="4">
        <f>IFERROR(INDEX('Base de sorteio'!$D$3:$D$1723,MATCH($B1350&amp;"|"&amp;$C1350,'Base de sorteio'!$I$3:$I$1723,0)),"")</f>
        <v/>
      </c>
      <c r="H1350" s="4">
        <f>IFERROR(INDEX('Base de sorteio'!$E$3:$E$1723,MATCH($B1350&amp;"|"&amp;$C1350,'Base de sorteio'!$I$3:$I$1723,0)),"")</f>
        <v/>
      </c>
      <c r="I1350" s="4">
        <f>IF(E1350="","",HYPERLINK(IFERROR(INDEX('Base de sorteio'!$J$3:$J$1723,MATCH($B1350&amp;"|"&amp;$C1350,'Base de sorteio'!$I$3:$I$1723,0)),""),"abrir"))</f>
        <v/>
      </c>
      <c r="J1350" s="4" t="n"/>
      <c r="K1350" s="4" t="n"/>
      <c r="L1350" s="4" t="n"/>
      <c r="M1350" s="4" t="n"/>
      <c r="N1350" s="4">
        <f>IF(AND(K1350="",M1350=""),"",IF(OR(K1350="sim",M1350="sim"),"sim",IF(OR(K1350="inconclusivo",M1350="inconclusivo"),"inconclusivo","não")))</f>
        <v/>
      </c>
      <c r="O1350" s="5">
        <f>IF(N1350="sim",COUNTIFS($B$3:$B1350,$B1350,$N$3:$N1350,"sim"),"")</f>
        <v/>
      </c>
      <c r="P1350" s="5" t="n"/>
      <c r="Q1350" s="4" t="n"/>
      <c r="R1350" s="5" t="n"/>
      <c r="S1350" s="9" t="n"/>
      <c r="T1350" s="4" t="n"/>
    </row>
    <row r="1351">
      <c r="A1351" s="5">
        <f>ROW()-2</f>
        <v/>
      </c>
      <c r="B1351" s="4" t="inlineStr">
        <is>
          <t>Capital regional</t>
        </is>
      </c>
      <c r="C1351" s="5" t="n">
        <v>407</v>
      </c>
      <c r="D1351" s="5">
        <f>IFERROR(INDEX('Base de sorteio'!$A$3:$A$1723,MATCH($B1351&amp;"|"&amp;$C1351,'Base de sorteio'!$I$3:$I$1723,0)),"")</f>
        <v/>
      </c>
      <c r="E1351" s="4">
        <f>IFERROR(INDEX('Base de sorteio'!$B$3:$B$1723,MATCH($B1351&amp;"|"&amp;$C1351,'Base de sorteio'!$I$3:$I$1723,0)),"")</f>
        <v/>
      </c>
      <c r="F1351" s="4">
        <f>IFERROR(INDEX('Base de sorteio'!$C$3:$C$1723,MATCH($B1351&amp;"|"&amp;$C1351,'Base de sorteio'!$I$3:$I$1723,0)),"")</f>
        <v/>
      </c>
      <c r="G1351" s="4">
        <f>IFERROR(INDEX('Base de sorteio'!$D$3:$D$1723,MATCH($B1351&amp;"|"&amp;$C1351,'Base de sorteio'!$I$3:$I$1723,0)),"")</f>
        <v/>
      </c>
      <c r="H1351" s="4">
        <f>IFERROR(INDEX('Base de sorteio'!$E$3:$E$1723,MATCH($B1351&amp;"|"&amp;$C1351,'Base de sorteio'!$I$3:$I$1723,0)),"")</f>
        <v/>
      </c>
      <c r="I1351" s="4">
        <f>IF(E1351="","",HYPERLINK(IFERROR(INDEX('Base de sorteio'!$J$3:$J$1723,MATCH($B1351&amp;"|"&amp;$C1351,'Base de sorteio'!$I$3:$I$1723,0)),""),"abrir"))</f>
        <v/>
      </c>
      <c r="J1351" s="4" t="n"/>
      <c r="K1351" s="4" t="n"/>
      <c r="L1351" s="4" t="n"/>
      <c r="M1351" s="4" t="n"/>
      <c r="N1351" s="4">
        <f>IF(AND(K1351="",M1351=""),"",IF(OR(K1351="sim",M1351="sim"),"sim",IF(OR(K1351="inconclusivo",M1351="inconclusivo"),"inconclusivo","não")))</f>
        <v/>
      </c>
      <c r="O1351" s="5">
        <f>IF(N1351="sim",COUNTIFS($B$3:$B1351,$B1351,$N$3:$N1351,"sim"),"")</f>
        <v/>
      </c>
      <c r="P1351" s="5" t="n"/>
      <c r="Q1351" s="4" t="n"/>
      <c r="R1351" s="5" t="n"/>
      <c r="S1351" s="9" t="n"/>
      <c r="T1351" s="4" t="n"/>
    </row>
    <row r="1352">
      <c r="A1352" s="5">
        <f>ROW()-2</f>
        <v/>
      </c>
      <c r="B1352" s="4" t="inlineStr">
        <is>
          <t>Capital regional</t>
        </is>
      </c>
      <c r="C1352" s="5" t="n">
        <v>408</v>
      </c>
      <c r="D1352" s="5">
        <f>IFERROR(INDEX('Base de sorteio'!$A$3:$A$1723,MATCH($B1352&amp;"|"&amp;$C1352,'Base de sorteio'!$I$3:$I$1723,0)),"")</f>
        <v/>
      </c>
      <c r="E1352" s="4">
        <f>IFERROR(INDEX('Base de sorteio'!$B$3:$B$1723,MATCH($B1352&amp;"|"&amp;$C1352,'Base de sorteio'!$I$3:$I$1723,0)),"")</f>
        <v/>
      </c>
      <c r="F1352" s="4">
        <f>IFERROR(INDEX('Base de sorteio'!$C$3:$C$1723,MATCH($B1352&amp;"|"&amp;$C1352,'Base de sorteio'!$I$3:$I$1723,0)),"")</f>
        <v/>
      </c>
      <c r="G1352" s="4">
        <f>IFERROR(INDEX('Base de sorteio'!$D$3:$D$1723,MATCH($B1352&amp;"|"&amp;$C1352,'Base de sorteio'!$I$3:$I$1723,0)),"")</f>
        <v/>
      </c>
      <c r="H1352" s="4">
        <f>IFERROR(INDEX('Base de sorteio'!$E$3:$E$1723,MATCH($B1352&amp;"|"&amp;$C1352,'Base de sorteio'!$I$3:$I$1723,0)),"")</f>
        <v/>
      </c>
      <c r="I1352" s="4">
        <f>IF(E1352="","",HYPERLINK(IFERROR(INDEX('Base de sorteio'!$J$3:$J$1723,MATCH($B1352&amp;"|"&amp;$C1352,'Base de sorteio'!$I$3:$I$1723,0)),""),"abrir"))</f>
        <v/>
      </c>
      <c r="J1352" s="4" t="n"/>
      <c r="K1352" s="4" t="n"/>
      <c r="L1352" s="4" t="n"/>
      <c r="M1352" s="4" t="n"/>
      <c r="N1352" s="4">
        <f>IF(AND(K1352="",M1352=""),"",IF(OR(K1352="sim",M1352="sim"),"sim",IF(OR(K1352="inconclusivo",M1352="inconclusivo"),"inconclusivo","não")))</f>
        <v/>
      </c>
      <c r="O1352" s="5">
        <f>IF(N1352="sim",COUNTIFS($B$3:$B1352,$B1352,$N$3:$N1352,"sim"),"")</f>
        <v/>
      </c>
      <c r="P1352" s="5" t="n"/>
      <c r="Q1352" s="4" t="n"/>
      <c r="R1352" s="5" t="n"/>
      <c r="S1352" s="9" t="n"/>
      <c r="T1352" s="4" t="n"/>
    </row>
    <row r="1353">
      <c r="A1353" s="5">
        <f>ROW()-2</f>
        <v/>
      </c>
      <c r="B1353" s="4" t="inlineStr">
        <is>
          <t>Capital regional</t>
        </is>
      </c>
      <c r="C1353" s="5" t="n">
        <v>409</v>
      </c>
      <c r="D1353" s="5">
        <f>IFERROR(INDEX('Base de sorteio'!$A$3:$A$1723,MATCH($B1353&amp;"|"&amp;$C1353,'Base de sorteio'!$I$3:$I$1723,0)),"")</f>
        <v/>
      </c>
      <c r="E1353" s="4">
        <f>IFERROR(INDEX('Base de sorteio'!$B$3:$B$1723,MATCH($B1353&amp;"|"&amp;$C1353,'Base de sorteio'!$I$3:$I$1723,0)),"")</f>
        <v/>
      </c>
      <c r="F1353" s="4">
        <f>IFERROR(INDEX('Base de sorteio'!$C$3:$C$1723,MATCH($B1353&amp;"|"&amp;$C1353,'Base de sorteio'!$I$3:$I$1723,0)),"")</f>
        <v/>
      </c>
      <c r="G1353" s="4">
        <f>IFERROR(INDEX('Base de sorteio'!$D$3:$D$1723,MATCH($B1353&amp;"|"&amp;$C1353,'Base de sorteio'!$I$3:$I$1723,0)),"")</f>
        <v/>
      </c>
      <c r="H1353" s="4">
        <f>IFERROR(INDEX('Base de sorteio'!$E$3:$E$1723,MATCH($B1353&amp;"|"&amp;$C1353,'Base de sorteio'!$I$3:$I$1723,0)),"")</f>
        <v/>
      </c>
      <c r="I1353" s="4">
        <f>IF(E1353="","",HYPERLINK(IFERROR(INDEX('Base de sorteio'!$J$3:$J$1723,MATCH($B1353&amp;"|"&amp;$C1353,'Base de sorteio'!$I$3:$I$1723,0)),""),"abrir"))</f>
        <v/>
      </c>
      <c r="J1353" s="4" t="n"/>
      <c r="K1353" s="4" t="n"/>
      <c r="L1353" s="4" t="n"/>
      <c r="M1353" s="4" t="n"/>
      <c r="N1353" s="4">
        <f>IF(AND(K1353="",M1353=""),"",IF(OR(K1353="sim",M1353="sim"),"sim",IF(OR(K1353="inconclusivo",M1353="inconclusivo"),"inconclusivo","não")))</f>
        <v/>
      </c>
      <c r="O1353" s="5">
        <f>IF(N1353="sim",COUNTIFS($B$3:$B1353,$B1353,$N$3:$N1353,"sim"),"")</f>
        <v/>
      </c>
      <c r="P1353" s="5" t="n"/>
      <c r="Q1353" s="4" t="n"/>
      <c r="R1353" s="5" t="n"/>
      <c r="S1353" s="9" t="n"/>
      <c r="T1353" s="4" t="n"/>
    </row>
    <row r="1354">
      <c r="A1354" s="5">
        <f>ROW()-2</f>
        <v/>
      </c>
      <c r="B1354" s="4" t="inlineStr">
        <is>
          <t>Capital regional</t>
        </is>
      </c>
      <c r="C1354" s="5" t="n">
        <v>410</v>
      </c>
      <c r="D1354" s="5">
        <f>IFERROR(INDEX('Base de sorteio'!$A$3:$A$1723,MATCH($B1354&amp;"|"&amp;$C1354,'Base de sorteio'!$I$3:$I$1723,0)),"")</f>
        <v/>
      </c>
      <c r="E1354" s="4">
        <f>IFERROR(INDEX('Base de sorteio'!$B$3:$B$1723,MATCH($B1354&amp;"|"&amp;$C1354,'Base de sorteio'!$I$3:$I$1723,0)),"")</f>
        <v/>
      </c>
      <c r="F1354" s="4">
        <f>IFERROR(INDEX('Base de sorteio'!$C$3:$C$1723,MATCH($B1354&amp;"|"&amp;$C1354,'Base de sorteio'!$I$3:$I$1723,0)),"")</f>
        <v/>
      </c>
      <c r="G1354" s="4">
        <f>IFERROR(INDEX('Base de sorteio'!$D$3:$D$1723,MATCH($B1354&amp;"|"&amp;$C1354,'Base de sorteio'!$I$3:$I$1723,0)),"")</f>
        <v/>
      </c>
      <c r="H1354" s="4">
        <f>IFERROR(INDEX('Base de sorteio'!$E$3:$E$1723,MATCH($B1354&amp;"|"&amp;$C1354,'Base de sorteio'!$I$3:$I$1723,0)),"")</f>
        <v/>
      </c>
      <c r="I1354" s="4">
        <f>IF(E1354="","",HYPERLINK(IFERROR(INDEX('Base de sorteio'!$J$3:$J$1723,MATCH($B1354&amp;"|"&amp;$C1354,'Base de sorteio'!$I$3:$I$1723,0)),""),"abrir"))</f>
        <v/>
      </c>
      <c r="J1354" s="4" t="n"/>
      <c r="K1354" s="4" t="n"/>
      <c r="L1354" s="4" t="n"/>
      <c r="M1354" s="4" t="n"/>
      <c r="N1354" s="4">
        <f>IF(AND(K1354="",M1354=""),"",IF(OR(K1354="sim",M1354="sim"),"sim",IF(OR(K1354="inconclusivo",M1354="inconclusivo"),"inconclusivo","não")))</f>
        <v/>
      </c>
      <c r="O1354" s="5">
        <f>IF(N1354="sim",COUNTIFS($B$3:$B1354,$B1354,$N$3:$N1354,"sim"),"")</f>
        <v/>
      </c>
      <c r="P1354" s="5" t="n"/>
      <c r="Q1354" s="4" t="n"/>
      <c r="R1354" s="5" t="n"/>
      <c r="S1354" s="9" t="n"/>
      <c r="T1354" s="4" t="n"/>
    </row>
    <row r="1355">
      <c r="A1355" s="5">
        <f>ROW()-2</f>
        <v/>
      </c>
      <c r="B1355" s="4" t="inlineStr">
        <is>
          <t>Capital regional</t>
        </is>
      </c>
      <c r="C1355" s="5" t="n">
        <v>411</v>
      </c>
      <c r="D1355" s="5">
        <f>IFERROR(INDEX('Base de sorteio'!$A$3:$A$1723,MATCH($B1355&amp;"|"&amp;$C1355,'Base de sorteio'!$I$3:$I$1723,0)),"")</f>
        <v/>
      </c>
      <c r="E1355" s="4">
        <f>IFERROR(INDEX('Base de sorteio'!$B$3:$B$1723,MATCH($B1355&amp;"|"&amp;$C1355,'Base de sorteio'!$I$3:$I$1723,0)),"")</f>
        <v/>
      </c>
      <c r="F1355" s="4">
        <f>IFERROR(INDEX('Base de sorteio'!$C$3:$C$1723,MATCH($B1355&amp;"|"&amp;$C1355,'Base de sorteio'!$I$3:$I$1723,0)),"")</f>
        <v/>
      </c>
      <c r="G1355" s="4">
        <f>IFERROR(INDEX('Base de sorteio'!$D$3:$D$1723,MATCH($B1355&amp;"|"&amp;$C1355,'Base de sorteio'!$I$3:$I$1723,0)),"")</f>
        <v/>
      </c>
      <c r="H1355" s="4">
        <f>IFERROR(INDEX('Base de sorteio'!$E$3:$E$1723,MATCH($B1355&amp;"|"&amp;$C1355,'Base de sorteio'!$I$3:$I$1723,0)),"")</f>
        <v/>
      </c>
      <c r="I1355" s="4">
        <f>IF(E1355="","",HYPERLINK(IFERROR(INDEX('Base de sorteio'!$J$3:$J$1723,MATCH($B1355&amp;"|"&amp;$C1355,'Base de sorteio'!$I$3:$I$1723,0)),""),"abrir"))</f>
        <v/>
      </c>
      <c r="J1355" s="4" t="n"/>
      <c r="K1355" s="4" t="n"/>
      <c r="L1355" s="4" t="n"/>
      <c r="M1355" s="4" t="n"/>
      <c r="N1355" s="4">
        <f>IF(AND(K1355="",M1355=""),"",IF(OR(K1355="sim",M1355="sim"),"sim",IF(OR(K1355="inconclusivo",M1355="inconclusivo"),"inconclusivo","não")))</f>
        <v/>
      </c>
      <c r="O1355" s="5">
        <f>IF(N1355="sim",COUNTIFS($B$3:$B1355,$B1355,$N$3:$N1355,"sim"),"")</f>
        <v/>
      </c>
      <c r="P1355" s="5" t="n"/>
      <c r="Q1355" s="4" t="n"/>
      <c r="R1355" s="5" t="n"/>
      <c r="S1355" s="9" t="n"/>
      <c r="T1355" s="4" t="n"/>
    </row>
    <row r="1356">
      <c r="A1356" s="5">
        <f>ROW()-2</f>
        <v/>
      </c>
      <c r="B1356" s="4" t="inlineStr">
        <is>
          <t>Capital regional</t>
        </is>
      </c>
      <c r="C1356" s="5" t="n">
        <v>412</v>
      </c>
      <c r="D1356" s="5">
        <f>IFERROR(INDEX('Base de sorteio'!$A$3:$A$1723,MATCH($B1356&amp;"|"&amp;$C1356,'Base de sorteio'!$I$3:$I$1723,0)),"")</f>
        <v/>
      </c>
      <c r="E1356" s="4">
        <f>IFERROR(INDEX('Base de sorteio'!$B$3:$B$1723,MATCH($B1356&amp;"|"&amp;$C1356,'Base de sorteio'!$I$3:$I$1723,0)),"")</f>
        <v/>
      </c>
      <c r="F1356" s="4">
        <f>IFERROR(INDEX('Base de sorteio'!$C$3:$C$1723,MATCH($B1356&amp;"|"&amp;$C1356,'Base de sorteio'!$I$3:$I$1723,0)),"")</f>
        <v/>
      </c>
      <c r="G1356" s="4">
        <f>IFERROR(INDEX('Base de sorteio'!$D$3:$D$1723,MATCH($B1356&amp;"|"&amp;$C1356,'Base de sorteio'!$I$3:$I$1723,0)),"")</f>
        <v/>
      </c>
      <c r="H1356" s="4">
        <f>IFERROR(INDEX('Base de sorteio'!$E$3:$E$1723,MATCH($B1356&amp;"|"&amp;$C1356,'Base de sorteio'!$I$3:$I$1723,0)),"")</f>
        <v/>
      </c>
      <c r="I1356" s="4">
        <f>IF(E1356="","",HYPERLINK(IFERROR(INDEX('Base de sorteio'!$J$3:$J$1723,MATCH($B1356&amp;"|"&amp;$C1356,'Base de sorteio'!$I$3:$I$1723,0)),""),"abrir"))</f>
        <v/>
      </c>
      <c r="J1356" s="4" t="n"/>
      <c r="K1356" s="4" t="n"/>
      <c r="L1356" s="4" t="n"/>
      <c r="M1356" s="4" t="n"/>
      <c r="N1356" s="4">
        <f>IF(AND(K1356="",M1356=""),"",IF(OR(K1356="sim",M1356="sim"),"sim",IF(OR(K1356="inconclusivo",M1356="inconclusivo"),"inconclusivo","não")))</f>
        <v/>
      </c>
      <c r="O1356" s="5">
        <f>IF(N1356="sim",COUNTIFS($B$3:$B1356,$B1356,$N$3:$N1356,"sim"),"")</f>
        <v/>
      </c>
      <c r="P1356" s="5" t="n"/>
      <c r="Q1356" s="4" t="n"/>
      <c r="R1356" s="5" t="n"/>
      <c r="S1356" s="9" t="n"/>
      <c r="T1356" s="4" t="n"/>
    </row>
    <row r="1357">
      <c r="A1357" s="5">
        <f>ROW()-2</f>
        <v/>
      </c>
      <c r="B1357" s="4" t="inlineStr">
        <is>
          <t>Capital regional</t>
        </is>
      </c>
      <c r="C1357" s="5" t="n">
        <v>413</v>
      </c>
      <c r="D1357" s="5">
        <f>IFERROR(INDEX('Base de sorteio'!$A$3:$A$1723,MATCH($B1357&amp;"|"&amp;$C1357,'Base de sorteio'!$I$3:$I$1723,0)),"")</f>
        <v/>
      </c>
      <c r="E1357" s="4">
        <f>IFERROR(INDEX('Base de sorteio'!$B$3:$B$1723,MATCH($B1357&amp;"|"&amp;$C1357,'Base de sorteio'!$I$3:$I$1723,0)),"")</f>
        <v/>
      </c>
      <c r="F1357" s="4">
        <f>IFERROR(INDEX('Base de sorteio'!$C$3:$C$1723,MATCH($B1357&amp;"|"&amp;$C1357,'Base de sorteio'!$I$3:$I$1723,0)),"")</f>
        <v/>
      </c>
      <c r="G1357" s="4">
        <f>IFERROR(INDEX('Base de sorteio'!$D$3:$D$1723,MATCH($B1357&amp;"|"&amp;$C1357,'Base de sorteio'!$I$3:$I$1723,0)),"")</f>
        <v/>
      </c>
      <c r="H1357" s="4">
        <f>IFERROR(INDEX('Base de sorteio'!$E$3:$E$1723,MATCH($B1357&amp;"|"&amp;$C1357,'Base de sorteio'!$I$3:$I$1723,0)),"")</f>
        <v/>
      </c>
      <c r="I1357" s="4">
        <f>IF(E1357="","",HYPERLINK(IFERROR(INDEX('Base de sorteio'!$J$3:$J$1723,MATCH($B1357&amp;"|"&amp;$C1357,'Base de sorteio'!$I$3:$I$1723,0)),""),"abrir"))</f>
        <v/>
      </c>
      <c r="J1357" s="4" t="n"/>
      <c r="K1357" s="4" t="n"/>
      <c r="L1357" s="4" t="n"/>
      <c r="M1357" s="4" t="n"/>
      <c r="N1357" s="4">
        <f>IF(AND(K1357="",M1357=""),"",IF(OR(K1357="sim",M1357="sim"),"sim",IF(OR(K1357="inconclusivo",M1357="inconclusivo"),"inconclusivo","não")))</f>
        <v/>
      </c>
      <c r="O1357" s="5">
        <f>IF(N1357="sim",COUNTIFS($B$3:$B1357,$B1357,$N$3:$N1357,"sim"),"")</f>
        <v/>
      </c>
      <c r="P1357" s="5" t="n"/>
      <c r="Q1357" s="4" t="n"/>
      <c r="R1357" s="5" t="n"/>
      <c r="S1357" s="9" t="n"/>
      <c r="T1357" s="4" t="n"/>
    </row>
    <row r="1358">
      <c r="A1358" s="5">
        <f>ROW()-2</f>
        <v/>
      </c>
      <c r="B1358" s="4" t="inlineStr">
        <is>
          <t>Capital regional</t>
        </is>
      </c>
      <c r="C1358" s="5" t="n">
        <v>414</v>
      </c>
      <c r="D1358" s="5">
        <f>IFERROR(INDEX('Base de sorteio'!$A$3:$A$1723,MATCH($B1358&amp;"|"&amp;$C1358,'Base de sorteio'!$I$3:$I$1723,0)),"")</f>
        <v/>
      </c>
      <c r="E1358" s="4">
        <f>IFERROR(INDEX('Base de sorteio'!$B$3:$B$1723,MATCH($B1358&amp;"|"&amp;$C1358,'Base de sorteio'!$I$3:$I$1723,0)),"")</f>
        <v/>
      </c>
      <c r="F1358" s="4">
        <f>IFERROR(INDEX('Base de sorteio'!$C$3:$C$1723,MATCH($B1358&amp;"|"&amp;$C1358,'Base de sorteio'!$I$3:$I$1723,0)),"")</f>
        <v/>
      </c>
      <c r="G1358" s="4">
        <f>IFERROR(INDEX('Base de sorteio'!$D$3:$D$1723,MATCH($B1358&amp;"|"&amp;$C1358,'Base de sorteio'!$I$3:$I$1723,0)),"")</f>
        <v/>
      </c>
      <c r="H1358" s="4">
        <f>IFERROR(INDEX('Base de sorteio'!$E$3:$E$1723,MATCH($B1358&amp;"|"&amp;$C1358,'Base de sorteio'!$I$3:$I$1723,0)),"")</f>
        <v/>
      </c>
      <c r="I1358" s="4">
        <f>IF(E1358="","",HYPERLINK(IFERROR(INDEX('Base de sorteio'!$J$3:$J$1723,MATCH($B1358&amp;"|"&amp;$C1358,'Base de sorteio'!$I$3:$I$1723,0)),""),"abrir"))</f>
        <v/>
      </c>
      <c r="J1358" s="4" t="n"/>
      <c r="K1358" s="4" t="n"/>
      <c r="L1358" s="4" t="n"/>
      <c r="M1358" s="4" t="n"/>
      <c r="N1358" s="4">
        <f>IF(AND(K1358="",M1358=""),"",IF(OR(K1358="sim",M1358="sim"),"sim",IF(OR(K1358="inconclusivo",M1358="inconclusivo"),"inconclusivo","não")))</f>
        <v/>
      </c>
      <c r="O1358" s="5">
        <f>IF(N1358="sim",COUNTIFS($B$3:$B1358,$B1358,$N$3:$N1358,"sim"),"")</f>
        <v/>
      </c>
      <c r="P1358" s="5" t="n"/>
      <c r="Q1358" s="4" t="n"/>
      <c r="R1358" s="5" t="n"/>
      <c r="S1358" s="9" t="n"/>
      <c r="T1358" s="4" t="n"/>
    </row>
    <row r="1359">
      <c r="A1359" s="5">
        <f>ROW()-2</f>
        <v/>
      </c>
      <c r="B1359" s="4" t="inlineStr">
        <is>
          <t>Capital regional</t>
        </is>
      </c>
      <c r="C1359" s="5" t="n">
        <v>415</v>
      </c>
      <c r="D1359" s="5">
        <f>IFERROR(INDEX('Base de sorteio'!$A$3:$A$1723,MATCH($B1359&amp;"|"&amp;$C1359,'Base de sorteio'!$I$3:$I$1723,0)),"")</f>
        <v/>
      </c>
      <c r="E1359" s="4">
        <f>IFERROR(INDEX('Base de sorteio'!$B$3:$B$1723,MATCH($B1359&amp;"|"&amp;$C1359,'Base de sorteio'!$I$3:$I$1723,0)),"")</f>
        <v/>
      </c>
      <c r="F1359" s="4">
        <f>IFERROR(INDEX('Base de sorteio'!$C$3:$C$1723,MATCH($B1359&amp;"|"&amp;$C1359,'Base de sorteio'!$I$3:$I$1723,0)),"")</f>
        <v/>
      </c>
      <c r="G1359" s="4">
        <f>IFERROR(INDEX('Base de sorteio'!$D$3:$D$1723,MATCH($B1359&amp;"|"&amp;$C1359,'Base de sorteio'!$I$3:$I$1723,0)),"")</f>
        <v/>
      </c>
      <c r="H1359" s="4">
        <f>IFERROR(INDEX('Base de sorteio'!$E$3:$E$1723,MATCH($B1359&amp;"|"&amp;$C1359,'Base de sorteio'!$I$3:$I$1723,0)),"")</f>
        <v/>
      </c>
      <c r="I1359" s="4">
        <f>IF(E1359="","",HYPERLINK(IFERROR(INDEX('Base de sorteio'!$J$3:$J$1723,MATCH($B1359&amp;"|"&amp;$C1359,'Base de sorteio'!$I$3:$I$1723,0)),""),"abrir"))</f>
        <v/>
      </c>
      <c r="J1359" s="4" t="n"/>
      <c r="K1359" s="4" t="n"/>
      <c r="L1359" s="4" t="n"/>
      <c r="M1359" s="4" t="n"/>
      <c r="N1359" s="4">
        <f>IF(AND(K1359="",M1359=""),"",IF(OR(K1359="sim",M1359="sim"),"sim",IF(OR(K1359="inconclusivo",M1359="inconclusivo"),"inconclusivo","não")))</f>
        <v/>
      </c>
      <c r="O1359" s="5">
        <f>IF(N1359="sim",COUNTIFS($B$3:$B1359,$B1359,$N$3:$N1359,"sim"),"")</f>
        <v/>
      </c>
      <c r="P1359" s="5" t="n"/>
      <c r="Q1359" s="4" t="n"/>
      <c r="R1359" s="5" t="n"/>
      <c r="S1359" s="9" t="n"/>
      <c r="T1359" s="4" t="n"/>
    </row>
    <row r="1360">
      <c r="A1360" s="5">
        <f>ROW()-2</f>
        <v/>
      </c>
      <c r="B1360" s="4" t="inlineStr">
        <is>
          <t>Capital regional</t>
        </is>
      </c>
      <c r="C1360" s="5" t="n">
        <v>416</v>
      </c>
      <c r="D1360" s="5">
        <f>IFERROR(INDEX('Base de sorteio'!$A$3:$A$1723,MATCH($B1360&amp;"|"&amp;$C1360,'Base de sorteio'!$I$3:$I$1723,0)),"")</f>
        <v/>
      </c>
      <c r="E1360" s="4">
        <f>IFERROR(INDEX('Base de sorteio'!$B$3:$B$1723,MATCH($B1360&amp;"|"&amp;$C1360,'Base de sorteio'!$I$3:$I$1723,0)),"")</f>
        <v/>
      </c>
      <c r="F1360" s="4">
        <f>IFERROR(INDEX('Base de sorteio'!$C$3:$C$1723,MATCH($B1360&amp;"|"&amp;$C1360,'Base de sorteio'!$I$3:$I$1723,0)),"")</f>
        <v/>
      </c>
      <c r="G1360" s="4">
        <f>IFERROR(INDEX('Base de sorteio'!$D$3:$D$1723,MATCH($B1360&amp;"|"&amp;$C1360,'Base de sorteio'!$I$3:$I$1723,0)),"")</f>
        <v/>
      </c>
      <c r="H1360" s="4">
        <f>IFERROR(INDEX('Base de sorteio'!$E$3:$E$1723,MATCH($B1360&amp;"|"&amp;$C1360,'Base de sorteio'!$I$3:$I$1723,0)),"")</f>
        <v/>
      </c>
      <c r="I1360" s="4">
        <f>IF(E1360="","",HYPERLINK(IFERROR(INDEX('Base de sorteio'!$J$3:$J$1723,MATCH($B1360&amp;"|"&amp;$C1360,'Base de sorteio'!$I$3:$I$1723,0)),""),"abrir"))</f>
        <v/>
      </c>
      <c r="J1360" s="4" t="n"/>
      <c r="K1360" s="4" t="n"/>
      <c r="L1360" s="4" t="n"/>
      <c r="M1360" s="4" t="n"/>
      <c r="N1360" s="4">
        <f>IF(AND(K1360="",M1360=""),"",IF(OR(K1360="sim",M1360="sim"),"sim",IF(OR(K1360="inconclusivo",M1360="inconclusivo"),"inconclusivo","não")))</f>
        <v/>
      </c>
      <c r="O1360" s="5">
        <f>IF(N1360="sim",COUNTIFS($B$3:$B1360,$B1360,$N$3:$N1360,"sim"),"")</f>
        <v/>
      </c>
      <c r="P1360" s="5" t="n"/>
      <c r="Q1360" s="4" t="n"/>
      <c r="R1360" s="5" t="n"/>
      <c r="S1360" s="9" t="n"/>
      <c r="T1360" s="4" t="n"/>
    </row>
    <row r="1361">
      <c r="A1361" s="5">
        <f>ROW()-2</f>
        <v/>
      </c>
      <c r="B1361" s="4" t="inlineStr">
        <is>
          <t>Capital regional</t>
        </is>
      </c>
      <c r="C1361" s="5" t="n">
        <v>417</v>
      </c>
      <c r="D1361" s="5">
        <f>IFERROR(INDEX('Base de sorteio'!$A$3:$A$1723,MATCH($B1361&amp;"|"&amp;$C1361,'Base de sorteio'!$I$3:$I$1723,0)),"")</f>
        <v/>
      </c>
      <c r="E1361" s="4">
        <f>IFERROR(INDEX('Base de sorteio'!$B$3:$B$1723,MATCH($B1361&amp;"|"&amp;$C1361,'Base de sorteio'!$I$3:$I$1723,0)),"")</f>
        <v/>
      </c>
      <c r="F1361" s="4">
        <f>IFERROR(INDEX('Base de sorteio'!$C$3:$C$1723,MATCH($B1361&amp;"|"&amp;$C1361,'Base de sorteio'!$I$3:$I$1723,0)),"")</f>
        <v/>
      </c>
      <c r="G1361" s="4">
        <f>IFERROR(INDEX('Base de sorteio'!$D$3:$D$1723,MATCH($B1361&amp;"|"&amp;$C1361,'Base de sorteio'!$I$3:$I$1723,0)),"")</f>
        <v/>
      </c>
      <c r="H1361" s="4">
        <f>IFERROR(INDEX('Base de sorteio'!$E$3:$E$1723,MATCH($B1361&amp;"|"&amp;$C1361,'Base de sorteio'!$I$3:$I$1723,0)),"")</f>
        <v/>
      </c>
      <c r="I1361" s="4">
        <f>IF(E1361="","",HYPERLINK(IFERROR(INDEX('Base de sorteio'!$J$3:$J$1723,MATCH($B1361&amp;"|"&amp;$C1361,'Base de sorteio'!$I$3:$I$1723,0)),""),"abrir"))</f>
        <v/>
      </c>
      <c r="J1361" s="4" t="n"/>
      <c r="K1361" s="4" t="n"/>
      <c r="L1361" s="4" t="n"/>
      <c r="M1361" s="4" t="n"/>
      <c r="N1361" s="4">
        <f>IF(AND(K1361="",M1361=""),"",IF(OR(K1361="sim",M1361="sim"),"sim",IF(OR(K1361="inconclusivo",M1361="inconclusivo"),"inconclusivo","não")))</f>
        <v/>
      </c>
      <c r="O1361" s="5">
        <f>IF(N1361="sim",COUNTIFS($B$3:$B1361,$B1361,$N$3:$N1361,"sim"),"")</f>
        <v/>
      </c>
      <c r="P1361" s="5" t="n"/>
      <c r="Q1361" s="4" t="n"/>
      <c r="R1361" s="5" t="n"/>
      <c r="S1361" s="9" t="n"/>
      <c r="T1361" s="4" t="n"/>
    </row>
    <row r="1362">
      <c r="A1362" s="5">
        <f>ROW()-2</f>
        <v/>
      </c>
      <c r="B1362" s="4" t="inlineStr">
        <is>
          <t>Capital regional</t>
        </is>
      </c>
      <c r="C1362" s="5" t="n">
        <v>418</v>
      </c>
      <c r="D1362" s="5">
        <f>IFERROR(INDEX('Base de sorteio'!$A$3:$A$1723,MATCH($B1362&amp;"|"&amp;$C1362,'Base de sorteio'!$I$3:$I$1723,0)),"")</f>
        <v/>
      </c>
      <c r="E1362" s="4">
        <f>IFERROR(INDEX('Base de sorteio'!$B$3:$B$1723,MATCH($B1362&amp;"|"&amp;$C1362,'Base de sorteio'!$I$3:$I$1723,0)),"")</f>
        <v/>
      </c>
      <c r="F1362" s="4">
        <f>IFERROR(INDEX('Base de sorteio'!$C$3:$C$1723,MATCH($B1362&amp;"|"&amp;$C1362,'Base de sorteio'!$I$3:$I$1723,0)),"")</f>
        <v/>
      </c>
      <c r="G1362" s="4">
        <f>IFERROR(INDEX('Base de sorteio'!$D$3:$D$1723,MATCH($B1362&amp;"|"&amp;$C1362,'Base de sorteio'!$I$3:$I$1723,0)),"")</f>
        <v/>
      </c>
      <c r="H1362" s="4">
        <f>IFERROR(INDEX('Base de sorteio'!$E$3:$E$1723,MATCH($B1362&amp;"|"&amp;$C1362,'Base de sorteio'!$I$3:$I$1723,0)),"")</f>
        <v/>
      </c>
      <c r="I1362" s="4">
        <f>IF(E1362="","",HYPERLINK(IFERROR(INDEX('Base de sorteio'!$J$3:$J$1723,MATCH($B1362&amp;"|"&amp;$C1362,'Base de sorteio'!$I$3:$I$1723,0)),""),"abrir"))</f>
        <v/>
      </c>
      <c r="J1362" s="4" t="n"/>
      <c r="K1362" s="4" t="n"/>
      <c r="L1362" s="4" t="n"/>
      <c r="M1362" s="4" t="n"/>
      <c r="N1362" s="4">
        <f>IF(AND(K1362="",M1362=""),"",IF(OR(K1362="sim",M1362="sim"),"sim",IF(OR(K1362="inconclusivo",M1362="inconclusivo"),"inconclusivo","não")))</f>
        <v/>
      </c>
      <c r="O1362" s="5">
        <f>IF(N1362="sim",COUNTIFS($B$3:$B1362,$B1362,$N$3:$N1362,"sim"),"")</f>
        <v/>
      </c>
      <c r="P1362" s="5" t="n"/>
      <c r="Q1362" s="4" t="n"/>
      <c r="R1362" s="5" t="n"/>
      <c r="S1362" s="9" t="n"/>
      <c r="T1362" s="4" t="n"/>
    </row>
    <row r="1363">
      <c r="A1363" s="5">
        <f>ROW()-2</f>
        <v/>
      </c>
      <c r="B1363" s="4" t="inlineStr">
        <is>
          <t>Capital regional</t>
        </is>
      </c>
      <c r="C1363" s="5" t="n">
        <v>419</v>
      </c>
      <c r="D1363" s="5">
        <f>IFERROR(INDEX('Base de sorteio'!$A$3:$A$1723,MATCH($B1363&amp;"|"&amp;$C1363,'Base de sorteio'!$I$3:$I$1723,0)),"")</f>
        <v/>
      </c>
      <c r="E1363" s="4">
        <f>IFERROR(INDEX('Base de sorteio'!$B$3:$B$1723,MATCH($B1363&amp;"|"&amp;$C1363,'Base de sorteio'!$I$3:$I$1723,0)),"")</f>
        <v/>
      </c>
      <c r="F1363" s="4">
        <f>IFERROR(INDEX('Base de sorteio'!$C$3:$C$1723,MATCH($B1363&amp;"|"&amp;$C1363,'Base de sorteio'!$I$3:$I$1723,0)),"")</f>
        <v/>
      </c>
      <c r="G1363" s="4">
        <f>IFERROR(INDEX('Base de sorteio'!$D$3:$D$1723,MATCH($B1363&amp;"|"&amp;$C1363,'Base de sorteio'!$I$3:$I$1723,0)),"")</f>
        <v/>
      </c>
      <c r="H1363" s="4">
        <f>IFERROR(INDEX('Base de sorteio'!$E$3:$E$1723,MATCH($B1363&amp;"|"&amp;$C1363,'Base de sorteio'!$I$3:$I$1723,0)),"")</f>
        <v/>
      </c>
      <c r="I1363" s="4">
        <f>IF(E1363="","",HYPERLINK(IFERROR(INDEX('Base de sorteio'!$J$3:$J$1723,MATCH($B1363&amp;"|"&amp;$C1363,'Base de sorteio'!$I$3:$I$1723,0)),""),"abrir"))</f>
        <v/>
      </c>
      <c r="J1363" s="4" t="n"/>
      <c r="K1363" s="4" t="n"/>
      <c r="L1363" s="4" t="n"/>
      <c r="M1363" s="4" t="n"/>
      <c r="N1363" s="4">
        <f>IF(AND(K1363="",M1363=""),"",IF(OR(K1363="sim",M1363="sim"),"sim",IF(OR(K1363="inconclusivo",M1363="inconclusivo"),"inconclusivo","não")))</f>
        <v/>
      </c>
      <c r="O1363" s="5">
        <f>IF(N1363="sim",COUNTIFS($B$3:$B1363,$B1363,$N$3:$N1363,"sim"),"")</f>
        <v/>
      </c>
      <c r="P1363" s="5" t="n"/>
      <c r="Q1363" s="4" t="n"/>
      <c r="R1363" s="5" t="n"/>
      <c r="S1363" s="9" t="n"/>
      <c r="T1363" s="4" t="n"/>
    </row>
    <row r="1364">
      <c r="A1364" s="5">
        <f>ROW()-2</f>
        <v/>
      </c>
      <c r="B1364" s="4" t="inlineStr">
        <is>
          <t>Capital regional</t>
        </is>
      </c>
      <c r="C1364" s="5" t="n">
        <v>420</v>
      </c>
      <c r="D1364" s="5">
        <f>IFERROR(INDEX('Base de sorteio'!$A$3:$A$1723,MATCH($B1364&amp;"|"&amp;$C1364,'Base de sorteio'!$I$3:$I$1723,0)),"")</f>
        <v/>
      </c>
      <c r="E1364" s="4">
        <f>IFERROR(INDEX('Base de sorteio'!$B$3:$B$1723,MATCH($B1364&amp;"|"&amp;$C1364,'Base de sorteio'!$I$3:$I$1723,0)),"")</f>
        <v/>
      </c>
      <c r="F1364" s="4">
        <f>IFERROR(INDEX('Base de sorteio'!$C$3:$C$1723,MATCH($B1364&amp;"|"&amp;$C1364,'Base de sorteio'!$I$3:$I$1723,0)),"")</f>
        <v/>
      </c>
      <c r="G1364" s="4">
        <f>IFERROR(INDEX('Base de sorteio'!$D$3:$D$1723,MATCH($B1364&amp;"|"&amp;$C1364,'Base de sorteio'!$I$3:$I$1723,0)),"")</f>
        <v/>
      </c>
      <c r="H1364" s="4">
        <f>IFERROR(INDEX('Base de sorteio'!$E$3:$E$1723,MATCH($B1364&amp;"|"&amp;$C1364,'Base de sorteio'!$I$3:$I$1723,0)),"")</f>
        <v/>
      </c>
      <c r="I1364" s="4">
        <f>IF(E1364="","",HYPERLINK(IFERROR(INDEX('Base de sorteio'!$J$3:$J$1723,MATCH($B1364&amp;"|"&amp;$C1364,'Base de sorteio'!$I$3:$I$1723,0)),""),"abrir"))</f>
        <v/>
      </c>
      <c r="J1364" s="4" t="n"/>
      <c r="K1364" s="4" t="n"/>
      <c r="L1364" s="4" t="n"/>
      <c r="M1364" s="4" t="n"/>
      <c r="N1364" s="4">
        <f>IF(AND(K1364="",M1364=""),"",IF(OR(K1364="sim",M1364="sim"),"sim",IF(OR(K1364="inconclusivo",M1364="inconclusivo"),"inconclusivo","não")))</f>
        <v/>
      </c>
      <c r="O1364" s="5">
        <f>IF(N1364="sim",COUNTIFS($B$3:$B1364,$B1364,$N$3:$N1364,"sim"),"")</f>
        <v/>
      </c>
      <c r="P1364" s="5" t="n"/>
      <c r="Q1364" s="4" t="n"/>
      <c r="R1364" s="5" t="n"/>
      <c r="S1364" s="9" t="n"/>
      <c r="T1364" s="4" t="n"/>
    </row>
    <row r="1365">
      <c r="A1365" s="5">
        <f>ROW()-2</f>
        <v/>
      </c>
      <c r="B1365" s="4" t="inlineStr">
        <is>
          <t>Capital regional</t>
        </is>
      </c>
      <c r="C1365" s="5" t="n">
        <v>421</v>
      </c>
      <c r="D1365" s="5">
        <f>IFERROR(INDEX('Base de sorteio'!$A$3:$A$1723,MATCH($B1365&amp;"|"&amp;$C1365,'Base de sorteio'!$I$3:$I$1723,0)),"")</f>
        <v/>
      </c>
      <c r="E1365" s="4">
        <f>IFERROR(INDEX('Base de sorteio'!$B$3:$B$1723,MATCH($B1365&amp;"|"&amp;$C1365,'Base de sorteio'!$I$3:$I$1723,0)),"")</f>
        <v/>
      </c>
      <c r="F1365" s="4">
        <f>IFERROR(INDEX('Base de sorteio'!$C$3:$C$1723,MATCH($B1365&amp;"|"&amp;$C1365,'Base de sorteio'!$I$3:$I$1723,0)),"")</f>
        <v/>
      </c>
      <c r="G1365" s="4">
        <f>IFERROR(INDEX('Base de sorteio'!$D$3:$D$1723,MATCH($B1365&amp;"|"&amp;$C1365,'Base de sorteio'!$I$3:$I$1723,0)),"")</f>
        <v/>
      </c>
      <c r="H1365" s="4">
        <f>IFERROR(INDEX('Base de sorteio'!$E$3:$E$1723,MATCH($B1365&amp;"|"&amp;$C1365,'Base de sorteio'!$I$3:$I$1723,0)),"")</f>
        <v/>
      </c>
      <c r="I1365" s="4">
        <f>IF(E1365="","",HYPERLINK(IFERROR(INDEX('Base de sorteio'!$J$3:$J$1723,MATCH($B1365&amp;"|"&amp;$C1365,'Base de sorteio'!$I$3:$I$1723,0)),""),"abrir"))</f>
        <v/>
      </c>
      <c r="J1365" s="4" t="n"/>
      <c r="K1365" s="4" t="n"/>
      <c r="L1365" s="4" t="n"/>
      <c r="M1365" s="4" t="n"/>
      <c r="N1365" s="4">
        <f>IF(AND(K1365="",M1365=""),"",IF(OR(K1365="sim",M1365="sim"),"sim",IF(OR(K1365="inconclusivo",M1365="inconclusivo"),"inconclusivo","não")))</f>
        <v/>
      </c>
      <c r="O1365" s="5">
        <f>IF(N1365="sim",COUNTIFS($B$3:$B1365,$B1365,$N$3:$N1365,"sim"),"")</f>
        <v/>
      </c>
      <c r="P1365" s="5" t="n"/>
      <c r="Q1365" s="4" t="n"/>
      <c r="R1365" s="5" t="n"/>
      <c r="S1365" s="9" t="n"/>
      <c r="T1365" s="4" t="n"/>
    </row>
    <row r="1366">
      <c r="A1366" s="5">
        <f>ROW()-2</f>
        <v/>
      </c>
      <c r="B1366" s="4" t="inlineStr">
        <is>
          <t>Capital regional</t>
        </is>
      </c>
      <c r="C1366" s="5" t="n">
        <v>422</v>
      </c>
      <c r="D1366" s="5">
        <f>IFERROR(INDEX('Base de sorteio'!$A$3:$A$1723,MATCH($B1366&amp;"|"&amp;$C1366,'Base de sorteio'!$I$3:$I$1723,0)),"")</f>
        <v/>
      </c>
      <c r="E1366" s="4">
        <f>IFERROR(INDEX('Base de sorteio'!$B$3:$B$1723,MATCH($B1366&amp;"|"&amp;$C1366,'Base de sorteio'!$I$3:$I$1723,0)),"")</f>
        <v/>
      </c>
      <c r="F1366" s="4">
        <f>IFERROR(INDEX('Base de sorteio'!$C$3:$C$1723,MATCH($B1366&amp;"|"&amp;$C1366,'Base de sorteio'!$I$3:$I$1723,0)),"")</f>
        <v/>
      </c>
      <c r="G1366" s="4">
        <f>IFERROR(INDEX('Base de sorteio'!$D$3:$D$1723,MATCH($B1366&amp;"|"&amp;$C1366,'Base de sorteio'!$I$3:$I$1723,0)),"")</f>
        <v/>
      </c>
      <c r="H1366" s="4">
        <f>IFERROR(INDEX('Base de sorteio'!$E$3:$E$1723,MATCH($B1366&amp;"|"&amp;$C1366,'Base de sorteio'!$I$3:$I$1723,0)),"")</f>
        <v/>
      </c>
      <c r="I1366" s="4">
        <f>IF(E1366="","",HYPERLINK(IFERROR(INDEX('Base de sorteio'!$J$3:$J$1723,MATCH($B1366&amp;"|"&amp;$C1366,'Base de sorteio'!$I$3:$I$1723,0)),""),"abrir"))</f>
        <v/>
      </c>
      <c r="J1366" s="4" t="n"/>
      <c r="K1366" s="4" t="n"/>
      <c r="L1366" s="4" t="n"/>
      <c r="M1366" s="4" t="n"/>
      <c r="N1366" s="4">
        <f>IF(AND(K1366="",M1366=""),"",IF(OR(K1366="sim",M1366="sim"),"sim",IF(OR(K1366="inconclusivo",M1366="inconclusivo"),"inconclusivo","não")))</f>
        <v/>
      </c>
      <c r="O1366" s="5">
        <f>IF(N1366="sim",COUNTIFS($B$3:$B1366,$B1366,$N$3:$N1366,"sim"),"")</f>
        <v/>
      </c>
      <c r="P1366" s="5" t="n"/>
      <c r="Q1366" s="4" t="n"/>
      <c r="R1366" s="5" t="n"/>
      <c r="S1366" s="9" t="n"/>
      <c r="T1366" s="4" t="n"/>
    </row>
    <row r="1367">
      <c r="A1367" s="5">
        <f>ROW()-2</f>
        <v/>
      </c>
      <c r="B1367" s="4" t="inlineStr">
        <is>
          <t>Capital regional</t>
        </is>
      </c>
      <c r="C1367" s="5" t="n">
        <v>423</v>
      </c>
      <c r="D1367" s="5">
        <f>IFERROR(INDEX('Base de sorteio'!$A$3:$A$1723,MATCH($B1367&amp;"|"&amp;$C1367,'Base de sorteio'!$I$3:$I$1723,0)),"")</f>
        <v/>
      </c>
      <c r="E1367" s="4">
        <f>IFERROR(INDEX('Base de sorteio'!$B$3:$B$1723,MATCH($B1367&amp;"|"&amp;$C1367,'Base de sorteio'!$I$3:$I$1723,0)),"")</f>
        <v/>
      </c>
      <c r="F1367" s="4">
        <f>IFERROR(INDEX('Base de sorteio'!$C$3:$C$1723,MATCH($B1367&amp;"|"&amp;$C1367,'Base de sorteio'!$I$3:$I$1723,0)),"")</f>
        <v/>
      </c>
      <c r="G1367" s="4">
        <f>IFERROR(INDEX('Base de sorteio'!$D$3:$D$1723,MATCH($B1367&amp;"|"&amp;$C1367,'Base de sorteio'!$I$3:$I$1723,0)),"")</f>
        <v/>
      </c>
      <c r="H1367" s="4">
        <f>IFERROR(INDEX('Base de sorteio'!$E$3:$E$1723,MATCH($B1367&amp;"|"&amp;$C1367,'Base de sorteio'!$I$3:$I$1723,0)),"")</f>
        <v/>
      </c>
      <c r="I1367" s="4">
        <f>IF(E1367="","",HYPERLINK(IFERROR(INDEX('Base de sorteio'!$J$3:$J$1723,MATCH($B1367&amp;"|"&amp;$C1367,'Base de sorteio'!$I$3:$I$1723,0)),""),"abrir"))</f>
        <v/>
      </c>
      <c r="J1367" s="4" t="n"/>
      <c r="K1367" s="4" t="n"/>
      <c r="L1367" s="4" t="n"/>
      <c r="M1367" s="4" t="n"/>
      <c r="N1367" s="4">
        <f>IF(AND(K1367="",M1367=""),"",IF(OR(K1367="sim",M1367="sim"),"sim",IF(OR(K1367="inconclusivo",M1367="inconclusivo"),"inconclusivo","não")))</f>
        <v/>
      </c>
      <c r="O1367" s="5">
        <f>IF(N1367="sim",COUNTIFS($B$3:$B1367,$B1367,$N$3:$N1367,"sim"),"")</f>
        <v/>
      </c>
      <c r="P1367" s="5" t="n"/>
      <c r="Q1367" s="4" t="n"/>
      <c r="R1367" s="5" t="n"/>
      <c r="S1367" s="9" t="n"/>
      <c r="T1367" s="4" t="n"/>
    </row>
    <row r="1368">
      <c r="A1368" s="5">
        <f>ROW()-2</f>
        <v/>
      </c>
      <c r="B1368" s="4" t="inlineStr">
        <is>
          <t>Capital regional</t>
        </is>
      </c>
      <c r="C1368" s="5" t="n">
        <v>424</v>
      </c>
      <c r="D1368" s="5">
        <f>IFERROR(INDEX('Base de sorteio'!$A$3:$A$1723,MATCH($B1368&amp;"|"&amp;$C1368,'Base de sorteio'!$I$3:$I$1723,0)),"")</f>
        <v/>
      </c>
      <c r="E1368" s="4">
        <f>IFERROR(INDEX('Base de sorteio'!$B$3:$B$1723,MATCH($B1368&amp;"|"&amp;$C1368,'Base de sorteio'!$I$3:$I$1723,0)),"")</f>
        <v/>
      </c>
      <c r="F1368" s="4">
        <f>IFERROR(INDEX('Base de sorteio'!$C$3:$C$1723,MATCH($B1368&amp;"|"&amp;$C1368,'Base de sorteio'!$I$3:$I$1723,0)),"")</f>
        <v/>
      </c>
      <c r="G1368" s="4">
        <f>IFERROR(INDEX('Base de sorteio'!$D$3:$D$1723,MATCH($B1368&amp;"|"&amp;$C1368,'Base de sorteio'!$I$3:$I$1723,0)),"")</f>
        <v/>
      </c>
      <c r="H1368" s="4">
        <f>IFERROR(INDEX('Base de sorteio'!$E$3:$E$1723,MATCH($B1368&amp;"|"&amp;$C1368,'Base de sorteio'!$I$3:$I$1723,0)),"")</f>
        <v/>
      </c>
      <c r="I1368" s="4">
        <f>IF(E1368="","",HYPERLINK(IFERROR(INDEX('Base de sorteio'!$J$3:$J$1723,MATCH($B1368&amp;"|"&amp;$C1368,'Base de sorteio'!$I$3:$I$1723,0)),""),"abrir"))</f>
        <v/>
      </c>
      <c r="J1368" s="4" t="n"/>
      <c r="K1368" s="4" t="n"/>
      <c r="L1368" s="4" t="n"/>
      <c r="M1368" s="4" t="n"/>
      <c r="N1368" s="4">
        <f>IF(AND(K1368="",M1368=""),"",IF(OR(K1368="sim",M1368="sim"),"sim",IF(OR(K1368="inconclusivo",M1368="inconclusivo"),"inconclusivo","não")))</f>
        <v/>
      </c>
      <c r="O1368" s="5">
        <f>IF(N1368="sim",COUNTIFS($B$3:$B1368,$B1368,$N$3:$N1368,"sim"),"")</f>
        <v/>
      </c>
      <c r="P1368" s="5" t="n"/>
      <c r="Q1368" s="4" t="n"/>
      <c r="R1368" s="5" t="n"/>
      <c r="S1368" s="9" t="n"/>
      <c r="T1368" s="4" t="n"/>
    </row>
    <row r="1369">
      <c r="A1369" s="5">
        <f>ROW()-2</f>
        <v/>
      </c>
      <c r="B1369" s="4" t="inlineStr">
        <is>
          <t>Capital regional</t>
        </is>
      </c>
      <c r="C1369" s="5" t="n">
        <v>425</v>
      </c>
      <c r="D1369" s="5">
        <f>IFERROR(INDEX('Base de sorteio'!$A$3:$A$1723,MATCH($B1369&amp;"|"&amp;$C1369,'Base de sorteio'!$I$3:$I$1723,0)),"")</f>
        <v/>
      </c>
      <c r="E1369" s="4">
        <f>IFERROR(INDEX('Base de sorteio'!$B$3:$B$1723,MATCH($B1369&amp;"|"&amp;$C1369,'Base de sorteio'!$I$3:$I$1723,0)),"")</f>
        <v/>
      </c>
      <c r="F1369" s="4">
        <f>IFERROR(INDEX('Base de sorteio'!$C$3:$C$1723,MATCH($B1369&amp;"|"&amp;$C1369,'Base de sorteio'!$I$3:$I$1723,0)),"")</f>
        <v/>
      </c>
      <c r="G1369" s="4">
        <f>IFERROR(INDEX('Base de sorteio'!$D$3:$D$1723,MATCH($B1369&amp;"|"&amp;$C1369,'Base de sorteio'!$I$3:$I$1723,0)),"")</f>
        <v/>
      </c>
      <c r="H1369" s="4">
        <f>IFERROR(INDEX('Base de sorteio'!$E$3:$E$1723,MATCH($B1369&amp;"|"&amp;$C1369,'Base de sorteio'!$I$3:$I$1723,0)),"")</f>
        <v/>
      </c>
      <c r="I1369" s="4">
        <f>IF(E1369="","",HYPERLINK(IFERROR(INDEX('Base de sorteio'!$J$3:$J$1723,MATCH($B1369&amp;"|"&amp;$C1369,'Base de sorteio'!$I$3:$I$1723,0)),""),"abrir"))</f>
        <v/>
      </c>
      <c r="J1369" s="4" t="n"/>
      <c r="K1369" s="4" t="n"/>
      <c r="L1369" s="4" t="n"/>
      <c r="M1369" s="4" t="n"/>
      <c r="N1369" s="4">
        <f>IF(AND(K1369="",M1369=""),"",IF(OR(K1369="sim",M1369="sim"),"sim",IF(OR(K1369="inconclusivo",M1369="inconclusivo"),"inconclusivo","não")))</f>
        <v/>
      </c>
      <c r="O1369" s="5">
        <f>IF(N1369="sim",COUNTIFS($B$3:$B1369,$B1369,$N$3:$N1369,"sim"),"")</f>
        <v/>
      </c>
      <c r="P1369" s="5" t="n"/>
      <c r="Q1369" s="4" t="n"/>
      <c r="R1369" s="5" t="n"/>
      <c r="S1369" s="9" t="n"/>
      <c r="T1369" s="4" t="n"/>
    </row>
    <row r="1370">
      <c r="A1370" s="5">
        <f>ROW()-2</f>
        <v/>
      </c>
      <c r="B1370" s="4" t="inlineStr">
        <is>
          <t>Capital regional</t>
        </is>
      </c>
      <c r="C1370" s="5" t="n">
        <v>426</v>
      </c>
      <c r="D1370" s="5">
        <f>IFERROR(INDEX('Base de sorteio'!$A$3:$A$1723,MATCH($B1370&amp;"|"&amp;$C1370,'Base de sorteio'!$I$3:$I$1723,0)),"")</f>
        <v/>
      </c>
      <c r="E1370" s="4">
        <f>IFERROR(INDEX('Base de sorteio'!$B$3:$B$1723,MATCH($B1370&amp;"|"&amp;$C1370,'Base de sorteio'!$I$3:$I$1723,0)),"")</f>
        <v/>
      </c>
      <c r="F1370" s="4">
        <f>IFERROR(INDEX('Base de sorteio'!$C$3:$C$1723,MATCH($B1370&amp;"|"&amp;$C1370,'Base de sorteio'!$I$3:$I$1723,0)),"")</f>
        <v/>
      </c>
      <c r="G1370" s="4">
        <f>IFERROR(INDEX('Base de sorteio'!$D$3:$D$1723,MATCH($B1370&amp;"|"&amp;$C1370,'Base de sorteio'!$I$3:$I$1723,0)),"")</f>
        <v/>
      </c>
      <c r="H1370" s="4">
        <f>IFERROR(INDEX('Base de sorteio'!$E$3:$E$1723,MATCH($B1370&amp;"|"&amp;$C1370,'Base de sorteio'!$I$3:$I$1723,0)),"")</f>
        <v/>
      </c>
      <c r="I1370" s="4">
        <f>IF(E1370="","",HYPERLINK(IFERROR(INDEX('Base de sorteio'!$J$3:$J$1723,MATCH($B1370&amp;"|"&amp;$C1370,'Base de sorteio'!$I$3:$I$1723,0)),""),"abrir"))</f>
        <v/>
      </c>
      <c r="J1370" s="4" t="n"/>
      <c r="K1370" s="4" t="n"/>
      <c r="L1370" s="4" t="n"/>
      <c r="M1370" s="4" t="n"/>
      <c r="N1370" s="4">
        <f>IF(AND(K1370="",M1370=""),"",IF(OR(K1370="sim",M1370="sim"),"sim",IF(OR(K1370="inconclusivo",M1370="inconclusivo"),"inconclusivo","não")))</f>
        <v/>
      </c>
      <c r="O1370" s="5">
        <f>IF(N1370="sim",COUNTIFS($B$3:$B1370,$B1370,$N$3:$N1370,"sim"),"")</f>
        <v/>
      </c>
      <c r="P1370" s="5" t="n"/>
      <c r="Q1370" s="4" t="n"/>
      <c r="R1370" s="5" t="n"/>
      <c r="S1370" s="9" t="n"/>
      <c r="T1370" s="4" t="n"/>
    </row>
    <row r="1371">
      <c r="A1371" s="5">
        <f>ROW()-2</f>
        <v/>
      </c>
      <c r="B1371" s="4" t="inlineStr">
        <is>
          <t>Capital regional</t>
        </is>
      </c>
      <c r="C1371" s="5" t="n">
        <v>427</v>
      </c>
      <c r="D1371" s="5">
        <f>IFERROR(INDEX('Base de sorteio'!$A$3:$A$1723,MATCH($B1371&amp;"|"&amp;$C1371,'Base de sorteio'!$I$3:$I$1723,0)),"")</f>
        <v/>
      </c>
      <c r="E1371" s="4">
        <f>IFERROR(INDEX('Base de sorteio'!$B$3:$B$1723,MATCH($B1371&amp;"|"&amp;$C1371,'Base de sorteio'!$I$3:$I$1723,0)),"")</f>
        <v/>
      </c>
      <c r="F1371" s="4">
        <f>IFERROR(INDEX('Base de sorteio'!$C$3:$C$1723,MATCH($B1371&amp;"|"&amp;$C1371,'Base de sorteio'!$I$3:$I$1723,0)),"")</f>
        <v/>
      </c>
      <c r="G1371" s="4">
        <f>IFERROR(INDEX('Base de sorteio'!$D$3:$D$1723,MATCH($B1371&amp;"|"&amp;$C1371,'Base de sorteio'!$I$3:$I$1723,0)),"")</f>
        <v/>
      </c>
      <c r="H1371" s="4">
        <f>IFERROR(INDEX('Base de sorteio'!$E$3:$E$1723,MATCH($B1371&amp;"|"&amp;$C1371,'Base de sorteio'!$I$3:$I$1723,0)),"")</f>
        <v/>
      </c>
      <c r="I1371" s="4">
        <f>IF(E1371="","",HYPERLINK(IFERROR(INDEX('Base de sorteio'!$J$3:$J$1723,MATCH($B1371&amp;"|"&amp;$C1371,'Base de sorteio'!$I$3:$I$1723,0)),""),"abrir"))</f>
        <v/>
      </c>
      <c r="J1371" s="4" t="n"/>
      <c r="K1371" s="4" t="n"/>
      <c r="L1371" s="4" t="n"/>
      <c r="M1371" s="4" t="n"/>
      <c r="N1371" s="4">
        <f>IF(AND(K1371="",M1371=""),"",IF(OR(K1371="sim",M1371="sim"),"sim",IF(OR(K1371="inconclusivo",M1371="inconclusivo"),"inconclusivo","não")))</f>
        <v/>
      </c>
      <c r="O1371" s="5">
        <f>IF(N1371="sim",COUNTIFS($B$3:$B1371,$B1371,$N$3:$N1371,"sim"),"")</f>
        <v/>
      </c>
      <c r="P1371" s="5" t="n"/>
      <c r="Q1371" s="4" t="n"/>
      <c r="R1371" s="5" t="n"/>
      <c r="S1371" s="9" t="n"/>
      <c r="T1371" s="4" t="n"/>
    </row>
    <row r="1372">
      <c r="A1372" s="5">
        <f>ROW()-2</f>
        <v/>
      </c>
      <c r="B1372" s="4" t="inlineStr">
        <is>
          <t>Capital regional</t>
        </is>
      </c>
      <c r="C1372" s="5" t="n">
        <v>428</v>
      </c>
      <c r="D1372" s="5">
        <f>IFERROR(INDEX('Base de sorteio'!$A$3:$A$1723,MATCH($B1372&amp;"|"&amp;$C1372,'Base de sorteio'!$I$3:$I$1723,0)),"")</f>
        <v/>
      </c>
      <c r="E1372" s="4">
        <f>IFERROR(INDEX('Base de sorteio'!$B$3:$B$1723,MATCH($B1372&amp;"|"&amp;$C1372,'Base de sorteio'!$I$3:$I$1723,0)),"")</f>
        <v/>
      </c>
      <c r="F1372" s="4">
        <f>IFERROR(INDEX('Base de sorteio'!$C$3:$C$1723,MATCH($B1372&amp;"|"&amp;$C1372,'Base de sorteio'!$I$3:$I$1723,0)),"")</f>
        <v/>
      </c>
      <c r="G1372" s="4">
        <f>IFERROR(INDEX('Base de sorteio'!$D$3:$D$1723,MATCH($B1372&amp;"|"&amp;$C1372,'Base de sorteio'!$I$3:$I$1723,0)),"")</f>
        <v/>
      </c>
      <c r="H1372" s="4">
        <f>IFERROR(INDEX('Base de sorteio'!$E$3:$E$1723,MATCH($B1372&amp;"|"&amp;$C1372,'Base de sorteio'!$I$3:$I$1723,0)),"")</f>
        <v/>
      </c>
      <c r="I1372" s="4">
        <f>IF(E1372="","",HYPERLINK(IFERROR(INDEX('Base de sorteio'!$J$3:$J$1723,MATCH($B1372&amp;"|"&amp;$C1372,'Base de sorteio'!$I$3:$I$1723,0)),""),"abrir"))</f>
        <v/>
      </c>
      <c r="J1372" s="4" t="n"/>
      <c r="K1372" s="4" t="n"/>
      <c r="L1372" s="4" t="n"/>
      <c r="M1372" s="4" t="n"/>
      <c r="N1372" s="4">
        <f>IF(AND(K1372="",M1372=""),"",IF(OR(K1372="sim",M1372="sim"),"sim",IF(OR(K1372="inconclusivo",M1372="inconclusivo"),"inconclusivo","não")))</f>
        <v/>
      </c>
      <c r="O1372" s="5">
        <f>IF(N1372="sim",COUNTIFS($B$3:$B1372,$B1372,$N$3:$N1372,"sim"),"")</f>
        <v/>
      </c>
      <c r="P1372" s="5" t="n"/>
      <c r="Q1372" s="4" t="n"/>
      <c r="R1372" s="5" t="n"/>
      <c r="S1372" s="9" t="n"/>
      <c r="T1372" s="4" t="n"/>
    </row>
    <row r="1373">
      <c r="A1373" s="5">
        <f>ROW()-2</f>
        <v/>
      </c>
      <c r="B1373" s="4" t="inlineStr">
        <is>
          <t>Capital regional</t>
        </is>
      </c>
      <c r="C1373" s="5" t="n">
        <v>429</v>
      </c>
      <c r="D1373" s="5">
        <f>IFERROR(INDEX('Base de sorteio'!$A$3:$A$1723,MATCH($B1373&amp;"|"&amp;$C1373,'Base de sorteio'!$I$3:$I$1723,0)),"")</f>
        <v/>
      </c>
      <c r="E1373" s="4">
        <f>IFERROR(INDEX('Base de sorteio'!$B$3:$B$1723,MATCH($B1373&amp;"|"&amp;$C1373,'Base de sorteio'!$I$3:$I$1723,0)),"")</f>
        <v/>
      </c>
      <c r="F1373" s="4">
        <f>IFERROR(INDEX('Base de sorteio'!$C$3:$C$1723,MATCH($B1373&amp;"|"&amp;$C1373,'Base de sorteio'!$I$3:$I$1723,0)),"")</f>
        <v/>
      </c>
      <c r="G1373" s="4">
        <f>IFERROR(INDEX('Base de sorteio'!$D$3:$D$1723,MATCH($B1373&amp;"|"&amp;$C1373,'Base de sorteio'!$I$3:$I$1723,0)),"")</f>
        <v/>
      </c>
      <c r="H1373" s="4">
        <f>IFERROR(INDEX('Base de sorteio'!$E$3:$E$1723,MATCH($B1373&amp;"|"&amp;$C1373,'Base de sorteio'!$I$3:$I$1723,0)),"")</f>
        <v/>
      </c>
      <c r="I1373" s="4">
        <f>IF(E1373="","",HYPERLINK(IFERROR(INDEX('Base de sorteio'!$J$3:$J$1723,MATCH($B1373&amp;"|"&amp;$C1373,'Base de sorteio'!$I$3:$I$1723,0)),""),"abrir"))</f>
        <v/>
      </c>
      <c r="J1373" s="4" t="n"/>
      <c r="K1373" s="4" t="n"/>
      <c r="L1373" s="4" t="n"/>
      <c r="M1373" s="4" t="n"/>
      <c r="N1373" s="4">
        <f>IF(AND(K1373="",M1373=""),"",IF(OR(K1373="sim",M1373="sim"),"sim",IF(OR(K1373="inconclusivo",M1373="inconclusivo"),"inconclusivo","não")))</f>
        <v/>
      </c>
      <c r="O1373" s="5">
        <f>IF(N1373="sim",COUNTIFS($B$3:$B1373,$B1373,$N$3:$N1373,"sim"),"")</f>
        <v/>
      </c>
      <c r="P1373" s="5" t="n"/>
      <c r="Q1373" s="4" t="n"/>
      <c r="R1373" s="5" t="n"/>
      <c r="S1373" s="9" t="n"/>
      <c r="T1373" s="4" t="n"/>
    </row>
    <row r="1374">
      <c r="A1374" s="5">
        <f>ROW()-2</f>
        <v/>
      </c>
      <c r="B1374" s="4" t="inlineStr">
        <is>
          <t>Capital regional</t>
        </is>
      </c>
      <c r="C1374" s="5" t="n">
        <v>430</v>
      </c>
      <c r="D1374" s="5">
        <f>IFERROR(INDEX('Base de sorteio'!$A$3:$A$1723,MATCH($B1374&amp;"|"&amp;$C1374,'Base de sorteio'!$I$3:$I$1723,0)),"")</f>
        <v/>
      </c>
      <c r="E1374" s="4">
        <f>IFERROR(INDEX('Base de sorteio'!$B$3:$B$1723,MATCH($B1374&amp;"|"&amp;$C1374,'Base de sorteio'!$I$3:$I$1723,0)),"")</f>
        <v/>
      </c>
      <c r="F1374" s="4">
        <f>IFERROR(INDEX('Base de sorteio'!$C$3:$C$1723,MATCH($B1374&amp;"|"&amp;$C1374,'Base de sorteio'!$I$3:$I$1723,0)),"")</f>
        <v/>
      </c>
      <c r="G1374" s="4">
        <f>IFERROR(INDEX('Base de sorteio'!$D$3:$D$1723,MATCH($B1374&amp;"|"&amp;$C1374,'Base de sorteio'!$I$3:$I$1723,0)),"")</f>
        <v/>
      </c>
      <c r="H1374" s="4">
        <f>IFERROR(INDEX('Base de sorteio'!$E$3:$E$1723,MATCH($B1374&amp;"|"&amp;$C1374,'Base de sorteio'!$I$3:$I$1723,0)),"")</f>
        <v/>
      </c>
      <c r="I1374" s="4">
        <f>IF(E1374="","",HYPERLINK(IFERROR(INDEX('Base de sorteio'!$J$3:$J$1723,MATCH($B1374&amp;"|"&amp;$C1374,'Base de sorteio'!$I$3:$I$1723,0)),""),"abrir"))</f>
        <v/>
      </c>
      <c r="J1374" s="4" t="n"/>
      <c r="K1374" s="4" t="n"/>
      <c r="L1374" s="4" t="n"/>
      <c r="M1374" s="4" t="n"/>
      <c r="N1374" s="4">
        <f>IF(AND(K1374="",M1374=""),"",IF(OR(K1374="sim",M1374="sim"),"sim",IF(OR(K1374="inconclusivo",M1374="inconclusivo"),"inconclusivo","não")))</f>
        <v/>
      </c>
      <c r="O1374" s="5">
        <f>IF(N1374="sim",COUNTIFS($B$3:$B1374,$B1374,$N$3:$N1374,"sim"),"")</f>
        <v/>
      </c>
      <c r="P1374" s="5" t="n"/>
      <c r="Q1374" s="4" t="n"/>
      <c r="R1374" s="5" t="n"/>
      <c r="S1374" s="9" t="n"/>
      <c r="T1374" s="4" t="n"/>
    </row>
    <row r="1375">
      <c r="A1375" s="5">
        <f>ROW()-2</f>
        <v/>
      </c>
      <c r="B1375" s="4" t="inlineStr">
        <is>
          <t>Capital regional</t>
        </is>
      </c>
      <c r="C1375" s="5" t="n">
        <v>431</v>
      </c>
      <c r="D1375" s="5">
        <f>IFERROR(INDEX('Base de sorteio'!$A$3:$A$1723,MATCH($B1375&amp;"|"&amp;$C1375,'Base de sorteio'!$I$3:$I$1723,0)),"")</f>
        <v/>
      </c>
      <c r="E1375" s="4">
        <f>IFERROR(INDEX('Base de sorteio'!$B$3:$B$1723,MATCH($B1375&amp;"|"&amp;$C1375,'Base de sorteio'!$I$3:$I$1723,0)),"")</f>
        <v/>
      </c>
      <c r="F1375" s="4">
        <f>IFERROR(INDEX('Base de sorteio'!$C$3:$C$1723,MATCH($B1375&amp;"|"&amp;$C1375,'Base de sorteio'!$I$3:$I$1723,0)),"")</f>
        <v/>
      </c>
      <c r="G1375" s="4">
        <f>IFERROR(INDEX('Base de sorteio'!$D$3:$D$1723,MATCH($B1375&amp;"|"&amp;$C1375,'Base de sorteio'!$I$3:$I$1723,0)),"")</f>
        <v/>
      </c>
      <c r="H1375" s="4">
        <f>IFERROR(INDEX('Base de sorteio'!$E$3:$E$1723,MATCH($B1375&amp;"|"&amp;$C1375,'Base de sorteio'!$I$3:$I$1723,0)),"")</f>
        <v/>
      </c>
      <c r="I1375" s="4">
        <f>IF(E1375="","",HYPERLINK(IFERROR(INDEX('Base de sorteio'!$J$3:$J$1723,MATCH($B1375&amp;"|"&amp;$C1375,'Base de sorteio'!$I$3:$I$1723,0)),""),"abrir"))</f>
        <v/>
      </c>
      <c r="J1375" s="4" t="n"/>
      <c r="K1375" s="4" t="n"/>
      <c r="L1375" s="4" t="n"/>
      <c r="M1375" s="4" t="n"/>
      <c r="N1375" s="4">
        <f>IF(AND(K1375="",M1375=""),"",IF(OR(K1375="sim",M1375="sim"),"sim",IF(OR(K1375="inconclusivo",M1375="inconclusivo"),"inconclusivo","não")))</f>
        <v/>
      </c>
      <c r="O1375" s="5">
        <f>IF(N1375="sim",COUNTIFS($B$3:$B1375,$B1375,$N$3:$N1375,"sim"),"")</f>
        <v/>
      </c>
      <c r="P1375" s="5" t="n"/>
      <c r="Q1375" s="4" t="n"/>
      <c r="R1375" s="5" t="n"/>
      <c r="S1375" s="9" t="n"/>
      <c r="T1375" s="4" t="n"/>
    </row>
    <row r="1376">
      <c r="A1376" s="5">
        <f>ROW()-2</f>
        <v/>
      </c>
      <c r="B1376" s="4" t="inlineStr">
        <is>
          <t>Capital regional</t>
        </is>
      </c>
      <c r="C1376" s="5" t="n">
        <v>432</v>
      </c>
      <c r="D1376" s="5">
        <f>IFERROR(INDEX('Base de sorteio'!$A$3:$A$1723,MATCH($B1376&amp;"|"&amp;$C1376,'Base de sorteio'!$I$3:$I$1723,0)),"")</f>
        <v/>
      </c>
      <c r="E1376" s="4">
        <f>IFERROR(INDEX('Base de sorteio'!$B$3:$B$1723,MATCH($B1376&amp;"|"&amp;$C1376,'Base de sorteio'!$I$3:$I$1723,0)),"")</f>
        <v/>
      </c>
      <c r="F1376" s="4">
        <f>IFERROR(INDEX('Base de sorteio'!$C$3:$C$1723,MATCH($B1376&amp;"|"&amp;$C1376,'Base de sorteio'!$I$3:$I$1723,0)),"")</f>
        <v/>
      </c>
      <c r="G1376" s="4">
        <f>IFERROR(INDEX('Base de sorteio'!$D$3:$D$1723,MATCH($B1376&amp;"|"&amp;$C1376,'Base de sorteio'!$I$3:$I$1723,0)),"")</f>
        <v/>
      </c>
      <c r="H1376" s="4">
        <f>IFERROR(INDEX('Base de sorteio'!$E$3:$E$1723,MATCH($B1376&amp;"|"&amp;$C1376,'Base de sorteio'!$I$3:$I$1723,0)),"")</f>
        <v/>
      </c>
      <c r="I1376" s="4">
        <f>IF(E1376="","",HYPERLINK(IFERROR(INDEX('Base de sorteio'!$J$3:$J$1723,MATCH($B1376&amp;"|"&amp;$C1376,'Base de sorteio'!$I$3:$I$1723,0)),""),"abrir"))</f>
        <v/>
      </c>
      <c r="J1376" s="4" t="n"/>
      <c r="K1376" s="4" t="n"/>
      <c r="L1376" s="4" t="n"/>
      <c r="M1376" s="4" t="n"/>
      <c r="N1376" s="4">
        <f>IF(AND(K1376="",M1376=""),"",IF(OR(K1376="sim",M1376="sim"),"sim",IF(OR(K1376="inconclusivo",M1376="inconclusivo"),"inconclusivo","não")))</f>
        <v/>
      </c>
      <c r="O1376" s="5">
        <f>IF(N1376="sim",COUNTIFS($B$3:$B1376,$B1376,$N$3:$N1376,"sim"),"")</f>
        <v/>
      </c>
      <c r="P1376" s="5" t="n"/>
      <c r="Q1376" s="4" t="n"/>
      <c r="R1376" s="5" t="n"/>
      <c r="S1376" s="9" t="n"/>
      <c r="T1376" s="4" t="n"/>
    </row>
    <row r="1377">
      <c r="A1377" s="5">
        <f>ROW()-2</f>
        <v/>
      </c>
      <c r="B1377" s="4" t="inlineStr">
        <is>
          <t>Capital regional</t>
        </is>
      </c>
      <c r="C1377" s="5" t="n">
        <v>433</v>
      </c>
      <c r="D1377" s="5">
        <f>IFERROR(INDEX('Base de sorteio'!$A$3:$A$1723,MATCH($B1377&amp;"|"&amp;$C1377,'Base de sorteio'!$I$3:$I$1723,0)),"")</f>
        <v/>
      </c>
      <c r="E1377" s="4">
        <f>IFERROR(INDEX('Base de sorteio'!$B$3:$B$1723,MATCH($B1377&amp;"|"&amp;$C1377,'Base de sorteio'!$I$3:$I$1723,0)),"")</f>
        <v/>
      </c>
      <c r="F1377" s="4">
        <f>IFERROR(INDEX('Base de sorteio'!$C$3:$C$1723,MATCH($B1377&amp;"|"&amp;$C1377,'Base de sorteio'!$I$3:$I$1723,0)),"")</f>
        <v/>
      </c>
      <c r="G1377" s="4">
        <f>IFERROR(INDEX('Base de sorteio'!$D$3:$D$1723,MATCH($B1377&amp;"|"&amp;$C1377,'Base de sorteio'!$I$3:$I$1723,0)),"")</f>
        <v/>
      </c>
      <c r="H1377" s="4">
        <f>IFERROR(INDEX('Base de sorteio'!$E$3:$E$1723,MATCH($B1377&amp;"|"&amp;$C1377,'Base de sorteio'!$I$3:$I$1723,0)),"")</f>
        <v/>
      </c>
      <c r="I1377" s="4">
        <f>IF(E1377="","",HYPERLINK(IFERROR(INDEX('Base de sorteio'!$J$3:$J$1723,MATCH($B1377&amp;"|"&amp;$C1377,'Base de sorteio'!$I$3:$I$1723,0)),""),"abrir"))</f>
        <v/>
      </c>
      <c r="J1377" s="4" t="n"/>
      <c r="K1377" s="4" t="n"/>
      <c r="L1377" s="4" t="n"/>
      <c r="M1377" s="4" t="n"/>
      <c r="N1377" s="4">
        <f>IF(AND(K1377="",M1377=""),"",IF(OR(K1377="sim",M1377="sim"),"sim",IF(OR(K1377="inconclusivo",M1377="inconclusivo"),"inconclusivo","não")))</f>
        <v/>
      </c>
      <c r="O1377" s="5">
        <f>IF(N1377="sim",COUNTIFS($B$3:$B1377,$B1377,$N$3:$N1377,"sim"),"")</f>
        <v/>
      </c>
      <c r="P1377" s="5" t="n"/>
      <c r="Q1377" s="4" t="n"/>
      <c r="R1377" s="5" t="n"/>
      <c r="S1377" s="9" t="n"/>
      <c r="T1377" s="4" t="n"/>
    </row>
    <row r="1378">
      <c r="A1378" s="5">
        <f>ROW()-2</f>
        <v/>
      </c>
      <c r="B1378" s="4" t="inlineStr">
        <is>
          <t>Capital regional</t>
        </is>
      </c>
      <c r="C1378" s="5" t="n">
        <v>434</v>
      </c>
      <c r="D1378" s="5">
        <f>IFERROR(INDEX('Base de sorteio'!$A$3:$A$1723,MATCH($B1378&amp;"|"&amp;$C1378,'Base de sorteio'!$I$3:$I$1723,0)),"")</f>
        <v/>
      </c>
      <c r="E1378" s="4">
        <f>IFERROR(INDEX('Base de sorteio'!$B$3:$B$1723,MATCH($B1378&amp;"|"&amp;$C1378,'Base de sorteio'!$I$3:$I$1723,0)),"")</f>
        <v/>
      </c>
      <c r="F1378" s="4">
        <f>IFERROR(INDEX('Base de sorteio'!$C$3:$C$1723,MATCH($B1378&amp;"|"&amp;$C1378,'Base de sorteio'!$I$3:$I$1723,0)),"")</f>
        <v/>
      </c>
      <c r="G1378" s="4">
        <f>IFERROR(INDEX('Base de sorteio'!$D$3:$D$1723,MATCH($B1378&amp;"|"&amp;$C1378,'Base de sorteio'!$I$3:$I$1723,0)),"")</f>
        <v/>
      </c>
      <c r="H1378" s="4">
        <f>IFERROR(INDEX('Base de sorteio'!$E$3:$E$1723,MATCH($B1378&amp;"|"&amp;$C1378,'Base de sorteio'!$I$3:$I$1723,0)),"")</f>
        <v/>
      </c>
      <c r="I1378" s="4">
        <f>IF(E1378="","",HYPERLINK(IFERROR(INDEX('Base de sorteio'!$J$3:$J$1723,MATCH($B1378&amp;"|"&amp;$C1378,'Base de sorteio'!$I$3:$I$1723,0)),""),"abrir"))</f>
        <v/>
      </c>
      <c r="J1378" s="4" t="n"/>
      <c r="K1378" s="4" t="n"/>
      <c r="L1378" s="4" t="n"/>
      <c r="M1378" s="4" t="n"/>
      <c r="N1378" s="4">
        <f>IF(AND(K1378="",M1378=""),"",IF(OR(K1378="sim",M1378="sim"),"sim",IF(OR(K1378="inconclusivo",M1378="inconclusivo"),"inconclusivo","não")))</f>
        <v/>
      </c>
      <c r="O1378" s="5">
        <f>IF(N1378="sim",COUNTIFS($B$3:$B1378,$B1378,$N$3:$N1378,"sim"),"")</f>
        <v/>
      </c>
      <c r="P1378" s="5" t="n"/>
      <c r="Q1378" s="4" t="n"/>
      <c r="R1378" s="5" t="n"/>
      <c r="S1378" s="9" t="n"/>
      <c r="T1378" s="4" t="n"/>
    </row>
    <row r="1379">
      <c r="A1379" s="5">
        <f>ROW()-2</f>
        <v/>
      </c>
      <c r="B1379" s="4" t="inlineStr">
        <is>
          <t>Capital regional</t>
        </is>
      </c>
      <c r="C1379" s="5" t="n">
        <v>435</v>
      </c>
      <c r="D1379" s="5">
        <f>IFERROR(INDEX('Base de sorteio'!$A$3:$A$1723,MATCH($B1379&amp;"|"&amp;$C1379,'Base de sorteio'!$I$3:$I$1723,0)),"")</f>
        <v/>
      </c>
      <c r="E1379" s="4">
        <f>IFERROR(INDEX('Base de sorteio'!$B$3:$B$1723,MATCH($B1379&amp;"|"&amp;$C1379,'Base de sorteio'!$I$3:$I$1723,0)),"")</f>
        <v/>
      </c>
      <c r="F1379" s="4">
        <f>IFERROR(INDEX('Base de sorteio'!$C$3:$C$1723,MATCH($B1379&amp;"|"&amp;$C1379,'Base de sorteio'!$I$3:$I$1723,0)),"")</f>
        <v/>
      </c>
      <c r="G1379" s="4">
        <f>IFERROR(INDEX('Base de sorteio'!$D$3:$D$1723,MATCH($B1379&amp;"|"&amp;$C1379,'Base de sorteio'!$I$3:$I$1723,0)),"")</f>
        <v/>
      </c>
      <c r="H1379" s="4">
        <f>IFERROR(INDEX('Base de sorteio'!$E$3:$E$1723,MATCH($B1379&amp;"|"&amp;$C1379,'Base de sorteio'!$I$3:$I$1723,0)),"")</f>
        <v/>
      </c>
      <c r="I1379" s="4">
        <f>IF(E1379="","",HYPERLINK(IFERROR(INDEX('Base de sorteio'!$J$3:$J$1723,MATCH($B1379&amp;"|"&amp;$C1379,'Base de sorteio'!$I$3:$I$1723,0)),""),"abrir"))</f>
        <v/>
      </c>
      <c r="J1379" s="4" t="n"/>
      <c r="K1379" s="4" t="n"/>
      <c r="L1379" s="4" t="n"/>
      <c r="M1379" s="4" t="n"/>
      <c r="N1379" s="4">
        <f>IF(AND(K1379="",M1379=""),"",IF(OR(K1379="sim",M1379="sim"),"sim",IF(OR(K1379="inconclusivo",M1379="inconclusivo"),"inconclusivo","não")))</f>
        <v/>
      </c>
      <c r="O1379" s="5">
        <f>IF(N1379="sim",COUNTIFS($B$3:$B1379,$B1379,$N$3:$N1379,"sim"),"")</f>
        <v/>
      </c>
      <c r="P1379" s="5" t="n"/>
      <c r="Q1379" s="4" t="n"/>
      <c r="R1379" s="5" t="n"/>
      <c r="S1379" s="9" t="n"/>
      <c r="T1379" s="4" t="n"/>
    </row>
    <row r="1380">
      <c r="A1380" s="5">
        <f>ROW()-2</f>
        <v/>
      </c>
      <c r="B1380" s="4" t="inlineStr">
        <is>
          <t>Capital regional</t>
        </is>
      </c>
      <c r="C1380" s="5" t="n">
        <v>436</v>
      </c>
      <c r="D1380" s="5">
        <f>IFERROR(INDEX('Base de sorteio'!$A$3:$A$1723,MATCH($B1380&amp;"|"&amp;$C1380,'Base de sorteio'!$I$3:$I$1723,0)),"")</f>
        <v/>
      </c>
      <c r="E1380" s="4">
        <f>IFERROR(INDEX('Base de sorteio'!$B$3:$B$1723,MATCH($B1380&amp;"|"&amp;$C1380,'Base de sorteio'!$I$3:$I$1723,0)),"")</f>
        <v/>
      </c>
      <c r="F1380" s="4">
        <f>IFERROR(INDEX('Base de sorteio'!$C$3:$C$1723,MATCH($B1380&amp;"|"&amp;$C1380,'Base de sorteio'!$I$3:$I$1723,0)),"")</f>
        <v/>
      </c>
      <c r="G1380" s="4">
        <f>IFERROR(INDEX('Base de sorteio'!$D$3:$D$1723,MATCH($B1380&amp;"|"&amp;$C1380,'Base de sorteio'!$I$3:$I$1723,0)),"")</f>
        <v/>
      </c>
      <c r="H1380" s="4">
        <f>IFERROR(INDEX('Base de sorteio'!$E$3:$E$1723,MATCH($B1380&amp;"|"&amp;$C1380,'Base de sorteio'!$I$3:$I$1723,0)),"")</f>
        <v/>
      </c>
      <c r="I1380" s="4">
        <f>IF(E1380="","",HYPERLINK(IFERROR(INDEX('Base de sorteio'!$J$3:$J$1723,MATCH($B1380&amp;"|"&amp;$C1380,'Base de sorteio'!$I$3:$I$1723,0)),""),"abrir"))</f>
        <v/>
      </c>
      <c r="J1380" s="4" t="n"/>
      <c r="K1380" s="4" t="n"/>
      <c r="L1380" s="4" t="n"/>
      <c r="M1380" s="4" t="n"/>
      <c r="N1380" s="4">
        <f>IF(AND(K1380="",M1380=""),"",IF(OR(K1380="sim",M1380="sim"),"sim",IF(OR(K1380="inconclusivo",M1380="inconclusivo"),"inconclusivo","não")))</f>
        <v/>
      </c>
      <c r="O1380" s="5">
        <f>IF(N1380="sim",COUNTIFS($B$3:$B1380,$B1380,$N$3:$N1380,"sim"),"")</f>
        <v/>
      </c>
      <c r="P1380" s="5" t="n"/>
      <c r="Q1380" s="4" t="n"/>
      <c r="R1380" s="5" t="n"/>
      <c r="S1380" s="9" t="n"/>
      <c r="T1380" s="4" t="n"/>
    </row>
    <row r="1381">
      <c r="A1381" s="5">
        <f>ROW()-2</f>
        <v/>
      </c>
      <c r="B1381" s="4" t="inlineStr">
        <is>
          <t>Capital regional</t>
        </is>
      </c>
      <c r="C1381" s="5" t="n">
        <v>437</v>
      </c>
      <c r="D1381" s="5">
        <f>IFERROR(INDEX('Base de sorteio'!$A$3:$A$1723,MATCH($B1381&amp;"|"&amp;$C1381,'Base de sorteio'!$I$3:$I$1723,0)),"")</f>
        <v/>
      </c>
      <c r="E1381" s="4">
        <f>IFERROR(INDEX('Base de sorteio'!$B$3:$B$1723,MATCH($B1381&amp;"|"&amp;$C1381,'Base de sorteio'!$I$3:$I$1723,0)),"")</f>
        <v/>
      </c>
      <c r="F1381" s="4">
        <f>IFERROR(INDEX('Base de sorteio'!$C$3:$C$1723,MATCH($B1381&amp;"|"&amp;$C1381,'Base de sorteio'!$I$3:$I$1723,0)),"")</f>
        <v/>
      </c>
      <c r="G1381" s="4">
        <f>IFERROR(INDEX('Base de sorteio'!$D$3:$D$1723,MATCH($B1381&amp;"|"&amp;$C1381,'Base de sorteio'!$I$3:$I$1723,0)),"")</f>
        <v/>
      </c>
      <c r="H1381" s="4">
        <f>IFERROR(INDEX('Base de sorteio'!$E$3:$E$1723,MATCH($B1381&amp;"|"&amp;$C1381,'Base de sorteio'!$I$3:$I$1723,0)),"")</f>
        <v/>
      </c>
      <c r="I1381" s="4">
        <f>IF(E1381="","",HYPERLINK(IFERROR(INDEX('Base de sorteio'!$J$3:$J$1723,MATCH($B1381&amp;"|"&amp;$C1381,'Base de sorteio'!$I$3:$I$1723,0)),""),"abrir"))</f>
        <v/>
      </c>
      <c r="J1381" s="4" t="n"/>
      <c r="K1381" s="4" t="n"/>
      <c r="L1381" s="4" t="n"/>
      <c r="M1381" s="4" t="n"/>
      <c r="N1381" s="4">
        <f>IF(AND(K1381="",M1381=""),"",IF(OR(K1381="sim",M1381="sim"),"sim",IF(OR(K1381="inconclusivo",M1381="inconclusivo"),"inconclusivo","não")))</f>
        <v/>
      </c>
      <c r="O1381" s="5">
        <f>IF(N1381="sim",COUNTIFS($B$3:$B1381,$B1381,$N$3:$N1381,"sim"),"")</f>
        <v/>
      </c>
      <c r="P1381" s="5" t="n"/>
      <c r="Q1381" s="4" t="n"/>
      <c r="R1381" s="5" t="n"/>
      <c r="S1381" s="9" t="n"/>
      <c r="T1381" s="4" t="n"/>
    </row>
    <row r="1382">
      <c r="A1382" s="5">
        <f>ROW()-2</f>
        <v/>
      </c>
      <c r="B1382" s="4" t="inlineStr">
        <is>
          <t>Capital regional</t>
        </is>
      </c>
      <c r="C1382" s="5" t="n">
        <v>438</v>
      </c>
      <c r="D1382" s="5">
        <f>IFERROR(INDEX('Base de sorteio'!$A$3:$A$1723,MATCH($B1382&amp;"|"&amp;$C1382,'Base de sorteio'!$I$3:$I$1723,0)),"")</f>
        <v/>
      </c>
      <c r="E1382" s="4">
        <f>IFERROR(INDEX('Base de sorteio'!$B$3:$B$1723,MATCH($B1382&amp;"|"&amp;$C1382,'Base de sorteio'!$I$3:$I$1723,0)),"")</f>
        <v/>
      </c>
      <c r="F1382" s="4">
        <f>IFERROR(INDEX('Base de sorteio'!$C$3:$C$1723,MATCH($B1382&amp;"|"&amp;$C1382,'Base de sorteio'!$I$3:$I$1723,0)),"")</f>
        <v/>
      </c>
      <c r="G1382" s="4">
        <f>IFERROR(INDEX('Base de sorteio'!$D$3:$D$1723,MATCH($B1382&amp;"|"&amp;$C1382,'Base de sorteio'!$I$3:$I$1723,0)),"")</f>
        <v/>
      </c>
      <c r="H1382" s="4">
        <f>IFERROR(INDEX('Base de sorteio'!$E$3:$E$1723,MATCH($B1382&amp;"|"&amp;$C1382,'Base de sorteio'!$I$3:$I$1723,0)),"")</f>
        <v/>
      </c>
      <c r="I1382" s="4">
        <f>IF(E1382="","",HYPERLINK(IFERROR(INDEX('Base de sorteio'!$J$3:$J$1723,MATCH($B1382&amp;"|"&amp;$C1382,'Base de sorteio'!$I$3:$I$1723,0)),""),"abrir"))</f>
        <v/>
      </c>
      <c r="J1382" s="4" t="n"/>
      <c r="K1382" s="4" t="n"/>
      <c r="L1382" s="4" t="n"/>
      <c r="M1382" s="4" t="n"/>
      <c r="N1382" s="4">
        <f>IF(AND(K1382="",M1382=""),"",IF(OR(K1382="sim",M1382="sim"),"sim",IF(OR(K1382="inconclusivo",M1382="inconclusivo"),"inconclusivo","não")))</f>
        <v/>
      </c>
      <c r="O1382" s="5">
        <f>IF(N1382="sim",COUNTIFS($B$3:$B1382,$B1382,$N$3:$N1382,"sim"),"")</f>
        <v/>
      </c>
      <c r="P1382" s="5" t="n"/>
      <c r="Q1382" s="4" t="n"/>
      <c r="R1382" s="5" t="n"/>
      <c r="S1382" s="9" t="n"/>
      <c r="T1382" s="4" t="n"/>
    </row>
    <row r="1383">
      <c r="A1383" s="5">
        <f>ROW()-2</f>
        <v/>
      </c>
      <c r="B1383" s="4" t="inlineStr">
        <is>
          <t>Capital regional</t>
        </is>
      </c>
      <c r="C1383" s="5" t="n">
        <v>439</v>
      </c>
      <c r="D1383" s="5">
        <f>IFERROR(INDEX('Base de sorteio'!$A$3:$A$1723,MATCH($B1383&amp;"|"&amp;$C1383,'Base de sorteio'!$I$3:$I$1723,0)),"")</f>
        <v/>
      </c>
      <c r="E1383" s="4">
        <f>IFERROR(INDEX('Base de sorteio'!$B$3:$B$1723,MATCH($B1383&amp;"|"&amp;$C1383,'Base de sorteio'!$I$3:$I$1723,0)),"")</f>
        <v/>
      </c>
      <c r="F1383" s="4">
        <f>IFERROR(INDEX('Base de sorteio'!$C$3:$C$1723,MATCH($B1383&amp;"|"&amp;$C1383,'Base de sorteio'!$I$3:$I$1723,0)),"")</f>
        <v/>
      </c>
      <c r="G1383" s="4">
        <f>IFERROR(INDEX('Base de sorteio'!$D$3:$D$1723,MATCH($B1383&amp;"|"&amp;$C1383,'Base de sorteio'!$I$3:$I$1723,0)),"")</f>
        <v/>
      </c>
      <c r="H1383" s="4">
        <f>IFERROR(INDEX('Base de sorteio'!$E$3:$E$1723,MATCH($B1383&amp;"|"&amp;$C1383,'Base de sorteio'!$I$3:$I$1723,0)),"")</f>
        <v/>
      </c>
      <c r="I1383" s="4">
        <f>IF(E1383="","",HYPERLINK(IFERROR(INDEX('Base de sorteio'!$J$3:$J$1723,MATCH($B1383&amp;"|"&amp;$C1383,'Base de sorteio'!$I$3:$I$1723,0)),""),"abrir"))</f>
        <v/>
      </c>
      <c r="J1383" s="4" t="n"/>
      <c r="K1383" s="4" t="n"/>
      <c r="L1383" s="4" t="n"/>
      <c r="M1383" s="4" t="n"/>
      <c r="N1383" s="4">
        <f>IF(AND(K1383="",M1383=""),"",IF(OR(K1383="sim",M1383="sim"),"sim",IF(OR(K1383="inconclusivo",M1383="inconclusivo"),"inconclusivo","não")))</f>
        <v/>
      </c>
      <c r="O1383" s="5">
        <f>IF(N1383="sim",COUNTIFS($B$3:$B1383,$B1383,$N$3:$N1383,"sim"),"")</f>
        <v/>
      </c>
      <c r="P1383" s="5" t="n"/>
      <c r="Q1383" s="4" t="n"/>
      <c r="R1383" s="5" t="n"/>
      <c r="S1383" s="9" t="n"/>
      <c r="T1383" s="4" t="n"/>
    </row>
    <row r="1384">
      <c r="A1384" s="5">
        <f>ROW()-2</f>
        <v/>
      </c>
      <c r="B1384" s="4" t="inlineStr">
        <is>
          <t>Capital regional</t>
        </is>
      </c>
      <c r="C1384" s="5" t="n">
        <v>440</v>
      </c>
      <c r="D1384" s="5">
        <f>IFERROR(INDEX('Base de sorteio'!$A$3:$A$1723,MATCH($B1384&amp;"|"&amp;$C1384,'Base de sorteio'!$I$3:$I$1723,0)),"")</f>
        <v/>
      </c>
      <c r="E1384" s="4">
        <f>IFERROR(INDEX('Base de sorteio'!$B$3:$B$1723,MATCH($B1384&amp;"|"&amp;$C1384,'Base de sorteio'!$I$3:$I$1723,0)),"")</f>
        <v/>
      </c>
      <c r="F1384" s="4">
        <f>IFERROR(INDEX('Base de sorteio'!$C$3:$C$1723,MATCH($B1384&amp;"|"&amp;$C1384,'Base de sorteio'!$I$3:$I$1723,0)),"")</f>
        <v/>
      </c>
      <c r="G1384" s="4">
        <f>IFERROR(INDEX('Base de sorteio'!$D$3:$D$1723,MATCH($B1384&amp;"|"&amp;$C1384,'Base de sorteio'!$I$3:$I$1723,0)),"")</f>
        <v/>
      </c>
      <c r="H1384" s="4">
        <f>IFERROR(INDEX('Base de sorteio'!$E$3:$E$1723,MATCH($B1384&amp;"|"&amp;$C1384,'Base de sorteio'!$I$3:$I$1723,0)),"")</f>
        <v/>
      </c>
      <c r="I1384" s="4">
        <f>IF(E1384="","",HYPERLINK(IFERROR(INDEX('Base de sorteio'!$J$3:$J$1723,MATCH($B1384&amp;"|"&amp;$C1384,'Base de sorteio'!$I$3:$I$1723,0)),""),"abrir"))</f>
        <v/>
      </c>
      <c r="J1384" s="4" t="n"/>
      <c r="K1384" s="4" t="n"/>
      <c r="L1384" s="4" t="n"/>
      <c r="M1384" s="4" t="n"/>
      <c r="N1384" s="4">
        <f>IF(AND(K1384="",M1384=""),"",IF(OR(K1384="sim",M1384="sim"),"sim",IF(OR(K1384="inconclusivo",M1384="inconclusivo"),"inconclusivo","não")))</f>
        <v/>
      </c>
      <c r="O1384" s="5">
        <f>IF(N1384="sim",COUNTIFS($B$3:$B1384,$B1384,$N$3:$N1384,"sim"),"")</f>
        <v/>
      </c>
      <c r="P1384" s="5" t="n"/>
      <c r="Q1384" s="4" t="n"/>
      <c r="R1384" s="5" t="n"/>
      <c r="S1384" s="9" t="n"/>
      <c r="T1384" s="4" t="n"/>
    </row>
    <row r="1385">
      <c r="A1385" s="5">
        <f>ROW()-2</f>
        <v/>
      </c>
      <c r="B1385" s="4" t="inlineStr">
        <is>
          <t>Capital regional</t>
        </is>
      </c>
      <c r="C1385" s="5" t="n">
        <v>441</v>
      </c>
      <c r="D1385" s="5">
        <f>IFERROR(INDEX('Base de sorteio'!$A$3:$A$1723,MATCH($B1385&amp;"|"&amp;$C1385,'Base de sorteio'!$I$3:$I$1723,0)),"")</f>
        <v/>
      </c>
      <c r="E1385" s="4">
        <f>IFERROR(INDEX('Base de sorteio'!$B$3:$B$1723,MATCH($B1385&amp;"|"&amp;$C1385,'Base de sorteio'!$I$3:$I$1723,0)),"")</f>
        <v/>
      </c>
      <c r="F1385" s="4">
        <f>IFERROR(INDEX('Base de sorteio'!$C$3:$C$1723,MATCH($B1385&amp;"|"&amp;$C1385,'Base de sorteio'!$I$3:$I$1723,0)),"")</f>
        <v/>
      </c>
      <c r="G1385" s="4">
        <f>IFERROR(INDEX('Base de sorteio'!$D$3:$D$1723,MATCH($B1385&amp;"|"&amp;$C1385,'Base de sorteio'!$I$3:$I$1723,0)),"")</f>
        <v/>
      </c>
      <c r="H1385" s="4">
        <f>IFERROR(INDEX('Base de sorteio'!$E$3:$E$1723,MATCH($B1385&amp;"|"&amp;$C1385,'Base de sorteio'!$I$3:$I$1723,0)),"")</f>
        <v/>
      </c>
      <c r="I1385" s="4">
        <f>IF(E1385="","",HYPERLINK(IFERROR(INDEX('Base de sorteio'!$J$3:$J$1723,MATCH($B1385&amp;"|"&amp;$C1385,'Base de sorteio'!$I$3:$I$1723,0)),""),"abrir"))</f>
        <v/>
      </c>
      <c r="J1385" s="4" t="n"/>
      <c r="K1385" s="4" t="n"/>
      <c r="L1385" s="4" t="n"/>
      <c r="M1385" s="4" t="n"/>
      <c r="N1385" s="4">
        <f>IF(AND(K1385="",M1385=""),"",IF(OR(K1385="sim",M1385="sim"),"sim",IF(OR(K1385="inconclusivo",M1385="inconclusivo"),"inconclusivo","não")))</f>
        <v/>
      </c>
      <c r="O1385" s="5">
        <f>IF(N1385="sim",COUNTIFS($B$3:$B1385,$B1385,$N$3:$N1385,"sim"),"")</f>
        <v/>
      </c>
      <c r="P1385" s="5" t="n"/>
      <c r="Q1385" s="4" t="n"/>
      <c r="R1385" s="5" t="n"/>
      <c r="S1385" s="9" t="n"/>
      <c r="T1385" s="4" t="n"/>
    </row>
    <row r="1386">
      <c r="A1386" s="5">
        <f>ROW()-2</f>
        <v/>
      </c>
      <c r="B1386" s="4" t="inlineStr">
        <is>
          <t>Capital regional</t>
        </is>
      </c>
      <c r="C1386" s="5" t="n">
        <v>442</v>
      </c>
      <c r="D1386" s="5">
        <f>IFERROR(INDEX('Base de sorteio'!$A$3:$A$1723,MATCH($B1386&amp;"|"&amp;$C1386,'Base de sorteio'!$I$3:$I$1723,0)),"")</f>
        <v/>
      </c>
      <c r="E1386" s="4">
        <f>IFERROR(INDEX('Base de sorteio'!$B$3:$B$1723,MATCH($B1386&amp;"|"&amp;$C1386,'Base de sorteio'!$I$3:$I$1723,0)),"")</f>
        <v/>
      </c>
      <c r="F1386" s="4">
        <f>IFERROR(INDEX('Base de sorteio'!$C$3:$C$1723,MATCH($B1386&amp;"|"&amp;$C1386,'Base de sorteio'!$I$3:$I$1723,0)),"")</f>
        <v/>
      </c>
      <c r="G1386" s="4">
        <f>IFERROR(INDEX('Base de sorteio'!$D$3:$D$1723,MATCH($B1386&amp;"|"&amp;$C1386,'Base de sorteio'!$I$3:$I$1723,0)),"")</f>
        <v/>
      </c>
      <c r="H1386" s="4">
        <f>IFERROR(INDEX('Base de sorteio'!$E$3:$E$1723,MATCH($B1386&amp;"|"&amp;$C1386,'Base de sorteio'!$I$3:$I$1723,0)),"")</f>
        <v/>
      </c>
      <c r="I1386" s="4">
        <f>IF(E1386="","",HYPERLINK(IFERROR(INDEX('Base de sorteio'!$J$3:$J$1723,MATCH($B1386&amp;"|"&amp;$C1386,'Base de sorteio'!$I$3:$I$1723,0)),""),"abrir"))</f>
        <v/>
      </c>
      <c r="J1386" s="4" t="n"/>
      <c r="K1386" s="4" t="n"/>
      <c r="L1386" s="4" t="n"/>
      <c r="M1386" s="4" t="n"/>
      <c r="N1386" s="4">
        <f>IF(AND(K1386="",M1386=""),"",IF(OR(K1386="sim",M1386="sim"),"sim",IF(OR(K1386="inconclusivo",M1386="inconclusivo"),"inconclusivo","não")))</f>
        <v/>
      </c>
      <c r="O1386" s="5">
        <f>IF(N1386="sim",COUNTIFS($B$3:$B1386,$B1386,$N$3:$N1386,"sim"),"")</f>
        <v/>
      </c>
      <c r="P1386" s="5" t="n"/>
      <c r="Q1386" s="4" t="n"/>
      <c r="R1386" s="5" t="n"/>
      <c r="S1386" s="9" t="n"/>
      <c r="T1386" s="4" t="n"/>
    </row>
    <row r="1387">
      <c r="A1387" s="5">
        <f>ROW()-2</f>
        <v/>
      </c>
      <c r="B1387" s="4" t="inlineStr">
        <is>
          <t>Capital regional</t>
        </is>
      </c>
      <c r="C1387" s="5" t="n">
        <v>443</v>
      </c>
      <c r="D1387" s="5">
        <f>IFERROR(INDEX('Base de sorteio'!$A$3:$A$1723,MATCH($B1387&amp;"|"&amp;$C1387,'Base de sorteio'!$I$3:$I$1723,0)),"")</f>
        <v/>
      </c>
      <c r="E1387" s="4">
        <f>IFERROR(INDEX('Base de sorteio'!$B$3:$B$1723,MATCH($B1387&amp;"|"&amp;$C1387,'Base de sorteio'!$I$3:$I$1723,0)),"")</f>
        <v/>
      </c>
      <c r="F1387" s="4">
        <f>IFERROR(INDEX('Base de sorteio'!$C$3:$C$1723,MATCH($B1387&amp;"|"&amp;$C1387,'Base de sorteio'!$I$3:$I$1723,0)),"")</f>
        <v/>
      </c>
      <c r="G1387" s="4">
        <f>IFERROR(INDEX('Base de sorteio'!$D$3:$D$1723,MATCH($B1387&amp;"|"&amp;$C1387,'Base de sorteio'!$I$3:$I$1723,0)),"")</f>
        <v/>
      </c>
      <c r="H1387" s="4">
        <f>IFERROR(INDEX('Base de sorteio'!$E$3:$E$1723,MATCH($B1387&amp;"|"&amp;$C1387,'Base de sorteio'!$I$3:$I$1723,0)),"")</f>
        <v/>
      </c>
      <c r="I1387" s="4">
        <f>IF(E1387="","",HYPERLINK(IFERROR(INDEX('Base de sorteio'!$J$3:$J$1723,MATCH($B1387&amp;"|"&amp;$C1387,'Base de sorteio'!$I$3:$I$1723,0)),""),"abrir"))</f>
        <v/>
      </c>
      <c r="J1387" s="4" t="n"/>
      <c r="K1387" s="4" t="n"/>
      <c r="L1387" s="4" t="n"/>
      <c r="M1387" s="4" t="n"/>
      <c r="N1387" s="4">
        <f>IF(AND(K1387="",M1387=""),"",IF(OR(K1387="sim",M1387="sim"),"sim",IF(OR(K1387="inconclusivo",M1387="inconclusivo"),"inconclusivo","não")))</f>
        <v/>
      </c>
      <c r="O1387" s="5">
        <f>IF(N1387="sim",COUNTIFS($B$3:$B1387,$B1387,$N$3:$N1387,"sim"),"")</f>
        <v/>
      </c>
      <c r="P1387" s="5" t="n"/>
      <c r="Q1387" s="4" t="n"/>
      <c r="R1387" s="5" t="n"/>
      <c r="S1387" s="9" t="n"/>
      <c r="T1387" s="4" t="n"/>
    </row>
    <row r="1388">
      <c r="A1388" s="5">
        <f>ROW()-2</f>
        <v/>
      </c>
      <c r="B1388" s="4" t="inlineStr">
        <is>
          <t>Capital regional</t>
        </is>
      </c>
      <c r="C1388" s="5" t="n">
        <v>444</v>
      </c>
      <c r="D1388" s="5">
        <f>IFERROR(INDEX('Base de sorteio'!$A$3:$A$1723,MATCH($B1388&amp;"|"&amp;$C1388,'Base de sorteio'!$I$3:$I$1723,0)),"")</f>
        <v/>
      </c>
      <c r="E1388" s="4">
        <f>IFERROR(INDEX('Base de sorteio'!$B$3:$B$1723,MATCH($B1388&amp;"|"&amp;$C1388,'Base de sorteio'!$I$3:$I$1723,0)),"")</f>
        <v/>
      </c>
      <c r="F1388" s="4">
        <f>IFERROR(INDEX('Base de sorteio'!$C$3:$C$1723,MATCH($B1388&amp;"|"&amp;$C1388,'Base de sorteio'!$I$3:$I$1723,0)),"")</f>
        <v/>
      </c>
      <c r="G1388" s="4">
        <f>IFERROR(INDEX('Base de sorteio'!$D$3:$D$1723,MATCH($B1388&amp;"|"&amp;$C1388,'Base de sorteio'!$I$3:$I$1723,0)),"")</f>
        <v/>
      </c>
      <c r="H1388" s="4">
        <f>IFERROR(INDEX('Base de sorteio'!$E$3:$E$1723,MATCH($B1388&amp;"|"&amp;$C1388,'Base de sorteio'!$I$3:$I$1723,0)),"")</f>
        <v/>
      </c>
      <c r="I1388" s="4">
        <f>IF(E1388="","",HYPERLINK(IFERROR(INDEX('Base de sorteio'!$J$3:$J$1723,MATCH($B1388&amp;"|"&amp;$C1388,'Base de sorteio'!$I$3:$I$1723,0)),""),"abrir"))</f>
        <v/>
      </c>
      <c r="J1388" s="4" t="n"/>
      <c r="K1388" s="4" t="n"/>
      <c r="L1388" s="4" t="n"/>
      <c r="M1388" s="4" t="n"/>
      <c r="N1388" s="4">
        <f>IF(AND(K1388="",M1388=""),"",IF(OR(K1388="sim",M1388="sim"),"sim",IF(OR(K1388="inconclusivo",M1388="inconclusivo"),"inconclusivo","não")))</f>
        <v/>
      </c>
      <c r="O1388" s="5">
        <f>IF(N1388="sim",COUNTIFS($B$3:$B1388,$B1388,$N$3:$N1388,"sim"),"")</f>
        <v/>
      </c>
      <c r="P1388" s="5" t="n"/>
      <c r="Q1388" s="4" t="n"/>
      <c r="R1388" s="5" t="n"/>
      <c r="S1388" s="9" t="n"/>
      <c r="T1388" s="4" t="n"/>
    </row>
    <row r="1389">
      <c r="A1389" s="5">
        <f>ROW()-2</f>
        <v/>
      </c>
      <c r="B1389" s="4" t="inlineStr">
        <is>
          <t>Capital regional</t>
        </is>
      </c>
      <c r="C1389" s="5" t="n">
        <v>445</v>
      </c>
      <c r="D1389" s="5">
        <f>IFERROR(INDEX('Base de sorteio'!$A$3:$A$1723,MATCH($B1389&amp;"|"&amp;$C1389,'Base de sorteio'!$I$3:$I$1723,0)),"")</f>
        <v/>
      </c>
      <c r="E1389" s="4">
        <f>IFERROR(INDEX('Base de sorteio'!$B$3:$B$1723,MATCH($B1389&amp;"|"&amp;$C1389,'Base de sorteio'!$I$3:$I$1723,0)),"")</f>
        <v/>
      </c>
      <c r="F1389" s="4">
        <f>IFERROR(INDEX('Base de sorteio'!$C$3:$C$1723,MATCH($B1389&amp;"|"&amp;$C1389,'Base de sorteio'!$I$3:$I$1723,0)),"")</f>
        <v/>
      </c>
      <c r="G1389" s="4">
        <f>IFERROR(INDEX('Base de sorteio'!$D$3:$D$1723,MATCH($B1389&amp;"|"&amp;$C1389,'Base de sorteio'!$I$3:$I$1723,0)),"")</f>
        <v/>
      </c>
      <c r="H1389" s="4">
        <f>IFERROR(INDEX('Base de sorteio'!$E$3:$E$1723,MATCH($B1389&amp;"|"&amp;$C1389,'Base de sorteio'!$I$3:$I$1723,0)),"")</f>
        <v/>
      </c>
      <c r="I1389" s="4">
        <f>IF(E1389="","",HYPERLINK(IFERROR(INDEX('Base de sorteio'!$J$3:$J$1723,MATCH($B1389&amp;"|"&amp;$C1389,'Base de sorteio'!$I$3:$I$1723,0)),""),"abrir"))</f>
        <v/>
      </c>
      <c r="J1389" s="4" t="n"/>
      <c r="K1389" s="4" t="n"/>
      <c r="L1389" s="4" t="n"/>
      <c r="M1389" s="4" t="n"/>
      <c r="N1389" s="4">
        <f>IF(AND(K1389="",M1389=""),"",IF(OR(K1389="sim",M1389="sim"),"sim",IF(OR(K1389="inconclusivo",M1389="inconclusivo"),"inconclusivo","não")))</f>
        <v/>
      </c>
      <c r="O1389" s="5">
        <f>IF(N1389="sim",COUNTIFS($B$3:$B1389,$B1389,$N$3:$N1389,"sim"),"")</f>
        <v/>
      </c>
      <c r="P1389" s="5" t="n"/>
      <c r="Q1389" s="4" t="n"/>
      <c r="R1389" s="5" t="n"/>
      <c r="S1389" s="9" t="n"/>
      <c r="T1389" s="4" t="n"/>
    </row>
    <row r="1390">
      <c r="A1390" s="5">
        <f>ROW()-2</f>
        <v/>
      </c>
      <c r="B1390" s="4" t="inlineStr">
        <is>
          <t>Capital regional</t>
        </is>
      </c>
      <c r="C1390" s="5" t="n">
        <v>446</v>
      </c>
      <c r="D1390" s="5">
        <f>IFERROR(INDEX('Base de sorteio'!$A$3:$A$1723,MATCH($B1390&amp;"|"&amp;$C1390,'Base de sorteio'!$I$3:$I$1723,0)),"")</f>
        <v/>
      </c>
      <c r="E1390" s="4">
        <f>IFERROR(INDEX('Base de sorteio'!$B$3:$B$1723,MATCH($B1390&amp;"|"&amp;$C1390,'Base de sorteio'!$I$3:$I$1723,0)),"")</f>
        <v/>
      </c>
      <c r="F1390" s="4">
        <f>IFERROR(INDEX('Base de sorteio'!$C$3:$C$1723,MATCH($B1390&amp;"|"&amp;$C1390,'Base de sorteio'!$I$3:$I$1723,0)),"")</f>
        <v/>
      </c>
      <c r="G1390" s="4">
        <f>IFERROR(INDEX('Base de sorteio'!$D$3:$D$1723,MATCH($B1390&amp;"|"&amp;$C1390,'Base de sorteio'!$I$3:$I$1723,0)),"")</f>
        <v/>
      </c>
      <c r="H1390" s="4">
        <f>IFERROR(INDEX('Base de sorteio'!$E$3:$E$1723,MATCH($B1390&amp;"|"&amp;$C1390,'Base de sorteio'!$I$3:$I$1723,0)),"")</f>
        <v/>
      </c>
      <c r="I1390" s="4">
        <f>IF(E1390="","",HYPERLINK(IFERROR(INDEX('Base de sorteio'!$J$3:$J$1723,MATCH($B1390&amp;"|"&amp;$C1390,'Base de sorteio'!$I$3:$I$1723,0)),""),"abrir"))</f>
        <v/>
      </c>
      <c r="J1390" s="4" t="n"/>
      <c r="K1390" s="4" t="n"/>
      <c r="L1390" s="4" t="n"/>
      <c r="M1390" s="4" t="n"/>
      <c r="N1390" s="4">
        <f>IF(AND(K1390="",M1390=""),"",IF(OR(K1390="sim",M1390="sim"),"sim",IF(OR(K1390="inconclusivo",M1390="inconclusivo"),"inconclusivo","não")))</f>
        <v/>
      </c>
      <c r="O1390" s="5">
        <f>IF(N1390="sim",COUNTIFS($B$3:$B1390,$B1390,$N$3:$N1390,"sim"),"")</f>
        <v/>
      </c>
      <c r="P1390" s="5" t="n"/>
      <c r="Q1390" s="4" t="n"/>
      <c r="R1390" s="5" t="n"/>
      <c r="S1390" s="9" t="n"/>
      <c r="T1390" s="4" t="n"/>
    </row>
    <row r="1391">
      <c r="A1391" s="5">
        <f>ROW()-2</f>
        <v/>
      </c>
      <c r="B1391" s="4" t="inlineStr">
        <is>
          <t>Capital regional</t>
        </is>
      </c>
      <c r="C1391" s="5" t="n">
        <v>447</v>
      </c>
      <c r="D1391" s="5">
        <f>IFERROR(INDEX('Base de sorteio'!$A$3:$A$1723,MATCH($B1391&amp;"|"&amp;$C1391,'Base de sorteio'!$I$3:$I$1723,0)),"")</f>
        <v/>
      </c>
      <c r="E1391" s="4">
        <f>IFERROR(INDEX('Base de sorteio'!$B$3:$B$1723,MATCH($B1391&amp;"|"&amp;$C1391,'Base de sorteio'!$I$3:$I$1723,0)),"")</f>
        <v/>
      </c>
      <c r="F1391" s="4">
        <f>IFERROR(INDEX('Base de sorteio'!$C$3:$C$1723,MATCH($B1391&amp;"|"&amp;$C1391,'Base de sorteio'!$I$3:$I$1723,0)),"")</f>
        <v/>
      </c>
      <c r="G1391" s="4">
        <f>IFERROR(INDEX('Base de sorteio'!$D$3:$D$1723,MATCH($B1391&amp;"|"&amp;$C1391,'Base de sorteio'!$I$3:$I$1723,0)),"")</f>
        <v/>
      </c>
      <c r="H1391" s="4">
        <f>IFERROR(INDEX('Base de sorteio'!$E$3:$E$1723,MATCH($B1391&amp;"|"&amp;$C1391,'Base de sorteio'!$I$3:$I$1723,0)),"")</f>
        <v/>
      </c>
      <c r="I1391" s="4">
        <f>IF(E1391="","",HYPERLINK(IFERROR(INDEX('Base de sorteio'!$J$3:$J$1723,MATCH($B1391&amp;"|"&amp;$C1391,'Base de sorteio'!$I$3:$I$1723,0)),""),"abrir"))</f>
        <v/>
      </c>
      <c r="J1391" s="4" t="n"/>
      <c r="K1391" s="4" t="n"/>
      <c r="L1391" s="4" t="n"/>
      <c r="M1391" s="4" t="n"/>
      <c r="N1391" s="4">
        <f>IF(AND(K1391="",M1391=""),"",IF(OR(K1391="sim",M1391="sim"),"sim",IF(OR(K1391="inconclusivo",M1391="inconclusivo"),"inconclusivo","não")))</f>
        <v/>
      </c>
      <c r="O1391" s="5">
        <f>IF(N1391="sim",COUNTIFS($B$3:$B1391,$B1391,$N$3:$N1391,"sim"),"")</f>
        <v/>
      </c>
      <c r="P1391" s="5" t="n"/>
      <c r="Q1391" s="4" t="n"/>
      <c r="R1391" s="5" t="n"/>
      <c r="S1391" s="9" t="n"/>
      <c r="T1391" s="4" t="n"/>
    </row>
    <row r="1392">
      <c r="A1392" s="5">
        <f>ROW()-2</f>
        <v/>
      </c>
      <c r="B1392" s="4" t="inlineStr">
        <is>
          <t>Capital regional</t>
        </is>
      </c>
      <c r="C1392" s="5" t="n">
        <v>448</v>
      </c>
      <c r="D1392" s="5">
        <f>IFERROR(INDEX('Base de sorteio'!$A$3:$A$1723,MATCH($B1392&amp;"|"&amp;$C1392,'Base de sorteio'!$I$3:$I$1723,0)),"")</f>
        <v/>
      </c>
      <c r="E1392" s="4">
        <f>IFERROR(INDEX('Base de sorteio'!$B$3:$B$1723,MATCH($B1392&amp;"|"&amp;$C1392,'Base de sorteio'!$I$3:$I$1723,0)),"")</f>
        <v/>
      </c>
      <c r="F1392" s="4">
        <f>IFERROR(INDEX('Base de sorteio'!$C$3:$C$1723,MATCH($B1392&amp;"|"&amp;$C1392,'Base de sorteio'!$I$3:$I$1723,0)),"")</f>
        <v/>
      </c>
      <c r="G1392" s="4">
        <f>IFERROR(INDEX('Base de sorteio'!$D$3:$D$1723,MATCH($B1392&amp;"|"&amp;$C1392,'Base de sorteio'!$I$3:$I$1723,0)),"")</f>
        <v/>
      </c>
      <c r="H1392" s="4">
        <f>IFERROR(INDEX('Base de sorteio'!$E$3:$E$1723,MATCH($B1392&amp;"|"&amp;$C1392,'Base de sorteio'!$I$3:$I$1723,0)),"")</f>
        <v/>
      </c>
      <c r="I1392" s="4">
        <f>IF(E1392="","",HYPERLINK(IFERROR(INDEX('Base de sorteio'!$J$3:$J$1723,MATCH($B1392&amp;"|"&amp;$C1392,'Base de sorteio'!$I$3:$I$1723,0)),""),"abrir"))</f>
        <v/>
      </c>
      <c r="J1392" s="4" t="n"/>
      <c r="K1392" s="4" t="n"/>
      <c r="L1392" s="4" t="n"/>
      <c r="M1392" s="4" t="n"/>
      <c r="N1392" s="4">
        <f>IF(AND(K1392="",M1392=""),"",IF(OR(K1392="sim",M1392="sim"),"sim",IF(OR(K1392="inconclusivo",M1392="inconclusivo"),"inconclusivo","não")))</f>
        <v/>
      </c>
      <c r="O1392" s="5">
        <f>IF(N1392="sim",COUNTIFS($B$3:$B1392,$B1392,$N$3:$N1392,"sim"),"")</f>
        <v/>
      </c>
      <c r="P1392" s="5" t="n"/>
      <c r="Q1392" s="4" t="n"/>
      <c r="R1392" s="5" t="n"/>
      <c r="S1392" s="9" t="n"/>
      <c r="T1392" s="4" t="n"/>
    </row>
    <row r="1393">
      <c r="A1393" s="5">
        <f>ROW()-2</f>
        <v/>
      </c>
      <c r="B1393" s="4" t="inlineStr">
        <is>
          <t>Capital regional</t>
        </is>
      </c>
      <c r="C1393" s="5" t="n">
        <v>449</v>
      </c>
      <c r="D1393" s="5">
        <f>IFERROR(INDEX('Base de sorteio'!$A$3:$A$1723,MATCH($B1393&amp;"|"&amp;$C1393,'Base de sorteio'!$I$3:$I$1723,0)),"")</f>
        <v/>
      </c>
      <c r="E1393" s="4">
        <f>IFERROR(INDEX('Base de sorteio'!$B$3:$B$1723,MATCH($B1393&amp;"|"&amp;$C1393,'Base de sorteio'!$I$3:$I$1723,0)),"")</f>
        <v/>
      </c>
      <c r="F1393" s="4">
        <f>IFERROR(INDEX('Base de sorteio'!$C$3:$C$1723,MATCH($B1393&amp;"|"&amp;$C1393,'Base de sorteio'!$I$3:$I$1723,0)),"")</f>
        <v/>
      </c>
      <c r="G1393" s="4">
        <f>IFERROR(INDEX('Base de sorteio'!$D$3:$D$1723,MATCH($B1393&amp;"|"&amp;$C1393,'Base de sorteio'!$I$3:$I$1723,0)),"")</f>
        <v/>
      </c>
      <c r="H1393" s="4">
        <f>IFERROR(INDEX('Base de sorteio'!$E$3:$E$1723,MATCH($B1393&amp;"|"&amp;$C1393,'Base de sorteio'!$I$3:$I$1723,0)),"")</f>
        <v/>
      </c>
      <c r="I1393" s="4">
        <f>IF(E1393="","",HYPERLINK(IFERROR(INDEX('Base de sorteio'!$J$3:$J$1723,MATCH($B1393&amp;"|"&amp;$C1393,'Base de sorteio'!$I$3:$I$1723,0)),""),"abrir"))</f>
        <v/>
      </c>
      <c r="J1393" s="4" t="n"/>
      <c r="K1393" s="4" t="n"/>
      <c r="L1393" s="4" t="n"/>
      <c r="M1393" s="4" t="n"/>
      <c r="N1393" s="4">
        <f>IF(AND(K1393="",M1393=""),"",IF(OR(K1393="sim",M1393="sim"),"sim",IF(OR(K1393="inconclusivo",M1393="inconclusivo"),"inconclusivo","não")))</f>
        <v/>
      </c>
      <c r="O1393" s="5">
        <f>IF(N1393="sim",COUNTIFS($B$3:$B1393,$B1393,$N$3:$N1393,"sim"),"")</f>
        <v/>
      </c>
      <c r="P1393" s="5" t="n"/>
      <c r="Q1393" s="4" t="n"/>
      <c r="R1393" s="5" t="n"/>
      <c r="S1393" s="9" t="n"/>
      <c r="T1393" s="4" t="n"/>
    </row>
    <row r="1394">
      <c r="A1394" s="5">
        <f>ROW()-2</f>
        <v/>
      </c>
      <c r="B1394" s="4" t="inlineStr">
        <is>
          <t>Capital regional</t>
        </is>
      </c>
      <c r="C1394" s="5" t="n">
        <v>450</v>
      </c>
      <c r="D1394" s="5">
        <f>IFERROR(INDEX('Base de sorteio'!$A$3:$A$1723,MATCH($B1394&amp;"|"&amp;$C1394,'Base de sorteio'!$I$3:$I$1723,0)),"")</f>
        <v/>
      </c>
      <c r="E1394" s="4">
        <f>IFERROR(INDEX('Base de sorteio'!$B$3:$B$1723,MATCH($B1394&amp;"|"&amp;$C1394,'Base de sorteio'!$I$3:$I$1723,0)),"")</f>
        <v/>
      </c>
      <c r="F1394" s="4">
        <f>IFERROR(INDEX('Base de sorteio'!$C$3:$C$1723,MATCH($B1394&amp;"|"&amp;$C1394,'Base de sorteio'!$I$3:$I$1723,0)),"")</f>
        <v/>
      </c>
      <c r="G1394" s="4">
        <f>IFERROR(INDEX('Base de sorteio'!$D$3:$D$1723,MATCH($B1394&amp;"|"&amp;$C1394,'Base de sorteio'!$I$3:$I$1723,0)),"")</f>
        <v/>
      </c>
      <c r="H1394" s="4">
        <f>IFERROR(INDEX('Base de sorteio'!$E$3:$E$1723,MATCH($B1394&amp;"|"&amp;$C1394,'Base de sorteio'!$I$3:$I$1723,0)),"")</f>
        <v/>
      </c>
      <c r="I1394" s="4">
        <f>IF(E1394="","",HYPERLINK(IFERROR(INDEX('Base de sorteio'!$J$3:$J$1723,MATCH($B1394&amp;"|"&amp;$C1394,'Base de sorteio'!$I$3:$I$1723,0)),""),"abrir"))</f>
        <v/>
      </c>
      <c r="J1394" s="4" t="n"/>
      <c r="K1394" s="4" t="n"/>
      <c r="L1394" s="4" t="n"/>
      <c r="M1394" s="4" t="n"/>
      <c r="N1394" s="4">
        <f>IF(AND(K1394="",M1394=""),"",IF(OR(K1394="sim",M1394="sim"),"sim",IF(OR(K1394="inconclusivo",M1394="inconclusivo"),"inconclusivo","não")))</f>
        <v/>
      </c>
      <c r="O1394" s="5">
        <f>IF(N1394="sim",COUNTIFS($B$3:$B1394,$B1394,$N$3:$N1394,"sim"),"")</f>
        <v/>
      </c>
      <c r="P1394" s="5" t="n"/>
      <c r="Q1394" s="4" t="n"/>
      <c r="R1394" s="5" t="n"/>
      <c r="S1394" s="9" t="n"/>
      <c r="T1394" s="4" t="n"/>
    </row>
    <row r="1395">
      <c r="A1395" s="5">
        <f>ROW()-2</f>
        <v/>
      </c>
      <c r="B1395" s="4" t="inlineStr">
        <is>
          <t>Capital regional</t>
        </is>
      </c>
      <c r="C1395" s="5" t="n">
        <v>451</v>
      </c>
      <c r="D1395" s="5">
        <f>IFERROR(INDEX('Base de sorteio'!$A$3:$A$1723,MATCH($B1395&amp;"|"&amp;$C1395,'Base de sorteio'!$I$3:$I$1723,0)),"")</f>
        <v/>
      </c>
      <c r="E1395" s="4">
        <f>IFERROR(INDEX('Base de sorteio'!$B$3:$B$1723,MATCH($B1395&amp;"|"&amp;$C1395,'Base de sorteio'!$I$3:$I$1723,0)),"")</f>
        <v/>
      </c>
      <c r="F1395" s="4">
        <f>IFERROR(INDEX('Base de sorteio'!$C$3:$C$1723,MATCH($B1395&amp;"|"&amp;$C1395,'Base de sorteio'!$I$3:$I$1723,0)),"")</f>
        <v/>
      </c>
      <c r="G1395" s="4">
        <f>IFERROR(INDEX('Base de sorteio'!$D$3:$D$1723,MATCH($B1395&amp;"|"&amp;$C1395,'Base de sorteio'!$I$3:$I$1723,0)),"")</f>
        <v/>
      </c>
      <c r="H1395" s="4">
        <f>IFERROR(INDEX('Base de sorteio'!$E$3:$E$1723,MATCH($B1395&amp;"|"&amp;$C1395,'Base de sorteio'!$I$3:$I$1723,0)),"")</f>
        <v/>
      </c>
      <c r="I1395" s="4">
        <f>IF(E1395="","",HYPERLINK(IFERROR(INDEX('Base de sorteio'!$J$3:$J$1723,MATCH($B1395&amp;"|"&amp;$C1395,'Base de sorteio'!$I$3:$I$1723,0)),""),"abrir"))</f>
        <v/>
      </c>
      <c r="J1395" s="4" t="n"/>
      <c r="K1395" s="4" t="n"/>
      <c r="L1395" s="4" t="n"/>
      <c r="M1395" s="4" t="n"/>
      <c r="N1395" s="4">
        <f>IF(AND(K1395="",M1395=""),"",IF(OR(K1395="sim",M1395="sim"),"sim",IF(OR(K1395="inconclusivo",M1395="inconclusivo"),"inconclusivo","não")))</f>
        <v/>
      </c>
      <c r="O1395" s="5">
        <f>IF(N1395="sim",COUNTIFS($B$3:$B1395,$B1395,$N$3:$N1395,"sim"),"")</f>
        <v/>
      </c>
      <c r="P1395" s="5" t="n"/>
      <c r="Q1395" s="4" t="n"/>
      <c r="R1395" s="5" t="n"/>
      <c r="S1395" s="9" t="n"/>
      <c r="T1395" s="4" t="n"/>
    </row>
    <row r="1396">
      <c r="A1396" s="5">
        <f>ROW()-2</f>
        <v/>
      </c>
      <c r="B1396" s="4" t="inlineStr">
        <is>
          <t>Capital regional</t>
        </is>
      </c>
      <c r="C1396" s="5" t="n">
        <v>452</v>
      </c>
      <c r="D1396" s="5">
        <f>IFERROR(INDEX('Base de sorteio'!$A$3:$A$1723,MATCH($B1396&amp;"|"&amp;$C1396,'Base de sorteio'!$I$3:$I$1723,0)),"")</f>
        <v/>
      </c>
      <c r="E1396" s="4">
        <f>IFERROR(INDEX('Base de sorteio'!$B$3:$B$1723,MATCH($B1396&amp;"|"&amp;$C1396,'Base de sorteio'!$I$3:$I$1723,0)),"")</f>
        <v/>
      </c>
      <c r="F1396" s="4">
        <f>IFERROR(INDEX('Base de sorteio'!$C$3:$C$1723,MATCH($B1396&amp;"|"&amp;$C1396,'Base de sorteio'!$I$3:$I$1723,0)),"")</f>
        <v/>
      </c>
      <c r="G1396" s="4">
        <f>IFERROR(INDEX('Base de sorteio'!$D$3:$D$1723,MATCH($B1396&amp;"|"&amp;$C1396,'Base de sorteio'!$I$3:$I$1723,0)),"")</f>
        <v/>
      </c>
      <c r="H1396" s="4">
        <f>IFERROR(INDEX('Base de sorteio'!$E$3:$E$1723,MATCH($B1396&amp;"|"&amp;$C1396,'Base de sorteio'!$I$3:$I$1723,0)),"")</f>
        <v/>
      </c>
      <c r="I1396" s="4">
        <f>IF(E1396="","",HYPERLINK(IFERROR(INDEX('Base de sorteio'!$J$3:$J$1723,MATCH($B1396&amp;"|"&amp;$C1396,'Base de sorteio'!$I$3:$I$1723,0)),""),"abrir"))</f>
        <v/>
      </c>
      <c r="J1396" s="4" t="n"/>
      <c r="K1396" s="4" t="n"/>
      <c r="L1396" s="4" t="n"/>
      <c r="M1396" s="4" t="n"/>
      <c r="N1396" s="4">
        <f>IF(AND(K1396="",M1396=""),"",IF(OR(K1396="sim",M1396="sim"),"sim",IF(OR(K1396="inconclusivo",M1396="inconclusivo"),"inconclusivo","não")))</f>
        <v/>
      </c>
      <c r="O1396" s="5">
        <f>IF(N1396="sim",COUNTIFS($B$3:$B1396,$B1396,$N$3:$N1396,"sim"),"")</f>
        <v/>
      </c>
      <c r="P1396" s="5" t="n"/>
      <c r="Q1396" s="4" t="n"/>
      <c r="R1396" s="5" t="n"/>
      <c r="S1396" s="9" t="n"/>
      <c r="T1396" s="4" t="n"/>
    </row>
    <row r="1397">
      <c r="A1397" s="5">
        <f>ROW()-2</f>
        <v/>
      </c>
      <c r="B1397" s="4" t="inlineStr">
        <is>
          <t>Capital regional</t>
        </is>
      </c>
      <c r="C1397" s="5" t="n">
        <v>453</v>
      </c>
      <c r="D1397" s="5">
        <f>IFERROR(INDEX('Base de sorteio'!$A$3:$A$1723,MATCH($B1397&amp;"|"&amp;$C1397,'Base de sorteio'!$I$3:$I$1723,0)),"")</f>
        <v/>
      </c>
      <c r="E1397" s="4">
        <f>IFERROR(INDEX('Base de sorteio'!$B$3:$B$1723,MATCH($B1397&amp;"|"&amp;$C1397,'Base de sorteio'!$I$3:$I$1723,0)),"")</f>
        <v/>
      </c>
      <c r="F1397" s="4">
        <f>IFERROR(INDEX('Base de sorteio'!$C$3:$C$1723,MATCH($B1397&amp;"|"&amp;$C1397,'Base de sorteio'!$I$3:$I$1723,0)),"")</f>
        <v/>
      </c>
      <c r="G1397" s="4">
        <f>IFERROR(INDEX('Base de sorteio'!$D$3:$D$1723,MATCH($B1397&amp;"|"&amp;$C1397,'Base de sorteio'!$I$3:$I$1723,0)),"")</f>
        <v/>
      </c>
      <c r="H1397" s="4">
        <f>IFERROR(INDEX('Base de sorteio'!$E$3:$E$1723,MATCH($B1397&amp;"|"&amp;$C1397,'Base de sorteio'!$I$3:$I$1723,0)),"")</f>
        <v/>
      </c>
      <c r="I1397" s="4">
        <f>IF(E1397="","",HYPERLINK(IFERROR(INDEX('Base de sorteio'!$J$3:$J$1723,MATCH($B1397&amp;"|"&amp;$C1397,'Base de sorteio'!$I$3:$I$1723,0)),""),"abrir"))</f>
        <v/>
      </c>
      <c r="J1397" s="4" t="n"/>
      <c r="K1397" s="4" t="n"/>
      <c r="L1397" s="4" t="n"/>
      <c r="M1397" s="4" t="n"/>
      <c r="N1397" s="4">
        <f>IF(AND(K1397="",M1397=""),"",IF(OR(K1397="sim",M1397="sim"),"sim",IF(OR(K1397="inconclusivo",M1397="inconclusivo"),"inconclusivo","não")))</f>
        <v/>
      </c>
      <c r="O1397" s="5">
        <f>IF(N1397="sim",COUNTIFS($B$3:$B1397,$B1397,$N$3:$N1397,"sim"),"")</f>
        <v/>
      </c>
      <c r="P1397" s="5" t="n"/>
      <c r="Q1397" s="4" t="n"/>
      <c r="R1397" s="5" t="n"/>
      <c r="S1397" s="9" t="n"/>
      <c r="T1397" s="4" t="n"/>
    </row>
    <row r="1398">
      <c r="A1398" s="5">
        <f>ROW()-2</f>
        <v/>
      </c>
      <c r="B1398" s="4" t="inlineStr">
        <is>
          <t>Capital regional</t>
        </is>
      </c>
      <c r="C1398" s="5" t="n">
        <v>454</v>
      </c>
      <c r="D1398" s="5">
        <f>IFERROR(INDEX('Base de sorteio'!$A$3:$A$1723,MATCH($B1398&amp;"|"&amp;$C1398,'Base de sorteio'!$I$3:$I$1723,0)),"")</f>
        <v/>
      </c>
      <c r="E1398" s="4">
        <f>IFERROR(INDEX('Base de sorteio'!$B$3:$B$1723,MATCH($B1398&amp;"|"&amp;$C1398,'Base de sorteio'!$I$3:$I$1723,0)),"")</f>
        <v/>
      </c>
      <c r="F1398" s="4">
        <f>IFERROR(INDEX('Base de sorteio'!$C$3:$C$1723,MATCH($B1398&amp;"|"&amp;$C1398,'Base de sorteio'!$I$3:$I$1723,0)),"")</f>
        <v/>
      </c>
      <c r="G1398" s="4">
        <f>IFERROR(INDEX('Base de sorteio'!$D$3:$D$1723,MATCH($B1398&amp;"|"&amp;$C1398,'Base de sorteio'!$I$3:$I$1723,0)),"")</f>
        <v/>
      </c>
      <c r="H1398" s="4">
        <f>IFERROR(INDEX('Base de sorteio'!$E$3:$E$1723,MATCH($B1398&amp;"|"&amp;$C1398,'Base de sorteio'!$I$3:$I$1723,0)),"")</f>
        <v/>
      </c>
      <c r="I1398" s="4">
        <f>IF(E1398="","",HYPERLINK(IFERROR(INDEX('Base de sorteio'!$J$3:$J$1723,MATCH($B1398&amp;"|"&amp;$C1398,'Base de sorteio'!$I$3:$I$1723,0)),""),"abrir"))</f>
        <v/>
      </c>
      <c r="J1398" s="4" t="n"/>
      <c r="K1398" s="4" t="n"/>
      <c r="L1398" s="4" t="n"/>
      <c r="M1398" s="4" t="n"/>
      <c r="N1398" s="4">
        <f>IF(AND(K1398="",M1398=""),"",IF(OR(K1398="sim",M1398="sim"),"sim",IF(OR(K1398="inconclusivo",M1398="inconclusivo"),"inconclusivo","não")))</f>
        <v/>
      </c>
      <c r="O1398" s="5">
        <f>IF(N1398="sim",COUNTIFS($B$3:$B1398,$B1398,$N$3:$N1398,"sim"),"")</f>
        <v/>
      </c>
      <c r="P1398" s="5" t="n"/>
      <c r="Q1398" s="4" t="n"/>
      <c r="R1398" s="5" t="n"/>
      <c r="S1398" s="9" t="n"/>
      <c r="T1398" s="4" t="n"/>
    </row>
    <row r="1399">
      <c r="A1399" s="5">
        <f>ROW()-2</f>
        <v/>
      </c>
      <c r="B1399" s="4" t="inlineStr">
        <is>
          <t>Capital regional</t>
        </is>
      </c>
      <c r="C1399" s="5" t="n">
        <v>455</v>
      </c>
      <c r="D1399" s="5">
        <f>IFERROR(INDEX('Base de sorteio'!$A$3:$A$1723,MATCH($B1399&amp;"|"&amp;$C1399,'Base de sorteio'!$I$3:$I$1723,0)),"")</f>
        <v/>
      </c>
      <c r="E1399" s="4">
        <f>IFERROR(INDEX('Base de sorteio'!$B$3:$B$1723,MATCH($B1399&amp;"|"&amp;$C1399,'Base de sorteio'!$I$3:$I$1723,0)),"")</f>
        <v/>
      </c>
      <c r="F1399" s="4">
        <f>IFERROR(INDEX('Base de sorteio'!$C$3:$C$1723,MATCH($B1399&amp;"|"&amp;$C1399,'Base de sorteio'!$I$3:$I$1723,0)),"")</f>
        <v/>
      </c>
      <c r="G1399" s="4">
        <f>IFERROR(INDEX('Base de sorteio'!$D$3:$D$1723,MATCH($B1399&amp;"|"&amp;$C1399,'Base de sorteio'!$I$3:$I$1723,0)),"")</f>
        <v/>
      </c>
      <c r="H1399" s="4">
        <f>IFERROR(INDEX('Base de sorteio'!$E$3:$E$1723,MATCH($B1399&amp;"|"&amp;$C1399,'Base de sorteio'!$I$3:$I$1723,0)),"")</f>
        <v/>
      </c>
      <c r="I1399" s="4">
        <f>IF(E1399="","",HYPERLINK(IFERROR(INDEX('Base de sorteio'!$J$3:$J$1723,MATCH($B1399&amp;"|"&amp;$C1399,'Base de sorteio'!$I$3:$I$1723,0)),""),"abrir"))</f>
        <v/>
      </c>
      <c r="J1399" s="4" t="n"/>
      <c r="K1399" s="4" t="n"/>
      <c r="L1399" s="4" t="n"/>
      <c r="M1399" s="4" t="n"/>
      <c r="N1399" s="4">
        <f>IF(AND(K1399="",M1399=""),"",IF(OR(K1399="sim",M1399="sim"),"sim",IF(OR(K1399="inconclusivo",M1399="inconclusivo"),"inconclusivo","não")))</f>
        <v/>
      </c>
      <c r="O1399" s="5">
        <f>IF(N1399="sim",COUNTIFS($B$3:$B1399,$B1399,$N$3:$N1399,"sim"),"")</f>
        <v/>
      </c>
      <c r="P1399" s="5" t="n"/>
      <c r="Q1399" s="4" t="n"/>
      <c r="R1399" s="5" t="n"/>
      <c r="S1399" s="9" t="n"/>
      <c r="T1399" s="4" t="n"/>
    </row>
    <row r="1400">
      <c r="A1400" s="5">
        <f>ROW()-2</f>
        <v/>
      </c>
      <c r="B1400" s="4" t="inlineStr">
        <is>
          <t>Capital regional</t>
        </is>
      </c>
      <c r="C1400" s="5" t="n">
        <v>456</v>
      </c>
      <c r="D1400" s="5">
        <f>IFERROR(INDEX('Base de sorteio'!$A$3:$A$1723,MATCH($B1400&amp;"|"&amp;$C1400,'Base de sorteio'!$I$3:$I$1723,0)),"")</f>
        <v/>
      </c>
      <c r="E1400" s="4">
        <f>IFERROR(INDEX('Base de sorteio'!$B$3:$B$1723,MATCH($B1400&amp;"|"&amp;$C1400,'Base de sorteio'!$I$3:$I$1723,0)),"")</f>
        <v/>
      </c>
      <c r="F1400" s="4">
        <f>IFERROR(INDEX('Base de sorteio'!$C$3:$C$1723,MATCH($B1400&amp;"|"&amp;$C1400,'Base de sorteio'!$I$3:$I$1723,0)),"")</f>
        <v/>
      </c>
      <c r="G1400" s="4">
        <f>IFERROR(INDEX('Base de sorteio'!$D$3:$D$1723,MATCH($B1400&amp;"|"&amp;$C1400,'Base de sorteio'!$I$3:$I$1723,0)),"")</f>
        <v/>
      </c>
      <c r="H1400" s="4">
        <f>IFERROR(INDEX('Base de sorteio'!$E$3:$E$1723,MATCH($B1400&amp;"|"&amp;$C1400,'Base de sorteio'!$I$3:$I$1723,0)),"")</f>
        <v/>
      </c>
      <c r="I1400" s="4">
        <f>IF(E1400="","",HYPERLINK(IFERROR(INDEX('Base de sorteio'!$J$3:$J$1723,MATCH($B1400&amp;"|"&amp;$C1400,'Base de sorteio'!$I$3:$I$1723,0)),""),"abrir"))</f>
        <v/>
      </c>
      <c r="J1400" s="4" t="n"/>
      <c r="K1400" s="4" t="n"/>
      <c r="L1400" s="4" t="n"/>
      <c r="M1400" s="4" t="n"/>
      <c r="N1400" s="4">
        <f>IF(AND(K1400="",M1400=""),"",IF(OR(K1400="sim",M1400="sim"),"sim",IF(OR(K1400="inconclusivo",M1400="inconclusivo"),"inconclusivo","não")))</f>
        <v/>
      </c>
      <c r="O1400" s="5">
        <f>IF(N1400="sim",COUNTIFS($B$3:$B1400,$B1400,$N$3:$N1400,"sim"),"")</f>
        <v/>
      </c>
      <c r="P1400" s="5" t="n"/>
      <c r="Q1400" s="4" t="n"/>
      <c r="R1400" s="5" t="n"/>
      <c r="S1400" s="9" t="n"/>
      <c r="T1400" s="4" t="n"/>
    </row>
    <row r="1401">
      <c r="A1401" s="5">
        <f>ROW()-2</f>
        <v/>
      </c>
      <c r="B1401" s="4" t="inlineStr">
        <is>
          <t>Capital regional</t>
        </is>
      </c>
      <c r="C1401" s="5" t="n">
        <v>457</v>
      </c>
      <c r="D1401" s="5">
        <f>IFERROR(INDEX('Base de sorteio'!$A$3:$A$1723,MATCH($B1401&amp;"|"&amp;$C1401,'Base de sorteio'!$I$3:$I$1723,0)),"")</f>
        <v/>
      </c>
      <c r="E1401" s="4">
        <f>IFERROR(INDEX('Base de sorteio'!$B$3:$B$1723,MATCH($B1401&amp;"|"&amp;$C1401,'Base de sorteio'!$I$3:$I$1723,0)),"")</f>
        <v/>
      </c>
      <c r="F1401" s="4">
        <f>IFERROR(INDEX('Base de sorteio'!$C$3:$C$1723,MATCH($B1401&amp;"|"&amp;$C1401,'Base de sorteio'!$I$3:$I$1723,0)),"")</f>
        <v/>
      </c>
      <c r="G1401" s="4">
        <f>IFERROR(INDEX('Base de sorteio'!$D$3:$D$1723,MATCH($B1401&amp;"|"&amp;$C1401,'Base de sorteio'!$I$3:$I$1723,0)),"")</f>
        <v/>
      </c>
      <c r="H1401" s="4">
        <f>IFERROR(INDEX('Base de sorteio'!$E$3:$E$1723,MATCH($B1401&amp;"|"&amp;$C1401,'Base de sorteio'!$I$3:$I$1723,0)),"")</f>
        <v/>
      </c>
      <c r="I1401" s="4">
        <f>IF(E1401="","",HYPERLINK(IFERROR(INDEX('Base de sorteio'!$J$3:$J$1723,MATCH($B1401&amp;"|"&amp;$C1401,'Base de sorteio'!$I$3:$I$1723,0)),""),"abrir"))</f>
        <v/>
      </c>
      <c r="J1401" s="4" t="n"/>
      <c r="K1401" s="4" t="n"/>
      <c r="L1401" s="4" t="n"/>
      <c r="M1401" s="4" t="n"/>
      <c r="N1401" s="4">
        <f>IF(AND(K1401="",M1401=""),"",IF(OR(K1401="sim",M1401="sim"),"sim",IF(OR(K1401="inconclusivo",M1401="inconclusivo"),"inconclusivo","não")))</f>
        <v/>
      </c>
      <c r="O1401" s="5">
        <f>IF(N1401="sim",COUNTIFS($B$3:$B1401,$B1401,$N$3:$N1401,"sim"),"")</f>
        <v/>
      </c>
      <c r="P1401" s="5" t="n"/>
      <c r="Q1401" s="4" t="n"/>
      <c r="R1401" s="5" t="n"/>
      <c r="S1401" s="9" t="n"/>
      <c r="T1401" s="4" t="n"/>
    </row>
    <row r="1402">
      <c r="A1402" s="5">
        <f>ROW()-2</f>
        <v/>
      </c>
      <c r="B1402" s="4" t="inlineStr">
        <is>
          <t>Capital regional</t>
        </is>
      </c>
      <c r="C1402" s="5" t="n">
        <v>458</v>
      </c>
      <c r="D1402" s="5">
        <f>IFERROR(INDEX('Base de sorteio'!$A$3:$A$1723,MATCH($B1402&amp;"|"&amp;$C1402,'Base de sorteio'!$I$3:$I$1723,0)),"")</f>
        <v/>
      </c>
      <c r="E1402" s="4">
        <f>IFERROR(INDEX('Base de sorteio'!$B$3:$B$1723,MATCH($B1402&amp;"|"&amp;$C1402,'Base de sorteio'!$I$3:$I$1723,0)),"")</f>
        <v/>
      </c>
      <c r="F1402" s="4">
        <f>IFERROR(INDEX('Base de sorteio'!$C$3:$C$1723,MATCH($B1402&amp;"|"&amp;$C1402,'Base de sorteio'!$I$3:$I$1723,0)),"")</f>
        <v/>
      </c>
      <c r="G1402" s="4">
        <f>IFERROR(INDEX('Base de sorteio'!$D$3:$D$1723,MATCH($B1402&amp;"|"&amp;$C1402,'Base de sorteio'!$I$3:$I$1723,0)),"")</f>
        <v/>
      </c>
      <c r="H1402" s="4">
        <f>IFERROR(INDEX('Base de sorteio'!$E$3:$E$1723,MATCH($B1402&amp;"|"&amp;$C1402,'Base de sorteio'!$I$3:$I$1723,0)),"")</f>
        <v/>
      </c>
      <c r="I1402" s="4">
        <f>IF(E1402="","",HYPERLINK(IFERROR(INDEX('Base de sorteio'!$J$3:$J$1723,MATCH($B1402&amp;"|"&amp;$C1402,'Base de sorteio'!$I$3:$I$1723,0)),""),"abrir"))</f>
        <v/>
      </c>
      <c r="J1402" s="4" t="n"/>
      <c r="K1402" s="4" t="n"/>
      <c r="L1402" s="4" t="n"/>
      <c r="M1402" s="4" t="n"/>
      <c r="N1402" s="4">
        <f>IF(AND(K1402="",M1402=""),"",IF(OR(K1402="sim",M1402="sim"),"sim",IF(OR(K1402="inconclusivo",M1402="inconclusivo"),"inconclusivo","não")))</f>
        <v/>
      </c>
      <c r="O1402" s="5">
        <f>IF(N1402="sim",COUNTIFS($B$3:$B1402,$B1402,$N$3:$N1402,"sim"),"")</f>
        <v/>
      </c>
      <c r="P1402" s="5" t="n"/>
      <c r="Q1402" s="4" t="n"/>
      <c r="R1402" s="5" t="n"/>
      <c r="S1402" s="9" t="n"/>
      <c r="T1402" s="4" t="n"/>
    </row>
    <row r="1403">
      <c r="A1403" s="5">
        <f>ROW()-2</f>
        <v/>
      </c>
      <c r="B1403" s="4" t="inlineStr">
        <is>
          <t>Capital regional</t>
        </is>
      </c>
      <c r="C1403" s="5" t="n">
        <v>459</v>
      </c>
      <c r="D1403" s="5">
        <f>IFERROR(INDEX('Base de sorteio'!$A$3:$A$1723,MATCH($B1403&amp;"|"&amp;$C1403,'Base de sorteio'!$I$3:$I$1723,0)),"")</f>
        <v/>
      </c>
      <c r="E1403" s="4">
        <f>IFERROR(INDEX('Base de sorteio'!$B$3:$B$1723,MATCH($B1403&amp;"|"&amp;$C1403,'Base de sorteio'!$I$3:$I$1723,0)),"")</f>
        <v/>
      </c>
      <c r="F1403" s="4">
        <f>IFERROR(INDEX('Base de sorteio'!$C$3:$C$1723,MATCH($B1403&amp;"|"&amp;$C1403,'Base de sorteio'!$I$3:$I$1723,0)),"")</f>
        <v/>
      </c>
      <c r="G1403" s="4">
        <f>IFERROR(INDEX('Base de sorteio'!$D$3:$D$1723,MATCH($B1403&amp;"|"&amp;$C1403,'Base de sorteio'!$I$3:$I$1723,0)),"")</f>
        <v/>
      </c>
      <c r="H1403" s="4">
        <f>IFERROR(INDEX('Base de sorteio'!$E$3:$E$1723,MATCH($B1403&amp;"|"&amp;$C1403,'Base de sorteio'!$I$3:$I$1723,0)),"")</f>
        <v/>
      </c>
      <c r="I1403" s="4">
        <f>IF(E1403="","",HYPERLINK(IFERROR(INDEX('Base de sorteio'!$J$3:$J$1723,MATCH($B1403&amp;"|"&amp;$C1403,'Base de sorteio'!$I$3:$I$1723,0)),""),"abrir"))</f>
        <v/>
      </c>
      <c r="J1403" s="4" t="n"/>
      <c r="K1403" s="4" t="n"/>
      <c r="L1403" s="4" t="n"/>
      <c r="M1403" s="4" t="n"/>
      <c r="N1403" s="4">
        <f>IF(AND(K1403="",M1403=""),"",IF(OR(K1403="sim",M1403="sim"),"sim",IF(OR(K1403="inconclusivo",M1403="inconclusivo"),"inconclusivo","não")))</f>
        <v/>
      </c>
      <c r="O1403" s="5">
        <f>IF(N1403="sim",COUNTIFS($B$3:$B1403,$B1403,$N$3:$N1403,"sim"),"")</f>
        <v/>
      </c>
      <c r="P1403" s="5" t="n"/>
      <c r="Q1403" s="4" t="n"/>
      <c r="R1403" s="5" t="n"/>
      <c r="S1403" s="9" t="n"/>
      <c r="T1403" s="4" t="n"/>
    </row>
    <row r="1404">
      <c r="A1404" s="5">
        <f>ROW()-2</f>
        <v/>
      </c>
      <c r="B1404" s="4" t="inlineStr">
        <is>
          <t>Capital regional</t>
        </is>
      </c>
      <c r="C1404" s="5" t="n">
        <v>460</v>
      </c>
      <c r="D1404" s="5">
        <f>IFERROR(INDEX('Base de sorteio'!$A$3:$A$1723,MATCH($B1404&amp;"|"&amp;$C1404,'Base de sorteio'!$I$3:$I$1723,0)),"")</f>
        <v/>
      </c>
      <c r="E1404" s="4">
        <f>IFERROR(INDEX('Base de sorteio'!$B$3:$B$1723,MATCH($B1404&amp;"|"&amp;$C1404,'Base de sorteio'!$I$3:$I$1723,0)),"")</f>
        <v/>
      </c>
      <c r="F1404" s="4">
        <f>IFERROR(INDEX('Base de sorteio'!$C$3:$C$1723,MATCH($B1404&amp;"|"&amp;$C1404,'Base de sorteio'!$I$3:$I$1723,0)),"")</f>
        <v/>
      </c>
      <c r="G1404" s="4">
        <f>IFERROR(INDEX('Base de sorteio'!$D$3:$D$1723,MATCH($B1404&amp;"|"&amp;$C1404,'Base de sorteio'!$I$3:$I$1723,0)),"")</f>
        <v/>
      </c>
      <c r="H1404" s="4">
        <f>IFERROR(INDEX('Base de sorteio'!$E$3:$E$1723,MATCH($B1404&amp;"|"&amp;$C1404,'Base de sorteio'!$I$3:$I$1723,0)),"")</f>
        <v/>
      </c>
      <c r="I1404" s="4">
        <f>IF(E1404="","",HYPERLINK(IFERROR(INDEX('Base de sorteio'!$J$3:$J$1723,MATCH($B1404&amp;"|"&amp;$C1404,'Base de sorteio'!$I$3:$I$1723,0)),""),"abrir"))</f>
        <v/>
      </c>
      <c r="J1404" s="4" t="n"/>
      <c r="K1404" s="4" t="n"/>
      <c r="L1404" s="4" t="n"/>
      <c r="M1404" s="4" t="n"/>
      <c r="N1404" s="4">
        <f>IF(AND(K1404="",M1404=""),"",IF(OR(K1404="sim",M1404="sim"),"sim",IF(OR(K1404="inconclusivo",M1404="inconclusivo"),"inconclusivo","não")))</f>
        <v/>
      </c>
      <c r="O1404" s="5">
        <f>IF(N1404="sim",COUNTIFS($B$3:$B1404,$B1404,$N$3:$N1404,"sim"),"")</f>
        <v/>
      </c>
      <c r="P1404" s="5" t="n"/>
      <c r="Q1404" s="4" t="n"/>
      <c r="R1404" s="5" t="n"/>
      <c r="S1404" s="9" t="n"/>
      <c r="T1404" s="4" t="n"/>
    </row>
    <row r="1405">
      <c r="A1405" s="5">
        <f>ROW()-2</f>
        <v/>
      </c>
      <c r="B1405" s="4" t="inlineStr">
        <is>
          <t>Capital regional</t>
        </is>
      </c>
      <c r="C1405" s="5" t="n">
        <v>461</v>
      </c>
      <c r="D1405" s="5">
        <f>IFERROR(INDEX('Base de sorteio'!$A$3:$A$1723,MATCH($B1405&amp;"|"&amp;$C1405,'Base de sorteio'!$I$3:$I$1723,0)),"")</f>
        <v/>
      </c>
      <c r="E1405" s="4">
        <f>IFERROR(INDEX('Base de sorteio'!$B$3:$B$1723,MATCH($B1405&amp;"|"&amp;$C1405,'Base de sorteio'!$I$3:$I$1723,0)),"")</f>
        <v/>
      </c>
      <c r="F1405" s="4">
        <f>IFERROR(INDEX('Base de sorteio'!$C$3:$C$1723,MATCH($B1405&amp;"|"&amp;$C1405,'Base de sorteio'!$I$3:$I$1723,0)),"")</f>
        <v/>
      </c>
      <c r="G1405" s="4">
        <f>IFERROR(INDEX('Base de sorteio'!$D$3:$D$1723,MATCH($B1405&amp;"|"&amp;$C1405,'Base de sorteio'!$I$3:$I$1723,0)),"")</f>
        <v/>
      </c>
      <c r="H1405" s="4">
        <f>IFERROR(INDEX('Base de sorteio'!$E$3:$E$1723,MATCH($B1405&amp;"|"&amp;$C1405,'Base de sorteio'!$I$3:$I$1723,0)),"")</f>
        <v/>
      </c>
      <c r="I1405" s="4">
        <f>IF(E1405="","",HYPERLINK(IFERROR(INDEX('Base de sorteio'!$J$3:$J$1723,MATCH($B1405&amp;"|"&amp;$C1405,'Base de sorteio'!$I$3:$I$1723,0)),""),"abrir"))</f>
        <v/>
      </c>
      <c r="J1405" s="4" t="n"/>
      <c r="K1405" s="4" t="n"/>
      <c r="L1405" s="4" t="n"/>
      <c r="M1405" s="4" t="n"/>
      <c r="N1405" s="4">
        <f>IF(AND(K1405="",M1405=""),"",IF(OR(K1405="sim",M1405="sim"),"sim",IF(OR(K1405="inconclusivo",M1405="inconclusivo"),"inconclusivo","não")))</f>
        <v/>
      </c>
      <c r="O1405" s="5">
        <f>IF(N1405="sim",COUNTIFS($B$3:$B1405,$B1405,$N$3:$N1405,"sim"),"")</f>
        <v/>
      </c>
      <c r="P1405" s="5" t="n"/>
      <c r="Q1405" s="4" t="n"/>
      <c r="R1405" s="5" t="n"/>
      <c r="S1405" s="9" t="n"/>
      <c r="T1405" s="4" t="n"/>
    </row>
    <row r="1406">
      <c r="A1406" s="5">
        <f>ROW()-2</f>
        <v/>
      </c>
      <c r="B1406" s="4" t="inlineStr">
        <is>
          <t>Capital regional</t>
        </is>
      </c>
      <c r="C1406" s="5" t="n">
        <v>462</v>
      </c>
      <c r="D1406" s="5">
        <f>IFERROR(INDEX('Base de sorteio'!$A$3:$A$1723,MATCH($B1406&amp;"|"&amp;$C1406,'Base de sorteio'!$I$3:$I$1723,0)),"")</f>
        <v/>
      </c>
      <c r="E1406" s="4">
        <f>IFERROR(INDEX('Base de sorteio'!$B$3:$B$1723,MATCH($B1406&amp;"|"&amp;$C1406,'Base de sorteio'!$I$3:$I$1723,0)),"")</f>
        <v/>
      </c>
      <c r="F1406" s="4">
        <f>IFERROR(INDEX('Base de sorteio'!$C$3:$C$1723,MATCH($B1406&amp;"|"&amp;$C1406,'Base de sorteio'!$I$3:$I$1723,0)),"")</f>
        <v/>
      </c>
      <c r="G1406" s="4">
        <f>IFERROR(INDEX('Base de sorteio'!$D$3:$D$1723,MATCH($B1406&amp;"|"&amp;$C1406,'Base de sorteio'!$I$3:$I$1723,0)),"")</f>
        <v/>
      </c>
      <c r="H1406" s="4">
        <f>IFERROR(INDEX('Base de sorteio'!$E$3:$E$1723,MATCH($B1406&amp;"|"&amp;$C1406,'Base de sorteio'!$I$3:$I$1723,0)),"")</f>
        <v/>
      </c>
      <c r="I1406" s="4">
        <f>IF(E1406="","",HYPERLINK(IFERROR(INDEX('Base de sorteio'!$J$3:$J$1723,MATCH($B1406&amp;"|"&amp;$C1406,'Base de sorteio'!$I$3:$I$1723,0)),""),"abrir"))</f>
        <v/>
      </c>
      <c r="J1406" s="4" t="n"/>
      <c r="K1406" s="4" t="n"/>
      <c r="L1406" s="4" t="n"/>
      <c r="M1406" s="4" t="n"/>
      <c r="N1406" s="4">
        <f>IF(AND(K1406="",M1406=""),"",IF(OR(K1406="sim",M1406="sim"),"sim",IF(OR(K1406="inconclusivo",M1406="inconclusivo"),"inconclusivo","não")))</f>
        <v/>
      </c>
      <c r="O1406" s="5">
        <f>IF(N1406="sim",COUNTIFS($B$3:$B1406,$B1406,$N$3:$N1406,"sim"),"")</f>
        <v/>
      </c>
      <c r="P1406" s="5" t="n"/>
      <c r="Q1406" s="4" t="n"/>
      <c r="R1406" s="5" t="n"/>
      <c r="S1406" s="9" t="n"/>
      <c r="T1406" s="4" t="n"/>
    </row>
    <row r="1407">
      <c r="A1407" s="5">
        <f>ROW()-2</f>
        <v/>
      </c>
      <c r="B1407" s="4" t="inlineStr">
        <is>
          <t>Capital regional</t>
        </is>
      </c>
      <c r="C1407" s="5" t="n">
        <v>463</v>
      </c>
      <c r="D1407" s="5">
        <f>IFERROR(INDEX('Base de sorteio'!$A$3:$A$1723,MATCH($B1407&amp;"|"&amp;$C1407,'Base de sorteio'!$I$3:$I$1723,0)),"")</f>
        <v/>
      </c>
      <c r="E1407" s="4">
        <f>IFERROR(INDEX('Base de sorteio'!$B$3:$B$1723,MATCH($B1407&amp;"|"&amp;$C1407,'Base de sorteio'!$I$3:$I$1723,0)),"")</f>
        <v/>
      </c>
      <c r="F1407" s="4">
        <f>IFERROR(INDEX('Base de sorteio'!$C$3:$C$1723,MATCH($B1407&amp;"|"&amp;$C1407,'Base de sorteio'!$I$3:$I$1723,0)),"")</f>
        <v/>
      </c>
      <c r="G1407" s="4">
        <f>IFERROR(INDEX('Base de sorteio'!$D$3:$D$1723,MATCH($B1407&amp;"|"&amp;$C1407,'Base de sorteio'!$I$3:$I$1723,0)),"")</f>
        <v/>
      </c>
      <c r="H1407" s="4">
        <f>IFERROR(INDEX('Base de sorteio'!$E$3:$E$1723,MATCH($B1407&amp;"|"&amp;$C1407,'Base de sorteio'!$I$3:$I$1723,0)),"")</f>
        <v/>
      </c>
      <c r="I1407" s="4">
        <f>IF(E1407="","",HYPERLINK(IFERROR(INDEX('Base de sorteio'!$J$3:$J$1723,MATCH($B1407&amp;"|"&amp;$C1407,'Base de sorteio'!$I$3:$I$1723,0)),""),"abrir"))</f>
        <v/>
      </c>
      <c r="J1407" s="4" t="n"/>
      <c r="K1407" s="4" t="n"/>
      <c r="L1407" s="4" t="n"/>
      <c r="M1407" s="4" t="n"/>
      <c r="N1407" s="4">
        <f>IF(AND(K1407="",M1407=""),"",IF(OR(K1407="sim",M1407="sim"),"sim",IF(OR(K1407="inconclusivo",M1407="inconclusivo"),"inconclusivo","não")))</f>
        <v/>
      </c>
      <c r="O1407" s="5">
        <f>IF(N1407="sim",COUNTIFS($B$3:$B1407,$B1407,$N$3:$N1407,"sim"),"")</f>
        <v/>
      </c>
      <c r="P1407" s="5" t="n"/>
      <c r="Q1407" s="4" t="n"/>
      <c r="R1407" s="5" t="n"/>
      <c r="S1407" s="9" t="n"/>
      <c r="T1407" s="4" t="n"/>
    </row>
    <row r="1408">
      <c r="A1408" s="5">
        <f>ROW()-2</f>
        <v/>
      </c>
      <c r="B1408" s="4" t="inlineStr">
        <is>
          <t>Capital regional</t>
        </is>
      </c>
      <c r="C1408" s="5" t="n">
        <v>464</v>
      </c>
      <c r="D1408" s="5">
        <f>IFERROR(INDEX('Base de sorteio'!$A$3:$A$1723,MATCH($B1408&amp;"|"&amp;$C1408,'Base de sorteio'!$I$3:$I$1723,0)),"")</f>
        <v/>
      </c>
      <c r="E1408" s="4">
        <f>IFERROR(INDEX('Base de sorteio'!$B$3:$B$1723,MATCH($B1408&amp;"|"&amp;$C1408,'Base de sorteio'!$I$3:$I$1723,0)),"")</f>
        <v/>
      </c>
      <c r="F1408" s="4">
        <f>IFERROR(INDEX('Base de sorteio'!$C$3:$C$1723,MATCH($B1408&amp;"|"&amp;$C1408,'Base de sorteio'!$I$3:$I$1723,0)),"")</f>
        <v/>
      </c>
      <c r="G1408" s="4">
        <f>IFERROR(INDEX('Base de sorteio'!$D$3:$D$1723,MATCH($B1408&amp;"|"&amp;$C1408,'Base de sorteio'!$I$3:$I$1723,0)),"")</f>
        <v/>
      </c>
      <c r="H1408" s="4">
        <f>IFERROR(INDEX('Base de sorteio'!$E$3:$E$1723,MATCH($B1408&amp;"|"&amp;$C1408,'Base de sorteio'!$I$3:$I$1723,0)),"")</f>
        <v/>
      </c>
      <c r="I1408" s="4">
        <f>IF(E1408="","",HYPERLINK(IFERROR(INDEX('Base de sorteio'!$J$3:$J$1723,MATCH($B1408&amp;"|"&amp;$C1408,'Base de sorteio'!$I$3:$I$1723,0)),""),"abrir"))</f>
        <v/>
      </c>
      <c r="J1408" s="4" t="n"/>
      <c r="K1408" s="4" t="n"/>
      <c r="L1408" s="4" t="n"/>
      <c r="M1408" s="4" t="n"/>
      <c r="N1408" s="4">
        <f>IF(AND(K1408="",M1408=""),"",IF(OR(K1408="sim",M1408="sim"),"sim",IF(OR(K1408="inconclusivo",M1408="inconclusivo"),"inconclusivo","não")))</f>
        <v/>
      </c>
      <c r="O1408" s="5">
        <f>IF(N1408="sim",COUNTIFS($B$3:$B1408,$B1408,$N$3:$N1408,"sim"),"")</f>
        <v/>
      </c>
      <c r="P1408" s="5" t="n"/>
      <c r="Q1408" s="4" t="n"/>
      <c r="R1408" s="5" t="n"/>
      <c r="S1408" s="9" t="n"/>
      <c r="T1408" s="4" t="n"/>
    </row>
    <row r="1409">
      <c r="A1409" s="5">
        <f>ROW()-2</f>
        <v/>
      </c>
      <c r="B1409" s="4" t="inlineStr">
        <is>
          <t>Capital regional</t>
        </is>
      </c>
      <c r="C1409" s="5" t="n">
        <v>465</v>
      </c>
      <c r="D1409" s="5">
        <f>IFERROR(INDEX('Base de sorteio'!$A$3:$A$1723,MATCH($B1409&amp;"|"&amp;$C1409,'Base de sorteio'!$I$3:$I$1723,0)),"")</f>
        <v/>
      </c>
      <c r="E1409" s="4">
        <f>IFERROR(INDEX('Base de sorteio'!$B$3:$B$1723,MATCH($B1409&amp;"|"&amp;$C1409,'Base de sorteio'!$I$3:$I$1723,0)),"")</f>
        <v/>
      </c>
      <c r="F1409" s="4">
        <f>IFERROR(INDEX('Base de sorteio'!$C$3:$C$1723,MATCH($B1409&amp;"|"&amp;$C1409,'Base de sorteio'!$I$3:$I$1723,0)),"")</f>
        <v/>
      </c>
      <c r="G1409" s="4">
        <f>IFERROR(INDEX('Base de sorteio'!$D$3:$D$1723,MATCH($B1409&amp;"|"&amp;$C1409,'Base de sorteio'!$I$3:$I$1723,0)),"")</f>
        <v/>
      </c>
      <c r="H1409" s="4">
        <f>IFERROR(INDEX('Base de sorteio'!$E$3:$E$1723,MATCH($B1409&amp;"|"&amp;$C1409,'Base de sorteio'!$I$3:$I$1723,0)),"")</f>
        <v/>
      </c>
      <c r="I1409" s="4">
        <f>IF(E1409="","",HYPERLINK(IFERROR(INDEX('Base de sorteio'!$J$3:$J$1723,MATCH($B1409&amp;"|"&amp;$C1409,'Base de sorteio'!$I$3:$I$1723,0)),""),"abrir"))</f>
        <v/>
      </c>
      <c r="J1409" s="4" t="n"/>
      <c r="K1409" s="4" t="n"/>
      <c r="L1409" s="4" t="n"/>
      <c r="M1409" s="4" t="n"/>
      <c r="N1409" s="4">
        <f>IF(AND(K1409="",M1409=""),"",IF(OR(K1409="sim",M1409="sim"),"sim",IF(OR(K1409="inconclusivo",M1409="inconclusivo"),"inconclusivo","não")))</f>
        <v/>
      </c>
      <c r="O1409" s="5">
        <f>IF(N1409="sim",COUNTIFS($B$3:$B1409,$B1409,$N$3:$N1409,"sim"),"")</f>
        <v/>
      </c>
      <c r="P1409" s="5" t="n"/>
      <c r="Q1409" s="4" t="n"/>
      <c r="R1409" s="5" t="n"/>
      <c r="S1409" s="9" t="n"/>
      <c r="T1409" s="4" t="n"/>
    </row>
    <row r="1410">
      <c r="A1410" s="5">
        <f>ROW()-2</f>
        <v/>
      </c>
      <c r="B1410" s="4" t="inlineStr">
        <is>
          <t>Capital regional</t>
        </is>
      </c>
      <c r="C1410" s="5" t="n">
        <v>466</v>
      </c>
      <c r="D1410" s="5">
        <f>IFERROR(INDEX('Base de sorteio'!$A$3:$A$1723,MATCH($B1410&amp;"|"&amp;$C1410,'Base de sorteio'!$I$3:$I$1723,0)),"")</f>
        <v/>
      </c>
      <c r="E1410" s="4">
        <f>IFERROR(INDEX('Base de sorteio'!$B$3:$B$1723,MATCH($B1410&amp;"|"&amp;$C1410,'Base de sorteio'!$I$3:$I$1723,0)),"")</f>
        <v/>
      </c>
      <c r="F1410" s="4">
        <f>IFERROR(INDEX('Base de sorteio'!$C$3:$C$1723,MATCH($B1410&amp;"|"&amp;$C1410,'Base de sorteio'!$I$3:$I$1723,0)),"")</f>
        <v/>
      </c>
      <c r="G1410" s="4">
        <f>IFERROR(INDEX('Base de sorteio'!$D$3:$D$1723,MATCH($B1410&amp;"|"&amp;$C1410,'Base de sorteio'!$I$3:$I$1723,0)),"")</f>
        <v/>
      </c>
      <c r="H1410" s="4">
        <f>IFERROR(INDEX('Base de sorteio'!$E$3:$E$1723,MATCH($B1410&amp;"|"&amp;$C1410,'Base de sorteio'!$I$3:$I$1723,0)),"")</f>
        <v/>
      </c>
      <c r="I1410" s="4">
        <f>IF(E1410="","",HYPERLINK(IFERROR(INDEX('Base de sorteio'!$J$3:$J$1723,MATCH($B1410&amp;"|"&amp;$C1410,'Base de sorteio'!$I$3:$I$1723,0)),""),"abrir"))</f>
        <v/>
      </c>
      <c r="J1410" s="4" t="n"/>
      <c r="K1410" s="4" t="n"/>
      <c r="L1410" s="4" t="n"/>
      <c r="M1410" s="4" t="n"/>
      <c r="N1410" s="4">
        <f>IF(AND(K1410="",M1410=""),"",IF(OR(K1410="sim",M1410="sim"),"sim",IF(OR(K1410="inconclusivo",M1410="inconclusivo"),"inconclusivo","não")))</f>
        <v/>
      </c>
      <c r="O1410" s="5">
        <f>IF(N1410="sim",COUNTIFS($B$3:$B1410,$B1410,$N$3:$N1410,"sim"),"")</f>
        <v/>
      </c>
      <c r="P1410" s="5" t="n"/>
      <c r="Q1410" s="4" t="n"/>
      <c r="R1410" s="5" t="n"/>
      <c r="S1410" s="9" t="n"/>
      <c r="T1410" s="4" t="n"/>
    </row>
    <row r="1411">
      <c r="A1411" s="5">
        <f>ROW()-2</f>
        <v/>
      </c>
      <c r="B1411" s="4" t="inlineStr">
        <is>
          <t>Capital regional</t>
        </is>
      </c>
      <c r="C1411" s="5" t="n">
        <v>467</v>
      </c>
      <c r="D1411" s="5">
        <f>IFERROR(INDEX('Base de sorteio'!$A$3:$A$1723,MATCH($B1411&amp;"|"&amp;$C1411,'Base de sorteio'!$I$3:$I$1723,0)),"")</f>
        <v/>
      </c>
      <c r="E1411" s="4">
        <f>IFERROR(INDEX('Base de sorteio'!$B$3:$B$1723,MATCH($B1411&amp;"|"&amp;$C1411,'Base de sorteio'!$I$3:$I$1723,0)),"")</f>
        <v/>
      </c>
      <c r="F1411" s="4">
        <f>IFERROR(INDEX('Base de sorteio'!$C$3:$C$1723,MATCH($B1411&amp;"|"&amp;$C1411,'Base de sorteio'!$I$3:$I$1723,0)),"")</f>
        <v/>
      </c>
      <c r="G1411" s="4">
        <f>IFERROR(INDEX('Base de sorteio'!$D$3:$D$1723,MATCH($B1411&amp;"|"&amp;$C1411,'Base de sorteio'!$I$3:$I$1723,0)),"")</f>
        <v/>
      </c>
      <c r="H1411" s="4">
        <f>IFERROR(INDEX('Base de sorteio'!$E$3:$E$1723,MATCH($B1411&amp;"|"&amp;$C1411,'Base de sorteio'!$I$3:$I$1723,0)),"")</f>
        <v/>
      </c>
      <c r="I1411" s="4">
        <f>IF(E1411="","",HYPERLINK(IFERROR(INDEX('Base de sorteio'!$J$3:$J$1723,MATCH($B1411&amp;"|"&amp;$C1411,'Base de sorteio'!$I$3:$I$1723,0)),""),"abrir"))</f>
        <v/>
      </c>
      <c r="J1411" s="4" t="n"/>
      <c r="K1411" s="4" t="n"/>
      <c r="L1411" s="4" t="n"/>
      <c r="M1411" s="4" t="n"/>
      <c r="N1411" s="4">
        <f>IF(AND(K1411="",M1411=""),"",IF(OR(K1411="sim",M1411="sim"),"sim",IF(OR(K1411="inconclusivo",M1411="inconclusivo"),"inconclusivo","não")))</f>
        <v/>
      </c>
      <c r="O1411" s="5">
        <f>IF(N1411="sim",COUNTIFS($B$3:$B1411,$B1411,$N$3:$N1411,"sim"),"")</f>
        <v/>
      </c>
      <c r="P1411" s="5" t="n"/>
      <c r="Q1411" s="4" t="n"/>
      <c r="R1411" s="5" t="n"/>
      <c r="S1411" s="9" t="n"/>
      <c r="T1411" s="4" t="n"/>
    </row>
    <row r="1412">
      <c r="A1412" s="5">
        <f>ROW()-2</f>
        <v/>
      </c>
      <c r="B1412" s="4" t="inlineStr">
        <is>
          <t>Capital regional</t>
        </is>
      </c>
      <c r="C1412" s="5" t="n">
        <v>468</v>
      </c>
      <c r="D1412" s="5">
        <f>IFERROR(INDEX('Base de sorteio'!$A$3:$A$1723,MATCH($B1412&amp;"|"&amp;$C1412,'Base de sorteio'!$I$3:$I$1723,0)),"")</f>
        <v/>
      </c>
      <c r="E1412" s="4">
        <f>IFERROR(INDEX('Base de sorteio'!$B$3:$B$1723,MATCH($B1412&amp;"|"&amp;$C1412,'Base de sorteio'!$I$3:$I$1723,0)),"")</f>
        <v/>
      </c>
      <c r="F1412" s="4">
        <f>IFERROR(INDEX('Base de sorteio'!$C$3:$C$1723,MATCH($B1412&amp;"|"&amp;$C1412,'Base de sorteio'!$I$3:$I$1723,0)),"")</f>
        <v/>
      </c>
      <c r="G1412" s="4">
        <f>IFERROR(INDEX('Base de sorteio'!$D$3:$D$1723,MATCH($B1412&amp;"|"&amp;$C1412,'Base de sorteio'!$I$3:$I$1723,0)),"")</f>
        <v/>
      </c>
      <c r="H1412" s="4">
        <f>IFERROR(INDEX('Base de sorteio'!$E$3:$E$1723,MATCH($B1412&amp;"|"&amp;$C1412,'Base de sorteio'!$I$3:$I$1723,0)),"")</f>
        <v/>
      </c>
      <c r="I1412" s="4">
        <f>IF(E1412="","",HYPERLINK(IFERROR(INDEX('Base de sorteio'!$J$3:$J$1723,MATCH($B1412&amp;"|"&amp;$C1412,'Base de sorteio'!$I$3:$I$1723,0)),""),"abrir"))</f>
        <v/>
      </c>
      <c r="J1412" s="4" t="n"/>
      <c r="K1412" s="4" t="n"/>
      <c r="L1412" s="4" t="n"/>
      <c r="M1412" s="4" t="n"/>
      <c r="N1412" s="4">
        <f>IF(AND(K1412="",M1412=""),"",IF(OR(K1412="sim",M1412="sim"),"sim",IF(OR(K1412="inconclusivo",M1412="inconclusivo"),"inconclusivo","não")))</f>
        <v/>
      </c>
      <c r="O1412" s="5">
        <f>IF(N1412="sim",COUNTIFS($B$3:$B1412,$B1412,$N$3:$N1412,"sim"),"")</f>
        <v/>
      </c>
      <c r="P1412" s="5" t="n"/>
      <c r="Q1412" s="4" t="n"/>
      <c r="R1412" s="5" t="n"/>
      <c r="S1412" s="9" t="n"/>
      <c r="T1412" s="4" t="n"/>
    </row>
    <row r="1413">
      <c r="A1413" s="5">
        <f>ROW()-2</f>
        <v/>
      </c>
      <c r="B1413" s="4" t="inlineStr">
        <is>
          <t>Capital regional</t>
        </is>
      </c>
      <c r="C1413" s="5" t="n">
        <v>469</v>
      </c>
      <c r="D1413" s="5">
        <f>IFERROR(INDEX('Base de sorteio'!$A$3:$A$1723,MATCH($B1413&amp;"|"&amp;$C1413,'Base de sorteio'!$I$3:$I$1723,0)),"")</f>
        <v/>
      </c>
      <c r="E1413" s="4">
        <f>IFERROR(INDEX('Base de sorteio'!$B$3:$B$1723,MATCH($B1413&amp;"|"&amp;$C1413,'Base de sorteio'!$I$3:$I$1723,0)),"")</f>
        <v/>
      </c>
      <c r="F1413" s="4">
        <f>IFERROR(INDEX('Base de sorteio'!$C$3:$C$1723,MATCH($B1413&amp;"|"&amp;$C1413,'Base de sorteio'!$I$3:$I$1723,0)),"")</f>
        <v/>
      </c>
      <c r="G1413" s="4">
        <f>IFERROR(INDEX('Base de sorteio'!$D$3:$D$1723,MATCH($B1413&amp;"|"&amp;$C1413,'Base de sorteio'!$I$3:$I$1723,0)),"")</f>
        <v/>
      </c>
      <c r="H1413" s="4">
        <f>IFERROR(INDEX('Base de sorteio'!$E$3:$E$1723,MATCH($B1413&amp;"|"&amp;$C1413,'Base de sorteio'!$I$3:$I$1723,0)),"")</f>
        <v/>
      </c>
      <c r="I1413" s="4">
        <f>IF(E1413="","",HYPERLINK(IFERROR(INDEX('Base de sorteio'!$J$3:$J$1723,MATCH($B1413&amp;"|"&amp;$C1413,'Base de sorteio'!$I$3:$I$1723,0)),""),"abrir"))</f>
        <v/>
      </c>
      <c r="J1413" s="4" t="n"/>
      <c r="K1413" s="4" t="n"/>
      <c r="L1413" s="4" t="n"/>
      <c r="M1413" s="4" t="n"/>
      <c r="N1413" s="4">
        <f>IF(AND(K1413="",M1413=""),"",IF(OR(K1413="sim",M1413="sim"),"sim",IF(OR(K1413="inconclusivo",M1413="inconclusivo"),"inconclusivo","não")))</f>
        <v/>
      </c>
      <c r="O1413" s="5">
        <f>IF(N1413="sim",COUNTIFS($B$3:$B1413,$B1413,$N$3:$N1413,"sim"),"")</f>
        <v/>
      </c>
      <c r="P1413" s="5" t="n"/>
      <c r="Q1413" s="4" t="n"/>
      <c r="R1413" s="5" t="n"/>
      <c r="S1413" s="9" t="n"/>
      <c r="T1413" s="4" t="n"/>
    </row>
    <row r="1414">
      <c r="A1414" s="5">
        <f>ROW()-2</f>
        <v/>
      </c>
      <c r="B1414" s="4" t="inlineStr">
        <is>
          <t>Capital regional</t>
        </is>
      </c>
      <c r="C1414" s="5" t="n">
        <v>470</v>
      </c>
      <c r="D1414" s="5">
        <f>IFERROR(INDEX('Base de sorteio'!$A$3:$A$1723,MATCH($B1414&amp;"|"&amp;$C1414,'Base de sorteio'!$I$3:$I$1723,0)),"")</f>
        <v/>
      </c>
      <c r="E1414" s="4">
        <f>IFERROR(INDEX('Base de sorteio'!$B$3:$B$1723,MATCH($B1414&amp;"|"&amp;$C1414,'Base de sorteio'!$I$3:$I$1723,0)),"")</f>
        <v/>
      </c>
      <c r="F1414" s="4">
        <f>IFERROR(INDEX('Base de sorteio'!$C$3:$C$1723,MATCH($B1414&amp;"|"&amp;$C1414,'Base de sorteio'!$I$3:$I$1723,0)),"")</f>
        <v/>
      </c>
      <c r="G1414" s="4">
        <f>IFERROR(INDEX('Base de sorteio'!$D$3:$D$1723,MATCH($B1414&amp;"|"&amp;$C1414,'Base de sorteio'!$I$3:$I$1723,0)),"")</f>
        <v/>
      </c>
      <c r="H1414" s="4">
        <f>IFERROR(INDEX('Base de sorteio'!$E$3:$E$1723,MATCH($B1414&amp;"|"&amp;$C1414,'Base de sorteio'!$I$3:$I$1723,0)),"")</f>
        <v/>
      </c>
      <c r="I1414" s="4">
        <f>IF(E1414="","",HYPERLINK(IFERROR(INDEX('Base de sorteio'!$J$3:$J$1723,MATCH($B1414&amp;"|"&amp;$C1414,'Base de sorteio'!$I$3:$I$1723,0)),""),"abrir"))</f>
        <v/>
      </c>
      <c r="J1414" s="4" t="n"/>
      <c r="K1414" s="4" t="n"/>
      <c r="L1414" s="4" t="n"/>
      <c r="M1414" s="4" t="n"/>
      <c r="N1414" s="4">
        <f>IF(AND(K1414="",M1414=""),"",IF(OR(K1414="sim",M1414="sim"),"sim",IF(OR(K1414="inconclusivo",M1414="inconclusivo"),"inconclusivo","não")))</f>
        <v/>
      </c>
      <c r="O1414" s="5">
        <f>IF(N1414="sim",COUNTIFS($B$3:$B1414,$B1414,$N$3:$N1414,"sim"),"")</f>
        <v/>
      </c>
      <c r="P1414" s="5" t="n"/>
      <c r="Q1414" s="4" t="n"/>
      <c r="R1414" s="5" t="n"/>
      <c r="S1414" s="9" t="n"/>
      <c r="T1414" s="4" t="n"/>
    </row>
    <row r="1415">
      <c r="A1415" s="5">
        <f>ROW()-2</f>
        <v/>
      </c>
      <c r="B1415" s="4" t="inlineStr">
        <is>
          <t>Capital regional</t>
        </is>
      </c>
      <c r="C1415" s="5" t="n">
        <v>471</v>
      </c>
      <c r="D1415" s="5">
        <f>IFERROR(INDEX('Base de sorteio'!$A$3:$A$1723,MATCH($B1415&amp;"|"&amp;$C1415,'Base de sorteio'!$I$3:$I$1723,0)),"")</f>
        <v/>
      </c>
      <c r="E1415" s="4">
        <f>IFERROR(INDEX('Base de sorteio'!$B$3:$B$1723,MATCH($B1415&amp;"|"&amp;$C1415,'Base de sorteio'!$I$3:$I$1723,0)),"")</f>
        <v/>
      </c>
      <c r="F1415" s="4">
        <f>IFERROR(INDEX('Base de sorteio'!$C$3:$C$1723,MATCH($B1415&amp;"|"&amp;$C1415,'Base de sorteio'!$I$3:$I$1723,0)),"")</f>
        <v/>
      </c>
      <c r="G1415" s="4">
        <f>IFERROR(INDEX('Base de sorteio'!$D$3:$D$1723,MATCH($B1415&amp;"|"&amp;$C1415,'Base de sorteio'!$I$3:$I$1723,0)),"")</f>
        <v/>
      </c>
      <c r="H1415" s="4">
        <f>IFERROR(INDEX('Base de sorteio'!$E$3:$E$1723,MATCH($B1415&amp;"|"&amp;$C1415,'Base de sorteio'!$I$3:$I$1723,0)),"")</f>
        <v/>
      </c>
      <c r="I1415" s="4">
        <f>IF(E1415="","",HYPERLINK(IFERROR(INDEX('Base de sorteio'!$J$3:$J$1723,MATCH($B1415&amp;"|"&amp;$C1415,'Base de sorteio'!$I$3:$I$1723,0)),""),"abrir"))</f>
        <v/>
      </c>
      <c r="J1415" s="4" t="n"/>
      <c r="K1415" s="4" t="n"/>
      <c r="L1415" s="4" t="n"/>
      <c r="M1415" s="4" t="n"/>
      <c r="N1415" s="4">
        <f>IF(AND(K1415="",M1415=""),"",IF(OR(K1415="sim",M1415="sim"),"sim",IF(OR(K1415="inconclusivo",M1415="inconclusivo"),"inconclusivo","não")))</f>
        <v/>
      </c>
      <c r="O1415" s="5">
        <f>IF(N1415="sim",COUNTIFS($B$3:$B1415,$B1415,$N$3:$N1415,"sim"),"")</f>
        <v/>
      </c>
      <c r="P1415" s="5" t="n"/>
      <c r="Q1415" s="4" t="n"/>
      <c r="R1415" s="5" t="n"/>
      <c r="S1415" s="9" t="n"/>
      <c r="T1415" s="4" t="n"/>
    </row>
    <row r="1416">
      <c r="A1416" s="5">
        <f>ROW()-2</f>
        <v/>
      </c>
      <c r="B1416" s="4" t="inlineStr">
        <is>
          <t>Capital regional</t>
        </is>
      </c>
      <c r="C1416" s="5" t="n">
        <v>472</v>
      </c>
      <c r="D1416" s="5">
        <f>IFERROR(INDEX('Base de sorteio'!$A$3:$A$1723,MATCH($B1416&amp;"|"&amp;$C1416,'Base de sorteio'!$I$3:$I$1723,0)),"")</f>
        <v/>
      </c>
      <c r="E1416" s="4">
        <f>IFERROR(INDEX('Base de sorteio'!$B$3:$B$1723,MATCH($B1416&amp;"|"&amp;$C1416,'Base de sorteio'!$I$3:$I$1723,0)),"")</f>
        <v/>
      </c>
      <c r="F1416" s="4">
        <f>IFERROR(INDEX('Base de sorteio'!$C$3:$C$1723,MATCH($B1416&amp;"|"&amp;$C1416,'Base de sorteio'!$I$3:$I$1723,0)),"")</f>
        <v/>
      </c>
      <c r="G1416" s="4">
        <f>IFERROR(INDEX('Base de sorteio'!$D$3:$D$1723,MATCH($B1416&amp;"|"&amp;$C1416,'Base de sorteio'!$I$3:$I$1723,0)),"")</f>
        <v/>
      </c>
      <c r="H1416" s="4">
        <f>IFERROR(INDEX('Base de sorteio'!$E$3:$E$1723,MATCH($B1416&amp;"|"&amp;$C1416,'Base de sorteio'!$I$3:$I$1723,0)),"")</f>
        <v/>
      </c>
      <c r="I1416" s="4">
        <f>IF(E1416="","",HYPERLINK(IFERROR(INDEX('Base de sorteio'!$J$3:$J$1723,MATCH($B1416&amp;"|"&amp;$C1416,'Base de sorteio'!$I$3:$I$1723,0)),""),"abrir"))</f>
        <v/>
      </c>
      <c r="J1416" s="4" t="n"/>
      <c r="K1416" s="4" t="n"/>
      <c r="L1416" s="4" t="n"/>
      <c r="M1416" s="4" t="n"/>
      <c r="N1416" s="4">
        <f>IF(AND(K1416="",M1416=""),"",IF(OR(K1416="sim",M1416="sim"),"sim",IF(OR(K1416="inconclusivo",M1416="inconclusivo"),"inconclusivo","não")))</f>
        <v/>
      </c>
      <c r="O1416" s="5">
        <f>IF(N1416="sim",COUNTIFS($B$3:$B1416,$B1416,$N$3:$N1416,"sim"),"")</f>
        <v/>
      </c>
      <c r="P1416" s="5" t="n"/>
      <c r="Q1416" s="4" t="n"/>
      <c r="R1416" s="5" t="n"/>
      <c r="S1416" s="9" t="n"/>
      <c r="T1416" s="4" t="n"/>
    </row>
    <row r="1417">
      <c r="A1417" s="5">
        <f>ROW()-2</f>
        <v/>
      </c>
      <c r="B1417" s="4" t="inlineStr">
        <is>
          <t>Capital regional</t>
        </is>
      </c>
      <c r="C1417" s="5" t="n">
        <v>473</v>
      </c>
      <c r="D1417" s="5">
        <f>IFERROR(INDEX('Base de sorteio'!$A$3:$A$1723,MATCH($B1417&amp;"|"&amp;$C1417,'Base de sorteio'!$I$3:$I$1723,0)),"")</f>
        <v/>
      </c>
      <c r="E1417" s="4">
        <f>IFERROR(INDEX('Base de sorteio'!$B$3:$B$1723,MATCH($B1417&amp;"|"&amp;$C1417,'Base de sorteio'!$I$3:$I$1723,0)),"")</f>
        <v/>
      </c>
      <c r="F1417" s="4">
        <f>IFERROR(INDEX('Base de sorteio'!$C$3:$C$1723,MATCH($B1417&amp;"|"&amp;$C1417,'Base de sorteio'!$I$3:$I$1723,0)),"")</f>
        <v/>
      </c>
      <c r="G1417" s="4">
        <f>IFERROR(INDEX('Base de sorteio'!$D$3:$D$1723,MATCH($B1417&amp;"|"&amp;$C1417,'Base de sorteio'!$I$3:$I$1723,0)),"")</f>
        <v/>
      </c>
      <c r="H1417" s="4">
        <f>IFERROR(INDEX('Base de sorteio'!$E$3:$E$1723,MATCH($B1417&amp;"|"&amp;$C1417,'Base de sorteio'!$I$3:$I$1723,0)),"")</f>
        <v/>
      </c>
      <c r="I1417" s="4">
        <f>IF(E1417="","",HYPERLINK(IFERROR(INDEX('Base de sorteio'!$J$3:$J$1723,MATCH($B1417&amp;"|"&amp;$C1417,'Base de sorteio'!$I$3:$I$1723,0)),""),"abrir"))</f>
        <v/>
      </c>
      <c r="J1417" s="4" t="n"/>
      <c r="K1417" s="4" t="n"/>
      <c r="L1417" s="4" t="n"/>
      <c r="M1417" s="4" t="n"/>
      <c r="N1417" s="4">
        <f>IF(AND(K1417="",M1417=""),"",IF(OR(K1417="sim",M1417="sim"),"sim",IF(OR(K1417="inconclusivo",M1417="inconclusivo"),"inconclusivo","não")))</f>
        <v/>
      </c>
      <c r="O1417" s="5">
        <f>IF(N1417="sim",COUNTIFS($B$3:$B1417,$B1417,$N$3:$N1417,"sim"),"")</f>
        <v/>
      </c>
      <c r="P1417" s="5" t="n"/>
      <c r="Q1417" s="4" t="n"/>
      <c r="R1417" s="5" t="n"/>
      <c r="S1417" s="9" t="n"/>
      <c r="T1417" s="4" t="n"/>
    </row>
    <row r="1418">
      <c r="A1418" s="5">
        <f>ROW()-2</f>
        <v/>
      </c>
      <c r="B1418" s="4" t="inlineStr">
        <is>
          <t>Capital regional</t>
        </is>
      </c>
      <c r="C1418" s="5" t="n">
        <v>474</v>
      </c>
      <c r="D1418" s="5">
        <f>IFERROR(INDEX('Base de sorteio'!$A$3:$A$1723,MATCH($B1418&amp;"|"&amp;$C1418,'Base de sorteio'!$I$3:$I$1723,0)),"")</f>
        <v/>
      </c>
      <c r="E1418" s="4">
        <f>IFERROR(INDEX('Base de sorteio'!$B$3:$B$1723,MATCH($B1418&amp;"|"&amp;$C1418,'Base de sorteio'!$I$3:$I$1723,0)),"")</f>
        <v/>
      </c>
      <c r="F1418" s="4">
        <f>IFERROR(INDEX('Base de sorteio'!$C$3:$C$1723,MATCH($B1418&amp;"|"&amp;$C1418,'Base de sorteio'!$I$3:$I$1723,0)),"")</f>
        <v/>
      </c>
      <c r="G1418" s="4">
        <f>IFERROR(INDEX('Base de sorteio'!$D$3:$D$1723,MATCH($B1418&amp;"|"&amp;$C1418,'Base de sorteio'!$I$3:$I$1723,0)),"")</f>
        <v/>
      </c>
      <c r="H1418" s="4">
        <f>IFERROR(INDEX('Base de sorteio'!$E$3:$E$1723,MATCH($B1418&amp;"|"&amp;$C1418,'Base de sorteio'!$I$3:$I$1723,0)),"")</f>
        <v/>
      </c>
      <c r="I1418" s="4">
        <f>IF(E1418="","",HYPERLINK(IFERROR(INDEX('Base de sorteio'!$J$3:$J$1723,MATCH($B1418&amp;"|"&amp;$C1418,'Base de sorteio'!$I$3:$I$1723,0)),""),"abrir"))</f>
        <v/>
      </c>
      <c r="J1418" s="4" t="n"/>
      <c r="K1418" s="4" t="n"/>
      <c r="L1418" s="4" t="n"/>
      <c r="M1418" s="4" t="n"/>
      <c r="N1418" s="4">
        <f>IF(AND(K1418="",M1418=""),"",IF(OR(K1418="sim",M1418="sim"),"sim",IF(OR(K1418="inconclusivo",M1418="inconclusivo"),"inconclusivo","não")))</f>
        <v/>
      </c>
      <c r="O1418" s="5">
        <f>IF(N1418="sim",COUNTIFS($B$3:$B1418,$B1418,$N$3:$N1418,"sim"),"")</f>
        <v/>
      </c>
      <c r="P1418" s="5" t="n"/>
      <c r="Q1418" s="4" t="n"/>
      <c r="R1418" s="5" t="n"/>
      <c r="S1418" s="9" t="n"/>
      <c r="T1418" s="4" t="n"/>
    </row>
    <row r="1419">
      <c r="A1419" s="5">
        <f>ROW()-2</f>
        <v/>
      </c>
      <c r="B1419" s="4" t="inlineStr">
        <is>
          <t>Capital regional</t>
        </is>
      </c>
      <c r="C1419" s="5" t="n">
        <v>475</v>
      </c>
      <c r="D1419" s="5">
        <f>IFERROR(INDEX('Base de sorteio'!$A$3:$A$1723,MATCH($B1419&amp;"|"&amp;$C1419,'Base de sorteio'!$I$3:$I$1723,0)),"")</f>
        <v/>
      </c>
      <c r="E1419" s="4">
        <f>IFERROR(INDEX('Base de sorteio'!$B$3:$B$1723,MATCH($B1419&amp;"|"&amp;$C1419,'Base de sorteio'!$I$3:$I$1723,0)),"")</f>
        <v/>
      </c>
      <c r="F1419" s="4">
        <f>IFERROR(INDEX('Base de sorteio'!$C$3:$C$1723,MATCH($B1419&amp;"|"&amp;$C1419,'Base de sorteio'!$I$3:$I$1723,0)),"")</f>
        <v/>
      </c>
      <c r="G1419" s="4">
        <f>IFERROR(INDEX('Base de sorteio'!$D$3:$D$1723,MATCH($B1419&amp;"|"&amp;$C1419,'Base de sorteio'!$I$3:$I$1723,0)),"")</f>
        <v/>
      </c>
      <c r="H1419" s="4">
        <f>IFERROR(INDEX('Base de sorteio'!$E$3:$E$1723,MATCH($B1419&amp;"|"&amp;$C1419,'Base de sorteio'!$I$3:$I$1723,0)),"")</f>
        <v/>
      </c>
      <c r="I1419" s="4">
        <f>IF(E1419="","",HYPERLINK(IFERROR(INDEX('Base de sorteio'!$J$3:$J$1723,MATCH($B1419&amp;"|"&amp;$C1419,'Base de sorteio'!$I$3:$I$1723,0)),""),"abrir"))</f>
        <v/>
      </c>
      <c r="J1419" s="4" t="n"/>
      <c r="K1419" s="4" t="n"/>
      <c r="L1419" s="4" t="n"/>
      <c r="M1419" s="4" t="n"/>
      <c r="N1419" s="4">
        <f>IF(AND(K1419="",M1419=""),"",IF(OR(K1419="sim",M1419="sim"),"sim",IF(OR(K1419="inconclusivo",M1419="inconclusivo"),"inconclusivo","não")))</f>
        <v/>
      </c>
      <c r="O1419" s="5">
        <f>IF(N1419="sim",COUNTIFS($B$3:$B1419,$B1419,$N$3:$N1419,"sim"),"")</f>
        <v/>
      </c>
      <c r="P1419" s="5" t="n"/>
      <c r="Q1419" s="4" t="n"/>
      <c r="R1419" s="5" t="n"/>
      <c r="S1419" s="9" t="n"/>
      <c r="T1419" s="4" t="n"/>
    </row>
    <row r="1420">
      <c r="A1420" s="5">
        <f>ROW()-2</f>
        <v/>
      </c>
      <c r="B1420" s="4" t="inlineStr">
        <is>
          <t>Capital regional</t>
        </is>
      </c>
      <c r="C1420" s="5" t="n">
        <v>476</v>
      </c>
      <c r="D1420" s="5">
        <f>IFERROR(INDEX('Base de sorteio'!$A$3:$A$1723,MATCH($B1420&amp;"|"&amp;$C1420,'Base de sorteio'!$I$3:$I$1723,0)),"")</f>
        <v/>
      </c>
      <c r="E1420" s="4">
        <f>IFERROR(INDEX('Base de sorteio'!$B$3:$B$1723,MATCH($B1420&amp;"|"&amp;$C1420,'Base de sorteio'!$I$3:$I$1723,0)),"")</f>
        <v/>
      </c>
      <c r="F1420" s="4">
        <f>IFERROR(INDEX('Base de sorteio'!$C$3:$C$1723,MATCH($B1420&amp;"|"&amp;$C1420,'Base de sorteio'!$I$3:$I$1723,0)),"")</f>
        <v/>
      </c>
      <c r="G1420" s="4">
        <f>IFERROR(INDEX('Base de sorteio'!$D$3:$D$1723,MATCH($B1420&amp;"|"&amp;$C1420,'Base de sorteio'!$I$3:$I$1723,0)),"")</f>
        <v/>
      </c>
      <c r="H1420" s="4">
        <f>IFERROR(INDEX('Base de sorteio'!$E$3:$E$1723,MATCH($B1420&amp;"|"&amp;$C1420,'Base de sorteio'!$I$3:$I$1723,0)),"")</f>
        <v/>
      </c>
      <c r="I1420" s="4">
        <f>IF(E1420="","",HYPERLINK(IFERROR(INDEX('Base de sorteio'!$J$3:$J$1723,MATCH($B1420&amp;"|"&amp;$C1420,'Base de sorteio'!$I$3:$I$1723,0)),""),"abrir"))</f>
        <v/>
      </c>
      <c r="J1420" s="4" t="n"/>
      <c r="K1420" s="4" t="n"/>
      <c r="L1420" s="4" t="n"/>
      <c r="M1420" s="4" t="n"/>
      <c r="N1420" s="4">
        <f>IF(AND(K1420="",M1420=""),"",IF(OR(K1420="sim",M1420="sim"),"sim",IF(OR(K1420="inconclusivo",M1420="inconclusivo"),"inconclusivo","não")))</f>
        <v/>
      </c>
      <c r="O1420" s="5">
        <f>IF(N1420="sim",COUNTIFS($B$3:$B1420,$B1420,$N$3:$N1420,"sim"),"")</f>
        <v/>
      </c>
      <c r="P1420" s="5" t="n"/>
      <c r="Q1420" s="4" t="n"/>
      <c r="R1420" s="5" t="n"/>
      <c r="S1420" s="9" t="n"/>
      <c r="T1420" s="4" t="n"/>
    </row>
    <row r="1421">
      <c r="A1421" s="5">
        <f>ROW()-2</f>
        <v/>
      </c>
      <c r="B1421" s="4" t="inlineStr">
        <is>
          <t>Capital regional</t>
        </is>
      </c>
      <c r="C1421" s="5" t="n">
        <v>477</v>
      </c>
      <c r="D1421" s="5">
        <f>IFERROR(INDEX('Base de sorteio'!$A$3:$A$1723,MATCH($B1421&amp;"|"&amp;$C1421,'Base de sorteio'!$I$3:$I$1723,0)),"")</f>
        <v/>
      </c>
      <c r="E1421" s="4">
        <f>IFERROR(INDEX('Base de sorteio'!$B$3:$B$1723,MATCH($B1421&amp;"|"&amp;$C1421,'Base de sorteio'!$I$3:$I$1723,0)),"")</f>
        <v/>
      </c>
      <c r="F1421" s="4">
        <f>IFERROR(INDEX('Base de sorteio'!$C$3:$C$1723,MATCH($B1421&amp;"|"&amp;$C1421,'Base de sorteio'!$I$3:$I$1723,0)),"")</f>
        <v/>
      </c>
      <c r="G1421" s="4">
        <f>IFERROR(INDEX('Base de sorteio'!$D$3:$D$1723,MATCH($B1421&amp;"|"&amp;$C1421,'Base de sorteio'!$I$3:$I$1723,0)),"")</f>
        <v/>
      </c>
      <c r="H1421" s="4">
        <f>IFERROR(INDEX('Base de sorteio'!$E$3:$E$1723,MATCH($B1421&amp;"|"&amp;$C1421,'Base de sorteio'!$I$3:$I$1723,0)),"")</f>
        <v/>
      </c>
      <c r="I1421" s="4">
        <f>IF(E1421="","",HYPERLINK(IFERROR(INDEX('Base de sorteio'!$J$3:$J$1723,MATCH($B1421&amp;"|"&amp;$C1421,'Base de sorteio'!$I$3:$I$1723,0)),""),"abrir"))</f>
        <v/>
      </c>
      <c r="J1421" s="4" t="n"/>
      <c r="K1421" s="4" t="n"/>
      <c r="L1421" s="4" t="n"/>
      <c r="M1421" s="4" t="n"/>
      <c r="N1421" s="4">
        <f>IF(AND(K1421="",M1421=""),"",IF(OR(K1421="sim",M1421="sim"),"sim",IF(OR(K1421="inconclusivo",M1421="inconclusivo"),"inconclusivo","não")))</f>
        <v/>
      </c>
      <c r="O1421" s="5">
        <f>IF(N1421="sim",COUNTIFS($B$3:$B1421,$B1421,$N$3:$N1421,"sim"),"")</f>
        <v/>
      </c>
      <c r="P1421" s="5" t="n"/>
      <c r="Q1421" s="4" t="n"/>
      <c r="R1421" s="5" t="n"/>
      <c r="S1421" s="9" t="n"/>
      <c r="T1421" s="4" t="n"/>
    </row>
    <row r="1422">
      <c r="A1422" s="5">
        <f>ROW()-2</f>
        <v/>
      </c>
      <c r="B1422" s="4" t="inlineStr">
        <is>
          <t>Capital regional</t>
        </is>
      </c>
      <c r="C1422" s="5" t="n">
        <v>478</v>
      </c>
      <c r="D1422" s="5">
        <f>IFERROR(INDEX('Base de sorteio'!$A$3:$A$1723,MATCH($B1422&amp;"|"&amp;$C1422,'Base de sorteio'!$I$3:$I$1723,0)),"")</f>
        <v/>
      </c>
      <c r="E1422" s="4">
        <f>IFERROR(INDEX('Base de sorteio'!$B$3:$B$1723,MATCH($B1422&amp;"|"&amp;$C1422,'Base de sorteio'!$I$3:$I$1723,0)),"")</f>
        <v/>
      </c>
      <c r="F1422" s="4">
        <f>IFERROR(INDEX('Base de sorteio'!$C$3:$C$1723,MATCH($B1422&amp;"|"&amp;$C1422,'Base de sorteio'!$I$3:$I$1723,0)),"")</f>
        <v/>
      </c>
      <c r="G1422" s="4">
        <f>IFERROR(INDEX('Base de sorteio'!$D$3:$D$1723,MATCH($B1422&amp;"|"&amp;$C1422,'Base de sorteio'!$I$3:$I$1723,0)),"")</f>
        <v/>
      </c>
      <c r="H1422" s="4">
        <f>IFERROR(INDEX('Base de sorteio'!$E$3:$E$1723,MATCH($B1422&amp;"|"&amp;$C1422,'Base de sorteio'!$I$3:$I$1723,0)),"")</f>
        <v/>
      </c>
      <c r="I1422" s="4">
        <f>IF(E1422="","",HYPERLINK(IFERROR(INDEX('Base de sorteio'!$J$3:$J$1723,MATCH($B1422&amp;"|"&amp;$C1422,'Base de sorteio'!$I$3:$I$1723,0)),""),"abrir"))</f>
        <v/>
      </c>
      <c r="J1422" s="4" t="n"/>
      <c r="K1422" s="4" t="n"/>
      <c r="L1422" s="4" t="n"/>
      <c r="M1422" s="4" t="n"/>
      <c r="N1422" s="4">
        <f>IF(AND(K1422="",M1422=""),"",IF(OR(K1422="sim",M1422="sim"),"sim",IF(OR(K1422="inconclusivo",M1422="inconclusivo"),"inconclusivo","não")))</f>
        <v/>
      </c>
      <c r="O1422" s="5">
        <f>IF(N1422="sim",COUNTIFS($B$3:$B1422,$B1422,$N$3:$N1422,"sim"),"")</f>
        <v/>
      </c>
      <c r="P1422" s="5" t="n"/>
      <c r="Q1422" s="4" t="n"/>
      <c r="R1422" s="5" t="n"/>
      <c r="S1422" s="9" t="n"/>
      <c r="T1422" s="4" t="n"/>
    </row>
    <row r="1423">
      <c r="A1423" s="5">
        <f>ROW()-2</f>
        <v/>
      </c>
      <c r="B1423" s="4" t="inlineStr">
        <is>
          <t>Capital regional</t>
        </is>
      </c>
      <c r="C1423" s="5" t="n">
        <v>479</v>
      </c>
      <c r="D1423" s="5">
        <f>IFERROR(INDEX('Base de sorteio'!$A$3:$A$1723,MATCH($B1423&amp;"|"&amp;$C1423,'Base de sorteio'!$I$3:$I$1723,0)),"")</f>
        <v/>
      </c>
      <c r="E1423" s="4">
        <f>IFERROR(INDEX('Base de sorteio'!$B$3:$B$1723,MATCH($B1423&amp;"|"&amp;$C1423,'Base de sorteio'!$I$3:$I$1723,0)),"")</f>
        <v/>
      </c>
      <c r="F1423" s="4">
        <f>IFERROR(INDEX('Base de sorteio'!$C$3:$C$1723,MATCH($B1423&amp;"|"&amp;$C1423,'Base de sorteio'!$I$3:$I$1723,0)),"")</f>
        <v/>
      </c>
      <c r="G1423" s="4">
        <f>IFERROR(INDEX('Base de sorteio'!$D$3:$D$1723,MATCH($B1423&amp;"|"&amp;$C1423,'Base de sorteio'!$I$3:$I$1723,0)),"")</f>
        <v/>
      </c>
      <c r="H1423" s="4">
        <f>IFERROR(INDEX('Base de sorteio'!$E$3:$E$1723,MATCH($B1423&amp;"|"&amp;$C1423,'Base de sorteio'!$I$3:$I$1723,0)),"")</f>
        <v/>
      </c>
      <c r="I1423" s="4">
        <f>IF(E1423="","",HYPERLINK(IFERROR(INDEX('Base de sorteio'!$J$3:$J$1723,MATCH($B1423&amp;"|"&amp;$C1423,'Base de sorteio'!$I$3:$I$1723,0)),""),"abrir"))</f>
        <v/>
      </c>
      <c r="J1423" s="4" t="n"/>
      <c r="K1423" s="4" t="n"/>
      <c r="L1423" s="4" t="n"/>
      <c r="M1423" s="4" t="n"/>
      <c r="N1423" s="4">
        <f>IF(AND(K1423="",M1423=""),"",IF(OR(K1423="sim",M1423="sim"),"sim",IF(OR(K1423="inconclusivo",M1423="inconclusivo"),"inconclusivo","não")))</f>
        <v/>
      </c>
      <c r="O1423" s="5">
        <f>IF(N1423="sim",COUNTIFS($B$3:$B1423,$B1423,$N$3:$N1423,"sim"),"")</f>
        <v/>
      </c>
      <c r="P1423" s="5" t="n"/>
      <c r="Q1423" s="4" t="n"/>
      <c r="R1423" s="5" t="n"/>
      <c r="S1423" s="9" t="n"/>
      <c r="T1423" s="4" t="n"/>
    </row>
    <row r="1424">
      <c r="A1424" s="5">
        <f>ROW()-2</f>
        <v/>
      </c>
      <c r="B1424" s="4" t="inlineStr">
        <is>
          <t>Capital regional</t>
        </is>
      </c>
      <c r="C1424" s="5" t="n">
        <v>480</v>
      </c>
      <c r="D1424" s="5">
        <f>IFERROR(INDEX('Base de sorteio'!$A$3:$A$1723,MATCH($B1424&amp;"|"&amp;$C1424,'Base de sorteio'!$I$3:$I$1723,0)),"")</f>
        <v/>
      </c>
      <c r="E1424" s="4">
        <f>IFERROR(INDEX('Base de sorteio'!$B$3:$B$1723,MATCH($B1424&amp;"|"&amp;$C1424,'Base de sorteio'!$I$3:$I$1723,0)),"")</f>
        <v/>
      </c>
      <c r="F1424" s="4">
        <f>IFERROR(INDEX('Base de sorteio'!$C$3:$C$1723,MATCH($B1424&amp;"|"&amp;$C1424,'Base de sorteio'!$I$3:$I$1723,0)),"")</f>
        <v/>
      </c>
      <c r="G1424" s="4">
        <f>IFERROR(INDEX('Base de sorteio'!$D$3:$D$1723,MATCH($B1424&amp;"|"&amp;$C1424,'Base de sorteio'!$I$3:$I$1723,0)),"")</f>
        <v/>
      </c>
      <c r="H1424" s="4">
        <f>IFERROR(INDEX('Base de sorteio'!$E$3:$E$1723,MATCH($B1424&amp;"|"&amp;$C1424,'Base de sorteio'!$I$3:$I$1723,0)),"")</f>
        <v/>
      </c>
      <c r="I1424" s="4">
        <f>IF(E1424="","",HYPERLINK(IFERROR(INDEX('Base de sorteio'!$J$3:$J$1723,MATCH($B1424&amp;"|"&amp;$C1424,'Base de sorteio'!$I$3:$I$1723,0)),""),"abrir"))</f>
        <v/>
      </c>
      <c r="J1424" s="4" t="n"/>
      <c r="K1424" s="4" t="n"/>
      <c r="L1424" s="4" t="n"/>
      <c r="M1424" s="4" t="n"/>
      <c r="N1424" s="4">
        <f>IF(AND(K1424="",M1424=""),"",IF(OR(K1424="sim",M1424="sim"),"sim",IF(OR(K1424="inconclusivo",M1424="inconclusivo"),"inconclusivo","não")))</f>
        <v/>
      </c>
      <c r="O1424" s="5">
        <f>IF(N1424="sim",COUNTIFS($B$3:$B1424,$B1424,$N$3:$N1424,"sim"),"")</f>
        <v/>
      </c>
      <c r="P1424" s="5" t="n"/>
      <c r="Q1424" s="4" t="n"/>
      <c r="R1424" s="5" t="n"/>
      <c r="S1424" s="9" t="n"/>
      <c r="T1424" s="4" t="n"/>
    </row>
    <row r="1425">
      <c r="A1425" s="5">
        <f>ROW()-2</f>
        <v/>
      </c>
      <c r="B1425" s="4" t="inlineStr">
        <is>
          <t>Capital regional</t>
        </is>
      </c>
      <c r="C1425" s="5" t="n">
        <v>481</v>
      </c>
      <c r="D1425" s="5">
        <f>IFERROR(INDEX('Base de sorteio'!$A$3:$A$1723,MATCH($B1425&amp;"|"&amp;$C1425,'Base de sorteio'!$I$3:$I$1723,0)),"")</f>
        <v/>
      </c>
      <c r="E1425" s="4">
        <f>IFERROR(INDEX('Base de sorteio'!$B$3:$B$1723,MATCH($B1425&amp;"|"&amp;$C1425,'Base de sorteio'!$I$3:$I$1723,0)),"")</f>
        <v/>
      </c>
      <c r="F1425" s="4">
        <f>IFERROR(INDEX('Base de sorteio'!$C$3:$C$1723,MATCH($B1425&amp;"|"&amp;$C1425,'Base de sorteio'!$I$3:$I$1723,0)),"")</f>
        <v/>
      </c>
      <c r="G1425" s="4">
        <f>IFERROR(INDEX('Base de sorteio'!$D$3:$D$1723,MATCH($B1425&amp;"|"&amp;$C1425,'Base de sorteio'!$I$3:$I$1723,0)),"")</f>
        <v/>
      </c>
      <c r="H1425" s="4">
        <f>IFERROR(INDEX('Base de sorteio'!$E$3:$E$1723,MATCH($B1425&amp;"|"&amp;$C1425,'Base de sorteio'!$I$3:$I$1723,0)),"")</f>
        <v/>
      </c>
      <c r="I1425" s="4">
        <f>IF(E1425="","",HYPERLINK(IFERROR(INDEX('Base de sorteio'!$J$3:$J$1723,MATCH($B1425&amp;"|"&amp;$C1425,'Base de sorteio'!$I$3:$I$1723,0)),""),"abrir"))</f>
        <v/>
      </c>
      <c r="J1425" s="4" t="n"/>
      <c r="K1425" s="4" t="n"/>
      <c r="L1425" s="4" t="n"/>
      <c r="M1425" s="4" t="n"/>
      <c r="N1425" s="4">
        <f>IF(AND(K1425="",M1425=""),"",IF(OR(K1425="sim",M1425="sim"),"sim",IF(OR(K1425="inconclusivo",M1425="inconclusivo"),"inconclusivo","não")))</f>
        <v/>
      </c>
      <c r="O1425" s="5">
        <f>IF(N1425="sim",COUNTIFS($B$3:$B1425,$B1425,$N$3:$N1425,"sim"),"")</f>
        <v/>
      </c>
      <c r="P1425" s="5" t="n"/>
      <c r="Q1425" s="4" t="n"/>
      <c r="R1425" s="5" t="n"/>
      <c r="S1425" s="9" t="n"/>
      <c r="T1425" s="4" t="n"/>
    </row>
    <row r="1426">
      <c r="A1426" s="5">
        <f>ROW()-2</f>
        <v/>
      </c>
      <c r="B1426" s="4" t="inlineStr">
        <is>
          <t>Capital regional</t>
        </is>
      </c>
      <c r="C1426" s="5" t="n">
        <v>482</v>
      </c>
      <c r="D1426" s="5">
        <f>IFERROR(INDEX('Base de sorteio'!$A$3:$A$1723,MATCH($B1426&amp;"|"&amp;$C1426,'Base de sorteio'!$I$3:$I$1723,0)),"")</f>
        <v/>
      </c>
      <c r="E1426" s="4">
        <f>IFERROR(INDEX('Base de sorteio'!$B$3:$B$1723,MATCH($B1426&amp;"|"&amp;$C1426,'Base de sorteio'!$I$3:$I$1723,0)),"")</f>
        <v/>
      </c>
      <c r="F1426" s="4">
        <f>IFERROR(INDEX('Base de sorteio'!$C$3:$C$1723,MATCH($B1426&amp;"|"&amp;$C1426,'Base de sorteio'!$I$3:$I$1723,0)),"")</f>
        <v/>
      </c>
      <c r="G1426" s="4">
        <f>IFERROR(INDEX('Base de sorteio'!$D$3:$D$1723,MATCH($B1426&amp;"|"&amp;$C1426,'Base de sorteio'!$I$3:$I$1723,0)),"")</f>
        <v/>
      </c>
      <c r="H1426" s="4">
        <f>IFERROR(INDEX('Base de sorteio'!$E$3:$E$1723,MATCH($B1426&amp;"|"&amp;$C1426,'Base de sorteio'!$I$3:$I$1723,0)),"")</f>
        <v/>
      </c>
      <c r="I1426" s="4">
        <f>IF(E1426="","",HYPERLINK(IFERROR(INDEX('Base de sorteio'!$J$3:$J$1723,MATCH($B1426&amp;"|"&amp;$C1426,'Base de sorteio'!$I$3:$I$1723,0)),""),"abrir"))</f>
        <v/>
      </c>
      <c r="J1426" s="4" t="n"/>
      <c r="K1426" s="4" t="n"/>
      <c r="L1426" s="4" t="n"/>
      <c r="M1426" s="4" t="n"/>
      <c r="N1426" s="4">
        <f>IF(AND(K1426="",M1426=""),"",IF(OR(K1426="sim",M1426="sim"),"sim",IF(OR(K1426="inconclusivo",M1426="inconclusivo"),"inconclusivo","não")))</f>
        <v/>
      </c>
      <c r="O1426" s="5">
        <f>IF(N1426="sim",COUNTIFS($B$3:$B1426,$B1426,$N$3:$N1426,"sim"),"")</f>
        <v/>
      </c>
      <c r="P1426" s="5" t="n"/>
      <c r="Q1426" s="4" t="n"/>
      <c r="R1426" s="5" t="n"/>
      <c r="S1426" s="9" t="n"/>
      <c r="T1426" s="4" t="n"/>
    </row>
    <row r="1427">
      <c r="A1427" s="5">
        <f>ROW()-2</f>
        <v/>
      </c>
      <c r="B1427" s="4" t="inlineStr">
        <is>
          <t>Capital regional</t>
        </is>
      </c>
      <c r="C1427" s="5" t="n">
        <v>483</v>
      </c>
      <c r="D1427" s="5">
        <f>IFERROR(INDEX('Base de sorteio'!$A$3:$A$1723,MATCH($B1427&amp;"|"&amp;$C1427,'Base de sorteio'!$I$3:$I$1723,0)),"")</f>
        <v/>
      </c>
      <c r="E1427" s="4">
        <f>IFERROR(INDEX('Base de sorteio'!$B$3:$B$1723,MATCH($B1427&amp;"|"&amp;$C1427,'Base de sorteio'!$I$3:$I$1723,0)),"")</f>
        <v/>
      </c>
      <c r="F1427" s="4">
        <f>IFERROR(INDEX('Base de sorteio'!$C$3:$C$1723,MATCH($B1427&amp;"|"&amp;$C1427,'Base de sorteio'!$I$3:$I$1723,0)),"")</f>
        <v/>
      </c>
      <c r="G1427" s="4">
        <f>IFERROR(INDEX('Base de sorteio'!$D$3:$D$1723,MATCH($B1427&amp;"|"&amp;$C1427,'Base de sorteio'!$I$3:$I$1723,0)),"")</f>
        <v/>
      </c>
      <c r="H1427" s="4">
        <f>IFERROR(INDEX('Base de sorteio'!$E$3:$E$1723,MATCH($B1427&amp;"|"&amp;$C1427,'Base de sorteio'!$I$3:$I$1723,0)),"")</f>
        <v/>
      </c>
      <c r="I1427" s="4">
        <f>IF(E1427="","",HYPERLINK(IFERROR(INDEX('Base de sorteio'!$J$3:$J$1723,MATCH($B1427&amp;"|"&amp;$C1427,'Base de sorteio'!$I$3:$I$1723,0)),""),"abrir"))</f>
        <v/>
      </c>
      <c r="J1427" s="4" t="n"/>
      <c r="K1427" s="4" t="n"/>
      <c r="L1427" s="4" t="n"/>
      <c r="M1427" s="4" t="n"/>
      <c r="N1427" s="4">
        <f>IF(AND(K1427="",M1427=""),"",IF(OR(K1427="sim",M1427="sim"),"sim",IF(OR(K1427="inconclusivo",M1427="inconclusivo"),"inconclusivo","não")))</f>
        <v/>
      </c>
      <c r="O1427" s="5">
        <f>IF(N1427="sim",COUNTIFS($B$3:$B1427,$B1427,$N$3:$N1427,"sim"),"")</f>
        <v/>
      </c>
      <c r="P1427" s="5" t="n"/>
      <c r="Q1427" s="4" t="n"/>
      <c r="R1427" s="5" t="n"/>
      <c r="S1427" s="9" t="n"/>
      <c r="T1427" s="4" t="n"/>
    </row>
    <row r="1428">
      <c r="A1428" s="5">
        <f>ROW()-2</f>
        <v/>
      </c>
      <c r="B1428" s="4" t="inlineStr">
        <is>
          <t>Capital regional</t>
        </is>
      </c>
      <c r="C1428" s="5" t="n">
        <v>484</v>
      </c>
      <c r="D1428" s="5">
        <f>IFERROR(INDEX('Base de sorteio'!$A$3:$A$1723,MATCH($B1428&amp;"|"&amp;$C1428,'Base de sorteio'!$I$3:$I$1723,0)),"")</f>
        <v/>
      </c>
      <c r="E1428" s="4">
        <f>IFERROR(INDEX('Base de sorteio'!$B$3:$B$1723,MATCH($B1428&amp;"|"&amp;$C1428,'Base de sorteio'!$I$3:$I$1723,0)),"")</f>
        <v/>
      </c>
      <c r="F1428" s="4">
        <f>IFERROR(INDEX('Base de sorteio'!$C$3:$C$1723,MATCH($B1428&amp;"|"&amp;$C1428,'Base de sorteio'!$I$3:$I$1723,0)),"")</f>
        <v/>
      </c>
      <c r="G1428" s="4">
        <f>IFERROR(INDEX('Base de sorteio'!$D$3:$D$1723,MATCH($B1428&amp;"|"&amp;$C1428,'Base de sorteio'!$I$3:$I$1723,0)),"")</f>
        <v/>
      </c>
      <c r="H1428" s="4">
        <f>IFERROR(INDEX('Base de sorteio'!$E$3:$E$1723,MATCH($B1428&amp;"|"&amp;$C1428,'Base de sorteio'!$I$3:$I$1723,0)),"")</f>
        <v/>
      </c>
      <c r="I1428" s="4">
        <f>IF(E1428="","",HYPERLINK(IFERROR(INDEX('Base de sorteio'!$J$3:$J$1723,MATCH($B1428&amp;"|"&amp;$C1428,'Base de sorteio'!$I$3:$I$1723,0)),""),"abrir"))</f>
        <v/>
      </c>
      <c r="J1428" s="4" t="n"/>
      <c r="K1428" s="4" t="n"/>
      <c r="L1428" s="4" t="n"/>
      <c r="M1428" s="4" t="n"/>
      <c r="N1428" s="4">
        <f>IF(AND(K1428="",M1428=""),"",IF(OR(K1428="sim",M1428="sim"),"sim",IF(OR(K1428="inconclusivo",M1428="inconclusivo"),"inconclusivo","não")))</f>
        <v/>
      </c>
      <c r="O1428" s="5">
        <f>IF(N1428="sim",COUNTIFS($B$3:$B1428,$B1428,$N$3:$N1428,"sim"),"")</f>
        <v/>
      </c>
      <c r="P1428" s="5" t="n"/>
      <c r="Q1428" s="4" t="n"/>
      <c r="R1428" s="5" t="n"/>
      <c r="S1428" s="9" t="n"/>
      <c r="T1428" s="4" t="n"/>
    </row>
    <row r="1429">
      <c r="A1429" s="5">
        <f>ROW()-2</f>
        <v/>
      </c>
      <c r="B1429" s="4" t="inlineStr">
        <is>
          <t>Capital regional</t>
        </is>
      </c>
      <c r="C1429" s="5" t="n">
        <v>485</v>
      </c>
      <c r="D1429" s="5">
        <f>IFERROR(INDEX('Base de sorteio'!$A$3:$A$1723,MATCH($B1429&amp;"|"&amp;$C1429,'Base de sorteio'!$I$3:$I$1723,0)),"")</f>
        <v/>
      </c>
      <c r="E1429" s="4">
        <f>IFERROR(INDEX('Base de sorteio'!$B$3:$B$1723,MATCH($B1429&amp;"|"&amp;$C1429,'Base de sorteio'!$I$3:$I$1723,0)),"")</f>
        <v/>
      </c>
      <c r="F1429" s="4">
        <f>IFERROR(INDEX('Base de sorteio'!$C$3:$C$1723,MATCH($B1429&amp;"|"&amp;$C1429,'Base de sorteio'!$I$3:$I$1723,0)),"")</f>
        <v/>
      </c>
      <c r="G1429" s="4">
        <f>IFERROR(INDEX('Base de sorteio'!$D$3:$D$1723,MATCH($B1429&amp;"|"&amp;$C1429,'Base de sorteio'!$I$3:$I$1723,0)),"")</f>
        <v/>
      </c>
      <c r="H1429" s="4">
        <f>IFERROR(INDEX('Base de sorteio'!$E$3:$E$1723,MATCH($B1429&amp;"|"&amp;$C1429,'Base de sorteio'!$I$3:$I$1723,0)),"")</f>
        <v/>
      </c>
      <c r="I1429" s="4">
        <f>IF(E1429="","",HYPERLINK(IFERROR(INDEX('Base de sorteio'!$J$3:$J$1723,MATCH($B1429&amp;"|"&amp;$C1429,'Base de sorteio'!$I$3:$I$1723,0)),""),"abrir"))</f>
        <v/>
      </c>
      <c r="J1429" s="4" t="n"/>
      <c r="K1429" s="4" t="n"/>
      <c r="L1429" s="4" t="n"/>
      <c r="M1429" s="4" t="n"/>
      <c r="N1429" s="4">
        <f>IF(AND(K1429="",M1429=""),"",IF(OR(K1429="sim",M1429="sim"),"sim",IF(OR(K1429="inconclusivo",M1429="inconclusivo"),"inconclusivo","não")))</f>
        <v/>
      </c>
      <c r="O1429" s="5">
        <f>IF(N1429="sim",COUNTIFS($B$3:$B1429,$B1429,$N$3:$N1429,"sim"),"")</f>
        <v/>
      </c>
      <c r="P1429" s="5" t="n"/>
      <c r="Q1429" s="4" t="n"/>
      <c r="R1429" s="5" t="n"/>
      <c r="S1429" s="9" t="n"/>
      <c r="T1429" s="4" t="n"/>
    </row>
    <row r="1430">
      <c r="A1430" s="5">
        <f>ROW()-2</f>
        <v/>
      </c>
      <c r="B1430" s="4" t="inlineStr">
        <is>
          <t>Capital regional</t>
        </is>
      </c>
      <c r="C1430" s="5" t="n">
        <v>486</v>
      </c>
      <c r="D1430" s="5">
        <f>IFERROR(INDEX('Base de sorteio'!$A$3:$A$1723,MATCH($B1430&amp;"|"&amp;$C1430,'Base de sorteio'!$I$3:$I$1723,0)),"")</f>
        <v/>
      </c>
      <c r="E1430" s="4">
        <f>IFERROR(INDEX('Base de sorteio'!$B$3:$B$1723,MATCH($B1430&amp;"|"&amp;$C1430,'Base de sorteio'!$I$3:$I$1723,0)),"")</f>
        <v/>
      </c>
      <c r="F1430" s="4">
        <f>IFERROR(INDEX('Base de sorteio'!$C$3:$C$1723,MATCH($B1430&amp;"|"&amp;$C1430,'Base de sorteio'!$I$3:$I$1723,0)),"")</f>
        <v/>
      </c>
      <c r="G1430" s="4">
        <f>IFERROR(INDEX('Base de sorteio'!$D$3:$D$1723,MATCH($B1430&amp;"|"&amp;$C1430,'Base de sorteio'!$I$3:$I$1723,0)),"")</f>
        <v/>
      </c>
      <c r="H1430" s="4">
        <f>IFERROR(INDEX('Base de sorteio'!$E$3:$E$1723,MATCH($B1430&amp;"|"&amp;$C1430,'Base de sorteio'!$I$3:$I$1723,0)),"")</f>
        <v/>
      </c>
      <c r="I1430" s="4">
        <f>IF(E1430="","",HYPERLINK(IFERROR(INDEX('Base de sorteio'!$J$3:$J$1723,MATCH($B1430&amp;"|"&amp;$C1430,'Base de sorteio'!$I$3:$I$1723,0)),""),"abrir"))</f>
        <v/>
      </c>
      <c r="J1430" s="4" t="n"/>
      <c r="K1430" s="4" t="n"/>
      <c r="L1430" s="4" t="n"/>
      <c r="M1430" s="4" t="n"/>
      <c r="N1430" s="4">
        <f>IF(AND(K1430="",M1430=""),"",IF(OR(K1430="sim",M1430="sim"),"sim",IF(OR(K1430="inconclusivo",M1430="inconclusivo"),"inconclusivo","não")))</f>
        <v/>
      </c>
      <c r="O1430" s="5">
        <f>IF(N1430="sim",COUNTIFS($B$3:$B1430,$B1430,$N$3:$N1430,"sim"),"")</f>
        <v/>
      </c>
      <c r="P1430" s="5" t="n"/>
      <c r="Q1430" s="4" t="n"/>
      <c r="R1430" s="5" t="n"/>
      <c r="S1430" s="9" t="n"/>
      <c r="T1430" s="4" t="n"/>
    </row>
    <row r="1431">
      <c r="A1431" s="5">
        <f>ROW()-2</f>
        <v/>
      </c>
      <c r="B1431" s="4" t="inlineStr">
        <is>
          <t>Capital regional</t>
        </is>
      </c>
      <c r="C1431" s="5" t="n">
        <v>487</v>
      </c>
      <c r="D1431" s="5">
        <f>IFERROR(INDEX('Base de sorteio'!$A$3:$A$1723,MATCH($B1431&amp;"|"&amp;$C1431,'Base de sorteio'!$I$3:$I$1723,0)),"")</f>
        <v/>
      </c>
      <c r="E1431" s="4">
        <f>IFERROR(INDEX('Base de sorteio'!$B$3:$B$1723,MATCH($B1431&amp;"|"&amp;$C1431,'Base de sorteio'!$I$3:$I$1723,0)),"")</f>
        <v/>
      </c>
      <c r="F1431" s="4">
        <f>IFERROR(INDEX('Base de sorteio'!$C$3:$C$1723,MATCH($B1431&amp;"|"&amp;$C1431,'Base de sorteio'!$I$3:$I$1723,0)),"")</f>
        <v/>
      </c>
      <c r="G1431" s="4">
        <f>IFERROR(INDEX('Base de sorteio'!$D$3:$D$1723,MATCH($B1431&amp;"|"&amp;$C1431,'Base de sorteio'!$I$3:$I$1723,0)),"")</f>
        <v/>
      </c>
      <c r="H1431" s="4">
        <f>IFERROR(INDEX('Base de sorteio'!$E$3:$E$1723,MATCH($B1431&amp;"|"&amp;$C1431,'Base de sorteio'!$I$3:$I$1723,0)),"")</f>
        <v/>
      </c>
      <c r="I1431" s="4">
        <f>IF(E1431="","",HYPERLINK(IFERROR(INDEX('Base de sorteio'!$J$3:$J$1723,MATCH($B1431&amp;"|"&amp;$C1431,'Base de sorteio'!$I$3:$I$1723,0)),""),"abrir"))</f>
        <v/>
      </c>
      <c r="J1431" s="4" t="n"/>
      <c r="K1431" s="4" t="n"/>
      <c r="L1431" s="4" t="n"/>
      <c r="M1431" s="4" t="n"/>
      <c r="N1431" s="4">
        <f>IF(AND(K1431="",M1431=""),"",IF(OR(K1431="sim",M1431="sim"),"sim",IF(OR(K1431="inconclusivo",M1431="inconclusivo"),"inconclusivo","não")))</f>
        <v/>
      </c>
      <c r="O1431" s="5">
        <f>IF(N1431="sim",COUNTIFS($B$3:$B1431,$B1431,$N$3:$N1431,"sim"),"")</f>
        <v/>
      </c>
      <c r="P1431" s="5" t="n"/>
      <c r="Q1431" s="4" t="n"/>
      <c r="R1431" s="5" t="n"/>
      <c r="S1431" s="9" t="n"/>
      <c r="T1431" s="4" t="n"/>
    </row>
    <row r="1432">
      <c r="A1432" s="5">
        <f>ROW()-2</f>
        <v/>
      </c>
      <c r="B1432" s="4" t="inlineStr">
        <is>
          <t>Capital regional</t>
        </is>
      </c>
      <c r="C1432" s="5" t="n">
        <v>488</v>
      </c>
      <c r="D1432" s="5">
        <f>IFERROR(INDEX('Base de sorteio'!$A$3:$A$1723,MATCH($B1432&amp;"|"&amp;$C1432,'Base de sorteio'!$I$3:$I$1723,0)),"")</f>
        <v/>
      </c>
      <c r="E1432" s="4">
        <f>IFERROR(INDEX('Base de sorteio'!$B$3:$B$1723,MATCH($B1432&amp;"|"&amp;$C1432,'Base de sorteio'!$I$3:$I$1723,0)),"")</f>
        <v/>
      </c>
      <c r="F1432" s="4">
        <f>IFERROR(INDEX('Base de sorteio'!$C$3:$C$1723,MATCH($B1432&amp;"|"&amp;$C1432,'Base de sorteio'!$I$3:$I$1723,0)),"")</f>
        <v/>
      </c>
      <c r="G1432" s="4">
        <f>IFERROR(INDEX('Base de sorteio'!$D$3:$D$1723,MATCH($B1432&amp;"|"&amp;$C1432,'Base de sorteio'!$I$3:$I$1723,0)),"")</f>
        <v/>
      </c>
      <c r="H1432" s="4">
        <f>IFERROR(INDEX('Base de sorteio'!$E$3:$E$1723,MATCH($B1432&amp;"|"&amp;$C1432,'Base de sorteio'!$I$3:$I$1723,0)),"")</f>
        <v/>
      </c>
      <c r="I1432" s="4">
        <f>IF(E1432="","",HYPERLINK(IFERROR(INDEX('Base de sorteio'!$J$3:$J$1723,MATCH($B1432&amp;"|"&amp;$C1432,'Base de sorteio'!$I$3:$I$1723,0)),""),"abrir"))</f>
        <v/>
      </c>
      <c r="J1432" s="4" t="n"/>
      <c r="K1432" s="4" t="n"/>
      <c r="L1432" s="4" t="n"/>
      <c r="M1432" s="4" t="n"/>
      <c r="N1432" s="4">
        <f>IF(AND(K1432="",M1432=""),"",IF(OR(K1432="sim",M1432="sim"),"sim",IF(OR(K1432="inconclusivo",M1432="inconclusivo"),"inconclusivo","não")))</f>
        <v/>
      </c>
      <c r="O1432" s="5">
        <f>IF(N1432="sim",COUNTIFS($B$3:$B1432,$B1432,$N$3:$N1432,"sim"),"")</f>
        <v/>
      </c>
      <c r="P1432" s="5" t="n"/>
      <c r="Q1432" s="4" t="n"/>
      <c r="R1432" s="5" t="n"/>
      <c r="S1432" s="9" t="n"/>
      <c r="T1432" s="4" t="n"/>
    </row>
    <row r="1433">
      <c r="A1433" s="5">
        <f>ROW()-2</f>
        <v/>
      </c>
      <c r="B1433" s="4" t="inlineStr">
        <is>
          <t>Capital regional</t>
        </is>
      </c>
      <c r="C1433" s="5" t="n">
        <v>489</v>
      </c>
      <c r="D1433" s="5">
        <f>IFERROR(INDEX('Base de sorteio'!$A$3:$A$1723,MATCH($B1433&amp;"|"&amp;$C1433,'Base de sorteio'!$I$3:$I$1723,0)),"")</f>
        <v/>
      </c>
      <c r="E1433" s="4">
        <f>IFERROR(INDEX('Base de sorteio'!$B$3:$B$1723,MATCH($B1433&amp;"|"&amp;$C1433,'Base de sorteio'!$I$3:$I$1723,0)),"")</f>
        <v/>
      </c>
      <c r="F1433" s="4">
        <f>IFERROR(INDEX('Base de sorteio'!$C$3:$C$1723,MATCH($B1433&amp;"|"&amp;$C1433,'Base de sorteio'!$I$3:$I$1723,0)),"")</f>
        <v/>
      </c>
      <c r="G1433" s="4">
        <f>IFERROR(INDEX('Base de sorteio'!$D$3:$D$1723,MATCH($B1433&amp;"|"&amp;$C1433,'Base de sorteio'!$I$3:$I$1723,0)),"")</f>
        <v/>
      </c>
      <c r="H1433" s="4">
        <f>IFERROR(INDEX('Base de sorteio'!$E$3:$E$1723,MATCH($B1433&amp;"|"&amp;$C1433,'Base de sorteio'!$I$3:$I$1723,0)),"")</f>
        <v/>
      </c>
      <c r="I1433" s="4">
        <f>IF(E1433="","",HYPERLINK(IFERROR(INDEX('Base de sorteio'!$J$3:$J$1723,MATCH($B1433&amp;"|"&amp;$C1433,'Base de sorteio'!$I$3:$I$1723,0)),""),"abrir"))</f>
        <v/>
      </c>
      <c r="J1433" s="4" t="n"/>
      <c r="K1433" s="4" t="n"/>
      <c r="L1433" s="4" t="n"/>
      <c r="M1433" s="4" t="n"/>
      <c r="N1433" s="4">
        <f>IF(AND(K1433="",M1433=""),"",IF(OR(K1433="sim",M1433="sim"),"sim",IF(OR(K1433="inconclusivo",M1433="inconclusivo"),"inconclusivo","não")))</f>
        <v/>
      </c>
      <c r="O1433" s="5">
        <f>IF(N1433="sim",COUNTIFS($B$3:$B1433,$B1433,$N$3:$N1433,"sim"),"")</f>
        <v/>
      </c>
      <c r="P1433" s="5" t="n"/>
      <c r="Q1433" s="4" t="n"/>
      <c r="R1433" s="5" t="n"/>
      <c r="S1433" s="9" t="n"/>
      <c r="T1433" s="4" t="n"/>
    </row>
    <row r="1434">
      <c r="A1434" s="5">
        <f>ROW()-2</f>
        <v/>
      </c>
      <c r="B1434" s="4" t="inlineStr">
        <is>
          <t>Capital regional</t>
        </is>
      </c>
      <c r="C1434" s="5" t="n">
        <v>490</v>
      </c>
      <c r="D1434" s="5">
        <f>IFERROR(INDEX('Base de sorteio'!$A$3:$A$1723,MATCH($B1434&amp;"|"&amp;$C1434,'Base de sorteio'!$I$3:$I$1723,0)),"")</f>
        <v/>
      </c>
      <c r="E1434" s="4">
        <f>IFERROR(INDEX('Base de sorteio'!$B$3:$B$1723,MATCH($B1434&amp;"|"&amp;$C1434,'Base de sorteio'!$I$3:$I$1723,0)),"")</f>
        <v/>
      </c>
      <c r="F1434" s="4">
        <f>IFERROR(INDEX('Base de sorteio'!$C$3:$C$1723,MATCH($B1434&amp;"|"&amp;$C1434,'Base de sorteio'!$I$3:$I$1723,0)),"")</f>
        <v/>
      </c>
      <c r="G1434" s="4">
        <f>IFERROR(INDEX('Base de sorteio'!$D$3:$D$1723,MATCH($B1434&amp;"|"&amp;$C1434,'Base de sorteio'!$I$3:$I$1723,0)),"")</f>
        <v/>
      </c>
      <c r="H1434" s="4">
        <f>IFERROR(INDEX('Base de sorteio'!$E$3:$E$1723,MATCH($B1434&amp;"|"&amp;$C1434,'Base de sorteio'!$I$3:$I$1723,0)),"")</f>
        <v/>
      </c>
      <c r="I1434" s="4">
        <f>IF(E1434="","",HYPERLINK(IFERROR(INDEX('Base de sorteio'!$J$3:$J$1723,MATCH($B1434&amp;"|"&amp;$C1434,'Base de sorteio'!$I$3:$I$1723,0)),""),"abrir"))</f>
        <v/>
      </c>
      <c r="J1434" s="4" t="n"/>
      <c r="K1434" s="4" t="n"/>
      <c r="L1434" s="4" t="n"/>
      <c r="M1434" s="4" t="n"/>
      <c r="N1434" s="4">
        <f>IF(AND(K1434="",M1434=""),"",IF(OR(K1434="sim",M1434="sim"),"sim",IF(OR(K1434="inconclusivo",M1434="inconclusivo"),"inconclusivo","não")))</f>
        <v/>
      </c>
      <c r="O1434" s="5">
        <f>IF(N1434="sim",COUNTIFS($B$3:$B1434,$B1434,$N$3:$N1434,"sim"),"")</f>
        <v/>
      </c>
      <c r="P1434" s="5" t="n"/>
      <c r="Q1434" s="4" t="n"/>
      <c r="R1434" s="5" t="n"/>
      <c r="S1434" s="9" t="n"/>
      <c r="T1434" s="4" t="n"/>
    </row>
    <row r="1435">
      <c r="A1435" s="5">
        <f>ROW()-2</f>
        <v/>
      </c>
      <c r="B1435" s="4" t="inlineStr">
        <is>
          <t>Capital regional</t>
        </is>
      </c>
      <c r="C1435" s="5" t="n">
        <v>491</v>
      </c>
      <c r="D1435" s="5">
        <f>IFERROR(INDEX('Base de sorteio'!$A$3:$A$1723,MATCH($B1435&amp;"|"&amp;$C1435,'Base de sorteio'!$I$3:$I$1723,0)),"")</f>
        <v/>
      </c>
      <c r="E1435" s="4">
        <f>IFERROR(INDEX('Base de sorteio'!$B$3:$B$1723,MATCH($B1435&amp;"|"&amp;$C1435,'Base de sorteio'!$I$3:$I$1723,0)),"")</f>
        <v/>
      </c>
      <c r="F1435" s="4">
        <f>IFERROR(INDEX('Base de sorteio'!$C$3:$C$1723,MATCH($B1435&amp;"|"&amp;$C1435,'Base de sorteio'!$I$3:$I$1723,0)),"")</f>
        <v/>
      </c>
      <c r="G1435" s="4">
        <f>IFERROR(INDEX('Base de sorteio'!$D$3:$D$1723,MATCH($B1435&amp;"|"&amp;$C1435,'Base de sorteio'!$I$3:$I$1723,0)),"")</f>
        <v/>
      </c>
      <c r="H1435" s="4">
        <f>IFERROR(INDEX('Base de sorteio'!$E$3:$E$1723,MATCH($B1435&amp;"|"&amp;$C1435,'Base de sorteio'!$I$3:$I$1723,0)),"")</f>
        <v/>
      </c>
      <c r="I1435" s="4">
        <f>IF(E1435="","",HYPERLINK(IFERROR(INDEX('Base de sorteio'!$J$3:$J$1723,MATCH($B1435&amp;"|"&amp;$C1435,'Base de sorteio'!$I$3:$I$1723,0)),""),"abrir"))</f>
        <v/>
      </c>
      <c r="J1435" s="4" t="n"/>
      <c r="K1435" s="4" t="n"/>
      <c r="L1435" s="4" t="n"/>
      <c r="M1435" s="4" t="n"/>
      <c r="N1435" s="4">
        <f>IF(AND(K1435="",M1435=""),"",IF(OR(K1435="sim",M1435="sim"),"sim",IF(OR(K1435="inconclusivo",M1435="inconclusivo"),"inconclusivo","não")))</f>
        <v/>
      </c>
      <c r="O1435" s="5">
        <f>IF(N1435="sim",COUNTIFS($B$3:$B1435,$B1435,$N$3:$N1435,"sim"),"")</f>
        <v/>
      </c>
      <c r="P1435" s="5" t="n"/>
      <c r="Q1435" s="4" t="n"/>
      <c r="R1435" s="5" t="n"/>
      <c r="S1435" s="9" t="n"/>
      <c r="T1435" s="4" t="n"/>
    </row>
    <row r="1436">
      <c r="A1436" s="5">
        <f>ROW()-2</f>
        <v/>
      </c>
      <c r="B1436" s="4" t="inlineStr">
        <is>
          <t>Capital regional</t>
        </is>
      </c>
      <c r="C1436" s="5" t="n">
        <v>492</v>
      </c>
      <c r="D1436" s="5">
        <f>IFERROR(INDEX('Base de sorteio'!$A$3:$A$1723,MATCH($B1436&amp;"|"&amp;$C1436,'Base de sorteio'!$I$3:$I$1723,0)),"")</f>
        <v/>
      </c>
      <c r="E1436" s="4">
        <f>IFERROR(INDEX('Base de sorteio'!$B$3:$B$1723,MATCH($B1436&amp;"|"&amp;$C1436,'Base de sorteio'!$I$3:$I$1723,0)),"")</f>
        <v/>
      </c>
      <c r="F1436" s="4">
        <f>IFERROR(INDEX('Base de sorteio'!$C$3:$C$1723,MATCH($B1436&amp;"|"&amp;$C1436,'Base de sorteio'!$I$3:$I$1723,0)),"")</f>
        <v/>
      </c>
      <c r="G1436" s="4">
        <f>IFERROR(INDEX('Base de sorteio'!$D$3:$D$1723,MATCH($B1436&amp;"|"&amp;$C1436,'Base de sorteio'!$I$3:$I$1723,0)),"")</f>
        <v/>
      </c>
      <c r="H1436" s="4">
        <f>IFERROR(INDEX('Base de sorteio'!$E$3:$E$1723,MATCH($B1436&amp;"|"&amp;$C1436,'Base de sorteio'!$I$3:$I$1723,0)),"")</f>
        <v/>
      </c>
      <c r="I1436" s="4">
        <f>IF(E1436="","",HYPERLINK(IFERROR(INDEX('Base de sorteio'!$J$3:$J$1723,MATCH($B1436&amp;"|"&amp;$C1436,'Base de sorteio'!$I$3:$I$1723,0)),""),"abrir"))</f>
        <v/>
      </c>
      <c r="J1436" s="4" t="n"/>
      <c r="K1436" s="4" t="n"/>
      <c r="L1436" s="4" t="n"/>
      <c r="M1436" s="4" t="n"/>
      <c r="N1436" s="4">
        <f>IF(AND(K1436="",M1436=""),"",IF(OR(K1436="sim",M1436="sim"),"sim",IF(OR(K1436="inconclusivo",M1436="inconclusivo"),"inconclusivo","não")))</f>
        <v/>
      </c>
      <c r="O1436" s="5">
        <f>IF(N1436="sim",COUNTIFS($B$3:$B1436,$B1436,$N$3:$N1436,"sim"),"")</f>
        <v/>
      </c>
      <c r="P1436" s="5" t="n"/>
      <c r="Q1436" s="4" t="n"/>
      <c r="R1436" s="5" t="n"/>
      <c r="S1436" s="9" t="n"/>
      <c r="T1436" s="4" t="n"/>
    </row>
    <row r="1437">
      <c r="A1437" s="5">
        <f>ROW()-2</f>
        <v/>
      </c>
      <c r="B1437" s="4" t="inlineStr">
        <is>
          <t>Capital regional</t>
        </is>
      </c>
      <c r="C1437" s="5" t="n">
        <v>493</v>
      </c>
      <c r="D1437" s="5">
        <f>IFERROR(INDEX('Base de sorteio'!$A$3:$A$1723,MATCH($B1437&amp;"|"&amp;$C1437,'Base de sorteio'!$I$3:$I$1723,0)),"")</f>
        <v/>
      </c>
      <c r="E1437" s="4">
        <f>IFERROR(INDEX('Base de sorteio'!$B$3:$B$1723,MATCH($B1437&amp;"|"&amp;$C1437,'Base de sorteio'!$I$3:$I$1723,0)),"")</f>
        <v/>
      </c>
      <c r="F1437" s="4">
        <f>IFERROR(INDEX('Base de sorteio'!$C$3:$C$1723,MATCH($B1437&amp;"|"&amp;$C1437,'Base de sorteio'!$I$3:$I$1723,0)),"")</f>
        <v/>
      </c>
      <c r="G1437" s="4">
        <f>IFERROR(INDEX('Base de sorteio'!$D$3:$D$1723,MATCH($B1437&amp;"|"&amp;$C1437,'Base de sorteio'!$I$3:$I$1723,0)),"")</f>
        <v/>
      </c>
      <c r="H1437" s="4">
        <f>IFERROR(INDEX('Base de sorteio'!$E$3:$E$1723,MATCH($B1437&amp;"|"&amp;$C1437,'Base de sorteio'!$I$3:$I$1723,0)),"")</f>
        <v/>
      </c>
      <c r="I1437" s="4">
        <f>IF(E1437="","",HYPERLINK(IFERROR(INDEX('Base de sorteio'!$J$3:$J$1723,MATCH($B1437&amp;"|"&amp;$C1437,'Base de sorteio'!$I$3:$I$1723,0)),""),"abrir"))</f>
        <v/>
      </c>
      <c r="J1437" s="4" t="n"/>
      <c r="K1437" s="4" t="n"/>
      <c r="L1437" s="4" t="n"/>
      <c r="M1437" s="4" t="n"/>
      <c r="N1437" s="4">
        <f>IF(AND(K1437="",M1437=""),"",IF(OR(K1437="sim",M1437="sim"),"sim",IF(OR(K1437="inconclusivo",M1437="inconclusivo"),"inconclusivo","não")))</f>
        <v/>
      </c>
      <c r="O1437" s="5">
        <f>IF(N1437="sim",COUNTIFS($B$3:$B1437,$B1437,$N$3:$N1437,"sim"),"")</f>
        <v/>
      </c>
      <c r="P1437" s="5" t="n"/>
      <c r="Q1437" s="4" t="n"/>
      <c r="R1437" s="5" t="n"/>
      <c r="S1437" s="9" t="n"/>
      <c r="T1437" s="4" t="n"/>
    </row>
    <row r="1438">
      <c r="A1438" s="5">
        <f>ROW()-2</f>
        <v/>
      </c>
      <c r="B1438" s="4" t="inlineStr">
        <is>
          <t>Capital regional</t>
        </is>
      </c>
      <c r="C1438" s="5" t="n">
        <v>494</v>
      </c>
      <c r="D1438" s="5">
        <f>IFERROR(INDEX('Base de sorteio'!$A$3:$A$1723,MATCH($B1438&amp;"|"&amp;$C1438,'Base de sorteio'!$I$3:$I$1723,0)),"")</f>
        <v/>
      </c>
      <c r="E1438" s="4">
        <f>IFERROR(INDEX('Base de sorteio'!$B$3:$B$1723,MATCH($B1438&amp;"|"&amp;$C1438,'Base de sorteio'!$I$3:$I$1723,0)),"")</f>
        <v/>
      </c>
      <c r="F1438" s="4">
        <f>IFERROR(INDEX('Base de sorteio'!$C$3:$C$1723,MATCH($B1438&amp;"|"&amp;$C1438,'Base de sorteio'!$I$3:$I$1723,0)),"")</f>
        <v/>
      </c>
      <c r="G1438" s="4">
        <f>IFERROR(INDEX('Base de sorteio'!$D$3:$D$1723,MATCH($B1438&amp;"|"&amp;$C1438,'Base de sorteio'!$I$3:$I$1723,0)),"")</f>
        <v/>
      </c>
      <c r="H1438" s="4">
        <f>IFERROR(INDEX('Base de sorteio'!$E$3:$E$1723,MATCH($B1438&amp;"|"&amp;$C1438,'Base de sorteio'!$I$3:$I$1723,0)),"")</f>
        <v/>
      </c>
      <c r="I1438" s="4">
        <f>IF(E1438="","",HYPERLINK(IFERROR(INDEX('Base de sorteio'!$J$3:$J$1723,MATCH($B1438&amp;"|"&amp;$C1438,'Base de sorteio'!$I$3:$I$1723,0)),""),"abrir"))</f>
        <v/>
      </c>
      <c r="J1438" s="4" t="n"/>
      <c r="K1438" s="4" t="n"/>
      <c r="L1438" s="4" t="n"/>
      <c r="M1438" s="4" t="n"/>
      <c r="N1438" s="4">
        <f>IF(AND(K1438="",M1438=""),"",IF(OR(K1438="sim",M1438="sim"),"sim",IF(OR(K1438="inconclusivo",M1438="inconclusivo"),"inconclusivo","não")))</f>
        <v/>
      </c>
      <c r="O1438" s="5">
        <f>IF(N1438="sim",COUNTIFS($B$3:$B1438,$B1438,$N$3:$N1438,"sim"),"")</f>
        <v/>
      </c>
      <c r="P1438" s="5" t="n"/>
      <c r="Q1438" s="4" t="n"/>
      <c r="R1438" s="5" t="n"/>
      <c r="S1438" s="9" t="n"/>
      <c r="T1438" s="4" t="n"/>
    </row>
    <row r="1439">
      <c r="A1439" s="5">
        <f>ROW()-2</f>
        <v/>
      </c>
      <c r="B1439" s="4" t="inlineStr">
        <is>
          <t>Capital regional</t>
        </is>
      </c>
      <c r="C1439" s="5" t="n">
        <v>495</v>
      </c>
      <c r="D1439" s="5">
        <f>IFERROR(INDEX('Base de sorteio'!$A$3:$A$1723,MATCH($B1439&amp;"|"&amp;$C1439,'Base de sorteio'!$I$3:$I$1723,0)),"")</f>
        <v/>
      </c>
      <c r="E1439" s="4">
        <f>IFERROR(INDEX('Base de sorteio'!$B$3:$B$1723,MATCH($B1439&amp;"|"&amp;$C1439,'Base de sorteio'!$I$3:$I$1723,0)),"")</f>
        <v/>
      </c>
      <c r="F1439" s="4">
        <f>IFERROR(INDEX('Base de sorteio'!$C$3:$C$1723,MATCH($B1439&amp;"|"&amp;$C1439,'Base de sorteio'!$I$3:$I$1723,0)),"")</f>
        <v/>
      </c>
      <c r="G1439" s="4">
        <f>IFERROR(INDEX('Base de sorteio'!$D$3:$D$1723,MATCH($B1439&amp;"|"&amp;$C1439,'Base de sorteio'!$I$3:$I$1723,0)),"")</f>
        <v/>
      </c>
      <c r="H1439" s="4">
        <f>IFERROR(INDEX('Base de sorteio'!$E$3:$E$1723,MATCH($B1439&amp;"|"&amp;$C1439,'Base de sorteio'!$I$3:$I$1723,0)),"")</f>
        <v/>
      </c>
      <c r="I1439" s="4">
        <f>IF(E1439="","",HYPERLINK(IFERROR(INDEX('Base de sorteio'!$J$3:$J$1723,MATCH($B1439&amp;"|"&amp;$C1439,'Base de sorteio'!$I$3:$I$1723,0)),""),"abrir"))</f>
        <v/>
      </c>
      <c r="J1439" s="4" t="n"/>
      <c r="K1439" s="4" t="n"/>
      <c r="L1439" s="4" t="n"/>
      <c r="M1439" s="4" t="n"/>
      <c r="N1439" s="4">
        <f>IF(AND(K1439="",M1439=""),"",IF(OR(K1439="sim",M1439="sim"),"sim",IF(OR(K1439="inconclusivo",M1439="inconclusivo"),"inconclusivo","não")))</f>
        <v/>
      </c>
      <c r="O1439" s="5">
        <f>IF(N1439="sim",COUNTIFS($B$3:$B1439,$B1439,$N$3:$N1439,"sim"),"")</f>
        <v/>
      </c>
      <c r="P1439" s="5" t="n"/>
      <c r="Q1439" s="4" t="n"/>
      <c r="R1439" s="5" t="n"/>
      <c r="S1439" s="9" t="n"/>
      <c r="T1439" s="4" t="n"/>
    </row>
    <row r="1440">
      <c r="A1440" s="5">
        <f>ROW()-2</f>
        <v/>
      </c>
      <c r="B1440" s="4" t="inlineStr">
        <is>
          <t>Capital regional</t>
        </is>
      </c>
      <c r="C1440" s="5" t="n">
        <v>496</v>
      </c>
      <c r="D1440" s="5">
        <f>IFERROR(INDEX('Base de sorteio'!$A$3:$A$1723,MATCH($B1440&amp;"|"&amp;$C1440,'Base de sorteio'!$I$3:$I$1723,0)),"")</f>
        <v/>
      </c>
      <c r="E1440" s="4">
        <f>IFERROR(INDEX('Base de sorteio'!$B$3:$B$1723,MATCH($B1440&amp;"|"&amp;$C1440,'Base de sorteio'!$I$3:$I$1723,0)),"")</f>
        <v/>
      </c>
      <c r="F1440" s="4">
        <f>IFERROR(INDEX('Base de sorteio'!$C$3:$C$1723,MATCH($B1440&amp;"|"&amp;$C1440,'Base de sorteio'!$I$3:$I$1723,0)),"")</f>
        <v/>
      </c>
      <c r="G1440" s="4">
        <f>IFERROR(INDEX('Base de sorteio'!$D$3:$D$1723,MATCH($B1440&amp;"|"&amp;$C1440,'Base de sorteio'!$I$3:$I$1723,0)),"")</f>
        <v/>
      </c>
      <c r="H1440" s="4">
        <f>IFERROR(INDEX('Base de sorteio'!$E$3:$E$1723,MATCH($B1440&amp;"|"&amp;$C1440,'Base de sorteio'!$I$3:$I$1723,0)),"")</f>
        <v/>
      </c>
      <c r="I1440" s="4">
        <f>IF(E1440="","",HYPERLINK(IFERROR(INDEX('Base de sorteio'!$J$3:$J$1723,MATCH($B1440&amp;"|"&amp;$C1440,'Base de sorteio'!$I$3:$I$1723,0)),""),"abrir"))</f>
        <v/>
      </c>
      <c r="J1440" s="4" t="n"/>
      <c r="K1440" s="4" t="n"/>
      <c r="L1440" s="4" t="n"/>
      <c r="M1440" s="4" t="n"/>
      <c r="N1440" s="4">
        <f>IF(AND(K1440="",M1440=""),"",IF(OR(K1440="sim",M1440="sim"),"sim",IF(OR(K1440="inconclusivo",M1440="inconclusivo"),"inconclusivo","não")))</f>
        <v/>
      </c>
      <c r="O1440" s="5">
        <f>IF(N1440="sim",COUNTIFS($B$3:$B1440,$B1440,$N$3:$N1440,"sim"),"")</f>
        <v/>
      </c>
      <c r="P1440" s="5" t="n"/>
      <c r="Q1440" s="4" t="n"/>
      <c r="R1440" s="5" t="n"/>
      <c r="S1440" s="9" t="n"/>
      <c r="T1440" s="4" t="n"/>
    </row>
    <row r="1441">
      <c r="A1441" s="5">
        <f>ROW()-2</f>
        <v/>
      </c>
      <c r="B1441" s="4" t="inlineStr">
        <is>
          <t>Capital regional</t>
        </is>
      </c>
      <c r="C1441" s="5" t="n">
        <v>497</v>
      </c>
      <c r="D1441" s="5">
        <f>IFERROR(INDEX('Base de sorteio'!$A$3:$A$1723,MATCH($B1441&amp;"|"&amp;$C1441,'Base de sorteio'!$I$3:$I$1723,0)),"")</f>
        <v/>
      </c>
      <c r="E1441" s="4">
        <f>IFERROR(INDEX('Base de sorteio'!$B$3:$B$1723,MATCH($B1441&amp;"|"&amp;$C1441,'Base de sorteio'!$I$3:$I$1723,0)),"")</f>
        <v/>
      </c>
      <c r="F1441" s="4">
        <f>IFERROR(INDEX('Base de sorteio'!$C$3:$C$1723,MATCH($B1441&amp;"|"&amp;$C1441,'Base de sorteio'!$I$3:$I$1723,0)),"")</f>
        <v/>
      </c>
      <c r="G1441" s="4">
        <f>IFERROR(INDEX('Base de sorteio'!$D$3:$D$1723,MATCH($B1441&amp;"|"&amp;$C1441,'Base de sorteio'!$I$3:$I$1723,0)),"")</f>
        <v/>
      </c>
      <c r="H1441" s="4">
        <f>IFERROR(INDEX('Base de sorteio'!$E$3:$E$1723,MATCH($B1441&amp;"|"&amp;$C1441,'Base de sorteio'!$I$3:$I$1723,0)),"")</f>
        <v/>
      </c>
      <c r="I1441" s="4">
        <f>IF(E1441="","",HYPERLINK(IFERROR(INDEX('Base de sorteio'!$J$3:$J$1723,MATCH($B1441&amp;"|"&amp;$C1441,'Base de sorteio'!$I$3:$I$1723,0)),""),"abrir"))</f>
        <v/>
      </c>
      <c r="J1441" s="4" t="n"/>
      <c r="K1441" s="4" t="n"/>
      <c r="L1441" s="4" t="n"/>
      <c r="M1441" s="4" t="n"/>
      <c r="N1441" s="4">
        <f>IF(AND(K1441="",M1441=""),"",IF(OR(K1441="sim",M1441="sim"),"sim",IF(OR(K1441="inconclusivo",M1441="inconclusivo"),"inconclusivo","não")))</f>
        <v/>
      </c>
      <c r="O1441" s="5">
        <f>IF(N1441="sim",COUNTIFS($B$3:$B1441,$B1441,$N$3:$N1441,"sim"),"")</f>
        <v/>
      </c>
      <c r="P1441" s="5" t="n"/>
      <c r="Q1441" s="4" t="n"/>
      <c r="R1441" s="5" t="n"/>
      <c r="S1441" s="9" t="n"/>
      <c r="T1441" s="4" t="n"/>
    </row>
    <row r="1442">
      <c r="A1442" s="5">
        <f>ROW()-2</f>
        <v/>
      </c>
      <c r="B1442" s="4" t="inlineStr">
        <is>
          <t>Capital regional</t>
        </is>
      </c>
      <c r="C1442" s="5" t="n">
        <v>498</v>
      </c>
      <c r="D1442" s="5">
        <f>IFERROR(INDEX('Base de sorteio'!$A$3:$A$1723,MATCH($B1442&amp;"|"&amp;$C1442,'Base de sorteio'!$I$3:$I$1723,0)),"")</f>
        <v/>
      </c>
      <c r="E1442" s="4">
        <f>IFERROR(INDEX('Base de sorteio'!$B$3:$B$1723,MATCH($B1442&amp;"|"&amp;$C1442,'Base de sorteio'!$I$3:$I$1723,0)),"")</f>
        <v/>
      </c>
      <c r="F1442" s="4">
        <f>IFERROR(INDEX('Base de sorteio'!$C$3:$C$1723,MATCH($B1442&amp;"|"&amp;$C1442,'Base de sorteio'!$I$3:$I$1723,0)),"")</f>
        <v/>
      </c>
      <c r="G1442" s="4">
        <f>IFERROR(INDEX('Base de sorteio'!$D$3:$D$1723,MATCH($B1442&amp;"|"&amp;$C1442,'Base de sorteio'!$I$3:$I$1723,0)),"")</f>
        <v/>
      </c>
      <c r="H1442" s="4">
        <f>IFERROR(INDEX('Base de sorteio'!$E$3:$E$1723,MATCH($B1442&amp;"|"&amp;$C1442,'Base de sorteio'!$I$3:$I$1723,0)),"")</f>
        <v/>
      </c>
      <c r="I1442" s="4">
        <f>IF(E1442="","",HYPERLINK(IFERROR(INDEX('Base de sorteio'!$J$3:$J$1723,MATCH($B1442&amp;"|"&amp;$C1442,'Base de sorteio'!$I$3:$I$1723,0)),""),"abrir"))</f>
        <v/>
      </c>
      <c r="J1442" s="4" t="n"/>
      <c r="K1442" s="4" t="n"/>
      <c r="L1442" s="4" t="n"/>
      <c r="M1442" s="4" t="n"/>
      <c r="N1442" s="4">
        <f>IF(AND(K1442="",M1442=""),"",IF(OR(K1442="sim",M1442="sim"),"sim",IF(OR(K1442="inconclusivo",M1442="inconclusivo"),"inconclusivo","não")))</f>
        <v/>
      </c>
      <c r="O1442" s="5">
        <f>IF(N1442="sim",COUNTIFS($B$3:$B1442,$B1442,$N$3:$N1442,"sim"),"")</f>
        <v/>
      </c>
      <c r="P1442" s="5" t="n"/>
      <c r="Q1442" s="4" t="n"/>
      <c r="R1442" s="5" t="n"/>
      <c r="S1442" s="9" t="n"/>
      <c r="T1442" s="4" t="n"/>
    </row>
    <row r="1443">
      <c r="A1443" s="5">
        <f>ROW()-2</f>
        <v/>
      </c>
      <c r="B1443" s="4" t="inlineStr">
        <is>
          <t>Capital regional</t>
        </is>
      </c>
      <c r="C1443" s="5" t="n">
        <v>499</v>
      </c>
      <c r="D1443" s="5">
        <f>IFERROR(INDEX('Base de sorteio'!$A$3:$A$1723,MATCH($B1443&amp;"|"&amp;$C1443,'Base de sorteio'!$I$3:$I$1723,0)),"")</f>
        <v/>
      </c>
      <c r="E1443" s="4">
        <f>IFERROR(INDEX('Base de sorteio'!$B$3:$B$1723,MATCH($B1443&amp;"|"&amp;$C1443,'Base de sorteio'!$I$3:$I$1723,0)),"")</f>
        <v/>
      </c>
      <c r="F1443" s="4">
        <f>IFERROR(INDEX('Base de sorteio'!$C$3:$C$1723,MATCH($B1443&amp;"|"&amp;$C1443,'Base de sorteio'!$I$3:$I$1723,0)),"")</f>
        <v/>
      </c>
      <c r="G1443" s="4">
        <f>IFERROR(INDEX('Base de sorteio'!$D$3:$D$1723,MATCH($B1443&amp;"|"&amp;$C1443,'Base de sorteio'!$I$3:$I$1723,0)),"")</f>
        <v/>
      </c>
      <c r="H1443" s="4">
        <f>IFERROR(INDEX('Base de sorteio'!$E$3:$E$1723,MATCH($B1443&amp;"|"&amp;$C1443,'Base de sorteio'!$I$3:$I$1723,0)),"")</f>
        <v/>
      </c>
      <c r="I1443" s="4">
        <f>IF(E1443="","",HYPERLINK(IFERROR(INDEX('Base de sorteio'!$J$3:$J$1723,MATCH($B1443&amp;"|"&amp;$C1443,'Base de sorteio'!$I$3:$I$1723,0)),""),"abrir"))</f>
        <v/>
      </c>
      <c r="J1443" s="4" t="n"/>
      <c r="K1443" s="4" t="n"/>
      <c r="L1443" s="4" t="n"/>
      <c r="M1443" s="4" t="n"/>
      <c r="N1443" s="4">
        <f>IF(AND(K1443="",M1443=""),"",IF(OR(K1443="sim",M1443="sim"),"sim",IF(OR(K1443="inconclusivo",M1443="inconclusivo"),"inconclusivo","não")))</f>
        <v/>
      </c>
      <c r="O1443" s="5">
        <f>IF(N1443="sim",COUNTIFS($B$3:$B1443,$B1443,$N$3:$N1443,"sim"),"")</f>
        <v/>
      </c>
      <c r="P1443" s="5" t="n"/>
      <c r="Q1443" s="4" t="n"/>
      <c r="R1443" s="5" t="n"/>
      <c r="S1443" s="9" t="n"/>
      <c r="T1443" s="4" t="n"/>
    </row>
    <row r="1444">
      <c r="A1444" s="5">
        <f>ROW()-2</f>
        <v/>
      </c>
      <c r="B1444" s="4" t="inlineStr">
        <is>
          <t>Capital regional</t>
        </is>
      </c>
      <c r="C1444" s="5" t="n">
        <v>500</v>
      </c>
      <c r="D1444" s="5">
        <f>IFERROR(INDEX('Base de sorteio'!$A$3:$A$1723,MATCH($B1444&amp;"|"&amp;$C1444,'Base de sorteio'!$I$3:$I$1723,0)),"")</f>
        <v/>
      </c>
      <c r="E1444" s="4">
        <f>IFERROR(INDEX('Base de sorteio'!$B$3:$B$1723,MATCH($B1444&amp;"|"&amp;$C1444,'Base de sorteio'!$I$3:$I$1723,0)),"")</f>
        <v/>
      </c>
      <c r="F1444" s="4">
        <f>IFERROR(INDEX('Base de sorteio'!$C$3:$C$1723,MATCH($B1444&amp;"|"&amp;$C1444,'Base de sorteio'!$I$3:$I$1723,0)),"")</f>
        <v/>
      </c>
      <c r="G1444" s="4">
        <f>IFERROR(INDEX('Base de sorteio'!$D$3:$D$1723,MATCH($B1444&amp;"|"&amp;$C1444,'Base de sorteio'!$I$3:$I$1723,0)),"")</f>
        <v/>
      </c>
      <c r="H1444" s="4">
        <f>IFERROR(INDEX('Base de sorteio'!$E$3:$E$1723,MATCH($B1444&amp;"|"&amp;$C1444,'Base de sorteio'!$I$3:$I$1723,0)),"")</f>
        <v/>
      </c>
      <c r="I1444" s="4">
        <f>IF(E1444="","",HYPERLINK(IFERROR(INDEX('Base de sorteio'!$J$3:$J$1723,MATCH($B1444&amp;"|"&amp;$C1444,'Base de sorteio'!$I$3:$I$1723,0)),""),"abrir"))</f>
        <v/>
      </c>
      <c r="J1444" s="4" t="n"/>
      <c r="K1444" s="4" t="n"/>
      <c r="L1444" s="4" t="n"/>
      <c r="M1444" s="4" t="n"/>
      <c r="N1444" s="4">
        <f>IF(AND(K1444="",M1444=""),"",IF(OR(K1444="sim",M1444="sim"),"sim",IF(OR(K1444="inconclusivo",M1444="inconclusivo"),"inconclusivo","não")))</f>
        <v/>
      </c>
      <c r="O1444" s="5">
        <f>IF(N1444="sim",COUNTIFS($B$3:$B1444,$B1444,$N$3:$N1444,"sim"),"")</f>
        <v/>
      </c>
      <c r="P1444" s="5" t="n"/>
      <c r="Q1444" s="4" t="n"/>
      <c r="R1444" s="5" t="n"/>
      <c r="S1444" s="9" t="n"/>
      <c r="T1444" s="4" t="n"/>
    </row>
    <row r="1445">
      <c r="A1445" s="5">
        <f>ROW()-2</f>
        <v/>
      </c>
      <c r="B1445" s="4" t="inlineStr">
        <is>
          <t>Capital regional</t>
        </is>
      </c>
      <c r="C1445" s="5" t="n">
        <v>501</v>
      </c>
      <c r="D1445" s="5">
        <f>IFERROR(INDEX('Base de sorteio'!$A$3:$A$1723,MATCH($B1445&amp;"|"&amp;$C1445,'Base de sorteio'!$I$3:$I$1723,0)),"")</f>
        <v/>
      </c>
      <c r="E1445" s="4">
        <f>IFERROR(INDEX('Base de sorteio'!$B$3:$B$1723,MATCH($B1445&amp;"|"&amp;$C1445,'Base de sorteio'!$I$3:$I$1723,0)),"")</f>
        <v/>
      </c>
      <c r="F1445" s="4">
        <f>IFERROR(INDEX('Base de sorteio'!$C$3:$C$1723,MATCH($B1445&amp;"|"&amp;$C1445,'Base de sorteio'!$I$3:$I$1723,0)),"")</f>
        <v/>
      </c>
      <c r="G1445" s="4">
        <f>IFERROR(INDEX('Base de sorteio'!$D$3:$D$1723,MATCH($B1445&amp;"|"&amp;$C1445,'Base de sorteio'!$I$3:$I$1723,0)),"")</f>
        <v/>
      </c>
      <c r="H1445" s="4">
        <f>IFERROR(INDEX('Base de sorteio'!$E$3:$E$1723,MATCH($B1445&amp;"|"&amp;$C1445,'Base de sorteio'!$I$3:$I$1723,0)),"")</f>
        <v/>
      </c>
      <c r="I1445" s="4">
        <f>IF(E1445="","",HYPERLINK(IFERROR(INDEX('Base de sorteio'!$J$3:$J$1723,MATCH($B1445&amp;"|"&amp;$C1445,'Base de sorteio'!$I$3:$I$1723,0)),""),"abrir"))</f>
        <v/>
      </c>
      <c r="J1445" s="4" t="n"/>
      <c r="K1445" s="4" t="n"/>
      <c r="L1445" s="4" t="n"/>
      <c r="M1445" s="4" t="n"/>
      <c r="N1445" s="4">
        <f>IF(AND(K1445="",M1445=""),"",IF(OR(K1445="sim",M1445="sim"),"sim",IF(OR(K1445="inconclusivo",M1445="inconclusivo"),"inconclusivo","não")))</f>
        <v/>
      </c>
      <c r="O1445" s="5">
        <f>IF(N1445="sim",COUNTIFS($B$3:$B1445,$B1445,$N$3:$N1445,"sim"),"")</f>
        <v/>
      </c>
      <c r="P1445" s="5" t="n"/>
      <c r="Q1445" s="4" t="n"/>
      <c r="R1445" s="5" t="n"/>
      <c r="S1445" s="9" t="n"/>
      <c r="T1445" s="4" t="n"/>
    </row>
    <row r="1446">
      <c r="A1446" s="5">
        <f>ROW()-2</f>
        <v/>
      </c>
      <c r="B1446" s="4" t="inlineStr">
        <is>
          <t>Capital regional</t>
        </is>
      </c>
      <c r="C1446" s="5" t="n">
        <v>502</v>
      </c>
      <c r="D1446" s="5">
        <f>IFERROR(INDEX('Base de sorteio'!$A$3:$A$1723,MATCH($B1446&amp;"|"&amp;$C1446,'Base de sorteio'!$I$3:$I$1723,0)),"")</f>
        <v/>
      </c>
      <c r="E1446" s="4">
        <f>IFERROR(INDEX('Base de sorteio'!$B$3:$B$1723,MATCH($B1446&amp;"|"&amp;$C1446,'Base de sorteio'!$I$3:$I$1723,0)),"")</f>
        <v/>
      </c>
      <c r="F1446" s="4">
        <f>IFERROR(INDEX('Base de sorteio'!$C$3:$C$1723,MATCH($B1446&amp;"|"&amp;$C1446,'Base de sorteio'!$I$3:$I$1723,0)),"")</f>
        <v/>
      </c>
      <c r="G1446" s="4">
        <f>IFERROR(INDEX('Base de sorteio'!$D$3:$D$1723,MATCH($B1446&amp;"|"&amp;$C1446,'Base de sorteio'!$I$3:$I$1723,0)),"")</f>
        <v/>
      </c>
      <c r="H1446" s="4">
        <f>IFERROR(INDEX('Base de sorteio'!$E$3:$E$1723,MATCH($B1446&amp;"|"&amp;$C1446,'Base de sorteio'!$I$3:$I$1723,0)),"")</f>
        <v/>
      </c>
      <c r="I1446" s="4">
        <f>IF(E1446="","",HYPERLINK(IFERROR(INDEX('Base de sorteio'!$J$3:$J$1723,MATCH($B1446&amp;"|"&amp;$C1446,'Base de sorteio'!$I$3:$I$1723,0)),""),"abrir"))</f>
        <v/>
      </c>
      <c r="J1446" s="4" t="n"/>
      <c r="K1446" s="4" t="n"/>
      <c r="L1446" s="4" t="n"/>
      <c r="M1446" s="4" t="n"/>
      <c r="N1446" s="4">
        <f>IF(AND(K1446="",M1446=""),"",IF(OR(K1446="sim",M1446="sim"),"sim",IF(OR(K1446="inconclusivo",M1446="inconclusivo"),"inconclusivo","não")))</f>
        <v/>
      </c>
      <c r="O1446" s="5">
        <f>IF(N1446="sim",COUNTIFS($B$3:$B1446,$B1446,$N$3:$N1446,"sim"),"")</f>
        <v/>
      </c>
      <c r="P1446" s="5" t="n"/>
      <c r="Q1446" s="4" t="n"/>
      <c r="R1446" s="5" t="n"/>
      <c r="S1446" s="9" t="n"/>
      <c r="T1446" s="4" t="n"/>
    </row>
    <row r="1447">
      <c r="A1447" s="5">
        <f>ROW()-2</f>
        <v/>
      </c>
      <c r="B1447" s="4" t="inlineStr">
        <is>
          <t>Capital regional</t>
        </is>
      </c>
      <c r="C1447" s="5" t="n">
        <v>503</v>
      </c>
      <c r="D1447" s="5">
        <f>IFERROR(INDEX('Base de sorteio'!$A$3:$A$1723,MATCH($B1447&amp;"|"&amp;$C1447,'Base de sorteio'!$I$3:$I$1723,0)),"")</f>
        <v/>
      </c>
      <c r="E1447" s="4">
        <f>IFERROR(INDEX('Base de sorteio'!$B$3:$B$1723,MATCH($B1447&amp;"|"&amp;$C1447,'Base de sorteio'!$I$3:$I$1723,0)),"")</f>
        <v/>
      </c>
      <c r="F1447" s="4">
        <f>IFERROR(INDEX('Base de sorteio'!$C$3:$C$1723,MATCH($B1447&amp;"|"&amp;$C1447,'Base de sorteio'!$I$3:$I$1723,0)),"")</f>
        <v/>
      </c>
      <c r="G1447" s="4">
        <f>IFERROR(INDEX('Base de sorteio'!$D$3:$D$1723,MATCH($B1447&amp;"|"&amp;$C1447,'Base de sorteio'!$I$3:$I$1723,0)),"")</f>
        <v/>
      </c>
      <c r="H1447" s="4">
        <f>IFERROR(INDEX('Base de sorteio'!$E$3:$E$1723,MATCH($B1447&amp;"|"&amp;$C1447,'Base de sorteio'!$I$3:$I$1723,0)),"")</f>
        <v/>
      </c>
      <c r="I1447" s="4">
        <f>IF(E1447="","",HYPERLINK(IFERROR(INDEX('Base de sorteio'!$J$3:$J$1723,MATCH($B1447&amp;"|"&amp;$C1447,'Base de sorteio'!$I$3:$I$1723,0)),""),"abrir"))</f>
        <v/>
      </c>
      <c r="J1447" s="4" t="n"/>
      <c r="K1447" s="4" t="n"/>
      <c r="L1447" s="4" t="n"/>
      <c r="M1447" s="4" t="n"/>
      <c r="N1447" s="4">
        <f>IF(AND(K1447="",M1447=""),"",IF(OR(K1447="sim",M1447="sim"),"sim",IF(OR(K1447="inconclusivo",M1447="inconclusivo"),"inconclusivo","não")))</f>
        <v/>
      </c>
      <c r="O1447" s="5">
        <f>IF(N1447="sim",COUNTIFS($B$3:$B1447,$B1447,$N$3:$N1447,"sim"),"")</f>
        <v/>
      </c>
      <c r="P1447" s="5" t="n"/>
      <c r="Q1447" s="4" t="n"/>
      <c r="R1447" s="5" t="n"/>
      <c r="S1447" s="9" t="n"/>
      <c r="T1447" s="4" t="n"/>
    </row>
    <row r="1448">
      <c r="A1448" s="5">
        <f>ROW()-2</f>
        <v/>
      </c>
      <c r="B1448" s="4" t="inlineStr">
        <is>
          <t>Capital regional</t>
        </is>
      </c>
      <c r="C1448" s="5" t="n">
        <v>504</v>
      </c>
      <c r="D1448" s="5">
        <f>IFERROR(INDEX('Base de sorteio'!$A$3:$A$1723,MATCH($B1448&amp;"|"&amp;$C1448,'Base de sorteio'!$I$3:$I$1723,0)),"")</f>
        <v/>
      </c>
      <c r="E1448" s="4">
        <f>IFERROR(INDEX('Base de sorteio'!$B$3:$B$1723,MATCH($B1448&amp;"|"&amp;$C1448,'Base de sorteio'!$I$3:$I$1723,0)),"")</f>
        <v/>
      </c>
      <c r="F1448" s="4">
        <f>IFERROR(INDEX('Base de sorteio'!$C$3:$C$1723,MATCH($B1448&amp;"|"&amp;$C1448,'Base de sorteio'!$I$3:$I$1723,0)),"")</f>
        <v/>
      </c>
      <c r="G1448" s="4">
        <f>IFERROR(INDEX('Base de sorteio'!$D$3:$D$1723,MATCH($B1448&amp;"|"&amp;$C1448,'Base de sorteio'!$I$3:$I$1723,0)),"")</f>
        <v/>
      </c>
      <c r="H1448" s="4">
        <f>IFERROR(INDEX('Base de sorteio'!$E$3:$E$1723,MATCH($B1448&amp;"|"&amp;$C1448,'Base de sorteio'!$I$3:$I$1723,0)),"")</f>
        <v/>
      </c>
      <c r="I1448" s="4">
        <f>IF(E1448="","",HYPERLINK(IFERROR(INDEX('Base de sorteio'!$J$3:$J$1723,MATCH($B1448&amp;"|"&amp;$C1448,'Base de sorteio'!$I$3:$I$1723,0)),""),"abrir"))</f>
        <v/>
      </c>
      <c r="J1448" s="4" t="n"/>
      <c r="K1448" s="4" t="n"/>
      <c r="L1448" s="4" t="n"/>
      <c r="M1448" s="4" t="n"/>
      <c r="N1448" s="4">
        <f>IF(AND(K1448="",M1448=""),"",IF(OR(K1448="sim",M1448="sim"),"sim",IF(OR(K1448="inconclusivo",M1448="inconclusivo"),"inconclusivo","não")))</f>
        <v/>
      </c>
      <c r="O1448" s="5">
        <f>IF(N1448="sim",COUNTIFS($B$3:$B1448,$B1448,$N$3:$N1448,"sim"),"")</f>
        <v/>
      </c>
      <c r="P1448" s="5" t="n"/>
      <c r="Q1448" s="4" t="n"/>
      <c r="R1448" s="5" t="n"/>
      <c r="S1448" s="9" t="n"/>
      <c r="T1448" s="4" t="n"/>
    </row>
    <row r="1449">
      <c r="A1449" s="5">
        <f>ROW()-2</f>
        <v/>
      </c>
      <c r="B1449" s="4" t="inlineStr">
        <is>
          <t>Capital regional</t>
        </is>
      </c>
      <c r="C1449" s="5" t="n">
        <v>505</v>
      </c>
      <c r="D1449" s="5">
        <f>IFERROR(INDEX('Base de sorteio'!$A$3:$A$1723,MATCH($B1449&amp;"|"&amp;$C1449,'Base de sorteio'!$I$3:$I$1723,0)),"")</f>
        <v/>
      </c>
      <c r="E1449" s="4">
        <f>IFERROR(INDEX('Base de sorteio'!$B$3:$B$1723,MATCH($B1449&amp;"|"&amp;$C1449,'Base de sorteio'!$I$3:$I$1723,0)),"")</f>
        <v/>
      </c>
      <c r="F1449" s="4">
        <f>IFERROR(INDEX('Base de sorteio'!$C$3:$C$1723,MATCH($B1449&amp;"|"&amp;$C1449,'Base de sorteio'!$I$3:$I$1723,0)),"")</f>
        <v/>
      </c>
      <c r="G1449" s="4">
        <f>IFERROR(INDEX('Base de sorteio'!$D$3:$D$1723,MATCH($B1449&amp;"|"&amp;$C1449,'Base de sorteio'!$I$3:$I$1723,0)),"")</f>
        <v/>
      </c>
      <c r="H1449" s="4">
        <f>IFERROR(INDEX('Base de sorteio'!$E$3:$E$1723,MATCH($B1449&amp;"|"&amp;$C1449,'Base de sorteio'!$I$3:$I$1723,0)),"")</f>
        <v/>
      </c>
      <c r="I1449" s="4">
        <f>IF(E1449="","",HYPERLINK(IFERROR(INDEX('Base de sorteio'!$J$3:$J$1723,MATCH($B1449&amp;"|"&amp;$C1449,'Base de sorteio'!$I$3:$I$1723,0)),""),"abrir"))</f>
        <v/>
      </c>
      <c r="J1449" s="4" t="n"/>
      <c r="K1449" s="4" t="n"/>
      <c r="L1449" s="4" t="n"/>
      <c r="M1449" s="4" t="n"/>
      <c r="N1449" s="4">
        <f>IF(AND(K1449="",M1449=""),"",IF(OR(K1449="sim",M1449="sim"),"sim",IF(OR(K1449="inconclusivo",M1449="inconclusivo"),"inconclusivo","não")))</f>
        <v/>
      </c>
      <c r="O1449" s="5">
        <f>IF(N1449="sim",COUNTIFS($B$3:$B1449,$B1449,$N$3:$N1449,"sim"),"")</f>
        <v/>
      </c>
      <c r="P1449" s="5" t="n"/>
      <c r="Q1449" s="4" t="n"/>
      <c r="R1449" s="5" t="n"/>
      <c r="S1449" s="9" t="n"/>
      <c r="T1449" s="4" t="n"/>
    </row>
    <row r="1450">
      <c r="A1450" s="5">
        <f>ROW()-2</f>
        <v/>
      </c>
      <c r="B1450" s="4" t="inlineStr">
        <is>
          <t>Capital regional</t>
        </is>
      </c>
      <c r="C1450" s="5" t="n">
        <v>506</v>
      </c>
      <c r="D1450" s="5">
        <f>IFERROR(INDEX('Base de sorteio'!$A$3:$A$1723,MATCH($B1450&amp;"|"&amp;$C1450,'Base de sorteio'!$I$3:$I$1723,0)),"")</f>
        <v/>
      </c>
      <c r="E1450" s="4">
        <f>IFERROR(INDEX('Base de sorteio'!$B$3:$B$1723,MATCH($B1450&amp;"|"&amp;$C1450,'Base de sorteio'!$I$3:$I$1723,0)),"")</f>
        <v/>
      </c>
      <c r="F1450" s="4">
        <f>IFERROR(INDEX('Base de sorteio'!$C$3:$C$1723,MATCH($B1450&amp;"|"&amp;$C1450,'Base de sorteio'!$I$3:$I$1723,0)),"")</f>
        <v/>
      </c>
      <c r="G1450" s="4">
        <f>IFERROR(INDEX('Base de sorteio'!$D$3:$D$1723,MATCH($B1450&amp;"|"&amp;$C1450,'Base de sorteio'!$I$3:$I$1723,0)),"")</f>
        <v/>
      </c>
      <c r="H1450" s="4">
        <f>IFERROR(INDEX('Base de sorteio'!$E$3:$E$1723,MATCH($B1450&amp;"|"&amp;$C1450,'Base de sorteio'!$I$3:$I$1723,0)),"")</f>
        <v/>
      </c>
      <c r="I1450" s="4">
        <f>IF(E1450="","",HYPERLINK(IFERROR(INDEX('Base de sorteio'!$J$3:$J$1723,MATCH($B1450&amp;"|"&amp;$C1450,'Base de sorteio'!$I$3:$I$1723,0)),""),"abrir"))</f>
        <v/>
      </c>
      <c r="J1450" s="4" t="n"/>
      <c r="K1450" s="4" t="n"/>
      <c r="L1450" s="4" t="n"/>
      <c r="M1450" s="4" t="n"/>
      <c r="N1450" s="4">
        <f>IF(AND(K1450="",M1450=""),"",IF(OR(K1450="sim",M1450="sim"),"sim",IF(OR(K1450="inconclusivo",M1450="inconclusivo"),"inconclusivo","não")))</f>
        <v/>
      </c>
      <c r="O1450" s="5">
        <f>IF(N1450="sim",COUNTIFS($B$3:$B1450,$B1450,$N$3:$N1450,"sim"),"")</f>
        <v/>
      </c>
      <c r="P1450" s="5" t="n"/>
      <c r="Q1450" s="4" t="n"/>
      <c r="R1450" s="5" t="n"/>
      <c r="S1450" s="9" t="n"/>
      <c r="T1450" s="4" t="n"/>
    </row>
    <row r="1451">
      <c r="A1451" s="5">
        <f>ROW()-2</f>
        <v/>
      </c>
      <c r="B1451" s="4" t="inlineStr">
        <is>
          <t>Capital regional</t>
        </is>
      </c>
      <c r="C1451" s="5" t="n">
        <v>507</v>
      </c>
      <c r="D1451" s="5">
        <f>IFERROR(INDEX('Base de sorteio'!$A$3:$A$1723,MATCH($B1451&amp;"|"&amp;$C1451,'Base de sorteio'!$I$3:$I$1723,0)),"")</f>
        <v/>
      </c>
      <c r="E1451" s="4">
        <f>IFERROR(INDEX('Base de sorteio'!$B$3:$B$1723,MATCH($B1451&amp;"|"&amp;$C1451,'Base de sorteio'!$I$3:$I$1723,0)),"")</f>
        <v/>
      </c>
      <c r="F1451" s="4">
        <f>IFERROR(INDEX('Base de sorteio'!$C$3:$C$1723,MATCH($B1451&amp;"|"&amp;$C1451,'Base de sorteio'!$I$3:$I$1723,0)),"")</f>
        <v/>
      </c>
      <c r="G1451" s="4">
        <f>IFERROR(INDEX('Base de sorteio'!$D$3:$D$1723,MATCH($B1451&amp;"|"&amp;$C1451,'Base de sorteio'!$I$3:$I$1723,0)),"")</f>
        <v/>
      </c>
      <c r="H1451" s="4">
        <f>IFERROR(INDEX('Base de sorteio'!$E$3:$E$1723,MATCH($B1451&amp;"|"&amp;$C1451,'Base de sorteio'!$I$3:$I$1723,0)),"")</f>
        <v/>
      </c>
      <c r="I1451" s="4">
        <f>IF(E1451="","",HYPERLINK(IFERROR(INDEX('Base de sorteio'!$J$3:$J$1723,MATCH($B1451&amp;"|"&amp;$C1451,'Base de sorteio'!$I$3:$I$1723,0)),""),"abrir"))</f>
        <v/>
      </c>
      <c r="J1451" s="4" t="n"/>
      <c r="K1451" s="4" t="n"/>
      <c r="L1451" s="4" t="n"/>
      <c r="M1451" s="4" t="n"/>
      <c r="N1451" s="4">
        <f>IF(AND(K1451="",M1451=""),"",IF(OR(K1451="sim",M1451="sim"),"sim",IF(OR(K1451="inconclusivo",M1451="inconclusivo"),"inconclusivo","não")))</f>
        <v/>
      </c>
      <c r="O1451" s="5">
        <f>IF(N1451="sim",COUNTIFS($B$3:$B1451,$B1451,$N$3:$N1451,"sim"),"")</f>
        <v/>
      </c>
      <c r="P1451" s="5" t="n"/>
      <c r="Q1451" s="4" t="n"/>
      <c r="R1451" s="5" t="n"/>
      <c r="S1451" s="9" t="n"/>
      <c r="T1451" s="4" t="n"/>
    </row>
    <row r="1452">
      <c r="A1452" s="5">
        <f>ROW()-2</f>
        <v/>
      </c>
      <c r="B1452" s="4" t="inlineStr">
        <is>
          <t>Capital regional</t>
        </is>
      </c>
      <c r="C1452" s="5" t="n">
        <v>508</v>
      </c>
      <c r="D1452" s="5">
        <f>IFERROR(INDEX('Base de sorteio'!$A$3:$A$1723,MATCH($B1452&amp;"|"&amp;$C1452,'Base de sorteio'!$I$3:$I$1723,0)),"")</f>
        <v/>
      </c>
      <c r="E1452" s="4">
        <f>IFERROR(INDEX('Base de sorteio'!$B$3:$B$1723,MATCH($B1452&amp;"|"&amp;$C1452,'Base de sorteio'!$I$3:$I$1723,0)),"")</f>
        <v/>
      </c>
      <c r="F1452" s="4">
        <f>IFERROR(INDEX('Base de sorteio'!$C$3:$C$1723,MATCH($B1452&amp;"|"&amp;$C1452,'Base de sorteio'!$I$3:$I$1723,0)),"")</f>
        <v/>
      </c>
      <c r="G1452" s="4">
        <f>IFERROR(INDEX('Base de sorteio'!$D$3:$D$1723,MATCH($B1452&amp;"|"&amp;$C1452,'Base de sorteio'!$I$3:$I$1723,0)),"")</f>
        <v/>
      </c>
      <c r="H1452" s="4">
        <f>IFERROR(INDEX('Base de sorteio'!$E$3:$E$1723,MATCH($B1452&amp;"|"&amp;$C1452,'Base de sorteio'!$I$3:$I$1723,0)),"")</f>
        <v/>
      </c>
      <c r="I1452" s="4">
        <f>IF(E1452="","",HYPERLINK(IFERROR(INDEX('Base de sorteio'!$J$3:$J$1723,MATCH($B1452&amp;"|"&amp;$C1452,'Base de sorteio'!$I$3:$I$1723,0)),""),"abrir"))</f>
        <v/>
      </c>
      <c r="J1452" s="4" t="n"/>
      <c r="K1452" s="4" t="n"/>
      <c r="L1452" s="4" t="n"/>
      <c r="M1452" s="4" t="n"/>
      <c r="N1452" s="4">
        <f>IF(AND(K1452="",M1452=""),"",IF(OR(K1452="sim",M1452="sim"),"sim",IF(OR(K1452="inconclusivo",M1452="inconclusivo"),"inconclusivo","não")))</f>
        <v/>
      </c>
      <c r="O1452" s="5">
        <f>IF(N1452="sim",COUNTIFS($B$3:$B1452,$B1452,$N$3:$N1452,"sim"),"")</f>
        <v/>
      </c>
      <c r="P1452" s="5" t="n"/>
      <c r="Q1452" s="4" t="n"/>
      <c r="R1452" s="5" t="n"/>
      <c r="S1452" s="9" t="n"/>
      <c r="T1452" s="4" t="n"/>
    </row>
    <row r="1453">
      <c r="A1453" s="5">
        <f>ROW()-2</f>
        <v/>
      </c>
      <c r="B1453" s="4" t="inlineStr">
        <is>
          <t>Capital regional</t>
        </is>
      </c>
      <c r="C1453" s="5" t="n">
        <v>509</v>
      </c>
      <c r="D1453" s="5">
        <f>IFERROR(INDEX('Base de sorteio'!$A$3:$A$1723,MATCH($B1453&amp;"|"&amp;$C1453,'Base de sorteio'!$I$3:$I$1723,0)),"")</f>
        <v/>
      </c>
      <c r="E1453" s="4">
        <f>IFERROR(INDEX('Base de sorteio'!$B$3:$B$1723,MATCH($B1453&amp;"|"&amp;$C1453,'Base de sorteio'!$I$3:$I$1723,0)),"")</f>
        <v/>
      </c>
      <c r="F1453" s="4">
        <f>IFERROR(INDEX('Base de sorteio'!$C$3:$C$1723,MATCH($B1453&amp;"|"&amp;$C1453,'Base de sorteio'!$I$3:$I$1723,0)),"")</f>
        <v/>
      </c>
      <c r="G1453" s="4">
        <f>IFERROR(INDEX('Base de sorteio'!$D$3:$D$1723,MATCH($B1453&amp;"|"&amp;$C1453,'Base de sorteio'!$I$3:$I$1723,0)),"")</f>
        <v/>
      </c>
      <c r="H1453" s="4">
        <f>IFERROR(INDEX('Base de sorteio'!$E$3:$E$1723,MATCH($B1453&amp;"|"&amp;$C1453,'Base de sorteio'!$I$3:$I$1723,0)),"")</f>
        <v/>
      </c>
      <c r="I1453" s="4">
        <f>IF(E1453="","",HYPERLINK(IFERROR(INDEX('Base de sorteio'!$J$3:$J$1723,MATCH($B1453&amp;"|"&amp;$C1453,'Base de sorteio'!$I$3:$I$1723,0)),""),"abrir"))</f>
        <v/>
      </c>
      <c r="J1453" s="4" t="n"/>
      <c r="K1453" s="4" t="n"/>
      <c r="L1453" s="4" t="n"/>
      <c r="M1453" s="4" t="n"/>
      <c r="N1453" s="4">
        <f>IF(AND(K1453="",M1453=""),"",IF(OR(K1453="sim",M1453="sim"),"sim",IF(OR(K1453="inconclusivo",M1453="inconclusivo"),"inconclusivo","não")))</f>
        <v/>
      </c>
      <c r="O1453" s="5">
        <f>IF(N1453="sim",COUNTIFS($B$3:$B1453,$B1453,$N$3:$N1453,"sim"),"")</f>
        <v/>
      </c>
      <c r="P1453" s="5" t="n"/>
      <c r="Q1453" s="4" t="n"/>
      <c r="R1453" s="5" t="n"/>
      <c r="S1453" s="9" t="n"/>
      <c r="T1453" s="4" t="n"/>
    </row>
    <row r="1454">
      <c r="A1454" s="5">
        <f>ROW()-2</f>
        <v/>
      </c>
      <c r="B1454" s="4" t="inlineStr">
        <is>
          <t>Capital regional</t>
        </is>
      </c>
      <c r="C1454" s="5" t="n">
        <v>510</v>
      </c>
      <c r="D1454" s="5">
        <f>IFERROR(INDEX('Base de sorteio'!$A$3:$A$1723,MATCH($B1454&amp;"|"&amp;$C1454,'Base de sorteio'!$I$3:$I$1723,0)),"")</f>
        <v/>
      </c>
      <c r="E1454" s="4">
        <f>IFERROR(INDEX('Base de sorteio'!$B$3:$B$1723,MATCH($B1454&amp;"|"&amp;$C1454,'Base de sorteio'!$I$3:$I$1723,0)),"")</f>
        <v/>
      </c>
      <c r="F1454" s="4">
        <f>IFERROR(INDEX('Base de sorteio'!$C$3:$C$1723,MATCH($B1454&amp;"|"&amp;$C1454,'Base de sorteio'!$I$3:$I$1723,0)),"")</f>
        <v/>
      </c>
      <c r="G1454" s="4">
        <f>IFERROR(INDEX('Base de sorteio'!$D$3:$D$1723,MATCH($B1454&amp;"|"&amp;$C1454,'Base de sorteio'!$I$3:$I$1723,0)),"")</f>
        <v/>
      </c>
      <c r="H1454" s="4">
        <f>IFERROR(INDEX('Base de sorteio'!$E$3:$E$1723,MATCH($B1454&amp;"|"&amp;$C1454,'Base de sorteio'!$I$3:$I$1723,0)),"")</f>
        <v/>
      </c>
      <c r="I1454" s="4">
        <f>IF(E1454="","",HYPERLINK(IFERROR(INDEX('Base de sorteio'!$J$3:$J$1723,MATCH($B1454&amp;"|"&amp;$C1454,'Base de sorteio'!$I$3:$I$1723,0)),""),"abrir"))</f>
        <v/>
      </c>
      <c r="J1454" s="4" t="n"/>
      <c r="K1454" s="4" t="n"/>
      <c r="L1454" s="4" t="n"/>
      <c r="M1454" s="4" t="n"/>
      <c r="N1454" s="4">
        <f>IF(AND(K1454="",M1454=""),"",IF(OR(K1454="sim",M1454="sim"),"sim",IF(OR(K1454="inconclusivo",M1454="inconclusivo"),"inconclusivo","não")))</f>
        <v/>
      </c>
      <c r="O1454" s="5">
        <f>IF(N1454="sim",COUNTIFS($B$3:$B1454,$B1454,$N$3:$N1454,"sim"),"")</f>
        <v/>
      </c>
      <c r="P1454" s="5" t="n"/>
      <c r="Q1454" s="4" t="n"/>
      <c r="R1454" s="5" t="n"/>
      <c r="S1454" s="9" t="n"/>
      <c r="T1454" s="4" t="n"/>
    </row>
    <row r="1455">
      <c r="A1455" s="5">
        <f>ROW()-2</f>
        <v/>
      </c>
      <c r="B1455" s="4" t="inlineStr">
        <is>
          <t>Capital regional</t>
        </is>
      </c>
      <c r="C1455" s="5" t="n">
        <v>511</v>
      </c>
      <c r="D1455" s="5">
        <f>IFERROR(INDEX('Base de sorteio'!$A$3:$A$1723,MATCH($B1455&amp;"|"&amp;$C1455,'Base de sorteio'!$I$3:$I$1723,0)),"")</f>
        <v/>
      </c>
      <c r="E1455" s="4">
        <f>IFERROR(INDEX('Base de sorteio'!$B$3:$B$1723,MATCH($B1455&amp;"|"&amp;$C1455,'Base de sorteio'!$I$3:$I$1723,0)),"")</f>
        <v/>
      </c>
      <c r="F1455" s="4">
        <f>IFERROR(INDEX('Base de sorteio'!$C$3:$C$1723,MATCH($B1455&amp;"|"&amp;$C1455,'Base de sorteio'!$I$3:$I$1723,0)),"")</f>
        <v/>
      </c>
      <c r="G1455" s="4">
        <f>IFERROR(INDEX('Base de sorteio'!$D$3:$D$1723,MATCH($B1455&amp;"|"&amp;$C1455,'Base de sorteio'!$I$3:$I$1723,0)),"")</f>
        <v/>
      </c>
      <c r="H1455" s="4">
        <f>IFERROR(INDEX('Base de sorteio'!$E$3:$E$1723,MATCH($B1455&amp;"|"&amp;$C1455,'Base de sorteio'!$I$3:$I$1723,0)),"")</f>
        <v/>
      </c>
      <c r="I1455" s="4">
        <f>IF(E1455="","",HYPERLINK(IFERROR(INDEX('Base de sorteio'!$J$3:$J$1723,MATCH($B1455&amp;"|"&amp;$C1455,'Base de sorteio'!$I$3:$I$1723,0)),""),"abrir"))</f>
        <v/>
      </c>
      <c r="J1455" s="4" t="n"/>
      <c r="K1455" s="4" t="n"/>
      <c r="L1455" s="4" t="n"/>
      <c r="M1455" s="4" t="n"/>
      <c r="N1455" s="4">
        <f>IF(AND(K1455="",M1455=""),"",IF(OR(K1455="sim",M1455="sim"),"sim",IF(OR(K1455="inconclusivo",M1455="inconclusivo"),"inconclusivo","não")))</f>
        <v/>
      </c>
      <c r="O1455" s="5">
        <f>IF(N1455="sim",COUNTIFS($B$3:$B1455,$B1455,$N$3:$N1455,"sim"),"")</f>
        <v/>
      </c>
      <c r="P1455" s="5" t="n"/>
      <c r="Q1455" s="4" t="n"/>
      <c r="R1455" s="5" t="n"/>
      <c r="S1455" s="9" t="n"/>
      <c r="T1455" s="4" t="n"/>
    </row>
    <row r="1456">
      <c r="A1456" s="5">
        <f>ROW()-2</f>
        <v/>
      </c>
      <c r="B1456" s="4" t="inlineStr">
        <is>
          <t>Capital regional</t>
        </is>
      </c>
      <c r="C1456" s="5" t="n">
        <v>512</v>
      </c>
      <c r="D1456" s="5">
        <f>IFERROR(INDEX('Base de sorteio'!$A$3:$A$1723,MATCH($B1456&amp;"|"&amp;$C1456,'Base de sorteio'!$I$3:$I$1723,0)),"")</f>
        <v/>
      </c>
      <c r="E1456" s="4">
        <f>IFERROR(INDEX('Base de sorteio'!$B$3:$B$1723,MATCH($B1456&amp;"|"&amp;$C1456,'Base de sorteio'!$I$3:$I$1723,0)),"")</f>
        <v/>
      </c>
      <c r="F1456" s="4">
        <f>IFERROR(INDEX('Base de sorteio'!$C$3:$C$1723,MATCH($B1456&amp;"|"&amp;$C1456,'Base de sorteio'!$I$3:$I$1723,0)),"")</f>
        <v/>
      </c>
      <c r="G1456" s="4">
        <f>IFERROR(INDEX('Base de sorteio'!$D$3:$D$1723,MATCH($B1456&amp;"|"&amp;$C1456,'Base de sorteio'!$I$3:$I$1723,0)),"")</f>
        <v/>
      </c>
      <c r="H1456" s="4">
        <f>IFERROR(INDEX('Base de sorteio'!$E$3:$E$1723,MATCH($B1456&amp;"|"&amp;$C1456,'Base de sorteio'!$I$3:$I$1723,0)),"")</f>
        <v/>
      </c>
      <c r="I1456" s="4">
        <f>IF(E1456="","",HYPERLINK(IFERROR(INDEX('Base de sorteio'!$J$3:$J$1723,MATCH($B1456&amp;"|"&amp;$C1456,'Base de sorteio'!$I$3:$I$1723,0)),""),"abrir"))</f>
        <v/>
      </c>
      <c r="J1456" s="4" t="n"/>
      <c r="K1456" s="4" t="n"/>
      <c r="L1456" s="4" t="n"/>
      <c r="M1456" s="4" t="n"/>
      <c r="N1456" s="4">
        <f>IF(AND(K1456="",M1456=""),"",IF(OR(K1456="sim",M1456="sim"),"sim",IF(OR(K1456="inconclusivo",M1456="inconclusivo"),"inconclusivo","não")))</f>
        <v/>
      </c>
      <c r="O1456" s="5">
        <f>IF(N1456="sim",COUNTIFS($B$3:$B1456,$B1456,$N$3:$N1456,"sim"),"")</f>
        <v/>
      </c>
      <c r="P1456" s="5" t="n"/>
      <c r="Q1456" s="4" t="n"/>
      <c r="R1456" s="5" t="n"/>
      <c r="S1456" s="9" t="n"/>
      <c r="T1456" s="4" t="n"/>
    </row>
    <row r="1457">
      <c r="A1457" s="5">
        <f>ROW()-2</f>
        <v/>
      </c>
      <c r="B1457" s="4" t="inlineStr">
        <is>
          <t>Capital regional</t>
        </is>
      </c>
      <c r="C1457" s="5" t="n">
        <v>513</v>
      </c>
      <c r="D1457" s="5">
        <f>IFERROR(INDEX('Base de sorteio'!$A$3:$A$1723,MATCH($B1457&amp;"|"&amp;$C1457,'Base de sorteio'!$I$3:$I$1723,0)),"")</f>
        <v/>
      </c>
      <c r="E1457" s="4">
        <f>IFERROR(INDEX('Base de sorteio'!$B$3:$B$1723,MATCH($B1457&amp;"|"&amp;$C1457,'Base de sorteio'!$I$3:$I$1723,0)),"")</f>
        <v/>
      </c>
      <c r="F1457" s="4">
        <f>IFERROR(INDEX('Base de sorteio'!$C$3:$C$1723,MATCH($B1457&amp;"|"&amp;$C1457,'Base de sorteio'!$I$3:$I$1723,0)),"")</f>
        <v/>
      </c>
      <c r="G1457" s="4">
        <f>IFERROR(INDEX('Base de sorteio'!$D$3:$D$1723,MATCH($B1457&amp;"|"&amp;$C1457,'Base de sorteio'!$I$3:$I$1723,0)),"")</f>
        <v/>
      </c>
      <c r="H1457" s="4">
        <f>IFERROR(INDEX('Base de sorteio'!$E$3:$E$1723,MATCH($B1457&amp;"|"&amp;$C1457,'Base de sorteio'!$I$3:$I$1723,0)),"")</f>
        <v/>
      </c>
      <c r="I1457" s="4">
        <f>IF(E1457="","",HYPERLINK(IFERROR(INDEX('Base de sorteio'!$J$3:$J$1723,MATCH($B1457&amp;"|"&amp;$C1457,'Base de sorteio'!$I$3:$I$1723,0)),""),"abrir"))</f>
        <v/>
      </c>
      <c r="J1457" s="4" t="n"/>
      <c r="K1457" s="4" t="n"/>
      <c r="L1457" s="4" t="n"/>
      <c r="M1457" s="4" t="n"/>
      <c r="N1457" s="4">
        <f>IF(AND(K1457="",M1457=""),"",IF(OR(K1457="sim",M1457="sim"),"sim",IF(OR(K1457="inconclusivo",M1457="inconclusivo"),"inconclusivo","não")))</f>
        <v/>
      </c>
      <c r="O1457" s="5">
        <f>IF(N1457="sim",COUNTIFS($B$3:$B1457,$B1457,$N$3:$N1457,"sim"),"")</f>
        <v/>
      </c>
      <c r="P1457" s="5" t="n"/>
      <c r="Q1457" s="4" t="n"/>
      <c r="R1457" s="5" t="n"/>
      <c r="S1457" s="9" t="n"/>
      <c r="T1457" s="4" t="n"/>
    </row>
    <row r="1458">
      <c r="A1458" s="5">
        <f>ROW()-2</f>
        <v/>
      </c>
      <c r="B1458" s="4" t="inlineStr">
        <is>
          <t>Capital regional</t>
        </is>
      </c>
      <c r="C1458" s="5" t="n">
        <v>514</v>
      </c>
      <c r="D1458" s="5">
        <f>IFERROR(INDEX('Base de sorteio'!$A$3:$A$1723,MATCH($B1458&amp;"|"&amp;$C1458,'Base de sorteio'!$I$3:$I$1723,0)),"")</f>
        <v/>
      </c>
      <c r="E1458" s="4">
        <f>IFERROR(INDEX('Base de sorteio'!$B$3:$B$1723,MATCH($B1458&amp;"|"&amp;$C1458,'Base de sorteio'!$I$3:$I$1723,0)),"")</f>
        <v/>
      </c>
      <c r="F1458" s="4">
        <f>IFERROR(INDEX('Base de sorteio'!$C$3:$C$1723,MATCH($B1458&amp;"|"&amp;$C1458,'Base de sorteio'!$I$3:$I$1723,0)),"")</f>
        <v/>
      </c>
      <c r="G1458" s="4">
        <f>IFERROR(INDEX('Base de sorteio'!$D$3:$D$1723,MATCH($B1458&amp;"|"&amp;$C1458,'Base de sorteio'!$I$3:$I$1723,0)),"")</f>
        <v/>
      </c>
      <c r="H1458" s="4">
        <f>IFERROR(INDEX('Base de sorteio'!$E$3:$E$1723,MATCH($B1458&amp;"|"&amp;$C1458,'Base de sorteio'!$I$3:$I$1723,0)),"")</f>
        <v/>
      </c>
      <c r="I1458" s="4">
        <f>IF(E1458="","",HYPERLINK(IFERROR(INDEX('Base de sorteio'!$J$3:$J$1723,MATCH($B1458&amp;"|"&amp;$C1458,'Base de sorteio'!$I$3:$I$1723,0)),""),"abrir"))</f>
        <v/>
      </c>
      <c r="J1458" s="4" t="n"/>
      <c r="K1458" s="4" t="n"/>
      <c r="L1458" s="4" t="n"/>
      <c r="M1458" s="4" t="n"/>
      <c r="N1458" s="4">
        <f>IF(AND(K1458="",M1458=""),"",IF(OR(K1458="sim",M1458="sim"),"sim",IF(OR(K1458="inconclusivo",M1458="inconclusivo"),"inconclusivo","não")))</f>
        <v/>
      </c>
      <c r="O1458" s="5">
        <f>IF(N1458="sim",COUNTIFS($B$3:$B1458,$B1458,$N$3:$N1458,"sim"),"")</f>
        <v/>
      </c>
      <c r="P1458" s="5" t="n"/>
      <c r="Q1458" s="4" t="n"/>
      <c r="R1458" s="5" t="n"/>
      <c r="S1458" s="9" t="n"/>
      <c r="T1458" s="4" t="n"/>
    </row>
    <row r="1459">
      <c r="A1459" s="5">
        <f>ROW()-2</f>
        <v/>
      </c>
      <c r="B1459" s="4" t="inlineStr">
        <is>
          <t>Capital regional</t>
        </is>
      </c>
      <c r="C1459" s="5" t="n">
        <v>515</v>
      </c>
      <c r="D1459" s="5">
        <f>IFERROR(INDEX('Base de sorteio'!$A$3:$A$1723,MATCH($B1459&amp;"|"&amp;$C1459,'Base de sorteio'!$I$3:$I$1723,0)),"")</f>
        <v/>
      </c>
      <c r="E1459" s="4">
        <f>IFERROR(INDEX('Base de sorteio'!$B$3:$B$1723,MATCH($B1459&amp;"|"&amp;$C1459,'Base de sorteio'!$I$3:$I$1723,0)),"")</f>
        <v/>
      </c>
      <c r="F1459" s="4">
        <f>IFERROR(INDEX('Base de sorteio'!$C$3:$C$1723,MATCH($B1459&amp;"|"&amp;$C1459,'Base de sorteio'!$I$3:$I$1723,0)),"")</f>
        <v/>
      </c>
      <c r="G1459" s="4">
        <f>IFERROR(INDEX('Base de sorteio'!$D$3:$D$1723,MATCH($B1459&amp;"|"&amp;$C1459,'Base de sorteio'!$I$3:$I$1723,0)),"")</f>
        <v/>
      </c>
      <c r="H1459" s="4">
        <f>IFERROR(INDEX('Base de sorteio'!$E$3:$E$1723,MATCH($B1459&amp;"|"&amp;$C1459,'Base de sorteio'!$I$3:$I$1723,0)),"")</f>
        <v/>
      </c>
      <c r="I1459" s="4">
        <f>IF(E1459="","",HYPERLINK(IFERROR(INDEX('Base de sorteio'!$J$3:$J$1723,MATCH($B1459&amp;"|"&amp;$C1459,'Base de sorteio'!$I$3:$I$1723,0)),""),"abrir"))</f>
        <v/>
      </c>
      <c r="J1459" s="4" t="n"/>
      <c r="K1459" s="4" t="n"/>
      <c r="L1459" s="4" t="n"/>
      <c r="M1459" s="4" t="n"/>
      <c r="N1459" s="4">
        <f>IF(AND(K1459="",M1459=""),"",IF(OR(K1459="sim",M1459="sim"),"sim",IF(OR(K1459="inconclusivo",M1459="inconclusivo"),"inconclusivo","não")))</f>
        <v/>
      </c>
      <c r="O1459" s="5">
        <f>IF(N1459="sim",COUNTIFS($B$3:$B1459,$B1459,$N$3:$N1459,"sim"),"")</f>
        <v/>
      </c>
      <c r="P1459" s="5" t="n"/>
      <c r="Q1459" s="4" t="n"/>
      <c r="R1459" s="5" t="n"/>
      <c r="S1459" s="9" t="n"/>
      <c r="T1459" s="4" t="n"/>
    </row>
    <row r="1460">
      <c r="A1460" s="5">
        <f>ROW()-2</f>
        <v/>
      </c>
      <c r="B1460" s="4" t="inlineStr">
        <is>
          <t>Capital regional</t>
        </is>
      </c>
      <c r="C1460" s="5" t="n">
        <v>516</v>
      </c>
      <c r="D1460" s="5">
        <f>IFERROR(INDEX('Base de sorteio'!$A$3:$A$1723,MATCH($B1460&amp;"|"&amp;$C1460,'Base de sorteio'!$I$3:$I$1723,0)),"")</f>
        <v/>
      </c>
      <c r="E1460" s="4">
        <f>IFERROR(INDEX('Base de sorteio'!$B$3:$B$1723,MATCH($B1460&amp;"|"&amp;$C1460,'Base de sorteio'!$I$3:$I$1723,0)),"")</f>
        <v/>
      </c>
      <c r="F1460" s="4">
        <f>IFERROR(INDEX('Base de sorteio'!$C$3:$C$1723,MATCH($B1460&amp;"|"&amp;$C1460,'Base de sorteio'!$I$3:$I$1723,0)),"")</f>
        <v/>
      </c>
      <c r="G1460" s="4">
        <f>IFERROR(INDEX('Base de sorteio'!$D$3:$D$1723,MATCH($B1460&amp;"|"&amp;$C1460,'Base de sorteio'!$I$3:$I$1723,0)),"")</f>
        <v/>
      </c>
      <c r="H1460" s="4">
        <f>IFERROR(INDEX('Base de sorteio'!$E$3:$E$1723,MATCH($B1460&amp;"|"&amp;$C1460,'Base de sorteio'!$I$3:$I$1723,0)),"")</f>
        <v/>
      </c>
      <c r="I1460" s="4">
        <f>IF(E1460="","",HYPERLINK(IFERROR(INDEX('Base de sorteio'!$J$3:$J$1723,MATCH($B1460&amp;"|"&amp;$C1460,'Base de sorteio'!$I$3:$I$1723,0)),""),"abrir"))</f>
        <v/>
      </c>
      <c r="J1460" s="4" t="n"/>
      <c r="K1460" s="4" t="n"/>
      <c r="L1460" s="4" t="n"/>
      <c r="M1460" s="4" t="n"/>
      <c r="N1460" s="4">
        <f>IF(AND(K1460="",M1460=""),"",IF(OR(K1460="sim",M1460="sim"),"sim",IF(OR(K1460="inconclusivo",M1460="inconclusivo"),"inconclusivo","não")))</f>
        <v/>
      </c>
      <c r="O1460" s="5">
        <f>IF(N1460="sim",COUNTIFS($B$3:$B1460,$B1460,$N$3:$N1460,"sim"),"")</f>
        <v/>
      </c>
      <c r="P1460" s="5" t="n"/>
      <c r="Q1460" s="4" t="n"/>
      <c r="R1460" s="5" t="n"/>
      <c r="S1460" s="9" t="n"/>
      <c r="T1460" s="4" t="n"/>
    </row>
    <row r="1461">
      <c r="A1461" s="5">
        <f>ROW()-2</f>
        <v/>
      </c>
      <c r="B1461" s="4" t="inlineStr">
        <is>
          <t>Capital regional</t>
        </is>
      </c>
      <c r="C1461" s="5" t="n">
        <v>517</v>
      </c>
      <c r="D1461" s="5">
        <f>IFERROR(INDEX('Base de sorteio'!$A$3:$A$1723,MATCH($B1461&amp;"|"&amp;$C1461,'Base de sorteio'!$I$3:$I$1723,0)),"")</f>
        <v/>
      </c>
      <c r="E1461" s="4">
        <f>IFERROR(INDEX('Base de sorteio'!$B$3:$B$1723,MATCH($B1461&amp;"|"&amp;$C1461,'Base de sorteio'!$I$3:$I$1723,0)),"")</f>
        <v/>
      </c>
      <c r="F1461" s="4">
        <f>IFERROR(INDEX('Base de sorteio'!$C$3:$C$1723,MATCH($B1461&amp;"|"&amp;$C1461,'Base de sorteio'!$I$3:$I$1723,0)),"")</f>
        <v/>
      </c>
      <c r="G1461" s="4">
        <f>IFERROR(INDEX('Base de sorteio'!$D$3:$D$1723,MATCH($B1461&amp;"|"&amp;$C1461,'Base de sorteio'!$I$3:$I$1723,0)),"")</f>
        <v/>
      </c>
      <c r="H1461" s="4">
        <f>IFERROR(INDEX('Base de sorteio'!$E$3:$E$1723,MATCH($B1461&amp;"|"&amp;$C1461,'Base de sorteio'!$I$3:$I$1723,0)),"")</f>
        <v/>
      </c>
      <c r="I1461" s="4">
        <f>IF(E1461="","",HYPERLINK(IFERROR(INDEX('Base de sorteio'!$J$3:$J$1723,MATCH($B1461&amp;"|"&amp;$C1461,'Base de sorteio'!$I$3:$I$1723,0)),""),"abrir"))</f>
        <v/>
      </c>
      <c r="J1461" s="4" t="n"/>
      <c r="K1461" s="4" t="n"/>
      <c r="L1461" s="4" t="n"/>
      <c r="M1461" s="4" t="n"/>
      <c r="N1461" s="4">
        <f>IF(AND(K1461="",M1461=""),"",IF(OR(K1461="sim",M1461="sim"),"sim",IF(OR(K1461="inconclusivo",M1461="inconclusivo"),"inconclusivo","não")))</f>
        <v/>
      </c>
      <c r="O1461" s="5">
        <f>IF(N1461="sim",COUNTIFS($B$3:$B1461,$B1461,$N$3:$N1461,"sim"),"")</f>
        <v/>
      </c>
      <c r="P1461" s="5" t="n"/>
      <c r="Q1461" s="4" t="n"/>
      <c r="R1461" s="5" t="n"/>
      <c r="S1461" s="9" t="n"/>
      <c r="T1461" s="4" t="n"/>
    </row>
    <row r="1462">
      <c r="A1462" s="5">
        <f>ROW()-2</f>
        <v/>
      </c>
      <c r="B1462" s="4" t="inlineStr">
        <is>
          <t>Capital regional</t>
        </is>
      </c>
      <c r="C1462" s="5" t="n">
        <v>518</v>
      </c>
      <c r="D1462" s="5">
        <f>IFERROR(INDEX('Base de sorteio'!$A$3:$A$1723,MATCH($B1462&amp;"|"&amp;$C1462,'Base de sorteio'!$I$3:$I$1723,0)),"")</f>
        <v/>
      </c>
      <c r="E1462" s="4">
        <f>IFERROR(INDEX('Base de sorteio'!$B$3:$B$1723,MATCH($B1462&amp;"|"&amp;$C1462,'Base de sorteio'!$I$3:$I$1723,0)),"")</f>
        <v/>
      </c>
      <c r="F1462" s="4">
        <f>IFERROR(INDEX('Base de sorteio'!$C$3:$C$1723,MATCH($B1462&amp;"|"&amp;$C1462,'Base de sorteio'!$I$3:$I$1723,0)),"")</f>
        <v/>
      </c>
      <c r="G1462" s="4">
        <f>IFERROR(INDEX('Base de sorteio'!$D$3:$D$1723,MATCH($B1462&amp;"|"&amp;$C1462,'Base de sorteio'!$I$3:$I$1723,0)),"")</f>
        <v/>
      </c>
      <c r="H1462" s="4">
        <f>IFERROR(INDEX('Base de sorteio'!$E$3:$E$1723,MATCH($B1462&amp;"|"&amp;$C1462,'Base de sorteio'!$I$3:$I$1723,0)),"")</f>
        <v/>
      </c>
      <c r="I1462" s="4">
        <f>IF(E1462="","",HYPERLINK(IFERROR(INDEX('Base de sorteio'!$J$3:$J$1723,MATCH($B1462&amp;"|"&amp;$C1462,'Base de sorteio'!$I$3:$I$1723,0)),""),"abrir"))</f>
        <v/>
      </c>
      <c r="J1462" s="4" t="n"/>
      <c r="K1462" s="4" t="n"/>
      <c r="L1462" s="4" t="n"/>
      <c r="M1462" s="4" t="n"/>
      <c r="N1462" s="4">
        <f>IF(AND(K1462="",M1462=""),"",IF(OR(K1462="sim",M1462="sim"),"sim",IF(OR(K1462="inconclusivo",M1462="inconclusivo"),"inconclusivo","não")))</f>
        <v/>
      </c>
      <c r="O1462" s="5">
        <f>IF(N1462="sim",COUNTIFS($B$3:$B1462,$B1462,$N$3:$N1462,"sim"),"")</f>
        <v/>
      </c>
      <c r="P1462" s="5" t="n"/>
      <c r="Q1462" s="4" t="n"/>
      <c r="R1462" s="5" t="n"/>
      <c r="S1462" s="9" t="n"/>
      <c r="T1462" s="4" t="n"/>
    </row>
    <row r="1463">
      <c r="A1463" s="5">
        <f>ROW()-2</f>
        <v/>
      </c>
      <c r="B1463" s="4" t="inlineStr">
        <is>
          <t>Capital regional</t>
        </is>
      </c>
      <c r="C1463" s="5" t="n">
        <v>519</v>
      </c>
      <c r="D1463" s="5">
        <f>IFERROR(INDEX('Base de sorteio'!$A$3:$A$1723,MATCH($B1463&amp;"|"&amp;$C1463,'Base de sorteio'!$I$3:$I$1723,0)),"")</f>
        <v/>
      </c>
      <c r="E1463" s="4">
        <f>IFERROR(INDEX('Base de sorteio'!$B$3:$B$1723,MATCH($B1463&amp;"|"&amp;$C1463,'Base de sorteio'!$I$3:$I$1723,0)),"")</f>
        <v/>
      </c>
      <c r="F1463" s="4">
        <f>IFERROR(INDEX('Base de sorteio'!$C$3:$C$1723,MATCH($B1463&amp;"|"&amp;$C1463,'Base de sorteio'!$I$3:$I$1723,0)),"")</f>
        <v/>
      </c>
      <c r="G1463" s="4">
        <f>IFERROR(INDEX('Base de sorteio'!$D$3:$D$1723,MATCH($B1463&amp;"|"&amp;$C1463,'Base de sorteio'!$I$3:$I$1723,0)),"")</f>
        <v/>
      </c>
      <c r="H1463" s="4">
        <f>IFERROR(INDEX('Base de sorteio'!$E$3:$E$1723,MATCH($B1463&amp;"|"&amp;$C1463,'Base de sorteio'!$I$3:$I$1723,0)),"")</f>
        <v/>
      </c>
      <c r="I1463" s="4">
        <f>IF(E1463="","",HYPERLINK(IFERROR(INDEX('Base de sorteio'!$J$3:$J$1723,MATCH($B1463&amp;"|"&amp;$C1463,'Base de sorteio'!$I$3:$I$1723,0)),""),"abrir"))</f>
        <v/>
      </c>
      <c r="J1463" s="4" t="n"/>
      <c r="K1463" s="4" t="n"/>
      <c r="L1463" s="4" t="n"/>
      <c r="M1463" s="4" t="n"/>
      <c r="N1463" s="4">
        <f>IF(AND(K1463="",M1463=""),"",IF(OR(K1463="sim",M1463="sim"),"sim",IF(OR(K1463="inconclusivo",M1463="inconclusivo"),"inconclusivo","não")))</f>
        <v/>
      </c>
      <c r="O1463" s="5">
        <f>IF(N1463="sim",COUNTIFS($B$3:$B1463,$B1463,$N$3:$N1463,"sim"),"")</f>
        <v/>
      </c>
      <c r="P1463" s="5" t="n"/>
      <c r="Q1463" s="4" t="n"/>
      <c r="R1463" s="5" t="n"/>
      <c r="S1463" s="9" t="n"/>
      <c r="T1463" s="4" t="n"/>
    </row>
    <row r="1464">
      <c r="A1464" s="5">
        <f>ROW()-2</f>
        <v/>
      </c>
      <c r="B1464" s="4" t="inlineStr">
        <is>
          <t>Capital regional</t>
        </is>
      </c>
      <c r="C1464" s="5" t="n">
        <v>520</v>
      </c>
      <c r="D1464" s="5">
        <f>IFERROR(INDEX('Base de sorteio'!$A$3:$A$1723,MATCH($B1464&amp;"|"&amp;$C1464,'Base de sorteio'!$I$3:$I$1723,0)),"")</f>
        <v/>
      </c>
      <c r="E1464" s="4">
        <f>IFERROR(INDEX('Base de sorteio'!$B$3:$B$1723,MATCH($B1464&amp;"|"&amp;$C1464,'Base de sorteio'!$I$3:$I$1723,0)),"")</f>
        <v/>
      </c>
      <c r="F1464" s="4">
        <f>IFERROR(INDEX('Base de sorteio'!$C$3:$C$1723,MATCH($B1464&amp;"|"&amp;$C1464,'Base de sorteio'!$I$3:$I$1723,0)),"")</f>
        <v/>
      </c>
      <c r="G1464" s="4">
        <f>IFERROR(INDEX('Base de sorteio'!$D$3:$D$1723,MATCH($B1464&amp;"|"&amp;$C1464,'Base de sorteio'!$I$3:$I$1723,0)),"")</f>
        <v/>
      </c>
      <c r="H1464" s="4">
        <f>IFERROR(INDEX('Base de sorteio'!$E$3:$E$1723,MATCH($B1464&amp;"|"&amp;$C1464,'Base de sorteio'!$I$3:$I$1723,0)),"")</f>
        <v/>
      </c>
      <c r="I1464" s="4">
        <f>IF(E1464="","",HYPERLINK(IFERROR(INDEX('Base de sorteio'!$J$3:$J$1723,MATCH($B1464&amp;"|"&amp;$C1464,'Base de sorteio'!$I$3:$I$1723,0)),""),"abrir"))</f>
        <v/>
      </c>
      <c r="J1464" s="4" t="n"/>
      <c r="K1464" s="4" t="n"/>
      <c r="L1464" s="4" t="n"/>
      <c r="M1464" s="4" t="n"/>
      <c r="N1464" s="4">
        <f>IF(AND(K1464="",M1464=""),"",IF(OR(K1464="sim",M1464="sim"),"sim",IF(OR(K1464="inconclusivo",M1464="inconclusivo"),"inconclusivo","não")))</f>
        <v/>
      </c>
      <c r="O1464" s="5">
        <f>IF(N1464="sim",COUNTIFS($B$3:$B1464,$B1464,$N$3:$N1464,"sim"),"")</f>
        <v/>
      </c>
      <c r="P1464" s="5" t="n"/>
      <c r="Q1464" s="4" t="n"/>
      <c r="R1464" s="5" t="n"/>
      <c r="S1464" s="9" t="n"/>
      <c r="T1464" s="4" t="n"/>
    </row>
    <row r="1465">
      <c r="A1465" s="5">
        <f>ROW()-2</f>
        <v/>
      </c>
      <c r="B1465" s="4" t="inlineStr">
        <is>
          <t>Capital regional</t>
        </is>
      </c>
      <c r="C1465" s="5" t="n">
        <v>521</v>
      </c>
      <c r="D1465" s="5">
        <f>IFERROR(INDEX('Base de sorteio'!$A$3:$A$1723,MATCH($B1465&amp;"|"&amp;$C1465,'Base de sorteio'!$I$3:$I$1723,0)),"")</f>
        <v/>
      </c>
      <c r="E1465" s="4">
        <f>IFERROR(INDEX('Base de sorteio'!$B$3:$B$1723,MATCH($B1465&amp;"|"&amp;$C1465,'Base de sorteio'!$I$3:$I$1723,0)),"")</f>
        <v/>
      </c>
      <c r="F1465" s="4">
        <f>IFERROR(INDEX('Base de sorteio'!$C$3:$C$1723,MATCH($B1465&amp;"|"&amp;$C1465,'Base de sorteio'!$I$3:$I$1723,0)),"")</f>
        <v/>
      </c>
      <c r="G1465" s="4">
        <f>IFERROR(INDEX('Base de sorteio'!$D$3:$D$1723,MATCH($B1465&amp;"|"&amp;$C1465,'Base de sorteio'!$I$3:$I$1723,0)),"")</f>
        <v/>
      </c>
      <c r="H1465" s="4">
        <f>IFERROR(INDEX('Base de sorteio'!$E$3:$E$1723,MATCH($B1465&amp;"|"&amp;$C1465,'Base de sorteio'!$I$3:$I$1723,0)),"")</f>
        <v/>
      </c>
      <c r="I1465" s="4">
        <f>IF(E1465="","",HYPERLINK(IFERROR(INDEX('Base de sorteio'!$J$3:$J$1723,MATCH($B1465&amp;"|"&amp;$C1465,'Base de sorteio'!$I$3:$I$1723,0)),""),"abrir"))</f>
        <v/>
      </c>
      <c r="J1465" s="4" t="n"/>
      <c r="K1465" s="4" t="n"/>
      <c r="L1465" s="4" t="n"/>
      <c r="M1465" s="4" t="n"/>
      <c r="N1465" s="4">
        <f>IF(AND(K1465="",M1465=""),"",IF(OR(K1465="sim",M1465="sim"),"sim",IF(OR(K1465="inconclusivo",M1465="inconclusivo"),"inconclusivo","não")))</f>
        <v/>
      </c>
      <c r="O1465" s="5">
        <f>IF(N1465="sim",COUNTIFS($B$3:$B1465,$B1465,$N$3:$N1465,"sim"),"")</f>
        <v/>
      </c>
      <c r="P1465" s="5" t="n"/>
      <c r="Q1465" s="4" t="n"/>
      <c r="R1465" s="5" t="n"/>
      <c r="S1465" s="9" t="n"/>
      <c r="T1465" s="4" t="n"/>
    </row>
    <row r="1466">
      <c r="A1466" s="5">
        <f>ROW()-2</f>
        <v/>
      </c>
      <c r="B1466" s="4" t="inlineStr">
        <is>
          <t>Capital regional</t>
        </is>
      </c>
      <c r="C1466" s="5" t="n">
        <v>522</v>
      </c>
      <c r="D1466" s="5">
        <f>IFERROR(INDEX('Base de sorteio'!$A$3:$A$1723,MATCH($B1466&amp;"|"&amp;$C1466,'Base de sorteio'!$I$3:$I$1723,0)),"")</f>
        <v/>
      </c>
      <c r="E1466" s="4">
        <f>IFERROR(INDEX('Base de sorteio'!$B$3:$B$1723,MATCH($B1466&amp;"|"&amp;$C1466,'Base de sorteio'!$I$3:$I$1723,0)),"")</f>
        <v/>
      </c>
      <c r="F1466" s="4">
        <f>IFERROR(INDEX('Base de sorteio'!$C$3:$C$1723,MATCH($B1466&amp;"|"&amp;$C1466,'Base de sorteio'!$I$3:$I$1723,0)),"")</f>
        <v/>
      </c>
      <c r="G1466" s="4">
        <f>IFERROR(INDEX('Base de sorteio'!$D$3:$D$1723,MATCH($B1466&amp;"|"&amp;$C1466,'Base de sorteio'!$I$3:$I$1723,0)),"")</f>
        <v/>
      </c>
      <c r="H1466" s="4">
        <f>IFERROR(INDEX('Base de sorteio'!$E$3:$E$1723,MATCH($B1466&amp;"|"&amp;$C1466,'Base de sorteio'!$I$3:$I$1723,0)),"")</f>
        <v/>
      </c>
      <c r="I1466" s="4">
        <f>IF(E1466="","",HYPERLINK(IFERROR(INDEX('Base de sorteio'!$J$3:$J$1723,MATCH($B1466&amp;"|"&amp;$C1466,'Base de sorteio'!$I$3:$I$1723,0)),""),"abrir"))</f>
        <v/>
      </c>
      <c r="J1466" s="4" t="n"/>
      <c r="K1466" s="4" t="n"/>
      <c r="L1466" s="4" t="n"/>
      <c r="M1466" s="4" t="n"/>
      <c r="N1466" s="4">
        <f>IF(AND(K1466="",M1466=""),"",IF(OR(K1466="sim",M1466="sim"),"sim",IF(OR(K1466="inconclusivo",M1466="inconclusivo"),"inconclusivo","não")))</f>
        <v/>
      </c>
      <c r="O1466" s="5">
        <f>IF(N1466="sim",COUNTIFS($B$3:$B1466,$B1466,$N$3:$N1466,"sim"),"")</f>
        <v/>
      </c>
      <c r="P1466" s="5" t="n"/>
      <c r="Q1466" s="4" t="n"/>
      <c r="R1466" s="5" t="n"/>
      <c r="S1466" s="9" t="n"/>
      <c r="T1466" s="4" t="n"/>
    </row>
    <row r="1467">
      <c r="A1467" s="5">
        <f>ROW()-2</f>
        <v/>
      </c>
      <c r="B1467" s="4" t="inlineStr">
        <is>
          <t>Capital regional</t>
        </is>
      </c>
      <c r="C1467" s="5" t="n">
        <v>523</v>
      </c>
      <c r="D1467" s="5">
        <f>IFERROR(INDEX('Base de sorteio'!$A$3:$A$1723,MATCH($B1467&amp;"|"&amp;$C1467,'Base de sorteio'!$I$3:$I$1723,0)),"")</f>
        <v/>
      </c>
      <c r="E1467" s="4">
        <f>IFERROR(INDEX('Base de sorteio'!$B$3:$B$1723,MATCH($B1467&amp;"|"&amp;$C1467,'Base de sorteio'!$I$3:$I$1723,0)),"")</f>
        <v/>
      </c>
      <c r="F1467" s="4">
        <f>IFERROR(INDEX('Base de sorteio'!$C$3:$C$1723,MATCH($B1467&amp;"|"&amp;$C1467,'Base de sorteio'!$I$3:$I$1723,0)),"")</f>
        <v/>
      </c>
      <c r="G1467" s="4">
        <f>IFERROR(INDEX('Base de sorteio'!$D$3:$D$1723,MATCH($B1467&amp;"|"&amp;$C1467,'Base de sorteio'!$I$3:$I$1723,0)),"")</f>
        <v/>
      </c>
      <c r="H1467" s="4">
        <f>IFERROR(INDEX('Base de sorteio'!$E$3:$E$1723,MATCH($B1467&amp;"|"&amp;$C1467,'Base de sorteio'!$I$3:$I$1723,0)),"")</f>
        <v/>
      </c>
      <c r="I1467" s="4">
        <f>IF(E1467="","",HYPERLINK(IFERROR(INDEX('Base de sorteio'!$J$3:$J$1723,MATCH($B1467&amp;"|"&amp;$C1467,'Base de sorteio'!$I$3:$I$1723,0)),""),"abrir"))</f>
        <v/>
      </c>
      <c r="J1467" s="4" t="n"/>
      <c r="K1467" s="4" t="n"/>
      <c r="L1467" s="4" t="n"/>
      <c r="M1467" s="4" t="n"/>
      <c r="N1467" s="4">
        <f>IF(AND(K1467="",M1467=""),"",IF(OR(K1467="sim",M1467="sim"),"sim",IF(OR(K1467="inconclusivo",M1467="inconclusivo"),"inconclusivo","não")))</f>
        <v/>
      </c>
      <c r="O1467" s="5">
        <f>IF(N1467="sim",COUNTIFS($B$3:$B1467,$B1467,$N$3:$N1467,"sim"),"")</f>
        <v/>
      </c>
      <c r="P1467" s="5" t="n"/>
      <c r="Q1467" s="4" t="n"/>
      <c r="R1467" s="5" t="n"/>
      <c r="S1467" s="9" t="n"/>
      <c r="T1467" s="4" t="n"/>
    </row>
    <row r="1468">
      <c r="A1468" s="5">
        <f>ROW()-2</f>
        <v/>
      </c>
      <c r="B1468" s="4" t="inlineStr">
        <is>
          <t>Capital regional</t>
        </is>
      </c>
      <c r="C1468" s="5" t="n">
        <v>524</v>
      </c>
      <c r="D1468" s="5">
        <f>IFERROR(INDEX('Base de sorteio'!$A$3:$A$1723,MATCH($B1468&amp;"|"&amp;$C1468,'Base de sorteio'!$I$3:$I$1723,0)),"")</f>
        <v/>
      </c>
      <c r="E1468" s="4">
        <f>IFERROR(INDEX('Base de sorteio'!$B$3:$B$1723,MATCH($B1468&amp;"|"&amp;$C1468,'Base de sorteio'!$I$3:$I$1723,0)),"")</f>
        <v/>
      </c>
      <c r="F1468" s="4">
        <f>IFERROR(INDEX('Base de sorteio'!$C$3:$C$1723,MATCH($B1468&amp;"|"&amp;$C1468,'Base de sorteio'!$I$3:$I$1723,0)),"")</f>
        <v/>
      </c>
      <c r="G1468" s="4">
        <f>IFERROR(INDEX('Base de sorteio'!$D$3:$D$1723,MATCH($B1468&amp;"|"&amp;$C1468,'Base de sorteio'!$I$3:$I$1723,0)),"")</f>
        <v/>
      </c>
      <c r="H1468" s="4">
        <f>IFERROR(INDEX('Base de sorteio'!$E$3:$E$1723,MATCH($B1468&amp;"|"&amp;$C1468,'Base de sorteio'!$I$3:$I$1723,0)),"")</f>
        <v/>
      </c>
      <c r="I1468" s="4">
        <f>IF(E1468="","",HYPERLINK(IFERROR(INDEX('Base de sorteio'!$J$3:$J$1723,MATCH($B1468&amp;"|"&amp;$C1468,'Base de sorteio'!$I$3:$I$1723,0)),""),"abrir"))</f>
        <v/>
      </c>
      <c r="J1468" s="4" t="n"/>
      <c r="K1468" s="4" t="n"/>
      <c r="L1468" s="4" t="n"/>
      <c r="M1468" s="4" t="n"/>
      <c r="N1468" s="4">
        <f>IF(AND(K1468="",M1468=""),"",IF(OR(K1468="sim",M1468="sim"),"sim",IF(OR(K1468="inconclusivo",M1468="inconclusivo"),"inconclusivo","não")))</f>
        <v/>
      </c>
      <c r="O1468" s="5">
        <f>IF(N1468="sim",COUNTIFS($B$3:$B1468,$B1468,$N$3:$N1468,"sim"),"")</f>
        <v/>
      </c>
      <c r="P1468" s="5" t="n"/>
      <c r="Q1468" s="4" t="n"/>
      <c r="R1468" s="5" t="n"/>
      <c r="S1468" s="9" t="n"/>
      <c r="T1468" s="4" t="n"/>
    </row>
    <row r="1469">
      <c r="A1469" s="5">
        <f>ROW()-2</f>
        <v/>
      </c>
      <c r="B1469" s="4" t="inlineStr">
        <is>
          <t>Capital regional</t>
        </is>
      </c>
      <c r="C1469" s="5" t="n">
        <v>525</v>
      </c>
      <c r="D1469" s="5">
        <f>IFERROR(INDEX('Base de sorteio'!$A$3:$A$1723,MATCH($B1469&amp;"|"&amp;$C1469,'Base de sorteio'!$I$3:$I$1723,0)),"")</f>
        <v/>
      </c>
      <c r="E1469" s="4">
        <f>IFERROR(INDEX('Base de sorteio'!$B$3:$B$1723,MATCH($B1469&amp;"|"&amp;$C1469,'Base de sorteio'!$I$3:$I$1723,0)),"")</f>
        <v/>
      </c>
      <c r="F1469" s="4">
        <f>IFERROR(INDEX('Base de sorteio'!$C$3:$C$1723,MATCH($B1469&amp;"|"&amp;$C1469,'Base de sorteio'!$I$3:$I$1723,0)),"")</f>
        <v/>
      </c>
      <c r="G1469" s="4">
        <f>IFERROR(INDEX('Base de sorteio'!$D$3:$D$1723,MATCH($B1469&amp;"|"&amp;$C1469,'Base de sorteio'!$I$3:$I$1723,0)),"")</f>
        <v/>
      </c>
      <c r="H1469" s="4">
        <f>IFERROR(INDEX('Base de sorteio'!$E$3:$E$1723,MATCH($B1469&amp;"|"&amp;$C1469,'Base de sorteio'!$I$3:$I$1723,0)),"")</f>
        <v/>
      </c>
      <c r="I1469" s="4">
        <f>IF(E1469="","",HYPERLINK(IFERROR(INDEX('Base de sorteio'!$J$3:$J$1723,MATCH($B1469&amp;"|"&amp;$C1469,'Base de sorteio'!$I$3:$I$1723,0)),""),"abrir"))</f>
        <v/>
      </c>
      <c r="J1469" s="4" t="n"/>
      <c r="K1469" s="4" t="n"/>
      <c r="L1469" s="4" t="n"/>
      <c r="M1469" s="4" t="n"/>
      <c r="N1469" s="4">
        <f>IF(AND(K1469="",M1469=""),"",IF(OR(K1469="sim",M1469="sim"),"sim",IF(OR(K1469="inconclusivo",M1469="inconclusivo"),"inconclusivo","não")))</f>
        <v/>
      </c>
      <c r="O1469" s="5">
        <f>IF(N1469="sim",COUNTIFS($B$3:$B1469,$B1469,$N$3:$N1469,"sim"),"")</f>
        <v/>
      </c>
      <c r="P1469" s="5" t="n"/>
      <c r="Q1469" s="4" t="n"/>
      <c r="R1469" s="5" t="n"/>
      <c r="S1469" s="9" t="n"/>
      <c r="T1469" s="4" t="n"/>
    </row>
    <row r="1470">
      <c r="A1470" s="5">
        <f>ROW()-2</f>
        <v/>
      </c>
      <c r="B1470" s="4" t="inlineStr">
        <is>
          <t>Capital regional</t>
        </is>
      </c>
      <c r="C1470" s="5" t="n">
        <v>526</v>
      </c>
      <c r="D1470" s="5">
        <f>IFERROR(INDEX('Base de sorteio'!$A$3:$A$1723,MATCH($B1470&amp;"|"&amp;$C1470,'Base de sorteio'!$I$3:$I$1723,0)),"")</f>
        <v/>
      </c>
      <c r="E1470" s="4">
        <f>IFERROR(INDEX('Base de sorteio'!$B$3:$B$1723,MATCH($B1470&amp;"|"&amp;$C1470,'Base de sorteio'!$I$3:$I$1723,0)),"")</f>
        <v/>
      </c>
      <c r="F1470" s="4">
        <f>IFERROR(INDEX('Base de sorteio'!$C$3:$C$1723,MATCH($B1470&amp;"|"&amp;$C1470,'Base de sorteio'!$I$3:$I$1723,0)),"")</f>
        <v/>
      </c>
      <c r="G1470" s="4">
        <f>IFERROR(INDEX('Base de sorteio'!$D$3:$D$1723,MATCH($B1470&amp;"|"&amp;$C1470,'Base de sorteio'!$I$3:$I$1723,0)),"")</f>
        <v/>
      </c>
      <c r="H1470" s="4">
        <f>IFERROR(INDEX('Base de sorteio'!$E$3:$E$1723,MATCH($B1470&amp;"|"&amp;$C1470,'Base de sorteio'!$I$3:$I$1723,0)),"")</f>
        <v/>
      </c>
      <c r="I1470" s="4">
        <f>IF(E1470="","",HYPERLINK(IFERROR(INDEX('Base de sorteio'!$J$3:$J$1723,MATCH($B1470&amp;"|"&amp;$C1470,'Base de sorteio'!$I$3:$I$1723,0)),""),"abrir"))</f>
        <v/>
      </c>
      <c r="J1470" s="4" t="n"/>
      <c r="K1470" s="4" t="n"/>
      <c r="L1470" s="4" t="n"/>
      <c r="M1470" s="4" t="n"/>
      <c r="N1470" s="4">
        <f>IF(AND(K1470="",M1470=""),"",IF(OR(K1470="sim",M1470="sim"),"sim",IF(OR(K1470="inconclusivo",M1470="inconclusivo"),"inconclusivo","não")))</f>
        <v/>
      </c>
      <c r="O1470" s="5">
        <f>IF(N1470="sim",COUNTIFS($B$3:$B1470,$B1470,$N$3:$N1470,"sim"),"")</f>
        <v/>
      </c>
      <c r="P1470" s="5" t="n"/>
      <c r="Q1470" s="4" t="n"/>
      <c r="R1470" s="5" t="n"/>
      <c r="S1470" s="9" t="n"/>
      <c r="T1470" s="4" t="n"/>
    </row>
    <row r="1471">
      <c r="A1471" s="5">
        <f>ROW()-2</f>
        <v/>
      </c>
      <c r="B1471" s="4" t="inlineStr">
        <is>
          <t>Capital regional</t>
        </is>
      </c>
      <c r="C1471" s="5" t="n">
        <v>527</v>
      </c>
      <c r="D1471" s="5">
        <f>IFERROR(INDEX('Base de sorteio'!$A$3:$A$1723,MATCH($B1471&amp;"|"&amp;$C1471,'Base de sorteio'!$I$3:$I$1723,0)),"")</f>
        <v/>
      </c>
      <c r="E1471" s="4">
        <f>IFERROR(INDEX('Base de sorteio'!$B$3:$B$1723,MATCH($B1471&amp;"|"&amp;$C1471,'Base de sorteio'!$I$3:$I$1723,0)),"")</f>
        <v/>
      </c>
      <c r="F1471" s="4">
        <f>IFERROR(INDEX('Base de sorteio'!$C$3:$C$1723,MATCH($B1471&amp;"|"&amp;$C1471,'Base de sorteio'!$I$3:$I$1723,0)),"")</f>
        <v/>
      </c>
      <c r="G1471" s="4">
        <f>IFERROR(INDEX('Base de sorteio'!$D$3:$D$1723,MATCH($B1471&amp;"|"&amp;$C1471,'Base de sorteio'!$I$3:$I$1723,0)),"")</f>
        <v/>
      </c>
      <c r="H1471" s="4">
        <f>IFERROR(INDEX('Base de sorteio'!$E$3:$E$1723,MATCH($B1471&amp;"|"&amp;$C1471,'Base de sorteio'!$I$3:$I$1723,0)),"")</f>
        <v/>
      </c>
      <c r="I1471" s="4">
        <f>IF(E1471="","",HYPERLINK(IFERROR(INDEX('Base de sorteio'!$J$3:$J$1723,MATCH($B1471&amp;"|"&amp;$C1471,'Base de sorteio'!$I$3:$I$1723,0)),""),"abrir"))</f>
        <v/>
      </c>
      <c r="J1471" s="4" t="n"/>
      <c r="K1471" s="4" t="n"/>
      <c r="L1471" s="4" t="n"/>
      <c r="M1471" s="4" t="n"/>
      <c r="N1471" s="4">
        <f>IF(AND(K1471="",M1471=""),"",IF(OR(K1471="sim",M1471="sim"),"sim",IF(OR(K1471="inconclusivo",M1471="inconclusivo"),"inconclusivo","não")))</f>
        <v/>
      </c>
      <c r="O1471" s="5">
        <f>IF(N1471="sim",COUNTIFS($B$3:$B1471,$B1471,$N$3:$N1471,"sim"),"")</f>
        <v/>
      </c>
      <c r="P1471" s="5" t="n"/>
      <c r="Q1471" s="4" t="n"/>
      <c r="R1471" s="5" t="n"/>
      <c r="S1471" s="9" t="n"/>
      <c r="T1471" s="4" t="n"/>
    </row>
    <row r="1472">
      <c r="A1472" s="5">
        <f>ROW()-2</f>
        <v/>
      </c>
      <c r="B1472" s="4" t="inlineStr">
        <is>
          <t>Capital regional</t>
        </is>
      </c>
      <c r="C1472" s="5" t="n">
        <v>528</v>
      </c>
      <c r="D1472" s="5">
        <f>IFERROR(INDEX('Base de sorteio'!$A$3:$A$1723,MATCH($B1472&amp;"|"&amp;$C1472,'Base de sorteio'!$I$3:$I$1723,0)),"")</f>
        <v/>
      </c>
      <c r="E1472" s="4">
        <f>IFERROR(INDEX('Base de sorteio'!$B$3:$B$1723,MATCH($B1472&amp;"|"&amp;$C1472,'Base de sorteio'!$I$3:$I$1723,0)),"")</f>
        <v/>
      </c>
      <c r="F1472" s="4">
        <f>IFERROR(INDEX('Base de sorteio'!$C$3:$C$1723,MATCH($B1472&amp;"|"&amp;$C1472,'Base de sorteio'!$I$3:$I$1723,0)),"")</f>
        <v/>
      </c>
      <c r="G1472" s="4">
        <f>IFERROR(INDEX('Base de sorteio'!$D$3:$D$1723,MATCH($B1472&amp;"|"&amp;$C1472,'Base de sorteio'!$I$3:$I$1723,0)),"")</f>
        <v/>
      </c>
      <c r="H1472" s="4">
        <f>IFERROR(INDEX('Base de sorteio'!$E$3:$E$1723,MATCH($B1472&amp;"|"&amp;$C1472,'Base de sorteio'!$I$3:$I$1723,0)),"")</f>
        <v/>
      </c>
      <c r="I1472" s="4">
        <f>IF(E1472="","",HYPERLINK(IFERROR(INDEX('Base de sorteio'!$J$3:$J$1723,MATCH($B1472&amp;"|"&amp;$C1472,'Base de sorteio'!$I$3:$I$1723,0)),""),"abrir"))</f>
        <v/>
      </c>
      <c r="J1472" s="4" t="n"/>
      <c r="K1472" s="4" t="n"/>
      <c r="L1472" s="4" t="n"/>
      <c r="M1472" s="4" t="n"/>
      <c r="N1472" s="4">
        <f>IF(AND(K1472="",M1472=""),"",IF(OR(K1472="sim",M1472="sim"),"sim",IF(OR(K1472="inconclusivo",M1472="inconclusivo"),"inconclusivo","não")))</f>
        <v/>
      </c>
      <c r="O1472" s="5">
        <f>IF(N1472="sim",COUNTIFS($B$3:$B1472,$B1472,$N$3:$N1472,"sim"),"")</f>
        <v/>
      </c>
      <c r="P1472" s="5" t="n"/>
      <c r="Q1472" s="4" t="n"/>
      <c r="R1472" s="5" t="n"/>
      <c r="S1472" s="9" t="n"/>
      <c r="T1472" s="4" t="n"/>
    </row>
    <row r="1473">
      <c r="A1473" s="5">
        <f>ROW()-2</f>
        <v/>
      </c>
      <c r="B1473" s="4" t="inlineStr">
        <is>
          <t>Capital regional</t>
        </is>
      </c>
      <c r="C1473" s="5" t="n">
        <v>529</v>
      </c>
      <c r="D1473" s="5">
        <f>IFERROR(INDEX('Base de sorteio'!$A$3:$A$1723,MATCH($B1473&amp;"|"&amp;$C1473,'Base de sorteio'!$I$3:$I$1723,0)),"")</f>
        <v/>
      </c>
      <c r="E1473" s="4">
        <f>IFERROR(INDEX('Base de sorteio'!$B$3:$B$1723,MATCH($B1473&amp;"|"&amp;$C1473,'Base de sorteio'!$I$3:$I$1723,0)),"")</f>
        <v/>
      </c>
      <c r="F1473" s="4">
        <f>IFERROR(INDEX('Base de sorteio'!$C$3:$C$1723,MATCH($B1473&amp;"|"&amp;$C1473,'Base de sorteio'!$I$3:$I$1723,0)),"")</f>
        <v/>
      </c>
      <c r="G1473" s="4">
        <f>IFERROR(INDEX('Base de sorteio'!$D$3:$D$1723,MATCH($B1473&amp;"|"&amp;$C1473,'Base de sorteio'!$I$3:$I$1723,0)),"")</f>
        <v/>
      </c>
      <c r="H1473" s="4">
        <f>IFERROR(INDEX('Base de sorteio'!$E$3:$E$1723,MATCH($B1473&amp;"|"&amp;$C1473,'Base de sorteio'!$I$3:$I$1723,0)),"")</f>
        <v/>
      </c>
      <c r="I1473" s="4">
        <f>IF(E1473="","",HYPERLINK(IFERROR(INDEX('Base de sorteio'!$J$3:$J$1723,MATCH($B1473&amp;"|"&amp;$C1473,'Base de sorteio'!$I$3:$I$1723,0)),""),"abrir"))</f>
        <v/>
      </c>
      <c r="J1473" s="4" t="n"/>
      <c r="K1473" s="4" t="n"/>
      <c r="L1473" s="4" t="n"/>
      <c r="M1473" s="4" t="n"/>
      <c r="N1473" s="4">
        <f>IF(AND(K1473="",M1473=""),"",IF(OR(K1473="sim",M1473="sim"),"sim",IF(OR(K1473="inconclusivo",M1473="inconclusivo"),"inconclusivo","não")))</f>
        <v/>
      </c>
      <c r="O1473" s="5">
        <f>IF(N1473="sim",COUNTIFS($B$3:$B1473,$B1473,$N$3:$N1473,"sim"),"")</f>
        <v/>
      </c>
      <c r="P1473" s="5" t="n"/>
      <c r="Q1473" s="4" t="n"/>
      <c r="R1473" s="5" t="n"/>
      <c r="S1473" s="9" t="n"/>
      <c r="T1473" s="4" t="n"/>
    </row>
    <row r="1474">
      <c r="A1474" s="5">
        <f>ROW()-2</f>
        <v/>
      </c>
      <c r="B1474" s="4" t="inlineStr">
        <is>
          <t>Capital regional</t>
        </is>
      </c>
      <c r="C1474" s="5" t="n">
        <v>530</v>
      </c>
      <c r="D1474" s="5">
        <f>IFERROR(INDEX('Base de sorteio'!$A$3:$A$1723,MATCH($B1474&amp;"|"&amp;$C1474,'Base de sorteio'!$I$3:$I$1723,0)),"")</f>
        <v/>
      </c>
      <c r="E1474" s="4">
        <f>IFERROR(INDEX('Base de sorteio'!$B$3:$B$1723,MATCH($B1474&amp;"|"&amp;$C1474,'Base de sorteio'!$I$3:$I$1723,0)),"")</f>
        <v/>
      </c>
      <c r="F1474" s="4">
        <f>IFERROR(INDEX('Base de sorteio'!$C$3:$C$1723,MATCH($B1474&amp;"|"&amp;$C1474,'Base de sorteio'!$I$3:$I$1723,0)),"")</f>
        <v/>
      </c>
      <c r="G1474" s="4">
        <f>IFERROR(INDEX('Base de sorteio'!$D$3:$D$1723,MATCH($B1474&amp;"|"&amp;$C1474,'Base de sorteio'!$I$3:$I$1723,0)),"")</f>
        <v/>
      </c>
      <c r="H1474" s="4">
        <f>IFERROR(INDEX('Base de sorteio'!$E$3:$E$1723,MATCH($B1474&amp;"|"&amp;$C1474,'Base de sorteio'!$I$3:$I$1723,0)),"")</f>
        <v/>
      </c>
      <c r="I1474" s="4">
        <f>IF(E1474="","",HYPERLINK(IFERROR(INDEX('Base de sorteio'!$J$3:$J$1723,MATCH($B1474&amp;"|"&amp;$C1474,'Base de sorteio'!$I$3:$I$1723,0)),""),"abrir"))</f>
        <v/>
      </c>
      <c r="J1474" s="4" t="n"/>
      <c r="K1474" s="4" t="n"/>
      <c r="L1474" s="4" t="n"/>
      <c r="M1474" s="4" t="n"/>
      <c r="N1474" s="4">
        <f>IF(AND(K1474="",M1474=""),"",IF(OR(K1474="sim",M1474="sim"),"sim",IF(OR(K1474="inconclusivo",M1474="inconclusivo"),"inconclusivo","não")))</f>
        <v/>
      </c>
      <c r="O1474" s="5">
        <f>IF(N1474="sim",COUNTIFS($B$3:$B1474,$B1474,$N$3:$N1474,"sim"),"")</f>
        <v/>
      </c>
      <c r="P1474" s="5" t="n"/>
      <c r="Q1474" s="4" t="n"/>
      <c r="R1474" s="5" t="n"/>
      <c r="S1474" s="9" t="n"/>
      <c r="T1474" s="4" t="n"/>
    </row>
    <row r="1475">
      <c r="A1475" s="5">
        <f>ROW()-2</f>
        <v/>
      </c>
      <c r="B1475" s="4" t="inlineStr">
        <is>
          <t>Capital regional</t>
        </is>
      </c>
      <c r="C1475" s="5" t="n">
        <v>531</v>
      </c>
      <c r="D1475" s="5">
        <f>IFERROR(INDEX('Base de sorteio'!$A$3:$A$1723,MATCH($B1475&amp;"|"&amp;$C1475,'Base de sorteio'!$I$3:$I$1723,0)),"")</f>
        <v/>
      </c>
      <c r="E1475" s="4">
        <f>IFERROR(INDEX('Base de sorteio'!$B$3:$B$1723,MATCH($B1475&amp;"|"&amp;$C1475,'Base de sorteio'!$I$3:$I$1723,0)),"")</f>
        <v/>
      </c>
      <c r="F1475" s="4">
        <f>IFERROR(INDEX('Base de sorteio'!$C$3:$C$1723,MATCH($B1475&amp;"|"&amp;$C1475,'Base de sorteio'!$I$3:$I$1723,0)),"")</f>
        <v/>
      </c>
      <c r="G1475" s="4">
        <f>IFERROR(INDEX('Base de sorteio'!$D$3:$D$1723,MATCH($B1475&amp;"|"&amp;$C1475,'Base de sorteio'!$I$3:$I$1723,0)),"")</f>
        <v/>
      </c>
      <c r="H1475" s="4">
        <f>IFERROR(INDEX('Base de sorteio'!$E$3:$E$1723,MATCH($B1475&amp;"|"&amp;$C1475,'Base de sorteio'!$I$3:$I$1723,0)),"")</f>
        <v/>
      </c>
      <c r="I1475" s="4">
        <f>IF(E1475="","",HYPERLINK(IFERROR(INDEX('Base de sorteio'!$J$3:$J$1723,MATCH($B1475&amp;"|"&amp;$C1475,'Base de sorteio'!$I$3:$I$1723,0)),""),"abrir"))</f>
        <v/>
      </c>
      <c r="J1475" s="4" t="n"/>
      <c r="K1475" s="4" t="n"/>
      <c r="L1475" s="4" t="n"/>
      <c r="M1475" s="4" t="n"/>
      <c r="N1475" s="4">
        <f>IF(AND(K1475="",M1475=""),"",IF(OR(K1475="sim",M1475="sim"),"sim",IF(OR(K1475="inconclusivo",M1475="inconclusivo"),"inconclusivo","não")))</f>
        <v/>
      </c>
      <c r="O1475" s="5">
        <f>IF(N1475="sim",COUNTIFS($B$3:$B1475,$B1475,$N$3:$N1475,"sim"),"")</f>
        <v/>
      </c>
      <c r="P1475" s="5" t="n"/>
      <c r="Q1475" s="4" t="n"/>
      <c r="R1475" s="5" t="n"/>
      <c r="S1475" s="9" t="n"/>
      <c r="T1475" s="4" t="n"/>
    </row>
    <row r="1476">
      <c r="A1476" s="5">
        <f>ROW()-2</f>
        <v/>
      </c>
      <c r="B1476" s="4" t="inlineStr">
        <is>
          <t>Capital regional</t>
        </is>
      </c>
      <c r="C1476" s="5" t="n">
        <v>532</v>
      </c>
      <c r="D1476" s="5">
        <f>IFERROR(INDEX('Base de sorteio'!$A$3:$A$1723,MATCH($B1476&amp;"|"&amp;$C1476,'Base de sorteio'!$I$3:$I$1723,0)),"")</f>
        <v/>
      </c>
      <c r="E1476" s="4">
        <f>IFERROR(INDEX('Base de sorteio'!$B$3:$B$1723,MATCH($B1476&amp;"|"&amp;$C1476,'Base de sorteio'!$I$3:$I$1723,0)),"")</f>
        <v/>
      </c>
      <c r="F1476" s="4">
        <f>IFERROR(INDEX('Base de sorteio'!$C$3:$C$1723,MATCH($B1476&amp;"|"&amp;$C1476,'Base de sorteio'!$I$3:$I$1723,0)),"")</f>
        <v/>
      </c>
      <c r="G1476" s="4">
        <f>IFERROR(INDEX('Base de sorteio'!$D$3:$D$1723,MATCH($B1476&amp;"|"&amp;$C1476,'Base de sorteio'!$I$3:$I$1723,0)),"")</f>
        <v/>
      </c>
      <c r="H1476" s="4">
        <f>IFERROR(INDEX('Base de sorteio'!$E$3:$E$1723,MATCH($B1476&amp;"|"&amp;$C1476,'Base de sorteio'!$I$3:$I$1723,0)),"")</f>
        <v/>
      </c>
      <c r="I1476" s="4">
        <f>IF(E1476="","",HYPERLINK(IFERROR(INDEX('Base de sorteio'!$J$3:$J$1723,MATCH($B1476&amp;"|"&amp;$C1476,'Base de sorteio'!$I$3:$I$1723,0)),""),"abrir"))</f>
        <v/>
      </c>
      <c r="J1476" s="4" t="n"/>
      <c r="K1476" s="4" t="n"/>
      <c r="L1476" s="4" t="n"/>
      <c r="M1476" s="4" t="n"/>
      <c r="N1476" s="4">
        <f>IF(AND(K1476="",M1476=""),"",IF(OR(K1476="sim",M1476="sim"),"sim",IF(OR(K1476="inconclusivo",M1476="inconclusivo"),"inconclusivo","não")))</f>
        <v/>
      </c>
      <c r="O1476" s="5">
        <f>IF(N1476="sim",COUNTIFS($B$3:$B1476,$B1476,$N$3:$N1476,"sim"),"")</f>
        <v/>
      </c>
      <c r="P1476" s="5" t="n"/>
      <c r="Q1476" s="4" t="n"/>
      <c r="R1476" s="5" t="n"/>
      <c r="S1476" s="9" t="n"/>
      <c r="T1476" s="4" t="n"/>
    </row>
    <row r="1477">
      <c r="A1477" s="5">
        <f>ROW()-2</f>
        <v/>
      </c>
      <c r="B1477" s="4" t="inlineStr">
        <is>
          <t>Capital regional</t>
        </is>
      </c>
      <c r="C1477" s="5" t="n">
        <v>533</v>
      </c>
      <c r="D1477" s="5">
        <f>IFERROR(INDEX('Base de sorteio'!$A$3:$A$1723,MATCH($B1477&amp;"|"&amp;$C1477,'Base de sorteio'!$I$3:$I$1723,0)),"")</f>
        <v/>
      </c>
      <c r="E1477" s="4">
        <f>IFERROR(INDEX('Base de sorteio'!$B$3:$B$1723,MATCH($B1477&amp;"|"&amp;$C1477,'Base de sorteio'!$I$3:$I$1723,0)),"")</f>
        <v/>
      </c>
      <c r="F1477" s="4">
        <f>IFERROR(INDEX('Base de sorteio'!$C$3:$C$1723,MATCH($B1477&amp;"|"&amp;$C1477,'Base de sorteio'!$I$3:$I$1723,0)),"")</f>
        <v/>
      </c>
      <c r="G1477" s="4">
        <f>IFERROR(INDEX('Base de sorteio'!$D$3:$D$1723,MATCH($B1477&amp;"|"&amp;$C1477,'Base de sorteio'!$I$3:$I$1723,0)),"")</f>
        <v/>
      </c>
      <c r="H1477" s="4">
        <f>IFERROR(INDEX('Base de sorteio'!$E$3:$E$1723,MATCH($B1477&amp;"|"&amp;$C1477,'Base de sorteio'!$I$3:$I$1723,0)),"")</f>
        <v/>
      </c>
      <c r="I1477" s="4">
        <f>IF(E1477="","",HYPERLINK(IFERROR(INDEX('Base de sorteio'!$J$3:$J$1723,MATCH($B1477&amp;"|"&amp;$C1477,'Base de sorteio'!$I$3:$I$1723,0)),""),"abrir"))</f>
        <v/>
      </c>
      <c r="J1477" s="4" t="n"/>
      <c r="K1477" s="4" t="n"/>
      <c r="L1477" s="4" t="n"/>
      <c r="M1477" s="4" t="n"/>
      <c r="N1477" s="4">
        <f>IF(AND(K1477="",M1477=""),"",IF(OR(K1477="sim",M1477="sim"),"sim",IF(OR(K1477="inconclusivo",M1477="inconclusivo"),"inconclusivo","não")))</f>
        <v/>
      </c>
      <c r="O1477" s="5">
        <f>IF(N1477="sim",COUNTIFS($B$3:$B1477,$B1477,$N$3:$N1477,"sim"),"")</f>
        <v/>
      </c>
      <c r="P1477" s="5" t="n"/>
      <c r="Q1477" s="4" t="n"/>
      <c r="R1477" s="5" t="n"/>
      <c r="S1477" s="9" t="n"/>
      <c r="T1477" s="4" t="n"/>
    </row>
    <row r="1478">
      <c r="A1478" s="5">
        <f>ROW()-2</f>
        <v/>
      </c>
      <c r="B1478" s="4" t="inlineStr">
        <is>
          <t>Capital regional</t>
        </is>
      </c>
      <c r="C1478" s="5" t="n">
        <v>534</v>
      </c>
      <c r="D1478" s="5">
        <f>IFERROR(INDEX('Base de sorteio'!$A$3:$A$1723,MATCH($B1478&amp;"|"&amp;$C1478,'Base de sorteio'!$I$3:$I$1723,0)),"")</f>
        <v/>
      </c>
      <c r="E1478" s="4">
        <f>IFERROR(INDEX('Base de sorteio'!$B$3:$B$1723,MATCH($B1478&amp;"|"&amp;$C1478,'Base de sorteio'!$I$3:$I$1723,0)),"")</f>
        <v/>
      </c>
      <c r="F1478" s="4">
        <f>IFERROR(INDEX('Base de sorteio'!$C$3:$C$1723,MATCH($B1478&amp;"|"&amp;$C1478,'Base de sorteio'!$I$3:$I$1723,0)),"")</f>
        <v/>
      </c>
      <c r="G1478" s="4">
        <f>IFERROR(INDEX('Base de sorteio'!$D$3:$D$1723,MATCH($B1478&amp;"|"&amp;$C1478,'Base de sorteio'!$I$3:$I$1723,0)),"")</f>
        <v/>
      </c>
      <c r="H1478" s="4">
        <f>IFERROR(INDEX('Base de sorteio'!$E$3:$E$1723,MATCH($B1478&amp;"|"&amp;$C1478,'Base de sorteio'!$I$3:$I$1723,0)),"")</f>
        <v/>
      </c>
      <c r="I1478" s="4">
        <f>IF(E1478="","",HYPERLINK(IFERROR(INDEX('Base de sorteio'!$J$3:$J$1723,MATCH($B1478&amp;"|"&amp;$C1478,'Base de sorteio'!$I$3:$I$1723,0)),""),"abrir"))</f>
        <v/>
      </c>
      <c r="J1478" s="4" t="n"/>
      <c r="K1478" s="4" t="n"/>
      <c r="L1478" s="4" t="n"/>
      <c r="M1478" s="4" t="n"/>
      <c r="N1478" s="4">
        <f>IF(AND(K1478="",M1478=""),"",IF(OR(K1478="sim",M1478="sim"),"sim",IF(OR(K1478="inconclusivo",M1478="inconclusivo"),"inconclusivo","não")))</f>
        <v/>
      </c>
      <c r="O1478" s="5">
        <f>IF(N1478="sim",COUNTIFS($B$3:$B1478,$B1478,$N$3:$N1478,"sim"),"")</f>
        <v/>
      </c>
      <c r="P1478" s="5" t="n"/>
      <c r="Q1478" s="4" t="n"/>
      <c r="R1478" s="5" t="n"/>
      <c r="S1478" s="9" t="n"/>
      <c r="T1478" s="4" t="n"/>
    </row>
    <row r="1479">
      <c r="A1479" s="5">
        <f>ROW()-2</f>
        <v/>
      </c>
      <c r="B1479" s="4" t="inlineStr">
        <is>
          <t>Capital regional</t>
        </is>
      </c>
      <c r="C1479" s="5" t="n">
        <v>535</v>
      </c>
      <c r="D1479" s="5">
        <f>IFERROR(INDEX('Base de sorteio'!$A$3:$A$1723,MATCH($B1479&amp;"|"&amp;$C1479,'Base de sorteio'!$I$3:$I$1723,0)),"")</f>
        <v/>
      </c>
      <c r="E1479" s="4">
        <f>IFERROR(INDEX('Base de sorteio'!$B$3:$B$1723,MATCH($B1479&amp;"|"&amp;$C1479,'Base de sorteio'!$I$3:$I$1723,0)),"")</f>
        <v/>
      </c>
      <c r="F1479" s="4">
        <f>IFERROR(INDEX('Base de sorteio'!$C$3:$C$1723,MATCH($B1479&amp;"|"&amp;$C1479,'Base de sorteio'!$I$3:$I$1723,0)),"")</f>
        <v/>
      </c>
      <c r="G1479" s="4">
        <f>IFERROR(INDEX('Base de sorteio'!$D$3:$D$1723,MATCH($B1479&amp;"|"&amp;$C1479,'Base de sorteio'!$I$3:$I$1723,0)),"")</f>
        <v/>
      </c>
      <c r="H1479" s="4">
        <f>IFERROR(INDEX('Base de sorteio'!$E$3:$E$1723,MATCH($B1479&amp;"|"&amp;$C1479,'Base de sorteio'!$I$3:$I$1723,0)),"")</f>
        <v/>
      </c>
      <c r="I1479" s="4">
        <f>IF(E1479="","",HYPERLINK(IFERROR(INDEX('Base de sorteio'!$J$3:$J$1723,MATCH($B1479&amp;"|"&amp;$C1479,'Base de sorteio'!$I$3:$I$1723,0)),""),"abrir"))</f>
        <v/>
      </c>
      <c r="J1479" s="4" t="n"/>
      <c r="K1479" s="4" t="n"/>
      <c r="L1479" s="4" t="n"/>
      <c r="M1479" s="4" t="n"/>
      <c r="N1479" s="4">
        <f>IF(AND(K1479="",M1479=""),"",IF(OR(K1479="sim",M1479="sim"),"sim",IF(OR(K1479="inconclusivo",M1479="inconclusivo"),"inconclusivo","não")))</f>
        <v/>
      </c>
      <c r="O1479" s="5">
        <f>IF(N1479="sim",COUNTIFS($B$3:$B1479,$B1479,$N$3:$N1479,"sim"),"")</f>
        <v/>
      </c>
      <c r="P1479" s="5" t="n"/>
      <c r="Q1479" s="4" t="n"/>
      <c r="R1479" s="5" t="n"/>
      <c r="S1479" s="9" t="n"/>
      <c r="T1479" s="4" t="n"/>
    </row>
    <row r="1480">
      <c r="A1480" s="5">
        <f>ROW()-2</f>
        <v/>
      </c>
      <c r="B1480" s="4" t="inlineStr">
        <is>
          <t>Capital regional</t>
        </is>
      </c>
      <c r="C1480" s="5" t="n">
        <v>536</v>
      </c>
      <c r="D1480" s="5">
        <f>IFERROR(INDEX('Base de sorteio'!$A$3:$A$1723,MATCH($B1480&amp;"|"&amp;$C1480,'Base de sorteio'!$I$3:$I$1723,0)),"")</f>
        <v/>
      </c>
      <c r="E1480" s="4">
        <f>IFERROR(INDEX('Base de sorteio'!$B$3:$B$1723,MATCH($B1480&amp;"|"&amp;$C1480,'Base de sorteio'!$I$3:$I$1723,0)),"")</f>
        <v/>
      </c>
      <c r="F1480" s="4">
        <f>IFERROR(INDEX('Base de sorteio'!$C$3:$C$1723,MATCH($B1480&amp;"|"&amp;$C1480,'Base de sorteio'!$I$3:$I$1723,0)),"")</f>
        <v/>
      </c>
      <c r="G1480" s="4">
        <f>IFERROR(INDEX('Base de sorteio'!$D$3:$D$1723,MATCH($B1480&amp;"|"&amp;$C1480,'Base de sorteio'!$I$3:$I$1723,0)),"")</f>
        <v/>
      </c>
      <c r="H1480" s="4">
        <f>IFERROR(INDEX('Base de sorteio'!$E$3:$E$1723,MATCH($B1480&amp;"|"&amp;$C1480,'Base de sorteio'!$I$3:$I$1723,0)),"")</f>
        <v/>
      </c>
      <c r="I1480" s="4">
        <f>IF(E1480="","",HYPERLINK(IFERROR(INDEX('Base de sorteio'!$J$3:$J$1723,MATCH($B1480&amp;"|"&amp;$C1480,'Base de sorteio'!$I$3:$I$1723,0)),""),"abrir"))</f>
        <v/>
      </c>
      <c r="J1480" s="4" t="n"/>
      <c r="K1480" s="4" t="n"/>
      <c r="L1480" s="4" t="n"/>
      <c r="M1480" s="4" t="n"/>
      <c r="N1480" s="4">
        <f>IF(AND(K1480="",M1480=""),"",IF(OR(K1480="sim",M1480="sim"),"sim",IF(OR(K1480="inconclusivo",M1480="inconclusivo"),"inconclusivo","não")))</f>
        <v/>
      </c>
      <c r="O1480" s="5">
        <f>IF(N1480="sim",COUNTIFS($B$3:$B1480,$B1480,$N$3:$N1480,"sim"),"")</f>
        <v/>
      </c>
      <c r="P1480" s="5" t="n"/>
      <c r="Q1480" s="4" t="n"/>
      <c r="R1480" s="5" t="n"/>
      <c r="S1480" s="9" t="n"/>
      <c r="T1480" s="4" t="n"/>
    </row>
    <row r="1481">
      <c r="A1481" s="5">
        <f>ROW()-2</f>
        <v/>
      </c>
      <c r="B1481" s="4" t="inlineStr">
        <is>
          <t>Capital regional</t>
        </is>
      </c>
      <c r="C1481" s="5" t="n">
        <v>537</v>
      </c>
      <c r="D1481" s="5">
        <f>IFERROR(INDEX('Base de sorteio'!$A$3:$A$1723,MATCH($B1481&amp;"|"&amp;$C1481,'Base de sorteio'!$I$3:$I$1723,0)),"")</f>
        <v/>
      </c>
      <c r="E1481" s="4">
        <f>IFERROR(INDEX('Base de sorteio'!$B$3:$B$1723,MATCH($B1481&amp;"|"&amp;$C1481,'Base de sorteio'!$I$3:$I$1723,0)),"")</f>
        <v/>
      </c>
      <c r="F1481" s="4">
        <f>IFERROR(INDEX('Base de sorteio'!$C$3:$C$1723,MATCH($B1481&amp;"|"&amp;$C1481,'Base de sorteio'!$I$3:$I$1723,0)),"")</f>
        <v/>
      </c>
      <c r="G1481" s="4">
        <f>IFERROR(INDEX('Base de sorteio'!$D$3:$D$1723,MATCH($B1481&amp;"|"&amp;$C1481,'Base de sorteio'!$I$3:$I$1723,0)),"")</f>
        <v/>
      </c>
      <c r="H1481" s="4">
        <f>IFERROR(INDEX('Base de sorteio'!$E$3:$E$1723,MATCH($B1481&amp;"|"&amp;$C1481,'Base de sorteio'!$I$3:$I$1723,0)),"")</f>
        <v/>
      </c>
      <c r="I1481" s="4">
        <f>IF(E1481="","",HYPERLINK(IFERROR(INDEX('Base de sorteio'!$J$3:$J$1723,MATCH($B1481&amp;"|"&amp;$C1481,'Base de sorteio'!$I$3:$I$1723,0)),""),"abrir"))</f>
        <v/>
      </c>
      <c r="J1481" s="4" t="n"/>
      <c r="K1481" s="4" t="n"/>
      <c r="L1481" s="4" t="n"/>
      <c r="M1481" s="4" t="n"/>
      <c r="N1481" s="4">
        <f>IF(AND(K1481="",M1481=""),"",IF(OR(K1481="sim",M1481="sim"),"sim",IF(OR(K1481="inconclusivo",M1481="inconclusivo"),"inconclusivo","não")))</f>
        <v/>
      </c>
      <c r="O1481" s="5">
        <f>IF(N1481="sim",COUNTIFS($B$3:$B1481,$B1481,$N$3:$N1481,"sim"),"")</f>
        <v/>
      </c>
      <c r="P1481" s="5" t="n"/>
      <c r="Q1481" s="4" t="n"/>
      <c r="R1481" s="5" t="n"/>
      <c r="S1481" s="9" t="n"/>
      <c r="T1481" s="4" t="n"/>
    </row>
    <row r="1482">
      <c r="A1482" s="5">
        <f>ROW()-2</f>
        <v/>
      </c>
      <c r="B1482" s="4" t="inlineStr">
        <is>
          <t>Capital regional</t>
        </is>
      </c>
      <c r="C1482" s="5" t="n">
        <v>538</v>
      </c>
      <c r="D1482" s="5">
        <f>IFERROR(INDEX('Base de sorteio'!$A$3:$A$1723,MATCH($B1482&amp;"|"&amp;$C1482,'Base de sorteio'!$I$3:$I$1723,0)),"")</f>
        <v/>
      </c>
      <c r="E1482" s="4">
        <f>IFERROR(INDEX('Base de sorteio'!$B$3:$B$1723,MATCH($B1482&amp;"|"&amp;$C1482,'Base de sorteio'!$I$3:$I$1723,0)),"")</f>
        <v/>
      </c>
      <c r="F1482" s="4">
        <f>IFERROR(INDEX('Base de sorteio'!$C$3:$C$1723,MATCH($B1482&amp;"|"&amp;$C1482,'Base de sorteio'!$I$3:$I$1723,0)),"")</f>
        <v/>
      </c>
      <c r="G1482" s="4">
        <f>IFERROR(INDEX('Base de sorteio'!$D$3:$D$1723,MATCH($B1482&amp;"|"&amp;$C1482,'Base de sorteio'!$I$3:$I$1723,0)),"")</f>
        <v/>
      </c>
      <c r="H1482" s="4">
        <f>IFERROR(INDEX('Base de sorteio'!$E$3:$E$1723,MATCH($B1482&amp;"|"&amp;$C1482,'Base de sorteio'!$I$3:$I$1723,0)),"")</f>
        <v/>
      </c>
      <c r="I1482" s="4">
        <f>IF(E1482="","",HYPERLINK(IFERROR(INDEX('Base de sorteio'!$J$3:$J$1723,MATCH($B1482&amp;"|"&amp;$C1482,'Base de sorteio'!$I$3:$I$1723,0)),""),"abrir"))</f>
        <v/>
      </c>
      <c r="J1482" s="4" t="n"/>
      <c r="K1482" s="4" t="n"/>
      <c r="L1482" s="4" t="n"/>
      <c r="M1482" s="4" t="n"/>
      <c r="N1482" s="4">
        <f>IF(AND(K1482="",M1482=""),"",IF(OR(K1482="sim",M1482="sim"),"sim",IF(OR(K1482="inconclusivo",M1482="inconclusivo"),"inconclusivo","não")))</f>
        <v/>
      </c>
      <c r="O1482" s="5">
        <f>IF(N1482="sim",COUNTIFS($B$3:$B1482,$B1482,$N$3:$N1482,"sim"),"")</f>
        <v/>
      </c>
      <c r="P1482" s="5" t="n"/>
      <c r="Q1482" s="4" t="n"/>
      <c r="R1482" s="5" t="n"/>
      <c r="S1482" s="9" t="n"/>
      <c r="T1482" s="4" t="n"/>
    </row>
    <row r="1483">
      <c r="A1483" s="5">
        <f>ROW()-2</f>
        <v/>
      </c>
      <c r="B1483" s="4" t="inlineStr">
        <is>
          <t>Capital regional</t>
        </is>
      </c>
      <c r="C1483" s="5" t="n">
        <v>539</v>
      </c>
      <c r="D1483" s="5">
        <f>IFERROR(INDEX('Base de sorteio'!$A$3:$A$1723,MATCH($B1483&amp;"|"&amp;$C1483,'Base de sorteio'!$I$3:$I$1723,0)),"")</f>
        <v/>
      </c>
      <c r="E1483" s="4">
        <f>IFERROR(INDEX('Base de sorteio'!$B$3:$B$1723,MATCH($B1483&amp;"|"&amp;$C1483,'Base de sorteio'!$I$3:$I$1723,0)),"")</f>
        <v/>
      </c>
      <c r="F1483" s="4">
        <f>IFERROR(INDEX('Base de sorteio'!$C$3:$C$1723,MATCH($B1483&amp;"|"&amp;$C1483,'Base de sorteio'!$I$3:$I$1723,0)),"")</f>
        <v/>
      </c>
      <c r="G1483" s="4">
        <f>IFERROR(INDEX('Base de sorteio'!$D$3:$D$1723,MATCH($B1483&amp;"|"&amp;$C1483,'Base de sorteio'!$I$3:$I$1723,0)),"")</f>
        <v/>
      </c>
      <c r="H1483" s="4">
        <f>IFERROR(INDEX('Base de sorteio'!$E$3:$E$1723,MATCH($B1483&amp;"|"&amp;$C1483,'Base de sorteio'!$I$3:$I$1723,0)),"")</f>
        <v/>
      </c>
      <c r="I1483" s="4">
        <f>IF(E1483="","",HYPERLINK(IFERROR(INDEX('Base de sorteio'!$J$3:$J$1723,MATCH($B1483&amp;"|"&amp;$C1483,'Base de sorteio'!$I$3:$I$1723,0)),""),"abrir"))</f>
        <v/>
      </c>
      <c r="J1483" s="4" t="n"/>
      <c r="K1483" s="4" t="n"/>
      <c r="L1483" s="4" t="n"/>
      <c r="M1483" s="4" t="n"/>
      <c r="N1483" s="4">
        <f>IF(AND(K1483="",M1483=""),"",IF(OR(K1483="sim",M1483="sim"),"sim",IF(OR(K1483="inconclusivo",M1483="inconclusivo"),"inconclusivo","não")))</f>
        <v/>
      </c>
      <c r="O1483" s="5">
        <f>IF(N1483="sim",COUNTIFS($B$3:$B1483,$B1483,$N$3:$N1483,"sim"),"")</f>
        <v/>
      </c>
      <c r="P1483" s="5" t="n"/>
      <c r="Q1483" s="4" t="n"/>
      <c r="R1483" s="5" t="n"/>
      <c r="S1483" s="9" t="n"/>
      <c r="T1483" s="4" t="n"/>
    </row>
    <row r="1484">
      <c r="A1484" s="5">
        <f>ROW()-2</f>
        <v/>
      </c>
      <c r="B1484" s="4" t="inlineStr">
        <is>
          <t>Capital regional</t>
        </is>
      </c>
      <c r="C1484" s="5" t="n">
        <v>540</v>
      </c>
      <c r="D1484" s="5">
        <f>IFERROR(INDEX('Base de sorteio'!$A$3:$A$1723,MATCH($B1484&amp;"|"&amp;$C1484,'Base de sorteio'!$I$3:$I$1723,0)),"")</f>
        <v/>
      </c>
      <c r="E1484" s="4">
        <f>IFERROR(INDEX('Base de sorteio'!$B$3:$B$1723,MATCH($B1484&amp;"|"&amp;$C1484,'Base de sorteio'!$I$3:$I$1723,0)),"")</f>
        <v/>
      </c>
      <c r="F1484" s="4">
        <f>IFERROR(INDEX('Base de sorteio'!$C$3:$C$1723,MATCH($B1484&amp;"|"&amp;$C1484,'Base de sorteio'!$I$3:$I$1723,0)),"")</f>
        <v/>
      </c>
      <c r="G1484" s="4">
        <f>IFERROR(INDEX('Base de sorteio'!$D$3:$D$1723,MATCH($B1484&amp;"|"&amp;$C1484,'Base de sorteio'!$I$3:$I$1723,0)),"")</f>
        <v/>
      </c>
      <c r="H1484" s="4">
        <f>IFERROR(INDEX('Base de sorteio'!$E$3:$E$1723,MATCH($B1484&amp;"|"&amp;$C1484,'Base de sorteio'!$I$3:$I$1723,0)),"")</f>
        <v/>
      </c>
      <c r="I1484" s="4">
        <f>IF(E1484="","",HYPERLINK(IFERROR(INDEX('Base de sorteio'!$J$3:$J$1723,MATCH($B1484&amp;"|"&amp;$C1484,'Base de sorteio'!$I$3:$I$1723,0)),""),"abrir"))</f>
        <v/>
      </c>
      <c r="J1484" s="4" t="n"/>
      <c r="K1484" s="4" t="n"/>
      <c r="L1484" s="4" t="n"/>
      <c r="M1484" s="4" t="n"/>
      <c r="N1484" s="4">
        <f>IF(AND(K1484="",M1484=""),"",IF(OR(K1484="sim",M1484="sim"),"sim",IF(OR(K1484="inconclusivo",M1484="inconclusivo"),"inconclusivo","não")))</f>
        <v/>
      </c>
      <c r="O1484" s="5">
        <f>IF(N1484="sim",COUNTIFS($B$3:$B1484,$B1484,$N$3:$N1484,"sim"),"")</f>
        <v/>
      </c>
      <c r="P1484" s="5" t="n"/>
      <c r="Q1484" s="4" t="n"/>
      <c r="R1484" s="5" t="n"/>
      <c r="S1484" s="9" t="n"/>
      <c r="T1484" s="4" t="n"/>
    </row>
    <row r="1485">
      <c r="A1485" s="5">
        <f>ROW()-2</f>
        <v/>
      </c>
      <c r="B1485" s="4" t="inlineStr">
        <is>
          <t>Capital regional</t>
        </is>
      </c>
      <c r="C1485" s="5" t="n">
        <v>541</v>
      </c>
      <c r="D1485" s="5">
        <f>IFERROR(INDEX('Base de sorteio'!$A$3:$A$1723,MATCH($B1485&amp;"|"&amp;$C1485,'Base de sorteio'!$I$3:$I$1723,0)),"")</f>
        <v/>
      </c>
      <c r="E1485" s="4">
        <f>IFERROR(INDEX('Base de sorteio'!$B$3:$B$1723,MATCH($B1485&amp;"|"&amp;$C1485,'Base de sorteio'!$I$3:$I$1723,0)),"")</f>
        <v/>
      </c>
      <c r="F1485" s="4">
        <f>IFERROR(INDEX('Base de sorteio'!$C$3:$C$1723,MATCH($B1485&amp;"|"&amp;$C1485,'Base de sorteio'!$I$3:$I$1723,0)),"")</f>
        <v/>
      </c>
      <c r="G1485" s="4">
        <f>IFERROR(INDEX('Base de sorteio'!$D$3:$D$1723,MATCH($B1485&amp;"|"&amp;$C1485,'Base de sorteio'!$I$3:$I$1723,0)),"")</f>
        <v/>
      </c>
      <c r="H1485" s="4">
        <f>IFERROR(INDEX('Base de sorteio'!$E$3:$E$1723,MATCH($B1485&amp;"|"&amp;$C1485,'Base de sorteio'!$I$3:$I$1723,0)),"")</f>
        <v/>
      </c>
      <c r="I1485" s="4">
        <f>IF(E1485="","",HYPERLINK(IFERROR(INDEX('Base de sorteio'!$J$3:$J$1723,MATCH($B1485&amp;"|"&amp;$C1485,'Base de sorteio'!$I$3:$I$1723,0)),""),"abrir"))</f>
        <v/>
      </c>
      <c r="J1485" s="4" t="n"/>
      <c r="K1485" s="4" t="n"/>
      <c r="L1485" s="4" t="n"/>
      <c r="M1485" s="4" t="n"/>
      <c r="N1485" s="4">
        <f>IF(AND(K1485="",M1485=""),"",IF(OR(K1485="sim",M1485="sim"),"sim",IF(OR(K1485="inconclusivo",M1485="inconclusivo"),"inconclusivo","não")))</f>
        <v/>
      </c>
      <c r="O1485" s="5">
        <f>IF(N1485="sim",COUNTIFS($B$3:$B1485,$B1485,$N$3:$N1485,"sim"),"")</f>
        <v/>
      </c>
      <c r="P1485" s="5" t="n"/>
      <c r="Q1485" s="4" t="n"/>
      <c r="R1485" s="5" t="n"/>
      <c r="S1485" s="9" t="n"/>
      <c r="T1485" s="4" t="n"/>
    </row>
    <row r="1486">
      <c r="A1486" s="5">
        <f>ROW()-2</f>
        <v/>
      </c>
      <c r="B1486" s="4" t="inlineStr">
        <is>
          <t>Capital regional</t>
        </is>
      </c>
      <c r="C1486" s="5" t="n">
        <v>542</v>
      </c>
      <c r="D1486" s="5">
        <f>IFERROR(INDEX('Base de sorteio'!$A$3:$A$1723,MATCH($B1486&amp;"|"&amp;$C1486,'Base de sorteio'!$I$3:$I$1723,0)),"")</f>
        <v/>
      </c>
      <c r="E1486" s="4">
        <f>IFERROR(INDEX('Base de sorteio'!$B$3:$B$1723,MATCH($B1486&amp;"|"&amp;$C1486,'Base de sorteio'!$I$3:$I$1723,0)),"")</f>
        <v/>
      </c>
      <c r="F1486" s="4">
        <f>IFERROR(INDEX('Base de sorteio'!$C$3:$C$1723,MATCH($B1486&amp;"|"&amp;$C1486,'Base de sorteio'!$I$3:$I$1723,0)),"")</f>
        <v/>
      </c>
      <c r="G1486" s="4">
        <f>IFERROR(INDEX('Base de sorteio'!$D$3:$D$1723,MATCH($B1486&amp;"|"&amp;$C1486,'Base de sorteio'!$I$3:$I$1723,0)),"")</f>
        <v/>
      </c>
      <c r="H1486" s="4">
        <f>IFERROR(INDEX('Base de sorteio'!$E$3:$E$1723,MATCH($B1486&amp;"|"&amp;$C1486,'Base de sorteio'!$I$3:$I$1723,0)),"")</f>
        <v/>
      </c>
      <c r="I1486" s="4">
        <f>IF(E1486="","",HYPERLINK(IFERROR(INDEX('Base de sorteio'!$J$3:$J$1723,MATCH($B1486&amp;"|"&amp;$C1486,'Base de sorteio'!$I$3:$I$1723,0)),""),"abrir"))</f>
        <v/>
      </c>
      <c r="J1486" s="4" t="n"/>
      <c r="K1486" s="4" t="n"/>
      <c r="L1486" s="4" t="n"/>
      <c r="M1486" s="4" t="n"/>
      <c r="N1486" s="4">
        <f>IF(AND(K1486="",M1486=""),"",IF(OR(K1486="sim",M1486="sim"),"sim",IF(OR(K1486="inconclusivo",M1486="inconclusivo"),"inconclusivo","não")))</f>
        <v/>
      </c>
      <c r="O1486" s="5">
        <f>IF(N1486="sim",COUNTIFS($B$3:$B1486,$B1486,$N$3:$N1486,"sim"),"")</f>
        <v/>
      </c>
      <c r="P1486" s="5" t="n"/>
      <c r="Q1486" s="4" t="n"/>
      <c r="R1486" s="5" t="n"/>
      <c r="S1486" s="9" t="n"/>
      <c r="T1486" s="4" t="n"/>
    </row>
    <row r="1487">
      <c r="A1487" s="5">
        <f>ROW()-2</f>
        <v/>
      </c>
      <c r="B1487" s="4" t="inlineStr">
        <is>
          <t>Capital regional</t>
        </is>
      </c>
      <c r="C1487" s="5" t="n">
        <v>543</v>
      </c>
      <c r="D1487" s="5">
        <f>IFERROR(INDEX('Base de sorteio'!$A$3:$A$1723,MATCH($B1487&amp;"|"&amp;$C1487,'Base de sorteio'!$I$3:$I$1723,0)),"")</f>
        <v/>
      </c>
      <c r="E1487" s="4">
        <f>IFERROR(INDEX('Base de sorteio'!$B$3:$B$1723,MATCH($B1487&amp;"|"&amp;$C1487,'Base de sorteio'!$I$3:$I$1723,0)),"")</f>
        <v/>
      </c>
      <c r="F1487" s="4">
        <f>IFERROR(INDEX('Base de sorteio'!$C$3:$C$1723,MATCH($B1487&amp;"|"&amp;$C1487,'Base de sorteio'!$I$3:$I$1723,0)),"")</f>
        <v/>
      </c>
      <c r="G1487" s="4">
        <f>IFERROR(INDEX('Base de sorteio'!$D$3:$D$1723,MATCH($B1487&amp;"|"&amp;$C1487,'Base de sorteio'!$I$3:$I$1723,0)),"")</f>
        <v/>
      </c>
      <c r="H1487" s="4">
        <f>IFERROR(INDEX('Base de sorteio'!$E$3:$E$1723,MATCH($B1487&amp;"|"&amp;$C1487,'Base de sorteio'!$I$3:$I$1723,0)),"")</f>
        <v/>
      </c>
      <c r="I1487" s="4">
        <f>IF(E1487="","",HYPERLINK(IFERROR(INDEX('Base de sorteio'!$J$3:$J$1723,MATCH($B1487&amp;"|"&amp;$C1487,'Base de sorteio'!$I$3:$I$1723,0)),""),"abrir"))</f>
        <v/>
      </c>
      <c r="J1487" s="4" t="n"/>
      <c r="K1487" s="4" t="n"/>
      <c r="L1487" s="4" t="n"/>
      <c r="M1487" s="4" t="n"/>
      <c r="N1487" s="4">
        <f>IF(AND(K1487="",M1487=""),"",IF(OR(K1487="sim",M1487="sim"),"sim",IF(OR(K1487="inconclusivo",M1487="inconclusivo"),"inconclusivo","não")))</f>
        <v/>
      </c>
      <c r="O1487" s="5">
        <f>IF(N1487="sim",COUNTIFS($B$3:$B1487,$B1487,$N$3:$N1487,"sim"),"")</f>
        <v/>
      </c>
      <c r="P1487" s="5" t="n"/>
      <c r="Q1487" s="4" t="n"/>
      <c r="R1487" s="5" t="n"/>
      <c r="S1487" s="9" t="n"/>
      <c r="T1487" s="4" t="n"/>
    </row>
    <row r="1488">
      <c r="A1488" s="5">
        <f>ROW()-2</f>
        <v/>
      </c>
      <c r="B1488" s="4" t="inlineStr">
        <is>
          <t>Capital regional</t>
        </is>
      </c>
      <c r="C1488" s="5" t="n">
        <v>544</v>
      </c>
      <c r="D1488" s="5">
        <f>IFERROR(INDEX('Base de sorteio'!$A$3:$A$1723,MATCH($B1488&amp;"|"&amp;$C1488,'Base de sorteio'!$I$3:$I$1723,0)),"")</f>
        <v/>
      </c>
      <c r="E1488" s="4">
        <f>IFERROR(INDEX('Base de sorteio'!$B$3:$B$1723,MATCH($B1488&amp;"|"&amp;$C1488,'Base de sorteio'!$I$3:$I$1723,0)),"")</f>
        <v/>
      </c>
      <c r="F1488" s="4">
        <f>IFERROR(INDEX('Base de sorteio'!$C$3:$C$1723,MATCH($B1488&amp;"|"&amp;$C1488,'Base de sorteio'!$I$3:$I$1723,0)),"")</f>
        <v/>
      </c>
      <c r="G1488" s="4">
        <f>IFERROR(INDEX('Base de sorteio'!$D$3:$D$1723,MATCH($B1488&amp;"|"&amp;$C1488,'Base de sorteio'!$I$3:$I$1723,0)),"")</f>
        <v/>
      </c>
      <c r="H1488" s="4">
        <f>IFERROR(INDEX('Base de sorteio'!$E$3:$E$1723,MATCH($B1488&amp;"|"&amp;$C1488,'Base de sorteio'!$I$3:$I$1723,0)),"")</f>
        <v/>
      </c>
      <c r="I1488" s="4">
        <f>IF(E1488="","",HYPERLINK(IFERROR(INDEX('Base de sorteio'!$J$3:$J$1723,MATCH($B1488&amp;"|"&amp;$C1488,'Base de sorteio'!$I$3:$I$1723,0)),""),"abrir"))</f>
        <v/>
      </c>
      <c r="J1488" s="4" t="n"/>
      <c r="K1488" s="4" t="n"/>
      <c r="L1488" s="4" t="n"/>
      <c r="M1488" s="4" t="n"/>
      <c r="N1488" s="4">
        <f>IF(AND(K1488="",M1488=""),"",IF(OR(K1488="sim",M1488="sim"),"sim",IF(OR(K1488="inconclusivo",M1488="inconclusivo"),"inconclusivo","não")))</f>
        <v/>
      </c>
      <c r="O1488" s="5">
        <f>IF(N1488="sim",COUNTIFS($B$3:$B1488,$B1488,$N$3:$N1488,"sim"),"")</f>
        <v/>
      </c>
      <c r="P1488" s="5" t="n"/>
      <c r="Q1488" s="4" t="n"/>
      <c r="R1488" s="5" t="n"/>
      <c r="S1488" s="9" t="n"/>
      <c r="T1488" s="4" t="n"/>
    </row>
    <row r="1489">
      <c r="A1489" s="5">
        <f>ROW()-2</f>
        <v/>
      </c>
      <c r="B1489" s="4" t="inlineStr">
        <is>
          <t>Capital regional</t>
        </is>
      </c>
      <c r="C1489" s="5" t="n">
        <v>545</v>
      </c>
      <c r="D1489" s="5">
        <f>IFERROR(INDEX('Base de sorteio'!$A$3:$A$1723,MATCH($B1489&amp;"|"&amp;$C1489,'Base de sorteio'!$I$3:$I$1723,0)),"")</f>
        <v/>
      </c>
      <c r="E1489" s="4">
        <f>IFERROR(INDEX('Base de sorteio'!$B$3:$B$1723,MATCH($B1489&amp;"|"&amp;$C1489,'Base de sorteio'!$I$3:$I$1723,0)),"")</f>
        <v/>
      </c>
      <c r="F1489" s="4">
        <f>IFERROR(INDEX('Base de sorteio'!$C$3:$C$1723,MATCH($B1489&amp;"|"&amp;$C1489,'Base de sorteio'!$I$3:$I$1723,0)),"")</f>
        <v/>
      </c>
      <c r="G1489" s="4">
        <f>IFERROR(INDEX('Base de sorteio'!$D$3:$D$1723,MATCH($B1489&amp;"|"&amp;$C1489,'Base de sorteio'!$I$3:$I$1723,0)),"")</f>
        <v/>
      </c>
      <c r="H1489" s="4">
        <f>IFERROR(INDEX('Base de sorteio'!$E$3:$E$1723,MATCH($B1489&amp;"|"&amp;$C1489,'Base de sorteio'!$I$3:$I$1723,0)),"")</f>
        <v/>
      </c>
      <c r="I1489" s="4">
        <f>IF(E1489="","",HYPERLINK(IFERROR(INDEX('Base de sorteio'!$J$3:$J$1723,MATCH($B1489&amp;"|"&amp;$C1489,'Base de sorteio'!$I$3:$I$1723,0)),""),"abrir"))</f>
        <v/>
      </c>
      <c r="J1489" s="4" t="n"/>
      <c r="K1489" s="4" t="n"/>
      <c r="L1489" s="4" t="n"/>
      <c r="M1489" s="4" t="n"/>
      <c r="N1489" s="4">
        <f>IF(AND(K1489="",M1489=""),"",IF(OR(K1489="sim",M1489="sim"),"sim",IF(OR(K1489="inconclusivo",M1489="inconclusivo"),"inconclusivo","não")))</f>
        <v/>
      </c>
      <c r="O1489" s="5">
        <f>IF(N1489="sim",COUNTIFS($B$3:$B1489,$B1489,$N$3:$N1489,"sim"),"")</f>
        <v/>
      </c>
      <c r="P1489" s="5" t="n"/>
      <c r="Q1489" s="4" t="n"/>
      <c r="R1489" s="5" t="n"/>
      <c r="S1489" s="9" t="n"/>
      <c r="T1489" s="4" t="n"/>
    </row>
    <row r="1490">
      <c r="A1490" s="5">
        <f>ROW()-2</f>
        <v/>
      </c>
      <c r="B1490" s="4" t="inlineStr">
        <is>
          <t>Capital regional</t>
        </is>
      </c>
      <c r="C1490" s="5" t="n">
        <v>546</v>
      </c>
      <c r="D1490" s="5">
        <f>IFERROR(INDEX('Base de sorteio'!$A$3:$A$1723,MATCH($B1490&amp;"|"&amp;$C1490,'Base de sorteio'!$I$3:$I$1723,0)),"")</f>
        <v/>
      </c>
      <c r="E1490" s="4">
        <f>IFERROR(INDEX('Base de sorteio'!$B$3:$B$1723,MATCH($B1490&amp;"|"&amp;$C1490,'Base de sorteio'!$I$3:$I$1723,0)),"")</f>
        <v/>
      </c>
      <c r="F1490" s="4">
        <f>IFERROR(INDEX('Base de sorteio'!$C$3:$C$1723,MATCH($B1490&amp;"|"&amp;$C1490,'Base de sorteio'!$I$3:$I$1723,0)),"")</f>
        <v/>
      </c>
      <c r="G1490" s="4">
        <f>IFERROR(INDEX('Base de sorteio'!$D$3:$D$1723,MATCH($B1490&amp;"|"&amp;$C1490,'Base de sorteio'!$I$3:$I$1723,0)),"")</f>
        <v/>
      </c>
      <c r="H1490" s="4">
        <f>IFERROR(INDEX('Base de sorteio'!$E$3:$E$1723,MATCH($B1490&amp;"|"&amp;$C1490,'Base de sorteio'!$I$3:$I$1723,0)),"")</f>
        <v/>
      </c>
      <c r="I1490" s="4">
        <f>IF(E1490="","",HYPERLINK(IFERROR(INDEX('Base de sorteio'!$J$3:$J$1723,MATCH($B1490&amp;"|"&amp;$C1490,'Base de sorteio'!$I$3:$I$1723,0)),""),"abrir"))</f>
        <v/>
      </c>
      <c r="J1490" s="4" t="n"/>
      <c r="K1490" s="4" t="n"/>
      <c r="L1490" s="4" t="n"/>
      <c r="M1490" s="4" t="n"/>
      <c r="N1490" s="4">
        <f>IF(AND(K1490="",M1490=""),"",IF(OR(K1490="sim",M1490="sim"),"sim",IF(OR(K1490="inconclusivo",M1490="inconclusivo"),"inconclusivo","não")))</f>
        <v/>
      </c>
      <c r="O1490" s="5">
        <f>IF(N1490="sim",COUNTIFS($B$3:$B1490,$B1490,$N$3:$N1490,"sim"),"")</f>
        <v/>
      </c>
      <c r="P1490" s="5" t="n"/>
      <c r="Q1490" s="4" t="n"/>
      <c r="R1490" s="5" t="n"/>
      <c r="S1490" s="9" t="n"/>
      <c r="T1490" s="4" t="n"/>
    </row>
    <row r="1491">
      <c r="A1491" s="5">
        <f>ROW()-2</f>
        <v/>
      </c>
      <c r="B1491" s="4" t="inlineStr">
        <is>
          <t>Capital regional</t>
        </is>
      </c>
      <c r="C1491" s="5" t="n">
        <v>547</v>
      </c>
      <c r="D1491" s="5">
        <f>IFERROR(INDEX('Base de sorteio'!$A$3:$A$1723,MATCH($B1491&amp;"|"&amp;$C1491,'Base de sorteio'!$I$3:$I$1723,0)),"")</f>
        <v/>
      </c>
      <c r="E1491" s="4">
        <f>IFERROR(INDEX('Base de sorteio'!$B$3:$B$1723,MATCH($B1491&amp;"|"&amp;$C1491,'Base de sorteio'!$I$3:$I$1723,0)),"")</f>
        <v/>
      </c>
      <c r="F1491" s="4">
        <f>IFERROR(INDEX('Base de sorteio'!$C$3:$C$1723,MATCH($B1491&amp;"|"&amp;$C1491,'Base de sorteio'!$I$3:$I$1723,0)),"")</f>
        <v/>
      </c>
      <c r="G1491" s="4">
        <f>IFERROR(INDEX('Base de sorteio'!$D$3:$D$1723,MATCH($B1491&amp;"|"&amp;$C1491,'Base de sorteio'!$I$3:$I$1723,0)),"")</f>
        <v/>
      </c>
      <c r="H1491" s="4">
        <f>IFERROR(INDEX('Base de sorteio'!$E$3:$E$1723,MATCH($B1491&amp;"|"&amp;$C1491,'Base de sorteio'!$I$3:$I$1723,0)),"")</f>
        <v/>
      </c>
      <c r="I1491" s="4">
        <f>IF(E1491="","",HYPERLINK(IFERROR(INDEX('Base de sorteio'!$J$3:$J$1723,MATCH($B1491&amp;"|"&amp;$C1491,'Base de sorteio'!$I$3:$I$1723,0)),""),"abrir"))</f>
        <v/>
      </c>
      <c r="J1491" s="4" t="n"/>
      <c r="K1491" s="4" t="n"/>
      <c r="L1491" s="4" t="n"/>
      <c r="M1491" s="4" t="n"/>
      <c r="N1491" s="4">
        <f>IF(AND(K1491="",M1491=""),"",IF(OR(K1491="sim",M1491="sim"),"sim",IF(OR(K1491="inconclusivo",M1491="inconclusivo"),"inconclusivo","não")))</f>
        <v/>
      </c>
      <c r="O1491" s="5">
        <f>IF(N1491="sim",COUNTIFS($B$3:$B1491,$B1491,$N$3:$N1491,"sim"),"")</f>
        <v/>
      </c>
      <c r="P1491" s="5" t="n"/>
      <c r="Q1491" s="4" t="n"/>
      <c r="R1491" s="5" t="n"/>
      <c r="S1491" s="9" t="n"/>
      <c r="T1491" s="4" t="n"/>
    </row>
    <row r="1492">
      <c r="A1492" s="5">
        <f>ROW()-2</f>
        <v/>
      </c>
      <c r="B1492" s="4" t="inlineStr">
        <is>
          <t>Capital regional</t>
        </is>
      </c>
      <c r="C1492" s="5" t="n">
        <v>548</v>
      </c>
      <c r="D1492" s="5">
        <f>IFERROR(INDEX('Base de sorteio'!$A$3:$A$1723,MATCH($B1492&amp;"|"&amp;$C1492,'Base de sorteio'!$I$3:$I$1723,0)),"")</f>
        <v/>
      </c>
      <c r="E1492" s="4">
        <f>IFERROR(INDEX('Base de sorteio'!$B$3:$B$1723,MATCH($B1492&amp;"|"&amp;$C1492,'Base de sorteio'!$I$3:$I$1723,0)),"")</f>
        <v/>
      </c>
      <c r="F1492" s="4">
        <f>IFERROR(INDEX('Base de sorteio'!$C$3:$C$1723,MATCH($B1492&amp;"|"&amp;$C1492,'Base de sorteio'!$I$3:$I$1723,0)),"")</f>
        <v/>
      </c>
      <c r="G1492" s="4">
        <f>IFERROR(INDEX('Base de sorteio'!$D$3:$D$1723,MATCH($B1492&amp;"|"&amp;$C1492,'Base de sorteio'!$I$3:$I$1723,0)),"")</f>
        <v/>
      </c>
      <c r="H1492" s="4">
        <f>IFERROR(INDEX('Base de sorteio'!$E$3:$E$1723,MATCH($B1492&amp;"|"&amp;$C1492,'Base de sorteio'!$I$3:$I$1723,0)),"")</f>
        <v/>
      </c>
      <c r="I1492" s="4">
        <f>IF(E1492="","",HYPERLINK(IFERROR(INDEX('Base de sorteio'!$J$3:$J$1723,MATCH($B1492&amp;"|"&amp;$C1492,'Base de sorteio'!$I$3:$I$1723,0)),""),"abrir"))</f>
        <v/>
      </c>
      <c r="J1492" s="4" t="n"/>
      <c r="K1492" s="4" t="n"/>
      <c r="L1492" s="4" t="n"/>
      <c r="M1492" s="4" t="n"/>
      <c r="N1492" s="4">
        <f>IF(AND(K1492="",M1492=""),"",IF(OR(K1492="sim",M1492="sim"),"sim",IF(OR(K1492="inconclusivo",M1492="inconclusivo"),"inconclusivo","não")))</f>
        <v/>
      </c>
      <c r="O1492" s="5">
        <f>IF(N1492="sim",COUNTIFS($B$3:$B1492,$B1492,$N$3:$N1492,"sim"),"")</f>
        <v/>
      </c>
      <c r="P1492" s="5" t="n"/>
      <c r="Q1492" s="4" t="n"/>
      <c r="R1492" s="5" t="n"/>
      <c r="S1492" s="9" t="n"/>
      <c r="T1492" s="4" t="n"/>
    </row>
    <row r="1493">
      <c r="A1493" s="5">
        <f>ROW()-2</f>
        <v/>
      </c>
      <c r="B1493" s="4" t="inlineStr">
        <is>
          <t>Capital regional</t>
        </is>
      </c>
      <c r="C1493" s="5" t="n">
        <v>549</v>
      </c>
      <c r="D1493" s="5">
        <f>IFERROR(INDEX('Base de sorteio'!$A$3:$A$1723,MATCH($B1493&amp;"|"&amp;$C1493,'Base de sorteio'!$I$3:$I$1723,0)),"")</f>
        <v/>
      </c>
      <c r="E1493" s="4">
        <f>IFERROR(INDEX('Base de sorteio'!$B$3:$B$1723,MATCH($B1493&amp;"|"&amp;$C1493,'Base de sorteio'!$I$3:$I$1723,0)),"")</f>
        <v/>
      </c>
      <c r="F1493" s="4">
        <f>IFERROR(INDEX('Base de sorteio'!$C$3:$C$1723,MATCH($B1493&amp;"|"&amp;$C1493,'Base de sorteio'!$I$3:$I$1723,0)),"")</f>
        <v/>
      </c>
      <c r="G1493" s="4">
        <f>IFERROR(INDEX('Base de sorteio'!$D$3:$D$1723,MATCH($B1493&amp;"|"&amp;$C1493,'Base de sorteio'!$I$3:$I$1723,0)),"")</f>
        <v/>
      </c>
      <c r="H1493" s="4">
        <f>IFERROR(INDEX('Base de sorteio'!$E$3:$E$1723,MATCH($B1493&amp;"|"&amp;$C1493,'Base de sorteio'!$I$3:$I$1723,0)),"")</f>
        <v/>
      </c>
      <c r="I1493" s="4">
        <f>IF(E1493="","",HYPERLINK(IFERROR(INDEX('Base de sorteio'!$J$3:$J$1723,MATCH($B1493&amp;"|"&amp;$C1493,'Base de sorteio'!$I$3:$I$1723,0)),""),"abrir"))</f>
        <v/>
      </c>
      <c r="J1493" s="4" t="n"/>
      <c r="K1493" s="4" t="n"/>
      <c r="L1493" s="4" t="n"/>
      <c r="M1493" s="4" t="n"/>
      <c r="N1493" s="4">
        <f>IF(AND(K1493="",M1493=""),"",IF(OR(K1493="sim",M1493="sim"),"sim",IF(OR(K1493="inconclusivo",M1493="inconclusivo"),"inconclusivo","não")))</f>
        <v/>
      </c>
      <c r="O1493" s="5">
        <f>IF(N1493="sim",COUNTIFS($B$3:$B1493,$B1493,$N$3:$N1493,"sim"),"")</f>
        <v/>
      </c>
      <c r="P1493" s="5" t="n"/>
      <c r="Q1493" s="4" t="n"/>
      <c r="R1493" s="5" t="n"/>
      <c r="S1493" s="9" t="n"/>
      <c r="T1493" s="4" t="n"/>
    </row>
    <row r="1494">
      <c r="A1494" s="5">
        <f>ROW()-2</f>
        <v/>
      </c>
      <c r="B1494" s="4" t="inlineStr">
        <is>
          <t>Capital regional</t>
        </is>
      </c>
      <c r="C1494" s="5" t="n">
        <v>550</v>
      </c>
      <c r="D1494" s="5">
        <f>IFERROR(INDEX('Base de sorteio'!$A$3:$A$1723,MATCH($B1494&amp;"|"&amp;$C1494,'Base de sorteio'!$I$3:$I$1723,0)),"")</f>
        <v/>
      </c>
      <c r="E1494" s="4">
        <f>IFERROR(INDEX('Base de sorteio'!$B$3:$B$1723,MATCH($B1494&amp;"|"&amp;$C1494,'Base de sorteio'!$I$3:$I$1723,0)),"")</f>
        <v/>
      </c>
      <c r="F1494" s="4">
        <f>IFERROR(INDEX('Base de sorteio'!$C$3:$C$1723,MATCH($B1494&amp;"|"&amp;$C1494,'Base de sorteio'!$I$3:$I$1723,0)),"")</f>
        <v/>
      </c>
      <c r="G1494" s="4">
        <f>IFERROR(INDEX('Base de sorteio'!$D$3:$D$1723,MATCH($B1494&amp;"|"&amp;$C1494,'Base de sorteio'!$I$3:$I$1723,0)),"")</f>
        <v/>
      </c>
      <c r="H1494" s="4">
        <f>IFERROR(INDEX('Base de sorteio'!$E$3:$E$1723,MATCH($B1494&amp;"|"&amp;$C1494,'Base de sorteio'!$I$3:$I$1723,0)),"")</f>
        <v/>
      </c>
      <c r="I1494" s="4">
        <f>IF(E1494="","",HYPERLINK(IFERROR(INDEX('Base de sorteio'!$J$3:$J$1723,MATCH($B1494&amp;"|"&amp;$C1494,'Base de sorteio'!$I$3:$I$1723,0)),""),"abrir"))</f>
        <v/>
      </c>
      <c r="J1494" s="4" t="n"/>
      <c r="K1494" s="4" t="n"/>
      <c r="L1494" s="4" t="n"/>
      <c r="M1494" s="4" t="n"/>
      <c r="N1494" s="4">
        <f>IF(AND(K1494="",M1494=""),"",IF(OR(K1494="sim",M1494="sim"),"sim",IF(OR(K1494="inconclusivo",M1494="inconclusivo"),"inconclusivo","não")))</f>
        <v/>
      </c>
      <c r="O1494" s="5">
        <f>IF(N1494="sim",COUNTIFS($B$3:$B1494,$B1494,$N$3:$N1494,"sim"),"")</f>
        <v/>
      </c>
      <c r="P1494" s="5" t="n"/>
      <c r="Q1494" s="4" t="n"/>
      <c r="R1494" s="5" t="n"/>
      <c r="S1494" s="9" t="n"/>
      <c r="T1494" s="4" t="n"/>
    </row>
    <row r="1495">
      <c r="A1495" s="5">
        <f>ROW()-2</f>
        <v/>
      </c>
      <c r="B1495" s="4" t="inlineStr">
        <is>
          <t>Capital regional</t>
        </is>
      </c>
      <c r="C1495" s="5" t="n">
        <v>551</v>
      </c>
      <c r="D1495" s="5">
        <f>IFERROR(INDEX('Base de sorteio'!$A$3:$A$1723,MATCH($B1495&amp;"|"&amp;$C1495,'Base de sorteio'!$I$3:$I$1723,0)),"")</f>
        <v/>
      </c>
      <c r="E1495" s="4">
        <f>IFERROR(INDEX('Base de sorteio'!$B$3:$B$1723,MATCH($B1495&amp;"|"&amp;$C1495,'Base de sorteio'!$I$3:$I$1723,0)),"")</f>
        <v/>
      </c>
      <c r="F1495" s="4">
        <f>IFERROR(INDEX('Base de sorteio'!$C$3:$C$1723,MATCH($B1495&amp;"|"&amp;$C1495,'Base de sorteio'!$I$3:$I$1723,0)),"")</f>
        <v/>
      </c>
      <c r="G1495" s="4">
        <f>IFERROR(INDEX('Base de sorteio'!$D$3:$D$1723,MATCH($B1495&amp;"|"&amp;$C1495,'Base de sorteio'!$I$3:$I$1723,0)),"")</f>
        <v/>
      </c>
      <c r="H1495" s="4">
        <f>IFERROR(INDEX('Base de sorteio'!$E$3:$E$1723,MATCH($B1495&amp;"|"&amp;$C1495,'Base de sorteio'!$I$3:$I$1723,0)),"")</f>
        <v/>
      </c>
      <c r="I1495" s="4">
        <f>IF(E1495="","",HYPERLINK(IFERROR(INDEX('Base de sorteio'!$J$3:$J$1723,MATCH($B1495&amp;"|"&amp;$C1495,'Base de sorteio'!$I$3:$I$1723,0)),""),"abrir"))</f>
        <v/>
      </c>
      <c r="J1495" s="4" t="n"/>
      <c r="K1495" s="4" t="n"/>
      <c r="L1495" s="4" t="n"/>
      <c r="M1495" s="4" t="n"/>
      <c r="N1495" s="4">
        <f>IF(AND(K1495="",M1495=""),"",IF(OR(K1495="sim",M1495="sim"),"sim",IF(OR(K1495="inconclusivo",M1495="inconclusivo"),"inconclusivo","não")))</f>
        <v/>
      </c>
      <c r="O1495" s="5">
        <f>IF(N1495="sim",COUNTIFS($B$3:$B1495,$B1495,$N$3:$N1495,"sim"),"")</f>
        <v/>
      </c>
      <c r="P1495" s="5" t="n"/>
      <c r="Q1495" s="4" t="n"/>
      <c r="R1495" s="5" t="n"/>
      <c r="S1495" s="9" t="n"/>
      <c r="T1495" s="4" t="n"/>
    </row>
    <row r="1496">
      <c r="A1496" s="5">
        <f>ROW()-2</f>
        <v/>
      </c>
      <c r="B1496" s="4" t="inlineStr">
        <is>
          <t>Capital regional</t>
        </is>
      </c>
      <c r="C1496" s="5" t="n">
        <v>552</v>
      </c>
      <c r="D1496" s="5">
        <f>IFERROR(INDEX('Base de sorteio'!$A$3:$A$1723,MATCH($B1496&amp;"|"&amp;$C1496,'Base de sorteio'!$I$3:$I$1723,0)),"")</f>
        <v/>
      </c>
      <c r="E1496" s="4">
        <f>IFERROR(INDEX('Base de sorteio'!$B$3:$B$1723,MATCH($B1496&amp;"|"&amp;$C1496,'Base de sorteio'!$I$3:$I$1723,0)),"")</f>
        <v/>
      </c>
      <c r="F1496" s="4">
        <f>IFERROR(INDEX('Base de sorteio'!$C$3:$C$1723,MATCH($B1496&amp;"|"&amp;$C1496,'Base de sorteio'!$I$3:$I$1723,0)),"")</f>
        <v/>
      </c>
      <c r="G1496" s="4">
        <f>IFERROR(INDEX('Base de sorteio'!$D$3:$D$1723,MATCH($B1496&amp;"|"&amp;$C1496,'Base de sorteio'!$I$3:$I$1723,0)),"")</f>
        <v/>
      </c>
      <c r="H1496" s="4">
        <f>IFERROR(INDEX('Base de sorteio'!$E$3:$E$1723,MATCH($B1496&amp;"|"&amp;$C1496,'Base de sorteio'!$I$3:$I$1723,0)),"")</f>
        <v/>
      </c>
      <c r="I1496" s="4">
        <f>IF(E1496="","",HYPERLINK(IFERROR(INDEX('Base de sorteio'!$J$3:$J$1723,MATCH($B1496&amp;"|"&amp;$C1496,'Base de sorteio'!$I$3:$I$1723,0)),""),"abrir"))</f>
        <v/>
      </c>
      <c r="J1496" s="4" t="n"/>
      <c r="K1496" s="4" t="n"/>
      <c r="L1496" s="4" t="n"/>
      <c r="M1496" s="4" t="n"/>
      <c r="N1496" s="4">
        <f>IF(AND(K1496="",M1496=""),"",IF(OR(K1496="sim",M1496="sim"),"sim",IF(OR(K1496="inconclusivo",M1496="inconclusivo"),"inconclusivo","não")))</f>
        <v/>
      </c>
      <c r="O1496" s="5">
        <f>IF(N1496="sim",COUNTIFS($B$3:$B1496,$B1496,$N$3:$N1496,"sim"),"")</f>
        <v/>
      </c>
      <c r="P1496" s="5" t="n"/>
      <c r="Q1496" s="4" t="n"/>
      <c r="R1496" s="5" t="n"/>
      <c r="S1496" s="9" t="n"/>
      <c r="T1496" s="4" t="n"/>
    </row>
    <row r="1497">
      <c r="A1497" s="5">
        <f>ROW()-2</f>
        <v/>
      </c>
      <c r="B1497" s="4" t="inlineStr">
        <is>
          <t>Capital regional</t>
        </is>
      </c>
      <c r="C1497" s="5" t="n">
        <v>553</v>
      </c>
      <c r="D1497" s="5">
        <f>IFERROR(INDEX('Base de sorteio'!$A$3:$A$1723,MATCH($B1497&amp;"|"&amp;$C1497,'Base de sorteio'!$I$3:$I$1723,0)),"")</f>
        <v/>
      </c>
      <c r="E1497" s="4">
        <f>IFERROR(INDEX('Base de sorteio'!$B$3:$B$1723,MATCH($B1497&amp;"|"&amp;$C1497,'Base de sorteio'!$I$3:$I$1723,0)),"")</f>
        <v/>
      </c>
      <c r="F1497" s="4">
        <f>IFERROR(INDEX('Base de sorteio'!$C$3:$C$1723,MATCH($B1497&amp;"|"&amp;$C1497,'Base de sorteio'!$I$3:$I$1723,0)),"")</f>
        <v/>
      </c>
      <c r="G1497" s="4">
        <f>IFERROR(INDEX('Base de sorteio'!$D$3:$D$1723,MATCH($B1497&amp;"|"&amp;$C1497,'Base de sorteio'!$I$3:$I$1723,0)),"")</f>
        <v/>
      </c>
      <c r="H1497" s="4">
        <f>IFERROR(INDEX('Base de sorteio'!$E$3:$E$1723,MATCH($B1497&amp;"|"&amp;$C1497,'Base de sorteio'!$I$3:$I$1723,0)),"")</f>
        <v/>
      </c>
      <c r="I1497" s="4">
        <f>IF(E1497="","",HYPERLINK(IFERROR(INDEX('Base de sorteio'!$J$3:$J$1723,MATCH($B1497&amp;"|"&amp;$C1497,'Base de sorteio'!$I$3:$I$1723,0)),""),"abrir"))</f>
        <v/>
      </c>
      <c r="J1497" s="4" t="n"/>
      <c r="K1497" s="4" t="n"/>
      <c r="L1497" s="4" t="n"/>
      <c r="M1497" s="4" t="n"/>
      <c r="N1497" s="4">
        <f>IF(AND(K1497="",M1497=""),"",IF(OR(K1497="sim",M1497="sim"),"sim",IF(OR(K1497="inconclusivo",M1497="inconclusivo"),"inconclusivo","não")))</f>
        <v/>
      </c>
      <c r="O1497" s="5">
        <f>IF(N1497="sim",COUNTIFS($B$3:$B1497,$B1497,$N$3:$N1497,"sim"),"")</f>
        <v/>
      </c>
      <c r="P1497" s="5" t="n"/>
      <c r="Q1497" s="4" t="n"/>
      <c r="R1497" s="5" t="n"/>
      <c r="S1497" s="9" t="n"/>
      <c r="T1497" s="4" t="n"/>
    </row>
    <row r="1498">
      <c r="A1498" s="5">
        <f>ROW()-2</f>
        <v/>
      </c>
      <c r="B1498" s="4" t="inlineStr">
        <is>
          <t>Capital regional</t>
        </is>
      </c>
      <c r="C1498" s="5" t="n">
        <v>554</v>
      </c>
      <c r="D1498" s="5">
        <f>IFERROR(INDEX('Base de sorteio'!$A$3:$A$1723,MATCH($B1498&amp;"|"&amp;$C1498,'Base de sorteio'!$I$3:$I$1723,0)),"")</f>
        <v/>
      </c>
      <c r="E1498" s="4">
        <f>IFERROR(INDEX('Base de sorteio'!$B$3:$B$1723,MATCH($B1498&amp;"|"&amp;$C1498,'Base de sorteio'!$I$3:$I$1723,0)),"")</f>
        <v/>
      </c>
      <c r="F1498" s="4">
        <f>IFERROR(INDEX('Base de sorteio'!$C$3:$C$1723,MATCH($B1498&amp;"|"&amp;$C1498,'Base de sorteio'!$I$3:$I$1723,0)),"")</f>
        <v/>
      </c>
      <c r="G1498" s="4">
        <f>IFERROR(INDEX('Base de sorteio'!$D$3:$D$1723,MATCH($B1498&amp;"|"&amp;$C1498,'Base de sorteio'!$I$3:$I$1723,0)),"")</f>
        <v/>
      </c>
      <c r="H1498" s="4">
        <f>IFERROR(INDEX('Base de sorteio'!$E$3:$E$1723,MATCH($B1498&amp;"|"&amp;$C1498,'Base de sorteio'!$I$3:$I$1723,0)),"")</f>
        <v/>
      </c>
      <c r="I1498" s="4">
        <f>IF(E1498="","",HYPERLINK(IFERROR(INDEX('Base de sorteio'!$J$3:$J$1723,MATCH($B1498&amp;"|"&amp;$C1498,'Base de sorteio'!$I$3:$I$1723,0)),""),"abrir"))</f>
        <v/>
      </c>
      <c r="J1498" s="4" t="n"/>
      <c r="K1498" s="4" t="n"/>
      <c r="L1498" s="4" t="n"/>
      <c r="M1498" s="4" t="n"/>
      <c r="N1498" s="4">
        <f>IF(AND(K1498="",M1498=""),"",IF(OR(K1498="sim",M1498="sim"),"sim",IF(OR(K1498="inconclusivo",M1498="inconclusivo"),"inconclusivo","não")))</f>
        <v/>
      </c>
      <c r="O1498" s="5">
        <f>IF(N1498="sim",COUNTIFS($B$3:$B1498,$B1498,$N$3:$N1498,"sim"),"")</f>
        <v/>
      </c>
      <c r="P1498" s="5" t="n"/>
      <c r="Q1498" s="4" t="n"/>
      <c r="R1498" s="5" t="n"/>
      <c r="S1498" s="9" t="n"/>
      <c r="T1498" s="4" t="n"/>
    </row>
    <row r="1499">
      <c r="A1499" s="5">
        <f>ROW()-2</f>
        <v/>
      </c>
      <c r="B1499" s="4" t="inlineStr">
        <is>
          <t>Capital regional</t>
        </is>
      </c>
      <c r="C1499" s="5" t="n">
        <v>555</v>
      </c>
      <c r="D1499" s="5">
        <f>IFERROR(INDEX('Base de sorteio'!$A$3:$A$1723,MATCH($B1499&amp;"|"&amp;$C1499,'Base de sorteio'!$I$3:$I$1723,0)),"")</f>
        <v/>
      </c>
      <c r="E1499" s="4">
        <f>IFERROR(INDEX('Base de sorteio'!$B$3:$B$1723,MATCH($B1499&amp;"|"&amp;$C1499,'Base de sorteio'!$I$3:$I$1723,0)),"")</f>
        <v/>
      </c>
      <c r="F1499" s="4">
        <f>IFERROR(INDEX('Base de sorteio'!$C$3:$C$1723,MATCH($B1499&amp;"|"&amp;$C1499,'Base de sorteio'!$I$3:$I$1723,0)),"")</f>
        <v/>
      </c>
      <c r="G1499" s="4">
        <f>IFERROR(INDEX('Base de sorteio'!$D$3:$D$1723,MATCH($B1499&amp;"|"&amp;$C1499,'Base de sorteio'!$I$3:$I$1723,0)),"")</f>
        <v/>
      </c>
      <c r="H1499" s="4">
        <f>IFERROR(INDEX('Base de sorteio'!$E$3:$E$1723,MATCH($B1499&amp;"|"&amp;$C1499,'Base de sorteio'!$I$3:$I$1723,0)),"")</f>
        <v/>
      </c>
      <c r="I1499" s="4">
        <f>IF(E1499="","",HYPERLINK(IFERROR(INDEX('Base de sorteio'!$J$3:$J$1723,MATCH($B1499&amp;"|"&amp;$C1499,'Base de sorteio'!$I$3:$I$1723,0)),""),"abrir"))</f>
        <v/>
      </c>
      <c r="J1499" s="4" t="n"/>
      <c r="K1499" s="4" t="n"/>
      <c r="L1499" s="4" t="n"/>
      <c r="M1499" s="4" t="n"/>
      <c r="N1499" s="4">
        <f>IF(AND(K1499="",M1499=""),"",IF(OR(K1499="sim",M1499="sim"),"sim",IF(OR(K1499="inconclusivo",M1499="inconclusivo"),"inconclusivo","não")))</f>
        <v/>
      </c>
      <c r="O1499" s="5">
        <f>IF(N1499="sim",COUNTIFS($B$3:$B1499,$B1499,$N$3:$N1499,"sim"),"")</f>
        <v/>
      </c>
      <c r="P1499" s="5" t="n"/>
      <c r="Q1499" s="4" t="n"/>
      <c r="R1499" s="5" t="n"/>
      <c r="S1499" s="9" t="n"/>
      <c r="T1499" s="4" t="n"/>
    </row>
    <row r="1500">
      <c r="A1500" s="5">
        <f>ROW()-2</f>
        <v/>
      </c>
      <c r="B1500" s="4" t="inlineStr">
        <is>
          <t>Capital regional</t>
        </is>
      </c>
      <c r="C1500" s="5" t="n">
        <v>556</v>
      </c>
      <c r="D1500" s="5">
        <f>IFERROR(INDEX('Base de sorteio'!$A$3:$A$1723,MATCH($B1500&amp;"|"&amp;$C1500,'Base de sorteio'!$I$3:$I$1723,0)),"")</f>
        <v/>
      </c>
      <c r="E1500" s="4">
        <f>IFERROR(INDEX('Base de sorteio'!$B$3:$B$1723,MATCH($B1500&amp;"|"&amp;$C1500,'Base de sorteio'!$I$3:$I$1723,0)),"")</f>
        <v/>
      </c>
      <c r="F1500" s="4">
        <f>IFERROR(INDEX('Base de sorteio'!$C$3:$C$1723,MATCH($B1500&amp;"|"&amp;$C1500,'Base de sorteio'!$I$3:$I$1723,0)),"")</f>
        <v/>
      </c>
      <c r="G1500" s="4">
        <f>IFERROR(INDEX('Base de sorteio'!$D$3:$D$1723,MATCH($B1500&amp;"|"&amp;$C1500,'Base de sorteio'!$I$3:$I$1723,0)),"")</f>
        <v/>
      </c>
      <c r="H1500" s="4">
        <f>IFERROR(INDEX('Base de sorteio'!$E$3:$E$1723,MATCH($B1500&amp;"|"&amp;$C1500,'Base de sorteio'!$I$3:$I$1723,0)),"")</f>
        <v/>
      </c>
      <c r="I1500" s="4">
        <f>IF(E1500="","",HYPERLINK(IFERROR(INDEX('Base de sorteio'!$J$3:$J$1723,MATCH($B1500&amp;"|"&amp;$C1500,'Base de sorteio'!$I$3:$I$1723,0)),""),"abrir"))</f>
        <v/>
      </c>
      <c r="J1500" s="4" t="n"/>
      <c r="K1500" s="4" t="n"/>
      <c r="L1500" s="4" t="n"/>
      <c r="M1500" s="4" t="n"/>
      <c r="N1500" s="4">
        <f>IF(AND(K1500="",M1500=""),"",IF(OR(K1500="sim",M1500="sim"),"sim",IF(OR(K1500="inconclusivo",M1500="inconclusivo"),"inconclusivo","não")))</f>
        <v/>
      </c>
      <c r="O1500" s="5">
        <f>IF(N1500="sim",COUNTIFS($B$3:$B1500,$B1500,$N$3:$N1500,"sim"),"")</f>
        <v/>
      </c>
      <c r="P1500" s="5" t="n"/>
      <c r="Q1500" s="4" t="n"/>
      <c r="R1500" s="5" t="n"/>
      <c r="S1500" s="9" t="n"/>
      <c r="T1500" s="4" t="n"/>
    </row>
    <row r="1501">
      <c r="A1501" s="5">
        <f>ROW()-2</f>
        <v/>
      </c>
      <c r="B1501" s="4" t="inlineStr">
        <is>
          <t>Capital regional</t>
        </is>
      </c>
      <c r="C1501" s="5" t="n">
        <v>557</v>
      </c>
      <c r="D1501" s="5">
        <f>IFERROR(INDEX('Base de sorteio'!$A$3:$A$1723,MATCH($B1501&amp;"|"&amp;$C1501,'Base de sorteio'!$I$3:$I$1723,0)),"")</f>
        <v/>
      </c>
      <c r="E1501" s="4">
        <f>IFERROR(INDEX('Base de sorteio'!$B$3:$B$1723,MATCH($B1501&amp;"|"&amp;$C1501,'Base de sorteio'!$I$3:$I$1723,0)),"")</f>
        <v/>
      </c>
      <c r="F1501" s="4">
        <f>IFERROR(INDEX('Base de sorteio'!$C$3:$C$1723,MATCH($B1501&amp;"|"&amp;$C1501,'Base de sorteio'!$I$3:$I$1723,0)),"")</f>
        <v/>
      </c>
      <c r="G1501" s="4">
        <f>IFERROR(INDEX('Base de sorteio'!$D$3:$D$1723,MATCH($B1501&amp;"|"&amp;$C1501,'Base de sorteio'!$I$3:$I$1723,0)),"")</f>
        <v/>
      </c>
      <c r="H1501" s="4">
        <f>IFERROR(INDEX('Base de sorteio'!$E$3:$E$1723,MATCH($B1501&amp;"|"&amp;$C1501,'Base de sorteio'!$I$3:$I$1723,0)),"")</f>
        <v/>
      </c>
      <c r="I1501" s="4">
        <f>IF(E1501="","",HYPERLINK(IFERROR(INDEX('Base de sorteio'!$J$3:$J$1723,MATCH($B1501&amp;"|"&amp;$C1501,'Base de sorteio'!$I$3:$I$1723,0)),""),"abrir"))</f>
        <v/>
      </c>
      <c r="J1501" s="4" t="n"/>
      <c r="K1501" s="4" t="n"/>
      <c r="L1501" s="4" t="n"/>
      <c r="M1501" s="4" t="n"/>
      <c r="N1501" s="4">
        <f>IF(AND(K1501="",M1501=""),"",IF(OR(K1501="sim",M1501="sim"),"sim",IF(OR(K1501="inconclusivo",M1501="inconclusivo"),"inconclusivo","não")))</f>
        <v/>
      </c>
      <c r="O1501" s="5">
        <f>IF(N1501="sim",COUNTIFS($B$3:$B1501,$B1501,$N$3:$N1501,"sim"),"")</f>
        <v/>
      </c>
      <c r="P1501" s="5" t="n"/>
      <c r="Q1501" s="4" t="n"/>
      <c r="R1501" s="5" t="n"/>
      <c r="S1501" s="9" t="n"/>
      <c r="T1501" s="4" t="n"/>
    </row>
    <row r="1502">
      <c r="A1502" s="5">
        <f>ROW()-2</f>
        <v/>
      </c>
      <c r="B1502" s="4" t="inlineStr">
        <is>
          <t>Capital regional</t>
        </is>
      </c>
      <c r="C1502" s="5" t="n">
        <v>558</v>
      </c>
      <c r="D1502" s="5">
        <f>IFERROR(INDEX('Base de sorteio'!$A$3:$A$1723,MATCH($B1502&amp;"|"&amp;$C1502,'Base de sorteio'!$I$3:$I$1723,0)),"")</f>
        <v/>
      </c>
      <c r="E1502" s="4">
        <f>IFERROR(INDEX('Base de sorteio'!$B$3:$B$1723,MATCH($B1502&amp;"|"&amp;$C1502,'Base de sorteio'!$I$3:$I$1723,0)),"")</f>
        <v/>
      </c>
      <c r="F1502" s="4">
        <f>IFERROR(INDEX('Base de sorteio'!$C$3:$C$1723,MATCH($B1502&amp;"|"&amp;$C1502,'Base de sorteio'!$I$3:$I$1723,0)),"")</f>
        <v/>
      </c>
      <c r="G1502" s="4">
        <f>IFERROR(INDEX('Base de sorteio'!$D$3:$D$1723,MATCH($B1502&amp;"|"&amp;$C1502,'Base de sorteio'!$I$3:$I$1723,0)),"")</f>
        <v/>
      </c>
      <c r="H1502" s="4">
        <f>IFERROR(INDEX('Base de sorteio'!$E$3:$E$1723,MATCH($B1502&amp;"|"&amp;$C1502,'Base de sorteio'!$I$3:$I$1723,0)),"")</f>
        <v/>
      </c>
      <c r="I1502" s="4">
        <f>IF(E1502="","",HYPERLINK(IFERROR(INDEX('Base de sorteio'!$J$3:$J$1723,MATCH($B1502&amp;"|"&amp;$C1502,'Base de sorteio'!$I$3:$I$1723,0)),""),"abrir"))</f>
        <v/>
      </c>
      <c r="J1502" s="4" t="n"/>
      <c r="K1502" s="4" t="n"/>
      <c r="L1502" s="4" t="n"/>
      <c r="M1502" s="4" t="n"/>
      <c r="N1502" s="4">
        <f>IF(AND(K1502="",M1502=""),"",IF(OR(K1502="sim",M1502="sim"),"sim",IF(OR(K1502="inconclusivo",M1502="inconclusivo"),"inconclusivo","não")))</f>
        <v/>
      </c>
      <c r="O1502" s="5">
        <f>IF(N1502="sim",COUNTIFS($B$3:$B1502,$B1502,$N$3:$N1502,"sim"),"")</f>
        <v/>
      </c>
      <c r="P1502" s="5" t="n"/>
      <c r="Q1502" s="4" t="n"/>
      <c r="R1502" s="5" t="n"/>
      <c r="S1502" s="9" t="n"/>
      <c r="T1502" s="4" t="n"/>
    </row>
    <row r="1503">
      <c r="A1503" s="5">
        <f>ROW()-2</f>
        <v/>
      </c>
      <c r="B1503" s="4" t="inlineStr">
        <is>
          <t>Capital regional</t>
        </is>
      </c>
      <c r="C1503" s="5" t="n">
        <v>559</v>
      </c>
      <c r="D1503" s="5">
        <f>IFERROR(INDEX('Base de sorteio'!$A$3:$A$1723,MATCH($B1503&amp;"|"&amp;$C1503,'Base de sorteio'!$I$3:$I$1723,0)),"")</f>
        <v/>
      </c>
      <c r="E1503" s="4">
        <f>IFERROR(INDEX('Base de sorteio'!$B$3:$B$1723,MATCH($B1503&amp;"|"&amp;$C1503,'Base de sorteio'!$I$3:$I$1723,0)),"")</f>
        <v/>
      </c>
      <c r="F1503" s="4">
        <f>IFERROR(INDEX('Base de sorteio'!$C$3:$C$1723,MATCH($B1503&amp;"|"&amp;$C1503,'Base de sorteio'!$I$3:$I$1723,0)),"")</f>
        <v/>
      </c>
      <c r="G1503" s="4">
        <f>IFERROR(INDEX('Base de sorteio'!$D$3:$D$1723,MATCH($B1503&amp;"|"&amp;$C1503,'Base de sorteio'!$I$3:$I$1723,0)),"")</f>
        <v/>
      </c>
      <c r="H1503" s="4">
        <f>IFERROR(INDEX('Base de sorteio'!$E$3:$E$1723,MATCH($B1503&amp;"|"&amp;$C1503,'Base de sorteio'!$I$3:$I$1723,0)),"")</f>
        <v/>
      </c>
      <c r="I1503" s="4">
        <f>IF(E1503="","",HYPERLINK(IFERROR(INDEX('Base de sorteio'!$J$3:$J$1723,MATCH($B1503&amp;"|"&amp;$C1503,'Base de sorteio'!$I$3:$I$1723,0)),""),"abrir"))</f>
        <v/>
      </c>
      <c r="J1503" s="4" t="n"/>
      <c r="K1503" s="4" t="n"/>
      <c r="L1503" s="4" t="n"/>
      <c r="M1503" s="4" t="n"/>
      <c r="N1503" s="4">
        <f>IF(AND(K1503="",M1503=""),"",IF(OR(K1503="sim",M1503="sim"),"sim",IF(OR(K1503="inconclusivo",M1503="inconclusivo"),"inconclusivo","não")))</f>
        <v/>
      </c>
      <c r="O1503" s="5">
        <f>IF(N1503="sim",COUNTIFS($B$3:$B1503,$B1503,$N$3:$N1503,"sim"),"")</f>
        <v/>
      </c>
      <c r="P1503" s="5" t="n"/>
      <c r="Q1503" s="4" t="n"/>
      <c r="R1503" s="5" t="n"/>
      <c r="S1503" s="9" t="n"/>
      <c r="T1503" s="4" t="n"/>
    </row>
    <row r="1504">
      <c r="A1504" s="5">
        <f>ROW()-2</f>
        <v/>
      </c>
      <c r="B1504" s="4" t="inlineStr">
        <is>
          <t>Capital regional</t>
        </is>
      </c>
      <c r="C1504" s="5" t="n">
        <v>560</v>
      </c>
      <c r="D1504" s="5">
        <f>IFERROR(INDEX('Base de sorteio'!$A$3:$A$1723,MATCH($B1504&amp;"|"&amp;$C1504,'Base de sorteio'!$I$3:$I$1723,0)),"")</f>
        <v/>
      </c>
      <c r="E1504" s="4">
        <f>IFERROR(INDEX('Base de sorteio'!$B$3:$B$1723,MATCH($B1504&amp;"|"&amp;$C1504,'Base de sorteio'!$I$3:$I$1723,0)),"")</f>
        <v/>
      </c>
      <c r="F1504" s="4">
        <f>IFERROR(INDEX('Base de sorteio'!$C$3:$C$1723,MATCH($B1504&amp;"|"&amp;$C1504,'Base de sorteio'!$I$3:$I$1723,0)),"")</f>
        <v/>
      </c>
      <c r="G1504" s="4">
        <f>IFERROR(INDEX('Base de sorteio'!$D$3:$D$1723,MATCH($B1504&amp;"|"&amp;$C1504,'Base de sorteio'!$I$3:$I$1723,0)),"")</f>
        <v/>
      </c>
      <c r="H1504" s="4">
        <f>IFERROR(INDEX('Base de sorteio'!$E$3:$E$1723,MATCH($B1504&amp;"|"&amp;$C1504,'Base de sorteio'!$I$3:$I$1723,0)),"")</f>
        <v/>
      </c>
      <c r="I1504" s="4">
        <f>IF(E1504="","",HYPERLINK(IFERROR(INDEX('Base de sorteio'!$J$3:$J$1723,MATCH($B1504&amp;"|"&amp;$C1504,'Base de sorteio'!$I$3:$I$1723,0)),""),"abrir"))</f>
        <v/>
      </c>
      <c r="J1504" s="4" t="n"/>
      <c r="K1504" s="4" t="n"/>
      <c r="L1504" s="4" t="n"/>
      <c r="M1504" s="4" t="n"/>
      <c r="N1504" s="4">
        <f>IF(AND(K1504="",M1504=""),"",IF(OR(K1504="sim",M1504="sim"),"sim",IF(OR(K1504="inconclusivo",M1504="inconclusivo"),"inconclusivo","não")))</f>
        <v/>
      </c>
      <c r="O1504" s="5">
        <f>IF(N1504="sim",COUNTIFS($B$3:$B1504,$B1504,$N$3:$N1504,"sim"),"")</f>
        <v/>
      </c>
      <c r="P1504" s="5" t="n"/>
      <c r="Q1504" s="4" t="n"/>
      <c r="R1504" s="5" t="n"/>
      <c r="S1504" s="9" t="n"/>
      <c r="T1504" s="4" t="n"/>
    </row>
    <row r="1505">
      <c r="A1505" s="5">
        <f>ROW()-2</f>
        <v/>
      </c>
      <c r="B1505" s="4" t="inlineStr">
        <is>
          <t>Capital regional</t>
        </is>
      </c>
      <c r="C1505" s="5" t="n">
        <v>561</v>
      </c>
      <c r="D1505" s="5">
        <f>IFERROR(INDEX('Base de sorteio'!$A$3:$A$1723,MATCH($B1505&amp;"|"&amp;$C1505,'Base de sorteio'!$I$3:$I$1723,0)),"")</f>
        <v/>
      </c>
      <c r="E1505" s="4">
        <f>IFERROR(INDEX('Base de sorteio'!$B$3:$B$1723,MATCH($B1505&amp;"|"&amp;$C1505,'Base de sorteio'!$I$3:$I$1723,0)),"")</f>
        <v/>
      </c>
      <c r="F1505" s="4">
        <f>IFERROR(INDEX('Base de sorteio'!$C$3:$C$1723,MATCH($B1505&amp;"|"&amp;$C1505,'Base de sorteio'!$I$3:$I$1723,0)),"")</f>
        <v/>
      </c>
      <c r="G1505" s="4">
        <f>IFERROR(INDEX('Base de sorteio'!$D$3:$D$1723,MATCH($B1505&amp;"|"&amp;$C1505,'Base de sorteio'!$I$3:$I$1723,0)),"")</f>
        <v/>
      </c>
      <c r="H1505" s="4">
        <f>IFERROR(INDEX('Base de sorteio'!$E$3:$E$1723,MATCH($B1505&amp;"|"&amp;$C1505,'Base de sorteio'!$I$3:$I$1723,0)),"")</f>
        <v/>
      </c>
      <c r="I1505" s="4">
        <f>IF(E1505="","",HYPERLINK(IFERROR(INDEX('Base de sorteio'!$J$3:$J$1723,MATCH($B1505&amp;"|"&amp;$C1505,'Base de sorteio'!$I$3:$I$1723,0)),""),"abrir"))</f>
        <v/>
      </c>
      <c r="J1505" s="4" t="n"/>
      <c r="K1505" s="4" t="n"/>
      <c r="L1505" s="4" t="n"/>
      <c r="M1505" s="4" t="n"/>
      <c r="N1505" s="4">
        <f>IF(AND(K1505="",M1505=""),"",IF(OR(K1505="sim",M1505="sim"),"sim",IF(OR(K1505="inconclusivo",M1505="inconclusivo"),"inconclusivo","não")))</f>
        <v/>
      </c>
      <c r="O1505" s="5">
        <f>IF(N1505="sim",COUNTIFS($B$3:$B1505,$B1505,$N$3:$N1505,"sim"),"")</f>
        <v/>
      </c>
      <c r="P1505" s="5" t="n"/>
      <c r="Q1505" s="4" t="n"/>
      <c r="R1505" s="5" t="n"/>
      <c r="S1505" s="9" t="n"/>
      <c r="T1505" s="4" t="n"/>
    </row>
    <row r="1506">
      <c r="A1506" s="5">
        <f>ROW()-2</f>
        <v/>
      </c>
      <c r="B1506" s="4" t="inlineStr">
        <is>
          <t>Capital regional</t>
        </is>
      </c>
      <c r="C1506" s="5" t="n">
        <v>562</v>
      </c>
      <c r="D1506" s="5">
        <f>IFERROR(INDEX('Base de sorteio'!$A$3:$A$1723,MATCH($B1506&amp;"|"&amp;$C1506,'Base de sorteio'!$I$3:$I$1723,0)),"")</f>
        <v/>
      </c>
      <c r="E1506" s="4">
        <f>IFERROR(INDEX('Base de sorteio'!$B$3:$B$1723,MATCH($B1506&amp;"|"&amp;$C1506,'Base de sorteio'!$I$3:$I$1723,0)),"")</f>
        <v/>
      </c>
      <c r="F1506" s="4">
        <f>IFERROR(INDEX('Base de sorteio'!$C$3:$C$1723,MATCH($B1506&amp;"|"&amp;$C1506,'Base de sorteio'!$I$3:$I$1723,0)),"")</f>
        <v/>
      </c>
      <c r="G1506" s="4">
        <f>IFERROR(INDEX('Base de sorteio'!$D$3:$D$1723,MATCH($B1506&amp;"|"&amp;$C1506,'Base de sorteio'!$I$3:$I$1723,0)),"")</f>
        <v/>
      </c>
      <c r="H1506" s="4">
        <f>IFERROR(INDEX('Base de sorteio'!$E$3:$E$1723,MATCH($B1506&amp;"|"&amp;$C1506,'Base de sorteio'!$I$3:$I$1723,0)),"")</f>
        <v/>
      </c>
      <c r="I1506" s="4">
        <f>IF(E1506="","",HYPERLINK(IFERROR(INDEX('Base de sorteio'!$J$3:$J$1723,MATCH($B1506&amp;"|"&amp;$C1506,'Base de sorteio'!$I$3:$I$1723,0)),""),"abrir"))</f>
        <v/>
      </c>
      <c r="J1506" s="4" t="n"/>
      <c r="K1506" s="4" t="n"/>
      <c r="L1506" s="4" t="n"/>
      <c r="M1506" s="4" t="n"/>
      <c r="N1506" s="4">
        <f>IF(AND(K1506="",M1506=""),"",IF(OR(K1506="sim",M1506="sim"),"sim",IF(OR(K1506="inconclusivo",M1506="inconclusivo"),"inconclusivo","não")))</f>
        <v/>
      </c>
      <c r="O1506" s="5">
        <f>IF(N1506="sim",COUNTIFS($B$3:$B1506,$B1506,$N$3:$N1506,"sim"),"")</f>
        <v/>
      </c>
      <c r="P1506" s="5" t="n"/>
      <c r="Q1506" s="4" t="n"/>
      <c r="R1506" s="5" t="n"/>
      <c r="S1506" s="9" t="n"/>
      <c r="T1506" s="4" t="n"/>
    </row>
    <row r="1507">
      <c r="A1507" s="5">
        <f>ROW()-2</f>
        <v/>
      </c>
      <c r="B1507" s="4" t="inlineStr">
        <is>
          <t>Capital regional</t>
        </is>
      </c>
      <c r="C1507" s="5" t="n">
        <v>563</v>
      </c>
      <c r="D1507" s="5">
        <f>IFERROR(INDEX('Base de sorteio'!$A$3:$A$1723,MATCH($B1507&amp;"|"&amp;$C1507,'Base de sorteio'!$I$3:$I$1723,0)),"")</f>
        <v/>
      </c>
      <c r="E1507" s="4">
        <f>IFERROR(INDEX('Base de sorteio'!$B$3:$B$1723,MATCH($B1507&amp;"|"&amp;$C1507,'Base de sorteio'!$I$3:$I$1723,0)),"")</f>
        <v/>
      </c>
      <c r="F1507" s="4">
        <f>IFERROR(INDEX('Base de sorteio'!$C$3:$C$1723,MATCH($B1507&amp;"|"&amp;$C1507,'Base de sorteio'!$I$3:$I$1723,0)),"")</f>
        <v/>
      </c>
      <c r="G1507" s="4">
        <f>IFERROR(INDEX('Base de sorteio'!$D$3:$D$1723,MATCH($B1507&amp;"|"&amp;$C1507,'Base de sorteio'!$I$3:$I$1723,0)),"")</f>
        <v/>
      </c>
      <c r="H1507" s="4">
        <f>IFERROR(INDEX('Base de sorteio'!$E$3:$E$1723,MATCH($B1507&amp;"|"&amp;$C1507,'Base de sorteio'!$I$3:$I$1723,0)),"")</f>
        <v/>
      </c>
      <c r="I1507" s="4">
        <f>IF(E1507="","",HYPERLINK(IFERROR(INDEX('Base de sorteio'!$J$3:$J$1723,MATCH($B1507&amp;"|"&amp;$C1507,'Base de sorteio'!$I$3:$I$1723,0)),""),"abrir"))</f>
        <v/>
      </c>
      <c r="J1507" s="4" t="n"/>
      <c r="K1507" s="4" t="n"/>
      <c r="L1507" s="4" t="n"/>
      <c r="M1507" s="4" t="n"/>
      <c r="N1507" s="4">
        <f>IF(AND(K1507="",M1507=""),"",IF(OR(K1507="sim",M1507="sim"),"sim",IF(OR(K1507="inconclusivo",M1507="inconclusivo"),"inconclusivo","não")))</f>
        <v/>
      </c>
      <c r="O1507" s="5">
        <f>IF(N1507="sim",COUNTIFS($B$3:$B1507,$B1507,$N$3:$N1507,"sim"),"")</f>
        <v/>
      </c>
      <c r="P1507" s="5" t="n"/>
      <c r="Q1507" s="4" t="n"/>
      <c r="R1507" s="5" t="n"/>
      <c r="S1507" s="9" t="n"/>
      <c r="T1507" s="4" t="n"/>
    </row>
    <row r="1508">
      <c r="A1508" s="5">
        <f>ROW()-2</f>
        <v/>
      </c>
      <c r="B1508" s="4" t="inlineStr">
        <is>
          <t>Capital regional</t>
        </is>
      </c>
      <c r="C1508" s="5" t="n">
        <v>564</v>
      </c>
      <c r="D1508" s="5">
        <f>IFERROR(INDEX('Base de sorteio'!$A$3:$A$1723,MATCH($B1508&amp;"|"&amp;$C1508,'Base de sorteio'!$I$3:$I$1723,0)),"")</f>
        <v/>
      </c>
      <c r="E1508" s="4">
        <f>IFERROR(INDEX('Base de sorteio'!$B$3:$B$1723,MATCH($B1508&amp;"|"&amp;$C1508,'Base de sorteio'!$I$3:$I$1723,0)),"")</f>
        <v/>
      </c>
      <c r="F1508" s="4">
        <f>IFERROR(INDEX('Base de sorteio'!$C$3:$C$1723,MATCH($B1508&amp;"|"&amp;$C1508,'Base de sorteio'!$I$3:$I$1723,0)),"")</f>
        <v/>
      </c>
      <c r="G1508" s="4">
        <f>IFERROR(INDEX('Base de sorteio'!$D$3:$D$1723,MATCH($B1508&amp;"|"&amp;$C1508,'Base de sorteio'!$I$3:$I$1723,0)),"")</f>
        <v/>
      </c>
      <c r="H1508" s="4">
        <f>IFERROR(INDEX('Base de sorteio'!$E$3:$E$1723,MATCH($B1508&amp;"|"&amp;$C1508,'Base de sorteio'!$I$3:$I$1723,0)),"")</f>
        <v/>
      </c>
      <c r="I1508" s="4">
        <f>IF(E1508="","",HYPERLINK(IFERROR(INDEX('Base de sorteio'!$J$3:$J$1723,MATCH($B1508&amp;"|"&amp;$C1508,'Base de sorteio'!$I$3:$I$1723,0)),""),"abrir"))</f>
        <v/>
      </c>
      <c r="J1508" s="4" t="n"/>
      <c r="K1508" s="4" t="n"/>
      <c r="L1508" s="4" t="n"/>
      <c r="M1508" s="4" t="n"/>
      <c r="N1508" s="4">
        <f>IF(AND(K1508="",M1508=""),"",IF(OR(K1508="sim",M1508="sim"),"sim",IF(OR(K1508="inconclusivo",M1508="inconclusivo"),"inconclusivo","não")))</f>
        <v/>
      </c>
      <c r="O1508" s="5">
        <f>IF(N1508="sim",COUNTIFS($B$3:$B1508,$B1508,$N$3:$N1508,"sim"),"")</f>
        <v/>
      </c>
      <c r="P1508" s="5" t="n"/>
      <c r="Q1508" s="4" t="n"/>
      <c r="R1508" s="5" t="n"/>
      <c r="S1508" s="9" t="n"/>
      <c r="T1508" s="4" t="n"/>
    </row>
    <row r="1509">
      <c r="A1509" s="5">
        <f>ROW()-2</f>
        <v/>
      </c>
      <c r="B1509" s="4" t="inlineStr">
        <is>
          <t>Capital regional</t>
        </is>
      </c>
      <c r="C1509" s="5" t="n">
        <v>565</v>
      </c>
      <c r="D1509" s="5">
        <f>IFERROR(INDEX('Base de sorteio'!$A$3:$A$1723,MATCH($B1509&amp;"|"&amp;$C1509,'Base de sorteio'!$I$3:$I$1723,0)),"")</f>
        <v/>
      </c>
      <c r="E1509" s="4">
        <f>IFERROR(INDEX('Base de sorteio'!$B$3:$B$1723,MATCH($B1509&amp;"|"&amp;$C1509,'Base de sorteio'!$I$3:$I$1723,0)),"")</f>
        <v/>
      </c>
      <c r="F1509" s="4">
        <f>IFERROR(INDEX('Base de sorteio'!$C$3:$C$1723,MATCH($B1509&amp;"|"&amp;$C1509,'Base de sorteio'!$I$3:$I$1723,0)),"")</f>
        <v/>
      </c>
      <c r="G1509" s="4">
        <f>IFERROR(INDEX('Base de sorteio'!$D$3:$D$1723,MATCH($B1509&amp;"|"&amp;$C1509,'Base de sorteio'!$I$3:$I$1723,0)),"")</f>
        <v/>
      </c>
      <c r="H1509" s="4">
        <f>IFERROR(INDEX('Base de sorteio'!$E$3:$E$1723,MATCH($B1509&amp;"|"&amp;$C1509,'Base de sorteio'!$I$3:$I$1723,0)),"")</f>
        <v/>
      </c>
      <c r="I1509" s="4">
        <f>IF(E1509="","",HYPERLINK(IFERROR(INDEX('Base de sorteio'!$J$3:$J$1723,MATCH($B1509&amp;"|"&amp;$C1509,'Base de sorteio'!$I$3:$I$1723,0)),""),"abrir"))</f>
        <v/>
      </c>
      <c r="J1509" s="4" t="n"/>
      <c r="K1509" s="4" t="n"/>
      <c r="L1509" s="4" t="n"/>
      <c r="M1509" s="4" t="n"/>
      <c r="N1509" s="4">
        <f>IF(AND(K1509="",M1509=""),"",IF(OR(K1509="sim",M1509="sim"),"sim",IF(OR(K1509="inconclusivo",M1509="inconclusivo"),"inconclusivo","não")))</f>
        <v/>
      </c>
      <c r="O1509" s="5">
        <f>IF(N1509="sim",COUNTIFS($B$3:$B1509,$B1509,$N$3:$N1509,"sim"),"")</f>
        <v/>
      </c>
      <c r="P1509" s="5" t="n"/>
      <c r="Q1509" s="4" t="n"/>
      <c r="R1509" s="5" t="n"/>
      <c r="S1509" s="9" t="n"/>
      <c r="T1509" s="4" t="n"/>
    </row>
    <row r="1510">
      <c r="A1510" s="5">
        <f>ROW()-2</f>
        <v/>
      </c>
      <c r="B1510" s="4" t="inlineStr">
        <is>
          <t>Capital regional</t>
        </is>
      </c>
      <c r="C1510" s="5" t="n">
        <v>566</v>
      </c>
      <c r="D1510" s="5">
        <f>IFERROR(INDEX('Base de sorteio'!$A$3:$A$1723,MATCH($B1510&amp;"|"&amp;$C1510,'Base de sorteio'!$I$3:$I$1723,0)),"")</f>
        <v/>
      </c>
      <c r="E1510" s="4">
        <f>IFERROR(INDEX('Base de sorteio'!$B$3:$B$1723,MATCH($B1510&amp;"|"&amp;$C1510,'Base de sorteio'!$I$3:$I$1723,0)),"")</f>
        <v/>
      </c>
      <c r="F1510" s="4">
        <f>IFERROR(INDEX('Base de sorteio'!$C$3:$C$1723,MATCH($B1510&amp;"|"&amp;$C1510,'Base de sorteio'!$I$3:$I$1723,0)),"")</f>
        <v/>
      </c>
      <c r="G1510" s="4">
        <f>IFERROR(INDEX('Base de sorteio'!$D$3:$D$1723,MATCH($B1510&amp;"|"&amp;$C1510,'Base de sorteio'!$I$3:$I$1723,0)),"")</f>
        <v/>
      </c>
      <c r="H1510" s="4">
        <f>IFERROR(INDEX('Base de sorteio'!$E$3:$E$1723,MATCH($B1510&amp;"|"&amp;$C1510,'Base de sorteio'!$I$3:$I$1723,0)),"")</f>
        <v/>
      </c>
      <c r="I1510" s="4">
        <f>IF(E1510="","",HYPERLINK(IFERROR(INDEX('Base de sorteio'!$J$3:$J$1723,MATCH($B1510&amp;"|"&amp;$C1510,'Base de sorteio'!$I$3:$I$1723,0)),""),"abrir"))</f>
        <v/>
      </c>
      <c r="J1510" s="4" t="n"/>
      <c r="K1510" s="4" t="n"/>
      <c r="L1510" s="4" t="n"/>
      <c r="M1510" s="4" t="n"/>
      <c r="N1510" s="4">
        <f>IF(AND(K1510="",M1510=""),"",IF(OR(K1510="sim",M1510="sim"),"sim",IF(OR(K1510="inconclusivo",M1510="inconclusivo"),"inconclusivo","não")))</f>
        <v/>
      </c>
      <c r="O1510" s="5">
        <f>IF(N1510="sim",COUNTIFS($B$3:$B1510,$B1510,$N$3:$N1510,"sim"),"")</f>
        <v/>
      </c>
      <c r="P1510" s="5" t="n"/>
      <c r="Q1510" s="4" t="n"/>
      <c r="R1510" s="5" t="n"/>
      <c r="S1510" s="9" t="n"/>
      <c r="T1510" s="4" t="n"/>
    </row>
    <row r="1511">
      <c r="A1511" s="5">
        <f>ROW()-2</f>
        <v/>
      </c>
      <c r="B1511" s="4" t="inlineStr">
        <is>
          <t>Capital regional</t>
        </is>
      </c>
      <c r="C1511" s="5" t="n">
        <v>567</v>
      </c>
      <c r="D1511" s="5">
        <f>IFERROR(INDEX('Base de sorteio'!$A$3:$A$1723,MATCH($B1511&amp;"|"&amp;$C1511,'Base de sorteio'!$I$3:$I$1723,0)),"")</f>
        <v/>
      </c>
      <c r="E1511" s="4">
        <f>IFERROR(INDEX('Base de sorteio'!$B$3:$B$1723,MATCH($B1511&amp;"|"&amp;$C1511,'Base de sorteio'!$I$3:$I$1723,0)),"")</f>
        <v/>
      </c>
      <c r="F1511" s="4">
        <f>IFERROR(INDEX('Base de sorteio'!$C$3:$C$1723,MATCH($B1511&amp;"|"&amp;$C1511,'Base de sorteio'!$I$3:$I$1723,0)),"")</f>
        <v/>
      </c>
      <c r="G1511" s="4">
        <f>IFERROR(INDEX('Base de sorteio'!$D$3:$D$1723,MATCH($B1511&amp;"|"&amp;$C1511,'Base de sorteio'!$I$3:$I$1723,0)),"")</f>
        <v/>
      </c>
      <c r="H1511" s="4">
        <f>IFERROR(INDEX('Base de sorteio'!$E$3:$E$1723,MATCH($B1511&amp;"|"&amp;$C1511,'Base de sorteio'!$I$3:$I$1723,0)),"")</f>
        <v/>
      </c>
      <c r="I1511" s="4">
        <f>IF(E1511="","",HYPERLINK(IFERROR(INDEX('Base de sorteio'!$J$3:$J$1723,MATCH($B1511&amp;"|"&amp;$C1511,'Base de sorteio'!$I$3:$I$1723,0)),""),"abrir"))</f>
        <v/>
      </c>
      <c r="J1511" s="4" t="n"/>
      <c r="K1511" s="4" t="n"/>
      <c r="L1511" s="4" t="n"/>
      <c r="M1511" s="4" t="n"/>
      <c r="N1511" s="4">
        <f>IF(AND(K1511="",M1511=""),"",IF(OR(K1511="sim",M1511="sim"),"sim",IF(OR(K1511="inconclusivo",M1511="inconclusivo"),"inconclusivo","não")))</f>
        <v/>
      </c>
      <c r="O1511" s="5">
        <f>IF(N1511="sim",COUNTIFS($B$3:$B1511,$B1511,$N$3:$N1511,"sim"),"")</f>
        <v/>
      </c>
      <c r="P1511" s="5" t="n"/>
      <c r="Q1511" s="4" t="n"/>
      <c r="R1511" s="5" t="n"/>
      <c r="S1511" s="9" t="n"/>
      <c r="T1511" s="4" t="n"/>
    </row>
    <row r="1512">
      <c r="A1512" s="5">
        <f>ROW()-2</f>
        <v/>
      </c>
      <c r="B1512" s="4" t="inlineStr">
        <is>
          <t>Capital regional</t>
        </is>
      </c>
      <c r="C1512" s="5" t="n">
        <v>568</v>
      </c>
      <c r="D1512" s="5">
        <f>IFERROR(INDEX('Base de sorteio'!$A$3:$A$1723,MATCH($B1512&amp;"|"&amp;$C1512,'Base de sorteio'!$I$3:$I$1723,0)),"")</f>
        <v/>
      </c>
      <c r="E1512" s="4">
        <f>IFERROR(INDEX('Base de sorteio'!$B$3:$B$1723,MATCH($B1512&amp;"|"&amp;$C1512,'Base de sorteio'!$I$3:$I$1723,0)),"")</f>
        <v/>
      </c>
      <c r="F1512" s="4">
        <f>IFERROR(INDEX('Base de sorteio'!$C$3:$C$1723,MATCH($B1512&amp;"|"&amp;$C1512,'Base de sorteio'!$I$3:$I$1723,0)),"")</f>
        <v/>
      </c>
      <c r="G1512" s="4">
        <f>IFERROR(INDEX('Base de sorteio'!$D$3:$D$1723,MATCH($B1512&amp;"|"&amp;$C1512,'Base de sorteio'!$I$3:$I$1723,0)),"")</f>
        <v/>
      </c>
      <c r="H1512" s="4">
        <f>IFERROR(INDEX('Base de sorteio'!$E$3:$E$1723,MATCH($B1512&amp;"|"&amp;$C1512,'Base de sorteio'!$I$3:$I$1723,0)),"")</f>
        <v/>
      </c>
      <c r="I1512" s="4">
        <f>IF(E1512="","",HYPERLINK(IFERROR(INDEX('Base de sorteio'!$J$3:$J$1723,MATCH($B1512&amp;"|"&amp;$C1512,'Base de sorteio'!$I$3:$I$1723,0)),""),"abrir"))</f>
        <v/>
      </c>
      <c r="J1512" s="4" t="n"/>
      <c r="K1512" s="4" t="n"/>
      <c r="L1512" s="4" t="n"/>
      <c r="M1512" s="4" t="n"/>
      <c r="N1512" s="4">
        <f>IF(AND(K1512="",M1512=""),"",IF(OR(K1512="sim",M1512="sim"),"sim",IF(OR(K1512="inconclusivo",M1512="inconclusivo"),"inconclusivo","não")))</f>
        <v/>
      </c>
      <c r="O1512" s="5">
        <f>IF(N1512="sim",COUNTIFS($B$3:$B1512,$B1512,$N$3:$N1512,"sim"),"")</f>
        <v/>
      </c>
      <c r="P1512" s="5" t="n"/>
      <c r="Q1512" s="4" t="n"/>
      <c r="R1512" s="5" t="n"/>
      <c r="S1512" s="9" t="n"/>
      <c r="T1512" s="4" t="n"/>
    </row>
    <row r="1513">
      <c r="A1513" s="5">
        <f>ROW()-2</f>
        <v/>
      </c>
      <c r="B1513" s="4" t="inlineStr">
        <is>
          <t>Capital regional</t>
        </is>
      </c>
      <c r="C1513" s="5" t="n">
        <v>569</v>
      </c>
      <c r="D1513" s="5">
        <f>IFERROR(INDEX('Base de sorteio'!$A$3:$A$1723,MATCH($B1513&amp;"|"&amp;$C1513,'Base de sorteio'!$I$3:$I$1723,0)),"")</f>
        <v/>
      </c>
      <c r="E1513" s="4">
        <f>IFERROR(INDEX('Base de sorteio'!$B$3:$B$1723,MATCH($B1513&amp;"|"&amp;$C1513,'Base de sorteio'!$I$3:$I$1723,0)),"")</f>
        <v/>
      </c>
      <c r="F1513" s="4">
        <f>IFERROR(INDEX('Base de sorteio'!$C$3:$C$1723,MATCH($B1513&amp;"|"&amp;$C1513,'Base de sorteio'!$I$3:$I$1723,0)),"")</f>
        <v/>
      </c>
      <c r="G1513" s="4">
        <f>IFERROR(INDEX('Base de sorteio'!$D$3:$D$1723,MATCH($B1513&amp;"|"&amp;$C1513,'Base de sorteio'!$I$3:$I$1723,0)),"")</f>
        <v/>
      </c>
      <c r="H1513" s="4">
        <f>IFERROR(INDEX('Base de sorteio'!$E$3:$E$1723,MATCH($B1513&amp;"|"&amp;$C1513,'Base de sorteio'!$I$3:$I$1723,0)),"")</f>
        <v/>
      </c>
      <c r="I1513" s="4">
        <f>IF(E1513="","",HYPERLINK(IFERROR(INDEX('Base de sorteio'!$J$3:$J$1723,MATCH($B1513&amp;"|"&amp;$C1513,'Base de sorteio'!$I$3:$I$1723,0)),""),"abrir"))</f>
        <v/>
      </c>
      <c r="J1513" s="4" t="n"/>
      <c r="K1513" s="4" t="n"/>
      <c r="L1513" s="4" t="n"/>
      <c r="M1513" s="4" t="n"/>
      <c r="N1513" s="4">
        <f>IF(AND(K1513="",M1513=""),"",IF(OR(K1513="sim",M1513="sim"),"sim",IF(OR(K1513="inconclusivo",M1513="inconclusivo"),"inconclusivo","não")))</f>
        <v/>
      </c>
      <c r="O1513" s="5">
        <f>IF(N1513="sim",COUNTIFS($B$3:$B1513,$B1513,$N$3:$N1513,"sim"),"")</f>
        <v/>
      </c>
      <c r="P1513" s="5" t="n"/>
      <c r="Q1513" s="4" t="n"/>
      <c r="R1513" s="5" t="n"/>
      <c r="S1513" s="9" t="n"/>
      <c r="T1513" s="4" t="n"/>
    </row>
    <row r="1514">
      <c r="A1514" s="5">
        <f>ROW()-2</f>
        <v/>
      </c>
      <c r="B1514" s="4" t="inlineStr">
        <is>
          <t>Capital regional</t>
        </is>
      </c>
      <c r="C1514" s="5" t="n">
        <v>570</v>
      </c>
      <c r="D1514" s="5">
        <f>IFERROR(INDEX('Base de sorteio'!$A$3:$A$1723,MATCH($B1514&amp;"|"&amp;$C1514,'Base de sorteio'!$I$3:$I$1723,0)),"")</f>
        <v/>
      </c>
      <c r="E1514" s="4">
        <f>IFERROR(INDEX('Base de sorteio'!$B$3:$B$1723,MATCH($B1514&amp;"|"&amp;$C1514,'Base de sorteio'!$I$3:$I$1723,0)),"")</f>
        <v/>
      </c>
      <c r="F1514" s="4">
        <f>IFERROR(INDEX('Base de sorteio'!$C$3:$C$1723,MATCH($B1514&amp;"|"&amp;$C1514,'Base de sorteio'!$I$3:$I$1723,0)),"")</f>
        <v/>
      </c>
      <c r="G1514" s="4">
        <f>IFERROR(INDEX('Base de sorteio'!$D$3:$D$1723,MATCH($B1514&amp;"|"&amp;$C1514,'Base de sorteio'!$I$3:$I$1723,0)),"")</f>
        <v/>
      </c>
      <c r="H1514" s="4">
        <f>IFERROR(INDEX('Base de sorteio'!$E$3:$E$1723,MATCH($B1514&amp;"|"&amp;$C1514,'Base de sorteio'!$I$3:$I$1723,0)),"")</f>
        <v/>
      </c>
      <c r="I1514" s="4">
        <f>IF(E1514="","",HYPERLINK(IFERROR(INDEX('Base de sorteio'!$J$3:$J$1723,MATCH($B1514&amp;"|"&amp;$C1514,'Base de sorteio'!$I$3:$I$1723,0)),""),"abrir"))</f>
        <v/>
      </c>
      <c r="J1514" s="4" t="n"/>
      <c r="K1514" s="4" t="n"/>
      <c r="L1514" s="4" t="n"/>
      <c r="M1514" s="4" t="n"/>
      <c r="N1514" s="4">
        <f>IF(AND(K1514="",M1514=""),"",IF(OR(K1514="sim",M1514="sim"),"sim",IF(OR(K1514="inconclusivo",M1514="inconclusivo"),"inconclusivo","não")))</f>
        <v/>
      </c>
      <c r="O1514" s="5">
        <f>IF(N1514="sim",COUNTIFS($B$3:$B1514,$B1514,$N$3:$N1514,"sim"),"")</f>
        <v/>
      </c>
      <c r="P1514" s="5" t="n"/>
      <c r="Q1514" s="4" t="n"/>
      <c r="R1514" s="5" t="n"/>
      <c r="S1514" s="9" t="n"/>
      <c r="T1514" s="4" t="n"/>
    </row>
    <row r="1515">
      <c r="A1515" s="5">
        <f>ROW()-2</f>
        <v/>
      </c>
      <c r="B1515" s="4" t="inlineStr">
        <is>
          <t>Capital regional</t>
        </is>
      </c>
      <c r="C1515" s="5" t="n">
        <v>571</v>
      </c>
      <c r="D1515" s="5">
        <f>IFERROR(INDEX('Base de sorteio'!$A$3:$A$1723,MATCH($B1515&amp;"|"&amp;$C1515,'Base de sorteio'!$I$3:$I$1723,0)),"")</f>
        <v/>
      </c>
      <c r="E1515" s="4">
        <f>IFERROR(INDEX('Base de sorteio'!$B$3:$B$1723,MATCH($B1515&amp;"|"&amp;$C1515,'Base de sorteio'!$I$3:$I$1723,0)),"")</f>
        <v/>
      </c>
      <c r="F1515" s="4">
        <f>IFERROR(INDEX('Base de sorteio'!$C$3:$C$1723,MATCH($B1515&amp;"|"&amp;$C1515,'Base de sorteio'!$I$3:$I$1723,0)),"")</f>
        <v/>
      </c>
      <c r="G1515" s="4">
        <f>IFERROR(INDEX('Base de sorteio'!$D$3:$D$1723,MATCH($B1515&amp;"|"&amp;$C1515,'Base de sorteio'!$I$3:$I$1723,0)),"")</f>
        <v/>
      </c>
      <c r="H1515" s="4">
        <f>IFERROR(INDEX('Base de sorteio'!$E$3:$E$1723,MATCH($B1515&amp;"|"&amp;$C1515,'Base de sorteio'!$I$3:$I$1723,0)),"")</f>
        <v/>
      </c>
      <c r="I1515" s="4">
        <f>IF(E1515="","",HYPERLINK(IFERROR(INDEX('Base de sorteio'!$J$3:$J$1723,MATCH($B1515&amp;"|"&amp;$C1515,'Base de sorteio'!$I$3:$I$1723,0)),""),"abrir"))</f>
        <v/>
      </c>
      <c r="J1515" s="4" t="n"/>
      <c r="K1515" s="4" t="n"/>
      <c r="L1515" s="4" t="n"/>
      <c r="M1515" s="4" t="n"/>
      <c r="N1515" s="4">
        <f>IF(AND(K1515="",M1515=""),"",IF(OR(K1515="sim",M1515="sim"),"sim",IF(OR(K1515="inconclusivo",M1515="inconclusivo"),"inconclusivo","não")))</f>
        <v/>
      </c>
      <c r="O1515" s="5">
        <f>IF(N1515="sim",COUNTIFS($B$3:$B1515,$B1515,$N$3:$N1515,"sim"),"")</f>
        <v/>
      </c>
      <c r="P1515" s="5" t="n"/>
      <c r="Q1515" s="4" t="n"/>
      <c r="R1515" s="5" t="n"/>
      <c r="S1515" s="9" t="n"/>
      <c r="T1515" s="4" t="n"/>
    </row>
    <row r="1516">
      <c r="A1516" s="5">
        <f>ROW()-2</f>
        <v/>
      </c>
      <c r="B1516" s="4" t="inlineStr">
        <is>
          <t>Capital regional</t>
        </is>
      </c>
      <c r="C1516" s="5" t="n">
        <v>572</v>
      </c>
      <c r="D1516" s="5">
        <f>IFERROR(INDEX('Base de sorteio'!$A$3:$A$1723,MATCH($B1516&amp;"|"&amp;$C1516,'Base de sorteio'!$I$3:$I$1723,0)),"")</f>
        <v/>
      </c>
      <c r="E1516" s="4">
        <f>IFERROR(INDEX('Base de sorteio'!$B$3:$B$1723,MATCH($B1516&amp;"|"&amp;$C1516,'Base de sorteio'!$I$3:$I$1723,0)),"")</f>
        <v/>
      </c>
      <c r="F1516" s="4">
        <f>IFERROR(INDEX('Base de sorteio'!$C$3:$C$1723,MATCH($B1516&amp;"|"&amp;$C1516,'Base de sorteio'!$I$3:$I$1723,0)),"")</f>
        <v/>
      </c>
      <c r="G1516" s="4">
        <f>IFERROR(INDEX('Base de sorteio'!$D$3:$D$1723,MATCH($B1516&amp;"|"&amp;$C1516,'Base de sorteio'!$I$3:$I$1723,0)),"")</f>
        <v/>
      </c>
      <c r="H1516" s="4">
        <f>IFERROR(INDEX('Base de sorteio'!$E$3:$E$1723,MATCH($B1516&amp;"|"&amp;$C1516,'Base de sorteio'!$I$3:$I$1723,0)),"")</f>
        <v/>
      </c>
      <c r="I1516" s="4">
        <f>IF(E1516="","",HYPERLINK(IFERROR(INDEX('Base de sorteio'!$J$3:$J$1723,MATCH($B1516&amp;"|"&amp;$C1516,'Base de sorteio'!$I$3:$I$1723,0)),""),"abrir"))</f>
        <v/>
      </c>
      <c r="J1516" s="4" t="n"/>
      <c r="K1516" s="4" t="n"/>
      <c r="L1516" s="4" t="n"/>
      <c r="M1516" s="4" t="n"/>
      <c r="N1516" s="4">
        <f>IF(AND(K1516="",M1516=""),"",IF(OR(K1516="sim",M1516="sim"),"sim",IF(OR(K1516="inconclusivo",M1516="inconclusivo"),"inconclusivo","não")))</f>
        <v/>
      </c>
      <c r="O1516" s="5">
        <f>IF(N1516="sim",COUNTIFS($B$3:$B1516,$B1516,$N$3:$N1516,"sim"),"")</f>
        <v/>
      </c>
      <c r="P1516" s="5" t="n"/>
      <c r="Q1516" s="4" t="n"/>
      <c r="R1516" s="5" t="n"/>
      <c r="S1516" s="9" t="n"/>
      <c r="T1516" s="4" t="n"/>
    </row>
    <row r="1517">
      <c r="A1517" s="5">
        <f>ROW()-2</f>
        <v/>
      </c>
      <c r="B1517" s="4" t="inlineStr">
        <is>
          <t>Capital regional</t>
        </is>
      </c>
      <c r="C1517" s="5" t="n">
        <v>573</v>
      </c>
      <c r="D1517" s="5">
        <f>IFERROR(INDEX('Base de sorteio'!$A$3:$A$1723,MATCH($B1517&amp;"|"&amp;$C1517,'Base de sorteio'!$I$3:$I$1723,0)),"")</f>
        <v/>
      </c>
      <c r="E1517" s="4">
        <f>IFERROR(INDEX('Base de sorteio'!$B$3:$B$1723,MATCH($B1517&amp;"|"&amp;$C1517,'Base de sorteio'!$I$3:$I$1723,0)),"")</f>
        <v/>
      </c>
      <c r="F1517" s="4">
        <f>IFERROR(INDEX('Base de sorteio'!$C$3:$C$1723,MATCH($B1517&amp;"|"&amp;$C1517,'Base de sorteio'!$I$3:$I$1723,0)),"")</f>
        <v/>
      </c>
      <c r="G1517" s="4">
        <f>IFERROR(INDEX('Base de sorteio'!$D$3:$D$1723,MATCH($B1517&amp;"|"&amp;$C1517,'Base de sorteio'!$I$3:$I$1723,0)),"")</f>
        <v/>
      </c>
      <c r="H1517" s="4">
        <f>IFERROR(INDEX('Base de sorteio'!$E$3:$E$1723,MATCH($B1517&amp;"|"&amp;$C1517,'Base de sorteio'!$I$3:$I$1723,0)),"")</f>
        <v/>
      </c>
      <c r="I1517" s="4">
        <f>IF(E1517="","",HYPERLINK(IFERROR(INDEX('Base de sorteio'!$J$3:$J$1723,MATCH($B1517&amp;"|"&amp;$C1517,'Base de sorteio'!$I$3:$I$1723,0)),""),"abrir"))</f>
        <v/>
      </c>
      <c r="J1517" s="4" t="n"/>
      <c r="K1517" s="4" t="n"/>
      <c r="L1517" s="4" t="n"/>
      <c r="M1517" s="4" t="n"/>
      <c r="N1517" s="4">
        <f>IF(AND(K1517="",M1517=""),"",IF(OR(K1517="sim",M1517="sim"),"sim",IF(OR(K1517="inconclusivo",M1517="inconclusivo"),"inconclusivo","não")))</f>
        <v/>
      </c>
      <c r="O1517" s="5">
        <f>IF(N1517="sim",COUNTIFS($B$3:$B1517,$B1517,$N$3:$N1517,"sim"),"")</f>
        <v/>
      </c>
      <c r="P1517" s="5" t="n"/>
      <c r="Q1517" s="4" t="n"/>
      <c r="R1517" s="5" t="n"/>
      <c r="S1517" s="9" t="n"/>
      <c r="T1517" s="4" t="n"/>
    </row>
    <row r="1518">
      <c r="A1518" s="5">
        <f>ROW()-2</f>
        <v/>
      </c>
      <c r="B1518" s="4" t="inlineStr">
        <is>
          <t>Capital regional</t>
        </is>
      </c>
      <c r="C1518" s="5" t="n">
        <v>574</v>
      </c>
      <c r="D1518" s="5">
        <f>IFERROR(INDEX('Base de sorteio'!$A$3:$A$1723,MATCH($B1518&amp;"|"&amp;$C1518,'Base de sorteio'!$I$3:$I$1723,0)),"")</f>
        <v/>
      </c>
      <c r="E1518" s="4">
        <f>IFERROR(INDEX('Base de sorteio'!$B$3:$B$1723,MATCH($B1518&amp;"|"&amp;$C1518,'Base de sorteio'!$I$3:$I$1723,0)),"")</f>
        <v/>
      </c>
      <c r="F1518" s="4">
        <f>IFERROR(INDEX('Base de sorteio'!$C$3:$C$1723,MATCH($B1518&amp;"|"&amp;$C1518,'Base de sorteio'!$I$3:$I$1723,0)),"")</f>
        <v/>
      </c>
      <c r="G1518" s="4">
        <f>IFERROR(INDEX('Base de sorteio'!$D$3:$D$1723,MATCH($B1518&amp;"|"&amp;$C1518,'Base de sorteio'!$I$3:$I$1723,0)),"")</f>
        <v/>
      </c>
      <c r="H1518" s="4">
        <f>IFERROR(INDEX('Base de sorteio'!$E$3:$E$1723,MATCH($B1518&amp;"|"&amp;$C1518,'Base de sorteio'!$I$3:$I$1723,0)),"")</f>
        <v/>
      </c>
      <c r="I1518" s="4">
        <f>IF(E1518="","",HYPERLINK(IFERROR(INDEX('Base de sorteio'!$J$3:$J$1723,MATCH($B1518&amp;"|"&amp;$C1518,'Base de sorteio'!$I$3:$I$1723,0)),""),"abrir"))</f>
        <v/>
      </c>
      <c r="J1518" s="4" t="n"/>
      <c r="K1518" s="4" t="n"/>
      <c r="L1518" s="4" t="n"/>
      <c r="M1518" s="4" t="n"/>
      <c r="N1518" s="4">
        <f>IF(AND(K1518="",M1518=""),"",IF(OR(K1518="sim",M1518="sim"),"sim",IF(OR(K1518="inconclusivo",M1518="inconclusivo"),"inconclusivo","não")))</f>
        <v/>
      </c>
      <c r="O1518" s="5">
        <f>IF(N1518="sim",COUNTIFS($B$3:$B1518,$B1518,$N$3:$N1518,"sim"),"")</f>
        <v/>
      </c>
      <c r="P1518" s="5" t="n"/>
      <c r="Q1518" s="4" t="n"/>
      <c r="R1518" s="5" t="n"/>
      <c r="S1518" s="9" t="n"/>
      <c r="T1518" s="4" t="n"/>
    </row>
    <row r="1519">
      <c r="A1519" s="5">
        <f>ROW()-2</f>
        <v/>
      </c>
      <c r="B1519" s="4" t="inlineStr">
        <is>
          <t>Capital regional</t>
        </is>
      </c>
      <c r="C1519" s="5" t="n">
        <v>575</v>
      </c>
      <c r="D1519" s="5">
        <f>IFERROR(INDEX('Base de sorteio'!$A$3:$A$1723,MATCH($B1519&amp;"|"&amp;$C1519,'Base de sorteio'!$I$3:$I$1723,0)),"")</f>
        <v/>
      </c>
      <c r="E1519" s="4">
        <f>IFERROR(INDEX('Base de sorteio'!$B$3:$B$1723,MATCH($B1519&amp;"|"&amp;$C1519,'Base de sorteio'!$I$3:$I$1723,0)),"")</f>
        <v/>
      </c>
      <c r="F1519" s="4">
        <f>IFERROR(INDEX('Base de sorteio'!$C$3:$C$1723,MATCH($B1519&amp;"|"&amp;$C1519,'Base de sorteio'!$I$3:$I$1723,0)),"")</f>
        <v/>
      </c>
      <c r="G1519" s="4">
        <f>IFERROR(INDEX('Base de sorteio'!$D$3:$D$1723,MATCH($B1519&amp;"|"&amp;$C1519,'Base de sorteio'!$I$3:$I$1723,0)),"")</f>
        <v/>
      </c>
      <c r="H1519" s="4">
        <f>IFERROR(INDEX('Base de sorteio'!$E$3:$E$1723,MATCH($B1519&amp;"|"&amp;$C1519,'Base de sorteio'!$I$3:$I$1723,0)),"")</f>
        <v/>
      </c>
      <c r="I1519" s="4">
        <f>IF(E1519="","",HYPERLINK(IFERROR(INDEX('Base de sorteio'!$J$3:$J$1723,MATCH($B1519&amp;"|"&amp;$C1519,'Base de sorteio'!$I$3:$I$1723,0)),""),"abrir"))</f>
        <v/>
      </c>
      <c r="J1519" s="4" t="n"/>
      <c r="K1519" s="4" t="n"/>
      <c r="L1519" s="4" t="n"/>
      <c r="M1519" s="4" t="n"/>
      <c r="N1519" s="4">
        <f>IF(AND(K1519="",M1519=""),"",IF(OR(K1519="sim",M1519="sim"),"sim",IF(OR(K1519="inconclusivo",M1519="inconclusivo"),"inconclusivo","não")))</f>
        <v/>
      </c>
      <c r="O1519" s="5">
        <f>IF(N1519="sim",COUNTIFS($B$3:$B1519,$B1519,$N$3:$N1519,"sim"),"")</f>
        <v/>
      </c>
      <c r="P1519" s="5" t="n"/>
      <c r="Q1519" s="4" t="n"/>
      <c r="R1519" s="5" t="n"/>
      <c r="S1519" s="9" t="n"/>
      <c r="T1519" s="4" t="n"/>
    </row>
    <row r="1520">
      <c r="A1520" s="5">
        <f>ROW()-2</f>
        <v/>
      </c>
      <c r="B1520" s="4" t="inlineStr">
        <is>
          <t>Capital regional</t>
        </is>
      </c>
      <c r="C1520" s="5" t="n">
        <v>576</v>
      </c>
      <c r="D1520" s="5">
        <f>IFERROR(INDEX('Base de sorteio'!$A$3:$A$1723,MATCH($B1520&amp;"|"&amp;$C1520,'Base de sorteio'!$I$3:$I$1723,0)),"")</f>
        <v/>
      </c>
      <c r="E1520" s="4">
        <f>IFERROR(INDEX('Base de sorteio'!$B$3:$B$1723,MATCH($B1520&amp;"|"&amp;$C1520,'Base de sorteio'!$I$3:$I$1723,0)),"")</f>
        <v/>
      </c>
      <c r="F1520" s="4">
        <f>IFERROR(INDEX('Base de sorteio'!$C$3:$C$1723,MATCH($B1520&amp;"|"&amp;$C1520,'Base de sorteio'!$I$3:$I$1723,0)),"")</f>
        <v/>
      </c>
      <c r="G1520" s="4">
        <f>IFERROR(INDEX('Base de sorteio'!$D$3:$D$1723,MATCH($B1520&amp;"|"&amp;$C1520,'Base de sorteio'!$I$3:$I$1723,0)),"")</f>
        <v/>
      </c>
      <c r="H1520" s="4">
        <f>IFERROR(INDEX('Base de sorteio'!$E$3:$E$1723,MATCH($B1520&amp;"|"&amp;$C1520,'Base de sorteio'!$I$3:$I$1723,0)),"")</f>
        <v/>
      </c>
      <c r="I1520" s="4">
        <f>IF(E1520="","",HYPERLINK(IFERROR(INDEX('Base de sorteio'!$J$3:$J$1723,MATCH($B1520&amp;"|"&amp;$C1520,'Base de sorteio'!$I$3:$I$1723,0)),""),"abrir"))</f>
        <v/>
      </c>
      <c r="J1520" s="4" t="n"/>
      <c r="K1520" s="4" t="n"/>
      <c r="L1520" s="4" t="n"/>
      <c r="M1520" s="4" t="n"/>
      <c r="N1520" s="4">
        <f>IF(AND(K1520="",M1520=""),"",IF(OR(K1520="sim",M1520="sim"),"sim",IF(OR(K1520="inconclusivo",M1520="inconclusivo"),"inconclusivo","não")))</f>
        <v/>
      </c>
      <c r="O1520" s="5">
        <f>IF(N1520="sim",COUNTIFS($B$3:$B1520,$B1520,$N$3:$N1520,"sim"),"")</f>
        <v/>
      </c>
      <c r="P1520" s="5" t="n"/>
      <c r="Q1520" s="4" t="n"/>
      <c r="R1520" s="5" t="n"/>
      <c r="S1520" s="9" t="n"/>
      <c r="T1520" s="4" t="n"/>
    </row>
    <row r="1521">
      <c r="A1521" s="5">
        <f>ROW()-2</f>
        <v/>
      </c>
      <c r="B1521" s="4" t="inlineStr">
        <is>
          <t>Capital regional</t>
        </is>
      </c>
      <c r="C1521" s="5" t="n">
        <v>577</v>
      </c>
      <c r="D1521" s="5">
        <f>IFERROR(INDEX('Base de sorteio'!$A$3:$A$1723,MATCH($B1521&amp;"|"&amp;$C1521,'Base de sorteio'!$I$3:$I$1723,0)),"")</f>
        <v/>
      </c>
      <c r="E1521" s="4">
        <f>IFERROR(INDEX('Base de sorteio'!$B$3:$B$1723,MATCH($B1521&amp;"|"&amp;$C1521,'Base de sorteio'!$I$3:$I$1723,0)),"")</f>
        <v/>
      </c>
      <c r="F1521" s="4">
        <f>IFERROR(INDEX('Base de sorteio'!$C$3:$C$1723,MATCH($B1521&amp;"|"&amp;$C1521,'Base de sorteio'!$I$3:$I$1723,0)),"")</f>
        <v/>
      </c>
      <c r="G1521" s="4">
        <f>IFERROR(INDEX('Base de sorteio'!$D$3:$D$1723,MATCH($B1521&amp;"|"&amp;$C1521,'Base de sorteio'!$I$3:$I$1723,0)),"")</f>
        <v/>
      </c>
      <c r="H1521" s="4">
        <f>IFERROR(INDEX('Base de sorteio'!$E$3:$E$1723,MATCH($B1521&amp;"|"&amp;$C1521,'Base de sorteio'!$I$3:$I$1723,0)),"")</f>
        <v/>
      </c>
      <c r="I1521" s="4">
        <f>IF(E1521="","",HYPERLINK(IFERROR(INDEX('Base de sorteio'!$J$3:$J$1723,MATCH($B1521&amp;"|"&amp;$C1521,'Base de sorteio'!$I$3:$I$1723,0)),""),"abrir"))</f>
        <v/>
      </c>
      <c r="J1521" s="4" t="n"/>
      <c r="K1521" s="4" t="n"/>
      <c r="L1521" s="4" t="n"/>
      <c r="M1521" s="4" t="n"/>
      <c r="N1521" s="4">
        <f>IF(AND(K1521="",M1521=""),"",IF(OR(K1521="sim",M1521="sim"),"sim",IF(OR(K1521="inconclusivo",M1521="inconclusivo"),"inconclusivo","não")))</f>
        <v/>
      </c>
      <c r="O1521" s="5">
        <f>IF(N1521="sim",COUNTIFS($B$3:$B1521,$B1521,$N$3:$N1521,"sim"),"")</f>
        <v/>
      </c>
      <c r="P1521" s="5" t="n"/>
      <c r="Q1521" s="4" t="n"/>
      <c r="R1521" s="5" t="n"/>
      <c r="S1521" s="9" t="n"/>
      <c r="T1521" s="4" t="n"/>
    </row>
    <row r="1522">
      <c r="A1522" s="5">
        <f>ROW()-2</f>
        <v/>
      </c>
      <c r="B1522" s="4" t="inlineStr">
        <is>
          <t>Capital regional</t>
        </is>
      </c>
      <c r="C1522" s="5" t="n">
        <v>578</v>
      </c>
      <c r="D1522" s="5">
        <f>IFERROR(INDEX('Base de sorteio'!$A$3:$A$1723,MATCH($B1522&amp;"|"&amp;$C1522,'Base de sorteio'!$I$3:$I$1723,0)),"")</f>
        <v/>
      </c>
      <c r="E1522" s="4">
        <f>IFERROR(INDEX('Base de sorteio'!$B$3:$B$1723,MATCH($B1522&amp;"|"&amp;$C1522,'Base de sorteio'!$I$3:$I$1723,0)),"")</f>
        <v/>
      </c>
      <c r="F1522" s="4">
        <f>IFERROR(INDEX('Base de sorteio'!$C$3:$C$1723,MATCH($B1522&amp;"|"&amp;$C1522,'Base de sorteio'!$I$3:$I$1723,0)),"")</f>
        <v/>
      </c>
      <c r="G1522" s="4">
        <f>IFERROR(INDEX('Base de sorteio'!$D$3:$D$1723,MATCH($B1522&amp;"|"&amp;$C1522,'Base de sorteio'!$I$3:$I$1723,0)),"")</f>
        <v/>
      </c>
      <c r="H1522" s="4">
        <f>IFERROR(INDEX('Base de sorteio'!$E$3:$E$1723,MATCH($B1522&amp;"|"&amp;$C1522,'Base de sorteio'!$I$3:$I$1723,0)),"")</f>
        <v/>
      </c>
      <c r="I1522" s="4">
        <f>IF(E1522="","",HYPERLINK(IFERROR(INDEX('Base de sorteio'!$J$3:$J$1723,MATCH($B1522&amp;"|"&amp;$C1522,'Base de sorteio'!$I$3:$I$1723,0)),""),"abrir"))</f>
        <v/>
      </c>
      <c r="J1522" s="4" t="n"/>
      <c r="K1522" s="4" t="n"/>
      <c r="L1522" s="4" t="n"/>
      <c r="M1522" s="4" t="n"/>
      <c r="N1522" s="4">
        <f>IF(AND(K1522="",M1522=""),"",IF(OR(K1522="sim",M1522="sim"),"sim",IF(OR(K1522="inconclusivo",M1522="inconclusivo"),"inconclusivo","não")))</f>
        <v/>
      </c>
      <c r="O1522" s="5">
        <f>IF(N1522="sim",COUNTIFS($B$3:$B1522,$B1522,$N$3:$N1522,"sim"),"")</f>
        <v/>
      </c>
      <c r="P1522" s="5" t="n"/>
      <c r="Q1522" s="4" t="n"/>
      <c r="R1522" s="5" t="n"/>
      <c r="S1522" s="9" t="n"/>
      <c r="T1522" s="4" t="n"/>
    </row>
    <row r="1523">
      <c r="A1523" s="5">
        <f>ROW()-2</f>
        <v/>
      </c>
      <c r="B1523" s="4" t="inlineStr">
        <is>
          <t>Capital regional</t>
        </is>
      </c>
      <c r="C1523" s="5" t="n">
        <v>579</v>
      </c>
      <c r="D1523" s="5">
        <f>IFERROR(INDEX('Base de sorteio'!$A$3:$A$1723,MATCH($B1523&amp;"|"&amp;$C1523,'Base de sorteio'!$I$3:$I$1723,0)),"")</f>
        <v/>
      </c>
      <c r="E1523" s="4">
        <f>IFERROR(INDEX('Base de sorteio'!$B$3:$B$1723,MATCH($B1523&amp;"|"&amp;$C1523,'Base de sorteio'!$I$3:$I$1723,0)),"")</f>
        <v/>
      </c>
      <c r="F1523" s="4">
        <f>IFERROR(INDEX('Base de sorteio'!$C$3:$C$1723,MATCH($B1523&amp;"|"&amp;$C1523,'Base de sorteio'!$I$3:$I$1723,0)),"")</f>
        <v/>
      </c>
      <c r="G1523" s="4">
        <f>IFERROR(INDEX('Base de sorteio'!$D$3:$D$1723,MATCH($B1523&amp;"|"&amp;$C1523,'Base de sorteio'!$I$3:$I$1723,0)),"")</f>
        <v/>
      </c>
      <c r="H1523" s="4">
        <f>IFERROR(INDEX('Base de sorteio'!$E$3:$E$1723,MATCH($B1523&amp;"|"&amp;$C1523,'Base de sorteio'!$I$3:$I$1723,0)),"")</f>
        <v/>
      </c>
      <c r="I1523" s="4">
        <f>IF(E1523="","",HYPERLINK(IFERROR(INDEX('Base de sorteio'!$J$3:$J$1723,MATCH($B1523&amp;"|"&amp;$C1523,'Base de sorteio'!$I$3:$I$1723,0)),""),"abrir"))</f>
        <v/>
      </c>
      <c r="J1523" s="4" t="n"/>
      <c r="K1523" s="4" t="n"/>
      <c r="L1523" s="4" t="n"/>
      <c r="M1523" s="4" t="n"/>
      <c r="N1523" s="4">
        <f>IF(AND(K1523="",M1523=""),"",IF(OR(K1523="sim",M1523="sim"),"sim",IF(OR(K1523="inconclusivo",M1523="inconclusivo"),"inconclusivo","não")))</f>
        <v/>
      </c>
      <c r="O1523" s="5">
        <f>IF(N1523="sim",COUNTIFS($B$3:$B1523,$B1523,$N$3:$N1523,"sim"),"")</f>
        <v/>
      </c>
      <c r="P1523" s="5" t="n"/>
      <c r="Q1523" s="4" t="n"/>
      <c r="R1523" s="5" t="n"/>
      <c r="S1523" s="9" t="n"/>
      <c r="T1523" s="4" t="n"/>
    </row>
    <row r="1524">
      <c r="A1524" s="5">
        <f>ROW()-2</f>
        <v/>
      </c>
      <c r="B1524" s="4" t="inlineStr">
        <is>
          <t>Capital regional</t>
        </is>
      </c>
      <c r="C1524" s="5" t="n">
        <v>580</v>
      </c>
      <c r="D1524" s="5">
        <f>IFERROR(INDEX('Base de sorteio'!$A$3:$A$1723,MATCH($B1524&amp;"|"&amp;$C1524,'Base de sorteio'!$I$3:$I$1723,0)),"")</f>
        <v/>
      </c>
      <c r="E1524" s="4">
        <f>IFERROR(INDEX('Base de sorteio'!$B$3:$B$1723,MATCH($B1524&amp;"|"&amp;$C1524,'Base de sorteio'!$I$3:$I$1723,0)),"")</f>
        <v/>
      </c>
      <c r="F1524" s="4">
        <f>IFERROR(INDEX('Base de sorteio'!$C$3:$C$1723,MATCH($B1524&amp;"|"&amp;$C1524,'Base de sorteio'!$I$3:$I$1723,0)),"")</f>
        <v/>
      </c>
      <c r="G1524" s="4">
        <f>IFERROR(INDEX('Base de sorteio'!$D$3:$D$1723,MATCH($B1524&amp;"|"&amp;$C1524,'Base de sorteio'!$I$3:$I$1723,0)),"")</f>
        <v/>
      </c>
      <c r="H1524" s="4">
        <f>IFERROR(INDEX('Base de sorteio'!$E$3:$E$1723,MATCH($B1524&amp;"|"&amp;$C1524,'Base de sorteio'!$I$3:$I$1723,0)),"")</f>
        <v/>
      </c>
      <c r="I1524" s="4">
        <f>IF(E1524="","",HYPERLINK(IFERROR(INDEX('Base de sorteio'!$J$3:$J$1723,MATCH($B1524&amp;"|"&amp;$C1524,'Base de sorteio'!$I$3:$I$1723,0)),""),"abrir"))</f>
        <v/>
      </c>
      <c r="J1524" s="4" t="n"/>
      <c r="K1524" s="4" t="n"/>
      <c r="L1524" s="4" t="n"/>
      <c r="M1524" s="4" t="n"/>
      <c r="N1524" s="4">
        <f>IF(AND(K1524="",M1524=""),"",IF(OR(K1524="sim",M1524="sim"),"sim",IF(OR(K1524="inconclusivo",M1524="inconclusivo"),"inconclusivo","não")))</f>
        <v/>
      </c>
      <c r="O1524" s="5">
        <f>IF(N1524="sim",COUNTIFS($B$3:$B1524,$B1524,$N$3:$N1524,"sim"),"")</f>
        <v/>
      </c>
      <c r="P1524" s="5" t="n"/>
      <c r="Q1524" s="4" t="n"/>
      <c r="R1524" s="5" t="n"/>
      <c r="S1524" s="9" t="n"/>
      <c r="T1524" s="4" t="n"/>
    </row>
    <row r="1525">
      <c r="A1525" s="5">
        <f>ROW()-2</f>
        <v/>
      </c>
      <c r="B1525" s="4" t="inlineStr">
        <is>
          <t>Capital regional</t>
        </is>
      </c>
      <c r="C1525" s="5" t="n">
        <v>581</v>
      </c>
      <c r="D1525" s="5">
        <f>IFERROR(INDEX('Base de sorteio'!$A$3:$A$1723,MATCH($B1525&amp;"|"&amp;$C1525,'Base de sorteio'!$I$3:$I$1723,0)),"")</f>
        <v/>
      </c>
      <c r="E1525" s="4">
        <f>IFERROR(INDEX('Base de sorteio'!$B$3:$B$1723,MATCH($B1525&amp;"|"&amp;$C1525,'Base de sorteio'!$I$3:$I$1723,0)),"")</f>
        <v/>
      </c>
      <c r="F1525" s="4">
        <f>IFERROR(INDEX('Base de sorteio'!$C$3:$C$1723,MATCH($B1525&amp;"|"&amp;$C1525,'Base de sorteio'!$I$3:$I$1723,0)),"")</f>
        <v/>
      </c>
      <c r="G1525" s="4">
        <f>IFERROR(INDEX('Base de sorteio'!$D$3:$D$1723,MATCH($B1525&amp;"|"&amp;$C1525,'Base de sorteio'!$I$3:$I$1723,0)),"")</f>
        <v/>
      </c>
      <c r="H1525" s="4">
        <f>IFERROR(INDEX('Base de sorteio'!$E$3:$E$1723,MATCH($B1525&amp;"|"&amp;$C1525,'Base de sorteio'!$I$3:$I$1723,0)),"")</f>
        <v/>
      </c>
      <c r="I1525" s="4">
        <f>IF(E1525="","",HYPERLINK(IFERROR(INDEX('Base de sorteio'!$J$3:$J$1723,MATCH($B1525&amp;"|"&amp;$C1525,'Base de sorteio'!$I$3:$I$1723,0)),""),"abrir"))</f>
        <v/>
      </c>
      <c r="J1525" s="4" t="n"/>
      <c r="K1525" s="4" t="n"/>
      <c r="L1525" s="4" t="n"/>
      <c r="M1525" s="4" t="n"/>
      <c r="N1525" s="4">
        <f>IF(AND(K1525="",M1525=""),"",IF(OR(K1525="sim",M1525="sim"),"sim",IF(OR(K1525="inconclusivo",M1525="inconclusivo"),"inconclusivo","não")))</f>
        <v/>
      </c>
      <c r="O1525" s="5">
        <f>IF(N1525="sim",COUNTIFS($B$3:$B1525,$B1525,$N$3:$N1525,"sim"),"")</f>
        <v/>
      </c>
      <c r="P1525" s="5" t="n"/>
      <c r="Q1525" s="4" t="n"/>
      <c r="R1525" s="5" t="n"/>
      <c r="S1525" s="9" t="n"/>
      <c r="T1525" s="4" t="n"/>
    </row>
    <row r="1526">
      <c r="A1526" s="5">
        <f>ROW()-2</f>
        <v/>
      </c>
      <c r="B1526" s="4" t="inlineStr">
        <is>
          <t>Capital regional</t>
        </is>
      </c>
      <c r="C1526" s="5" t="n">
        <v>582</v>
      </c>
      <c r="D1526" s="5">
        <f>IFERROR(INDEX('Base de sorteio'!$A$3:$A$1723,MATCH($B1526&amp;"|"&amp;$C1526,'Base de sorteio'!$I$3:$I$1723,0)),"")</f>
        <v/>
      </c>
      <c r="E1526" s="4">
        <f>IFERROR(INDEX('Base de sorteio'!$B$3:$B$1723,MATCH($B1526&amp;"|"&amp;$C1526,'Base de sorteio'!$I$3:$I$1723,0)),"")</f>
        <v/>
      </c>
      <c r="F1526" s="4">
        <f>IFERROR(INDEX('Base de sorteio'!$C$3:$C$1723,MATCH($B1526&amp;"|"&amp;$C1526,'Base de sorteio'!$I$3:$I$1723,0)),"")</f>
        <v/>
      </c>
      <c r="G1526" s="4">
        <f>IFERROR(INDEX('Base de sorteio'!$D$3:$D$1723,MATCH($B1526&amp;"|"&amp;$C1526,'Base de sorteio'!$I$3:$I$1723,0)),"")</f>
        <v/>
      </c>
      <c r="H1526" s="4">
        <f>IFERROR(INDEX('Base de sorteio'!$E$3:$E$1723,MATCH($B1526&amp;"|"&amp;$C1526,'Base de sorteio'!$I$3:$I$1723,0)),"")</f>
        <v/>
      </c>
      <c r="I1526" s="4">
        <f>IF(E1526="","",HYPERLINK(IFERROR(INDEX('Base de sorteio'!$J$3:$J$1723,MATCH($B1526&amp;"|"&amp;$C1526,'Base de sorteio'!$I$3:$I$1723,0)),""),"abrir"))</f>
        <v/>
      </c>
      <c r="J1526" s="4" t="n"/>
      <c r="K1526" s="4" t="n"/>
      <c r="L1526" s="4" t="n"/>
      <c r="M1526" s="4" t="n"/>
      <c r="N1526" s="4">
        <f>IF(AND(K1526="",M1526=""),"",IF(OR(K1526="sim",M1526="sim"),"sim",IF(OR(K1526="inconclusivo",M1526="inconclusivo"),"inconclusivo","não")))</f>
        <v/>
      </c>
      <c r="O1526" s="5">
        <f>IF(N1526="sim",COUNTIFS($B$3:$B1526,$B1526,$N$3:$N1526,"sim"),"")</f>
        <v/>
      </c>
      <c r="P1526" s="5" t="n"/>
      <c r="Q1526" s="4" t="n"/>
      <c r="R1526" s="5" t="n"/>
      <c r="S1526" s="9" t="n"/>
      <c r="T1526" s="4" t="n"/>
    </row>
    <row r="1527">
      <c r="A1527" s="5">
        <f>ROW()-2</f>
        <v/>
      </c>
      <c r="B1527" s="4" t="inlineStr">
        <is>
          <t>Capital regional</t>
        </is>
      </c>
      <c r="C1527" s="5" t="n">
        <v>583</v>
      </c>
      <c r="D1527" s="5">
        <f>IFERROR(INDEX('Base de sorteio'!$A$3:$A$1723,MATCH($B1527&amp;"|"&amp;$C1527,'Base de sorteio'!$I$3:$I$1723,0)),"")</f>
        <v/>
      </c>
      <c r="E1527" s="4">
        <f>IFERROR(INDEX('Base de sorteio'!$B$3:$B$1723,MATCH($B1527&amp;"|"&amp;$C1527,'Base de sorteio'!$I$3:$I$1723,0)),"")</f>
        <v/>
      </c>
      <c r="F1527" s="4">
        <f>IFERROR(INDEX('Base de sorteio'!$C$3:$C$1723,MATCH($B1527&amp;"|"&amp;$C1527,'Base de sorteio'!$I$3:$I$1723,0)),"")</f>
        <v/>
      </c>
      <c r="G1527" s="4">
        <f>IFERROR(INDEX('Base de sorteio'!$D$3:$D$1723,MATCH($B1527&amp;"|"&amp;$C1527,'Base de sorteio'!$I$3:$I$1723,0)),"")</f>
        <v/>
      </c>
      <c r="H1527" s="4">
        <f>IFERROR(INDEX('Base de sorteio'!$E$3:$E$1723,MATCH($B1527&amp;"|"&amp;$C1527,'Base de sorteio'!$I$3:$I$1723,0)),"")</f>
        <v/>
      </c>
      <c r="I1527" s="4">
        <f>IF(E1527="","",HYPERLINK(IFERROR(INDEX('Base de sorteio'!$J$3:$J$1723,MATCH($B1527&amp;"|"&amp;$C1527,'Base de sorteio'!$I$3:$I$1723,0)),""),"abrir"))</f>
        <v/>
      </c>
      <c r="J1527" s="4" t="n"/>
      <c r="K1527" s="4" t="n"/>
      <c r="L1527" s="4" t="n"/>
      <c r="M1527" s="4" t="n"/>
      <c r="N1527" s="4">
        <f>IF(AND(K1527="",M1527=""),"",IF(OR(K1527="sim",M1527="sim"),"sim",IF(OR(K1527="inconclusivo",M1527="inconclusivo"),"inconclusivo","não")))</f>
        <v/>
      </c>
      <c r="O1527" s="5">
        <f>IF(N1527="sim",COUNTIFS($B$3:$B1527,$B1527,$N$3:$N1527,"sim"),"")</f>
        <v/>
      </c>
      <c r="P1527" s="5" t="n"/>
      <c r="Q1527" s="4" t="n"/>
      <c r="R1527" s="5" t="n"/>
      <c r="S1527" s="9" t="n"/>
      <c r="T1527" s="4" t="n"/>
    </row>
    <row r="1528">
      <c r="A1528" s="5">
        <f>ROW()-2</f>
        <v/>
      </c>
      <c r="B1528" s="4" t="inlineStr">
        <is>
          <t>Capital regional</t>
        </is>
      </c>
      <c r="C1528" s="5" t="n">
        <v>584</v>
      </c>
      <c r="D1528" s="5">
        <f>IFERROR(INDEX('Base de sorteio'!$A$3:$A$1723,MATCH($B1528&amp;"|"&amp;$C1528,'Base de sorteio'!$I$3:$I$1723,0)),"")</f>
        <v/>
      </c>
      <c r="E1528" s="4">
        <f>IFERROR(INDEX('Base de sorteio'!$B$3:$B$1723,MATCH($B1528&amp;"|"&amp;$C1528,'Base de sorteio'!$I$3:$I$1723,0)),"")</f>
        <v/>
      </c>
      <c r="F1528" s="4">
        <f>IFERROR(INDEX('Base de sorteio'!$C$3:$C$1723,MATCH($B1528&amp;"|"&amp;$C1528,'Base de sorteio'!$I$3:$I$1723,0)),"")</f>
        <v/>
      </c>
      <c r="G1528" s="4">
        <f>IFERROR(INDEX('Base de sorteio'!$D$3:$D$1723,MATCH($B1528&amp;"|"&amp;$C1528,'Base de sorteio'!$I$3:$I$1723,0)),"")</f>
        <v/>
      </c>
      <c r="H1528" s="4">
        <f>IFERROR(INDEX('Base de sorteio'!$E$3:$E$1723,MATCH($B1528&amp;"|"&amp;$C1528,'Base de sorteio'!$I$3:$I$1723,0)),"")</f>
        <v/>
      </c>
      <c r="I1528" s="4">
        <f>IF(E1528="","",HYPERLINK(IFERROR(INDEX('Base de sorteio'!$J$3:$J$1723,MATCH($B1528&amp;"|"&amp;$C1528,'Base de sorteio'!$I$3:$I$1723,0)),""),"abrir"))</f>
        <v/>
      </c>
      <c r="J1528" s="4" t="n"/>
      <c r="K1528" s="4" t="n"/>
      <c r="L1528" s="4" t="n"/>
      <c r="M1528" s="4" t="n"/>
      <c r="N1528" s="4">
        <f>IF(AND(K1528="",M1528=""),"",IF(OR(K1528="sim",M1528="sim"),"sim",IF(OR(K1528="inconclusivo",M1528="inconclusivo"),"inconclusivo","não")))</f>
        <v/>
      </c>
      <c r="O1528" s="5">
        <f>IF(N1528="sim",COUNTIFS($B$3:$B1528,$B1528,$N$3:$N1528,"sim"),"")</f>
        <v/>
      </c>
      <c r="P1528" s="5" t="n"/>
      <c r="Q1528" s="4" t="n"/>
      <c r="R1528" s="5" t="n"/>
      <c r="S1528" s="9" t="n"/>
      <c r="T1528" s="4" t="n"/>
    </row>
    <row r="1529">
      <c r="A1529" s="5">
        <f>ROW()-2</f>
        <v/>
      </c>
      <c r="B1529" s="4" t="inlineStr">
        <is>
          <t>Capital regional</t>
        </is>
      </c>
      <c r="C1529" s="5" t="n">
        <v>585</v>
      </c>
      <c r="D1529" s="5">
        <f>IFERROR(INDEX('Base de sorteio'!$A$3:$A$1723,MATCH($B1529&amp;"|"&amp;$C1529,'Base de sorteio'!$I$3:$I$1723,0)),"")</f>
        <v/>
      </c>
      <c r="E1529" s="4">
        <f>IFERROR(INDEX('Base de sorteio'!$B$3:$B$1723,MATCH($B1529&amp;"|"&amp;$C1529,'Base de sorteio'!$I$3:$I$1723,0)),"")</f>
        <v/>
      </c>
      <c r="F1529" s="4">
        <f>IFERROR(INDEX('Base de sorteio'!$C$3:$C$1723,MATCH($B1529&amp;"|"&amp;$C1529,'Base de sorteio'!$I$3:$I$1723,0)),"")</f>
        <v/>
      </c>
      <c r="G1529" s="4">
        <f>IFERROR(INDEX('Base de sorteio'!$D$3:$D$1723,MATCH($B1529&amp;"|"&amp;$C1529,'Base de sorteio'!$I$3:$I$1723,0)),"")</f>
        <v/>
      </c>
      <c r="H1529" s="4">
        <f>IFERROR(INDEX('Base de sorteio'!$E$3:$E$1723,MATCH($B1529&amp;"|"&amp;$C1529,'Base de sorteio'!$I$3:$I$1723,0)),"")</f>
        <v/>
      </c>
      <c r="I1529" s="4">
        <f>IF(E1529="","",HYPERLINK(IFERROR(INDEX('Base de sorteio'!$J$3:$J$1723,MATCH($B1529&amp;"|"&amp;$C1529,'Base de sorteio'!$I$3:$I$1723,0)),""),"abrir"))</f>
        <v/>
      </c>
      <c r="J1529" s="4" t="n"/>
      <c r="K1529" s="4" t="n"/>
      <c r="L1529" s="4" t="n"/>
      <c r="M1529" s="4" t="n"/>
      <c r="N1529" s="4">
        <f>IF(AND(K1529="",M1529=""),"",IF(OR(K1529="sim",M1529="sim"),"sim",IF(OR(K1529="inconclusivo",M1529="inconclusivo"),"inconclusivo","não")))</f>
        <v/>
      </c>
      <c r="O1529" s="5">
        <f>IF(N1529="sim",COUNTIFS($B$3:$B1529,$B1529,$N$3:$N1529,"sim"),"")</f>
        <v/>
      </c>
      <c r="P1529" s="5" t="n"/>
      <c r="Q1529" s="4" t="n"/>
      <c r="R1529" s="5" t="n"/>
      <c r="S1529" s="9" t="n"/>
      <c r="T1529" s="4" t="n"/>
    </row>
    <row r="1530">
      <c r="A1530" s="5">
        <f>ROW()-2</f>
        <v/>
      </c>
      <c r="B1530" s="4" t="inlineStr">
        <is>
          <t>Capital regional</t>
        </is>
      </c>
      <c r="C1530" s="5" t="n">
        <v>586</v>
      </c>
      <c r="D1530" s="5">
        <f>IFERROR(INDEX('Base de sorteio'!$A$3:$A$1723,MATCH($B1530&amp;"|"&amp;$C1530,'Base de sorteio'!$I$3:$I$1723,0)),"")</f>
        <v/>
      </c>
      <c r="E1530" s="4">
        <f>IFERROR(INDEX('Base de sorteio'!$B$3:$B$1723,MATCH($B1530&amp;"|"&amp;$C1530,'Base de sorteio'!$I$3:$I$1723,0)),"")</f>
        <v/>
      </c>
      <c r="F1530" s="4">
        <f>IFERROR(INDEX('Base de sorteio'!$C$3:$C$1723,MATCH($B1530&amp;"|"&amp;$C1530,'Base de sorteio'!$I$3:$I$1723,0)),"")</f>
        <v/>
      </c>
      <c r="G1530" s="4">
        <f>IFERROR(INDEX('Base de sorteio'!$D$3:$D$1723,MATCH($B1530&amp;"|"&amp;$C1530,'Base de sorteio'!$I$3:$I$1723,0)),"")</f>
        <v/>
      </c>
      <c r="H1530" s="4">
        <f>IFERROR(INDEX('Base de sorteio'!$E$3:$E$1723,MATCH($B1530&amp;"|"&amp;$C1530,'Base de sorteio'!$I$3:$I$1723,0)),"")</f>
        <v/>
      </c>
      <c r="I1530" s="4">
        <f>IF(E1530="","",HYPERLINK(IFERROR(INDEX('Base de sorteio'!$J$3:$J$1723,MATCH($B1530&amp;"|"&amp;$C1530,'Base de sorteio'!$I$3:$I$1723,0)),""),"abrir"))</f>
        <v/>
      </c>
      <c r="J1530" s="4" t="n"/>
      <c r="K1530" s="4" t="n"/>
      <c r="L1530" s="4" t="n"/>
      <c r="M1530" s="4" t="n"/>
      <c r="N1530" s="4">
        <f>IF(AND(K1530="",M1530=""),"",IF(OR(K1530="sim",M1530="sim"),"sim",IF(OR(K1530="inconclusivo",M1530="inconclusivo"),"inconclusivo","não")))</f>
        <v/>
      </c>
      <c r="O1530" s="5">
        <f>IF(N1530="sim",COUNTIFS($B$3:$B1530,$B1530,$N$3:$N1530,"sim"),"")</f>
        <v/>
      </c>
      <c r="P1530" s="5" t="n"/>
      <c r="Q1530" s="4" t="n"/>
      <c r="R1530" s="5" t="n"/>
      <c r="S1530" s="9" t="n"/>
      <c r="T1530" s="4" t="n"/>
    </row>
    <row r="1531">
      <c r="A1531" s="5">
        <f>ROW()-2</f>
        <v/>
      </c>
      <c r="B1531" s="4" t="inlineStr">
        <is>
          <t>Capital regional</t>
        </is>
      </c>
      <c r="C1531" s="5" t="n">
        <v>587</v>
      </c>
      <c r="D1531" s="5">
        <f>IFERROR(INDEX('Base de sorteio'!$A$3:$A$1723,MATCH($B1531&amp;"|"&amp;$C1531,'Base de sorteio'!$I$3:$I$1723,0)),"")</f>
        <v/>
      </c>
      <c r="E1531" s="4">
        <f>IFERROR(INDEX('Base de sorteio'!$B$3:$B$1723,MATCH($B1531&amp;"|"&amp;$C1531,'Base de sorteio'!$I$3:$I$1723,0)),"")</f>
        <v/>
      </c>
      <c r="F1531" s="4">
        <f>IFERROR(INDEX('Base de sorteio'!$C$3:$C$1723,MATCH($B1531&amp;"|"&amp;$C1531,'Base de sorteio'!$I$3:$I$1723,0)),"")</f>
        <v/>
      </c>
      <c r="G1531" s="4">
        <f>IFERROR(INDEX('Base de sorteio'!$D$3:$D$1723,MATCH($B1531&amp;"|"&amp;$C1531,'Base de sorteio'!$I$3:$I$1723,0)),"")</f>
        <v/>
      </c>
      <c r="H1531" s="4">
        <f>IFERROR(INDEX('Base de sorteio'!$E$3:$E$1723,MATCH($B1531&amp;"|"&amp;$C1531,'Base de sorteio'!$I$3:$I$1723,0)),"")</f>
        <v/>
      </c>
      <c r="I1531" s="4">
        <f>IF(E1531="","",HYPERLINK(IFERROR(INDEX('Base de sorteio'!$J$3:$J$1723,MATCH($B1531&amp;"|"&amp;$C1531,'Base de sorteio'!$I$3:$I$1723,0)),""),"abrir"))</f>
        <v/>
      </c>
      <c r="J1531" s="4" t="n"/>
      <c r="K1531" s="4" t="n"/>
      <c r="L1531" s="4" t="n"/>
      <c r="M1531" s="4" t="n"/>
      <c r="N1531" s="4">
        <f>IF(AND(K1531="",M1531=""),"",IF(OR(K1531="sim",M1531="sim"),"sim",IF(OR(K1531="inconclusivo",M1531="inconclusivo"),"inconclusivo","não")))</f>
        <v/>
      </c>
      <c r="O1531" s="5">
        <f>IF(N1531="sim",COUNTIFS($B$3:$B1531,$B1531,$N$3:$N1531,"sim"),"")</f>
        <v/>
      </c>
      <c r="P1531" s="5" t="n"/>
      <c r="Q1531" s="4" t="n"/>
      <c r="R1531" s="5" t="n"/>
      <c r="S1531" s="9" t="n"/>
      <c r="T1531" s="4" t="n"/>
    </row>
    <row r="1532">
      <c r="A1532" s="5">
        <f>ROW()-2</f>
        <v/>
      </c>
      <c r="B1532" s="4" t="inlineStr">
        <is>
          <t>Capital regional</t>
        </is>
      </c>
      <c r="C1532" s="5" t="n">
        <v>588</v>
      </c>
      <c r="D1532" s="5">
        <f>IFERROR(INDEX('Base de sorteio'!$A$3:$A$1723,MATCH($B1532&amp;"|"&amp;$C1532,'Base de sorteio'!$I$3:$I$1723,0)),"")</f>
        <v/>
      </c>
      <c r="E1532" s="4">
        <f>IFERROR(INDEX('Base de sorteio'!$B$3:$B$1723,MATCH($B1532&amp;"|"&amp;$C1532,'Base de sorteio'!$I$3:$I$1723,0)),"")</f>
        <v/>
      </c>
      <c r="F1532" s="4">
        <f>IFERROR(INDEX('Base de sorteio'!$C$3:$C$1723,MATCH($B1532&amp;"|"&amp;$C1532,'Base de sorteio'!$I$3:$I$1723,0)),"")</f>
        <v/>
      </c>
      <c r="G1532" s="4">
        <f>IFERROR(INDEX('Base de sorteio'!$D$3:$D$1723,MATCH($B1532&amp;"|"&amp;$C1532,'Base de sorteio'!$I$3:$I$1723,0)),"")</f>
        <v/>
      </c>
      <c r="H1532" s="4">
        <f>IFERROR(INDEX('Base de sorteio'!$E$3:$E$1723,MATCH($B1532&amp;"|"&amp;$C1532,'Base de sorteio'!$I$3:$I$1723,0)),"")</f>
        <v/>
      </c>
      <c r="I1532" s="4">
        <f>IF(E1532="","",HYPERLINK(IFERROR(INDEX('Base de sorteio'!$J$3:$J$1723,MATCH($B1532&amp;"|"&amp;$C1532,'Base de sorteio'!$I$3:$I$1723,0)),""),"abrir"))</f>
        <v/>
      </c>
      <c r="J1532" s="4" t="n"/>
      <c r="K1532" s="4" t="n"/>
      <c r="L1532" s="4" t="n"/>
      <c r="M1532" s="4" t="n"/>
      <c r="N1532" s="4">
        <f>IF(AND(K1532="",M1532=""),"",IF(OR(K1532="sim",M1532="sim"),"sim",IF(OR(K1532="inconclusivo",M1532="inconclusivo"),"inconclusivo","não")))</f>
        <v/>
      </c>
      <c r="O1532" s="5">
        <f>IF(N1532="sim",COUNTIFS($B$3:$B1532,$B1532,$N$3:$N1532,"sim"),"")</f>
        <v/>
      </c>
      <c r="P1532" s="5" t="n"/>
      <c r="Q1532" s="4" t="n"/>
      <c r="R1532" s="5" t="n"/>
      <c r="S1532" s="9" t="n"/>
      <c r="T1532" s="4" t="n"/>
    </row>
    <row r="1533">
      <c r="A1533" s="5">
        <f>ROW()-2</f>
        <v/>
      </c>
      <c r="B1533" s="4" t="inlineStr">
        <is>
          <t>Capital regional</t>
        </is>
      </c>
      <c r="C1533" s="5" t="n">
        <v>589</v>
      </c>
      <c r="D1533" s="5">
        <f>IFERROR(INDEX('Base de sorteio'!$A$3:$A$1723,MATCH($B1533&amp;"|"&amp;$C1533,'Base de sorteio'!$I$3:$I$1723,0)),"")</f>
        <v/>
      </c>
      <c r="E1533" s="4">
        <f>IFERROR(INDEX('Base de sorteio'!$B$3:$B$1723,MATCH($B1533&amp;"|"&amp;$C1533,'Base de sorteio'!$I$3:$I$1723,0)),"")</f>
        <v/>
      </c>
      <c r="F1533" s="4">
        <f>IFERROR(INDEX('Base de sorteio'!$C$3:$C$1723,MATCH($B1533&amp;"|"&amp;$C1533,'Base de sorteio'!$I$3:$I$1723,0)),"")</f>
        <v/>
      </c>
      <c r="G1533" s="4">
        <f>IFERROR(INDEX('Base de sorteio'!$D$3:$D$1723,MATCH($B1533&amp;"|"&amp;$C1533,'Base de sorteio'!$I$3:$I$1723,0)),"")</f>
        <v/>
      </c>
      <c r="H1533" s="4">
        <f>IFERROR(INDEX('Base de sorteio'!$E$3:$E$1723,MATCH($B1533&amp;"|"&amp;$C1533,'Base de sorteio'!$I$3:$I$1723,0)),"")</f>
        <v/>
      </c>
      <c r="I1533" s="4">
        <f>IF(E1533="","",HYPERLINK(IFERROR(INDEX('Base de sorteio'!$J$3:$J$1723,MATCH($B1533&amp;"|"&amp;$C1533,'Base de sorteio'!$I$3:$I$1723,0)),""),"abrir"))</f>
        <v/>
      </c>
      <c r="J1533" s="4" t="n"/>
      <c r="K1533" s="4" t="n"/>
      <c r="L1533" s="4" t="n"/>
      <c r="M1533" s="4" t="n"/>
      <c r="N1533" s="4">
        <f>IF(AND(K1533="",M1533=""),"",IF(OR(K1533="sim",M1533="sim"),"sim",IF(OR(K1533="inconclusivo",M1533="inconclusivo"),"inconclusivo","não")))</f>
        <v/>
      </c>
      <c r="O1533" s="5">
        <f>IF(N1533="sim",COUNTIFS($B$3:$B1533,$B1533,$N$3:$N1533,"sim"),"")</f>
        <v/>
      </c>
      <c r="P1533" s="5" t="n"/>
      <c r="Q1533" s="4" t="n"/>
      <c r="R1533" s="5" t="n"/>
      <c r="S1533" s="9" t="n"/>
      <c r="T1533" s="4" t="n"/>
    </row>
    <row r="1534">
      <c r="A1534" s="5">
        <f>ROW()-2</f>
        <v/>
      </c>
      <c r="B1534" s="4" t="inlineStr">
        <is>
          <t>Capital regional</t>
        </is>
      </c>
      <c r="C1534" s="5" t="n">
        <v>590</v>
      </c>
      <c r="D1534" s="5">
        <f>IFERROR(INDEX('Base de sorteio'!$A$3:$A$1723,MATCH($B1534&amp;"|"&amp;$C1534,'Base de sorteio'!$I$3:$I$1723,0)),"")</f>
        <v/>
      </c>
      <c r="E1534" s="4">
        <f>IFERROR(INDEX('Base de sorteio'!$B$3:$B$1723,MATCH($B1534&amp;"|"&amp;$C1534,'Base de sorteio'!$I$3:$I$1723,0)),"")</f>
        <v/>
      </c>
      <c r="F1534" s="4">
        <f>IFERROR(INDEX('Base de sorteio'!$C$3:$C$1723,MATCH($B1534&amp;"|"&amp;$C1534,'Base de sorteio'!$I$3:$I$1723,0)),"")</f>
        <v/>
      </c>
      <c r="G1534" s="4">
        <f>IFERROR(INDEX('Base de sorteio'!$D$3:$D$1723,MATCH($B1534&amp;"|"&amp;$C1534,'Base de sorteio'!$I$3:$I$1723,0)),"")</f>
        <v/>
      </c>
      <c r="H1534" s="4">
        <f>IFERROR(INDEX('Base de sorteio'!$E$3:$E$1723,MATCH($B1534&amp;"|"&amp;$C1534,'Base de sorteio'!$I$3:$I$1723,0)),"")</f>
        <v/>
      </c>
      <c r="I1534" s="4">
        <f>IF(E1534="","",HYPERLINK(IFERROR(INDEX('Base de sorteio'!$J$3:$J$1723,MATCH($B1534&amp;"|"&amp;$C1534,'Base de sorteio'!$I$3:$I$1723,0)),""),"abrir"))</f>
        <v/>
      </c>
      <c r="J1534" s="4" t="n"/>
      <c r="K1534" s="4" t="n"/>
      <c r="L1534" s="4" t="n"/>
      <c r="M1534" s="4" t="n"/>
      <c r="N1534" s="4">
        <f>IF(AND(K1534="",M1534=""),"",IF(OR(K1534="sim",M1534="sim"),"sim",IF(OR(K1534="inconclusivo",M1534="inconclusivo"),"inconclusivo","não")))</f>
        <v/>
      </c>
      <c r="O1534" s="5">
        <f>IF(N1534="sim",COUNTIFS($B$3:$B1534,$B1534,$N$3:$N1534,"sim"),"")</f>
        <v/>
      </c>
      <c r="P1534" s="5" t="n"/>
      <c r="Q1534" s="4" t="n"/>
      <c r="R1534" s="5" t="n"/>
      <c r="S1534" s="9" t="n"/>
      <c r="T1534" s="4" t="n"/>
    </row>
    <row r="1535">
      <c r="A1535" s="5">
        <f>ROW()-2</f>
        <v/>
      </c>
      <c r="B1535" s="4" t="inlineStr">
        <is>
          <t>Capital regional</t>
        </is>
      </c>
      <c r="C1535" s="5" t="n">
        <v>591</v>
      </c>
      <c r="D1535" s="5">
        <f>IFERROR(INDEX('Base de sorteio'!$A$3:$A$1723,MATCH($B1535&amp;"|"&amp;$C1535,'Base de sorteio'!$I$3:$I$1723,0)),"")</f>
        <v/>
      </c>
      <c r="E1535" s="4">
        <f>IFERROR(INDEX('Base de sorteio'!$B$3:$B$1723,MATCH($B1535&amp;"|"&amp;$C1535,'Base de sorteio'!$I$3:$I$1723,0)),"")</f>
        <v/>
      </c>
      <c r="F1535" s="4">
        <f>IFERROR(INDEX('Base de sorteio'!$C$3:$C$1723,MATCH($B1535&amp;"|"&amp;$C1535,'Base de sorteio'!$I$3:$I$1723,0)),"")</f>
        <v/>
      </c>
      <c r="G1535" s="4">
        <f>IFERROR(INDEX('Base de sorteio'!$D$3:$D$1723,MATCH($B1535&amp;"|"&amp;$C1535,'Base de sorteio'!$I$3:$I$1723,0)),"")</f>
        <v/>
      </c>
      <c r="H1535" s="4">
        <f>IFERROR(INDEX('Base de sorteio'!$E$3:$E$1723,MATCH($B1535&amp;"|"&amp;$C1535,'Base de sorteio'!$I$3:$I$1723,0)),"")</f>
        <v/>
      </c>
      <c r="I1535" s="4">
        <f>IF(E1535="","",HYPERLINK(IFERROR(INDEX('Base de sorteio'!$J$3:$J$1723,MATCH($B1535&amp;"|"&amp;$C1535,'Base de sorteio'!$I$3:$I$1723,0)),""),"abrir"))</f>
        <v/>
      </c>
      <c r="J1535" s="4" t="n"/>
      <c r="K1535" s="4" t="n"/>
      <c r="L1535" s="4" t="n"/>
      <c r="M1535" s="4" t="n"/>
      <c r="N1535" s="4">
        <f>IF(AND(K1535="",M1535=""),"",IF(OR(K1535="sim",M1535="sim"),"sim",IF(OR(K1535="inconclusivo",M1535="inconclusivo"),"inconclusivo","não")))</f>
        <v/>
      </c>
      <c r="O1535" s="5">
        <f>IF(N1535="sim",COUNTIFS($B$3:$B1535,$B1535,$N$3:$N1535,"sim"),"")</f>
        <v/>
      </c>
      <c r="P1535" s="5" t="n"/>
      <c r="Q1535" s="4" t="n"/>
      <c r="R1535" s="5" t="n"/>
      <c r="S1535" s="9" t="n"/>
      <c r="T1535" s="4" t="n"/>
    </row>
    <row r="1536">
      <c r="A1536" s="5">
        <f>ROW()-2</f>
        <v/>
      </c>
      <c r="B1536" s="4" t="inlineStr">
        <is>
          <t>Capital regional</t>
        </is>
      </c>
      <c r="C1536" s="5" t="n">
        <v>592</v>
      </c>
      <c r="D1536" s="5">
        <f>IFERROR(INDEX('Base de sorteio'!$A$3:$A$1723,MATCH($B1536&amp;"|"&amp;$C1536,'Base de sorteio'!$I$3:$I$1723,0)),"")</f>
        <v/>
      </c>
      <c r="E1536" s="4">
        <f>IFERROR(INDEX('Base de sorteio'!$B$3:$B$1723,MATCH($B1536&amp;"|"&amp;$C1536,'Base de sorteio'!$I$3:$I$1723,0)),"")</f>
        <v/>
      </c>
      <c r="F1536" s="4">
        <f>IFERROR(INDEX('Base de sorteio'!$C$3:$C$1723,MATCH($B1536&amp;"|"&amp;$C1536,'Base de sorteio'!$I$3:$I$1723,0)),"")</f>
        <v/>
      </c>
      <c r="G1536" s="4">
        <f>IFERROR(INDEX('Base de sorteio'!$D$3:$D$1723,MATCH($B1536&amp;"|"&amp;$C1536,'Base de sorteio'!$I$3:$I$1723,0)),"")</f>
        <v/>
      </c>
      <c r="H1536" s="4">
        <f>IFERROR(INDEX('Base de sorteio'!$E$3:$E$1723,MATCH($B1536&amp;"|"&amp;$C1536,'Base de sorteio'!$I$3:$I$1723,0)),"")</f>
        <v/>
      </c>
      <c r="I1536" s="4">
        <f>IF(E1536="","",HYPERLINK(IFERROR(INDEX('Base de sorteio'!$J$3:$J$1723,MATCH($B1536&amp;"|"&amp;$C1536,'Base de sorteio'!$I$3:$I$1723,0)),""),"abrir"))</f>
        <v/>
      </c>
      <c r="J1536" s="4" t="n"/>
      <c r="K1536" s="4" t="n"/>
      <c r="L1536" s="4" t="n"/>
      <c r="M1536" s="4" t="n"/>
      <c r="N1536" s="4">
        <f>IF(AND(K1536="",M1536=""),"",IF(OR(K1536="sim",M1536="sim"),"sim",IF(OR(K1536="inconclusivo",M1536="inconclusivo"),"inconclusivo","não")))</f>
        <v/>
      </c>
      <c r="O1536" s="5">
        <f>IF(N1536="sim",COUNTIFS($B$3:$B1536,$B1536,$N$3:$N1536,"sim"),"")</f>
        <v/>
      </c>
      <c r="P1536" s="5" t="n"/>
      <c r="Q1536" s="4" t="n"/>
      <c r="R1536" s="5" t="n"/>
      <c r="S1536" s="9" t="n"/>
      <c r="T1536" s="4" t="n"/>
    </row>
    <row r="1537">
      <c r="A1537" s="5">
        <f>ROW()-2</f>
        <v/>
      </c>
      <c r="B1537" s="4" t="inlineStr">
        <is>
          <t>Capital regional</t>
        </is>
      </c>
      <c r="C1537" s="5" t="n">
        <v>593</v>
      </c>
      <c r="D1537" s="5">
        <f>IFERROR(INDEX('Base de sorteio'!$A$3:$A$1723,MATCH($B1537&amp;"|"&amp;$C1537,'Base de sorteio'!$I$3:$I$1723,0)),"")</f>
        <v/>
      </c>
      <c r="E1537" s="4">
        <f>IFERROR(INDEX('Base de sorteio'!$B$3:$B$1723,MATCH($B1537&amp;"|"&amp;$C1537,'Base de sorteio'!$I$3:$I$1723,0)),"")</f>
        <v/>
      </c>
      <c r="F1537" s="4">
        <f>IFERROR(INDEX('Base de sorteio'!$C$3:$C$1723,MATCH($B1537&amp;"|"&amp;$C1537,'Base de sorteio'!$I$3:$I$1723,0)),"")</f>
        <v/>
      </c>
      <c r="G1537" s="4">
        <f>IFERROR(INDEX('Base de sorteio'!$D$3:$D$1723,MATCH($B1537&amp;"|"&amp;$C1537,'Base de sorteio'!$I$3:$I$1723,0)),"")</f>
        <v/>
      </c>
      <c r="H1537" s="4">
        <f>IFERROR(INDEX('Base de sorteio'!$E$3:$E$1723,MATCH($B1537&amp;"|"&amp;$C1537,'Base de sorteio'!$I$3:$I$1723,0)),"")</f>
        <v/>
      </c>
      <c r="I1537" s="4">
        <f>IF(E1537="","",HYPERLINK(IFERROR(INDEX('Base de sorteio'!$J$3:$J$1723,MATCH($B1537&amp;"|"&amp;$C1537,'Base de sorteio'!$I$3:$I$1723,0)),""),"abrir"))</f>
        <v/>
      </c>
      <c r="J1537" s="4" t="n"/>
      <c r="K1537" s="4" t="n"/>
      <c r="L1537" s="4" t="n"/>
      <c r="M1537" s="4" t="n"/>
      <c r="N1537" s="4">
        <f>IF(AND(K1537="",M1537=""),"",IF(OR(K1537="sim",M1537="sim"),"sim",IF(OR(K1537="inconclusivo",M1537="inconclusivo"),"inconclusivo","não")))</f>
        <v/>
      </c>
      <c r="O1537" s="5">
        <f>IF(N1537="sim",COUNTIFS($B$3:$B1537,$B1537,$N$3:$N1537,"sim"),"")</f>
        <v/>
      </c>
      <c r="P1537" s="5" t="n"/>
      <c r="Q1537" s="4" t="n"/>
      <c r="R1537" s="5" t="n"/>
      <c r="S1537" s="9" t="n"/>
      <c r="T1537" s="4" t="n"/>
    </row>
    <row r="1538">
      <c r="A1538" s="5">
        <f>ROW()-2</f>
        <v/>
      </c>
      <c r="B1538" s="4" t="inlineStr">
        <is>
          <t>Capital regional</t>
        </is>
      </c>
      <c r="C1538" s="5" t="n">
        <v>594</v>
      </c>
      <c r="D1538" s="5">
        <f>IFERROR(INDEX('Base de sorteio'!$A$3:$A$1723,MATCH($B1538&amp;"|"&amp;$C1538,'Base de sorteio'!$I$3:$I$1723,0)),"")</f>
        <v/>
      </c>
      <c r="E1538" s="4">
        <f>IFERROR(INDEX('Base de sorteio'!$B$3:$B$1723,MATCH($B1538&amp;"|"&amp;$C1538,'Base de sorteio'!$I$3:$I$1723,0)),"")</f>
        <v/>
      </c>
      <c r="F1538" s="4">
        <f>IFERROR(INDEX('Base de sorteio'!$C$3:$C$1723,MATCH($B1538&amp;"|"&amp;$C1538,'Base de sorteio'!$I$3:$I$1723,0)),"")</f>
        <v/>
      </c>
      <c r="G1538" s="4">
        <f>IFERROR(INDEX('Base de sorteio'!$D$3:$D$1723,MATCH($B1538&amp;"|"&amp;$C1538,'Base de sorteio'!$I$3:$I$1723,0)),"")</f>
        <v/>
      </c>
      <c r="H1538" s="4">
        <f>IFERROR(INDEX('Base de sorteio'!$E$3:$E$1723,MATCH($B1538&amp;"|"&amp;$C1538,'Base de sorteio'!$I$3:$I$1723,0)),"")</f>
        <v/>
      </c>
      <c r="I1538" s="4">
        <f>IF(E1538="","",HYPERLINK(IFERROR(INDEX('Base de sorteio'!$J$3:$J$1723,MATCH($B1538&amp;"|"&amp;$C1538,'Base de sorteio'!$I$3:$I$1723,0)),""),"abrir"))</f>
        <v/>
      </c>
      <c r="J1538" s="4" t="n"/>
      <c r="K1538" s="4" t="n"/>
      <c r="L1538" s="4" t="n"/>
      <c r="M1538" s="4" t="n"/>
      <c r="N1538" s="4">
        <f>IF(AND(K1538="",M1538=""),"",IF(OR(K1538="sim",M1538="sim"),"sim",IF(OR(K1538="inconclusivo",M1538="inconclusivo"),"inconclusivo","não")))</f>
        <v/>
      </c>
      <c r="O1538" s="5">
        <f>IF(N1538="sim",COUNTIFS($B$3:$B1538,$B1538,$N$3:$N1538,"sim"),"")</f>
        <v/>
      </c>
      <c r="P1538" s="5" t="n"/>
      <c r="Q1538" s="4" t="n"/>
      <c r="R1538" s="5" t="n"/>
      <c r="S1538" s="9" t="n"/>
      <c r="T1538" s="4" t="n"/>
    </row>
    <row r="1539">
      <c r="A1539" s="5">
        <f>ROW()-2</f>
        <v/>
      </c>
      <c r="B1539" s="4" t="inlineStr">
        <is>
          <t>Capital regional</t>
        </is>
      </c>
      <c r="C1539" s="5" t="n">
        <v>595</v>
      </c>
      <c r="D1539" s="5">
        <f>IFERROR(INDEX('Base de sorteio'!$A$3:$A$1723,MATCH($B1539&amp;"|"&amp;$C1539,'Base de sorteio'!$I$3:$I$1723,0)),"")</f>
        <v/>
      </c>
      <c r="E1539" s="4">
        <f>IFERROR(INDEX('Base de sorteio'!$B$3:$B$1723,MATCH($B1539&amp;"|"&amp;$C1539,'Base de sorteio'!$I$3:$I$1723,0)),"")</f>
        <v/>
      </c>
      <c r="F1539" s="4">
        <f>IFERROR(INDEX('Base de sorteio'!$C$3:$C$1723,MATCH($B1539&amp;"|"&amp;$C1539,'Base de sorteio'!$I$3:$I$1723,0)),"")</f>
        <v/>
      </c>
      <c r="G1539" s="4">
        <f>IFERROR(INDEX('Base de sorteio'!$D$3:$D$1723,MATCH($B1539&amp;"|"&amp;$C1539,'Base de sorteio'!$I$3:$I$1723,0)),"")</f>
        <v/>
      </c>
      <c r="H1539" s="4">
        <f>IFERROR(INDEX('Base de sorteio'!$E$3:$E$1723,MATCH($B1539&amp;"|"&amp;$C1539,'Base de sorteio'!$I$3:$I$1723,0)),"")</f>
        <v/>
      </c>
      <c r="I1539" s="4">
        <f>IF(E1539="","",HYPERLINK(IFERROR(INDEX('Base de sorteio'!$J$3:$J$1723,MATCH($B1539&amp;"|"&amp;$C1539,'Base de sorteio'!$I$3:$I$1723,0)),""),"abrir"))</f>
        <v/>
      </c>
      <c r="J1539" s="4" t="n"/>
      <c r="K1539" s="4" t="n"/>
      <c r="L1539" s="4" t="n"/>
      <c r="M1539" s="4" t="n"/>
      <c r="N1539" s="4">
        <f>IF(AND(K1539="",M1539=""),"",IF(OR(K1539="sim",M1539="sim"),"sim",IF(OR(K1539="inconclusivo",M1539="inconclusivo"),"inconclusivo","não")))</f>
        <v/>
      </c>
      <c r="O1539" s="5">
        <f>IF(N1539="sim",COUNTIFS($B$3:$B1539,$B1539,$N$3:$N1539,"sim"),"")</f>
        <v/>
      </c>
      <c r="P1539" s="5" t="n"/>
      <c r="Q1539" s="4" t="n"/>
      <c r="R1539" s="5" t="n"/>
      <c r="S1539" s="9" t="n"/>
      <c r="T1539" s="4" t="n"/>
    </row>
    <row r="1540">
      <c r="A1540" s="5">
        <f>ROW()-2</f>
        <v/>
      </c>
      <c r="B1540" s="4" t="inlineStr">
        <is>
          <t>Capital regional</t>
        </is>
      </c>
      <c r="C1540" s="5" t="n">
        <v>596</v>
      </c>
      <c r="D1540" s="5">
        <f>IFERROR(INDEX('Base de sorteio'!$A$3:$A$1723,MATCH($B1540&amp;"|"&amp;$C1540,'Base de sorteio'!$I$3:$I$1723,0)),"")</f>
        <v/>
      </c>
      <c r="E1540" s="4">
        <f>IFERROR(INDEX('Base de sorteio'!$B$3:$B$1723,MATCH($B1540&amp;"|"&amp;$C1540,'Base de sorteio'!$I$3:$I$1723,0)),"")</f>
        <v/>
      </c>
      <c r="F1540" s="4">
        <f>IFERROR(INDEX('Base de sorteio'!$C$3:$C$1723,MATCH($B1540&amp;"|"&amp;$C1540,'Base de sorteio'!$I$3:$I$1723,0)),"")</f>
        <v/>
      </c>
      <c r="G1540" s="4">
        <f>IFERROR(INDEX('Base de sorteio'!$D$3:$D$1723,MATCH($B1540&amp;"|"&amp;$C1540,'Base de sorteio'!$I$3:$I$1723,0)),"")</f>
        <v/>
      </c>
      <c r="H1540" s="4">
        <f>IFERROR(INDEX('Base de sorteio'!$E$3:$E$1723,MATCH($B1540&amp;"|"&amp;$C1540,'Base de sorteio'!$I$3:$I$1723,0)),"")</f>
        <v/>
      </c>
      <c r="I1540" s="4">
        <f>IF(E1540="","",HYPERLINK(IFERROR(INDEX('Base de sorteio'!$J$3:$J$1723,MATCH($B1540&amp;"|"&amp;$C1540,'Base de sorteio'!$I$3:$I$1723,0)),""),"abrir"))</f>
        <v/>
      </c>
      <c r="J1540" s="4" t="n"/>
      <c r="K1540" s="4" t="n"/>
      <c r="L1540" s="4" t="n"/>
      <c r="M1540" s="4" t="n"/>
      <c r="N1540" s="4">
        <f>IF(AND(K1540="",M1540=""),"",IF(OR(K1540="sim",M1540="sim"),"sim",IF(OR(K1540="inconclusivo",M1540="inconclusivo"),"inconclusivo","não")))</f>
        <v/>
      </c>
      <c r="O1540" s="5">
        <f>IF(N1540="sim",COUNTIFS($B$3:$B1540,$B1540,$N$3:$N1540,"sim"),"")</f>
        <v/>
      </c>
      <c r="P1540" s="5" t="n"/>
      <c r="Q1540" s="4" t="n"/>
      <c r="R1540" s="5" t="n"/>
      <c r="S1540" s="9" t="n"/>
      <c r="T1540" s="4" t="n"/>
    </row>
    <row r="1541">
      <c r="A1541" s="5">
        <f>ROW()-2</f>
        <v/>
      </c>
      <c r="B1541" s="4" t="inlineStr">
        <is>
          <t>Capital regional</t>
        </is>
      </c>
      <c r="C1541" s="5" t="n">
        <v>597</v>
      </c>
      <c r="D1541" s="5">
        <f>IFERROR(INDEX('Base de sorteio'!$A$3:$A$1723,MATCH($B1541&amp;"|"&amp;$C1541,'Base de sorteio'!$I$3:$I$1723,0)),"")</f>
        <v/>
      </c>
      <c r="E1541" s="4">
        <f>IFERROR(INDEX('Base de sorteio'!$B$3:$B$1723,MATCH($B1541&amp;"|"&amp;$C1541,'Base de sorteio'!$I$3:$I$1723,0)),"")</f>
        <v/>
      </c>
      <c r="F1541" s="4">
        <f>IFERROR(INDEX('Base de sorteio'!$C$3:$C$1723,MATCH($B1541&amp;"|"&amp;$C1541,'Base de sorteio'!$I$3:$I$1723,0)),"")</f>
        <v/>
      </c>
      <c r="G1541" s="4">
        <f>IFERROR(INDEX('Base de sorteio'!$D$3:$D$1723,MATCH($B1541&amp;"|"&amp;$C1541,'Base de sorteio'!$I$3:$I$1723,0)),"")</f>
        <v/>
      </c>
      <c r="H1541" s="4">
        <f>IFERROR(INDEX('Base de sorteio'!$E$3:$E$1723,MATCH($B1541&amp;"|"&amp;$C1541,'Base de sorteio'!$I$3:$I$1723,0)),"")</f>
        <v/>
      </c>
      <c r="I1541" s="4">
        <f>IF(E1541="","",HYPERLINK(IFERROR(INDEX('Base de sorteio'!$J$3:$J$1723,MATCH($B1541&amp;"|"&amp;$C1541,'Base de sorteio'!$I$3:$I$1723,0)),""),"abrir"))</f>
        <v/>
      </c>
      <c r="J1541" s="4" t="n"/>
      <c r="K1541" s="4" t="n"/>
      <c r="L1541" s="4" t="n"/>
      <c r="M1541" s="4" t="n"/>
      <c r="N1541" s="4">
        <f>IF(AND(K1541="",M1541=""),"",IF(OR(K1541="sim",M1541="sim"),"sim",IF(OR(K1541="inconclusivo",M1541="inconclusivo"),"inconclusivo","não")))</f>
        <v/>
      </c>
      <c r="O1541" s="5">
        <f>IF(N1541="sim",COUNTIFS($B$3:$B1541,$B1541,$N$3:$N1541,"sim"),"")</f>
        <v/>
      </c>
      <c r="P1541" s="5" t="n"/>
      <c r="Q1541" s="4" t="n"/>
      <c r="R1541" s="5" t="n"/>
      <c r="S1541" s="9" t="n"/>
      <c r="T1541" s="4" t="n"/>
    </row>
    <row r="1542">
      <c r="A1542" s="5">
        <f>ROW()-2</f>
        <v/>
      </c>
      <c r="B1542" s="4" t="inlineStr">
        <is>
          <t>Capital regional</t>
        </is>
      </c>
      <c r="C1542" s="5" t="n">
        <v>598</v>
      </c>
      <c r="D1542" s="5">
        <f>IFERROR(INDEX('Base de sorteio'!$A$3:$A$1723,MATCH($B1542&amp;"|"&amp;$C1542,'Base de sorteio'!$I$3:$I$1723,0)),"")</f>
        <v/>
      </c>
      <c r="E1542" s="4">
        <f>IFERROR(INDEX('Base de sorteio'!$B$3:$B$1723,MATCH($B1542&amp;"|"&amp;$C1542,'Base de sorteio'!$I$3:$I$1723,0)),"")</f>
        <v/>
      </c>
      <c r="F1542" s="4">
        <f>IFERROR(INDEX('Base de sorteio'!$C$3:$C$1723,MATCH($B1542&amp;"|"&amp;$C1542,'Base de sorteio'!$I$3:$I$1723,0)),"")</f>
        <v/>
      </c>
      <c r="G1542" s="4">
        <f>IFERROR(INDEX('Base de sorteio'!$D$3:$D$1723,MATCH($B1542&amp;"|"&amp;$C1542,'Base de sorteio'!$I$3:$I$1723,0)),"")</f>
        <v/>
      </c>
      <c r="H1542" s="4">
        <f>IFERROR(INDEX('Base de sorteio'!$E$3:$E$1723,MATCH($B1542&amp;"|"&amp;$C1542,'Base de sorteio'!$I$3:$I$1723,0)),"")</f>
        <v/>
      </c>
      <c r="I1542" s="4">
        <f>IF(E1542="","",HYPERLINK(IFERROR(INDEX('Base de sorteio'!$J$3:$J$1723,MATCH($B1542&amp;"|"&amp;$C1542,'Base de sorteio'!$I$3:$I$1723,0)),""),"abrir"))</f>
        <v/>
      </c>
      <c r="J1542" s="4" t="n"/>
      <c r="K1542" s="4" t="n"/>
      <c r="L1542" s="4" t="n"/>
      <c r="M1542" s="4" t="n"/>
      <c r="N1542" s="4">
        <f>IF(AND(K1542="",M1542=""),"",IF(OR(K1542="sim",M1542="sim"),"sim",IF(OR(K1542="inconclusivo",M1542="inconclusivo"),"inconclusivo","não")))</f>
        <v/>
      </c>
      <c r="O1542" s="5">
        <f>IF(N1542="sim",COUNTIFS($B$3:$B1542,$B1542,$N$3:$N1542,"sim"),"")</f>
        <v/>
      </c>
      <c r="P1542" s="5" t="n"/>
      <c r="Q1542" s="4" t="n"/>
      <c r="R1542" s="5" t="n"/>
      <c r="S1542" s="9" t="n"/>
      <c r="T1542" s="4" t="n"/>
    </row>
    <row r="1543">
      <c r="A1543" s="5">
        <f>ROW()-2</f>
        <v/>
      </c>
      <c r="B1543" s="4" t="inlineStr">
        <is>
          <t>Capital regional</t>
        </is>
      </c>
      <c r="C1543" s="5" t="n">
        <v>599</v>
      </c>
      <c r="D1543" s="5">
        <f>IFERROR(INDEX('Base de sorteio'!$A$3:$A$1723,MATCH($B1543&amp;"|"&amp;$C1543,'Base de sorteio'!$I$3:$I$1723,0)),"")</f>
        <v/>
      </c>
      <c r="E1543" s="4">
        <f>IFERROR(INDEX('Base de sorteio'!$B$3:$B$1723,MATCH($B1543&amp;"|"&amp;$C1543,'Base de sorteio'!$I$3:$I$1723,0)),"")</f>
        <v/>
      </c>
      <c r="F1543" s="4">
        <f>IFERROR(INDEX('Base de sorteio'!$C$3:$C$1723,MATCH($B1543&amp;"|"&amp;$C1543,'Base de sorteio'!$I$3:$I$1723,0)),"")</f>
        <v/>
      </c>
      <c r="G1543" s="4">
        <f>IFERROR(INDEX('Base de sorteio'!$D$3:$D$1723,MATCH($B1543&amp;"|"&amp;$C1543,'Base de sorteio'!$I$3:$I$1723,0)),"")</f>
        <v/>
      </c>
      <c r="H1543" s="4">
        <f>IFERROR(INDEX('Base de sorteio'!$E$3:$E$1723,MATCH($B1543&amp;"|"&amp;$C1543,'Base de sorteio'!$I$3:$I$1723,0)),"")</f>
        <v/>
      </c>
      <c r="I1543" s="4">
        <f>IF(E1543="","",HYPERLINK(IFERROR(INDEX('Base de sorteio'!$J$3:$J$1723,MATCH($B1543&amp;"|"&amp;$C1543,'Base de sorteio'!$I$3:$I$1723,0)),""),"abrir"))</f>
        <v/>
      </c>
      <c r="J1543" s="4" t="n"/>
      <c r="K1543" s="4" t="n"/>
      <c r="L1543" s="4" t="n"/>
      <c r="M1543" s="4" t="n"/>
      <c r="N1543" s="4">
        <f>IF(AND(K1543="",M1543=""),"",IF(OR(K1543="sim",M1543="sim"),"sim",IF(OR(K1543="inconclusivo",M1543="inconclusivo"),"inconclusivo","não")))</f>
        <v/>
      </c>
      <c r="O1543" s="5">
        <f>IF(N1543="sim",COUNTIFS($B$3:$B1543,$B1543,$N$3:$N1543,"sim"),"")</f>
        <v/>
      </c>
      <c r="P1543" s="5" t="n"/>
      <c r="Q1543" s="4" t="n"/>
      <c r="R1543" s="5" t="n"/>
      <c r="S1543" s="9" t="n"/>
      <c r="T1543" s="4" t="n"/>
    </row>
    <row r="1544">
      <c r="A1544" s="5">
        <f>ROW()-2</f>
        <v/>
      </c>
      <c r="B1544" s="4" t="inlineStr">
        <is>
          <t>Capital regional</t>
        </is>
      </c>
      <c r="C1544" s="5" t="n">
        <v>600</v>
      </c>
      <c r="D1544" s="5">
        <f>IFERROR(INDEX('Base de sorteio'!$A$3:$A$1723,MATCH($B1544&amp;"|"&amp;$C1544,'Base de sorteio'!$I$3:$I$1723,0)),"")</f>
        <v/>
      </c>
      <c r="E1544" s="4">
        <f>IFERROR(INDEX('Base de sorteio'!$B$3:$B$1723,MATCH($B1544&amp;"|"&amp;$C1544,'Base de sorteio'!$I$3:$I$1723,0)),"")</f>
        <v/>
      </c>
      <c r="F1544" s="4">
        <f>IFERROR(INDEX('Base de sorteio'!$C$3:$C$1723,MATCH($B1544&amp;"|"&amp;$C1544,'Base de sorteio'!$I$3:$I$1723,0)),"")</f>
        <v/>
      </c>
      <c r="G1544" s="4">
        <f>IFERROR(INDEX('Base de sorteio'!$D$3:$D$1723,MATCH($B1544&amp;"|"&amp;$C1544,'Base de sorteio'!$I$3:$I$1723,0)),"")</f>
        <v/>
      </c>
      <c r="H1544" s="4">
        <f>IFERROR(INDEX('Base de sorteio'!$E$3:$E$1723,MATCH($B1544&amp;"|"&amp;$C1544,'Base de sorteio'!$I$3:$I$1723,0)),"")</f>
        <v/>
      </c>
      <c r="I1544" s="4">
        <f>IF(E1544="","",HYPERLINK(IFERROR(INDEX('Base de sorteio'!$J$3:$J$1723,MATCH($B1544&amp;"|"&amp;$C1544,'Base de sorteio'!$I$3:$I$1723,0)),""),"abrir"))</f>
        <v/>
      </c>
      <c r="J1544" s="4" t="n"/>
      <c r="K1544" s="4" t="n"/>
      <c r="L1544" s="4" t="n"/>
      <c r="M1544" s="4" t="n"/>
      <c r="N1544" s="4">
        <f>IF(AND(K1544="",M1544=""),"",IF(OR(K1544="sim",M1544="sim"),"sim",IF(OR(K1544="inconclusivo",M1544="inconclusivo"),"inconclusivo","não")))</f>
        <v/>
      </c>
      <c r="O1544" s="5">
        <f>IF(N1544="sim",COUNTIFS($B$3:$B1544,$B1544,$N$3:$N1544,"sim"),"")</f>
        <v/>
      </c>
      <c r="P1544" s="5" t="n"/>
      <c r="Q1544" s="4" t="n"/>
      <c r="R1544" s="5" t="n"/>
      <c r="S1544" s="9" t="n"/>
      <c r="T1544" s="4" t="n"/>
    </row>
    <row r="1545">
      <c r="A1545" s="5">
        <f>ROW()-2</f>
        <v/>
      </c>
      <c r="B1545" s="4" t="inlineStr">
        <is>
          <t>Capital regional</t>
        </is>
      </c>
      <c r="C1545" s="5" t="n">
        <v>601</v>
      </c>
      <c r="D1545" s="5">
        <f>IFERROR(INDEX('Base de sorteio'!$A$3:$A$1723,MATCH($B1545&amp;"|"&amp;$C1545,'Base de sorteio'!$I$3:$I$1723,0)),"")</f>
        <v/>
      </c>
      <c r="E1545" s="4">
        <f>IFERROR(INDEX('Base de sorteio'!$B$3:$B$1723,MATCH($B1545&amp;"|"&amp;$C1545,'Base de sorteio'!$I$3:$I$1723,0)),"")</f>
        <v/>
      </c>
      <c r="F1545" s="4">
        <f>IFERROR(INDEX('Base de sorteio'!$C$3:$C$1723,MATCH($B1545&amp;"|"&amp;$C1545,'Base de sorteio'!$I$3:$I$1723,0)),"")</f>
        <v/>
      </c>
      <c r="G1545" s="4">
        <f>IFERROR(INDEX('Base de sorteio'!$D$3:$D$1723,MATCH($B1545&amp;"|"&amp;$C1545,'Base de sorteio'!$I$3:$I$1723,0)),"")</f>
        <v/>
      </c>
      <c r="H1545" s="4">
        <f>IFERROR(INDEX('Base de sorteio'!$E$3:$E$1723,MATCH($B1545&amp;"|"&amp;$C1545,'Base de sorteio'!$I$3:$I$1723,0)),"")</f>
        <v/>
      </c>
      <c r="I1545" s="4">
        <f>IF(E1545="","",HYPERLINK(IFERROR(INDEX('Base de sorteio'!$J$3:$J$1723,MATCH($B1545&amp;"|"&amp;$C1545,'Base de sorteio'!$I$3:$I$1723,0)),""),"abrir"))</f>
        <v/>
      </c>
      <c r="J1545" s="4" t="n"/>
      <c r="K1545" s="4" t="n"/>
      <c r="L1545" s="4" t="n"/>
      <c r="M1545" s="4" t="n"/>
      <c r="N1545" s="4">
        <f>IF(AND(K1545="",M1545=""),"",IF(OR(K1545="sim",M1545="sim"),"sim",IF(OR(K1545="inconclusivo",M1545="inconclusivo"),"inconclusivo","não")))</f>
        <v/>
      </c>
      <c r="O1545" s="5">
        <f>IF(N1545="sim",COUNTIFS($B$3:$B1545,$B1545,$N$3:$N1545,"sim"),"")</f>
        <v/>
      </c>
      <c r="P1545" s="5" t="n"/>
      <c r="Q1545" s="4" t="n"/>
      <c r="R1545" s="5" t="n"/>
      <c r="S1545" s="9" t="n"/>
      <c r="T1545" s="4" t="n"/>
    </row>
    <row r="1546">
      <c r="A1546" s="5">
        <f>ROW()-2</f>
        <v/>
      </c>
      <c r="B1546" s="4" t="inlineStr">
        <is>
          <t>Capital regional</t>
        </is>
      </c>
      <c r="C1546" s="5" t="n">
        <v>602</v>
      </c>
      <c r="D1546" s="5">
        <f>IFERROR(INDEX('Base de sorteio'!$A$3:$A$1723,MATCH($B1546&amp;"|"&amp;$C1546,'Base de sorteio'!$I$3:$I$1723,0)),"")</f>
        <v/>
      </c>
      <c r="E1546" s="4">
        <f>IFERROR(INDEX('Base de sorteio'!$B$3:$B$1723,MATCH($B1546&amp;"|"&amp;$C1546,'Base de sorteio'!$I$3:$I$1723,0)),"")</f>
        <v/>
      </c>
      <c r="F1546" s="4">
        <f>IFERROR(INDEX('Base de sorteio'!$C$3:$C$1723,MATCH($B1546&amp;"|"&amp;$C1546,'Base de sorteio'!$I$3:$I$1723,0)),"")</f>
        <v/>
      </c>
      <c r="G1546" s="4">
        <f>IFERROR(INDEX('Base de sorteio'!$D$3:$D$1723,MATCH($B1546&amp;"|"&amp;$C1546,'Base de sorteio'!$I$3:$I$1723,0)),"")</f>
        <v/>
      </c>
      <c r="H1546" s="4">
        <f>IFERROR(INDEX('Base de sorteio'!$E$3:$E$1723,MATCH($B1546&amp;"|"&amp;$C1546,'Base de sorteio'!$I$3:$I$1723,0)),"")</f>
        <v/>
      </c>
      <c r="I1546" s="4">
        <f>IF(E1546="","",HYPERLINK(IFERROR(INDEX('Base de sorteio'!$J$3:$J$1723,MATCH($B1546&amp;"|"&amp;$C1546,'Base de sorteio'!$I$3:$I$1723,0)),""),"abrir"))</f>
        <v/>
      </c>
      <c r="J1546" s="4" t="n"/>
      <c r="K1546" s="4" t="n"/>
      <c r="L1546" s="4" t="n"/>
      <c r="M1546" s="4" t="n"/>
      <c r="N1546" s="4">
        <f>IF(AND(K1546="",M1546=""),"",IF(OR(K1546="sim",M1546="sim"),"sim",IF(OR(K1546="inconclusivo",M1546="inconclusivo"),"inconclusivo","não")))</f>
        <v/>
      </c>
      <c r="O1546" s="5">
        <f>IF(N1546="sim",COUNTIFS($B$3:$B1546,$B1546,$N$3:$N1546,"sim"),"")</f>
        <v/>
      </c>
      <c r="P1546" s="5" t="n"/>
      <c r="Q1546" s="4" t="n"/>
      <c r="R1546" s="5" t="n"/>
      <c r="S1546" s="9" t="n"/>
      <c r="T1546" s="4" t="n"/>
    </row>
    <row r="1547">
      <c r="A1547" s="5">
        <f>ROW()-2</f>
        <v/>
      </c>
      <c r="B1547" s="4" t="inlineStr">
        <is>
          <t>Capital regional</t>
        </is>
      </c>
      <c r="C1547" s="5" t="n">
        <v>603</v>
      </c>
      <c r="D1547" s="5">
        <f>IFERROR(INDEX('Base de sorteio'!$A$3:$A$1723,MATCH($B1547&amp;"|"&amp;$C1547,'Base de sorteio'!$I$3:$I$1723,0)),"")</f>
        <v/>
      </c>
      <c r="E1547" s="4">
        <f>IFERROR(INDEX('Base de sorteio'!$B$3:$B$1723,MATCH($B1547&amp;"|"&amp;$C1547,'Base de sorteio'!$I$3:$I$1723,0)),"")</f>
        <v/>
      </c>
      <c r="F1547" s="4">
        <f>IFERROR(INDEX('Base de sorteio'!$C$3:$C$1723,MATCH($B1547&amp;"|"&amp;$C1547,'Base de sorteio'!$I$3:$I$1723,0)),"")</f>
        <v/>
      </c>
      <c r="G1547" s="4">
        <f>IFERROR(INDEX('Base de sorteio'!$D$3:$D$1723,MATCH($B1547&amp;"|"&amp;$C1547,'Base de sorteio'!$I$3:$I$1723,0)),"")</f>
        <v/>
      </c>
      <c r="H1547" s="4">
        <f>IFERROR(INDEX('Base de sorteio'!$E$3:$E$1723,MATCH($B1547&amp;"|"&amp;$C1547,'Base de sorteio'!$I$3:$I$1723,0)),"")</f>
        <v/>
      </c>
      <c r="I1547" s="4">
        <f>IF(E1547="","",HYPERLINK(IFERROR(INDEX('Base de sorteio'!$J$3:$J$1723,MATCH($B1547&amp;"|"&amp;$C1547,'Base de sorteio'!$I$3:$I$1723,0)),""),"abrir"))</f>
        <v/>
      </c>
      <c r="J1547" s="4" t="n"/>
      <c r="K1547" s="4" t="n"/>
      <c r="L1547" s="4" t="n"/>
      <c r="M1547" s="4" t="n"/>
      <c r="N1547" s="4">
        <f>IF(AND(K1547="",M1547=""),"",IF(OR(K1547="sim",M1547="sim"),"sim",IF(OR(K1547="inconclusivo",M1547="inconclusivo"),"inconclusivo","não")))</f>
        <v/>
      </c>
      <c r="O1547" s="5">
        <f>IF(N1547="sim",COUNTIFS($B$3:$B1547,$B1547,$N$3:$N1547,"sim"),"")</f>
        <v/>
      </c>
      <c r="P1547" s="5" t="n"/>
      <c r="Q1547" s="4" t="n"/>
      <c r="R1547" s="5" t="n"/>
      <c r="S1547" s="9" t="n"/>
      <c r="T1547" s="4" t="n"/>
    </row>
    <row r="1548">
      <c r="A1548" s="5">
        <f>ROW()-2</f>
        <v/>
      </c>
      <c r="B1548" s="4" t="inlineStr">
        <is>
          <t>Capital regional</t>
        </is>
      </c>
      <c r="C1548" s="5" t="n">
        <v>604</v>
      </c>
      <c r="D1548" s="5">
        <f>IFERROR(INDEX('Base de sorteio'!$A$3:$A$1723,MATCH($B1548&amp;"|"&amp;$C1548,'Base de sorteio'!$I$3:$I$1723,0)),"")</f>
        <v/>
      </c>
      <c r="E1548" s="4">
        <f>IFERROR(INDEX('Base de sorteio'!$B$3:$B$1723,MATCH($B1548&amp;"|"&amp;$C1548,'Base de sorteio'!$I$3:$I$1723,0)),"")</f>
        <v/>
      </c>
      <c r="F1548" s="4">
        <f>IFERROR(INDEX('Base de sorteio'!$C$3:$C$1723,MATCH($B1548&amp;"|"&amp;$C1548,'Base de sorteio'!$I$3:$I$1723,0)),"")</f>
        <v/>
      </c>
      <c r="G1548" s="4">
        <f>IFERROR(INDEX('Base de sorteio'!$D$3:$D$1723,MATCH($B1548&amp;"|"&amp;$C1548,'Base de sorteio'!$I$3:$I$1723,0)),"")</f>
        <v/>
      </c>
      <c r="H1548" s="4">
        <f>IFERROR(INDEX('Base de sorteio'!$E$3:$E$1723,MATCH($B1548&amp;"|"&amp;$C1548,'Base de sorteio'!$I$3:$I$1723,0)),"")</f>
        <v/>
      </c>
      <c r="I1548" s="4">
        <f>IF(E1548="","",HYPERLINK(IFERROR(INDEX('Base de sorteio'!$J$3:$J$1723,MATCH($B1548&amp;"|"&amp;$C1548,'Base de sorteio'!$I$3:$I$1723,0)),""),"abrir"))</f>
        <v/>
      </c>
      <c r="J1548" s="4" t="n"/>
      <c r="K1548" s="4" t="n"/>
      <c r="L1548" s="4" t="n"/>
      <c r="M1548" s="4" t="n"/>
      <c r="N1548" s="4">
        <f>IF(AND(K1548="",M1548=""),"",IF(OR(K1548="sim",M1548="sim"),"sim",IF(OR(K1548="inconclusivo",M1548="inconclusivo"),"inconclusivo","não")))</f>
        <v/>
      </c>
      <c r="O1548" s="5">
        <f>IF(N1548="sim",COUNTIFS($B$3:$B1548,$B1548,$N$3:$N1548,"sim"),"")</f>
        <v/>
      </c>
      <c r="P1548" s="5" t="n"/>
      <c r="Q1548" s="4" t="n"/>
      <c r="R1548" s="5" t="n"/>
      <c r="S1548" s="9" t="n"/>
      <c r="T1548" s="4" t="n"/>
    </row>
    <row r="1549">
      <c r="A1549" s="5">
        <f>ROW()-2</f>
        <v/>
      </c>
      <c r="B1549" s="4" t="inlineStr">
        <is>
          <t>Capital regional</t>
        </is>
      </c>
      <c r="C1549" s="5" t="n">
        <v>605</v>
      </c>
      <c r="D1549" s="5">
        <f>IFERROR(INDEX('Base de sorteio'!$A$3:$A$1723,MATCH($B1549&amp;"|"&amp;$C1549,'Base de sorteio'!$I$3:$I$1723,0)),"")</f>
        <v/>
      </c>
      <c r="E1549" s="4">
        <f>IFERROR(INDEX('Base de sorteio'!$B$3:$B$1723,MATCH($B1549&amp;"|"&amp;$C1549,'Base de sorteio'!$I$3:$I$1723,0)),"")</f>
        <v/>
      </c>
      <c r="F1549" s="4">
        <f>IFERROR(INDEX('Base de sorteio'!$C$3:$C$1723,MATCH($B1549&amp;"|"&amp;$C1549,'Base de sorteio'!$I$3:$I$1723,0)),"")</f>
        <v/>
      </c>
      <c r="G1549" s="4">
        <f>IFERROR(INDEX('Base de sorteio'!$D$3:$D$1723,MATCH($B1549&amp;"|"&amp;$C1549,'Base de sorteio'!$I$3:$I$1723,0)),"")</f>
        <v/>
      </c>
      <c r="H1549" s="4">
        <f>IFERROR(INDEX('Base de sorteio'!$E$3:$E$1723,MATCH($B1549&amp;"|"&amp;$C1549,'Base de sorteio'!$I$3:$I$1723,0)),"")</f>
        <v/>
      </c>
      <c r="I1549" s="4">
        <f>IF(E1549="","",HYPERLINK(IFERROR(INDEX('Base de sorteio'!$J$3:$J$1723,MATCH($B1549&amp;"|"&amp;$C1549,'Base de sorteio'!$I$3:$I$1723,0)),""),"abrir"))</f>
        <v/>
      </c>
      <c r="J1549" s="4" t="n"/>
      <c r="K1549" s="4" t="n"/>
      <c r="L1549" s="4" t="n"/>
      <c r="M1549" s="4" t="n"/>
      <c r="N1549" s="4">
        <f>IF(AND(K1549="",M1549=""),"",IF(OR(K1549="sim",M1549="sim"),"sim",IF(OR(K1549="inconclusivo",M1549="inconclusivo"),"inconclusivo","não")))</f>
        <v/>
      </c>
      <c r="O1549" s="5">
        <f>IF(N1549="sim",COUNTIFS($B$3:$B1549,$B1549,$N$3:$N1549,"sim"),"")</f>
        <v/>
      </c>
      <c r="P1549" s="5" t="n"/>
      <c r="Q1549" s="4" t="n"/>
      <c r="R1549" s="5" t="n"/>
      <c r="S1549" s="9" t="n"/>
      <c r="T1549" s="4" t="n"/>
    </row>
    <row r="1550">
      <c r="A1550" s="5">
        <f>ROW()-2</f>
        <v/>
      </c>
      <c r="B1550" s="4" t="inlineStr">
        <is>
          <t>Capital regional</t>
        </is>
      </c>
      <c r="C1550" s="5" t="n">
        <v>606</v>
      </c>
      <c r="D1550" s="5">
        <f>IFERROR(INDEX('Base de sorteio'!$A$3:$A$1723,MATCH($B1550&amp;"|"&amp;$C1550,'Base de sorteio'!$I$3:$I$1723,0)),"")</f>
        <v/>
      </c>
      <c r="E1550" s="4">
        <f>IFERROR(INDEX('Base de sorteio'!$B$3:$B$1723,MATCH($B1550&amp;"|"&amp;$C1550,'Base de sorteio'!$I$3:$I$1723,0)),"")</f>
        <v/>
      </c>
      <c r="F1550" s="4">
        <f>IFERROR(INDEX('Base de sorteio'!$C$3:$C$1723,MATCH($B1550&amp;"|"&amp;$C1550,'Base de sorteio'!$I$3:$I$1723,0)),"")</f>
        <v/>
      </c>
      <c r="G1550" s="4">
        <f>IFERROR(INDEX('Base de sorteio'!$D$3:$D$1723,MATCH($B1550&amp;"|"&amp;$C1550,'Base de sorteio'!$I$3:$I$1723,0)),"")</f>
        <v/>
      </c>
      <c r="H1550" s="4">
        <f>IFERROR(INDEX('Base de sorteio'!$E$3:$E$1723,MATCH($B1550&amp;"|"&amp;$C1550,'Base de sorteio'!$I$3:$I$1723,0)),"")</f>
        <v/>
      </c>
      <c r="I1550" s="4">
        <f>IF(E1550="","",HYPERLINK(IFERROR(INDEX('Base de sorteio'!$J$3:$J$1723,MATCH($B1550&amp;"|"&amp;$C1550,'Base de sorteio'!$I$3:$I$1723,0)),""),"abrir"))</f>
        <v/>
      </c>
      <c r="J1550" s="4" t="n"/>
      <c r="K1550" s="4" t="n"/>
      <c r="L1550" s="4" t="n"/>
      <c r="M1550" s="4" t="n"/>
      <c r="N1550" s="4">
        <f>IF(AND(K1550="",M1550=""),"",IF(OR(K1550="sim",M1550="sim"),"sim",IF(OR(K1550="inconclusivo",M1550="inconclusivo"),"inconclusivo","não")))</f>
        <v/>
      </c>
      <c r="O1550" s="5">
        <f>IF(N1550="sim",COUNTIFS($B$3:$B1550,$B1550,$N$3:$N1550,"sim"),"")</f>
        <v/>
      </c>
      <c r="P1550" s="5" t="n"/>
      <c r="Q1550" s="4" t="n"/>
      <c r="R1550" s="5" t="n"/>
      <c r="S1550" s="9" t="n"/>
      <c r="T1550" s="4" t="n"/>
    </row>
    <row r="1551">
      <c r="A1551" s="5">
        <f>ROW()-2</f>
        <v/>
      </c>
      <c r="B1551" s="4" t="inlineStr">
        <is>
          <t>Capital regional</t>
        </is>
      </c>
      <c r="C1551" s="5" t="n">
        <v>607</v>
      </c>
      <c r="D1551" s="5">
        <f>IFERROR(INDEX('Base de sorteio'!$A$3:$A$1723,MATCH($B1551&amp;"|"&amp;$C1551,'Base de sorteio'!$I$3:$I$1723,0)),"")</f>
        <v/>
      </c>
      <c r="E1551" s="4">
        <f>IFERROR(INDEX('Base de sorteio'!$B$3:$B$1723,MATCH($B1551&amp;"|"&amp;$C1551,'Base de sorteio'!$I$3:$I$1723,0)),"")</f>
        <v/>
      </c>
      <c r="F1551" s="4">
        <f>IFERROR(INDEX('Base de sorteio'!$C$3:$C$1723,MATCH($B1551&amp;"|"&amp;$C1551,'Base de sorteio'!$I$3:$I$1723,0)),"")</f>
        <v/>
      </c>
      <c r="G1551" s="4">
        <f>IFERROR(INDEX('Base de sorteio'!$D$3:$D$1723,MATCH($B1551&amp;"|"&amp;$C1551,'Base de sorteio'!$I$3:$I$1723,0)),"")</f>
        <v/>
      </c>
      <c r="H1551" s="4">
        <f>IFERROR(INDEX('Base de sorteio'!$E$3:$E$1723,MATCH($B1551&amp;"|"&amp;$C1551,'Base de sorteio'!$I$3:$I$1723,0)),"")</f>
        <v/>
      </c>
      <c r="I1551" s="4">
        <f>IF(E1551="","",HYPERLINK(IFERROR(INDEX('Base de sorteio'!$J$3:$J$1723,MATCH($B1551&amp;"|"&amp;$C1551,'Base de sorteio'!$I$3:$I$1723,0)),""),"abrir"))</f>
        <v/>
      </c>
      <c r="J1551" s="4" t="n"/>
      <c r="K1551" s="4" t="n"/>
      <c r="L1551" s="4" t="n"/>
      <c r="M1551" s="4" t="n"/>
      <c r="N1551" s="4">
        <f>IF(AND(K1551="",M1551=""),"",IF(OR(K1551="sim",M1551="sim"),"sim",IF(OR(K1551="inconclusivo",M1551="inconclusivo"),"inconclusivo","não")))</f>
        <v/>
      </c>
      <c r="O1551" s="5">
        <f>IF(N1551="sim",COUNTIFS($B$3:$B1551,$B1551,$N$3:$N1551,"sim"),"")</f>
        <v/>
      </c>
      <c r="P1551" s="5" t="n"/>
      <c r="Q1551" s="4" t="n"/>
      <c r="R1551" s="5" t="n"/>
      <c r="S1551" s="9" t="n"/>
      <c r="T1551" s="4" t="n"/>
    </row>
    <row r="1552">
      <c r="A1552" s="5">
        <f>ROW()-2</f>
        <v/>
      </c>
      <c r="B1552" s="4" t="inlineStr">
        <is>
          <t>Capital regional</t>
        </is>
      </c>
      <c r="C1552" s="5" t="n">
        <v>608</v>
      </c>
      <c r="D1552" s="5">
        <f>IFERROR(INDEX('Base de sorteio'!$A$3:$A$1723,MATCH($B1552&amp;"|"&amp;$C1552,'Base de sorteio'!$I$3:$I$1723,0)),"")</f>
        <v/>
      </c>
      <c r="E1552" s="4">
        <f>IFERROR(INDEX('Base de sorteio'!$B$3:$B$1723,MATCH($B1552&amp;"|"&amp;$C1552,'Base de sorteio'!$I$3:$I$1723,0)),"")</f>
        <v/>
      </c>
      <c r="F1552" s="4">
        <f>IFERROR(INDEX('Base de sorteio'!$C$3:$C$1723,MATCH($B1552&amp;"|"&amp;$C1552,'Base de sorteio'!$I$3:$I$1723,0)),"")</f>
        <v/>
      </c>
      <c r="G1552" s="4">
        <f>IFERROR(INDEX('Base de sorteio'!$D$3:$D$1723,MATCH($B1552&amp;"|"&amp;$C1552,'Base de sorteio'!$I$3:$I$1723,0)),"")</f>
        <v/>
      </c>
      <c r="H1552" s="4">
        <f>IFERROR(INDEX('Base de sorteio'!$E$3:$E$1723,MATCH($B1552&amp;"|"&amp;$C1552,'Base de sorteio'!$I$3:$I$1723,0)),"")</f>
        <v/>
      </c>
      <c r="I1552" s="4">
        <f>IF(E1552="","",HYPERLINK(IFERROR(INDEX('Base de sorteio'!$J$3:$J$1723,MATCH($B1552&amp;"|"&amp;$C1552,'Base de sorteio'!$I$3:$I$1723,0)),""),"abrir"))</f>
        <v/>
      </c>
      <c r="J1552" s="4" t="n"/>
      <c r="K1552" s="4" t="n"/>
      <c r="L1552" s="4" t="n"/>
      <c r="M1552" s="4" t="n"/>
      <c r="N1552" s="4">
        <f>IF(AND(K1552="",M1552=""),"",IF(OR(K1552="sim",M1552="sim"),"sim",IF(OR(K1552="inconclusivo",M1552="inconclusivo"),"inconclusivo","não")))</f>
        <v/>
      </c>
      <c r="O1552" s="5">
        <f>IF(N1552="sim",COUNTIFS($B$3:$B1552,$B1552,$N$3:$N1552,"sim"),"")</f>
        <v/>
      </c>
      <c r="P1552" s="5" t="n"/>
      <c r="Q1552" s="4" t="n"/>
      <c r="R1552" s="5" t="n"/>
      <c r="S1552" s="9" t="n"/>
      <c r="T1552" s="4" t="n"/>
    </row>
    <row r="1553">
      <c r="A1553" s="5">
        <f>ROW()-2</f>
        <v/>
      </c>
      <c r="B1553" s="4" t="inlineStr">
        <is>
          <t>Capital regional</t>
        </is>
      </c>
      <c r="C1553" s="5" t="n">
        <v>609</v>
      </c>
      <c r="D1553" s="5">
        <f>IFERROR(INDEX('Base de sorteio'!$A$3:$A$1723,MATCH($B1553&amp;"|"&amp;$C1553,'Base de sorteio'!$I$3:$I$1723,0)),"")</f>
        <v/>
      </c>
      <c r="E1553" s="4">
        <f>IFERROR(INDEX('Base de sorteio'!$B$3:$B$1723,MATCH($B1553&amp;"|"&amp;$C1553,'Base de sorteio'!$I$3:$I$1723,0)),"")</f>
        <v/>
      </c>
      <c r="F1553" s="4">
        <f>IFERROR(INDEX('Base de sorteio'!$C$3:$C$1723,MATCH($B1553&amp;"|"&amp;$C1553,'Base de sorteio'!$I$3:$I$1723,0)),"")</f>
        <v/>
      </c>
      <c r="G1553" s="4">
        <f>IFERROR(INDEX('Base de sorteio'!$D$3:$D$1723,MATCH($B1553&amp;"|"&amp;$C1553,'Base de sorteio'!$I$3:$I$1723,0)),"")</f>
        <v/>
      </c>
      <c r="H1553" s="4">
        <f>IFERROR(INDEX('Base de sorteio'!$E$3:$E$1723,MATCH($B1553&amp;"|"&amp;$C1553,'Base de sorteio'!$I$3:$I$1723,0)),"")</f>
        <v/>
      </c>
      <c r="I1553" s="4">
        <f>IF(E1553="","",HYPERLINK(IFERROR(INDEX('Base de sorteio'!$J$3:$J$1723,MATCH($B1553&amp;"|"&amp;$C1553,'Base de sorteio'!$I$3:$I$1723,0)),""),"abrir"))</f>
        <v/>
      </c>
      <c r="J1553" s="4" t="n"/>
      <c r="K1553" s="4" t="n"/>
      <c r="L1553" s="4" t="n"/>
      <c r="M1553" s="4" t="n"/>
      <c r="N1553" s="4">
        <f>IF(AND(K1553="",M1553=""),"",IF(OR(K1553="sim",M1553="sim"),"sim",IF(OR(K1553="inconclusivo",M1553="inconclusivo"),"inconclusivo","não")))</f>
        <v/>
      </c>
      <c r="O1553" s="5">
        <f>IF(N1553="sim",COUNTIFS($B$3:$B1553,$B1553,$N$3:$N1553,"sim"),"")</f>
        <v/>
      </c>
      <c r="P1553" s="5" t="n"/>
      <c r="Q1553" s="4" t="n"/>
      <c r="R1553" s="5" t="n"/>
      <c r="S1553" s="9" t="n"/>
      <c r="T1553" s="4" t="n"/>
    </row>
    <row r="1554">
      <c r="A1554" s="5">
        <f>ROW()-2</f>
        <v/>
      </c>
      <c r="B1554" s="4" t="inlineStr">
        <is>
          <t>Capital regional</t>
        </is>
      </c>
      <c r="C1554" s="5" t="n">
        <v>610</v>
      </c>
      <c r="D1554" s="5">
        <f>IFERROR(INDEX('Base de sorteio'!$A$3:$A$1723,MATCH($B1554&amp;"|"&amp;$C1554,'Base de sorteio'!$I$3:$I$1723,0)),"")</f>
        <v/>
      </c>
      <c r="E1554" s="4">
        <f>IFERROR(INDEX('Base de sorteio'!$B$3:$B$1723,MATCH($B1554&amp;"|"&amp;$C1554,'Base de sorteio'!$I$3:$I$1723,0)),"")</f>
        <v/>
      </c>
      <c r="F1554" s="4">
        <f>IFERROR(INDEX('Base de sorteio'!$C$3:$C$1723,MATCH($B1554&amp;"|"&amp;$C1554,'Base de sorteio'!$I$3:$I$1723,0)),"")</f>
        <v/>
      </c>
      <c r="G1554" s="4">
        <f>IFERROR(INDEX('Base de sorteio'!$D$3:$D$1723,MATCH($B1554&amp;"|"&amp;$C1554,'Base de sorteio'!$I$3:$I$1723,0)),"")</f>
        <v/>
      </c>
      <c r="H1554" s="4">
        <f>IFERROR(INDEX('Base de sorteio'!$E$3:$E$1723,MATCH($B1554&amp;"|"&amp;$C1554,'Base de sorteio'!$I$3:$I$1723,0)),"")</f>
        <v/>
      </c>
      <c r="I1554" s="4">
        <f>IF(E1554="","",HYPERLINK(IFERROR(INDEX('Base de sorteio'!$J$3:$J$1723,MATCH($B1554&amp;"|"&amp;$C1554,'Base de sorteio'!$I$3:$I$1723,0)),""),"abrir"))</f>
        <v/>
      </c>
      <c r="J1554" s="4" t="n"/>
      <c r="K1554" s="4" t="n"/>
      <c r="L1554" s="4" t="n"/>
      <c r="M1554" s="4" t="n"/>
      <c r="N1554" s="4">
        <f>IF(AND(K1554="",M1554=""),"",IF(OR(K1554="sim",M1554="sim"),"sim",IF(OR(K1554="inconclusivo",M1554="inconclusivo"),"inconclusivo","não")))</f>
        <v/>
      </c>
      <c r="O1554" s="5">
        <f>IF(N1554="sim",COUNTIFS($B$3:$B1554,$B1554,$N$3:$N1554,"sim"),"")</f>
        <v/>
      </c>
      <c r="P1554" s="5" t="n"/>
      <c r="Q1554" s="4" t="n"/>
      <c r="R1554" s="5" t="n"/>
      <c r="S1554" s="9" t="n"/>
      <c r="T1554" s="4" t="n"/>
    </row>
    <row r="1555">
      <c r="A1555" s="5">
        <f>ROW()-2</f>
        <v/>
      </c>
      <c r="B1555" s="4" t="inlineStr">
        <is>
          <t>Capital regional</t>
        </is>
      </c>
      <c r="C1555" s="5" t="n">
        <v>611</v>
      </c>
      <c r="D1555" s="5">
        <f>IFERROR(INDEX('Base de sorteio'!$A$3:$A$1723,MATCH($B1555&amp;"|"&amp;$C1555,'Base de sorteio'!$I$3:$I$1723,0)),"")</f>
        <v/>
      </c>
      <c r="E1555" s="4">
        <f>IFERROR(INDEX('Base de sorteio'!$B$3:$B$1723,MATCH($B1555&amp;"|"&amp;$C1555,'Base de sorteio'!$I$3:$I$1723,0)),"")</f>
        <v/>
      </c>
      <c r="F1555" s="4">
        <f>IFERROR(INDEX('Base de sorteio'!$C$3:$C$1723,MATCH($B1555&amp;"|"&amp;$C1555,'Base de sorteio'!$I$3:$I$1723,0)),"")</f>
        <v/>
      </c>
      <c r="G1555" s="4">
        <f>IFERROR(INDEX('Base de sorteio'!$D$3:$D$1723,MATCH($B1555&amp;"|"&amp;$C1555,'Base de sorteio'!$I$3:$I$1723,0)),"")</f>
        <v/>
      </c>
      <c r="H1555" s="4">
        <f>IFERROR(INDEX('Base de sorteio'!$E$3:$E$1723,MATCH($B1555&amp;"|"&amp;$C1555,'Base de sorteio'!$I$3:$I$1723,0)),"")</f>
        <v/>
      </c>
      <c r="I1555" s="4">
        <f>IF(E1555="","",HYPERLINK(IFERROR(INDEX('Base de sorteio'!$J$3:$J$1723,MATCH($B1555&amp;"|"&amp;$C1555,'Base de sorteio'!$I$3:$I$1723,0)),""),"abrir"))</f>
        <v/>
      </c>
      <c r="J1555" s="4" t="n"/>
      <c r="K1555" s="4" t="n"/>
      <c r="L1555" s="4" t="n"/>
      <c r="M1555" s="4" t="n"/>
      <c r="N1555" s="4">
        <f>IF(AND(K1555="",M1555=""),"",IF(OR(K1555="sim",M1555="sim"),"sim",IF(OR(K1555="inconclusivo",M1555="inconclusivo"),"inconclusivo","não")))</f>
        <v/>
      </c>
      <c r="O1555" s="5">
        <f>IF(N1555="sim",COUNTIFS($B$3:$B1555,$B1555,$N$3:$N1555,"sim"),"")</f>
        <v/>
      </c>
      <c r="P1555" s="5" t="n"/>
      <c r="Q1555" s="4" t="n"/>
      <c r="R1555" s="5" t="n"/>
      <c r="S1555" s="9" t="n"/>
      <c r="T1555" s="4" t="n"/>
    </row>
    <row r="1556">
      <c r="A1556" s="5">
        <f>ROW()-2</f>
        <v/>
      </c>
      <c r="B1556" s="4" t="inlineStr">
        <is>
          <t>Capital regional</t>
        </is>
      </c>
      <c r="C1556" s="5" t="n">
        <v>612</v>
      </c>
      <c r="D1556" s="5">
        <f>IFERROR(INDEX('Base de sorteio'!$A$3:$A$1723,MATCH($B1556&amp;"|"&amp;$C1556,'Base de sorteio'!$I$3:$I$1723,0)),"")</f>
        <v/>
      </c>
      <c r="E1556" s="4">
        <f>IFERROR(INDEX('Base de sorteio'!$B$3:$B$1723,MATCH($B1556&amp;"|"&amp;$C1556,'Base de sorteio'!$I$3:$I$1723,0)),"")</f>
        <v/>
      </c>
      <c r="F1556" s="4">
        <f>IFERROR(INDEX('Base de sorteio'!$C$3:$C$1723,MATCH($B1556&amp;"|"&amp;$C1556,'Base de sorteio'!$I$3:$I$1723,0)),"")</f>
        <v/>
      </c>
      <c r="G1556" s="4">
        <f>IFERROR(INDEX('Base de sorteio'!$D$3:$D$1723,MATCH($B1556&amp;"|"&amp;$C1556,'Base de sorteio'!$I$3:$I$1723,0)),"")</f>
        <v/>
      </c>
      <c r="H1556" s="4">
        <f>IFERROR(INDEX('Base de sorteio'!$E$3:$E$1723,MATCH($B1556&amp;"|"&amp;$C1556,'Base de sorteio'!$I$3:$I$1723,0)),"")</f>
        <v/>
      </c>
      <c r="I1556" s="4">
        <f>IF(E1556="","",HYPERLINK(IFERROR(INDEX('Base de sorteio'!$J$3:$J$1723,MATCH($B1556&amp;"|"&amp;$C1556,'Base de sorteio'!$I$3:$I$1723,0)),""),"abrir"))</f>
        <v/>
      </c>
      <c r="J1556" s="4" t="n"/>
      <c r="K1556" s="4" t="n"/>
      <c r="L1556" s="4" t="n"/>
      <c r="M1556" s="4" t="n"/>
      <c r="N1556" s="4">
        <f>IF(AND(K1556="",M1556=""),"",IF(OR(K1556="sim",M1556="sim"),"sim",IF(OR(K1556="inconclusivo",M1556="inconclusivo"),"inconclusivo","não")))</f>
        <v/>
      </c>
      <c r="O1556" s="5">
        <f>IF(N1556="sim",COUNTIFS($B$3:$B1556,$B1556,$N$3:$N1556,"sim"),"")</f>
        <v/>
      </c>
      <c r="P1556" s="5" t="n"/>
      <c r="Q1556" s="4" t="n"/>
      <c r="R1556" s="5" t="n"/>
      <c r="S1556" s="9" t="n"/>
      <c r="T1556" s="4" t="n"/>
    </row>
    <row r="1557">
      <c r="A1557" s="5">
        <f>ROW()-2</f>
        <v/>
      </c>
      <c r="B1557" s="4" t="inlineStr">
        <is>
          <t>Capital regional</t>
        </is>
      </c>
      <c r="C1557" s="5" t="n">
        <v>613</v>
      </c>
      <c r="D1557" s="5">
        <f>IFERROR(INDEX('Base de sorteio'!$A$3:$A$1723,MATCH($B1557&amp;"|"&amp;$C1557,'Base de sorteio'!$I$3:$I$1723,0)),"")</f>
        <v/>
      </c>
      <c r="E1557" s="4">
        <f>IFERROR(INDEX('Base de sorteio'!$B$3:$B$1723,MATCH($B1557&amp;"|"&amp;$C1557,'Base de sorteio'!$I$3:$I$1723,0)),"")</f>
        <v/>
      </c>
      <c r="F1557" s="4">
        <f>IFERROR(INDEX('Base de sorteio'!$C$3:$C$1723,MATCH($B1557&amp;"|"&amp;$C1557,'Base de sorteio'!$I$3:$I$1723,0)),"")</f>
        <v/>
      </c>
      <c r="G1557" s="4">
        <f>IFERROR(INDEX('Base de sorteio'!$D$3:$D$1723,MATCH($B1557&amp;"|"&amp;$C1557,'Base de sorteio'!$I$3:$I$1723,0)),"")</f>
        <v/>
      </c>
      <c r="H1557" s="4">
        <f>IFERROR(INDEX('Base de sorteio'!$E$3:$E$1723,MATCH($B1557&amp;"|"&amp;$C1557,'Base de sorteio'!$I$3:$I$1723,0)),"")</f>
        <v/>
      </c>
      <c r="I1557" s="4">
        <f>IF(E1557="","",HYPERLINK(IFERROR(INDEX('Base de sorteio'!$J$3:$J$1723,MATCH($B1557&amp;"|"&amp;$C1557,'Base de sorteio'!$I$3:$I$1723,0)),""),"abrir"))</f>
        <v/>
      </c>
      <c r="J1557" s="4" t="n"/>
      <c r="K1557" s="4" t="n"/>
      <c r="L1557" s="4" t="n"/>
      <c r="M1557" s="4" t="n"/>
      <c r="N1557" s="4">
        <f>IF(AND(K1557="",M1557=""),"",IF(OR(K1557="sim",M1557="sim"),"sim",IF(OR(K1557="inconclusivo",M1557="inconclusivo"),"inconclusivo","não")))</f>
        <v/>
      </c>
      <c r="O1557" s="5">
        <f>IF(N1557="sim",COUNTIFS($B$3:$B1557,$B1557,$N$3:$N1557,"sim"),"")</f>
        <v/>
      </c>
      <c r="P1557" s="5" t="n"/>
      <c r="Q1557" s="4" t="n"/>
      <c r="R1557" s="5" t="n"/>
      <c r="S1557" s="9" t="n"/>
      <c r="T1557" s="4" t="n"/>
    </row>
    <row r="1558">
      <c r="A1558" s="5">
        <f>ROW()-2</f>
        <v/>
      </c>
      <c r="B1558" s="4" t="inlineStr">
        <is>
          <t>Capital regional</t>
        </is>
      </c>
      <c r="C1558" s="5" t="n">
        <v>614</v>
      </c>
      <c r="D1558" s="5">
        <f>IFERROR(INDEX('Base de sorteio'!$A$3:$A$1723,MATCH($B1558&amp;"|"&amp;$C1558,'Base de sorteio'!$I$3:$I$1723,0)),"")</f>
        <v/>
      </c>
      <c r="E1558" s="4">
        <f>IFERROR(INDEX('Base de sorteio'!$B$3:$B$1723,MATCH($B1558&amp;"|"&amp;$C1558,'Base de sorteio'!$I$3:$I$1723,0)),"")</f>
        <v/>
      </c>
      <c r="F1558" s="4">
        <f>IFERROR(INDEX('Base de sorteio'!$C$3:$C$1723,MATCH($B1558&amp;"|"&amp;$C1558,'Base de sorteio'!$I$3:$I$1723,0)),"")</f>
        <v/>
      </c>
      <c r="G1558" s="4">
        <f>IFERROR(INDEX('Base de sorteio'!$D$3:$D$1723,MATCH($B1558&amp;"|"&amp;$C1558,'Base de sorteio'!$I$3:$I$1723,0)),"")</f>
        <v/>
      </c>
      <c r="H1558" s="4">
        <f>IFERROR(INDEX('Base de sorteio'!$E$3:$E$1723,MATCH($B1558&amp;"|"&amp;$C1558,'Base de sorteio'!$I$3:$I$1723,0)),"")</f>
        <v/>
      </c>
      <c r="I1558" s="4">
        <f>IF(E1558="","",HYPERLINK(IFERROR(INDEX('Base de sorteio'!$J$3:$J$1723,MATCH($B1558&amp;"|"&amp;$C1558,'Base de sorteio'!$I$3:$I$1723,0)),""),"abrir"))</f>
        <v/>
      </c>
      <c r="J1558" s="4" t="n"/>
      <c r="K1558" s="4" t="n"/>
      <c r="L1558" s="4" t="n"/>
      <c r="M1558" s="4" t="n"/>
      <c r="N1558" s="4">
        <f>IF(AND(K1558="",M1558=""),"",IF(OR(K1558="sim",M1558="sim"),"sim",IF(OR(K1558="inconclusivo",M1558="inconclusivo"),"inconclusivo","não")))</f>
        <v/>
      </c>
      <c r="O1558" s="5">
        <f>IF(N1558="sim",COUNTIFS($B$3:$B1558,$B1558,$N$3:$N1558,"sim"),"")</f>
        <v/>
      </c>
      <c r="P1558" s="5" t="n"/>
      <c r="Q1558" s="4" t="n"/>
      <c r="R1558" s="5" t="n"/>
      <c r="S1558" s="9" t="n"/>
      <c r="T1558" s="4" t="n"/>
    </row>
    <row r="1559">
      <c r="A1559" s="5">
        <f>ROW()-2</f>
        <v/>
      </c>
      <c r="B1559" s="4" t="inlineStr">
        <is>
          <t>Capital regional</t>
        </is>
      </c>
      <c r="C1559" s="5" t="n">
        <v>615</v>
      </c>
      <c r="D1559" s="5">
        <f>IFERROR(INDEX('Base de sorteio'!$A$3:$A$1723,MATCH($B1559&amp;"|"&amp;$C1559,'Base de sorteio'!$I$3:$I$1723,0)),"")</f>
        <v/>
      </c>
      <c r="E1559" s="4">
        <f>IFERROR(INDEX('Base de sorteio'!$B$3:$B$1723,MATCH($B1559&amp;"|"&amp;$C1559,'Base de sorteio'!$I$3:$I$1723,0)),"")</f>
        <v/>
      </c>
      <c r="F1559" s="4">
        <f>IFERROR(INDEX('Base de sorteio'!$C$3:$C$1723,MATCH($B1559&amp;"|"&amp;$C1559,'Base de sorteio'!$I$3:$I$1723,0)),"")</f>
        <v/>
      </c>
      <c r="G1559" s="4">
        <f>IFERROR(INDEX('Base de sorteio'!$D$3:$D$1723,MATCH($B1559&amp;"|"&amp;$C1559,'Base de sorteio'!$I$3:$I$1723,0)),"")</f>
        <v/>
      </c>
      <c r="H1559" s="4">
        <f>IFERROR(INDEX('Base de sorteio'!$E$3:$E$1723,MATCH($B1559&amp;"|"&amp;$C1559,'Base de sorteio'!$I$3:$I$1723,0)),"")</f>
        <v/>
      </c>
      <c r="I1559" s="4">
        <f>IF(E1559="","",HYPERLINK(IFERROR(INDEX('Base de sorteio'!$J$3:$J$1723,MATCH($B1559&amp;"|"&amp;$C1559,'Base de sorteio'!$I$3:$I$1723,0)),""),"abrir"))</f>
        <v/>
      </c>
      <c r="J1559" s="4" t="n"/>
      <c r="K1559" s="4" t="n"/>
      <c r="L1559" s="4" t="n"/>
      <c r="M1559" s="4" t="n"/>
      <c r="N1559" s="4">
        <f>IF(AND(K1559="",M1559=""),"",IF(OR(K1559="sim",M1559="sim"),"sim",IF(OR(K1559="inconclusivo",M1559="inconclusivo"),"inconclusivo","não")))</f>
        <v/>
      </c>
      <c r="O1559" s="5">
        <f>IF(N1559="sim",COUNTIFS($B$3:$B1559,$B1559,$N$3:$N1559,"sim"),"")</f>
        <v/>
      </c>
      <c r="P1559" s="5" t="n"/>
      <c r="Q1559" s="4" t="n"/>
      <c r="R1559" s="5" t="n"/>
      <c r="S1559" s="9" t="n"/>
      <c r="T1559" s="4" t="n"/>
    </row>
    <row r="1560">
      <c r="A1560" s="5">
        <f>ROW()-2</f>
        <v/>
      </c>
      <c r="B1560" s="4" t="inlineStr">
        <is>
          <t>Capital regional</t>
        </is>
      </c>
      <c r="C1560" s="5" t="n">
        <v>616</v>
      </c>
      <c r="D1560" s="5">
        <f>IFERROR(INDEX('Base de sorteio'!$A$3:$A$1723,MATCH($B1560&amp;"|"&amp;$C1560,'Base de sorteio'!$I$3:$I$1723,0)),"")</f>
        <v/>
      </c>
      <c r="E1560" s="4">
        <f>IFERROR(INDEX('Base de sorteio'!$B$3:$B$1723,MATCH($B1560&amp;"|"&amp;$C1560,'Base de sorteio'!$I$3:$I$1723,0)),"")</f>
        <v/>
      </c>
      <c r="F1560" s="4">
        <f>IFERROR(INDEX('Base de sorteio'!$C$3:$C$1723,MATCH($B1560&amp;"|"&amp;$C1560,'Base de sorteio'!$I$3:$I$1723,0)),"")</f>
        <v/>
      </c>
      <c r="G1560" s="4">
        <f>IFERROR(INDEX('Base de sorteio'!$D$3:$D$1723,MATCH($B1560&amp;"|"&amp;$C1560,'Base de sorteio'!$I$3:$I$1723,0)),"")</f>
        <v/>
      </c>
      <c r="H1560" s="4">
        <f>IFERROR(INDEX('Base de sorteio'!$E$3:$E$1723,MATCH($B1560&amp;"|"&amp;$C1560,'Base de sorteio'!$I$3:$I$1723,0)),"")</f>
        <v/>
      </c>
      <c r="I1560" s="4">
        <f>IF(E1560="","",HYPERLINK(IFERROR(INDEX('Base de sorteio'!$J$3:$J$1723,MATCH($B1560&amp;"|"&amp;$C1560,'Base de sorteio'!$I$3:$I$1723,0)),""),"abrir"))</f>
        <v/>
      </c>
      <c r="J1560" s="4" t="n"/>
      <c r="K1560" s="4" t="n"/>
      <c r="L1560" s="4" t="n"/>
      <c r="M1560" s="4" t="n"/>
      <c r="N1560" s="4">
        <f>IF(AND(K1560="",M1560=""),"",IF(OR(K1560="sim",M1560="sim"),"sim",IF(OR(K1560="inconclusivo",M1560="inconclusivo"),"inconclusivo","não")))</f>
        <v/>
      </c>
      <c r="O1560" s="5">
        <f>IF(N1560="sim",COUNTIFS($B$3:$B1560,$B1560,$N$3:$N1560,"sim"),"")</f>
        <v/>
      </c>
      <c r="P1560" s="5" t="n"/>
      <c r="Q1560" s="4" t="n"/>
      <c r="R1560" s="5" t="n"/>
      <c r="S1560" s="9" t="n"/>
      <c r="T1560" s="4" t="n"/>
    </row>
    <row r="1561">
      <c r="A1561" s="5">
        <f>ROW()-2</f>
        <v/>
      </c>
      <c r="B1561" s="4" t="inlineStr">
        <is>
          <t>Capital regional</t>
        </is>
      </c>
      <c r="C1561" s="5" t="n">
        <v>617</v>
      </c>
      <c r="D1561" s="5">
        <f>IFERROR(INDEX('Base de sorteio'!$A$3:$A$1723,MATCH($B1561&amp;"|"&amp;$C1561,'Base de sorteio'!$I$3:$I$1723,0)),"")</f>
        <v/>
      </c>
      <c r="E1561" s="4">
        <f>IFERROR(INDEX('Base de sorteio'!$B$3:$B$1723,MATCH($B1561&amp;"|"&amp;$C1561,'Base de sorteio'!$I$3:$I$1723,0)),"")</f>
        <v/>
      </c>
      <c r="F1561" s="4">
        <f>IFERROR(INDEX('Base de sorteio'!$C$3:$C$1723,MATCH($B1561&amp;"|"&amp;$C1561,'Base de sorteio'!$I$3:$I$1723,0)),"")</f>
        <v/>
      </c>
      <c r="G1561" s="4">
        <f>IFERROR(INDEX('Base de sorteio'!$D$3:$D$1723,MATCH($B1561&amp;"|"&amp;$C1561,'Base de sorteio'!$I$3:$I$1723,0)),"")</f>
        <v/>
      </c>
      <c r="H1561" s="4">
        <f>IFERROR(INDEX('Base de sorteio'!$E$3:$E$1723,MATCH($B1561&amp;"|"&amp;$C1561,'Base de sorteio'!$I$3:$I$1723,0)),"")</f>
        <v/>
      </c>
      <c r="I1561" s="4">
        <f>IF(E1561="","",HYPERLINK(IFERROR(INDEX('Base de sorteio'!$J$3:$J$1723,MATCH($B1561&amp;"|"&amp;$C1561,'Base de sorteio'!$I$3:$I$1723,0)),""),"abrir"))</f>
        <v/>
      </c>
      <c r="J1561" s="4" t="n"/>
      <c r="K1561" s="4" t="n"/>
      <c r="L1561" s="4" t="n"/>
      <c r="M1561" s="4" t="n"/>
      <c r="N1561" s="4">
        <f>IF(AND(K1561="",M1561=""),"",IF(OR(K1561="sim",M1561="sim"),"sim",IF(OR(K1561="inconclusivo",M1561="inconclusivo"),"inconclusivo","não")))</f>
        <v/>
      </c>
      <c r="O1561" s="5">
        <f>IF(N1561="sim",COUNTIFS($B$3:$B1561,$B1561,$N$3:$N1561,"sim"),"")</f>
        <v/>
      </c>
      <c r="P1561" s="5" t="n"/>
      <c r="Q1561" s="4" t="n"/>
      <c r="R1561" s="5" t="n"/>
      <c r="S1561" s="9" t="n"/>
      <c r="T1561" s="4" t="n"/>
    </row>
    <row r="1562">
      <c r="A1562" s="5">
        <f>ROW()-2</f>
        <v/>
      </c>
      <c r="B1562" s="4" t="inlineStr">
        <is>
          <t>Capital regional</t>
        </is>
      </c>
      <c r="C1562" s="5" t="n">
        <v>618</v>
      </c>
      <c r="D1562" s="5">
        <f>IFERROR(INDEX('Base de sorteio'!$A$3:$A$1723,MATCH($B1562&amp;"|"&amp;$C1562,'Base de sorteio'!$I$3:$I$1723,0)),"")</f>
        <v/>
      </c>
      <c r="E1562" s="4">
        <f>IFERROR(INDEX('Base de sorteio'!$B$3:$B$1723,MATCH($B1562&amp;"|"&amp;$C1562,'Base de sorteio'!$I$3:$I$1723,0)),"")</f>
        <v/>
      </c>
      <c r="F1562" s="4">
        <f>IFERROR(INDEX('Base de sorteio'!$C$3:$C$1723,MATCH($B1562&amp;"|"&amp;$C1562,'Base de sorteio'!$I$3:$I$1723,0)),"")</f>
        <v/>
      </c>
      <c r="G1562" s="4">
        <f>IFERROR(INDEX('Base de sorteio'!$D$3:$D$1723,MATCH($B1562&amp;"|"&amp;$C1562,'Base de sorteio'!$I$3:$I$1723,0)),"")</f>
        <v/>
      </c>
      <c r="H1562" s="4">
        <f>IFERROR(INDEX('Base de sorteio'!$E$3:$E$1723,MATCH($B1562&amp;"|"&amp;$C1562,'Base de sorteio'!$I$3:$I$1723,0)),"")</f>
        <v/>
      </c>
      <c r="I1562" s="4">
        <f>IF(E1562="","",HYPERLINK(IFERROR(INDEX('Base de sorteio'!$J$3:$J$1723,MATCH($B1562&amp;"|"&amp;$C1562,'Base de sorteio'!$I$3:$I$1723,0)),""),"abrir"))</f>
        <v/>
      </c>
      <c r="J1562" s="4" t="n"/>
      <c r="K1562" s="4" t="n"/>
      <c r="L1562" s="4" t="n"/>
      <c r="M1562" s="4" t="n"/>
      <c r="N1562" s="4">
        <f>IF(AND(K1562="",M1562=""),"",IF(OR(K1562="sim",M1562="sim"),"sim",IF(OR(K1562="inconclusivo",M1562="inconclusivo"),"inconclusivo","não")))</f>
        <v/>
      </c>
      <c r="O1562" s="5">
        <f>IF(N1562="sim",COUNTIFS($B$3:$B1562,$B1562,$N$3:$N1562,"sim"),"")</f>
        <v/>
      </c>
      <c r="P1562" s="5" t="n"/>
      <c r="Q1562" s="4" t="n"/>
      <c r="R1562" s="5" t="n"/>
      <c r="S1562" s="9" t="n"/>
      <c r="T1562" s="4" t="n"/>
    </row>
    <row r="1563">
      <c r="A1563" s="5">
        <f>ROW()-2</f>
        <v/>
      </c>
      <c r="B1563" s="4" t="inlineStr">
        <is>
          <t>Capital regional</t>
        </is>
      </c>
      <c r="C1563" s="5" t="n">
        <v>619</v>
      </c>
      <c r="D1563" s="5">
        <f>IFERROR(INDEX('Base de sorteio'!$A$3:$A$1723,MATCH($B1563&amp;"|"&amp;$C1563,'Base de sorteio'!$I$3:$I$1723,0)),"")</f>
        <v/>
      </c>
      <c r="E1563" s="4">
        <f>IFERROR(INDEX('Base de sorteio'!$B$3:$B$1723,MATCH($B1563&amp;"|"&amp;$C1563,'Base de sorteio'!$I$3:$I$1723,0)),"")</f>
        <v/>
      </c>
      <c r="F1563" s="4">
        <f>IFERROR(INDEX('Base de sorteio'!$C$3:$C$1723,MATCH($B1563&amp;"|"&amp;$C1563,'Base de sorteio'!$I$3:$I$1723,0)),"")</f>
        <v/>
      </c>
      <c r="G1563" s="4">
        <f>IFERROR(INDEX('Base de sorteio'!$D$3:$D$1723,MATCH($B1563&amp;"|"&amp;$C1563,'Base de sorteio'!$I$3:$I$1723,0)),"")</f>
        <v/>
      </c>
      <c r="H1563" s="4">
        <f>IFERROR(INDEX('Base de sorteio'!$E$3:$E$1723,MATCH($B1563&amp;"|"&amp;$C1563,'Base de sorteio'!$I$3:$I$1723,0)),"")</f>
        <v/>
      </c>
      <c r="I1563" s="4">
        <f>IF(E1563="","",HYPERLINK(IFERROR(INDEX('Base de sorteio'!$J$3:$J$1723,MATCH($B1563&amp;"|"&amp;$C1563,'Base de sorteio'!$I$3:$I$1723,0)),""),"abrir"))</f>
        <v/>
      </c>
      <c r="J1563" s="4" t="n"/>
      <c r="K1563" s="4" t="n"/>
      <c r="L1563" s="4" t="n"/>
      <c r="M1563" s="4" t="n"/>
      <c r="N1563" s="4">
        <f>IF(AND(K1563="",M1563=""),"",IF(OR(K1563="sim",M1563="sim"),"sim",IF(OR(K1563="inconclusivo",M1563="inconclusivo"),"inconclusivo","não")))</f>
        <v/>
      </c>
      <c r="O1563" s="5">
        <f>IF(N1563="sim",COUNTIFS($B$3:$B1563,$B1563,$N$3:$N1563,"sim"),"")</f>
        <v/>
      </c>
      <c r="P1563" s="5" t="n"/>
      <c r="Q1563" s="4" t="n"/>
      <c r="R1563" s="5" t="n"/>
      <c r="S1563" s="9" t="n"/>
      <c r="T1563" s="4" t="n"/>
    </row>
    <row r="1564">
      <c r="A1564" s="5">
        <f>ROW()-2</f>
        <v/>
      </c>
      <c r="B1564" s="4" t="inlineStr">
        <is>
          <t>Capital regional</t>
        </is>
      </c>
      <c r="C1564" s="5" t="n">
        <v>620</v>
      </c>
      <c r="D1564" s="5">
        <f>IFERROR(INDEX('Base de sorteio'!$A$3:$A$1723,MATCH($B1564&amp;"|"&amp;$C1564,'Base de sorteio'!$I$3:$I$1723,0)),"")</f>
        <v/>
      </c>
      <c r="E1564" s="4">
        <f>IFERROR(INDEX('Base de sorteio'!$B$3:$B$1723,MATCH($B1564&amp;"|"&amp;$C1564,'Base de sorteio'!$I$3:$I$1723,0)),"")</f>
        <v/>
      </c>
      <c r="F1564" s="4">
        <f>IFERROR(INDEX('Base de sorteio'!$C$3:$C$1723,MATCH($B1564&amp;"|"&amp;$C1564,'Base de sorteio'!$I$3:$I$1723,0)),"")</f>
        <v/>
      </c>
      <c r="G1564" s="4">
        <f>IFERROR(INDEX('Base de sorteio'!$D$3:$D$1723,MATCH($B1564&amp;"|"&amp;$C1564,'Base de sorteio'!$I$3:$I$1723,0)),"")</f>
        <v/>
      </c>
      <c r="H1564" s="4">
        <f>IFERROR(INDEX('Base de sorteio'!$E$3:$E$1723,MATCH($B1564&amp;"|"&amp;$C1564,'Base de sorteio'!$I$3:$I$1723,0)),"")</f>
        <v/>
      </c>
      <c r="I1564" s="4">
        <f>IF(E1564="","",HYPERLINK(IFERROR(INDEX('Base de sorteio'!$J$3:$J$1723,MATCH($B1564&amp;"|"&amp;$C1564,'Base de sorteio'!$I$3:$I$1723,0)),""),"abrir"))</f>
        <v/>
      </c>
      <c r="J1564" s="4" t="n"/>
      <c r="K1564" s="4" t="n"/>
      <c r="L1564" s="4" t="n"/>
      <c r="M1564" s="4" t="n"/>
      <c r="N1564" s="4">
        <f>IF(AND(K1564="",M1564=""),"",IF(OR(K1564="sim",M1564="sim"),"sim",IF(OR(K1564="inconclusivo",M1564="inconclusivo"),"inconclusivo","não")))</f>
        <v/>
      </c>
      <c r="O1564" s="5">
        <f>IF(N1564="sim",COUNTIFS($B$3:$B1564,$B1564,$N$3:$N1564,"sim"),"")</f>
        <v/>
      </c>
      <c r="P1564" s="5" t="n"/>
      <c r="Q1564" s="4" t="n"/>
      <c r="R1564" s="5" t="n"/>
      <c r="S1564" s="9" t="n"/>
      <c r="T1564" s="4" t="n"/>
    </row>
    <row r="1565">
      <c r="A1565" s="5">
        <f>ROW()-2</f>
        <v/>
      </c>
      <c r="B1565" s="4" t="inlineStr">
        <is>
          <t>Capital regional</t>
        </is>
      </c>
      <c r="C1565" s="5" t="n">
        <v>621</v>
      </c>
      <c r="D1565" s="5">
        <f>IFERROR(INDEX('Base de sorteio'!$A$3:$A$1723,MATCH($B1565&amp;"|"&amp;$C1565,'Base de sorteio'!$I$3:$I$1723,0)),"")</f>
        <v/>
      </c>
      <c r="E1565" s="4">
        <f>IFERROR(INDEX('Base de sorteio'!$B$3:$B$1723,MATCH($B1565&amp;"|"&amp;$C1565,'Base de sorteio'!$I$3:$I$1723,0)),"")</f>
        <v/>
      </c>
      <c r="F1565" s="4">
        <f>IFERROR(INDEX('Base de sorteio'!$C$3:$C$1723,MATCH($B1565&amp;"|"&amp;$C1565,'Base de sorteio'!$I$3:$I$1723,0)),"")</f>
        <v/>
      </c>
      <c r="G1565" s="4">
        <f>IFERROR(INDEX('Base de sorteio'!$D$3:$D$1723,MATCH($B1565&amp;"|"&amp;$C1565,'Base de sorteio'!$I$3:$I$1723,0)),"")</f>
        <v/>
      </c>
      <c r="H1565" s="4">
        <f>IFERROR(INDEX('Base de sorteio'!$E$3:$E$1723,MATCH($B1565&amp;"|"&amp;$C1565,'Base de sorteio'!$I$3:$I$1723,0)),"")</f>
        <v/>
      </c>
      <c r="I1565" s="4">
        <f>IF(E1565="","",HYPERLINK(IFERROR(INDEX('Base de sorteio'!$J$3:$J$1723,MATCH($B1565&amp;"|"&amp;$C1565,'Base de sorteio'!$I$3:$I$1723,0)),""),"abrir"))</f>
        <v/>
      </c>
      <c r="J1565" s="4" t="n"/>
      <c r="K1565" s="4" t="n"/>
      <c r="L1565" s="4" t="n"/>
      <c r="M1565" s="4" t="n"/>
      <c r="N1565" s="4">
        <f>IF(AND(K1565="",M1565=""),"",IF(OR(K1565="sim",M1565="sim"),"sim",IF(OR(K1565="inconclusivo",M1565="inconclusivo"),"inconclusivo","não")))</f>
        <v/>
      </c>
      <c r="O1565" s="5">
        <f>IF(N1565="sim",COUNTIFS($B$3:$B1565,$B1565,$N$3:$N1565,"sim"),"")</f>
        <v/>
      </c>
      <c r="P1565" s="5" t="n"/>
      <c r="Q1565" s="4" t="n"/>
      <c r="R1565" s="5" t="n"/>
      <c r="S1565" s="9" t="n"/>
      <c r="T1565" s="4" t="n"/>
    </row>
    <row r="1566">
      <c r="A1566" s="5">
        <f>ROW()-2</f>
        <v/>
      </c>
      <c r="B1566" s="4" t="inlineStr">
        <is>
          <t>Capital regional</t>
        </is>
      </c>
      <c r="C1566" s="5" t="n">
        <v>622</v>
      </c>
      <c r="D1566" s="5">
        <f>IFERROR(INDEX('Base de sorteio'!$A$3:$A$1723,MATCH($B1566&amp;"|"&amp;$C1566,'Base de sorteio'!$I$3:$I$1723,0)),"")</f>
        <v/>
      </c>
      <c r="E1566" s="4">
        <f>IFERROR(INDEX('Base de sorteio'!$B$3:$B$1723,MATCH($B1566&amp;"|"&amp;$C1566,'Base de sorteio'!$I$3:$I$1723,0)),"")</f>
        <v/>
      </c>
      <c r="F1566" s="4">
        <f>IFERROR(INDEX('Base de sorteio'!$C$3:$C$1723,MATCH($B1566&amp;"|"&amp;$C1566,'Base de sorteio'!$I$3:$I$1723,0)),"")</f>
        <v/>
      </c>
      <c r="G1566" s="4">
        <f>IFERROR(INDEX('Base de sorteio'!$D$3:$D$1723,MATCH($B1566&amp;"|"&amp;$C1566,'Base de sorteio'!$I$3:$I$1723,0)),"")</f>
        <v/>
      </c>
      <c r="H1566" s="4">
        <f>IFERROR(INDEX('Base de sorteio'!$E$3:$E$1723,MATCH($B1566&amp;"|"&amp;$C1566,'Base de sorteio'!$I$3:$I$1723,0)),"")</f>
        <v/>
      </c>
      <c r="I1566" s="4">
        <f>IF(E1566="","",HYPERLINK(IFERROR(INDEX('Base de sorteio'!$J$3:$J$1723,MATCH($B1566&amp;"|"&amp;$C1566,'Base de sorteio'!$I$3:$I$1723,0)),""),"abrir"))</f>
        <v/>
      </c>
      <c r="J1566" s="4" t="n"/>
      <c r="K1566" s="4" t="n"/>
      <c r="L1566" s="4" t="n"/>
      <c r="M1566" s="4" t="n"/>
      <c r="N1566" s="4">
        <f>IF(AND(K1566="",M1566=""),"",IF(OR(K1566="sim",M1566="sim"),"sim",IF(OR(K1566="inconclusivo",M1566="inconclusivo"),"inconclusivo","não")))</f>
        <v/>
      </c>
      <c r="O1566" s="5">
        <f>IF(N1566="sim",COUNTIFS($B$3:$B1566,$B1566,$N$3:$N1566,"sim"),"")</f>
        <v/>
      </c>
      <c r="P1566" s="5" t="n"/>
      <c r="Q1566" s="4" t="n"/>
      <c r="R1566" s="5" t="n"/>
      <c r="S1566" s="9" t="n"/>
      <c r="T1566" s="4" t="n"/>
    </row>
    <row r="1567">
      <c r="A1567" s="5">
        <f>ROW()-2</f>
        <v/>
      </c>
      <c r="B1567" s="4" t="inlineStr">
        <is>
          <t>Capital regional</t>
        </is>
      </c>
      <c r="C1567" s="5" t="n">
        <v>623</v>
      </c>
      <c r="D1567" s="5">
        <f>IFERROR(INDEX('Base de sorteio'!$A$3:$A$1723,MATCH($B1567&amp;"|"&amp;$C1567,'Base de sorteio'!$I$3:$I$1723,0)),"")</f>
        <v/>
      </c>
      <c r="E1567" s="4">
        <f>IFERROR(INDEX('Base de sorteio'!$B$3:$B$1723,MATCH($B1567&amp;"|"&amp;$C1567,'Base de sorteio'!$I$3:$I$1723,0)),"")</f>
        <v/>
      </c>
      <c r="F1567" s="4">
        <f>IFERROR(INDEX('Base de sorteio'!$C$3:$C$1723,MATCH($B1567&amp;"|"&amp;$C1567,'Base de sorteio'!$I$3:$I$1723,0)),"")</f>
        <v/>
      </c>
      <c r="G1567" s="4">
        <f>IFERROR(INDEX('Base de sorteio'!$D$3:$D$1723,MATCH($B1567&amp;"|"&amp;$C1567,'Base de sorteio'!$I$3:$I$1723,0)),"")</f>
        <v/>
      </c>
      <c r="H1567" s="4">
        <f>IFERROR(INDEX('Base de sorteio'!$E$3:$E$1723,MATCH($B1567&amp;"|"&amp;$C1567,'Base de sorteio'!$I$3:$I$1723,0)),"")</f>
        <v/>
      </c>
      <c r="I1567" s="4">
        <f>IF(E1567="","",HYPERLINK(IFERROR(INDEX('Base de sorteio'!$J$3:$J$1723,MATCH($B1567&amp;"|"&amp;$C1567,'Base de sorteio'!$I$3:$I$1723,0)),""),"abrir"))</f>
        <v/>
      </c>
      <c r="J1567" s="4" t="n"/>
      <c r="K1567" s="4" t="n"/>
      <c r="L1567" s="4" t="n"/>
      <c r="M1567" s="4" t="n"/>
      <c r="N1567" s="4">
        <f>IF(AND(K1567="",M1567=""),"",IF(OR(K1567="sim",M1567="sim"),"sim",IF(OR(K1567="inconclusivo",M1567="inconclusivo"),"inconclusivo","não")))</f>
        <v/>
      </c>
      <c r="O1567" s="5">
        <f>IF(N1567="sim",COUNTIFS($B$3:$B1567,$B1567,$N$3:$N1567,"sim"),"")</f>
        <v/>
      </c>
      <c r="P1567" s="5" t="n"/>
      <c r="Q1567" s="4" t="n"/>
      <c r="R1567" s="5" t="n"/>
      <c r="S1567" s="9" t="n"/>
      <c r="T1567" s="4" t="n"/>
    </row>
    <row r="1568">
      <c r="A1568" s="5">
        <f>ROW()-2</f>
        <v/>
      </c>
      <c r="B1568" s="4" t="inlineStr">
        <is>
          <t>Capital regional</t>
        </is>
      </c>
      <c r="C1568" s="5" t="n">
        <v>624</v>
      </c>
      <c r="D1568" s="5">
        <f>IFERROR(INDEX('Base de sorteio'!$A$3:$A$1723,MATCH($B1568&amp;"|"&amp;$C1568,'Base de sorteio'!$I$3:$I$1723,0)),"")</f>
        <v/>
      </c>
      <c r="E1568" s="4">
        <f>IFERROR(INDEX('Base de sorteio'!$B$3:$B$1723,MATCH($B1568&amp;"|"&amp;$C1568,'Base de sorteio'!$I$3:$I$1723,0)),"")</f>
        <v/>
      </c>
      <c r="F1568" s="4">
        <f>IFERROR(INDEX('Base de sorteio'!$C$3:$C$1723,MATCH($B1568&amp;"|"&amp;$C1568,'Base de sorteio'!$I$3:$I$1723,0)),"")</f>
        <v/>
      </c>
      <c r="G1568" s="4">
        <f>IFERROR(INDEX('Base de sorteio'!$D$3:$D$1723,MATCH($B1568&amp;"|"&amp;$C1568,'Base de sorteio'!$I$3:$I$1723,0)),"")</f>
        <v/>
      </c>
      <c r="H1568" s="4">
        <f>IFERROR(INDEX('Base de sorteio'!$E$3:$E$1723,MATCH($B1568&amp;"|"&amp;$C1568,'Base de sorteio'!$I$3:$I$1723,0)),"")</f>
        <v/>
      </c>
      <c r="I1568" s="4">
        <f>IF(E1568="","",HYPERLINK(IFERROR(INDEX('Base de sorteio'!$J$3:$J$1723,MATCH($B1568&amp;"|"&amp;$C1568,'Base de sorteio'!$I$3:$I$1723,0)),""),"abrir"))</f>
        <v/>
      </c>
      <c r="J1568" s="4" t="n"/>
      <c r="K1568" s="4" t="n"/>
      <c r="L1568" s="4" t="n"/>
      <c r="M1568" s="4" t="n"/>
      <c r="N1568" s="4">
        <f>IF(AND(K1568="",M1568=""),"",IF(OR(K1568="sim",M1568="sim"),"sim",IF(OR(K1568="inconclusivo",M1568="inconclusivo"),"inconclusivo","não")))</f>
        <v/>
      </c>
      <c r="O1568" s="5">
        <f>IF(N1568="sim",COUNTIFS($B$3:$B1568,$B1568,$N$3:$N1568,"sim"),"")</f>
        <v/>
      </c>
      <c r="P1568" s="5" t="n"/>
      <c r="Q1568" s="4" t="n"/>
      <c r="R1568" s="5" t="n"/>
      <c r="S1568" s="9" t="n"/>
      <c r="T1568" s="4" t="n"/>
    </row>
    <row r="1569">
      <c r="A1569" s="5">
        <f>ROW()-2</f>
        <v/>
      </c>
      <c r="B1569" s="4" t="inlineStr">
        <is>
          <t>Capital regional</t>
        </is>
      </c>
      <c r="C1569" s="5" t="n">
        <v>625</v>
      </c>
      <c r="D1569" s="5">
        <f>IFERROR(INDEX('Base de sorteio'!$A$3:$A$1723,MATCH($B1569&amp;"|"&amp;$C1569,'Base de sorteio'!$I$3:$I$1723,0)),"")</f>
        <v/>
      </c>
      <c r="E1569" s="4">
        <f>IFERROR(INDEX('Base de sorteio'!$B$3:$B$1723,MATCH($B1569&amp;"|"&amp;$C1569,'Base de sorteio'!$I$3:$I$1723,0)),"")</f>
        <v/>
      </c>
      <c r="F1569" s="4">
        <f>IFERROR(INDEX('Base de sorteio'!$C$3:$C$1723,MATCH($B1569&amp;"|"&amp;$C1569,'Base de sorteio'!$I$3:$I$1723,0)),"")</f>
        <v/>
      </c>
      <c r="G1569" s="4">
        <f>IFERROR(INDEX('Base de sorteio'!$D$3:$D$1723,MATCH($B1569&amp;"|"&amp;$C1569,'Base de sorteio'!$I$3:$I$1723,0)),"")</f>
        <v/>
      </c>
      <c r="H1569" s="4">
        <f>IFERROR(INDEX('Base de sorteio'!$E$3:$E$1723,MATCH($B1569&amp;"|"&amp;$C1569,'Base de sorteio'!$I$3:$I$1723,0)),"")</f>
        <v/>
      </c>
      <c r="I1569" s="4">
        <f>IF(E1569="","",HYPERLINK(IFERROR(INDEX('Base de sorteio'!$J$3:$J$1723,MATCH($B1569&amp;"|"&amp;$C1569,'Base de sorteio'!$I$3:$I$1723,0)),""),"abrir"))</f>
        <v/>
      </c>
      <c r="J1569" s="4" t="n"/>
      <c r="K1569" s="4" t="n"/>
      <c r="L1569" s="4" t="n"/>
      <c r="M1569" s="4" t="n"/>
      <c r="N1569" s="4">
        <f>IF(AND(K1569="",M1569=""),"",IF(OR(K1569="sim",M1569="sim"),"sim",IF(OR(K1569="inconclusivo",M1569="inconclusivo"),"inconclusivo","não")))</f>
        <v/>
      </c>
      <c r="O1569" s="5">
        <f>IF(N1569="sim",COUNTIFS($B$3:$B1569,$B1569,$N$3:$N1569,"sim"),"")</f>
        <v/>
      </c>
      <c r="P1569" s="5" t="n"/>
      <c r="Q1569" s="4" t="n"/>
      <c r="R1569" s="5" t="n"/>
      <c r="S1569" s="9" t="n"/>
      <c r="T1569" s="4" t="n"/>
    </row>
    <row r="1570">
      <c r="A1570" s="5">
        <f>ROW()-2</f>
        <v/>
      </c>
      <c r="B1570" s="4" t="inlineStr">
        <is>
          <t>Capital regional</t>
        </is>
      </c>
      <c r="C1570" s="5" t="n">
        <v>626</v>
      </c>
      <c r="D1570" s="5">
        <f>IFERROR(INDEX('Base de sorteio'!$A$3:$A$1723,MATCH($B1570&amp;"|"&amp;$C1570,'Base de sorteio'!$I$3:$I$1723,0)),"")</f>
        <v/>
      </c>
      <c r="E1570" s="4">
        <f>IFERROR(INDEX('Base de sorteio'!$B$3:$B$1723,MATCH($B1570&amp;"|"&amp;$C1570,'Base de sorteio'!$I$3:$I$1723,0)),"")</f>
        <v/>
      </c>
      <c r="F1570" s="4">
        <f>IFERROR(INDEX('Base de sorteio'!$C$3:$C$1723,MATCH($B1570&amp;"|"&amp;$C1570,'Base de sorteio'!$I$3:$I$1723,0)),"")</f>
        <v/>
      </c>
      <c r="G1570" s="4">
        <f>IFERROR(INDEX('Base de sorteio'!$D$3:$D$1723,MATCH($B1570&amp;"|"&amp;$C1570,'Base de sorteio'!$I$3:$I$1723,0)),"")</f>
        <v/>
      </c>
      <c r="H1570" s="4">
        <f>IFERROR(INDEX('Base de sorteio'!$E$3:$E$1723,MATCH($B1570&amp;"|"&amp;$C1570,'Base de sorteio'!$I$3:$I$1723,0)),"")</f>
        <v/>
      </c>
      <c r="I1570" s="4">
        <f>IF(E1570="","",HYPERLINK(IFERROR(INDEX('Base de sorteio'!$J$3:$J$1723,MATCH($B1570&amp;"|"&amp;$C1570,'Base de sorteio'!$I$3:$I$1723,0)),""),"abrir"))</f>
        <v/>
      </c>
      <c r="J1570" s="4" t="n"/>
      <c r="K1570" s="4" t="n"/>
      <c r="L1570" s="4" t="n"/>
      <c r="M1570" s="4" t="n"/>
      <c r="N1570" s="4">
        <f>IF(AND(K1570="",M1570=""),"",IF(OR(K1570="sim",M1570="sim"),"sim",IF(OR(K1570="inconclusivo",M1570="inconclusivo"),"inconclusivo","não")))</f>
        <v/>
      </c>
      <c r="O1570" s="5">
        <f>IF(N1570="sim",COUNTIFS($B$3:$B1570,$B1570,$N$3:$N1570,"sim"),"")</f>
        <v/>
      </c>
      <c r="P1570" s="5" t="n"/>
      <c r="Q1570" s="4" t="n"/>
      <c r="R1570" s="5" t="n"/>
      <c r="S1570" s="9" t="n"/>
      <c r="T1570" s="4" t="n"/>
    </row>
    <row r="1571">
      <c r="A1571" s="5">
        <f>ROW()-2</f>
        <v/>
      </c>
      <c r="B1571" s="4" t="inlineStr">
        <is>
          <t>Capital regional</t>
        </is>
      </c>
      <c r="C1571" s="5" t="n">
        <v>627</v>
      </c>
      <c r="D1571" s="5">
        <f>IFERROR(INDEX('Base de sorteio'!$A$3:$A$1723,MATCH($B1571&amp;"|"&amp;$C1571,'Base de sorteio'!$I$3:$I$1723,0)),"")</f>
        <v/>
      </c>
      <c r="E1571" s="4">
        <f>IFERROR(INDEX('Base de sorteio'!$B$3:$B$1723,MATCH($B1571&amp;"|"&amp;$C1571,'Base de sorteio'!$I$3:$I$1723,0)),"")</f>
        <v/>
      </c>
      <c r="F1571" s="4">
        <f>IFERROR(INDEX('Base de sorteio'!$C$3:$C$1723,MATCH($B1571&amp;"|"&amp;$C1571,'Base de sorteio'!$I$3:$I$1723,0)),"")</f>
        <v/>
      </c>
      <c r="G1571" s="4">
        <f>IFERROR(INDEX('Base de sorteio'!$D$3:$D$1723,MATCH($B1571&amp;"|"&amp;$C1571,'Base de sorteio'!$I$3:$I$1723,0)),"")</f>
        <v/>
      </c>
      <c r="H1571" s="4">
        <f>IFERROR(INDEX('Base de sorteio'!$E$3:$E$1723,MATCH($B1571&amp;"|"&amp;$C1571,'Base de sorteio'!$I$3:$I$1723,0)),"")</f>
        <v/>
      </c>
      <c r="I1571" s="4">
        <f>IF(E1571="","",HYPERLINK(IFERROR(INDEX('Base de sorteio'!$J$3:$J$1723,MATCH($B1571&amp;"|"&amp;$C1571,'Base de sorteio'!$I$3:$I$1723,0)),""),"abrir"))</f>
        <v/>
      </c>
      <c r="J1571" s="4" t="n"/>
      <c r="K1571" s="4" t="n"/>
      <c r="L1571" s="4" t="n"/>
      <c r="M1571" s="4" t="n"/>
      <c r="N1571" s="4">
        <f>IF(AND(K1571="",M1571=""),"",IF(OR(K1571="sim",M1571="sim"),"sim",IF(OR(K1571="inconclusivo",M1571="inconclusivo"),"inconclusivo","não")))</f>
        <v/>
      </c>
      <c r="O1571" s="5">
        <f>IF(N1571="sim",COUNTIFS($B$3:$B1571,$B1571,$N$3:$N1571,"sim"),"")</f>
        <v/>
      </c>
      <c r="P1571" s="5" t="n"/>
      <c r="Q1571" s="4" t="n"/>
      <c r="R1571" s="5" t="n"/>
      <c r="S1571" s="9" t="n"/>
      <c r="T1571" s="4" t="n"/>
    </row>
    <row r="1572">
      <c r="A1572" s="5">
        <f>ROW()-2</f>
        <v/>
      </c>
      <c r="B1572" s="4" t="inlineStr">
        <is>
          <t>Capital regional</t>
        </is>
      </c>
      <c r="C1572" s="5" t="n">
        <v>628</v>
      </c>
      <c r="D1572" s="5">
        <f>IFERROR(INDEX('Base de sorteio'!$A$3:$A$1723,MATCH($B1572&amp;"|"&amp;$C1572,'Base de sorteio'!$I$3:$I$1723,0)),"")</f>
        <v/>
      </c>
      <c r="E1572" s="4">
        <f>IFERROR(INDEX('Base de sorteio'!$B$3:$B$1723,MATCH($B1572&amp;"|"&amp;$C1572,'Base de sorteio'!$I$3:$I$1723,0)),"")</f>
        <v/>
      </c>
      <c r="F1572" s="4">
        <f>IFERROR(INDEX('Base de sorteio'!$C$3:$C$1723,MATCH($B1572&amp;"|"&amp;$C1572,'Base de sorteio'!$I$3:$I$1723,0)),"")</f>
        <v/>
      </c>
      <c r="G1572" s="4">
        <f>IFERROR(INDEX('Base de sorteio'!$D$3:$D$1723,MATCH($B1572&amp;"|"&amp;$C1572,'Base de sorteio'!$I$3:$I$1723,0)),"")</f>
        <v/>
      </c>
      <c r="H1572" s="4">
        <f>IFERROR(INDEX('Base de sorteio'!$E$3:$E$1723,MATCH($B1572&amp;"|"&amp;$C1572,'Base de sorteio'!$I$3:$I$1723,0)),"")</f>
        <v/>
      </c>
      <c r="I1572" s="4">
        <f>IF(E1572="","",HYPERLINK(IFERROR(INDEX('Base de sorteio'!$J$3:$J$1723,MATCH($B1572&amp;"|"&amp;$C1572,'Base de sorteio'!$I$3:$I$1723,0)),""),"abrir"))</f>
        <v/>
      </c>
      <c r="J1572" s="4" t="n"/>
      <c r="K1572" s="4" t="n"/>
      <c r="L1572" s="4" t="n"/>
      <c r="M1572" s="4" t="n"/>
      <c r="N1572" s="4">
        <f>IF(AND(K1572="",M1572=""),"",IF(OR(K1572="sim",M1572="sim"),"sim",IF(OR(K1572="inconclusivo",M1572="inconclusivo"),"inconclusivo","não")))</f>
        <v/>
      </c>
      <c r="O1572" s="5">
        <f>IF(N1572="sim",COUNTIFS($B$3:$B1572,$B1572,$N$3:$N1572,"sim"),"")</f>
        <v/>
      </c>
      <c r="P1572" s="5" t="n"/>
      <c r="Q1572" s="4" t="n"/>
      <c r="R1572" s="5" t="n"/>
      <c r="S1572" s="9" t="n"/>
      <c r="T1572" s="4" t="n"/>
    </row>
    <row r="1573">
      <c r="A1573" s="5">
        <f>ROW()-2</f>
        <v/>
      </c>
      <c r="B1573" s="4" t="inlineStr">
        <is>
          <t>Capital regional</t>
        </is>
      </c>
      <c r="C1573" s="5" t="n">
        <v>629</v>
      </c>
      <c r="D1573" s="5">
        <f>IFERROR(INDEX('Base de sorteio'!$A$3:$A$1723,MATCH($B1573&amp;"|"&amp;$C1573,'Base de sorteio'!$I$3:$I$1723,0)),"")</f>
        <v/>
      </c>
      <c r="E1573" s="4">
        <f>IFERROR(INDEX('Base de sorteio'!$B$3:$B$1723,MATCH($B1573&amp;"|"&amp;$C1573,'Base de sorteio'!$I$3:$I$1723,0)),"")</f>
        <v/>
      </c>
      <c r="F1573" s="4">
        <f>IFERROR(INDEX('Base de sorteio'!$C$3:$C$1723,MATCH($B1573&amp;"|"&amp;$C1573,'Base de sorteio'!$I$3:$I$1723,0)),"")</f>
        <v/>
      </c>
      <c r="G1573" s="4">
        <f>IFERROR(INDEX('Base de sorteio'!$D$3:$D$1723,MATCH($B1573&amp;"|"&amp;$C1573,'Base de sorteio'!$I$3:$I$1723,0)),"")</f>
        <v/>
      </c>
      <c r="H1573" s="4">
        <f>IFERROR(INDEX('Base de sorteio'!$E$3:$E$1723,MATCH($B1573&amp;"|"&amp;$C1573,'Base de sorteio'!$I$3:$I$1723,0)),"")</f>
        <v/>
      </c>
      <c r="I1573" s="4">
        <f>IF(E1573="","",HYPERLINK(IFERROR(INDEX('Base de sorteio'!$J$3:$J$1723,MATCH($B1573&amp;"|"&amp;$C1573,'Base de sorteio'!$I$3:$I$1723,0)),""),"abrir"))</f>
        <v/>
      </c>
      <c r="J1573" s="4" t="n"/>
      <c r="K1573" s="4" t="n"/>
      <c r="L1573" s="4" t="n"/>
      <c r="M1573" s="4" t="n"/>
      <c r="N1573" s="4">
        <f>IF(AND(K1573="",M1573=""),"",IF(OR(K1573="sim",M1573="sim"),"sim",IF(OR(K1573="inconclusivo",M1573="inconclusivo"),"inconclusivo","não")))</f>
        <v/>
      </c>
      <c r="O1573" s="5">
        <f>IF(N1573="sim",COUNTIFS($B$3:$B1573,$B1573,$N$3:$N1573,"sim"),"")</f>
        <v/>
      </c>
      <c r="P1573" s="5" t="n"/>
      <c r="Q1573" s="4" t="n"/>
      <c r="R1573" s="5" t="n"/>
      <c r="S1573" s="9" t="n"/>
      <c r="T1573" s="4" t="n"/>
    </row>
    <row r="1574">
      <c r="A1574" s="5">
        <f>ROW()-2</f>
        <v/>
      </c>
      <c r="B1574" s="4" t="inlineStr">
        <is>
          <t>Capital regional</t>
        </is>
      </c>
      <c r="C1574" s="5" t="n">
        <v>630</v>
      </c>
      <c r="D1574" s="5">
        <f>IFERROR(INDEX('Base de sorteio'!$A$3:$A$1723,MATCH($B1574&amp;"|"&amp;$C1574,'Base de sorteio'!$I$3:$I$1723,0)),"")</f>
        <v/>
      </c>
      <c r="E1574" s="4">
        <f>IFERROR(INDEX('Base de sorteio'!$B$3:$B$1723,MATCH($B1574&amp;"|"&amp;$C1574,'Base de sorteio'!$I$3:$I$1723,0)),"")</f>
        <v/>
      </c>
      <c r="F1574" s="4">
        <f>IFERROR(INDEX('Base de sorteio'!$C$3:$C$1723,MATCH($B1574&amp;"|"&amp;$C1574,'Base de sorteio'!$I$3:$I$1723,0)),"")</f>
        <v/>
      </c>
      <c r="G1574" s="4">
        <f>IFERROR(INDEX('Base de sorteio'!$D$3:$D$1723,MATCH($B1574&amp;"|"&amp;$C1574,'Base de sorteio'!$I$3:$I$1723,0)),"")</f>
        <v/>
      </c>
      <c r="H1574" s="4">
        <f>IFERROR(INDEX('Base de sorteio'!$E$3:$E$1723,MATCH($B1574&amp;"|"&amp;$C1574,'Base de sorteio'!$I$3:$I$1723,0)),"")</f>
        <v/>
      </c>
      <c r="I1574" s="4">
        <f>IF(E1574="","",HYPERLINK(IFERROR(INDEX('Base de sorteio'!$J$3:$J$1723,MATCH($B1574&amp;"|"&amp;$C1574,'Base de sorteio'!$I$3:$I$1723,0)),""),"abrir"))</f>
        <v/>
      </c>
      <c r="J1574" s="4" t="n"/>
      <c r="K1574" s="4" t="n"/>
      <c r="L1574" s="4" t="n"/>
      <c r="M1574" s="4" t="n"/>
      <c r="N1574" s="4">
        <f>IF(AND(K1574="",M1574=""),"",IF(OR(K1574="sim",M1574="sim"),"sim",IF(OR(K1574="inconclusivo",M1574="inconclusivo"),"inconclusivo","não")))</f>
        <v/>
      </c>
      <c r="O1574" s="5">
        <f>IF(N1574="sim",COUNTIFS($B$3:$B1574,$B1574,$N$3:$N1574,"sim"),"")</f>
        <v/>
      </c>
      <c r="P1574" s="5" t="n"/>
      <c r="Q1574" s="4" t="n"/>
      <c r="R1574" s="5" t="n"/>
      <c r="S1574" s="9" t="n"/>
      <c r="T1574" s="4" t="n"/>
    </row>
    <row r="1575">
      <c r="A1575" s="5">
        <f>ROW()-2</f>
        <v/>
      </c>
      <c r="B1575" s="4" t="inlineStr">
        <is>
          <t>Capital regional</t>
        </is>
      </c>
      <c r="C1575" s="5" t="n">
        <v>631</v>
      </c>
      <c r="D1575" s="5">
        <f>IFERROR(INDEX('Base de sorteio'!$A$3:$A$1723,MATCH($B1575&amp;"|"&amp;$C1575,'Base de sorteio'!$I$3:$I$1723,0)),"")</f>
        <v/>
      </c>
      <c r="E1575" s="4">
        <f>IFERROR(INDEX('Base de sorteio'!$B$3:$B$1723,MATCH($B1575&amp;"|"&amp;$C1575,'Base de sorteio'!$I$3:$I$1723,0)),"")</f>
        <v/>
      </c>
      <c r="F1575" s="4">
        <f>IFERROR(INDEX('Base de sorteio'!$C$3:$C$1723,MATCH($B1575&amp;"|"&amp;$C1575,'Base de sorteio'!$I$3:$I$1723,0)),"")</f>
        <v/>
      </c>
      <c r="G1575" s="4">
        <f>IFERROR(INDEX('Base de sorteio'!$D$3:$D$1723,MATCH($B1575&amp;"|"&amp;$C1575,'Base de sorteio'!$I$3:$I$1723,0)),"")</f>
        <v/>
      </c>
      <c r="H1575" s="4">
        <f>IFERROR(INDEX('Base de sorteio'!$E$3:$E$1723,MATCH($B1575&amp;"|"&amp;$C1575,'Base de sorteio'!$I$3:$I$1723,0)),"")</f>
        <v/>
      </c>
      <c r="I1575" s="4">
        <f>IF(E1575="","",HYPERLINK(IFERROR(INDEX('Base de sorteio'!$J$3:$J$1723,MATCH($B1575&amp;"|"&amp;$C1575,'Base de sorteio'!$I$3:$I$1723,0)),""),"abrir"))</f>
        <v/>
      </c>
      <c r="J1575" s="4" t="n"/>
      <c r="K1575" s="4" t="n"/>
      <c r="L1575" s="4" t="n"/>
      <c r="M1575" s="4" t="n"/>
      <c r="N1575" s="4">
        <f>IF(AND(K1575="",M1575=""),"",IF(OR(K1575="sim",M1575="sim"),"sim",IF(OR(K1575="inconclusivo",M1575="inconclusivo"),"inconclusivo","não")))</f>
        <v/>
      </c>
      <c r="O1575" s="5">
        <f>IF(N1575="sim",COUNTIFS($B$3:$B1575,$B1575,$N$3:$N1575,"sim"),"")</f>
        <v/>
      </c>
      <c r="P1575" s="5" t="n"/>
      <c r="Q1575" s="4" t="n"/>
      <c r="R1575" s="5" t="n"/>
      <c r="S1575" s="9" t="n"/>
      <c r="T1575" s="4" t="n"/>
    </row>
    <row r="1576">
      <c r="A1576" s="5">
        <f>ROW()-2</f>
        <v/>
      </c>
      <c r="B1576" s="4" t="inlineStr">
        <is>
          <t>Capital regional</t>
        </is>
      </c>
      <c r="C1576" s="5" t="n">
        <v>632</v>
      </c>
      <c r="D1576" s="5">
        <f>IFERROR(INDEX('Base de sorteio'!$A$3:$A$1723,MATCH($B1576&amp;"|"&amp;$C1576,'Base de sorteio'!$I$3:$I$1723,0)),"")</f>
        <v/>
      </c>
      <c r="E1576" s="4">
        <f>IFERROR(INDEX('Base de sorteio'!$B$3:$B$1723,MATCH($B1576&amp;"|"&amp;$C1576,'Base de sorteio'!$I$3:$I$1723,0)),"")</f>
        <v/>
      </c>
      <c r="F1576" s="4">
        <f>IFERROR(INDEX('Base de sorteio'!$C$3:$C$1723,MATCH($B1576&amp;"|"&amp;$C1576,'Base de sorteio'!$I$3:$I$1723,0)),"")</f>
        <v/>
      </c>
      <c r="G1576" s="4">
        <f>IFERROR(INDEX('Base de sorteio'!$D$3:$D$1723,MATCH($B1576&amp;"|"&amp;$C1576,'Base de sorteio'!$I$3:$I$1723,0)),"")</f>
        <v/>
      </c>
      <c r="H1576" s="4">
        <f>IFERROR(INDEX('Base de sorteio'!$E$3:$E$1723,MATCH($B1576&amp;"|"&amp;$C1576,'Base de sorteio'!$I$3:$I$1723,0)),"")</f>
        <v/>
      </c>
      <c r="I1576" s="4">
        <f>IF(E1576="","",HYPERLINK(IFERROR(INDEX('Base de sorteio'!$J$3:$J$1723,MATCH($B1576&amp;"|"&amp;$C1576,'Base de sorteio'!$I$3:$I$1723,0)),""),"abrir"))</f>
        <v/>
      </c>
      <c r="J1576" s="4" t="n"/>
      <c r="K1576" s="4" t="n"/>
      <c r="L1576" s="4" t="n"/>
      <c r="M1576" s="4" t="n"/>
      <c r="N1576" s="4">
        <f>IF(AND(K1576="",M1576=""),"",IF(OR(K1576="sim",M1576="sim"),"sim",IF(OR(K1576="inconclusivo",M1576="inconclusivo"),"inconclusivo","não")))</f>
        <v/>
      </c>
      <c r="O1576" s="5">
        <f>IF(N1576="sim",COUNTIFS($B$3:$B1576,$B1576,$N$3:$N1576,"sim"),"")</f>
        <v/>
      </c>
      <c r="P1576" s="5" t="n"/>
      <c r="Q1576" s="4" t="n"/>
      <c r="R1576" s="5" t="n"/>
      <c r="S1576" s="9" t="n"/>
      <c r="T1576" s="4" t="n"/>
    </row>
    <row r="1577">
      <c r="A1577" s="5">
        <f>ROW()-2</f>
        <v/>
      </c>
      <c r="B1577" s="4" t="inlineStr">
        <is>
          <t>Capital regional</t>
        </is>
      </c>
      <c r="C1577" s="5" t="n">
        <v>633</v>
      </c>
      <c r="D1577" s="5">
        <f>IFERROR(INDEX('Base de sorteio'!$A$3:$A$1723,MATCH($B1577&amp;"|"&amp;$C1577,'Base de sorteio'!$I$3:$I$1723,0)),"")</f>
        <v/>
      </c>
      <c r="E1577" s="4">
        <f>IFERROR(INDEX('Base de sorteio'!$B$3:$B$1723,MATCH($B1577&amp;"|"&amp;$C1577,'Base de sorteio'!$I$3:$I$1723,0)),"")</f>
        <v/>
      </c>
      <c r="F1577" s="4">
        <f>IFERROR(INDEX('Base de sorteio'!$C$3:$C$1723,MATCH($B1577&amp;"|"&amp;$C1577,'Base de sorteio'!$I$3:$I$1723,0)),"")</f>
        <v/>
      </c>
      <c r="G1577" s="4">
        <f>IFERROR(INDEX('Base de sorteio'!$D$3:$D$1723,MATCH($B1577&amp;"|"&amp;$C1577,'Base de sorteio'!$I$3:$I$1723,0)),"")</f>
        <v/>
      </c>
      <c r="H1577" s="4">
        <f>IFERROR(INDEX('Base de sorteio'!$E$3:$E$1723,MATCH($B1577&amp;"|"&amp;$C1577,'Base de sorteio'!$I$3:$I$1723,0)),"")</f>
        <v/>
      </c>
      <c r="I1577" s="4">
        <f>IF(E1577="","",HYPERLINK(IFERROR(INDEX('Base de sorteio'!$J$3:$J$1723,MATCH($B1577&amp;"|"&amp;$C1577,'Base de sorteio'!$I$3:$I$1723,0)),""),"abrir"))</f>
        <v/>
      </c>
      <c r="J1577" s="4" t="n"/>
      <c r="K1577" s="4" t="n"/>
      <c r="L1577" s="4" t="n"/>
      <c r="M1577" s="4" t="n"/>
      <c r="N1577" s="4">
        <f>IF(AND(K1577="",M1577=""),"",IF(OR(K1577="sim",M1577="sim"),"sim",IF(OR(K1577="inconclusivo",M1577="inconclusivo"),"inconclusivo","não")))</f>
        <v/>
      </c>
      <c r="O1577" s="5">
        <f>IF(N1577="sim",COUNTIFS($B$3:$B1577,$B1577,$N$3:$N1577,"sim"),"")</f>
        <v/>
      </c>
      <c r="P1577" s="5" t="n"/>
      <c r="Q1577" s="4" t="n"/>
      <c r="R1577" s="5" t="n"/>
      <c r="S1577" s="9" t="n"/>
      <c r="T1577" s="4" t="n"/>
    </row>
    <row r="1578">
      <c r="A1578" s="5">
        <f>ROW()-2</f>
        <v/>
      </c>
      <c r="B1578" s="4" t="inlineStr">
        <is>
          <t>Capital regional</t>
        </is>
      </c>
      <c r="C1578" s="5" t="n">
        <v>634</v>
      </c>
      <c r="D1578" s="5">
        <f>IFERROR(INDEX('Base de sorteio'!$A$3:$A$1723,MATCH($B1578&amp;"|"&amp;$C1578,'Base de sorteio'!$I$3:$I$1723,0)),"")</f>
        <v/>
      </c>
      <c r="E1578" s="4">
        <f>IFERROR(INDEX('Base de sorteio'!$B$3:$B$1723,MATCH($B1578&amp;"|"&amp;$C1578,'Base de sorteio'!$I$3:$I$1723,0)),"")</f>
        <v/>
      </c>
      <c r="F1578" s="4">
        <f>IFERROR(INDEX('Base de sorteio'!$C$3:$C$1723,MATCH($B1578&amp;"|"&amp;$C1578,'Base de sorteio'!$I$3:$I$1723,0)),"")</f>
        <v/>
      </c>
      <c r="G1578" s="4">
        <f>IFERROR(INDEX('Base de sorteio'!$D$3:$D$1723,MATCH($B1578&amp;"|"&amp;$C1578,'Base de sorteio'!$I$3:$I$1723,0)),"")</f>
        <v/>
      </c>
      <c r="H1578" s="4">
        <f>IFERROR(INDEX('Base de sorteio'!$E$3:$E$1723,MATCH($B1578&amp;"|"&amp;$C1578,'Base de sorteio'!$I$3:$I$1723,0)),"")</f>
        <v/>
      </c>
      <c r="I1578" s="4">
        <f>IF(E1578="","",HYPERLINK(IFERROR(INDEX('Base de sorteio'!$J$3:$J$1723,MATCH($B1578&amp;"|"&amp;$C1578,'Base de sorteio'!$I$3:$I$1723,0)),""),"abrir"))</f>
        <v/>
      </c>
      <c r="J1578" s="4" t="n"/>
      <c r="K1578" s="4" t="n"/>
      <c r="L1578" s="4" t="n"/>
      <c r="M1578" s="4" t="n"/>
      <c r="N1578" s="4">
        <f>IF(AND(K1578="",M1578=""),"",IF(OR(K1578="sim",M1578="sim"),"sim",IF(OR(K1578="inconclusivo",M1578="inconclusivo"),"inconclusivo","não")))</f>
        <v/>
      </c>
      <c r="O1578" s="5">
        <f>IF(N1578="sim",COUNTIFS($B$3:$B1578,$B1578,$N$3:$N1578,"sim"),"")</f>
        <v/>
      </c>
      <c r="P1578" s="5" t="n"/>
      <c r="Q1578" s="4" t="n"/>
      <c r="R1578" s="5" t="n"/>
      <c r="S1578" s="9" t="n"/>
      <c r="T1578" s="4" t="n"/>
    </row>
    <row r="1579">
      <c r="A1579" s="5">
        <f>ROW()-2</f>
        <v/>
      </c>
      <c r="B1579" s="4" t="inlineStr">
        <is>
          <t>Capital regional</t>
        </is>
      </c>
      <c r="C1579" s="5" t="n">
        <v>635</v>
      </c>
      <c r="D1579" s="5">
        <f>IFERROR(INDEX('Base de sorteio'!$A$3:$A$1723,MATCH($B1579&amp;"|"&amp;$C1579,'Base de sorteio'!$I$3:$I$1723,0)),"")</f>
        <v/>
      </c>
      <c r="E1579" s="4">
        <f>IFERROR(INDEX('Base de sorteio'!$B$3:$B$1723,MATCH($B1579&amp;"|"&amp;$C1579,'Base de sorteio'!$I$3:$I$1723,0)),"")</f>
        <v/>
      </c>
      <c r="F1579" s="4">
        <f>IFERROR(INDEX('Base de sorteio'!$C$3:$C$1723,MATCH($B1579&amp;"|"&amp;$C1579,'Base de sorteio'!$I$3:$I$1723,0)),"")</f>
        <v/>
      </c>
      <c r="G1579" s="4">
        <f>IFERROR(INDEX('Base de sorteio'!$D$3:$D$1723,MATCH($B1579&amp;"|"&amp;$C1579,'Base de sorteio'!$I$3:$I$1723,0)),"")</f>
        <v/>
      </c>
      <c r="H1579" s="4">
        <f>IFERROR(INDEX('Base de sorteio'!$E$3:$E$1723,MATCH($B1579&amp;"|"&amp;$C1579,'Base de sorteio'!$I$3:$I$1723,0)),"")</f>
        <v/>
      </c>
      <c r="I1579" s="4">
        <f>IF(E1579="","",HYPERLINK(IFERROR(INDEX('Base de sorteio'!$J$3:$J$1723,MATCH($B1579&amp;"|"&amp;$C1579,'Base de sorteio'!$I$3:$I$1723,0)),""),"abrir"))</f>
        <v/>
      </c>
      <c r="J1579" s="4" t="n"/>
      <c r="K1579" s="4" t="n"/>
      <c r="L1579" s="4" t="n"/>
      <c r="M1579" s="4" t="n"/>
      <c r="N1579" s="4">
        <f>IF(AND(K1579="",M1579=""),"",IF(OR(K1579="sim",M1579="sim"),"sim",IF(OR(K1579="inconclusivo",M1579="inconclusivo"),"inconclusivo","não")))</f>
        <v/>
      </c>
      <c r="O1579" s="5">
        <f>IF(N1579="sim",COUNTIFS($B$3:$B1579,$B1579,$N$3:$N1579,"sim"),"")</f>
        <v/>
      </c>
      <c r="P1579" s="5" t="n"/>
      <c r="Q1579" s="4" t="n"/>
      <c r="R1579" s="5" t="n"/>
      <c r="S1579" s="9" t="n"/>
      <c r="T1579" s="4" t="n"/>
    </row>
    <row r="1580">
      <c r="A1580" s="5">
        <f>ROW()-2</f>
        <v/>
      </c>
      <c r="B1580" s="4" t="inlineStr">
        <is>
          <t>Capital regional</t>
        </is>
      </c>
      <c r="C1580" s="5" t="n">
        <v>636</v>
      </c>
      <c r="D1580" s="5">
        <f>IFERROR(INDEX('Base de sorteio'!$A$3:$A$1723,MATCH($B1580&amp;"|"&amp;$C1580,'Base de sorteio'!$I$3:$I$1723,0)),"")</f>
        <v/>
      </c>
      <c r="E1580" s="4">
        <f>IFERROR(INDEX('Base de sorteio'!$B$3:$B$1723,MATCH($B1580&amp;"|"&amp;$C1580,'Base de sorteio'!$I$3:$I$1723,0)),"")</f>
        <v/>
      </c>
      <c r="F1580" s="4">
        <f>IFERROR(INDEX('Base de sorteio'!$C$3:$C$1723,MATCH($B1580&amp;"|"&amp;$C1580,'Base de sorteio'!$I$3:$I$1723,0)),"")</f>
        <v/>
      </c>
      <c r="G1580" s="4">
        <f>IFERROR(INDEX('Base de sorteio'!$D$3:$D$1723,MATCH($B1580&amp;"|"&amp;$C1580,'Base de sorteio'!$I$3:$I$1723,0)),"")</f>
        <v/>
      </c>
      <c r="H1580" s="4">
        <f>IFERROR(INDEX('Base de sorteio'!$E$3:$E$1723,MATCH($B1580&amp;"|"&amp;$C1580,'Base de sorteio'!$I$3:$I$1723,0)),"")</f>
        <v/>
      </c>
      <c r="I1580" s="4">
        <f>IF(E1580="","",HYPERLINK(IFERROR(INDEX('Base de sorteio'!$J$3:$J$1723,MATCH($B1580&amp;"|"&amp;$C1580,'Base de sorteio'!$I$3:$I$1723,0)),""),"abrir"))</f>
        <v/>
      </c>
      <c r="J1580" s="4" t="n"/>
      <c r="K1580" s="4" t="n"/>
      <c r="L1580" s="4" t="n"/>
      <c r="M1580" s="4" t="n"/>
      <c r="N1580" s="4">
        <f>IF(AND(K1580="",M1580=""),"",IF(OR(K1580="sim",M1580="sim"),"sim",IF(OR(K1580="inconclusivo",M1580="inconclusivo"),"inconclusivo","não")))</f>
        <v/>
      </c>
      <c r="O1580" s="5">
        <f>IF(N1580="sim",COUNTIFS($B$3:$B1580,$B1580,$N$3:$N1580,"sim"),"")</f>
        <v/>
      </c>
      <c r="P1580" s="5" t="n"/>
      <c r="Q1580" s="4" t="n"/>
      <c r="R1580" s="5" t="n"/>
      <c r="S1580" s="9" t="n"/>
      <c r="T1580" s="4" t="n"/>
    </row>
    <row r="1581">
      <c r="A1581" s="5">
        <f>ROW()-2</f>
        <v/>
      </c>
      <c r="B1581" s="4" t="inlineStr">
        <is>
          <t>Capital regional</t>
        </is>
      </c>
      <c r="C1581" s="5" t="n">
        <v>637</v>
      </c>
      <c r="D1581" s="5">
        <f>IFERROR(INDEX('Base de sorteio'!$A$3:$A$1723,MATCH($B1581&amp;"|"&amp;$C1581,'Base de sorteio'!$I$3:$I$1723,0)),"")</f>
        <v/>
      </c>
      <c r="E1581" s="4">
        <f>IFERROR(INDEX('Base de sorteio'!$B$3:$B$1723,MATCH($B1581&amp;"|"&amp;$C1581,'Base de sorteio'!$I$3:$I$1723,0)),"")</f>
        <v/>
      </c>
      <c r="F1581" s="4">
        <f>IFERROR(INDEX('Base de sorteio'!$C$3:$C$1723,MATCH($B1581&amp;"|"&amp;$C1581,'Base de sorteio'!$I$3:$I$1723,0)),"")</f>
        <v/>
      </c>
      <c r="G1581" s="4">
        <f>IFERROR(INDEX('Base de sorteio'!$D$3:$D$1723,MATCH($B1581&amp;"|"&amp;$C1581,'Base de sorteio'!$I$3:$I$1723,0)),"")</f>
        <v/>
      </c>
      <c r="H1581" s="4">
        <f>IFERROR(INDEX('Base de sorteio'!$E$3:$E$1723,MATCH($B1581&amp;"|"&amp;$C1581,'Base de sorteio'!$I$3:$I$1723,0)),"")</f>
        <v/>
      </c>
      <c r="I1581" s="4">
        <f>IF(E1581="","",HYPERLINK(IFERROR(INDEX('Base de sorteio'!$J$3:$J$1723,MATCH($B1581&amp;"|"&amp;$C1581,'Base de sorteio'!$I$3:$I$1723,0)),""),"abrir"))</f>
        <v/>
      </c>
      <c r="J1581" s="4" t="n"/>
      <c r="K1581" s="4" t="n"/>
      <c r="L1581" s="4" t="n"/>
      <c r="M1581" s="4" t="n"/>
      <c r="N1581" s="4">
        <f>IF(AND(K1581="",M1581=""),"",IF(OR(K1581="sim",M1581="sim"),"sim",IF(OR(K1581="inconclusivo",M1581="inconclusivo"),"inconclusivo","não")))</f>
        <v/>
      </c>
      <c r="O1581" s="5">
        <f>IF(N1581="sim",COUNTIFS($B$3:$B1581,$B1581,$N$3:$N1581,"sim"),"")</f>
        <v/>
      </c>
      <c r="P1581" s="5" t="n"/>
      <c r="Q1581" s="4" t="n"/>
      <c r="R1581" s="5" t="n"/>
      <c r="S1581" s="9" t="n"/>
      <c r="T1581" s="4" t="n"/>
    </row>
    <row r="1582">
      <c r="A1582" s="5">
        <f>ROW()-2</f>
        <v/>
      </c>
      <c r="B1582" s="4" t="inlineStr">
        <is>
          <t>Capital regional</t>
        </is>
      </c>
      <c r="C1582" s="5" t="n">
        <v>638</v>
      </c>
      <c r="D1582" s="5">
        <f>IFERROR(INDEX('Base de sorteio'!$A$3:$A$1723,MATCH($B1582&amp;"|"&amp;$C1582,'Base de sorteio'!$I$3:$I$1723,0)),"")</f>
        <v/>
      </c>
      <c r="E1582" s="4">
        <f>IFERROR(INDEX('Base de sorteio'!$B$3:$B$1723,MATCH($B1582&amp;"|"&amp;$C1582,'Base de sorteio'!$I$3:$I$1723,0)),"")</f>
        <v/>
      </c>
      <c r="F1582" s="4">
        <f>IFERROR(INDEX('Base de sorteio'!$C$3:$C$1723,MATCH($B1582&amp;"|"&amp;$C1582,'Base de sorteio'!$I$3:$I$1723,0)),"")</f>
        <v/>
      </c>
      <c r="G1582" s="4">
        <f>IFERROR(INDEX('Base de sorteio'!$D$3:$D$1723,MATCH($B1582&amp;"|"&amp;$C1582,'Base de sorteio'!$I$3:$I$1723,0)),"")</f>
        <v/>
      </c>
      <c r="H1582" s="4">
        <f>IFERROR(INDEX('Base de sorteio'!$E$3:$E$1723,MATCH($B1582&amp;"|"&amp;$C1582,'Base de sorteio'!$I$3:$I$1723,0)),"")</f>
        <v/>
      </c>
      <c r="I1582" s="4">
        <f>IF(E1582="","",HYPERLINK(IFERROR(INDEX('Base de sorteio'!$J$3:$J$1723,MATCH($B1582&amp;"|"&amp;$C1582,'Base de sorteio'!$I$3:$I$1723,0)),""),"abrir"))</f>
        <v/>
      </c>
      <c r="J1582" s="4" t="n"/>
      <c r="K1582" s="4" t="n"/>
      <c r="L1582" s="4" t="n"/>
      <c r="M1582" s="4" t="n"/>
      <c r="N1582" s="4">
        <f>IF(AND(K1582="",M1582=""),"",IF(OR(K1582="sim",M1582="sim"),"sim",IF(OR(K1582="inconclusivo",M1582="inconclusivo"),"inconclusivo","não")))</f>
        <v/>
      </c>
      <c r="O1582" s="5">
        <f>IF(N1582="sim",COUNTIFS($B$3:$B1582,$B1582,$N$3:$N1582,"sim"),"")</f>
        <v/>
      </c>
      <c r="P1582" s="5" t="n"/>
      <c r="Q1582" s="4" t="n"/>
      <c r="R1582" s="5" t="n"/>
      <c r="S1582" s="9" t="n"/>
      <c r="T1582" s="4" t="n"/>
    </row>
    <row r="1583">
      <c r="A1583" s="5">
        <f>ROW()-2</f>
        <v/>
      </c>
      <c r="B1583" s="4" t="inlineStr">
        <is>
          <t>Capital regional</t>
        </is>
      </c>
      <c r="C1583" s="5" t="n">
        <v>639</v>
      </c>
      <c r="D1583" s="5">
        <f>IFERROR(INDEX('Base de sorteio'!$A$3:$A$1723,MATCH($B1583&amp;"|"&amp;$C1583,'Base de sorteio'!$I$3:$I$1723,0)),"")</f>
        <v/>
      </c>
      <c r="E1583" s="4">
        <f>IFERROR(INDEX('Base de sorteio'!$B$3:$B$1723,MATCH($B1583&amp;"|"&amp;$C1583,'Base de sorteio'!$I$3:$I$1723,0)),"")</f>
        <v/>
      </c>
      <c r="F1583" s="4">
        <f>IFERROR(INDEX('Base de sorteio'!$C$3:$C$1723,MATCH($B1583&amp;"|"&amp;$C1583,'Base de sorteio'!$I$3:$I$1723,0)),"")</f>
        <v/>
      </c>
      <c r="G1583" s="4">
        <f>IFERROR(INDEX('Base de sorteio'!$D$3:$D$1723,MATCH($B1583&amp;"|"&amp;$C1583,'Base de sorteio'!$I$3:$I$1723,0)),"")</f>
        <v/>
      </c>
      <c r="H1583" s="4">
        <f>IFERROR(INDEX('Base de sorteio'!$E$3:$E$1723,MATCH($B1583&amp;"|"&amp;$C1583,'Base de sorteio'!$I$3:$I$1723,0)),"")</f>
        <v/>
      </c>
      <c r="I1583" s="4">
        <f>IF(E1583="","",HYPERLINK(IFERROR(INDEX('Base de sorteio'!$J$3:$J$1723,MATCH($B1583&amp;"|"&amp;$C1583,'Base de sorteio'!$I$3:$I$1723,0)),""),"abrir"))</f>
        <v/>
      </c>
      <c r="J1583" s="4" t="n"/>
      <c r="K1583" s="4" t="n"/>
      <c r="L1583" s="4" t="n"/>
      <c r="M1583" s="4" t="n"/>
      <c r="N1583" s="4">
        <f>IF(AND(K1583="",M1583=""),"",IF(OR(K1583="sim",M1583="sim"),"sim",IF(OR(K1583="inconclusivo",M1583="inconclusivo"),"inconclusivo","não")))</f>
        <v/>
      </c>
      <c r="O1583" s="5">
        <f>IF(N1583="sim",COUNTIFS($B$3:$B1583,$B1583,$N$3:$N1583,"sim"),"")</f>
        <v/>
      </c>
      <c r="P1583" s="5" t="n"/>
      <c r="Q1583" s="4" t="n"/>
      <c r="R1583" s="5" t="n"/>
      <c r="S1583" s="9" t="n"/>
      <c r="T1583" s="4" t="n"/>
    </row>
    <row r="1584">
      <c r="A1584" s="5">
        <f>ROW()-2</f>
        <v/>
      </c>
      <c r="B1584" s="4" t="inlineStr">
        <is>
          <t>Capital regional</t>
        </is>
      </c>
      <c r="C1584" s="5" t="n">
        <v>640</v>
      </c>
      <c r="D1584" s="5">
        <f>IFERROR(INDEX('Base de sorteio'!$A$3:$A$1723,MATCH($B1584&amp;"|"&amp;$C1584,'Base de sorteio'!$I$3:$I$1723,0)),"")</f>
        <v/>
      </c>
      <c r="E1584" s="4">
        <f>IFERROR(INDEX('Base de sorteio'!$B$3:$B$1723,MATCH($B1584&amp;"|"&amp;$C1584,'Base de sorteio'!$I$3:$I$1723,0)),"")</f>
        <v/>
      </c>
      <c r="F1584" s="4">
        <f>IFERROR(INDEX('Base de sorteio'!$C$3:$C$1723,MATCH($B1584&amp;"|"&amp;$C1584,'Base de sorteio'!$I$3:$I$1723,0)),"")</f>
        <v/>
      </c>
      <c r="G1584" s="4">
        <f>IFERROR(INDEX('Base de sorteio'!$D$3:$D$1723,MATCH($B1584&amp;"|"&amp;$C1584,'Base de sorteio'!$I$3:$I$1723,0)),"")</f>
        <v/>
      </c>
      <c r="H1584" s="4">
        <f>IFERROR(INDEX('Base de sorteio'!$E$3:$E$1723,MATCH($B1584&amp;"|"&amp;$C1584,'Base de sorteio'!$I$3:$I$1723,0)),"")</f>
        <v/>
      </c>
      <c r="I1584" s="4">
        <f>IF(E1584="","",HYPERLINK(IFERROR(INDEX('Base de sorteio'!$J$3:$J$1723,MATCH($B1584&amp;"|"&amp;$C1584,'Base de sorteio'!$I$3:$I$1723,0)),""),"abrir"))</f>
        <v/>
      </c>
      <c r="J1584" s="4" t="n"/>
      <c r="K1584" s="4" t="n"/>
      <c r="L1584" s="4" t="n"/>
      <c r="M1584" s="4" t="n"/>
      <c r="N1584" s="4">
        <f>IF(AND(K1584="",M1584=""),"",IF(OR(K1584="sim",M1584="sim"),"sim",IF(OR(K1584="inconclusivo",M1584="inconclusivo"),"inconclusivo","não")))</f>
        <v/>
      </c>
      <c r="O1584" s="5">
        <f>IF(N1584="sim",COUNTIFS($B$3:$B1584,$B1584,$N$3:$N1584,"sim"),"")</f>
        <v/>
      </c>
      <c r="P1584" s="5" t="n"/>
      <c r="Q1584" s="4" t="n"/>
      <c r="R1584" s="5" t="n"/>
      <c r="S1584" s="9" t="n"/>
      <c r="T1584" s="4" t="n"/>
    </row>
    <row r="1585">
      <c r="A1585" s="5">
        <f>ROW()-2</f>
        <v/>
      </c>
      <c r="B1585" s="4" t="inlineStr">
        <is>
          <t>Capital regional</t>
        </is>
      </c>
      <c r="C1585" s="5" t="n">
        <v>641</v>
      </c>
      <c r="D1585" s="5">
        <f>IFERROR(INDEX('Base de sorteio'!$A$3:$A$1723,MATCH($B1585&amp;"|"&amp;$C1585,'Base de sorteio'!$I$3:$I$1723,0)),"")</f>
        <v/>
      </c>
      <c r="E1585" s="4">
        <f>IFERROR(INDEX('Base de sorteio'!$B$3:$B$1723,MATCH($B1585&amp;"|"&amp;$C1585,'Base de sorteio'!$I$3:$I$1723,0)),"")</f>
        <v/>
      </c>
      <c r="F1585" s="4">
        <f>IFERROR(INDEX('Base de sorteio'!$C$3:$C$1723,MATCH($B1585&amp;"|"&amp;$C1585,'Base de sorteio'!$I$3:$I$1723,0)),"")</f>
        <v/>
      </c>
      <c r="G1585" s="4">
        <f>IFERROR(INDEX('Base de sorteio'!$D$3:$D$1723,MATCH($B1585&amp;"|"&amp;$C1585,'Base de sorteio'!$I$3:$I$1723,0)),"")</f>
        <v/>
      </c>
      <c r="H1585" s="4">
        <f>IFERROR(INDEX('Base de sorteio'!$E$3:$E$1723,MATCH($B1585&amp;"|"&amp;$C1585,'Base de sorteio'!$I$3:$I$1723,0)),"")</f>
        <v/>
      </c>
      <c r="I1585" s="4">
        <f>IF(E1585="","",HYPERLINK(IFERROR(INDEX('Base de sorteio'!$J$3:$J$1723,MATCH($B1585&amp;"|"&amp;$C1585,'Base de sorteio'!$I$3:$I$1723,0)),""),"abrir"))</f>
        <v/>
      </c>
      <c r="J1585" s="4" t="n"/>
      <c r="K1585" s="4" t="n"/>
      <c r="L1585" s="4" t="n"/>
      <c r="M1585" s="4" t="n"/>
      <c r="N1585" s="4">
        <f>IF(AND(K1585="",M1585=""),"",IF(OR(K1585="sim",M1585="sim"),"sim",IF(OR(K1585="inconclusivo",M1585="inconclusivo"),"inconclusivo","não")))</f>
        <v/>
      </c>
      <c r="O1585" s="5">
        <f>IF(N1585="sim",COUNTIFS($B$3:$B1585,$B1585,$N$3:$N1585,"sim"),"")</f>
        <v/>
      </c>
      <c r="P1585" s="5" t="n"/>
      <c r="Q1585" s="4" t="n"/>
      <c r="R1585" s="5" t="n"/>
      <c r="S1585" s="9" t="n"/>
      <c r="T1585" s="4" t="n"/>
    </row>
    <row r="1586">
      <c r="A1586" s="5">
        <f>ROW()-2</f>
        <v/>
      </c>
      <c r="B1586" s="4" t="inlineStr">
        <is>
          <t>Capital regional</t>
        </is>
      </c>
      <c r="C1586" s="5" t="n">
        <v>642</v>
      </c>
      <c r="D1586" s="5">
        <f>IFERROR(INDEX('Base de sorteio'!$A$3:$A$1723,MATCH($B1586&amp;"|"&amp;$C1586,'Base de sorteio'!$I$3:$I$1723,0)),"")</f>
        <v/>
      </c>
      <c r="E1586" s="4">
        <f>IFERROR(INDEX('Base de sorteio'!$B$3:$B$1723,MATCH($B1586&amp;"|"&amp;$C1586,'Base de sorteio'!$I$3:$I$1723,0)),"")</f>
        <v/>
      </c>
      <c r="F1586" s="4">
        <f>IFERROR(INDEX('Base de sorteio'!$C$3:$C$1723,MATCH($B1586&amp;"|"&amp;$C1586,'Base de sorteio'!$I$3:$I$1723,0)),"")</f>
        <v/>
      </c>
      <c r="G1586" s="4">
        <f>IFERROR(INDEX('Base de sorteio'!$D$3:$D$1723,MATCH($B1586&amp;"|"&amp;$C1586,'Base de sorteio'!$I$3:$I$1723,0)),"")</f>
        <v/>
      </c>
      <c r="H1586" s="4">
        <f>IFERROR(INDEX('Base de sorteio'!$E$3:$E$1723,MATCH($B1586&amp;"|"&amp;$C1586,'Base de sorteio'!$I$3:$I$1723,0)),"")</f>
        <v/>
      </c>
      <c r="I1586" s="4">
        <f>IF(E1586="","",HYPERLINK(IFERROR(INDEX('Base de sorteio'!$J$3:$J$1723,MATCH($B1586&amp;"|"&amp;$C1586,'Base de sorteio'!$I$3:$I$1723,0)),""),"abrir"))</f>
        <v/>
      </c>
      <c r="J1586" s="4" t="n"/>
      <c r="K1586" s="4" t="n"/>
      <c r="L1586" s="4" t="n"/>
      <c r="M1586" s="4" t="n"/>
      <c r="N1586" s="4">
        <f>IF(AND(K1586="",M1586=""),"",IF(OR(K1586="sim",M1586="sim"),"sim",IF(OR(K1586="inconclusivo",M1586="inconclusivo"),"inconclusivo","não")))</f>
        <v/>
      </c>
      <c r="O1586" s="5">
        <f>IF(N1586="sim",COUNTIFS($B$3:$B1586,$B1586,$N$3:$N1586,"sim"),"")</f>
        <v/>
      </c>
      <c r="P1586" s="5" t="n"/>
      <c r="Q1586" s="4" t="n"/>
      <c r="R1586" s="5" t="n"/>
      <c r="S1586" s="9" t="n"/>
      <c r="T1586" s="4" t="n"/>
    </row>
    <row r="1587">
      <c r="A1587" s="5">
        <f>ROW()-2</f>
        <v/>
      </c>
      <c r="B1587" s="4" t="inlineStr">
        <is>
          <t>Capital regional</t>
        </is>
      </c>
      <c r="C1587" s="5" t="n">
        <v>643</v>
      </c>
      <c r="D1587" s="5">
        <f>IFERROR(INDEX('Base de sorteio'!$A$3:$A$1723,MATCH($B1587&amp;"|"&amp;$C1587,'Base de sorteio'!$I$3:$I$1723,0)),"")</f>
        <v/>
      </c>
      <c r="E1587" s="4">
        <f>IFERROR(INDEX('Base de sorteio'!$B$3:$B$1723,MATCH($B1587&amp;"|"&amp;$C1587,'Base de sorteio'!$I$3:$I$1723,0)),"")</f>
        <v/>
      </c>
      <c r="F1587" s="4">
        <f>IFERROR(INDEX('Base de sorteio'!$C$3:$C$1723,MATCH($B1587&amp;"|"&amp;$C1587,'Base de sorteio'!$I$3:$I$1723,0)),"")</f>
        <v/>
      </c>
      <c r="G1587" s="4">
        <f>IFERROR(INDEX('Base de sorteio'!$D$3:$D$1723,MATCH($B1587&amp;"|"&amp;$C1587,'Base de sorteio'!$I$3:$I$1723,0)),"")</f>
        <v/>
      </c>
      <c r="H1587" s="4">
        <f>IFERROR(INDEX('Base de sorteio'!$E$3:$E$1723,MATCH($B1587&amp;"|"&amp;$C1587,'Base de sorteio'!$I$3:$I$1723,0)),"")</f>
        <v/>
      </c>
      <c r="I1587" s="4">
        <f>IF(E1587="","",HYPERLINK(IFERROR(INDEX('Base de sorteio'!$J$3:$J$1723,MATCH($B1587&amp;"|"&amp;$C1587,'Base de sorteio'!$I$3:$I$1723,0)),""),"abrir"))</f>
        <v/>
      </c>
      <c r="J1587" s="4" t="n"/>
      <c r="K1587" s="4" t="n"/>
      <c r="L1587" s="4" t="n"/>
      <c r="M1587" s="4" t="n"/>
      <c r="N1587" s="4">
        <f>IF(AND(K1587="",M1587=""),"",IF(OR(K1587="sim",M1587="sim"),"sim",IF(OR(K1587="inconclusivo",M1587="inconclusivo"),"inconclusivo","não")))</f>
        <v/>
      </c>
      <c r="O1587" s="5">
        <f>IF(N1587="sim",COUNTIFS($B$3:$B1587,$B1587,$N$3:$N1587,"sim"),"")</f>
        <v/>
      </c>
      <c r="P1587" s="5" t="n"/>
      <c r="Q1587" s="4" t="n"/>
      <c r="R1587" s="5" t="n"/>
      <c r="S1587" s="9" t="n"/>
      <c r="T1587" s="4" t="n"/>
    </row>
    <row r="1588">
      <c r="A1588" s="5">
        <f>ROW()-2</f>
        <v/>
      </c>
      <c r="B1588" s="4" t="inlineStr">
        <is>
          <t>Capital regional</t>
        </is>
      </c>
      <c r="C1588" s="5" t="n">
        <v>644</v>
      </c>
      <c r="D1588" s="5">
        <f>IFERROR(INDEX('Base de sorteio'!$A$3:$A$1723,MATCH($B1588&amp;"|"&amp;$C1588,'Base de sorteio'!$I$3:$I$1723,0)),"")</f>
        <v/>
      </c>
      <c r="E1588" s="4">
        <f>IFERROR(INDEX('Base de sorteio'!$B$3:$B$1723,MATCH($B1588&amp;"|"&amp;$C1588,'Base de sorteio'!$I$3:$I$1723,0)),"")</f>
        <v/>
      </c>
      <c r="F1588" s="4">
        <f>IFERROR(INDEX('Base de sorteio'!$C$3:$C$1723,MATCH($B1588&amp;"|"&amp;$C1588,'Base de sorteio'!$I$3:$I$1723,0)),"")</f>
        <v/>
      </c>
      <c r="G1588" s="4">
        <f>IFERROR(INDEX('Base de sorteio'!$D$3:$D$1723,MATCH($B1588&amp;"|"&amp;$C1588,'Base de sorteio'!$I$3:$I$1723,0)),"")</f>
        <v/>
      </c>
      <c r="H1588" s="4">
        <f>IFERROR(INDEX('Base de sorteio'!$E$3:$E$1723,MATCH($B1588&amp;"|"&amp;$C1588,'Base de sorteio'!$I$3:$I$1723,0)),"")</f>
        <v/>
      </c>
      <c r="I1588" s="4">
        <f>IF(E1588="","",HYPERLINK(IFERROR(INDEX('Base de sorteio'!$J$3:$J$1723,MATCH($B1588&amp;"|"&amp;$C1588,'Base de sorteio'!$I$3:$I$1723,0)),""),"abrir"))</f>
        <v/>
      </c>
      <c r="J1588" s="4" t="n"/>
      <c r="K1588" s="4" t="n"/>
      <c r="L1588" s="4" t="n"/>
      <c r="M1588" s="4" t="n"/>
      <c r="N1588" s="4">
        <f>IF(AND(K1588="",M1588=""),"",IF(OR(K1588="sim",M1588="sim"),"sim",IF(OR(K1588="inconclusivo",M1588="inconclusivo"),"inconclusivo","não")))</f>
        <v/>
      </c>
      <c r="O1588" s="5">
        <f>IF(N1588="sim",COUNTIFS($B$3:$B1588,$B1588,$N$3:$N1588,"sim"),"")</f>
        <v/>
      </c>
      <c r="P1588" s="5" t="n"/>
      <c r="Q1588" s="4" t="n"/>
      <c r="R1588" s="5" t="n"/>
      <c r="S1588" s="9" t="n"/>
      <c r="T1588" s="4" t="n"/>
    </row>
    <row r="1589">
      <c r="A1589" s="5">
        <f>ROW()-2</f>
        <v/>
      </c>
      <c r="B1589" s="4" t="inlineStr">
        <is>
          <t>Capital regional</t>
        </is>
      </c>
      <c r="C1589" s="5" t="n">
        <v>645</v>
      </c>
      <c r="D1589" s="5">
        <f>IFERROR(INDEX('Base de sorteio'!$A$3:$A$1723,MATCH($B1589&amp;"|"&amp;$C1589,'Base de sorteio'!$I$3:$I$1723,0)),"")</f>
        <v/>
      </c>
      <c r="E1589" s="4">
        <f>IFERROR(INDEX('Base de sorteio'!$B$3:$B$1723,MATCH($B1589&amp;"|"&amp;$C1589,'Base de sorteio'!$I$3:$I$1723,0)),"")</f>
        <v/>
      </c>
      <c r="F1589" s="4">
        <f>IFERROR(INDEX('Base de sorteio'!$C$3:$C$1723,MATCH($B1589&amp;"|"&amp;$C1589,'Base de sorteio'!$I$3:$I$1723,0)),"")</f>
        <v/>
      </c>
      <c r="G1589" s="4">
        <f>IFERROR(INDEX('Base de sorteio'!$D$3:$D$1723,MATCH($B1589&amp;"|"&amp;$C1589,'Base de sorteio'!$I$3:$I$1723,0)),"")</f>
        <v/>
      </c>
      <c r="H1589" s="4">
        <f>IFERROR(INDEX('Base de sorteio'!$E$3:$E$1723,MATCH($B1589&amp;"|"&amp;$C1589,'Base de sorteio'!$I$3:$I$1723,0)),"")</f>
        <v/>
      </c>
      <c r="I1589" s="4">
        <f>IF(E1589="","",HYPERLINK(IFERROR(INDEX('Base de sorteio'!$J$3:$J$1723,MATCH($B1589&amp;"|"&amp;$C1589,'Base de sorteio'!$I$3:$I$1723,0)),""),"abrir"))</f>
        <v/>
      </c>
      <c r="J1589" s="4" t="n"/>
      <c r="K1589" s="4" t="n"/>
      <c r="L1589" s="4" t="n"/>
      <c r="M1589" s="4" t="n"/>
      <c r="N1589" s="4">
        <f>IF(AND(K1589="",M1589=""),"",IF(OR(K1589="sim",M1589="sim"),"sim",IF(OR(K1589="inconclusivo",M1589="inconclusivo"),"inconclusivo","não")))</f>
        <v/>
      </c>
      <c r="O1589" s="5">
        <f>IF(N1589="sim",COUNTIFS($B$3:$B1589,$B1589,$N$3:$N1589,"sim"),"")</f>
        <v/>
      </c>
      <c r="P1589" s="5" t="n"/>
      <c r="Q1589" s="4" t="n"/>
      <c r="R1589" s="5" t="n"/>
      <c r="S1589" s="9" t="n"/>
      <c r="T1589" s="4" t="n"/>
    </row>
    <row r="1590">
      <c r="A1590" s="5">
        <f>ROW()-2</f>
        <v/>
      </c>
      <c r="B1590" s="4" t="inlineStr">
        <is>
          <t>Capital regional</t>
        </is>
      </c>
      <c r="C1590" s="5" t="n">
        <v>646</v>
      </c>
      <c r="D1590" s="5">
        <f>IFERROR(INDEX('Base de sorteio'!$A$3:$A$1723,MATCH($B1590&amp;"|"&amp;$C1590,'Base de sorteio'!$I$3:$I$1723,0)),"")</f>
        <v/>
      </c>
      <c r="E1590" s="4">
        <f>IFERROR(INDEX('Base de sorteio'!$B$3:$B$1723,MATCH($B1590&amp;"|"&amp;$C1590,'Base de sorteio'!$I$3:$I$1723,0)),"")</f>
        <v/>
      </c>
      <c r="F1590" s="4">
        <f>IFERROR(INDEX('Base de sorteio'!$C$3:$C$1723,MATCH($B1590&amp;"|"&amp;$C1590,'Base de sorteio'!$I$3:$I$1723,0)),"")</f>
        <v/>
      </c>
      <c r="G1590" s="4">
        <f>IFERROR(INDEX('Base de sorteio'!$D$3:$D$1723,MATCH($B1590&amp;"|"&amp;$C1590,'Base de sorteio'!$I$3:$I$1723,0)),"")</f>
        <v/>
      </c>
      <c r="H1590" s="4">
        <f>IFERROR(INDEX('Base de sorteio'!$E$3:$E$1723,MATCH($B1590&amp;"|"&amp;$C1590,'Base de sorteio'!$I$3:$I$1723,0)),"")</f>
        <v/>
      </c>
      <c r="I1590" s="4">
        <f>IF(E1590="","",HYPERLINK(IFERROR(INDEX('Base de sorteio'!$J$3:$J$1723,MATCH($B1590&amp;"|"&amp;$C1590,'Base de sorteio'!$I$3:$I$1723,0)),""),"abrir"))</f>
        <v/>
      </c>
      <c r="J1590" s="4" t="n"/>
      <c r="K1590" s="4" t="n"/>
      <c r="L1590" s="4" t="n"/>
      <c r="M1590" s="4" t="n"/>
      <c r="N1590" s="4">
        <f>IF(AND(K1590="",M1590=""),"",IF(OR(K1590="sim",M1590="sim"),"sim",IF(OR(K1590="inconclusivo",M1590="inconclusivo"),"inconclusivo","não")))</f>
        <v/>
      </c>
      <c r="O1590" s="5">
        <f>IF(N1590="sim",COUNTIFS($B$3:$B1590,$B1590,$N$3:$N1590,"sim"),"")</f>
        <v/>
      </c>
      <c r="P1590" s="5" t="n"/>
      <c r="Q1590" s="4" t="n"/>
      <c r="R1590" s="5" t="n"/>
      <c r="S1590" s="9" t="n"/>
      <c r="T1590" s="4" t="n"/>
    </row>
    <row r="1591">
      <c r="A1591" s="5">
        <f>ROW()-2</f>
        <v/>
      </c>
      <c r="B1591" s="4" t="inlineStr">
        <is>
          <t>Capital regional</t>
        </is>
      </c>
      <c r="C1591" s="5" t="n">
        <v>647</v>
      </c>
      <c r="D1591" s="5">
        <f>IFERROR(INDEX('Base de sorteio'!$A$3:$A$1723,MATCH($B1591&amp;"|"&amp;$C1591,'Base de sorteio'!$I$3:$I$1723,0)),"")</f>
        <v/>
      </c>
      <c r="E1591" s="4">
        <f>IFERROR(INDEX('Base de sorteio'!$B$3:$B$1723,MATCH($B1591&amp;"|"&amp;$C1591,'Base de sorteio'!$I$3:$I$1723,0)),"")</f>
        <v/>
      </c>
      <c r="F1591" s="4">
        <f>IFERROR(INDEX('Base de sorteio'!$C$3:$C$1723,MATCH($B1591&amp;"|"&amp;$C1591,'Base de sorteio'!$I$3:$I$1723,0)),"")</f>
        <v/>
      </c>
      <c r="G1591" s="4">
        <f>IFERROR(INDEX('Base de sorteio'!$D$3:$D$1723,MATCH($B1591&amp;"|"&amp;$C1591,'Base de sorteio'!$I$3:$I$1723,0)),"")</f>
        <v/>
      </c>
      <c r="H1591" s="4">
        <f>IFERROR(INDEX('Base de sorteio'!$E$3:$E$1723,MATCH($B1591&amp;"|"&amp;$C1591,'Base de sorteio'!$I$3:$I$1723,0)),"")</f>
        <v/>
      </c>
      <c r="I1591" s="4">
        <f>IF(E1591="","",HYPERLINK(IFERROR(INDEX('Base de sorteio'!$J$3:$J$1723,MATCH($B1591&amp;"|"&amp;$C1591,'Base de sorteio'!$I$3:$I$1723,0)),""),"abrir"))</f>
        <v/>
      </c>
      <c r="J1591" s="4" t="n"/>
      <c r="K1591" s="4" t="n"/>
      <c r="L1591" s="4" t="n"/>
      <c r="M1591" s="4" t="n"/>
      <c r="N1591" s="4">
        <f>IF(AND(K1591="",M1591=""),"",IF(OR(K1591="sim",M1591="sim"),"sim",IF(OR(K1591="inconclusivo",M1591="inconclusivo"),"inconclusivo","não")))</f>
        <v/>
      </c>
      <c r="O1591" s="5">
        <f>IF(N1591="sim",COUNTIFS($B$3:$B1591,$B1591,$N$3:$N1591,"sim"),"")</f>
        <v/>
      </c>
      <c r="P1591" s="5" t="n"/>
      <c r="Q1591" s="4" t="n"/>
      <c r="R1591" s="5" t="n"/>
      <c r="S1591" s="9" t="n"/>
      <c r="T1591" s="4" t="n"/>
    </row>
    <row r="1592">
      <c r="A1592" s="5">
        <f>ROW()-2</f>
        <v/>
      </c>
      <c r="B1592" s="4" t="inlineStr">
        <is>
          <t>Capital regional</t>
        </is>
      </c>
      <c r="C1592" s="5" t="n">
        <v>648</v>
      </c>
      <c r="D1592" s="5">
        <f>IFERROR(INDEX('Base de sorteio'!$A$3:$A$1723,MATCH($B1592&amp;"|"&amp;$C1592,'Base de sorteio'!$I$3:$I$1723,0)),"")</f>
        <v/>
      </c>
      <c r="E1592" s="4">
        <f>IFERROR(INDEX('Base de sorteio'!$B$3:$B$1723,MATCH($B1592&amp;"|"&amp;$C1592,'Base de sorteio'!$I$3:$I$1723,0)),"")</f>
        <v/>
      </c>
      <c r="F1592" s="4">
        <f>IFERROR(INDEX('Base de sorteio'!$C$3:$C$1723,MATCH($B1592&amp;"|"&amp;$C1592,'Base de sorteio'!$I$3:$I$1723,0)),"")</f>
        <v/>
      </c>
      <c r="G1592" s="4">
        <f>IFERROR(INDEX('Base de sorteio'!$D$3:$D$1723,MATCH($B1592&amp;"|"&amp;$C1592,'Base de sorteio'!$I$3:$I$1723,0)),"")</f>
        <v/>
      </c>
      <c r="H1592" s="4">
        <f>IFERROR(INDEX('Base de sorteio'!$E$3:$E$1723,MATCH($B1592&amp;"|"&amp;$C1592,'Base de sorteio'!$I$3:$I$1723,0)),"")</f>
        <v/>
      </c>
      <c r="I1592" s="4">
        <f>IF(E1592="","",HYPERLINK(IFERROR(INDEX('Base de sorteio'!$J$3:$J$1723,MATCH($B1592&amp;"|"&amp;$C1592,'Base de sorteio'!$I$3:$I$1723,0)),""),"abrir"))</f>
        <v/>
      </c>
      <c r="J1592" s="4" t="n"/>
      <c r="K1592" s="4" t="n"/>
      <c r="L1592" s="4" t="n"/>
      <c r="M1592" s="4" t="n"/>
      <c r="N1592" s="4">
        <f>IF(AND(K1592="",M1592=""),"",IF(OR(K1592="sim",M1592="sim"),"sim",IF(OR(K1592="inconclusivo",M1592="inconclusivo"),"inconclusivo","não")))</f>
        <v/>
      </c>
      <c r="O1592" s="5">
        <f>IF(N1592="sim",COUNTIFS($B$3:$B1592,$B1592,$N$3:$N1592,"sim"),"")</f>
        <v/>
      </c>
      <c r="P1592" s="5" t="n"/>
      <c r="Q1592" s="4" t="n"/>
      <c r="R1592" s="5" t="n"/>
      <c r="S1592" s="9" t="n"/>
      <c r="T1592" s="4" t="n"/>
    </row>
    <row r="1593">
      <c r="A1593" s="5">
        <f>ROW()-2</f>
        <v/>
      </c>
      <c r="B1593" s="4" t="inlineStr">
        <is>
          <t>Capital regional</t>
        </is>
      </c>
      <c r="C1593" s="5" t="n">
        <v>649</v>
      </c>
      <c r="D1593" s="5">
        <f>IFERROR(INDEX('Base de sorteio'!$A$3:$A$1723,MATCH($B1593&amp;"|"&amp;$C1593,'Base de sorteio'!$I$3:$I$1723,0)),"")</f>
        <v/>
      </c>
      <c r="E1593" s="4">
        <f>IFERROR(INDEX('Base de sorteio'!$B$3:$B$1723,MATCH($B1593&amp;"|"&amp;$C1593,'Base de sorteio'!$I$3:$I$1723,0)),"")</f>
        <v/>
      </c>
      <c r="F1593" s="4">
        <f>IFERROR(INDEX('Base de sorteio'!$C$3:$C$1723,MATCH($B1593&amp;"|"&amp;$C1593,'Base de sorteio'!$I$3:$I$1723,0)),"")</f>
        <v/>
      </c>
      <c r="G1593" s="4">
        <f>IFERROR(INDEX('Base de sorteio'!$D$3:$D$1723,MATCH($B1593&amp;"|"&amp;$C1593,'Base de sorteio'!$I$3:$I$1723,0)),"")</f>
        <v/>
      </c>
      <c r="H1593" s="4">
        <f>IFERROR(INDEX('Base de sorteio'!$E$3:$E$1723,MATCH($B1593&amp;"|"&amp;$C1593,'Base de sorteio'!$I$3:$I$1723,0)),"")</f>
        <v/>
      </c>
      <c r="I1593" s="4">
        <f>IF(E1593="","",HYPERLINK(IFERROR(INDEX('Base de sorteio'!$J$3:$J$1723,MATCH($B1593&amp;"|"&amp;$C1593,'Base de sorteio'!$I$3:$I$1723,0)),""),"abrir"))</f>
        <v/>
      </c>
      <c r="J1593" s="4" t="n"/>
      <c r="K1593" s="4" t="n"/>
      <c r="L1593" s="4" t="n"/>
      <c r="M1593" s="4" t="n"/>
      <c r="N1593" s="4">
        <f>IF(AND(K1593="",M1593=""),"",IF(OR(K1593="sim",M1593="sim"),"sim",IF(OR(K1593="inconclusivo",M1593="inconclusivo"),"inconclusivo","não")))</f>
        <v/>
      </c>
      <c r="O1593" s="5">
        <f>IF(N1593="sim",COUNTIFS($B$3:$B1593,$B1593,$N$3:$N1593,"sim"),"")</f>
        <v/>
      </c>
      <c r="P1593" s="5" t="n"/>
      <c r="Q1593" s="4" t="n"/>
      <c r="R1593" s="5" t="n"/>
      <c r="S1593" s="9" t="n"/>
      <c r="T1593" s="4" t="n"/>
    </row>
    <row r="1594">
      <c r="A1594" s="5">
        <f>ROW()-2</f>
        <v/>
      </c>
      <c r="B1594" s="4" t="inlineStr">
        <is>
          <t>Capital regional</t>
        </is>
      </c>
      <c r="C1594" s="5" t="n">
        <v>650</v>
      </c>
      <c r="D1594" s="5">
        <f>IFERROR(INDEX('Base de sorteio'!$A$3:$A$1723,MATCH($B1594&amp;"|"&amp;$C1594,'Base de sorteio'!$I$3:$I$1723,0)),"")</f>
        <v/>
      </c>
      <c r="E1594" s="4">
        <f>IFERROR(INDEX('Base de sorteio'!$B$3:$B$1723,MATCH($B1594&amp;"|"&amp;$C1594,'Base de sorteio'!$I$3:$I$1723,0)),"")</f>
        <v/>
      </c>
      <c r="F1594" s="4">
        <f>IFERROR(INDEX('Base de sorteio'!$C$3:$C$1723,MATCH($B1594&amp;"|"&amp;$C1594,'Base de sorteio'!$I$3:$I$1723,0)),"")</f>
        <v/>
      </c>
      <c r="G1594" s="4">
        <f>IFERROR(INDEX('Base de sorteio'!$D$3:$D$1723,MATCH($B1594&amp;"|"&amp;$C1594,'Base de sorteio'!$I$3:$I$1723,0)),"")</f>
        <v/>
      </c>
      <c r="H1594" s="4">
        <f>IFERROR(INDEX('Base de sorteio'!$E$3:$E$1723,MATCH($B1594&amp;"|"&amp;$C1594,'Base de sorteio'!$I$3:$I$1723,0)),"")</f>
        <v/>
      </c>
      <c r="I1594" s="4">
        <f>IF(E1594="","",HYPERLINK(IFERROR(INDEX('Base de sorteio'!$J$3:$J$1723,MATCH($B1594&amp;"|"&amp;$C1594,'Base de sorteio'!$I$3:$I$1723,0)),""),"abrir"))</f>
        <v/>
      </c>
      <c r="J1594" s="4" t="n"/>
      <c r="K1594" s="4" t="n"/>
      <c r="L1594" s="4" t="n"/>
      <c r="M1594" s="4" t="n"/>
      <c r="N1594" s="4">
        <f>IF(AND(K1594="",M1594=""),"",IF(OR(K1594="sim",M1594="sim"),"sim",IF(OR(K1594="inconclusivo",M1594="inconclusivo"),"inconclusivo","não")))</f>
        <v/>
      </c>
      <c r="O1594" s="5">
        <f>IF(N1594="sim",COUNTIFS($B$3:$B1594,$B1594,$N$3:$N1594,"sim"),"")</f>
        <v/>
      </c>
      <c r="P1594" s="5" t="n"/>
      <c r="Q1594" s="4" t="n"/>
      <c r="R1594" s="5" t="n"/>
      <c r="S1594" s="9" t="n"/>
      <c r="T1594" s="4" t="n"/>
    </row>
    <row r="1595">
      <c r="A1595" s="5">
        <f>ROW()-2</f>
        <v/>
      </c>
      <c r="B1595" s="4" t="inlineStr">
        <is>
          <t>Capital regional</t>
        </is>
      </c>
      <c r="C1595" s="5" t="n">
        <v>651</v>
      </c>
      <c r="D1595" s="5">
        <f>IFERROR(INDEX('Base de sorteio'!$A$3:$A$1723,MATCH($B1595&amp;"|"&amp;$C1595,'Base de sorteio'!$I$3:$I$1723,0)),"")</f>
        <v/>
      </c>
      <c r="E1595" s="4">
        <f>IFERROR(INDEX('Base de sorteio'!$B$3:$B$1723,MATCH($B1595&amp;"|"&amp;$C1595,'Base de sorteio'!$I$3:$I$1723,0)),"")</f>
        <v/>
      </c>
      <c r="F1595" s="4">
        <f>IFERROR(INDEX('Base de sorteio'!$C$3:$C$1723,MATCH($B1595&amp;"|"&amp;$C1595,'Base de sorteio'!$I$3:$I$1723,0)),"")</f>
        <v/>
      </c>
      <c r="G1595" s="4">
        <f>IFERROR(INDEX('Base de sorteio'!$D$3:$D$1723,MATCH($B1595&amp;"|"&amp;$C1595,'Base de sorteio'!$I$3:$I$1723,0)),"")</f>
        <v/>
      </c>
      <c r="H1595" s="4">
        <f>IFERROR(INDEX('Base de sorteio'!$E$3:$E$1723,MATCH($B1595&amp;"|"&amp;$C1595,'Base de sorteio'!$I$3:$I$1723,0)),"")</f>
        <v/>
      </c>
      <c r="I1595" s="4">
        <f>IF(E1595="","",HYPERLINK(IFERROR(INDEX('Base de sorteio'!$J$3:$J$1723,MATCH($B1595&amp;"|"&amp;$C1595,'Base de sorteio'!$I$3:$I$1723,0)),""),"abrir"))</f>
        <v/>
      </c>
      <c r="J1595" s="4" t="n"/>
      <c r="K1595" s="4" t="n"/>
      <c r="L1595" s="4" t="n"/>
      <c r="M1595" s="4" t="n"/>
      <c r="N1595" s="4">
        <f>IF(AND(K1595="",M1595=""),"",IF(OR(K1595="sim",M1595="sim"),"sim",IF(OR(K1595="inconclusivo",M1595="inconclusivo"),"inconclusivo","não")))</f>
        <v/>
      </c>
      <c r="O1595" s="5">
        <f>IF(N1595="sim",COUNTIFS($B$3:$B1595,$B1595,$N$3:$N1595,"sim"),"")</f>
        <v/>
      </c>
      <c r="P1595" s="5" t="n"/>
      <c r="Q1595" s="4" t="n"/>
      <c r="R1595" s="5" t="n"/>
      <c r="S1595" s="9" t="n"/>
      <c r="T1595" s="4" t="n"/>
    </row>
    <row r="1596">
      <c r="A1596" s="5">
        <f>ROW()-2</f>
        <v/>
      </c>
      <c r="B1596" s="4" t="inlineStr">
        <is>
          <t>Capital regional</t>
        </is>
      </c>
      <c r="C1596" s="5" t="n">
        <v>652</v>
      </c>
      <c r="D1596" s="5">
        <f>IFERROR(INDEX('Base de sorteio'!$A$3:$A$1723,MATCH($B1596&amp;"|"&amp;$C1596,'Base de sorteio'!$I$3:$I$1723,0)),"")</f>
        <v/>
      </c>
      <c r="E1596" s="4">
        <f>IFERROR(INDEX('Base de sorteio'!$B$3:$B$1723,MATCH($B1596&amp;"|"&amp;$C1596,'Base de sorteio'!$I$3:$I$1723,0)),"")</f>
        <v/>
      </c>
      <c r="F1596" s="4">
        <f>IFERROR(INDEX('Base de sorteio'!$C$3:$C$1723,MATCH($B1596&amp;"|"&amp;$C1596,'Base de sorteio'!$I$3:$I$1723,0)),"")</f>
        <v/>
      </c>
      <c r="G1596" s="4">
        <f>IFERROR(INDEX('Base de sorteio'!$D$3:$D$1723,MATCH($B1596&amp;"|"&amp;$C1596,'Base de sorteio'!$I$3:$I$1723,0)),"")</f>
        <v/>
      </c>
      <c r="H1596" s="4">
        <f>IFERROR(INDEX('Base de sorteio'!$E$3:$E$1723,MATCH($B1596&amp;"|"&amp;$C1596,'Base de sorteio'!$I$3:$I$1723,0)),"")</f>
        <v/>
      </c>
      <c r="I1596" s="4">
        <f>IF(E1596="","",HYPERLINK(IFERROR(INDEX('Base de sorteio'!$J$3:$J$1723,MATCH($B1596&amp;"|"&amp;$C1596,'Base de sorteio'!$I$3:$I$1723,0)),""),"abrir"))</f>
        <v/>
      </c>
      <c r="J1596" s="4" t="n"/>
      <c r="K1596" s="4" t="n"/>
      <c r="L1596" s="4" t="n"/>
      <c r="M1596" s="4" t="n"/>
      <c r="N1596" s="4">
        <f>IF(AND(K1596="",M1596=""),"",IF(OR(K1596="sim",M1596="sim"),"sim",IF(OR(K1596="inconclusivo",M1596="inconclusivo"),"inconclusivo","não")))</f>
        <v/>
      </c>
      <c r="O1596" s="5">
        <f>IF(N1596="sim",COUNTIFS($B$3:$B1596,$B1596,$N$3:$N1596,"sim"),"")</f>
        <v/>
      </c>
      <c r="P1596" s="5" t="n"/>
      <c r="Q1596" s="4" t="n"/>
      <c r="R1596" s="5" t="n"/>
      <c r="S1596" s="9" t="n"/>
      <c r="T1596" s="4" t="n"/>
    </row>
    <row r="1597">
      <c r="A1597" s="5">
        <f>ROW()-2</f>
        <v/>
      </c>
      <c r="B1597" s="4" t="inlineStr">
        <is>
          <t>Capital regional</t>
        </is>
      </c>
      <c r="C1597" s="5" t="n">
        <v>653</v>
      </c>
      <c r="D1597" s="5">
        <f>IFERROR(INDEX('Base de sorteio'!$A$3:$A$1723,MATCH($B1597&amp;"|"&amp;$C1597,'Base de sorteio'!$I$3:$I$1723,0)),"")</f>
        <v/>
      </c>
      <c r="E1597" s="4">
        <f>IFERROR(INDEX('Base de sorteio'!$B$3:$B$1723,MATCH($B1597&amp;"|"&amp;$C1597,'Base de sorteio'!$I$3:$I$1723,0)),"")</f>
        <v/>
      </c>
      <c r="F1597" s="4">
        <f>IFERROR(INDEX('Base de sorteio'!$C$3:$C$1723,MATCH($B1597&amp;"|"&amp;$C1597,'Base de sorteio'!$I$3:$I$1723,0)),"")</f>
        <v/>
      </c>
      <c r="G1597" s="4">
        <f>IFERROR(INDEX('Base de sorteio'!$D$3:$D$1723,MATCH($B1597&amp;"|"&amp;$C1597,'Base de sorteio'!$I$3:$I$1723,0)),"")</f>
        <v/>
      </c>
      <c r="H1597" s="4">
        <f>IFERROR(INDEX('Base de sorteio'!$E$3:$E$1723,MATCH($B1597&amp;"|"&amp;$C1597,'Base de sorteio'!$I$3:$I$1723,0)),"")</f>
        <v/>
      </c>
      <c r="I1597" s="4">
        <f>IF(E1597="","",HYPERLINK(IFERROR(INDEX('Base de sorteio'!$J$3:$J$1723,MATCH($B1597&amp;"|"&amp;$C1597,'Base de sorteio'!$I$3:$I$1723,0)),""),"abrir"))</f>
        <v/>
      </c>
      <c r="J1597" s="4" t="n"/>
      <c r="K1597" s="4" t="n"/>
      <c r="L1597" s="4" t="n"/>
      <c r="M1597" s="4" t="n"/>
      <c r="N1597" s="4">
        <f>IF(AND(K1597="",M1597=""),"",IF(OR(K1597="sim",M1597="sim"),"sim",IF(OR(K1597="inconclusivo",M1597="inconclusivo"),"inconclusivo","não")))</f>
        <v/>
      </c>
      <c r="O1597" s="5">
        <f>IF(N1597="sim",COUNTIFS($B$3:$B1597,$B1597,$N$3:$N1597,"sim"),"")</f>
        <v/>
      </c>
      <c r="P1597" s="5" t="n"/>
      <c r="Q1597" s="4" t="n"/>
      <c r="R1597" s="5" t="n"/>
      <c r="S1597" s="9" t="n"/>
      <c r="T1597" s="4" t="n"/>
    </row>
    <row r="1598">
      <c r="A1598" s="5">
        <f>ROW()-2</f>
        <v/>
      </c>
      <c r="B1598" s="4" t="inlineStr">
        <is>
          <t>Capital regional</t>
        </is>
      </c>
      <c r="C1598" s="5" t="n">
        <v>654</v>
      </c>
      <c r="D1598" s="5">
        <f>IFERROR(INDEX('Base de sorteio'!$A$3:$A$1723,MATCH($B1598&amp;"|"&amp;$C1598,'Base de sorteio'!$I$3:$I$1723,0)),"")</f>
        <v/>
      </c>
      <c r="E1598" s="4">
        <f>IFERROR(INDEX('Base de sorteio'!$B$3:$B$1723,MATCH($B1598&amp;"|"&amp;$C1598,'Base de sorteio'!$I$3:$I$1723,0)),"")</f>
        <v/>
      </c>
      <c r="F1598" s="4">
        <f>IFERROR(INDEX('Base de sorteio'!$C$3:$C$1723,MATCH($B1598&amp;"|"&amp;$C1598,'Base de sorteio'!$I$3:$I$1723,0)),"")</f>
        <v/>
      </c>
      <c r="G1598" s="4">
        <f>IFERROR(INDEX('Base de sorteio'!$D$3:$D$1723,MATCH($B1598&amp;"|"&amp;$C1598,'Base de sorteio'!$I$3:$I$1723,0)),"")</f>
        <v/>
      </c>
      <c r="H1598" s="4">
        <f>IFERROR(INDEX('Base de sorteio'!$E$3:$E$1723,MATCH($B1598&amp;"|"&amp;$C1598,'Base de sorteio'!$I$3:$I$1723,0)),"")</f>
        <v/>
      </c>
      <c r="I1598" s="4">
        <f>IF(E1598="","",HYPERLINK(IFERROR(INDEX('Base de sorteio'!$J$3:$J$1723,MATCH($B1598&amp;"|"&amp;$C1598,'Base de sorteio'!$I$3:$I$1723,0)),""),"abrir"))</f>
        <v/>
      </c>
      <c r="J1598" s="4" t="n"/>
      <c r="K1598" s="4" t="n"/>
      <c r="L1598" s="4" t="n"/>
      <c r="M1598" s="4" t="n"/>
      <c r="N1598" s="4">
        <f>IF(AND(K1598="",M1598=""),"",IF(OR(K1598="sim",M1598="sim"),"sim",IF(OR(K1598="inconclusivo",M1598="inconclusivo"),"inconclusivo","não")))</f>
        <v/>
      </c>
      <c r="O1598" s="5">
        <f>IF(N1598="sim",COUNTIFS($B$3:$B1598,$B1598,$N$3:$N1598,"sim"),"")</f>
        <v/>
      </c>
      <c r="P1598" s="5" t="n"/>
      <c r="Q1598" s="4" t="n"/>
      <c r="R1598" s="5" t="n"/>
      <c r="S1598" s="9" t="n"/>
      <c r="T1598" s="4" t="n"/>
    </row>
    <row r="1599">
      <c r="A1599" s="5">
        <f>ROW()-2</f>
        <v/>
      </c>
      <c r="B1599" s="4" t="inlineStr">
        <is>
          <t>Capital regional</t>
        </is>
      </c>
      <c r="C1599" s="5" t="n">
        <v>655</v>
      </c>
      <c r="D1599" s="5">
        <f>IFERROR(INDEX('Base de sorteio'!$A$3:$A$1723,MATCH($B1599&amp;"|"&amp;$C1599,'Base de sorteio'!$I$3:$I$1723,0)),"")</f>
        <v/>
      </c>
      <c r="E1599" s="4">
        <f>IFERROR(INDEX('Base de sorteio'!$B$3:$B$1723,MATCH($B1599&amp;"|"&amp;$C1599,'Base de sorteio'!$I$3:$I$1723,0)),"")</f>
        <v/>
      </c>
      <c r="F1599" s="4">
        <f>IFERROR(INDEX('Base de sorteio'!$C$3:$C$1723,MATCH($B1599&amp;"|"&amp;$C1599,'Base de sorteio'!$I$3:$I$1723,0)),"")</f>
        <v/>
      </c>
      <c r="G1599" s="4">
        <f>IFERROR(INDEX('Base de sorteio'!$D$3:$D$1723,MATCH($B1599&amp;"|"&amp;$C1599,'Base de sorteio'!$I$3:$I$1723,0)),"")</f>
        <v/>
      </c>
      <c r="H1599" s="4">
        <f>IFERROR(INDEX('Base de sorteio'!$E$3:$E$1723,MATCH($B1599&amp;"|"&amp;$C1599,'Base de sorteio'!$I$3:$I$1723,0)),"")</f>
        <v/>
      </c>
      <c r="I1599" s="4">
        <f>IF(E1599="","",HYPERLINK(IFERROR(INDEX('Base de sorteio'!$J$3:$J$1723,MATCH($B1599&amp;"|"&amp;$C1599,'Base de sorteio'!$I$3:$I$1723,0)),""),"abrir"))</f>
        <v/>
      </c>
      <c r="J1599" s="4" t="n"/>
      <c r="K1599" s="4" t="n"/>
      <c r="L1599" s="4" t="n"/>
      <c r="M1599" s="4" t="n"/>
      <c r="N1599" s="4">
        <f>IF(AND(K1599="",M1599=""),"",IF(OR(K1599="sim",M1599="sim"),"sim",IF(OR(K1599="inconclusivo",M1599="inconclusivo"),"inconclusivo","não")))</f>
        <v/>
      </c>
      <c r="O1599" s="5">
        <f>IF(N1599="sim",COUNTIFS($B$3:$B1599,$B1599,$N$3:$N1599,"sim"),"")</f>
        <v/>
      </c>
      <c r="P1599" s="5" t="n"/>
      <c r="Q1599" s="4" t="n"/>
      <c r="R1599" s="5" t="n"/>
      <c r="S1599" s="9" t="n"/>
      <c r="T1599" s="4" t="n"/>
    </row>
    <row r="1600">
      <c r="A1600" s="5">
        <f>ROW()-2</f>
        <v/>
      </c>
      <c r="B1600" s="4" t="inlineStr">
        <is>
          <t>Capital regional</t>
        </is>
      </c>
      <c r="C1600" s="5" t="n">
        <v>656</v>
      </c>
      <c r="D1600" s="5">
        <f>IFERROR(INDEX('Base de sorteio'!$A$3:$A$1723,MATCH($B1600&amp;"|"&amp;$C1600,'Base de sorteio'!$I$3:$I$1723,0)),"")</f>
        <v/>
      </c>
      <c r="E1600" s="4">
        <f>IFERROR(INDEX('Base de sorteio'!$B$3:$B$1723,MATCH($B1600&amp;"|"&amp;$C1600,'Base de sorteio'!$I$3:$I$1723,0)),"")</f>
        <v/>
      </c>
      <c r="F1600" s="4">
        <f>IFERROR(INDEX('Base de sorteio'!$C$3:$C$1723,MATCH($B1600&amp;"|"&amp;$C1600,'Base de sorteio'!$I$3:$I$1723,0)),"")</f>
        <v/>
      </c>
      <c r="G1600" s="4">
        <f>IFERROR(INDEX('Base de sorteio'!$D$3:$D$1723,MATCH($B1600&amp;"|"&amp;$C1600,'Base de sorteio'!$I$3:$I$1723,0)),"")</f>
        <v/>
      </c>
      <c r="H1600" s="4">
        <f>IFERROR(INDEX('Base de sorteio'!$E$3:$E$1723,MATCH($B1600&amp;"|"&amp;$C1600,'Base de sorteio'!$I$3:$I$1723,0)),"")</f>
        <v/>
      </c>
      <c r="I1600" s="4">
        <f>IF(E1600="","",HYPERLINK(IFERROR(INDEX('Base de sorteio'!$J$3:$J$1723,MATCH($B1600&amp;"|"&amp;$C1600,'Base de sorteio'!$I$3:$I$1723,0)),""),"abrir"))</f>
        <v/>
      </c>
      <c r="J1600" s="4" t="n"/>
      <c r="K1600" s="4" t="n"/>
      <c r="L1600" s="4" t="n"/>
      <c r="M1600" s="4" t="n"/>
      <c r="N1600" s="4">
        <f>IF(AND(K1600="",M1600=""),"",IF(OR(K1600="sim",M1600="sim"),"sim",IF(OR(K1600="inconclusivo",M1600="inconclusivo"),"inconclusivo","não")))</f>
        <v/>
      </c>
      <c r="O1600" s="5">
        <f>IF(N1600="sim",COUNTIFS($B$3:$B1600,$B1600,$N$3:$N1600,"sim"),"")</f>
        <v/>
      </c>
      <c r="P1600" s="5" t="n"/>
      <c r="Q1600" s="4" t="n"/>
      <c r="R1600" s="5" t="n"/>
      <c r="S1600" s="9" t="n"/>
      <c r="T1600" s="4" t="n"/>
    </row>
    <row r="1601">
      <c r="A1601" s="5">
        <f>ROW()-2</f>
        <v/>
      </c>
      <c r="B1601" s="4" t="inlineStr">
        <is>
          <t>Capital regional</t>
        </is>
      </c>
      <c r="C1601" s="5" t="n">
        <v>657</v>
      </c>
      <c r="D1601" s="5">
        <f>IFERROR(INDEX('Base de sorteio'!$A$3:$A$1723,MATCH($B1601&amp;"|"&amp;$C1601,'Base de sorteio'!$I$3:$I$1723,0)),"")</f>
        <v/>
      </c>
      <c r="E1601" s="4">
        <f>IFERROR(INDEX('Base de sorteio'!$B$3:$B$1723,MATCH($B1601&amp;"|"&amp;$C1601,'Base de sorteio'!$I$3:$I$1723,0)),"")</f>
        <v/>
      </c>
      <c r="F1601" s="4">
        <f>IFERROR(INDEX('Base de sorteio'!$C$3:$C$1723,MATCH($B1601&amp;"|"&amp;$C1601,'Base de sorteio'!$I$3:$I$1723,0)),"")</f>
        <v/>
      </c>
      <c r="G1601" s="4">
        <f>IFERROR(INDEX('Base de sorteio'!$D$3:$D$1723,MATCH($B1601&amp;"|"&amp;$C1601,'Base de sorteio'!$I$3:$I$1723,0)),"")</f>
        <v/>
      </c>
      <c r="H1601" s="4">
        <f>IFERROR(INDEX('Base de sorteio'!$E$3:$E$1723,MATCH($B1601&amp;"|"&amp;$C1601,'Base de sorteio'!$I$3:$I$1723,0)),"")</f>
        <v/>
      </c>
      <c r="I1601" s="4">
        <f>IF(E1601="","",HYPERLINK(IFERROR(INDEX('Base de sorteio'!$J$3:$J$1723,MATCH($B1601&amp;"|"&amp;$C1601,'Base de sorteio'!$I$3:$I$1723,0)),""),"abrir"))</f>
        <v/>
      </c>
      <c r="J1601" s="4" t="n"/>
      <c r="K1601" s="4" t="n"/>
      <c r="L1601" s="4" t="n"/>
      <c r="M1601" s="4" t="n"/>
      <c r="N1601" s="4">
        <f>IF(AND(K1601="",M1601=""),"",IF(OR(K1601="sim",M1601="sim"),"sim",IF(OR(K1601="inconclusivo",M1601="inconclusivo"),"inconclusivo","não")))</f>
        <v/>
      </c>
      <c r="O1601" s="5">
        <f>IF(N1601="sim",COUNTIFS($B$3:$B1601,$B1601,$N$3:$N1601,"sim"),"")</f>
        <v/>
      </c>
      <c r="P1601" s="5" t="n"/>
      <c r="Q1601" s="4" t="n"/>
      <c r="R1601" s="5" t="n"/>
      <c r="S1601" s="9" t="n"/>
      <c r="T1601" s="4" t="n"/>
    </row>
    <row r="1602">
      <c r="A1602" s="5">
        <f>ROW()-2</f>
        <v/>
      </c>
      <c r="B1602" s="4" t="inlineStr">
        <is>
          <t>Capital regional</t>
        </is>
      </c>
      <c r="C1602" s="5" t="n">
        <v>658</v>
      </c>
      <c r="D1602" s="5">
        <f>IFERROR(INDEX('Base de sorteio'!$A$3:$A$1723,MATCH($B1602&amp;"|"&amp;$C1602,'Base de sorteio'!$I$3:$I$1723,0)),"")</f>
        <v/>
      </c>
      <c r="E1602" s="4">
        <f>IFERROR(INDEX('Base de sorteio'!$B$3:$B$1723,MATCH($B1602&amp;"|"&amp;$C1602,'Base de sorteio'!$I$3:$I$1723,0)),"")</f>
        <v/>
      </c>
      <c r="F1602" s="4">
        <f>IFERROR(INDEX('Base de sorteio'!$C$3:$C$1723,MATCH($B1602&amp;"|"&amp;$C1602,'Base de sorteio'!$I$3:$I$1723,0)),"")</f>
        <v/>
      </c>
      <c r="G1602" s="4">
        <f>IFERROR(INDEX('Base de sorteio'!$D$3:$D$1723,MATCH($B1602&amp;"|"&amp;$C1602,'Base de sorteio'!$I$3:$I$1723,0)),"")</f>
        <v/>
      </c>
      <c r="H1602" s="4">
        <f>IFERROR(INDEX('Base de sorteio'!$E$3:$E$1723,MATCH($B1602&amp;"|"&amp;$C1602,'Base de sorteio'!$I$3:$I$1723,0)),"")</f>
        <v/>
      </c>
      <c r="I1602" s="4">
        <f>IF(E1602="","",HYPERLINK(IFERROR(INDEX('Base de sorteio'!$J$3:$J$1723,MATCH($B1602&amp;"|"&amp;$C1602,'Base de sorteio'!$I$3:$I$1723,0)),""),"abrir"))</f>
        <v/>
      </c>
      <c r="J1602" s="4" t="n"/>
      <c r="K1602" s="4" t="n"/>
      <c r="L1602" s="4" t="n"/>
      <c r="M1602" s="4" t="n"/>
      <c r="N1602" s="4">
        <f>IF(AND(K1602="",M1602=""),"",IF(OR(K1602="sim",M1602="sim"),"sim",IF(OR(K1602="inconclusivo",M1602="inconclusivo"),"inconclusivo","não")))</f>
        <v/>
      </c>
      <c r="O1602" s="5">
        <f>IF(N1602="sim",COUNTIFS($B$3:$B1602,$B1602,$N$3:$N1602,"sim"),"")</f>
        <v/>
      </c>
      <c r="P1602" s="5" t="n"/>
      <c r="Q1602" s="4" t="n"/>
      <c r="R1602" s="5" t="n"/>
      <c r="S1602" s="9" t="n"/>
      <c r="T1602" s="4" t="n"/>
    </row>
    <row r="1603">
      <c r="A1603" s="5">
        <f>ROW()-2</f>
        <v/>
      </c>
      <c r="B1603" s="4" t="inlineStr">
        <is>
          <t>Capital regional</t>
        </is>
      </c>
      <c r="C1603" s="5" t="n">
        <v>659</v>
      </c>
      <c r="D1603" s="5">
        <f>IFERROR(INDEX('Base de sorteio'!$A$3:$A$1723,MATCH($B1603&amp;"|"&amp;$C1603,'Base de sorteio'!$I$3:$I$1723,0)),"")</f>
        <v/>
      </c>
      <c r="E1603" s="4">
        <f>IFERROR(INDEX('Base de sorteio'!$B$3:$B$1723,MATCH($B1603&amp;"|"&amp;$C1603,'Base de sorteio'!$I$3:$I$1723,0)),"")</f>
        <v/>
      </c>
      <c r="F1603" s="4">
        <f>IFERROR(INDEX('Base de sorteio'!$C$3:$C$1723,MATCH($B1603&amp;"|"&amp;$C1603,'Base de sorteio'!$I$3:$I$1723,0)),"")</f>
        <v/>
      </c>
      <c r="G1603" s="4">
        <f>IFERROR(INDEX('Base de sorteio'!$D$3:$D$1723,MATCH($B1603&amp;"|"&amp;$C1603,'Base de sorteio'!$I$3:$I$1723,0)),"")</f>
        <v/>
      </c>
      <c r="H1603" s="4">
        <f>IFERROR(INDEX('Base de sorteio'!$E$3:$E$1723,MATCH($B1603&amp;"|"&amp;$C1603,'Base de sorteio'!$I$3:$I$1723,0)),"")</f>
        <v/>
      </c>
      <c r="I1603" s="4">
        <f>IF(E1603="","",HYPERLINK(IFERROR(INDEX('Base de sorteio'!$J$3:$J$1723,MATCH($B1603&amp;"|"&amp;$C1603,'Base de sorteio'!$I$3:$I$1723,0)),""),"abrir"))</f>
        <v/>
      </c>
      <c r="J1603" s="4" t="n"/>
      <c r="K1603" s="4" t="n"/>
      <c r="L1603" s="4" t="n"/>
      <c r="M1603" s="4" t="n"/>
      <c r="N1603" s="4">
        <f>IF(AND(K1603="",M1603=""),"",IF(OR(K1603="sim",M1603="sim"),"sim",IF(OR(K1603="inconclusivo",M1603="inconclusivo"),"inconclusivo","não")))</f>
        <v/>
      </c>
      <c r="O1603" s="5">
        <f>IF(N1603="sim",COUNTIFS($B$3:$B1603,$B1603,$N$3:$N1603,"sim"),"")</f>
        <v/>
      </c>
      <c r="P1603" s="5" t="n"/>
      <c r="Q1603" s="4" t="n"/>
      <c r="R1603" s="5" t="n"/>
      <c r="S1603" s="9" t="n"/>
      <c r="T1603" s="4" t="n"/>
    </row>
    <row r="1604">
      <c r="A1604" s="5">
        <f>ROW()-2</f>
        <v/>
      </c>
      <c r="B1604" s="4" t="inlineStr">
        <is>
          <t>Capital regional</t>
        </is>
      </c>
      <c r="C1604" s="5" t="n">
        <v>660</v>
      </c>
      <c r="D1604" s="5">
        <f>IFERROR(INDEX('Base de sorteio'!$A$3:$A$1723,MATCH($B1604&amp;"|"&amp;$C1604,'Base de sorteio'!$I$3:$I$1723,0)),"")</f>
        <v/>
      </c>
      <c r="E1604" s="4">
        <f>IFERROR(INDEX('Base de sorteio'!$B$3:$B$1723,MATCH($B1604&amp;"|"&amp;$C1604,'Base de sorteio'!$I$3:$I$1723,0)),"")</f>
        <v/>
      </c>
      <c r="F1604" s="4">
        <f>IFERROR(INDEX('Base de sorteio'!$C$3:$C$1723,MATCH($B1604&amp;"|"&amp;$C1604,'Base de sorteio'!$I$3:$I$1723,0)),"")</f>
        <v/>
      </c>
      <c r="G1604" s="4">
        <f>IFERROR(INDEX('Base de sorteio'!$D$3:$D$1723,MATCH($B1604&amp;"|"&amp;$C1604,'Base de sorteio'!$I$3:$I$1723,0)),"")</f>
        <v/>
      </c>
      <c r="H1604" s="4">
        <f>IFERROR(INDEX('Base de sorteio'!$E$3:$E$1723,MATCH($B1604&amp;"|"&amp;$C1604,'Base de sorteio'!$I$3:$I$1723,0)),"")</f>
        <v/>
      </c>
      <c r="I1604" s="4">
        <f>IF(E1604="","",HYPERLINK(IFERROR(INDEX('Base de sorteio'!$J$3:$J$1723,MATCH($B1604&amp;"|"&amp;$C1604,'Base de sorteio'!$I$3:$I$1723,0)),""),"abrir"))</f>
        <v/>
      </c>
      <c r="J1604" s="4" t="n"/>
      <c r="K1604" s="4" t="n"/>
      <c r="L1604" s="4" t="n"/>
      <c r="M1604" s="4" t="n"/>
      <c r="N1604" s="4">
        <f>IF(AND(K1604="",M1604=""),"",IF(OR(K1604="sim",M1604="sim"),"sim",IF(OR(K1604="inconclusivo",M1604="inconclusivo"),"inconclusivo","não")))</f>
        <v/>
      </c>
      <c r="O1604" s="5">
        <f>IF(N1604="sim",COUNTIFS($B$3:$B1604,$B1604,$N$3:$N1604,"sim"),"")</f>
        <v/>
      </c>
      <c r="P1604" s="5" t="n"/>
      <c r="Q1604" s="4" t="n"/>
      <c r="R1604" s="5" t="n"/>
      <c r="S1604" s="9" t="n"/>
      <c r="T1604" s="4" t="n"/>
    </row>
    <row r="1605">
      <c r="A1605" s="5">
        <f>ROW()-2</f>
        <v/>
      </c>
      <c r="B1605" s="4" t="inlineStr">
        <is>
          <t>Capital regional</t>
        </is>
      </c>
      <c r="C1605" s="5" t="n">
        <v>661</v>
      </c>
      <c r="D1605" s="5">
        <f>IFERROR(INDEX('Base de sorteio'!$A$3:$A$1723,MATCH($B1605&amp;"|"&amp;$C1605,'Base de sorteio'!$I$3:$I$1723,0)),"")</f>
        <v/>
      </c>
      <c r="E1605" s="4">
        <f>IFERROR(INDEX('Base de sorteio'!$B$3:$B$1723,MATCH($B1605&amp;"|"&amp;$C1605,'Base de sorteio'!$I$3:$I$1723,0)),"")</f>
        <v/>
      </c>
      <c r="F1605" s="4">
        <f>IFERROR(INDEX('Base de sorteio'!$C$3:$C$1723,MATCH($B1605&amp;"|"&amp;$C1605,'Base de sorteio'!$I$3:$I$1723,0)),"")</f>
        <v/>
      </c>
      <c r="G1605" s="4">
        <f>IFERROR(INDEX('Base de sorteio'!$D$3:$D$1723,MATCH($B1605&amp;"|"&amp;$C1605,'Base de sorteio'!$I$3:$I$1723,0)),"")</f>
        <v/>
      </c>
      <c r="H1605" s="4">
        <f>IFERROR(INDEX('Base de sorteio'!$E$3:$E$1723,MATCH($B1605&amp;"|"&amp;$C1605,'Base de sorteio'!$I$3:$I$1723,0)),"")</f>
        <v/>
      </c>
      <c r="I1605" s="4">
        <f>IF(E1605="","",HYPERLINK(IFERROR(INDEX('Base de sorteio'!$J$3:$J$1723,MATCH($B1605&amp;"|"&amp;$C1605,'Base de sorteio'!$I$3:$I$1723,0)),""),"abrir"))</f>
        <v/>
      </c>
      <c r="J1605" s="4" t="n"/>
      <c r="K1605" s="4" t="n"/>
      <c r="L1605" s="4" t="n"/>
      <c r="M1605" s="4" t="n"/>
      <c r="N1605" s="4">
        <f>IF(AND(K1605="",M1605=""),"",IF(OR(K1605="sim",M1605="sim"),"sim",IF(OR(K1605="inconclusivo",M1605="inconclusivo"),"inconclusivo","não")))</f>
        <v/>
      </c>
      <c r="O1605" s="5">
        <f>IF(N1605="sim",COUNTIFS($B$3:$B1605,$B1605,$N$3:$N1605,"sim"),"")</f>
        <v/>
      </c>
      <c r="P1605" s="5" t="n"/>
      <c r="Q1605" s="4" t="n"/>
      <c r="R1605" s="5" t="n"/>
      <c r="S1605" s="9" t="n"/>
      <c r="T1605" s="4" t="n"/>
    </row>
    <row r="1606">
      <c r="A1606" s="5">
        <f>ROW()-2</f>
        <v/>
      </c>
      <c r="B1606" s="4" t="inlineStr">
        <is>
          <t>Capital regional</t>
        </is>
      </c>
      <c r="C1606" s="5" t="n">
        <v>662</v>
      </c>
      <c r="D1606" s="5">
        <f>IFERROR(INDEX('Base de sorteio'!$A$3:$A$1723,MATCH($B1606&amp;"|"&amp;$C1606,'Base de sorteio'!$I$3:$I$1723,0)),"")</f>
        <v/>
      </c>
      <c r="E1606" s="4">
        <f>IFERROR(INDEX('Base de sorteio'!$B$3:$B$1723,MATCH($B1606&amp;"|"&amp;$C1606,'Base de sorteio'!$I$3:$I$1723,0)),"")</f>
        <v/>
      </c>
      <c r="F1606" s="4">
        <f>IFERROR(INDEX('Base de sorteio'!$C$3:$C$1723,MATCH($B1606&amp;"|"&amp;$C1606,'Base de sorteio'!$I$3:$I$1723,0)),"")</f>
        <v/>
      </c>
      <c r="G1606" s="4">
        <f>IFERROR(INDEX('Base de sorteio'!$D$3:$D$1723,MATCH($B1606&amp;"|"&amp;$C1606,'Base de sorteio'!$I$3:$I$1723,0)),"")</f>
        <v/>
      </c>
      <c r="H1606" s="4">
        <f>IFERROR(INDEX('Base de sorteio'!$E$3:$E$1723,MATCH($B1606&amp;"|"&amp;$C1606,'Base de sorteio'!$I$3:$I$1723,0)),"")</f>
        <v/>
      </c>
      <c r="I1606" s="4">
        <f>IF(E1606="","",HYPERLINK(IFERROR(INDEX('Base de sorteio'!$J$3:$J$1723,MATCH($B1606&amp;"|"&amp;$C1606,'Base de sorteio'!$I$3:$I$1723,0)),""),"abrir"))</f>
        <v/>
      </c>
      <c r="J1606" s="4" t="n"/>
      <c r="K1606" s="4" t="n"/>
      <c r="L1606" s="4" t="n"/>
      <c r="M1606" s="4" t="n"/>
      <c r="N1606" s="4">
        <f>IF(AND(K1606="",M1606=""),"",IF(OR(K1606="sim",M1606="sim"),"sim",IF(OR(K1606="inconclusivo",M1606="inconclusivo"),"inconclusivo","não")))</f>
        <v/>
      </c>
      <c r="O1606" s="5">
        <f>IF(N1606="sim",COUNTIFS($B$3:$B1606,$B1606,$N$3:$N1606,"sim"),"")</f>
        <v/>
      </c>
      <c r="P1606" s="5" t="n"/>
      <c r="Q1606" s="4" t="n"/>
      <c r="R1606" s="5" t="n"/>
      <c r="S1606" s="9" t="n"/>
      <c r="T1606" s="4" t="n"/>
    </row>
    <row r="1607">
      <c r="A1607" s="5">
        <f>ROW()-2</f>
        <v/>
      </c>
      <c r="B1607" s="4" t="inlineStr">
        <is>
          <t>Capital regional</t>
        </is>
      </c>
      <c r="C1607" s="5" t="n">
        <v>663</v>
      </c>
      <c r="D1607" s="5">
        <f>IFERROR(INDEX('Base de sorteio'!$A$3:$A$1723,MATCH($B1607&amp;"|"&amp;$C1607,'Base de sorteio'!$I$3:$I$1723,0)),"")</f>
        <v/>
      </c>
      <c r="E1607" s="4">
        <f>IFERROR(INDEX('Base de sorteio'!$B$3:$B$1723,MATCH($B1607&amp;"|"&amp;$C1607,'Base de sorteio'!$I$3:$I$1723,0)),"")</f>
        <v/>
      </c>
      <c r="F1607" s="4">
        <f>IFERROR(INDEX('Base de sorteio'!$C$3:$C$1723,MATCH($B1607&amp;"|"&amp;$C1607,'Base de sorteio'!$I$3:$I$1723,0)),"")</f>
        <v/>
      </c>
      <c r="G1607" s="4">
        <f>IFERROR(INDEX('Base de sorteio'!$D$3:$D$1723,MATCH($B1607&amp;"|"&amp;$C1607,'Base de sorteio'!$I$3:$I$1723,0)),"")</f>
        <v/>
      </c>
      <c r="H1607" s="4">
        <f>IFERROR(INDEX('Base de sorteio'!$E$3:$E$1723,MATCH($B1607&amp;"|"&amp;$C1607,'Base de sorteio'!$I$3:$I$1723,0)),"")</f>
        <v/>
      </c>
      <c r="I1607" s="4">
        <f>IF(E1607="","",HYPERLINK(IFERROR(INDEX('Base de sorteio'!$J$3:$J$1723,MATCH($B1607&amp;"|"&amp;$C1607,'Base de sorteio'!$I$3:$I$1723,0)),""),"abrir"))</f>
        <v/>
      </c>
      <c r="J1607" s="4" t="n"/>
      <c r="K1607" s="4" t="n"/>
      <c r="L1607" s="4" t="n"/>
      <c r="M1607" s="4" t="n"/>
      <c r="N1607" s="4">
        <f>IF(AND(K1607="",M1607=""),"",IF(OR(K1607="sim",M1607="sim"),"sim",IF(OR(K1607="inconclusivo",M1607="inconclusivo"),"inconclusivo","não")))</f>
        <v/>
      </c>
      <c r="O1607" s="5">
        <f>IF(N1607="sim",COUNTIFS($B$3:$B1607,$B1607,$N$3:$N1607,"sim"),"")</f>
        <v/>
      </c>
      <c r="P1607" s="5" t="n"/>
      <c r="Q1607" s="4" t="n"/>
      <c r="R1607" s="5" t="n"/>
      <c r="S1607" s="9" t="n"/>
      <c r="T1607" s="4" t="n"/>
    </row>
    <row r="1608">
      <c r="A1608" s="5">
        <f>ROW()-2</f>
        <v/>
      </c>
      <c r="B1608" s="4" t="inlineStr">
        <is>
          <t>Capital regional</t>
        </is>
      </c>
      <c r="C1608" s="5" t="n">
        <v>664</v>
      </c>
      <c r="D1608" s="5">
        <f>IFERROR(INDEX('Base de sorteio'!$A$3:$A$1723,MATCH($B1608&amp;"|"&amp;$C1608,'Base de sorteio'!$I$3:$I$1723,0)),"")</f>
        <v/>
      </c>
      <c r="E1608" s="4">
        <f>IFERROR(INDEX('Base de sorteio'!$B$3:$B$1723,MATCH($B1608&amp;"|"&amp;$C1608,'Base de sorteio'!$I$3:$I$1723,0)),"")</f>
        <v/>
      </c>
      <c r="F1608" s="4">
        <f>IFERROR(INDEX('Base de sorteio'!$C$3:$C$1723,MATCH($B1608&amp;"|"&amp;$C1608,'Base de sorteio'!$I$3:$I$1723,0)),"")</f>
        <v/>
      </c>
      <c r="G1608" s="4">
        <f>IFERROR(INDEX('Base de sorteio'!$D$3:$D$1723,MATCH($B1608&amp;"|"&amp;$C1608,'Base de sorteio'!$I$3:$I$1723,0)),"")</f>
        <v/>
      </c>
      <c r="H1608" s="4">
        <f>IFERROR(INDEX('Base de sorteio'!$E$3:$E$1723,MATCH($B1608&amp;"|"&amp;$C1608,'Base de sorteio'!$I$3:$I$1723,0)),"")</f>
        <v/>
      </c>
      <c r="I1608" s="4">
        <f>IF(E1608="","",HYPERLINK(IFERROR(INDEX('Base de sorteio'!$J$3:$J$1723,MATCH($B1608&amp;"|"&amp;$C1608,'Base de sorteio'!$I$3:$I$1723,0)),""),"abrir"))</f>
        <v/>
      </c>
      <c r="J1608" s="4" t="n"/>
      <c r="K1608" s="4" t="n"/>
      <c r="L1608" s="4" t="n"/>
      <c r="M1608" s="4" t="n"/>
      <c r="N1608" s="4">
        <f>IF(AND(K1608="",M1608=""),"",IF(OR(K1608="sim",M1608="sim"),"sim",IF(OR(K1608="inconclusivo",M1608="inconclusivo"),"inconclusivo","não")))</f>
        <v/>
      </c>
      <c r="O1608" s="5">
        <f>IF(N1608="sim",COUNTIFS($B$3:$B1608,$B1608,$N$3:$N1608,"sim"),"")</f>
        <v/>
      </c>
      <c r="P1608" s="5" t="n"/>
      <c r="Q1608" s="4" t="n"/>
      <c r="R1608" s="5" t="n"/>
      <c r="S1608" s="9" t="n"/>
      <c r="T1608" s="4" t="n"/>
    </row>
    <row r="1609">
      <c r="A1609" s="5">
        <f>ROW()-2</f>
        <v/>
      </c>
      <c r="B1609" s="4" t="inlineStr">
        <is>
          <t>Capital regional</t>
        </is>
      </c>
      <c r="C1609" s="5" t="n">
        <v>665</v>
      </c>
      <c r="D1609" s="5">
        <f>IFERROR(INDEX('Base de sorteio'!$A$3:$A$1723,MATCH($B1609&amp;"|"&amp;$C1609,'Base de sorteio'!$I$3:$I$1723,0)),"")</f>
        <v/>
      </c>
      <c r="E1609" s="4">
        <f>IFERROR(INDEX('Base de sorteio'!$B$3:$B$1723,MATCH($B1609&amp;"|"&amp;$C1609,'Base de sorteio'!$I$3:$I$1723,0)),"")</f>
        <v/>
      </c>
      <c r="F1609" s="4">
        <f>IFERROR(INDEX('Base de sorteio'!$C$3:$C$1723,MATCH($B1609&amp;"|"&amp;$C1609,'Base de sorteio'!$I$3:$I$1723,0)),"")</f>
        <v/>
      </c>
      <c r="G1609" s="4">
        <f>IFERROR(INDEX('Base de sorteio'!$D$3:$D$1723,MATCH($B1609&amp;"|"&amp;$C1609,'Base de sorteio'!$I$3:$I$1723,0)),"")</f>
        <v/>
      </c>
      <c r="H1609" s="4">
        <f>IFERROR(INDEX('Base de sorteio'!$E$3:$E$1723,MATCH($B1609&amp;"|"&amp;$C1609,'Base de sorteio'!$I$3:$I$1723,0)),"")</f>
        <v/>
      </c>
      <c r="I1609" s="4">
        <f>IF(E1609="","",HYPERLINK(IFERROR(INDEX('Base de sorteio'!$J$3:$J$1723,MATCH($B1609&amp;"|"&amp;$C1609,'Base de sorteio'!$I$3:$I$1723,0)),""),"abrir"))</f>
        <v/>
      </c>
      <c r="J1609" s="4" t="n"/>
      <c r="K1609" s="4" t="n"/>
      <c r="L1609" s="4" t="n"/>
      <c r="M1609" s="4" t="n"/>
      <c r="N1609" s="4">
        <f>IF(AND(K1609="",M1609=""),"",IF(OR(K1609="sim",M1609="sim"),"sim",IF(OR(K1609="inconclusivo",M1609="inconclusivo"),"inconclusivo","não")))</f>
        <v/>
      </c>
      <c r="O1609" s="5">
        <f>IF(N1609="sim",COUNTIFS($B$3:$B1609,$B1609,$N$3:$N1609,"sim"),"")</f>
        <v/>
      </c>
      <c r="P1609" s="5" t="n"/>
      <c r="Q1609" s="4" t="n"/>
      <c r="R1609" s="5" t="n"/>
      <c r="S1609" s="9" t="n"/>
      <c r="T1609" s="4" t="n"/>
    </row>
    <row r="1610">
      <c r="A1610" s="5">
        <f>ROW()-2</f>
        <v/>
      </c>
      <c r="B1610" s="4" t="inlineStr">
        <is>
          <t>Capital regional</t>
        </is>
      </c>
      <c r="C1610" s="5" t="n">
        <v>666</v>
      </c>
      <c r="D1610" s="5">
        <f>IFERROR(INDEX('Base de sorteio'!$A$3:$A$1723,MATCH($B1610&amp;"|"&amp;$C1610,'Base de sorteio'!$I$3:$I$1723,0)),"")</f>
        <v/>
      </c>
      <c r="E1610" s="4">
        <f>IFERROR(INDEX('Base de sorteio'!$B$3:$B$1723,MATCH($B1610&amp;"|"&amp;$C1610,'Base de sorteio'!$I$3:$I$1723,0)),"")</f>
        <v/>
      </c>
      <c r="F1610" s="4">
        <f>IFERROR(INDEX('Base de sorteio'!$C$3:$C$1723,MATCH($B1610&amp;"|"&amp;$C1610,'Base de sorteio'!$I$3:$I$1723,0)),"")</f>
        <v/>
      </c>
      <c r="G1610" s="4">
        <f>IFERROR(INDEX('Base de sorteio'!$D$3:$D$1723,MATCH($B1610&amp;"|"&amp;$C1610,'Base de sorteio'!$I$3:$I$1723,0)),"")</f>
        <v/>
      </c>
      <c r="H1610" s="4">
        <f>IFERROR(INDEX('Base de sorteio'!$E$3:$E$1723,MATCH($B1610&amp;"|"&amp;$C1610,'Base de sorteio'!$I$3:$I$1723,0)),"")</f>
        <v/>
      </c>
      <c r="I1610" s="4">
        <f>IF(E1610="","",HYPERLINK(IFERROR(INDEX('Base de sorteio'!$J$3:$J$1723,MATCH($B1610&amp;"|"&amp;$C1610,'Base de sorteio'!$I$3:$I$1723,0)),""),"abrir"))</f>
        <v/>
      </c>
      <c r="J1610" s="4" t="n"/>
      <c r="K1610" s="4" t="n"/>
      <c r="L1610" s="4" t="n"/>
      <c r="M1610" s="4" t="n"/>
      <c r="N1610" s="4">
        <f>IF(AND(K1610="",M1610=""),"",IF(OR(K1610="sim",M1610="sim"),"sim",IF(OR(K1610="inconclusivo",M1610="inconclusivo"),"inconclusivo","não")))</f>
        <v/>
      </c>
      <c r="O1610" s="5">
        <f>IF(N1610="sim",COUNTIFS($B$3:$B1610,$B1610,$N$3:$N1610,"sim"),"")</f>
        <v/>
      </c>
      <c r="P1610" s="5" t="n"/>
      <c r="Q1610" s="4" t="n"/>
      <c r="R1610" s="5" t="n"/>
      <c r="S1610" s="9" t="n"/>
      <c r="T1610" s="4" t="n"/>
    </row>
    <row r="1611">
      <c r="A1611" s="5">
        <f>ROW()-2</f>
        <v/>
      </c>
      <c r="B1611" s="4" t="inlineStr">
        <is>
          <t>Capital regional</t>
        </is>
      </c>
      <c r="C1611" s="5" t="n">
        <v>667</v>
      </c>
      <c r="D1611" s="5">
        <f>IFERROR(INDEX('Base de sorteio'!$A$3:$A$1723,MATCH($B1611&amp;"|"&amp;$C1611,'Base de sorteio'!$I$3:$I$1723,0)),"")</f>
        <v/>
      </c>
      <c r="E1611" s="4">
        <f>IFERROR(INDEX('Base de sorteio'!$B$3:$B$1723,MATCH($B1611&amp;"|"&amp;$C1611,'Base de sorteio'!$I$3:$I$1723,0)),"")</f>
        <v/>
      </c>
      <c r="F1611" s="4">
        <f>IFERROR(INDEX('Base de sorteio'!$C$3:$C$1723,MATCH($B1611&amp;"|"&amp;$C1611,'Base de sorteio'!$I$3:$I$1723,0)),"")</f>
        <v/>
      </c>
      <c r="G1611" s="4">
        <f>IFERROR(INDEX('Base de sorteio'!$D$3:$D$1723,MATCH($B1611&amp;"|"&amp;$C1611,'Base de sorteio'!$I$3:$I$1723,0)),"")</f>
        <v/>
      </c>
      <c r="H1611" s="4">
        <f>IFERROR(INDEX('Base de sorteio'!$E$3:$E$1723,MATCH($B1611&amp;"|"&amp;$C1611,'Base de sorteio'!$I$3:$I$1723,0)),"")</f>
        <v/>
      </c>
      <c r="I1611" s="4">
        <f>IF(E1611="","",HYPERLINK(IFERROR(INDEX('Base de sorteio'!$J$3:$J$1723,MATCH($B1611&amp;"|"&amp;$C1611,'Base de sorteio'!$I$3:$I$1723,0)),""),"abrir"))</f>
        <v/>
      </c>
      <c r="J1611" s="4" t="n"/>
      <c r="K1611" s="4" t="n"/>
      <c r="L1611" s="4" t="n"/>
      <c r="M1611" s="4" t="n"/>
      <c r="N1611" s="4">
        <f>IF(AND(K1611="",M1611=""),"",IF(OR(K1611="sim",M1611="sim"),"sim",IF(OR(K1611="inconclusivo",M1611="inconclusivo"),"inconclusivo","não")))</f>
        <v/>
      </c>
      <c r="O1611" s="5">
        <f>IF(N1611="sim",COUNTIFS($B$3:$B1611,$B1611,$N$3:$N1611,"sim"),"")</f>
        <v/>
      </c>
      <c r="P1611" s="5" t="n"/>
      <c r="Q1611" s="4" t="n"/>
      <c r="R1611" s="5" t="n"/>
      <c r="S1611" s="9" t="n"/>
      <c r="T1611" s="4" t="n"/>
    </row>
    <row r="1612">
      <c r="A1612" s="5">
        <f>ROW()-2</f>
        <v/>
      </c>
      <c r="B1612" s="4" t="inlineStr">
        <is>
          <t>Capital regional</t>
        </is>
      </c>
      <c r="C1612" s="5" t="n">
        <v>668</v>
      </c>
      <c r="D1612" s="5">
        <f>IFERROR(INDEX('Base de sorteio'!$A$3:$A$1723,MATCH($B1612&amp;"|"&amp;$C1612,'Base de sorteio'!$I$3:$I$1723,0)),"")</f>
        <v/>
      </c>
      <c r="E1612" s="4">
        <f>IFERROR(INDEX('Base de sorteio'!$B$3:$B$1723,MATCH($B1612&amp;"|"&amp;$C1612,'Base de sorteio'!$I$3:$I$1723,0)),"")</f>
        <v/>
      </c>
      <c r="F1612" s="4">
        <f>IFERROR(INDEX('Base de sorteio'!$C$3:$C$1723,MATCH($B1612&amp;"|"&amp;$C1612,'Base de sorteio'!$I$3:$I$1723,0)),"")</f>
        <v/>
      </c>
      <c r="G1612" s="4">
        <f>IFERROR(INDEX('Base de sorteio'!$D$3:$D$1723,MATCH($B1612&amp;"|"&amp;$C1612,'Base de sorteio'!$I$3:$I$1723,0)),"")</f>
        <v/>
      </c>
      <c r="H1612" s="4">
        <f>IFERROR(INDEX('Base de sorteio'!$E$3:$E$1723,MATCH($B1612&amp;"|"&amp;$C1612,'Base de sorteio'!$I$3:$I$1723,0)),"")</f>
        <v/>
      </c>
      <c r="I1612" s="4">
        <f>IF(E1612="","",HYPERLINK(IFERROR(INDEX('Base de sorteio'!$J$3:$J$1723,MATCH($B1612&amp;"|"&amp;$C1612,'Base de sorteio'!$I$3:$I$1723,0)),""),"abrir"))</f>
        <v/>
      </c>
      <c r="J1612" s="4" t="n"/>
      <c r="K1612" s="4" t="n"/>
      <c r="L1612" s="4" t="n"/>
      <c r="M1612" s="4" t="n"/>
      <c r="N1612" s="4">
        <f>IF(AND(K1612="",M1612=""),"",IF(OR(K1612="sim",M1612="sim"),"sim",IF(OR(K1612="inconclusivo",M1612="inconclusivo"),"inconclusivo","não")))</f>
        <v/>
      </c>
      <c r="O1612" s="5">
        <f>IF(N1612="sim",COUNTIFS($B$3:$B1612,$B1612,$N$3:$N1612,"sim"),"")</f>
        <v/>
      </c>
      <c r="P1612" s="5" t="n"/>
      <c r="Q1612" s="4" t="n"/>
      <c r="R1612" s="5" t="n"/>
      <c r="S1612" s="9" t="n"/>
      <c r="T1612" s="4" t="n"/>
    </row>
    <row r="1613">
      <c r="A1613" s="5">
        <f>ROW()-2</f>
        <v/>
      </c>
      <c r="B1613" s="4" t="inlineStr">
        <is>
          <t>Capital regional</t>
        </is>
      </c>
      <c r="C1613" s="5" t="n">
        <v>669</v>
      </c>
      <c r="D1613" s="5">
        <f>IFERROR(INDEX('Base de sorteio'!$A$3:$A$1723,MATCH($B1613&amp;"|"&amp;$C1613,'Base de sorteio'!$I$3:$I$1723,0)),"")</f>
        <v/>
      </c>
      <c r="E1613" s="4">
        <f>IFERROR(INDEX('Base de sorteio'!$B$3:$B$1723,MATCH($B1613&amp;"|"&amp;$C1613,'Base de sorteio'!$I$3:$I$1723,0)),"")</f>
        <v/>
      </c>
      <c r="F1613" s="4">
        <f>IFERROR(INDEX('Base de sorteio'!$C$3:$C$1723,MATCH($B1613&amp;"|"&amp;$C1613,'Base de sorteio'!$I$3:$I$1723,0)),"")</f>
        <v/>
      </c>
      <c r="G1613" s="4">
        <f>IFERROR(INDEX('Base de sorteio'!$D$3:$D$1723,MATCH($B1613&amp;"|"&amp;$C1613,'Base de sorteio'!$I$3:$I$1723,0)),"")</f>
        <v/>
      </c>
      <c r="H1613" s="4">
        <f>IFERROR(INDEX('Base de sorteio'!$E$3:$E$1723,MATCH($B1613&amp;"|"&amp;$C1613,'Base de sorteio'!$I$3:$I$1723,0)),"")</f>
        <v/>
      </c>
      <c r="I1613" s="4">
        <f>IF(E1613="","",HYPERLINK(IFERROR(INDEX('Base de sorteio'!$J$3:$J$1723,MATCH($B1613&amp;"|"&amp;$C1613,'Base de sorteio'!$I$3:$I$1723,0)),""),"abrir"))</f>
        <v/>
      </c>
      <c r="J1613" s="4" t="n"/>
      <c r="K1613" s="4" t="n"/>
      <c r="L1613" s="4" t="n"/>
      <c r="M1613" s="4" t="n"/>
      <c r="N1613" s="4">
        <f>IF(AND(K1613="",M1613=""),"",IF(OR(K1613="sim",M1613="sim"),"sim",IF(OR(K1613="inconclusivo",M1613="inconclusivo"),"inconclusivo","não")))</f>
        <v/>
      </c>
      <c r="O1613" s="5">
        <f>IF(N1613="sim",COUNTIFS($B$3:$B1613,$B1613,$N$3:$N1613,"sim"),"")</f>
        <v/>
      </c>
      <c r="P1613" s="5" t="n"/>
      <c r="Q1613" s="4" t="n"/>
      <c r="R1613" s="5" t="n"/>
      <c r="S1613" s="9" t="n"/>
      <c r="T1613" s="4" t="n"/>
    </row>
    <row r="1614">
      <c r="A1614" s="5">
        <f>ROW()-2</f>
        <v/>
      </c>
      <c r="B1614" s="4" t="inlineStr">
        <is>
          <t>Capital regional</t>
        </is>
      </c>
      <c r="C1614" s="5" t="n">
        <v>670</v>
      </c>
      <c r="D1614" s="5">
        <f>IFERROR(INDEX('Base de sorteio'!$A$3:$A$1723,MATCH($B1614&amp;"|"&amp;$C1614,'Base de sorteio'!$I$3:$I$1723,0)),"")</f>
        <v/>
      </c>
      <c r="E1614" s="4">
        <f>IFERROR(INDEX('Base de sorteio'!$B$3:$B$1723,MATCH($B1614&amp;"|"&amp;$C1614,'Base de sorteio'!$I$3:$I$1723,0)),"")</f>
        <v/>
      </c>
      <c r="F1614" s="4">
        <f>IFERROR(INDEX('Base de sorteio'!$C$3:$C$1723,MATCH($B1614&amp;"|"&amp;$C1614,'Base de sorteio'!$I$3:$I$1723,0)),"")</f>
        <v/>
      </c>
      <c r="G1614" s="4">
        <f>IFERROR(INDEX('Base de sorteio'!$D$3:$D$1723,MATCH($B1614&amp;"|"&amp;$C1614,'Base de sorteio'!$I$3:$I$1723,0)),"")</f>
        <v/>
      </c>
      <c r="H1614" s="4">
        <f>IFERROR(INDEX('Base de sorteio'!$E$3:$E$1723,MATCH($B1614&amp;"|"&amp;$C1614,'Base de sorteio'!$I$3:$I$1723,0)),"")</f>
        <v/>
      </c>
      <c r="I1614" s="4">
        <f>IF(E1614="","",HYPERLINK(IFERROR(INDEX('Base de sorteio'!$J$3:$J$1723,MATCH($B1614&amp;"|"&amp;$C1614,'Base de sorteio'!$I$3:$I$1723,0)),""),"abrir"))</f>
        <v/>
      </c>
      <c r="J1614" s="4" t="n"/>
      <c r="K1614" s="4" t="n"/>
      <c r="L1614" s="4" t="n"/>
      <c r="M1614" s="4" t="n"/>
      <c r="N1614" s="4">
        <f>IF(AND(K1614="",M1614=""),"",IF(OR(K1614="sim",M1614="sim"),"sim",IF(OR(K1614="inconclusivo",M1614="inconclusivo"),"inconclusivo","não")))</f>
        <v/>
      </c>
      <c r="O1614" s="5">
        <f>IF(N1614="sim",COUNTIFS($B$3:$B1614,$B1614,$N$3:$N1614,"sim"),"")</f>
        <v/>
      </c>
      <c r="P1614" s="5" t="n"/>
      <c r="Q1614" s="4" t="n"/>
      <c r="R1614" s="5" t="n"/>
      <c r="S1614" s="9" t="n"/>
      <c r="T1614" s="4" t="n"/>
    </row>
    <row r="1615">
      <c r="A1615" s="5">
        <f>ROW()-2</f>
        <v/>
      </c>
      <c r="B1615" s="4" t="inlineStr">
        <is>
          <t>Capital regional</t>
        </is>
      </c>
      <c r="C1615" s="5" t="n">
        <v>671</v>
      </c>
      <c r="D1615" s="5">
        <f>IFERROR(INDEX('Base de sorteio'!$A$3:$A$1723,MATCH($B1615&amp;"|"&amp;$C1615,'Base de sorteio'!$I$3:$I$1723,0)),"")</f>
        <v/>
      </c>
      <c r="E1615" s="4">
        <f>IFERROR(INDEX('Base de sorteio'!$B$3:$B$1723,MATCH($B1615&amp;"|"&amp;$C1615,'Base de sorteio'!$I$3:$I$1723,0)),"")</f>
        <v/>
      </c>
      <c r="F1615" s="4">
        <f>IFERROR(INDEX('Base de sorteio'!$C$3:$C$1723,MATCH($B1615&amp;"|"&amp;$C1615,'Base de sorteio'!$I$3:$I$1723,0)),"")</f>
        <v/>
      </c>
      <c r="G1615" s="4">
        <f>IFERROR(INDEX('Base de sorteio'!$D$3:$D$1723,MATCH($B1615&amp;"|"&amp;$C1615,'Base de sorteio'!$I$3:$I$1723,0)),"")</f>
        <v/>
      </c>
      <c r="H1615" s="4">
        <f>IFERROR(INDEX('Base de sorteio'!$E$3:$E$1723,MATCH($B1615&amp;"|"&amp;$C1615,'Base de sorteio'!$I$3:$I$1723,0)),"")</f>
        <v/>
      </c>
      <c r="I1615" s="4">
        <f>IF(E1615="","",HYPERLINK(IFERROR(INDEX('Base de sorteio'!$J$3:$J$1723,MATCH($B1615&amp;"|"&amp;$C1615,'Base de sorteio'!$I$3:$I$1723,0)),""),"abrir"))</f>
        <v/>
      </c>
      <c r="J1615" s="4" t="n"/>
      <c r="K1615" s="4" t="n"/>
      <c r="L1615" s="4" t="n"/>
      <c r="M1615" s="4" t="n"/>
      <c r="N1615" s="4">
        <f>IF(AND(K1615="",M1615=""),"",IF(OR(K1615="sim",M1615="sim"),"sim",IF(OR(K1615="inconclusivo",M1615="inconclusivo"),"inconclusivo","não")))</f>
        <v/>
      </c>
      <c r="O1615" s="5">
        <f>IF(N1615="sim",COUNTIFS($B$3:$B1615,$B1615,$N$3:$N1615,"sim"),"")</f>
        <v/>
      </c>
      <c r="P1615" s="5" t="n"/>
      <c r="Q1615" s="4" t="n"/>
      <c r="R1615" s="5" t="n"/>
      <c r="S1615" s="9" t="n"/>
      <c r="T1615" s="4" t="n"/>
    </row>
    <row r="1616">
      <c r="A1616" s="5">
        <f>ROW()-2</f>
        <v/>
      </c>
      <c r="B1616" s="4" t="inlineStr">
        <is>
          <t>Capital regional</t>
        </is>
      </c>
      <c r="C1616" s="5" t="n">
        <v>672</v>
      </c>
      <c r="D1616" s="5">
        <f>IFERROR(INDEX('Base de sorteio'!$A$3:$A$1723,MATCH($B1616&amp;"|"&amp;$C1616,'Base de sorteio'!$I$3:$I$1723,0)),"")</f>
        <v/>
      </c>
      <c r="E1616" s="4">
        <f>IFERROR(INDEX('Base de sorteio'!$B$3:$B$1723,MATCH($B1616&amp;"|"&amp;$C1616,'Base de sorteio'!$I$3:$I$1723,0)),"")</f>
        <v/>
      </c>
      <c r="F1616" s="4">
        <f>IFERROR(INDEX('Base de sorteio'!$C$3:$C$1723,MATCH($B1616&amp;"|"&amp;$C1616,'Base de sorteio'!$I$3:$I$1723,0)),"")</f>
        <v/>
      </c>
      <c r="G1616" s="4">
        <f>IFERROR(INDEX('Base de sorteio'!$D$3:$D$1723,MATCH($B1616&amp;"|"&amp;$C1616,'Base de sorteio'!$I$3:$I$1723,0)),"")</f>
        <v/>
      </c>
      <c r="H1616" s="4">
        <f>IFERROR(INDEX('Base de sorteio'!$E$3:$E$1723,MATCH($B1616&amp;"|"&amp;$C1616,'Base de sorteio'!$I$3:$I$1723,0)),"")</f>
        <v/>
      </c>
      <c r="I1616" s="4">
        <f>IF(E1616="","",HYPERLINK(IFERROR(INDEX('Base de sorteio'!$J$3:$J$1723,MATCH($B1616&amp;"|"&amp;$C1616,'Base de sorteio'!$I$3:$I$1723,0)),""),"abrir"))</f>
        <v/>
      </c>
      <c r="J1616" s="4" t="n"/>
      <c r="K1616" s="4" t="n"/>
      <c r="L1616" s="4" t="n"/>
      <c r="M1616" s="4" t="n"/>
      <c r="N1616" s="4">
        <f>IF(AND(K1616="",M1616=""),"",IF(OR(K1616="sim",M1616="sim"),"sim",IF(OR(K1616="inconclusivo",M1616="inconclusivo"),"inconclusivo","não")))</f>
        <v/>
      </c>
      <c r="O1616" s="5">
        <f>IF(N1616="sim",COUNTIFS($B$3:$B1616,$B1616,$N$3:$N1616,"sim"),"")</f>
        <v/>
      </c>
      <c r="P1616" s="5" t="n"/>
      <c r="Q1616" s="4" t="n"/>
      <c r="R1616" s="5" t="n"/>
      <c r="S1616" s="9" t="n"/>
      <c r="T1616" s="4" t="n"/>
    </row>
    <row r="1617">
      <c r="A1617" s="5">
        <f>ROW()-2</f>
        <v/>
      </c>
      <c r="B1617" s="4" t="inlineStr">
        <is>
          <t>Capital regional</t>
        </is>
      </c>
      <c r="C1617" s="5" t="n">
        <v>673</v>
      </c>
      <c r="D1617" s="5">
        <f>IFERROR(INDEX('Base de sorteio'!$A$3:$A$1723,MATCH($B1617&amp;"|"&amp;$C1617,'Base de sorteio'!$I$3:$I$1723,0)),"")</f>
        <v/>
      </c>
      <c r="E1617" s="4">
        <f>IFERROR(INDEX('Base de sorteio'!$B$3:$B$1723,MATCH($B1617&amp;"|"&amp;$C1617,'Base de sorteio'!$I$3:$I$1723,0)),"")</f>
        <v/>
      </c>
      <c r="F1617" s="4">
        <f>IFERROR(INDEX('Base de sorteio'!$C$3:$C$1723,MATCH($B1617&amp;"|"&amp;$C1617,'Base de sorteio'!$I$3:$I$1723,0)),"")</f>
        <v/>
      </c>
      <c r="G1617" s="4">
        <f>IFERROR(INDEX('Base de sorteio'!$D$3:$D$1723,MATCH($B1617&amp;"|"&amp;$C1617,'Base de sorteio'!$I$3:$I$1723,0)),"")</f>
        <v/>
      </c>
      <c r="H1617" s="4">
        <f>IFERROR(INDEX('Base de sorteio'!$E$3:$E$1723,MATCH($B1617&amp;"|"&amp;$C1617,'Base de sorteio'!$I$3:$I$1723,0)),"")</f>
        <v/>
      </c>
      <c r="I1617" s="4">
        <f>IF(E1617="","",HYPERLINK(IFERROR(INDEX('Base de sorteio'!$J$3:$J$1723,MATCH($B1617&amp;"|"&amp;$C1617,'Base de sorteio'!$I$3:$I$1723,0)),""),"abrir"))</f>
        <v/>
      </c>
      <c r="J1617" s="4" t="n"/>
      <c r="K1617" s="4" t="n"/>
      <c r="L1617" s="4" t="n"/>
      <c r="M1617" s="4" t="n"/>
      <c r="N1617" s="4">
        <f>IF(AND(K1617="",M1617=""),"",IF(OR(K1617="sim",M1617="sim"),"sim",IF(OR(K1617="inconclusivo",M1617="inconclusivo"),"inconclusivo","não")))</f>
        <v/>
      </c>
      <c r="O1617" s="5">
        <f>IF(N1617="sim",COUNTIFS($B$3:$B1617,$B1617,$N$3:$N1617,"sim"),"")</f>
        <v/>
      </c>
      <c r="P1617" s="5" t="n"/>
      <c r="Q1617" s="4" t="n"/>
      <c r="R1617" s="5" t="n"/>
      <c r="S1617" s="9" t="n"/>
      <c r="T1617" s="4" t="n"/>
    </row>
    <row r="1618">
      <c r="A1618" s="5">
        <f>ROW()-2</f>
        <v/>
      </c>
      <c r="B1618" s="4" t="inlineStr">
        <is>
          <t>Capital regional</t>
        </is>
      </c>
      <c r="C1618" s="5" t="n">
        <v>674</v>
      </c>
      <c r="D1618" s="5">
        <f>IFERROR(INDEX('Base de sorteio'!$A$3:$A$1723,MATCH($B1618&amp;"|"&amp;$C1618,'Base de sorteio'!$I$3:$I$1723,0)),"")</f>
        <v/>
      </c>
      <c r="E1618" s="4">
        <f>IFERROR(INDEX('Base de sorteio'!$B$3:$B$1723,MATCH($B1618&amp;"|"&amp;$C1618,'Base de sorteio'!$I$3:$I$1723,0)),"")</f>
        <v/>
      </c>
      <c r="F1618" s="4">
        <f>IFERROR(INDEX('Base de sorteio'!$C$3:$C$1723,MATCH($B1618&amp;"|"&amp;$C1618,'Base de sorteio'!$I$3:$I$1723,0)),"")</f>
        <v/>
      </c>
      <c r="G1618" s="4">
        <f>IFERROR(INDEX('Base de sorteio'!$D$3:$D$1723,MATCH($B1618&amp;"|"&amp;$C1618,'Base de sorteio'!$I$3:$I$1723,0)),"")</f>
        <v/>
      </c>
      <c r="H1618" s="4">
        <f>IFERROR(INDEX('Base de sorteio'!$E$3:$E$1723,MATCH($B1618&amp;"|"&amp;$C1618,'Base de sorteio'!$I$3:$I$1723,0)),"")</f>
        <v/>
      </c>
      <c r="I1618" s="4">
        <f>IF(E1618="","",HYPERLINK(IFERROR(INDEX('Base de sorteio'!$J$3:$J$1723,MATCH($B1618&amp;"|"&amp;$C1618,'Base de sorteio'!$I$3:$I$1723,0)),""),"abrir"))</f>
        <v/>
      </c>
      <c r="J1618" s="4" t="n"/>
      <c r="K1618" s="4" t="n"/>
      <c r="L1618" s="4" t="n"/>
      <c r="M1618" s="4" t="n"/>
      <c r="N1618" s="4">
        <f>IF(AND(K1618="",M1618=""),"",IF(OR(K1618="sim",M1618="sim"),"sim",IF(OR(K1618="inconclusivo",M1618="inconclusivo"),"inconclusivo","não")))</f>
        <v/>
      </c>
      <c r="O1618" s="5">
        <f>IF(N1618="sim",COUNTIFS($B$3:$B1618,$B1618,$N$3:$N1618,"sim"),"")</f>
        <v/>
      </c>
      <c r="P1618" s="5" t="n"/>
      <c r="Q1618" s="4" t="n"/>
      <c r="R1618" s="5" t="n"/>
      <c r="S1618" s="9" t="n"/>
      <c r="T1618" s="4" t="n"/>
    </row>
    <row r="1619">
      <c r="A1619" s="5">
        <f>ROW()-2</f>
        <v/>
      </c>
      <c r="B1619" s="4" t="inlineStr">
        <is>
          <t>Capital regional</t>
        </is>
      </c>
      <c r="C1619" s="5" t="n">
        <v>675</v>
      </c>
      <c r="D1619" s="5">
        <f>IFERROR(INDEX('Base de sorteio'!$A$3:$A$1723,MATCH($B1619&amp;"|"&amp;$C1619,'Base de sorteio'!$I$3:$I$1723,0)),"")</f>
        <v/>
      </c>
      <c r="E1619" s="4">
        <f>IFERROR(INDEX('Base de sorteio'!$B$3:$B$1723,MATCH($B1619&amp;"|"&amp;$C1619,'Base de sorteio'!$I$3:$I$1723,0)),"")</f>
        <v/>
      </c>
      <c r="F1619" s="4">
        <f>IFERROR(INDEX('Base de sorteio'!$C$3:$C$1723,MATCH($B1619&amp;"|"&amp;$C1619,'Base de sorteio'!$I$3:$I$1723,0)),"")</f>
        <v/>
      </c>
      <c r="G1619" s="4">
        <f>IFERROR(INDEX('Base de sorteio'!$D$3:$D$1723,MATCH($B1619&amp;"|"&amp;$C1619,'Base de sorteio'!$I$3:$I$1723,0)),"")</f>
        <v/>
      </c>
      <c r="H1619" s="4">
        <f>IFERROR(INDEX('Base de sorteio'!$E$3:$E$1723,MATCH($B1619&amp;"|"&amp;$C1619,'Base de sorteio'!$I$3:$I$1723,0)),"")</f>
        <v/>
      </c>
      <c r="I1619" s="4">
        <f>IF(E1619="","",HYPERLINK(IFERROR(INDEX('Base de sorteio'!$J$3:$J$1723,MATCH($B1619&amp;"|"&amp;$C1619,'Base de sorteio'!$I$3:$I$1723,0)),""),"abrir"))</f>
        <v/>
      </c>
      <c r="J1619" s="4" t="n"/>
      <c r="K1619" s="4" t="n"/>
      <c r="L1619" s="4" t="n"/>
      <c r="M1619" s="4" t="n"/>
      <c r="N1619" s="4">
        <f>IF(AND(K1619="",M1619=""),"",IF(OR(K1619="sim",M1619="sim"),"sim",IF(OR(K1619="inconclusivo",M1619="inconclusivo"),"inconclusivo","não")))</f>
        <v/>
      </c>
      <c r="O1619" s="5">
        <f>IF(N1619="sim",COUNTIFS($B$3:$B1619,$B1619,$N$3:$N1619,"sim"),"")</f>
        <v/>
      </c>
      <c r="P1619" s="5" t="n"/>
      <c r="Q1619" s="4" t="n"/>
      <c r="R1619" s="5" t="n"/>
      <c r="S1619" s="9" t="n"/>
      <c r="T1619" s="4" t="n"/>
    </row>
    <row r="1620">
      <c r="A1620" s="5">
        <f>ROW()-2</f>
        <v/>
      </c>
      <c r="B1620" s="4" t="inlineStr">
        <is>
          <t>Capital regional</t>
        </is>
      </c>
      <c r="C1620" s="5" t="n">
        <v>676</v>
      </c>
      <c r="D1620" s="5">
        <f>IFERROR(INDEX('Base de sorteio'!$A$3:$A$1723,MATCH($B1620&amp;"|"&amp;$C1620,'Base de sorteio'!$I$3:$I$1723,0)),"")</f>
        <v/>
      </c>
      <c r="E1620" s="4">
        <f>IFERROR(INDEX('Base de sorteio'!$B$3:$B$1723,MATCH($B1620&amp;"|"&amp;$C1620,'Base de sorteio'!$I$3:$I$1723,0)),"")</f>
        <v/>
      </c>
      <c r="F1620" s="4">
        <f>IFERROR(INDEX('Base de sorteio'!$C$3:$C$1723,MATCH($B1620&amp;"|"&amp;$C1620,'Base de sorteio'!$I$3:$I$1723,0)),"")</f>
        <v/>
      </c>
      <c r="G1620" s="4">
        <f>IFERROR(INDEX('Base de sorteio'!$D$3:$D$1723,MATCH($B1620&amp;"|"&amp;$C1620,'Base de sorteio'!$I$3:$I$1723,0)),"")</f>
        <v/>
      </c>
      <c r="H1620" s="4">
        <f>IFERROR(INDEX('Base de sorteio'!$E$3:$E$1723,MATCH($B1620&amp;"|"&amp;$C1620,'Base de sorteio'!$I$3:$I$1723,0)),"")</f>
        <v/>
      </c>
      <c r="I1620" s="4">
        <f>IF(E1620="","",HYPERLINK(IFERROR(INDEX('Base de sorteio'!$J$3:$J$1723,MATCH($B1620&amp;"|"&amp;$C1620,'Base de sorteio'!$I$3:$I$1723,0)),""),"abrir"))</f>
        <v/>
      </c>
      <c r="J1620" s="4" t="n"/>
      <c r="K1620" s="4" t="n"/>
      <c r="L1620" s="4" t="n"/>
      <c r="M1620" s="4" t="n"/>
      <c r="N1620" s="4">
        <f>IF(AND(K1620="",M1620=""),"",IF(OR(K1620="sim",M1620="sim"),"sim",IF(OR(K1620="inconclusivo",M1620="inconclusivo"),"inconclusivo","não")))</f>
        <v/>
      </c>
      <c r="O1620" s="5">
        <f>IF(N1620="sim",COUNTIFS($B$3:$B1620,$B1620,$N$3:$N1620,"sim"),"")</f>
        <v/>
      </c>
      <c r="P1620" s="5" t="n"/>
      <c r="Q1620" s="4" t="n"/>
      <c r="R1620" s="5" t="n"/>
      <c r="S1620" s="9" t="n"/>
      <c r="T1620" s="4" t="n"/>
    </row>
    <row r="1621">
      <c r="A1621" s="5">
        <f>ROW()-2</f>
        <v/>
      </c>
      <c r="B1621" s="4" t="inlineStr">
        <is>
          <t>Capital regional</t>
        </is>
      </c>
      <c r="C1621" s="5" t="n">
        <v>677</v>
      </c>
      <c r="D1621" s="5">
        <f>IFERROR(INDEX('Base de sorteio'!$A$3:$A$1723,MATCH($B1621&amp;"|"&amp;$C1621,'Base de sorteio'!$I$3:$I$1723,0)),"")</f>
        <v/>
      </c>
      <c r="E1621" s="4">
        <f>IFERROR(INDEX('Base de sorteio'!$B$3:$B$1723,MATCH($B1621&amp;"|"&amp;$C1621,'Base de sorteio'!$I$3:$I$1723,0)),"")</f>
        <v/>
      </c>
      <c r="F1621" s="4">
        <f>IFERROR(INDEX('Base de sorteio'!$C$3:$C$1723,MATCH($B1621&amp;"|"&amp;$C1621,'Base de sorteio'!$I$3:$I$1723,0)),"")</f>
        <v/>
      </c>
      <c r="G1621" s="4">
        <f>IFERROR(INDEX('Base de sorteio'!$D$3:$D$1723,MATCH($B1621&amp;"|"&amp;$C1621,'Base de sorteio'!$I$3:$I$1723,0)),"")</f>
        <v/>
      </c>
      <c r="H1621" s="4">
        <f>IFERROR(INDEX('Base de sorteio'!$E$3:$E$1723,MATCH($B1621&amp;"|"&amp;$C1621,'Base de sorteio'!$I$3:$I$1723,0)),"")</f>
        <v/>
      </c>
      <c r="I1621" s="4">
        <f>IF(E1621="","",HYPERLINK(IFERROR(INDEX('Base de sorteio'!$J$3:$J$1723,MATCH($B1621&amp;"|"&amp;$C1621,'Base de sorteio'!$I$3:$I$1723,0)),""),"abrir"))</f>
        <v/>
      </c>
      <c r="J1621" s="4" t="n"/>
      <c r="K1621" s="4" t="n"/>
      <c r="L1621" s="4" t="n"/>
      <c r="M1621" s="4" t="n"/>
      <c r="N1621" s="4">
        <f>IF(AND(K1621="",M1621=""),"",IF(OR(K1621="sim",M1621="sim"),"sim",IF(OR(K1621="inconclusivo",M1621="inconclusivo"),"inconclusivo","não")))</f>
        <v/>
      </c>
      <c r="O1621" s="5">
        <f>IF(N1621="sim",COUNTIFS($B$3:$B1621,$B1621,$N$3:$N1621,"sim"),"")</f>
        <v/>
      </c>
      <c r="P1621" s="5" t="n"/>
      <c r="Q1621" s="4" t="n"/>
      <c r="R1621" s="5" t="n"/>
      <c r="S1621" s="9" t="n"/>
      <c r="T1621" s="4" t="n"/>
    </row>
    <row r="1622">
      <c r="A1622" s="5">
        <f>ROW()-2</f>
        <v/>
      </c>
      <c r="B1622" s="4" t="inlineStr">
        <is>
          <t>Capital regional</t>
        </is>
      </c>
      <c r="C1622" s="5" t="n">
        <v>678</v>
      </c>
      <c r="D1622" s="5">
        <f>IFERROR(INDEX('Base de sorteio'!$A$3:$A$1723,MATCH($B1622&amp;"|"&amp;$C1622,'Base de sorteio'!$I$3:$I$1723,0)),"")</f>
        <v/>
      </c>
      <c r="E1622" s="4">
        <f>IFERROR(INDEX('Base de sorteio'!$B$3:$B$1723,MATCH($B1622&amp;"|"&amp;$C1622,'Base de sorteio'!$I$3:$I$1723,0)),"")</f>
        <v/>
      </c>
      <c r="F1622" s="4">
        <f>IFERROR(INDEX('Base de sorteio'!$C$3:$C$1723,MATCH($B1622&amp;"|"&amp;$C1622,'Base de sorteio'!$I$3:$I$1723,0)),"")</f>
        <v/>
      </c>
      <c r="G1622" s="4">
        <f>IFERROR(INDEX('Base de sorteio'!$D$3:$D$1723,MATCH($B1622&amp;"|"&amp;$C1622,'Base de sorteio'!$I$3:$I$1723,0)),"")</f>
        <v/>
      </c>
      <c r="H1622" s="4">
        <f>IFERROR(INDEX('Base de sorteio'!$E$3:$E$1723,MATCH($B1622&amp;"|"&amp;$C1622,'Base de sorteio'!$I$3:$I$1723,0)),"")</f>
        <v/>
      </c>
      <c r="I1622" s="4">
        <f>IF(E1622="","",HYPERLINK(IFERROR(INDEX('Base de sorteio'!$J$3:$J$1723,MATCH($B1622&amp;"|"&amp;$C1622,'Base de sorteio'!$I$3:$I$1723,0)),""),"abrir"))</f>
        <v/>
      </c>
      <c r="J1622" s="4" t="n"/>
      <c r="K1622" s="4" t="n"/>
      <c r="L1622" s="4" t="n"/>
      <c r="M1622" s="4" t="n"/>
      <c r="N1622" s="4">
        <f>IF(AND(K1622="",M1622=""),"",IF(OR(K1622="sim",M1622="sim"),"sim",IF(OR(K1622="inconclusivo",M1622="inconclusivo"),"inconclusivo","não")))</f>
        <v/>
      </c>
      <c r="O1622" s="5">
        <f>IF(N1622="sim",COUNTIFS($B$3:$B1622,$B1622,$N$3:$N1622,"sim"),"")</f>
        <v/>
      </c>
      <c r="P1622" s="5" t="n"/>
      <c r="Q1622" s="4" t="n"/>
      <c r="R1622" s="5" t="n"/>
      <c r="S1622" s="9" t="n"/>
      <c r="T1622" s="4" t="n"/>
    </row>
    <row r="1623">
      <c r="A1623" s="5">
        <f>ROW()-2</f>
        <v/>
      </c>
      <c r="B1623" s="4" t="inlineStr">
        <is>
          <t>Capital regional</t>
        </is>
      </c>
      <c r="C1623" s="5" t="n">
        <v>679</v>
      </c>
      <c r="D1623" s="5">
        <f>IFERROR(INDEX('Base de sorteio'!$A$3:$A$1723,MATCH($B1623&amp;"|"&amp;$C1623,'Base de sorteio'!$I$3:$I$1723,0)),"")</f>
        <v/>
      </c>
      <c r="E1623" s="4">
        <f>IFERROR(INDEX('Base de sorteio'!$B$3:$B$1723,MATCH($B1623&amp;"|"&amp;$C1623,'Base de sorteio'!$I$3:$I$1723,0)),"")</f>
        <v/>
      </c>
      <c r="F1623" s="4">
        <f>IFERROR(INDEX('Base de sorteio'!$C$3:$C$1723,MATCH($B1623&amp;"|"&amp;$C1623,'Base de sorteio'!$I$3:$I$1723,0)),"")</f>
        <v/>
      </c>
      <c r="G1623" s="4">
        <f>IFERROR(INDEX('Base de sorteio'!$D$3:$D$1723,MATCH($B1623&amp;"|"&amp;$C1623,'Base de sorteio'!$I$3:$I$1723,0)),"")</f>
        <v/>
      </c>
      <c r="H1623" s="4">
        <f>IFERROR(INDEX('Base de sorteio'!$E$3:$E$1723,MATCH($B1623&amp;"|"&amp;$C1623,'Base de sorteio'!$I$3:$I$1723,0)),"")</f>
        <v/>
      </c>
      <c r="I1623" s="4">
        <f>IF(E1623="","",HYPERLINK(IFERROR(INDEX('Base de sorteio'!$J$3:$J$1723,MATCH($B1623&amp;"|"&amp;$C1623,'Base de sorteio'!$I$3:$I$1723,0)),""),"abrir"))</f>
        <v/>
      </c>
      <c r="J1623" s="4" t="n"/>
      <c r="K1623" s="4" t="n"/>
      <c r="L1623" s="4" t="n"/>
      <c r="M1623" s="4" t="n"/>
      <c r="N1623" s="4">
        <f>IF(AND(K1623="",M1623=""),"",IF(OR(K1623="sim",M1623="sim"),"sim",IF(OR(K1623="inconclusivo",M1623="inconclusivo"),"inconclusivo","não")))</f>
        <v/>
      </c>
      <c r="O1623" s="5">
        <f>IF(N1623="sim",COUNTIFS($B$3:$B1623,$B1623,$N$3:$N1623,"sim"),"")</f>
        <v/>
      </c>
      <c r="P1623" s="5" t="n"/>
      <c r="Q1623" s="4" t="n"/>
      <c r="R1623" s="5" t="n"/>
      <c r="S1623" s="9" t="n"/>
      <c r="T1623" s="4" t="n"/>
    </row>
    <row r="1624">
      <c r="A1624" s="5">
        <f>ROW()-2</f>
        <v/>
      </c>
      <c r="B1624" s="4" t="inlineStr">
        <is>
          <t>Capital regional</t>
        </is>
      </c>
      <c r="C1624" s="5" t="n">
        <v>680</v>
      </c>
      <c r="D1624" s="5">
        <f>IFERROR(INDEX('Base de sorteio'!$A$3:$A$1723,MATCH($B1624&amp;"|"&amp;$C1624,'Base de sorteio'!$I$3:$I$1723,0)),"")</f>
        <v/>
      </c>
      <c r="E1624" s="4">
        <f>IFERROR(INDEX('Base de sorteio'!$B$3:$B$1723,MATCH($B1624&amp;"|"&amp;$C1624,'Base de sorteio'!$I$3:$I$1723,0)),"")</f>
        <v/>
      </c>
      <c r="F1624" s="4">
        <f>IFERROR(INDEX('Base de sorteio'!$C$3:$C$1723,MATCH($B1624&amp;"|"&amp;$C1624,'Base de sorteio'!$I$3:$I$1723,0)),"")</f>
        <v/>
      </c>
      <c r="G1624" s="4">
        <f>IFERROR(INDEX('Base de sorteio'!$D$3:$D$1723,MATCH($B1624&amp;"|"&amp;$C1624,'Base de sorteio'!$I$3:$I$1723,0)),"")</f>
        <v/>
      </c>
      <c r="H1624" s="4">
        <f>IFERROR(INDEX('Base de sorteio'!$E$3:$E$1723,MATCH($B1624&amp;"|"&amp;$C1624,'Base de sorteio'!$I$3:$I$1723,0)),"")</f>
        <v/>
      </c>
      <c r="I1624" s="4">
        <f>IF(E1624="","",HYPERLINK(IFERROR(INDEX('Base de sorteio'!$J$3:$J$1723,MATCH($B1624&amp;"|"&amp;$C1624,'Base de sorteio'!$I$3:$I$1723,0)),""),"abrir"))</f>
        <v/>
      </c>
      <c r="J1624" s="4" t="n"/>
      <c r="K1624" s="4" t="n"/>
      <c r="L1624" s="4" t="n"/>
      <c r="M1624" s="4" t="n"/>
      <c r="N1624" s="4">
        <f>IF(AND(K1624="",M1624=""),"",IF(OR(K1624="sim",M1624="sim"),"sim",IF(OR(K1624="inconclusivo",M1624="inconclusivo"),"inconclusivo","não")))</f>
        <v/>
      </c>
      <c r="O1624" s="5">
        <f>IF(N1624="sim",COUNTIFS($B$3:$B1624,$B1624,$N$3:$N1624,"sim"),"")</f>
        <v/>
      </c>
      <c r="P1624" s="5" t="n"/>
      <c r="Q1624" s="4" t="n"/>
      <c r="R1624" s="5" t="n"/>
      <c r="S1624" s="9" t="n"/>
      <c r="T1624" s="4" t="n"/>
    </row>
    <row r="1625">
      <c r="A1625" s="5">
        <f>ROW()-2</f>
        <v/>
      </c>
      <c r="B1625" s="4" t="inlineStr">
        <is>
          <t>Capital regional</t>
        </is>
      </c>
      <c r="C1625" s="5" t="n">
        <v>681</v>
      </c>
      <c r="D1625" s="5">
        <f>IFERROR(INDEX('Base de sorteio'!$A$3:$A$1723,MATCH($B1625&amp;"|"&amp;$C1625,'Base de sorteio'!$I$3:$I$1723,0)),"")</f>
        <v/>
      </c>
      <c r="E1625" s="4">
        <f>IFERROR(INDEX('Base de sorteio'!$B$3:$B$1723,MATCH($B1625&amp;"|"&amp;$C1625,'Base de sorteio'!$I$3:$I$1723,0)),"")</f>
        <v/>
      </c>
      <c r="F1625" s="4">
        <f>IFERROR(INDEX('Base de sorteio'!$C$3:$C$1723,MATCH($B1625&amp;"|"&amp;$C1625,'Base de sorteio'!$I$3:$I$1723,0)),"")</f>
        <v/>
      </c>
      <c r="G1625" s="4">
        <f>IFERROR(INDEX('Base de sorteio'!$D$3:$D$1723,MATCH($B1625&amp;"|"&amp;$C1625,'Base de sorteio'!$I$3:$I$1723,0)),"")</f>
        <v/>
      </c>
      <c r="H1625" s="4">
        <f>IFERROR(INDEX('Base de sorteio'!$E$3:$E$1723,MATCH($B1625&amp;"|"&amp;$C1625,'Base de sorteio'!$I$3:$I$1723,0)),"")</f>
        <v/>
      </c>
      <c r="I1625" s="4">
        <f>IF(E1625="","",HYPERLINK(IFERROR(INDEX('Base de sorteio'!$J$3:$J$1723,MATCH($B1625&amp;"|"&amp;$C1625,'Base de sorteio'!$I$3:$I$1723,0)),""),"abrir"))</f>
        <v/>
      </c>
      <c r="J1625" s="4" t="n"/>
      <c r="K1625" s="4" t="n"/>
      <c r="L1625" s="4" t="n"/>
      <c r="M1625" s="4" t="n"/>
      <c r="N1625" s="4">
        <f>IF(AND(K1625="",M1625=""),"",IF(OR(K1625="sim",M1625="sim"),"sim",IF(OR(K1625="inconclusivo",M1625="inconclusivo"),"inconclusivo","não")))</f>
        <v/>
      </c>
      <c r="O1625" s="5">
        <f>IF(N1625="sim",COUNTIFS($B$3:$B1625,$B1625,$N$3:$N1625,"sim"),"")</f>
        <v/>
      </c>
      <c r="P1625" s="5" t="n"/>
      <c r="Q1625" s="4" t="n"/>
      <c r="R1625" s="5" t="n"/>
      <c r="S1625" s="9" t="n"/>
      <c r="T1625" s="4" t="n"/>
    </row>
    <row r="1626">
      <c r="A1626" s="5">
        <f>ROW()-2</f>
        <v/>
      </c>
      <c r="B1626" s="4" t="inlineStr">
        <is>
          <t>Capital regional</t>
        </is>
      </c>
      <c r="C1626" s="5" t="n">
        <v>682</v>
      </c>
      <c r="D1626" s="5">
        <f>IFERROR(INDEX('Base de sorteio'!$A$3:$A$1723,MATCH($B1626&amp;"|"&amp;$C1626,'Base de sorteio'!$I$3:$I$1723,0)),"")</f>
        <v/>
      </c>
      <c r="E1626" s="4">
        <f>IFERROR(INDEX('Base de sorteio'!$B$3:$B$1723,MATCH($B1626&amp;"|"&amp;$C1626,'Base de sorteio'!$I$3:$I$1723,0)),"")</f>
        <v/>
      </c>
      <c r="F1626" s="4">
        <f>IFERROR(INDEX('Base de sorteio'!$C$3:$C$1723,MATCH($B1626&amp;"|"&amp;$C1626,'Base de sorteio'!$I$3:$I$1723,0)),"")</f>
        <v/>
      </c>
      <c r="G1626" s="4">
        <f>IFERROR(INDEX('Base de sorteio'!$D$3:$D$1723,MATCH($B1626&amp;"|"&amp;$C1626,'Base de sorteio'!$I$3:$I$1723,0)),"")</f>
        <v/>
      </c>
      <c r="H1626" s="4">
        <f>IFERROR(INDEX('Base de sorteio'!$E$3:$E$1723,MATCH($B1626&amp;"|"&amp;$C1626,'Base de sorteio'!$I$3:$I$1723,0)),"")</f>
        <v/>
      </c>
      <c r="I1626" s="4">
        <f>IF(E1626="","",HYPERLINK(IFERROR(INDEX('Base de sorteio'!$J$3:$J$1723,MATCH($B1626&amp;"|"&amp;$C1626,'Base de sorteio'!$I$3:$I$1723,0)),""),"abrir"))</f>
        <v/>
      </c>
      <c r="J1626" s="4" t="n"/>
      <c r="K1626" s="4" t="n"/>
      <c r="L1626" s="4" t="n"/>
      <c r="M1626" s="4" t="n"/>
      <c r="N1626" s="4">
        <f>IF(AND(K1626="",M1626=""),"",IF(OR(K1626="sim",M1626="sim"),"sim",IF(OR(K1626="inconclusivo",M1626="inconclusivo"),"inconclusivo","não")))</f>
        <v/>
      </c>
      <c r="O1626" s="5">
        <f>IF(N1626="sim",COUNTIFS($B$3:$B1626,$B1626,$N$3:$N1626,"sim"),"")</f>
        <v/>
      </c>
      <c r="P1626" s="5" t="n"/>
      <c r="Q1626" s="4" t="n"/>
      <c r="R1626" s="5" t="n"/>
      <c r="S1626" s="9" t="n"/>
      <c r="T1626" s="4" t="n"/>
    </row>
    <row r="1627">
      <c r="A1627" s="5">
        <f>ROW()-2</f>
        <v/>
      </c>
      <c r="B1627" s="4" t="inlineStr">
        <is>
          <t>Capital regional</t>
        </is>
      </c>
      <c r="C1627" s="5" t="n">
        <v>683</v>
      </c>
      <c r="D1627" s="5">
        <f>IFERROR(INDEX('Base de sorteio'!$A$3:$A$1723,MATCH($B1627&amp;"|"&amp;$C1627,'Base de sorteio'!$I$3:$I$1723,0)),"")</f>
        <v/>
      </c>
      <c r="E1627" s="4">
        <f>IFERROR(INDEX('Base de sorteio'!$B$3:$B$1723,MATCH($B1627&amp;"|"&amp;$C1627,'Base de sorteio'!$I$3:$I$1723,0)),"")</f>
        <v/>
      </c>
      <c r="F1627" s="4">
        <f>IFERROR(INDEX('Base de sorteio'!$C$3:$C$1723,MATCH($B1627&amp;"|"&amp;$C1627,'Base de sorteio'!$I$3:$I$1723,0)),"")</f>
        <v/>
      </c>
      <c r="G1627" s="4">
        <f>IFERROR(INDEX('Base de sorteio'!$D$3:$D$1723,MATCH($B1627&amp;"|"&amp;$C1627,'Base de sorteio'!$I$3:$I$1723,0)),"")</f>
        <v/>
      </c>
      <c r="H1627" s="4">
        <f>IFERROR(INDEX('Base de sorteio'!$E$3:$E$1723,MATCH($B1627&amp;"|"&amp;$C1627,'Base de sorteio'!$I$3:$I$1723,0)),"")</f>
        <v/>
      </c>
      <c r="I1627" s="4">
        <f>IF(E1627="","",HYPERLINK(IFERROR(INDEX('Base de sorteio'!$J$3:$J$1723,MATCH($B1627&amp;"|"&amp;$C1627,'Base de sorteio'!$I$3:$I$1723,0)),""),"abrir"))</f>
        <v/>
      </c>
      <c r="J1627" s="4" t="n"/>
      <c r="K1627" s="4" t="n"/>
      <c r="L1627" s="4" t="n"/>
      <c r="M1627" s="4" t="n"/>
      <c r="N1627" s="4">
        <f>IF(AND(K1627="",M1627=""),"",IF(OR(K1627="sim",M1627="sim"),"sim",IF(OR(K1627="inconclusivo",M1627="inconclusivo"),"inconclusivo","não")))</f>
        <v/>
      </c>
      <c r="O1627" s="5">
        <f>IF(N1627="sim",COUNTIFS($B$3:$B1627,$B1627,$N$3:$N1627,"sim"),"")</f>
        <v/>
      </c>
      <c r="P1627" s="5" t="n"/>
      <c r="Q1627" s="4" t="n"/>
      <c r="R1627" s="5" t="n"/>
      <c r="S1627" s="9" t="n"/>
      <c r="T1627" s="4" t="n"/>
    </row>
    <row r="1628">
      <c r="A1628" s="5">
        <f>ROW()-2</f>
        <v/>
      </c>
      <c r="B1628" s="4" t="inlineStr">
        <is>
          <t>Capital regional</t>
        </is>
      </c>
      <c r="C1628" s="5" t="n">
        <v>684</v>
      </c>
      <c r="D1628" s="5">
        <f>IFERROR(INDEX('Base de sorteio'!$A$3:$A$1723,MATCH($B1628&amp;"|"&amp;$C1628,'Base de sorteio'!$I$3:$I$1723,0)),"")</f>
        <v/>
      </c>
      <c r="E1628" s="4">
        <f>IFERROR(INDEX('Base de sorteio'!$B$3:$B$1723,MATCH($B1628&amp;"|"&amp;$C1628,'Base de sorteio'!$I$3:$I$1723,0)),"")</f>
        <v/>
      </c>
      <c r="F1628" s="4">
        <f>IFERROR(INDEX('Base de sorteio'!$C$3:$C$1723,MATCH($B1628&amp;"|"&amp;$C1628,'Base de sorteio'!$I$3:$I$1723,0)),"")</f>
        <v/>
      </c>
      <c r="G1628" s="4">
        <f>IFERROR(INDEX('Base de sorteio'!$D$3:$D$1723,MATCH($B1628&amp;"|"&amp;$C1628,'Base de sorteio'!$I$3:$I$1723,0)),"")</f>
        <v/>
      </c>
      <c r="H1628" s="4">
        <f>IFERROR(INDEX('Base de sorteio'!$E$3:$E$1723,MATCH($B1628&amp;"|"&amp;$C1628,'Base de sorteio'!$I$3:$I$1723,0)),"")</f>
        <v/>
      </c>
      <c r="I1628" s="4">
        <f>IF(E1628="","",HYPERLINK(IFERROR(INDEX('Base de sorteio'!$J$3:$J$1723,MATCH($B1628&amp;"|"&amp;$C1628,'Base de sorteio'!$I$3:$I$1723,0)),""),"abrir"))</f>
        <v/>
      </c>
      <c r="J1628" s="4" t="n"/>
      <c r="K1628" s="4" t="n"/>
      <c r="L1628" s="4" t="n"/>
      <c r="M1628" s="4" t="n"/>
      <c r="N1628" s="4">
        <f>IF(AND(K1628="",M1628=""),"",IF(OR(K1628="sim",M1628="sim"),"sim",IF(OR(K1628="inconclusivo",M1628="inconclusivo"),"inconclusivo","não")))</f>
        <v/>
      </c>
      <c r="O1628" s="5">
        <f>IF(N1628="sim",COUNTIFS($B$3:$B1628,$B1628,$N$3:$N1628,"sim"),"")</f>
        <v/>
      </c>
      <c r="P1628" s="5" t="n"/>
      <c r="Q1628" s="4" t="n"/>
      <c r="R1628" s="5" t="n"/>
      <c r="S1628" s="9" t="n"/>
      <c r="T1628" s="4" t="n"/>
    </row>
    <row r="1629">
      <c r="A1629" s="5">
        <f>ROW()-2</f>
        <v/>
      </c>
      <c r="B1629" s="4" t="inlineStr">
        <is>
          <t>Capital regional</t>
        </is>
      </c>
      <c r="C1629" s="5" t="n">
        <v>685</v>
      </c>
      <c r="D1629" s="5">
        <f>IFERROR(INDEX('Base de sorteio'!$A$3:$A$1723,MATCH($B1629&amp;"|"&amp;$C1629,'Base de sorteio'!$I$3:$I$1723,0)),"")</f>
        <v/>
      </c>
      <c r="E1629" s="4">
        <f>IFERROR(INDEX('Base de sorteio'!$B$3:$B$1723,MATCH($B1629&amp;"|"&amp;$C1629,'Base de sorteio'!$I$3:$I$1723,0)),"")</f>
        <v/>
      </c>
      <c r="F1629" s="4">
        <f>IFERROR(INDEX('Base de sorteio'!$C$3:$C$1723,MATCH($B1629&amp;"|"&amp;$C1629,'Base de sorteio'!$I$3:$I$1723,0)),"")</f>
        <v/>
      </c>
      <c r="G1629" s="4">
        <f>IFERROR(INDEX('Base de sorteio'!$D$3:$D$1723,MATCH($B1629&amp;"|"&amp;$C1629,'Base de sorteio'!$I$3:$I$1723,0)),"")</f>
        <v/>
      </c>
      <c r="H1629" s="4">
        <f>IFERROR(INDEX('Base de sorteio'!$E$3:$E$1723,MATCH($B1629&amp;"|"&amp;$C1629,'Base de sorteio'!$I$3:$I$1723,0)),"")</f>
        <v/>
      </c>
      <c r="I1629" s="4">
        <f>IF(E1629="","",HYPERLINK(IFERROR(INDEX('Base de sorteio'!$J$3:$J$1723,MATCH($B1629&amp;"|"&amp;$C1629,'Base de sorteio'!$I$3:$I$1723,0)),""),"abrir"))</f>
        <v/>
      </c>
      <c r="J1629" s="4" t="n"/>
      <c r="K1629" s="4" t="n"/>
      <c r="L1629" s="4" t="n"/>
      <c r="M1629" s="4" t="n"/>
      <c r="N1629" s="4">
        <f>IF(AND(K1629="",M1629=""),"",IF(OR(K1629="sim",M1629="sim"),"sim",IF(OR(K1629="inconclusivo",M1629="inconclusivo"),"inconclusivo","não")))</f>
        <v/>
      </c>
      <c r="O1629" s="5">
        <f>IF(N1629="sim",COUNTIFS($B$3:$B1629,$B1629,$N$3:$N1629,"sim"),"")</f>
        <v/>
      </c>
      <c r="P1629" s="5" t="n"/>
      <c r="Q1629" s="4" t="n"/>
      <c r="R1629" s="5" t="n"/>
      <c r="S1629" s="9" t="n"/>
      <c r="T1629" s="4" t="n"/>
    </row>
    <row r="1630">
      <c r="A1630" s="5">
        <f>ROW()-2</f>
        <v/>
      </c>
      <c r="B1630" s="4" t="inlineStr">
        <is>
          <t>Capital regional</t>
        </is>
      </c>
      <c r="C1630" s="5" t="n">
        <v>686</v>
      </c>
      <c r="D1630" s="5">
        <f>IFERROR(INDEX('Base de sorteio'!$A$3:$A$1723,MATCH($B1630&amp;"|"&amp;$C1630,'Base de sorteio'!$I$3:$I$1723,0)),"")</f>
        <v/>
      </c>
      <c r="E1630" s="4">
        <f>IFERROR(INDEX('Base de sorteio'!$B$3:$B$1723,MATCH($B1630&amp;"|"&amp;$C1630,'Base de sorteio'!$I$3:$I$1723,0)),"")</f>
        <v/>
      </c>
      <c r="F1630" s="4">
        <f>IFERROR(INDEX('Base de sorteio'!$C$3:$C$1723,MATCH($B1630&amp;"|"&amp;$C1630,'Base de sorteio'!$I$3:$I$1723,0)),"")</f>
        <v/>
      </c>
      <c r="G1630" s="4">
        <f>IFERROR(INDEX('Base de sorteio'!$D$3:$D$1723,MATCH($B1630&amp;"|"&amp;$C1630,'Base de sorteio'!$I$3:$I$1723,0)),"")</f>
        <v/>
      </c>
      <c r="H1630" s="4">
        <f>IFERROR(INDEX('Base de sorteio'!$E$3:$E$1723,MATCH($B1630&amp;"|"&amp;$C1630,'Base de sorteio'!$I$3:$I$1723,0)),"")</f>
        <v/>
      </c>
      <c r="I1630" s="4">
        <f>IF(E1630="","",HYPERLINK(IFERROR(INDEX('Base de sorteio'!$J$3:$J$1723,MATCH($B1630&amp;"|"&amp;$C1630,'Base de sorteio'!$I$3:$I$1723,0)),""),"abrir"))</f>
        <v/>
      </c>
      <c r="J1630" s="4" t="n"/>
      <c r="K1630" s="4" t="n"/>
      <c r="L1630" s="4" t="n"/>
      <c r="M1630" s="4" t="n"/>
      <c r="N1630" s="4">
        <f>IF(AND(K1630="",M1630=""),"",IF(OR(K1630="sim",M1630="sim"),"sim",IF(OR(K1630="inconclusivo",M1630="inconclusivo"),"inconclusivo","não")))</f>
        <v/>
      </c>
      <c r="O1630" s="5">
        <f>IF(N1630="sim",COUNTIFS($B$3:$B1630,$B1630,$N$3:$N1630,"sim"),"")</f>
        <v/>
      </c>
      <c r="P1630" s="5" t="n"/>
      <c r="Q1630" s="4" t="n"/>
      <c r="R1630" s="5" t="n"/>
      <c r="S1630" s="9" t="n"/>
      <c r="T1630" s="4" t="n"/>
    </row>
    <row r="1631">
      <c r="A1631" s="5">
        <f>ROW()-2</f>
        <v/>
      </c>
      <c r="B1631" s="4" t="inlineStr">
        <is>
          <t>Capital regional</t>
        </is>
      </c>
      <c r="C1631" s="5" t="n">
        <v>687</v>
      </c>
      <c r="D1631" s="5">
        <f>IFERROR(INDEX('Base de sorteio'!$A$3:$A$1723,MATCH($B1631&amp;"|"&amp;$C1631,'Base de sorteio'!$I$3:$I$1723,0)),"")</f>
        <v/>
      </c>
      <c r="E1631" s="4">
        <f>IFERROR(INDEX('Base de sorteio'!$B$3:$B$1723,MATCH($B1631&amp;"|"&amp;$C1631,'Base de sorteio'!$I$3:$I$1723,0)),"")</f>
        <v/>
      </c>
      <c r="F1631" s="4">
        <f>IFERROR(INDEX('Base de sorteio'!$C$3:$C$1723,MATCH($B1631&amp;"|"&amp;$C1631,'Base de sorteio'!$I$3:$I$1723,0)),"")</f>
        <v/>
      </c>
      <c r="G1631" s="4">
        <f>IFERROR(INDEX('Base de sorteio'!$D$3:$D$1723,MATCH($B1631&amp;"|"&amp;$C1631,'Base de sorteio'!$I$3:$I$1723,0)),"")</f>
        <v/>
      </c>
      <c r="H1631" s="4">
        <f>IFERROR(INDEX('Base de sorteio'!$E$3:$E$1723,MATCH($B1631&amp;"|"&amp;$C1631,'Base de sorteio'!$I$3:$I$1723,0)),"")</f>
        <v/>
      </c>
      <c r="I1631" s="4">
        <f>IF(E1631="","",HYPERLINK(IFERROR(INDEX('Base de sorteio'!$J$3:$J$1723,MATCH($B1631&amp;"|"&amp;$C1631,'Base de sorteio'!$I$3:$I$1723,0)),""),"abrir"))</f>
        <v/>
      </c>
      <c r="J1631" s="4" t="n"/>
      <c r="K1631" s="4" t="n"/>
      <c r="L1631" s="4" t="n"/>
      <c r="M1631" s="4" t="n"/>
      <c r="N1631" s="4">
        <f>IF(AND(K1631="",M1631=""),"",IF(OR(K1631="sim",M1631="sim"),"sim",IF(OR(K1631="inconclusivo",M1631="inconclusivo"),"inconclusivo","não")))</f>
        <v/>
      </c>
      <c r="O1631" s="5">
        <f>IF(N1631="sim",COUNTIFS($B$3:$B1631,$B1631,$N$3:$N1631,"sim"),"")</f>
        <v/>
      </c>
      <c r="P1631" s="5" t="n"/>
      <c r="Q1631" s="4" t="n"/>
      <c r="R1631" s="5" t="n"/>
      <c r="S1631" s="9" t="n"/>
      <c r="T1631" s="4" t="n"/>
    </row>
    <row r="1632">
      <c r="A1632" s="5">
        <f>ROW()-2</f>
        <v/>
      </c>
      <c r="B1632" s="4" t="inlineStr">
        <is>
          <t>Capital regional</t>
        </is>
      </c>
      <c r="C1632" s="5" t="n">
        <v>688</v>
      </c>
      <c r="D1632" s="5">
        <f>IFERROR(INDEX('Base de sorteio'!$A$3:$A$1723,MATCH($B1632&amp;"|"&amp;$C1632,'Base de sorteio'!$I$3:$I$1723,0)),"")</f>
        <v/>
      </c>
      <c r="E1632" s="4">
        <f>IFERROR(INDEX('Base de sorteio'!$B$3:$B$1723,MATCH($B1632&amp;"|"&amp;$C1632,'Base de sorteio'!$I$3:$I$1723,0)),"")</f>
        <v/>
      </c>
      <c r="F1632" s="4">
        <f>IFERROR(INDEX('Base de sorteio'!$C$3:$C$1723,MATCH($B1632&amp;"|"&amp;$C1632,'Base de sorteio'!$I$3:$I$1723,0)),"")</f>
        <v/>
      </c>
      <c r="G1632" s="4">
        <f>IFERROR(INDEX('Base de sorteio'!$D$3:$D$1723,MATCH($B1632&amp;"|"&amp;$C1632,'Base de sorteio'!$I$3:$I$1723,0)),"")</f>
        <v/>
      </c>
      <c r="H1632" s="4">
        <f>IFERROR(INDEX('Base de sorteio'!$E$3:$E$1723,MATCH($B1632&amp;"|"&amp;$C1632,'Base de sorteio'!$I$3:$I$1723,0)),"")</f>
        <v/>
      </c>
      <c r="I1632" s="4">
        <f>IF(E1632="","",HYPERLINK(IFERROR(INDEX('Base de sorteio'!$J$3:$J$1723,MATCH($B1632&amp;"|"&amp;$C1632,'Base de sorteio'!$I$3:$I$1723,0)),""),"abrir"))</f>
        <v/>
      </c>
      <c r="J1632" s="4" t="n"/>
      <c r="K1632" s="4" t="n"/>
      <c r="L1632" s="4" t="n"/>
      <c r="M1632" s="4" t="n"/>
      <c r="N1632" s="4">
        <f>IF(AND(K1632="",M1632=""),"",IF(OR(K1632="sim",M1632="sim"),"sim",IF(OR(K1632="inconclusivo",M1632="inconclusivo"),"inconclusivo","não")))</f>
        <v/>
      </c>
      <c r="O1632" s="5">
        <f>IF(N1632="sim",COUNTIFS($B$3:$B1632,$B1632,$N$3:$N1632,"sim"),"")</f>
        <v/>
      </c>
      <c r="P1632" s="5" t="n"/>
      <c r="Q1632" s="4" t="n"/>
      <c r="R1632" s="5" t="n"/>
      <c r="S1632" s="9" t="n"/>
      <c r="T1632" s="4" t="n"/>
    </row>
    <row r="1633">
      <c r="A1633" s="5">
        <f>ROW()-2</f>
        <v/>
      </c>
      <c r="B1633" s="4" t="inlineStr">
        <is>
          <t>Capital regional</t>
        </is>
      </c>
      <c r="C1633" s="5" t="n">
        <v>689</v>
      </c>
      <c r="D1633" s="5">
        <f>IFERROR(INDEX('Base de sorteio'!$A$3:$A$1723,MATCH($B1633&amp;"|"&amp;$C1633,'Base de sorteio'!$I$3:$I$1723,0)),"")</f>
        <v/>
      </c>
      <c r="E1633" s="4">
        <f>IFERROR(INDEX('Base de sorteio'!$B$3:$B$1723,MATCH($B1633&amp;"|"&amp;$C1633,'Base de sorteio'!$I$3:$I$1723,0)),"")</f>
        <v/>
      </c>
      <c r="F1633" s="4">
        <f>IFERROR(INDEX('Base de sorteio'!$C$3:$C$1723,MATCH($B1633&amp;"|"&amp;$C1633,'Base de sorteio'!$I$3:$I$1723,0)),"")</f>
        <v/>
      </c>
      <c r="G1633" s="4">
        <f>IFERROR(INDEX('Base de sorteio'!$D$3:$D$1723,MATCH($B1633&amp;"|"&amp;$C1633,'Base de sorteio'!$I$3:$I$1723,0)),"")</f>
        <v/>
      </c>
      <c r="H1633" s="4">
        <f>IFERROR(INDEX('Base de sorteio'!$E$3:$E$1723,MATCH($B1633&amp;"|"&amp;$C1633,'Base de sorteio'!$I$3:$I$1723,0)),"")</f>
        <v/>
      </c>
      <c r="I1633" s="4">
        <f>IF(E1633="","",HYPERLINK(IFERROR(INDEX('Base de sorteio'!$J$3:$J$1723,MATCH($B1633&amp;"|"&amp;$C1633,'Base de sorteio'!$I$3:$I$1723,0)),""),"abrir"))</f>
        <v/>
      </c>
      <c r="J1633" s="4" t="n"/>
      <c r="K1633" s="4" t="n"/>
      <c r="L1633" s="4" t="n"/>
      <c r="M1633" s="4" t="n"/>
      <c r="N1633" s="4">
        <f>IF(AND(K1633="",M1633=""),"",IF(OR(K1633="sim",M1633="sim"),"sim",IF(OR(K1633="inconclusivo",M1633="inconclusivo"),"inconclusivo","não")))</f>
        <v/>
      </c>
      <c r="O1633" s="5">
        <f>IF(N1633="sim",COUNTIFS($B$3:$B1633,$B1633,$N$3:$N1633,"sim"),"")</f>
        <v/>
      </c>
      <c r="P1633" s="5" t="n"/>
      <c r="Q1633" s="4" t="n"/>
      <c r="R1633" s="5" t="n"/>
      <c r="S1633" s="9" t="n"/>
      <c r="T1633" s="4" t="n"/>
    </row>
    <row r="1634">
      <c r="A1634" s="5">
        <f>ROW()-2</f>
        <v/>
      </c>
      <c r="B1634" s="4" t="inlineStr">
        <is>
          <t>Capital regional</t>
        </is>
      </c>
      <c r="C1634" s="5" t="n">
        <v>690</v>
      </c>
      <c r="D1634" s="5">
        <f>IFERROR(INDEX('Base de sorteio'!$A$3:$A$1723,MATCH($B1634&amp;"|"&amp;$C1634,'Base de sorteio'!$I$3:$I$1723,0)),"")</f>
        <v/>
      </c>
      <c r="E1634" s="4">
        <f>IFERROR(INDEX('Base de sorteio'!$B$3:$B$1723,MATCH($B1634&amp;"|"&amp;$C1634,'Base de sorteio'!$I$3:$I$1723,0)),"")</f>
        <v/>
      </c>
      <c r="F1634" s="4">
        <f>IFERROR(INDEX('Base de sorteio'!$C$3:$C$1723,MATCH($B1634&amp;"|"&amp;$C1634,'Base de sorteio'!$I$3:$I$1723,0)),"")</f>
        <v/>
      </c>
      <c r="G1634" s="4">
        <f>IFERROR(INDEX('Base de sorteio'!$D$3:$D$1723,MATCH($B1634&amp;"|"&amp;$C1634,'Base de sorteio'!$I$3:$I$1723,0)),"")</f>
        <v/>
      </c>
      <c r="H1634" s="4">
        <f>IFERROR(INDEX('Base de sorteio'!$E$3:$E$1723,MATCH($B1634&amp;"|"&amp;$C1634,'Base de sorteio'!$I$3:$I$1723,0)),"")</f>
        <v/>
      </c>
      <c r="I1634" s="4">
        <f>IF(E1634="","",HYPERLINK(IFERROR(INDEX('Base de sorteio'!$J$3:$J$1723,MATCH($B1634&amp;"|"&amp;$C1634,'Base de sorteio'!$I$3:$I$1723,0)),""),"abrir"))</f>
        <v/>
      </c>
      <c r="J1634" s="4" t="n"/>
      <c r="K1634" s="4" t="n"/>
      <c r="L1634" s="4" t="n"/>
      <c r="M1634" s="4" t="n"/>
      <c r="N1634" s="4">
        <f>IF(AND(K1634="",M1634=""),"",IF(OR(K1634="sim",M1634="sim"),"sim",IF(OR(K1634="inconclusivo",M1634="inconclusivo"),"inconclusivo","não")))</f>
        <v/>
      </c>
      <c r="O1634" s="5">
        <f>IF(N1634="sim",COUNTIFS($B$3:$B1634,$B1634,$N$3:$N1634,"sim"),"")</f>
        <v/>
      </c>
      <c r="P1634" s="5" t="n"/>
      <c r="Q1634" s="4" t="n"/>
      <c r="R1634" s="5" t="n"/>
      <c r="S1634" s="9" t="n"/>
      <c r="T1634" s="4" t="n"/>
    </row>
    <row r="1635">
      <c r="A1635" s="5">
        <f>ROW()-2</f>
        <v/>
      </c>
      <c r="B1635" s="4" t="inlineStr">
        <is>
          <t>Capital regional</t>
        </is>
      </c>
      <c r="C1635" s="5" t="n">
        <v>691</v>
      </c>
      <c r="D1635" s="5">
        <f>IFERROR(INDEX('Base de sorteio'!$A$3:$A$1723,MATCH($B1635&amp;"|"&amp;$C1635,'Base de sorteio'!$I$3:$I$1723,0)),"")</f>
        <v/>
      </c>
      <c r="E1635" s="4">
        <f>IFERROR(INDEX('Base de sorteio'!$B$3:$B$1723,MATCH($B1635&amp;"|"&amp;$C1635,'Base de sorteio'!$I$3:$I$1723,0)),"")</f>
        <v/>
      </c>
      <c r="F1635" s="4">
        <f>IFERROR(INDEX('Base de sorteio'!$C$3:$C$1723,MATCH($B1635&amp;"|"&amp;$C1635,'Base de sorteio'!$I$3:$I$1723,0)),"")</f>
        <v/>
      </c>
      <c r="G1635" s="4">
        <f>IFERROR(INDEX('Base de sorteio'!$D$3:$D$1723,MATCH($B1635&amp;"|"&amp;$C1635,'Base de sorteio'!$I$3:$I$1723,0)),"")</f>
        <v/>
      </c>
      <c r="H1635" s="4">
        <f>IFERROR(INDEX('Base de sorteio'!$E$3:$E$1723,MATCH($B1635&amp;"|"&amp;$C1635,'Base de sorteio'!$I$3:$I$1723,0)),"")</f>
        <v/>
      </c>
      <c r="I1635" s="4">
        <f>IF(E1635="","",HYPERLINK(IFERROR(INDEX('Base de sorteio'!$J$3:$J$1723,MATCH($B1635&amp;"|"&amp;$C1635,'Base de sorteio'!$I$3:$I$1723,0)),""),"abrir"))</f>
        <v/>
      </c>
      <c r="J1635" s="4" t="n"/>
      <c r="K1635" s="4" t="n"/>
      <c r="L1635" s="4" t="n"/>
      <c r="M1635" s="4" t="n"/>
      <c r="N1635" s="4">
        <f>IF(AND(K1635="",M1635=""),"",IF(OR(K1635="sim",M1635="sim"),"sim",IF(OR(K1635="inconclusivo",M1635="inconclusivo"),"inconclusivo","não")))</f>
        <v/>
      </c>
      <c r="O1635" s="5">
        <f>IF(N1635="sim",COUNTIFS($B$3:$B1635,$B1635,$N$3:$N1635,"sim"),"")</f>
        <v/>
      </c>
      <c r="P1635" s="5" t="n"/>
      <c r="Q1635" s="4" t="n"/>
      <c r="R1635" s="5" t="n"/>
      <c r="S1635" s="9" t="n"/>
      <c r="T1635" s="4" t="n"/>
    </row>
    <row r="1636">
      <c r="A1636" s="5">
        <f>ROW()-2</f>
        <v/>
      </c>
      <c r="B1636" s="4" t="inlineStr">
        <is>
          <t>Capital regional</t>
        </is>
      </c>
      <c r="C1636" s="5" t="n">
        <v>692</v>
      </c>
      <c r="D1636" s="5">
        <f>IFERROR(INDEX('Base de sorteio'!$A$3:$A$1723,MATCH($B1636&amp;"|"&amp;$C1636,'Base de sorteio'!$I$3:$I$1723,0)),"")</f>
        <v/>
      </c>
      <c r="E1636" s="4">
        <f>IFERROR(INDEX('Base de sorteio'!$B$3:$B$1723,MATCH($B1636&amp;"|"&amp;$C1636,'Base de sorteio'!$I$3:$I$1723,0)),"")</f>
        <v/>
      </c>
      <c r="F1636" s="4">
        <f>IFERROR(INDEX('Base de sorteio'!$C$3:$C$1723,MATCH($B1636&amp;"|"&amp;$C1636,'Base de sorteio'!$I$3:$I$1723,0)),"")</f>
        <v/>
      </c>
      <c r="G1636" s="4">
        <f>IFERROR(INDEX('Base de sorteio'!$D$3:$D$1723,MATCH($B1636&amp;"|"&amp;$C1636,'Base de sorteio'!$I$3:$I$1723,0)),"")</f>
        <v/>
      </c>
      <c r="H1636" s="4">
        <f>IFERROR(INDEX('Base de sorteio'!$E$3:$E$1723,MATCH($B1636&amp;"|"&amp;$C1636,'Base de sorteio'!$I$3:$I$1723,0)),"")</f>
        <v/>
      </c>
      <c r="I1636" s="4">
        <f>IF(E1636="","",HYPERLINK(IFERROR(INDEX('Base de sorteio'!$J$3:$J$1723,MATCH($B1636&amp;"|"&amp;$C1636,'Base de sorteio'!$I$3:$I$1723,0)),""),"abrir"))</f>
        <v/>
      </c>
      <c r="J1636" s="4" t="n"/>
      <c r="K1636" s="4" t="n"/>
      <c r="L1636" s="4" t="n"/>
      <c r="M1636" s="4" t="n"/>
      <c r="N1636" s="4">
        <f>IF(AND(K1636="",M1636=""),"",IF(OR(K1636="sim",M1636="sim"),"sim",IF(OR(K1636="inconclusivo",M1636="inconclusivo"),"inconclusivo","não")))</f>
        <v/>
      </c>
      <c r="O1636" s="5">
        <f>IF(N1636="sim",COUNTIFS($B$3:$B1636,$B1636,$N$3:$N1636,"sim"),"")</f>
        <v/>
      </c>
      <c r="P1636" s="5" t="n"/>
      <c r="Q1636" s="4" t="n"/>
      <c r="R1636" s="5" t="n"/>
      <c r="S1636" s="9" t="n"/>
      <c r="T1636" s="4" t="n"/>
    </row>
    <row r="1637">
      <c r="A1637" s="5">
        <f>ROW()-2</f>
        <v/>
      </c>
      <c r="B1637" s="4" t="inlineStr">
        <is>
          <t>Capital regional</t>
        </is>
      </c>
      <c r="C1637" s="5" t="n">
        <v>693</v>
      </c>
      <c r="D1637" s="5">
        <f>IFERROR(INDEX('Base de sorteio'!$A$3:$A$1723,MATCH($B1637&amp;"|"&amp;$C1637,'Base de sorteio'!$I$3:$I$1723,0)),"")</f>
        <v/>
      </c>
      <c r="E1637" s="4">
        <f>IFERROR(INDEX('Base de sorteio'!$B$3:$B$1723,MATCH($B1637&amp;"|"&amp;$C1637,'Base de sorteio'!$I$3:$I$1723,0)),"")</f>
        <v/>
      </c>
      <c r="F1637" s="4">
        <f>IFERROR(INDEX('Base de sorteio'!$C$3:$C$1723,MATCH($B1637&amp;"|"&amp;$C1637,'Base de sorteio'!$I$3:$I$1723,0)),"")</f>
        <v/>
      </c>
      <c r="G1637" s="4">
        <f>IFERROR(INDEX('Base de sorteio'!$D$3:$D$1723,MATCH($B1637&amp;"|"&amp;$C1637,'Base de sorteio'!$I$3:$I$1723,0)),"")</f>
        <v/>
      </c>
      <c r="H1637" s="4">
        <f>IFERROR(INDEX('Base de sorteio'!$E$3:$E$1723,MATCH($B1637&amp;"|"&amp;$C1637,'Base de sorteio'!$I$3:$I$1723,0)),"")</f>
        <v/>
      </c>
      <c r="I1637" s="4">
        <f>IF(E1637="","",HYPERLINK(IFERROR(INDEX('Base de sorteio'!$J$3:$J$1723,MATCH($B1637&amp;"|"&amp;$C1637,'Base de sorteio'!$I$3:$I$1723,0)),""),"abrir"))</f>
        <v/>
      </c>
      <c r="J1637" s="4" t="n"/>
      <c r="K1637" s="4" t="n"/>
      <c r="L1637" s="4" t="n"/>
      <c r="M1637" s="4" t="n"/>
      <c r="N1637" s="4">
        <f>IF(AND(K1637="",M1637=""),"",IF(OR(K1637="sim",M1637="sim"),"sim",IF(OR(K1637="inconclusivo",M1637="inconclusivo"),"inconclusivo","não")))</f>
        <v/>
      </c>
      <c r="O1637" s="5">
        <f>IF(N1637="sim",COUNTIFS($B$3:$B1637,$B1637,$N$3:$N1637,"sim"),"")</f>
        <v/>
      </c>
      <c r="P1637" s="5" t="n"/>
      <c r="Q1637" s="4" t="n"/>
      <c r="R1637" s="5" t="n"/>
      <c r="S1637" s="9" t="n"/>
      <c r="T1637" s="4" t="n"/>
    </row>
    <row r="1638">
      <c r="A1638" s="5">
        <f>ROW()-2</f>
        <v/>
      </c>
      <c r="B1638" s="4" t="inlineStr">
        <is>
          <t>Capital regional</t>
        </is>
      </c>
      <c r="C1638" s="5" t="n">
        <v>694</v>
      </c>
      <c r="D1638" s="5">
        <f>IFERROR(INDEX('Base de sorteio'!$A$3:$A$1723,MATCH($B1638&amp;"|"&amp;$C1638,'Base de sorteio'!$I$3:$I$1723,0)),"")</f>
        <v/>
      </c>
      <c r="E1638" s="4">
        <f>IFERROR(INDEX('Base de sorteio'!$B$3:$B$1723,MATCH($B1638&amp;"|"&amp;$C1638,'Base de sorteio'!$I$3:$I$1723,0)),"")</f>
        <v/>
      </c>
      <c r="F1638" s="4">
        <f>IFERROR(INDEX('Base de sorteio'!$C$3:$C$1723,MATCH($B1638&amp;"|"&amp;$C1638,'Base de sorteio'!$I$3:$I$1723,0)),"")</f>
        <v/>
      </c>
      <c r="G1638" s="4">
        <f>IFERROR(INDEX('Base de sorteio'!$D$3:$D$1723,MATCH($B1638&amp;"|"&amp;$C1638,'Base de sorteio'!$I$3:$I$1723,0)),"")</f>
        <v/>
      </c>
      <c r="H1638" s="4">
        <f>IFERROR(INDEX('Base de sorteio'!$E$3:$E$1723,MATCH($B1638&amp;"|"&amp;$C1638,'Base de sorteio'!$I$3:$I$1723,0)),"")</f>
        <v/>
      </c>
      <c r="I1638" s="4">
        <f>IF(E1638="","",HYPERLINK(IFERROR(INDEX('Base de sorteio'!$J$3:$J$1723,MATCH($B1638&amp;"|"&amp;$C1638,'Base de sorteio'!$I$3:$I$1723,0)),""),"abrir"))</f>
        <v/>
      </c>
      <c r="J1638" s="4" t="n"/>
      <c r="K1638" s="4" t="n"/>
      <c r="L1638" s="4" t="n"/>
      <c r="M1638" s="4" t="n"/>
      <c r="N1638" s="4">
        <f>IF(AND(K1638="",M1638=""),"",IF(OR(K1638="sim",M1638="sim"),"sim",IF(OR(K1638="inconclusivo",M1638="inconclusivo"),"inconclusivo","não")))</f>
        <v/>
      </c>
      <c r="O1638" s="5">
        <f>IF(N1638="sim",COUNTIFS($B$3:$B1638,$B1638,$N$3:$N1638,"sim"),"")</f>
        <v/>
      </c>
      <c r="P1638" s="5" t="n"/>
      <c r="Q1638" s="4" t="n"/>
      <c r="R1638" s="5" t="n"/>
      <c r="S1638" s="9" t="n"/>
      <c r="T1638" s="4" t="n"/>
    </row>
    <row r="1639">
      <c r="A1639" s="5">
        <f>ROW()-2</f>
        <v/>
      </c>
      <c r="B1639" s="4" t="inlineStr">
        <is>
          <t>Capital regional</t>
        </is>
      </c>
      <c r="C1639" s="5" t="n">
        <v>695</v>
      </c>
      <c r="D1639" s="5">
        <f>IFERROR(INDEX('Base de sorteio'!$A$3:$A$1723,MATCH($B1639&amp;"|"&amp;$C1639,'Base de sorteio'!$I$3:$I$1723,0)),"")</f>
        <v/>
      </c>
      <c r="E1639" s="4">
        <f>IFERROR(INDEX('Base de sorteio'!$B$3:$B$1723,MATCH($B1639&amp;"|"&amp;$C1639,'Base de sorteio'!$I$3:$I$1723,0)),"")</f>
        <v/>
      </c>
      <c r="F1639" s="4">
        <f>IFERROR(INDEX('Base de sorteio'!$C$3:$C$1723,MATCH($B1639&amp;"|"&amp;$C1639,'Base de sorteio'!$I$3:$I$1723,0)),"")</f>
        <v/>
      </c>
      <c r="G1639" s="4">
        <f>IFERROR(INDEX('Base de sorteio'!$D$3:$D$1723,MATCH($B1639&amp;"|"&amp;$C1639,'Base de sorteio'!$I$3:$I$1723,0)),"")</f>
        <v/>
      </c>
      <c r="H1639" s="4">
        <f>IFERROR(INDEX('Base de sorteio'!$E$3:$E$1723,MATCH($B1639&amp;"|"&amp;$C1639,'Base de sorteio'!$I$3:$I$1723,0)),"")</f>
        <v/>
      </c>
      <c r="I1639" s="4">
        <f>IF(E1639="","",HYPERLINK(IFERROR(INDEX('Base de sorteio'!$J$3:$J$1723,MATCH($B1639&amp;"|"&amp;$C1639,'Base de sorteio'!$I$3:$I$1723,0)),""),"abrir"))</f>
        <v/>
      </c>
      <c r="J1639" s="4" t="n"/>
      <c r="K1639" s="4" t="n"/>
      <c r="L1639" s="4" t="n"/>
      <c r="M1639" s="4" t="n"/>
      <c r="N1639" s="4">
        <f>IF(AND(K1639="",M1639=""),"",IF(OR(K1639="sim",M1639="sim"),"sim",IF(OR(K1639="inconclusivo",M1639="inconclusivo"),"inconclusivo","não")))</f>
        <v/>
      </c>
      <c r="O1639" s="5">
        <f>IF(N1639="sim",COUNTIFS($B$3:$B1639,$B1639,$N$3:$N1639,"sim"),"")</f>
        <v/>
      </c>
      <c r="P1639" s="5" t="n"/>
      <c r="Q1639" s="4" t="n"/>
      <c r="R1639" s="5" t="n"/>
      <c r="S1639" s="9" t="n"/>
      <c r="T1639" s="4" t="n"/>
    </row>
    <row r="1640">
      <c r="A1640" s="5">
        <f>ROW()-2</f>
        <v/>
      </c>
      <c r="B1640" s="4" t="inlineStr">
        <is>
          <t>Capital regional</t>
        </is>
      </c>
      <c r="C1640" s="5" t="n">
        <v>696</v>
      </c>
      <c r="D1640" s="5">
        <f>IFERROR(INDEX('Base de sorteio'!$A$3:$A$1723,MATCH($B1640&amp;"|"&amp;$C1640,'Base de sorteio'!$I$3:$I$1723,0)),"")</f>
        <v/>
      </c>
      <c r="E1640" s="4">
        <f>IFERROR(INDEX('Base de sorteio'!$B$3:$B$1723,MATCH($B1640&amp;"|"&amp;$C1640,'Base de sorteio'!$I$3:$I$1723,0)),"")</f>
        <v/>
      </c>
      <c r="F1640" s="4">
        <f>IFERROR(INDEX('Base de sorteio'!$C$3:$C$1723,MATCH($B1640&amp;"|"&amp;$C1640,'Base de sorteio'!$I$3:$I$1723,0)),"")</f>
        <v/>
      </c>
      <c r="G1640" s="4">
        <f>IFERROR(INDEX('Base de sorteio'!$D$3:$D$1723,MATCH($B1640&amp;"|"&amp;$C1640,'Base de sorteio'!$I$3:$I$1723,0)),"")</f>
        <v/>
      </c>
      <c r="H1640" s="4">
        <f>IFERROR(INDEX('Base de sorteio'!$E$3:$E$1723,MATCH($B1640&amp;"|"&amp;$C1640,'Base de sorteio'!$I$3:$I$1723,0)),"")</f>
        <v/>
      </c>
      <c r="I1640" s="4">
        <f>IF(E1640="","",HYPERLINK(IFERROR(INDEX('Base de sorteio'!$J$3:$J$1723,MATCH($B1640&amp;"|"&amp;$C1640,'Base de sorteio'!$I$3:$I$1723,0)),""),"abrir"))</f>
        <v/>
      </c>
      <c r="J1640" s="4" t="n"/>
      <c r="K1640" s="4" t="n"/>
      <c r="L1640" s="4" t="n"/>
      <c r="M1640" s="4" t="n"/>
      <c r="N1640" s="4">
        <f>IF(AND(K1640="",M1640=""),"",IF(OR(K1640="sim",M1640="sim"),"sim",IF(OR(K1640="inconclusivo",M1640="inconclusivo"),"inconclusivo","não")))</f>
        <v/>
      </c>
      <c r="O1640" s="5">
        <f>IF(N1640="sim",COUNTIFS($B$3:$B1640,$B1640,$N$3:$N1640,"sim"),"")</f>
        <v/>
      </c>
      <c r="P1640" s="5" t="n"/>
      <c r="Q1640" s="4" t="n"/>
      <c r="R1640" s="5" t="n"/>
      <c r="S1640" s="9" t="n"/>
      <c r="T1640" s="4" t="n"/>
    </row>
    <row r="1641">
      <c r="A1641" s="5">
        <f>ROW()-2</f>
        <v/>
      </c>
      <c r="B1641" s="4" t="inlineStr">
        <is>
          <t>Capital regional</t>
        </is>
      </c>
      <c r="C1641" s="5" t="n">
        <v>697</v>
      </c>
      <c r="D1641" s="5">
        <f>IFERROR(INDEX('Base de sorteio'!$A$3:$A$1723,MATCH($B1641&amp;"|"&amp;$C1641,'Base de sorteio'!$I$3:$I$1723,0)),"")</f>
        <v/>
      </c>
      <c r="E1641" s="4">
        <f>IFERROR(INDEX('Base de sorteio'!$B$3:$B$1723,MATCH($B1641&amp;"|"&amp;$C1641,'Base de sorteio'!$I$3:$I$1723,0)),"")</f>
        <v/>
      </c>
      <c r="F1641" s="4">
        <f>IFERROR(INDEX('Base de sorteio'!$C$3:$C$1723,MATCH($B1641&amp;"|"&amp;$C1641,'Base de sorteio'!$I$3:$I$1723,0)),"")</f>
        <v/>
      </c>
      <c r="G1641" s="4">
        <f>IFERROR(INDEX('Base de sorteio'!$D$3:$D$1723,MATCH($B1641&amp;"|"&amp;$C1641,'Base de sorteio'!$I$3:$I$1723,0)),"")</f>
        <v/>
      </c>
      <c r="H1641" s="4">
        <f>IFERROR(INDEX('Base de sorteio'!$E$3:$E$1723,MATCH($B1641&amp;"|"&amp;$C1641,'Base de sorteio'!$I$3:$I$1723,0)),"")</f>
        <v/>
      </c>
      <c r="I1641" s="4">
        <f>IF(E1641="","",HYPERLINK(IFERROR(INDEX('Base de sorteio'!$J$3:$J$1723,MATCH($B1641&amp;"|"&amp;$C1641,'Base de sorteio'!$I$3:$I$1723,0)),""),"abrir"))</f>
        <v/>
      </c>
      <c r="J1641" s="4" t="n"/>
      <c r="K1641" s="4" t="n"/>
      <c r="L1641" s="4" t="n"/>
      <c r="M1641" s="4" t="n"/>
      <c r="N1641" s="4">
        <f>IF(AND(K1641="",M1641=""),"",IF(OR(K1641="sim",M1641="sim"),"sim",IF(OR(K1641="inconclusivo",M1641="inconclusivo"),"inconclusivo","não")))</f>
        <v/>
      </c>
      <c r="O1641" s="5">
        <f>IF(N1641="sim",COUNTIFS($B$3:$B1641,$B1641,$N$3:$N1641,"sim"),"")</f>
        <v/>
      </c>
      <c r="P1641" s="5" t="n"/>
      <c r="Q1641" s="4" t="n"/>
      <c r="R1641" s="5" t="n"/>
      <c r="S1641" s="9" t="n"/>
      <c r="T1641" s="4" t="n"/>
    </row>
    <row r="1642">
      <c r="A1642" s="5">
        <f>ROW()-2</f>
        <v/>
      </c>
      <c r="B1642" s="4" t="inlineStr">
        <is>
          <t>Capital regional</t>
        </is>
      </c>
      <c r="C1642" s="5" t="n">
        <v>698</v>
      </c>
      <c r="D1642" s="5">
        <f>IFERROR(INDEX('Base de sorteio'!$A$3:$A$1723,MATCH($B1642&amp;"|"&amp;$C1642,'Base de sorteio'!$I$3:$I$1723,0)),"")</f>
        <v/>
      </c>
      <c r="E1642" s="4">
        <f>IFERROR(INDEX('Base de sorteio'!$B$3:$B$1723,MATCH($B1642&amp;"|"&amp;$C1642,'Base de sorteio'!$I$3:$I$1723,0)),"")</f>
        <v/>
      </c>
      <c r="F1642" s="4">
        <f>IFERROR(INDEX('Base de sorteio'!$C$3:$C$1723,MATCH($B1642&amp;"|"&amp;$C1642,'Base de sorteio'!$I$3:$I$1723,0)),"")</f>
        <v/>
      </c>
      <c r="G1642" s="4">
        <f>IFERROR(INDEX('Base de sorteio'!$D$3:$D$1723,MATCH($B1642&amp;"|"&amp;$C1642,'Base de sorteio'!$I$3:$I$1723,0)),"")</f>
        <v/>
      </c>
      <c r="H1642" s="4">
        <f>IFERROR(INDEX('Base de sorteio'!$E$3:$E$1723,MATCH($B1642&amp;"|"&amp;$C1642,'Base de sorteio'!$I$3:$I$1723,0)),"")</f>
        <v/>
      </c>
      <c r="I1642" s="4">
        <f>IF(E1642="","",HYPERLINK(IFERROR(INDEX('Base de sorteio'!$J$3:$J$1723,MATCH($B1642&amp;"|"&amp;$C1642,'Base de sorteio'!$I$3:$I$1723,0)),""),"abrir"))</f>
        <v/>
      </c>
      <c r="J1642" s="4" t="n"/>
      <c r="K1642" s="4" t="n"/>
      <c r="L1642" s="4" t="n"/>
      <c r="M1642" s="4" t="n"/>
      <c r="N1642" s="4">
        <f>IF(AND(K1642="",M1642=""),"",IF(OR(K1642="sim",M1642="sim"),"sim",IF(OR(K1642="inconclusivo",M1642="inconclusivo"),"inconclusivo","não")))</f>
        <v/>
      </c>
      <c r="O1642" s="5">
        <f>IF(N1642="sim",COUNTIFS($B$3:$B1642,$B1642,$N$3:$N1642,"sim"),"")</f>
        <v/>
      </c>
      <c r="P1642" s="5" t="n"/>
      <c r="Q1642" s="4" t="n"/>
      <c r="R1642" s="5" t="n"/>
      <c r="S1642" s="9" t="n"/>
      <c r="T1642" s="4" t="n"/>
    </row>
    <row r="1643">
      <c r="A1643" s="5">
        <f>ROW()-2</f>
        <v/>
      </c>
      <c r="B1643" s="4" t="inlineStr">
        <is>
          <t>Capital regional</t>
        </is>
      </c>
      <c r="C1643" s="5" t="n">
        <v>699</v>
      </c>
      <c r="D1643" s="5">
        <f>IFERROR(INDEX('Base de sorteio'!$A$3:$A$1723,MATCH($B1643&amp;"|"&amp;$C1643,'Base de sorteio'!$I$3:$I$1723,0)),"")</f>
        <v/>
      </c>
      <c r="E1643" s="4">
        <f>IFERROR(INDEX('Base de sorteio'!$B$3:$B$1723,MATCH($B1643&amp;"|"&amp;$C1643,'Base de sorteio'!$I$3:$I$1723,0)),"")</f>
        <v/>
      </c>
      <c r="F1643" s="4">
        <f>IFERROR(INDEX('Base de sorteio'!$C$3:$C$1723,MATCH($B1643&amp;"|"&amp;$C1643,'Base de sorteio'!$I$3:$I$1723,0)),"")</f>
        <v/>
      </c>
      <c r="G1643" s="4">
        <f>IFERROR(INDEX('Base de sorteio'!$D$3:$D$1723,MATCH($B1643&amp;"|"&amp;$C1643,'Base de sorteio'!$I$3:$I$1723,0)),"")</f>
        <v/>
      </c>
      <c r="H1643" s="4">
        <f>IFERROR(INDEX('Base de sorteio'!$E$3:$E$1723,MATCH($B1643&amp;"|"&amp;$C1643,'Base de sorteio'!$I$3:$I$1723,0)),"")</f>
        <v/>
      </c>
      <c r="I1643" s="4">
        <f>IF(E1643="","",HYPERLINK(IFERROR(INDEX('Base de sorteio'!$J$3:$J$1723,MATCH($B1643&amp;"|"&amp;$C1643,'Base de sorteio'!$I$3:$I$1723,0)),""),"abrir"))</f>
        <v/>
      </c>
      <c r="J1643" s="4" t="n"/>
      <c r="K1643" s="4" t="n"/>
      <c r="L1643" s="4" t="n"/>
      <c r="M1643" s="4" t="n"/>
      <c r="N1643" s="4">
        <f>IF(AND(K1643="",M1643=""),"",IF(OR(K1643="sim",M1643="sim"),"sim",IF(OR(K1643="inconclusivo",M1643="inconclusivo"),"inconclusivo","não")))</f>
        <v/>
      </c>
      <c r="O1643" s="5">
        <f>IF(N1643="sim",COUNTIFS($B$3:$B1643,$B1643,$N$3:$N1643,"sim"),"")</f>
        <v/>
      </c>
      <c r="P1643" s="5" t="n"/>
      <c r="Q1643" s="4" t="n"/>
      <c r="R1643" s="5" t="n"/>
      <c r="S1643" s="9" t="n"/>
      <c r="T1643" s="4" t="n"/>
    </row>
    <row r="1644">
      <c r="A1644" s="5">
        <f>ROW()-2</f>
        <v/>
      </c>
      <c r="B1644" s="4" t="inlineStr">
        <is>
          <t>Capital regional</t>
        </is>
      </c>
      <c r="C1644" s="5" t="n">
        <v>700</v>
      </c>
      <c r="D1644" s="5">
        <f>IFERROR(INDEX('Base de sorteio'!$A$3:$A$1723,MATCH($B1644&amp;"|"&amp;$C1644,'Base de sorteio'!$I$3:$I$1723,0)),"")</f>
        <v/>
      </c>
      <c r="E1644" s="4">
        <f>IFERROR(INDEX('Base de sorteio'!$B$3:$B$1723,MATCH($B1644&amp;"|"&amp;$C1644,'Base de sorteio'!$I$3:$I$1723,0)),"")</f>
        <v/>
      </c>
      <c r="F1644" s="4">
        <f>IFERROR(INDEX('Base de sorteio'!$C$3:$C$1723,MATCH($B1644&amp;"|"&amp;$C1644,'Base de sorteio'!$I$3:$I$1723,0)),"")</f>
        <v/>
      </c>
      <c r="G1644" s="4">
        <f>IFERROR(INDEX('Base de sorteio'!$D$3:$D$1723,MATCH($B1644&amp;"|"&amp;$C1644,'Base de sorteio'!$I$3:$I$1723,0)),"")</f>
        <v/>
      </c>
      <c r="H1644" s="4">
        <f>IFERROR(INDEX('Base de sorteio'!$E$3:$E$1723,MATCH($B1644&amp;"|"&amp;$C1644,'Base de sorteio'!$I$3:$I$1723,0)),"")</f>
        <v/>
      </c>
      <c r="I1644" s="4">
        <f>IF(E1644="","",HYPERLINK(IFERROR(INDEX('Base de sorteio'!$J$3:$J$1723,MATCH($B1644&amp;"|"&amp;$C1644,'Base de sorteio'!$I$3:$I$1723,0)),""),"abrir"))</f>
        <v/>
      </c>
      <c r="J1644" s="4" t="n"/>
      <c r="K1644" s="4" t="n"/>
      <c r="L1644" s="4" t="n"/>
      <c r="M1644" s="4" t="n"/>
      <c r="N1644" s="4">
        <f>IF(AND(K1644="",M1644=""),"",IF(OR(K1644="sim",M1644="sim"),"sim",IF(OR(K1644="inconclusivo",M1644="inconclusivo"),"inconclusivo","não")))</f>
        <v/>
      </c>
      <c r="O1644" s="5">
        <f>IF(N1644="sim",COUNTIFS($B$3:$B1644,$B1644,$N$3:$N1644,"sim"),"")</f>
        <v/>
      </c>
      <c r="P1644" s="5" t="n"/>
      <c r="Q1644" s="4" t="n"/>
      <c r="R1644" s="5" t="n"/>
      <c r="S1644" s="9" t="n"/>
      <c r="T1644" s="4" t="n"/>
    </row>
    <row r="1645">
      <c r="A1645" s="5">
        <f>ROW()-2</f>
        <v/>
      </c>
      <c r="B1645" s="4" t="inlineStr">
        <is>
          <t>Capital regional</t>
        </is>
      </c>
      <c r="C1645" s="5" t="n">
        <v>701</v>
      </c>
      <c r="D1645" s="5">
        <f>IFERROR(INDEX('Base de sorteio'!$A$3:$A$1723,MATCH($B1645&amp;"|"&amp;$C1645,'Base de sorteio'!$I$3:$I$1723,0)),"")</f>
        <v/>
      </c>
      <c r="E1645" s="4">
        <f>IFERROR(INDEX('Base de sorteio'!$B$3:$B$1723,MATCH($B1645&amp;"|"&amp;$C1645,'Base de sorteio'!$I$3:$I$1723,0)),"")</f>
        <v/>
      </c>
      <c r="F1645" s="4">
        <f>IFERROR(INDEX('Base de sorteio'!$C$3:$C$1723,MATCH($B1645&amp;"|"&amp;$C1645,'Base de sorteio'!$I$3:$I$1723,0)),"")</f>
        <v/>
      </c>
      <c r="G1645" s="4">
        <f>IFERROR(INDEX('Base de sorteio'!$D$3:$D$1723,MATCH($B1645&amp;"|"&amp;$C1645,'Base de sorteio'!$I$3:$I$1723,0)),"")</f>
        <v/>
      </c>
      <c r="H1645" s="4">
        <f>IFERROR(INDEX('Base de sorteio'!$E$3:$E$1723,MATCH($B1645&amp;"|"&amp;$C1645,'Base de sorteio'!$I$3:$I$1723,0)),"")</f>
        <v/>
      </c>
      <c r="I1645" s="4">
        <f>IF(E1645="","",HYPERLINK(IFERROR(INDEX('Base de sorteio'!$J$3:$J$1723,MATCH($B1645&amp;"|"&amp;$C1645,'Base de sorteio'!$I$3:$I$1723,0)),""),"abrir"))</f>
        <v/>
      </c>
      <c r="J1645" s="4" t="n"/>
      <c r="K1645" s="4" t="n"/>
      <c r="L1645" s="4" t="n"/>
      <c r="M1645" s="4" t="n"/>
      <c r="N1645" s="4">
        <f>IF(AND(K1645="",M1645=""),"",IF(OR(K1645="sim",M1645="sim"),"sim",IF(OR(K1645="inconclusivo",M1645="inconclusivo"),"inconclusivo","não")))</f>
        <v/>
      </c>
      <c r="O1645" s="5">
        <f>IF(N1645="sim",COUNTIFS($B$3:$B1645,$B1645,$N$3:$N1645,"sim"),"")</f>
        <v/>
      </c>
      <c r="P1645" s="5" t="n"/>
      <c r="Q1645" s="4" t="n"/>
      <c r="R1645" s="5" t="n"/>
      <c r="S1645" s="9" t="n"/>
      <c r="T1645" s="4" t="n"/>
    </row>
    <row r="1646">
      <c r="A1646" s="5">
        <f>ROW()-2</f>
        <v/>
      </c>
      <c r="B1646" s="4" t="inlineStr">
        <is>
          <t>Capital regional</t>
        </is>
      </c>
      <c r="C1646" s="5" t="n">
        <v>702</v>
      </c>
      <c r="D1646" s="5">
        <f>IFERROR(INDEX('Base de sorteio'!$A$3:$A$1723,MATCH($B1646&amp;"|"&amp;$C1646,'Base de sorteio'!$I$3:$I$1723,0)),"")</f>
        <v/>
      </c>
      <c r="E1646" s="4">
        <f>IFERROR(INDEX('Base de sorteio'!$B$3:$B$1723,MATCH($B1646&amp;"|"&amp;$C1646,'Base de sorteio'!$I$3:$I$1723,0)),"")</f>
        <v/>
      </c>
      <c r="F1646" s="4">
        <f>IFERROR(INDEX('Base de sorteio'!$C$3:$C$1723,MATCH($B1646&amp;"|"&amp;$C1646,'Base de sorteio'!$I$3:$I$1723,0)),"")</f>
        <v/>
      </c>
      <c r="G1646" s="4">
        <f>IFERROR(INDEX('Base de sorteio'!$D$3:$D$1723,MATCH($B1646&amp;"|"&amp;$C1646,'Base de sorteio'!$I$3:$I$1723,0)),"")</f>
        <v/>
      </c>
      <c r="H1646" s="4">
        <f>IFERROR(INDEX('Base de sorteio'!$E$3:$E$1723,MATCH($B1646&amp;"|"&amp;$C1646,'Base de sorteio'!$I$3:$I$1723,0)),"")</f>
        <v/>
      </c>
      <c r="I1646" s="4">
        <f>IF(E1646="","",HYPERLINK(IFERROR(INDEX('Base de sorteio'!$J$3:$J$1723,MATCH($B1646&amp;"|"&amp;$C1646,'Base de sorteio'!$I$3:$I$1723,0)),""),"abrir"))</f>
        <v/>
      </c>
      <c r="J1646" s="4" t="n"/>
      <c r="K1646" s="4" t="n"/>
      <c r="L1646" s="4" t="n"/>
      <c r="M1646" s="4" t="n"/>
      <c r="N1646" s="4">
        <f>IF(AND(K1646="",M1646=""),"",IF(OR(K1646="sim",M1646="sim"),"sim",IF(OR(K1646="inconclusivo",M1646="inconclusivo"),"inconclusivo","não")))</f>
        <v/>
      </c>
      <c r="O1646" s="5">
        <f>IF(N1646="sim",COUNTIFS($B$3:$B1646,$B1646,$N$3:$N1646,"sim"),"")</f>
        <v/>
      </c>
      <c r="P1646" s="5" t="n"/>
      <c r="Q1646" s="4" t="n"/>
      <c r="R1646" s="5" t="n"/>
      <c r="S1646" s="9" t="n"/>
      <c r="T1646" s="4" t="n"/>
    </row>
    <row r="1647">
      <c r="A1647" s="5">
        <f>ROW()-2</f>
        <v/>
      </c>
      <c r="B1647" s="4" t="inlineStr">
        <is>
          <t>Capital regional</t>
        </is>
      </c>
      <c r="C1647" s="5" t="n">
        <v>703</v>
      </c>
      <c r="D1647" s="5">
        <f>IFERROR(INDEX('Base de sorteio'!$A$3:$A$1723,MATCH($B1647&amp;"|"&amp;$C1647,'Base de sorteio'!$I$3:$I$1723,0)),"")</f>
        <v/>
      </c>
      <c r="E1647" s="4">
        <f>IFERROR(INDEX('Base de sorteio'!$B$3:$B$1723,MATCH($B1647&amp;"|"&amp;$C1647,'Base de sorteio'!$I$3:$I$1723,0)),"")</f>
        <v/>
      </c>
      <c r="F1647" s="4">
        <f>IFERROR(INDEX('Base de sorteio'!$C$3:$C$1723,MATCH($B1647&amp;"|"&amp;$C1647,'Base de sorteio'!$I$3:$I$1723,0)),"")</f>
        <v/>
      </c>
      <c r="G1647" s="4">
        <f>IFERROR(INDEX('Base de sorteio'!$D$3:$D$1723,MATCH($B1647&amp;"|"&amp;$C1647,'Base de sorteio'!$I$3:$I$1723,0)),"")</f>
        <v/>
      </c>
      <c r="H1647" s="4">
        <f>IFERROR(INDEX('Base de sorteio'!$E$3:$E$1723,MATCH($B1647&amp;"|"&amp;$C1647,'Base de sorteio'!$I$3:$I$1723,0)),"")</f>
        <v/>
      </c>
      <c r="I1647" s="4">
        <f>IF(E1647="","",HYPERLINK(IFERROR(INDEX('Base de sorteio'!$J$3:$J$1723,MATCH($B1647&amp;"|"&amp;$C1647,'Base de sorteio'!$I$3:$I$1723,0)),""),"abrir"))</f>
        <v/>
      </c>
      <c r="J1647" s="4" t="n"/>
      <c r="K1647" s="4" t="n"/>
      <c r="L1647" s="4" t="n"/>
      <c r="M1647" s="4" t="n"/>
      <c r="N1647" s="4">
        <f>IF(AND(K1647="",M1647=""),"",IF(OR(K1647="sim",M1647="sim"),"sim",IF(OR(K1647="inconclusivo",M1647="inconclusivo"),"inconclusivo","não")))</f>
        <v/>
      </c>
      <c r="O1647" s="5">
        <f>IF(N1647="sim",COUNTIFS($B$3:$B1647,$B1647,$N$3:$N1647,"sim"),"")</f>
        <v/>
      </c>
      <c r="P1647" s="5" t="n"/>
      <c r="Q1647" s="4" t="n"/>
      <c r="R1647" s="5" t="n"/>
      <c r="S1647" s="9" t="n"/>
      <c r="T1647" s="4" t="n"/>
    </row>
    <row r="1648">
      <c r="A1648" s="5">
        <f>ROW()-2</f>
        <v/>
      </c>
      <c r="B1648" s="4" t="inlineStr">
        <is>
          <t>Capital regional</t>
        </is>
      </c>
      <c r="C1648" s="5" t="n">
        <v>704</v>
      </c>
      <c r="D1648" s="5">
        <f>IFERROR(INDEX('Base de sorteio'!$A$3:$A$1723,MATCH($B1648&amp;"|"&amp;$C1648,'Base de sorteio'!$I$3:$I$1723,0)),"")</f>
        <v/>
      </c>
      <c r="E1648" s="4">
        <f>IFERROR(INDEX('Base de sorteio'!$B$3:$B$1723,MATCH($B1648&amp;"|"&amp;$C1648,'Base de sorteio'!$I$3:$I$1723,0)),"")</f>
        <v/>
      </c>
      <c r="F1648" s="4">
        <f>IFERROR(INDEX('Base de sorteio'!$C$3:$C$1723,MATCH($B1648&amp;"|"&amp;$C1648,'Base de sorteio'!$I$3:$I$1723,0)),"")</f>
        <v/>
      </c>
      <c r="G1648" s="4">
        <f>IFERROR(INDEX('Base de sorteio'!$D$3:$D$1723,MATCH($B1648&amp;"|"&amp;$C1648,'Base de sorteio'!$I$3:$I$1723,0)),"")</f>
        <v/>
      </c>
      <c r="H1648" s="4">
        <f>IFERROR(INDEX('Base de sorteio'!$E$3:$E$1723,MATCH($B1648&amp;"|"&amp;$C1648,'Base de sorteio'!$I$3:$I$1723,0)),"")</f>
        <v/>
      </c>
      <c r="I1648" s="4">
        <f>IF(E1648="","",HYPERLINK(IFERROR(INDEX('Base de sorteio'!$J$3:$J$1723,MATCH($B1648&amp;"|"&amp;$C1648,'Base de sorteio'!$I$3:$I$1723,0)),""),"abrir"))</f>
        <v/>
      </c>
      <c r="J1648" s="4" t="n"/>
      <c r="K1648" s="4" t="n"/>
      <c r="L1648" s="4" t="n"/>
      <c r="M1648" s="4" t="n"/>
      <c r="N1648" s="4">
        <f>IF(AND(K1648="",M1648=""),"",IF(OR(K1648="sim",M1648="sim"),"sim",IF(OR(K1648="inconclusivo",M1648="inconclusivo"),"inconclusivo","não")))</f>
        <v/>
      </c>
      <c r="O1648" s="5">
        <f>IF(N1648="sim",COUNTIFS($B$3:$B1648,$B1648,$N$3:$N1648,"sim"),"")</f>
        <v/>
      </c>
      <c r="P1648" s="5" t="n"/>
      <c r="Q1648" s="4" t="n"/>
      <c r="R1648" s="5" t="n"/>
      <c r="S1648" s="9" t="n"/>
      <c r="T1648" s="4" t="n"/>
    </row>
    <row r="1649">
      <c r="A1649" s="5">
        <f>ROW()-2</f>
        <v/>
      </c>
      <c r="B1649" s="4" t="inlineStr">
        <is>
          <t>Capital regional</t>
        </is>
      </c>
      <c r="C1649" s="5" t="n">
        <v>705</v>
      </c>
      <c r="D1649" s="5">
        <f>IFERROR(INDEX('Base de sorteio'!$A$3:$A$1723,MATCH($B1649&amp;"|"&amp;$C1649,'Base de sorteio'!$I$3:$I$1723,0)),"")</f>
        <v/>
      </c>
      <c r="E1649" s="4">
        <f>IFERROR(INDEX('Base de sorteio'!$B$3:$B$1723,MATCH($B1649&amp;"|"&amp;$C1649,'Base de sorteio'!$I$3:$I$1723,0)),"")</f>
        <v/>
      </c>
      <c r="F1649" s="4">
        <f>IFERROR(INDEX('Base de sorteio'!$C$3:$C$1723,MATCH($B1649&amp;"|"&amp;$C1649,'Base de sorteio'!$I$3:$I$1723,0)),"")</f>
        <v/>
      </c>
      <c r="G1649" s="4">
        <f>IFERROR(INDEX('Base de sorteio'!$D$3:$D$1723,MATCH($B1649&amp;"|"&amp;$C1649,'Base de sorteio'!$I$3:$I$1723,0)),"")</f>
        <v/>
      </c>
      <c r="H1649" s="4">
        <f>IFERROR(INDEX('Base de sorteio'!$E$3:$E$1723,MATCH($B1649&amp;"|"&amp;$C1649,'Base de sorteio'!$I$3:$I$1723,0)),"")</f>
        <v/>
      </c>
      <c r="I1649" s="4">
        <f>IF(E1649="","",HYPERLINK(IFERROR(INDEX('Base de sorteio'!$J$3:$J$1723,MATCH($B1649&amp;"|"&amp;$C1649,'Base de sorteio'!$I$3:$I$1723,0)),""),"abrir"))</f>
        <v/>
      </c>
      <c r="J1649" s="4" t="n"/>
      <c r="K1649" s="4" t="n"/>
      <c r="L1649" s="4" t="n"/>
      <c r="M1649" s="4" t="n"/>
      <c r="N1649" s="4">
        <f>IF(AND(K1649="",M1649=""),"",IF(OR(K1649="sim",M1649="sim"),"sim",IF(OR(K1649="inconclusivo",M1649="inconclusivo"),"inconclusivo","não")))</f>
        <v/>
      </c>
      <c r="O1649" s="5">
        <f>IF(N1649="sim",COUNTIFS($B$3:$B1649,$B1649,$N$3:$N1649,"sim"),"")</f>
        <v/>
      </c>
      <c r="P1649" s="5" t="n"/>
      <c r="Q1649" s="4" t="n"/>
      <c r="R1649" s="5" t="n"/>
      <c r="S1649" s="9" t="n"/>
      <c r="T1649" s="4" t="n"/>
    </row>
    <row r="1650">
      <c r="A1650" s="5">
        <f>ROW()-2</f>
        <v/>
      </c>
      <c r="B1650" s="4" t="inlineStr">
        <is>
          <t>Capital regional</t>
        </is>
      </c>
      <c r="C1650" s="5" t="n">
        <v>706</v>
      </c>
      <c r="D1650" s="5">
        <f>IFERROR(INDEX('Base de sorteio'!$A$3:$A$1723,MATCH($B1650&amp;"|"&amp;$C1650,'Base de sorteio'!$I$3:$I$1723,0)),"")</f>
        <v/>
      </c>
      <c r="E1650" s="4">
        <f>IFERROR(INDEX('Base de sorteio'!$B$3:$B$1723,MATCH($B1650&amp;"|"&amp;$C1650,'Base de sorteio'!$I$3:$I$1723,0)),"")</f>
        <v/>
      </c>
      <c r="F1650" s="4">
        <f>IFERROR(INDEX('Base de sorteio'!$C$3:$C$1723,MATCH($B1650&amp;"|"&amp;$C1650,'Base de sorteio'!$I$3:$I$1723,0)),"")</f>
        <v/>
      </c>
      <c r="G1650" s="4">
        <f>IFERROR(INDEX('Base de sorteio'!$D$3:$D$1723,MATCH($B1650&amp;"|"&amp;$C1650,'Base de sorteio'!$I$3:$I$1723,0)),"")</f>
        <v/>
      </c>
      <c r="H1650" s="4">
        <f>IFERROR(INDEX('Base de sorteio'!$E$3:$E$1723,MATCH($B1650&amp;"|"&amp;$C1650,'Base de sorteio'!$I$3:$I$1723,0)),"")</f>
        <v/>
      </c>
      <c r="I1650" s="4">
        <f>IF(E1650="","",HYPERLINK(IFERROR(INDEX('Base de sorteio'!$J$3:$J$1723,MATCH($B1650&amp;"|"&amp;$C1650,'Base de sorteio'!$I$3:$I$1723,0)),""),"abrir"))</f>
        <v/>
      </c>
      <c r="J1650" s="4" t="n"/>
      <c r="K1650" s="4" t="n"/>
      <c r="L1650" s="4" t="n"/>
      <c r="M1650" s="4" t="n"/>
      <c r="N1650" s="4">
        <f>IF(AND(K1650="",M1650=""),"",IF(OR(K1650="sim",M1650="sim"),"sim",IF(OR(K1650="inconclusivo",M1650="inconclusivo"),"inconclusivo","não")))</f>
        <v/>
      </c>
      <c r="O1650" s="5">
        <f>IF(N1650="sim",COUNTIFS($B$3:$B1650,$B1650,$N$3:$N1650,"sim"),"")</f>
        <v/>
      </c>
      <c r="P1650" s="5" t="n"/>
      <c r="Q1650" s="4" t="n"/>
      <c r="R1650" s="5" t="n"/>
      <c r="S1650" s="9" t="n"/>
      <c r="T1650" s="4" t="n"/>
    </row>
    <row r="1651">
      <c r="A1651" s="5">
        <f>ROW()-2</f>
        <v/>
      </c>
      <c r="B1651" s="4" t="inlineStr">
        <is>
          <t>Capital regional</t>
        </is>
      </c>
      <c r="C1651" s="5" t="n">
        <v>707</v>
      </c>
      <c r="D1651" s="5">
        <f>IFERROR(INDEX('Base de sorteio'!$A$3:$A$1723,MATCH($B1651&amp;"|"&amp;$C1651,'Base de sorteio'!$I$3:$I$1723,0)),"")</f>
        <v/>
      </c>
      <c r="E1651" s="4">
        <f>IFERROR(INDEX('Base de sorteio'!$B$3:$B$1723,MATCH($B1651&amp;"|"&amp;$C1651,'Base de sorteio'!$I$3:$I$1723,0)),"")</f>
        <v/>
      </c>
      <c r="F1651" s="4">
        <f>IFERROR(INDEX('Base de sorteio'!$C$3:$C$1723,MATCH($B1651&amp;"|"&amp;$C1651,'Base de sorteio'!$I$3:$I$1723,0)),"")</f>
        <v/>
      </c>
      <c r="G1651" s="4">
        <f>IFERROR(INDEX('Base de sorteio'!$D$3:$D$1723,MATCH($B1651&amp;"|"&amp;$C1651,'Base de sorteio'!$I$3:$I$1723,0)),"")</f>
        <v/>
      </c>
      <c r="H1651" s="4">
        <f>IFERROR(INDEX('Base de sorteio'!$E$3:$E$1723,MATCH($B1651&amp;"|"&amp;$C1651,'Base de sorteio'!$I$3:$I$1723,0)),"")</f>
        <v/>
      </c>
      <c r="I1651" s="4">
        <f>IF(E1651="","",HYPERLINK(IFERROR(INDEX('Base de sorteio'!$J$3:$J$1723,MATCH($B1651&amp;"|"&amp;$C1651,'Base de sorteio'!$I$3:$I$1723,0)),""),"abrir"))</f>
        <v/>
      </c>
      <c r="J1651" s="4" t="n"/>
      <c r="K1651" s="4" t="n"/>
      <c r="L1651" s="4" t="n"/>
      <c r="M1651" s="4" t="n"/>
      <c r="N1651" s="4">
        <f>IF(AND(K1651="",M1651=""),"",IF(OR(K1651="sim",M1651="sim"),"sim",IF(OR(K1651="inconclusivo",M1651="inconclusivo"),"inconclusivo","não")))</f>
        <v/>
      </c>
      <c r="O1651" s="5">
        <f>IF(N1651="sim",COUNTIFS($B$3:$B1651,$B1651,$N$3:$N1651,"sim"),"")</f>
        <v/>
      </c>
      <c r="P1651" s="5" t="n"/>
      <c r="Q1651" s="4" t="n"/>
      <c r="R1651" s="5" t="n"/>
      <c r="S1651" s="9" t="n"/>
      <c r="T1651" s="4" t="n"/>
    </row>
    <row r="1652">
      <c r="A1652" s="5">
        <f>ROW()-2</f>
        <v/>
      </c>
      <c r="B1652" s="4" t="inlineStr">
        <is>
          <t>Capital regional</t>
        </is>
      </c>
      <c r="C1652" s="5" t="n">
        <v>708</v>
      </c>
      <c r="D1652" s="5">
        <f>IFERROR(INDEX('Base de sorteio'!$A$3:$A$1723,MATCH($B1652&amp;"|"&amp;$C1652,'Base de sorteio'!$I$3:$I$1723,0)),"")</f>
        <v/>
      </c>
      <c r="E1652" s="4">
        <f>IFERROR(INDEX('Base de sorteio'!$B$3:$B$1723,MATCH($B1652&amp;"|"&amp;$C1652,'Base de sorteio'!$I$3:$I$1723,0)),"")</f>
        <v/>
      </c>
      <c r="F1652" s="4">
        <f>IFERROR(INDEX('Base de sorteio'!$C$3:$C$1723,MATCH($B1652&amp;"|"&amp;$C1652,'Base de sorteio'!$I$3:$I$1723,0)),"")</f>
        <v/>
      </c>
      <c r="G1652" s="4">
        <f>IFERROR(INDEX('Base de sorteio'!$D$3:$D$1723,MATCH($B1652&amp;"|"&amp;$C1652,'Base de sorteio'!$I$3:$I$1723,0)),"")</f>
        <v/>
      </c>
      <c r="H1652" s="4">
        <f>IFERROR(INDEX('Base de sorteio'!$E$3:$E$1723,MATCH($B1652&amp;"|"&amp;$C1652,'Base de sorteio'!$I$3:$I$1723,0)),"")</f>
        <v/>
      </c>
      <c r="I1652" s="4">
        <f>IF(E1652="","",HYPERLINK(IFERROR(INDEX('Base de sorteio'!$J$3:$J$1723,MATCH($B1652&amp;"|"&amp;$C1652,'Base de sorteio'!$I$3:$I$1723,0)),""),"abrir"))</f>
        <v/>
      </c>
      <c r="J1652" s="4" t="n"/>
      <c r="K1652" s="4" t="n"/>
      <c r="L1652" s="4" t="n"/>
      <c r="M1652" s="4" t="n"/>
      <c r="N1652" s="4">
        <f>IF(AND(K1652="",M1652=""),"",IF(OR(K1652="sim",M1652="sim"),"sim",IF(OR(K1652="inconclusivo",M1652="inconclusivo"),"inconclusivo","não")))</f>
        <v/>
      </c>
      <c r="O1652" s="5">
        <f>IF(N1652="sim",COUNTIFS($B$3:$B1652,$B1652,$N$3:$N1652,"sim"),"")</f>
        <v/>
      </c>
      <c r="P1652" s="5" t="n"/>
      <c r="Q1652" s="4" t="n"/>
      <c r="R1652" s="5" t="n"/>
      <c r="S1652" s="9" t="n"/>
      <c r="T1652" s="4" t="n"/>
    </row>
    <row r="1653">
      <c r="A1653" s="5">
        <f>ROW()-2</f>
        <v/>
      </c>
      <c r="B1653" s="4" t="inlineStr">
        <is>
          <t>Capital regional</t>
        </is>
      </c>
      <c r="C1653" s="5" t="n">
        <v>709</v>
      </c>
      <c r="D1653" s="5">
        <f>IFERROR(INDEX('Base de sorteio'!$A$3:$A$1723,MATCH($B1653&amp;"|"&amp;$C1653,'Base de sorteio'!$I$3:$I$1723,0)),"")</f>
        <v/>
      </c>
      <c r="E1653" s="4">
        <f>IFERROR(INDEX('Base de sorteio'!$B$3:$B$1723,MATCH($B1653&amp;"|"&amp;$C1653,'Base de sorteio'!$I$3:$I$1723,0)),"")</f>
        <v/>
      </c>
      <c r="F1653" s="4">
        <f>IFERROR(INDEX('Base de sorteio'!$C$3:$C$1723,MATCH($B1653&amp;"|"&amp;$C1653,'Base de sorteio'!$I$3:$I$1723,0)),"")</f>
        <v/>
      </c>
      <c r="G1653" s="4">
        <f>IFERROR(INDEX('Base de sorteio'!$D$3:$D$1723,MATCH($B1653&amp;"|"&amp;$C1653,'Base de sorteio'!$I$3:$I$1723,0)),"")</f>
        <v/>
      </c>
      <c r="H1653" s="4">
        <f>IFERROR(INDEX('Base de sorteio'!$E$3:$E$1723,MATCH($B1653&amp;"|"&amp;$C1653,'Base de sorteio'!$I$3:$I$1723,0)),"")</f>
        <v/>
      </c>
      <c r="I1653" s="4">
        <f>IF(E1653="","",HYPERLINK(IFERROR(INDEX('Base de sorteio'!$J$3:$J$1723,MATCH($B1653&amp;"|"&amp;$C1653,'Base de sorteio'!$I$3:$I$1723,0)),""),"abrir"))</f>
        <v/>
      </c>
      <c r="J1653" s="4" t="n"/>
      <c r="K1653" s="4" t="n"/>
      <c r="L1653" s="4" t="n"/>
      <c r="M1653" s="4" t="n"/>
      <c r="N1653" s="4">
        <f>IF(AND(K1653="",M1653=""),"",IF(OR(K1653="sim",M1653="sim"),"sim",IF(OR(K1653="inconclusivo",M1653="inconclusivo"),"inconclusivo","não")))</f>
        <v/>
      </c>
      <c r="O1653" s="5">
        <f>IF(N1653="sim",COUNTIFS($B$3:$B1653,$B1653,$N$3:$N1653,"sim"),"")</f>
        <v/>
      </c>
      <c r="P1653" s="5" t="n"/>
      <c r="Q1653" s="4" t="n"/>
      <c r="R1653" s="5" t="n"/>
      <c r="S1653" s="9" t="n"/>
      <c r="T1653" s="4" t="n"/>
    </row>
    <row r="1654">
      <c r="A1654" s="5">
        <f>ROW()-2</f>
        <v/>
      </c>
      <c r="B1654" s="4" t="inlineStr">
        <is>
          <t>Capital regional</t>
        </is>
      </c>
      <c r="C1654" s="5" t="n">
        <v>710</v>
      </c>
      <c r="D1654" s="5">
        <f>IFERROR(INDEX('Base de sorteio'!$A$3:$A$1723,MATCH($B1654&amp;"|"&amp;$C1654,'Base de sorteio'!$I$3:$I$1723,0)),"")</f>
        <v/>
      </c>
      <c r="E1654" s="4">
        <f>IFERROR(INDEX('Base de sorteio'!$B$3:$B$1723,MATCH($B1654&amp;"|"&amp;$C1654,'Base de sorteio'!$I$3:$I$1723,0)),"")</f>
        <v/>
      </c>
      <c r="F1654" s="4">
        <f>IFERROR(INDEX('Base de sorteio'!$C$3:$C$1723,MATCH($B1654&amp;"|"&amp;$C1654,'Base de sorteio'!$I$3:$I$1723,0)),"")</f>
        <v/>
      </c>
      <c r="G1654" s="4">
        <f>IFERROR(INDEX('Base de sorteio'!$D$3:$D$1723,MATCH($B1654&amp;"|"&amp;$C1654,'Base de sorteio'!$I$3:$I$1723,0)),"")</f>
        <v/>
      </c>
      <c r="H1654" s="4">
        <f>IFERROR(INDEX('Base de sorteio'!$E$3:$E$1723,MATCH($B1654&amp;"|"&amp;$C1654,'Base de sorteio'!$I$3:$I$1723,0)),"")</f>
        <v/>
      </c>
      <c r="I1654" s="4">
        <f>IF(E1654="","",HYPERLINK(IFERROR(INDEX('Base de sorteio'!$J$3:$J$1723,MATCH($B1654&amp;"|"&amp;$C1654,'Base de sorteio'!$I$3:$I$1723,0)),""),"abrir"))</f>
        <v/>
      </c>
      <c r="J1654" s="4" t="n"/>
      <c r="K1654" s="4" t="n"/>
      <c r="L1654" s="4" t="n"/>
      <c r="M1654" s="4" t="n"/>
      <c r="N1654" s="4">
        <f>IF(AND(K1654="",M1654=""),"",IF(OR(K1654="sim",M1654="sim"),"sim",IF(OR(K1654="inconclusivo",M1654="inconclusivo"),"inconclusivo","não")))</f>
        <v/>
      </c>
      <c r="O1654" s="5">
        <f>IF(N1654="sim",COUNTIFS($B$3:$B1654,$B1654,$N$3:$N1654,"sim"),"")</f>
        <v/>
      </c>
      <c r="P1654" s="5" t="n"/>
      <c r="Q1654" s="4" t="n"/>
      <c r="R1654" s="5" t="n"/>
      <c r="S1654" s="9" t="n"/>
      <c r="T1654" s="4" t="n"/>
    </row>
    <row r="1655">
      <c r="A1655" s="5">
        <f>ROW()-2</f>
        <v/>
      </c>
      <c r="B1655" s="4" t="inlineStr">
        <is>
          <t>Capital regional</t>
        </is>
      </c>
      <c r="C1655" s="5" t="n">
        <v>711</v>
      </c>
      <c r="D1655" s="5">
        <f>IFERROR(INDEX('Base de sorteio'!$A$3:$A$1723,MATCH($B1655&amp;"|"&amp;$C1655,'Base de sorteio'!$I$3:$I$1723,0)),"")</f>
        <v/>
      </c>
      <c r="E1655" s="4">
        <f>IFERROR(INDEX('Base de sorteio'!$B$3:$B$1723,MATCH($B1655&amp;"|"&amp;$C1655,'Base de sorteio'!$I$3:$I$1723,0)),"")</f>
        <v/>
      </c>
      <c r="F1655" s="4">
        <f>IFERROR(INDEX('Base de sorteio'!$C$3:$C$1723,MATCH($B1655&amp;"|"&amp;$C1655,'Base de sorteio'!$I$3:$I$1723,0)),"")</f>
        <v/>
      </c>
      <c r="G1655" s="4">
        <f>IFERROR(INDEX('Base de sorteio'!$D$3:$D$1723,MATCH($B1655&amp;"|"&amp;$C1655,'Base de sorteio'!$I$3:$I$1723,0)),"")</f>
        <v/>
      </c>
      <c r="H1655" s="4">
        <f>IFERROR(INDEX('Base de sorteio'!$E$3:$E$1723,MATCH($B1655&amp;"|"&amp;$C1655,'Base de sorteio'!$I$3:$I$1723,0)),"")</f>
        <v/>
      </c>
      <c r="I1655" s="4">
        <f>IF(E1655="","",HYPERLINK(IFERROR(INDEX('Base de sorteio'!$J$3:$J$1723,MATCH($B1655&amp;"|"&amp;$C1655,'Base de sorteio'!$I$3:$I$1723,0)),""),"abrir"))</f>
        <v/>
      </c>
      <c r="J1655" s="4" t="n"/>
      <c r="K1655" s="4" t="n"/>
      <c r="L1655" s="4" t="n"/>
      <c r="M1655" s="4" t="n"/>
      <c r="N1655" s="4">
        <f>IF(AND(K1655="",M1655=""),"",IF(OR(K1655="sim",M1655="sim"),"sim",IF(OR(K1655="inconclusivo",M1655="inconclusivo"),"inconclusivo","não")))</f>
        <v/>
      </c>
      <c r="O1655" s="5">
        <f>IF(N1655="sim",COUNTIFS($B$3:$B1655,$B1655,$N$3:$N1655,"sim"),"")</f>
        <v/>
      </c>
      <c r="P1655" s="5" t="n"/>
      <c r="Q1655" s="4" t="n"/>
      <c r="R1655" s="5" t="n"/>
      <c r="S1655" s="9" t="n"/>
      <c r="T1655" s="4" t="n"/>
    </row>
    <row r="1656">
      <c r="A1656" s="5">
        <f>ROW()-2</f>
        <v/>
      </c>
      <c r="B1656" s="4" t="inlineStr">
        <is>
          <t>Capital regional</t>
        </is>
      </c>
      <c r="C1656" s="5" t="n">
        <v>712</v>
      </c>
      <c r="D1656" s="5">
        <f>IFERROR(INDEX('Base de sorteio'!$A$3:$A$1723,MATCH($B1656&amp;"|"&amp;$C1656,'Base de sorteio'!$I$3:$I$1723,0)),"")</f>
        <v/>
      </c>
      <c r="E1656" s="4">
        <f>IFERROR(INDEX('Base de sorteio'!$B$3:$B$1723,MATCH($B1656&amp;"|"&amp;$C1656,'Base de sorteio'!$I$3:$I$1723,0)),"")</f>
        <v/>
      </c>
      <c r="F1656" s="4">
        <f>IFERROR(INDEX('Base de sorteio'!$C$3:$C$1723,MATCH($B1656&amp;"|"&amp;$C1656,'Base de sorteio'!$I$3:$I$1723,0)),"")</f>
        <v/>
      </c>
      <c r="G1656" s="4">
        <f>IFERROR(INDEX('Base de sorteio'!$D$3:$D$1723,MATCH($B1656&amp;"|"&amp;$C1656,'Base de sorteio'!$I$3:$I$1723,0)),"")</f>
        <v/>
      </c>
      <c r="H1656" s="4">
        <f>IFERROR(INDEX('Base de sorteio'!$E$3:$E$1723,MATCH($B1656&amp;"|"&amp;$C1656,'Base de sorteio'!$I$3:$I$1723,0)),"")</f>
        <v/>
      </c>
      <c r="I1656" s="4">
        <f>IF(E1656="","",HYPERLINK(IFERROR(INDEX('Base de sorteio'!$J$3:$J$1723,MATCH($B1656&amp;"|"&amp;$C1656,'Base de sorteio'!$I$3:$I$1723,0)),""),"abrir"))</f>
        <v/>
      </c>
      <c r="J1656" s="4" t="n"/>
      <c r="K1656" s="4" t="n"/>
      <c r="L1656" s="4" t="n"/>
      <c r="M1656" s="4" t="n"/>
      <c r="N1656" s="4">
        <f>IF(AND(K1656="",M1656=""),"",IF(OR(K1656="sim",M1656="sim"),"sim",IF(OR(K1656="inconclusivo",M1656="inconclusivo"),"inconclusivo","não")))</f>
        <v/>
      </c>
      <c r="O1656" s="5">
        <f>IF(N1656="sim",COUNTIFS($B$3:$B1656,$B1656,$N$3:$N1656,"sim"),"")</f>
        <v/>
      </c>
      <c r="P1656" s="5" t="n"/>
      <c r="Q1656" s="4" t="n"/>
      <c r="R1656" s="5" t="n"/>
      <c r="S1656" s="9" t="n"/>
      <c r="T1656" s="4" t="n"/>
    </row>
    <row r="1657">
      <c r="A1657" s="5">
        <f>ROW()-2</f>
        <v/>
      </c>
      <c r="B1657" s="4" t="inlineStr">
        <is>
          <t>Capital regional</t>
        </is>
      </c>
      <c r="C1657" s="5" t="n">
        <v>713</v>
      </c>
      <c r="D1657" s="5">
        <f>IFERROR(INDEX('Base de sorteio'!$A$3:$A$1723,MATCH($B1657&amp;"|"&amp;$C1657,'Base de sorteio'!$I$3:$I$1723,0)),"")</f>
        <v/>
      </c>
      <c r="E1657" s="4">
        <f>IFERROR(INDEX('Base de sorteio'!$B$3:$B$1723,MATCH($B1657&amp;"|"&amp;$C1657,'Base de sorteio'!$I$3:$I$1723,0)),"")</f>
        <v/>
      </c>
      <c r="F1657" s="4">
        <f>IFERROR(INDEX('Base de sorteio'!$C$3:$C$1723,MATCH($B1657&amp;"|"&amp;$C1657,'Base de sorteio'!$I$3:$I$1723,0)),"")</f>
        <v/>
      </c>
      <c r="G1657" s="4">
        <f>IFERROR(INDEX('Base de sorteio'!$D$3:$D$1723,MATCH($B1657&amp;"|"&amp;$C1657,'Base de sorteio'!$I$3:$I$1723,0)),"")</f>
        <v/>
      </c>
      <c r="H1657" s="4">
        <f>IFERROR(INDEX('Base de sorteio'!$E$3:$E$1723,MATCH($B1657&amp;"|"&amp;$C1657,'Base de sorteio'!$I$3:$I$1723,0)),"")</f>
        <v/>
      </c>
      <c r="I1657" s="4">
        <f>IF(E1657="","",HYPERLINK(IFERROR(INDEX('Base de sorteio'!$J$3:$J$1723,MATCH($B1657&amp;"|"&amp;$C1657,'Base de sorteio'!$I$3:$I$1723,0)),""),"abrir"))</f>
        <v/>
      </c>
      <c r="J1657" s="4" t="n"/>
      <c r="K1657" s="4" t="n"/>
      <c r="L1657" s="4" t="n"/>
      <c r="M1657" s="4" t="n"/>
      <c r="N1657" s="4">
        <f>IF(AND(K1657="",M1657=""),"",IF(OR(K1657="sim",M1657="sim"),"sim",IF(OR(K1657="inconclusivo",M1657="inconclusivo"),"inconclusivo","não")))</f>
        <v/>
      </c>
      <c r="O1657" s="5">
        <f>IF(N1657="sim",COUNTIFS($B$3:$B1657,$B1657,$N$3:$N1657,"sim"),"")</f>
        <v/>
      </c>
      <c r="P1657" s="5" t="n"/>
      <c r="Q1657" s="4" t="n"/>
      <c r="R1657" s="5" t="n"/>
      <c r="S1657" s="9" t="n"/>
      <c r="T1657" s="4" t="n"/>
    </row>
    <row r="1658">
      <c r="A1658" s="5">
        <f>ROW()-2</f>
        <v/>
      </c>
      <c r="B1658" s="4" t="inlineStr">
        <is>
          <t>Capital regional</t>
        </is>
      </c>
      <c r="C1658" s="5" t="n">
        <v>714</v>
      </c>
      <c r="D1658" s="5">
        <f>IFERROR(INDEX('Base de sorteio'!$A$3:$A$1723,MATCH($B1658&amp;"|"&amp;$C1658,'Base de sorteio'!$I$3:$I$1723,0)),"")</f>
        <v/>
      </c>
      <c r="E1658" s="4">
        <f>IFERROR(INDEX('Base de sorteio'!$B$3:$B$1723,MATCH($B1658&amp;"|"&amp;$C1658,'Base de sorteio'!$I$3:$I$1723,0)),"")</f>
        <v/>
      </c>
      <c r="F1658" s="4">
        <f>IFERROR(INDEX('Base de sorteio'!$C$3:$C$1723,MATCH($B1658&amp;"|"&amp;$C1658,'Base de sorteio'!$I$3:$I$1723,0)),"")</f>
        <v/>
      </c>
      <c r="G1658" s="4">
        <f>IFERROR(INDEX('Base de sorteio'!$D$3:$D$1723,MATCH($B1658&amp;"|"&amp;$C1658,'Base de sorteio'!$I$3:$I$1723,0)),"")</f>
        <v/>
      </c>
      <c r="H1658" s="4">
        <f>IFERROR(INDEX('Base de sorteio'!$E$3:$E$1723,MATCH($B1658&amp;"|"&amp;$C1658,'Base de sorteio'!$I$3:$I$1723,0)),"")</f>
        <v/>
      </c>
      <c r="I1658" s="4">
        <f>IF(E1658="","",HYPERLINK(IFERROR(INDEX('Base de sorteio'!$J$3:$J$1723,MATCH($B1658&amp;"|"&amp;$C1658,'Base de sorteio'!$I$3:$I$1723,0)),""),"abrir"))</f>
        <v/>
      </c>
      <c r="J1658" s="4" t="n"/>
      <c r="K1658" s="4" t="n"/>
      <c r="L1658" s="4" t="n"/>
      <c r="M1658" s="4" t="n"/>
      <c r="N1658" s="4">
        <f>IF(AND(K1658="",M1658=""),"",IF(OR(K1658="sim",M1658="sim"),"sim",IF(OR(K1658="inconclusivo",M1658="inconclusivo"),"inconclusivo","não")))</f>
        <v/>
      </c>
      <c r="O1658" s="5">
        <f>IF(N1658="sim",COUNTIFS($B$3:$B1658,$B1658,$N$3:$N1658,"sim"),"")</f>
        <v/>
      </c>
      <c r="P1658" s="5" t="n"/>
      <c r="Q1658" s="4" t="n"/>
      <c r="R1658" s="5" t="n"/>
      <c r="S1658" s="9" t="n"/>
      <c r="T1658" s="4" t="n"/>
    </row>
    <row r="1659">
      <c r="A1659" s="5">
        <f>ROW()-2</f>
        <v/>
      </c>
      <c r="B1659" s="4" t="inlineStr">
        <is>
          <t>Capital regional</t>
        </is>
      </c>
      <c r="C1659" s="5" t="n">
        <v>715</v>
      </c>
      <c r="D1659" s="5">
        <f>IFERROR(INDEX('Base de sorteio'!$A$3:$A$1723,MATCH($B1659&amp;"|"&amp;$C1659,'Base de sorteio'!$I$3:$I$1723,0)),"")</f>
        <v/>
      </c>
      <c r="E1659" s="4">
        <f>IFERROR(INDEX('Base de sorteio'!$B$3:$B$1723,MATCH($B1659&amp;"|"&amp;$C1659,'Base de sorteio'!$I$3:$I$1723,0)),"")</f>
        <v/>
      </c>
      <c r="F1659" s="4">
        <f>IFERROR(INDEX('Base de sorteio'!$C$3:$C$1723,MATCH($B1659&amp;"|"&amp;$C1659,'Base de sorteio'!$I$3:$I$1723,0)),"")</f>
        <v/>
      </c>
      <c r="G1659" s="4">
        <f>IFERROR(INDEX('Base de sorteio'!$D$3:$D$1723,MATCH($B1659&amp;"|"&amp;$C1659,'Base de sorteio'!$I$3:$I$1723,0)),"")</f>
        <v/>
      </c>
      <c r="H1659" s="4">
        <f>IFERROR(INDEX('Base de sorteio'!$E$3:$E$1723,MATCH($B1659&amp;"|"&amp;$C1659,'Base de sorteio'!$I$3:$I$1723,0)),"")</f>
        <v/>
      </c>
      <c r="I1659" s="4">
        <f>IF(E1659="","",HYPERLINK(IFERROR(INDEX('Base de sorteio'!$J$3:$J$1723,MATCH($B1659&amp;"|"&amp;$C1659,'Base de sorteio'!$I$3:$I$1723,0)),""),"abrir"))</f>
        <v/>
      </c>
      <c r="J1659" s="4" t="n"/>
      <c r="K1659" s="4" t="n"/>
      <c r="L1659" s="4" t="n"/>
      <c r="M1659" s="4" t="n"/>
      <c r="N1659" s="4">
        <f>IF(AND(K1659="",M1659=""),"",IF(OR(K1659="sim",M1659="sim"),"sim",IF(OR(K1659="inconclusivo",M1659="inconclusivo"),"inconclusivo","não")))</f>
        <v/>
      </c>
      <c r="O1659" s="5">
        <f>IF(N1659="sim",COUNTIFS($B$3:$B1659,$B1659,$N$3:$N1659,"sim"),"")</f>
        <v/>
      </c>
      <c r="P1659" s="5" t="n"/>
      <c r="Q1659" s="4" t="n"/>
      <c r="R1659" s="5" t="n"/>
      <c r="S1659" s="9" t="n"/>
      <c r="T1659" s="4" t="n"/>
    </row>
    <row r="1660">
      <c r="A1660" s="5">
        <f>ROW()-2</f>
        <v/>
      </c>
      <c r="B1660" s="4" t="inlineStr">
        <is>
          <t>Capital regional</t>
        </is>
      </c>
      <c r="C1660" s="5" t="n">
        <v>716</v>
      </c>
      <c r="D1660" s="5">
        <f>IFERROR(INDEX('Base de sorteio'!$A$3:$A$1723,MATCH($B1660&amp;"|"&amp;$C1660,'Base de sorteio'!$I$3:$I$1723,0)),"")</f>
        <v/>
      </c>
      <c r="E1660" s="4">
        <f>IFERROR(INDEX('Base de sorteio'!$B$3:$B$1723,MATCH($B1660&amp;"|"&amp;$C1660,'Base de sorteio'!$I$3:$I$1723,0)),"")</f>
        <v/>
      </c>
      <c r="F1660" s="4">
        <f>IFERROR(INDEX('Base de sorteio'!$C$3:$C$1723,MATCH($B1660&amp;"|"&amp;$C1660,'Base de sorteio'!$I$3:$I$1723,0)),"")</f>
        <v/>
      </c>
      <c r="G1660" s="4">
        <f>IFERROR(INDEX('Base de sorteio'!$D$3:$D$1723,MATCH($B1660&amp;"|"&amp;$C1660,'Base de sorteio'!$I$3:$I$1723,0)),"")</f>
        <v/>
      </c>
      <c r="H1660" s="4">
        <f>IFERROR(INDEX('Base de sorteio'!$E$3:$E$1723,MATCH($B1660&amp;"|"&amp;$C1660,'Base de sorteio'!$I$3:$I$1723,0)),"")</f>
        <v/>
      </c>
      <c r="I1660" s="4">
        <f>IF(E1660="","",HYPERLINK(IFERROR(INDEX('Base de sorteio'!$J$3:$J$1723,MATCH($B1660&amp;"|"&amp;$C1660,'Base de sorteio'!$I$3:$I$1723,0)),""),"abrir"))</f>
        <v/>
      </c>
      <c r="J1660" s="4" t="n"/>
      <c r="K1660" s="4" t="n"/>
      <c r="L1660" s="4" t="n"/>
      <c r="M1660" s="4" t="n"/>
      <c r="N1660" s="4">
        <f>IF(AND(K1660="",M1660=""),"",IF(OR(K1660="sim",M1660="sim"),"sim",IF(OR(K1660="inconclusivo",M1660="inconclusivo"),"inconclusivo","não")))</f>
        <v/>
      </c>
      <c r="O1660" s="5">
        <f>IF(N1660="sim",COUNTIFS($B$3:$B1660,$B1660,$N$3:$N1660,"sim"),"")</f>
        <v/>
      </c>
      <c r="P1660" s="5" t="n"/>
      <c r="Q1660" s="4" t="n"/>
      <c r="R1660" s="5" t="n"/>
      <c r="S1660" s="9" t="n"/>
      <c r="T1660" s="4" t="n"/>
    </row>
    <row r="1661">
      <c r="A1661" s="5">
        <f>ROW()-2</f>
        <v/>
      </c>
      <c r="B1661" s="4" t="inlineStr">
        <is>
          <t>Capital regional</t>
        </is>
      </c>
      <c r="C1661" s="5" t="n">
        <v>717</v>
      </c>
      <c r="D1661" s="5">
        <f>IFERROR(INDEX('Base de sorteio'!$A$3:$A$1723,MATCH($B1661&amp;"|"&amp;$C1661,'Base de sorteio'!$I$3:$I$1723,0)),"")</f>
        <v/>
      </c>
      <c r="E1661" s="4">
        <f>IFERROR(INDEX('Base de sorteio'!$B$3:$B$1723,MATCH($B1661&amp;"|"&amp;$C1661,'Base de sorteio'!$I$3:$I$1723,0)),"")</f>
        <v/>
      </c>
      <c r="F1661" s="4">
        <f>IFERROR(INDEX('Base de sorteio'!$C$3:$C$1723,MATCH($B1661&amp;"|"&amp;$C1661,'Base de sorteio'!$I$3:$I$1723,0)),"")</f>
        <v/>
      </c>
      <c r="G1661" s="4">
        <f>IFERROR(INDEX('Base de sorteio'!$D$3:$D$1723,MATCH($B1661&amp;"|"&amp;$C1661,'Base de sorteio'!$I$3:$I$1723,0)),"")</f>
        <v/>
      </c>
      <c r="H1661" s="4">
        <f>IFERROR(INDEX('Base de sorteio'!$E$3:$E$1723,MATCH($B1661&amp;"|"&amp;$C1661,'Base de sorteio'!$I$3:$I$1723,0)),"")</f>
        <v/>
      </c>
      <c r="I1661" s="4">
        <f>IF(E1661="","",HYPERLINK(IFERROR(INDEX('Base de sorteio'!$J$3:$J$1723,MATCH($B1661&amp;"|"&amp;$C1661,'Base de sorteio'!$I$3:$I$1723,0)),""),"abrir"))</f>
        <v/>
      </c>
      <c r="J1661" s="4" t="n"/>
      <c r="K1661" s="4" t="n"/>
      <c r="L1661" s="4" t="n"/>
      <c r="M1661" s="4" t="n"/>
      <c r="N1661" s="4">
        <f>IF(AND(K1661="",M1661=""),"",IF(OR(K1661="sim",M1661="sim"),"sim",IF(OR(K1661="inconclusivo",M1661="inconclusivo"),"inconclusivo","não")))</f>
        <v/>
      </c>
      <c r="O1661" s="5">
        <f>IF(N1661="sim",COUNTIFS($B$3:$B1661,$B1661,$N$3:$N1661,"sim"),"")</f>
        <v/>
      </c>
      <c r="P1661" s="5" t="n"/>
      <c r="Q1661" s="4" t="n"/>
      <c r="R1661" s="5" t="n"/>
      <c r="S1661" s="9" t="n"/>
      <c r="T1661" s="4" t="n"/>
    </row>
    <row r="1662">
      <c r="A1662" s="5">
        <f>ROW()-2</f>
        <v/>
      </c>
      <c r="B1662" s="4" t="inlineStr">
        <is>
          <t>Capital regional</t>
        </is>
      </c>
      <c r="C1662" s="5" t="n">
        <v>718</v>
      </c>
      <c r="D1662" s="5">
        <f>IFERROR(INDEX('Base de sorteio'!$A$3:$A$1723,MATCH($B1662&amp;"|"&amp;$C1662,'Base de sorteio'!$I$3:$I$1723,0)),"")</f>
        <v/>
      </c>
      <c r="E1662" s="4">
        <f>IFERROR(INDEX('Base de sorteio'!$B$3:$B$1723,MATCH($B1662&amp;"|"&amp;$C1662,'Base de sorteio'!$I$3:$I$1723,0)),"")</f>
        <v/>
      </c>
      <c r="F1662" s="4">
        <f>IFERROR(INDEX('Base de sorteio'!$C$3:$C$1723,MATCH($B1662&amp;"|"&amp;$C1662,'Base de sorteio'!$I$3:$I$1723,0)),"")</f>
        <v/>
      </c>
      <c r="G1662" s="4">
        <f>IFERROR(INDEX('Base de sorteio'!$D$3:$D$1723,MATCH($B1662&amp;"|"&amp;$C1662,'Base de sorteio'!$I$3:$I$1723,0)),"")</f>
        <v/>
      </c>
      <c r="H1662" s="4">
        <f>IFERROR(INDEX('Base de sorteio'!$E$3:$E$1723,MATCH($B1662&amp;"|"&amp;$C1662,'Base de sorteio'!$I$3:$I$1723,0)),"")</f>
        <v/>
      </c>
      <c r="I1662" s="4">
        <f>IF(E1662="","",HYPERLINK(IFERROR(INDEX('Base de sorteio'!$J$3:$J$1723,MATCH($B1662&amp;"|"&amp;$C1662,'Base de sorteio'!$I$3:$I$1723,0)),""),"abrir"))</f>
        <v/>
      </c>
      <c r="J1662" s="4" t="n"/>
      <c r="K1662" s="4" t="n"/>
      <c r="L1662" s="4" t="n"/>
      <c r="M1662" s="4" t="n"/>
      <c r="N1662" s="4">
        <f>IF(AND(K1662="",M1662=""),"",IF(OR(K1662="sim",M1662="sim"),"sim",IF(OR(K1662="inconclusivo",M1662="inconclusivo"),"inconclusivo","não")))</f>
        <v/>
      </c>
      <c r="O1662" s="5">
        <f>IF(N1662="sim",COUNTIFS($B$3:$B1662,$B1662,$N$3:$N1662,"sim"),"")</f>
        <v/>
      </c>
      <c r="P1662" s="5" t="n"/>
      <c r="Q1662" s="4" t="n"/>
      <c r="R1662" s="5" t="n"/>
      <c r="S1662" s="9" t="n"/>
      <c r="T1662" s="4" t="n"/>
    </row>
    <row r="1663">
      <c r="A1663" s="5">
        <f>ROW()-2</f>
        <v/>
      </c>
      <c r="B1663" s="4" t="inlineStr">
        <is>
          <t>Capital regional</t>
        </is>
      </c>
      <c r="C1663" s="5" t="n">
        <v>719</v>
      </c>
      <c r="D1663" s="5">
        <f>IFERROR(INDEX('Base de sorteio'!$A$3:$A$1723,MATCH($B1663&amp;"|"&amp;$C1663,'Base de sorteio'!$I$3:$I$1723,0)),"")</f>
        <v/>
      </c>
      <c r="E1663" s="4">
        <f>IFERROR(INDEX('Base de sorteio'!$B$3:$B$1723,MATCH($B1663&amp;"|"&amp;$C1663,'Base de sorteio'!$I$3:$I$1723,0)),"")</f>
        <v/>
      </c>
      <c r="F1663" s="4">
        <f>IFERROR(INDEX('Base de sorteio'!$C$3:$C$1723,MATCH($B1663&amp;"|"&amp;$C1663,'Base de sorteio'!$I$3:$I$1723,0)),"")</f>
        <v/>
      </c>
      <c r="G1663" s="4">
        <f>IFERROR(INDEX('Base de sorteio'!$D$3:$D$1723,MATCH($B1663&amp;"|"&amp;$C1663,'Base de sorteio'!$I$3:$I$1723,0)),"")</f>
        <v/>
      </c>
      <c r="H1663" s="4">
        <f>IFERROR(INDEX('Base de sorteio'!$E$3:$E$1723,MATCH($B1663&amp;"|"&amp;$C1663,'Base de sorteio'!$I$3:$I$1723,0)),"")</f>
        <v/>
      </c>
      <c r="I1663" s="4">
        <f>IF(E1663="","",HYPERLINK(IFERROR(INDEX('Base de sorteio'!$J$3:$J$1723,MATCH($B1663&amp;"|"&amp;$C1663,'Base de sorteio'!$I$3:$I$1723,0)),""),"abrir"))</f>
        <v/>
      </c>
      <c r="J1663" s="4" t="n"/>
      <c r="K1663" s="4" t="n"/>
      <c r="L1663" s="4" t="n"/>
      <c r="M1663" s="4" t="n"/>
      <c r="N1663" s="4">
        <f>IF(AND(K1663="",M1663=""),"",IF(OR(K1663="sim",M1663="sim"),"sim",IF(OR(K1663="inconclusivo",M1663="inconclusivo"),"inconclusivo","não")))</f>
        <v/>
      </c>
      <c r="O1663" s="5">
        <f>IF(N1663="sim",COUNTIFS($B$3:$B1663,$B1663,$N$3:$N1663,"sim"),"")</f>
        <v/>
      </c>
      <c r="P1663" s="5" t="n"/>
      <c r="Q1663" s="4" t="n"/>
      <c r="R1663" s="5" t="n"/>
      <c r="S1663" s="9" t="n"/>
      <c r="T1663" s="4" t="n"/>
    </row>
    <row r="1664">
      <c r="A1664" s="5">
        <f>ROW()-2</f>
        <v/>
      </c>
      <c r="B1664" s="4" t="inlineStr">
        <is>
          <t>Capital regional</t>
        </is>
      </c>
      <c r="C1664" s="5" t="n">
        <v>720</v>
      </c>
      <c r="D1664" s="5">
        <f>IFERROR(INDEX('Base de sorteio'!$A$3:$A$1723,MATCH($B1664&amp;"|"&amp;$C1664,'Base de sorteio'!$I$3:$I$1723,0)),"")</f>
        <v/>
      </c>
      <c r="E1664" s="4">
        <f>IFERROR(INDEX('Base de sorteio'!$B$3:$B$1723,MATCH($B1664&amp;"|"&amp;$C1664,'Base de sorteio'!$I$3:$I$1723,0)),"")</f>
        <v/>
      </c>
      <c r="F1664" s="4">
        <f>IFERROR(INDEX('Base de sorteio'!$C$3:$C$1723,MATCH($B1664&amp;"|"&amp;$C1664,'Base de sorteio'!$I$3:$I$1723,0)),"")</f>
        <v/>
      </c>
      <c r="G1664" s="4">
        <f>IFERROR(INDEX('Base de sorteio'!$D$3:$D$1723,MATCH($B1664&amp;"|"&amp;$C1664,'Base de sorteio'!$I$3:$I$1723,0)),"")</f>
        <v/>
      </c>
      <c r="H1664" s="4">
        <f>IFERROR(INDEX('Base de sorteio'!$E$3:$E$1723,MATCH($B1664&amp;"|"&amp;$C1664,'Base de sorteio'!$I$3:$I$1723,0)),"")</f>
        <v/>
      </c>
      <c r="I1664" s="4">
        <f>IF(E1664="","",HYPERLINK(IFERROR(INDEX('Base de sorteio'!$J$3:$J$1723,MATCH($B1664&amp;"|"&amp;$C1664,'Base de sorteio'!$I$3:$I$1723,0)),""),"abrir"))</f>
        <v/>
      </c>
      <c r="J1664" s="4" t="n"/>
      <c r="K1664" s="4" t="n"/>
      <c r="L1664" s="4" t="n"/>
      <c r="M1664" s="4" t="n"/>
      <c r="N1664" s="4">
        <f>IF(AND(K1664="",M1664=""),"",IF(OR(K1664="sim",M1664="sim"),"sim",IF(OR(K1664="inconclusivo",M1664="inconclusivo"),"inconclusivo","não")))</f>
        <v/>
      </c>
      <c r="O1664" s="5">
        <f>IF(N1664="sim",COUNTIFS($B$3:$B1664,$B1664,$N$3:$N1664,"sim"),"")</f>
        <v/>
      </c>
      <c r="P1664" s="5" t="n"/>
      <c r="Q1664" s="4" t="n"/>
      <c r="R1664" s="5" t="n"/>
      <c r="S1664" s="9" t="n"/>
      <c r="T1664" s="4" t="n"/>
    </row>
    <row r="1665">
      <c r="A1665" s="5">
        <f>ROW()-2</f>
        <v/>
      </c>
      <c r="B1665" s="4" t="inlineStr">
        <is>
          <t>Capital regional</t>
        </is>
      </c>
      <c r="C1665" s="5" t="n">
        <v>721</v>
      </c>
      <c r="D1665" s="5">
        <f>IFERROR(INDEX('Base de sorteio'!$A$3:$A$1723,MATCH($B1665&amp;"|"&amp;$C1665,'Base de sorteio'!$I$3:$I$1723,0)),"")</f>
        <v/>
      </c>
      <c r="E1665" s="4">
        <f>IFERROR(INDEX('Base de sorteio'!$B$3:$B$1723,MATCH($B1665&amp;"|"&amp;$C1665,'Base de sorteio'!$I$3:$I$1723,0)),"")</f>
        <v/>
      </c>
      <c r="F1665" s="4">
        <f>IFERROR(INDEX('Base de sorteio'!$C$3:$C$1723,MATCH($B1665&amp;"|"&amp;$C1665,'Base de sorteio'!$I$3:$I$1723,0)),"")</f>
        <v/>
      </c>
      <c r="G1665" s="4">
        <f>IFERROR(INDEX('Base de sorteio'!$D$3:$D$1723,MATCH($B1665&amp;"|"&amp;$C1665,'Base de sorteio'!$I$3:$I$1723,0)),"")</f>
        <v/>
      </c>
      <c r="H1665" s="4">
        <f>IFERROR(INDEX('Base de sorteio'!$E$3:$E$1723,MATCH($B1665&amp;"|"&amp;$C1665,'Base de sorteio'!$I$3:$I$1723,0)),"")</f>
        <v/>
      </c>
      <c r="I1665" s="4">
        <f>IF(E1665="","",HYPERLINK(IFERROR(INDEX('Base de sorteio'!$J$3:$J$1723,MATCH($B1665&amp;"|"&amp;$C1665,'Base de sorteio'!$I$3:$I$1723,0)),""),"abrir"))</f>
        <v/>
      </c>
      <c r="J1665" s="4" t="n"/>
      <c r="K1665" s="4" t="n"/>
      <c r="L1665" s="4" t="n"/>
      <c r="M1665" s="4" t="n"/>
      <c r="N1665" s="4">
        <f>IF(AND(K1665="",M1665=""),"",IF(OR(K1665="sim",M1665="sim"),"sim",IF(OR(K1665="inconclusivo",M1665="inconclusivo"),"inconclusivo","não")))</f>
        <v/>
      </c>
      <c r="O1665" s="5">
        <f>IF(N1665="sim",COUNTIFS($B$3:$B1665,$B1665,$N$3:$N1665,"sim"),"")</f>
        <v/>
      </c>
      <c r="P1665" s="5" t="n"/>
      <c r="Q1665" s="4" t="n"/>
      <c r="R1665" s="5" t="n"/>
      <c r="S1665" s="9" t="n"/>
      <c r="T1665" s="4" t="n"/>
    </row>
    <row r="1666">
      <c r="A1666" s="5">
        <f>ROW()-2</f>
        <v/>
      </c>
      <c r="B1666" s="4" t="inlineStr">
        <is>
          <t>Capital regional</t>
        </is>
      </c>
      <c r="C1666" s="5" t="n">
        <v>722</v>
      </c>
      <c r="D1666" s="5">
        <f>IFERROR(INDEX('Base de sorteio'!$A$3:$A$1723,MATCH($B1666&amp;"|"&amp;$C1666,'Base de sorteio'!$I$3:$I$1723,0)),"")</f>
        <v/>
      </c>
      <c r="E1666" s="4">
        <f>IFERROR(INDEX('Base de sorteio'!$B$3:$B$1723,MATCH($B1666&amp;"|"&amp;$C1666,'Base de sorteio'!$I$3:$I$1723,0)),"")</f>
        <v/>
      </c>
      <c r="F1666" s="4">
        <f>IFERROR(INDEX('Base de sorteio'!$C$3:$C$1723,MATCH($B1666&amp;"|"&amp;$C1666,'Base de sorteio'!$I$3:$I$1723,0)),"")</f>
        <v/>
      </c>
      <c r="G1666" s="4">
        <f>IFERROR(INDEX('Base de sorteio'!$D$3:$D$1723,MATCH($B1666&amp;"|"&amp;$C1666,'Base de sorteio'!$I$3:$I$1723,0)),"")</f>
        <v/>
      </c>
      <c r="H1666" s="4">
        <f>IFERROR(INDEX('Base de sorteio'!$E$3:$E$1723,MATCH($B1666&amp;"|"&amp;$C1666,'Base de sorteio'!$I$3:$I$1723,0)),"")</f>
        <v/>
      </c>
      <c r="I1666" s="4">
        <f>IF(E1666="","",HYPERLINK(IFERROR(INDEX('Base de sorteio'!$J$3:$J$1723,MATCH($B1666&amp;"|"&amp;$C1666,'Base de sorteio'!$I$3:$I$1723,0)),""),"abrir"))</f>
        <v/>
      </c>
      <c r="J1666" s="4" t="n"/>
      <c r="K1666" s="4" t="n"/>
      <c r="L1666" s="4" t="n"/>
      <c r="M1666" s="4" t="n"/>
      <c r="N1666" s="4">
        <f>IF(AND(K1666="",M1666=""),"",IF(OR(K1666="sim",M1666="sim"),"sim",IF(OR(K1666="inconclusivo",M1666="inconclusivo"),"inconclusivo","não")))</f>
        <v/>
      </c>
      <c r="O1666" s="5">
        <f>IF(N1666="sim",COUNTIFS($B$3:$B1666,$B1666,$N$3:$N1666,"sim"),"")</f>
        <v/>
      </c>
      <c r="P1666" s="5" t="n"/>
      <c r="Q1666" s="4" t="n"/>
      <c r="R1666" s="5" t="n"/>
      <c r="S1666" s="9" t="n"/>
      <c r="T1666" s="4" t="n"/>
    </row>
    <row r="1667">
      <c r="A1667" s="5">
        <f>ROW()-2</f>
        <v/>
      </c>
      <c r="B1667" s="4" t="inlineStr">
        <is>
          <t>Capital regional</t>
        </is>
      </c>
      <c r="C1667" s="5" t="n">
        <v>723</v>
      </c>
      <c r="D1667" s="5">
        <f>IFERROR(INDEX('Base de sorteio'!$A$3:$A$1723,MATCH($B1667&amp;"|"&amp;$C1667,'Base de sorteio'!$I$3:$I$1723,0)),"")</f>
        <v/>
      </c>
      <c r="E1667" s="4">
        <f>IFERROR(INDEX('Base de sorteio'!$B$3:$B$1723,MATCH($B1667&amp;"|"&amp;$C1667,'Base de sorteio'!$I$3:$I$1723,0)),"")</f>
        <v/>
      </c>
      <c r="F1667" s="4">
        <f>IFERROR(INDEX('Base de sorteio'!$C$3:$C$1723,MATCH($B1667&amp;"|"&amp;$C1667,'Base de sorteio'!$I$3:$I$1723,0)),"")</f>
        <v/>
      </c>
      <c r="G1667" s="4">
        <f>IFERROR(INDEX('Base de sorteio'!$D$3:$D$1723,MATCH($B1667&amp;"|"&amp;$C1667,'Base de sorteio'!$I$3:$I$1723,0)),"")</f>
        <v/>
      </c>
      <c r="H1667" s="4">
        <f>IFERROR(INDEX('Base de sorteio'!$E$3:$E$1723,MATCH($B1667&amp;"|"&amp;$C1667,'Base de sorteio'!$I$3:$I$1723,0)),"")</f>
        <v/>
      </c>
      <c r="I1667" s="4">
        <f>IF(E1667="","",HYPERLINK(IFERROR(INDEX('Base de sorteio'!$J$3:$J$1723,MATCH($B1667&amp;"|"&amp;$C1667,'Base de sorteio'!$I$3:$I$1723,0)),""),"abrir"))</f>
        <v/>
      </c>
      <c r="J1667" s="4" t="n"/>
      <c r="K1667" s="4" t="n"/>
      <c r="L1667" s="4" t="n"/>
      <c r="M1667" s="4" t="n"/>
      <c r="N1667" s="4">
        <f>IF(AND(K1667="",M1667=""),"",IF(OR(K1667="sim",M1667="sim"),"sim",IF(OR(K1667="inconclusivo",M1667="inconclusivo"),"inconclusivo","não")))</f>
        <v/>
      </c>
      <c r="O1667" s="5">
        <f>IF(N1667="sim",COUNTIFS($B$3:$B1667,$B1667,$N$3:$N1667,"sim"),"")</f>
        <v/>
      </c>
      <c r="P1667" s="5" t="n"/>
      <c r="Q1667" s="4" t="n"/>
      <c r="R1667" s="5" t="n"/>
      <c r="S1667" s="9" t="n"/>
      <c r="T1667" s="4" t="n"/>
    </row>
    <row r="1668">
      <c r="A1668" s="5">
        <f>ROW()-2</f>
        <v/>
      </c>
      <c r="B1668" s="4" t="inlineStr">
        <is>
          <t>Capital regional</t>
        </is>
      </c>
      <c r="C1668" s="5" t="n">
        <v>724</v>
      </c>
      <c r="D1668" s="5">
        <f>IFERROR(INDEX('Base de sorteio'!$A$3:$A$1723,MATCH($B1668&amp;"|"&amp;$C1668,'Base de sorteio'!$I$3:$I$1723,0)),"")</f>
        <v/>
      </c>
      <c r="E1668" s="4">
        <f>IFERROR(INDEX('Base de sorteio'!$B$3:$B$1723,MATCH($B1668&amp;"|"&amp;$C1668,'Base de sorteio'!$I$3:$I$1723,0)),"")</f>
        <v/>
      </c>
      <c r="F1668" s="4">
        <f>IFERROR(INDEX('Base de sorteio'!$C$3:$C$1723,MATCH($B1668&amp;"|"&amp;$C1668,'Base de sorteio'!$I$3:$I$1723,0)),"")</f>
        <v/>
      </c>
      <c r="G1668" s="4">
        <f>IFERROR(INDEX('Base de sorteio'!$D$3:$D$1723,MATCH($B1668&amp;"|"&amp;$C1668,'Base de sorteio'!$I$3:$I$1723,0)),"")</f>
        <v/>
      </c>
      <c r="H1668" s="4">
        <f>IFERROR(INDEX('Base de sorteio'!$E$3:$E$1723,MATCH($B1668&amp;"|"&amp;$C1668,'Base de sorteio'!$I$3:$I$1723,0)),"")</f>
        <v/>
      </c>
      <c r="I1668" s="4">
        <f>IF(E1668="","",HYPERLINK(IFERROR(INDEX('Base de sorteio'!$J$3:$J$1723,MATCH($B1668&amp;"|"&amp;$C1668,'Base de sorteio'!$I$3:$I$1723,0)),""),"abrir"))</f>
        <v/>
      </c>
      <c r="J1668" s="4" t="n"/>
      <c r="K1668" s="4" t="n"/>
      <c r="L1668" s="4" t="n"/>
      <c r="M1668" s="4" t="n"/>
      <c r="N1668" s="4">
        <f>IF(AND(K1668="",M1668=""),"",IF(OR(K1668="sim",M1668="sim"),"sim",IF(OR(K1668="inconclusivo",M1668="inconclusivo"),"inconclusivo","não")))</f>
        <v/>
      </c>
      <c r="O1668" s="5">
        <f>IF(N1668="sim",COUNTIFS($B$3:$B1668,$B1668,$N$3:$N1668,"sim"),"")</f>
        <v/>
      </c>
      <c r="P1668" s="5" t="n"/>
      <c r="Q1668" s="4" t="n"/>
      <c r="R1668" s="5" t="n"/>
      <c r="S1668" s="9" t="n"/>
      <c r="T1668" s="4" t="n"/>
    </row>
    <row r="1669">
      <c r="A1669" s="5">
        <f>ROW()-2</f>
        <v/>
      </c>
      <c r="B1669" s="4" t="inlineStr">
        <is>
          <t>Capital regional</t>
        </is>
      </c>
      <c r="C1669" s="5" t="n">
        <v>725</v>
      </c>
      <c r="D1669" s="5">
        <f>IFERROR(INDEX('Base de sorteio'!$A$3:$A$1723,MATCH($B1669&amp;"|"&amp;$C1669,'Base de sorteio'!$I$3:$I$1723,0)),"")</f>
        <v/>
      </c>
      <c r="E1669" s="4">
        <f>IFERROR(INDEX('Base de sorteio'!$B$3:$B$1723,MATCH($B1669&amp;"|"&amp;$C1669,'Base de sorteio'!$I$3:$I$1723,0)),"")</f>
        <v/>
      </c>
      <c r="F1669" s="4">
        <f>IFERROR(INDEX('Base de sorteio'!$C$3:$C$1723,MATCH($B1669&amp;"|"&amp;$C1669,'Base de sorteio'!$I$3:$I$1723,0)),"")</f>
        <v/>
      </c>
      <c r="G1669" s="4">
        <f>IFERROR(INDEX('Base de sorteio'!$D$3:$D$1723,MATCH($B1669&amp;"|"&amp;$C1669,'Base de sorteio'!$I$3:$I$1723,0)),"")</f>
        <v/>
      </c>
      <c r="H1669" s="4">
        <f>IFERROR(INDEX('Base de sorteio'!$E$3:$E$1723,MATCH($B1669&amp;"|"&amp;$C1669,'Base de sorteio'!$I$3:$I$1723,0)),"")</f>
        <v/>
      </c>
      <c r="I1669" s="4">
        <f>IF(E1669="","",HYPERLINK(IFERROR(INDEX('Base de sorteio'!$J$3:$J$1723,MATCH($B1669&amp;"|"&amp;$C1669,'Base de sorteio'!$I$3:$I$1723,0)),""),"abrir"))</f>
        <v/>
      </c>
      <c r="J1669" s="4" t="n"/>
      <c r="K1669" s="4" t="n"/>
      <c r="L1669" s="4" t="n"/>
      <c r="M1669" s="4" t="n"/>
      <c r="N1669" s="4">
        <f>IF(AND(K1669="",M1669=""),"",IF(OR(K1669="sim",M1669="sim"),"sim",IF(OR(K1669="inconclusivo",M1669="inconclusivo"),"inconclusivo","não")))</f>
        <v/>
      </c>
      <c r="O1669" s="5">
        <f>IF(N1669="sim",COUNTIFS($B$3:$B1669,$B1669,$N$3:$N1669,"sim"),"")</f>
        <v/>
      </c>
      <c r="P1669" s="5" t="n"/>
      <c r="Q1669" s="4" t="n"/>
      <c r="R1669" s="5" t="n"/>
      <c r="S1669" s="9" t="n"/>
      <c r="T1669" s="4" t="n"/>
    </row>
    <row r="1670">
      <c r="A1670" s="5">
        <f>ROW()-2</f>
        <v/>
      </c>
      <c r="B1670" s="4" t="inlineStr">
        <is>
          <t>Capital regional</t>
        </is>
      </c>
      <c r="C1670" s="5" t="n">
        <v>726</v>
      </c>
      <c r="D1670" s="5">
        <f>IFERROR(INDEX('Base de sorteio'!$A$3:$A$1723,MATCH($B1670&amp;"|"&amp;$C1670,'Base de sorteio'!$I$3:$I$1723,0)),"")</f>
        <v/>
      </c>
      <c r="E1670" s="4">
        <f>IFERROR(INDEX('Base de sorteio'!$B$3:$B$1723,MATCH($B1670&amp;"|"&amp;$C1670,'Base de sorteio'!$I$3:$I$1723,0)),"")</f>
        <v/>
      </c>
      <c r="F1670" s="4">
        <f>IFERROR(INDEX('Base de sorteio'!$C$3:$C$1723,MATCH($B1670&amp;"|"&amp;$C1670,'Base de sorteio'!$I$3:$I$1723,0)),"")</f>
        <v/>
      </c>
      <c r="G1670" s="4">
        <f>IFERROR(INDEX('Base de sorteio'!$D$3:$D$1723,MATCH($B1670&amp;"|"&amp;$C1670,'Base de sorteio'!$I$3:$I$1723,0)),"")</f>
        <v/>
      </c>
      <c r="H1670" s="4">
        <f>IFERROR(INDEX('Base de sorteio'!$E$3:$E$1723,MATCH($B1670&amp;"|"&amp;$C1670,'Base de sorteio'!$I$3:$I$1723,0)),"")</f>
        <v/>
      </c>
      <c r="I1670" s="4">
        <f>IF(E1670="","",HYPERLINK(IFERROR(INDEX('Base de sorteio'!$J$3:$J$1723,MATCH($B1670&amp;"|"&amp;$C1670,'Base de sorteio'!$I$3:$I$1723,0)),""),"abrir"))</f>
        <v/>
      </c>
      <c r="J1670" s="4" t="n"/>
      <c r="K1670" s="4" t="n"/>
      <c r="L1670" s="4" t="n"/>
      <c r="M1670" s="4" t="n"/>
      <c r="N1670" s="4">
        <f>IF(AND(K1670="",M1670=""),"",IF(OR(K1670="sim",M1670="sim"),"sim",IF(OR(K1670="inconclusivo",M1670="inconclusivo"),"inconclusivo","não")))</f>
        <v/>
      </c>
      <c r="O1670" s="5">
        <f>IF(N1670="sim",COUNTIFS($B$3:$B1670,$B1670,$N$3:$N1670,"sim"),"")</f>
        <v/>
      </c>
      <c r="P1670" s="5" t="n"/>
      <c r="Q1670" s="4" t="n"/>
      <c r="R1670" s="5" t="n"/>
      <c r="S1670" s="9" t="n"/>
      <c r="T1670" s="4" t="n"/>
    </row>
    <row r="1671">
      <c r="A1671" s="5">
        <f>ROW()-2</f>
        <v/>
      </c>
      <c r="B1671" s="4" t="inlineStr">
        <is>
          <t>Capital regional</t>
        </is>
      </c>
      <c r="C1671" s="5" t="n">
        <v>727</v>
      </c>
      <c r="D1671" s="5">
        <f>IFERROR(INDEX('Base de sorteio'!$A$3:$A$1723,MATCH($B1671&amp;"|"&amp;$C1671,'Base de sorteio'!$I$3:$I$1723,0)),"")</f>
        <v/>
      </c>
      <c r="E1671" s="4">
        <f>IFERROR(INDEX('Base de sorteio'!$B$3:$B$1723,MATCH($B1671&amp;"|"&amp;$C1671,'Base de sorteio'!$I$3:$I$1723,0)),"")</f>
        <v/>
      </c>
      <c r="F1671" s="4">
        <f>IFERROR(INDEX('Base de sorteio'!$C$3:$C$1723,MATCH($B1671&amp;"|"&amp;$C1671,'Base de sorteio'!$I$3:$I$1723,0)),"")</f>
        <v/>
      </c>
      <c r="G1671" s="4">
        <f>IFERROR(INDEX('Base de sorteio'!$D$3:$D$1723,MATCH($B1671&amp;"|"&amp;$C1671,'Base de sorteio'!$I$3:$I$1723,0)),"")</f>
        <v/>
      </c>
      <c r="H1671" s="4">
        <f>IFERROR(INDEX('Base de sorteio'!$E$3:$E$1723,MATCH($B1671&amp;"|"&amp;$C1671,'Base de sorteio'!$I$3:$I$1723,0)),"")</f>
        <v/>
      </c>
      <c r="I1671" s="4">
        <f>IF(E1671="","",HYPERLINK(IFERROR(INDEX('Base de sorteio'!$J$3:$J$1723,MATCH($B1671&amp;"|"&amp;$C1671,'Base de sorteio'!$I$3:$I$1723,0)),""),"abrir"))</f>
        <v/>
      </c>
      <c r="J1671" s="4" t="n"/>
      <c r="K1671" s="4" t="n"/>
      <c r="L1671" s="4" t="n"/>
      <c r="M1671" s="4" t="n"/>
      <c r="N1671" s="4">
        <f>IF(AND(K1671="",M1671=""),"",IF(OR(K1671="sim",M1671="sim"),"sim",IF(OR(K1671="inconclusivo",M1671="inconclusivo"),"inconclusivo","não")))</f>
        <v/>
      </c>
      <c r="O1671" s="5">
        <f>IF(N1671="sim",COUNTIFS($B$3:$B1671,$B1671,$N$3:$N1671,"sim"),"")</f>
        <v/>
      </c>
      <c r="P1671" s="5" t="n"/>
      <c r="Q1671" s="4" t="n"/>
      <c r="R1671" s="5" t="n"/>
      <c r="S1671" s="9" t="n"/>
      <c r="T1671" s="4" t="n"/>
    </row>
    <row r="1672">
      <c r="A1672" s="5">
        <f>ROW()-2</f>
        <v/>
      </c>
      <c r="B1672" s="4" t="inlineStr">
        <is>
          <t>Capital regional</t>
        </is>
      </c>
      <c r="C1672" s="5" t="n">
        <v>728</v>
      </c>
      <c r="D1672" s="5">
        <f>IFERROR(INDEX('Base de sorteio'!$A$3:$A$1723,MATCH($B1672&amp;"|"&amp;$C1672,'Base de sorteio'!$I$3:$I$1723,0)),"")</f>
        <v/>
      </c>
      <c r="E1672" s="4">
        <f>IFERROR(INDEX('Base de sorteio'!$B$3:$B$1723,MATCH($B1672&amp;"|"&amp;$C1672,'Base de sorteio'!$I$3:$I$1723,0)),"")</f>
        <v/>
      </c>
      <c r="F1672" s="4">
        <f>IFERROR(INDEX('Base de sorteio'!$C$3:$C$1723,MATCH($B1672&amp;"|"&amp;$C1672,'Base de sorteio'!$I$3:$I$1723,0)),"")</f>
        <v/>
      </c>
      <c r="G1672" s="4">
        <f>IFERROR(INDEX('Base de sorteio'!$D$3:$D$1723,MATCH($B1672&amp;"|"&amp;$C1672,'Base de sorteio'!$I$3:$I$1723,0)),"")</f>
        <v/>
      </c>
      <c r="H1672" s="4">
        <f>IFERROR(INDEX('Base de sorteio'!$E$3:$E$1723,MATCH($B1672&amp;"|"&amp;$C1672,'Base de sorteio'!$I$3:$I$1723,0)),"")</f>
        <v/>
      </c>
      <c r="I1672" s="4">
        <f>IF(E1672="","",HYPERLINK(IFERROR(INDEX('Base de sorteio'!$J$3:$J$1723,MATCH($B1672&amp;"|"&amp;$C1672,'Base de sorteio'!$I$3:$I$1723,0)),""),"abrir"))</f>
        <v/>
      </c>
      <c r="J1672" s="4" t="n"/>
      <c r="K1672" s="4" t="n"/>
      <c r="L1672" s="4" t="n"/>
      <c r="M1672" s="4" t="n"/>
      <c r="N1672" s="4">
        <f>IF(AND(K1672="",M1672=""),"",IF(OR(K1672="sim",M1672="sim"),"sim",IF(OR(K1672="inconclusivo",M1672="inconclusivo"),"inconclusivo","não")))</f>
        <v/>
      </c>
      <c r="O1672" s="5">
        <f>IF(N1672="sim",COUNTIFS($B$3:$B1672,$B1672,$N$3:$N1672,"sim"),"")</f>
        <v/>
      </c>
      <c r="P1672" s="5" t="n"/>
      <c r="Q1672" s="4" t="n"/>
      <c r="R1672" s="5" t="n"/>
      <c r="S1672" s="9" t="n"/>
      <c r="T1672" s="4" t="n"/>
    </row>
    <row r="1673">
      <c r="A1673" s="5">
        <f>ROW()-2</f>
        <v/>
      </c>
      <c r="B1673" s="4" t="inlineStr">
        <is>
          <t>Capital regional</t>
        </is>
      </c>
      <c r="C1673" s="5" t="n">
        <v>729</v>
      </c>
      <c r="D1673" s="5">
        <f>IFERROR(INDEX('Base de sorteio'!$A$3:$A$1723,MATCH($B1673&amp;"|"&amp;$C1673,'Base de sorteio'!$I$3:$I$1723,0)),"")</f>
        <v/>
      </c>
      <c r="E1673" s="4">
        <f>IFERROR(INDEX('Base de sorteio'!$B$3:$B$1723,MATCH($B1673&amp;"|"&amp;$C1673,'Base de sorteio'!$I$3:$I$1723,0)),"")</f>
        <v/>
      </c>
      <c r="F1673" s="4">
        <f>IFERROR(INDEX('Base de sorteio'!$C$3:$C$1723,MATCH($B1673&amp;"|"&amp;$C1673,'Base de sorteio'!$I$3:$I$1723,0)),"")</f>
        <v/>
      </c>
      <c r="G1673" s="4">
        <f>IFERROR(INDEX('Base de sorteio'!$D$3:$D$1723,MATCH($B1673&amp;"|"&amp;$C1673,'Base de sorteio'!$I$3:$I$1723,0)),"")</f>
        <v/>
      </c>
      <c r="H1673" s="4">
        <f>IFERROR(INDEX('Base de sorteio'!$E$3:$E$1723,MATCH($B1673&amp;"|"&amp;$C1673,'Base de sorteio'!$I$3:$I$1723,0)),"")</f>
        <v/>
      </c>
      <c r="I1673" s="4">
        <f>IF(E1673="","",HYPERLINK(IFERROR(INDEX('Base de sorteio'!$J$3:$J$1723,MATCH($B1673&amp;"|"&amp;$C1673,'Base de sorteio'!$I$3:$I$1723,0)),""),"abrir"))</f>
        <v/>
      </c>
      <c r="J1673" s="4" t="n"/>
      <c r="K1673" s="4" t="n"/>
      <c r="L1673" s="4" t="n"/>
      <c r="M1673" s="4" t="n"/>
      <c r="N1673" s="4">
        <f>IF(AND(K1673="",M1673=""),"",IF(OR(K1673="sim",M1673="sim"),"sim",IF(OR(K1673="inconclusivo",M1673="inconclusivo"),"inconclusivo","não")))</f>
        <v/>
      </c>
      <c r="O1673" s="5">
        <f>IF(N1673="sim",COUNTIFS($B$3:$B1673,$B1673,$N$3:$N1673,"sim"),"")</f>
        <v/>
      </c>
      <c r="P1673" s="5" t="n"/>
      <c r="Q1673" s="4" t="n"/>
      <c r="R1673" s="5" t="n"/>
      <c r="S1673" s="9" t="n"/>
      <c r="T1673" s="4" t="n"/>
    </row>
    <row r="1674">
      <c r="A1674" s="5">
        <f>ROW()-2</f>
        <v/>
      </c>
      <c r="B1674" s="4" t="inlineStr">
        <is>
          <t>Capital regional</t>
        </is>
      </c>
      <c r="C1674" s="5" t="n">
        <v>730</v>
      </c>
      <c r="D1674" s="5">
        <f>IFERROR(INDEX('Base de sorteio'!$A$3:$A$1723,MATCH($B1674&amp;"|"&amp;$C1674,'Base de sorteio'!$I$3:$I$1723,0)),"")</f>
        <v/>
      </c>
      <c r="E1674" s="4">
        <f>IFERROR(INDEX('Base de sorteio'!$B$3:$B$1723,MATCH($B1674&amp;"|"&amp;$C1674,'Base de sorteio'!$I$3:$I$1723,0)),"")</f>
        <v/>
      </c>
      <c r="F1674" s="4">
        <f>IFERROR(INDEX('Base de sorteio'!$C$3:$C$1723,MATCH($B1674&amp;"|"&amp;$C1674,'Base de sorteio'!$I$3:$I$1723,0)),"")</f>
        <v/>
      </c>
      <c r="G1674" s="4">
        <f>IFERROR(INDEX('Base de sorteio'!$D$3:$D$1723,MATCH($B1674&amp;"|"&amp;$C1674,'Base de sorteio'!$I$3:$I$1723,0)),"")</f>
        <v/>
      </c>
      <c r="H1674" s="4">
        <f>IFERROR(INDEX('Base de sorteio'!$E$3:$E$1723,MATCH($B1674&amp;"|"&amp;$C1674,'Base de sorteio'!$I$3:$I$1723,0)),"")</f>
        <v/>
      </c>
      <c r="I1674" s="4">
        <f>IF(E1674="","",HYPERLINK(IFERROR(INDEX('Base de sorteio'!$J$3:$J$1723,MATCH($B1674&amp;"|"&amp;$C1674,'Base de sorteio'!$I$3:$I$1723,0)),""),"abrir"))</f>
        <v/>
      </c>
      <c r="J1674" s="4" t="n"/>
      <c r="K1674" s="4" t="n"/>
      <c r="L1674" s="4" t="n"/>
      <c r="M1674" s="4" t="n"/>
      <c r="N1674" s="4">
        <f>IF(AND(K1674="",M1674=""),"",IF(OR(K1674="sim",M1674="sim"),"sim",IF(OR(K1674="inconclusivo",M1674="inconclusivo"),"inconclusivo","não")))</f>
        <v/>
      </c>
      <c r="O1674" s="5">
        <f>IF(N1674="sim",COUNTIFS($B$3:$B1674,$B1674,$N$3:$N1674,"sim"),"")</f>
        <v/>
      </c>
      <c r="P1674" s="5" t="n"/>
      <c r="Q1674" s="4" t="n"/>
      <c r="R1674" s="5" t="n"/>
      <c r="S1674" s="9" t="n"/>
      <c r="T1674" s="4" t="n"/>
    </row>
    <row r="1675">
      <c r="A1675" s="5">
        <f>ROW()-2</f>
        <v/>
      </c>
      <c r="B1675" s="4" t="inlineStr">
        <is>
          <t>Capital regional</t>
        </is>
      </c>
      <c r="C1675" s="5" t="n">
        <v>731</v>
      </c>
      <c r="D1675" s="5">
        <f>IFERROR(INDEX('Base de sorteio'!$A$3:$A$1723,MATCH($B1675&amp;"|"&amp;$C1675,'Base de sorteio'!$I$3:$I$1723,0)),"")</f>
        <v/>
      </c>
      <c r="E1675" s="4">
        <f>IFERROR(INDEX('Base de sorteio'!$B$3:$B$1723,MATCH($B1675&amp;"|"&amp;$C1675,'Base de sorteio'!$I$3:$I$1723,0)),"")</f>
        <v/>
      </c>
      <c r="F1675" s="4">
        <f>IFERROR(INDEX('Base de sorteio'!$C$3:$C$1723,MATCH($B1675&amp;"|"&amp;$C1675,'Base de sorteio'!$I$3:$I$1723,0)),"")</f>
        <v/>
      </c>
      <c r="G1675" s="4">
        <f>IFERROR(INDEX('Base de sorteio'!$D$3:$D$1723,MATCH($B1675&amp;"|"&amp;$C1675,'Base de sorteio'!$I$3:$I$1723,0)),"")</f>
        <v/>
      </c>
      <c r="H1675" s="4">
        <f>IFERROR(INDEX('Base de sorteio'!$E$3:$E$1723,MATCH($B1675&amp;"|"&amp;$C1675,'Base de sorteio'!$I$3:$I$1723,0)),"")</f>
        <v/>
      </c>
      <c r="I1675" s="4">
        <f>IF(E1675="","",HYPERLINK(IFERROR(INDEX('Base de sorteio'!$J$3:$J$1723,MATCH($B1675&amp;"|"&amp;$C1675,'Base de sorteio'!$I$3:$I$1723,0)),""),"abrir"))</f>
        <v/>
      </c>
      <c r="J1675" s="4" t="n"/>
      <c r="K1675" s="4" t="n"/>
      <c r="L1675" s="4" t="n"/>
      <c r="M1675" s="4" t="n"/>
      <c r="N1675" s="4">
        <f>IF(AND(K1675="",M1675=""),"",IF(OR(K1675="sim",M1675="sim"),"sim",IF(OR(K1675="inconclusivo",M1675="inconclusivo"),"inconclusivo","não")))</f>
        <v/>
      </c>
      <c r="O1675" s="5">
        <f>IF(N1675="sim",COUNTIFS($B$3:$B1675,$B1675,$N$3:$N1675,"sim"),"")</f>
        <v/>
      </c>
      <c r="P1675" s="5" t="n"/>
      <c r="Q1675" s="4" t="n"/>
      <c r="R1675" s="5" t="n"/>
      <c r="S1675" s="9" t="n"/>
      <c r="T1675" s="4" t="n"/>
    </row>
    <row r="1676">
      <c r="A1676" s="5">
        <f>ROW()-2</f>
        <v/>
      </c>
      <c r="B1676" s="4" t="inlineStr">
        <is>
          <t>Capital regional</t>
        </is>
      </c>
      <c r="C1676" s="5" t="n">
        <v>732</v>
      </c>
      <c r="D1676" s="5">
        <f>IFERROR(INDEX('Base de sorteio'!$A$3:$A$1723,MATCH($B1676&amp;"|"&amp;$C1676,'Base de sorteio'!$I$3:$I$1723,0)),"")</f>
        <v/>
      </c>
      <c r="E1676" s="4">
        <f>IFERROR(INDEX('Base de sorteio'!$B$3:$B$1723,MATCH($B1676&amp;"|"&amp;$C1676,'Base de sorteio'!$I$3:$I$1723,0)),"")</f>
        <v/>
      </c>
      <c r="F1676" s="4">
        <f>IFERROR(INDEX('Base de sorteio'!$C$3:$C$1723,MATCH($B1676&amp;"|"&amp;$C1676,'Base de sorteio'!$I$3:$I$1723,0)),"")</f>
        <v/>
      </c>
      <c r="G1676" s="4">
        <f>IFERROR(INDEX('Base de sorteio'!$D$3:$D$1723,MATCH($B1676&amp;"|"&amp;$C1676,'Base de sorteio'!$I$3:$I$1723,0)),"")</f>
        <v/>
      </c>
      <c r="H1676" s="4">
        <f>IFERROR(INDEX('Base de sorteio'!$E$3:$E$1723,MATCH($B1676&amp;"|"&amp;$C1676,'Base de sorteio'!$I$3:$I$1723,0)),"")</f>
        <v/>
      </c>
      <c r="I1676" s="4">
        <f>IF(E1676="","",HYPERLINK(IFERROR(INDEX('Base de sorteio'!$J$3:$J$1723,MATCH($B1676&amp;"|"&amp;$C1676,'Base de sorteio'!$I$3:$I$1723,0)),""),"abrir"))</f>
        <v/>
      </c>
      <c r="J1676" s="4" t="n"/>
      <c r="K1676" s="4" t="n"/>
      <c r="L1676" s="4" t="n"/>
      <c r="M1676" s="4" t="n"/>
      <c r="N1676" s="4">
        <f>IF(AND(K1676="",M1676=""),"",IF(OR(K1676="sim",M1676="sim"),"sim",IF(OR(K1676="inconclusivo",M1676="inconclusivo"),"inconclusivo","não")))</f>
        <v/>
      </c>
      <c r="O1676" s="5">
        <f>IF(N1676="sim",COUNTIFS($B$3:$B1676,$B1676,$N$3:$N1676,"sim"),"")</f>
        <v/>
      </c>
      <c r="P1676" s="5" t="n"/>
      <c r="Q1676" s="4" t="n"/>
      <c r="R1676" s="5" t="n"/>
      <c r="S1676" s="9" t="n"/>
      <c r="T1676" s="4" t="n"/>
    </row>
    <row r="1677">
      <c r="A1677" s="5">
        <f>ROW()-2</f>
        <v/>
      </c>
      <c r="B1677" s="4" t="inlineStr">
        <is>
          <t>Capital regional</t>
        </is>
      </c>
      <c r="C1677" s="5" t="n">
        <v>733</v>
      </c>
      <c r="D1677" s="5">
        <f>IFERROR(INDEX('Base de sorteio'!$A$3:$A$1723,MATCH($B1677&amp;"|"&amp;$C1677,'Base de sorteio'!$I$3:$I$1723,0)),"")</f>
        <v/>
      </c>
      <c r="E1677" s="4">
        <f>IFERROR(INDEX('Base de sorteio'!$B$3:$B$1723,MATCH($B1677&amp;"|"&amp;$C1677,'Base de sorteio'!$I$3:$I$1723,0)),"")</f>
        <v/>
      </c>
      <c r="F1677" s="4">
        <f>IFERROR(INDEX('Base de sorteio'!$C$3:$C$1723,MATCH($B1677&amp;"|"&amp;$C1677,'Base de sorteio'!$I$3:$I$1723,0)),"")</f>
        <v/>
      </c>
      <c r="G1677" s="4">
        <f>IFERROR(INDEX('Base de sorteio'!$D$3:$D$1723,MATCH($B1677&amp;"|"&amp;$C1677,'Base de sorteio'!$I$3:$I$1723,0)),"")</f>
        <v/>
      </c>
      <c r="H1677" s="4">
        <f>IFERROR(INDEX('Base de sorteio'!$E$3:$E$1723,MATCH($B1677&amp;"|"&amp;$C1677,'Base de sorteio'!$I$3:$I$1723,0)),"")</f>
        <v/>
      </c>
      <c r="I1677" s="4">
        <f>IF(E1677="","",HYPERLINK(IFERROR(INDEX('Base de sorteio'!$J$3:$J$1723,MATCH($B1677&amp;"|"&amp;$C1677,'Base de sorteio'!$I$3:$I$1723,0)),""),"abrir"))</f>
        <v/>
      </c>
      <c r="J1677" s="4" t="n"/>
      <c r="K1677" s="4" t="n"/>
      <c r="L1677" s="4" t="n"/>
      <c r="M1677" s="4" t="n"/>
      <c r="N1677" s="4">
        <f>IF(AND(K1677="",M1677=""),"",IF(OR(K1677="sim",M1677="sim"),"sim",IF(OR(K1677="inconclusivo",M1677="inconclusivo"),"inconclusivo","não")))</f>
        <v/>
      </c>
      <c r="O1677" s="5">
        <f>IF(N1677="sim",COUNTIFS($B$3:$B1677,$B1677,$N$3:$N1677,"sim"),"")</f>
        <v/>
      </c>
      <c r="P1677" s="5" t="n"/>
      <c r="Q1677" s="4" t="n"/>
      <c r="R1677" s="5" t="n"/>
      <c r="S1677" s="9" t="n"/>
      <c r="T1677" s="4" t="n"/>
    </row>
    <row r="1678">
      <c r="A1678" s="5">
        <f>ROW()-2</f>
        <v/>
      </c>
      <c r="B1678" s="4" t="inlineStr">
        <is>
          <t>Capital regional</t>
        </is>
      </c>
      <c r="C1678" s="5" t="n">
        <v>734</v>
      </c>
      <c r="D1678" s="5">
        <f>IFERROR(INDEX('Base de sorteio'!$A$3:$A$1723,MATCH($B1678&amp;"|"&amp;$C1678,'Base de sorteio'!$I$3:$I$1723,0)),"")</f>
        <v/>
      </c>
      <c r="E1678" s="4">
        <f>IFERROR(INDEX('Base de sorteio'!$B$3:$B$1723,MATCH($B1678&amp;"|"&amp;$C1678,'Base de sorteio'!$I$3:$I$1723,0)),"")</f>
        <v/>
      </c>
      <c r="F1678" s="4">
        <f>IFERROR(INDEX('Base de sorteio'!$C$3:$C$1723,MATCH($B1678&amp;"|"&amp;$C1678,'Base de sorteio'!$I$3:$I$1723,0)),"")</f>
        <v/>
      </c>
      <c r="G1678" s="4">
        <f>IFERROR(INDEX('Base de sorteio'!$D$3:$D$1723,MATCH($B1678&amp;"|"&amp;$C1678,'Base de sorteio'!$I$3:$I$1723,0)),"")</f>
        <v/>
      </c>
      <c r="H1678" s="4">
        <f>IFERROR(INDEX('Base de sorteio'!$E$3:$E$1723,MATCH($B1678&amp;"|"&amp;$C1678,'Base de sorteio'!$I$3:$I$1723,0)),"")</f>
        <v/>
      </c>
      <c r="I1678" s="4">
        <f>IF(E1678="","",HYPERLINK(IFERROR(INDEX('Base de sorteio'!$J$3:$J$1723,MATCH($B1678&amp;"|"&amp;$C1678,'Base de sorteio'!$I$3:$I$1723,0)),""),"abrir"))</f>
        <v/>
      </c>
      <c r="J1678" s="4" t="n"/>
      <c r="K1678" s="4" t="n"/>
      <c r="L1678" s="4" t="n"/>
      <c r="M1678" s="4" t="n"/>
      <c r="N1678" s="4">
        <f>IF(AND(K1678="",M1678=""),"",IF(OR(K1678="sim",M1678="sim"),"sim",IF(OR(K1678="inconclusivo",M1678="inconclusivo"),"inconclusivo","não")))</f>
        <v/>
      </c>
      <c r="O1678" s="5">
        <f>IF(N1678="sim",COUNTIFS($B$3:$B1678,$B1678,$N$3:$N1678,"sim"),"")</f>
        <v/>
      </c>
      <c r="P1678" s="5" t="n"/>
      <c r="Q1678" s="4" t="n"/>
      <c r="R1678" s="5" t="n"/>
      <c r="S1678" s="9" t="n"/>
      <c r="T1678" s="4" t="n"/>
    </row>
    <row r="1679">
      <c r="A1679" s="5">
        <f>ROW()-2</f>
        <v/>
      </c>
      <c r="B1679" s="4" t="inlineStr">
        <is>
          <t>Capital regional</t>
        </is>
      </c>
      <c r="C1679" s="5" t="n">
        <v>735</v>
      </c>
      <c r="D1679" s="5">
        <f>IFERROR(INDEX('Base de sorteio'!$A$3:$A$1723,MATCH($B1679&amp;"|"&amp;$C1679,'Base de sorteio'!$I$3:$I$1723,0)),"")</f>
        <v/>
      </c>
      <c r="E1679" s="4">
        <f>IFERROR(INDEX('Base de sorteio'!$B$3:$B$1723,MATCH($B1679&amp;"|"&amp;$C1679,'Base de sorteio'!$I$3:$I$1723,0)),"")</f>
        <v/>
      </c>
      <c r="F1679" s="4">
        <f>IFERROR(INDEX('Base de sorteio'!$C$3:$C$1723,MATCH($B1679&amp;"|"&amp;$C1679,'Base de sorteio'!$I$3:$I$1723,0)),"")</f>
        <v/>
      </c>
      <c r="G1679" s="4">
        <f>IFERROR(INDEX('Base de sorteio'!$D$3:$D$1723,MATCH($B1679&amp;"|"&amp;$C1679,'Base de sorteio'!$I$3:$I$1723,0)),"")</f>
        <v/>
      </c>
      <c r="H1679" s="4">
        <f>IFERROR(INDEX('Base de sorteio'!$E$3:$E$1723,MATCH($B1679&amp;"|"&amp;$C1679,'Base de sorteio'!$I$3:$I$1723,0)),"")</f>
        <v/>
      </c>
      <c r="I1679" s="4">
        <f>IF(E1679="","",HYPERLINK(IFERROR(INDEX('Base de sorteio'!$J$3:$J$1723,MATCH($B1679&amp;"|"&amp;$C1679,'Base de sorteio'!$I$3:$I$1723,0)),""),"abrir"))</f>
        <v/>
      </c>
      <c r="J1679" s="4" t="n"/>
      <c r="K1679" s="4" t="n"/>
      <c r="L1679" s="4" t="n"/>
      <c r="M1679" s="4" t="n"/>
      <c r="N1679" s="4">
        <f>IF(AND(K1679="",M1679=""),"",IF(OR(K1679="sim",M1679="sim"),"sim",IF(OR(K1679="inconclusivo",M1679="inconclusivo"),"inconclusivo","não")))</f>
        <v/>
      </c>
      <c r="O1679" s="5">
        <f>IF(N1679="sim",COUNTIFS($B$3:$B1679,$B1679,$N$3:$N1679,"sim"),"")</f>
        <v/>
      </c>
      <c r="P1679" s="5" t="n"/>
      <c r="Q1679" s="4" t="n"/>
      <c r="R1679" s="5" t="n"/>
      <c r="S1679" s="9" t="n"/>
      <c r="T1679" s="4" t="n"/>
    </row>
    <row r="1680">
      <c r="A1680" s="5">
        <f>ROW()-2</f>
        <v/>
      </c>
      <c r="B1680" s="4" t="inlineStr">
        <is>
          <t>Capital regional</t>
        </is>
      </c>
      <c r="C1680" s="5" t="n">
        <v>736</v>
      </c>
      <c r="D1680" s="5">
        <f>IFERROR(INDEX('Base de sorteio'!$A$3:$A$1723,MATCH($B1680&amp;"|"&amp;$C1680,'Base de sorteio'!$I$3:$I$1723,0)),"")</f>
        <v/>
      </c>
      <c r="E1680" s="4">
        <f>IFERROR(INDEX('Base de sorteio'!$B$3:$B$1723,MATCH($B1680&amp;"|"&amp;$C1680,'Base de sorteio'!$I$3:$I$1723,0)),"")</f>
        <v/>
      </c>
      <c r="F1680" s="4">
        <f>IFERROR(INDEX('Base de sorteio'!$C$3:$C$1723,MATCH($B1680&amp;"|"&amp;$C1680,'Base de sorteio'!$I$3:$I$1723,0)),"")</f>
        <v/>
      </c>
      <c r="G1680" s="4">
        <f>IFERROR(INDEX('Base de sorteio'!$D$3:$D$1723,MATCH($B1680&amp;"|"&amp;$C1680,'Base de sorteio'!$I$3:$I$1723,0)),"")</f>
        <v/>
      </c>
      <c r="H1680" s="4">
        <f>IFERROR(INDEX('Base de sorteio'!$E$3:$E$1723,MATCH($B1680&amp;"|"&amp;$C1680,'Base de sorteio'!$I$3:$I$1723,0)),"")</f>
        <v/>
      </c>
      <c r="I1680" s="4">
        <f>IF(E1680="","",HYPERLINK(IFERROR(INDEX('Base de sorteio'!$J$3:$J$1723,MATCH($B1680&amp;"|"&amp;$C1680,'Base de sorteio'!$I$3:$I$1723,0)),""),"abrir"))</f>
        <v/>
      </c>
      <c r="J1680" s="4" t="n"/>
      <c r="K1680" s="4" t="n"/>
      <c r="L1680" s="4" t="n"/>
      <c r="M1680" s="4" t="n"/>
      <c r="N1680" s="4">
        <f>IF(AND(K1680="",M1680=""),"",IF(OR(K1680="sim",M1680="sim"),"sim",IF(OR(K1680="inconclusivo",M1680="inconclusivo"),"inconclusivo","não")))</f>
        <v/>
      </c>
      <c r="O1680" s="5">
        <f>IF(N1680="sim",COUNTIFS($B$3:$B1680,$B1680,$N$3:$N1680,"sim"),"")</f>
        <v/>
      </c>
      <c r="P1680" s="5" t="n"/>
      <c r="Q1680" s="4" t="n"/>
      <c r="R1680" s="5" t="n"/>
      <c r="S1680" s="9" t="n"/>
      <c r="T1680" s="4" t="n"/>
    </row>
    <row r="1681">
      <c r="A1681" s="5">
        <f>ROW()-2</f>
        <v/>
      </c>
      <c r="B1681" s="4" t="inlineStr">
        <is>
          <t>Capital regional</t>
        </is>
      </c>
      <c r="C1681" s="5" t="n">
        <v>737</v>
      </c>
      <c r="D1681" s="5">
        <f>IFERROR(INDEX('Base de sorteio'!$A$3:$A$1723,MATCH($B1681&amp;"|"&amp;$C1681,'Base de sorteio'!$I$3:$I$1723,0)),"")</f>
        <v/>
      </c>
      <c r="E1681" s="4">
        <f>IFERROR(INDEX('Base de sorteio'!$B$3:$B$1723,MATCH($B1681&amp;"|"&amp;$C1681,'Base de sorteio'!$I$3:$I$1723,0)),"")</f>
        <v/>
      </c>
      <c r="F1681" s="4">
        <f>IFERROR(INDEX('Base de sorteio'!$C$3:$C$1723,MATCH($B1681&amp;"|"&amp;$C1681,'Base de sorteio'!$I$3:$I$1723,0)),"")</f>
        <v/>
      </c>
      <c r="G1681" s="4">
        <f>IFERROR(INDEX('Base de sorteio'!$D$3:$D$1723,MATCH($B1681&amp;"|"&amp;$C1681,'Base de sorteio'!$I$3:$I$1723,0)),"")</f>
        <v/>
      </c>
      <c r="H1681" s="4">
        <f>IFERROR(INDEX('Base de sorteio'!$E$3:$E$1723,MATCH($B1681&amp;"|"&amp;$C1681,'Base de sorteio'!$I$3:$I$1723,0)),"")</f>
        <v/>
      </c>
      <c r="I1681" s="4">
        <f>IF(E1681="","",HYPERLINK(IFERROR(INDEX('Base de sorteio'!$J$3:$J$1723,MATCH($B1681&amp;"|"&amp;$C1681,'Base de sorteio'!$I$3:$I$1723,0)),""),"abrir"))</f>
        <v/>
      </c>
      <c r="J1681" s="4" t="n"/>
      <c r="K1681" s="4" t="n"/>
      <c r="L1681" s="4" t="n"/>
      <c r="M1681" s="4" t="n"/>
      <c r="N1681" s="4">
        <f>IF(AND(K1681="",M1681=""),"",IF(OR(K1681="sim",M1681="sim"),"sim",IF(OR(K1681="inconclusivo",M1681="inconclusivo"),"inconclusivo","não")))</f>
        <v/>
      </c>
      <c r="O1681" s="5">
        <f>IF(N1681="sim",COUNTIFS($B$3:$B1681,$B1681,$N$3:$N1681,"sim"),"")</f>
        <v/>
      </c>
      <c r="P1681" s="5" t="n"/>
      <c r="Q1681" s="4" t="n"/>
      <c r="R1681" s="5" t="n"/>
      <c r="S1681" s="9" t="n"/>
      <c r="T1681" s="4" t="n"/>
    </row>
    <row r="1682">
      <c r="A1682" s="5">
        <f>ROW()-2</f>
        <v/>
      </c>
      <c r="B1682" s="4" t="inlineStr">
        <is>
          <t>Capital regional</t>
        </is>
      </c>
      <c r="C1682" s="5" t="n">
        <v>738</v>
      </c>
      <c r="D1682" s="5">
        <f>IFERROR(INDEX('Base de sorteio'!$A$3:$A$1723,MATCH($B1682&amp;"|"&amp;$C1682,'Base de sorteio'!$I$3:$I$1723,0)),"")</f>
        <v/>
      </c>
      <c r="E1682" s="4">
        <f>IFERROR(INDEX('Base de sorteio'!$B$3:$B$1723,MATCH($B1682&amp;"|"&amp;$C1682,'Base de sorteio'!$I$3:$I$1723,0)),"")</f>
        <v/>
      </c>
      <c r="F1682" s="4">
        <f>IFERROR(INDEX('Base de sorteio'!$C$3:$C$1723,MATCH($B1682&amp;"|"&amp;$C1682,'Base de sorteio'!$I$3:$I$1723,0)),"")</f>
        <v/>
      </c>
      <c r="G1682" s="4">
        <f>IFERROR(INDEX('Base de sorteio'!$D$3:$D$1723,MATCH($B1682&amp;"|"&amp;$C1682,'Base de sorteio'!$I$3:$I$1723,0)),"")</f>
        <v/>
      </c>
      <c r="H1682" s="4">
        <f>IFERROR(INDEX('Base de sorteio'!$E$3:$E$1723,MATCH($B1682&amp;"|"&amp;$C1682,'Base de sorteio'!$I$3:$I$1723,0)),"")</f>
        <v/>
      </c>
      <c r="I1682" s="4">
        <f>IF(E1682="","",HYPERLINK(IFERROR(INDEX('Base de sorteio'!$J$3:$J$1723,MATCH($B1682&amp;"|"&amp;$C1682,'Base de sorteio'!$I$3:$I$1723,0)),""),"abrir"))</f>
        <v/>
      </c>
      <c r="J1682" s="4" t="n"/>
      <c r="K1682" s="4" t="n"/>
      <c r="L1682" s="4" t="n"/>
      <c r="M1682" s="4" t="n"/>
      <c r="N1682" s="4">
        <f>IF(AND(K1682="",M1682=""),"",IF(OR(K1682="sim",M1682="sim"),"sim",IF(OR(K1682="inconclusivo",M1682="inconclusivo"),"inconclusivo","não")))</f>
        <v/>
      </c>
      <c r="O1682" s="5">
        <f>IF(N1682="sim",COUNTIFS($B$3:$B1682,$B1682,$N$3:$N1682,"sim"),"")</f>
        <v/>
      </c>
      <c r="P1682" s="5" t="n"/>
      <c r="Q1682" s="4" t="n"/>
      <c r="R1682" s="5" t="n"/>
      <c r="S1682" s="9" t="n"/>
      <c r="T1682" s="4" t="n"/>
    </row>
    <row r="1683">
      <c r="A1683" s="5">
        <f>ROW()-2</f>
        <v/>
      </c>
      <c r="B1683" s="4" t="inlineStr">
        <is>
          <t>Capital regional</t>
        </is>
      </c>
      <c r="C1683" s="5" t="n">
        <v>739</v>
      </c>
      <c r="D1683" s="5">
        <f>IFERROR(INDEX('Base de sorteio'!$A$3:$A$1723,MATCH($B1683&amp;"|"&amp;$C1683,'Base de sorteio'!$I$3:$I$1723,0)),"")</f>
        <v/>
      </c>
      <c r="E1683" s="4">
        <f>IFERROR(INDEX('Base de sorteio'!$B$3:$B$1723,MATCH($B1683&amp;"|"&amp;$C1683,'Base de sorteio'!$I$3:$I$1723,0)),"")</f>
        <v/>
      </c>
      <c r="F1683" s="4">
        <f>IFERROR(INDEX('Base de sorteio'!$C$3:$C$1723,MATCH($B1683&amp;"|"&amp;$C1683,'Base de sorteio'!$I$3:$I$1723,0)),"")</f>
        <v/>
      </c>
      <c r="G1683" s="4">
        <f>IFERROR(INDEX('Base de sorteio'!$D$3:$D$1723,MATCH($B1683&amp;"|"&amp;$C1683,'Base de sorteio'!$I$3:$I$1723,0)),"")</f>
        <v/>
      </c>
      <c r="H1683" s="4">
        <f>IFERROR(INDEX('Base de sorteio'!$E$3:$E$1723,MATCH($B1683&amp;"|"&amp;$C1683,'Base de sorteio'!$I$3:$I$1723,0)),"")</f>
        <v/>
      </c>
      <c r="I1683" s="4">
        <f>IF(E1683="","",HYPERLINK(IFERROR(INDEX('Base de sorteio'!$J$3:$J$1723,MATCH($B1683&amp;"|"&amp;$C1683,'Base de sorteio'!$I$3:$I$1723,0)),""),"abrir"))</f>
        <v/>
      </c>
      <c r="J1683" s="4" t="n"/>
      <c r="K1683" s="4" t="n"/>
      <c r="L1683" s="4" t="n"/>
      <c r="M1683" s="4" t="n"/>
      <c r="N1683" s="4">
        <f>IF(AND(K1683="",M1683=""),"",IF(OR(K1683="sim",M1683="sim"),"sim",IF(OR(K1683="inconclusivo",M1683="inconclusivo"),"inconclusivo","não")))</f>
        <v/>
      </c>
      <c r="O1683" s="5">
        <f>IF(N1683="sim",COUNTIFS($B$3:$B1683,$B1683,$N$3:$N1683,"sim"),"")</f>
        <v/>
      </c>
      <c r="P1683" s="5" t="n"/>
      <c r="Q1683" s="4" t="n"/>
      <c r="R1683" s="5" t="n"/>
      <c r="S1683" s="9" t="n"/>
      <c r="T1683" s="4" t="n"/>
    </row>
    <row r="1684">
      <c r="A1684" s="5">
        <f>ROW()-2</f>
        <v/>
      </c>
      <c r="B1684" s="4" t="inlineStr">
        <is>
          <t>Capital regional</t>
        </is>
      </c>
      <c r="C1684" s="5" t="n">
        <v>740</v>
      </c>
      <c r="D1684" s="5">
        <f>IFERROR(INDEX('Base de sorteio'!$A$3:$A$1723,MATCH($B1684&amp;"|"&amp;$C1684,'Base de sorteio'!$I$3:$I$1723,0)),"")</f>
        <v/>
      </c>
      <c r="E1684" s="4">
        <f>IFERROR(INDEX('Base de sorteio'!$B$3:$B$1723,MATCH($B1684&amp;"|"&amp;$C1684,'Base de sorteio'!$I$3:$I$1723,0)),"")</f>
        <v/>
      </c>
      <c r="F1684" s="4">
        <f>IFERROR(INDEX('Base de sorteio'!$C$3:$C$1723,MATCH($B1684&amp;"|"&amp;$C1684,'Base de sorteio'!$I$3:$I$1723,0)),"")</f>
        <v/>
      </c>
      <c r="G1684" s="4">
        <f>IFERROR(INDEX('Base de sorteio'!$D$3:$D$1723,MATCH($B1684&amp;"|"&amp;$C1684,'Base de sorteio'!$I$3:$I$1723,0)),"")</f>
        <v/>
      </c>
      <c r="H1684" s="4">
        <f>IFERROR(INDEX('Base de sorteio'!$E$3:$E$1723,MATCH($B1684&amp;"|"&amp;$C1684,'Base de sorteio'!$I$3:$I$1723,0)),"")</f>
        <v/>
      </c>
      <c r="I1684" s="4">
        <f>IF(E1684="","",HYPERLINK(IFERROR(INDEX('Base de sorteio'!$J$3:$J$1723,MATCH($B1684&amp;"|"&amp;$C1684,'Base de sorteio'!$I$3:$I$1723,0)),""),"abrir"))</f>
        <v/>
      </c>
      <c r="J1684" s="4" t="n"/>
      <c r="K1684" s="4" t="n"/>
      <c r="L1684" s="4" t="n"/>
      <c r="M1684" s="4" t="n"/>
      <c r="N1684" s="4">
        <f>IF(AND(K1684="",M1684=""),"",IF(OR(K1684="sim",M1684="sim"),"sim",IF(OR(K1684="inconclusivo",M1684="inconclusivo"),"inconclusivo","não")))</f>
        <v/>
      </c>
      <c r="O1684" s="5">
        <f>IF(N1684="sim",COUNTIFS($B$3:$B1684,$B1684,$N$3:$N1684,"sim"),"")</f>
        <v/>
      </c>
      <c r="P1684" s="5" t="n"/>
      <c r="Q1684" s="4" t="n"/>
      <c r="R1684" s="5" t="n"/>
      <c r="S1684" s="9" t="n"/>
      <c r="T1684" s="4" t="n"/>
    </row>
    <row r="1685">
      <c r="A1685" s="5">
        <f>ROW()-2</f>
        <v/>
      </c>
      <c r="B1685" s="4" t="inlineStr">
        <is>
          <t>Capital regional</t>
        </is>
      </c>
      <c r="C1685" s="5" t="n">
        <v>741</v>
      </c>
      <c r="D1685" s="5">
        <f>IFERROR(INDEX('Base de sorteio'!$A$3:$A$1723,MATCH($B1685&amp;"|"&amp;$C1685,'Base de sorteio'!$I$3:$I$1723,0)),"")</f>
        <v/>
      </c>
      <c r="E1685" s="4">
        <f>IFERROR(INDEX('Base de sorteio'!$B$3:$B$1723,MATCH($B1685&amp;"|"&amp;$C1685,'Base de sorteio'!$I$3:$I$1723,0)),"")</f>
        <v/>
      </c>
      <c r="F1685" s="4">
        <f>IFERROR(INDEX('Base de sorteio'!$C$3:$C$1723,MATCH($B1685&amp;"|"&amp;$C1685,'Base de sorteio'!$I$3:$I$1723,0)),"")</f>
        <v/>
      </c>
      <c r="G1685" s="4">
        <f>IFERROR(INDEX('Base de sorteio'!$D$3:$D$1723,MATCH($B1685&amp;"|"&amp;$C1685,'Base de sorteio'!$I$3:$I$1723,0)),"")</f>
        <v/>
      </c>
      <c r="H1685" s="4">
        <f>IFERROR(INDEX('Base de sorteio'!$E$3:$E$1723,MATCH($B1685&amp;"|"&amp;$C1685,'Base de sorteio'!$I$3:$I$1723,0)),"")</f>
        <v/>
      </c>
      <c r="I1685" s="4">
        <f>IF(E1685="","",HYPERLINK(IFERROR(INDEX('Base de sorteio'!$J$3:$J$1723,MATCH($B1685&amp;"|"&amp;$C1685,'Base de sorteio'!$I$3:$I$1723,0)),""),"abrir"))</f>
        <v/>
      </c>
      <c r="J1685" s="4" t="n"/>
      <c r="K1685" s="4" t="n"/>
      <c r="L1685" s="4" t="n"/>
      <c r="M1685" s="4" t="n"/>
      <c r="N1685" s="4">
        <f>IF(AND(K1685="",M1685=""),"",IF(OR(K1685="sim",M1685="sim"),"sim",IF(OR(K1685="inconclusivo",M1685="inconclusivo"),"inconclusivo","não")))</f>
        <v/>
      </c>
      <c r="O1685" s="5">
        <f>IF(N1685="sim",COUNTIFS($B$3:$B1685,$B1685,$N$3:$N1685,"sim"),"")</f>
        <v/>
      </c>
      <c r="P1685" s="5" t="n"/>
      <c r="Q1685" s="4" t="n"/>
      <c r="R1685" s="5" t="n"/>
      <c r="S1685" s="9" t="n"/>
      <c r="T1685" s="4" t="n"/>
    </row>
    <row r="1686">
      <c r="A1686" s="5">
        <f>ROW()-2</f>
        <v/>
      </c>
      <c r="B1686" s="4" t="inlineStr">
        <is>
          <t>Capital regional</t>
        </is>
      </c>
      <c r="C1686" s="5" t="n">
        <v>742</v>
      </c>
      <c r="D1686" s="5">
        <f>IFERROR(INDEX('Base de sorteio'!$A$3:$A$1723,MATCH($B1686&amp;"|"&amp;$C1686,'Base de sorteio'!$I$3:$I$1723,0)),"")</f>
        <v/>
      </c>
      <c r="E1686" s="4">
        <f>IFERROR(INDEX('Base de sorteio'!$B$3:$B$1723,MATCH($B1686&amp;"|"&amp;$C1686,'Base de sorteio'!$I$3:$I$1723,0)),"")</f>
        <v/>
      </c>
      <c r="F1686" s="4">
        <f>IFERROR(INDEX('Base de sorteio'!$C$3:$C$1723,MATCH($B1686&amp;"|"&amp;$C1686,'Base de sorteio'!$I$3:$I$1723,0)),"")</f>
        <v/>
      </c>
      <c r="G1686" s="4">
        <f>IFERROR(INDEX('Base de sorteio'!$D$3:$D$1723,MATCH($B1686&amp;"|"&amp;$C1686,'Base de sorteio'!$I$3:$I$1723,0)),"")</f>
        <v/>
      </c>
      <c r="H1686" s="4">
        <f>IFERROR(INDEX('Base de sorteio'!$E$3:$E$1723,MATCH($B1686&amp;"|"&amp;$C1686,'Base de sorteio'!$I$3:$I$1723,0)),"")</f>
        <v/>
      </c>
      <c r="I1686" s="4">
        <f>IF(E1686="","",HYPERLINK(IFERROR(INDEX('Base de sorteio'!$J$3:$J$1723,MATCH($B1686&amp;"|"&amp;$C1686,'Base de sorteio'!$I$3:$I$1723,0)),""),"abrir"))</f>
        <v/>
      </c>
      <c r="J1686" s="4" t="n"/>
      <c r="K1686" s="4" t="n"/>
      <c r="L1686" s="4" t="n"/>
      <c r="M1686" s="4" t="n"/>
      <c r="N1686" s="4">
        <f>IF(AND(K1686="",M1686=""),"",IF(OR(K1686="sim",M1686="sim"),"sim",IF(OR(K1686="inconclusivo",M1686="inconclusivo"),"inconclusivo","não")))</f>
        <v/>
      </c>
      <c r="O1686" s="5">
        <f>IF(N1686="sim",COUNTIFS($B$3:$B1686,$B1686,$N$3:$N1686,"sim"),"")</f>
        <v/>
      </c>
      <c r="P1686" s="5" t="n"/>
      <c r="Q1686" s="4" t="n"/>
      <c r="R1686" s="5" t="n"/>
      <c r="S1686" s="9" t="n"/>
      <c r="T1686" s="4" t="n"/>
    </row>
    <row r="1687">
      <c r="A1687" s="5">
        <f>ROW()-2</f>
        <v/>
      </c>
      <c r="B1687" s="4" t="inlineStr">
        <is>
          <t>Capital regional</t>
        </is>
      </c>
      <c r="C1687" s="5" t="n">
        <v>743</v>
      </c>
      <c r="D1687" s="5">
        <f>IFERROR(INDEX('Base de sorteio'!$A$3:$A$1723,MATCH($B1687&amp;"|"&amp;$C1687,'Base de sorteio'!$I$3:$I$1723,0)),"")</f>
        <v/>
      </c>
      <c r="E1687" s="4">
        <f>IFERROR(INDEX('Base de sorteio'!$B$3:$B$1723,MATCH($B1687&amp;"|"&amp;$C1687,'Base de sorteio'!$I$3:$I$1723,0)),"")</f>
        <v/>
      </c>
      <c r="F1687" s="4">
        <f>IFERROR(INDEX('Base de sorteio'!$C$3:$C$1723,MATCH($B1687&amp;"|"&amp;$C1687,'Base de sorteio'!$I$3:$I$1723,0)),"")</f>
        <v/>
      </c>
      <c r="G1687" s="4">
        <f>IFERROR(INDEX('Base de sorteio'!$D$3:$D$1723,MATCH($B1687&amp;"|"&amp;$C1687,'Base de sorteio'!$I$3:$I$1723,0)),"")</f>
        <v/>
      </c>
      <c r="H1687" s="4">
        <f>IFERROR(INDEX('Base de sorteio'!$E$3:$E$1723,MATCH($B1687&amp;"|"&amp;$C1687,'Base de sorteio'!$I$3:$I$1723,0)),"")</f>
        <v/>
      </c>
      <c r="I1687" s="4">
        <f>IF(E1687="","",HYPERLINK(IFERROR(INDEX('Base de sorteio'!$J$3:$J$1723,MATCH($B1687&amp;"|"&amp;$C1687,'Base de sorteio'!$I$3:$I$1723,0)),""),"abrir"))</f>
        <v/>
      </c>
      <c r="J1687" s="4" t="n"/>
      <c r="K1687" s="4" t="n"/>
      <c r="L1687" s="4" t="n"/>
      <c r="M1687" s="4" t="n"/>
      <c r="N1687" s="4">
        <f>IF(AND(K1687="",M1687=""),"",IF(OR(K1687="sim",M1687="sim"),"sim",IF(OR(K1687="inconclusivo",M1687="inconclusivo"),"inconclusivo","não")))</f>
        <v/>
      </c>
      <c r="O1687" s="5">
        <f>IF(N1687="sim",COUNTIFS($B$3:$B1687,$B1687,$N$3:$N1687,"sim"),"")</f>
        <v/>
      </c>
      <c r="P1687" s="5" t="n"/>
      <c r="Q1687" s="4" t="n"/>
      <c r="R1687" s="5" t="n"/>
      <c r="S1687" s="9" t="n"/>
      <c r="T1687" s="4" t="n"/>
    </row>
    <row r="1688">
      <c r="A1688" s="5">
        <f>ROW()-2</f>
        <v/>
      </c>
      <c r="B1688" s="4" t="inlineStr">
        <is>
          <t>Capital regional</t>
        </is>
      </c>
      <c r="C1688" s="5" t="n">
        <v>744</v>
      </c>
      <c r="D1688" s="5">
        <f>IFERROR(INDEX('Base de sorteio'!$A$3:$A$1723,MATCH($B1688&amp;"|"&amp;$C1688,'Base de sorteio'!$I$3:$I$1723,0)),"")</f>
        <v/>
      </c>
      <c r="E1688" s="4">
        <f>IFERROR(INDEX('Base de sorteio'!$B$3:$B$1723,MATCH($B1688&amp;"|"&amp;$C1688,'Base de sorteio'!$I$3:$I$1723,0)),"")</f>
        <v/>
      </c>
      <c r="F1688" s="4">
        <f>IFERROR(INDEX('Base de sorteio'!$C$3:$C$1723,MATCH($B1688&amp;"|"&amp;$C1688,'Base de sorteio'!$I$3:$I$1723,0)),"")</f>
        <v/>
      </c>
      <c r="G1688" s="4">
        <f>IFERROR(INDEX('Base de sorteio'!$D$3:$D$1723,MATCH($B1688&amp;"|"&amp;$C1688,'Base de sorteio'!$I$3:$I$1723,0)),"")</f>
        <v/>
      </c>
      <c r="H1688" s="4">
        <f>IFERROR(INDEX('Base de sorteio'!$E$3:$E$1723,MATCH($B1688&amp;"|"&amp;$C1688,'Base de sorteio'!$I$3:$I$1723,0)),"")</f>
        <v/>
      </c>
      <c r="I1688" s="4">
        <f>IF(E1688="","",HYPERLINK(IFERROR(INDEX('Base de sorteio'!$J$3:$J$1723,MATCH($B1688&amp;"|"&amp;$C1688,'Base de sorteio'!$I$3:$I$1723,0)),""),"abrir"))</f>
        <v/>
      </c>
      <c r="J1688" s="4" t="n"/>
      <c r="K1688" s="4" t="n"/>
      <c r="L1688" s="4" t="n"/>
      <c r="M1688" s="4" t="n"/>
      <c r="N1688" s="4">
        <f>IF(AND(K1688="",M1688=""),"",IF(OR(K1688="sim",M1688="sim"),"sim",IF(OR(K1688="inconclusivo",M1688="inconclusivo"),"inconclusivo","não")))</f>
        <v/>
      </c>
      <c r="O1688" s="5">
        <f>IF(N1688="sim",COUNTIFS($B$3:$B1688,$B1688,$N$3:$N1688,"sim"),"")</f>
        <v/>
      </c>
      <c r="P1688" s="5" t="n"/>
      <c r="Q1688" s="4" t="n"/>
      <c r="R1688" s="5" t="n"/>
      <c r="S1688" s="9" t="n"/>
      <c r="T1688" s="4" t="n"/>
    </row>
    <row r="1689">
      <c r="A1689" s="5">
        <f>ROW()-2</f>
        <v/>
      </c>
      <c r="B1689" s="4" t="inlineStr">
        <is>
          <t>Capital regional</t>
        </is>
      </c>
      <c r="C1689" s="5" t="n">
        <v>745</v>
      </c>
      <c r="D1689" s="5">
        <f>IFERROR(INDEX('Base de sorteio'!$A$3:$A$1723,MATCH($B1689&amp;"|"&amp;$C1689,'Base de sorteio'!$I$3:$I$1723,0)),"")</f>
        <v/>
      </c>
      <c r="E1689" s="4">
        <f>IFERROR(INDEX('Base de sorteio'!$B$3:$B$1723,MATCH($B1689&amp;"|"&amp;$C1689,'Base de sorteio'!$I$3:$I$1723,0)),"")</f>
        <v/>
      </c>
      <c r="F1689" s="4">
        <f>IFERROR(INDEX('Base de sorteio'!$C$3:$C$1723,MATCH($B1689&amp;"|"&amp;$C1689,'Base de sorteio'!$I$3:$I$1723,0)),"")</f>
        <v/>
      </c>
      <c r="G1689" s="4">
        <f>IFERROR(INDEX('Base de sorteio'!$D$3:$D$1723,MATCH($B1689&amp;"|"&amp;$C1689,'Base de sorteio'!$I$3:$I$1723,0)),"")</f>
        <v/>
      </c>
      <c r="H1689" s="4">
        <f>IFERROR(INDEX('Base de sorteio'!$E$3:$E$1723,MATCH($B1689&amp;"|"&amp;$C1689,'Base de sorteio'!$I$3:$I$1723,0)),"")</f>
        <v/>
      </c>
      <c r="I1689" s="4">
        <f>IF(E1689="","",HYPERLINK(IFERROR(INDEX('Base de sorteio'!$J$3:$J$1723,MATCH($B1689&amp;"|"&amp;$C1689,'Base de sorteio'!$I$3:$I$1723,0)),""),"abrir"))</f>
        <v/>
      </c>
      <c r="J1689" s="4" t="n"/>
      <c r="K1689" s="4" t="n"/>
      <c r="L1689" s="4" t="n"/>
      <c r="M1689" s="4" t="n"/>
      <c r="N1689" s="4">
        <f>IF(AND(K1689="",M1689=""),"",IF(OR(K1689="sim",M1689="sim"),"sim",IF(OR(K1689="inconclusivo",M1689="inconclusivo"),"inconclusivo","não")))</f>
        <v/>
      </c>
      <c r="O1689" s="5">
        <f>IF(N1689="sim",COUNTIFS($B$3:$B1689,$B1689,$N$3:$N1689,"sim"),"")</f>
        <v/>
      </c>
      <c r="P1689" s="5" t="n"/>
      <c r="Q1689" s="4" t="n"/>
      <c r="R1689" s="5" t="n"/>
      <c r="S1689" s="9" t="n"/>
      <c r="T1689" s="4" t="n"/>
    </row>
    <row r="1690">
      <c r="A1690" s="5">
        <f>ROW()-2</f>
        <v/>
      </c>
      <c r="B1690" s="4" t="inlineStr">
        <is>
          <t>Capital regional</t>
        </is>
      </c>
      <c r="C1690" s="5" t="n">
        <v>746</v>
      </c>
      <c r="D1690" s="5">
        <f>IFERROR(INDEX('Base de sorteio'!$A$3:$A$1723,MATCH($B1690&amp;"|"&amp;$C1690,'Base de sorteio'!$I$3:$I$1723,0)),"")</f>
        <v/>
      </c>
      <c r="E1690" s="4">
        <f>IFERROR(INDEX('Base de sorteio'!$B$3:$B$1723,MATCH($B1690&amp;"|"&amp;$C1690,'Base de sorteio'!$I$3:$I$1723,0)),"")</f>
        <v/>
      </c>
      <c r="F1690" s="4">
        <f>IFERROR(INDEX('Base de sorteio'!$C$3:$C$1723,MATCH($B1690&amp;"|"&amp;$C1690,'Base de sorteio'!$I$3:$I$1723,0)),"")</f>
        <v/>
      </c>
      <c r="G1690" s="4">
        <f>IFERROR(INDEX('Base de sorteio'!$D$3:$D$1723,MATCH($B1690&amp;"|"&amp;$C1690,'Base de sorteio'!$I$3:$I$1723,0)),"")</f>
        <v/>
      </c>
      <c r="H1690" s="4">
        <f>IFERROR(INDEX('Base de sorteio'!$E$3:$E$1723,MATCH($B1690&amp;"|"&amp;$C1690,'Base de sorteio'!$I$3:$I$1723,0)),"")</f>
        <v/>
      </c>
      <c r="I1690" s="4">
        <f>IF(E1690="","",HYPERLINK(IFERROR(INDEX('Base de sorteio'!$J$3:$J$1723,MATCH($B1690&amp;"|"&amp;$C1690,'Base de sorteio'!$I$3:$I$1723,0)),""),"abrir"))</f>
        <v/>
      </c>
      <c r="J1690" s="4" t="n"/>
      <c r="K1690" s="4" t="n"/>
      <c r="L1690" s="4" t="n"/>
      <c r="M1690" s="4" t="n"/>
      <c r="N1690" s="4">
        <f>IF(AND(K1690="",M1690=""),"",IF(OR(K1690="sim",M1690="sim"),"sim",IF(OR(K1690="inconclusivo",M1690="inconclusivo"),"inconclusivo","não")))</f>
        <v/>
      </c>
      <c r="O1690" s="5">
        <f>IF(N1690="sim",COUNTIFS($B$3:$B1690,$B1690,$N$3:$N1690,"sim"),"")</f>
        <v/>
      </c>
      <c r="P1690" s="5" t="n"/>
      <c r="Q1690" s="4" t="n"/>
      <c r="R1690" s="5" t="n"/>
      <c r="S1690" s="9" t="n"/>
      <c r="T1690" s="4" t="n"/>
    </row>
    <row r="1691">
      <c r="A1691" s="5">
        <f>ROW()-2</f>
        <v/>
      </c>
      <c r="B1691" s="4" t="inlineStr">
        <is>
          <t>Capital regional</t>
        </is>
      </c>
      <c r="C1691" s="5" t="n">
        <v>747</v>
      </c>
      <c r="D1691" s="5">
        <f>IFERROR(INDEX('Base de sorteio'!$A$3:$A$1723,MATCH($B1691&amp;"|"&amp;$C1691,'Base de sorteio'!$I$3:$I$1723,0)),"")</f>
        <v/>
      </c>
      <c r="E1691" s="4">
        <f>IFERROR(INDEX('Base de sorteio'!$B$3:$B$1723,MATCH($B1691&amp;"|"&amp;$C1691,'Base de sorteio'!$I$3:$I$1723,0)),"")</f>
        <v/>
      </c>
      <c r="F1691" s="4">
        <f>IFERROR(INDEX('Base de sorteio'!$C$3:$C$1723,MATCH($B1691&amp;"|"&amp;$C1691,'Base de sorteio'!$I$3:$I$1723,0)),"")</f>
        <v/>
      </c>
      <c r="G1691" s="4">
        <f>IFERROR(INDEX('Base de sorteio'!$D$3:$D$1723,MATCH($B1691&amp;"|"&amp;$C1691,'Base de sorteio'!$I$3:$I$1723,0)),"")</f>
        <v/>
      </c>
      <c r="H1691" s="4">
        <f>IFERROR(INDEX('Base de sorteio'!$E$3:$E$1723,MATCH($B1691&amp;"|"&amp;$C1691,'Base de sorteio'!$I$3:$I$1723,0)),"")</f>
        <v/>
      </c>
      <c r="I1691" s="4">
        <f>IF(E1691="","",HYPERLINK(IFERROR(INDEX('Base de sorteio'!$J$3:$J$1723,MATCH($B1691&amp;"|"&amp;$C1691,'Base de sorteio'!$I$3:$I$1723,0)),""),"abrir"))</f>
        <v/>
      </c>
      <c r="J1691" s="4" t="n"/>
      <c r="K1691" s="4" t="n"/>
      <c r="L1691" s="4" t="n"/>
      <c r="M1691" s="4" t="n"/>
      <c r="N1691" s="4">
        <f>IF(AND(K1691="",M1691=""),"",IF(OR(K1691="sim",M1691="sim"),"sim",IF(OR(K1691="inconclusivo",M1691="inconclusivo"),"inconclusivo","não")))</f>
        <v/>
      </c>
      <c r="O1691" s="5">
        <f>IF(N1691="sim",COUNTIFS($B$3:$B1691,$B1691,$N$3:$N1691,"sim"),"")</f>
        <v/>
      </c>
      <c r="P1691" s="5" t="n"/>
      <c r="Q1691" s="4" t="n"/>
      <c r="R1691" s="5" t="n"/>
      <c r="S1691" s="9" t="n"/>
      <c r="T1691" s="4" t="n"/>
    </row>
    <row r="1692">
      <c r="A1692" s="5">
        <f>ROW()-2</f>
        <v/>
      </c>
      <c r="B1692" s="4" t="inlineStr">
        <is>
          <t>Capital regional</t>
        </is>
      </c>
      <c r="C1692" s="5" t="n">
        <v>748</v>
      </c>
      <c r="D1692" s="5">
        <f>IFERROR(INDEX('Base de sorteio'!$A$3:$A$1723,MATCH($B1692&amp;"|"&amp;$C1692,'Base de sorteio'!$I$3:$I$1723,0)),"")</f>
        <v/>
      </c>
      <c r="E1692" s="4">
        <f>IFERROR(INDEX('Base de sorteio'!$B$3:$B$1723,MATCH($B1692&amp;"|"&amp;$C1692,'Base de sorteio'!$I$3:$I$1723,0)),"")</f>
        <v/>
      </c>
      <c r="F1692" s="4">
        <f>IFERROR(INDEX('Base de sorteio'!$C$3:$C$1723,MATCH($B1692&amp;"|"&amp;$C1692,'Base de sorteio'!$I$3:$I$1723,0)),"")</f>
        <v/>
      </c>
      <c r="G1692" s="4">
        <f>IFERROR(INDEX('Base de sorteio'!$D$3:$D$1723,MATCH($B1692&amp;"|"&amp;$C1692,'Base de sorteio'!$I$3:$I$1723,0)),"")</f>
        <v/>
      </c>
      <c r="H1692" s="4">
        <f>IFERROR(INDEX('Base de sorteio'!$E$3:$E$1723,MATCH($B1692&amp;"|"&amp;$C1692,'Base de sorteio'!$I$3:$I$1723,0)),"")</f>
        <v/>
      </c>
      <c r="I1692" s="4">
        <f>IF(E1692="","",HYPERLINK(IFERROR(INDEX('Base de sorteio'!$J$3:$J$1723,MATCH($B1692&amp;"|"&amp;$C1692,'Base de sorteio'!$I$3:$I$1723,0)),""),"abrir"))</f>
        <v/>
      </c>
      <c r="J1692" s="4" t="n"/>
      <c r="K1692" s="4" t="n"/>
      <c r="L1692" s="4" t="n"/>
      <c r="M1692" s="4" t="n"/>
      <c r="N1692" s="4">
        <f>IF(AND(K1692="",M1692=""),"",IF(OR(K1692="sim",M1692="sim"),"sim",IF(OR(K1692="inconclusivo",M1692="inconclusivo"),"inconclusivo","não")))</f>
        <v/>
      </c>
      <c r="O1692" s="5">
        <f>IF(N1692="sim",COUNTIFS($B$3:$B1692,$B1692,$N$3:$N1692,"sim"),"")</f>
        <v/>
      </c>
      <c r="P1692" s="5" t="n"/>
      <c r="Q1692" s="4" t="n"/>
      <c r="R1692" s="5" t="n"/>
      <c r="S1692" s="9" t="n"/>
      <c r="T1692" s="4" t="n"/>
    </row>
    <row r="1693">
      <c r="A1693" s="5">
        <f>ROW()-2</f>
        <v/>
      </c>
      <c r="B1693" s="4" t="inlineStr">
        <is>
          <t>Capital regional</t>
        </is>
      </c>
      <c r="C1693" s="5" t="n">
        <v>749</v>
      </c>
      <c r="D1693" s="5">
        <f>IFERROR(INDEX('Base de sorteio'!$A$3:$A$1723,MATCH($B1693&amp;"|"&amp;$C1693,'Base de sorteio'!$I$3:$I$1723,0)),"")</f>
        <v/>
      </c>
      <c r="E1693" s="4">
        <f>IFERROR(INDEX('Base de sorteio'!$B$3:$B$1723,MATCH($B1693&amp;"|"&amp;$C1693,'Base de sorteio'!$I$3:$I$1723,0)),"")</f>
        <v/>
      </c>
      <c r="F1693" s="4">
        <f>IFERROR(INDEX('Base de sorteio'!$C$3:$C$1723,MATCH($B1693&amp;"|"&amp;$C1693,'Base de sorteio'!$I$3:$I$1723,0)),"")</f>
        <v/>
      </c>
      <c r="G1693" s="4">
        <f>IFERROR(INDEX('Base de sorteio'!$D$3:$D$1723,MATCH($B1693&amp;"|"&amp;$C1693,'Base de sorteio'!$I$3:$I$1723,0)),"")</f>
        <v/>
      </c>
      <c r="H1693" s="4">
        <f>IFERROR(INDEX('Base de sorteio'!$E$3:$E$1723,MATCH($B1693&amp;"|"&amp;$C1693,'Base de sorteio'!$I$3:$I$1723,0)),"")</f>
        <v/>
      </c>
      <c r="I1693" s="4">
        <f>IF(E1693="","",HYPERLINK(IFERROR(INDEX('Base de sorteio'!$J$3:$J$1723,MATCH($B1693&amp;"|"&amp;$C1693,'Base de sorteio'!$I$3:$I$1723,0)),""),"abrir"))</f>
        <v/>
      </c>
      <c r="J1693" s="4" t="n"/>
      <c r="K1693" s="4" t="n"/>
      <c r="L1693" s="4" t="n"/>
      <c r="M1693" s="4" t="n"/>
      <c r="N1693" s="4">
        <f>IF(AND(K1693="",M1693=""),"",IF(OR(K1693="sim",M1693="sim"),"sim",IF(OR(K1693="inconclusivo",M1693="inconclusivo"),"inconclusivo","não")))</f>
        <v/>
      </c>
      <c r="O1693" s="5">
        <f>IF(N1693="sim",COUNTIFS($B$3:$B1693,$B1693,$N$3:$N1693,"sim"),"")</f>
        <v/>
      </c>
      <c r="P1693" s="5" t="n"/>
      <c r="Q1693" s="4" t="n"/>
      <c r="R1693" s="5" t="n"/>
      <c r="S1693" s="9" t="n"/>
      <c r="T1693" s="4" t="n"/>
    </row>
    <row r="1694">
      <c r="A1694" s="5">
        <f>ROW()-2</f>
        <v/>
      </c>
      <c r="B1694" s="4" t="inlineStr">
        <is>
          <t>Capital regional</t>
        </is>
      </c>
      <c r="C1694" s="5" t="n">
        <v>750</v>
      </c>
      <c r="D1694" s="5">
        <f>IFERROR(INDEX('Base de sorteio'!$A$3:$A$1723,MATCH($B1694&amp;"|"&amp;$C1694,'Base de sorteio'!$I$3:$I$1723,0)),"")</f>
        <v/>
      </c>
      <c r="E1694" s="4">
        <f>IFERROR(INDEX('Base de sorteio'!$B$3:$B$1723,MATCH($B1694&amp;"|"&amp;$C1694,'Base de sorteio'!$I$3:$I$1723,0)),"")</f>
        <v/>
      </c>
      <c r="F1694" s="4">
        <f>IFERROR(INDEX('Base de sorteio'!$C$3:$C$1723,MATCH($B1694&amp;"|"&amp;$C1694,'Base de sorteio'!$I$3:$I$1723,0)),"")</f>
        <v/>
      </c>
      <c r="G1694" s="4">
        <f>IFERROR(INDEX('Base de sorteio'!$D$3:$D$1723,MATCH($B1694&amp;"|"&amp;$C1694,'Base de sorteio'!$I$3:$I$1723,0)),"")</f>
        <v/>
      </c>
      <c r="H1694" s="4">
        <f>IFERROR(INDEX('Base de sorteio'!$E$3:$E$1723,MATCH($B1694&amp;"|"&amp;$C1694,'Base de sorteio'!$I$3:$I$1723,0)),"")</f>
        <v/>
      </c>
      <c r="I1694" s="4">
        <f>IF(E1694="","",HYPERLINK(IFERROR(INDEX('Base de sorteio'!$J$3:$J$1723,MATCH($B1694&amp;"|"&amp;$C1694,'Base de sorteio'!$I$3:$I$1723,0)),""),"abrir"))</f>
        <v/>
      </c>
      <c r="J1694" s="4" t="n"/>
      <c r="K1694" s="4" t="n"/>
      <c r="L1694" s="4" t="n"/>
      <c r="M1694" s="4" t="n"/>
      <c r="N1694" s="4">
        <f>IF(AND(K1694="",M1694=""),"",IF(OR(K1694="sim",M1694="sim"),"sim",IF(OR(K1694="inconclusivo",M1694="inconclusivo"),"inconclusivo","não")))</f>
        <v/>
      </c>
      <c r="O1694" s="5">
        <f>IF(N1694="sim",COUNTIFS($B$3:$B1694,$B1694,$N$3:$N1694,"sim"),"")</f>
        <v/>
      </c>
      <c r="P1694" s="5" t="n"/>
      <c r="Q1694" s="4" t="n"/>
      <c r="R1694" s="5" t="n"/>
      <c r="S1694" s="9" t="n"/>
      <c r="T1694" s="4" t="n"/>
    </row>
    <row r="1695">
      <c r="A1695" s="5">
        <f>ROW()-2</f>
        <v/>
      </c>
      <c r="B1695" s="4" t="inlineStr">
        <is>
          <t>Capital regional</t>
        </is>
      </c>
      <c r="C1695" s="5" t="n">
        <v>751</v>
      </c>
      <c r="D1695" s="5">
        <f>IFERROR(INDEX('Base de sorteio'!$A$3:$A$1723,MATCH($B1695&amp;"|"&amp;$C1695,'Base de sorteio'!$I$3:$I$1723,0)),"")</f>
        <v/>
      </c>
      <c r="E1695" s="4">
        <f>IFERROR(INDEX('Base de sorteio'!$B$3:$B$1723,MATCH($B1695&amp;"|"&amp;$C1695,'Base de sorteio'!$I$3:$I$1723,0)),"")</f>
        <v/>
      </c>
      <c r="F1695" s="4">
        <f>IFERROR(INDEX('Base de sorteio'!$C$3:$C$1723,MATCH($B1695&amp;"|"&amp;$C1695,'Base de sorteio'!$I$3:$I$1723,0)),"")</f>
        <v/>
      </c>
      <c r="G1695" s="4">
        <f>IFERROR(INDEX('Base de sorteio'!$D$3:$D$1723,MATCH($B1695&amp;"|"&amp;$C1695,'Base de sorteio'!$I$3:$I$1723,0)),"")</f>
        <v/>
      </c>
      <c r="H1695" s="4">
        <f>IFERROR(INDEX('Base de sorteio'!$E$3:$E$1723,MATCH($B1695&amp;"|"&amp;$C1695,'Base de sorteio'!$I$3:$I$1723,0)),"")</f>
        <v/>
      </c>
      <c r="I1695" s="4">
        <f>IF(E1695="","",HYPERLINK(IFERROR(INDEX('Base de sorteio'!$J$3:$J$1723,MATCH($B1695&amp;"|"&amp;$C1695,'Base de sorteio'!$I$3:$I$1723,0)),""),"abrir"))</f>
        <v/>
      </c>
      <c r="J1695" s="4" t="n"/>
      <c r="K1695" s="4" t="n"/>
      <c r="L1695" s="4" t="n"/>
      <c r="M1695" s="4" t="n"/>
      <c r="N1695" s="4">
        <f>IF(AND(K1695="",M1695=""),"",IF(OR(K1695="sim",M1695="sim"),"sim",IF(OR(K1695="inconclusivo",M1695="inconclusivo"),"inconclusivo","não")))</f>
        <v/>
      </c>
      <c r="O1695" s="5">
        <f>IF(N1695="sim",COUNTIFS($B$3:$B1695,$B1695,$N$3:$N1695,"sim"),"")</f>
        <v/>
      </c>
      <c r="P1695" s="5" t="n"/>
      <c r="Q1695" s="4" t="n"/>
      <c r="R1695" s="5" t="n"/>
      <c r="S1695" s="9" t="n"/>
      <c r="T1695" s="4" t="n"/>
    </row>
    <row r="1696">
      <c r="A1696" s="5">
        <f>ROW()-2</f>
        <v/>
      </c>
      <c r="B1696" s="4" t="inlineStr">
        <is>
          <t>Capital regional</t>
        </is>
      </c>
      <c r="C1696" s="5" t="n">
        <v>752</v>
      </c>
      <c r="D1696" s="5">
        <f>IFERROR(INDEX('Base de sorteio'!$A$3:$A$1723,MATCH($B1696&amp;"|"&amp;$C1696,'Base de sorteio'!$I$3:$I$1723,0)),"")</f>
        <v/>
      </c>
      <c r="E1696" s="4">
        <f>IFERROR(INDEX('Base de sorteio'!$B$3:$B$1723,MATCH($B1696&amp;"|"&amp;$C1696,'Base de sorteio'!$I$3:$I$1723,0)),"")</f>
        <v/>
      </c>
      <c r="F1696" s="4">
        <f>IFERROR(INDEX('Base de sorteio'!$C$3:$C$1723,MATCH($B1696&amp;"|"&amp;$C1696,'Base de sorteio'!$I$3:$I$1723,0)),"")</f>
        <v/>
      </c>
      <c r="G1696" s="4">
        <f>IFERROR(INDEX('Base de sorteio'!$D$3:$D$1723,MATCH($B1696&amp;"|"&amp;$C1696,'Base de sorteio'!$I$3:$I$1723,0)),"")</f>
        <v/>
      </c>
      <c r="H1696" s="4">
        <f>IFERROR(INDEX('Base de sorteio'!$E$3:$E$1723,MATCH($B1696&amp;"|"&amp;$C1696,'Base de sorteio'!$I$3:$I$1723,0)),"")</f>
        <v/>
      </c>
      <c r="I1696" s="4">
        <f>IF(E1696="","",HYPERLINK(IFERROR(INDEX('Base de sorteio'!$J$3:$J$1723,MATCH($B1696&amp;"|"&amp;$C1696,'Base de sorteio'!$I$3:$I$1723,0)),""),"abrir"))</f>
        <v/>
      </c>
      <c r="J1696" s="4" t="n"/>
      <c r="K1696" s="4" t="n"/>
      <c r="L1696" s="4" t="n"/>
      <c r="M1696" s="4" t="n"/>
      <c r="N1696" s="4">
        <f>IF(AND(K1696="",M1696=""),"",IF(OR(K1696="sim",M1696="sim"),"sim",IF(OR(K1696="inconclusivo",M1696="inconclusivo"),"inconclusivo","não")))</f>
        <v/>
      </c>
      <c r="O1696" s="5">
        <f>IF(N1696="sim",COUNTIFS($B$3:$B1696,$B1696,$N$3:$N1696,"sim"),"")</f>
        <v/>
      </c>
      <c r="P1696" s="5" t="n"/>
      <c r="Q1696" s="4" t="n"/>
      <c r="R1696" s="5" t="n"/>
      <c r="S1696" s="9" t="n"/>
      <c r="T1696" s="4" t="n"/>
    </row>
    <row r="1697">
      <c r="A1697" s="5">
        <f>ROW()-2</f>
        <v/>
      </c>
      <c r="B1697" s="4" t="inlineStr">
        <is>
          <t>Capital regional</t>
        </is>
      </c>
      <c r="C1697" s="5" t="n">
        <v>753</v>
      </c>
      <c r="D1697" s="5">
        <f>IFERROR(INDEX('Base de sorteio'!$A$3:$A$1723,MATCH($B1697&amp;"|"&amp;$C1697,'Base de sorteio'!$I$3:$I$1723,0)),"")</f>
        <v/>
      </c>
      <c r="E1697" s="4">
        <f>IFERROR(INDEX('Base de sorteio'!$B$3:$B$1723,MATCH($B1697&amp;"|"&amp;$C1697,'Base de sorteio'!$I$3:$I$1723,0)),"")</f>
        <v/>
      </c>
      <c r="F1697" s="4">
        <f>IFERROR(INDEX('Base de sorteio'!$C$3:$C$1723,MATCH($B1697&amp;"|"&amp;$C1697,'Base de sorteio'!$I$3:$I$1723,0)),"")</f>
        <v/>
      </c>
      <c r="G1697" s="4">
        <f>IFERROR(INDEX('Base de sorteio'!$D$3:$D$1723,MATCH($B1697&amp;"|"&amp;$C1697,'Base de sorteio'!$I$3:$I$1723,0)),"")</f>
        <v/>
      </c>
      <c r="H1697" s="4">
        <f>IFERROR(INDEX('Base de sorteio'!$E$3:$E$1723,MATCH($B1697&amp;"|"&amp;$C1697,'Base de sorteio'!$I$3:$I$1723,0)),"")</f>
        <v/>
      </c>
      <c r="I1697" s="4">
        <f>IF(E1697="","",HYPERLINK(IFERROR(INDEX('Base de sorteio'!$J$3:$J$1723,MATCH($B1697&amp;"|"&amp;$C1697,'Base de sorteio'!$I$3:$I$1723,0)),""),"abrir"))</f>
        <v/>
      </c>
      <c r="J1697" s="4" t="n"/>
      <c r="K1697" s="4" t="n"/>
      <c r="L1697" s="4" t="n"/>
      <c r="M1697" s="4" t="n"/>
      <c r="N1697" s="4">
        <f>IF(AND(K1697="",M1697=""),"",IF(OR(K1697="sim",M1697="sim"),"sim",IF(OR(K1697="inconclusivo",M1697="inconclusivo"),"inconclusivo","não")))</f>
        <v/>
      </c>
      <c r="O1697" s="5">
        <f>IF(N1697="sim",COUNTIFS($B$3:$B1697,$B1697,$N$3:$N1697,"sim"),"")</f>
        <v/>
      </c>
      <c r="P1697" s="5" t="n"/>
      <c r="Q1697" s="4" t="n"/>
      <c r="R1697" s="5" t="n"/>
      <c r="S1697" s="9" t="n"/>
      <c r="T1697" s="4" t="n"/>
    </row>
    <row r="1698">
      <c r="A1698" s="5">
        <f>ROW()-2</f>
        <v/>
      </c>
      <c r="B1698" s="4" t="inlineStr">
        <is>
          <t>Capital regional</t>
        </is>
      </c>
      <c r="C1698" s="5" t="n">
        <v>754</v>
      </c>
      <c r="D1698" s="5">
        <f>IFERROR(INDEX('Base de sorteio'!$A$3:$A$1723,MATCH($B1698&amp;"|"&amp;$C1698,'Base de sorteio'!$I$3:$I$1723,0)),"")</f>
        <v/>
      </c>
      <c r="E1698" s="4">
        <f>IFERROR(INDEX('Base de sorteio'!$B$3:$B$1723,MATCH($B1698&amp;"|"&amp;$C1698,'Base de sorteio'!$I$3:$I$1723,0)),"")</f>
        <v/>
      </c>
      <c r="F1698" s="4">
        <f>IFERROR(INDEX('Base de sorteio'!$C$3:$C$1723,MATCH($B1698&amp;"|"&amp;$C1698,'Base de sorteio'!$I$3:$I$1723,0)),"")</f>
        <v/>
      </c>
      <c r="G1698" s="4">
        <f>IFERROR(INDEX('Base de sorteio'!$D$3:$D$1723,MATCH($B1698&amp;"|"&amp;$C1698,'Base de sorteio'!$I$3:$I$1723,0)),"")</f>
        <v/>
      </c>
      <c r="H1698" s="4">
        <f>IFERROR(INDEX('Base de sorteio'!$E$3:$E$1723,MATCH($B1698&amp;"|"&amp;$C1698,'Base de sorteio'!$I$3:$I$1723,0)),"")</f>
        <v/>
      </c>
      <c r="I1698" s="4">
        <f>IF(E1698="","",HYPERLINK(IFERROR(INDEX('Base de sorteio'!$J$3:$J$1723,MATCH($B1698&amp;"|"&amp;$C1698,'Base de sorteio'!$I$3:$I$1723,0)),""),"abrir"))</f>
        <v/>
      </c>
      <c r="J1698" s="4" t="n"/>
      <c r="K1698" s="4" t="n"/>
      <c r="L1698" s="4" t="n"/>
      <c r="M1698" s="4" t="n"/>
      <c r="N1698" s="4">
        <f>IF(AND(K1698="",M1698=""),"",IF(OR(K1698="sim",M1698="sim"),"sim",IF(OR(K1698="inconclusivo",M1698="inconclusivo"),"inconclusivo","não")))</f>
        <v/>
      </c>
      <c r="O1698" s="5">
        <f>IF(N1698="sim",COUNTIFS($B$3:$B1698,$B1698,$N$3:$N1698,"sim"),"")</f>
        <v/>
      </c>
      <c r="P1698" s="5" t="n"/>
      <c r="Q1698" s="4" t="n"/>
      <c r="R1698" s="5" t="n"/>
      <c r="S1698" s="9" t="n"/>
      <c r="T1698" s="4" t="n"/>
    </row>
    <row r="1699">
      <c r="A1699" s="5">
        <f>ROW()-2</f>
        <v/>
      </c>
      <c r="B1699" s="4" t="inlineStr">
        <is>
          <t>Capital regional</t>
        </is>
      </c>
      <c r="C1699" s="5" t="n">
        <v>755</v>
      </c>
      <c r="D1699" s="5">
        <f>IFERROR(INDEX('Base de sorteio'!$A$3:$A$1723,MATCH($B1699&amp;"|"&amp;$C1699,'Base de sorteio'!$I$3:$I$1723,0)),"")</f>
        <v/>
      </c>
      <c r="E1699" s="4">
        <f>IFERROR(INDEX('Base de sorteio'!$B$3:$B$1723,MATCH($B1699&amp;"|"&amp;$C1699,'Base de sorteio'!$I$3:$I$1723,0)),"")</f>
        <v/>
      </c>
      <c r="F1699" s="4">
        <f>IFERROR(INDEX('Base de sorteio'!$C$3:$C$1723,MATCH($B1699&amp;"|"&amp;$C1699,'Base de sorteio'!$I$3:$I$1723,0)),"")</f>
        <v/>
      </c>
      <c r="G1699" s="4">
        <f>IFERROR(INDEX('Base de sorteio'!$D$3:$D$1723,MATCH($B1699&amp;"|"&amp;$C1699,'Base de sorteio'!$I$3:$I$1723,0)),"")</f>
        <v/>
      </c>
      <c r="H1699" s="4">
        <f>IFERROR(INDEX('Base de sorteio'!$E$3:$E$1723,MATCH($B1699&amp;"|"&amp;$C1699,'Base de sorteio'!$I$3:$I$1723,0)),"")</f>
        <v/>
      </c>
      <c r="I1699" s="4">
        <f>IF(E1699="","",HYPERLINK(IFERROR(INDEX('Base de sorteio'!$J$3:$J$1723,MATCH($B1699&amp;"|"&amp;$C1699,'Base de sorteio'!$I$3:$I$1723,0)),""),"abrir"))</f>
        <v/>
      </c>
      <c r="J1699" s="4" t="n"/>
      <c r="K1699" s="4" t="n"/>
      <c r="L1699" s="4" t="n"/>
      <c r="M1699" s="4" t="n"/>
      <c r="N1699" s="4">
        <f>IF(AND(K1699="",M1699=""),"",IF(OR(K1699="sim",M1699="sim"),"sim",IF(OR(K1699="inconclusivo",M1699="inconclusivo"),"inconclusivo","não")))</f>
        <v/>
      </c>
      <c r="O1699" s="5">
        <f>IF(N1699="sim",COUNTIFS($B$3:$B1699,$B1699,$N$3:$N1699,"sim"),"")</f>
        <v/>
      </c>
      <c r="P1699" s="5" t="n"/>
      <c r="Q1699" s="4" t="n"/>
      <c r="R1699" s="5" t="n"/>
      <c r="S1699" s="9" t="n"/>
      <c r="T1699" s="4" t="n"/>
    </row>
    <row r="1700">
      <c r="A1700" s="5">
        <f>ROW()-2</f>
        <v/>
      </c>
      <c r="B1700" s="4" t="inlineStr">
        <is>
          <t>Capital regional</t>
        </is>
      </c>
      <c r="C1700" s="5" t="n">
        <v>756</v>
      </c>
      <c r="D1700" s="5">
        <f>IFERROR(INDEX('Base de sorteio'!$A$3:$A$1723,MATCH($B1700&amp;"|"&amp;$C1700,'Base de sorteio'!$I$3:$I$1723,0)),"")</f>
        <v/>
      </c>
      <c r="E1700" s="4">
        <f>IFERROR(INDEX('Base de sorteio'!$B$3:$B$1723,MATCH($B1700&amp;"|"&amp;$C1700,'Base de sorteio'!$I$3:$I$1723,0)),"")</f>
        <v/>
      </c>
      <c r="F1700" s="4">
        <f>IFERROR(INDEX('Base de sorteio'!$C$3:$C$1723,MATCH($B1700&amp;"|"&amp;$C1700,'Base de sorteio'!$I$3:$I$1723,0)),"")</f>
        <v/>
      </c>
      <c r="G1700" s="4">
        <f>IFERROR(INDEX('Base de sorteio'!$D$3:$D$1723,MATCH($B1700&amp;"|"&amp;$C1700,'Base de sorteio'!$I$3:$I$1723,0)),"")</f>
        <v/>
      </c>
      <c r="H1700" s="4">
        <f>IFERROR(INDEX('Base de sorteio'!$E$3:$E$1723,MATCH($B1700&amp;"|"&amp;$C1700,'Base de sorteio'!$I$3:$I$1723,0)),"")</f>
        <v/>
      </c>
      <c r="I1700" s="4">
        <f>IF(E1700="","",HYPERLINK(IFERROR(INDEX('Base de sorteio'!$J$3:$J$1723,MATCH($B1700&amp;"|"&amp;$C1700,'Base de sorteio'!$I$3:$I$1723,0)),""),"abrir"))</f>
        <v/>
      </c>
      <c r="J1700" s="4" t="n"/>
      <c r="K1700" s="4" t="n"/>
      <c r="L1700" s="4" t="n"/>
      <c r="M1700" s="4" t="n"/>
      <c r="N1700" s="4">
        <f>IF(AND(K1700="",M1700=""),"",IF(OR(K1700="sim",M1700="sim"),"sim",IF(OR(K1700="inconclusivo",M1700="inconclusivo"),"inconclusivo","não")))</f>
        <v/>
      </c>
      <c r="O1700" s="5">
        <f>IF(N1700="sim",COUNTIFS($B$3:$B1700,$B1700,$N$3:$N1700,"sim"),"")</f>
        <v/>
      </c>
      <c r="P1700" s="5" t="n"/>
      <c r="Q1700" s="4" t="n"/>
      <c r="R1700" s="5" t="n"/>
      <c r="S1700" s="9" t="n"/>
      <c r="T1700" s="4" t="n"/>
    </row>
    <row r="1701">
      <c r="A1701" s="5">
        <f>ROW()-2</f>
        <v/>
      </c>
      <c r="B1701" s="4" t="inlineStr">
        <is>
          <t>Capital regional</t>
        </is>
      </c>
      <c r="C1701" s="5" t="n">
        <v>757</v>
      </c>
      <c r="D1701" s="5">
        <f>IFERROR(INDEX('Base de sorteio'!$A$3:$A$1723,MATCH($B1701&amp;"|"&amp;$C1701,'Base de sorteio'!$I$3:$I$1723,0)),"")</f>
        <v/>
      </c>
      <c r="E1701" s="4">
        <f>IFERROR(INDEX('Base de sorteio'!$B$3:$B$1723,MATCH($B1701&amp;"|"&amp;$C1701,'Base de sorteio'!$I$3:$I$1723,0)),"")</f>
        <v/>
      </c>
      <c r="F1701" s="4">
        <f>IFERROR(INDEX('Base de sorteio'!$C$3:$C$1723,MATCH($B1701&amp;"|"&amp;$C1701,'Base de sorteio'!$I$3:$I$1723,0)),"")</f>
        <v/>
      </c>
      <c r="G1701" s="4">
        <f>IFERROR(INDEX('Base de sorteio'!$D$3:$D$1723,MATCH($B1701&amp;"|"&amp;$C1701,'Base de sorteio'!$I$3:$I$1723,0)),"")</f>
        <v/>
      </c>
      <c r="H1701" s="4">
        <f>IFERROR(INDEX('Base de sorteio'!$E$3:$E$1723,MATCH($B1701&amp;"|"&amp;$C1701,'Base de sorteio'!$I$3:$I$1723,0)),"")</f>
        <v/>
      </c>
      <c r="I1701" s="4">
        <f>IF(E1701="","",HYPERLINK(IFERROR(INDEX('Base de sorteio'!$J$3:$J$1723,MATCH($B1701&amp;"|"&amp;$C1701,'Base de sorteio'!$I$3:$I$1723,0)),""),"abrir"))</f>
        <v/>
      </c>
      <c r="J1701" s="4" t="n"/>
      <c r="K1701" s="4" t="n"/>
      <c r="L1701" s="4" t="n"/>
      <c r="M1701" s="4" t="n"/>
      <c r="N1701" s="4">
        <f>IF(AND(K1701="",M1701=""),"",IF(OR(K1701="sim",M1701="sim"),"sim",IF(OR(K1701="inconclusivo",M1701="inconclusivo"),"inconclusivo","não")))</f>
        <v/>
      </c>
      <c r="O1701" s="5">
        <f>IF(N1701="sim",COUNTIFS($B$3:$B1701,$B1701,$N$3:$N1701,"sim"),"")</f>
        <v/>
      </c>
      <c r="P1701" s="5" t="n"/>
      <c r="Q1701" s="4" t="n"/>
      <c r="R1701" s="5" t="n"/>
      <c r="S1701" s="9" t="n"/>
      <c r="T1701" s="4" t="n"/>
    </row>
    <row r="1702">
      <c r="A1702" s="5">
        <f>ROW()-2</f>
        <v/>
      </c>
      <c r="B1702" s="4" t="inlineStr">
        <is>
          <t>Capital regional</t>
        </is>
      </c>
      <c r="C1702" s="5" t="n">
        <v>758</v>
      </c>
      <c r="D1702" s="5">
        <f>IFERROR(INDEX('Base de sorteio'!$A$3:$A$1723,MATCH($B1702&amp;"|"&amp;$C1702,'Base de sorteio'!$I$3:$I$1723,0)),"")</f>
        <v/>
      </c>
      <c r="E1702" s="4">
        <f>IFERROR(INDEX('Base de sorteio'!$B$3:$B$1723,MATCH($B1702&amp;"|"&amp;$C1702,'Base de sorteio'!$I$3:$I$1723,0)),"")</f>
        <v/>
      </c>
      <c r="F1702" s="4">
        <f>IFERROR(INDEX('Base de sorteio'!$C$3:$C$1723,MATCH($B1702&amp;"|"&amp;$C1702,'Base de sorteio'!$I$3:$I$1723,0)),"")</f>
        <v/>
      </c>
      <c r="G1702" s="4">
        <f>IFERROR(INDEX('Base de sorteio'!$D$3:$D$1723,MATCH($B1702&amp;"|"&amp;$C1702,'Base de sorteio'!$I$3:$I$1723,0)),"")</f>
        <v/>
      </c>
      <c r="H1702" s="4">
        <f>IFERROR(INDEX('Base de sorteio'!$E$3:$E$1723,MATCH($B1702&amp;"|"&amp;$C1702,'Base de sorteio'!$I$3:$I$1723,0)),"")</f>
        <v/>
      </c>
      <c r="I1702" s="4">
        <f>IF(E1702="","",HYPERLINK(IFERROR(INDEX('Base de sorteio'!$J$3:$J$1723,MATCH($B1702&amp;"|"&amp;$C1702,'Base de sorteio'!$I$3:$I$1723,0)),""),"abrir"))</f>
        <v/>
      </c>
      <c r="J1702" s="4" t="n"/>
      <c r="K1702" s="4" t="n"/>
      <c r="L1702" s="4" t="n"/>
      <c r="M1702" s="4" t="n"/>
      <c r="N1702" s="4">
        <f>IF(AND(K1702="",M1702=""),"",IF(OR(K1702="sim",M1702="sim"),"sim",IF(OR(K1702="inconclusivo",M1702="inconclusivo"),"inconclusivo","não")))</f>
        <v/>
      </c>
      <c r="O1702" s="5">
        <f>IF(N1702="sim",COUNTIFS($B$3:$B1702,$B1702,$N$3:$N1702,"sim"),"")</f>
        <v/>
      </c>
      <c r="P1702" s="5" t="n"/>
      <c r="Q1702" s="4" t="n"/>
      <c r="R1702" s="5" t="n"/>
      <c r="S1702" s="9" t="n"/>
      <c r="T1702" s="4" t="n"/>
    </row>
    <row r="1703">
      <c r="A1703" s="8">
        <f>ROW()-2</f>
        <v/>
      </c>
      <c r="B1703" s="7" t="inlineStr">
        <is>
          <t>Capital regional</t>
        </is>
      </c>
      <c r="C1703" s="8" t="n">
        <v>759</v>
      </c>
      <c r="D1703" s="8">
        <f>IFERROR(INDEX('Base de sorteio'!$A$3:$A$1723,MATCH($B1703&amp;"|"&amp;$C1703,'Base de sorteio'!$I$3:$I$1723,0)),"")</f>
        <v/>
      </c>
      <c r="E1703" s="7">
        <f>IFERROR(INDEX('Base de sorteio'!$B$3:$B$1723,MATCH($B1703&amp;"|"&amp;$C1703,'Base de sorteio'!$I$3:$I$1723,0)),"")</f>
        <v/>
      </c>
      <c r="F1703" s="7">
        <f>IFERROR(INDEX('Base de sorteio'!$C$3:$C$1723,MATCH($B1703&amp;"|"&amp;$C1703,'Base de sorteio'!$I$3:$I$1723,0)),"")</f>
        <v/>
      </c>
      <c r="G1703" s="7">
        <f>IFERROR(INDEX('Base de sorteio'!$D$3:$D$1723,MATCH($B1703&amp;"|"&amp;$C1703,'Base de sorteio'!$I$3:$I$1723,0)),"")</f>
        <v/>
      </c>
      <c r="H1703" s="7">
        <f>IFERROR(INDEX('Base de sorteio'!$E$3:$E$1723,MATCH($B1703&amp;"|"&amp;$C1703,'Base de sorteio'!$I$3:$I$1723,0)),"")</f>
        <v/>
      </c>
      <c r="I1703" s="7">
        <f>IF(E1703="","",HYPERLINK(IFERROR(INDEX('Base de sorteio'!$J$3:$J$1723,MATCH($B1703&amp;"|"&amp;$C1703,'Base de sorteio'!$I$3:$I$1723,0)),""),"abrir"))</f>
        <v/>
      </c>
      <c r="J1703" s="7" t="n"/>
      <c r="K1703" s="7" t="n"/>
      <c r="L1703" s="7" t="n"/>
      <c r="M1703" s="7" t="n"/>
      <c r="N1703" s="7">
        <f>IF(AND(K1703="",M1703=""),"",IF(OR(K1703="sim",M1703="sim"),"sim",IF(OR(K1703="inconclusivo",M1703="inconclusivo"),"inconclusivo","não")))</f>
        <v/>
      </c>
      <c r="O1703" s="8">
        <f>IF(N1703="sim",COUNTIFS($B$3:$B1703,$B1703,$N$3:$N1703,"sim"),"")</f>
        <v/>
      </c>
      <c r="P1703" s="8" t="n"/>
      <c r="Q1703" s="7" t="n"/>
      <c r="R1703" s="8" t="n"/>
      <c r="S1703" s="10" t="n"/>
      <c r="T1703" s="7" t="n"/>
    </row>
  </sheetData>
  <autoFilter ref="A2:T1703"/>
  <mergeCells count="1">
    <mergeCell ref="A1:T1"/>
  </mergeCells>
  <dataValidations count="2">
    <dataValidation sqref="J3:J1703 L3:L1703" showDropDown="0" showInputMessage="0" showErrorMessage="0" allowBlank="1" type="list">
      <formula1>"sim,não"</formula1>
    </dataValidation>
    <dataValidation sqref="K3:K1703 M3:M1703" showDropDown="0" showInputMessage="0" showErrorMessage="0" allowBlank="1" type="list">
      <formula1>"sim,não,inconclusivo"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Resumo da amostragem por estrato</t>
        </is>
      </c>
    </row>
    <row r="2" ht="40" customHeight="1">
      <c r="A2" s="2" t="inlineStr">
        <is>
          <t>Estrato</t>
        </is>
      </c>
      <c r="B2" s="2" t="inlineStr">
        <is>
          <t>Candidatos na base</t>
        </is>
      </c>
      <c r="C2" s="2" t="inlineStr">
        <is>
          <t>Casas verificadas</t>
        </is>
      </c>
      <c r="D2" s="2" t="inlineStr">
        <is>
          <t>Casas do tipo</t>
        </is>
      </c>
      <c r="E2" s="2" t="inlineStr">
        <is>
          <t>Meta de casas do tipo</t>
        </is>
      </c>
      <c r="F2" s="2" t="inlineStr">
        <is>
          <t>Faltam</t>
        </is>
      </c>
      <c r="G2" s="2" t="inlineStr">
        <is>
          <t>Proporção de casas do tipo</t>
        </is>
      </c>
    </row>
    <row r="3">
      <c r="A3" s="4" t="inlineStr">
        <is>
          <t>Metrópole</t>
        </is>
      </c>
      <c r="B3" s="5">
        <f>COUNTIF('Base de sorteio'!$G:$G,A3)</f>
        <v/>
      </c>
      <c r="C3" s="5">
        <f>COUNTIFS(Amostragem!$B$3:$B$1703,A3,Amostragem!$K$3:$K$1703,"&lt;&gt;")</f>
        <v/>
      </c>
      <c r="D3" s="5">
        <f>COUNTIFS(Amostragem!$B$3:$B$1703,A3,Amostragem!$N$3:$N$1703,"sim")</f>
        <v/>
      </c>
      <c r="E3" s="5" t="n">
        <v>45</v>
      </c>
      <c r="F3" s="5">
        <f>MAX(0,E3-D3)</f>
        <v/>
      </c>
      <c r="G3" s="11">
        <f>IF(C3=0,"",D3/C3)</f>
        <v/>
      </c>
    </row>
    <row r="4">
      <c r="A4" s="4" t="inlineStr">
        <is>
          <t>Capital regional</t>
        </is>
      </c>
      <c r="B4" s="5">
        <f>COUNTIF('Base de sorteio'!$G:$G,A4)</f>
        <v/>
      </c>
      <c r="C4" s="5">
        <f>COUNTIFS(Amostragem!$B$3:$B$1703,A4,Amostragem!$K$3:$K$1703,"&lt;&gt;")</f>
        <v/>
      </c>
      <c r="D4" s="5">
        <f>COUNTIFS(Amostragem!$B$3:$B$1703,A4,Amostragem!$N$3:$N$1703,"sim")</f>
        <v/>
      </c>
      <c r="E4" s="5" t="n">
        <v>45</v>
      </c>
      <c r="F4" s="5">
        <f>MAX(0,E4-D4)</f>
        <v/>
      </c>
      <c r="G4" s="11">
        <f>IF(C4=0,"",D4/C4)</f>
        <v/>
      </c>
    </row>
    <row r="5">
      <c r="A5" s="7" t="inlineStr">
        <is>
          <t>Total</t>
        </is>
      </c>
      <c r="B5" s="8">
        <f>SUM(B3:B4)</f>
        <v/>
      </c>
      <c r="C5" s="8">
        <f>SUM(C3:C4)</f>
        <v/>
      </c>
      <c r="D5" s="8">
        <f>SUM(D3:D4)</f>
        <v/>
      </c>
      <c r="E5" s="8">
        <f>SUM(E3:E4)</f>
        <v/>
      </c>
      <c r="F5" s="8">
        <f>SUM(F3:F4)</f>
        <v/>
      </c>
      <c r="G5" s="12">
        <f>IF(C5=0,"",D5/C5)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2026-09-17T01:09:24Z</dcterms:created>
  <dcterms:modified xsi:type="dcterms:W3CDTF">2026-09-17T01:09:25Z</dcterms:modified>
</cp:coreProperties>
</file>