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ssas" sheetId="1" state="visible" r:id="rId1"/>
    <sheet name="pessoal" sheetId="2" state="visible" r:id="rId2"/>
    <sheet name="simples" sheetId="3" state="visible" r:id="rId3"/>
    <sheet name="receitas" sheetId="4" state="visible" r:id="rId4"/>
    <sheet name="custos" sheetId="5" state="visible" r:id="rId5"/>
    <sheet name="investimento" sheetId="6" state="visible" r:id="rId6"/>
    <sheet name="dre" sheetId="7" state="visible" r:id="rId7"/>
    <sheet name="fluxo_caixa" sheetId="8" state="visible" r:id="rId8"/>
    <sheet name="indicadores" sheetId="9" state="visible" r:id="rId9"/>
    <sheet name="sensibilidade" sheetId="10" state="visible" r:id="rId10"/>
    <sheet name="checagens" sheetId="11" state="visible" r:id="rId11"/>
  </sheets>
  <definedNames>
    <definedName name="P_R01">premissas!$G$5</definedName>
    <definedName name="P_R02">premissas!$G$6</definedName>
    <definedName name="P_R03">premissas!$G$7</definedName>
    <definedName name="P_R04">premissas!$G$8</definedName>
    <definedName name="P_R05">premissas!$G$9</definedName>
    <definedName name="P_R06">premissas!$G$10</definedName>
    <definedName name="P_R07">premissas!$G$11</definedName>
    <definedName name="P_R08">premissas!$G$12</definedName>
    <definedName name="P_R09">premissas!$G$13</definedName>
    <definedName name="P_R10">premissas!$G$14</definedName>
    <definedName name="P_R11">premissas!$G$15</definedName>
    <definedName name="P_R12">premissas!$G$16</definedName>
    <definedName name="P_R13">premissas!$G$17</definedName>
    <definedName name="P_R14">premissas!$G$18</definedName>
    <definedName name="P_C01">premissas!$G$19</definedName>
    <definedName name="P_C02">premissas!$G$20</definedName>
    <definedName name="P_C03">premissas!$G$21</definedName>
    <definedName name="P_C04">premissas!$G$22</definedName>
    <definedName name="P_C05">premissas!$G$23</definedName>
    <definedName name="P_C06">premissas!$G$24</definedName>
    <definedName name="P_C07">premissas!$G$25</definedName>
    <definedName name="P_C08">premissas!$G$26</definedName>
    <definedName name="P_C09">premissas!$G$27</definedName>
    <definedName name="P_C10">premissas!$G$28</definedName>
    <definedName name="P_C11">premissas!$G$29</definedName>
    <definedName name="P_C12">premissas!$G$30</definedName>
    <definedName name="P_C13">premissas!$G$31</definedName>
    <definedName name="P_I01">premissas!$G$32</definedName>
    <definedName name="P_I02">premissas!$G$33</definedName>
    <definedName name="P_I03">premissas!$G$34</definedName>
    <definedName name="P_I04">premissas!$G$35</definedName>
    <definedName name="P_I05">premissas!$G$36</definedName>
    <definedName name="P_I06">premissas!$G$37</definedName>
    <definedName name="P_I07">premissas!$G$38</definedName>
    <definedName name="P_I08">premissas!$G$39</definedName>
    <definedName name="P_M01">premissas!$G$40</definedName>
    <definedName name="P_M02">premissas!$G$41</definedName>
    <definedName name="FOLHA_REF">pessoal!$E$11</definedName>
    <definedName name="P_CEN">premissas!$D$2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"/>
    <numFmt numFmtId="166" formatCode="0.000%"/>
  </numFmts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 wrapText="1"/>
    </xf>
    <xf numFmtId="4" fontId="1" fillId="2" borderId="0" applyAlignment="1" pivotButton="0" quotePrefix="0" xfId="0">
      <alignment horizontal="right" vertical="top"/>
    </xf>
    <xf numFmtId="10" fontId="1" fillId="2" borderId="0" applyAlignment="1" pivotButton="0" quotePrefix="0" xfId="0">
      <alignment horizontal="right" vertical="top"/>
    </xf>
    <xf numFmtId="0" fontId="1" fillId="2" borderId="2" applyAlignment="1" pivotButton="0" quotePrefix="0" xfId="0">
      <alignment horizontal="left" vertical="top" wrapText="1"/>
    </xf>
    <xf numFmtId="4" fontId="1" fillId="2" borderId="2" applyAlignment="1" pivotButton="0" quotePrefix="0" xfId="0">
      <alignment horizontal="right" vertical="top"/>
    </xf>
    <xf numFmtId="0" fontId="1" fillId="0" borderId="0" applyAlignment="1" pivotButton="0" quotePrefix="0" xfId="0">
      <alignment vertical="top" wrapText="1"/>
    </xf>
    <xf numFmtId="3" fontId="1" fillId="2" borderId="0" applyAlignment="1" pivotButton="0" quotePrefix="0" xfId="0">
      <alignment horizontal="right" vertical="top"/>
    </xf>
    <xf numFmtId="0" fontId="1" fillId="2" borderId="2" applyAlignment="1" pivotButton="0" quotePrefix="0" xfId="0">
      <alignment horizontal="right" vertical="top"/>
    </xf>
    <xf numFmtId="3" fontId="1" fillId="2" borderId="2" applyAlignment="1" pivotButton="0" quotePrefix="0" xfId="0">
      <alignment horizontal="right" vertical="top"/>
    </xf>
    <xf numFmtId="0" fontId="2" fillId="2" borderId="1" applyAlignment="1" pivotButton="0" quotePrefix="0" xfId="0">
      <alignment horizontal="center" wrapText="1"/>
    </xf>
    <xf numFmtId="4" fontId="1" fillId="2" borderId="0" applyAlignment="1" pivotButton="0" quotePrefix="0" xfId="0">
      <alignment horizontal="right"/>
    </xf>
    <xf numFmtId="4" fontId="1" fillId="2" borderId="0" pivotButton="0" quotePrefix="0" xfId="0"/>
    <xf numFmtId="10" fontId="1" fillId="2" borderId="0" pivotButton="0" quotePrefix="0" xfId="0"/>
    <xf numFmtId="0" fontId="1" fillId="2" borderId="2" pivotButton="0" quotePrefix="0" xfId="0"/>
    <xf numFmtId="10" fontId="1" fillId="2" borderId="2" pivotButton="0" quotePrefix="0" xfId="0"/>
    <xf numFmtId="0" fontId="1" fillId="2" borderId="0" applyAlignment="1" pivotButton="0" quotePrefix="0" xfId="0">
      <alignment horizontal="right" vertical="top"/>
    </xf>
    <xf numFmtId="164" fontId="1" fillId="2" borderId="0" applyAlignment="1" pivotButton="0" quotePrefix="0" xfId="0">
      <alignment horizontal="right" vertical="top"/>
    </xf>
    <xf numFmtId="1" fontId="2" fillId="2" borderId="1" applyAlignment="1" pivotButton="0" quotePrefix="0" xfId="0">
      <alignment horizontal="center" vertical="center" wrapText="1"/>
    </xf>
    <xf numFmtId="1" fontId="1" fillId="2" borderId="0" applyAlignment="1" pivotButton="0" quotePrefix="0" xfId="0">
      <alignment horizontal="right" vertical="top"/>
    </xf>
    <xf numFmtId="10" fontId="1" fillId="2" borderId="2" applyAlignment="1" pivotButton="0" quotePrefix="0" xfId="0">
      <alignment horizontal="right" vertical="top"/>
    </xf>
    <xf numFmtId="165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 wrapText="1"/>
    </xf>
    <xf numFmtId="4" fontId="1" fillId="2" borderId="0" applyAlignment="1" pivotButton="0" quotePrefix="0" xfId="0">
      <alignment horizontal="right" wrapText="1"/>
    </xf>
    <xf numFmtId="10" fontId="1" fillId="2" borderId="0" applyAlignment="1" pivotButton="0" quotePrefix="0" xfId="0">
      <alignment horizontal="left" wrapText="1"/>
    </xf>
    <xf numFmtId="4" fontId="1" fillId="2" borderId="0" applyAlignment="1" pivotButton="0" quotePrefix="0" xfId="0">
      <alignment horizontal="left" wrapText="1"/>
    </xf>
    <xf numFmtId="10" fontId="1" fillId="2" borderId="0" applyAlignment="1" pivotButton="0" quotePrefix="0" xfId="0">
      <alignment horizontal="right" wrapText="1"/>
    </xf>
    <xf numFmtId="0" fontId="1" fillId="2" borderId="2" applyAlignment="1" pivotButton="0" quotePrefix="0" xfId="0">
      <alignment horizontal="left" wrapText="1"/>
    </xf>
    <xf numFmtId="4" fontId="1" fillId="2" borderId="2" applyAlignment="1" pivotButton="0" quotePrefix="0" xfId="0">
      <alignment horizontal="right" wrapText="1"/>
    </xf>
    <xf numFmtId="10" fontId="1" fillId="2" borderId="2" applyAlignment="1" pivotButton="0" quotePrefix="0" xfId="0">
      <alignment horizontal="right" wrapText="1"/>
    </xf>
    <xf numFmtId="0" fontId="1" fillId="2" borderId="0" applyAlignment="1" pivotButton="0" quotePrefix="0" xfId="0">
      <alignment horizontal="right" wrapText="1"/>
    </xf>
    <xf numFmtId="0" fontId="1" fillId="2" borderId="2" applyAlignment="1" pivotButton="0" quotePrefix="0" xfId="0">
      <alignment horizontal="right" wrapText="1"/>
    </xf>
    <xf numFmtId="0" fontId="1" fillId="2" borderId="0" applyAlignment="1" pivotButton="0" quotePrefix="0" xfId="0">
      <alignment vertical="top" wrapText="1"/>
    </xf>
    <xf numFmtId="166" fontId="1" fillId="2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36" customWidth="1" min="8" max="8"/>
    <col width="9" customWidth="1" min="9" max="9"/>
    <col width="52" customWidth="1" min="10" max="10"/>
    <col width="10" customWidth="1" min="11" max="11"/>
  </cols>
  <sheetData>
    <row r="1">
      <c r="A1" s="1" t="inlineStr">
        <is>
          <t>Registro de premissas do modelo financeiro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Cenário ativo (1 = pessimista, 2 = provável, 3 = otimista)</t>
        </is>
      </c>
      <c r="B2" s="3" t="n"/>
      <c r="C2" s="3" t="n"/>
      <c r="D2" s="2" t="n">
        <v>2</v>
      </c>
      <c r="E2" s="3" t="n"/>
      <c r="F2" s="3" t="n"/>
      <c r="G2" s="3" t="n"/>
      <c r="H2" s="3" t="n"/>
      <c r="I2" s="3" t="n"/>
      <c r="J2" s="3" t="n"/>
      <c r="K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4" t="inlineStr">
        <is>
          <t>ID</t>
        </is>
      </c>
      <c r="B4" s="4" t="inlineStr">
        <is>
          <t>Premissa</t>
        </is>
      </c>
      <c r="C4" s="4" t="inlineStr">
        <is>
          <t>Unidade</t>
        </is>
      </c>
      <c r="D4" s="4" t="inlineStr">
        <is>
          <t>Pessimista</t>
        </is>
      </c>
      <c r="E4" s="4" t="inlineStr">
        <is>
          <t>Provável</t>
        </is>
      </c>
      <c r="F4" s="4" t="inlineStr">
        <is>
          <t>Otimista</t>
        </is>
      </c>
      <c r="G4" s="4" t="inlineStr">
        <is>
          <t>Valor usado</t>
        </is>
      </c>
      <c r="H4" s="4" t="inlineStr">
        <is>
          <t>Fonte</t>
        </is>
      </c>
      <c r="I4" s="4" t="inlineStr">
        <is>
          <t>Nível</t>
        </is>
      </c>
      <c r="J4" s="4" t="inlineStr">
        <is>
          <t>Justificativa da faixa</t>
        </is>
      </c>
      <c r="K4" s="4" t="inlineStr">
        <is>
          <t>Impacto no VPL</t>
        </is>
      </c>
    </row>
    <row r="5">
      <c r="A5" s="5" t="inlineStr">
        <is>
          <t>R01</t>
        </is>
      </c>
      <c r="B5" s="5" t="inlineStr">
        <is>
          <t>Mesas do salão</t>
        </is>
      </c>
      <c r="C5" s="5" t="inlineStr">
        <is>
          <t>mesas</t>
        </is>
      </c>
      <c r="D5" s="6" t="n">
        <v>8</v>
      </c>
      <c r="E5" s="6" t="n">
        <v>10</v>
      </c>
      <c r="F5" s="6" t="n">
        <v>11</v>
      </c>
      <c r="G5" s="6">
        <f>CHOOSE($D$2,D5,E5,F5)</f>
        <v/>
      </c>
      <c r="H5" s="5" t="inlineStr">
        <is>
          <t>B3: São Jogue Paralela (10) e Bela Vista (11), informação do autor</t>
        </is>
      </c>
      <c r="I5" s="5" t="inlineStr">
        <is>
          <t>N5</t>
        </is>
      </c>
      <c r="J5" s="5" t="inlineStr">
        <is>
          <t>Formato de referência igual a uma unidade da São Jogue; 8 se o ponto for menor.</t>
        </is>
      </c>
      <c r="K5" s="5" t="inlineStr">
        <is>
          <t>Alto</t>
        </is>
      </c>
    </row>
    <row r="6">
      <c r="A6" s="5" t="inlineStr">
        <is>
          <t>R02</t>
        </is>
      </c>
      <c r="B6" s="5" t="inlineStr">
        <is>
          <t>Pessoas por grupo de mesa</t>
        </is>
      </c>
      <c r="C6" s="5" t="inlineStr">
        <is>
          <t>pessoas</t>
        </is>
      </c>
      <c r="D6" s="6" t="n">
        <v>2.8</v>
      </c>
      <c r="E6" s="6" t="n">
        <v>3.6</v>
      </c>
      <c r="F6" s="6" t="n">
        <v>4.4</v>
      </c>
      <c r="G6" s="6">
        <f>CHOOSE($D$2,D6,E6,F6)</f>
        <v/>
      </c>
      <c r="H6" s="5" t="inlineStr">
        <is>
          <t>B3, 4 visitas (out/2026)</t>
        </is>
      </c>
      <c r="I6" s="5" t="inlineStr">
        <is>
          <t>N5</t>
        </is>
      </c>
      <c r="J6" s="5" t="inlineStr">
        <is>
          <t>Média das visitas 3.6, de 2.4 a 4.6.</t>
        </is>
      </c>
      <c r="K6" s="5" t="inlineStr">
        <is>
          <t>Alto</t>
        </is>
      </c>
    </row>
    <row r="7">
      <c r="A7" s="5" t="inlineStr">
        <is>
          <t>R03</t>
        </is>
      </c>
      <c r="B7" s="5" t="inlineStr">
        <is>
          <t>Permanência média</t>
        </is>
      </c>
      <c r="C7" s="5" t="inlineStr">
        <is>
          <t>min</t>
        </is>
      </c>
      <c r="D7" s="6" t="n">
        <v>137</v>
      </c>
      <c r="E7" s="6" t="n">
        <v>109</v>
      </c>
      <c r="F7" s="6" t="n">
        <v>83</v>
      </c>
      <c r="G7" s="6">
        <f>CHOOSE($D$2,D7,E7,F7)</f>
        <v/>
      </c>
      <c r="H7" s="5" t="inlineStr">
        <is>
          <t>B3, 4 visitas (out/2026)</t>
        </is>
      </c>
      <c r="I7" s="5" t="inlineStr">
        <is>
          <t>N5</t>
        </is>
      </c>
      <c r="J7" s="5" t="inlineStr">
        <is>
          <t>Médias por visita de 83 a 137 min; permanência maior reduz o giro.</t>
        </is>
      </c>
      <c r="K7" s="5" t="inlineStr">
        <is>
          <t>Alto</t>
        </is>
      </c>
    </row>
    <row r="8">
      <c r="A8" s="5" t="inlineStr">
        <is>
          <t>R04</t>
        </is>
      </c>
      <c r="B8" s="5" t="inlineStr">
        <is>
          <t>Taxa de ocupação, fim de semana (sex a dom)</t>
        </is>
      </c>
      <c r="C8" s="5" t="inlineStr">
        <is>
          <t>% das mesas</t>
        </is>
      </c>
      <c r="D8" s="7" t="n">
        <v>0.25</v>
      </c>
      <c r="E8" s="7" t="n">
        <v>0.35</v>
      </c>
      <c r="F8" s="7" t="n">
        <v>0.45</v>
      </c>
      <c r="G8" s="7">
        <f>CHOOSE($D$2,D8,E8,F8)</f>
        <v/>
      </c>
      <c r="H8" s="5" t="inlineStr">
        <is>
          <t>B3, noites de sexta e sábado (out/2026)</t>
        </is>
      </c>
      <c r="I8" s="5" t="inlineStr">
        <is>
          <t>N5 + N6</t>
        </is>
      </c>
      <c r="J8" s="5" t="inlineStr">
        <is>
          <t>Noite de sexta e sábado: 26.9% a 60.3% (média 41.7%). O dia inteiro fica abaixo do pico da noite.</t>
        </is>
      </c>
      <c r="K8" s="5" t="inlineStr">
        <is>
          <t>Alto</t>
        </is>
      </c>
    </row>
    <row r="9">
      <c r="A9" s="5" t="inlineStr">
        <is>
          <t>R05</t>
        </is>
      </c>
      <c r="B9" s="5" t="inlineStr">
        <is>
          <t>Taxa de ocupação, dia útil (seg a qui)</t>
        </is>
      </c>
      <c r="C9" s="5" t="inlineStr">
        <is>
          <t>% das mesas</t>
        </is>
      </c>
      <c r="D9" s="7" t="n">
        <v>0.1</v>
      </c>
      <c r="E9" s="7" t="n">
        <v>0.18</v>
      </c>
      <c r="F9" s="7" t="n">
        <v>0.25</v>
      </c>
      <c r="G9" s="7">
        <f>CHOOSE($D$2,D9,E9,F9)</f>
        <v/>
      </c>
      <c r="H9" s="5" t="inlineStr">
        <is>
          <t>Estimativa do autor</t>
        </is>
      </c>
      <c r="I9" s="5" t="inlineStr">
        <is>
          <t>N6</t>
        </is>
      </c>
      <c r="J9" s="5" t="inlineStr">
        <is>
          <t>Cerca de metade do fim de semana. As visitas medem o pico, por orientação; sem dado de dia útil.</t>
        </is>
      </c>
      <c r="K9" s="5" t="inlineStr">
        <is>
          <t>Alto</t>
        </is>
      </c>
    </row>
    <row r="10">
      <c r="A10" s="5" t="inlineStr">
        <is>
          <t>R06</t>
        </is>
      </c>
      <c r="B10" s="5" t="inlineStr">
        <is>
          <t>Taxa de entrada, fim de semana</t>
        </is>
      </c>
      <c r="C10" s="5" t="inlineStr">
        <is>
          <t>R$ por pessoa</t>
        </is>
      </c>
      <c r="D10" s="6" t="n">
        <v>25</v>
      </c>
      <c r="E10" s="6" t="n">
        <v>28</v>
      </c>
      <c r="F10" s="6" t="n">
        <v>30</v>
      </c>
      <c r="G10" s="6">
        <f>CHOOSE($D$2,D10,E10,F10)</f>
        <v/>
      </c>
      <c r="H10" s="5" t="inlineStr">
        <is>
          <t>São Jogue: NFC-e de out/2026 e informação do autor</t>
        </is>
      </c>
      <c r="I10" s="5" t="inlineStr">
        <is>
          <t>N3 + N5</t>
        </is>
      </c>
      <c r="J10" s="5" t="inlineStr">
        <is>
          <t>R$ 28,00 por 3 h de sexta a domingo na São Jogue; faixa de ± R$ 3,00.</t>
        </is>
      </c>
      <c r="K10" s="5" t="inlineStr">
        <is>
          <t>Baixo</t>
        </is>
      </c>
    </row>
    <row r="11">
      <c r="A11" s="5" t="inlineStr">
        <is>
          <t>R07</t>
        </is>
      </c>
      <c r="B11" s="5" t="inlineStr">
        <is>
          <t>Taxa de entrada, dia útil</t>
        </is>
      </c>
      <c r="C11" s="5" t="inlineStr">
        <is>
          <t>R$ por pessoa</t>
        </is>
      </c>
      <c r="D11" s="6" t="n">
        <v>20</v>
      </c>
      <c r="E11" s="6" t="n">
        <v>22</v>
      </c>
      <c r="F11" s="6" t="n">
        <v>25</v>
      </c>
      <c r="G11" s="6">
        <f>CHOOSE($D$2,D11,E11,F11)</f>
        <v/>
      </c>
      <c r="H11" s="5" t="inlineStr">
        <is>
          <t>São Jogue: informação do autor</t>
        </is>
      </c>
      <c r="I11" s="5" t="inlineStr">
        <is>
          <t>N3</t>
        </is>
      </c>
      <c r="J11" s="5" t="inlineStr">
        <is>
          <t>R$ 22,00 de segunda a quinta na São Jogue.</t>
        </is>
      </c>
      <c r="K11" s="5" t="inlineStr">
        <is>
          <t>Baixo</t>
        </is>
      </c>
    </row>
    <row r="12">
      <c r="A12" s="5" t="inlineStr">
        <is>
          <t>R08</t>
        </is>
      </c>
      <c r="B12" s="5" t="inlineStr">
        <is>
          <t>Gasto com alimentos e bebidas</t>
        </is>
      </c>
      <c r="C12" s="5" t="inlineStr">
        <is>
          <t>R$ por pessoa</t>
        </is>
      </c>
      <c r="D12" s="6" t="n">
        <v>18</v>
      </c>
      <c r="E12" s="6" t="n">
        <v>24</v>
      </c>
      <c r="F12" s="6" t="n">
        <v>32</v>
      </c>
      <c r="G12" s="6">
        <f>CHOOSE($D$2,D12,E12,F12)</f>
        <v/>
      </c>
      <c r="H12" s="5" t="inlineStr">
        <is>
          <t>B3, 4 NFC-e das mesas dos observadores; cardápio da São Jogue (B1)</t>
        </is>
      </c>
      <c r="I12" s="5" t="inlineStr">
        <is>
          <t>N3 + N5</t>
        </is>
      </c>
      <c r="J12" s="5" t="inlineStr">
        <is>
          <t>Média de R$ 23.91 por pessoa nas notas (sem taxa, jogos e serviço); hambúrguer a R$ 45,00 e drinque a R$ 28,00 no cardápio.</t>
        </is>
      </c>
      <c r="K12" s="5" t="inlineStr">
        <is>
          <t>Médio</t>
        </is>
      </c>
    </row>
    <row r="13">
      <c r="A13" s="5" t="inlineStr">
        <is>
          <t>R09</t>
        </is>
      </c>
      <c r="B13" s="5" t="inlineStr">
        <is>
          <t>Aluguéis de jogos</t>
        </is>
      </c>
      <c r="C13" s="5" t="inlineStr">
        <is>
          <t>aluguéis por mês</t>
        </is>
      </c>
      <c r="D13" s="6" t="n">
        <v>10</v>
      </c>
      <c r="E13" s="6" t="n">
        <v>30</v>
      </c>
      <c r="F13" s="6" t="n">
        <v>60</v>
      </c>
      <c r="G13" s="6">
        <f>CHOOSE($D$2,D13,E13,F13)</f>
        <v/>
      </c>
      <c r="H13" s="5" t="inlineStr">
        <is>
          <t>Estimativa do autor</t>
        </is>
      </c>
      <c r="I13" s="5" t="inlineStr">
        <is>
          <t>N6</t>
        </is>
      </c>
      <c r="J13" s="5" t="inlineStr">
        <is>
          <t>Serviço oferecido pela São Jogue; volume não observado.</t>
        </is>
      </c>
      <c r="K13" s="5" t="inlineStr">
        <is>
          <t>Baixo</t>
        </is>
      </c>
    </row>
    <row r="14">
      <c r="A14" s="5" t="inlineStr">
        <is>
          <t>R10</t>
        </is>
      </c>
      <c r="B14" s="5" t="inlineStr">
        <is>
          <t>Preço médio do aluguel de jogo</t>
        </is>
      </c>
      <c r="C14" s="5" t="inlineStr">
        <is>
          <t>R$</t>
        </is>
      </c>
      <c r="D14" s="6" t="n">
        <v>15</v>
      </c>
      <c r="E14" s="6" t="n">
        <v>30</v>
      </c>
      <c r="F14" s="6" t="n">
        <v>40</v>
      </c>
      <c r="G14" s="6">
        <f>CHOOSE($D$2,D14,E14,F14)</f>
        <v/>
      </c>
      <c r="H14" s="5" t="inlineStr">
        <is>
          <t>Tabela da São Jogue (4 dias: R$ 15,00 a R$ 60,00)</t>
        </is>
      </c>
      <c r="I14" s="5" t="inlineStr">
        <is>
          <t>N3</t>
        </is>
      </c>
      <c r="J14" s="5" t="inlineStr">
        <is>
          <t>Categoria prata como provável.</t>
        </is>
      </c>
      <c r="K14" s="5" t="inlineStr">
        <is>
          <t>Baixo</t>
        </is>
      </c>
    </row>
    <row r="15">
      <c r="A15" s="5" t="inlineStr">
        <is>
          <t>R11</t>
        </is>
      </c>
      <c r="B15" s="5" t="inlineStr">
        <is>
          <t>Ocupação no mês 1</t>
        </is>
      </c>
      <c r="C15" s="5" t="inlineStr">
        <is>
          <t>% da madura</t>
        </is>
      </c>
      <c r="D15" s="7" t="n">
        <v>0.3</v>
      </c>
      <c r="E15" s="7" t="n">
        <v>0.4</v>
      </c>
      <c r="F15" s="7" t="n">
        <v>0.5</v>
      </c>
      <c r="G15" s="7">
        <f>CHOOSE($D$2,D15,E15,F15)</f>
        <v/>
      </c>
      <c r="H15" s="5" t="inlineStr">
        <is>
          <t>Estimativa do autor (_instrucoes, §5)</t>
        </is>
      </c>
      <c r="I15" s="5" t="inlineStr">
        <is>
          <t>N6</t>
        </is>
      </c>
      <c r="J15" s="5" t="inlineStr">
        <is>
          <t>Sem ocupação madura no mês 1.</t>
        </is>
      </c>
      <c r="K15" s="5" t="inlineStr">
        <is>
          <t>Baixo</t>
        </is>
      </c>
    </row>
    <row r="16">
      <c r="A16" s="5" t="inlineStr">
        <is>
          <t>R12</t>
        </is>
      </c>
      <c r="B16" s="5" t="inlineStr">
        <is>
          <t>Meses até a maturidade</t>
        </is>
      </c>
      <c r="C16" s="5" t="inlineStr">
        <is>
          <t>meses</t>
        </is>
      </c>
      <c r="D16" s="6" t="n">
        <v>12</v>
      </c>
      <c r="E16" s="6" t="n">
        <v>9</v>
      </c>
      <c r="F16" s="6" t="n">
        <v>6</v>
      </c>
      <c r="G16" s="6">
        <f>CHOOSE($D$2,D16,E16,F16)</f>
        <v/>
      </c>
      <c r="H16" s="5" t="inlineStr">
        <is>
          <t>Estimativa do autor (_instrucoes, §5)</t>
        </is>
      </c>
      <c r="I16" s="5" t="inlineStr">
        <is>
          <t>N6</t>
        </is>
      </c>
      <c r="J16" s="5" t="inlineStr">
        <is>
          <t>Rampa de 6 a 12 meses.</t>
        </is>
      </c>
      <c r="K16" s="5" t="inlineStr">
        <is>
          <t>Baixo</t>
        </is>
      </c>
    </row>
    <row r="17">
      <c r="A17" s="5" t="inlineStr">
        <is>
          <t>R13</t>
        </is>
      </c>
      <c r="B17" s="5" t="inlineStr">
        <is>
          <t>Horas abertas por semana, fim de semana</t>
        </is>
      </c>
      <c r="C17" s="5" t="inlineStr">
        <is>
          <t>h</t>
        </is>
      </c>
      <c r="D17" s="6" t="n">
        <v>28</v>
      </c>
      <c r="E17" s="6" t="n">
        <v>28</v>
      </c>
      <c r="F17" s="6" t="n">
        <v>28</v>
      </c>
      <c r="G17" s="6">
        <f>CHOOSE($D$2,D17,E17,F17)</f>
        <v/>
      </c>
      <c r="H17" s="5" t="inlineStr">
        <is>
          <t>Horário da São Jogue (B1 e autor)</t>
        </is>
      </c>
      <c r="I17" s="5" t="inlineStr">
        <is>
          <t>N3</t>
        </is>
      </c>
      <c r="J17" s="5" t="inlineStr">
        <is>
          <t>Sexta e sábado das 12h às 22h; domingo das 13h às 21h.</t>
        </is>
      </c>
      <c r="K17" s="5" t="inlineStr">
        <is>
          <t>Baixo</t>
        </is>
      </c>
    </row>
    <row r="18">
      <c r="A18" s="5" t="inlineStr">
        <is>
          <t>R14</t>
        </is>
      </c>
      <c r="B18" s="5" t="inlineStr">
        <is>
          <t>Horas abertas por semana, dia útil</t>
        </is>
      </c>
      <c r="C18" s="5" t="inlineStr">
        <is>
          <t>h</t>
        </is>
      </c>
      <c r="D18" s="6" t="n">
        <v>40</v>
      </c>
      <c r="E18" s="6" t="n">
        <v>40</v>
      </c>
      <c r="F18" s="6" t="n">
        <v>40</v>
      </c>
      <c r="G18" s="6">
        <f>CHOOSE($D$2,D18,E18,F18)</f>
        <v/>
      </c>
      <c r="H18" s="5" t="inlineStr">
        <is>
          <t>Horário da São Jogue (B1 e autor)</t>
        </is>
      </c>
      <c r="I18" s="5" t="inlineStr">
        <is>
          <t>N3</t>
        </is>
      </c>
      <c r="J18" s="5" t="inlineStr">
        <is>
          <t>Segunda a quinta das 12h às 22h.</t>
        </is>
      </c>
      <c r="K18" s="5" t="inlineStr">
        <is>
          <t>Baixo</t>
        </is>
      </c>
    </row>
    <row r="19">
      <c r="A19" s="5" t="inlineStr">
        <is>
          <t>C01</t>
        </is>
      </c>
      <c r="B19" s="5" t="inlineStr">
        <is>
          <t>CMV de alimentos e bebidas</t>
        </is>
      </c>
      <c r="C19" s="5" t="inlineStr">
        <is>
          <t>% do A&amp;B</t>
        </is>
      </c>
      <c r="D19" s="7" t="n">
        <v>0.35</v>
      </c>
      <c r="E19" s="7" t="n">
        <v>0.3</v>
      </c>
      <c r="F19" s="7" t="n">
        <v>0.26</v>
      </c>
      <c r="G19" s="7">
        <f>CHOOSE($D$2,D19,E19,F19)</f>
        <v/>
      </c>
      <c r="H19" s="5" t="inlineStr">
        <is>
          <t>IBGE PAS 2023, serviços de alimentação (B4)</t>
        </is>
      </c>
      <c r="I19" s="5" t="inlineStr">
        <is>
          <t>N2</t>
        </is>
      </c>
      <c r="J19" s="5" t="inlineStr">
        <is>
          <t>Mercadorias e materiais = 29.6% da receita líquida do setor.</t>
        </is>
      </c>
      <c r="K19" s="5" t="inlineStr">
        <is>
          <t>Baixo</t>
        </is>
      </c>
    </row>
    <row r="20">
      <c r="A20" s="5" t="inlineStr">
        <is>
          <t>C02</t>
        </is>
      </c>
      <c r="B20" s="5" t="inlineStr">
        <is>
          <t>Taxa de cartão</t>
        </is>
      </c>
      <c r="C20" s="5" t="inlineStr">
        <is>
          <t>% da receita</t>
        </is>
      </c>
      <c r="D20" s="7" t="n">
        <v>0.035</v>
      </c>
      <c r="E20" s="7" t="n">
        <v>0.03</v>
      </c>
      <c r="F20" s="7" t="n">
        <v>0.025</v>
      </c>
      <c r="G20" s="7">
        <f>CHOOSE($D$2,D20,E20,F20)</f>
        <v/>
      </c>
      <c r="H20" s="5" t="inlineStr">
        <is>
          <t>Estimativa do autor</t>
        </is>
      </c>
      <c r="I20" s="5" t="inlineStr">
        <is>
          <t>N6</t>
        </is>
      </c>
      <c r="J20" s="5" t="inlineStr">
        <is>
          <t>Mistura de débito, crédito e Pix.</t>
        </is>
      </c>
      <c r="K20" s="5" t="inlineStr">
        <is>
          <t>Baixo</t>
        </is>
      </c>
    </row>
    <row r="21">
      <c r="A21" s="5" t="inlineStr">
        <is>
          <t>C03</t>
        </is>
      </c>
      <c r="B21" s="5" t="inlineStr">
        <is>
          <t>Área do ponto</t>
        </is>
      </c>
      <c r="C21" s="5" t="inlineStr">
        <is>
          <t>m²</t>
        </is>
      </c>
      <c r="D21" s="6" t="n">
        <v>220</v>
      </c>
      <c r="E21" s="6" t="n">
        <v>180</v>
      </c>
      <c r="F21" s="6" t="n">
        <v>150</v>
      </c>
      <c r="G21" s="6">
        <f>CHOOSE($D$2,D21,E21,F21)</f>
        <v/>
      </c>
      <c r="H21" s="5" t="inlineStr">
        <is>
          <t>Estimativa do autor</t>
        </is>
      </c>
      <c r="I21" s="5" t="inlineStr">
        <is>
          <t>N6</t>
        </is>
      </c>
      <c r="J21" s="5" t="inlineStr">
        <is>
          <t>Salão de 10 mesas, cozinha, caixa e uma sala reservável.</t>
        </is>
      </c>
      <c r="K21" s="5" t="inlineStr">
        <is>
          <t>Médio</t>
        </is>
      </c>
    </row>
    <row r="22">
      <c r="A22" s="5" t="inlineStr">
        <is>
          <t>C04</t>
        </is>
      </c>
      <c r="B22" s="5" t="inlineStr">
        <is>
          <t>Aluguel comercial</t>
        </is>
      </c>
      <c r="C22" s="5" t="inlineStr">
        <is>
          <t>R$ por m² ao mês</t>
        </is>
      </c>
      <c r="D22" s="6" t="n">
        <v>64.34999999999999</v>
      </c>
      <c r="E22" s="6" t="n">
        <v>54.15</v>
      </c>
      <c r="F22" s="6" t="n">
        <v>45</v>
      </c>
      <c r="G22" s="6">
        <f>CHOOSE($D$2,D22,E22,F22)</f>
        <v/>
      </c>
      <c r="H22" s="5" t="inlineStr">
        <is>
          <t>FipeZap, locação comercial, Salvador, jul/2026 (B4)</t>
        </is>
      </c>
      <c r="I22" s="5" t="inlineStr">
        <is>
          <t>N2</t>
        </is>
      </c>
      <c r="J22" s="5" t="inlineStr">
        <is>
          <t>Pessimista com a alta de 18.9% em 12 meses; otimista para ponto fora de shopping.</t>
        </is>
      </c>
      <c r="K22" s="5" t="inlineStr">
        <is>
          <t>Médio</t>
        </is>
      </c>
    </row>
    <row r="23">
      <c r="A23" s="5" t="inlineStr">
        <is>
          <t>C05</t>
        </is>
      </c>
      <c r="B23" s="5" t="inlineStr">
        <is>
          <t>Condomínio e IPTU</t>
        </is>
      </c>
      <c r="C23" s="5" t="inlineStr">
        <is>
          <t>% do aluguel</t>
        </is>
      </c>
      <c r="D23" s="7" t="n">
        <v>0.3</v>
      </c>
      <c r="E23" s="7" t="n">
        <v>0.2</v>
      </c>
      <c r="F23" s="7" t="n">
        <v>0.1</v>
      </c>
      <c r="G23" s="7">
        <f>CHOOSE($D$2,D23,E23,F23)</f>
        <v/>
      </c>
      <c r="H23" s="5" t="inlineStr">
        <is>
          <t>Estimativa do autor</t>
        </is>
      </c>
      <c r="I23" s="5" t="inlineStr">
        <is>
          <t>N6</t>
        </is>
      </c>
      <c r="J23" s="5" t="inlineStr">
        <is>
          <t>Maior em shopping.</t>
        </is>
      </c>
      <c r="K23" s="5" t="inlineStr">
        <is>
          <t>Baixo</t>
        </is>
      </c>
    </row>
    <row r="24">
      <c r="A24" s="5" t="inlineStr">
        <is>
          <t>C06</t>
        </is>
      </c>
      <c r="B24" s="5" t="inlineStr">
        <is>
          <t>Fator do quadro de pessoal</t>
        </is>
      </c>
      <c r="C24" s="5" t="inlineStr">
        <is>
          <t>× quadro de 12</t>
        </is>
      </c>
      <c r="D24" s="6" t="n">
        <v>1.166666666666667</v>
      </c>
      <c r="E24" s="6" t="n">
        <v>1</v>
      </c>
      <c r="F24" s="6" t="n">
        <v>0.8333333333333334</v>
      </c>
      <c r="G24" s="6">
        <f>CHOOSE($D$2,D24,E24,F24)</f>
        <v/>
      </c>
      <c r="H24" s="5" t="inlineStr">
        <is>
          <t>Quadro de referência (aba pessoal)</t>
        </is>
      </c>
      <c r="I24" s="5" t="inlineStr">
        <is>
          <t>N6</t>
        </is>
      </c>
      <c r="J24" s="5" t="inlineStr">
        <is>
          <t>14, 12 ou 10 pessoas em dois turnos; a São Jogue tinha de 3 a 7 instrutores nas visitas.</t>
        </is>
      </c>
      <c r="K24" s="5" t="inlineStr">
        <is>
          <t>Médio</t>
        </is>
      </c>
    </row>
    <row r="25">
      <c r="A25" s="5" t="inlineStr">
        <is>
          <t>C07</t>
        </is>
      </c>
      <c r="B25" s="5" t="inlineStr">
        <is>
          <t>Encargos e provisões sobre a folha</t>
        </is>
      </c>
      <c r="C25" s="5" t="inlineStr">
        <is>
          <t>% do salário</t>
        </is>
      </c>
      <c r="D25" s="7" t="n">
        <v>0.45</v>
      </c>
      <c r="E25" s="7" t="n">
        <v>0.37</v>
      </c>
      <c r="F25" s="7" t="n">
        <v>0.3</v>
      </c>
      <c r="G25" s="7">
        <f>CHOOSE($D$2,D25,E25,F25)</f>
        <v/>
      </c>
      <c r="H25" s="5" t="inlineStr">
        <is>
          <t>CLT (FGTS, 13º, férias) e estimativa de benefícios</t>
        </is>
      </c>
      <c r="I25" s="5" t="inlineStr">
        <is>
          <t>N1 + N6</t>
        </is>
      </c>
      <c r="J25" s="5" t="inlineStr">
        <is>
          <t>No Simples, a contribuição patronal fica no DAS dos anexos I e III.</t>
        </is>
      </c>
      <c r="K25" s="5" t="inlineStr">
        <is>
          <t>Baixo</t>
        </is>
      </c>
    </row>
    <row r="26">
      <c r="A26" s="5" t="inlineStr">
        <is>
          <t>C08</t>
        </is>
      </c>
      <c r="B26" s="5" t="inlineStr">
        <is>
          <t>Pró-labore</t>
        </is>
      </c>
      <c r="C26" s="5" t="inlineStr">
        <is>
          <t>R$ por mês</t>
        </is>
      </c>
      <c r="D26" s="6" t="n">
        <v>4000</v>
      </c>
      <c r="E26" s="6" t="n">
        <v>3000</v>
      </c>
      <c r="F26" s="6" t="n">
        <v>2000</v>
      </c>
      <c r="G26" s="6">
        <f>CHOOSE($D$2,D26,E26,F26)</f>
        <v/>
      </c>
      <c r="H26" s="5" t="inlineStr">
        <is>
          <t>Estimativa do autor</t>
        </is>
      </c>
      <c r="I26" s="5" t="inlineStr">
        <is>
          <t>N6</t>
        </is>
      </c>
      <c r="J26" s="5" t="inlineStr">
        <is>
          <t>Um sócio na gestão.</t>
        </is>
      </c>
      <c r="K26" s="5" t="inlineStr">
        <is>
          <t>Baixo</t>
        </is>
      </c>
    </row>
    <row r="27">
      <c r="A27" s="5" t="inlineStr">
        <is>
          <t>C09</t>
        </is>
      </c>
      <c r="B27" s="5" t="inlineStr">
        <is>
          <t>Utilidades (energia, água, gás, internet)</t>
        </is>
      </c>
      <c r="C27" s="5" t="inlineStr">
        <is>
          <t>R$ por mês</t>
        </is>
      </c>
      <c r="D27" s="6" t="n">
        <v>6000</v>
      </c>
      <c r="E27" s="6" t="n">
        <v>4500</v>
      </c>
      <c r="F27" s="6" t="n">
        <v>3500</v>
      </c>
      <c r="G27" s="6">
        <f>CHOOSE($D$2,D27,E27,F27)</f>
        <v/>
      </c>
      <c r="H27" s="5" t="inlineStr">
        <is>
          <t>Estimativa do autor</t>
        </is>
      </c>
      <c r="I27" s="5" t="inlineStr">
        <is>
          <t>N6</t>
        </is>
      </c>
      <c r="J27" s="5" t="inlineStr">
        <is>
          <t>Cozinha própria e ar-condicionado.</t>
        </is>
      </c>
      <c r="K27" s="5" t="inlineStr">
        <is>
          <t>Baixo</t>
        </is>
      </c>
    </row>
    <row r="28">
      <c r="A28" s="5" t="inlineStr">
        <is>
          <t>C10</t>
        </is>
      </c>
      <c r="B28" s="5" t="inlineStr">
        <is>
          <t>Marketing</t>
        </is>
      </c>
      <c r="C28" s="5" t="inlineStr">
        <is>
          <t>R$ por mês</t>
        </is>
      </c>
      <c r="D28" s="6" t="n">
        <v>2000</v>
      </c>
      <c r="E28" s="6" t="n">
        <v>1500</v>
      </c>
      <c r="F28" s="6" t="n">
        <v>1000</v>
      </c>
      <c r="G28" s="6">
        <f>CHOOSE($D$2,D28,E28,F28)</f>
        <v/>
      </c>
      <c r="H28" s="5" t="inlineStr">
        <is>
          <t>Estimativa do autor</t>
        </is>
      </c>
      <c r="I28" s="5" t="inlineStr">
        <is>
          <t>N6</t>
        </is>
      </c>
      <c r="J28" s="5" t="inlineStr">
        <is>
          <t>Redes sociais e eventos.</t>
        </is>
      </c>
      <c r="K28" s="5" t="inlineStr">
        <is>
          <t>Baixo</t>
        </is>
      </c>
    </row>
    <row r="29">
      <c r="A29" s="5" t="inlineStr">
        <is>
          <t>C11</t>
        </is>
      </c>
      <c r="B29" s="5" t="inlineStr">
        <is>
          <t>Contabilidade</t>
        </is>
      </c>
      <c r="C29" s="5" t="inlineStr">
        <is>
          <t>R$ por mês</t>
        </is>
      </c>
      <c r="D29" s="6" t="n">
        <v>1500</v>
      </c>
      <c r="E29" s="6" t="n">
        <v>1200</v>
      </c>
      <c r="F29" s="6" t="n">
        <v>900</v>
      </c>
      <c r="G29" s="6">
        <f>CHOOSE($D$2,D29,E29,F29)</f>
        <v/>
      </c>
      <c r="H29" s="5" t="inlineStr">
        <is>
          <t>Estimativa do autor</t>
        </is>
      </c>
      <c r="I29" s="5" t="inlineStr">
        <is>
          <t>N6</t>
        </is>
      </c>
      <c r="J29" s="5" t="inlineStr">
        <is>
          <t>Escritório para empresa do Simples com folha.</t>
        </is>
      </c>
      <c r="K29" s="5" t="inlineStr">
        <is>
          <t>Baixo</t>
        </is>
      </c>
    </row>
    <row r="30">
      <c r="A30" s="5" t="inlineStr">
        <is>
          <t>C12</t>
        </is>
      </c>
      <c r="B30" s="5" t="inlineStr">
        <is>
          <t>Sistemas (caixa, reservas, nota fiscal)</t>
        </is>
      </c>
      <c r="C30" s="5" t="inlineStr">
        <is>
          <t>R$ por mês</t>
        </is>
      </c>
      <c r="D30" s="6" t="n">
        <v>600</v>
      </c>
      <c r="E30" s="6" t="n">
        <v>450</v>
      </c>
      <c r="F30" s="6" t="n">
        <v>300</v>
      </c>
      <c r="G30" s="6">
        <f>CHOOSE($D$2,D30,E30,F30)</f>
        <v/>
      </c>
      <c r="H30" s="5" t="inlineStr">
        <is>
          <t>Estimativa do autor</t>
        </is>
      </c>
      <c r="I30" s="5" t="inlineStr">
        <is>
          <t>N6</t>
        </is>
      </c>
      <c r="J30" s="5" t="inlineStr">
        <is>
          <t>Assinaturas.</t>
        </is>
      </c>
      <c r="K30" s="5" t="inlineStr">
        <is>
          <t>Baixo</t>
        </is>
      </c>
    </row>
    <row r="31">
      <c r="A31" s="5" t="inlineStr">
        <is>
          <t>C13</t>
        </is>
      </c>
      <c r="B31" s="5" t="inlineStr">
        <is>
          <t>Reposição do acervo</t>
        </is>
      </c>
      <c r="C31" s="5" t="inlineStr">
        <is>
          <t>% do acervo ao ano</t>
        </is>
      </c>
      <c r="D31" s="7" t="n">
        <v>0.15</v>
      </c>
      <c r="E31" s="7" t="n">
        <v>0.1</v>
      </c>
      <c r="F31" s="7" t="n">
        <v>0.05</v>
      </c>
      <c r="G31" s="7">
        <f>CHOOSE($D$2,D31,E31,F31)</f>
        <v/>
      </c>
      <c r="H31" s="5" t="inlineStr">
        <is>
          <t>Estimativa do autor</t>
        </is>
      </c>
      <c r="I31" s="5" t="inlineStr">
        <is>
          <t>N6</t>
        </is>
      </c>
      <c r="J31" s="5" t="inlineStr">
        <is>
          <t>Peças perdidas e jogos novos.</t>
        </is>
      </c>
      <c r="K31" s="5" t="inlineStr">
        <is>
          <t>Baixo</t>
        </is>
      </c>
    </row>
    <row r="32">
      <c r="A32" s="5" t="inlineStr">
        <is>
          <t>I01</t>
        </is>
      </c>
      <c r="B32" s="5" t="inlineStr">
        <is>
          <t>Reforma e instalações</t>
        </is>
      </c>
      <c r="C32" s="5" t="inlineStr">
        <is>
          <t>R$ por m²</t>
        </is>
      </c>
      <c r="D32" s="6" t="n">
        <v>1400</v>
      </c>
      <c r="E32" s="6" t="n">
        <v>1000</v>
      </c>
      <c r="F32" s="6" t="n">
        <v>600</v>
      </c>
      <c r="G32" s="6">
        <f>CHOOSE($D$2,D32,E32,F32)</f>
        <v/>
      </c>
      <c r="H32" s="5" t="inlineStr">
        <is>
          <t>Estimativa do autor</t>
        </is>
      </c>
      <c r="I32" s="5" t="inlineStr">
        <is>
          <t>N6</t>
        </is>
      </c>
      <c r="J32" s="5" t="inlineStr">
        <is>
          <t>Sem cotação; ponto alugado sem obra estrutural.</t>
        </is>
      </c>
      <c r="K32" s="5" t="inlineStr">
        <is>
          <t>Médio</t>
        </is>
      </c>
    </row>
    <row r="33">
      <c r="A33" s="5" t="inlineStr">
        <is>
          <t>I02</t>
        </is>
      </c>
      <c r="B33" s="5" t="inlineStr">
        <is>
          <t>Mobiliário (mesas, cadeiras, estantes)</t>
        </is>
      </c>
      <c r="C33" s="5" t="inlineStr">
        <is>
          <t>R$</t>
        </is>
      </c>
      <c r="D33" s="6" t="n">
        <v>60000</v>
      </c>
      <c r="E33" s="6" t="n">
        <v>45000</v>
      </c>
      <c r="F33" s="6" t="n">
        <v>30000</v>
      </c>
      <c r="G33" s="6">
        <f>CHOOSE($D$2,D33,E33,F33)</f>
        <v/>
      </c>
      <c r="H33" s="5" t="inlineStr">
        <is>
          <t>Estimativa do autor; descrição das unidades da São Jogue</t>
        </is>
      </c>
      <c r="I33" s="5" t="inlineStr">
        <is>
          <t>N6</t>
        </is>
      </c>
      <c r="J33" s="5" t="inlineStr">
        <is>
          <t>10 mesas, 48 assentos e estantes de pinus com metal.</t>
        </is>
      </c>
      <c r="K33" s="5" t="inlineStr">
        <is>
          <t>Baixo</t>
        </is>
      </c>
    </row>
    <row r="34">
      <c r="A34" s="5" t="inlineStr">
        <is>
          <t>I03</t>
        </is>
      </c>
      <c r="B34" s="5" t="inlineStr">
        <is>
          <t>Cozinha e bar</t>
        </is>
      </c>
      <c r="C34" s="5" t="inlineStr">
        <is>
          <t>R$</t>
        </is>
      </c>
      <c r="D34" s="6" t="n">
        <v>80000</v>
      </c>
      <c r="E34" s="6" t="n">
        <v>60000</v>
      </c>
      <c r="F34" s="6" t="n">
        <v>40000</v>
      </c>
      <c r="G34" s="6">
        <f>CHOOSE($D$2,D34,E34,F34)</f>
        <v/>
      </c>
      <c r="H34" s="5" t="inlineStr">
        <is>
          <t>Estimativa do autor</t>
        </is>
      </c>
      <c r="I34" s="5" t="inlineStr">
        <is>
          <t>N6</t>
        </is>
      </c>
      <c r="J34" s="5" t="inlineStr">
        <is>
          <t>Cozinha própria, como a da São Jogue.</t>
        </is>
      </c>
      <c r="K34" s="5" t="inlineStr">
        <is>
          <t>Baixo</t>
        </is>
      </c>
    </row>
    <row r="35">
      <c r="A35" s="5" t="inlineStr">
        <is>
          <t>I04</t>
        </is>
      </c>
      <c r="B35" s="5" t="inlineStr">
        <is>
          <t>Caixa e informática</t>
        </is>
      </c>
      <c r="C35" s="5" t="inlineStr">
        <is>
          <t>R$</t>
        </is>
      </c>
      <c r="D35" s="6" t="n">
        <v>8000</v>
      </c>
      <c r="E35" s="6" t="n">
        <v>6000</v>
      </c>
      <c r="F35" s="6" t="n">
        <v>4000</v>
      </c>
      <c r="G35" s="6">
        <f>CHOOSE($D$2,D35,E35,F35)</f>
        <v/>
      </c>
      <c r="H35" s="5" t="inlineStr">
        <is>
          <t>Estimativa do autor</t>
        </is>
      </c>
      <c r="I35" s="5" t="inlineStr">
        <is>
          <t>N6</t>
        </is>
      </c>
      <c r="J35" s="5" t="inlineStr">
        <is>
          <t>1 computador, 1 impressora de nota e 2 maquininhas.</t>
        </is>
      </c>
      <c r="K35" s="5" t="inlineStr">
        <is>
          <t>Baixo</t>
        </is>
      </c>
    </row>
    <row r="36">
      <c r="A36" s="5" t="inlineStr">
        <is>
          <t>I05</t>
        </is>
      </c>
      <c r="B36" s="5" t="inlineStr">
        <is>
          <t>Acervo inicial de jogos</t>
        </is>
      </c>
      <c r="C36" s="5" t="inlineStr">
        <is>
          <t>R$</t>
        </is>
      </c>
      <c r="D36" s="6" t="n">
        <v>114750.94</v>
      </c>
      <c r="E36" s="6" t="n">
        <v>60884.32</v>
      </c>
      <c r="F36" s="6" t="n">
        <v>42928.78</v>
      </c>
      <c r="G36" s="6">
        <f>CHOOSE($D$2,D36,E36,F36)</f>
        <v/>
      </c>
      <c r="H36" s="5" t="inlineStr">
        <is>
          <t>B1, cesta de jogos dos concorrentes, preço provável nas lojas</t>
        </is>
      </c>
      <c r="I36" s="5" t="inlineStr">
        <is>
          <t>N3</t>
        </is>
      </c>
      <c r="J36" s="5" t="inlineStr">
        <is>
          <t>Acervo do 3º quartil (622 títulos), da mediana (322) e do 1º quartil (222); a São Jogue lista 370.</t>
        </is>
      </c>
      <c r="K36" s="5" t="inlineStr">
        <is>
          <t>Baixo</t>
        </is>
      </c>
    </row>
    <row r="37">
      <c r="A37" s="5" t="inlineStr">
        <is>
          <t>I06</t>
        </is>
      </c>
      <c r="B37" s="5" t="inlineStr">
        <is>
          <t>Gastos pré-operacionais</t>
        </is>
      </c>
      <c r="C37" s="5" t="inlineStr">
        <is>
          <t>R$</t>
        </is>
      </c>
      <c r="D37" s="6" t="n">
        <v>30000</v>
      </c>
      <c r="E37" s="6" t="n">
        <v>20000</v>
      </c>
      <c r="F37" s="6" t="n">
        <v>12000</v>
      </c>
      <c r="G37" s="6">
        <f>CHOOSE($D$2,D37,E37,F37)</f>
        <v/>
      </c>
      <c r="H37" s="5" t="inlineStr">
        <is>
          <t>Estimativa do autor</t>
        </is>
      </c>
      <c r="I37" s="5" t="inlineStr">
        <is>
          <t>N6</t>
        </is>
      </c>
      <c r="J37" s="5" t="inlineStr">
        <is>
          <t>Projeto, licenças, contratação e lançamento.</t>
        </is>
      </c>
      <c r="K37" s="5" t="inlineStr">
        <is>
          <t>Baixo</t>
        </is>
      </c>
    </row>
    <row r="38">
      <c r="A38" s="5" t="inlineStr">
        <is>
          <t>I07</t>
        </is>
      </c>
      <c r="B38" s="5" t="inlineStr">
        <is>
          <t>Caução do aluguel</t>
        </is>
      </c>
      <c r="C38" s="5" t="inlineStr">
        <is>
          <t>meses de aluguel</t>
        </is>
      </c>
      <c r="D38" s="6" t="n">
        <v>3</v>
      </c>
      <c r="E38" s="6" t="n">
        <v>3</v>
      </c>
      <c r="F38" s="6" t="n">
        <v>2</v>
      </c>
      <c r="G38" s="6">
        <f>CHOOSE($D$2,D38,E38,F38)</f>
        <v/>
      </c>
      <c r="H38" s="5" t="inlineStr">
        <is>
          <t>Estimativa do autor</t>
        </is>
      </c>
      <c r="I38" s="5" t="inlineStr">
        <is>
          <t>N6</t>
        </is>
      </c>
      <c r="J38" s="5" t="inlineStr">
        <is>
          <t>Prática de locação comercial.</t>
        </is>
      </c>
      <c r="K38" s="5" t="inlineStr">
        <is>
          <t>Baixo</t>
        </is>
      </c>
    </row>
    <row r="39">
      <c r="A39" s="5" t="inlineStr">
        <is>
          <t>I08</t>
        </is>
      </c>
      <c r="B39" s="5" t="inlineStr">
        <is>
          <t>Capital de giro</t>
        </is>
      </c>
      <c r="C39" s="5" t="inlineStr">
        <is>
          <t>meses de custo fixo</t>
        </is>
      </c>
      <c r="D39" s="6" t="n">
        <v>3</v>
      </c>
      <c r="E39" s="6" t="n">
        <v>2</v>
      </c>
      <c r="F39" s="6" t="n">
        <v>1.5</v>
      </c>
      <c r="G39" s="6">
        <f>CHOOSE($D$2,D39,E39,F39)</f>
        <v/>
      </c>
      <c r="H39" s="5" t="inlineStr">
        <is>
          <t>Estimativa do autor</t>
        </is>
      </c>
      <c r="I39" s="5" t="inlineStr">
        <is>
          <t>N6</t>
        </is>
      </c>
      <c r="J39" s="5" t="inlineStr">
        <is>
          <t>Cobre a rampa de maturação.</t>
        </is>
      </c>
      <c r="K39" s="5" t="inlineStr">
        <is>
          <t>Baixo</t>
        </is>
      </c>
    </row>
    <row r="40">
      <c r="A40" s="5" t="inlineStr">
        <is>
          <t>M01</t>
        </is>
      </c>
      <c r="B40" s="5" t="inlineStr">
        <is>
          <t>Taxa mínima de atratividade (real)</t>
        </is>
      </c>
      <c r="C40" s="5" t="inlineStr">
        <is>
          <t>% ao ano</t>
        </is>
      </c>
      <c r="D40" s="7" t="n">
        <v>0.18</v>
      </c>
      <c r="E40" s="7" t="n">
        <v>0.15</v>
      </c>
      <c r="F40" s="7" t="n">
        <v>0.12</v>
      </c>
      <c r="G40" s="7">
        <f>CHOOSE($D$2,D40,E40,F40)</f>
        <v/>
      </c>
      <c r="H40" s="5" t="inlineStr">
        <is>
          <t>BCB: Selic meta e Focus (B4); prêmio de risco do autor</t>
        </is>
      </c>
      <c r="I40" s="5" t="inlineStr">
        <is>
          <t>N2 + N6</t>
        </is>
      </c>
      <c r="J40" s="5" t="inlineStr">
        <is>
          <t>Juro real de 9.3% (Selic 14.0% e IPCA esperado de 4.3% para 2027) mais 3 a 9 p.p. de risco de pequeno negócio.</t>
        </is>
      </c>
      <c r="K40" s="5" t="inlineStr">
        <is>
          <t>Baixo</t>
        </is>
      </c>
    </row>
    <row r="41">
      <c r="A41" s="8" t="inlineStr">
        <is>
          <t>M02</t>
        </is>
      </c>
      <c r="B41" s="8" t="inlineStr">
        <is>
          <t>Semanas por mês</t>
        </is>
      </c>
      <c r="C41" s="8" t="inlineStr">
        <is>
          <t>semanas</t>
        </is>
      </c>
      <c r="D41" s="9" t="n">
        <v>4.333333333333333</v>
      </c>
      <c r="E41" s="9" t="n">
        <v>4.333333333333333</v>
      </c>
      <c r="F41" s="9" t="n">
        <v>4.333333333333333</v>
      </c>
      <c r="G41" s="9">
        <f>CHOOSE($D$2,D41,E41,F41)</f>
        <v/>
      </c>
      <c r="H41" s="8" t="inlineStr">
        <is>
          <t>Calendário</t>
        </is>
      </c>
      <c r="I41" s="8" t="inlineStr">
        <is>
          <t>N1</t>
        </is>
      </c>
      <c r="J41" s="8" t="inlineStr">
        <is>
          <t>52 semanas ÷ 12 meses.</t>
        </is>
      </c>
      <c r="K41" s="8" t="inlineStr">
        <is>
          <t>Baixo</t>
        </is>
      </c>
    </row>
    <row r="43" ht="45" customHeight="1">
      <c r="A43" s="10" t="inlineStr">
        <is>
          <t>Fonte: elaboração própria com dados dos Blocos B1, B3 e B4 (out/2026). Níveis de evidência N1 (mais confiável) a N6 (estimativa do autor), conforme _instrucoes/8_financeiro.md. Impacto no VPL pelo tornado (aba sensibilidade): 5 maiores = Alto, 5 seguintes = Médio.</t>
        </is>
      </c>
    </row>
  </sheetData>
  <mergeCells count="2">
    <mergeCell ref="A1:K1"/>
    <mergeCell ref="A43:K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Quadro de pessoal de referência e salários de admissão em Salvador</t>
        </is>
      </c>
      <c r="B1" s="1" t="n"/>
      <c r="C1" s="1" t="n"/>
      <c r="D1" s="1" t="n"/>
      <c r="E1" s="1" t="n"/>
      <c r="F1" s="1" t="n"/>
    </row>
    <row r="2">
      <c r="A2" s="4" t="inlineStr">
        <is>
          <t>Cargo</t>
        </is>
      </c>
      <c r="B2" s="4" t="inlineStr">
        <is>
          <t>CBO</t>
        </is>
      </c>
      <c r="C2" s="4" t="inlineStr">
        <is>
          <t>Quantidade</t>
        </is>
      </c>
      <c r="D2" s="4" t="inlineStr">
        <is>
          <t>Salário mensal (R$)</t>
        </is>
      </c>
      <c r="E2" s="4" t="inlineStr">
        <is>
          <t>Total mensal (R$)</t>
        </is>
      </c>
      <c r="F2" s="4" t="inlineStr">
        <is>
          <t>Fonte</t>
        </is>
      </c>
    </row>
    <row r="3">
      <c r="A3" s="5" t="inlineStr">
        <is>
          <t>Gerente</t>
        </is>
      </c>
      <c r="B3" s="5" t="inlineStr">
        <is>
          <t>141510</t>
        </is>
      </c>
      <c r="C3" s="11" t="n">
        <v>1</v>
      </c>
      <c r="D3" s="6" t="n">
        <v>2500</v>
      </c>
      <c r="E3" s="6">
        <f>C3*D3</f>
        <v/>
      </c>
      <c r="F3" s="5" t="inlineStr">
        <is>
          <t>CAGED, admissões ago/2025-jul/2026, Salvador, CNAE 56, mediana</t>
        </is>
      </c>
    </row>
    <row r="4">
      <c r="A4" s="5" t="inlineStr">
        <is>
          <t>Cozinheiro</t>
        </is>
      </c>
      <c r="B4" s="5" t="inlineStr">
        <is>
          <t>513205</t>
        </is>
      </c>
      <c r="C4" s="11" t="n">
        <v>2</v>
      </c>
      <c r="D4" s="6" t="n">
        <v>1700</v>
      </c>
      <c r="E4" s="6">
        <f>C4*D4</f>
        <v/>
      </c>
      <c r="F4" s="5" t="inlineStr">
        <is>
          <t>CAGED, admissões ago/2025-jul/2026, Salvador, CNAE 56, mediana</t>
        </is>
      </c>
    </row>
    <row r="5">
      <c r="A5" s="5" t="inlineStr">
        <is>
          <t>Auxiliar de cozinha</t>
        </is>
      </c>
      <c r="B5" s="5" t="inlineStr">
        <is>
          <t>513505</t>
        </is>
      </c>
      <c r="C5" s="11" t="n">
        <v>1</v>
      </c>
      <c r="D5" s="6" t="n">
        <v>1625.09</v>
      </c>
      <c r="E5" s="6">
        <f>C5*D5</f>
        <v/>
      </c>
      <c r="F5" s="5" t="inlineStr">
        <is>
          <t>CAGED, admissões ago/2025-jul/2026, Salvador, CNAE 56, mediana</t>
        </is>
      </c>
    </row>
    <row r="6">
      <c r="A6" s="5" t="inlineStr">
        <is>
          <t>Garçom</t>
        </is>
      </c>
      <c r="B6" s="5" t="inlineStr">
        <is>
          <t>513405</t>
        </is>
      </c>
      <c r="C6" s="11" t="n">
        <v>3</v>
      </c>
      <c r="D6" s="6" t="n">
        <v>1625.09</v>
      </c>
      <c r="E6" s="6">
        <f>C6*D6</f>
        <v/>
      </c>
      <c r="F6" s="5" t="inlineStr">
        <is>
          <t>CAGED, admissões ago/2025-jul/2026, Salvador, CNAE 56, mediana</t>
        </is>
      </c>
    </row>
    <row r="7">
      <c r="A7" s="5" t="inlineStr">
        <is>
          <t>Atendente de bar e balcão</t>
        </is>
      </c>
      <c r="B7" s="5" t="inlineStr">
        <is>
          <t>513435</t>
        </is>
      </c>
      <c r="C7" s="11" t="n">
        <v>1</v>
      </c>
      <c r="D7" s="6" t="n">
        <v>1625.09</v>
      </c>
      <c r="E7" s="6">
        <f>C7*D7</f>
        <v/>
      </c>
      <c r="F7" s="5" t="inlineStr">
        <is>
          <t>CAGED, admissões ago/2025-jul/2026, Salvador, CNAE 56, mediana</t>
        </is>
      </c>
    </row>
    <row r="8">
      <c r="A8" s="5" t="inlineStr">
        <is>
          <t>Operador de caixa</t>
        </is>
      </c>
      <c r="B8" s="5" t="inlineStr">
        <is>
          <t>421125</t>
        </is>
      </c>
      <c r="C8" s="11" t="n">
        <v>1</v>
      </c>
      <c r="D8" s="6" t="n">
        <v>1625.09</v>
      </c>
      <c r="E8" s="6">
        <f>C8*D8</f>
        <v/>
      </c>
      <c r="F8" s="5" t="inlineStr">
        <is>
          <t>CAGED, admissões ago/2025-jul/2026, Salvador, CNAE 56, mediana</t>
        </is>
      </c>
    </row>
    <row r="9">
      <c r="A9" s="5" t="inlineStr">
        <is>
          <t>Instrutor de jogos (recreador)</t>
        </is>
      </c>
      <c r="B9" s="5" t="inlineStr">
        <is>
          <t>371410</t>
        </is>
      </c>
      <c r="C9" s="11" t="n">
        <v>2</v>
      </c>
      <c r="D9" s="6" t="n">
        <v>1653.75</v>
      </c>
      <c r="E9" s="6">
        <f>C9*D9</f>
        <v/>
      </c>
      <c r="F9" s="5" t="inlineStr">
        <is>
          <t>CAGED, admissões ago/2025-jul/2026, Salvador, todas as atividades, mediana (CNAE 56 com amostra pequena)</t>
        </is>
      </c>
    </row>
    <row r="10">
      <c r="A10" s="5" t="inlineStr">
        <is>
          <t>Auxiliar de limpeza</t>
        </is>
      </c>
      <c r="B10" s="5" t="inlineStr">
        <is>
          <t>514320</t>
        </is>
      </c>
      <c r="C10" s="11" t="n">
        <v>1</v>
      </c>
      <c r="D10" s="6" t="n">
        <v>1625.09</v>
      </c>
      <c r="E10" s="6">
        <f>C10*D10</f>
        <v/>
      </c>
      <c r="F10" s="5" t="inlineStr">
        <is>
          <t>CAGED, admissões ago/2025-jul/2026, Salvador, CNAE 56, mediana</t>
        </is>
      </c>
    </row>
    <row r="11">
      <c r="A11" s="8" t="inlineStr">
        <is>
          <t>Total</t>
        </is>
      </c>
      <c r="B11" s="12" t="n"/>
      <c r="C11" s="13">
        <f>SUM(C3:C10)</f>
        <v/>
      </c>
      <c r="D11" s="9" t="n"/>
      <c r="E11" s="9">
        <f>SUM(E3:E10)</f>
        <v/>
      </c>
      <c r="F11" s="12" t="n"/>
    </row>
    <row r="13" ht="30" customHeight="1">
      <c r="A13" s="10" t="inlineStr">
        <is>
          <t>Fonte: Novo CAGED (MTE), salário de admissão, mediana, ago/2025 a jul/2026 (B4). Encargos e fator do quadro na aba premissas (C06 e C07).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Simples Nacional: faixas dos anexos I e III e alíquota efetiva por ano</t>
        </is>
      </c>
      <c r="B1" s="3" t="n"/>
      <c r="C1" s="3" t="n"/>
      <c r="D1" s="3" t="n"/>
      <c r="E1" s="3" t="n"/>
      <c r="F1" s="3" t="n"/>
    </row>
    <row r="2">
      <c r="A2" s="3" t="n"/>
      <c r="B2" s="3" t="n"/>
      <c r="C2" s="3" t="n"/>
      <c r="D2" s="3" t="n"/>
      <c r="E2" s="3" t="n"/>
      <c r="F2" s="3" t="n"/>
    </row>
    <row r="3">
      <c r="A3" s="2" t="inlineStr">
        <is>
          <t>Anexo I</t>
        </is>
      </c>
      <c r="B3" s="2" t="n"/>
      <c r="C3" s="2" t="n"/>
      <c r="D3" s="2" t="n"/>
      <c r="E3" s="2" t="n"/>
      <c r="F3" s="2" t="n"/>
    </row>
    <row r="4">
      <c r="A4" s="14" t="inlineStr">
        <is>
          <t>Faixa</t>
        </is>
      </c>
      <c r="B4" s="14" t="inlineStr">
        <is>
          <t>RBT12 mínima (R$)</t>
        </is>
      </c>
      <c r="C4" s="14" t="inlineStr">
        <is>
          <t>RBT12 máxima (R$)</t>
        </is>
      </c>
      <c r="D4" s="14" t="inlineStr">
        <is>
          <t>Alíquota nominal (%)</t>
        </is>
      </c>
      <c r="E4" s="14" t="inlineStr">
        <is>
          <t>Parcela a deduzir (R$)</t>
        </is>
      </c>
      <c r="F4" s="14" t="n"/>
    </row>
    <row r="5">
      <c r="A5" s="3" t="n">
        <v>1</v>
      </c>
      <c r="B5" s="15" t="n">
        <v>0</v>
      </c>
      <c r="C5" s="15" t="n">
        <v>180000</v>
      </c>
      <c r="D5" s="15" t="n">
        <v>4</v>
      </c>
      <c r="E5" s="15" t="n">
        <v>0</v>
      </c>
      <c r="F5" s="3" t="n"/>
    </row>
    <row r="6">
      <c r="A6" s="3" t="n">
        <v>2</v>
      </c>
      <c r="B6" s="15" t="n">
        <v>180000.01</v>
      </c>
      <c r="C6" s="15" t="n">
        <v>360000</v>
      </c>
      <c r="D6" s="15" t="n">
        <v>7.3</v>
      </c>
      <c r="E6" s="15" t="n">
        <v>5940</v>
      </c>
      <c r="F6" s="3" t="n"/>
    </row>
    <row r="7">
      <c r="A7" s="3" t="n">
        <v>3</v>
      </c>
      <c r="B7" s="15" t="n">
        <v>360000.01</v>
      </c>
      <c r="C7" s="15" t="n">
        <v>720000</v>
      </c>
      <c r="D7" s="15" t="n">
        <v>9.5</v>
      </c>
      <c r="E7" s="15" t="n">
        <v>13860</v>
      </c>
      <c r="F7" s="3" t="n"/>
    </row>
    <row r="8">
      <c r="A8" s="3" t="n">
        <v>4</v>
      </c>
      <c r="B8" s="15" t="n">
        <v>720000.01</v>
      </c>
      <c r="C8" s="15" t="n">
        <v>1800000</v>
      </c>
      <c r="D8" s="15" t="n">
        <v>10.7</v>
      </c>
      <c r="E8" s="15" t="n">
        <v>22500</v>
      </c>
      <c r="F8" s="3" t="n"/>
    </row>
    <row r="9">
      <c r="A9" s="3" t="n">
        <v>5</v>
      </c>
      <c r="B9" s="15" t="n">
        <v>1800000.01</v>
      </c>
      <c r="C9" s="15" t="n">
        <v>3600000</v>
      </c>
      <c r="D9" s="15" t="n">
        <v>14.3</v>
      </c>
      <c r="E9" s="15" t="n">
        <v>87300</v>
      </c>
      <c r="F9" s="3" t="n"/>
    </row>
    <row r="10">
      <c r="A10" s="3" t="n">
        <v>6</v>
      </c>
      <c r="B10" s="15" t="n">
        <v>3600000.01</v>
      </c>
      <c r="C10" s="15" t="n">
        <v>4800000</v>
      </c>
      <c r="D10" s="15" t="n">
        <v>19</v>
      </c>
      <c r="E10" s="15" t="n">
        <v>378000</v>
      </c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2" t="inlineStr">
        <is>
          <t>Anexo III</t>
        </is>
      </c>
      <c r="B12" s="2" t="n"/>
      <c r="C12" s="2" t="n"/>
      <c r="D12" s="2" t="n"/>
      <c r="E12" s="2" t="n"/>
      <c r="F12" s="2" t="n"/>
    </row>
    <row r="13">
      <c r="A13" s="14" t="inlineStr">
        <is>
          <t>Faixa</t>
        </is>
      </c>
      <c r="B13" s="14" t="inlineStr">
        <is>
          <t>RBT12 mínima (R$)</t>
        </is>
      </c>
      <c r="C13" s="14" t="inlineStr">
        <is>
          <t>RBT12 máxima (R$)</t>
        </is>
      </c>
      <c r="D13" s="14" t="inlineStr">
        <is>
          <t>Alíquota nominal (%)</t>
        </is>
      </c>
      <c r="E13" s="14" t="inlineStr">
        <is>
          <t>Parcela a deduzir (R$)</t>
        </is>
      </c>
      <c r="F13" s="14" t="n"/>
    </row>
    <row r="14">
      <c r="A14" s="3" t="n">
        <v>1</v>
      </c>
      <c r="B14" s="15" t="n">
        <v>0</v>
      </c>
      <c r="C14" s="15" t="n">
        <v>180000</v>
      </c>
      <c r="D14" s="15" t="n">
        <v>6</v>
      </c>
      <c r="E14" s="15" t="n">
        <v>0</v>
      </c>
      <c r="F14" s="3" t="n"/>
    </row>
    <row r="15">
      <c r="A15" s="3" t="n">
        <v>2</v>
      </c>
      <c r="B15" s="15" t="n">
        <v>180000.01</v>
      </c>
      <c r="C15" s="15" t="n">
        <v>360000</v>
      </c>
      <c r="D15" s="15" t="n">
        <v>11.2</v>
      </c>
      <c r="E15" s="15" t="n">
        <v>9360</v>
      </c>
      <c r="F15" s="3" t="n"/>
    </row>
    <row r="16">
      <c r="A16" s="3" t="n">
        <v>3</v>
      </c>
      <c r="B16" s="15" t="n">
        <v>360000.01</v>
      </c>
      <c r="C16" s="15" t="n">
        <v>720000</v>
      </c>
      <c r="D16" s="15" t="n">
        <v>13.5</v>
      </c>
      <c r="E16" s="15" t="n">
        <v>17640</v>
      </c>
      <c r="F16" s="3" t="n"/>
    </row>
    <row r="17">
      <c r="A17" s="3" t="n">
        <v>4</v>
      </c>
      <c r="B17" s="15" t="n">
        <v>720000.01</v>
      </c>
      <c r="C17" s="15" t="n">
        <v>1800000</v>
      </c>
      <c r="D17" s="15" t="n">
        <v>16</v>
      </c>
      <c r="E17" s="15" t="n">
        <v>35640</v>
      </c>
      <c r="F17" s="3" t="n"/>
    </row>
    <row r="18">
      <c r="A18" s="3" t="n">
        <v>5</v>
      </c>
      <c r="B18" s="15" t="n">
        <v>1800000.01</v>
      </c>
      <c r="C18" s="15" t="n">
        <v>3600000</v>
      </c>
      <c r="D18" s="15" t="n">
        <v>21</v>
      </c>
      <c r="E18" s="15" t="n">
        <v>125640</v>
      </c>
      <c r="F18" s="3" t="n"/>
    </row>
    <row r="19">
      <c r="A19" s="3" t="n">
        <v>6</v>
      </c>
      <c r="B19" s="15" t="n">
        <v>3600000.01</v>
      </c>
      <c r="C19" s="15" t="n">
        <v>4800000</v>
      </c>
      <c r="D19" s="15" t="n">
        <v>33</v>
      </c>
      <c r="E19" s="15" t="n">
        <v>648000</v>
      </c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14" t="inlineStr">
        <is>
          <t>Ano</t>
        </is>
      </c>
      <c r="B22" s="14" t="n">
        <v>1</v>
      </c>
      <c r="C22" s="14" t="n">
        <v>2</v>
      </c>
      <c r="D22" s="14" t="n">
        <v>3</v>
      </c>
      <c r="E22" s="14" t="n">
        <v>4</v>
      </c>
      <c r="F22" s="14" t="n">
        <v>5</v>
      </c>
    </row>
    <row r="23">
      <c r="A23" s="3" t="inlineStr">
        <is>
          <t>Receita bruta do ano (R$)</t>
        </is>
      </c>
      <c r="B23" s="16">
        <f>SUMIF(receitas!$C$3:$BJ$3,B22,receitas!$C$12:$BJ$12)</f>
        <v/>
      </c>
      <c r="C23" s="16">
        <f>SUMIF(receitas!$C$3:$BJ$3,C22,receitas!$C$12:$BJ$12)</f>
        <v/>
      </c>
      <c r="D23" s="16">
        <f>SUMIF(receitas!$C$3:$BJ$3,D22,receitas!$C$12:$BJ$12)</f>
        <v/>
      </c>
      <c r="E23" s="16">
        <f>SUMIF(receitas!$C$3:$BJ$3,E22,receitas!$C$12:$BJ$12)</f>
        <v/>
      </c>
      <c r="F23" s="16">
        <f>SUMIF(receitas!$C$3:$BJ$3,F22,receitas!$C$12:$BJ$12)</f>
        <v/>
      </c>
    </row>
    <row r="24">
      <c r="A24" s="3" t="inlineStr">
        <is>
          <t>Alíquota efetiva, anexo I (A&amp;B)</t>
        </is>
      </c>
      <c r="B24" s="17">
        <f>IF(B23&lt;=0,0,MAX(0,(B23*LOOKUP(B23,$B$5:$B$10,$D$5:$D$10)/100-LOOKUP(B23,$B$5:$B$10,$E$5:$E$10))/B23))</f>
        <v/>
      </c>
      <c r="C24" s="17">
        <f>IF(C23&lt;=0,0,MAX(0,(C23*LOOKUP(C23,$B$5:$B$10,$D$5:$D$10)/100-LOOKUP(C23,$B$5:$B$10,$E$5:$E$10))/C23))</f>
        <v/>
      </c>
      <c r="D24" s="17">
        <f>IF(D23&lt;=0,0,MAX(0,(D23*LOOKUP(D23,$B$5:$B$10,$D$5:$D$10)/100-LOOKUP(D23,$B$5:$B$10,$E$5:$E$10))/D23))</f>
        <v/>
      </c>
      <c r="E24" s="17">
        <f>IF(E23&lt;=0,0,MAX(0,(E23*LOOKUP(E23,$B$5:$B$10,$D$5:$D$10)/100-LOOKUP(E23,$B$5:$B$10,$E$5:$E$10))/E23))</f>
        <v/>
      </c>
      <c r="F24" s="17">
        <f>IF(F23&lt;=0,0,MAX(0,(F23*LOOKUP(F23,$B$5:$B$10,$D$5:$D$10)/100-LOOKUP(F23,$B$5:$B$10,$E$5:$E$10))/F23))</f>
        <v/>
      </c>
    </row>
    <row r="25">
      <c r="A25" s="18" t="inlineStr">
        <is>
          <t>Alíquota efetiva, anexo III (taxa de entrada e aluguel de jogos)</t>
        </is>
      </c>
      <c r="B25" s="19">
        <f>IF(B23&lt;=0,0,MAX(0,(B23*LOOKUP(B23,$B$14:$B$19,$D$14:$D$19)/100-LOOKUP(B23,$B$14:$B$19,$E$14:$E$19))/B23))</f>
        <v/>
      </c>
      <c r="C25" s="19">
        <f>IF(C23&lt;=0,0,MAX(0,(C23*LOOKUP(C23,$B$14:$B$19,$D$14:$D$19)/100-LOOKUP(C23,$B$14:$B$19,$E$14:$E$19))/C23))</f>
        <v/>
      </c>
      <c r="D25" s="19">
        <f>IF(D23&lt;=0,0,MAX(0,(D23*LOOKUP(D23,$B$14:$B$19,$D$14:$D$19)/100-LOOKUP(D23,$B$14:$B$19,$E$14:$E$19))/D23))</f>
        <v/>
      </c>
      <c r="E25" s="19">
        <f>IF(E23&lt;=0,0,MAX(0,(E23*LOOKUP(E23,$B$14:$B$19,$D$14:$D$19)/100-LOOKUP(E23,$B$14:$B$19,$E$14:$E$19))/E23))</f>
        <v/>
      </c>
      <c r="F25" s="19">
        <f>IF(F23&lt;=0,0,MAX(0,(F23*LOOKUP(F23,$B$14:$B$19,$D$14:$D$19)/100-LOOKUP(F23,$B$14:$B$19,$E$14:$E$19))/F23))</f>
        <v/>
      </c>
    </row>
    <row r="27" ht="45" customHeight="1">
      <c r="A27" s="10" t="inlineStr">
        <is>
          <t>Fonte: LC 123/2006, anexos I e III, valores de 2026 (B4). Enquadramento a confirmar no cap. 8: A&amp;B no anexo I (CNAE 5611-2/01); taxa de entrada e aluguel de jogos no anexo III. RBT12 aproximada pela receita do próprio ano.</t>
        </is>
      </c>
    </row>
  </sheetData>
  <mergeCells count="2">
    <mergeCell ref="A1:F1"/>
    <mergeCell ref="A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Receitas mensais projetadas (preços de out/2026)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>
      <c r="A2" s="4" t="inlineStr">
        <is>
          <t>Mês</t>
        </is>
      </c>
      <c r="B2" s="4" t="n"/>
      <c r="C2" s="4" t="n">
        <v>1</v>
      </c>
      <c r="D2" s="4" t="n">
        <v>2</v>
      </c>
      <c r="E2" s="4" t="n">
        <v>3</v>
      </c>
      <c r="F2" s="4" t="n">
        <v>4</v>
      </c>
      <c r="G2" s="4" t="n">
        <v>5</v>
      </c>
      <c r="H2" s="4" t="n">
        <v>6</v>
      </c>
      <c r="I2" s="4" t="n">
        <v>7</v>
      </c>
      <c r="J2" s="4" t="n">
        <v>8</v>
      </c>
      <c r="K2" s="4" t="n">
        <v>9</v>
      </c>
      <c r="L2" s="4" t="n">
        <v>10</v>
      </c>
      <c r="M2" s="4" t="n">
        <v>11</v>
      </c>
      <c r="N2" s="4" t="n">
        <v>12</v>
      </c>
      <c r="O2" s="4" t="n">
        <v>13</v>
      </c>
      <c r="P2" s="4" t="n">
        <v>14</v>
      </c>
      <c r="Q2" s="4" t="n">
        <v>15</v>
      </c>
      <c r="R2" s="4" t="n">
        <v>16</v>
      </c>
      <c r="S2" s="4" t="n">
        <v>17</v>
      </c>
      <c r="T2" s="4" t="n">
        <v>18</v>
      </c>
      <c r="U2" s="4" t="n">
        <v>19</v>
      </c>
      <c r="V2" s="4" t="n">
        <v>20</v>
      </c>
      <c r="W2" s="4" t="n">
        <v>21</v>
      </c>
      <c r="X2" s="4" t="n">
        <v>22</v>
      </c>
      <c r="Y2" s="4" t="n">
        <v>23</v>
      </c>
      <c r="Z2" s="4" t="n">
        <v>24</v>
      </c>
      <c r="AA2" s="4" t="n">
        <v>25</v>
      </c>
      <c r="AB2" s="4" t="n">
        <v>26</v>
      </c>
      <c r="AC2" s="4" t="n">
        <v>27</v>
      </c>
      <c r="AD2" s="4" t="n">
        <v>28</v>
      </c>
      <c r="AE2" s="4" t="n">
        <v>29</v>
      </c>
      <c r="AF2" s="4" t="n">
        <v>30</v>
      </c>
      <c r="AG2" s="4" t="n">
        <v>31</v>
      </c>
      <c r="AH2" s="4" t="n">
        <v>32</v>
      </c>
      <c r="AI2" s="4" t="n">
        <v>33</v>
      </c>
      <c r="AJ2" s="4" t="n">
        <v>34</v>
      </c>
      <c r="AK2" s="4" t="n">
        <v>35</v>
      </c>
      <c r="AL2" s="4" t="n">
        <v>36</v>
      </c>
      <c r="AM2" s="4" t="n">
        <v>37</v>
      </c>
      <c r="AN2" s="4" t="n">
        <v>38</v>
      </c>
      <c r="AO2" s="4" t="n">
        <v>39</v>
      </c>
      <c r="AP2" s="4" t="n">
        <v>40</v>
      </c>
      <c r="AQ2" s="4" t="n">
        <v>41</v>
      </c>
      <c r="AR2" s="4" t="n">
        <v>42</v>
      </c>
      <c r="AS2" s="4" t="n">
        <v>43</v>
      </c>
      <c r="AT2" s="4" t="n">
        <v>44</v>
      </c>
      <c r="AU2" s="4" t="n">
        <v>45</v>
      </c>
      <c r="AV2" s="4" t="n">
        <v>46</v>
      </c>
      <c r="AW2" s="4" t="n">
        <v>47</v>
      </c>
      <c r="AX2" s="4" t="n">
        <v>48</v>
      </c>
      <c r="AY2" s="4" t="n">
        <v>49</v>
      </c>
      <c r="AZ2" s="4" t="n">
        <v>50</v>
      </c>
      <c r="BA2" s="4" t="n">
        <v>51</v>
      </c>
      <c r="BB2" s="4" t="n">
        <v>52</v>
      </c>
      <c r="BC2" s="4" t="n">
        <v>53</v>
      </c>
      <c r="BD2" s="4" t="n">
        <v>54</v>
      </c>
      <c r="BE2" s="4" t="n">
        <v>55</v>
      </c>
      <c r="BF2" s="4" t="n">
        <v>56</v>
      </c>
      <c r="BG2" s="4" t="n">
        <v>57</v>
      </c>
      <c r="BH2" s="4" t="n">
        <v>58</v>
      </c>
      <c r="BI2" s="4" t="n">
        <v>59</v>
      </c>
      <c r="BJ2" s="4" t="n">
        <v>60</v>
      </c>
    </row>
    <row r="3">
      <c r="A3" s="5" t="inlineStr">
        <is>
          <t>Ano</t>
        </is>
      </c>
      <c r="B3" s="20" t="n"/>
      <c r="C3" s="20">
        <f>ROUNDUP(C2/12,0)</f>
        <v/>
      </c>
      <c r="D3" s="20">
        <f>ROUNDUP(D2/12,0)</f>
        <v/>
      </c>
      <c r="E3" s="20">
        <f>ROUNDUP(E2/12,0)</f>
        <v/>
      </c>
      <c r="F3" s="20">
        <f>ROUNDUP(F2/12,0)</f>
        <v/>
      </c>
      <c r="G3" s="20">
        <f>ROUNDUP(G2/12,0)</f>
        <v/>
      </c>
      <c r="H3" s="20">
        <f>ROUNDUP(H2/12,0)</f>
        <v/>
      </c>
      <c r="I3" s="20">
        <f>ROUNDUP(I2/12,0)</f>
        <v/>
      </c>
      <c r="J3" s="20">
        <f>ROUNDUP(J2/12,0)</f>
        <v/>
      </c>
      <c r="K3" s="20">
        <f>ROUNDUP(K2/12,0)</f>
        <v/>
      </c>
      <c r="L3" s="20">
        <f>ROUNDUP(L2/12,0)</f>
        <v/>
      </c>
      <c r="M3" s="20">
        <f>ROUNDUP(M2/12,0)</f>
        <v/>
      </c>
      <c r="N3" s="20">
        <f>ROUNDUP(N2/12,0)</f>
        <v/>
      </c>
      <c r="O3" s="20">
        <f>ROUNDUP(O2/12,0)</f>
        <v/>
      </c>
      <c r="P3" s="20">
        <f>ROUNDUP(P2/12,0)</f>
        <v/>
      </c>
      <c r="Q3" s="20">
        <f>ROUNDUP(Q2/12,0)</f>
        <v/>
      </c>
      <c r="R3" s="20">
        <f>ROUNDUP(R2/12,0)</f>
        <v/>
      </c>
      <c r="S3" s="20">
        <f>ROUNDUP(S2/12,0)</f>
        <v/>
      </c>
      <c r="T3" s="20">
        <f>ROUNDUP(T2/12,0)</f>
        <v/>
      </c>
      <c r="U3" s="20">
        <f>ROUNDUP(U2/12,0)</f>
        <v/>
      </c>
      <c r="V3" s="20">
        <f>ROUNDUP(V2/12,0)</f>
        <v/>
      </c>
      <c r="W3" s="20">
        <f>ROUNDUP(W2/12,0)</f>
        <v/>
      </c>
      <c r="X3" s="20">
        <f>ROUNDUP(X2/12,0)</f>
        <v/>
      </c>
      <c r="Y3" s="20">
        <f>ROUNDUP(Y2/12,0)</f>
        <v/>
      </c>
      <c r="Z3" s="20">
        <f>ROUNDUP(Z2/12,0)</f>
        <v/>
      </c>
      <c r="AA3" s="20">
        <f>ROUNDUP(AA2/12,0)</f>
        <v/>
      </c>
      <c r="AB3" s="20">
        <f>ROUNDUP(AB2/12,0)</f>
        <v/>
      </c>
      <c r="AC3" s="20">
        <f>ROUNDUP(AC2/12,0)</f>
        <v/>
      </c>
      <c r="AD3" s="20">
        <f>ROUNDUP(AD2/12,0)</f>
        <v/>
      </c>
      <c r="AE3" s="20">
        <f>ROUNDUP(AE2/12,0)</f>
        <v/>
      </c>
      <c r="AF3" s="20">
        <f>ROUNDUP(AF2/12,0)</f>
        <v/>
      </c>
      <c r="AG3" s="20">
        <f>ROUNDUP(AG2/12,0)</f>
        <v/>
      </c>
      <c r="AH3" s="20">
        <f>ROUNDUP(AH2/12,0)</f>
        <v/>
      </c>
      <c r="AI3" s="20">
        <f>ROUNDUP(AI2/12,0)</f>
        <v/>
      </c>
      <c r="AJ3" s="20">
        <f>ROUNDUP(AJ2/12,0)</f>
        <v/>
      </c>
      <c r="AK3" s="20">
        <f>ROUNDUP(AK2/12,0)</f>
        <v/>
      </c>
      <c r="AL3" s="20">
        <f>ROUNDUP(AL2/12,0)</f>
        <v/>
      </c>
      <c r="AM3" s="20">
        <f>ROUNDUP(AM2/12,0)</f>
        <v/>
      </c>
      <c r="AN3" s="20">
        <f>ROUNDUP(AN2/12,0)</f>
        <v/>
      </c>
      <c r="AO3" s="20">
        <f>ROUNDUP(AO2/12,0)</f>
        <v/>
      </c>
      <c r="AP3" s="20">
        <f>ROUNDUP(AP2/12,0)</f>
        <v/>
      </c>
      <c r="AQ3" s="20">
        <f>ROUNDUP(AQ2/12,0)</f>
        <v/>
      </c>
      <c r="AR3" s="20">
        <f>ROUNDUP(AR2/12,0)</f>
        <v/>
      </c>
      <c r="AS3" s="20">
        <f>ROUNDUP(AS2/12,0)</f>
        <v/>
      </c>
      <c r="AT3" s="20">
        <f>ROUNDUP(AT2/12,0)</f>
        <v/>
      </c>
      <c r="AU3" s="20">
        <f>ROUNDUP(AU2/12,0)</f>
        <v/>
      </c>
      <c r="AV3" s="20">
        <f>ROUNDUP(AV2/12,0)</f>
        <v/>
      </c>
      <c r="AW3" s="20">
        <f>ROUNDUP(AW2/12,0)</f>
        <v/>
      </c>
      <c r="AX3" s="20">
        <f>ROUNDUP(AX2/12,0)</f>
        <v/>
      </c>
      <c r="AY3" s="20">
        <f>ROUNDUP(AY2/12,0)</f>
        <v/>
      </c>
      <c r="AZ3" s="20">
        <f>ROUNDUP(AZ2/12,0)</f>
        <v/>
      </c>
      <c r="BA3" s="20">
        <f>ROUNDUP(BA2/12,0)</f>
        <v/>
      </c>
      <c r="BB3" s="20">
        <f>ROUNDUP(BB2/12,0)</f>
        <v/>
      </c>
      <c r="BC3" s="20">
        <f>ROUNDUP(BC2/12,0)</f>
        <v/>
      </c>
      <c r="BD3" s="20">
        <f>ROUNDUP(BD2/12,0)</f>
        <v/>
      </c>
      <c r="BE3" s="20">
        <f>ROUNDUP(BE2/12,0)</f>
        <v/>
      </c>
      <c r="BF3" s="20">
        <f>ROUNDUP(BF2/12,0)</f>
        <v/>
      </c>
      <c r="BG3" s="20">
        <f>ROUNDUP(BG2/12,0)</f>
        <v/>
      </c>
      <c r="BH3" s="20">
        <f>ROUNDUP(BH2/12,0)</f>
        <v/>
      </c>
      <c r="BI3" s="20">
        <f>ROUNDUP(BI2/12,0)</f>
        <v/>
      </c>
      <c r="BJ3" s="20">
        <f>ROUNDUP(BJ2/12,0)</f>
        <v/>
      </c>
    </row>
    <row r="4">
      <c r="A4" s="5" t="inlineStr">
        <is>
          <t>Fator de rampa (% da ocupação madura)</t>
        </is>
      </c>
      <c r="B4" s="20" t="n"/>
      <c r="C4" s="7">
        <f>MIN(1,P_R11+(1-P_R11)*(C2-1)/(P_R12-1))</f>
        <v/>
      </c>
      <c r="D4" s="7">
        <f>MIN(1,P_R11+(1-P_R11)*(D2-1)/(P_R12-1))</f>
        <v/>
      </c>
      <c r="E4" s="7">
        <f>MIN(1,P_R11+(1-P_R11)*(E2-1)/(P_R12-1))</f>
        <v/>
      </c>
      <c r="F4" s="7">
        <f>MIN(1,P_R11+(1-P_R11)*(F2-1)/(P_R12-1))</f>
        <v/>
      </c>
      <c r="G4" s="7">
        <f>MIN(1,P_R11+(1-P_R11)*(G2-1)/(P_R12-1))</f>
        <v/>
      </c>
      <c r="H4" s="7">
        <f>MIN(1,P_R11+(1-P_R11)*(H2-1)/(P_R12-1))</f>
        <v/>
      </c>
      <c r="I4" s="7">
        <f>MIN(1,P_R11+(1-P_R11)*(I2-1)/(P_R12-1))</f>
        <v/>
      </c>
      <c r="J4" s="7">
        <f>MIN(1,P_R11+(1-P_R11)*(J2-1)/(P_R12-1))</f>
        <v/>
      </c>
      <c r="K4" s="7">
        <f>MIN(1,P_R11+(1-P_R11)*(K2-1)/(P_R12-1))</f>
        <v/>
      </c>
      <c r="L4" s="7">
        <f>MIN(1,P_R11+(1-P_R11)*(L2-1)/(P_R12-1))</f>
        <v/>
      </c>
      <c r="M4" s="7">
        <f>MIN(1,P_R11+(1-P_R11)*(M2-1)/(P_R12-1))</f>
        <v/>
      </c>
      <c r="N4" s="7">
        <f>MIN(1,P_R11+(1-P_R11)*(N2-1)/(P_R12-1))</f>
        <v/>
      </c>
      <c r="O4" s="7">
        <f>MIN(1,P_R11+(1-P_R11)*(O2-1)/(P_R12-1))</f>
        <v/>
      </c>
      <c r="P4" s="7">
        <f>MIN(1,P_R11+(1-P_R11)*(P2-1)/(P_R12-1))</f>
        <v/>
      </c>
      <c r="Q4" s="7">
        <f>MIN(1,P_R11+(1-P_R11)*(Q2-1)/(P_R12-1))</f>
        <v/>
      </c>
      <c r="R4" s="7">
        <f>MIN(1,P_R11+(1-P_R11)*(R2-1)/(P_R12-1))</f>
        <v/>
      </c>
      <c r="S4" s="7">
        <f>MIN(1,P_R11+(1-P_R11)*(S2-1)/(P_R12-1))</f>
        <v/>
      </c>
      <c r="T4" s="7">
        <f>MIN(1,P_R11+(1-P_R11)*(T2-1)/(P_R12-1))</f>
        <v/>
      </c>
      <c r="U4" s="7">
        <f>MIN(1,P_R11+(1-P_R11)*(U2-1)/(P_R12-1))</f>
        <v/>
      </c>
      <c r="V4" s="7">
        <f>MIN(1,P_R11+(1-P_R11)*(V2-1)/(P_R12-1))</f>
        <v/>
      </c>
      <c r="W4" s="7">
        <f>MIN(1,P_R11+(1-P_R11)*(W2-1)/(P_R12-1))</f>
        <v/>
      </c>
      <c r="X4" s="7">
        <f>MIN(1,P_R11+(1-P_R11)*(X2-1)/(P_R12-1))</f>
        <v/>
      </c>
      <c r="Y4" s="7">
        <f>MIN(1,P_R11+(1-P_R11)*(Y2-1)/(P_R12-1))</f>
        <v/>
      </c>
      <c r="Z4" s="7">
        <f>MIN(1,P_R11+(1-P_R11)*(Z2-1)/(P_R12-1))</f>
        <v/>
      </c>
      <c r="AA4" s="7">
        <f>MIN(1,P_R11+(1-P_R11)*(AA2-1)/(P_R12-1))</f>
        <v/>
      </c>
      <c r="AB4" s="7">
        <f>MIN(1,P_R11+(1-P_R11)*(AB2-1)/(P_R12-1))</f>
        <v/>
      </c>
      <c r="AC4" s="7">
        <f>MIN(1,P_R11+(1-P_R11)*(AC2-1)/(P_R12-1))</f>
        <v/>
      </c>
      <c r="AD4" s="7">
        <f>MIN(1,P_R11+(1-P_R11)*(AD2-1)/(P_R12-1))</f>
        <v/>
      </c>
      <c r="AE4" s="7">
        <f>MIN(1,P_R11+(1-P_R11)*(AE2-1)/(P_R12-1))</f>
        <v/>
      </c>
      <c r="AF4" s="7">
        <f>MIN(1,P_R11+(1-P_R11)*(AF2-1)/(P_R12-1))</f>
        <v/>
      </c>
      <c r="AG4" s="7">
        <f>MIN(1,P_R11+(1-P_R11)*(AG2-1)/(P_R12-1))</f>
        <v/>
      </c>
      <c r="AH4" s="7">
        <f>MIN(1,P_R11+(1-P_R11)*(AH2-1)/(P_R12-1))</f>
        <v/>
      </c>
      <c r="AI4" s="7">
        <f>MIN(1,P_R11+(1-P_R11)*(AI2-1)/(P_R12-1))</f>
        <v/>
      </c>
      <c r="AJ4" s="7">
        <f>MIN(1,P_R11+(1-P_R11)*(AJ2-1)/(P_R12-1))</f>
        <v/>
      </c>
      <c r="AK4" s="7">
        <f>MIN(1,P_R11+(1-P_R11)*(AK2-1)/(P_R12-1))</f>
        <v/>
      </c>
      <c r="AL4" s="7">
        <f>MIN(1,P_R11+(1-P_R11)*(AL2-1)/(P_R12-1))</f>
        <v/>
      </c>
      <c r="AM4" s="7">
        <f>MIN(1,P_R11+(1-P_R11)*(AM2-1)/(P_R12-1))</f>
        <v/>
      </c>
      <c r="AN4" s="7">
        <f>MIN(1,P_R11+(1-P_R11)*(AN2-1)/(P_R12-1))</f>
        <v/>
      </c>
      <c r="AO4" s="7">
        <f>MIN(1,P_R11+(1-P_R11)*(AO2-1)/(P_R12-1))</f>
        <v/>
      </c>
      <c r="AP4" s="7">
        <f>MIN(1,P_R11+(1-P_R11)*(AP2-1)/(P_R12-1))</f>
        <v/>
      </c>
      <c r="AQ4" s="7">
        <f>MIN(1,P_R11+(1-P_R11)*(AQ2-1)/(P_R12-1))</f>
        <v/>
      </c>
      <c r="AR4" s="7">
        <f>MIN(1,P_R11+(1-P_R11)*(AR2-1)/(P_R12-1))</f>
        <v/>
      </c>
      <c r="AS4" s="7">
        <f>MIN(1,P_R11+(1-P_R11)*(AS2-1)/(P_R12-1))</f>
        <v/>
      </c>
      <c r="AT4" s="7">
        <f>MIN(1,P_R11+(1-P_R11)*(AT2-1)/(P_R12-1))</f>
        <v/>
      </c>
      <c r="AU4" s="7">
        <f>MIN(1,P_R11+(1-P_R11)*(AU2-1)/(P_R12-1))</f>
        <v/>
      </c>
      <c r="AV4" s="7">
        <f>MIN(1,P_R11+(1-P_R11)*(AV2-1)/(P_R12-1))</f>
        <v/>
      </c>
      <c r="AW4" s="7">
        <f>MIN(1,P_R11+(1-P_R11)*(AW2-1)/(P_R12-1))</f>
        <v/>
      </c>
      <c r="AX4" s="7">
        <f>MIN(1,P_R11+(1-P_R11)*(AX2-1)/(P_R12-1))</f>
        <v/>
      </c>
      <c r="AY4" s="7">
        <f>MIN(1,P_R11+(1-P_R11)*(AY2-1)/(P_R12-1))</f>
        <v/>
      </c>
      <c r="AZ4" s="7">
        <f>MIN(1,P_R11+(1-P_R11)*(AZ2-1)/(P_R12-1))</f>
        <v/>
      </c>
      <c r="BA4" s="7">
        <f>MIN(1,P_R11+(1-P_R11)*(BA2-1)/(P_R12-1))</f>
        <v/>
      </c>
      <c r="BB4" s="7">
        <f>MIN(1,P_R11+(1-P_R11)*(BB2-1)/(P_R12-1))</f>
        <v/>
      </c>
      <c r="BC4" s="7">
        <f>MIN(1,P_R11+(1-P_R11)*(BC2-1)/(P_R12-1))</f>
        <v/>
      </c>
      <c r="BD4" s="7">
        <f>MIN(1,P_R11+(1-P_R11)*(BD2-1)/(P_R12-1))</f>
        <v/>
      </c>
      <c r="BE4" s="7">
        <f>MIN(1,P_R11+(1-P_R11)*(BE2-1)/(P_R12-1))</f>
        <v/>
      </c>
      <c r="BF4" s="7">
        <f>MIN(1,P_R11+(1-P_R11)*(BF2-1)/(P_R12-1))</f>
        <v/>
      </c>
      <c r="BG4" s="7">
        <f>MIN(1,P_R11+(1-P_R11)*(BG2-1)/(P_R12-1))</f>
        <v/>
      </c>
      <c r="BH4" s="7">
        <f>MIN(1,P_R11+(1-P_R11)*(BH2-1)/(P_R12-1))</f>
        <v/>
      </c>
      <c r="BI4" s="7">
        <f>MIN(1,P_R11+(1-P_R11)*(BI2-1)/(P_R12-1))</f>
        <v/>
      </c>
      <c r="BJ4" s="7">
        <f>MIN(1,P_R11+(1-P_R11)*(BJ2-1)/(P_R12-1))</f>
        <v/>
      </c>
    </row>
    <row r="5">
      <c r="A5" s="5" t="inlineStr">
        <is>
          <t>Pessoas, fim de semana</t>
        </is>
      </c>
      <c r="B5" s="20" t="n"/>
      <c r="C5" s="21">
        <f>P_R01*P_R02*(P_R13*60/P_R03)*P_R04*C4*P_M02</f>
        <v/>
      </c>
      <c r="D5" s="21">
        <f>P_R01*P_R02*(P_R13*60/P_R03)*P_R04*D4*P_M02</f>
        <v/>
      </c>
      <c r="E5" s="21">
        <f>P_R01*P_R02*(P_R13*60/P_R03)*P_R04*E4*P_M02</f>
        <v/>
      </c>
      <c r="F5" s="21">
        <f>P_R01*P_R02*(P_R13*60/P_R03)*P_R04*F4*P_M02</f>
        <v/>
      </c>
      <c r="G5" s="21">
        <f>P_R01*P_R02*(P_R13*60/P_R03)*P_R04*G4*P_M02</f>
        <v/>
      </c>
      <c r="H5" s="21">
        <f>P_R01*P_R02*(P_R13*60/P_R03)*P_R04*H4*P_M02</f>
        <v/>
      </c>
      <c r="I5" s="21">
        <f>P_R01*P_R02*(P_R13*60/P_R03)*P_R04*I4*P_M02</f>
        <v/>
      </c>
      <c r="J5" s="21">
        <f>P_R01*P_R02*(P_R13*60/P_R03)*P_R04*J4*P_M02</f>
        <v/>
      </c>
      <c r="K5" s="21">
        <f>P_R01*P_R02*(P_R13*60/P_R03)*P_R04*K4*P_M02</f>
        <v/>
      </c>
      <c r="L5" s="21">
        <f>P_R01*P_R02*(P_R13*60/P_R03)*P_R04*L4*P_M02</f>
        <v/>
      </c>
      <c r="M5" s="21">
        <f>P_R01*P_R02*(P_R13*60/P_R03)*P_R04*M4*P_M02</f>
        <v/>
      </c>
      <c r="N5" s="21">
        <f>P_R01*P_R02*(P_R13*60/P_R03)*P_R04*N4*P_M02</f>
        <v/>
      </c>
      <c r="O5" s="21">
        <f>P_R01*P_R02*(P_R13*60/P_R03)*P_R04*O4*P_M02</f>
        <v/>
      </c>
      <c r="P5" s="21">
        <f>P_R01*P_R02*(P_R13*60/P_R03)*P_R04*P4*P_M02</f>
        <v/>
      </c>
      <c r="Q5" s="21">
        <f>P_R01*P_R02*(P_R13*60/P_R03)*P_R04*Q4*P_M02</f>
        <v/>
      </c>
      <c r="R5" s="21">
        <f>P_R01*P_R02*(P_R13*60/P_R03)*P_R04*R4*P_M02</f>
        <v/>
      </c>
      <c r="S5" s="21">
        <f>P_R01*P_R02*(P_R13*60/P_R03)*P_R04*S4*P_M02</f>
        <v/>
      </c>
      <c r="T5" s="21">
        <f>P_R01*P_R02*(P_R13*60/P_R03)*P_R04*T4*P_M02</f>
        <v/>
      </c>
      <c r="U5" s="21">
        <f>P_R01*P_R02*(P_R13*60/P_R03)*P_R04*U4*P_M02</f>
        <v/>
      </c>
      <c r="V5" s="21">
        <f>P_R01*P_R02*(P_R13*60/P_R03)*P_R04*V4*P_M02</f>
        <v/>
      </c>
      <c r="W5" s="21">
        <f>P_R01*P_R02*(P_R13*60/P_R03)*P_R04*W4*P_M02</f>
        <v/>
      </c>
      <c r="X5" s="21">
        <f>P_R01*P_R02*(P_R13*60/P_R03)*P_R04*X4*P_M02</f>
        <v/>
      </c>
      <c r="Y5" s="21">
        <f>P_R01*P_R02*(P_R13*60/P_R03)*P_R04*Y4*P_M02</f>
        <v/>
      </c>
      <c r="Z5" s="21">
        <f>P_R01*P_R02*(P_R13*60/P_R03)*P_R04*Z4*P_M02</f>
        <v/>
      </c>
      <c r="AA5" s="21">
        <f>P_R01*P_R02*(P_R13*60/P_R03)*P_R04*AA4*P_M02</f>
        <v/>
      </c>
      <c r="AB5" s="21">
        <f>P_R01*P_R02*(P_R13*60/P_R03)*P_R04*AB4*P_M02</f>
        <v/>
      </c>
      <c r="AC5" s="21">
        <f>P_R01*P_R02*(P_R13*60/P_R03)*P_R04*AC4*P_M02</f>
        <v/>
      </c>
      <c r="AD5" s="21">
        <f>P_R01*P_R02*(P_R13*60/P_R03)*P_R04*AD4*P_M02</f>
        <v/>
      </c>
      <c r="AE5" s="21">
        <f>P_R01*P_R02*(P_R13*60/P_R03)*P_R04*AE4*P_M02</f>
        <v/>
      </c>
      <c r="AF5" s="21">
        <f>P_R01*P_R02*(P_R13*60/P_R03)*P_R04*AF4*P_M02</f>
        <v/>
      </c>
      <c r="AG5" s="21">
        <f>P_R01*P_R02*(P_R13*60/P_R03)*P_R04*AG4*P_M02</f>
        <v/>
      </c>
      <c r="AH5" s="21">
        <f>P_R01*P_R02*(P_R13*60/P_R03)*P_R04*AH4*P_M02</f>
        <v/>
      </c>
      <c r="AI5" s="21">
        <f>P_R01*P_R02*(P_R13*60/P_R03)*P_R04*AI4*P_M02</f>
        <v/>
      </c>
      <c r="AJ5" s="21">
        <f>P_R01*P_R02*(P_R13*60/P_R03)*P_R04*AJ4*P_M02</f>
        <v/>
      </c>
      <c r="AK5" s="21">
        <f>P_R01*P_R02*(P_R13*60/P_R03)*P_R04*AK4*P_M02</f>
        <v/>
      </c>
      <c r="AL5" s="21">
        <f>P_R01*P_R02*(P_R13*60/P_R03)*P_R04*AL4*P_M02</f>
        <v/>
      </c>
      <c r="AM5" s="21">
        <f>P_R01*P_R02*(P_R13*60/P_R03)*P_R04*AM4*P_M02</f>
        <v/>
      </c>
      <c r="AN5" s="21">
        <f>P_R01*P_R02*(P_R13*60/P_R03)*P_R04*AN4*P_M02</f>
        <v/>
      </c>
      <c r="AO5" s="21">
        <f>P_R01*P_R02*(P_R13*60/P_R03)*P_R04*AO4*P_M02</f>
        <v/>
      </c>
      <c r="AP5" s="21">
        <f>P_R01*P_R02*(P_R13*60/P_R03)*P_R04*AP4*P_M02</f>
        <v/>
      </c>
      <c r="AQ5" s="21">
        <f>P_R01*P_R02*(P_R13*60/P_R03)*P_R04*AQ4*P_M02</f>
        <v/>
      </c>
      <c r="AR5" s="21">
        <f>P_R01*P_R02*(P_R13*60/P_R03)*P_R04*AR4*P_M02</f>
        <v/>
      </c>
      <c r="AS5" s="21">
        <f>P_R01*P_R02*(P_R13*60/P_R03)*P_R04*AS4*P_M02</f>
        <v/>
      </c>
      <c r="AT5" s="21">
        <f>P_R01*P_R02*(P_R13*60/P_R03)*P_R04*AT4*P_M02</f>
        <v/>
      </c>
      <c r="AU5" s="21">
        <f>P_R01*P_R02*(P_R13*60/P_R03)*P_R04*AU4*P_M02</f>
        <v/>
      </c>
      <c r="AV5" s="21">
        <f>P_R01*P_R02*(P_R13*60/P_R03)*P_R04*AV4*P_M02</f>
        <v/>
      </c>
      <c r="AW5" s="21">
        <f>P_R01*P_R02*(P_R13*60/P_R03)*P_R04*AW4*P_M02</f>
        <v/>
      </c>
      <c r="AX5" s="21">
        <f>P_R01*P_R02*(P_R13*60/P_R03)*P_R04*AX4*P_M02</f>
        <v/>
      </c>
      <c r="AY5" s="21">
        <f>P_R01*P_R02*(P_R13*60/P_R03)*P_R04*AY4*P_M02</f>
        <v/>
      </c>
      <c r="AZ5" s="21">
        <f>P_R01*P_R02*(P_R13*60/P_R03)*P_R04*AZ4*P_M02</f>
        <v/>
      </c>
      <c r="BA5" s="21">
        <f>P_R01*P_R02*(P_R13*60/P_R03)*P_R04*BA4*P_M02</f>
        <v/>
      </c>
      <c r="BB5" s="21">
        <f>P_R01*P_R02*(P_R13*60/P_R03)*P_R04*BB4*P_M02</f>
        <v/>
      </c>
      <c r="BC5" s="21">
        <f>P_R01*P_R02*(P_R13*60/P_R03)*P_R04*BC4*P_M02</f>
        <v/>
      </c>
      <c r="BD5" s="21">
        <f>P_R01*P_R02*(P_R13*60/P_R03)*P_R04*BD4*P_M02</f>
        <v/>
      </c>
      <c r="BE5" s="21">
        <f>P_R01*P_R02*(P_R13*60/P_R03)*P_R04*BE4*P_M02</f>
        <v/>
      </c>
      <c r="BF5" s="21">
        <f>P_R01*P_R02*(P_R13*60/P_R03)*P_R04*BF4*P_M02</f>
        <v/>
      </c>
      <c r="BG5" s="21">
        <f>P_R01*P_R02*(P_R13*60/P_R03)*P_R04*BG4*P_M02</f>
        <v/>
      </c>
      <c r="BH5" s="21">
        <f>P_R01*P_R02*(P_R13*60/P_R03)*P_R04*BH4*P_M02</f>
        <v/>
      </c>
      <c r="BI5" s="21">
        <f>P_R01*P_R02*(P_R13*60/P_R03)*P_R04*BI4*P_M02</f>
        <v/>
      </c>
      <c r="BJ5" s="21">
        <f>P_R01*P_R02*(P_R13*60/P_R03)*P_R04*BJ4*P_M02</f>
        <v/>
      </c>
    </row>
    <row r="6">
      <c r="A6" s="5" t="inlineStr">
        <is>
          <t>Pessoas, dia útil</t>
        </is>
      </c>
      <c r="B6" s="20" t="n"/>
      <c r="C6" s="21">
        <f>P_R01*P_R02*(P_R14*60/P_R03)*P_R05*C4*P_M02</f>
        <v/>
      </c>
      <c r="D6" s="21">
        <f>P_R01*P_R02*(P_R14*60/P_R03)*P_R05*D4*P_M02</f>
        <v/>
      </c>
      <c r="E6" s="21">
        <f>P_R01*P_R02*(P_R14*60/P_R03)*P_R05*E4*P_M02</f>
        <v/>
      </c>
      <c r="F6" s="21">
        <f>P_R01*P_R02*(P_R14*60/P_R03)*P_R05*F4*P_M02</f>
        <v/>
      </c>
      <c r="G6" s="21">
        <f>P_R01*P_R02*(P_R14*60/P_R03)*P_R05*G4*P_M02</f>
        <v/>
      </c>
      <c r="H6" s="21">
        <f>P_R01*P_R02*(P_R14*60/P_R03)*P_R05*H4*P_M02</f>
        <v/>
      </c>
      <c r="I6" s="21">
        <f>P_R01*P_R02*(P_R14*60/P_R03)*P_R05*I4*P_M02</f>
        <v/>
      </c>
      <c r="J6" s="21">
        <f>P_R01*P_R02*(P_R14*60/P_R03)*P_R05*J4*P_M02</f>
        <v/>
      </c>
      <c r="K6" s="21">
        <f>P_R01*P_R02*(P_R14*60/P_R03)*P_R05*K4*P_M02</f>
        <v/>
      </c>
      <c r="L6" s="21">
        <f>P_R01*P_R02*(P_R14*60/P_R03)*P_R05*L4*P_M02</f>
        <v/>
      </c>
      <c r="M6" s="21">
        <f>P_R01*P_R02*(P_R14*60/P_R03)*P_R05*M4*P_M02</f>
        <v/>
      </c>
      <c r="N6" s="21">
        <f>P_R01*P_R02*(P_R14*60/P_R03)*P_R05*N4*P_M02</f>
        <v/>
      </c>
      <c r="O6" s="21">
        <f>P_R01*P_R02*(P_R14*60/P_R03)*P_R05*O4*P_M02</f>
        <v/>
      </c>
      <c r="P6" s="21">
        <f>P_R01*P_R02*(P_R14*60/P_R03)*P_R05*P4*P_M02</f>
        <v/>
      </c>
      <c r="Q6" s="21">
        <f>P_R01*P_R02*(P_R14*60/P_R03)*P_R05*Q4*P_M02</f>
        <v/>
      </c>
      <c r="R6" s="21">
        <f>P_R01*P_R02*(P_R14*60/P_R03)*P_R05*R4*P_M02</f>
        <v/>
      </c>
      <c r="S6" s="21">
        <f>P_R01*P_R02*(P_R14*60/P_R03)*P_R05*S4*P_M02</f>
        <v/>
      </c>
      <c r="T6" s="21">
        <f>P_R01*P_R02*(P_R14*60/P_R03)*P_R05*T4*P_M02</f>
        <v/>
      </c>
      <c r="U6" s="21">
        <f>P_R01*P_R02*(P_R14*60/P_R03)*P_R05*U4*P_M02</f>
        <v/>
      </c>
      <c r="V6" s="21">
        <f>P_R01*P_R02*(P_R14*60/P_R03)*P_R05*V4*P_M02</f>
        <v/>
      </c>
      <c r="W6" s="21">
        <f>P_R01*P_R02*(P_R14*60/P_R03)*P_R05*W4*P_M02</f>
        <v/>
      </c>
      <c r="X6" s="21">
        <f>P_R01*P_R02*(P_R14*60/P_R03)*P_R05*X4*P_M02</f>
        <v/>
      </c>
      <c r="Y6" s="21">
        <f>P_R01*P_R02*(P_R14*60/P_R03)*P_R05*Y4*P_M02</f>
        <v/>
      </c>
      <c r="Z6" s="21">
        <f>P_R01*P_R02*(P_R14*60/P_R03)*P_R05*Z4*P_M02</f>
        <v/>
      </c>
      <c r="AA6" s="21">
        <f>P_R01*P_R02*(P_R14*60/P_R03)*P_R05*AA4*P_M02</f>
        <v/>
      </c>
      <c r="AB6" s="21">
        <f>P_R01*P_R02*(P_R14*60/P_R03)*P_R05*AB4*P_M02</f>
        <v/>
      </c>
      <c r="AC6" s="21">
        <f>P_R01*P_R02*(P_R14*60/P_R03)*P_R05*AC4*P_M02</f>
        <v/>
      </c>
      <c r="AD6" s="21">
        <f>P_R01*P_R02*(P_R14*60/P_R03)*P_R05*AD4*P_M02</f>
        <v/>
      </c>
      <c r="AE6" s="21">
        <f>P_R01*P_R02*(P_R14*60/P_R03)*P_R05*AE4*P_M02</f>
        <v/>
      </c>
      <c r="AF6" s="21">
        <f>P_R01*P_R02*(P_R14*60/P_R03)*P_R05*AF4*P_M02</f>
        <v/>
      </c>
      <c r="AG6" s="21">
        <f>P_R01*P_R02*(P_R14*60/P_R03)*P_R05*AG4*P_M02</f>
        <v/>
      </c>
      <c r="AH6" s="21">
        <f>P_R01*P_R02*(P_R14*60/P_R03)*P_R05*AH4*P_M02</f>
        <v/>
      </c>
      <c r="AI6" s="21">
        <f>P_R01*P_R02*(P_R14*60/P_R03)*P_R05*AI4*P_M02</f>
        <v/>
      </c>
      <c r="AJ6" s="21">
        <f>P_R01*P_R02*(P_R14*60/P_R03)*P_R05*AJ4*P_M02</f>
        <v/>
      </c>
      <c r="AK6" s="21">
        <f>P_R01*P_R02*(P_R14*60/P_R03)*P_R05*AK4*P_M02</f>
        <v/>
      </c>
      <c r="AL6" s="21">
        <f>P_R01*P_R02*(P_R14*60/P_R03)*P_R05*AL4*P_M02</f>
        <v/>
      </c>
      <c r="AM6" s="21">
        <f>P_R01*P_R02*(P_R14*60/P_R03)*P_R05*AM4*P_M02</f>
        <v/>
      </c>
      <c r="AN6" s="21">
        <f>P_R01*P_R02*(P_R14*60/P_R03)*P_R05*AN4*P_M02</f>
        <v/>
      </c>
      <c r="AO6" s="21">
        <f>P_R01*P_R02*(P_R14*60/P_R03)*P_R05*AO4*P_M02</f>
        <v/>
      </c>
      <c r="AP6" s="21">
        <f>P_R01*P_R02*(P_R14*60/P_R03)*P_R05*AP4*P_M02</f>
        <v/>
      </c>
      <c r="AQ6" s="21">
        <f>P_R01*P_R02*(P_R14*60/P_R03)*P_R05*AQ4*P_M02</f>
        <v/>
      </c>
      <c r="AR6" s="21">
        <f>P_R01*P_R02*(P_R14*60/P_R03)*P_R05*AR4*P_M02</f>
        <v/>
      </c>
      <c r="AS6" s="21">
        <f>P_R01*P_R02*(P_R14*60/P_R03)*P_R05*AS4*P_M02</f>
        <v/>
      </c>
      <c r="AT6" s="21">
        <f>P_R01*P_R02*(P_R14*60/P_R03)*P_R05*AT4*P_M02</f>
        <v/>
      </c>
      <c r="AU6" s="21">
        <f>P_R01*P_R02*(P_R14*60/P_R03)*P_R05*AU4*P_M02</f>
        <v/>
      </c>
      <c r="AV6" s="21">
        <f>P_R01*P_R02*(P_R14*60/P_R03)*P_R05*AV4*P_M02</f>
        <v/>
      </c>
      <c r="AW6" s="21">
        <f>P_R01*P_R02*(P_R14*60/P_R03)*P_R05*AW4*P_M02</f>
        <v/>
      </c>
      <c r="AX6" s="21">
        <f>P_R01*P_R02*(P_R14*60/P_R03)*P_R05*AX4*P_M02</f>
        <v/>
      </c>
      <c r="AY6" s="21">
        <f>P_R01*P_R02*(P_R14*60/P_R03)*P_R05*AY4*P_M02</f>
        <v/>
      </c>
      <c r="AZ6" s="21">
        <f>P_R01*P_R02*(P_R14*60/P_R03)*P_R05*AZ4*P_M02</f>
        <v/>
      </c>
      <c r="BA6" s="21">
        <f>P_R01*P_R02*(P_R14*60/P_R03)*P_R05*BA4*P_M02</f>
        <v/>
      </c>
      <c r="BB6" s="21">
        <f>P_R01*P_R02*(P_R14*60/P_R03)*P_R05*BB4*P_M02</f>
        <v/>
      </c>
      <c r="BC6" s="21">
        <f>P_R01*P_R02*(P_R14*60/P_R03)*P_R05*BC4*P_M02</f>
        <v/>
      </c>
      <c r="BD6" s="21">
        <f>P_R01*P_R02*(P_R14*60/P_R03)*P_R05*BD4*P_M02</f>
        <v/>
      </c>
      <c r="BE6" s="21">
        <f>P_R01*P_R02*(P_R14*60/P_R03)*P_R05*BE4*P_M02</f>
        <v/>
      </c>
      <c r="BF6" s="21">
        <f>P_R01*P_R02*(P_R14*60/P_R03)*P_R05*BF4*P_M02</f>
        <v/>
      </c>
      <c r="BG6" s="21">
        <f>P_R01*P_R02*(P_R14*60/P_R03)*P_R05*BG4*P_M02</f>
        <v/>
      </c>
      <c r="BH6" s="21">
        <f>P_R01*P_R02*(P_R14*60/P_R03)*P_R05*BH4*P_M02</f>
        <v/>
      </c>
      <c r="BI6" s="21">
        <f>P_R01*P_R02*(P_R14*60/P_R03)*P_R05*BI4*P_M02</f>
        <v/>
      </c>
      <c r="BJ6" s="21">
        <f>P_R01*P_R02*(P_R14*60/P_R03)*P_R05*BJ4*P_M02</f>
        <v/>
      </c>
    </row>
    <row r="7">
      <c r="A7" s="5" t="inlineStr">
        <is>
          <t>Pessoas atendidas</t>
        </is>
      </c>
      <c r="B7" s="20" t="n"/>
      <c r="C7" s="21">
        <f>C5+C6</f>
        <v/>
      </c>
      <c r="D7" s="21">
        <f>D5+D6</f>
        <v/>
      </c>
      <c r="E7" s="21">
        <f>E5+E6</f>
        <v/>
      </c>
      <c r="F7" s="21">
        <f>F5+F6</f>
        <v/>
      </c>
      <c r="G7" s="21">
        <f>G5+G6</f>
        <v/>
      </c>
      <c r="H7" s="21">
        <f>H5+H6</f>
        <v/>
      </c>
      <c r="I7" s="21">
        <f>I5+I6</f>
        <v/>
      </c>
      <c r="J7" s="21">
        <f>J5+J6</f>
        <v/>
      </c>
      <c r="K7" s="21">
        <f>K5+K6</f>
        <v/>
      </c>
      <c r="L7" s="21">
        <f>L5+L6</f>
        <v/>
      </c>
      <c r="M7" s="21">
        <f>M5+M6</f>
        <v/>
      </c>
      <c r="N7" s="21">
        <f>N5+N6</f>
        <v/>
      </c>
      <c r="O7" s="21">
        <f>O5+O6</f>
        <v/>
      </c>
      <c r="P7" s="21">
        <f>P5+P6</f>
        <v/>
      </c>
      <c r="Q7" s="21">
        <f>Q5+Q6</f>
        <v/>
      </c>
      <c r="R7" s="21">
        <f>R5+R6</f>
        <v/>
      </c>
      <c r="S7" s="21">
        <f>S5+S6</f>
        <v/>
      </c>
      <c r="T7" s="21">
        <f>T5+T6</f>
        <v/>
      </c>
      <c r="U7" s="21">
        <f>U5+U6</f>
        <v/>
      </c>
      <c r="V7" s="21">
        <f>V5+V6</f>
        <v/>
      </c>
      <c r="W7" s="21">
        <f>W5+W6</f>
        <v/>
      </c>
      <c r="X7" s="21">
        <f>X5+X6</f>
        <v/>
      </c>
      <c r="Y7" s="21">
        <f>Y5+Y6</f>
        <v/>
      </c>
      <c r="Z7" s="21">
        <f>Z5+Z6</f>
        <v/>
      </c>
      <c r="AA7" s="21">
        <f>AA5+AA6</f>
        <v/>
      </c>
      <c r="AB7" s="21">
        <f>AB5+AB6</f>
        <v/>
      </c>
      <c r="AC7" s="21">
        <f>AC5+AC6</f>
        <v/>
      </c>
      <c r="AD7" s="21">
        <f>AD5+AD6</f>
        <v/>
      </c>
      <c r="AE7" s="21">
        <f>AE5+AE6</f>
        <v/>
      </c>
      <c r="AF7" s="21">
        <f>AF5+AF6</f>
        <v/>
      </c>
      <c r="AG7" s="21">
        <f>AG5+AG6</f>
        <v/>
      </c>
      <c r="AH7" s="21">
        <f>AH5+AH6</f>
        <v/>
      </c>
      <c r="AI7" s="21">
        <f>AI5+AI6</f>
        <v/>
      </c>
      <c r="AJ7" s="21">
        <f>AJ5+AJ6</f>
        <v/>
      </c>
      <c r="AK7" s="21">
        <f>AK5+AK6</f>
        <v/>
      </c>
      <c r="AL7" s="21">
        <f>AL5+AL6</f>
        <v/>
      </c>
      <c r="AM7" s="21">
        <f>AM5+AM6</f>
        <v/>
      </c>
      <c r="AN7" s="21">
        <f>AN5+AN6</f>
        <v/>
      </c>
      <c r="AO7" s="21">
        <f>AO5+AO6</f>
        <v/>
      </c>
      <c r="AP7" s="21">
        <f>AP5+AP6</f>
        <v/>
      </c>
      <c r="AQ7" s="21">
        <f>AQ5+AQ6</f>
        <v/>
      </c>
      <c r="AR7" s="21">
        <f>AR5+AR6</f>
        <v/>
      </c>
      <c r="AS7" s="21">
        <f>AS5+AS6</f>
        <v/>
      </c>
      <c r="AT7" s="21">
        <f>AT5+AT6</f>
        <v/>
      </c>
      <c r="AU7" s="21">
        <f>AU5+AU6</f>
        <v/>
      </c>
      <c r="AV7" s="21">
        <f>AV5+AV6</f>
        <v/>
      </c>
      <c r="AW7" s="21">
        <f>AW5+AW6</f>
        <v/>
      </c>
      <c r="AX7" s="21">
        <f>AX5+AX6</f>
        <v/>
      </c>
      <c r="AY7" s="21">
        <f>AY5+AY6</f>
        <v/>
      </c>
      <c r="AZ7" s="21">
        <f>AZ5+AZ6</f>
        <v/>
      </c>
      <c r="BA7" s="21">
        <f>BA5+BA6</f>
        <v/>
      </c>
      <c r="BB7" s="21">
        <f>BB5+BB6</f>
        <v/>
      </c>
      <c r="BC7" s="21">
        <f>BC5+BC6</f>
        <v/>
      </c>
      <c r="BD7" s="21">
        <f>BD5+BD6</f>
        <v/>
      </c>
      <c r="BE7" s="21">
        <f>BE5+BE6</f>
        <v/>
      </c>
      <c r="BF7" s="21">
        <f>BF5+BF6</f>
        <v/>
      </c>
      <c r="BG7" s="21">
        <f>BG5+BG6</f>
        <v/>
      </c>
      <c r="BH7" s="21">
        <f>BH5+BH6</f>
        <v/>
      </c>
      <c r="BI7" s="21">
        <f>BI5+BI6</f>
        <v/>
      </c>
      <c r="BJ7" s="21">
        <f>BJ5+BJ6</f>
        <v/>
      </c>
    </row>
    <row r="8">
      <c r="A8" s="5" t="inlineStr">
        <is>
          <t>Taxa de entrada, fim de semana (R$)</t>
        </is>
      </c>
      <c r="B8" s="20" t="n"/>
      <c r="C8" s="6">
        <f>C5*P_R06</f>
        <v/>
      </c>
      <c r="D8" s="6">
        <f>D5*P_R06</f>
        <v/>
      </c>
      <c r="E8" s="6">
        <f>E5*P_R06</f>
        <v/>
      </c>
      <c r="F8" s="6">
        <f>F5*P_R06</f>
        <v/>
      </c>
      <c r="G8" s="6">
        <f>G5*P_R06</f>
        <v/>
      </c>
      <c r="H8" s="6">
        <f>H5*P_R06</f>
        <v/>
      </c>
      <c r="I8" s="6">
        <f>I5*P_R06</f>
        <v/>
      </c>
      <c r="J8" s="6">
        <f>J5*P_R06</f>
        <v/>
      </c>
      <c r="K8" s="6">
        <f>K5*P_R06</f>
        <v/>
      </c>
      <c r="L8" s="6">
        <f>L5*P_R06</f>
        <v/>
      </c>
      <c r="M8" s="6">
        <f>M5*P_R06</f>
        <v/>
      </c>
      <c r="N8" s="6">
        <f>N5*P_R06</f>
        <v/>
      </c>
      <c r="O8" s="6">
        <f>O5*P_R06</f>
        <v/>
      </c>
      <c r="P8" s="6">
        <f>P5*P_R06</f>
        <v/>
      </c>
      <c r="Q8" s="6">
        <f>Q5*P_R06</f>
        <v/>
      </c>
      <c r="R8" s="6">
        <f>R5*P_R06</f>
        <v/>
      </c>
      <c r="S8" s="6">
        <f>S5*P_R06</f>
        <v/>
      </c>
      <c r="T8" s="6">
        <f>T5*P_R06</f>
        <v/>
      </c>
      <c r="U8" s="6">
        <f>U5*P_R06</f>
        <v/>
      </c>
      <c r="V8" s="6">
        <f>V5*P_R06</f>
        <v/>
      </c>
      <c r="W8" s="6">
        <f>W5*P_R06</f>
        <v/>
      </c>
      <c r="X8" s="6">
        <f>X5*P_R06</f>
        <v/>
      </c>
      <c r="Y8" s="6">
        <f>Y5*P_R06</f>
        <v/>
      </c>
      <c r="Z8" s="6">
        <f>Z5*P_R06</f>
        <v/>
      </c>
      <c r="AA8" s="6">
        <f>AA5*P_R06</f>
        <v/>
      </c>
      <c r="AB8" s="6">
        <f>AB5*P_R06</f>
        <v/>
      </c>
      <c r="AC8" s="6">
        <f>AC5*P_R06</f>
        <v/>
      </c>
      <c r="AD8" s="6">
        <f>AD5*P_R06</f>
        <v/>
      </c>
      <c r="AE8" s="6">
        <f>AE5*P_R06</f>
        <v/>
      </c>
      <c r="AF8" s="6">
        <f>AF5*P_R06</f>
        <v/>
      </c>
      <c r="AG8" s="6">
        <f>AG5*P_R06</f>
        <v/>
      </c>
      <c r="AH8" s="6">
        <f>AH5*P_R06</f>
        <v/>
      </c>
      <c r="AI8" s="6">
        <f>AI5*P_R06</f>
        <v/>
      </c>
      <c r="AJ8" s="6">
        <f>AJ5*P_R06</f>
        <v/>
      </c>
      <c r="AK8" s="6">
        <f>AK5*P_R06</f>
        <v/>
      </c>
      <c r="AL8" s="6">
        <f>AL5*P_R06</f>
        <v/>
      </c>
      <c r="AM8" s="6">
        <f>AM5*P_R06</f>
        <v/>
      </c>
      <c r="AN8" s="6">
        <f>AN5*P_R06</f>
        <v/>
      </c>
      <c r="AO8" s="6">
        <f>AO5*P_R06</f>
        <v/>
      </c>
      <c r="AP8" s="6">
        <f>AP5*P_R06</f>
        <v/>
      </c>
      <c r="AQ8" s="6">
        <f>AQ5*P_R06</f>
        <v/>
      </c>
      <c r="AR8" s="6">
        <f>AR5*P_R06</f>
        <v/>
      </c>
      <c r="AS8" s="6">
        <f>AS5*P_R06</f>
        <v/>
      </c>
      <c r="AT8" s="6">
        <f>AT5*P_R06</f>
        <v/>
      </c>
      <c r="AU8" s="6">
        <f>AU5*P_R06</f>
        <v/>
      </c>
      <c r="AV8" s="6">
        <f>AV5*P_R06</f>
        <v/>
      </c>
      <c r="AW8" s="6">
        <f>AW5*P_R06</f>
        <v/>
      </c>
      <c r="AX8" s="6">
        <f>AX5*P_R06</f>
        <v/>
      </c>
      <c r="AY8" s="6">
        <f>AY5*P_R06</f>
        <v/>
      </c>
      <c r="AZ8" s="6">
        <f>AZ5*P_R06</f>
        <v/>
      </c>
      <c r="BA8" s="6">
        <f>BA5*P_R06</f>
        <v/>
      </c>
      <c r="BB8" s="6">
        <f>BB5*P_R06</f>
        <v/>
      </c>
      <c r="BC8" s="6">
        <f>BC5*P_R06</f>
        <v/>
      </c>
      <c r="BD8" s="6">
        <f>BD5*P_R06</f>
        <v/>
      </c>
      <c r="BE8" s="6">
        <f>BE5*P_R06</f>
        <v/>
      </c>
      <c r="BF8" s="6">
        <f>BF5*P_R06</f>
        <v/>
      </c>
      <c r="BG8" s="6">
        <f>BG5*P_R06</f>
        <v/>
      </c>
      <c r="BH8" s="6">
        <f>BH5*P_R06</f>
        <v/>
      </c>
      <c r="BI8" s="6">
        <f>BI5*P_R06</f>
        <v/>
      </c>
      <c r="BJ8" s="6">
        <f>BJ5*P_R06</f>
        <v/>
      </c>
    </row>
    <row r="9">
      <c r="A9" s="5" t="inlineStr">
        <is>
          <t>Taxa de entrada, dia útil (R$)</t>
        </is>
      </c>
      <c r="B9" s="20" t="n"/>
      <c r="C9" s="6">
        <f>C6*P_R07</f>
        <v/>
      </c>
      <c r="D9" s="6">
        <f>D6*P_R07</f>
        <v/>
      </c>
      <c r="E9" s="6">
        <f>E6*P_R07</f>
        <v/>
      </c>
      <c r="F9" s="6">
        <f>F6*P_R07</f>
        <v/>
      </c>
      <c r="G9" s="6">
        <f>G6*P_R07</f>
        <v/>
      </c>
      <c r="H9" s="6">
        <f>H6*P_R07</f>
        <v/>
      </c>
      <c r="I9" s="6">
        <f>I6*P_R07</f>
        <v/>
      </c>
      <c r="J9" s="6">
        <f>J6*P_R07</f>
        <v/>
      </c>
      <c r="K9" s="6">
        <f>K6*P_R07</f>
        <v/>
      </c>
      <c r="L9" s="6">
        <f>L6*P_R07</f>
        <v/>
      </c>
      <c r="M9" s="6">
        <f>M6*P_R07</f>
        <v/>
      </c>
      <c r="N9" s="6">
        <f>N6*P_R07</f>
        <v/>
      </c>
      <c r="O9" s="6">
        <f>O6*P_R07</f>
        <v/>
      </c>
      <c r="P9" s="6">
        <f>P6*P_R07</f>
        <v/>
      </c>
      <c r="Q9" s="6">
        <f>Q6*P_R07</f>
        <v/>
      </c>
      <c r="R9" s="6">
        <f>R6*P_R07</f>
        <v/>
      </c>
      <c r="S9" s="6">
        <f>S6*P_R07</f>
        <v/>
      </c>
      <c r="T9" s="6">
        <f>T6*P_R07</f>
        <v/>
      </c>
      <c r="U9" s="6">
        <f>U6*P_R07</f>
        <v/>
      </c>
      <c r="V9" s="6">
        <f>V6*P_R07</f>
        <v/>
      </c>
      <c r="W9" s="6">
        <f>W6*P_R07</f>
        <v/>
      </c>
      <c r="X9" s="6">
        <f>X6*P_R07</f>
        <v/>
      </c>
      <c r="Y9" s="6">
        <f>Y6*P_R07</f>
        <v/>
      </c>
      <c r="Z9" s="6">
        <f>Z6*P_R07</f>
        <v/>
      </c>
      <c r="AA9" s="6">
        <f>AA6*P_R07</f>
        <v/>
      </c>
      <c r="AB9" s="6">
        <f>AB6*P_R07</f>
        <v/>
      </c>
      <c r="AC9" s="6">
        <f>AC6*P_R07</f>
        <v/>
      </c>
      <c r="AD9" s="6">
        <f>AD6*P_R07</f>
        <v/>
      </c>
      <c r="AE9" s="6">
        <f>AE6*P_R07</f>
        <v/>
      </c>
      <c r="AF9" s="6">
        <f>AF6*P_R07</f>
        <v/>
      </c>
      <c r="AG9" s="6">
        <f>AG6*P_R07</f>
        <v/>
      </c>
      <c r="AH9" s="6">
        <f>AH6*P_R07</f>
        <v/>
      </c>
      <c r="AI9" s="6">
        <f>AI6*P_R07</f>
        <v/>
      </c>
      <c r="AJ9" s="6">
        <f>AJ6*P_R07</f>
        <v/>
      </c>
      <c r="AK9" s="6">
        <f>AK6*P_R07</f>
        <v/>
      </c>
      <c r="AL9" s="6">
        <f>AL6*P_R07</f>
        <v/>
      </c>
      <c r="AM9" s="6">
        <f>AM6*P_R07</f>
        <v/>
      </c>
      <c r="AN9" s="6">
        <f>AN6*P_R07</f>
        <v/>
      </c>
      <c r="AO9" s="6">
        <f>AO6*P_R07</f>
        <v/>
      </c>
      <c r="AP9" s="6">
        <f>AP6*P_R07</f>
        <v/>
      </c>
      <c r="AQ9" s="6">
        <f>AQ6*P_R07</f>
        <v/>
      </c>
      <c r="AR9" s="6">
        <f>AR6*P_R07</f>
        <v/>
      </c>
      <c r="AS9" s="6">
        <f>AS6*P_R07</f>
        <v/>
      </c>
      <c r="AT9" s="6">
        <f>AT6*P_R07</f>
        <v/>
      </c>
      <c r="AU9" s="6">
        <f>AU6*P_R07</f>
        <v/>
      </c>
      <c r="AV9" s="6">
        <f>AV6*P_R07</f>
        <v/>
      </c>
      <c r="AW9" s="6">
        <f>AW6*P_R07</f>
        <v/>
      </c>
      <c r="AX9" s="6">
        <f>AX6*P_R07</f>
        <v/>
      </c>
      <c r="AY9" s="6">
        <f>AY6*P_R07</f>
        <v/>
      </c>
      <c r="AZ9" s="6">
        <f>AZ6*P_R07</f>
        <v/>
      </c>
      <c r="BA9" s="6">
        <f>BA6*P_R07</f>
        <v/>
      </c>
      <c r="BB9" s="6">
        <f>BB6*P_R07</f>
        <v/>
      </c>
      <c r="BC9" s="6">
        <f>BC6*P_R07</f>
        <v/>
      </c>
      <c r="BD9" s="6">
        <f>BD6*P_R07</f>
        <v/>
      </c>
      <c r="BE9" s="6">
        <f>BE6*P_R07</f>
        <v/>
      </c>
      <c r="BF9" s="6">
        <f>BF6*P_R07</f>
        <v/>
      </c>
      <c r="BG9" s="6">
        <f>BG6*P_R07</f>
        <v/>
      </c>
      <c r="BH9" s="6">
        <f>BH6*P_R07</f>
        <v/>
      </c>
      <c r="BI9" s="6">
        <f>BI6*P_R07</f>
        <v/>
      </c>
      <c r="BJ9" s="6">
        <f>BJ6*P_R07</f>
        <v/>
      </c>
    </row>
    <row r="10">
      <c r="A10" s="5" t="inlineStr">
        <is>
          <t>Alimentos e bebidas (R$)</t>
        </is>
      </c>
      <c r="B10" s="20" t="n"/>
      <c r="C10" s="6">
        <f>C7*P_R08</f>
        <v/>
      </c>
      <c r="D10" s="6">
        <f>D7*P_R08</f>
        <v/>
      </c>
      <c r="E10" s="6">
        <f>E7*P_R08</f>
        <v/>
      </c>
      <c r="F10" s="6">
        <f>F7*P_R08</f>
        <v/>
      </c>
      <c r="G10" s="6">
        <f>G7*P_R08</f>
        <v/>
      </c>
      <c r="H10" s="6">
        <f>H7*P_R08</f>
        <v/>
      </c>
      <c r="I10" s="6">
        <f>I7*P_R08</f>
        <v/>
      </c>
      <c r="J10" s="6">
        <f>J7*P_R08</f>
        <v/>
      </c>
      <c r="K10" s="6">
        <f>K7*P_R08</f>
        <v/>
      </c>
      <c r="L10" s="6">
        <f>L7*P_R08</f>
        <v/>
      </c>
      <c r="M10" s="6">
        <f>M7*P_R08</f>
        <v/>
      </c>
      <c r="N10" s="6">
        <f>N7*P_R08</f>
        <v/>
      </c>
      <c r="O10" s="6">
        <f>O7*P_R08</f>
        <v/>
      </c>
      <c r="P10" s="6">
        <f>P7*P_R08</f>
        <v/>
      </c>
      <c r="Q10" s="6">
        <f>Q7*P_R08</f>
        <v/>
      </c>
      <c r="R10" s="6">
        <f>R7*P_R08</f>
        <v/>
      </c>
      <c r="S10" s="6">
        <f>S7*P_R08</f>
        <v/>
      </c>
      <c r="T10" s="6">
        <f>T7*P_R08</f>
        <v/>
      </c>
      <c r="U10" s="6">
        <f>U7*P_R08</f>
        <v/>
      </c>
      <c r="V10" s="6">
        <f>V7*P_R08</f>
        <v/>
      </c>
      <c r="W10" s="6">
        <f>W7*P_R08</f>
        <v/>
      </c>
      <c r="X10" s="6">
        <f>X7*P_R08</f>
        <v/>
      </c>
      <c r="Y10" s="6">
        <f>Y7*P_R08</f>
        <v/>
      </c>
      <c r="Z10" s="6">
        <f>Z7*P_R08</f>
        <v/>
      </c>
      <c r="AA10" s="6">
        <f>AA7*P_R08</f>
        <v/>
      </c>
      <c r="AB10" s="6">
        <f>AB7*P_R08</f>
        <v/>
      </c>
      <c r="AC10" s="6">
        <f>AC7*P_R08</f>
        <v/>
      </c>
      <c r="AD10" s="6">
        <f>AD7*P_R08</f>
        <v/>
      </c>
      <c r="AE10" s="6">
        <f>AE7*P_R08</f>
        <v/>
      </c>
      <c r="AF10" s="6">
        <f>AF7*P_R08</f>
        <v/>
      </c>
      <c r="AG10" s="6">
        <f>AG7*P_R08</f>
        <v/>
      </c>
      <c r="AH10" s="6">
        <f>AH7*P_R08</f>
        <v/>
      </c>
      <c r="AI10" s="6">
        <f>AI7*P_R08</f>
        <v/>
      </c>
      <c r="AJ10" s="6">
        <f>AJ7*P_R08</f>
        <v/>
      </c>
      <c r="AK10" s="6">
        <f>AK7*P_R08</f>
        <v/>
      </c>
      <c r="AL10" s="6">
        <f>AL7*P_R08</f>
        <v/>
      </c>
      <c r="AM10" s="6">
        <f>AM7*P_R08</f>
        <v/>
      </c>
      <c r="AN10" s="6">
        <f>AN7*P_R08</f>
        <v/>
      </c>
      <c r="AO10" s="6">
        <f>AO7*P_R08</f>
        <v/>
      </c>
      <c r="AP10" s="6">
        <f>AP7*P_R08</f>
        <v/>
      </c>
      <c r="AQ10" s="6">
        <f>AQ7*P_R08</f>
        <v/>
      </c>
      <c r="AR10" s="6">
        <f>AR7*P_R08</f>
        <v/>
      </c>
      <c r="AS10" s="6">
        <f>AS7*P_R08</f>
        <v/>
      </c>
      <c r="AT10" s="6">
        <f>AT7*P_R08</f>
        <v/>
      </c>
      <c r="AU10" s="6">
        <f>AU7*P_R08</f>
        <v/>
      </c>
      <c r="AV10" s="6">
        <f>AV7*P_R08</f>
        <v/>
      </c>
      <c r="AW10" s="6">
        <f>AW7*P_R08</f>
        <v/>
      </c>
      <c r="AX10" s="6">
        <f>AX7*P_R08</f>
        <v/>
      </c>
      <c r="AY10" s="6">
        <f>AY7*P_R08</f>
        <v/>
      </c>
      <c r="AZ10" s="6">
        <f>AZ7*P_R08</f>
        <v/>
      </c>
      <c r="BA10" s="6">
        <f>BA7*P_R08</f>
        <v/>
      </c>
      <c r="BB10" s="6">
        <f>BB7*P_R08</f>
        <v/>
      </c>
      <c r="BC10" s="6">
        <f>BC7*P_R08</f>
        <v/>
      </c>
      <c r="BD10" s="6">
        <f>BD7*P_R08</f>
        <v/>
      </c>
      <c r="BE10" s="6">
        <f>BE7*P_R08</f>
        <v/>
      </c>
      <c r="BF10" s="6">
        <f>BF7*P_R08</f>
        <v/>
      </c>
      <c r="BG10" s="6">
        <f>BG7*P_R08</f>
        <v/>
      </c>
      <c r="BH10" s="6">
        <f>BH7*P_R08</f>
        <v/>
      </c>
      <c r="BI10" s="6">
        <f>BI7*P_R08</f>
        <v/>
      </c>
      <c r="BJ10" s="6">
        <f>BJ7*P_R08</f>
        <v/>
      </c>
    </row>
    <row r="11">
      <c r="A11" s="5" t="inlineStr">
        <is>
          <t>Aluguel de jogos (R$)</t>
        </is>
      </c>
      <c r="B11" s="20" t="n"/>
      <c r="C11" s="6">
        <f>P_R09*P_R10*C4</f>
        <v/>
      </c>
      <c r="D11" s="6">
        <f>P_R09*P_R10*D4</f>
        <v/>
      </c>
      <c r="E11" s="6">
        <f>P_R09*P_R10*E4</f>
        <v/>
      </c>
      <c r="F11" s="6">
        <f>P_R09*P_R10*F4</f>
        <v/>
      </c>
      <c r="G11" s="6">
        <f>P_R09*P_R10*G4</f>
        <v/>
      </c>
      <c r="H11" s="6">
        <f>P_R09*P_R10*H4</f>
        <v/>
      </c>
      <c r="I11" s="6">
        <f>P_R09*P_R10*I4</f>
        <v/>
      </c>
      <c r="J11" s="6">
        <f>P_R09*P_R10*J4</f>
        <v/>
      </c>
      <c r="K11" s="6">
        <f>P_R09*P_R10*K4</f>
        <v/>
      </c>
      <c r="L11" s="6">
        <f>P_R09*P_R10*L4</f>
        <v/>
      </c>
      <c r="M11" s="6">
        <f>P_R09*P_R10*M4</f>
        <v/>
      </c>
      <c r="N11" s="6">
        <f>P_R09*P_R10*N4</f>
        <v/>
      </c>
      <c r="O11" s="6">
        <f>P_R09*P_R10*O4</f>
        <v/>
      </c>
      <c r="P11" s="6">
        <f>P_R09*P_R10*P4</f>
        <v/>
      </c>
      <c r="Q11" s="6">
        <f>P_R09*P_R10*Q4</f>
        <v/>
      </c>
      <c r="R11" s="6">
        <f>P_R09*P_R10*R4</f>
        <v/>
      </c>
      <c r="S11" s="6">
        <f>P_R09*P_R10*S4</f>
        <v/>
      </c>
      <c r="T11" s="6">
        <f>P_R09*P_R10*T4</f>
        <v/>
      </c>
      <c r="U11" s="6">
        <f>P_R09*P_R10*U4</f>
        <v/>
      </c>
      <c r="V11" s="6">
        <f>P_R09*P_R10*V4</f>
        <v/>
      </c>
      <c r="W11" s="6">
        <f>P_R09*P_R10*W4</f>
        <v/>
      </c>
      <c r="X11" s="6">
        <f>P_R09*P_R10*X4</f>
        <v/>
      </c>
      <c r="Y11" s="6">
        <f>P_R09*P_R10*Y4</f>
        <v/>
      </c>
      <c r="Z11" s="6">
        <f>P_R09*P_R10*Z4</f>
        <v/>
      </c>
      <c r="AA11" s="6">
        <f>P_R09*P_R10*AA4</f>
        <v/>
      </c>
      <c r="AB11" s="6">
        <f>P_R09*P_R10*AB4</f>
        <v/>
      </c>
      <c r="AC11" s="6">
        <f>P_R09*P_R10*AC4</f>
        <v/>
      </c>
      <c r="AD11" s="6">
        <f>P_R09*P_R10*AD4</f>
        <v/>
      </c>
      <c r="AE11" s="6">
        <f>P_R09*P_R10*AE4</f>
        <v/>
      </c>
      <c r="AF11" s="6">
        <f>P_R09*P_R10*AF4</f>
        <v/>
      </c>
      <c r="AG11" s="6">
        <f>P_R09*P_R10*AG4</f>
        <v/>
      </c>
      <c r="AH11" s="6">
        <f>P_R09*P_R10*AH4</f>
        <v/>
      </c>
      <c r="AI11" s="6">
        <f>P_R09*P_R10*AI4</f>
        <v/>
      </c>
      <c r="AJ11" s="6">
        <f>P_R09*P_R10*AJ4</f>
        <v/>
      </c>
      <c r="AK11" s="6">
        <f>P_R09*P_R10*AK4</f>
        <v/>
      </c>
      <c r="AL11" s="6">
        <f>P_R09*P_R10*AL4</f>
        <v/>
      </c>
      <c r="AM11" s="6">
        <f>P_R09*P_R10*AM4</f>
        <v/>
      </c>
      <c r="AN11" s="6">
        <f>P_R09*P_R10*AN4</f>
        <v/>
      </c>
      <c r="AO11" s="6">
        <f>P_R09*P_R10*AO4</f>
        <v/>
      </c>
      <c r="AP11" s="6">
        <f>P_R09*P_R10*AP4</f>
        <v/>
      </c>
      <c r="AQ11" s="6">
        <f>P_R09*P_R10*AQ4</f>
        <v/>
      </c>
      <c r="AR11" s="6">
        <f>P_R09*P_R10*AR4</f>
        <v/>
      </c>
      <c r="AS11" s="6">
        <f>P_R09*P_R10*AS4</f>
        <v/>
      </c>
      <c r="AT11" s="6">
        <f>P_R09*P_R10*AT4</f>
        <v/>
      </c>
      <c r="AU11" s="6">
        <f>P_R09*P_R10*AU4</f>
        <v/>
      </c>
      <c r="AV11" s="6">
        <f>P_R09*P_R10*AV4</f>
        <v/>
      </c>
      <c r="AW11" s="6">
        <f>P_R09*P_R10*AW4</f>
        <v/>
      </c>
      <c r="AX11" s="6">
        <f>P_R09*P_R10*AX4</f>
        <v/>
      </c>
      <c r="AY11" s="6">
        <f>P_R09*P_R10*AY4</f>
        <v/>
      </c>
      <c r="AZ11" s="6">
        <f>P_R09*P_R10*AZ4</f>
        <v/>
      </c>
      <c r="BA11" s="6">
        <f>P_R09*P_R10*BA4</f>
        <v/>
      </c>
      <c r="BB11" s="6">
        <f>P_R09*P_R10*BB4</f>
        <v/>
      </c>
      <c r="BC11" s="6">
        <f>P_R09*P_R10*BC4</f>
        <v/>
      </c>
      <c r="BD11" s="6">
        <f>P_R09*P_R10*BD4</f>
        <v/>
      </c>
      <c r="BE11" s="6">
        <f>P_R09*P_R10*BE4</f>
        <v/>
      </c>
      <c r="BF11" s="6">
        <f>P_R09*P_R10*BF4</f>
        <v/>
      </c>
      <c r="BG11" s="6">
        <f>P_R09*P_R10*BG4</f>
        <v/>
      </c>
      <c r="BH11" s="6">
        <f>P_R09*P_R10*BH4</f>
        <v/>
      </c>
      <c r="BI11" s="6">
        <f>P_R09*P_R10*BI4</f>
        <v/>
      </c>
      <c r="BJ11" s="6">
        <f>P_R09*P_R10*BJ4</f>
        <v/>
      </c>
    </row>
    <row r="12">
      <c r="A12" s="8" t="inlineStr">
        <is>
          <t>Receita bruta (R$)</t>
        </is>
      </c>
      <c r="B12" s="12" t="n"/>
      <c r="C12" s="9">
        <f>SUM(C8:C11)</f>
        <v/>
      </c>
      <c r="D12" s="9">
        <f>SUM(D8:D11)</f>
        <v/>
      </c>
      <c r="E12" s="9">
        <f>SUM(E8:E11)</f>
        <v/>
      </c>
      <c r="F12" s="9">
        <f>SUM(F8:F11)</f>
        <v/>
      </c>
      <c r="G12" s="9">
        <f>SUM(G8:G11)</f>
        <v/>
      </c>
      <c r="H12" s="9">
        <f>SUM(H8:H11)</f>
        <v/>
      </c>
      <c r="I12" s="9">
        <f>SUM(I8:I11)</f>
        <v/>
      </c>
      <c r="J12" s="9">
        <f>SUM(J8:J11)</f>
        <v/>
      </c>
      <c r="K12" s="9">
        <f>SUM(K8:K11)</f>
        <v/>
      </c>
      <c r="L12" s="9">
        <f>SUM(L8:L11)</f>
        <v/>
      </c>
      <c r="M12" s="9">
        <f>SUM(M8:M11)</f>
        <v/>
      </c>
      <c r="N12" s="9">
        <f>SUM(N8:N11)</f>
        <v/>
      </c>
      <c r="O12" s="9">
        <f>SUM(O8:O11)</f>
        <v/>
      </c>
      <c r="P12" s="9">
        <f>SUM(P8:P11)</f>
        <v/>
      </c>
      <c r="Q12" s="9">
        <f>SUM(Q8:Q11)</f>
        <v/>
      </c>
      <c r="R12" s="9">
        <f>SUM(R8:R11)</f>
        <v/>
      </c>
      <c r="S12" s="9">
        <f>SUM(S8:S11)</f>
        <v/>
      </c>
      <c r="T12" s="9">
        <f>SUM(T8:T11)</f>
        <v/>
      </c>
      <c r="U12" s="9">
        <f>SUM(U8:U11)</f>
        <v/>
      </c>
      <c r="V12" s="9">
        <f>SUM(V8:V11)</f>
        <v/>
      </c>
      <c r="W12" s="9">
        <f>SUM(W8:W11)</f>
        <v/>
      </c>
      <c r="X12" s="9">
        <f>SUM(X8:X11)</f>
        <v/>
      </c>
      <c r="Y12" s="9">
        <f>SUM(Y8:Y11)</f>
        <v/>
      </c>
      <c r="Z12" s="9">
        <f>SUM(Z8:Z11)</f>
        <v/>
      </c>
      <c r="AA12" s="9">
        <f>SUM(AA8:AA11)</f>
        <v/>
      </c>
      <c r="AB12" s="9">
        <f>SUM(AB8:AB11)</f>
        <v/>
      </c>
      <c r="AC12" s="9">
        <f>SUM(AC8:AC11)</f>
        <v/>
      </c>
      <c r="AD12" s="9">
        <f>SUM(AD8:AD11)</f>
        <v/>
      </c>
      <c r="AE12" s="9">
        <f>SUM(AE8:AE11)</f>
        <v/>
      </c>
      <c r="AF12" s="9">
        <f>SUM(AF8:AF11)</f>
        <v/>
      </c>
      <c r="AG12" s="9">
        <f>SUM(AG8:AG11)</f>
        <v/>
      </c>
      <c r="AH12" s="9">
        <f>SUM(AH8:AH11)</f>
        <v/>
      </c>
      <c r="AI12" s="9">
        <f>SUM(AI8:AI11)</f>
        <v/>
      </c>
      <c r="AJ12" s="9">
        <f>SUM(AJ8:AJ11)</f>
        <v/>
      </c>
      <c r="AK12" s="9">
        <f>SUM(AK8:AK11)</f>
        <v/>
      </c>
      <c r="AL12" s="9">
        <f>SUM(AL8:AL11)</f>
        <v/>
      </c>
      <c r="AM12" s="9">
        <f>SUM(AM8:AM11)</f>
        <v/>
      </c>
      <c r="AN12" s="9">
        <f>SUM(AN8:AN11)</f>
        <v/>
      </c>
      <c r="AO12" s="9">
        <f>SUM(AO8:AO11)</f>
        <v/>
      </c>
      <c r="AP12" s="9">
        <f>SUM(AP8:AP11)</f>
        <v/>
      </c>
      <c r="AQ12" s="9">
        <f>SUM(AQ8:AQ11)</f>
        <v/>
      </c>
      <c r="AR12" s="9">
        <f>SUM(AR8:AR11)</f>
        <v/>
      </c>
      <c r="AS12" s="9">
        <f>SUM(AS8:AS11)</f>
        <v/>
      </c>
      <c r="AT12" s="9">
        <f>SUM(AT8:AT11)</f>
        <v/>
      </c>
      <c r="AU12" s="9">
        <f>SUM(AU8:AU11)</f>
        <v/>
      </c>
      <c r="AV12" s="9">
        <f>SUM(AV8:AV11)</f>
        <v/>
      </c>
      <c r="AW12" s="9">
        <f>SUM(AW8:AW11)</f>
        <v/>
      </c>
      <c r="AX12" s="9">
        <f>SUM(AX8:AX11)</f>
        <v/>
      </c>
      <c r="AY12" s="9">
        <f>SUM(AY8:AY11)</f>
        <v/>
      </c>
      <c r="AZ12" s="9">
        <f>SUM(AZ8:AZ11)</f>
        <v/>
      </c>
      <c r="BA12" s="9">
        <f>SUM(BA8:BA11)</f>
        <v/>
      </c>
      <c r="BB12" s="9">
        <f>SUM(BB8:BB11)</f>
        <v/>
      </c>
      <c r="BC12" s="9">
        <f>SUM(BC8:BC11)</f>
        <v/>
      </c>
      <c r="BD12" s="9">
        <f>SUM(BD8:BD11)</f>
        <v/>
      </c>
      <c r="BE12" s="9">
        <f>SUM(BE8:BE11)</f>
        <v/>
      </c>
      <c r="BF12" s="9">
        <f>SUM(BF8:BF11)</f>
        <v/>
      </c>
      <c r="BG12" s="9">
        <f>SUM(BG8:BG11)</f>
        <v/>
      </c>
      <c r="BH12" s="9">
        <f>SUM(BH8:BH11)</f>
        <v/>
      </c>
      <c r="BI12" s="9">
        <f>SUM(BI8:BI11)</f>
        <v/>
      </c>
      <c r="BJ12" s="9">
        <f>SUM(BJ8:BJ11)</f>
        <v/>
      </c>
    </row>
  </sheetData>
  <mergeCells count="1">
    <mergeCell ref="A1:B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Custos e despesas mensais projetados (preços de out/2026)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</row>
    <row r="2">
      <c r="A2" s="4" t="inlineStr">
        <is>
          <t>Mês</t>
        </is>
      </c>
      <c r="B2" s="4" t="n"/>
      <c r="C2" s="22" t="n">
        <v>1</v>
      </c>
      <c r="D2" s="22" t="n">
        <v>2</v>
      </c>
      <c r="E2" s="22" t="n">
        <v>3</v>
      </c>
      <c r="F2" s="22" t="n">
        <v>4</v>
      </c>
      <c r="G2" s="22" t="n">
        <v>5</v>
      </c>
      <c r="H2" s="22" t="n">
        <v>6</v>
      </c>
      <c r="I2" s="22" t="n">
        <v>7</v>
      </c>
      <c r="J2" s="22" t="n">
        <v>8</v>
      </c>
      <c r="K2" s="22" t="n">
        <v>9</v>
      </c>
      <c r="L2" s="22" t="n">
        <v>10</v>
      </c>
      <c r="M2" s="22" t="n">
        <v>11</v>
      </c>
      <c r="N2" s="22" t="n">
        <v>12</v>
      </c>
      <c r="O2" s="22" t="n">
        <v>13</v>
      </c>
      <c r="P2" s="22" t="n">
        <v>14</v>
      </c>
      <c r="Q2" s="22" t="n">
        <v>15</v>
      </c>
      <c r="R2" s="22" t="n">
        <v>16</v>
      </c>
      <c r="S2" s="22" t="n">
        <v>17</v>
      </c>
      <c r="T2" s="22" t="n">
        <v>18</v>
      </c>
      <c r="U2" s="22" t="n">
        <v>19</v>
      </c>
      <c r="V2" s="22" t="n">
        <v>20</v>
      </c>
      <c r="W2" s="22" t="n">
        <v>21</v>
      </c>
      <c r="X2" s="22" t="n">
        <v>22</v>
      </c>
      <c r="Y2" s="22" t="n">
        <v>23</v>
      </c>
      <c r="Z2" s="22" t="n">
        <v>24</v>
      </c>
      <c r="AA2" s="22" t="n">
        <v>25</v>
      </c>
      <c r="AB2" s="22" t="n">
        <v>26</v>
      </c>
      <c r="AC2" s="22" t="n">
        <v>27</v>
      </c>
      <c r="AD2" s="22" t="n">
        <v>28</v>
      </c>
      <c r="AE2" s="22" t="n">
        <v>29</v>
      </c>
      <c r="AF2" s="22" t="n">
        <v>30</v>
      </c>
      <c r="AG2" s="22" t="n">
        <v>31</v>
      </c>
      <c r="AH2" s="22" t="n">
        <v>32</v>
      </c>
      <c r="AI2" s="22" t="n">
        <v>33</v>
      </c>
      <c r="AJ2" s="22" t="n">
        <v>34</v>
      </c>
      <c r="AK2" s="22" t="n">
        <v>35</v>
      </c>
      <c r="AL2" s="22" t="n">
        <v>36</v>
      </c>
      <c r="AM2" s="22" t="n">
        <v>37</v>
      </c>
      <c r="AN2" s="22" t="n">
        <v>38</v>
      </c>
      <c r="AO2" s="22" t="n">
        <v>39</v>
      </c>
      <c r="AP2" s="22" t="n">
        <v>40</v>
      </c>
      <c r="AQ2" s="22" t="n">
        <v>41</v>
      </c>
      <c r="AR2" s="22" t="n">
        <v>42</v>
      </c>
      <c r="AS2" s="22" t="n">
        <v>43</v>
      </c>
      <c r="AT2" s="22" t="n">
        <v>44</v>
      </c>
      <c r="AU2" s="22" t="n">
        <v>45</v>
      </c>
      <c r="AV2" s="22" t="n">
        <v>46</v>
      </c>
      <c r="AW2" s="22" t="n">
        <v>47</v>
      </c>
      <c r="AX2" s="22" t="n">
        <v>48</v>
      </c>
      <c r="AY2" s="22" t="n">
        <v>49</v>
      </c>
      <c r="AZ2" s="22" t="n">
        <v>50</v>
      </c>
      <c r="BA2" s="22" t="n">
        <v>51</v>
      </c>
      <c r="BB2" s="22" t="n">
        <v>52</v>
      </c>
      <c r="BC2" s="22" t="n">
        <v>53</v>
      </c>
      <c r="BD2" s="22" t="n">
        <v>54</v>
      </c>
      <c r="BE2" s="22" t="n">
        <v>55</v>
      </c>
      <c r="BF2" s="22" t="n">
        <v>56</v>
      </c>
      <c r="BG2" s="22" t="n">
        <v>57</v>
      </c>
      <c r="BH2" s="22" t="n">
        <v>58</v>
      </c>
      <c r="BI2" s="22" t="n">
        <v>59</v>
      </c>
      <c r="BJ2" s="22" t="n">
        <v>60</v>
      </c>
    </row>
    <row r="3">
      <c r="A3" s="5" t="inlineStr">
        <is>
          <t>Ano</t>
        </is>
      </c>
      <c r="B3" s="6" t="n"/>
      <c r="C3" s="23">
        <f>receitas!C3</f>
        <v/>
      </c>
      <c r="D3" s="23">
        <f>receitas!D3</f>
        <v/>
      </c>
      <c r="E3" s="23">
        <f>receitas!E3</f>
        <v/>
      </c>
      <c r="F3" s="23">
        <f>receitas!F3</f>
        <v/>
      </c>
      <c r="G3" s="23">
        <f>receitas!G3</f>
        <v/>
      </c>
      <c r="H3" s="23">
        <f>receitas!H3</f>
        <v/>
      </c>
      <c r="I3" s="23">
        <f>receitas!I3</f>
        <v/>
      </c>
      <c r="J3" s="23">
        <f>receitas!J3</f>
        <v/>
      </c>
      <c r="K3" s="23">
        <f>receitas!K3</f>
        <v/>
      </c>
      <c r="L3" s="23">
        <f>receitas!L3</f>
        <v/>
      </c>
      <c r="M3" s="23">
        <f>receitas!M3</f>
        <v/>
      </c>
      <c r="N3" s="23">
        <f>receitas!N3</f>
        <v/>
      </c>
      <c r="O3" s="23">
        <f>receitas!O3</f>
        <v/>
      </c>
      <c r="P3" s="23">
        <f>receitas!P3</f>
        <v/>
      </c>
      <c r="Q3" s="23">
        <f>receitas!Q3</f>
        <v/>
      </c>
      <c r="R3" s="23">
        <f>receitas!R3</f>
        <v/>
      </c>
      <c r="S3" s="23">
        <f>receitas!S3</f>
        <v/>
      </c>
      <c r="T3" s="23">
        <f>receitas!T3</f>
        <v/>
      </c>
      <c r="U3" s="23">
        <f>receitas!U3</f>
        <v/>
      </c>
      <c r="V3" s="23">
        <f>receitas!V3</f>
        <v/>
      </c>
      <c r="W3" s="23">
        <f>receitas!W3</f>
        <v/>
      </c>
      <c r="X3" s="23">
        <f>receitas!X3</f>
        <v/>
      </c>
      <c r="Y3" s="23">
        <f>receitas!Y3</f>
        <v/>
      </c>
      <c r="Z3" s="23">
        <f>receitas!Z3</f>
        <v/>
      </c>
      <c r="AA3" s="23">
        <f>receitas!AA3</f>
        <v/>
      </c>
      <c r="AB3" s="23">
        <f>receitas!AB3</f>
        <v/>
      </c>
      <c r="AC3" s="23">
        <f>receitas!AC3</f>
        <v/>
      </c>
      <c r="AD3" s="23">
        <f>receitas!AD3</f>
        <v/>
      </c>
      <c r="AE3" s="23">
        <f>receitas!AE3</f>
        <v/>
      </c>
      <c r="AF3" s="23">
        <f>receitas!AF3</f>
        <v/>
      </c>
      <c r="AG3" s="23">
        <f>receitas!AG3</f>
        <v/>
      </c>
      <c r="AH3" s="23">
        <f>receitas!AH3</f>
        <v/>
      </c>
      <c r="AI3" s="23">
        <f>receitas!AI3</f>
        <v/>
      </c>
      <c r="AJ3" s="23">
        <f>receitas!AJ3</f>
        <v/>
      </c>
      <c r="AK3" s="23">
        <f>receitas!AK3</f>
        <v/>
      </c>
      <c r="AL3" s="23">
        <f>receitas!AL3</f>
        <v/>
      </c>
      <c r="AM3" s="23">
        <f>receitas!AM3</f>
        <v/>
      </c>
      <c r="AN3" s="23">
        <f>receitas!AN3</f>
        <v/>
      </c>
      <c r="AO3" s="23">
        <f>receitas!AO3</f>
        <v/>
      </c>
      <c r="AP3" s="23">
        <f>receitas!AP3</f>
        <v/>
      </c>
      <c r="AQ3" s="23">
        <f>receitas!AQ3</f>
        <v/>
      </c>
      <c r="AR3" s="23">
        <f>receitas!AR3</f>
        <v/>
      </c>
      <c r="AS3" s="23">
        <f>receitas!AS3</f>
        <v/>
      </c>
      <c r="AT3" s="23">
        <f>receitas!AT3</f>
        <v/>
      </c>
      <c r="AU3" s="23">
        <f>receitas!AU3</f>
        <v/>
      </c>
      <c r="AV3" s="23">
        <f>receitas!AV3</f>
        <v/>
      </c>
      <c r="AW3" s="23">
        <f>receitas!AW3</f>
        <v/>
      </c>
      <c r="AX3" s="23">
        <f>receitas!AX3</f>
        <v/>
      </c>
      <c r="AY3" s="23">
        <f>receitas!AY3</f>
        <v/>
      </c>
      <c r="AZ3" s="23">
        <f>receitas!AZ3</f>
        <v/>
      </c>
      <c r="BA3" s="23">
        <f>receitas!BA3</f>
        <v/>
      </c>
      <c r="BB3" s="23">
        <f>receitas!BB3</f>
        <v/>
      </c>
      <c r="BC3" s="23">
        <f>receitas!BC3</f>
        <v/>
      </c>
      <c r="BD3" s="23">
        <f>receitas!BD3</f>
        <v/>
      </c>
      <c r="BE3" s="23">
        <f>receitas!BE3</f>
        <v/>
      </c>
      <c r="BF3" s="23">
        <f>receitas!BF3</f>
        <v/>
      </c>
      <c r="BG3" s="23">
        <f>receitas!BG3</f>
        <v/>
      </c>
      <c r="BH3" s="23">
        <f>receitas!BH3</f>
        <v/>
      </c>
      <c r="BI3" s="23">
        <f>receitas!BI3</f>
        <v/>
      </c>
      <c r="BJ3" s="23">
        <f>receitas!BJ3</f>
        <v/>
      </c>
    </row>
    <row r="4">
      <c r="A4" s="5" t="inlineStr">
        <is>
          <t>Simples Nacional (R$)</t>
        </is>
      </c>
      <c r="B4" s="6" t="n"/>
      <c r="C4" s="6">
        <f>receitas!C10*INDEX(simples!$B$24:$F$24,C3)+(receitas!C8+receitas!C9+receitas!C11)*INDEX(simples!$B$25:$F$25,C3)</f>
        <v/>
      </c>
      <c r="D4" s="6">
        <f>receitas!D10*INDEX(simples!$B$24:$F$24,D3)+(receitas!D8+receitas!D9+receitas!D11)*INDEX(simples!$B$25:$F$25,D3)</f>
        <v/>
      </c>
      <c r="E4" s="6">
        <f>receitas!E10*INDEX(simples!$B$24:$F$24,E3)+(receitas!E8+receitas!E9+receitas!E11)*INDEX(simples!$B$25:$F$25,E3)</f>
        <v/>
      </c>
      <c r="F4" s="6">
        <f>receitas!F10*INDEX(simples!$B$24:$F$24,F3)+(receitas!F8+receitas!F9+receitas!F11)*INDEX(simples!$B$25:$F$25,F3)</f>
        <v/>
      </c>
      <c r="G4" s="6">
        <f>receitas!G10*INDEX(simples!$B$24:$F$24,G3)+(receitas!G8+receitas!G9+receitas!G11)*INDEX(simples!$B$25:$F$25,G3)</f>
        <v/>
      </c>
      <c r="H4" s="6">
        <f>receitas!H10*INDEX(simples!$B$24:$F$24,H3)+(receitas!H8+receitas!H9+receitas!H11)*INDEX(simples!$B$25:$F$25,H3)</f>
        <v/>
      </c>
      <c r="I4" s="6">
        <f>receitas!I10*INDEX(simples!$B$24:$F$24,I3)+(receitas!I8+receitas!I9+receitas!I11)*INDEX(simples!$B$25:$F$25,I3)</f>
        <v/>
      </c>
      <c r="J4" s="6">
        <f>receitas!J10*INDEX(simples!$B$24:$F$24,J3)+(receitas!J8+receitas!J9+receitas!J11)*INDEX(simples!$B$25:$F$25,J3)</f>
        <v/>
      </c>
      <c r="K4" s="6">
        <f>receitas!K10*INDEX(simples!$B$24:$F$24,K3)+(receitas!K8+receitas!K9+receitas!K11)*INDEX(simples!$B$25:$F$25,K3)</f>
        <v/>
      </c>
      <c r="L4" s="6">
        <f>receitas!L10*INDEX(simples!$B$24:$F$24,L3)+(receitas!L8+receitas!L9+receitas!L11)*INDEX(simples!$B$25:$F$25,L3)</f>
        <v/>
      </c>
      <c r="M4" s="6">
        <f>receitas!M10*INDEX(simples!$B$24:$F$24,M3)+(receitas!M8+receitas!M9+receitas!M11)*INDEX(simples!$B$25:$F$25,M3)</f>
        <v/>
      </c>
      <c r="N4" s="6">
        <f>receitas!N10*INDEX(simples!$B$24:$F$24,N3)+(receitas!N8+receitas!N9+receitas!N11)*INDEX(simples!$B$25:$F$25,N3)</f>
        <v/>
      </c>
      <c r="O4" s="6">
        <f>receitas!O10*INDEX(simples!$B$24:$F$24,O3)+(receitas!O8+receitas!O9+receitas!O11)*INDEX(simples!$B$25:$F$25,O3)</f>
        <v/>
      </c>
      <c r="P4" s="6">
        <f>receitas!P10*INDEX(simples!$B$24:$F$24,P3)+(receitas!P8+receitas!P9+receitas!P11)*INDEX(simples!$B$25:$F$25,P3)</f>
        <v/>
      </c>
      <c r="Q4" s="6">
        <f>receitas!Q10*INDEX(simples!$B$24:$F$24,Q3)+(receitas!Q8+receitas!Q9+receitas!Q11)*INDEX(simples!$B$25:$F$25,Q3)</f>
        <v/>
      </c>
      <c r="R4" s="6">
        <f>receitas!R10*INDEX(simples!$B$24:$F$24,R3)+(receitas!R8+receitas!R9+receitas!R11)*INDEX(simples!$B$25:$F$25,R3)</f>
        <v/>
      </c>
      <c r="S4" s="6">
        <f>receitas!S10*INDEX(simples!$B$24:$F$24,S3)+(receitas!S8+receitas!S9+receitas!S11)*INDEX(simples!$B$25:$F$25,S3)</f>
        <v/>
      </c>
      <c r="T4" s="6">
        <f>receitas!T10*INDEX(simples!$B$24:$F$24,T3)+(receitas!T8+receitas!T9+receitas!T11)*INDEX(simples!$B$25:$F$25,T3)</f>
        <v/>
      </c>
      <c r="U4" s="6">
        <f>receitas!U10*INDEX(simples!$B$24:$F$24,U3)+(receitas!U8+receitas!U9+receitas!U11)*INDEX(simples!$B$25:$F$25,U3)</f>
        <v/>
      </c>
      <c r="V4" s="6">
        <f>receitas!V10*INDEX(simples!$B$24:$F$24,V3)+(receitas!V8+receitas!V9+receitas!V11)*INDEX(simples!$B$25:$F$25,V3)</f>
        <v/>
      </c>
      <c r="W4" s="6">
        <f>receitas!W10*INDEX(simples!$B$24:$F$24,W3)+(receitas!W8+receitas!W9+receitas!W11)*INDEX(simples!$B$25:$F$25,W3)</f>
        <v/>
      </c>
      <c r="X4" s="6">
        <f>receitas!X10*INDEX(simples!$B$24:$F$24,X3)+(receitas!X8+receitas!X9+receitas!X11)*INDEX(simples!$B$25:$F$25,X3)</f>
        <v/>
      </c>
      <c r="Y4" s="6">
        <f>receitas!Y10*INDEX(simples!$B$24:$F$24,Y3)+(receitas!Y8+receitas!Y9+receitas!Y11)*INDEX(simples!$B$25:$F$25,Y3)</f>
        <v/>
      </c>
      <c r="Z4" s="6">
        <f>receitas!Z10*INDEX(simples!$B$24:$F$24,Z3)+(receitas!Z8+receitas!Z9+receitas!Z11)*INDEX(simples!$B$25:$F$25,Z3)</f>
        <v/>
      </c>
      <c r="AA4" s="6">
        <f>receitas!AA10*INDEX(simples!$B$24:$F$24,AA3)+(receitas!AA8+receitas!AA9+receitas!AA11)*INDEX(simples!$B$25:$F$25,AA3)</f>
        <v/>
      </c>
      <c r="AB4" s="6">
        <f>receitas!AB10*INDEX(simples!$B$24:$F$24,AB3)+(receitas!AB8+receitas!AB9+receitas!AB11)*INDEX(simples!$B$25:$F$25,AB3)</f>
        <v/>
      </c>
      <c r="AC4" s="6">
        <f>receitas!AC10*INDEX(simples!$B$24:$F$24,AC3)+(receitas!AC8+receitas!AC9+receitas!AC11)*INDEX(simples!$B$25:$F$25,AC3)</f>
        <v/>
      </c>
      <c r="AD4" s="6">
        <f>receitas!AD10*INDEX(simples!$B$24:$F$24,AD3)+(receitas!AD8+receitas!AD9+receitas!AD11)*INDEX(simples!$B$25:$F$25,AD3)</f>
        <v/>
      </c>
      <c r="AE4" s="6">
        <f>receitas!AE10*INDEX(simples!$B$24:$F$24,AE3)+(receitas!AE8+receitas!AE9+receitas!AE11)*INDEX(simples!$B$25:$F$25,AE3)</f>
        <v/>
      </c>
      <c r="AF4" s="6">
        <f>receitas!AF10*INDEX(simples!$B$24:$F$24,AF3)+(receitas!AF8+receitas!AF9+receitas!AF11)*INDEX(simples!$B$25:$F$25,AF3)</f>
        <v/>
      </c>
      <c r="AG4" s="6">
        <f>receitas!AG10*INDEX(simples!$B$24:$F$24,AG3)+(receitas!AG8+receitas!AG9+receitas!AG11)*INDEX(simples!$B$25:$F$25,AG3)</f>
        <v/>
      </c>
      <c r="AH4" s="6">
        <f>receitas!AH10*INDEX(simples!$B$24:$F$24,AH3)+(receitas!AH8+receitas!AH9+receitas!AH11)*INDEX(simples!$B$25:$F$25,AH3)</f>
        <v/>
      </c>
      <c r="AI4" s="6">
        <f>receitas!AI10*INDEX(simples!$B$24:$F$24,AI3)+(receitas!AI8+receitas!AI9+receitas!AI11)*INDEX(simples!$B$25:$F$25,AI3)</f>
        <v/>
      </c>
      <c r="AJ4" s="6">
        <f>receitas!AJ10*INDEX(simples!$B$24:$F$24,AJ3)+(receitas!AJ8+receitas!AJ9+receitas!AJ11)*INDEX(simples!$B$25:$F$25,AJ3)</f>
        <v/>
      </c>
      <c r="AK4" s="6">
        <f>receitas!AK10*INDEX(simples!$B$24:$F$24,AK3)+(receitas!AK8+receitas!AK9+receitas!AK11)*INDEX(simples!$B$25:$F$25,AK3)</f>
        <v/>
      </c>
      <c r="AL4" s="6">
        <f>receitas!AL10*INDEX(simples!$B$24:$F$24,AL3)+(receitas!AL8+receitas!AL9+receitas!AL11)*INDEX(simples!$B$25:$F$25,AL3)</f>
        <v/>
      </c>
      <c r="AM4" s="6">
        <f>receitas!AM10*INDEX(simples!$B$24:$F$24,AM3)+(receitas!AM8+receitas!AM9+receitas!AM11)*INDEX(simples!$B$25:$F$25,AM3)</f>
        <v/>
      </c>
      <c r="AN4" s="6">
        <f>receitas!AN10*INDEX(simples!$B$24:$F$24,AN3)+(receitas!AN8+receitas!AN9+receitas!AN11)*INDEX(simples!$B$25:$F$25,AN3)</f>
        <v/>
      </c>
      <c r="AO4" s="6">
        <f>receitas!AO10*INDEX(simples!$B$24:$F$24,AO3)+(receitas!AO8+receitas!AO9+receitas!AO11)*INDEX(simples!$B$25:$F$25,AO3)</f>
        <v/>
      </c>
      <c r="AP4" s="6">
        <f>receitas!AP10*INDEX(simples!$B$24:$F$24,AP3)+(receitas!AP8+receitas!AP9+receitas!AP11)*INDEX(simples!$B$25:$F$25,AP3)</f>
        <v/>
      </c>
      <c r="AQ4" s="6">
        <f>receitas!AQ10*INDEX(simples!$B$24:$F$24,AQ3)+(receitas!AQ8+receitas!AQ9+receitas!AQ11)*INDEX(simples!$B$25:$F$25,AQ3)</f>
        <v/>
      </c>
      <c r="AR4" s="6">
        <f>receitas!AR10*INDEX(simples!$B$24:$F$24,AR3)+(receitas!AR8+receitas!AR9+receitas!AR11)*INDEX(simples!$B$25:$F$25,AR3)</f>
        <v/>
      </c>
      <c r="AS4" s="6">
        <f>receitas!AS10*INDEX(simples!$B$24:$F$24,AS3)+(receitas!AS8+receitas!AS9+receitas!AS11)*INDEX(simples!$B$25:$F$25,AS3)</f>
        <v/>
      </c>
      <c r="AT4" s="6">
        <f>receitas!AT10*INDEX(simples!$B$24:$F$24,AT3)+(receitas!AT8+receitas!AT9+receitas!AT11)*INDEX(simples!$B$25:$F$25,AT3)</f>
        <v/>
      </c>
      <c r="AU4" s="6">
        <f>receitas!AU10*INDEX(simples!$B$24:$F$24,AU3)+(receitas!AU8+receitas!AU9+receitas!AU11)*INDEX(simples!$B$25:$F$25,AU3)</f>
        <v/>
      </c>
      <c r="AV4" s="6">
        <f>receitas!AV10*INDEX(simples!$B$24:$F$24,AV3)+(receitas!AV8+receitas!AV9+receitas!AV11)*INDEX(simples!$B$25:$F$25,AV3)</f>
        <v/>
      </c>
      <c r="AW4" s="6">
        <f>receitas!AW10*INDEX(simples!$B$24:$F$24,AW3)+(receitas!AW8+receitas!AW9+receitas!AW11)*INDEX(simples!$B$25:$F$25,AW3)</f>
        <v/>
      </c>
      <c r="AX4" s="6">
        <f>receitas!AX10*INDEX(simples!$B$24:$F$24,AX3)+(receitas!AX8+receitas!AX9+receitas!AX11)*INDEX(simples!$B$25:$F$25,AX3)</f>
        <v/>
      </c>
      <c r="AY4" s="6">
        <f>receitas!AY10*INDEX(simples!$B$24:$F$24,AY3)+(receitas!AY8+receitas!AY9+receitas!AY11)*INDEX(simples!$B$25:$F$25,AY3)</f>
        <v/>
      </c>
      <c r="AZ4" s="6">
        <f>receitas!AZ10*INDEX(simples!$B$24:$F$24,AZ3)+(receitas!AZ8+receitas!AZ9+receitas!AZ11)*INDEX(simples!$B$25:$F$25,AZ3)</f>
        <v/>
      </c>
      <c r="BA4" s="6">
        <f>receitas!BA10*INDEX(simples!$B$24:$F$24,BA3)+(receitas!BA8+receitas!BA9+receitas!BA11)*INDEX(simples!$B$25:$F$25,BA3)</f>
        <v/>
      </c>
      <c r="BB4" s="6">
        <f>receitas!BB10*INDEX(simples!$B$24:$F$24,BB3)+(receitas!BB8+receitas!BB9+receitas!BB11)*INDEX(simples!$B$25:$F$25,BB3)</f>
        <v/>
      </c>
      <c r="BC4" s="6">
        <f>receitas!BC10*INDEX(simples!$B$24:$F$24,BC3)+(receitas!BC8+receitas!BC9+receitas!BC11)*INDEX(simples!$B$25:$F$25,BC3)</f>
        <v/>
      </c>
      <c r="BD4" s="6">
        <f>receitas!BD10*INDEX(simples!$B$24:$F$24,BD3)+(receitas!BD8+receitas!BD9+receitas!BD11)*INDEX(simples!$B$25:$F$25,BD3)</f>
        <v/>
      </c>
      <c r="BE4" s="6">
        <f>receitas!BE10*INDEX(simples!$B$24:$F$24,BE3)+(receitas!BE8+receitas!BE9+receitas!BE11)*INDEX(simples!$B$25:$F$25,BE3)</f>
        <v/>
      </c>
      <c r="BF4" s="6">
        <f>receitas!BF10*INDEX(simples!$B$24:$F$24,BF3)+(receitas!BF8+receitas!BF9+receitas!BF11)*INDEX(simples!$B$25:$F$25,BF3)</f>
        <v/>
      </c>
      <c r="BG4" s="6">
        <f>receitas!BG10*INDEX(simples!$B$24:$F$24,BG3)+(receitas!BG8+receitas!BG9+receitas!BG11)*INDEX(simples!$B$25:$F$25,BG3)</f>
        <v/>
      </c>
      <c r="BH4" s="6">
        <f>receitas!BH10*INDEX(simples!$B$24:$F$24,BH3)+(receitas!BH8+receitas!BH9+receitas!BH11)*INDEX(simples!$B$25:$F$25,BH3)</f>
        <v/>
      </c>
      <c r="BI4" s="6">
        <f>receitas!BI10*INDEX(simples!$B$24:$F$24,BI3)+(receitas!BI8+receitas!BI9+receitas!BI11)*INDEX(simples!$B$25:$F$25,BI3)</f>
        <v/>
      </c>
      <c r="BJ4" s="6">
        <f>receitas!BJ10*INDEX(simples!$B$24:$F$24,BJ3)+(receitas!BJ8+receitas!BJ9+receitas!BJ11)*INDEX(simples!$B$25:$F$25,BJ3)</f>
        <v/>
      </c>
    </row>
    <row r="5">
      <c r="A5" s="5" t="inlineStr">
        <is>
          <t>CMV de alimentos e bebidas (R$)</t>
        </is>
      </c>
      <c r="B5" s="6" t="n"/>
      <c r="C5" s="6">
        <f>receitas!C10*P_C01</f>
        <v/>
      </c>
      <c r="D5" s="6">
        <f>receitas!D10*P_C01</f>
        <v/>
      </c>
      <c r="E5" s="6">
        <f>receitas!E10*P_C01</f>
        <v/>
      </c>
      <c r="F5" s="6">
        <f>receitas!F10*P_C01</f>
        <v/>
      </c>
      <c r="G5" s="6">
        <f>receitas!G10*P_C01</f>
        <v/>
      </c>
      <c r="H5" s="6">
        <f>receitas!H10*P_C01</f>
        <v/>
      </c>
      <c r="I5" s="6">
        <f>receitas!I10*P_C01</f>
        <v/>
      </c>
      <c r="J5" s="6">
        <f>receitas!J10*P_C01</f>
        <v/>
      </c>
      <c r="K5" s="6">
        <f>receitas!K10*P_C01</f>
        <v/>
      </c>
      <c r="L5" s="6">
        <f>receitas!L10*P_C01</f>
        <v/>
      </c>
      <c r="M5" s="6">
        <f>receitas!M10*P_C01</f>
        <v/>
      </c>
      <c r="N5" s="6">
        <f>receitas!N10*P_C01</f>
        <v/>
      </c>
      <c r="O5" s="6">
        <f>receitas!O10*P_C01</f>
        <v/>
      </c>
      <c r="P5" s="6">
        <f>receitas!P10*P_C01</f>
        <v/>
      </c>
      <c r="Q5" s="6">
        <f>receitas!Q10*P_C01</f>
        <v/>
      </c>
      <c r="R5" s="6">
        <f>receitas!R10*P_C01</f>
        <v/>
      </c>
      <c r="S5" s="6">
        <f>receitas!S10*P_C01</f>
        <v/>
      </c>
      <c r="T5" s="6">
        <f>receitas!T10*P_C01</f>
        <v/>
      </c>
      <c r="U5" s="6">
        <f>receitas!U10*P_C01</f>
        <v/>
      </c>
      <c r="V5" s="6">
        <f>receitas!V10*P_C01</f>
        <v/>
      </c>
      <c r="W5" s="6">
        <f>receitas!W10*P_C01</f>
        <v/>
      </c>
      <c r="X5" s="6">
        <f>receitas!X10*P_C01</f>
        <v/>
      </c>
      <c r="Y5" s="6">
        <f>receitas!Y10*P_C01</f>
        <v/>
      </c>
      <c r="Z5" s="6">
        <f>receitas!Z10*P_C01</f>
        <v/>
      </c>
      <c r="AA5" s="6">
        <f>receitas!AA10*P_C01</f>
        <v/>
      </c>
      <c r="AB5" s="6">
        <f>receitas!AB10*P_C01</f>
        <v/>
      </c>
      <c r="AC5" s="6">
        <f>receitas!AC10*P_C01</f>
        <v/>
      </c>
      <c r="AD5" s="6">
        <f>receitas!AD10*P_C01</f>
        <v/>
      </c>
      <c r="AE5" s="6">
        <f>receitas!AE10*P_C01</f>
        <v/>
      </c>
      <c r="AF5" s="6">
        <f>receitas!AF10*P_C01</f>
        <v/>
      </c>
      <c r="AG5" s="6">
        <f>receitas!AG10*P_C01</f>
        <v/>
      </c>
      <c r="AH5" s="6">
        <f>receitas!AH10*P_C01</f>
        <v/>
      </c>
      <c r="AI5" s="6">
        <f>receitas!AI10*P_C01</f>
        <v/>
      </c>
      <c r="AJ5" s="6">
        <f>receitas!AJ10*P_C01</f>
        <v/>
      </c>
      <c r="AK5" s="6">
        <f>receitas!AK10*P_C01</f>
        <v/>
      </c>
      <c r="AL5" s="6">
        <f>receitas!AL10*P_C01</f>
        <v/>
      </c>
      <c r="AM5" s="6">
        <f>receitas!AM10*P_C01</f>
        <v/>
      </c>
      <c r="AN5" s="6">
        <f>receitas!AN10*P_C01</f>
        <v/>
      </c>
      <c r="AO5" s="6">
        <f>receitas!AO10*P_C01</f>
        <v/>
      </c>
      <c r="AP5" s="6">
        <f>receitas!AP10*P_C01</f>
        <v/>
      </c>
      <c r="AQ5" s="6">
        <f>receitas!AQ10*P_C01</f>
        <v/>
      </c>
      <c r="AR5" s="6">
        <f>receitas!AR10*P_C01</f>
        <v/>
      </c>
      <c r="AS5" s="6">
        <f>receitas!AS10*P_C01</f>
        <v/>
      </c>
      <c r="AT5" s="6">
        <f>receitas!AT10*P_C01</f>
        <v/>
      </c>
      <c r="AU5" s="6">
        <f>receitas!AU10*P_C01</f>
        <v/>
      </c>
      <c r="AV5" s="6">
        <f>receitas!AV10*P_C01</f>
        <v/>
      </c>
      <c r="AW5" s="6">
        <f>receitas!AW10*P_C01</f>
        <v/>
      </c>
      <c r="AX5" s="6">
        <f>receitas!AX10*P_C01</f>
        <v/>
      </c>
      <c r="AY5" s="6">
        <f>receitas!AY10*P_C01</f>
        <v/>
      </c>
      <c r="AZ5" s="6">
        <f>receitas!AZ10*P_C01</f>
        <v/>
      </c>
      <c r="BA5" s="6">
        <f>receitas!BA10*P_C01</f>
        <v/>
      </c>
      <c r="BB5" s="6">
        <f>receitas!BB10*P_C01</f>
        <v/>
      </c>
      <c r="BC5" s="6">
        <f>receitas!BC10*P_C01</f>
        <v/>
      </c>
      <c r="BD5" s="6">
        <f>receitas!BD10*P_C01</f>
        <v/>
      </c>
      <c r="BE5" s="6">
        <f>receitas!BE10*P_C01</f>
        <v/>
      </c>
      <c r="BF5" s="6">
        <f>receitas!BF10*P_C01</f>
        <v/>
      </c>
      <c r="BG5" s="6">
        <f>receitas!BG10*P_C01</f>
        <v/>
      </c>
      <c r="BH5" s="6">
        <f>receitas!BH10*P_C01</f>
        <v/>
      </c>
      <c r="BI5" s="6">
        <f>receitas!BI10*P_C01</f>
        <v/>
      </c>
      <c r="BJ5" s="6">
        <f>receitas!BJ10*P_C01</f>
        <v/>
      </c>
    </row>
    <row r="6">
      <c r="A6" s="5" t="inlineStr">
        <is>
          <t>Taxa de cartão (R$)</t>
        </is>
      </c>
      <c r="B6" s="6" t="n"/>
      <c r="C6" s="6">
        <f>receitas!C12*P_C02</f>
        <v/>
      </c>
      <c r="D6" s="6">
        <f>receitas!D12*P_C02</f>
        <v/>
      </c>
      <c r="E6" s="6">
        <f>receitas!E12*P_C02</f>
        <v/>
      </c>
      <c r="F6" s="6">
        <f>receitas!F12*P_C02</f>
        <v/>
      </c>
      <c r="G6" s="6">
        <f>receitas!G12*P_C02</f>
        <v/>
      </c>
      <c r="H6" s="6">
        <f>receitas!H12*P_C02</f>
        <v/>
      </c>
      <c r="I6" s="6">
        <f>receitas!I12*P_C02</f>
        <v/>
      </c>
      <c r="J6" s="6">
        <f>receitas!J12*P_C02</f>
        <v/>
      </c>
      <c r="K6" s="6">
        <f>receitas!K12*P_C02</f>
        <v/>
      </c>
      <c r="L6" s="6">
        <f>receitas!L12*P_C02</f>
        <v/>
      </c>
      <c r="M6" s="6">
        <f>receitas!M12*P_C02</f>
        <v/>
      </c>
      <c r="N6" s="6">
        <f>receitas!N12*P_C02</f>
        <v/>
      </c>
      <c r="O6" s="6">
        <f>receitas!O12*P_C02</f>
        <v/>
      </c>
      <c r="P6" s="6">
        <f>receitas!P12*P_C02</f>
        <v/>
      </c>
      <c r="Q6" s="6">
        <f>receitas!Q12*P_C02</f>
        <v/>
      </c>
      <c r="R6" s="6">
        <f>receitas!R12*P_C02</f>
        <v/>
      </c>
      <c r="S6" s="6">
        <f>receitas!S12*P_C02</f>
        <v/>
      </c>
      <c r="T6" s="6">
        <f>receitas!T12*P_C02</f>
        <v/>
      </c>
      <c r="U6" s="6">
        <f>receitas!U12*P_C02</f>
        <v/>
      </c>
      <c r="V6" s="6">
        <f>receitas!V12*P_C02</f>
        <v/>
      </c>
      <c r="W6" s="6">
        <f>receitas!W12*P_C02</f>
        <v/>
      </c>
      <c r="X6" s="6">
        <f>receitas!X12*P_C02</f>
        <v/>
      </c>
      <c r="Y6" s="6">
        <f>receitas!Y12*P_C02</f>
        <v/>
      </c>
      <c r="Z6" s="6">
        <f>receitas!Z12*P_C02</f>
        <v/>
      </c>
      <c r="AA6" s="6">
        <f>receitas!AA12*P_C02</f>
        <v/>
      </c>
      <c r="AB6" s="6">
        <f>receitas!AB12*P_C02</f>
        <v/>
      </c>
      <c r="AC6" s="6">
        <f>receitas!AC12*P_C02</f>
        <v/>
      </c>
      <c r="AD6" s="6">
        <f>receitas!AD12*P_C02</f>
        <v/>
      </c>
      <c r="AE6" s="6">
        <f>receitas!AE12*P_C02</f>
        <v/>
      </c>
      <c r="AF6" s="6">
        <f>receitas!AF12*P_C02</f>
        <v/>
      </c>
      <c r="AG6" s="6">
        <f>receitas!AG12*P_C02</f>
        <v/>
      </c>
      <c r="AH6" s="6">
        <f>receitas!AH12*P_C02</f>
        <v/>
      </c>
      <c r="AI6" s="6">
        <f>receitas!AI12*P_C02</f>
        <v/>
      </c>
      <c r="AJ6" s="6">
        <f>receitas!AJ12*P_C02</f>
        <v/>
      </c>
      <c r="AK6" s="6">
        <f>receitas!AK12*P_C02</f>
        <v/>
      </c>
      <c r="AL6" s="6">
        <f>receitas!AL12*P_C02</f>
        <v/>
      </c>
      <c r="AM6" s="6">
        <f>receitas!AM12*P_C02</f>
        <v/>
      </c>
      <c r="AN6" s="6">
        <f>receitas!AN12*P_C02</f>
        <v/>
      </c>
      <c r="AO6" s="6">
        <f>receitas!AO12*P_C02</f>
        <v/>
      </c>
      <c r="AP6" s="6">
        <f>receitas!AP12*P_C02</f>
        <v/>
      </c>
      <c r="AQ6" s="6">
        <f>receitas!AQ12*P_C02</f>
        <v/>
      </c>
      <c r="AR6" s="6">
        <f>receitas!AR12*P_C02</f>
        <v/>
      </c>
      <c r="AS6" s="6">
        <f>receitas!AS12*P_C02</f>
        <v/>
      </c>
      <c r="AT6" s="6">
        <f>receitas!AT12*P_C02</f>
        <v/>
      </c>
      <c r="AU6" s="6">
        <f>receitas!AU12*P_C02</f>
        <v/>
      </c>
      <c r="AV6" s="6">
        <f>receitas!AV12*P_C02</f>
        <v/>
      </c>
      <c r="AW6" s="6">
        <f>receitas!AW12*P_C02</f>
        <v/>
      </c>
      <c r="AX6" s="6">
        <f>receitas!AX12*P_C02</f>
        <v/>
      </c>
      <c r="AY6" s="6">
        <f>receitas!AY12*P_C02</f>
        <v/>
      </c>
      <c r="AZ6" s="6">
        <f>receitas!AZ12*P_C02</f>
        <v/>
      </c>
      <c r="BA6" s="6">
        <f>receitas!BA12*P_C02</f>
        <v/>
      </c>
      <c r="BB6" s="6">
        <f>receitas!BB12*P_C02</f>
        <v/>
      </c>
      <c r="BC6" s="6">
        <f>receitas!BC12*P_C02</f>
        <v/>
      </c>
      <c r="BD6" s="6">
        <f>receitas!BD12*P_C02</f>
        <v/>
      </c>
      <c r="BE6" s="6">
        <f>receitas!BE12*P_C02</f>
        <v/>
      </c>
      <c r="BF6" s="6">
        <f>receitas!BF12*P_C02</f>
        <v/>
      </c>
      <c r="BG6" s="6">
        <f>receitas!BG12*P_C02</f>
        <v/>
      </c>
      <c r="BH6" s="6">
        <f>receitas!BH12*P_C02</f>
        <v/>
      </c>
      <c r="BI6" s="6">
        <f>receitas!BI12*P_C02</f>
        <v/>
      </c>
      <c r="BJ6" s="6">
        <f>receitas!BJ12*P_C02</f>
        <v/>
      </c>
    </row>
    <row r="7">
      <c r="A7" s="5" t="inlineStr">
        <is>
          <t>Custos variáveis (R$)</t>
        </is>
      </c>
      <c r="B7" s="6" t="n"/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  <c r="H7" s="6">
        <f>SUM(H4:H6)</f>
        <v/>
      </c>
      <c r="I7" s="6">
        <f>SUM(I4:I6)</f>
        <v/>
      </c>
      <c r="J7" s="6">
        <f>SUM(J4:J6)</f>
        <v/>
      </c>
      <c r="K7" s="6">
        <f>SUM(K4:K6)</f>
        <v/>
      </c>
      <c r="L7" s="6">
        <f>SUM(L4:L6)</f>
        <v/>
      </c>
      <c r="M7" s="6">
        <f>SUM(M4:M6)</f>
        <v/>
      </c>
      <c r="N7" s="6">
        <f>SUM(N4:N6)</f>
        <v/>
      </c>
      <c r="O7" s="6">
        <f>SUM(O4:O6)</f>
        <v/>
      </c>
      <c r="P7" s="6">
        <f>SUM(P4:P6)</f>
        <v/>
      </c>
      <c r="Q7" s="6">
        <f>SUM(Q4:Q6)</f>
        <v/>
      </c>
      <c r="R7" s="6">
        <f>SUM(R4:R6)</f>
        <v/>
      </c>
      <c r="S7" s="6">
        <f>SUM(S4:S6)</f>
        <v/>
      </c>
      <c r="T7" s="6">
        <f>SUM(T4:T6)</f>
        <v/>
      </c>
      <c r="U7" s="6">
        <f>SUM(U4:U6)</f>
        <v/>
      </c>
      <c r="V7" s="6">
        <f>SUM(V4:V6)</f>
        <v/>
      </c>
      <c r="W7" s="6">
        <f>SUM(W4:W6)</f>
        <v/>
      </c>
      <c r="X7" s="6">
        <f>SUM(X4:X6)</f>
        <v/>
      </c>
      <c r="Y7" s="6">
        <f>SUM(Y4:Y6)</f>
        <v/>
      </c>
      <c r="Z7" s="6">
        <f>SUM(Z4:Z6)</f>
        <v/>
      </c>
      <c r="AA7" s="6">
        <f>SUM(AA4:AA6)</f>
        <v/>
      </c>
      <c r="AB7" s="6">
        <f>SUM(AB4:AB6)</f>
        <v/>
      </c>
      <c r="AC7" s="6">
        <f>SUM(AC4:AC6)</f>
        <v/>
      </c>
      <c r="AD7" s="6">
        <f>SUM(AD4:AD6)</f>
        <v/>
      </c>
      <c r="AE7" s="6">
        <f>SUM(AE4:AE6)</f>
        <v/>
      </c>
      <c r="AF7" s="6">
        <f>SUM(AF4:AF6)</f>
        <v/>
      </c>
      <c r="AG7" s="6">
        <f>SUM(AG4:AG6)</f>
        <v/>
      </c>
      <c r="AH7" s="6">
        <f>SUM(AH4:AH6)</f>
        <v/>
      </c>
      <c r="AI7" s="6">
        <f>SUM(AI4:AI6)</f>
        <v/>
      </c>
      <c r="AJ7" s="6">
        <f>SUM(AJ4:AJ6)</f>
        <v/>
      </c>
      <c r="AK7" s="6">
        <f>SUM(AK4:AK6)</f>
        <v/>
      </c>
      <c r="AL7" s="6">
        <f>SUM(AL4:AL6)</f>
        <v/>
      </c>
      <c r="AM7" s="6">
        <f>SUM(AM4:AM6)</f>
        <v/>
      </c>
      <c r="AN7" s="6">
        <f>SUM(AN4:AN6)</f>
        <v/>
      </c>
      <c r="AO7" s="6">
        <f>SUM(AO4:AO6)</f>
        <v/>
      </c>
      <c r="AP7" s="6">
        <f>SUM(AP4:AP6)</f>
        <v/>
      </c>
      <c r="AQ7" s="6">
        <f>SUM(AQ4:AQ6)</f>
        <v/>
      </c>
      <c r="AR7" s="6">
        <f>SUM(AR4:AR6)</f>
        <v/>
      </c>
      <c r="AS7" s="6">
        <f>SUM(AS4:AS6)</f>
        <v/>
      </c>
      <c r="AT7" s="6">
        <f>SUM(AT4:AT6)</f>
        <v/>
      </c>
      <c r="AU7" s="6">
        <f>SUM(AU4:AU6)</f>
        <v/>
      </c>
      <c r="AV7" s="6">
        <f>SUM(AV4:AV6)</f>
        <v/>
      </c>
      <c r="AW7" s="6">
        <f>SUM(AW4:AW6)</f>
        <v/>
      </c>
      <c r="AX7" s="6">
        <f>SUM(AX4:AX6)</f>
        <v/>
      </c>
      <c r="AY7" s="6">
        <f>SUM(AY4:AY6)</f>
        <v/>
      </c>
      <c r="AZ7" s="6">
        <f>SUM(AZ4:AZ6)</f>
        <v/>
      </c>
      <c r="BA7" s="6">
        <f>SUM(BA4:BA6)</f>
        <v/>
      </c>
      <c r="BB7" s="6">
        <f>SUM(BB4:BB6)</f>
        <v/>
      </c>
      <c r="BC7" s="6">
        <f>SUM(BC4:BC6)</f>
        <v/>
      </c>
      <c r="BD7" s="6">
        <f>SUM(BD4:BD6)</f>
        <v/>
      </c>
      <c r="BE7" s="6">
        <f>SUM(BE4:BE6)</f>
        <v/>
      </c>
      <c r="BF7" s="6">
        <f>SUM(BF4:BF6)</f>
        <v/>
      </c>
      <c r="BG7" s="6">
        <f>SUM(BG4:BG6)</f>
        <v/>
      </c>
      <c r="BH7" s="6">
        <f>SUM(BH4:BH6)</f>
        <v/>
      </c>
      <c r="BI7" s="6">
        <f>SUM(BI4:BI6)</f>
        <v/>
      </c>
      <c r="BJ7" s="6">
        <f>SUM(BJ4:BJ6)</f>
        <v/>
      </c>
    </row>
    <row r="8">
      <c r="A8" s="5" t="inlineStr">
        <is>
          <t>Aluguel (R$)</t>
        </is>
      </c>
      <c r="B8" s="6" t="n"/>
      <c r="C8" s="6">
        <f>P_C03*P_C04</f>
        <v/>
      </c>
      <c r="D8" s="6">
        <f>P_C03*P_C04</f>
        <v/>
      </c>
      <c r="E8" s="6">
        <f>P_C03*P_C04</f>
        <v/>
      </c>
      <c r="F8" s="6">
        <f>P_C03*P_C04</f>
        <v/>
      </c>
      <c r="G8" s="6">
        <f>P_C03*P_C04</f>
        <v/>
      </c>
      <c r="H8" s="6">
        <f>P_C03*P_C04</f>
        <v/>
      </c>
      <c r="I8" s="6">
        <f>P_C03*P_C04</f>
        <v/>
      </c>
      <c r="J8" s="6">
        <f>P_C03*P_C04</f>
        <v/>
      </c>
      <c r="K8" s="6">
        <f>P_C03*P_C04</f>
        <v/>
      </c>
      <c r="L8" s="6">
        <f>P_C03*P_C04</f>
        <v/>
      </c>
      <c r="M8" s="6">
        <f>P_C03*P_C04</f>
        <v/>
      </c>
      <c r="N8" s="6">
        <f>P_C03*P_C04</f>
        <v/>
      </c>
      <c r="O8" s="6">
        <f>P_C03*P_C04</f>
        <v/>
      </c>
      <c r="P8" s="6">
        <f>P_C03*P_C04</f>
        <v/>
      </c>
      <c r="Q8" s="6">
        <f>P_C03*P_C04</f>
        <v/>
      </c>
      <c r="R8" s="6">
        <f>P_C03*P_C04</f>
        <v/>
      </c>
      <c r="S8" s="6">
        <f>P_C03*P_C04</f>
        <v/>
      </c>
      <c r="T8" s="6">
        <f>P_C03*P_C04</f>
        <v/>
      </c>
      <c r="U8" s="6">
        <f>P_C03*P_C04</f>
        <v/>
      </c>
      <c r="V8" s="6">
        <f>P_C03*P_C04</f>
        <v/>
      </c>
      <c r="W8" s="6">
        <f>P_C03*P_C04</f>
        <v/>
      </c>
      <c r="X8" s="6">
        <f>P_C03*P_C04</f>
        <v/>
      </c>
      <c r="Y8" s="6">
        <f>P_C03*P_C04</f>
        <v/>
      </c>
      <c r="Z8" s="6">
        <f>P_C03*P_C04</f>
        <v/>
      </c>
      <c r="AA8" s="6">
        <f>P_C03*P_C04</f>
        <v/>
      </c>
      <c r="AB8" s="6">
        <f>P_C03*P_C04</f>
        <v/>
      </c>
      <c r="AC8" s="6">
        <f>P_C03*P_C04</f>
        <v/>
      </c>
      <c r="AD8" s="6">
        <f>P_C03*P_C04</f>
        <v/>
      </c>
      <c r="AE8" s="6">
        <f>P_C03*P_C04</f>
        <v/>
      </c>
      <c r="AF8" s="6">
        <f>P_C03*P_C04</f>
        <v/>
      </c>
      <c r="AG8" s="6">
        <f>P_C03*P_C04</f>
        <v/>
      </c>
      <c r="AH8" s="6">
        <f>P_C03*P_C04</f>
        <v/>
      </c>
      <c r="AI8" s="6">
        <f>P_C03*P_C04</f>
        <v/>
      </c>
      <c r="AJ8" s="6">
        <f>P_C03*P_C04</f>
        <v/>
      </c>
      <c r="AK8" s="6">
        <f>P_C03*P_C04</f>
        <v/>
      </c>
      <c r="AL8" s="6">
        <f>P_C03*P_C04</f>
        <v/>
      </c>
      <c r="AM8" s="6">
        <f>P_C03*P_C04</f>
        <v/>
      </c>
      <c r="AN8" s="6">
        <f>P_C03*P_C04</f>
        <v/>
      </c>
      <c r="AO8" s="6">
        <f>P_C03*P_C04</f>
        <v/>
      </c>
      <c r="AP8" s="6">
        <f>P_C03*P_C04</f>
        <v/>
      </c>
      <c r="AQ8" s="6">
        <f>P_C03*P_C04</f>
        <v/>
      </c>
      <c r="AR8" s="6">
        <f>P_C03*P_C04</f>
        <v/>
      </c>
      <c r="AS8" s="6">
        <f>P_C03*P_C04</f>
        <v/>
      </c>
      <c r="AT8" s="6">
        <f>P_C03*P_C04</f>
        <v/>
      </c>
      <c r="AU8" s="6">
        <f>P_C03*P_C04</f>
        <v/>
      </c>
      <c r="AV8" s="6">
        <f>P_C03*P_C04</f>
        <v/>
      </c>
      <c r="AW8" s="6">
        <f>P_C03*P_C04</f>
        <v/>
      </c>
      <c r="AX8" s="6">
        <f>P_C03*P_C04</f>
        <v/>
      </c>
      <c r="AY8" s="6">
        <f>P_C03*P_C04</f>
        <v/>
      </c>
      <c r="AZ8" s="6">
        <f>P_C03*P_C04</f>
        <v/>
      </c>
      <c r="BA8" s="6">
        <f>P_C03*P_C04</f>
        <v/>
      </c>
      <c r="BB8" s="6">
        <f>P_C03*P_C04</f>
        <v/>
      </c>
      <c r="BC8" s="6">
        <f>P_C03*P_C04</f>
        <v/>
      </c>
      <c r="BD8" s="6">
        <f>P_C03*P_C04</f>
        <v/>
      </c>
      <c r="BE8" s="6">
        <f>P_C03*P_C04</f>
        <v/>
      </c>
      <c r="BF8" s="6">
        <f>P_C03*P_C04</f>
        <v/>
      </c>
      <c r="BG8" s="6">
        <f>P_C03*P_C04</f>
        <v/>
      </c>
      <c r="BH8" s="6">
        <f>P_C03*P_C04</f>
        <v/>
      </c>
      <c r="BI8" s="6">
        <f>P_C03*P_C04</f>
        <v/>
      </c>
      <c r="BJ8" s="6">
        <f>P_C03*P_C04</f>
        <v/>
      </c>
    </row>
    <row r="9">
      <c r="A9" s="5" t="inlineStr">
        <is>
          <t>Condomínio e IPTU (R$)</t>
        </is>
      </c>
      <c r="B9" s="6" t="n"/>
      <c r="C9" s="6">
        <f>C8*P_C05</f>
        <v/>
      </c>
      <c r="D9" s="6">
        <f>D8*P_C05</f>
        <v/>
      </c>
      <c r="E9" s="6">
        <f>E8*P_C05</f>
        <v/>
      </c>
      <c r="F9" s="6">
        <f>F8*P_C05</f>
        <v/>
      </c>
      <c r="G9" s="6">
        <f>G8*P_C05</f>
        <v/>
      </c>
      <c r="H9" s="6">
        <f>H8*P_C05</f>
        <v/>
      </c>
      <c r="I9" s="6">
        <f>I8*P_C05</f>
        <v/>
      </c>
      <c r="J9" s="6">
        <f>J8*P_C05</f>
        <v/>
      </c>
      <c r="K9" s="6">
        <f>K8*P_C05</f>
        <v/>
      </c>
      <c r="L9" s="6">
        <f>L8*P_C05</f>
        <v/>
      </c>
      <c r="M9" s="6">
        <f>M8*P_C05</f>
        <v/>
      </c>
      <c r="N9" s="6">
        <f>N8*P_C05</f>
        <v/>
      </c>
      <c r="O9" s="6">
        <f>O8*P_C05</f>
        <v/>
      </c>
      <c r="P9" s="6">
        <f>P8*P_C05</f>
        <v/>
      </c>
      <c r="Q9" s="6">
        <f>Q8*P_C05</f>
        <v/>
      </c>
      <c r="R9" s="6">
        <f>R8*P_C05</f>
        <v/>
      </c>
      <c r="S9" s="6">
        <f>S8*P_C05</f>
        <v/>
      </c>
      <c r="T9" s="6">
        <f>T8*P_C05</f>
        <v/>
      </c>
      <c r="U9" s="6">
        <f>U8*P_C05</f>
        <v/>
      </c>
      <c r="V9" s="6">
        <f>V8*P_C05</f>
        <v/>
      </c>
      <c r="W9" s="6">
        <f>W8*P_C05</f>
        <v/>
      </c>
      <c r="X9" s="6">
        <f>X8*P_C05</f>
        <v/>
      </c>
      <c r="Y9" s="6">
        <f>Y8*P_C05</f>
        <v/>
      </c>
      <c r="Z9" s="6">
        <f>Z8*P_C05</f>
        <v/>
      </c>
      <c r="AA9" s="6">
        <f>AA8*P_C05</f>
        <v/>
      </c>
      <c r="AB9" s="6">
        <f>AB8*P_C05</f>
        <v/>
      </c>
      <c r="AC9" s="6">
        <f>AC8*P_C05</f>
        <v/>
      </c>
      <c r="AD9" s="6">
        <f>AD8*P_C05</f>
        <v/>
      </c>
      <c r="AE9" s="6">
        <f>AE8*P_C05</f>
        <v/>
      </c>
      <c r="AF9" s="6">
        <f>AF8*P_C05</f>
        <v/>
      </c>
      <c r="AG9" s="6">
        <f>AG8*P_C05</f>
        <v/>
      </c>
      <c r="AH9" s="6">
        <f>AH8*P_C05</f>
        <v/>
      </c>
      <c r="AI9" s="6">
        <f>AI8*P_C05</f>
        <v/>
      </c>
      <c r="AJ9" s="6">
        <f>AJ8*P_C05</f>
        <v/>
      </c>
      <c r="AK9" s="6">
        <f>AK8*P_C05</f>
        <v/>
      </c>
      <c r="AL9" s="6">
        <f>AL8*P_C05</f>
        <v/>
      </c>
      <c r="AM9" s="6">
        <f>AM8*P_C05</f>
        <v/>
      </c>
      <c r="AN9" s="6">
        <f>AN8*P_C05</f>
        <v/>
      </c>
      <c r="AO9" s="6">
        <f>AO8*P_C05</f>
        <v/>
      </c>
      <c r="AP9" s="6">
        <f>AP8*P_C05</f>
        <v/>
      </c>
      <c r="AQ9" s="6">
        <f>AQ8*P_C05</f>
        <v/>
      </c>
      <c r="AR9" s="6">
        <f>AR8*P_C05</f>
        <v/>
      </c>
      <c r="AS9" s="6">
        <f>AS8*P_C05</f>
        <v/>
      </c>
      <c r="AT9" s="6">
        <f>AT8*P_C05</f>
        <v/>
      </c>
      <c r="AU9" s="6">
        <f>AU8*P_C05</f>
        <v/>
      </c>
      <c r="AV9" s="6">
        <f>AV8*P_C05</f>
        <v/>
      </c>
      <c r="AW9" s="6">
        <f>AW8*P_C05</f>
        <v/>
      </c>
      <c r="AX9" s="6">
        <f>AX8*P_C05</f>
        <v/>
      </c>
      <c r="AY9" s="6">
        <f>AY8*P_C05</f>
        <v/>
      </c>
      <c r="AZ9" s="6">
        <f>AZ8*P_C05</f>
        <v/>
      </c>
      <c r="BA9" s="6">
        <f>BA8*P_C05</f>
        <v/>
      </c>
      <c r="BB9" s="6">
        <f>BB8*P_C05</f>
        <v/>
      </c>
      <c r="BC9" s="6">
        <f>BC8*P_C05</f>
        <v/>
      </c>
      <c r="BD9" s="6">
        <f>BD8*P_C05</f>
        <v/>
      </c>
      <c r="BE9" s="6">
        <f>BE8*P_C05</f>
        <v/>
      </c>
      <c r="BF9" s="6">
        <f>BF8*P_C05</f>
        <v/>
      </c>
      <c r="BG9" s="6">
        <f>BG8*P_C05</f>
        <v/>
      </c>
      <c r="BH9" s="6">
        <f>BH8*P_C05</f>
        <v/>
      </c>
      <c r="BI9" s="6">
        <f>BI8*P_C05</f>
        <v/>
      </c>
      <c r="BJ9" s="6">
        <f>BJ8*P_C05</f>
        <v/>
      </c>
    </row>
    <row r="10">
      <c r="A10" s="5" t="inlineStr">
        <is>
          <t>Pessoal com encargos (R$)</t>
        </is>
      </c>
      <c r="B10" s="6" t="n"/>
      <c r="C10" s="6">
        <f>FOLHA_REF*P_C06*(1+P_C07)</f>
        <v/>
      </c>
      <c r="D10" s="6">
        <f>FOLHA_REF*P_C06*(1+P_C07)</f>
        <v/>
      </c>
      <c r="E10" s="6">
        <f>FOLHA_REF*P_C06*(1+P_C07)</f>
        <v/>
      </c>
      <c r="F10" s="6">
        <f>FOLHA_REF*P_C06*(1+P_C07)</f>
        <v/>
      </c>
      <c r="G10" s="6">
        <f>FOLHA_REF*P_C06*(1+P_C07)</f>
        <v/>
      </c>
      <c r="H10" s="6">
        <f>FOLHA_REF*P_C06*(1+P_C07)</f>
        <v/>
      </c>
      <c r="I10" s="6">
        <f>FOLHA_REF*P_C06*(1+P_C07)</f>
        <v/>
      </c>
      <c r="J10" s="6">
        <f>FOLHA_REF*P_C06*(1+P_C07)</f>
        <v/>
      </c>
      <c r="K10" s="6">
        <f>FOLHA_REF*P_C06*(1+P_C07)</f>
        <v/>
      </c>
      <c r="L10" s="6">
        <f>FOLHA_REF*P_C06*(1+P_C07)</f>
        <v/>
      </c>
      <c r="M10" s="6">
        <f>FOLHA_REF*P_C06*(1+P_C07)</f>
        <v/>
      </c>
      <c r="N10" s="6">
        <f>FOLHA_REF*P_C06*(1+P_C07)</f>
        <v/>
      </c>
      <c r="O10" s="6">
        <f>FOLHA_REF*P_C06*(1+P_C07)</f>
        <v/>
      </c>
      <c r="P10" s="6">
        <f>FOLHA_REF*P_C06*(1+P_C07)</f>
        <v/>
      </c>
      <c r="Q10" s="6">
        <f>FOLHA_REF*P_C06*(1+P_C07)</f>
        <v/>
      </c>
      <c r="R10" s="6">
        <f>FOLHA_REF*P_C06*(1+P_C07)</f>
        <v/>
      </c>
      <c r="S10" s="6">
        <f>FOLHA_REF*P_C06*(1+P_C07)</f>
        <v/>
      </c>
      <c r="T10" s="6">
        <f>FOLHA_REF*P_C06*(1+P_C07)</f>
        <v/>
      </c>
      <c r="U10" s="6">
        <f>FOLHA_REF*P_C06*(1+P_C07)</f>
        <v/>
      </c>
      <c r="V10" s="6">
        <f>FOLHA_REF*P_C06*(1+P_C07)</f>
        <v/>
      </c>
      <c r="W10" s="6">
        <f>FOLHA_REF*P_C06*(1+P_C07)</f>
        <v/>
      </c>
      <c r="X10" s="6">
        <f>FOLHA_REF*P_C06*(1+P_C07)</f>
        <v/>
      </c>
      <c r="Y10" s="6">
        <f>FOLHA_REF*P_C06*(1+P_C07)</f>
        <v/>
      </c>
      <c r="Z10" s="6">
        <f>FOLHA_REF*P_C06*(1+P_C07)</f>
        <v/>
      </c>
      <c r="AA10" s="6">
        <f>FOLHA_REF*P_C06*(1+P_C07)</f>
        <v/>
      </c>
      <c r="AB10" s="6">
        <f>FOLHA_REF*P_C06*(1+P_C07)</f>
        <v/>
      </c>
      <c r="AC10" s="6">
        <f>FOLHA_REF*P_C06*(1+P_C07)</f>
        <v/>
      </c>
      <c r="AD10" s="6">
        <f>FOLHA_REF*P_C06*(1+P_C07)</f>
        <v/>
      </c>
      <c r="AE10" s="6">
        <f>FOLHA_REF*P_C06*(1+P_C07)</f>
        <v/>
      </c>
      <c r="AF10" s="6">
        <f>FOLHA_REF*P_C06*(1+P_C07)</f>
        <v/>
      </c>
      <c r="AG10" s="6">
        <f>FOLHA_REF*P_C06*(1+P_C07)</f>
        <v/>
      </c>
      <c r="AH10" s="6">
        <f>FOLHA_REF*P_C06*(1+P_C07)</f>
        <v/>
      </c>
      <c r="AI10" s="6">
        <f>FOLHA_REF*P_C06*(1+P_C07)</f>
        <v/>
      </c>
      <c r="AJ10" s="6">
        <f>FOLHA_REF*P_C06*(1+P_C07)</f>
        <v/>
      </c>
      <c r="AK10" s="6">
        <f>FOLHA_REF*P_C06*(1+P_C07)</f>
        <v/>
      </c>
      <c r="AL10" s="6">
        <f>FOLHA_REF*P_C06*(1+P_C07)</f>
        <v/>
      </c>
      <c r="AM10" s="6">
        <f>FOLHA_REF*P_C06*(1+P_C07)</f>
        <v/>
      </c>
      <c r="AN10" s="6">
        <f>FOLHA_REF*P_C06*(1+P_C07)</f>
        <v/>
      </c>
      <c r="AO10" s="6">
        <f>FOLHA_REF*P_C06*(1+P_C07)</f>
        <v/>
      </c>
      <c r="AP10" s="6">
        <f>FOLHA_REF*P_C06*(1+P_C07)</f>
        <v/>
      </c>
      <c r="AQ10" s="6">
        <f>FOLHA_REF*P_C06*(1+P_C07)</f>
        <v/>
      </c>
      <c r="AR10" s="6">
        <f>FOLHA_REF*P_C06*(1+P_C07)</f>
        <v/>
      </c>
      <c r="AS10" s="6">
        <f>FOLHA_REF*P_C06*(1+P_C07)</f>
        <v/>
      </c>
      <c r="AT10" s="6">
        <f>FOLHA_REF*P_C06*(1+P_C07)</f>
        <v/>
      </c>
      <c r="AU10" s="6">
        <f>FOLHA_REF*P_C06*(1+P_C07)</f>
        <v/>
      </c>
      <c r="AV10" s="6">
        <f>FOLHA_REF*P_C06*(1+P_C07)</f>
        <v/>
      </c>
      <c r="AW10" s="6">
        <f>FOLHA_REF*P_C06*(1+P_C07)</f>
        <v/>
      </c>
      <c r="AX10" s="6">
        <f>FOLHA_REF*P_C06*(1+P_C07)</f>
        <v/>
      </c>
      <c r="AY10" s="6">
        <f>FOLHA_REF*P_C06*(1+P_C07)</f>
        <v/>
      </c>
      <c r="AZ10" s="6">
        <f>FOLHA_REF*P_C06*(1+P_C07)</f>
        <v/>
      </c>
      <c r="BA10" s="6">
        <f>FOLHA_REF*P_C06*(1+P_C07)</f>
        <v/>
      </c>
      <c r="BB10" s="6">
        <f>FOLHA_REF*P_C06*(1+P_C07)</f>
        <v/>
      </c>
      <c r="BC10" s="6">
        <f>FOLHA_REF*P_C06*(1+P_C07)</f>
        <v/>
      </c>
      <c r="BD10" s="6">
        <f>FOLHA_REF*P_C06*(1+P_C07)</f>
        <v/>
      </c>
      <c r="BE10" s="6">
        <f>FOLHA_REF*P_C06*(1+P_C07)</f>
        <v/>
      </c>
      <c r="BF10" s="6">
        <f>FOLHA_REF*P_C06*(1+P_C07)</f>
        <v/>
      </c>
      <c r="BG10" s="6">
        <f>FOLHA_REF*P_C06*(1+P_C07)</f>
        <v/>
      </c>
      <c r="BH10" s="6">
        <f>FOLHA_REF*P_C06*(1+P_C07)</f>
        <v/>
      </c>
      <c r="BI10" s="6">
        <f>FOLHA_REF*P_C06*(1+P_C07)</f>
        <v/>
      </c>
      <c r="BJ10" s="6">
        <f>FOLHA_REF*P_C06*(1+P_C07)</f>
        <v/>
      </c>
    </row>
    <row r="11">
      <c r="A11" s="5" t="inlineStr">
        <is>
          <t>Pró-labore (R$)</t>
        </is>
      </c>
      <c r="B11" s="6" t="n"/>
      <c r="C11" s="6">
        <f>P_C08</f>
        <v/>
      </c>
      <c r="D11" s="6">
        <f>P_C08</f>
        <v/>
      </c>
      <c r="E11" s="6">
        <f>P_C08</f>
        <v/>
      </c>
      <c r="F11" s="6">
        <f>P_C08</f>
        <v/>
      </c>
      <c r="G11" s="6">
        <f>P_C08</f>
        <v/>
      </c>
      <c r="H11" s="6">
        <f>P_C08</f>
        <v/>
      </c>
      <c r="I11" s="6">
        <f>P_C08</f>
        <v/>
      </c>
      <c r="J11" s="6">
        <f>P_C08</f>
        <v/>
      </c>
      <c r="K11" s="6">
        <f>P_C08</f>
        <v/>
      </c>
      <c r="L11" s="6">
        <f>P_C08</f>
        <v/>
      </c>
      <c r="M11" s="6">
        <f>P_C08</f>
        <v/>
      </c>
      <c r="N11" s="6">
        <f>P_C08</f>
        <v/>
      </c>
      <c r="O11" s="6">
        <f>P_C08</f>
        <v/>
      </c>
      <c r="P11" s="6">
        <f>P_C08</f>
        <v/>
      </c>
      <c r="Q11" s="6">
        <f>P_C08</f>
        <v/>
      </c>
      <c r="R11" s="6">
        <f>P_C08</f>
        <v/>
      </c>
      <c r="S11" s="6">
        <f>P_C08</f>
        <v/>
      </c>
      <c r="T11" s="6">
        <f>P_C08</f>
        <v/>
      </c>
      <c r="U11" s="6">
        <f>P_C08</f>
        <v/>
      </c>
      <c r="V11" s="6">
        <f>P_C08</f>
        <v/>
      </c>
      <c r="W11" s="6">
        <f>P_C08</f>
        <v/>
      </c>
      <c r="X11" s="6">
        <f>P_C08</f>
        <v/>
      </c>
      <c r="Y11" s="6">
        <f>P_C08</f>
        <v/>
      </c>
      <c r="Z11" s="6">
        <f>P_C08</f>
        <v/>
      </c>
      <c r="AA11" s="6">
        <f>P_C08</f>
        <v/>
      </c>
      <c r="AB11" s="6">
        <f>P_C08</f>
        <v/>
      </c>
      <c r="AC11" s="6">
        <f>P_C08</f>
        <v/>
      </c>
      <c r="AD11" s="6">
        <f>P_C08</f>
        <v/>
      </c>
      <c r="AE11" s="6">
        <f>P_C08</f>
        <v/>
      </c>
      <c r="AF11" s="6">
        <f>P_C08</f>
        <v/>
      </c>
      <c r="AG11" s="6">
        <f>P_C08</f>
        <v/>
      </c>
      <c r="AH11" s="6">
        <f>P_C08</f>
        <v/>
      </c>
      <c r="AI11" s="6">
        <f>P_C08</f>
        <v/>
      </c>
      <c r="AJ11" s="6">
        <f>P_C08</f>
        <v/>
      </c>
      <c r="AK11" s="6">
        <f>P_C08</f>
        <v/>
      </c>
      <c r="AL11" s="6">
        <f>P_C08</f>
        <v/>
      </c>
      <c r="AM11" s="6">
        <f>P_C08</f>
        <v/>
      </c>
      <c r="AN11" s="6">
        <f>P_C08</f>
        <v/>
      </c>
      <c r="AO11" s="6">
        <f>P_C08</f>
        <v/>
      </c>
      <c r="AP11" s="6">
        <f>P_C08</f>
        <v/>
      </c>
      <c r="AQ11" s="6">
        <f>P_C08</f>
        <v/>
      </c>
      <c r="AR11" s="6">
        <f>P_C08</f>
        <v/>
      </c>
      <c r="AS11" s="6">
        <f>P_C08</f>
        <v/>
      </c>
      <c r="AT11" s="6">
        <f>P_C08</f>
        <v/>
      </c>
      <c r="AU11" s="6">
        <f>P_C08</f>
        <v/>
      </c>
      <c r="AV11" s="6">
        <f>P_C08</f>
        <v/>
      </c>
      <c r="AW11" s="6">
        <f>P_C08</f>
        <v/>
      </c>
      <c r="AX11" s="6">
        <f>P_C08</f>
        <v/>
      </c>
      <c r="AY11" s="6">
        <f>P_C08</f>
        <v/>
      </c>
      <c r="AZ11" s="6">
        <f>P_C08</f>
        <v/>
      </c>
      <c r="BA11" s="6">
        <f>P_C08</f>
        <v/>
      </c>
      <c r="BB11" s="6">
        <f>P_C08</f>
        <v/>
      </c>
      <c r="BC11" s="6">
        <f>P_C08</f>
        <v/>
      </c>
      <c r="BD11" s="6">
        <f>P_C08</f>
        <v/>
      </c>
      <c r="BE11" s="6">
        <f>P_C08</f>
        <v/>
      </c>
      <c r="BF11" s="6">
        <f>P_C08</f>
        <v/>
      </c>
      <c r="BG11" s="6">
        <f>P_C08</f>
        <v/>
      </c>
      <c r="BH11" s="6">
        <f>P_C08</f>
        <v/>
      </c>
      <c r="BI11" s="6">
        <f>P_C08</f>
        <v/>
      </c>
      <c r="BJ11" s="6">
        <f>P_C08</f>
        <v/>
      </c>
    </row>
    <row r="12">
      <c r="A12" s="5" t="inlineStr">
        <is>
          <t>Utilidades (R$)</t>
        </is>
      </c>
      <c r="B12" s="6" t="n"/>
      <c r="C12" s="6">
        <f>P_C09</f>
        <v/>
      </c>
      <c r="D12" s="6">
        <f>P_C09</f>
        <v/>
      </c>
      <c r="E12" s="6">
        <f>P_C09</f>
        <v/>
      </c>
      <c r="F12" s="6">
        <f>P_C09</f>
        <v/>
      </c>
      <c r="G12" s="6">
        <f>P_C09</f>
        <v/>
      </c>
      <c r="H12" s="6">
        <f>P_C09</f>
        <v/>
      </c>
      <c r="I12" s="6">
        <f>P_C09</f>
        <v/>
      </c>
      <c r="J12" s="6">
        <f>P_C09</f>
        <v/>
      </c>
      <c r="K12" s="6">
        <f>P_C09</f>
        <v/>
      </c>
      <c r="L12" s="6">
        <f>P_C09</f>
        <v/>
      </c>
      <c r="M12" s="6">
        <f>P_C09</f>
        <v/>
      </c>
      <c r="N12" s="6">
        <f>P_C09</f>
        <v/>
      </c>
      <c r="O12" s="6">
        <f>P_C09</f>
        <v/>
      </c>
      <c r="P12" s="6">
        <f>P_C09</f>
        <v/>
      </c>
      <c r="Q12" s="6">
        <f>P_C09</f>
        <v/>
      </c>
      <c r="R12" s="6">
        <f>P_C09</f>
        <v/>
      </c>
      <c r="S12" s="6">
        <f>P_C09</f>
        <v/>
      </c>
      <c r="T12" s="6">
        <f>P_C09</f>
        <v/>
      </c>
      <c r="U12" s="6">
        <f>P_C09</f>
        <v/>
      </c>
      <c r="V12" s="6">
        <f>P_C09</f>
        <v/>
      </c>
      <c r="W12" s="6">
        <f>P_C09</f>
        <v/>
      </c>
      <c r="X12" s="6">
        <f>P_C09</f>
        <v/>
      </c>
      <c r="Y12" s="6">
        <f>P_C09</f>
        <v/>
      </c>
      <c r="Z12" s="6">
        <f>P_C09</f>
        <v/>
      </c>
      <c r="AA12" s="6">
        <f>P_C09</f>
        <v/>
      </c>
      <c r="AB12" s="6">
        <f>P_C09</f>
        <v/>
      </c>
      <c r="AC12" s="6">
        <f>P_C09</f>
        <v/>
      </c>
      <c r="AD12" s="6">
        <f>P_C09</f>
        <v/>
      </c>
      <c r="AE12" s="6">
        <f>P_C09</f>
        <v/>
      </c>
      <c r="AF12" s="6">
        <f>P_C09</f>
        <v/>
      </c>
      <c r="AG12" s="6">
        <f>P_C09</f>
        <v/>
      </c>
      <c r="AH12" s="6">
        <f>P_C09</f>
        <v/>
      </c>
      <c r="AI12" s="6">
        <f>P_C09</f>
        <v/>
      </c>
      <c r="AJ12" s="6">
        <f>P_C09</f>
        <v/>
      </c>
      <c r="AK12" s="6">
        <f>P_C09</f>
        <v/>
      </c>
      <c r="AL12" s="6">
        <f>P_C09</f>
        <v/>
      </c>
      <c r="AM12" s="6">
        <f>P_C09</f>
        <v/>
      </c>
      <c r="AN12" s="6">
        <f>P_C09</f>
        <v/>
      </c>
      <c r="AO12" s="6">
        <f>P_C09</f>
        <v/>
      </c>
      <c r="AP12" s="6">
        <f>P_C09</f>
        <v/>
      </c>
      <c r="AQ12" s="6">
        <f>P_C09</f>
        <v/>
      </c>
      <c r="AR12" s="6">
        <f>P_C09</f>
        <v/>
      </c>
      <c r="AS12" s="6">
        <f>P_C09</f>
        <v/>
      </c>
      <c r="AT12" s="6">
        <f>P_C09</f>
        <v/>
      </c>
      <c r="AU12" s="6">
        <f>P_C09</f>
        <v/>
      </c>
      <c r="AV12" s="6">
        <f>P_C09</f>
        <v/>
      </c>
      <c r="AW12" s="6">
        <f>P_C09</f>
        <v/>
      </c>
      <c r="AX12" s="6">
        <f>P_C09</f>
        <v/>
      </c>
      <c r="AY12" s="6">
        <f>P_C09</f>
        <v/>
      </c>
      <c r="AZ12" s="6">
        <f>P_C09</f>
        <v/>
      </c>
      <c r="BA12" s="6">
        <f>P_C09</f>
        <v/>
      </c>
      <c r="BB12" s="6">
        <f>P_C09</f>
        <v/>
      </c>
      <c r="BC12" s="6">
        <f>P_C09</f>
        <v/>
      </c>
      <c r="BD12" s="6">
        <f>P_C09</f>
        <v/>
      </c>
      <c r="BE12" s="6">
        <f>P_C09</f>
        <v/>
      </c>
      <c r="BF12" s="6">
        <f>P_C09</f>
        <v/>
      </c>
      <c r="BG12" s="6">
        <f>P_C09</f>
        <v/>
      </c>
      <c r="BH12" s="6">
        <f>P_C09</f>
        <v/>
      </c>
      <c r="BI12" s="6">
        <f>P_C09</f>
        <v/>
      </c>
      <c r="BJ12" s="6">
        <f>P_C09</f>
        <v/>
      </c>
    </row>
    <row r="13">
      <c r="A13" s="5" t="inlineStr">
        <is>
          <t>Marketing (R$)</t>
        </is>
      </c>
      <c r="B13" s="6" t="n"/>
      <c r="C13" s="6">
        <f>P_C10</f>
        <v/>
      </c>
      <c r="D13" s="6">
        <f>P_C10</f>
        <v/>
      </c>
      <c r="E13" s="6">
        <f>P_C10</f>
        <v/>
      </c>
      <c r="F13" s="6">
        <f>P_C10</f>
        <v/>
      </c>
      <c r="G13" s="6">
        <f>P_C10</f>
        <v/>
      </c>
      <c r="H13" s="6">
        <f>P_C10</f>
        <v/>
      </c>
      <c r="I13" s="6">
        <f>P_C10</f>
        <v/>
      </c>
      <c r="J13" s="6">
        <f>P_C10</f>
        <v/>
      </c>
      <c r="K13" s="6">
        <f>P_C10</f>
        <v/>
      </c>
      <c r="L13" s="6">
        <f>P_C10</f>
        <v/>
      </c>
      <c r="M13" s="6">
        <f>P_C10</f>
        <v/>
      </c>
      <c r="N13" s="6">
        <f>P_C10</f>
        <v/>
      </c>
      <c r="O13" s="6">
        <f>P_C10</f>
        <v/>
      </c>
      <c r="P13" s="6">
        <f>P_C10</f>
        <v/>
      </c>
      <c r="Q13" s="6">
        <f>P_C10</f>
        <v/>
      </c>
      <c r="R13" s="6">
        <f>P_C10</f>
        <v/>
      </c>
      <c r="S13" s="6">
        <f>P_C10</f>
        <v/>
      </c>
      <c r="T13" s="6">
        <f>P_C10</f>
        <v/>
      </c>
      <c r="U13" s="6">
        <f>P_C10</f>
        <v/>
      </c>
      <c r="V13" s="6">
        <f>P_C10</f>
        <v/>
      </c>
      <c r="W13" s="6">
        <f>P_C10</f>
        <v/>
      </c>
      <c r="X13" s="6">
        <f>P_C10</f>
        <v/>
      </c>
      <c r="Y13" s="6">
        <f>P_C10</f>
        <v/>
      </c>
      <c r="Z13" s="6">
        <f>P_C10</f>
        <v/>
      </c>
      <c r="AA13" s="6">
        <f>P_C10</f>
        <v/>
      </c>
      <c r="AB13" s="6">
        <f>P_C10</f>
        <v/>
      </c>
      <c r="AC13" s="6">
        <f>P_C10</f>
        <v/>
      </c>
      <c r="AD13" s="6">
        <f>P_C10</f>
        <v/>
      </c>
      <c r="AE13" s="6">
        <f>P_C10</f>
        <v/>
      </c>
      <c r="AF13" s="6">
        <f>P_C10</f>
        <v/>
      </c>
      <c r="AG13" s="6">
        <f>P_C10</f>
        <v/>
      </c>
      <c r="AH13" s="6">
        <f>P_C10</f>
        <v/>
      </c>
      <c r="AI13" s="6">
        <f>P_C10</f>
        <v/>
      </c>
      <c r="AJ13" s="6">
        <f>P_C10</f>
        <v/>
      </c>
      <c r="AK13" s="6">
        <f>P_C10</f>
        <v/>
      </c>
      <c r="AL13" s="6">
        <f>P_C10</f>
        <v/>
      </c>
      <c r="AM13" s="6">
        <f>P_C10</f>
        <v/>
      </c>
      <c r="AN13" s="6">
        <f>P_C10</f>
        <v/>
      </c>
      <c r="AO13" s="6">
        <f>P_C10</f>
        <v/>
      </c>
      <c r="AP13" s="6">
        <f>P_C10</f>
        <v/>
      </c>
      <c r="AQ13" s="6">
        <f>P_C10</f>
        <v/>
      </c>
      <c r="AR13" s="6">
        <f>P_C10</f>
        <v/>
      </c>
      <c r="AS13" s="6">
        <f>P_C10</f>
        <v/>
      </c>
      <c r="AT13" s="6">
        <f>P_C10</f>
        <v/>
      </c>
      <c r="AU13" s="6">
        <f>P_C10</f>
        <v/>
      </c>
      <c r="AV13" s="6">
        <f>P_C10</f>
        <v/>
      </c>
      <c r="AW13" s="6">
        <f>P_C10</f>
        <v/>
      </c>
      <c r="AX13" s="6">
        <f>P_C10</f>
        <v/>
      </c>
      <c r="AY13" s="6">
        <f>P_C10</f>
        <v/>
      </c>
      <c r="AZ13" s="6">
        <f>P_C10</f>
        <v/>
      </c>
      <c r="BA13" s="6">
        <f>P_C10</f>
        <v/>
      </c>
      <c r="BB13" s="6">
        <f>P_C10</f>
        <v/>
      </c>
      <c r="BC13" s="6">
        <f>P_C10</f>
        <v/>
      </c>
      <c r="BD13" s="6">
        <f>P_C10</f>
        <v/>
      </c>
      <c r="BE13" s="6">
        <f>P_C10</f>
        <v/>
      </c>
      <c r="BF13" s="6">
        <f>P_C10</f>
        <v/>
      </c>
      <c r="BG13" s="6">
        <f>P_C10</f>
        <v/>
      </c>
      <c r="BH13" s="6">
        <f>P_C10</f>
        <v/>
      </c>
      <c r="BI13" s="6">
        <f>P_C10</f>
        <v/>
      </c>
      <c r="BJ13" s="6">
        <f>P_C10</f>
        <v/>
      </c>
    </row>
    <row r="14">
      <c r="A14" s="5" t="inlineStr">
        <is>
          <t>Contabilidade (R$)</t>
        </is>
      </c>
      <c r="B14" s="6" t="n"/>
      <c r="C14" s="6">
        <f>P_C11</f>
        <v/>
      </c>
      <c r="D14" s="6">
        <f>P_C11</f>
        <v/>
      </c>
      <c r="E14" s="6">
        <f>P_C11</f>
        <v/>
      </c>
      <c r="F14" s="6">
        <f>P_C11</f>
        <v/>
      </c>
      <c r="G14" s="6">
        <f>P_C11</f>
        <v/>
      </c>
      <c r="H14" s="6">
        <f>P_C11</f>
        <v/>
      </c>
      <c r="I14" s="6">
        <f>P_C11</f>
        <v/>
      </c>
      <c r="J14" s="6">
        <f>P_C11</f>
        <v/>
      </c>
      <c r="K14" s="6">
        <f>P_C11</f>
        <v/>
      </c>
      <c r="L14" s="6">
        <f>P_C11</f>
        <v/>
      </c>
      <c r="M14" s="6">
        <f>P_C11</f>
        <v/>
      </c>
      <c r="N14" s="6">
        <f>P_C11</f>
        <v/>
      </c>
      <c r="O14" s="6">
        <f>P_C11</f>
        <v/>
      </c>
      <c r="P14" s="6">
        <f>P_C11</f>
        <v/>
      </c>
      <c r="Q14" s="6">
        <f>P_C11</f>
        <v/>
      </c>
      <c r="R14" s="6">
        <f>P_C11</f>
        <v/>
      </c>
      <c r="S14" s="6">
        <f>P_C11</f>
        <v/>
      </c>
      <c r="T14" s="6">
        <f>P_C11</f>
        <v/>
      </c>
      <c r="U14" s="6">
        <f>P_C11</f>
        <v/>
      </c>
      <c r="V14" s="6">
        <f>P_C11</f>
        <v/>
      </c>
      <c r="W14" s="6">
        <f>P_C11</f>
        <v/>
      </c>
      <c r="X14" s="6">
        <f>P_C11</f>
        <v/>
      </c>
      <c r="Y14" s="6">
        <f>P_C11</f>
        <v/>
      </c>
      <c r="Z14" s="6">
        <f>P_C11</f>
        <v/>
      </c>
      <c r="AA14" s="6">
        <f>P_C11</f>
        <v/>
      </c>
      <c r="AB14" s="6">
        <f>P_C11</f>
        <v/>
      </c>
      <c r="AC14" s="6">
        <f>P_C11</f>
        <v/>
      </c>
      <c r="AD14" s="6">
        <f>P_C11</f>
        <v/>
      </c>
      <c r="AE14" s="6">
        <f>P_C11</f>
        <v/>
      </c>
      <c r="AF14" s="6">
        <f>P_C11</f>
        <v/>
      </c>
      <c r="AG14" s="6">
        <f>P_C11</f>
        <v/>
      </c>
      <c r="AH14" s="6">
        <f>P_C11</f>
        <v/>
      </c>
      <c r="AI14" s="6">
        <f>P_C11</f>
        <v/>
      </c>
      <c r="AJ14" s="6">
        <f>P_C11</f>
        <v/>
      </c>
      <c r="AK14" s="6">
        <f>P_C11</f>
        <v/>
      </c>
      <c r="AL14" s="6">
        <f>P_C11</f>
        <v/>
      </c>
      <c r="AM14" s="6">
        <f>P_C11</f>
        <v/>
      </c>
      <c r="AN14" s="6">
        <f>P_C11</f>
        <v/>
      </c>
      <c r="AO14" s="6">
        <f>P_C11</f>
        <v/>
      </c>
      <c r="AP14" s="6">
        <f>P_C11</f>
        <v/>
      </c>
      <c r="AQ14" s="6">
        <f>P_C11</f>
        <v/>
      </c>
      <c r="AR14" s="6">
        <f>P_C11</f>
        <v/>
      </c>
      <c r="AS14" s="6">
        <f>P_C11</f>
        <v/>
      </c>
      <c r="AT14" s="6">
        <f>P_C11</f>
        <v/>
      </c>
      <c r="AU14" s="6">
        <f>P_C11</f>
        <v/>
      </c>
      <c r="AV14" s="6">
        <f>P_C11</f>
        <v/>
      </c>
      <c r="AW14" s="6">
        <f>P_C11</f>
        <v/>
      </c>
      <c r="AX14" s="6">
        <f>P_C11</f>
        <v/>
      </c>
      <c r="AY14" s="6">
        <f>P_C11</f>
        <v/>
      </c>
      <c r="AZ14" s="6">
        <f>P_C11</f>
        <v/>
      </c>
      <c r="BA14" s="6">
        <f>P_C11</f>
        <v/>
      </c>
      <c r="BB14" s="6">
        <f>P_C11</f>
        <v/>
      </c>
      <c r="BC14" s="6">
        <f>P_C11</f>
        <v/>
      </c>
      <c r="BD14" s="6">
        <f>P_C11</f>
        <v/>
      </c>
      <c r="BE14" s="6">
        <f>P_C11</f>
        <v/>
      </c>
      <c r="BF14" s="6">
        <f>P_C11</f>
        <v/>
      </c>
      <c r="BG14" s="6">
        <f>P_C11</f>
        <v/>
      </c>
      <c r="BH14" s="6">
        <f>P_C11</f>
        <v/>
      </c>
      <c r="BI14" s="6">
        <f>P_C11</f>
        <v/>
      </c>
      <c r="BJ14" s="6">
        <f>P_C11</f>
        <v/>
      </c>
    </row>
    <row r="15">
      <c r="A15" s="5" t="inlineStr">
        <is>
          <t>Sistemas (R$)</t>
        </is>
      </c>
      <c r="B15" s="6" t="n"/>
      <c r="C15" s="6">
        <f>P_C12</f>
        <v/>
      </c>
      <c r="D15" s="6">
        <f>P_C12</f>
        <v/>
      </c>
      <c r="E15" s="6">
        <f>P_C12</f>
        <v/>
      </c>
      <c r="F15" s="6">
        <f>P_C12</f>
        <v/>
      </c>
      <c r="G15" s="6">
        <f>P_C12</f>
        <v/>
      </c>
      <c r="H15" s="6">
        <f>P_C12</f>
        <v/>
      </c>
      <c r="I15" s="6">
        <f>P_C12</f>
        <v/>
      </c>
      <c r="J15" s="6">
        <f>P_C12</f>
        <v/>
      </c>
      <c r="K15" s="6">
        <f>P_C12</f>
        <v/>
      </c>
      <c r="L15" s="6">
        <f>P_C12</f>
        <v/>
      </c>
      <c r="M15" s="6">
        <f>P_C12</f>
        <v/>
      </c>
      <c r="N15" s="6">
        <f>P_C12</f>
        <v/>
      </c>
      <c r="O15" s="6">
        <f>P_C12</f>
        <v/>
      </c>
      <c r="P15" s="6">
        <f>P_C12</f>
        <v/>
      </c>
      <c r="Q15" s="6">
        <f>P_C12</f>
        <v/>
      </c>
      <c r="R15" s="6">
        <f>P_C12</f>
        <v/>
      </c>
      <c r="S15" s="6">
        <f>P_C12</f>
        <v/>
      </c>
      <c r="T15" s="6">
        <f>P_C12</f>
        <v/>
      </c>
      <c r="U15" s="6">
        <f>P_C12</f>
        <v/>
      </c>
      <c r="V15" s="6">
        <f>P_C12</f>
        <v/>
      </c>
      <c r="W15" s="6">
        <f>P_C12</f>
        <v/>
      </c>
      <c r="X15" s="6">
        <f>P_C12</f>
        <v/>
      </c>
      <c r="Y15" s="6">
        <f>P_C12</f>
        <v/>
      </c>
      <c r="Z15" s="6">
        <f>P_C12</f>
        <v/>
      </c>
      <c r="AA15" s="6">
        <f>P_C12</f>
        <v/>
      </c>
      <c r="AB15" s="6">
        <f>P_C12</f>
        <v/>
      </c>
      <c r="AC15" s="6">
        <f>P_C12</f>
        <v/>
      </c>
      <c r="AD15" s="6">
        <f>P_C12</f>
        <v/>
      </c>
      <c r="AE15" s="6">
        <f>P_C12</f>
        <v/>
      </c>
      <c r="AF15" s="6">
        <f>P_C12</f>
        <v/>
      </c>
      <c r="AG15" s="6">
        <f>P_C12</f>
        <v/>
      </c>
      <c r="AH15" s="6">
        <f>P_C12</f>
        <v/>
      </c>
      <c r="AI15" s="6">
        <f>P_C12</f>
        <v/>
      </c>
      <c r="AJ15" s="6">
        <f>P_C12</f>
        <v/>
      </c>
      <c r="AK15" s="6">
        <f>P_C12</f>
        <v/>
      </c>
      <c r="AL15" s="6">
        <f>P_C12</f>
        <v/>
      </c>
      <c r="AM15" s="6">
        <f>P_C12</f>
        <v/>
      </c>
      <c r="AN15" s="6">
        <f>P_C12</f>
        <v/>
      </c>
      <c r="AO15" s="6">
        <f>P_C12</f>
        <v/>
      </c>
      <c r="AP15" s="6">
        <f>P_C12</f>
        <v/>
      </c>
      <c r="AQ15" s="6">
        <f>P_C12</f>
        <v/>
      </c>
      <c r="AR15" s="6">
        <f>P_C12</f>
        <v/>
      </c>
      <c r="AS15" s="6">
        <f>P_C12</f>
        <v/>
      </c>
      <c r="AT15" s="6">
        <f>P_C12</f>
        <v/>
      </c>
      <c r="AU15" s="6">
        <f>P_C12</f>
        <v/>
      </c>
      <c r="AV15" s="6">
        <f>P_C12</f>
        <v/>
      </c>
      <c r="AW15" s="6">
        <f>P_C12</f>
        <v/>
      </c>
      <c r="AX15" s="6">
        <f>P_C12</f>
        <v/>
      </c>
      <c r="AY15" s="6">
        <f>P_C12</f>
        <v/>
      </c>
      <c r="AZ15" s="6">
        <f>P_C12</f>
        <v/>
      </c>
      <c r="BA15" s="6">
        <f>P_C12</f>
        <v/>
      </c>
      <c r="BB15" s="6">
        <f>P_C12</f>
        <v/>
      </c>
      <c r="BC15" s="6">
        <f>P_C12</f>
        <v/>
      </c>
      <c r="BD15" s="6">
        <f>P_C12</f>
        <v/>
      </c>
      <c r="BE15" s="6">
        <f>P_C12</f>
        <v/>
      </c>
      <c r="BF15" s="6">
        <f>P_C12</f>
        <v/>
      </c>
      <c r="BG15" s="6">
        <f>P_C12</f>
        <v/>
      </c>
      <c r="BH15" s="6">
        <f>P_C12</f>
        <v/>
      </c>
      <c r="BI15" s="6">
        <f>P_C12</f>
        <v/>
      </c>
      <c r="BJ15" s="6">
        <f>P_C12</f>
        <v/>
      </c>
    </row>
    <row r="16">
      <c r="A16" s="5" t="inlineStr">
        <is>
          <t>Reposição do acervo (R$)</t>
        </is>
      </c>
      <c r="B16" s="6" t="n"/>
      <c r="C16" s="6">
        <f>P_I05*P_C13/12</f>
        <v/>
      </c>
      <c r="D16" s="6">
        <f>P_I05*P_C13/12</f>
        <v/>
      </c>
      <c r="E16" s="6">
        <f>P_I05*P_C13/12</f>
        <v/>
      </c>
      <c r="F16" s="6">
        <f>P_I05*P_C13/12</f>
        <v/>
      </c>
      <c r="G16" s="6">
        <f>P_I05*P_C13/12</f>
        <v/>
      </c>
      <c r="H16" s="6">
        <f>P_I05*P_C13/12</f>
        <v/>
      </c>
      <c r="I16" s="6">
        <f>P_I05*P_C13/12</f>
        <v/>
      </c>
      <c r="J16" s="6">
        <f>P_I05*P_C13/12</f>
        <v/>
      </c>
      <c r="K16" s="6">
        <f>P_I05*P_C13/12</f>
        <v/>
      </c>
      <c r="L16" s="6">
        <f>P_I05*P_C13/12</f>
        <v/>
      </c>
      <c r="M16" s="6">
        <f>P_I05*P_C13/12</f>
        <v/>
      </c>
      <c r="N16" s="6">
        <f>P_I05*P_C13/12</f>
        <v/>
      </c>
      <c r="O16" s="6">
        <f>P_I05*P_C13/12</f>
        <v/>
      </c>
      <c r="P16" s="6">
        <f>P_I05*P_C13/12</f>
        <v/>
      </c>
      <c r="Q16" s="6">
        <f>P_I05*P_C13/12</f>
        <v/>
      </c>
      <c r="R16" s="6">
        <f>P_I05*P_C13/12</f>
        <v/>
      </c>
      <c r="S16" s="6">
        <f>P_I05*P_C13/12</f>
        <v/>
      </c>
      <c r="T16" s="6">
        <f>P_I05*P_C13/12</f>
        <v/>
      </c>
      <c r="U16" s="6">
        <f>P_I05*P_C13/12</f>
        <v/>
      </c>
      <c r="V16" s="6">
        <f>P_I05*P_C13/12</f>
        <v/>
      </c>
      <c r="W16" s="6">
        <f>P_I05*P_C13/12</f>
        <v/>
      </c>
      <c r="X16" s="6">
        <f>P_I05*P_C13/12</f>
        <v/>
      </c>
      <c r="Y16" s="6">
        <f>P_I05*P_C13/12</f>
        <v/>
      </c>
      <c r="Z16" s="6">
        <f>P_I05*P_C13/12</f>
        <v/>
      </c>
      <c r="AA16" s="6">
        <f>P_I05*P_C13/12</f>
        <v/>
      </c>
      <c r="AB16" s="6">
        <f>P_I05*P_C13/12</f>
        <v/>
      </c>
      <c r="AC16" s="6">
        <f>P_I05*P_C13/12</f>
        <v/>
      </c>
      <c r="AD16" s="6">
        <f>P_I05*P_C13/12</f>
        <v/>
      </c>
      <c r="AE16" s="6">
        <f>P_I05*P_C13/12</f>
        <v/>
      </c>
      <c r="AF16" s="6">
        <f>P_I05*P_C13/12</f>
        <v/>
      </c>
      <c r="AG16" s="6">
        <f>P_I05*P_C13/12</f>
        <v/>
      </c>
      <c r="AH16" s="6">
        <f>P_I05*P_C13/12</f>
        <v/>
      </c>
      <c r="AI16" s="6">
        <f>P_I05*P_C13/12</f>
        <v/>
      </c>
      <c r="AJ16" s="6">
        <f>P_I05*P_C13/12</f>
        <v/>
      </c>
      <c r="AK16" s="6">
        <f>P_I05*P_C13/12</f>
        <v/>
      </c>
      <c r="AL16" s="6">
        <f>P_I05*P_C13/12</f>
        <v/>
      </c>
      <c r="AM16" s="6">
        <f>P_I05*P_C13/12</f>
        <v/>
      </c>
      <c r="AN16" s="6">
        <f>P_I05*P_C13/12</f>
        <v/>
      </c>
      <c r="AO16" s="6">
        <f>P_I05*P_C13/12</f>
        <v/>
      </c>
      <c r="AP16" s="6">
        <f>P_I05*P_C13/12</f>
        <v/>
      </c>
      <c r="AQ16" s="6">
        <f>P_I05*P_C13/12</f>
        <v/>
      </c>
      <c r="AR16" s="6">
        <f>P_I05*P_C13/12</f>
        <v/>
      </c>
      <c r="AS16" s="6">
        <f>P_I05*P_C13/12</f>
        <v/>
      </c>
      <c r="AT16" s="6">
        <f>P_I05*P_C13/12</f>
        <v/>
      </c>
      <c r="AU16" s="6">
        <f>P_I05*P_C13/12</f>
        <v/>
      </c>
      <c r="AV16" s="6">
        <f>P_I05*P_C13/12</f>
        <v/>
      </c>
      <c r="AW16" s="6">
        <f>P_I05*P_C13/12</f>
        <v/>
      </c>
      <c r="AX16" s="6">
        <f>P_I05*P_C13/12</f>
        <v/>
      </c>
      <c r="AY16" s="6">
        <f>P_I05*P_C13/12</f>
        <v/>
      </c>
      <c r="AZ16" s="6">
        <f>P_I05*P_C13/12</f>
        <v/>
      </c>
      <c r="BA16" s="6">
        <f>P_I05*P_C13/12</f>
        <v/>
      </c>
      <c r="BB16" s="6">
        <f>P_I05*P_C13/12</f>
        <v/>
      </c>
      <c r="BC16" s="6">
        <f>P_I05*P_C13/12</f>
        <v/>
      </c>
      <c r="BD16" s="6">
        <f>P_I05*P_C13/12</f>
        <v/>
      </c>
      <c r="BE16" s="6">
        <f>P_I05*P_C13/12</f>
        <v/>
      </c>
      <c r="BF16" s="6">
        <f>P_I05*P_C13/12</f>
        <v/>
      </c>
      <c r="BG16" s="6">
        <f>P_I05*P_C13/12</f>
        <v/>
      </c>
      <c r="BH16" s="6">
        <f>P_I05*P_C13/12</f>
        <v/>
      </c>
      <c r="BI16" s="6">
        <f>P_I05*P_C13/12</f>
        <v/>
      </c>
      <c r="BJ16" s="6">
        <f>P_I05*P_C13/12</f>
        <v/>
      </c>
    </row>
    <row r="17">
      <c r="A17" s="5" t="inlineStr">
        <is>
          <t>Custos fixos (R$)</t>
        </is>
      </c>
      <c r="B17" s="6" t="n"/>
      <c r="C17" s="6">
        <f>SUM(C8:C16)</f>
        <v/>
      </c>
      <c r="D17" s="6">
        <f>SUM(D8:D16)</f>
        <v/>
      </c>
      <c r="E17" s="6">
        <f>SUM(E8:E16)</f>
        <v/>
      </c>
      <c r="F17" s="6">
        <f>SUM(F8:F16)</f>
        <v/>
      </c>
      <c r="G17" s="6">
        <f>SUM(G8:G16)</f>
        <v/>
      </c>
      <c r="H17" s="6">
        <f>SUM(H8:H16)</f>
        <v/>
      </c>
      <c r="I17" s="6">
        <f>SUM(I8:I16)</f>
        <v/>
      </c>
      <c r="J17" s="6">
        <f>SUM(J8:J16)</f>
        <v/>
      </c>
      <c r="K17" s="6">
        <f>SUM(K8:K16)</f>
        <v/>
      </c>
      <c r="L17" s="6">
        <f>SUM(L8:L16)</f>
        <v/>
      </c>
      <c r="M17" s="6">
        <f>SUM(M8:M16)</f>
        <v/>
      </c>
      <c r="N17" s="6">
        <f>SUM(N8:N16)</f>
        <v/>
      </c>
      <c r="O17" s="6">
        <f>SUM(O8:O16)</f>
        <v/>
      </c>
      <c r="P17" s="6">
        <f>SUM(P8:P16)</f>
        <v/>
      </c>
      <c r="Q17" s="6">
        <f>SUM(Q8:Q16)</f>
        <v/>
      </c>
      <c r="R17" s="6">
        <f>SUM(R8:R16)</f>
        <v/>
      </c>
      <c r="S17" s="6">
        <f>SUM(S8:S16)</f>
        <v/>
      </c>
      <c r="T17" s="6">
        <f>SUM(T8:T16)</f>
        <v/>
      </c>
      <c r="U17" s="6">
        <f>SUM(U8:U16)</f>
        <v/>
      </c>
      <c r="V17" s="6">
        <f>SUM(V8:V16)</f>
        <v/>
      </c>
      <c r="W17" s="6">
        <f>SUM(W8:W16)</f>
        <v/>
      </c>
      <c r="X17" s="6">
        <f>SUM(X8:X16)</f>
        <v/>
      </c>
      <c r="Y17" s="6">
        <f>SUM(Y8:Y16)</f>
        <v/>
      </c>
      <c r="Z17" s="6">
        <f>SUM(Z8:Z16)</f>
        <v/>
      </c>
      <c r="AA17" s="6">
        <f>SUM(AA8:AA16)</f>
        <v/>
      </c>
      <c r="AB17" s="6">
        <f>SUM(AB8:AB16)</f>
        <v/>
      </c>
      <c r="AC17" s="6">
        <f>SUM(AC8:AC16)</f>
        <v/>
      </c>
      <c r="AD17" s="6">
        <f>SUM(AD8:AD16)</f>
        <v/>
      </c>
      <c r="AE17" s="6">
        <f>SUM(AE8:AE16)</f>
        <v/>
      </c>
      <c r="AF17" s="6">
        <f>SUM(AF8:AF16)</f>
        <v/>
      </c>
      <c r="AG17" s="6">
        <f>SUM(AG8:AG16)</f>
        <v/>
      </c>
      <c r="AH17" s="6">
        <f>SUM(AH8:AH16)</f>
        <v/>
      </c>
      <c r="AI17" s="6">
        <f>SUM(AI8:AI16)</f>
        <v/>
      </c>
      <c r="AJ17" s="6">
        <f>SUM(AJ8:AJ16)</f>
        <v/>
      </c>
      <c r="AK17" s="6">
        <f>SUM(AK8:AK16)</f>
        <v/>
      </c>
      <c r="AL17" s="6">
        <f>SUM(AL8:AL16)</f>
        <v/>
      </c>
      <c r="AM17" s="6">
        <f>SUM(AM8:AM16)</f>
        <v/>
      </c>
      <c r="AN17" s="6">
        <f>SUM(AN8:AN16)</f>
        <v/>
      </c>
      <c r="AO17" s="6">
        <f>SUM(AO8:AO16)</f>
        <v/>
      </c>
      <c r="AP17" s="6">
        <f>SUM(AP8:AP16)</f>
        <v/>
      </c>
      <c r="AQ17" s="6">
        <f>SUM(AQ8:AQ16)</f>
        <v/>
      </c>
      <c r="AR17" s="6">
        <f>SUM(AR8:AR16)</f>
        <v/>
      </c>
      <c r="AS17" s="6">
        <f>SUM(AS8:AS16)</f>
        <v/>
      </c>
      <c r="AT17" s="6">
        <f>SUM(AT8:AT16)</f>
        <v/>
      </c>
      <c r="AU17" s="6">
        <f>SUM(AU8:AU16)</f>
        <v/>
      </c>
      <c r="AV17" s="6">
        <f>SUM(AV8:AV16)</f>
        <v/>
      </c>
      <c r="AW17" s="6">
        <f>SUM(AW8:AW16)</f>
        <v/>
      </c>
      <c r="AX17" s="6">
        <f>SUM(AX8:AX16)</f>
        <v/>
      </c>
      <c r="AY17" s="6">
        <f>SUM(AY8:AY16)</f>
        <v/>
      </c>
      <c r="AZ17" s="6">
        <f>SUM(AZ8:AZ16)</f>
        <v/>
      </c>
      <c r="BA17" s="6">
        <f>SUM(BA8:BA16)</f>
        <v/>
      </c>
      <c r="BB17" s="6">
        <f>SUM(BB8:BB16)</f>
        <v/>
      </c>
      <c r="BC17" s="6">
        <f>SUM(BC8:BC16)</f>
        <v/>
      </c>
      <c r="BD17" s="6">
        <f>SUM(BD8:BD16)</f>
        <v/>
      </c>
      <c r="BE17" s="6">
        <f>SUM(BE8:BE16)</f>
        <v/>
      </c>
      <c r="BF17" s="6">
        <f>SUM(BF8:BF16)</f>
        <v/>
      </c>
      <c r="BG17" s="6">
        <f>SUM(BG8:BG16)</f>
        <v/>
      </c>
      <c r="BH17" s="6">
        <f>SUM(BH8:BH16)</f>
        <v/>
      </c>
      <c r="BI17" s="6">
        <f>SUM(BI8:BI16)</f>
        <v/>
      </c>
      <c r="BJ17" s="6">
        <f>SUM(BJ8:BJ16)</f>
        <v/>
      </c>
    </row>
    <row r="18">
      <c r="A18" s="8" t="inlineStr">
        <is>
          <t>Custos totais (R$)</t>
        </is>
      </c>
      <c r="B18" s="9" t="n"/>
      <c r="C18" s="9">
        <f>C7+C17</f>
        <v/>
      </c>
      <c r="D18" s="9">
        <f>D7+D17</f>
        <v/>
      </c>
      <c r="E18" s="9">
        <f>E7+E17</f>
        <v/>
      </c>
      <c r="F18" s="9">
        <f>F7+F17</f>
        <v/>
      </c>
      <c r="G18" s="9">
        <f>G7+G17</f>
        <v/>
      </c>
      <c r="H18" s="9">
        <f>H7+H17</f>
        <v/>
      </c>
      <c r="I18" s="9">
        <f>I7+I17</f>
        <v/>
      </c>
      <c r="J18" s="9">
        <f>J7+J17</f>
        <v/>
      </c>
      <c r="K18" s="9">
        <f>K7+K17</f>
        <v/>
      </c>
      <c r="L18" s="9">
        <f>L7+L17</f>
        <v/>
      </c>
      <c r="M18" s="9">
        <f>M7+M17</f>
        <v/>
      </c>
      <c r="N18" s="9">
        <f>N7+N17</f>
        <v/>
      </c>
      <c r="O18" s="9">
        <f>O7+O17</f>
        <v/>
      </c>
      <c r="P18" s="9">
        <f>P7+P17</f>
        <v/>
      </c>
      <c r="Q18" s="9">
        <f>Q7+Q17</f>
        <v/>
      </c>
      <c r="R18" s="9">
        <f>R7+R17</f>
        <v/>
      </c>
      <c r="S18" s="9">
        <f>S7+S17</f>
        <v/>
      </c>
      <c r="T18" s="9">
        <f>T7+T17</f>
        <v/>
      </c>
      <c r="U18" s="9">
        <f>U7+U17</f>
        <v/>
      </c>
      <c r="V18" s="9">
        <f>V7+V17</f>
        <v/>
      </c>
      <c r="W18" s="9">
        <f>W7+W17</f>
        <v/>
      </c>
      <c r="X18" s="9">
        <f>X7+X17</f>
        <v/>
      </c>
      <c r="Y18" s="9">
        <f>Y7+Y17</f>
        <v/>
      </c>
      <c r="Z18" s="9">
        <f>Z7+Z17</f>
        <v/>
      </c>
      <c r="AA18" s="9">
        <f>AA7+AA17</f>
        <v/>
      </c>
      <c r="AB18" s="9">
        <f>AB7+AB17</f>
        <v/>
      </c>
      <c r="AC18" s="9">
        <f>AC7+AC17</f>
        <v/>
      </c>
      <c r="AD18" s="9">
        <f>AD7+AD17</f>
        <v/>
      </c>
      <c r="AE18" s="9">
        <f>AE7+AE17</f>
        <v/>
      </c>
      <c r="AF18" s="9">
        <f>AF7+AF17</f>
        <v/>
      </c>
      <c r="AG18" s="9">
        <f>AG7+AG17</f>
        <v/>
      </c>
      <c r="AH18" s="9">
        <f>AH7+AH17</f>
        <v/>
      </c>
      <c r="AI18" s="9">
        <f>AI7+AI17</f>
        <v/>
      </c>
      <c r="AJ18" s="9">
        <f>AJ7+AJ17</f>
        <v/>
      </c>
      <c r="AK18" s="9">
        <f>AK7+AK17</f>
        <v/>
      </c>
      <c r="AL18" s="9">
        <f>AL7+AL17</f>
        <v/>
      </c>
      <c r="AM18" s="9">
        <f>AM7+AM17</f>
        <v/>
      </c>
      <c r="AN18" s="9">
        <f>AN7+AN17</f>
        <v/>
      </c>
      <c r="AO18" s="9">
        <f>AO7+AO17</f>
        <v/>
      </c>
      <c r="AP18" s="9">
        <f>AP7+AP17</f>
        <v/>
      </c>
      <c r="AQ18" s="9">
        <f>AQ7+AQ17</f>
        <v/>
      </c>
      <c r="AR18" s="9">
        <f>AR7+AR17</f>
        <v/>
      </c>
      <c r="AS18" s="9">
        <f>AS7+AS17</f>
        <v/>
      </c>
      <c r="AT18" s="9">
        <f>AT7+AT17</f>
        <v/>
      </c>
      <c r="AU18" s="9">
        <f>AU7+AU17</f>
        <v/>
      </c>
      <c r="AV18" s="9">
        <f>AV7+AV17</f>
        <v/>
      </c>
      <c r="AW18" s="9">
        <f>AW7+AW17</f>
        <v/>
      </c>
      <c r="AX18" s="9">
        <f>AX7+AX17</f>
        <v/>
      </c>
      <c r="AY18" s="9">
        <f>AY7+AY17</f>
        <v/>
      </c>
      <c r="AZ18" s="9">
        <f>AZ7+AZ17</f>
        <v/>
      </c>
      <c r="BA18" s="9">
        <f>BA7+BA17</f>
        <v/>
      </c>
      <c r="BB18" s="9">
        <f>BB7+BB17</f>
        <v/>
      </c>
      <c r="BC18" s="9">
        <f>BC7+BC17</f>
        <v/>
      </c>
      <c r="BD18" s="9">
        <f>BD7+BD17</f>
        <v/>
      </c>
      <c r="BE18" s="9">
        <f>BE7+BE17</f>
        <v/>
      </c>
      <c r="BF18" s="9">
        <f>BF7+BF17</f>
        <v/>
      </c>
      <c r="BG18" s="9">
        <f>BG7+BG17</f>
        <v/>
      </c>
      <c r="BH18" s="9">
        <f>BH7+BH17</f>
        <v/>
      </c>
      <c r="BI18" s="9">
        <f>BI7+BI17</f>
        <v/>
      </c>
      <c r="BJ18" s="9">
        <f>BJ7+BJ17</f>
        <v/>
      </c>
    </row>
  </sheetData>
  <mergeCells count="1">
    <mergeCell ref="A1:B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Investimento inicial e depreciação</t>
        </is>
      </c>
      <c r="B1" s="1" t="n"/>
      <c r="C1" s="1" t="n"/>
      <c r="D1" s="1" t="n"/>
    </row>
    <row r="2">
      <c r="A2" s="4" t="inlineStr">
        <is>
          <t>Item</t>
        </is>
      </c>
      <c r="B2" s="4" t="inlineStr">
        <is>
          <t>Valor (R$)</t>
        </is>
      </c>
      <c r="C2" s="4" t="inlineStr">
        <is>
          <t>Vida útil (anos)</t>
        </is>
      </c>
      <c r="D2" s="4" t="inlineStr">
        <is>
          <t>Depreciação anual (R$)</t>
        </is>
      </c>
    </row>
    <row r="3">
      <c r="A3" s="5" t="inlineStr">
        <is>
          <t>Reforma e instalações</t>
        </is>
      </c>
      <c r="B3" s="6">
        <f>P_I01*P_C03</f>
        <v/>
      </c>
      <c r="C3" s="23" t="n">
        <v>5</v>
      </c>
      <c r="D3" s="6">
        <f>IF(C3&gt;0,B3/C3,0)</f>
        <v/>
      </c>
    </row>
    <row r="4">
      <c r="A4" s="5" t="inlineStr">
        <is>
          <t>Mobiliário</t>
        </is>
      </c>
      <c r="B4" s="6">
        <f>P_I02</f>
        <v/>
      </c>
      <c r="C4" s="23" t="n">
        <v>10</v>
      </c>
      <c r="D4" s="6">
        <f>IF(C4&gt;0,B4/C4,0)</f>
        <v/>
      </c>
    </row>
    <row r="5">
      <c r="A5" s="5" t="inlineStr">
        <is>
          <t>Cozinha e bar</t>
        </is>
      </c>
      <c r="B5" s="6">
        <f>P_I03</f>
        <v/>
      </c>
      <c r="C5" s="23" t="n">
        <v>10</v>
      </c>
      <c r="D5" s="6">
        <f>IF(C5&gt;0,B5/C5,0)</f>
        <v/>
      </c>
    </row>
    <row r="6">
      <c r="A6" s="5" t="inlineStr">
        <is>
          <t>Caixa e informática</t>
        </is>
      </c>
      <c r="B6" s="6">
        <f>P_I04</f>
        <v/>
      </c>
      <c r="C6" s="23" t="n">
        <v>5</v>
      </c>
      <c r="D6" s="6">
        <f>IF(C6&gt;0,B6/C6,0)</f>
        <v/>
      </c>
    </row>
    <row r="7">
      <c r="A7" s="5" t="inlineStr">
        <is>
          <t>Acervo inicial de jogos</t>
        </is>
      </c>
      <c r="B7" s="6">
        <f>P_I05</f>
        <v/>
      </c>
      <c r="C7" s="23" t="n">
        <v>5</v>
      </c>
      <c r="D7" s="6">
        <f>IF(C7&gt;0,B7/C7,0)</f>
        <v/>
      </c>
    </row>
    <row r="8">
      <c r="A8" s="5" t="inlineStr">
        <is>
          <t>Gastos pré-operacionais</t>
        </is>
      </c>
      <c r="B8" s="6">
        <f>P_I06</f>
        <v/>
      </c>
      <c r="C8" s="23" t="n">
        <v>5</v>
      </c>
      <c r="D8" s="6">
        <f>IF(C8&gt;0,B8/C8,0)</f>
        <v/>
      </c>
    </row>
    <row r="9">
      <c r="A9" s="5" t="inlineStr">
        <is>
          <t>Caução do aluguel</t>
        </is>
      </c>
      <c r="B9" s="6">
        <f>P_I07*custos!$C$8</f>
        <v/>
      </c>
      <c r="C9" s="23" t="n">
        <v>0</v>
      </c>
      <c r="D9" s="6">
        <f>IF(C9&gt;0,B9/C9,0)</f>
        <v/>
      </c>
    </row>
    <row r="10">
      <c r="A10" s="5" t="inlineStr">
        <is>
          <t>Capital de giro</t>
        </is>
      </c>
      <c r="B10" s="6">
        <f>P_I08*custos!$C$17</f>
        <v/>
      </c>
      <c r="C10" s="23" t="n">
        <v>0</v>
      </c>
      <c r="D10" s="6">
        <f>IF(C10&gt;0,B10/C10,0)</f>
        <v/>
      </c>
    </row>
    <row r="11">
      <c r="A11" s="8" t="inlineStr">
        <is>
          <t>Total</t>
        </is>
      </c>
      <c r="B11" s="9">
        <f>SUM(B3:B10)</f>
        <v/>
      </c>
      <c r="C11" s="9" t="n"/>
      <c r="D11" s="9">
        <f>SUM(D3:D10)</f>
        <v/>
      </c>
    </row>
    <row r="13" ht="30" customHeight="1">
      <c r="A13" s="10" t="inlineStr">
        <is>
          <t>Fonte: aba premissas (I01 a I08, C03). Reforma depreciada em 5 anos (prazo típico de locação); caução e capital de giro voltam no ano 5. Sem valor residual dos demais itens.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Demonstração do resultado projetada (R$, preços de out/2026)</t>
        </is>
      </c>
      <c r="B1" s="1" t="n"/>
      <c r="C1" s="1" t="n"/>
      <c r="D1" s="1" t="n"/>
      <c r="E1" s="1" t="n"/>
      <c r="F1" s="1" t="n"/>
    </row>
    <row r="2">
      <c r="A2" s="4" t="inlineStr">
        <is>
          <t>Conta</t>
        </is>
      </c>
      <c r="B2" s="4" t="inlineStr">
        <is>
          <t>Ano 1</t>
        </is>
      </c>
      <c r="C2" s="4" t="inlineStr">
        <is>
          <t>Ano 2</t>
        </is>
      </c>
      <c r="D2" s="4" t="inlineStr">
        <is>
          <t>Ano 3</t>
        </is>
      </c>
      <c r="E2" s="4" t="inlineStr">
        <is>
          <t>Ano 4</t>
        </is>
      </c>
      <c r="F2" s="4" t="inlineStr">
        <is>
          <t>Ano 5</t>
        </is>
      </c>
    </row>
    <row r="3">
      <c r="A3" s="5" t="inlineStr">
        <is>
          <t>Ano (número)</t>
        </is>
      </c>
      <c r="B3" s="23" t="n">
        <v>1</v>
      </c>
      <c r="C3" s="23" t="n">
        <v>2</v>
      </c>
      <c r="D3" s="23" t="n">
        <v>3</v>
      </c>
      <c r="E3" s="23" t="n">
        <v>4</v>
      </c>
      <c r="F3" s="23" t="n">
        <v>5</v>
      </c>
    </row>
    <row r="4">
      <c r="A4" s="5" t="inlineStr">
        <is>
          <t>Receita bruta</t>
        </is>
      </c>
      <c r="B4" s="6">
        <f>SUMIF(receitas!$C$3:$BJ$3,B$3,receitas!$C$12:$BJ$12)</f>
        <v/>
      </c>
      <c r="C4" s="6">
        <f>SUMIF(receitas!$C$3:$BJ$3,C$3,receitas!$C$12:$BJ$12)</f>
        <v/>
      </c>
      <c r="D4" s="6">
        <f>SUMIF(receitas!$C$3:$BJ$3,D$3,receitas!$C$12:$BJ$12)</f>
        <v/>
      </c>
      <c r="E4" s="6">
        <f>SUMIF(receitas!$C$3:$BJ$3,E$3,receitas!$C$12:$BJ$12)</f>
        <v/>
      </c>
      <c r="F4" s="6">
        <f>SUMIF(receitas!$C$3:$BJ$3,F$3,receitas!$C$12:$BJ$12)</f>
        <v/>
      </c>
    </row>
    <row r="5">
      <c r="A5" s="5" t="inlineStr">
        <is>
          <t>(-) Simples Nacional</t>
        </is>
      </c>
      <c r="B5" s="6">
        <f>-SUMIF(custos!$C$3:$BJ$3,B$3,custos!$C$4:$BJ$4)</f>
        <v/>
      </c>
      <c r="C5" s="6">
        <f>-SUMIF(custos!$C$3:$BJ$3,C$3,custos!$C$4:$BJ$4)</f>
        <v/>
      </c>
      <c r="D5" s="6">
        <f>-SUMIF(custos!$C$3:$BJ$3,D$3,custos!$C$4:$BJ$4)</f>
        <v/>
      </c>
      <c r="E5" s="6">
        <f>-SUMIF(custos!$C$3:$BJ$3,E$3,custos!$C$4:$BJ$4)</f>
        <v/>
      </c>
      <c r="F5" s="6">
        <f>-SUMIF(custos!$C$3:$BJ$3,F$3,custos!$C$4:$BJ$4)</f>
        <v/>
      </c>
    </row>
    <row r="6">
      <c r="A6" s="5" t="inlineStr">
        <is>
          <t>Receita líquida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</row>
    <row r="7">
      <c r="A7" s="5" t="inlineStr">
        <is>
          <t>(-) CMV de alimentos e bebidas</t>
        </is>
      </c>
      <c r="B7" s="6">
        <f>-SUMIF(custos!$C$3:$BJ$3,B$3,custos!$C$5:$BJ$5)</f>
        <v/>
      </c>
      <c r="C7" s="6">
        <f>-SUMIF(custos!$C$3:$BJ$3,C$3,custos!$C$5:$BJ$5)</f>
        <v/>
      </c>
      <c r="D7" s="6">
        <f>-SUMIF(custos!$C$3:$BJ$3,D$3,custos!$C$5:$BJ$5)</f>
        <v/>
      </c>
      <c r="E7" s="6">
        <f>-SUMIF(custos!$C$3:$BJ$3,E$3,custos!$C$5:$BJ$5)</f>
        <v/>
      </c>
      <c r="F7" s="6">
        <f>-SUMIF(custos!$C$3:$BJ$3,F$3,custos!$C$5:$BJ$5)</f>
        <v/>
      </c>
    </row>
    <row r="8">
      <c r="A8" s="5" t="inlineStr">
        <is>
          <t>(-) Taxa de cartão</t>
        </is>
      </c>
      <c r="B8" s="6">
        <f>-SUMIF(custos!$C$3:$BJ$3,B$3,custos!$C$6:$BJ$6)</f>
        <v/>
      </c>
      <c r="C8" s="6">
        <f>-SUMIF(custos!$C$3:$BJ$3,C$3,custos!$C$6:$BJ$6)</f>
        <v/>
      </c>
      <c r="D8" s="6">
        <f>-SUMIF(custos!$C$3:$BJ$3,D$3,custos!$C$6:$BJ$6)</f>
        <v/>
      </c>
      <c r="E8" s="6">
        <f>-SUMIF(custos!$C$3:$BJ$3,E$3,custos!$C$6:$BJ$6)</f>
        <v/>
      </c>
      <c r="F8" s="6">
        <f>-SUMIF(custos!$C$3:$BJ$3,F$3,custos!$C$6:$BJ$6)</f>
        <v/>
      </c>
    </row>
    <row r="9">
      <c r="A9" s="5" t="inlineStr">
        <is>
          <t>Margem de contribuição</t>
        </is>
      </c>
      <c r="B9" s="6">
        <f>B6+B7+B8</f>
        <v/>
      </c>
      <c r="C9" s="6">
        <f>C6+C7+C8</f>
        <v/>
      </c>
      <c r="D9" s="6">
        <f>D6+D7+D8</f>
        <v/>
      </c>
      <c r="E9" s="6">
        <f>E6+E7+E8</f>
        <v/>
      </c>
      <c r="F9" s="6">
        <f>F6+F7+F8</f>
        <v/>
      </c>
    </row>
    <row r="10">
      <c r="A10" s="5" t="inlineStr">
        <is>
          <t>(-) Custos fixos</t>
        </is>
      </c>
      <c r="B10" s="6">
        <f>-SUMIF(custos!$C$3:$BJ$3,B$3,custos!$C$17:$BJ$17)</f>
        <v/>
      </c>
      <c r="C10" s="6">
        <f>-SUMIF(custos!$C$3:$BJ$3,C$3,custos!$C$17:$BJ$17)</f>
        <v/>
      </c>
      <c r="D10" s="6">
        <f>-SUMIF(custos!$C$3:$BJ$3,D$3,custos!$C$17:$BJ$17)</f>
        <v/>
      </c>
      <c r="E10" s="6">
        <f>-SUMIF(custos!$C$3:$BJ$3,E$3,custos!$C$17:$BJ$17)</f>
        <v/>
      </c>
      <c r="F10" s="6">
        <f>-SUMIF(custos!$C$3:$BJ$3,F$3,custos!$C$17:$BJ$17)</f>
        <v/>
      </c>
    </row>
    <row r="11">
      <c r="A11" s="5" t="inlineStr">
        <is>
          <t>EBITDA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</row>
    <row r="12">
      <c r="A12" s="5" t="inlineStr">
        <is>
          <t>(-) Depreciação e amortização</t>
        </is>
      </c>
      <c r="B12" s="6">
        <f>-investimento!$D$11</f>
        <v/>
      </c>
      <c r="C12" s="6">
        <f>-investimento!$D$11</f>
        <v/>
      </c>
      <c r="D12" s="6">
        <f>-investimento!$D$11</f>
        <v/>
      </c>
      <c r="E12" s="6">
        <f>-investimento!$D$11</f>
        <v/>
      </c>
      <c r="F12" s="6">
        <f>-investimento!$D$11</f>
        <v/>
      </c>
    </row>
    <row r="13">
      <c r="A13" s="5" t="inlineStr">
        <is>
          <t>Lucro líquido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</row>
    <row r="14">
      <c r="A14" s="8" t="inlineStr">
        <is>
          <t>Margem líquida</t>
        </is>
      </c>
      <c r="B14" s="24">
        <f>IF(B4=0,0,B13/B4)</f>
        <v/>
      </c>
      <c r="C14" s="24">
        <f>IF(C4=0,0,C13/C4)</f>
        <v/>
      </c>
      <c r="D14" s="24">
        <f>IF(D4=0,0,D13/D4)</f>
        <v/>
      </c>
      <c r="E14" s="24">
        <f>IF(E4=0,0,E13/E4)</f>
        <v/>
      </c>
      <c r="F14" s="24">
        <f>IF(F4=0,0,F13/F4)</f>
        <v/>
      </c>
    </row>
    <row r="16" ht="30" customHeight="1">
      <c r="A16" s="10" t="inlineStr">
        <is>
          <t>Fonte: abas receitas, custos e investimento. No Simples Nacional, IRPJ e CSLL estão no DAS; não há imposto sobre o lucro à parte.</t>
        </is>
      </c>
    </row>
  </sheetData>
  <mergeCells count="2"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Fluxo de caixa projetado (R$, preços de out/2026)</t>
        </is>
      </c>
      <c r="B1" s="1" t="n"/>
      <c r="C1" s="1" t="n"/>
      <c r="D1" s="1" t="n"/>
      <c r="E1" s="1" t="n"/>
      <c r="F1" s="1" t="n"/>
      <c r="G1" s="1" t="n"/>
    </row>
    <row r="2">
      <c r="A2" s="4" t="inlineStr">
        <is>
          <t>Linha</t>
        </is>
      </c>
      <c r="B2" s="4" t="inlineStr">
        <is>
          <t>Ano 0</t>
        </is>
      </c>
      <c r="C2" s="4" t="inlineStr">
        <is>
          <t>Ano 1</t>
        </is>
      </c>
      <c r="D2" s="4" t="inlineStr">
        <is>
          <t>Ano 2</t>
        </is>
      </c>
      <c r="E2" s="4" t="inlineStr">
        <is>
          <t>Ano 3</t>
        </is>
      </c>
      <c r="F2" s="4" t="inlineStr">
        <is>
          <t>Ano 4</t>
        </is>
      </c>
      <c r="G2" s="4" t="inlineStr">
        <is>
          <t>Ano 5</t>
        </is>
      </c>
    </row>
    <row r="3">
      <c r="A3" s="5" t="inlineStr">
        <is>
          <t>Ano (número)</t>
        </is>
      </c>
      <c r="B3" s="23" t="n">
        <v>0</v>
      </c>
      <c r="C3" s="23" t="n">
        <v>1</v>
      </c>
      <c r="D3" s="23" t="n">
        <v>2</v>
      </c>
      <c r="E3" s="23" t="n">
        <v>3</v>
      </c>
      <c r="F3" s="23" t="n">
        <v>4</v>
      </c>
      <c r="G3" s="23" t="n">
        <v>5</v>
      </c>
    </row>
    <row r="4">
      <c r="A4" s="5" t="inlineStr">
        <is>
          <t>Investimento</t>
        </is>
      </c>
      <c r="B4" s="6">
        <f>-investimento!$B$11</f>
        <v/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5" t="inlineStr">
        <is>
          <t>EBITDA</t>
        </is>
      </c>
      <c r="B5" s="6" t="n">
        <v>0</v>
      </c>
      <c r="C5" s="6">
        <f>dre!B11</f>
        <v/>
      </c>
      <c r="D5" s="6">
        <f>dre!C11</f>
        <v/>
      </c>
      <c r="E5" s="6">
        <f>dre!D11</f>
        <v/>
      </c>
      <c r="F5" s="6">
        <f>dre!E11</f>
        <v/>
      </c>
      <c r="G5" s="6">
        <f>dre!F11</f>
        <v/>
      </c>
    </row>
    <row r="6">
      <c r="A6" s="5" t="inlineStr">
        <is>
          <t>Retorno da caução e do capital de giro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>
        <f>investimento!$B$9+investimento!$B$10</f>
        <v/>
      </c>
    </row>
    <row r="7">
      <c r="A7" s="5" t="inlineStr">
        <is>
          <t>Fluxo líquido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6">
        <f>SUM(G4:G6)</f>
        <v/>
      </c>
    </row>
    <row r="8">
      <c r="A8" s="5" t="inlineStr">
        <is>
          <t>Fator de desconto</t>
        </is>
      </c>
      <c r="B8" s="25">
        <f>1/(1+P_M01)^B3</f>
        <v/>
      </c>
      <c r="C8" s="25">
        <f>1/(1+P_M01)^C3</f>
        <v/>
      </c>
      <c r="D8" s="25">
        <f>1/(1+P_M01)^D3</f>
        <v/>
      </c>
      <c r="E8" s="25">
        <f>1/(1+P_M01)^E3</f>
        <v/>
      </c>
      <c r="F8" s="25">
        <f>1/(1+P_M01)^F3</f>
        <v/>
      </c>
      <c r="G8" s="25">
        <f>1/(1+P_M01)^G3</f>
        <v/>
      </c>
    </row>
    <row r="9">
      <c r="A9" s="5" t="inlineStr">
        <is>
          <t>Fluxo descontado</t>
        </is>
      </c>
      <c r="B9" s="6">
        <f>B7*B8</f>
        <v/>
      </c>
      <c r="C9" s="6">
        <f>C7*C8</f>
        <v/>
      </c>
      <c r="D9" s="6">
        <f>D7*D8</f>
        <v/>
      </c>
      <c r="E9" s="6">
        <f>E7*E8</f>
        <v/>
      </c>
      <c r="F9" s="6">
        <f>F7*F8</f>
        <v/>
      </c>
      <c r="G9" s="6">
        <f>G7*G8</f>
        <v/>
      </c>
    </row>
    <row r="10">
      <c r="A10" s="5" t="inlineStr">
        <is>
          <t>Fluxo descontado acumulado</t>
        </is>
      </c>
      <c r="B10" s="6">
        <f>B9</f>
        <v/>
      </c>
      <c r="C10" s="6">
        <f>B10+C9</f>
        <v/>
      </c>
      <c r="D10" s="6">
        <f>C10+D9</f>
        <v/>
      </c>
      <c r="E10" s="6">
        <f>D10+E9</f>
        <v/>
      </c>
      <c r="F10" s="6">
        <f>E10+F9</f>
        <v/>
      </c>
      <c r="G10" s="6">
        <f>F10+G9</f>
        <v/>
      </c>
    </row>
    <row r="11">
      <c r="A11" s="8" t="inlineStr">
        <is>
          <t>Payback descontado (auxiliar)</t>
        </is>
      </c>
      <c r="B11" s="9" t="n"/>
      <c r="C11" s="9">
        <f>IF(AND(B10&lt;0,C10&gt;=0),B3+(-B10)/C9,"")</f>
        <v/>
      </c>
      <c r="D11" s="9">
        <f>IF(AND(C10&lt;0,D10&gt;=0),C3+(-C10)/D9,"")</f>
        <v/>
      </c>
      <c r="E11" s="9">
        <f>IF(AND(D10&lt;0,E10&gt;=0),D3+(-D10)/E9,"")</f>
        <v/>
      </c>
      <c r="F11" s="9">
        <f>IF(AND(E10&lt;0,F10&gt;=0),E3+(-E10)/F9,"")</f>
        <v/>
      </c>
      <c r="G11" s="9">
        <f>IF(AND(F10&lt;0,G10&gt;=0),F3+(-F10)/G9,"")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20" customWidth="1" min="3" max="3"/>
  </cols>
  <sheetData>
    <row r="1">
      <c r="A1" s="1" t="inlineStr">
        <is>
          <t>Indicadores de viabilidade do cenário ativo</t>
        </is>
      </c>
      <c r="B1" s="1" t="n"/>
      <c r="C1" s="1" t="n"/>
    </row>
    <row r="2">
      <c r="A2" s="4" t="inlineStr">
        <is>
          <t>Indicador</t>
        </is>
      </c>
      <c r="B2" s="4" t="inlineStr">
        <is>
          <t>Valor</t>
        </is>
      </c>
      <c r="C2" s="4" t="inlineStr">
        <is>
          <t>Unidade</t>
        </is>
      </c>
    </row>
    <row r="3">
      <c r="A3" s="5" t="inlineStr">
        <is>
          <t>Cenário ativo</t>
        </is>
      </c>
      <c r="B3" s="15">
        <f>CHOOSE(P_CEN,"pessimista","provável","otimista")</f>
        <v/>
      </c>
      <c r="C3" s="5" t="inlineStr"/>
    </row>
    <row r="4">
      <c r="A4" s="5" t="inlineStr">
        <is>
          <t>Investimento inicial</t>
        </is>
      </c>
      <c r="B4" s="6">
        <f>investimento!B11</f>
        <v/>
      </c>
      <c r="C4" s="5" t="inlineStr">
        <is>
          <t>R$</t>
        </is>
      </c>
    </row>
    <row r="5">
      <c r="A5" s="5" t="inlineStr">
        <is>
          <t>VPL a TMA real</t>
        </is>
      </c>
      <c r="B5" s="6">
        <f>SUM(fluxo_caixa!B9:G9)</f>
        <v/>
      </c>
      <c r="C5" s="5" t="inlineStr">
        <is>
          <t>R$</t>
        </is>
      </c>
    </row>
    <row r="6">
      <c r="A6" s="5" t="inlineStr">
        <is>
          <t>TIR real</t>
        </is>
      </c>
      <c r="B6" s="7">
        <f>IFERROR(IRR(fluxo_caixa!B7:G7),"não há")</f>
        <v/>
      </c>
      <c r="C6" s="5" t="inlineStr">
        <is>
          <t>% ao ano</t>
        </is>
      </c>
    </row>
    <row r="7">
      <c r="A7" s="5" t="inlineStr">
        <is>
          <t>Payback descontado</t>
        </is>
      </c>
      <c r="B7" s="6">
        <f>IF(COUNT(fluxo_caixa!C11:G11)=0,"mais de 5 anos",MIN(fluxo_caixa!C11:G11))</f>
        <v/>
      </c>
      <c r="C7" s="5" t="inlineStr">
        <is>
          <t>anos</t>
        </is>
      </c>
    </row>
    <row r="8">
      <c r="A8" s="5" t="inlineStr">
        <is>
          <t>Receita bruta mensal madura (mês 60)</t>
        </is>
      </c>
      <c r="B8" s="6">
        <f>receitas!BJ12</f>
        <v/>
      </c>
      <c r="C8" s="5" t="inlineStr">
        <is>
          <t>R$</t>
        </is>
      </c>
    </row>
    <row r="9">
      <c r="A9" s="5" t="inlineStr">
        <is>
          <t>Custos fixos mensais</t>
        </is>
      </c>
      <c r="B9" s="6">
        <f>custos!BJ17</f>
        <v/>
      </c>
      <c r="C9" s="5" t="inlineStr">
        <is>
          <t>R$</t>
        </is>
      </c>
    </row>
    <row r="10">
      <c r="A10" s="5" t="inlineStr">
        <is>
          <t>Margem de contribuição (ano 5)</t>
        </is>
      </c>
      <c r="B10" s="7">
        <f>dre!F9/dre!F4</f>
        <v/>
      </c>
      <c r="C10" s="5" t="inlineStr">
        <is>
          <t>% da receita bruta</t>
        </is>
      </c>
    </row>
    <row r="11">
      <c r="A11" s="5" t="inlineStr">
        <is>
          <t>Receita bruta mensal de equilíbrio</t>
        </is>
      </c>
      <c r="B11" s="6">
        <f>B9/B10</f>
        <v/>
      </c>
      <c r="C11" s="5" t="inlineStr">
        <is>
          <t>R$</t>
        </is>
      </c>
    </row>
    <row r="12">
      <c r="A12" s="5" t="inlineStr">
        <is>
          <t>Receita madura ÷ receita de equilíbrio</t>
        </is>
      </c>
      <c r="B12" s="6">
        <f>B8/B11</f>
        <v/>
      </c>
      <c r="C12" s="5" t="inlineStr">
        <is>
          <t>vezes</t>
        </is>
      </c>
    </row>
    <row r="13">
      <c r="A13" s="5" t="inlineStr">
        <is>
          <t>Ocupação de equilíbrio, fim de semana (dia útil na mesma proporção)</t>
        </is>
      </c>
      <c r="B13" s="7">
        <f>P_R04*(B11-receitas!BJ11)/(B8-receitas!BJ11)</f>
        <v/>
      </c>
      <c r="C13" s="5" t="inlineStr">
        <is>
          <t>% das mesas</t>
        </is>
      </c>
    </row>
    <row r="14">
      <c r="A14" s="8" t="inlineStr">
        <is>
          <t>Ocupação de equilíbrio, dia útil (mesma proporção)</t>
        </is>
      </c>
      <c r="B14" s="24">
        <f>P_R05*(B11-receitas!BJ11)/(B8-receitas!BJ11)</f>
        <v/>
      </c>
      <c r="C14" s="8" t="inlineStr">
        <is>
          <t>% das mesas</t>
        </is>
      </c>
    </row>
    <row r="16" ht="30" customHeight="1">
      <c r="A16" s="10" t="inlineStr">
        <is>
          <t>Fonte: abas fluxo_caixa, dre, receitas e custos. Ocupação de equilíbrio por aproximação linear: a receita sem o aluguel de jogos cresce na proporção da ocupação.</t>
        </is>
      </c>
    </row>
  </sheetData>
  <mergeCells count="2">
    <mergeCell ref="A1:C1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Cenários, tornado e pontos de ruptura (calculados pelo script com as mesmas fórmulas)</t>
        </is>
      </c>
      <c r="B1" s="26" t="n"/>
      <c r="C1" s="26" t="n"/>
      <c r="D1" s="26" t="n"/>
      <c r="E1" s="26" t="n"/>
      <c r="F1" s="26" t="n"/>
      <c r="G1" s="26" t="n"/>
    </row>
    <row r="2">
      <c r="A2" s="4" t="inlineStr">
        <is>
          <t>Cenário</t>
        </is>
      </c>
      <c r="B2" s="4" t="inlineStr">
        <is>
          <t>Investimento (R$)</t>
        </is>
      </c>
      <c r="C2" s="4" t="inlineStr">
        <is>
          <t>Receita mensal madura (R$)</t>
        </is>
      </c>
      <c r="D2" s="4" t="inlineStr">
        <is>
          <t>EBITDA do ano 5 (R$)</t>
        </is>
      </c>
      <c r="E2" s="4" t="inlineStr">
        <is>
          <t>VPL (R$)</t>
        </is>
      </c>
      <c r="F2" s="4" t="inlineStr">
        <is>
          <t>TIR real</t>
        </is>
      </c>
      <c r="G2" s="4" t="inlineStr">
        <is>
          <t>Payback descontado (anos)</t>
        </is>
      </c>
    </row>
    <row r="3">
      <c r="A3" s="27" t="inlineStr">
        <is>
          <t>pessimista</t>
        </is>
      </c>
      <c r="B3" s="28" t="n">
        <v>849496.7849999999</v>
      </c>
      <c r="C3" s="28" t="n">
        <v>19407.4598540146</v>
      </c>
      <c r="D3" s="28" t="n">
        <v>-649980.7723559861</v>
      </c>
      <c r="E3" s="28" t="n">
        <v>-2824035.785798565</v>
      </c>
      <c r="F3" s="29" t="inlineStr">
        <is>
          <t>não há</t>
        </is>
      </c>
      <c r="G3" s="30" t="inlineStr">
        <is>
          <t>mais de 5</t>
        </is>
      </c>
    </row>
    <row r="4">
      <c r="A4" s="27" t="inlineStr">
        <is>
          <t>provável</t>
        </is>
      </c>
      <c r="B4" s="28" t="n">
        <v>503230.6348666667</v>
      </c>
      <c r="C4" s="28" t="n">
        <v>73100.80733944953</v>
      </c>
      <c r="D4" s="28" t="n">
        <v>23404.73992719039</v>
      </c>
      <c r="E4" s="28" t="n">
        <v>-478828.5514159286</v>
      </c>
      <c r="F4" s="31" t="n">
        <v>-0.2098242251945816</v>
      </c>
      <c r="G4" s="30" t="inlineStr">
        <is>
          <t>mais de 5</t>
        </is>
      </c>
    </row>
    <row r="5">
      <c r="A5" s="32" t="inlineStr">
        <is>
          <t>otimista</t>
        </is>
      </c>
      <c r="B5" s="33" t="n">
        <v>288832.171125</v>
      </c>
      <c r="C5" s="33" t="n">
        <v>207261.4554216868</v>
      </c>
      <c r="D5" s="33" t="n">
        <v>1302846.226872848</v>
      </c>
      <c r="E5" s="33" t="n">
        <v>4263293.440258234</v>
      </c>
      <c r="F5" s="34" t="n">
        <v>3.940428508181173</v>
      </c>
      <c r="G5" s="33" t="n">
        <v>0.2949533269857406</v>
      </c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2" t="inlineStr">
        <is>
          <t>Tornado: VPL com a premissa no extremo e as demais no provável</t>
        </is>
      </c>
      <c r="B7" s="3" t="n"/>
      <c r="C7" s="3" t="n"/>
      <c r="D7" s="3" t="n"/>
      <c r="E7" s="3" t="n"/>
      <c r="F7" s="3" t="n"/>
      <c r="G7" s="3" t="n"/>
    </row>
    <row r="8">
      <c r="A8" s="4" t="inlineStr">
        <is>
          <t>ID</t>
        </is>
      </c>
      <c r="B8" s="4" t="inlineStr">
        <is>
          <t>Premissa</t>
        </is>
      </c>
      <c r="C8" s="4" t="inlineStr">
        <is>
          <t>VPL no pessimista (R$)</t>
        </is>
      </c>
      <c r="D8" s="4" t="inlineStr">
        <is>
          <t>VPL no otimista (R$)</t>
        </is>
      </c>
      <c r="E8" s="4" t="inlineStr">
        <is>
          <t>Amplitude (R$)</t>
        </is>
      </c>
      <c r="F8" s="4" t="inlineStr">
        <is>
          <t>Ordem</t>
        </is>
      </c>
      <c r="G8" s="4" t="n"/>
    </row>
    <row r="9">
      <c r="A9" s="27" t="inlineStr">
        <is>
          <t>R03</t>
        </is>
      </c>
      <c r="B9" s="27" t="inlineStr">
        <is>
          <t>Permanência média</t>
        </is>
      </c>
      <c r="C9" s="28" t="n">
        <v>-867681.4915635511</v>
      </c>
      <c r="D9" s="28" t="n">
        <v>113004.5715264828</v>
      </c>
      <c r="E9" s="28" t="n">
        <v>980686.0630900338</v>
      </c>
      <c r="F9" s="35" t="n">
        <v>1</v>
      </c>
      <c r="G9" s="35" t="n"/>
    </row>
    <row r="10">
      <c r="A10" s="27" t="inlineStr">
        <is>
          <t>R02</t>
        </is>
      </c>
      <c r="B10" s="27" t="inlineStr">
        <is>
          <t>Pessoas por grupo de mesa</t>
        </is>
      </c>
      <c r="C10" s="28" t="n">
        <v>-902268.0239806435</v>
      </c>
      <c r="D10" s="28" t="n">
        <v>-58793.8872213813</v>
      </c>
      <c r="E10" s="28" t="n">
        <v>843474.1367592622</v>
      </c>
      <c r="F10" s="35" t="n">
        <v>2</v>
      </c>
      <c r="G10" s="35" t="n"/>
    </row>
    <row r="11">
      <c r="A11" s="27" t="inlineStr">
        <is>
          <t>R04</t>
        </is>
      </c>
      <c r="B11" s="27" t="inlineStr">
        <is>
          <t>Taxa de ocupação, fim de semana (sex a dom)</t>
        </is>
      </c>
      <c r="C11" s="28" t="n">
        <v>-810496.4101990184</v>
      </c>
      <c r="D11" s="28" t="n">
        <v>-148443.5932684147</v>
      </c>
      <c r="E11" s="28" t="n">
        <v>662052.8169306037</v>
      </c>
      <c r="F11" s="35" t="n">
        <v>3</v>
      </c>
      <c r="G11" s="35" t="n"/>
    </row>
    <row r="12">
      <c r="A12" s="27" t="inlineStr">
        <is>
          <t>R05</t>
        </is>
      </c>
      <c r="B12" s="27" t="inlineStr">
        <is>
          <t>Taxa de ocupação, dia útil (seg a qui)</t>
        </is>
      </c>
      <c r="C12" s="28" t="n">
        <v>-806490.0836766063</v>
      </c>
      <c r="D12" s="28" t="n">
        <v>-193065.5144664248</v>
      </c>
      <c r="E12" s="28" t="n">
        <v>613424.5692101815</v>
      </c>
      <c r="F12" s="35" t="n">
        <v>4</v>
      </c>
      <c r="G12" s="35" t="n"/>
    </row>
    <row r="13">
      <c r="A13" s="27" t="inlineStr">
        <is>
          <t>R01</t>
        </is>
      </c>
      <c r="B13" s="27" t="inlineStr">
        <is>
          <t>Mesas do salão</t>
        </is>
      </c>
      <c r="C13" s="28" t="n">
        <v>-859192.0555929054</v>
      </c>
      <c r="D13" s="28" t="n">
        <v>-289454.7689443411</v>
      </c>
      <c r="E13" s="28" t="n">
        <v>569737.2866485643</v>
      </c>
      <c r="F13" s="35" t="n">
        <v>5</v>
      </c>
      <c r="G13" s="35" t="n"/>
    </row>
    <row r="14">
      <c r="A14" s="27" t="inlineStr">
        <is>
          <t>R08</t>
        </is>
      </c>
      <c r="B14" s="27" t="inlineStr">
        <is>
          <t>Gasto com alimentos e bebidas</t>
        </is>
      </c>
      <c r="C14" s="28" t="n">
        <v>-663919.5969947963</v>
      </c>
      <c r="D14" s="28" t="n">
        <v>-232283.9953998576</v>
      </c>
      <c r="E14" s="28" t="n">
        <v>431635.6015949387</v>
      </c>
      <c r="F14" s="35" t="n">
        <v>6</v>
      </c>
      <c r="G14" s="35" t="n"/>
    </row>
    <row r="15">
      <c r="A15" s="27" t="inlineStr">
        <is>
          <t>C06</t>
        </is>
      </c>
      <c r="B15" s="27" t="inlineStr">
        <is>
          <t>Fator do quadro de pessoal</t>
        </is>
      </c>
      <c r="C15" s="28" t="n">
        <v>-672608.9967463985</v>
      </c>
      <c r="D15" s="28" t="n">
        <v>-285048.1060854594</v>
      </c>
      <c r="E15" s="28" t="n">
        <v>387560.8906609392</v>
      </c>
      <c r="F15" s="35" t="n">
        <v>7</v>
      </c>
      <c r="G15" s="35" t="n"/>
    </row>
    <row r="16">
      <c r="A16" s="27" t="inlineStr">
        <is>
          <t>C03</t>
        </is>
      </c>
      <c r="B16" s="27" t="inlineStr">
        <is>
          <t>Área do ponto</t>
        </is>
      </c>
      <c r="C16" s="28" t="n">
        <v>-629264.8318182006</v>
      </c>
      <c r="D16" s="28" t="n">
        <v>-366001.3411142247</v>
      </c>
      <c r="E16" s="28" t="n">
        <v>263263.4907039759</v>
      </c>
      <c r="F16" s="35" t="n">
        <v>8</v>
      </c>
      <c r="G16" s="35" t="n"/>
    </row>
    <row r="17">
      <c r="A17" s="27" t="inlineStr">
        <is>
          <t>C04</t>
        </is>
      </c>
      <c r="B17" s="27" t="inlineStr">
        <is>
          <t>Aluguel comercial</t>
        </is>
      </c>
      <c r="C17" s="28" t="n">
        <v>-572439.359734752</v>
      </c>
      <c r="D17" s="28" t="n">
        <v>-394854.1498358077</v>
      </c>
      <c r="E17" s="28" t="n">
        <v>177585.2098989442</v>
      </c>
      <c r="F17" s="35" t="n">
        <v>9</v>
      </c>
      <c r="G17" s="35" t="n"/>
    </row>
    <row r="18">
      <c r="A18" s="27" t="inlineStr">
        <is>
          <t>I01</t>
        </is>
      </c>
      <c r="B18" s="27" t="inlineStr">
        <is>
          <t>Reforma e instalações</t>
        </is>
      </c>
      <c r="C18" s="28" t="n">
        <v>-550828.5514159286</v>
      </c>
      <c r="D18" s="28" t="n">
        <v>-406828.5514159287</v>
      </c>
      <c r="E18" s="28" t="n">
        <v>143999.9999999999</v>
      </c>
      <c r="F18" s="35" t="n">
        <v>10</v>
      </c>
      <c r="G18" s="35" t="n"/>
    </row>
    <row r="19">
      <c r="A19" s="27" t="inlineStr">
        <is>
          <t>R06</t>
        </is>
      </c>
      <c r="B19" s="27" t="inlineStr">
        <is>
          <t>Taxa de entrada, fim de semana</t>
        </is>
      </c>
      <c r="C19" s="28" t="n">
        <v>-557413.1045064619</v>
      </c>
      <c r="D19" s="28" t="n">
        <v>-426461.941563401</v>
      </c>
      <c r="E19" s="28" t="n">
        <v>130951.1629430609</v>
      </c>
      <c r="F19" s="35" t="n">
        <v>11</v>
      </c>
      <c r="G19" s="35" t="n"/>
    </row>
    <row r="20">
      <c r="A20" s="27" t="inlineStr">
        <is>
          <t>C07</t>
        </is>
      </c>
      <c r="B20" s="27" t="inlineStr">
        <is>
          <t>Encargos e provisões sobre a folha</t>
        </is>
      </c>
      <c r="C20" s="28" t="n">
        <v>-546722.4300718596</v>
      </c>
      <c r="D20" s="28" t="n">
        <v>-419421.4075919891</v>
      </c>
      <c r="E20" s="28" t="n">
        <v>127301.0224798705</v>
      </c>
      <c r="F20" s="35" t="n">
        <v>12</v>
      </c>
      <c r="G20" s="35" t="n"/>
    </row>
    <row r="21">
      <c r="A21" s="27" t="inlineStr">
        <is>
          <t>C01</t>
        </is>
      </c>
      <c r="B21" s="27" t="inlineStr">
        <is>
          <t>CMV de alimentos e bebidas</t>
        </is>
      </c>
      <c r="C21" s="28" t="n">
        <v>-545182.5287743547</v>
      </c>
      <c r="D21" s="28" t="n">
        <v>-425745.3695291879</v>
      </c>
      <c r="E21" s="28" t="n">
        <v>119437.1592451669</v>
      </c>
      <c r="F21" s="35" t="n">
        <v>13</v>
      </c>
      <c r="G21" s="35" t="n"/>
    </row>
    <row r="22">
      <c r="A22" s="27" t="inlineStr">
        <is>
          <t>C09</t>
        </is>
      </c>
      <c r="B22" s="27" t="inlineStr">
        <is>
          <t>Utilidades (energia, água, gás, internet)</t>
        </is>
      </c>
      <c r="C22" s="28" t="n">
        <v>-540675.812974239</v>
      </c>
      <c r="D22" s="28" t="n">
        <v>-437597.0437103885</v>
      </c>
      <c r="E22" s="28" t="n">
        <v>103078.7692638505</v>
      </c>
      <c r="F22" s="35" t="n">
        <v>14</v>
      </c>
      <c r="G22" s="35" t="n"/>
    </row>
    <row r="23">
      <c r="A23" s="27" t="inlineStr">
        <is>
          <t>I05</t>
        </is>
      </c>
      <c r="B23" s="27" t="inlineStr">
        <is>
          <t>Acervo inicial de jogos</t>
        </is>
      </c>
      <c r="C23" s="28" t="n">
        <v>-551203.5210626071</v>
      </c>
      <c r="D23" s="28" t="n">
        <v>-454703.5615337024</v>
      </c>
      <c r="E23" s="28" t="n">
        <v>96499.95952890464</v>
      </c>
      <c r="F23" s="35" t="n">
        <v>15</v>
      </c>
      <c r="G23" s="35" t="n"/>
    </row>
    <row r="24">
      <c r="A24" s="27" t="inlineStr">
        <is>
          <t>R07</t>
        </is>
      </c>
      <c r="B24" s="27" t="inlineStr">
        <is>
          <t>Taxa de entrada, dia útil</t>
        </is>
      </c>
      <c r="C24" s="28" t="n">
        <v>-517313.5401836595</v>
      </c>
      <c r="D24" s="28" t="n">
        <v>-421119.3879730252</v>
      </c>
      <c r="E24" s="28" t="n">
        <v>96194.15221063438</v>
      </c>
      <c r="F24" s="35" t="n">
        <v>16</v>
      </c>
      <c r="G24" s="35" t="n"/>
    </row>
    <row r="25">
      <c r="A25" s="27" t="inlineStr">
        <is>
          <t>C08</t>
        </is>
      </c>
      <c r="B25" s="27" t="inlineStr">
        <is>
          <t>Pró-labore</t>
        </is>
      </c>
      <c r="C25" s="28" t="n">
        <v>-520060.0591214689</v>
      </c>
      <c r="D25" s="28" t="n">
        <v>-437597.0437103885</v>
      </c>
      <c r="E25" s="28" t="n">
        <v>82463.01541108039</v>
      </c>
      <c r="F25" s="35" t="n">
        <v>17</v>
      </c>
      <c r="G25" s="35" t="n"/>
    </row>
    <row r="26">
      <c r="A26" s="27" t="inlineStr">
        <is>
          <t>R12</t>
        </is>
      </c>
      <c r="B26" s="27" t="inlineStr">
        <is>
          <t>Meses até a maturidade</t>
        </is>
      </c>
      <c r="C26" s="28" t="n">
        <v>-519469.3576544608</v>
      </c>
      <c r="D26" s="28" t="n">
        <v>-438606.028907127</v>
      </c>
      <c r="E26" s="28" t="n">
        <v>80863.32874733384</v>
      </c>
      <c r="F26" s="35" t="n">
        <v>18</v>
      </c>
      <c r="G26" s="35" t="n"/>
    </row>
    <row r="27">
      <c r="A27" s="27" t="inlineStr">
        <is>
          <t>C05</t>
        </is>
      </c>
      <c r="B27" s="27" t="inlineStr">
        <is>
          <t>Condomínio e IPTU</t>
        </is>
      </c>
      <c r="C27" s="28" t="n">
        <v>-519016.9019765189</v>
      </c>
      <c r="D27" s="28" t="n">
        <v>-438640.2008553387</v>
      </c>
      <c r="E27" s="28" t="n">
        <v>80376.70112118014</v>
      </c>
      <c r="F27" s="35" t="n">
        <v>19</v>
      </c>
      <c r="G27" s="35" t="n"/>
    </row>
    <row r="28">
      <c r="A28" s="27" t="inlineStr">
        <is>
          <t>R09</t>
        </is>
      </c>
      <c r="B28" s="27" t="inlineStr">
        <is>
          <t>Aluguéis de jogos</t>
        </is>
      </c>
      <c r="C28" s="28" t="n">
        <v>-497501.0068025421</v>
      </c>
      <c r="D28" s="28" t="n">
        <v>-450824.1988085911</v>
      </c>
      <c r="E28" s="28" t="n">
        <v>46676.80799395102</v>
      </c>
      <c r="F28" s="35" t="n">
        <v>20</v>
      </c>
      <c r="G28" s="35" t="n"/>
    </row>
    <row r="29">
      <c r="A29" s="27" t="inlineStr">
        <is>
          <t>C10</t>
        </is>
      </c>
      <c r="B29" s="27" t="inlineStr">
        <is>
          <t>Marketing</t>
        </is>
      </c>
      <c r="C29" s="28" t="n">
        <v>-499444.3052686988</v>
      </c>
      <c r="D29" s="28" t="n">
        <v>-458212.7975631587</v>
      </c>
      <c r="E29" s="28" t="n">
        <v>41231.50770554016</v>
      </c>
      <c r="F29" s="35" t="n">
        <v>21</v>
      </c>
      <c r="G29" s="35" t="n"/>
    </row>
    <row r="30">
      <c r="A30" s="27" t="inlineStr">
        <is>
          <t>R11</t>
        </is>
      </c>
      <c r="B30" s="27" t="inlineStr">
        <is>
          <t>Ocupação no mês 1</t>
        </is>
      </c>
      <c r="C30" s="28" t="n">
        <v>-499148.9545351948</v>
      </c>
      <c r="D30" s="28" t="n">
        <v>-458508.1482966626</v>
      </c>
      <c r="E30" s="28" t="n">
        <v>40640.80623853218</v>
      </c>
      <c r="F30" s="35" t="n">
        <v>22</v>
      </c>
      <c r="G30" s="35" t="n"/>
    </row>
    <row r="31">
      <c r="A31" s="27" t="inlineStr">
        <is>
          <t>I03</t>
        </is>
      </c>
      <c r="B31" s="27" t="inlineStr">
        <is>
          <t>Cozinha e bar</t>
        </is>
      </c>
      <c r="C31" s="28" t="n">
        <v>-498828.5514159286</v>
      </c>
      <c r="D31" s="28" t="n">
        <v>-458828.5514159286</v>
      </c>
      <c r="E31" s="28" t="n">
        <v>40000</v>
      </c>
      <c r="F31" s="35" t="n">
        <v>23</v>
      </c>
      <c r="G31" s="35" t="n"/>
    </row>
    <row r="32">
      <c r="A32" s="27" t="inlineStr">
        <is>
          <t>I08</t>
        </is>
      </c>
      <c r="B32" s="27" t="inlineStr">
        <is>
          <t>Capital de giro</t>
        </is>
      </c>
      <c r="C32" s="28" t="n">
        <v>-504499.0152982554</v>
      </c>
      <c r="D32" s="28" t="n">
        <v>-465993.3194747653</v>
      </c>
      <c r="E32" s="28" t="n">
        <v>38505.6958234901</v>
      </c>
      <c r="F32" s="35" t="n">
        <v>24</v>
      </c>
      <c r="G32" s="35" t="n"/>
    </row>
    <row r="33">
      <c r="A33" s="27" t="inlineStr">
        <is>
          <t>I02</t>
        </is>
      </c>
      <c r="B33" s="27" t="inlineStr">
        <is>
          <t>Mobiliário (mesas, cadeiras, estantes)</t>
        </is>
      </c>
      <c r="C33" s="28" t="n">
        <v>-493828.5514159286</v>
      </c>
      <c r="D33" s="28" t="n">
        <v>-463828.5514159286</v>
      </c>
      <c r="E33" s="28" t="n">
        <v>30000</v>
      </c>
      <c r="F33" s="35" t="n">
        <v>25</v>
      </c>
      <c r="G33" s="35" t="n"/>
    </row>
    <row r="34">
      <c r="A34" s="27" t="inlineStr">
        <is>
          <t>C02</t>
        </is>
      </c>
      <c r="B34" s="27" t="inlineStr">
        <is>
          <t>Taxa de cartão</t>
        </is>
      </c>
      <c r="C34" s="28" t="n">
        <v>-492673.126143184</v>
      </c>
      <c r="D34" s="28" t="n">
        <v>-464983.9766886734</v>
      </c>
      <c r="E34" s="28" t="n">
        <v>27689.14945451054</v>
      </c>
      <c r="F34" s="35" t="n">
        <v>26</v>
      </c>
      <c r="G34" s="35" t="n"/>
    </row>
    <row r="35">
      <c r="A35" s="27" t="inlineStr">
        <is>
          <t>C11</t>
        </is>
      </c>
      <c r="B35" s="27" t="inlineStr">
        <is>
          <t>Contabilidade</t>
        </is>
      </c>
      <c r="C35" s="28" t="n">
        <v>-491198.0037275908</v>
      </c>
      <c r="D35" s="28" t="n">
        <v>-466459.0991042666</v>
      </c>
      <c r="E35" s="28" t="n">
        <v>24738.90462332417</v>
      </c>
      <c r="F35" s="35" t="n">
        <v>27</v>
      </c>
      <c r="G35" s="35" t="n"/>
    </row>
    <row r="36">
      <c r="A36" s="27" t="inlineStr">
        <is>
          <t>R10</t>
        </is>
      </c>
      <c r="B36" s="27" t="inlineStr">
        <is>
          <t>Preço médio do aluguel de jogo</t>
        </is>
      </c>
      <c r="C36" s="28" t="n">
        <v>-492832.6724088097</v>
      </c>
      <c r="D36" s="28" t="n">
        <v>-469493.1968968521</v>
      </c>
      <c r="E36" s="28" t="n">
        <v>23339.4755119576</v>
      </c>
      <c r="F36" s="35" t="n">
        <v>28</v>
      </c>
      <c r="G36" s="35" t="n"/>
    </row>
    <row r="37">
      <c r="A37" s="27" t="inlineStr">
        <is>
          <t>M01</t>
        </is>
      </c>
      <c r="B37" s="27" t="inlineStr">
        <is>
          <t>Taxa mínima de atratividade (real)</t>
        </is>
      </c>
      <c r="C37" s="28" t="n">
        <v>-488949.4035129704</v>
      </c>
      <c r="D37" s="28" t="n">
        <v>-466885.9766300382</v>
      </c>
      <c r="E37" s="28" t="n">
        <v>22063.42688293214</v>
      </c>
      <c r="F37" s="35" t="n">
        <v>29</v>
      </c>
      <c r="G37" s="35" t="n"/>
    </row>
    <row r="38">
      <c r="A38" s="27" t="inlineStr">
        <is>
          <t>C13</t>
        </is>
      </c>
      <c r="B38" s="27" t="inlineStr">
        <is>
          <t>Reposição do acervo</t>
        </is>
      </c>
      <c r="C38" s="28" t="n">
        <v>-489288.3527043725</v>
      </c>
      <c r="D38" s="28" t="n">
        <v>-468368.7501274847</v>
      </c>
      <c r="E38" s="28" t="n">
        <v>20919.60257688782</v>
      </c>
      <c r="F38" s="35" t="n">
        <v>30</v>
      </c>
      <c r="G38" s="35" t="n"/>
    </row>
    <row r="39">
      <c r="A39" s="27" t="inlineStr">
        <is>
          <t>I06</t>
        </is>
      </c>
      <c r="B39" s="27" t="inlineStr">
        <is>
          <t>Gastos pré-operacionais</t>
        </is>
      </c>
      <c r="C39" s="28" t="n">
        <v>-488828.5514159286</v>
      </c>
      <c r="D39" s="28" t="n">
        <v>-470828.5514159286</v>
      </c>
      <c r="E39" s="28" t="n">
        <v>18000</v>
      </c>
      <c r="F39" s="35" t="n">
        <v>31</v>
      </c>
      <c r="G39" s="35" t="n"/>
    </row>
    <row r="40">
      <c r="A40" s="27" t="inlineStr">
        <is>
          <t>C12</t>
        </is>
      </c>
      <c r="B40" s="27" t="inlineStr">
        <is>
          <t>Sistemas (caixa, reservas, nota fiscal)</t>
        </is>
      </c>
      <c r="C40" s="28" t="n">
        <v>-485013.2775717598</v>
      </c>
      <c r="D40" s="28" t="n">
        <v>-472643.8252600977</v>
      </c>
      <c r="E40" s="28" t="n">
        <v>12369.45231166214</v>
      </c>
      <c r="F40" s="35" t="n">
        <v>32</v>
      </c>
      <c r="G40" s="35" t="n"/>
    </row>
    <row r="41">
      <c r="A41" s="27" t="inlineStr">
        <is>
          <t>I07</t>
        </is>
      </c>
      <c r="B41" s="27" t="inlineStr">
        <is>
          <t>Caução do aluguel</t>
        </is>
      </c>
      <c r="C41" s="28" t="n">
        <v>-478828.5514159286</v>
      </c>
      <c r="D41" s="28" t="n">
        <v>-473927.5330548811</v>
      </c>
      <c r="E41" s="28" t="n">
        <v>4901.018361047551</v>
      </c>
      <c r="F41" s="35" t="n">
        <v>33</v>
      </c>
      <c r="G41" s="35" t="n"/>
    </row>
    <row r="42">
      <c r="A42" s="32" t="inlineStr">
        <is>
          <t>I04</t>
        </is>
      </c>
      <c r="B42" s="32" t="inlineStr">
        <is>
          <t>Caixa e informática</t>
        </is>
      </c>
      <c r="C42" s="33" t="n">
        <v>-480828.5514159286</v>
      </c>
      <c r="D42" s="33" t="n">
        <v>-476828.5514159286</v>
      </c>
      <c r="E42" s="33" t="n">
        <v>4000</v>
      </c>
      <c r="F42" s="36" t="n">
        <v>34</v>
      </c>
      <c r="G42" s="36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2" t="inlineStr">
        <is>
          <t>Ponto de ruptura das premissas críticas (VPL = 0, demais no provável)</t>
        </is>
      </c>
      <c r="B44" s="3" t="n"/>
      <c r="C44" s="3" t="n"/>
      <c r="D44" s="3" t="n"/>
      <c r="E44" s="3" t="n"/>
      <c r="F44" s="3" t="n"/>
      <c r="G44" s="3" t="n"/>
    </row>
    <row r="45">
      <c r="A45" s="4" t="inlineStr">
        <is>
          <t>ID</t>
        </is>
      </c>
      <c r="B45" s="4" t="inlineStr">
        <is>
          <t>Premissa</t>
        </is>
      </c>
      <c r="C45" s="4" t="inlineStr">
        <is>
          <t>Pessimista</t>
        </is>
      </c>
      <c r="D45" s="4" t="inlineStr">
        <is>
          <t>Provável</t>
        </is>
      </c>
      <c r="E45" s="4" t="inlineStr">
        <is>
          <t>Otimista</t>
        </is>
      </c>
      <c r="F45" s="4" t="inlineStr">
        <is>
          <t>Valor de ruptura</t>
        </is>
      </c>
      <c r="G45" s="4" t="inlineStr">
        <is>
          <t>Unidade</t>
        </is>
      </c>
    </row>
    <row r="46">
      <c r="A46" s="27" t="inlineStr">
        <is>
          <t>R03</t>
        </is>
      </c>
      <c r="B46" s="27" t="inlineStr">
        <is>
          <t>Permanência média</t>
        </is>
      </c>
      <c r="C46" s="28" t="n">
        <v>137</v>
      </c>
      <c r="D46" s="28" t="n">
        <v>109</v>
      </c>
      <c r="E46" s="28" t="n">
        <v>83</v>
      </c>
      <c r="F46" s="28" t="n">
        <v>86.96516303235617</v>
      </c>
      <c r="G46" s="27" t="inlineStr">
        <is>
          <t>min</t>
        </is>
      </c>
    </row>
    <row r="47">
      <c r="A47" s="27" t="inlineStr">
        <is>
          <t>R02</t>
        </is>
      </c>
      <c r="B47" s="27" t="inlineStr">
        <is>
          <t>Pessoas por grupo de mesa</t>
        </is>
      </c>
      <c r="C47" s="28" t="n">
        <v>2.8</v>
      </c>
      <c r="D47" s="28" t="n">
        <v>3.6</v>
      </c>
      <c r="E47" s="28" t="n">
        <v>4.4</v>
      </c>
      <c r="F47" s="28" t="n">
        <v>4.512151605511324</v>
      </c>
      <c r="G47" s="27" t="inlineStr">
        <is>
          <t>pessoas</t>
        </is>
      </c>
    </row>
    <row r="48">
      <c r="A48" s="27" t="inlineStr">
        <is>
          <t>R04</t>
        </is>
      </c>
      <c r="B48" s="27" t="inlineStr">
        <is>
          <t>Taxa de ocupação, fim de semana (sex a dom)</t>
        </is>
      </c>
      <c r="C48" s="31" t="n">
        <v>0.25</v>
      </c>
      <c r="D48" s="31" t="n">
        <v>0.35</v>
      </c>
      <c r="E48" s="31" t="n">
        <v>0.45</v>
      </c>
      <c r="F48" s="31" t="n">
        <v>0.4950229124599526</v>
      </c>
      <c r="G48" s="27" t="inlineStr">
        <is>
          <t>% das mesas</t>
        </is>
      </c>
    </row>
    <row r="49">
      <c r="A49" s="27" t="inlineStr">
        <is>
          <t>R05</t>
        </is>
      </c>
      <c r="B49" s="27" t="inlineStr">
        <is>
          <t>Taxa de ocupação, dia útil (seg a qui)</t>
        </is>
      </c>
      <c r="C49" s="31" t="n">
        <v>0.1</v>
      </c>
      <c r="D49" s="31" t="n">
        <v>0.18</v>
      </c>
      <c r="E49" s="31" t="n">
        <v>0.25</v>
      </c>
      <c r="F49" s="31" t="n">
        <v>0.2973934452725093</v>
      </c>
      <c r="G49" s="27" t="inlineStr">
        <is>
          <t>% das mesas</t>
        </is>
      </c>
    </row>
    <row r="50">
      <c r="A50" s="32" t="inlineStr">
        <is>
          <t>R01</t>
        </is>
      </c>
      <c r="B50" s="32" t="inlineStr">
        <is>
          <t>Mesas do salão</t>
        </is>
      </c>
      <c r="C50" s="33" t="n">
        <v>8</v>
      </c>
      <c r="D50" s="33" t="n">
        <v>10</v>
      </c>
      <c r="E50" s="33" t="n">
        <v>11</v>
      </c>
      <c r="F50" s="33" t="n">
        <v>12.53375445975368</v>
      </c>
      <c r="G50" s="32" t="inlineStr">
        <is>
          <t>mesas</t>
        </is>
      </c>
    </row>
    <row r="51">
      <c r="A51" s="3" t="n"/>
      <c r="B51" s="3" t="n"/>
      <c r="C51" s="3" t="n"/>
      <c r="D51" s="3" t="n"/>
      <c r="E51" s="3" t="n"/>
      <c r="F51" s="3" t="n"/>
      <c r="G51" s="3" t="n"/>
    </row>
    <row r="52" ht="45" customHeight="1">
      <c r="A52" s="37" t="inlineStr">
        <is>
          <t>Fonte: elaboração própria. Valores gravados pelo script _src/extras/gerar_modelo_financeiro.py, que recalcula o modelo em Python e confere o VPL com esta planilha nos três cenários; mudar a aba premissas não atualiza esta aba (rodar o script de novo).</t>
        </is>
      </c>
    </row>
    <row r="53">
      <c r="A53" s="3" t="n"/>
      <c r="B53" s="3" t="n"/>
      <c r="C53" s="3" t="n"/>
      <c r="D53" s="3" t="n"/>
      <c r="E53" s="3" t="n"/>
      <c r="F53" s="3" t="n"/>
      <c r="G53" s="3" t="n"/>
    </row>
  </sheetData>
  <mergeCells count="2">
    <mergeCell ref="A1:G1"/>
    <mergeCell ref="A52:G5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70" customWidth="1" min="4" max="4"/>
  </cols>
  <sheetData>
    <row r="1">
      <c r="A1" s="1" t="inlineStr">
        <is>
          <t>Triangulação da receita e checagens de coerência (cenário ativo, mês 60)</t>
        </is>
      </c>
      <c r="B1" s="1" t="n"/>
      <c r="C1" s="1" t="n"/>
      <c r="D1" s="1" t="n"/>
    </row>
    <row r="2">
      <c r="A2" s="4" t="inlineStr">
        <is>
          <t>Checagem</t>
        </is>
      </c>
      <c r="B2" s="4" t="inlineStr">
        <is>
          <t>Modelo</t>
        </is>
      </c>
      <c r="C2" s="4" t="inlineStr">
        <is>
          <t>Referência</t>
        </is>
      </c>
      <c r="D2" s="4" t="inlineStr">
        <is>
          <t>Fonte da referência</t>
        </is>
      </c>
    </row>
    <row r="3">
      <c r="A3" s="5" t="inlineStr">
        <is>
          <t>Pessoas atendidas por dia</t>
        </is>
      </c>
      <c r="B3" s="6">
        <f>receitas!BJ7/(P_M02*7)</f>
        <v/>
      </c>
      <c r="C3" s="6">
        <f>P_R01*P_R02*(P_R13+P_R14)*60/P_R03/7</f>
        <v/>
      </c>
      <c r="D3" s="5" t="inlineStr">
        <is>
          <t>Capacidade: todas as mesas ocupadas todas as horas, com a permanência média</t>
        </is>
      </c>
    </row>
    <row r="4">
      <c r="A4" s="5" t="inlineStr">
        <is>
          <t>Uso da capacidade</t>
        </is>
      </c>
      <c r="B4" s="38">
        <f>B3/C3</f>
        <v/>
      </c>
      <c r="C4" s="6" t="n"/>
      <c r="D4" s="5" t="inlineStr">
        <is>
          <t>Tem de ficar abaixo de 100%</t>
        </is>
      </c>
    </row>
    <row r="5">
      <c r="A5" s="5" t="inlineStr">
        <is>
          <t>Grupos atendidos por dia</t>
        </is>
      </c>
      <c r="B5" s="6">
        <f>B3/P_R02</f>
        <v/>
      </c>
      <c r="C5" s="6" t="n">
        <v>30.5</v>
      </c>
      <c r="D5" s="5" t="inlineStr">
        <is>
          <t>NFC-e emitidas por dia, São Jogue Bela Vista, 10/10 a 16/10/2026 (B3); piso, pois a nota sai só a pedido</t>
        </is>
      </c>
    </row>
    <row r="6">
      <c r="A6" s="5" t="inlineStr">
        <is>
          <t>Grupos atendidos por dia (Paralela)</t>
        </is>
      </c>
      <c r="B6" s="6">
        <f>B3/P_R02</f>
        <v/>
      </c>
      <c r="C6" s="6" t="n">
        <v>16.1</v>
      </c>
      <c r="D6" s="5" t="inlineStr">
        <is>
          <t>NFC-e por dia, São Jogue Paralela, 17/10 a 30/10/2026 (B3), com o fim de semana da eleição</t>
        </is>
      </c>
    </row>
    <row r="7">
      <c r="A7" s="5" t="inlineStr">
        <is>
          <t>Receita mensal madura × piso de vendas da Bela Vista (R$)</t>
        </is>
      </c>
      <c r="B7" s="6">
        <f>receitas!BJ12</f>
        <v/>
      </c>
      <c r="C7" s="6" t="n">
        <v>84282.30208333334</v>
      </c>
      <c r="D7" s="5" t="inlineStr">
        <is>
          <t>NFC-e por dia × R$ 90.85 por nota (média das 4 notas das mesas dos observadores, sem jogos e serviço) × 30,4 dias</t>
        </is>
      </c>
    </row>
    <row r="8">
      <c r="A8" s="5" t="inlineStr">
        <is>
          <t>Receita mensal madura × piso de vendas da Paralela (R$)</t>
        </is>
      </c>
      <c r="B8" s="6">
        <f>receitas!BJ12</f>
        <v/>
      </c>
      <c r="C8" s="6" t="n">
        <v>44490.00208333333</v>
      </c>
      <c r="D8" s="5" t="inlineStr">
        <is>
          <t>Idem, Paralela</t>
        </is>
      </c>
    </row>
    <row r="9">
      <c r="A9" s="5" t="inlineStr">
        <is>
          <t>Receita por pessoa (R$)</t>
        </is>
      </c>
      <c r="B9" s="6">
        <f>receitas!BJ12/receitas!BJ7</f>
        <v/>
      </c>
      <c r="C9" s="6" t="n">
        <v>45.425</v>
      </c>
      <c r="D9" s="5" t="inlineStr">
        <is>
          <t>Notas das mesas dos observadores: taxa e consumo por pessoa</t>
        </is>
      </c>
    </row>
    <row r="10">
      <c r="A10" s="5" t="inlineStr">
        <is>
          <t>Taxa de entrada de fim de semana (R$)</t>
        </is>
      </c>
      <c r="B10" s="6">
        <f>P_R06</f>
        <v/>
      </c>
      <c r="C10" s="6" t="n">
        <v>18.75</v>
      </c>
      <c r="D10" s="5" t="inlineStr">
        <is>
          <t>Mediana do couvert ou taxa de jogo nos cardápios de 8 concorrentes (B1); acima dela, o posicionamento tem de justificar</t>
        </is>
      </c>
    </row>
    <row r="11">
      <c r="A11" s="5" t="inlineStr">
        <is>
          <t>Pessoas atendidas por dia por funcionário</t>
        </is>
      </c>
      <c r="B11" s="6">
        <f>B3/(12*P_C06)</f>
        <v/>
      </c>
      <c r="C11" s="6" t="n"/>
      <c r="D11" s="5" t="inlineStr">
        <is>
          <t>Quadro de referência de 12 em dois turnos (aba pessoal)</t>
        </is>
      </c>
    </row>
    <row r="12">
      <c r="A12" s="5" t="inlineStr">
        <is>
          <t>Visitas por ano ÷ população de Salvador</t>
        </is>
      </c>
      <c r="B12" s="38">
        <f>receitas!BJ7*12/C12</f>
        <v/>
      </c>
      <c r="C12" s="11" t="n">
        <v>2559945</v>
      </c>
      <c r="D12" s="5" t="inlineStr">
        <is>
          <t>População estimada de Salvador em 2026 (IBGE, B4); visitas, não pessoas distintas</t>
        </is>
      </c>
    </row>
    <row r="13">
      <c r="A13" s="8" t="inlineStr">
        <is>
          <t>Meses até a maturidade</t>
        </is>
      </c>
      <c r="B13" s="9">
        <f>P_R12</f>
        <v/>
      </c>
      <c r="C13" s="9" t="n"/>
      <c r="D13" s="8" t="inlineStr">
        <is>
          <t>Entre 6 e 12 meses (_instrucoes, §5)</t>
        </is>
      </c>
    </row>
    <row r="15" ht="30" customHeight="1">
      <c r="A15" s="10" t="inlineStr">
        <is>
          <t>Fonte: abas do modelo e Blocos B1, B3 e B4. A comparação com as notas é de ordem de grandeza: a NFC-e só é emitida quando o cliente pede.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2026-10-31T04:51:44Z</dcterms:created>
  <dcterms:modified xsi:type="dcterms:W3CDTF">2026-10-31T04:51:44Z</dcterms:modified>
</cp:coreProperties>
</file>